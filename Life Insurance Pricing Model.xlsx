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b7b113db84c6b47/Desktop/Model for Orient/Without macros/"/>
    </mc:Choice>
  </mc:AlternateContent>
  <xr:revisionPtr revIDLastSave="1095" documentId="11_33E94F2856180F6A59CBD7CA0E73E28679F77EAC" xr6:coauthVersionLast="47" xr6:coauthVersionMax="47" xr10:uidLastSave="{F3BD64EE-5AD6-439B-A2D3-45A355E8C968}"/>
  <bookViews>
    <workbookView xWindow="-110" yWindow="-110" windowWidth="25820" windowHeight="15500" firstSheet="2" activeTab="19" xr2:uid="{00000000-000D-0000-FFFF-FFFF00000000}"/>
  </bookViews>
  <sheets>
    <sheet name="README" sheetId="1" r:id="rId1"/>
    <sheet name="Results Summary" sheetId="2" r:id="rId2"/>
    <sheet name="Pricing Calculator" sheetId="3" r:id="rId3"/>
    <sheet name="Assumptions" sheetId="9" r:id="rId4"/>
    <sheet name="Mortality" sheetId="10" r:id="rId5"/>
    <sheet name="Premium Calculation" sheetId="12" r:id="rId6"/>
    <sheet name="Cashflows" sheetId="14" r:id="rId7"/>
    <sheet name="Reinsurance" sheetId="15" r:id="rId8"/>
    <sheet name="Profit Testing" sheetId="16" r:id="rId9"/>
    <sheet name="Portfolio Analysis" sheetId="5" r:id="rId10"/>
    <sheet name="Experience Analysis" sheetId="18" r:id="rId11"/>
    <sheet name="Assumption Review" sheetId="7" r:id="rId12"/>
    <sheet name="Sensitivities" sheetId="6" r:id="rId13"/>
    <sheet name="IFRS 17 GMM" sheetId="19" r:id="rId14"/>
    <sheet name="Unit-Linked" sheetId="13" r:id="rId15"/>
    <sheet name="IFRS 17 VFA" sheetId="20" r:id="rId16"/>
    <sheet name="Policy Data" sheetId="11" r:id="rId17"/>
    <sheet name="Checks" sheetId="22" r:id="rId18"/>
    <sheet name="Portfolio Totals" sheetId="4" r:id="rId19"/>
    <sheet name="Policy Calculations" sheetId="17" r:id="rId20"/>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3" l="1"/>
  <c r="E11" i="3"/>
  <c r="B15"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ED279" i="17"/>
  <c r="EC279" i="17"/>
  <c r="EA279" i="17"/>
  <c r="DZ279" i="17"/>
  <c r="DY279" i="17"/>
  <c r="S279" i="17"/>
  <c r="R279" i="17"/>
  <c r="Q279" i="17"/>
  <c r="X279" i="17" s="1"/>
  <c r="P279" i="17"/>
  <c r="O279" i="17"/>
  <c r="N279" i="17"/>
  <c r="M279" i="17"/>
  <c r="K279" i="17"/>
  <c r="W279" i="17" s="1"/>
  <c r="J279" i="17"/>
  <c r="I279" i="17"/>
  <c r="H279" i="17"/>
  <c r="G279" i="17"/>
  <c r="V279" i="17" s="1"/>
  <c r="F279" i="17"/>
  <c r="E279" i="17"/>
  <c r="U279" i="17" s="1"/>
  <c r="D279" i="17"/>
  <c r="AP279" i="17" s="1"/>
  <c r="C279" i="17"/>
  <c r="T279" i="17" s="1"/>
  <c r="A279" i="17"/>
  <c r="ED278" i="17"/>
  <c r="EC278" i="17"/>
  <c r="EA278" i="17"/>
  <c r="DZ278" i="17"/>
  <c r="DY278" i="17"/>
  <c r="S278" i="17"/>
  <c r="R278" i="17"/>
  <c r="Q278" i="17"/>
  <c r="X278" i="17" s="1"/>
  <c r="P278" i="17"/>
  <c r="O278" i="17"/>
  <c r="N278" i="17"/>
  <c r="M278" i="17"/>
  <c r="K278" i="17"/>
  <c r="W278" i="17" s="1"/>
  <c r="J278" i="17"/>
  <c r="I278" i="17"/>
  <c r="H278" i="17"/>
  <c r="G278" i="17"/>
  <c r="V278" i="17" s="1"/>
  <c r="F278" i="17"/>
  <c r="E278" i="17"/>
  <c r="D278" i="17"/>
  <c r="AP278" i="17" s="1"/>
  <c r="C278" i="17"/>
  <c r="A278" i="17"/>
  <c r="ED277" i="17"/>
  <c r="EC277" i="17"/>
  <c r="EA277" i="17"/>
  <c r="DZ277" i="17"/>
  <c r="DY277" i="17"/>
  <c r="S277" i="17"/>
  <c r="R277" i="17"/>
  <c r="Q277" i="17"/>
  <c r="X277" i="17" s="1"/>
  <c r="P277" i="17"/>
  <c r="O277" i="17"/>
  <c r="N277" i="17"/>
  <c r="M277" i="17"/>
  <c r="K277" i="17"/>
  <c r="W277" i="17" s="1"/>
  <c r="J277" i="17"/>
  <c r="I277" i="17"/>
  <c r="H277" i="17"/>
  <c r="G277" i="17"/>
  <c r="V277" i="17" s="1"/>
  <c r="F277" i="17"/>
  <c r="E277" i="17"/>
  <c r="U277" i="17" s="1"/>
  <c r="D277" i="17"/>
  <c r="AP277" i="17" s="1"/>
  <c r="C277" i="17"/>
  <c r="T277" i="17" s="1"/>
  <c r="A277" i="17"/>
  <c r="ED276" i="17"/>
  <c r="EC276" i="17"/>
  <c r="EA276" i="17"/>
  <c r="DZ276" i="17"/>
  <c r="DY276" i="17"/>
  <c r="S276" i="17"/>
  <c r="R276" i="17"/>
  <c r="Q276" i="17"/>
  <c r="X276" i="17" s="1"/>
  <c r="P276" i="17"/>
  <c r="O276" i="17"/>
  <c r="N276" i="17"/>
  <c r="M276" i="17"/>
  <c r="K276" i="17"/>
  <c r="W276" i="17" s="1"/>
  <c r="J276" i="17"/>
  <c r="I276" i="17"/>
  <c r="H276" i="17"/>
  <c r="G276" i="17"/>
  <c r="V276" i="17" s="1"/>
  <c r="F276" i="17"/>
  <c r="E276" i="17"/>
  <c r="D276" i="17"/>
  <c r="AP276" i="17" s="1"/>
  <c r="C276" i="17"/>
  <c r="A276" i="17"/>
  <c r="ED275" i="17"/>
  <c r="EC275" i="17"/>
  <c r="EA275" i="17"/>
  <c r="DZ275" i="17"/>
  <c r="DY275" i="17"/>
  <c r="S275" i="17"/>
  <c r="R275" i="17"/>
  <c r="Q275" i="17"/>
  <c r="X275" i="17" s="1"/>
  <c r="P275" i="17"/>
  <c r="O275" i="17"/>
  <c r="N275" i="17"/>
  <c r="M275" i="17"/>
  <c r="K275" i="17"/>
  <c r="W275" i="17" s="1"/>
  <c r="J275" i="17"/>
  <c r="I275" i="17"/>
  <c r="H275" i="17"/>
  <c r="G275" i="17"/>
  <c r="V275" i="17" s="1"/>
  <c r="F275" i="17"/>
  <c r="E275" i="17"/>
  <c r="D275" i="17"/>
  <c r="AP275" i="17" s="1"/>
  <c r="C275" i="17"/>
  <c r="T275" i="17" s="1"/>
  <c r="A275" i="17"/>
  <c r="ED274" i="17"/>
  <c r="EC274" i="17"/>
  <c r="EA274" i="17"/>
  <c r="DZ274" i="17"/>
  <c r="DY274" i="17"/>
  <c r="S274" i="17"/>
  <c r="R274" i="17"/>
  <c r="Q274" i="17"/>
  <c r="X274" i="17" s="1"/>
  <c r="P274" i="17"/>
  <c r="O274" i="17"/>
  <c r="N274" i="17"/>
  <c r="M274" i="17"/>
  <c r="K274" i="17"/>
  <c r="W274" i="17" s="1"/>
  <c r="J274" i="17"/>
  <c r="I274" i="17"/>
  <c r="H274" i="17"/>
  <c r="G274" i="17"/>
  <c r="V274" i="17" s="1"/>
  <c r="F274" i="17"/>
  <c r="E274" i="17"/>
  <c r="U274" i="17" s="1"/>
  <c r="D274" i="17"/>
  <c r="AP274" i="17" s="1"/>
  <c r="C274" i="17"/>
  <c r="A274" i="17"/>
  <c r="ED273" i="17"/>
  <c r="EC273" i="17"/>
  <c r="EA273" i="17"/>
  <c r="DZ273" i="17"/>
  <c r="DY273" i="17"/>
  <c r="S273" i="17"/>
  <c r="R273" i="17"/>
  <c r="Q273" i="17"/>
  <c r="X273" i="17" s="1"/>
  <c r="P273" i="17"/>
  <c r="O273" i="17"/>
  <c r="N273" i="17"/>
  <c r="M273" i="17"/>
  <c r="K273" i="17"/>
  <c r="J273" i="17"/>
  <c r="I273" i="17"/>
  <c r="H273" i="17"/>
  <c r="G273" i="17"/>
  <c r="V273" i="17" s="1"/>
  <c r="F273" i="17"/>
  <c r="E273" i="17"/>
  <c r="D273" i="17"/>
  <c r="AP273" i="17" s="1"/>
  <c r="C273" i="17"/>
  <c r="A273" i="17"/>
  <c r="ED272" i="17"/>
  <c r="EC272" i="17"/>
  <c r="EA272" i="17"/>
  <c r="DZ272" i="17"/>
  <c r="DY272" i="17"/>
  <c r="S272" i="17"/>
  <c r="R272" i="17"/>
  <c r="Q272" i="17"/>
  <c r="X272" i="17" s="1"/>
  <c r="P272" i="17"/>
  <c r="O272" i="17"/>
  <c r="N272" i="17"/>
  <c r="M272" i="17"/>
  <c r="K272" i="17"/>
  <c r="W272" i="17" s="1"/>
  <c r="J272" i="17"/>
  <c r="I272" i="17"/>
  <c r="H272" i="17"/>
  <c r="G272" i="17"/>
  <c r="V272" i="17" s="1"/>
  <c r="F272" i="17"/>
  <c r="E272" i="17"/>
  <c r="D272" i="17"/>
  <c r="C272" i="17"/>
  <c r="A272" i="17"/>
  <c r="ED271" i="17"/>
  <c r="EC271" i="17"/>
  <c r="EA271" i="17"/>
  <c r="DZ271" i="17"/>
  <c r="DY271" i="17"/>
  <c r="S271" i="17"/>
  <c r="R271" i="17"/>
  <c r="Q271" i="17"/>
  <c r="X271" i="17" s="1"/>
  <c r="P271" i="17"/>
  <c r="O271" i="17"/>
  <c r="N271" i="17"/>
  <c r="M271" i="17"/>
  <c r="K271" i="17"/>
  <c r="J271" i="17"/>
  <c r="I271" i="17"/>
  <c r="H271" i="17"/>
  <c r="G271" i="17"/>
  <c r="V271" i="17" s="1"/>
  <c r="F271" i="17"/>
  <c r="E271" i="17"/>
  <c r="D271" i="17"/>
  <c r="AP271" i="17" s="1"/>
  <c r="C271" i="17"/>
  <c r="A271" i="17"/>
  <c r="ED270" i="17"/>
  <c r="EC270" i="17"/>
  <c r="EA270" i="17"/>
  <c r="DZ270" i="17"/>
  <c r="DY270" i="17"/>
  <c r="S270" i="17"/>
  <c r="R270" i="17"/>
  <c r="Q270" i="17"/>
  <c r="X270" i="17" s="1"/>
  <c r="P270" i="17"/>
  <c r="O270" i="17"/>
  <c r="N270" i="17"/>
  <c r="M270" i="17"/>
  <c r="K270" i="17"/>
  <c r="W270" i="17" s="1"/>
  <c r="J270" i="17"/>
  <c r="I270" i="17"/>
  <c r="H270" i="17"/>
  <c r="G270" i="17"/>
  <c r="V270" i="17" s="1"/>
  <c r="F270" i="17"/>
  <c r="E270" i="17"/>
  <c r="D270" i="17"/>
  <c r="AP270" i="17" s="1"/>
  <c r="C270" i="17"/>
  <c r="A270" i="17"/>
  <c r="ED269" i="17"/>
  <c r="EC269" i="17"/>
  <c r="EA269" i="17"/>
  <c r="DZ269" i="17"/>
  <c r="DY269" i="17"/>
  <c r="S269" i="17"/>
  <c r="R269" i="17"/>
  <c r="Q269" i="17"/>
  <c r="X269" i="17" s="1"/>
  <c r="P269" i="17"/>
  <c r="O269" i="17"/>
  <c r="N269" i="17"/>
  <c r="M269" i="17"/>
  <c r="K269" i="17"/>
  <c r="W269" i="17" s="1"/>
  <c r="J269" i="17"/>
  <c r="I269" i="17"/>
  <c r="H269" i="17"/>
  <c r="G269" i="17"/>
  <c r="V269" i="17" s="1"/>
  <c r="F269" i="17"/>
  <c r="E269" i="17"/>
  <c r="D269" i="17"/>
  <c r="AP269" i="17" s="1"/>
  <c r="C269" i="17"/>
  <c r="A269" i="17"/>
  <c r="ED268" i="17"/>
  <c r="EC268" i="17"/>
  <c r="EA268" i="17"/>
  <c r="DZ268" i="17"/>
  <c r="DY268" i="17"/>
  <c r="S268" i="17"/>
  <c r="R268" i="17"/>
  <c r="Q268" i="17"/>
  <c r="X268" i="17" s="1"/>
  <c r="P268" i="17"/>
  <c r="O268" i="17"/>
  <c r="N268" i="17"/>
  <c r="M268" i="17"/>
  <c r="K268" i="17"/>
  <c r="W268" i="17" s="1"/>
  <c r="J268" i="17"/>
  <c r="I268" i="17"/>
  <c r="H268" i="17"/>
  <c r="G268" i="17"/>
  <c r="V268" i="17" s="1"/>
  <c r="F268" i="17"/>
  <c r="E268" i="17"/>
  <c r="D268" i="17"/>
  <c r="AP268" i="17" s="1"/>
  <c r="C268" i="17"/>
  <c r="A268" i="17"/>
  <c r="ED267" i="17"/>
  <c r="EC267" i="17"/>
  <c r="EA267" i="17"/>
  <c r="DZ267" i="17"/>
  <c r="DY267" i="17"/>
  <c r="S267" i="17"/>
  <c r="R267" i="17"/>
  <c r="Q267" i="17"/>
  <c r="X267" i="17" s="1"/>
  <c r="P267" i="17"/>
  <c r="O267" i="17"/>
  <c r="N267" i="17"/>
  <c r="M267" i="17"/>
  <c r="K267" i="17"/>
  <c r="J267" i="17"/>
  <c r="I267" i="17"/>
  <c r="H267" i="17"/>
  <c r="G267" i="17"/>
  <c r="V267" i="17" s="1"/>
  <c r="F267" i="17"/>
  <c r="E267" i="17"/>
  <c r="D267" i="17"/>
  <c r="AP267" i="17" s="1"/>
  <c r="C267" i="17"/>
  <c r="A267" i="17"/>
  <c r="ED266" i="17"/>
  <c r="EC266" i="17"/>
  <c r="EA266" i="17"/>
  <c r="DZ266" i="17"/>
  <c r="DY266" i="17"/>
  <c r="S266" i="17"/>
  <c r="R266" i="17"/>
  <c r="Q266" i="17"/>
  <c r="X266" i="17" s="1"/>
  <c r="P266" i="17"/>
  <c r="O266" i="17"/>
  <c r="N266" i="17"/>
  <c r="M266" i="17"/>
  <c r="K266" i="17"/>
  <c r="W266" i="17" s="1"/>
  <c r="J266" i="17"/>
  <c r="I266" i="17"/>
  <c r="H266" i="17"/>
  <c r="G266" i="17"/>
  <c r="V266" i="17" s="1"/>
  <c r="F266" i="17"/>
  <c r="E266" i="17"/>
  <c r="D266" i="17"/>
  <c r="C266" i="17"/>
  <c r="A266" i="17"/>
  <c r="ED265" i="17"/>
  <c r="EC265" i="17"/>
  <c r="EA265" i="17"/>
  <c r="DZ265" i="17"/>
  <c r="DY265" i="17"/>
  <c r="S265" i="17"/>
  <c r="R265" i="17"/>
  <c r="Q265" i="17"/>
  <c r="X265" i="17" s="1"/>
  <c r="P265" i="17"/>
  <c r="O265" i="17"/>
  <c r="N265" i="17"/>
  <c r="M265" i="17"/>
  <c r="K265" i="17"/>
  <c r="W265" i="17" s="1"/>
  <c r="J265" i="17"/>
  <c r="I265" i="17"/>
  <c r="H265" i="17"/>
  <c r="G265" i="17"/>
  <c r="V265" i="17" s="1"/>
  <c r="F265" i="17"/>
  <c r="E265" i="17"/>
  <c r="D265" i="17"/>
  <c r="AP265" i="17" s="1"/>
  <c r="C265" i="17"/>
  <c r="A265" i="17"/>
  <c r="ED264" i="17"/>
  <c r="EC264" i="17"/>
  <c r="EA264" i="17"/>
  <c r="DZ264" i="17"/>
  <c r="DY264" i="17"/>
  <c r="S264" i="17"/>
  <c r="R264" i="17"/>
  <c r="Q264" i="17"/>
  <c r="X264" i="17" s="1"/>
  <c r="P264" i="17"/>
  <c r="O264" i="17"/>
  <c r="N264" i="17"/>
  <c r="M264" i="17"/>
  <c r="K264" i="17"/>
  <c r="W264" i="17" s="1"/>
  <c r="J264" i="17"/>
  <c r="I264" i="17"/>
  <c r="H264" i="17"/>
  <c r="G264" i="17"/>
  <c r="V264" i="17" s="1"/>
  <c r="F264" i="17"/>
  <c r="E264" i="17"/>
  <c r="D264" i="17"/>
  <c r="AP264" i="17" s="1"/>
  <c r="C264" i="17"/>
  <c r="A264" i="17"/>
  <c r="ED263" i="17"/>
  <c r="EC263" i="17"/>
  <c r="EA263" i="17"/>
  <c r="DZ263" i="17"/>
  <c r="DY263" i="17"/>
  <c r="S263" i="17"/>
  <c r="R263" i="17"/>
  <c r="Q263" i="17"/>
  <c r="X263" i="17" s="1"/>
  <c r="P263" i="17"/>
  <c r="O263" i="17"/>
  <c r="N263" i="17"/>
  <c r="M263" i="17"/>
  <c r="K263" i="17"/>
  <c r="W263" i="17" s="1"/>
  <c r="J263" i="17"/>
  <c r="I263" i="17"/>
  <c r="H263" i="17"/>
  <c r="G263" i="17"/>
  <c r="V263" i="17" s="1"/>
  <c r="F263" i="17"/>
  <c r="E263" i="17"/>
  <c r="D263" i="17"/>
  <c r="AP263" i="17" s="1"/>
  <c r="C263" i="17"/>
  <c r="A263" i="17"/>
  <c r="ED262" i="17"/>
  <c r="EC262" i="17"/>
  <c r="EA262" i="17"/>
  <c r="DZ262" i="17"/>
  <c r="DY262" i="17"/>
  <c r="S262" i="17"/>
  <c r="R262" i="17"/>
  <c r="Q262" i="17"/>
  <c r="X262" i="17" s="1"/>
  <c r="P262" i="17"/>
  <c r="O262" i="17"/>
  <c r="N262" i="17"/>
  <c r="M262" i="17"/>
  <c r="K262" i="17"/>
  <c r="W262" i="17" s="1"/>
  <c r="J262" i="17"/>
  <c r="I262" i="17"/>
  <c r="H262" i="17"/>
  <c r="G262" i="17"/>
  <c r="V262" i="17" s="1"/>
  <c r="F262" i="17"/>
  <c r="E262" i="17"/>
  <c r="D262" i="17"/>
  <c r="AP262" i="17" s="1"/>
  <c r="C262" i="17"/>
  <c r="A262" i="17"/>
  <c r="ED261" i="17"/>
  <c r="EC261" i="17"/>
  <c r="EA261" i="17"/>
  <c r="DZ261" i="17"/>
  <c r="DY261" i="17"/>
  <c r="S261" i="17"/>
  <c r="R261" i="17"/>
  <c r="Q261" i="17"/>
  <c r="X261" i="17" s="1"/>
  <c r="P261" i="17"/>
  <c r="O261" i="17"/>
  <c r="N261" i="17"/>
  <c r="M261" i="17"/>
  <c r="K261" i="17"/>
  <c r="J261" i="17"/>
  <c r="I261" i="17"/>
  <c r="H261" i="17"/>
  <c r="G261" i="17"/>
  <c r="V261" i="17" s="1"/>
  <c r="F261" i="17"/>
  <c r="E261" i="17"/>
  <c r="D261" i="17"/>
  <c r="AP261" i="17" s="1"/>
  <c r="C261" i="17"/>
  <c r="A261" i="17"/>
  <c r="ED260" i="17"/>
  <c r="EC260" i="17"/>
  <c r="EA260" i="17"/>
  <c r="DZ260" i="17"/>
  <c r="DY260" i="17"/>
  <c r="S260" i="17"/>
  <c r="R260" i="17"/>
  <c r="Q260" i="17"/>
  <c r="X260" i="17" s="1"/>
  <c r="P260" i="17"/>
  <c r="O260" i="17"/>
  <c r="N260" i="17"/>
  <c r="M260" i="17"/>
  <c r="K260" i="17"/>
  <c r="J260" i="17"/>
  <c r="I260" i="17"/>
  <c r="H260" i="17"/>
  <c r="G260" i="17"/>
  <c r="V260" i="17" s="1"/>
  <c r="F260" i="17"/>
  <c r="E260" i="17"/>
  <c r="D260" i="17"/>
  <c r="AP260" i="17" s="1"/>
  <c r="C260" i="17"/>
  <c r="A260" i="17"/>
  <c r="ED259" i="17"/>
  <c r="EC259" i="17"/>
  <c r="EA259" i="17"/>
  <c r="DZ259" i="17"/>
  <c r="DY259" i="17"/>
  <c r="S259" i="17"/>
  <c r="R259" i="17"/>
  <c r="Q259" i="17"/>
  <c r="X259" i="17" s="1"/>
  <c r="P259" i="17"/>
  <c r="O259" i="17"/>
  <c r="N259" i="17"/>
  <c r="M259" i="17"/>
  <c r="K259" i="17"/>
  <c r="W259" i="17" s="1"/>
  <c r="J259" i="17"/>
  <c r="I259" i="17"/>
  <c r="H259" i="17"/>
  <c r="G259" i="17"/>
  <c r="V259" i="17" s="1"/>
  <c r="F259" i="17"/>
  <c r="E259" i="17"/>
  <c r="D259" i="17"/>
  <c r="AP259" i="17" s="1"/>
  <c r="C259" i="17"/>
  <c r="A259" i="17"/>
  <c r="ED258" i="17"/>
  <c r="EC258" i="17"/>
  <c r="EA258" i="17"/>
  <c r="DZ258" i="17"/>
  <c r="DY258" i="17"/>
  <c r="S258" i="17"/>
  <c r="R258" i="17"/>
  <c r="Q258" i="17"/>
  <c r="X258" i="17" s="1"/>
  <c r="P258" i="17"/>
  <c r="O258" i="17"/>
  <c r="N258" i="17"/>
  <c r="M258" i="17"/>
  <c r="K258" i="17"/>
  <c r="J258" i="17"/>
  <c r="I258" i="17"/>
  <c r="H258" i="17"/>
  <c r="G258" i="17"/>
  <c r="V258" i="17" s="1"/>
  <c r="F258" i="17"/>
  <c r="E258" i="17"/>
  <c r="D258" i="17"/>
  <c r="AP258" i="17" s="1"/>
  <c r="C258" i="17"/>
  <c r="A258" i="17"/>
  <c r="ED257" i="17"/>
  <c r="EC257" i="17"/>
  <c r="EA257" i="17"/>
  <c r="DZ257" i="17"/>
  <c r="DY257" i="17"/>
  <c r="S257" i="17"/>
  <c r="R257" i="17"/>
  <c r="Q257" i="17"/>
  <c r="X257" i="17" s="1"/>
  <c r="P257" i="17"/>
  <c r="O257" i="17"/>
  <c r="N257" i="17"/>
  <c r="M257" i="17"/>
  <c r="K257" i="17"/>
  <c r="J257" i="17"/>
  <c r="I257" i="17"/>
  <c r="H257" i="17"/>
  <c r="G257" i="17"/>
  <c r="V257" i="17" s="1"/>
  <c r="F257" i="17"/>
  <c r="E257" i="17"/>
  <c r="D257" i="17"/>
  <c r="AP257" i="17" s="1"/>
  <c r="C257" i="17"/>
  <c r="A257" i="17"/>
  <c r="ED256" i="17"/>
  <c r="EC256" i="17"/>
  <c r="EA256" i="17"/>
  <c r="DZ256" i="17"/>
  <c r="DY256" i="17"/>
  <c r="S256" i="17"/>
  <c r="R256" i="17"/>
  <c r="Q256" i="17"/>
  <c r="X256" i="17" s="1"/>
  <c r="P256" i="17"/>
  <c r="O256" i="17"/>
  <c r="N256" i="17"/>
  <c r="M256" i="17"/>
  <c r="K256" i="17"/>
  <c r="J256" i="17"/>
  <c r="I256" i="17"/>
  <c r="H256" i="17"/>
  <c r="G256" i="17"/>
  <c r="V256" i="17" s="1"/>
  <c r="F256" i="17"/>
  <c r="E256" i="17"/>
  <c r="D256" i="17"/>
  <c r="AP256" i="17" s="1"/>
  <c r="C256" i="17"/>
  <c r="A256" i="17"/>
  <c r="ED255" i="17"/>
  <c r="EC255" i="17"/>
  <c r="EA255" i="17"/>
  <c r="DZ255" i="17"/>
  <c r="DY255" i="17"/>
  <c r="S255" i="17"/>
  <c r="R255" i="17"/>
  <c r="Q255" i="17"/>
  <c r="X255" i="17" s="1"/>
  <c r="P255" i="17"/>
  <c r="O255" i="17"/>
  <c r="N255" i="17"/>
  <c r="M255" i="17"/>
  <c r="K255" i="17"/>
  <c r="W255" i="17" s="1"/>
  <c r="J255" i="17"/>
  <c r="I255" i="17"/>
  <c r="H255" i="17"/>
  <c r="G255" i="17"/>
  <c r="V255" i="17" s="1"/>
  <c r="F255" i="17"/>
  <c r="E255" i="17"/>
  <c r="D255" i="17"/>
  <c r="AP255" i="17" s="1"/>
  <c r="C255" i="17"/>
  <c r="A255" i="17"/>
  <c r="ED254" i="17"/>
  <c r="EC254" i="17"/>
  <c r="EA254" i="17"/>
  <c r="DZ254" i="17"/>
  <c r="DY254" i="17"/>
  <c r="S254" i="17"/>
  <c r="R254" i="17"/>
  <c r="Q254" i="17"/>
  <c r="X254" i="17" s="1"/>
  <c r="P254" i="17"/>
  <c r="O254" i="17"/>
  <c r="N254" i="17"/>
  <c r="M254" i="17"/>
  <c r="K254" i="17"/>
  <c r="J254" i="17"/>
  <c r="I254" i="17"/>
  <c r="H254" i="17"/>
  <c r="G254" i="17"/>
  <c r="V254" i="17" s="1"/>
  <c r="F254" i="17"/>
  <c r="E254" i="17"/>
  <c r="D254" i="17"/>
  <c r="AP254" i="17" s="1"/>
  <c r="C254" i="17"/>
  <c r="A254" i="17"/>
  <c r="ED253" i="17"/>
  <c r="EC253" i="17"/>
  <c r="EA253" i="17"/>
  <c r="DZ253" i="17"/>
  <c r="DY253" i="17"/>
  <c r="S253" i="17"/>
  <c r="R253" i="17"/>
  <c r="Q253" i="17"/>
  <c r="X253" i="17" s="1"/>
  <c r="P253" i="17"/>
  <c r="O253" i="17"/>
  <c r="N253" i="17"/>
  <c r="M253" i="17"/>
  <c r="K253" i="17"/>
  <c r="J253" i="17"/>
  <c r="I253" i="17"/>
  <c r="H253" i="17"/>
  <c r="G253" i="17"/>
  <c r="V253" i="17" s="1"/>
  <c r="F253" i="17"/>
  <c r="E253" i="17"/>
  <c r="D253" i="17"/>
  <c r="C253" i="17"/>
  <c r="A253" i="17"/>
  <c r="ED252" i="17"/>
  <c r="EC252" i="17"/>
  <c r="EA252" i="17"/>
  <c r="DZ252" i="17"/>
  <c r="DY252" i="17"/>
  <c r="S252" i="17"/>
  <c r="R252" i="17"/>
  <c r="Q252" i="17"/>
  <c r="X252" i="17" s="1"/>
  <c r="P252" i="17"/>
  <c r="O252" i="17"/>
  <c r="N252" i="17"/>
  <c r="M252" i="17"/>
  <c r="K252" i="17"/>
  <c r="W252" i="17" s="1"/>
  <c r="J252" i="17"/>
  <c r="I252" i="17"/>
  <c r="H252" i="17"/>
  <c r="G252" i="17"/>
  <c r="V252" i="17" s="1"/>
  <c r="F252" i="17"/>
  <c r="E252" i="17"/>
  <c r="D252" i="17"/>
  <c r="AP252" i="17" s="1"/>
  <c r="C252" i="17"/>
  <c r="A252" i="17"/>
  <c r="ED251" i="17"/>
  <c r="EC251" i="17"/>
  <c r="EA251" i="17"/>
  <c r="DZ251" i="17"/>
  <c r="DY251" i="17"/>
  <c r="S251" i="17"/>
  <c r="R251" i="17"/>
  <c r="Q251" i="17"/>
  <c r="X251" i="17" s="1"/>
  <c r="P251" i="17"/>
  <c r="O251" i="17"/>
  <c r="N251" i="17"/>
  <c r="M251" i="17"/>
  <c r="K251" i="17"/>
  <c r="W251" i="17" s="1"/>
  <c r="J251" i="17"/>
  <c r="I251" i="17"/>
  <c r="H251" i="17"/>
  <c r="G251" i="17"/>
  <c r="V251" i="17" s="1"/>
  <c r="F251" i="17"/>
  <c r="E251" i="17"/>
  <c r="D251" i="17"/>
  <c r="AP251" i="17" s="1"/>
  <c r="C251" i="17"/>
  <c r="A251" i="17"/>
  <c r="ED250" i="17"/>
  <c r="EC250" i="17"/>
  <c r="EA250" i="17"/>
  <c r="DZ250" i="17"/>
  <c r="DY250" i="17"/>
  <c r="S250" i="17"/>
  <c r="R250" i="17"/>
  <c r="Q250" i="17"/>
  <c r="X250" i="17" s="1"/>
  <c r="P250" i="17"/>
  <c r="O250" i="17"/>
  <c r="N250" i="17"/>
  <c r="M250" i="17"/>
  <c r="K250" i="17"/>
  <c r="W250" i="17" s="1"/>
  <c r="J250" i="17"/>
  <c r="I250" i="17"/>
  <c r="H250" i="17"/>
  <c r="G250" i="17"/>
  <c r="V250" i="17" s="1"/>
  <c r="F250" i="17"/>
  <c r="E250" i="17"/>
  <c r="D250" i="17"/>
  <c r="AP250" i="17" s="1"/>
  <c r="C250" i="17"/>
  <c r="A250" i="17"/>
  <c r="ED249" i="17"/>
  <c r="EC249" i="17"/>
  <c r="EA249" i="17"/>
  <c r="DZ249" i="17"/>
  <c r="DY249" i="17"/>
  <c r="S249" i="17"/>
  <c r="R249" i="17"/>
  <c r="Q249" i="17"/>
  <c r="X249" i="17" s="1"/>
  <c r="P249" i="17"/>
  <c r="O249" i="17"/>
  <c r="N249" i="17"/>
  <c r="M249" i="17"/>
  <c r="K249" i="17"/>
  <c r="W249" i="17" s="1"/>
  <c r="J249" i="17"/>
  <c r="I249" i="17"/>
  <c r="H249" i="17"/>
  <c r="G249" i="17"/>
  <c r="V249" i="17" s="1"/>
  <c r="F249" i="17"/>
  <c r="E249" i="17"/>
  <c r="D249" i="17"/>
  <c r="AP249" i="17" s="1"/>
  <c r="C249" i="17"/>
  <c r="A249" i="17"/>
  <c r="ED248" i="17"/>
  <c r="EC248" i="17"/>
  <c r="EA248" i="17"/>
  <c r="DZ248" i="17"/>
  <c r="DY248" i="17"/>
  <c r="S248" i="17"/>
  <c r="R248" i="17"/>
  <c r="Q248" i="17"/>
  <c r="X248" i="17" s="1"/>
  <c r="P248" i="17"/>
  <c r="O248" i="17"/>
  <c r="N248" i="17"/>
  <c r="M248" i="17"/>
  <c r="K248" i="17"/>
  <c r="W248" i="17" s="1"/>
  <c r="J248" i="17"/>
  <c r="I248" i="17"/>
  <c r="H248" i="17"/>
  <c r="G248" i="17"/>
  <c r="V248" i="17" s="1"/>
  <c r="F248" i="17"/>
  <c r="E248" i="17"/>
  <c r="D248" i="17"/>
  <c r="AP248" i="17" s="1"/>
  <c r="C248" i="17"/>
  <c r="A248" i="17"/>
  <c r="ED247" i="17"/>
  <c r="EC247" i="17"/>
  <c r="EA247" i="17"/>
  <c r="DZ247" i="17"/>
  <c r="DY247" i="17"/>
  <c r="S247" i="17"/>
  <c r="R247" i="17"/>
  <c r="Q247" i="17"/>
  <c r="X247" i="17" s="1"/>
  <c r="P247" i="17"/>
  <c r="O247" i="17"/>
  <c r="N247" i="17"/>
  <c r="M247" i="17"/>
  <c r="K247" i="17"/>
  <c r="J247" i="17"/>
  <c r="I247" i="17"/>
  <c r="H247" i="17"/>
  <c r="G247" i="17"/>
  <c r="V247" i="17" s="1"/>
  <c r="F247" i="17"/>
  <c r="E247" i="17"/>
  <c r="D247" i="17"/>
  <c r="AP247" i="17" s="1"/>
  <c r="C247" i="17"/>
  <c r="A247" i="17"/>
  <c r="ED246" i="17"/>
  <c r="EC246" i="17"/>
  <c r="EA246" i="17"/>
  <c r="DZ246" i="17"/>
  <c r="DY246" i="17"/>
  <c r="S246" i="17"/>
  <c r="R246" i="17"/>
  <c r="Q246" i="17"/>
  <c r="X246" i="17" s="1"/>
  <c r="P246" i="17"/>
  <c r="O246" i="17"/>
  <c r="N246" i="17"/>
  <c r="M246" i="17"/>
  <c r="K246" i="17"/>
  <c r="J246" i="17"/>
  <c r="I246" i="17"/>
  <c r="H246" i="17"/>
  <c r="G246" i="17"/>
  <c r="V246" i="17" s="1"/>
  <c r="F246" i="17"/>
  <c r="E246" i="17"/>
  <c r="D246" i="17"/>
  <c r="AP246" i="17" s="1"/>
  <c r="C246" i="17"/>
  <c r="A246" i="17"/>
  <c r="ED245" i="17"/>
  <c r="EC245" i="17"/>
  <c r="EA245" i="17"/>
  <c r="DZ245" i="17"/>
  <c r="DY245" i="17"/>
  <c r="S245" i="17"/>
  <c r="R245" i="17"/>
  <c r="Q245" i="17"/>
  <c r="X245" i="17" s="1"/>
  <c r="P245" i="17"/>
  <c r="O245" i="17"/>
  <c r="N245" i="17"/>
  <c r="M245" i="17"/>
  <c r="K245" i="17"/>
  <c r="J245" i="17"/>
  <c r="I245" i="17"/>
  <c r="H245" i="17"/>
  <c r="G245" i="17"/>
  <c r="V245" i="17" s="1"/>
  <c r="F245" i="17"/>
  <c r="E245" i="17"/>
  <c r="D245" i="17"/>
  <c r="AP245" i="17" s="1"/>
  <c r="C245" i="17"/>
  <c r="A245" i="17"/>
  <c r="ED244" i="17"/>
  <c r="EC244" i="17"/>
  <c r="EA244" i="17"/>
  <c r="DZ244" i="17"/>
  <c r="DY244" i="17"/>
  <c r="S244" i="17"/>
  <c r="R244" i="17"/>
  <c r="Q244" i="17"/>
  <c r="X244" i="17" s="1"/>
  <c r="P244" i="17"/>
  <c r="O244" i="17"/>
  <c r="N244" i="17"/>
  <c r="M244" i="17"/>
  <c r="K244" i="17"/>
  <c r="J244" i="17"/>
  <c r="I244" i="17"/>
  <c r="H244" i="17"/>
  <c r="G244" i="17"/>
  <c r="V244" i="17" s="1"/>
  <c r="F244" i="17"/>
  <c r="E244" i="17"/>
  <c r="D244" i="17"/>
  <c r="AP244" i="17" s="1"/>
  <c r="C244" i="17"/>
  <c r="A244" i="17"/>
  <c r="ED243" i="17"/>
  <c r="EC243" i="17"/>
  <c r="EA243" i="17"/>
  <c r="DZ243" i="17"/>
  <c r="DY243" i="17"/>
  <c r="S243" i="17"/>
  <c r="R243" i="17"/>
  <c r="Q243" i="17"/>
  <c r="X243" i="17" s="1"/>
  <c r="P243" i="17"/>
  <c r="O243" i="17"/>
  <c r="N243" i="17"/>
  <c r="M243" i="17"/>
  <c r="K243" i="17"/>
  <c r="J243" i="17"/>
  <c r="I243" i="17"/>
  <c r="H243" i="17"/>
  <c r="G243" i="17"/>
  <c r="V243" i="17" s="1"/>
  <c r="F243" i="17"/>
  <c r="E243" i="17"/>
  <c r="D243" i="17"/>
  <c r="AP243" i="17" s="1"/>
  <c r="C243" i="17"/>
  <c r="A243" i="17"/>
  <c r="ED242" i="17"/>
  <c r="EC242" i="17"/>
  <c r="EA242" i="17"/>
  <c r="DZ242" i="17"/>
  <c r="DY242" i="17"/>
  <c r="S242" i="17"/>
  <c r="R242" i="17"/>
  <c r="Q242" i="17"/>
  <c r="X242" i="17" s="1"/>
  <c r="P242" i="17"/>
  <c r="O242" i="17"/>
  <c r="N242" i="17"/>
  <c r="M242" i="17"/>
  <c r="K242" i="17"/>
  <c r="W242" i="17" s="1"/>
  <c r="J242" i="17"/>
  <c r="I242" i="17"/>
  <c r="H242" i="17"/>
  <c r="G242" i="17"/>
  <c r="V242" i="17" s="1"/>
  <c r="F242" i="17"/>
  <c r="E242" i="17"/>
  <c r="D242" i="17"/>
  <c r="AP242" i="17" s="1"/>
  <c r="C242" i="17"/>
  <c r="A242" i="17"/>
  <c r="ED241" i="17"/>
  <c r="EC241" i="17"/>
  <c r="EA241" i="17"/>
  <c r="DZ241" i="17"/>
  <c r="DY241" i="17"/>
  <c r="S241" i="17"/>
  <c r="R241" i="17"/>
  <c r="Q241" i="17"/>
  <c r="X241" i="17" s="1"/>
  <c r="P241" i="17"/>
  <c r="O241" i="17"/>
  <c r="N241" i="17"/>
  <c r="M241" i="17"/>
  <c r="K241" i="17"/>
  <c r="J241" i="17"/>
  <c r="I241" i="17"/>
  <c r="H241" i="17"/>
  <c r="G241" i="17"/>
  <c r="V241" i="17" s="1"/>
  <c r="F241" i="17"/>
  <c r="E241" i="17"/>
  <c r="D241" i="17"/>
  <c r="AP241" i="17" s="1"/>
  <c r="C241" i="17"/>
  <c r="A241" i="17"/>
  <c r="ED240" i="17"/>
  <c r="EC240" i="17"/>
  <c r="EA240" i="17"/>
  <c r="DZ240" i="17"/>
  <c r="DY240" i="17"/>
  <c r="S240" i="17"/>
  <c r="R240" i="17"/>
  <c r="Q240" i="17"/>
  <c r="X240" i="17" s="1"/>
  <c r="P240" i="17"/>
  <c r="O240" i="17"/>
  <c r="N240" i="17"/>
  <c r="M240" i="17"/>
  <c r="K240" i="17"/>
  <c r="W240" i="17" s="1"/>
  <c r="J240" i="17"/>
  <c r="I240" i="17"/>
  <c r="H240" i="17"/>
  <c r="G240" i="17"/>
  <c r="V240" i="17" s="1"/>
  <c r="F240" i="17"/>
  <c r="E240" i="17"/>
  <c r="D240" i="17"/>
  <c r="AP240" i="17" s="1"/>
  <c r="C240" i="17"/>
  <c r="A240" i="17"/>
  <c r="ED239" i="17"/>
  <c r="EC239" i="17"/>
  <c r="EA239" i="17"/>
  <c r="DZ239" i="17"/>
  <c r="DY239" i="17"/>
  <c r="S239" i="17"/>
  <c r="R239" i="17"/>
  <c r="Q239" i="17"/>
  <c r="X239" i="17" s="1"/>
  <c r="P239" i="17"/>
  <c r="O239" i="17"/>
  <c r="N239" i="17"/>
  <c r="M239" i="17"/>
  <c r="K239" i="17"/>
  <c r="J239" i="17"/>
  <c r="I239" i="17"/>
  <c r="H239" i="17"/>
  <c r="G239" i="17"/>
  <c r="V239" i="17" s="1"/>
  <c r="F239" i="17"/>
  <c r="E239" i="17"/>
  <c r="D239" i="17"/>
  <c r="AP239" i="17" s="1"/>
  <c r="C239" i="17"/>
  <c r="A239" i="17"/>
  <c r="ED238" i="17"/>
  <c r="EC238" i="17"/>
  <c r="EA238" i="17"/>
  <c r="DZ238" i="17"/>
  <c r="DY238" i="17"/>
  <c r="S238" i="17"/>
  <c r="R238" i="17"/>
  <c r="Q238" i="17"/>
  <c r="X238" i="17" s="1"/>
  <c r="P238" i="17"/>
  <c r="O238" i="17"/>
  <c r="N238" i="17"/>
  <c r="M238" i="17"/>
  <c r="K238" i="17"/>
  <c r="W238" i="17" s="1"/>
  <c r="J238" i="17"/>
  <c r="I238" i="17"/>
  <c r="H238" i="17"/>
  <c r="G238" i="17"/>
  <c r="V238" i="17" s="1"/>
  <c r="F238" i="17"/>
  <c r="E238" i="17"/>
  <c r="D238" i="17"/>
  <c r="AP238" i="17" s="1"/>
  <c r="C238" i="17"/>
  <c r="A238" i="17"/>
  <c r="ED237" i="17"/>
  <c r="EC237" i="17"/>
  <c r="EA237" i="17"/>
  <c r="DZ237" i="17"/>
  <c r="DY237" i="17"/>
  <c r="S237" i="17"/>
  <c r="R237" i="17"/>
  <c r="Q237" i="17"/>
  <c r="X237" i="17" s="1"/>
  <c r="P237" i="17"/>
  <c r="O237" i="17"/>
  <c r="N237" i="17"/>
  <c r="M237" i="17"/>
  <c r="K237" i="17"/>
  <c r="J237" i="17"/>
  <c r="I237" i="17"/>
  <c r="H237" i="17"/>
  <c r="G237" i="17"/>
  <c r="V237" i="17" s="1"/>
  <c r="F237" i="17"/>
  <c r="E237" i="17"/>
  <c r="D237" i="17"/>
  <c r="AP237" i="17" s="1"/>
  <c r="C237" i="17"/>
  <c r="A237" i="17"/>
  <c r="ED236" i="17"/>
  <c r="EC236" i="17"/>
  <c r="EA236" i="17"/>
  <c r="DZ236" i="17"/>
  <c r="DY236" i="17"/>
  <c r="S236" i="17"/>
  <c r="R236" i="17"/>
  <c r="Q236" i="17"/>
  <c r="X236" i="17" s="1"/>
  <c r="P236" i="17"/>
  <c r="O236" i="17"/>
  <c r="N236" i="17"/>
  <c r="M236" i="17"/>
  <c r="K236" i="17"/>
  <c r="J236" i="17"/>
  <c r="I236" i="17"/>
  <c r="H236" i="17"/>
  <c r="G236" i="17"/>
  <c r="V236" i="17" s="1"/>
  <c r="F236" i="17"/>
  <c r="E236" i="17"/>
  <c r="D236" i="17"/>
  <c r="AP236" i="17" s="1"/>
  <c r="C236" i="17"/>
  <c r="A236" i="17"/>
  <c r="ED235" i="17"/>
  <c r="EC235" i="17"/>
  <c r="EA235" i="17"/>
  <c r="DZ235" i="17"/>
  <c r="DY235" i="17"/>
  <c r="S235" i="17"/>
  <c r="R235" i="17"/>
  <c r="Q235" i="17"/>
  <c r="P235" i="17"/>
  <c r="O235" i="17"/>
  <c r="N235" i="17"/>
  <c r="M235" i="17"/>
  <c r="K235" i="17"/>
  <c r="J235" i="17"/>
  <c r="I235" i="17"/>
  <c r="Y235" i="17" s="1"/>
  <c r="H235" i="17"/>
  <c r="G235" i="17"/>
  <c r="V235" i="17" s="1"/>
  <c r="F235" i="17"/>
  <c r="E235" i="17"/>
  <c r="D235" i="17"/>
  <c r="AP235" i="17" s="1"/>
  <c r="C235" i="17"/>
  <c r="A235" i="17"/>
  <c r="ED234" i="17"/>
  <c r="EC234" i="17"/>
  <c r="EA234" i="17"/>
  <c r="DZ234" i="17"/>
  <c r="DY234" i="17"/>
  <c r="S234" i="17"/>
  <c r="R234" i="17"/>
  <c r="Q234" i="17"/>
  <c r="X234" i="17" s="1"/>
  <c r="P234" i="17"/>
  <c r="O234" i="17"/>
  <c r="N234" i="17"/>
  <c r="M234" i="17"/>
  <c r="K234" i="17"/>
  <c r="W234" i="17" s="1"/>
  <c r="J234" i="17"/>
  <c r="I234" i="17"/>
  <c r="H234" i="17"/>
  <c r="G234" i="17"/>
  <c r="V234" i="17" s="1"/>
  <c r="F234" i="17"/>
  <c r="E234" i="17"/>
  <c r="D234" i="17"/>
  <c r="AP234" i="17" s="1"/>
  <c r="C234" i="17"/>
  <c r="A234" i="17"/>
  <c r="ED233" i="17"/>
  <c r="EC233" i="17"/>
  <c r="EA233" i="17"/>
  <c r="DZ233" i="17"/>
  <c r="DY233" i="17"/>
  <c r="S233" i="17"/>
  <c r="R233" i="17"/>
  <c r="Q233" i="17"/>
  <c r="X233" i="17" s="1"/>
  <c r="P233" i="17"/>
  <c r="O233" i="17"/>
  <c r="N233" i="17"/>
  <c r="M233" i="17"/>
  <c r="K233" i="17"/>
  <c r="W233" i="17" s="1"/>
  <c r="J233" i="17"/>
  <c r="I233" i="17"/>
  <c r="H233" i="17"/>
  <c r="G233" i="17"/>
  <c r="V233" i="17" s="1"/>
  <c r="F233" i="17"/>
  <c r="E233" i="17"/>
  <c r="D233" i="17"/>
  <c r="AP233" i="17" s="1"/>
  <c r="C233" i="17"/>
  <c r="A233" i="17"/>
  <c r="ED232" i="17"/>
  <c r="EC232" i="17"/>
  <c r="EA232" i="17"/>
  <c r="DZ232" i="17"/>
  <c r="DY232" i="17"/>
  <c r="S232" i="17"/>
  <c r="R232" i="17"/>
  <c r="Q232" i="17"/>
  <c r="X232" i="17" s="1"/>
  <c r="P232" i="17"/>
  <c r="O232" i="17"/>
  <c r="N232" i="17"/>
  <c r="M232" i="17"/>
  <c r="K232" i="17"/>
  <c r="J232" i="17"/>
  <c r="I232" i="17"/>
  <c r="H232" i="17"/>
  <c r="G232" i="17"/>
  <c r="V232" i="17" s="1"/>
  <c r="F232" i="17"/>
  <c r="E232" i="17"/>
  <c r="D232" i="17"/>
  <c r="AP232" i="17" s="1"/>
  <c r="C232" i="17"/>
  <c r="A232" i="17"/>
  <c r="ED231" i="17"/>
  <c r="EC231" i="17"/>
  <c r="EA231" i="17"/>
  <c r="DZ231" i="17"/>
  <c r="DY231" i="17"/>
  <c r="S231" i="17"/>
  <c r="R231" i="17"/>
  <c r="Q231" i="17"/>
  <c r="X231" i="17" s="1"/>
  <c r="P231" i="17"/>
  <c r="O231" i="17"/>
  <c r="N231" i="17"/>
  <c r="M231" i="17"/>
  <c r="K231" i="17"/>
  <c r="J231" i="17"/>
  <c r="I231" i="17"/>
  <c r="H231" i="17"/>
  <c r="G231" i="17"/>
  <c r="V231" i="17" s="1"/>
  <c r="F231" i="17"/>
  <c r="E231" i="17"/>
  <c r="D231" i="17"/>
  <c r="AP231" i="17" s="1"/>
  <c r="C231" i="17"/>
  <c r="A231" i="17"/>
  <c r="ED230" i="17"/>
  <c r="EC230" i="17"/>
  <c r="EA230" i="17"/>
  <c r="DZ230" i="17"/>
  <c r="DY230" i="17"/>
  <c r="S230" i="17"/>
  <c r="R230" i="17"/>
  <c r="Q230" i="17"/>
  <c r="X230" i="17" s="1"/>
  <c r="P230" i="17"/>
  <c r="O230" i="17"/>
  <c r="N230" i="17"/>
  <c r="M230" i="17"/>
  <c r="K230" i="17"/>
  <c r="J230" i="17"/>
  <c r="I230" i="17"/>
  <c r="H230" i="17"/>
  <c r="G230" i="17"/>
  <c r="V230" i="17" s="1"/>
  <c r="F230" i="17"/>
  <c r="E230" i="17"/>
  <c r="D230" i="17"/>
  <c r="AP230" i="17" s="1"/>
  <c r="C230" i="17"/>
  <c r="A230" i="17"/>
  <c r="ED229" i="17"/>
  <c r="EC229" i="17"/>
  <c r="EA229" i="17"/>
  <c r="DZ229" i="17"/>
  <c r="DY229" i="17"/>
  <c r="S229" i="17"/>
  <c r="R229" i="17"/>
  <c r="Q229" i="17"/>
  <c r="X229" i="17" s="1"/>
  <c r="P229" i="17"/>
  <c r="O229" i="17"/>
  <c r="N229" i="17"/>
  <c r="M229" i="17"/>
  <c r="K229" i="17"/>
  <c r="J229" i="17"/>
  <c r="I229" i="17"/>
  <c r="H229" i="17"/>
  <c r="G229" i="17"/>
  <c r="V229" i="17" s="1"/>
  <c r="F229" i="17"/>
  <c r="E229" i="17"/>
  <c r="D229" i="17"/>
  <c r="AP229" i="17" s="1"/>
  <c r="C229" i="17"/>
  <c r="A229" i="17"/>
  <c r="ED228" i="17"/>
  <c r="EC228" i="17"/>
  <c r="EA228" i="17"/>
  <c r="DZ228" i="17"/>
  <c r="DY228" i="17"/>
  <c r="S228" i="17"/>
  <c r="R228" i="17"/>
  <c r="Q228" i="17"/>
  <c r="X228" i="17" s="1"/>
  <c r="P228" i="17"/>
  <c r="O228" i="17"/>
  <c r="N228" i="17"/>
  <c r="M228" i="17"/>
  <c r="K228" i="17"/>
  <c r="J228" i="17"/>
  <c r="I228" i="17"/>
  <c r="H228" i="17"/>
  <c r="G228" i="17"/>
  <c r="V228" i="17" s="1"/>
  <c r="F228" i="17"/>
  <c r="E228" i="17"/>
  <c r="D228" i="17"/>
  <c r="AP228" i="17" s="1"/>
  <c r="C228" i="17"/>
  <c r="A228" i="17"/>
  <c r="ED227" i="17"/>
  <c r="EC227" i="17"/>
  <c r="EA227" i="17"/>
  <c r="DZ227" i="17"/>
  <c r="DY227" i="17"/>
  <c r="S227" i="17"/>
  <c r="R227" i="17"/>
  <c r="Q227" i="17"/>
  <c r="X227" i="17" s="1"/>
  <c r="P227" i="17"/>
  <c r="O227" i="17"/>
  <c r="N227" i="17"/>
  <c r="M227" i="17"/>
  <c r="K227" i="17"/>
  <c r="W227" i="17" s="1"/>
  <c r="J227" i="17"/>
  <c r="I227" i="17"/>
  <c r="H227" i="17"/>
  <c r="G227" i="17"/>
  <c r="V227" i="17" s="1"/>
  <c r="F227" i="17"/>
  <c r="E227" i="17"/>
  <c r="D227" i="17"/>
  <c r="AP227" i="17" s="1"/>
  <c r="C227" i="17"/>
  <c r="A227" i="17"/>
  <c r="ED226" i="17"/>
  <c r="EC226" i="17"/>
  <c r="EA226" i="17"/>
  <c r="DZ226" i="17"/>
  <c r="DY226" i="17"/>
  <c r="S226" i="17"/>
  <c r="R226" i="17"/>
  <c r="Q226" i="17"/>
  <c r="X226" i="17" s="1"/>
  <c r="P226" i="17"/>
  <c r="O226" i="17"/>
  <c r="N226" i="17"/>
  <c r="M226" i="17"/>
  <c r="K226" i="17"/>
  <c r="W226" i="17" s="1"/>
  <c r="J226" i="17"/>
  <c r="I226" i="17"/>
  <c r="H226" i="17"/>
  <c r="G226" i="17"/>
  <c r="V226" i="17" s="1"/>
  <c r="F226" i="17"/>
  <c r="E226" i="17"/>
  <c r="D226" i="17"/>
  <c r="AP226" i="17" s="1"/>
  <c r="C226" i="17"/>
  <c r="A226" i="17"/>
  <c r="ED225" i="17"/>
  <c r="EC225" i="17"/>
  <c r="EA225" i="17"/>
  <c r="DZ225" i="17"/>
  <c r="DY225" i="17"/>
  <c r="S225" i="17"/>
  <c r="R225" i="17"/>
  <c r="Q225" i="17"/>
  <c r="X225" i="17" s="1"/>
  <c r="P225" i="17"/>
  <c r="O225" i="17"/>
  <c r="N225" i="17"/>
  <c r="M225" i="17"/>
  <c r="K225" i="17"/>
  <c r="W225" i="17" s="1"/>
  <c r="J225" i="17"/>
  <c r="I225" i="17"/>
  <c r="H225" i="17"/>
  <c r="G225" i="17"/>
  <c r="V225" i="17" s="1"/>
  <c r="F225" i="17"/>
  <c r="E225" i="17"/>
  <c r="D225" i="17"/>
  <c r="AP225" i="17" s="1"/>
  <c r="C225" i="17"/>
  <c r="A225" i="17"/>
  <c r="ED224" i="17"/>
  <c r="EC224" i="17"/>
  <c r="EA224" i="17"/>
  <c r="DZ224" i="17"/>
  <c r="DY224" i="17"/>
  <c r="S224" i="17"/>
  <c r="R224" i="17"/>
  <c r="Q224" i="17"/>
  <c r="X224" i="17" s="1"/>
  <c r="P224" i="17"/>
  <c r="O224" i="17"/>
  <c r="N224" i="17"/>
  <c r="M224" i="17"/>
  <c r="K224" i="17"/>
  <c r="W224" i="17" s="1"/>
  <c r="J224" i="17"/>
  <c r="I224" i="17"/>
  <c r="H224" i="17"/>
  <c r="G224" i="17"/>
  <c r="V224" i="17" s="1"/>
  <c r="F224" i="17"/>
  <c r="E224" i="17"/>
  <c r="D224" i="17"/>
  <c r="AP224" i="17" s="1"/>
  <c r="C224" i="17"/>
  <c r="A224" i="17"/>
  <c r="ED223" i="17"/>
  <c r="EC223" i="17"/>
  <c r="EA223" i="17"/>
  <c r="DZ223" i="17"/>
  <c r="DY223" i="17"/>
  <c r="S223" i="17"/>
  <c r="R223" i="17"/>
  <c r="Q223" i="17"/>
  <c r="X223" i="17" s="1"/>
  <c r="P223" i="17"/>
  <c r="O223" i="17"/>
  <c r="N223" i="17"/>
  <c r="M223" i="17"/>
  <c r="K223" i="17"/>
  <c r="J223" i="17"/>
  <c r="I223" i="17"/>
  <c r="H223" i="17"/>
  <c r="G223" i="17"/>
  <c r="V223" i="17" s="1"/>
  <c r="F223" i="17"/>
  <c r="E223" i="17"/>
  <c r="D223" i="17"/>
  <c r="AP223" i="17" s="1"/>
  <c r="C223" i="17"/>
  <c r="A223" i="17"/>
  <c r="ED222" i="17"/>
  <c r="EC222" i="17"/>
  <c r="EA222" i="17"/>
  <c r="DZ222" i="17"/>
  <c r="DY222" i="17"/>
  <c r="S222" i="17"/>
  <c r="R222" i="17"/>
  <c r="Q222" i="17"/>
  <c r="X222" i="17" s="1"/>
  <c r="P222" i="17"/>
  <c r="O222" i="17"/>
  <c r="N222" i="17"/>
  <c r="M222" i="17"/>
  <c r="K222" i="17"/>
  <c r="W222" i="17" s="1"/>
  <c r="J222" i="17"/>
  <c r="I222" i="17"/>
  <c r="H222" i="17"/>
  <c r="G222" i="17"/>
  <c r="V222" i="17" s="1"/>
  <c r="F222" i="17"/>
  <c r="E222" i="17"/>
  <c r="D222" i="17"/>
  <c r="AP222" i="17" s="1"/>
  <c r="C222" i="17"/>
  <c r="A222" i="17"/>
  <c r="ED221" i="17"/>
  <c r="EC221" i="17"/>
  <c r="EA221" i="17"/>
  <c r="DZ221" i="17"/>
  <c r="DY221" i="17"/>
  <c r="S221" i="17"/>
  <c r="R221" i="17"/>
  <c r="Q221" i="17"/>
  <c r="X221" i="17" s="1"/>
  <c r="P221" i="17"/>
  <c r="O221" i="17"/>
  <c r="N221" i="17"/>
  <c r="M221" i="17"/>
  <c r="K221" i="17"/>
  <c r="J221" i="17"/>
  <c r="I221" i="17"/>
  <c r="H221" i="17"/>
  <c r="G221" i="17"/>
  <c r="V221" i="17" s="1"/>
  <c r="F221" i="17"/>
  <c r="E221" i="17"/>
  <c r="D221" i="17"/>
  <c r="AP221" i="17" s="1"/>
  <c r="C221" i="17"/>
  <c r="A221" i="17"/>
  <c r="ED220" i="17"/>
  <c r="EC220" i="17"/>
  <c r="EA220" i="17"/>
  <c r="DZ220" i="17"/>
  <c r="DY220" i="17"/>
  <c r="S220" i="17"/>
  <c r="R220" i="17"/>
  <c r="Q220" i="17"/>
  <c r="X220" i="17" s="1"/>
  <c r="P220" i="17"/>
  <c r="O220" i="17"/>
  <c r="N220" i="17"/>
  <c r="M220" i="17"/>
  <c r="K220" i="17"/>
  <c r="J220" i="17"/>
  <c r="I220" i="17"/>
  <c r="H220" i="17"/>
  <c r="G220" i="17"/>
  <c r="V220" i="17" s="1"/>
  <c r="F220" i="17"/>
  <c r="E220" i="17"/>
  <c r="D220" i="17"/>
  <c r="AP220" i="17" s="1"/>
  <c r="C220" i="17"/>
  <c r="A220" i="17"/>
  <c r="ED219" i="17"/>
  <c r="EC219" i="17"/>
  <c r="EA219" i="17"/>
  <c r="DZ219" i="17"/>
  <c r="DY219" i="17"/>
  <c r="S219" i="17"/>
  <c r="R219" i="17"/>
  <c r="Q219" i="17"/>
  <c r="X219" i="17" s="1"/>
  <c r="P219" i="17"/>
  <c r="O219" i="17"/>
  <c r="N219" i="17"/>
  <c r="M219" i="17"/>
  <c r="K219" i="17"/>
  <c r="J219" i="17"/>
  <c r="I219" i="17"/>
  <c r="H219" i="17"/>
  <c r="G219" i="17"/>
  <c r="V219" i="17" s="1"/>
  <c r="F219" i="17"/>
  <c r="E219" i="17"/>
  <c r="D219" i="17"/>
  <c r="AP219" i="17" s="1"/>
  <c r="C219" i="17"/>
  <c r="A219" i="17"/>
  <c r="ED218" i="17"/>
  <c r="EC218" i="17"/>
  <c r="EA218" i="17"/>
  <c r="DZ218" i="17"/>
  <c r="DY218" i="17"/>
  <c r="S218" i="17"/>
  <c r="R218" i="17"/>
  <c r="Q218" i="17"/>
  <c r="X218" i="17" s="1"/>
  <c r="P218" i="17"/>
  <c r="O218" i="17"/>
  <c r="N218" i="17"/>
  <c r="M218" i="17"/>
  <c r="K218" i="17"/>
  <c r="W218" i="17" s="1"/>
  <c r="J218" i="17"/>
  <c r="I218" i="17"/>
  <c r="H218" i="17"/>
  <c r="G218" i="17"/>
  <c r="V218" i="17" s="1"/>
  <c r="F218" i="17"/>
  <c r="E218" i="17"/>
  <c r="D218" i="17"/>
  <c r="C218" i="17"/>
  <c r="T218" i="17" s="1"/>
  <c r="A218" i="17"/>
  <c r="ED217" i="17"/>
  <c r="EC217" i="17"/>
  <c r="EA217" i="17"/>
  <c r="DZ217" i="17"/>
  <c r="DY217" i="17"/>
  <c r="S217" i="17"/>
  <c r="R217" i="17"/>
  <c r="Q217" i="17"/>
  <c r="X217" i="17" s="1"/>
  <c r="P217" i="17"/>
  <c r="O217" i="17"/>
  <c r="N217" i="17"/>
  <c r="M217" i="17"/>
  <c r="K217" i="17"/>
  <c r="J217" i="17"/>
  <c r="I217" i="17"/>
  <c r="H217" i="17"/>
  <c r="G217" i="17"/>
  <c r="V217" i="17" s="1"/>
  <c r="F217" i="17"/>
  <c r="E217" i="17"/>
  <c r="D217" i="17"/>
  <c r="AP217" i="17" s="1"/>
  <c r="C217" i="17"/>
  <c r="T217" i="17" s="1"/>
  <c r="A217" i="17"/>
  <c r="ED216" i="17"/>
  <c r="EC216" i="17"/>
  <c r="EA216" i="17"/>
  <c r="DZ216" i="17"/>
  <c r="DY216" i="17"/>
  <c r="S216" i="17"/>
  <c r="R216" i="17"/>
  <c r="Q216" i="17"/>
  <c r="X216" i="17" s="1"/>
  <c r="P216" i="17"/>
  <c r="O216" i="17"/>
  <c r="N216" i="17"/>
  <c r="M216" i="17"/>
  <c r="K216" i="17"/>
  <c r="W216" i="17" s="1"/>
  <c r="J216" i="17"/>
  <c r="I216" i="17"/>
  <c r="H216" i="17"/>
  <c r="G216" i="17"/>
  <c r="V216" i="17" s="1"/>
  <c r="F216" i="17"/>
  <c r="E216" i="17"/>
  <c r="D216" i="17"/>
  <c r="AP216" i="17" s="1"/>
  <c r="C216" i="17"/>
  <c r="A216" i="17"/>
  <c r="ED215" i="17"/>
  <c r="EC215" i="17"/>
  <c r="EA215" i="17"/>
  <c r="DZ215" i="17"/>
  <c r="DY215" i="17"/>
  <c r="S215" i="17"/>
  <c r="R215" i="17"/>
  <c r="Q215" i="17"/>
  <c r="X215" i="17" s="1"/>
  <c r="P215" i="17"/>
  <c r="O215" i="17"/>
  <c r="N215" i="17"/>
  <c r="M215" i="17"/>
  <c r="K215" i="17"/>
  <c r="W215" i="17" s="1"/>
  <c r="J215" i="17"/>
  <c r="I215" i="17"/>
  <c r="H215" i="17"/>
  <c r="G215" i="17"/>
  <c r="V215" i="17" s="1"/>
  <c r="F215" i="17"/>
  <c r="E215" i="17"/>
  <c r="D215" i="17"/>
  <c r="AP215" i="17" s="1"/>
  <c r="C215" i="17"/>
  <c r="A215" i="17"/>
  <c r="ED214" i="17"/>
  <c r="EC214" i="17"/>
  <c r="EA214" i="17"/>
  <c r="DZ214" i="17"/>
  <c r="DY214" i="17"/>
  <c r="S214" i="17"/>
  <c r="R214" i="17"/>
  <c r="Q214" i="17"/>
  <c r="X214" i="17" s="1"/>
  <c r="P214" i="17"/>
  <c r="O214" i="17"/>
  <c r="N214" i="17"/>
  <c r="M214" i="17"/>
  <c r="K214" i="17"/>
  <c r="W214" i="17" s="1"/>
  <c r="J214" i="17"/>
  <c r="I214" i="17"/>
  <c r="H214" i="17"/>
  <c r="G214" i="17"/>
  <c r="V214" i="17" s="1"/>
  <c r="F214" i="17"/>
  <c r="E214" i="17"/>
  <c r="D214" i="17"/>
  <c r="AP214" i="17" s="1"/>
  <c r="C214" i="17"/>
  <c r="A214" i="17"/>
  <c r="ED213" i="17"/>
  <c r="EC213" i="17"/>
  <c r="EA213" i="17"/>
  <c r="DZ213" i="17"/>
  <c r="DY213" i="17"/>
  <c r="S213" i="17"/>
  <c r="R213" i="17"/>
  <c r="Q213" i="17"/>
  <c r="X213" i="17" s="1"/>
  <c r="P213" i="17"/>
  <c r="O213" i="17"/>
  <c r="N213" i="17"/>
  <c r="M213" i="17"/>
  <c r="K213" i="17"/>
  <c r="J213" i="17"/>
  <c r="I213" i="17"/>
  <c r="H213" i="17"/>
  <c r="G213" i="17"/>
  <c r="V213" i="17" s="1"/>
  <c r="F213" i="17"/>
  <c r="E213" i="17"/>
  <c r="D213" i="17"/>
  <c r="AP213" i="17" s="1"/>
  <c r="C213" i="17"/>
  <c r="A213" i="17"/>
  <c r="ED212" i="17"/>
  <c r="EC212" i="17"/>
  <c r="EA212" i="17"/>
  <c r="DZ212" i="17"/>
  <c r="DY212" i="17"/>
  <c r="S212" i="17"/>
  <c r="R212" i="17"/>
  <c r="Q212" i="17"/>
  <c r="X212" i="17" s="1"/>
  <c r="P212" i="17"/>
  <c r="O212" i="17"/>
  <c r="N212" i="17"/>
  <c r="M212" i="17"/>
  <c r="K212" i="17"/>
  <c r="W212" i="17" s="1"/>
  <c r="J212" i="17"/>
  <c r="I212" i="17"/>
  <c r="H212" i="17"/>
  <c r="G212" i="17"/>
  <c r="V212" i="17" s="1"/>
  <c r="F212" i="17"/>
  <c r="E212" i="17"/>
  <c r="D212" i="17"/>
  <c r="AP212" i="17" s="1"/>
  <c r="C212" i="17"/>
  <c r="A212" i="17"/>
  <c r="ED211" i="17"/>
  <c r="EC211" i="17"/>
  <c r="EA211" i="17"/>
  <c r="DZ211" i="17"/>
  <c r="DY211" i="17"/>
  <c r="S211" i="17"/>
  <c r="R211" i="17"/>
  <c r="Q211" i="17"/>
  <c r="X211" i="17" s="1"/>
  <c r="P211" i="17"/>
  <c r="O211" i="17"/>
  <c r="N211" i="17"/>
  <c r="M211" i="17"/>
  <c r="K211" i="17"/>
  <c r="J211" i="17"/>
  <c r="I211" i="17"/>
  <c r="H211" i="17"/>
  <c r="G211" i="17"/>
  <c r="V211" i="17" s="1"/>
  <c r="F211" i="17"/>
  <c r="E211" i="17"/>
  <c r="D211" i="17"/>
  <c r="AP211" i="17" s="1"/>
  <c r="C211" i="17"/>
  <c r="A211" i="17"/>
  <c r="ED210" i="17"/>
  <c r="EC210" i="17"/>
  <c r="EA210" i="17"/>
  <c r="DZ210" i="17"/>
  <c r="DY210" i="17"/>
  <c r="S210" i="17"/>
  <c r="R210" i="17"/>
  <c r="Q210" i="17"/>
  <c r="X210" i="17" s="1"/>
  <c r="P210" i="17"/>
  <c r="O210" i="17"/>
  <c r="N210" i="17"/>
  <c r="M210" i="17"/>
  <c r="K210" i="17"/>
  <c r="W210" i="17" s="1"/>
  <c r="J210" i="17"/>
  <c r="I210" i="17"/>
  <c r="H210" i="17"/>
  <c r="G210" i="17"/>
  <c r="V210" i="17" s="1"/>
  <c r="F210" i="17"/>
  <c r="E210" i="17"/>
  <c r="D210" i="17"/>
  <c r="AP210" i="17" s="1"/>
  <c r="C210" i="17"/>
  <c r="A210" i="17"/>
  <c r="ED209" i="17"/>
  <c r="EC209" i="17"/>
  <c r="EA209" i="17"/>
  <c r="DZ209" i="17"/>
  <c r="DY209" i="17"/>
  <c r="S209" i="17"/>
  <c r="R209" i="17"/>
  <c r="Q209" i="17"/>
  <c r="X209" i="17" s="1"/>
  <c r="P209" i="17"/>
  <c r="O209" i="17"/>
  <c r="N209" i="17"/>
  <c r="M209" i="17"/>
  <c r="K209" i="17"/>
  <c r="W209" i="17" s="1"/>
  <c r="J209" i="17"/>
  <c r="I209" i="17"/>
  <c r="H209" i="17"/>
  <c r="G209" i="17"/>
  <c r="V209" i="17" s="1"/>
  <c r="F209" i="17"/>
  <c r="E209" i="17"/>
  <c r="D209" i="17"/>
  <c r="AP209" i="17" s="1"/>
  <c r="C209" i="17"/>
  <c r="A209" i="17"/>
  <c r="ED208" i="17"/>
  <c r="EC208" i="17"/>
  <c r="EA208" i="17"/>
  <c r="DZ208" i="17"/>
  <c r="DY208" i="17"/>
  <c r="S208" i="17"/>
  <c r="R208" i="17"/>
  <c r="Q208" i="17"/>
  <c r="X208" i="17" s="1"/>
  <c r="P208" i="17"/>
  <c r="O208" i="17"/>
  <c r="N208" i="17"/>
  <c r="M208" i="17"/>
  <c r="K208" i="17"/>
  <c r="W208" i="17" s="1"/>
  <c r="J208" i="17"/>
  <c r="I208" i="17"/>
  <c r="H208" i="17"/>
  <c r="G208" i="17"/>
  <c r="V208" i="17" s="1"/>
  <c r="F208" i="17"/>
  <c r="E208" i="17"/>
  <c r="D208" i="17"/>
  <c r="AP208" i="17" s="1"/>
  <c r="C208" i="17"/>
  <c r="T208" i="17" s="1"/>
  <c r="A208" i="17"/>
  <c r="ED207" i="17"/>
  <c r="EC207" i="17"/>
  <c r="EA207" i="17"/>
  <c r="DZ207" i="17"/>
  <c r="DY207" i="17"/>
  <c r="S207" i="17"/>
  <c r="R207" i="17"/>
  <c r="Q207" i="17"/>
  <c r="X207" i="17" s="1"/>
  <c r="P207" i="17"/>
  <c r="O207" i="17"/>
  <c r="N207" i="17"/>
  <c r="M207" i="17"/>
  <c r="K207" i="17"/>
  <c r="J207" i="17"/>
  <c r="I207" i="17"/>
  <c r="H207" i="17"/>
  <c r="G207" i="17"/>
  <c r="V207" i="17" s="1"/>
  <c r="F207" i="17"/>
  <c r="E207" i="17"/>
  <c r="D207" i="17"/>
  <c r="AP207" i="17" s="1"/>
  <c r="C207" i="17"/>
  <c r="A207" i="17"/>
  <c r="ED206" i="17"/>
  <c r="EC206" i="17"/>
  <c r="EA206" i="17"/>
  <c r="DZ206" i="17"/>
  <c r="DY206" i="17"/>
  <c r="S206" i="17"/>
  <c r="R206" i="17"/>
  <c r="Q206" i="17"/>
  <c r="X206" i="17" s="1"/>
  <c r="P206" i="17"/>
  <c r="O206" i="17"/>
  <c r="N206" i="17"/>
  <c r="M206" i="17"/>
  <c r="K206" i="17"/>
  <c r="W206" i="17" s="1"/>
  <c r="J206" i="17"/>
  <c r="I206" i="17"/>
  <c r="H206" i="17"/>
  <c r="G206" i="17"/>
  <c r="V206" i="17" s="1"/>
  <c r="F206" i="17"/>
  <c r="E206" i="17"/>
  <c r="D206" i="17"/>
  <c r="AP206" i="17" s="1"/>
  <c r="C206" i="17"/>
  <c r="T206" i="17" s="1"/>
  <c r="A206" i="17"/>
  <c r="ED205" i="17"/>
  <c r="EC205" i="17"/>
  <c r="EA205" i="17"/>
  <c r="DZ205" i="17"/>
  <c r="DY205" i="17"/>
  <c r="S205" i="17"/>
  <c r="R205" i="17"/>
  <c r="Q205" i="17"/>
  <c r="X205" i="17" s="1"/>
  <c r="P205" i="17"/>
  <c r="O205" i="17"/>
  <c r="N205" i="17"/>
  <c r="M205" i="17"/>
  <c r="K205" i="17"/>
  <c r="W205" i="17" s="1"/>
  <c r="J205" i="17"/>
  <c r="I205" i="17"/>
  <c r="H205" i="17"/>
  <c r="G205" i="17"/>
  <c r="V205" i="17" s="1"/>
  <c r="F205" i="17"/>
  <c r="E205" i="17"/>
  <c r="D205" i="17"/>
  <c r="AP205" i="17" s="1"/>
  <c r="C205" i="17"/>
  <c r="A205" i="17"/>
  <c r="ED204" i="17"/>
  <c r="EC204" i="17"/>
  <c r="EA204" i="17"/>
  <c r="DZ204" i="17"/>
  <c r="DY204" i="17"/>
  <c r="S204" i="17"/>
  <c r="R204" i="17"/>
  <c r="Q204" i="17"/>
  <c r="X204" i="17" s="1"/>
  <c r="P204" i="17"/>
  <c r="O204" i="17"/>
  <c r="N204" i="17"/>
  <c r="M204" i="17"/>
  <c r="K204" i="17"/>
  <c r="J204" i="17"/>
  <c r="I204" i="17"/>
  <c r="H204" i="17"/>
  <c r="G204" i="17"/>
  <c r="V204" i="17" s="1"/>
  <c r="F204" i="17"/>
  <c r="E204" i="17"/>
  <c r="D204" i="17"/>
  <c r="AP204" i="17" s="1"/>
  <c r="C204" i="17"/>
  <c r="A204" i="17"/>
  <c r="ED203" i="17"/>
  <c r="EC203" i="17"/>
  <c r="EA203" i="17"/>
  <c r="DZ203" i="17"/>
  <c r="DY203" i="17"/>
  <c r="S203" i="17"/>
  <c r="R203" i="17"/>
  <c r="Q203" i="17"/>
  <c r="X203" i="17" s="1"/>
  <c r="P203" i="17"/>
  <c r="O203" i="17"/>
  <c r="N203" i="17"/>
  <c r="M203" i="17"/>
  <c r="K203" i="17"/>
  <c r="J203" i="17"/>
  <c r="I203" i="17"/>
  <c r="H203" i="17"/>
  <c r="G203" i="17"/>
  <c r="V203" i="17" s="1"/>
  <c r="F203" i="17"/>
  <c r="E203" i="17"/>
  <c r="D203" i="17"/>
  <c r="AP203" i="17" s="1"/>
  <c r="C203" i="17"/>
  <c r="A203" i="17"/>
  <c r="ED202" i="17"/>
  <c r="EC202" i="17"/>
  <c r="EA202" i="17"/>
  <c r="DZ202" i="17"/>
  <c r="DY202" i="17"/>
  <c r="S202" i="17"/>
  <c r="R202" i="17"/>
  <c r="Q202" i="17"/>
  <c r="X202" i="17" s="1"/>
  <c r="P202" i="17"/>
  <c r="O202" i="17"/>
  <c r="N202" i="17"/>
  <c r="M202" i="17"/>
  <c r="K202" i="17"/>
  <c r="W202" i="17" s="1"/>
  <c r="J202" i="17"/>
  <c r="I202" i="17"/>
  <c r="H202" i="17"/>
  <c r="G202" i="17"/>
  <c r="V202" i="17" s="1"/>
  <c r="F202" i="17"/>
  <c r="E202" i="17"/>
  <c r="D202" i="17"/>
  <c r="AP202" i="17" s="1"/>
  <c r="C202" i="17"/>
  <c r="A202" i="17"/>
  <c r="ED201" i="17"/>
  <c r="EC201" i="17"/>
  <c r="EA201" i="17"/>
  <c r="DZ201" i="17"/>
  <c r="DY201" i="17"/>
  <c r="S201" i="17"/>
  <c r="R201" i="17"/>
  <c r="Q201" i="17"/>
  <c r="X201" i="17" s="1"/>
  <c r="P201" i="17"/>
  <c r="O201" i="17"/>
  <c r="N201" i="17"/>
  <c r="M201" i="17"/>
  <c r="K201" i="17"/>
  <c r="J201" i="17"/>
  <c r="I201" i="17"/>
  <c r="H201" i="17"/>
  <c r="G201" i="17"/>
  <c r="V201" i="17" s="1"/>
  <c r="F201" i="17"/>
  <c r="E201" i="17"/>
  <c r="D201" i="17"/>
  <c r="AP201" i="17" s="1"/>
  <c r="C201" i="17"/>
  <c r="A201" i="17"/>
  <c r="ED200" i="17"/>
  <c r="EC200" i="17"/>
  <c r="EA200" i="17"/>
  <c r="DZ200" i="17"/>
  <c r="DY200" i="17"/>
  <c r="S200" i="17"/>
  <c r="R200" i="17"/>
  <c r="Q200" i="17"/>
  <c r="X200" i="17" s="1"/>
  <c r="P200" i="17"/>
  <c r="O200" i="17"/>
  <c r="N200" i="17"/>
  <c r="M200" i="17"/>
  <c r="K200" i="17"/>
  <c r="J200" i="17"/>
  <c r="I200" i="17"/>
  <c r="H200" i="17"/>
  <c r="G200" i="17"/>
  <c r="V200" i="17" s="1"/>
  <c r="F200" i="17"/>
  <c r="E200" i="17"/>
  <c r="D200" i="17"/>
  <c r="AP200" i="17" s="1"/>
  <c r="C200" i="17"/>
  <c r="A200" i="17"/>
  <c r="ED199" i="17"/>
  <c r="EC199" i="17"/>
  <c r="EA199" i="17"/>
  <c r="DZ199" i="17"/>
  <c r="DY199" i="17"/>
  <c r="S199" i="17"/>
  <c r="R199" i="17"/>
  <c r="Q199" i="17"/>
  <c r="X199" i="17" s="1"/>
  <c r="P199" i="17"/>
  <c r="O199" i="17"/>
  <c r="N199" i="17"/>
  <c r="M199" i="17"/>
  <c r="K199" i="17"/>
  <c r="W199" i="17" s="1"/>
  <c r="J199" i="17"/>
  <c r="I199" i="17"/>
  <c r="H199" i="17"/>
  <c r="G199" i="17"/>
  <c r="V199" i="17" s="1"/>
  <c r="F199" i="17"/>
  <c r="E199" i="17"/>
  <c r="D199" i="17"/>
  <c r="AP199" i="17" s="1"/>
  <c r="C199" i="17"/>
  <c r="A199" i="17"/>
  <c r="ED198" i="17"/>
  <c r="EC198" i="17"/>
  <c r="EA198" i="17"/>
  <c r="DZ198" i="17"/>
  <c r="DY198" i="17"/>
  <c r="S198" i="17"/>
  <c r="R198" i="17"/>
  <c r="Q198" i="17"/>
  <c r="X198" i="17" s="1"/>
  <c r="P198" i="17"/>
  <c r="O198" i="17"/>
  <c r="N198" i="17"/>
  <c r="M198" i="17"/>
  <c r="K198" i="17"/>
  <c r="J198" i="17"/>
  <c r="I198" i="17"/>
  <c r="H198" i="17"/>
  <c r="G198" i="17"/>
  <c r="V198" i="17" s="1"/>
  <c r="F198" i="17"/>
  <c r="E198" i="17"/>
  <c r="D198" i="17"/>
  <c r="AP198" i="17" s="1"/>
  <c r="C198" i="17"/>
  <c r="A198" i="17"/>
  <c r="ED197" i="17"/>
  <c r="EC197" i="17"/>
  <c r="EA197" i="17"/>
  <c r="DZ197" i="17"/>
  <c r="DY197" i="17"/>
  <c r="S197" i="17"/>
  <c r="R197" i="17"/>
  <c r="Q197" i="17"/>
  <c r="X197" i="17" s="1"/>
  <c r="P197" i="17"/>
  <c r="O197" i="17"/>
  <c r="N197" i="17"/>
  <c r="M197" i="17"/>
  <c r="K197" i="17"/>
  <c r="W197" i="17" s="1"/>
  <c r="J197" i="17"/>
  <c r="I197" i="17"/>
  <c r="H197" i="17"/>
  <c r="G197" i="17"/>
  <c r="V197" i="17" s="1"/>
  <c r="F197" i="17"/>
  <c r="E197" i="17"/>
  <c r="D197" i="17"/>
  <c r="AP197" i="17" s="1"/>
  <c r="C197" i="17"/>
  <c r="A197" i="17"/>
  <c r="ED196" i="17"/>
  <c r="EC196" i="17"/>
  <c r="EA196" i="17"/>
  <c r="DZ196" i="17"/>
  <c r="DY196" i="17"/>
  <c r="S196" i="17"/>
  <c r="R196" i="17"/>
  <c r="Q196" i="17"/>
  <c r="X196" i="17" s="1"/>
  <c r="P196" i="17"/>
  <c r="O196" i="17"/>
  <c r="N196" i="17"/>
  <c r="M196" i="17"/>
  <c r="K196" i="17"/>
  <c r="J196" i="17"/>
  <c r="I196" i="17"/>
  <c r="H196" i="17"/>
  <c r="G196" i="17"/>
  <c r="V196" i="17" s="1"/>
  <c r="F196" i="17"/>
  <c r="E196" i="17"/>
  <c r="D196" i="17"/>
  <c r="AP196" i="17" s="1"/>
  <c r="C196" i="17"/>
  <c r="A196" i="17"/>
  <c r="ED195" i="17"/>
  <c r="EC195" i="17"/>
  <c r="EA195" i="17"/>
  <c r="DZ195" i="17"/>
  <c r="DY195" i="17"/>
  <c r="S195" i="17"/>
  <c r="R195" i="17"/>
  <c r="Q195" i="17"/>
  <c r="X195" i="17" s="1"/>
  <c r="P195" i="17"/>
  <c r="O195" i="17"/>
  <c r="N195" i="17"/>
  <c r="M195" i="17"/>
  <c r="K195" i="17"/>
  <c r="W195" i="17" s="1"/>
  <c r="J195" i="17"/>
  <c r="I195" i="17"/>
  <c r="H195" i="17"/>
  <c r="G195" i="17"/>
  <c r="V195" i="17" s="1"/>
  <c r="F195" i="17"/>
  <c r="E195" i="17"/>
  <c r="D195" i="17"/>
  <c r="AP195" i="17" s="1"/>
  <c r="C195" i="17"/>
  <c r="A195" i="17"/>
  <c r="ED194" i="17"/>
  <c r="EC194" i="17"/>
  <c r="EA194" i="17"/>
  <c r="DZ194" i="17"/>
  <c r="DY194" i="17"/>
  <c r="S194" i="17"/>
  <c r="R194" i="17"/>
  <c r="Q194" i="17"/>
  <c r="X194" i="17" s="1"/>
  <c r="P194" i="17"/>
  <c r="O194" i="17"/>
  <c r="N194" i="17"/>
  <c r="M194" i="17"/>
  <c r="K194" i="17"/>
  <c r="J194" i="17"/>
  <c r="I194" i="17"/>
  <c r="H194" i="17"/>
  <c r="G194" i="17"/>
  <c r="V194" i="17" s="1"/>
  <c r="F194" i="17"/>
  <c r="E194" i="17"/>
  <c r="D194" i="17"/>
  <c r="AP194" i="17" s="1"/>
  <c r="C194" i="17"/>
  <c r="A194" i="17"/>
  <c r="ED193" i="17"/>
  <c r="EC193" i="17"/>
  <c r="EA193" i="17"/>
  <c r="DZ193" i="17"/>
  <c r="DY193" i="17"/>
  <c r="S193" i="17"/>
  <c r="R193" i="17"/>
  <c r="Q193" i="17"/>
  <c r="X193" i="17" s="1"/>
  <c r="P193" i="17"/>
  <c r="O193" i="17"/>
  <c r="N193" i="17"/>
  <c r="M193" i="17"/>
  <c r="K193" i="17"/>
  <c r="W193" i="17" s="1"/>
  <c r="J193" i="17"/>
  <c r="I193" i="17"/>
  <c r="H193" i="17"/>
  <c r="G193" i="17"/>
  <c r="V193" i="17" s="1"/>
  <c r="F193" i="17"/>
  <c r="E193" i="17"/>
  <c r="D193" i="17"/>
  <c r="AP193" i="17" s="1"/>
  <c r="C193" i="17"/>
  <c r="A193" i="17"/>
  <c r="ED192" i="17"/>
  <c r="EC192" i="17"/>
  <c r="EA192" i="17"/>
  <c r="DZ192" i="17"/>
  <c r="DY192" i="17"/>
  <c r="S192" i="17"/>
  <c r="R192" i="17"/>
  <c r="Q192" i="17"/>
  <c r="X192" i="17" s="1"/>
  <c r="P192" i="17"/>
  <c r="O192" i="17"/>
  <c r="N192" i="17"/>
  <c r="M192" i="17"/>
  <c r="K192" i="17"/>
  <c r="W192" i="17" s="1"/>
  <c r="J192" i="17"/>
  <c r="I192" i="17"/>
  <c r="H192" i="17"/>
  <c r="G192" i="17"/>
  <c r="V192" i="17" s="1"/>
  <c r="F192" i="17"/>
  <c r="E192" i="17"/>
  <c r="D192" i="17"/>
  <c r="C192" i="17"/>
  <c r="A192" i="17"/>
  <c r="ED191" i="17"/>
  <c r="EC191" i="17"/>
  <c r="EA191" i="17"/>
  <c r="DZ191" i="17"/>
  <c r="DY191" i="17"/>
  <c r="S191" i="17"/>
  <c r="R191" i="17"/>
  <c r="Q191" i="17"/>
  <c r="X191" i="17" s="1"/>
  <c r="P191" i="17"/>
  <c r="O191" i="17"/>
  <c r="N191" i="17"/>
  <c r="M191" i="17"/>
  <c r="K191" i="17"/>
  <c r="J191" i="17"/>
  <c r="I191" i="17"/>
  <c r="H191" i="17"/>
  <c r="G191" i="17"/>
  <c r="V191" i="17" s="1"/>
  <c r="F191" i="17"/>
  <c r="E191" i="17"/>
  <c r="D191" i="17"/>
  <c r="AP191" i="17" s="1"/>
  <c r="C191" i="17"/>
  <c r="A191" i="17"/>
  <c r="ED190" i="17"/>
  <c r="EC190" i="17"/>
  <c r="EA190" i="17"/>
  <c r="DZ190" i="17"/>
  <c r="DY190" i="17"/>
  <c r="S190" i="17"/>
  <c r="R190" i="17"/>
  <c r="Q190" i="17"/>
  <c r="X190" i="17" s="1"/>
  <c r="P190" i="17"/>
  <c r="O190" i="17"/>
  <c r="N190" i="17"/>
  <c r="M190" i="17"/>
  <c r="K190" i="17"/>
  <c r="W190" i="17" s="1"/>
  <c r="J190" i="17"/>
  <c r="I190" i="17"/>
  <c r="H190" i="17"/>
  <c r="G190" i="17"/>
  <c r="V190" i="17" s="1"/>
  <c r="F190" i="17"/>
  <c r="E190" i="17"/>
  <c r="D190" i="17"/>
  <c r="AP190" i="17" s="1"/>
  <c r="C190" i="17"/>
  <c r="A190" i="17"/>
  <c r="ED189" i="17"/>
  <c r="EC189" i="17"/>
  <c r="EA189" i="17"/>
  <c r="DZ189" i="17"/>
  <c r="DY189" i="17"/>
  <c r="S189" i="17"/>
  <c r="R189" i="17"/>
  <c r="Q189" i="17"/>
  <c r="X189" i="17" s="1"/>
  <c r="P189" i="17"/>
  <c r="O189" i="17"/>
  <c r="N189" i="17"/>
  <c r="M189" i="17"/>
  <c r="K189" i="17"/>
  <c r="W189" i="17" s="1"/>
  <c r="J189" i="17"/>
  <c r="I189" i="17"/>
  <c r="H189" i="17"/>
  <c r="G189" i="17"/>
  <c r="V189" i="17" s="1"/>
  <c r="F189" i="17"/>
  <c r="E189" i="17"/>
  <c r="D189" i="17"/>
  <c r="AP189" i="17" s="1"/>
  <c r="C189" i="17"/>
  <c r="A189" i="17"/>
  <c r="ED188" i="17"/>
  <c r="EC188" i="17"/>
  <c r="EA188" i="17"/>
  <c r="DZ188" i="17"/>
  <c r="DY188" i="17"/>
  <c r="S188" i="17"/>
  <c r="R188" i="17"/>
  <c r="Q188" i="17"/>
  <c r="X188" i="17" s="1"/>
  <c r="P188" i="17"/>
  <c r="O188" i="17"/>
  <c r="N188" i="17"/>
  <c r="M188" i="17"/>
  <c r="K188" i="17"/>
  <c r="J188" i="17"/>
  <c r="I188" i="17"/>
  <c r="H188" i="17"/>
  <c r="G188" i="17"/>
  <c r="V188" i="17" s="1"/>
  <c r="F188" i="17"/>
  <c r="E188" i="17"/>
  <c r="D188" i="17"/>
  <c r="AP188" i="17" s="1"/>
  <c r="C188" i="17"/>
  <c r="A188" i="17"/>
  <c r="ED187" i="17"/>
  <c r="EC187" i="17"/>
  <c r="EA187" i="17"/>
  <c r="DZ187" i="17"/>
  <c r="DY187" i="17"/>
  <c r="S187" i="17"/>
  <c r="R187" i="17"/>
  <c r="Q187" i="17"/>
  <c r="X187" i="17" s="1"/>
  <c r="P187" i="17"/>
  <c r="O187" i="17"/>
  <c r="N187" i="17"/>
  <c r="M187" i="17"/>
  <c r="K187" i="17"/>
  <c r="J187" i="17"/>
  <c r="I187" i="17"/>
  <c r="H187" i="17"/>
  <c r="G187" i="17"/>
  <c r="V187" i="17" s="1"/>
  <c r="F187" i="17"/>
  <c r="E187" i="17"/>
  <c r="D187" i="17"/>
  <c r="AP187" i="17" s="1"/>
  <c r="C187" i="17"/>
  <c r="A187" i="17"/>
  <c r="ED186" i="17"/>
  <c r="EC186" i="17"/>
  <c r="EA186" i="17"/>
  <c r="DZ186" i="17"/>
  <c r="DY186" i="17"/>
  <c r="S186" i="17"/>
  <c r="R186" i="17"/>
  <c r="Q186" i="17"/>
  <c r="X186" i="17" s="1"/>
  <c r="P186" i="17"/>
  <c r="O186" i="17"/>
  <c r="N186" i="17"/>
  <c r="M186" i="17"/>
  <c r="K186" i="17"/>
  <c r="J186" i="17"/>
  <c r="I186" i="17"/>
  <c r="H186" i="17"/>
  <c r="G186" i="17"/>
  <c r="V186" i="17" s="1"/>
  <c r="F186" i="17"/>
  <c r="E186" i="17"/>
  <c r="D186" i="17"/>
  <c r="AP186" i="17" s="1"/>
  <c r="C186" i="17"/>
  <c r="A186" i="17"/>
  <c r="ED185" i="17"/>
  <c r="EC185" i="17"/>
  <c r="EA185" i="17"/>
  <c r="DZ185" i="17"/>
  <c r="DY185" i="17"/>
  <c r="S185" i="17"/>
  <c r="R185" i="17"/>
  <c r="Q185" i="17"/>
  <c r="X185" i="17" s="1"/>
  <c r="P185" i="17"/>
  <c r="O185" i="17"/>
  <c r="N185" i="17"/>
  <c r="M185" i="17"/>
  <c r="K185" i="17"/>
  <c r="W185" i="17" s="1"/>
  <c r="J185" i="17"/>
  <c r="I185" i="17"/>
  <c r="H185" i="17"/>
  <c r="G185" i="17"/>
  <c r="V185" i="17" s="1"/>
  <c r="F185" i="17"/>
  <c r="E185" i="17"/>
  <c r="D185" i="17"/>
  <c r="AP185" i="17" s="1"/>
  <c r="C185" i="17"/>
  <c r="A185" i="17"/>
  <c r="ED184" i="17"/>
  <c r="EC184" i="17"/>
  <c r="EA184" i="17"/>
  <c r="DZ184" i="17"/>
  <c r="DY184" i="17"/>
  <c r="S184" i="17"/>
  <c r="R184" i="17"/>
  <c r="Q184" i="17"/>
  <c r="X184" i="17" s="1"/>
  <c r="P184" i="17"/>
  <c r="O184" i="17"/>
  <c r="N184" i="17"/>
  <c r="M184" i="17"/>
  <c r="K184" i="17"/>
  <c r="J184" i="17"/>
  <c r="I184" i="17"/>
  <c r="H184" i="17"/>
  <c r="G184" i="17"/>
  <c r="V184" i="17" s="1"/>
  <c r="F184" i="17"/>
  <c r="E184" i="17"/>
  <c r="D184" i="17"/>
  <c r="AP184" i="17" s="1"/>
  <c r="C184" i="17"/>
  <c r="A184" i="17"/>
  <c r="ED183" i="17"/>
  <c r="EC183" i="17"/>
  <c r="EA183" i="17"/>
  <c r="DZ183" i="17"/>
  <c r="DY183" i="17"/>
  <c r="S183" i="17"/>
  <c r="R183" i="17"/>
  <c r="Q183" i="17"/>
  <c r="X183" i="17" s="1"/>
  <c r="P183" i="17"/>
  <c r="O183" i="17"/>
  <c r="N183" i="17"/>
  <c r="M183" i="17"/>
  <c r="K183" i="17"/>
  <c r="W183" i="17" s="1"/>
  <c r="J183" i="17"/>
  <c r="I183" i="17"/>
  <c r="H183" i="17"/>
  <c r="G183" i="17"/>
  <c r="V183" i="17" s="1"/>
  <c r="F183" i="17"/>
  <c r="E183" i="17"/>
  <c r="D183" i="17"/>
  <c r="AP183" i="17" s="1"/>
  <c r="C183" i="17"/>
  <c r="A183" i="17"/>
  <c r="ED182" i="17"/>
  <c r="EC182" i="17"/>
  <c r="EA182" i="17"/>
  <c r="DZ182" i="17"/>
  <c r="DY182" i="17"/>
  <c r="S182" i="17"/>
  <c r="R182" i="17"/>
  <c r="Q182" i="17"/>
  <c r="X182" i="17" s="1"/>
  <c r="P182" i="17"/>
  <c r="O182" i="17"/>
  <c r="N182" i="17"/>
  <c r="M182" i="17"/>
  <c r="K182" i="17"/>
  <c r="W182" i="17" s="1"/>
  <c r="J182" i="17"/>
  <c r="I182" i="17"/>
  <c r="H182" i="17"/>
  <c r="G182" i="17"/>
  <c r="V182" i="17" s="1"/>
  <c r="F182" i="17"/>
  <c r="E182" i="17"/>
  <c r="D182" i="17"/>
  <c r="AP182" i="17" s="1"/>
  <c r="C182" i="17"/>
  <c r="A182" i="17"/>
  <c r="ED181" i="17"/>
  <c r="EC181" i="17"/>
  <c r="EA181" i="17"/>
  <c r="DZ181" i="17"/>
  <c r="DY181" i="17"/>
  <c r="S181" i="17"/>
  <c r="R181" i="17"/>
  <c r="Q181" i="17"/>
  <c r="X181" i="17" s="1"/>
  <c r="P181" i="17"/>
  <c r="O181" i="17"/>
  <c r="N181" i="17"/>
  <c r="M181" i="17"/>
  <c r="K181" i="17"/>
  <c r="J181" i="17"/>
  <c r="I181" i="17"/>
  <c r="H181" i="17"/>
  <c r="G181" i="17"/>
  <c r="V181" i="17" s="1"/>
  <c r="F181" i="17"/>
  <c r="E181" i="17"/>
  <c r="D181" i="17"/>
  <c r="AP181" i="17" s="1"/>
  <c r="C181" i="17"/>
  <c r="A181" i="17"/>
  <c r="ED180" i="17"/>
  <c r="EC180" i="17"/>
  <c r="EA180" i="17"/>
  <c r="DZ180" i="17"/>
  <c r="DY180" i="17"/>
  <c r="S180" i="17"/>
  <c r="R180" i="17"/>
  <c r="Q180" i="17"/>
  <c r="X180" i="17" s="1"/>
  <c r="P180" i="17"/>
  <c r="O180" i="17"/>
  <c r="N180" i="17"/>
  <c r="M180" i="17"/>
  <c r="K180" i="17"/>
  <c r="W180" i="17" s="1"/>
  <c r="J180" i="17"/>
  <c r="I180" i="17"/>
  <c r="H180" i="17"/>
  <c r="G180" i="17"/>
  <c r="V180" i="17" s="1"/>
  <c r="F180" i="17"/>
  <c r="E180" i="17"/>
  <c r="D180" i="17"/>
  <c r="AP180" i="17" s="1"/>
  <c r="C180" i="17"/>
  <c r="A180" i="17"/>
  <c r="ED179" i="17"/>
  <c r="EC179" i="17"/>
  <c r="EA179" i="17"/>
  <c r="DZ179" i="17"/>
  <c r="DY179" i="17"/>
  <c r="S179" i="17"/>
  <c r="R179" i="17"/>
  <c r="Q179" i="17"/>
  <c r="X179" i="17" s="1"/>
  <c r="P179" i="17"/>
  <c r="O179" i="17"/>
  <c r="N179" i="17"/>
  <c r="M179" i="17"/>
  <c r="K179" i="17"/>
  <c r="W179" i="17" s="1"/>
  <c r="J179" i="17"/>
  <c r="I179" i="17"/>
  <c r="H179" i="17"/>
  <c r="G179" i="17"/>
  <c r="V179" i="17" s="1"/>
  <c r="F179" i="17"/>
  <c r="E179" i="17"/>
  <c r="D179" i="17"/>
  <c r="AP179" i="17" s="1"/>
  <c r="C179" i="17"/>
  <c r="A179" i="17"/>
  <c r="ED178" i="17"/>
  <c r="EC178" i="17"/>
  <c r="EA178" i="17"/>
  <c r="DZ178" i="17"/>
  <c r="DY178" i="17"/>
  <c r="S178" i="17"/>
  <c r="R178" i="17"/>
  <c r="Q178" i="17"/>
  <c r="X178" i="17" s="1"/>
  <c r="P178" i="17"/>
  <c r="O178" i="17"/>
  <c r="N178" i="17"/>
  <c r="M178" i="17"/>
  <c r="K178" i="17"/>
  <c r="W178" i="17" s="1"/>
  <c r="J178" i="17"/>
  <c r="I178" i="17"/>
  <c r="H178" i="17"/>
  <c r="G178" i="17"/>
  <c r="V178" i="17" s="1"/>
  <c r="F178" i="17"/>
  <c r="E178" i="17"/>
  <c r="D178" i="17"/>
  <c r="AP178" i="17" s="1"/>
  <c r="C178" i="17"/>
  <c r="A178" i="17"/>
  <c r="ED177" i="17"/>
  <c r="EC177" i="17"/>
  <c r="EA177" i="17"/>
  <c r="DZ177" i="17"/>
  <c r="DY177" i="17"/>
  <c r="S177" i="17"/>
  <c r="R177" i="17"/>
  <c r="Q177" i="17"/>
  <c r="X177" i="17" s="1"/>
  <c r="P177" i="17"/>
  <c r="O177" i="17"/>
  <c r="N177" i="17"/>
  <c r="M177" i="17"/>
  <c r="K177" i="17"/>
  <c r="J177" i="17"/>
  <c r="I177" i="17"/>
  <c r="H177" i="17"/>
  <c r="G177" i="17"/>
  <c r="V177" i="17" s="1"/>
  <c r="F177" i="17"/>
  <c r="E177" i="17"/>
  <c r="D177" i="17"/>
  <c r="AP177" i="17" s="1"/>
  <c r="C177" i="17"/>
  <c r="A177" i="17"/>
  <c r="ED176" i="17"/>
  <c r="EC176" i="17"/>
  <c r="EA176" i="17"/>
  <c r="DZ176" i="17"/>
  <c r="DY176" i="17"/>
  <c r="S176" i="17"/>
  <c r="R176" i="17"/>
  <c r="Q176" i="17"/>
  <c r="X176" i="17" s="1"/>
  <c r="P176" i="17"/>
  <c r="O176" i="17"/>
  <c r="N176" i="17"/>
  <c r="M176" i="17"/>
  <c r="K176" i="17"/>
  <c r="W176" i="17" s="1"/>
  <c r="J176" i="17"/>
  <c r="I176" i="17"/>
  <c r="H176" i="17"/>
  <c r="G176" i="17"/>
  <c r="V176" i="17" s="1"/>
  <c r="F176" i="17"/>
  <c r="E176" i="17"/>
  <c r="D176" i="17"/>
  <c r="C176" i="17"/>
  <c r="A176" i="17"/>
  <c r="ED175" i="17"/>
  <c r="EC175" i="17"/>
  <c r="EA175" i="17"/>
  <c r="DZ175" i="17"/>
  <c r="DY175" i="17"/>
  <c r="S175" i="17"/>
  <c r="R175" i="17"/>
  <c r="Q175" i="17"/>
  <c r="X175" i="17" s="1"/>
  <c r="P175" i="17"/>
  <c r="O175" i="17"/>
  <c r="N175" i="17"/>
  <c r="M175" i="17"/>
  <c r="K175" i="17"/>
  <c r="W175" i="17" s="1"/>
  <c r="J175" i="17"/>
  <c r="I175" i="17"/>
  <c r="H175" i="17"/>
  <c r="G175" i="17"/>
  <c r="V175" i="17" s="1"/>
  <c r="F175" i="17"/>
  <c r="E175" i="17"/>
  <c r="D175" i="17"/>
  <c r="AP175" i="17" s="1"/>
  <c r="C175" i="17"/>
  <c r="A175" i="17"/>
  <c r="ED174" i="17"/>
  <c r="EC174" i="17"/>
  <c r="EA174" i="17"/>
  <c r="DZ174" i="17"/>
  <c r="DY174" i="17"/>
  <c r="S174" i="17"/>
  <c r="R174" i="17"/>
  <c r="Q174" i="17"/>
  <c r="X174" i="17" s="1"/>
  <c r="P174" i="17"/>
  <c r="O174" i="17"/>
  <c r="N174" i="17"/>
  <c r="M174" i="17"/>
  <c r="K174" i="17"/>
  <c r="W174" i="17" s="1"/>
  <c r="J174" i="17"/>
  <c r="I174" i="17"/>
  <c r="H174" i="17"/>
  <c r="G174" i="17"/>
  <c r="V174" i="17" s="1"/>
  <c r="F174" i="17"/>
  <c r="E174" i="17"/>
  <c r="D174" i="17"/>
  <c r="AP174" i="17" s="1"/>
  <c r="C174" i="17"/>
  <c r="A174" i="17"/>
  <c r="ED173" i="17"/>
  <c r="EC173" i="17"/>
  <c r="EA173" i="17"/>
  <c r="DZ173" i="17"/>
  <c r="DY173" i="17"/>
  <c r="S173" i="17"/>
  <c r="R173" i="17"/>
  <c r="Q173" i="17"/>
  <c r="X173" i="17" s="1"/>
  <c r="P173" i="17"/>
  <c r="O173" i="17"/>
  <c r="N173" i="17"/>
  <c r="M173" i="17"/>
  <c r="K173" i="17"/>
  <c r="W173" i="17" s="1"/>
  <c r="J173" i="17"/>
  <c r="I173" i="17"/>
  <c r="H173" i="17"/>
  <c r="G173" i="17"/>
  <c r="V173" i="17" s="1"/>
  <c r="F173" i="17"/>
  <c r="E173" i="17"/>
  <c r="D173" i="17"/>
  <c r="AP173" i="17" s="1"/>
  <c r="C173" i="17"/>
  <c r="A173" i="17"/>
  <c r="ED172" i="17"/>
  <c r="EC172" i="17"/>
  <c r="EA172" i="17"/>
  <c r="DZ172" i="17"/>
  <c r="DY172" i="17"/>
  <c r="S172" i="17"/>
  <c r="R172" i="17"/>
  <c r="Q172" i="17"/>
  <c r="X172" i="17" s="1"/>
  <c r="P172" i="17"/>
  <c r="O172" i="17"/>
  <c r="N172" i="17"/>
  <c r="M172" i="17"/>
  <c r="K172" i="17"/>
  <c r="W172" i="17" s="1"/>
  <c r="J172" i="17"/>
  <c r="I172" i="17"/>
  <c r="H172" i="17"/>
  <c r="G172" i="17"/>
  <c r="V172" i="17" s="1"/>
  <c r="F172" i="17"/>
  <c r="E172" i="17"/>
  <c r="D172" i="17"/>
  <c r="AP172" i="17" s="1"/>
  <c r="C172" i="17"/>
  <c r="A172" i="17"/>
  <c r="ED171" i="17"/>
  <c r="EC171" i="17"/>
  <c r="EA171" i="17"/>
  <c r="DZ171" i="17"/>
  <c r="DY171" i="17"/>
  <c r="S171" i="17"/>
  <c r="R171" i="17"/>
  <c r="Q171" i="17"/>
  <c r="X171" i="17" s="1"/>
  <c r="P171" i="17"/>
  <c r="O171" i="17"/>
  <c r="N171" i="17"/>
  <c r="M171" i="17"/>
  <c r="K171" i="17"/>
  <c r="W171" i="17" s="1"/>
  <c r="J171" i="17"/>
  <c r="I171" i="17"/>
  <c r="H171" i="17"/>
  <c r="G171" i="17"/>
  <c r="V171" i="17" s="1"/>
  <c r="F171" i="17"/>
  <c r="E171" i="17"/>
  <c r="D171" i="17"/>
  <c r="AP171" i="17" s="1"/>
  <c r="C171" i="17"/>
  <c r="A171" i="17"/>
  <c r="ED170" i="17"/>
  <c r="EC170" i="17"/>
  <c r="EA170" i="17"/>
  <c r="DZ170" i="17"/>
  <c r="DY170" i="17"/>
  <c r="S170" i="17"/>
  <c r="R170" i="17"/>
  <c r="Q170" i="17"/>
  <c r="X170" i="17" s="1"/>
  <c r="P170" i="17"/>
  <c r="O170" i="17"/>
  <c r="N170" i="17"/>
  <c r="M170" i="17"/>
  <c r="K170" i="17"/>
  <c r="J170" i="17"/>
  <c r="I170" i="17"/>
  <c r="H170" i="17"/>
  <c r="G170" i="17"/>
  <c r="V170" i="17" s="1"/>
  <c r="F170" i="17"/>
  <c r="E170" i="17"/>
  <c r="D170" i="17"/>
  <c r="AP170" i="17" s="1"/>
  <c r="C170" i="17"/>
  <c r="A170" i="17"/>
  <c r="ED169" i="17"/>
  <c r="EC169" i="17"/>
  <c r="EA169" i="17"/>
  <c r="DZ169" i="17"/>
  <c r="DY169" i="17"/>
  <c r="S169" i="17"/>
  <c r="R169" i="17"/>
  <c r="Q169" i="17"/>
  <c r="X169" i="17" s="1"/>
  <c r="P169" i="17"/>
  <c r="O169" i="17"/>
  <c r="N169" i="17"/>
  <c r="M169" i="17"/>
  <c r="K169" i="17"/>
  <c r="J169" i="17"/>
  <c r="I169" i="17"/>
  <c r="H169" i="17"/>
  <c r="G169" i="17"/>
  <c r="V169" i="17" s="1"/>
  <c r="F169" i="17"/>
  <c r="E169" i="17"/>
  <c r="D169" i="17"/>
  <c r="AP169" i="17" s="1"/>
  <c r="C169" i="17"/>
  <c r="A169" i="17"/>
  <c r="ED168" i="17"/>
  <c r="EC168" i="17"/>
  <c r="EA168" i="17"/>
  <c r="DZ168" i="17"/>
  <c r="DY168" i="17"/>
  <c r="S168" i="17"/>
  <c r="R168" i="17"/>
  <c r="Q168" i="17"/>
  <c r="X168" i="17" s="1"/>
  <c r="P168" i="17"/>
  <c r="O168" i="17"/>
  <c r="N168" i="17"/>
  <c r="M168" i="17"/>
  <c r="K168" i="17"/>
  <c r="W168" i="17" s="1"/>
  <c r="J168" i="17"/>
  <c r="I168" i="17"/>
  <c r="H168" i="17"/>
  <c r="G168" i="17"/>
  <c r="V168" i="17" s="1"/>
  <c r="F168" i="17"/>
  <c r="E168" i="17"/>
  <c r="D168" i="17"/>
  <c r="AP168" i="17" s="1"/>
  <c r="C168" i="17"/>
  <c r="A168" i="17"/>
  <c r="ED167" i="17"/>
  <c r="EC167" i="17"/>
  <c r="EA167" i="17"/>
  <c r="DZ167" i="17"/>
  <c r="DY167" i="17"/>
  <c r="S167" i="17"/>
  <c r="R167" i="17"/>
  <c r="Q167" i="17"/>
  <c r="X167" i="17" s="1"/>
  <c r="P167" i="17"/>
  <c r="O167" i="17"/>
  <c r="N167" i="17"/>
  <c r="M167" i="17"/>
  <c r="K167" i="17"/>
  <c r="W167" i="17" s="1"/>
  <c r="J167" i="17"/>
  <c r="I167" i="17"/>
  <c r="H167" i="17"/>
  <c r="G167" i="17"/>
  <c r="V167" i="17" s="1"/>
  <c r="F167" i="17"/>
  <c r="E167" i="17"/>
  <c r="D167" i="17"/>
  <c r="AP167" i="17" s="1"/>
  <c r="C167" i="17"/>
  <c r="A167" i="17"/>
  <c r="ED166" i="17"/>
  <c r="EC166" i="17"/>
  <c r="EA166" i="17"/>
  <c r="DZ166" i="17"/>
  <c r="DY166" i="17"/>
  <c r="S166" i="17"/>
  <c r="R166" i="17"/>
  <c r="Q166" i="17"/>
  <c r="X166" i="17" s="1"/>
  <c r="P166" i="17"/>
  <c r="O166" i="17"/>
  <c r="N166" i="17"/>
  <c r="M166" i="17"/>
  <c r="K166" i="17"/>
  <c r="W166" i="17" s="1"/>
  <c r="J166" i="17"/>
  <c r="I166" i="17"/>
  <c r="H166" i="17"/>
  <c r="G166" i="17"/>
  <c r="V166" i="17" s="1"/>
  <c r="F166" i="17"/>
  <c r="E166" i="17"/>
  <c r="D166" i="17"/>
  <c r="AP166" i="17" s="1"/>
  <c r="C166" i="17"/>
  <c r="A166" i="17"/>
  <c r="ED165" i="17"/>
  <c r="EC165" i="17"/>
  <c r="EA165" i="17"/>
  <c r="DZ165" i="17"/>
  <c r="DY165" i="17"/>
  <c r="S165" i="17"/>
  <c r="R165" i="17"/>
  <c r="Q165" i="17"/>
  <c r="X165" i="17" s="1"/>
  <c r="P165" i="17"/>
  <c r="O165" i="17"/>
  <c r="N165" i="17"/>
  <c r="M165" i="17"/>
  <c r="K165" i="17"/>
  <c r="W165" i="17" s="1"/>
  <c r="J165" i="17"/>
  <c r="I165" i="17"/>
  <c r="H165" i="17"/>
  <c r="G165" i="17"/>
  <c r="V165" i="17" s="1"/>
  <c r="F165" i="17"/>
  <c r="E165" i="17"/>
  <c r="D165" i="17"/>
  <c r="AP165" i="17" s="1"/>
  <c r="C165" i="17"/>
  <c r="A165" i="17"/>
  <c r="ED164" i="17"/>
  <c r="EC164" i="17"/>
  <c r="EA164" i="17"/>
  <c r="DZ164" i="17"/>
  <c r="DY164" i="17"/>
  <c r="S164" i="17"/>
  <c r="R164" i="17"/>
  <c r="Q164" i="17"/>
  <c r="X164" i="17" s="1"/>
  <c r="P164" i="17"/>
  <c r="O164" i="17"/>
  <c r="N164" i="17"/>
  <c r="M164" i="17"/>
  <c r="K164" i="17"/>
  <c r="W164" i="17" s="1"/>
  <c r="J164" i="17"/>
  <c r="I164" i="17"/>
  <c r="H164" i="17"/>
  <c r="G164" i="17"/>
  <c r="V164" i="17" s="1"/>
  <c r="F164" i="17"/>
  <c r="E164" i="17"/>
  <c r="D164" i="17"/>
  <c r="AP164" i="17" s="1"/>
  <c r="C164" i="17"/>
  <c r="A164" i="17"/>
  <c r="ED163" i="17"/>
  <c r="EC163" i="17"/>
  <c r="EA163" i="17"/>
  <c r="DZ163" i="17"/>
  <c r="DY163" i="17"/>
  <c r="S163" i="17"/>
  <c r="R163" i="17"/>
  <c r="Q163" i="17"/>
  <c r="X163" i="17" s="1"/>
  <c r="P163" i="17"/>
  <c r="O163" i="17"/>
  <c r="N163" i="17"/>
  <c r="M163" i="17"/>
  <c r="K163" i="17"/>
  <c r="W163" i="17" s="1"/>
  <c r="J163" i="17"/>
  <c r="I163" i="17"/>
  <c r="H163" i="17"/>
  <c r="G163" i="17"/>
  <c r="V163" i="17" s="1"/>
  <c r="F163" i="17"/>
  <c r="E163" i="17"/>
  <c r="D163" i="17"/>
  <c r="AP163" i="17" s="1"/>
  <c r="C163" i="17"/>
  <c r="A163" i="17"/>
  <c r="ED162" i="17"/>
  <c r="EC162" i="17"/>
  <c r="EA162" i="17"/>
  <c r="DZ162" i="17"/>
  <c r="DY162" i="17"/>
  <c r="S162" i="17"/>
  <c r="R162" i="17"/>
  <c r="Q162" i="17"/>
  <c r="X162" i="17" s="1"/>
  <c r="P162" i="17"/>
  <c r="O162" i="17"/>
  <c r="N162" i="17"/>
  <c r="M162" i="17"/>
  <c r="K162" i="17"/>
  <c r="J162" i="17"/>
  <c r="I162" i="17"/>
  <c r="H162" i="17"/>
  <c r="G162" i="17"/>
  <c r="V162" i="17" s="1"/>
  <c r="F162" i="17"/>
  <c r="E162" i="17"/>
  <c r="D162" i="17"/>
  <c r="AP162" i="17" s="1"/>
  <c r="C162" i="17"/>
  <c r="A162" i="17"/>
  <c r="ED161" i="17"/>
  <c r="EC161" i="17"/>
  <c r="EA161" i="17"/>
  <c r="DZ161" i="17"/>
  <c r="DY161" i="17"/>
  <c r="S161" i="17"/>
  <c r="R161" i="17"/>
  <c r="Q161" i="17"/>
  <c r="X161" i="17" s="1"/>
  <c r="P161" i="17"/>
  <c r="O161" i="17"/>
  <c r="N161" i="17"/>
  <c r="M161" i="17"/>
  <c r="K161" i="17"/>
  <c r="J161" i="17"/>
  <c r="I161" i="17"/>
  <c r="H161" i="17"/>
  <c r="G161" i="17"/>
  <c r="V161" i="17" s="1"/>
  <c r="F161" i="17"/>
  <c r="E161" i="17"/>
  <c r="D161" i="17"/>
  <c r="AP161" i="17" s="1"/>
  <c r="C161" i="17"/>
  <c r="A161" i="17"/>
  <c r="ED160" i="17"/>
  <c r="EC160" i="17"/>
  <c r="EA160" i="17"/>
  <c r="DZ160" i="17"/>
  <c r="DY160" i="17"/>
  <c r="S160" i="17"/>
  <c r="R160" i="17"/>
  <c r="Q160" i="17"/>
  <c r="X160" i="17" s="1"/>
  <c r="P160" i="17"/>
  <c r="O160" i="17"/>
  <c r="N160" i="17"/>
  <c r="M160" i="17"/>
  <c r="K160" i="17"/>
  <c r="J160" i="17"/>
  <c r="I160" i="17"/>
  <c r="H160" i="17"/>
  <c r="G160" i="17"/>
  <c r="V160" i="17" s="1"/>
  <c r="F160" i="17"/>
  <c r="E160" i="17"/>
  <c r="D160" i="17"/>
  <c r="C160" i="17"/>
  <c r="A160" i="17"/>
  <c r="ED159" i="17"/>
  <c r="EC159" i="17"/>
  <c r="EA159" i="17"/>
  <c r="DZ159" i="17"/>
  <c r="DY159" i="17"/>
  <c r="S159" i="17"/>
  <c r="R159" i="17"/>
  <c r="Q159" i="17"/>
  <c r="X159" i="17" s="1"/>
  <c r="P159" i="17"/>
  <c r="O159" i="17"/>
  <c r="N159" i="17"/>
  <c r="M159" i="17"/>
  <c r="K159" i="17"/>
  <c r="W159" i="17" s="1"/>
  <c r="J159" i="17"/>
  <c r="I159" i="17"/>
  <c r="H159" i="17"/>
  <c r="G159" i="17"/>
  <c r="V159" i="17" s="1"/>
  <c r="F159" i="17"/>
  <c r="E159" i="17"/>
  <c r="D159" i="17"/>
  <c r="AP159" i="17" s="1"/>
  <c r="C159" i="17"/>
  <c r="A159" i="17"/>
  <c r="ED158" i="17"/>
  <c r="EC158" i="17"/>
  <c r="EA158" i="17"/>
  <c r="DZ158" i="17"/>
  <c r="DY158" i="17"/>
  <c r="S158" i="17"/>
  <c r="R158" i="17"/>
  <c r="Q158" i="17"/>
  <c r="X158" i="17" s="1"/>
  <c r="P158" i="17"/>
  <c r="O158" i="17"/>
  <c r="N158" i="17"/>
  <c r="M158" i="17"/>
  <c r="K158" i="17"/>
  <c r="W158" i="17" s="1"/>
  <c r="J158" i="17"/>
  <c r="I158" i="17"/>
  <c r="H158" i="17"/>
  <c r="G158" i="17"/>
  <c r="V158" i="17" s="1"/>
  <c r="F158" i="17"/>
  <c r="E158" i="17"/>
  <c r="D158" i="17"/>
  <c r="AP158" i="17" s="1"/>
  <c r="C158" i="17"/>
  <c r="A158" i="17"/>
  <c r="ED157" i="17"/>
  <c r="EC157" i="17"/>
  <c r="EA157" i="17"/>
  <c r="DZ157" i="17"/>
  <c r="DY157" i="17"/>
  <c r="S157" i="17"/>
  <c r="R157" i="17"/>
  <c r="Q157" i="17"/>
  <c r="X157" i="17" s="1"/>
  <c r="P157" i="17"/>
  <c r="O157" i="17"/>
  <c r="N157" i="17"/>
  <c r="M157" i="17"/>
  <c r="K157" i="17"/>
  <c r="J157" i="17"/>
  <c r="I157" i="17"/>
  <c r="H157" i="17"/>
  <c r="G157" i="17"/>
  <c r="V157" i="17" s="1"/>
  <c r="F157" i="17"/>
  <c r="E157" i="17"/>
  <c r="D157" i="17"/>
  <c r="AP157" i="17" s="1"/>
  <c r="C157" i="17"/>
  <c r="A157" i="17"/>
  <c r="ED156" i="17"/>
  <c r="EC156" i="17"/>
  <c r="EA156" i="17"/>
  <c r="DZ156" i="17"/>
  <c r="DY156" i="17"/>
  <c r="S156" i="17"/>
  <c r="R156" i="17"/>
  <c r="Q156" i="17"/>
  <c r="X156" i="17" s="1"/>
  <c r="P156" i="17"/>
  <c r="O156" i="17"/>
  <c r="N156" i="17"/>
  <c r="M156" i="17"/>
  <c r="K156" i="17"/>
  <c r="W156" i="17" s="1"/>
  <c r="J156" i="17"/>
  <c r="I156" i="17"/>
  <c r="H156" i="17"/>
  <c r="G156" i="17"/>
  <c r="V156" i="17" s="1"/>
  <c r="F156" i="17"/>
  <c r="E156" i="17"/>
  <c r="D156" i="17"/>
  <c r="AP156" i="17" s="1"/>
  <c r="C156" i="17"/>
  <c r="A156" i="17"/>
  <c r="ED155" i="17"/>
  <c r="EC155" i="17"/>
  <c r="EA155" i="17"/>
  <c r="DZ155" i="17"/>
  <c r="DY155" i="17"/>
  <c r="S155" i="17"/>
  <c r="R155" i="17"/>
  <c r="Q155" i="17"/>
  <c r="X155" i="17" s="1"/>
  <c r="P155" i="17"/>
  <c r="O155" i="17"/>
  <c r="N155" i="17"/>
  <c r="M155" i="17"/>
  <c r="K155" i="17"/>
  <c r="W155" i="17" s="1"/>
  <c r="J155" i="17"/>
  <c r="I155" i="17"/>
  <c r="H155" i="17"/>
  <c r="G155" i="17"/>
  <c r="V155" i="17" s="1"/>
  <c r="F155" i="17"/>
  <c r="E155" i="17"/>
  <c r="D155" i="17"/>
  <c r="AP155" i="17" s="1"/>
  <c r="C155" i="17"/>
  <c r="A155" i="17"/>
  <c r="ED154" i="17"/>
  <c r="EC154" i="17"/>
  <c r="EA154" i="17"/>
  <c r="DZ154" i="17"/>
  <c r="DY154" i="17"/>
  <c r="S154" i="17"/>
  <c r="R154" i="17"/>
  <c r="Q154" i="17"/>
  <c r="X154" i="17" s="1"/>
  <c r="P154" i="17"/>
  <c r="O154" i="17"/>
  <c r="N154" i="17"/>
  <c r="M154" i="17"/>
  <c r="K154" i="17"/>
  <c r="J154" i="17"/>
  <c r="I154" i="17"/>
  <c r="H154" i="17"/>
  <c r="G154" i="17"/>
  <c r="V154" i="17" s="1"/>
  <c r="F154" i="17"/>
  <c r="E154" i="17"/>
  <c r="D154" i="17"/>
  <c r="AP154" i="17" s="1"/>
  <c r="C154" i="17"/>
  <c r="A154" i="17"/>
  <c r="ED153" i="17"/>
  <c r="EC153" i="17"/>
  <c r="EA153" i="17"/>
  <c r="DZ153" i="17"/>
  <c r="DY153" i="17"/>
  <c r="S153" i="17"/>
  <c r="R153" i="17"/>
  <c r="Q153" i="17"/>
  <c r="X153" i="17" s="1"/>
  <c r="P153" i="17"/>
  <c r="O153" i="17"/>
  <c r="N153" i="17"/>
  <c r="M153" i="17"/>
  <c r="K153" i="17"/>
  <c r="J153" i="17"/>
  <c r="I153" i="17"/>
  <c r="H153" i="17"/>
  <c r="G153" i="17"/>
  <c r="V153" i="17" s="1"/>
  <c r="F153" i="17"/>
  <c r="E153" i="17"/>
  <c r="D153" i="17"/>
  <c r="AP153" i="17" s="1"/>
  <c r="C153" i="17"/>
  <c r="A153" i="17"/>
  <c r="ED152" i="17"/>
  <c r="EC152" i="17"/>
  <c r="EA152" i="17"/>
  <c r="DZ152" i="17"/>
  <c r="DY152" i="17"/>
  <c r="S152" i="17"/>
  <c r="R152" i="17"/>
  <c r="Q152" i="17"/>
  <c r="X152" i="17" s="1"/>
  <c r="P152" i="17"/>
  <c r="O152" i="17"/>
  <c r="N152" i="17"/>
  <c r="M152" i="17"/>
  <c r="K152" i="17"/>
  <c r="W152" i="17" s="1"/>
  <c r="J152" i="17"/>
  <c r="I152" i="17"/>
  <c r="H152" i="17"/>
  <c r="G152" i="17"/>
  <c r="V152" i="17" s="1"/>
  <c r="F152" i="17"/>
  <c r="E152" i="17"/>
  <c r="D152" i="17"/>
  <c r="AP152" i="17" s="1"/>
  <c r="C152" i="17"/>
  <c r="A152" i="17"/>
  <c r="ED151" i="17"/>
  <c r="EC151" i="17"/>
  <c r="EA151" i="17"/>
  <c r="DZ151" i="17"/>
  <c r="DY151" i="17"/>
  <c r="S151" i="17"/>
  <c r="R151" i="17"/>
  <c r="Q151" i="17"/>
  <c r="X151" i="17" s="1"/>
  <c r="P151" i="17"/>
  <c r="O151" i="17"/>
  <c r="N151" i="17"/>
  <c r="M151" i="17"/>
  <c r="K151" i="17"/>
  <c r="W151" i="17" s="1"/>
  <c r="J151" i="17"/>
  <c r="I151" i="17"/>
  <c r="H151" i="17"/>
  <c r="G151" i="17"/>
  <c r="V151" i="17" s="1"/>
  <c r="F151" i="17"/>
  <c r="E151" i="17"/>
  <c r="D151" i="17"/>
  <c r="AP151" i="17" s="1"/>
  <c r="C151" i="17"/>
  <c r="A151" i="17"/>
  <c r="ED150" i="17"/>
  <c r="EC150" i="17"/>
  <c r="EA150" i="17"/>
  <c r="DZ150" i="17"/>
  <c r="DY150" i="17"/>
  <c r="S150" i="17"/>
  <c r="R150" i="17"/>
  <c r="Q150" i="17"/>
  <c r="X150" i="17" s="1"/>
  <c r="P150" i="17"/>
  <c r="O150" i="17"/>
  <c r="N150" i="17"/>
  <c r="M150" i="17"/>
  <c r="K150" i="17"/>
  <c r="W150" i="17" s="1"/>
  <c r="J150" i="17"/>
  <c r="I150" i="17"/>
  <c r="H150" i="17"/>
  <c r="G150" i="17"/>
  <c r="V150" i="17" s="1"/>
  <c r="F150" i="17"/>
  <c r="E150" i="17"/>
  <c r="D150" i="17"/>
  <c r="AP150" i="17" s="1"/>
  <c r="C150" i="17"/>
  <c r="A150" i="17"/>
  <c r="ED149" i="17"/>
  <c r="EC149" i="17"/>
  <c r="EA149" i="17"/>
  <c r="DZ149" i="17"/>
  <c r="DY149" i="17"/>
  <c r="S149" i="17"/>
  <c r="R149" i="17"/>
  <c r="Q149" i="17"/>
  <c r="X149" i="17" s="1"/>
  <c r="P149" i="17"/>
  <c r="O149" i="17"/>
  <c r="N149" i="17"/>
  <c r="M149" i="17"/>
  <c r="K149" i="17"/>
  <c r="W149" i="17" s="1"/>
  <c r="J149" i="17"/>
  <c r="I149" i="17"/>
  <c r="H149" i="17"/>
  <c r="G149" i="17"/>
  <c r="V149" i="17" s="1"/>
  <c r="F149" i="17"/>
  <c r="E149" i="17"/>
  <c r="D149" i="17"/>
  <c r="AP149" i="17" s="1"/>
  <c r="C149" i="17"/>
  <c r="A149" i="17"/>
  <c r="ED148" i="17"/>
  <c r="EC148" i="17"/>
  <c r="EA148" i="17"/>
  <c r="DZ148" i="17"/>
  <c r="DY148" i="17"/>
  <c r="S148" i="17"/>
  <c r="R148" i="17"/>
  <c r="Q148" i="17"/>
  <c r="X148" i="17" s="1"/>
  <c r="P148" i="17"/>
  <c r="O148" i="17"/>
  <c r="N148" i="17"/>
  <c r="M148" i="17"/>
  <c r="K148" i="17"/>
  <c r="J148" i="17"/>
  <c r="I148" i="17"/>
  <c r="H148" i="17"/>
  <c r="G148" i="17"/>
  <c r="V148" i="17" s="1"/>
  <c r="F148" i="17"/>
  <c r="E148" i="17"/>
  <c r="D148" i="17"/>
  <c r="AP148" i="17" s="1"/>
  <c r="C148" i="17"/>
  <c r="A148" i="17"/>
  <c r="ED147" i="17"/>
  <c r="EC147" i="17"/>
  <c r="EA147" i="17"/>
  <c r="DZ147" i="17"/>
  <c r="DY147" i="17"/>
  <c r="S147" i="17"/>
  <c r="R147" i="17"/>
  <c r="Q147" i="17"/>
  <c r="X147" i="17" s="1"/>
  <c r="P147" i="17"/>
  <c r="O147" i="17"/>
  <c r="N147" i="17"/>
  <c r="M147" i="17"/>
  <c r="K147" i="17"/>
  <c r="J147" i="17"/>
  <c r="I147" i="17"/>
  <c r="H147" i="17"/>
  <c r="G147" i="17"/>
  <c r="V147" i="17" s="1"/>
  <c r="F147" i="17"/>
  <c r="E147" i="17"/>
  <c r="D147" i="17"/>
  <c r="AP147" i="17" s="1"/>
  <c r="C147" i="17"/>
  <c r="A147" i="17"/>
  <c r="ED146" i="17"/>
  <c r="EC146" i="17"/>
  <c r="EA146" i="17"/>
  <c r="DZ146" i="17"/>
  <c r="DY146" i="17"/>
  <c r="S146" i="17"/>
  <c r="R146" i="17"/>
  <c r="Q146" i="17"/>
  <c r="X146" i="17" s="1"/>
  <c r="P146" i="17"/>
  <c r="O146" i="17"/>
  <c r="N146" i="17"/>
  <c r="M146" i="17"/>
  <c r="K146" i="17"/>
  <c r="W146" i="17" s="1"/>
  <c r="J146" i="17"/>
  <c r="I146" i="17"/>
  <c r="H146" i="17"/>
  <c r="G146" i="17"/>
  <c r="V146" i="17" s="1"/>
  <c r="F146" i="17"/>
  <c r="E146" i="17"/>
  <c r="D146" i="17"/>
  <c r="AP146" i="17" s="1"/>
  <c r="C146" i="17"/>
  <c r="A146" i="17"/>
  <c r="ED145" i="17"/>
  <c r="EC145" i="17"/>
  <c r="EA145" i="17"/>
  <c r="DZ145" i="17"/>
  <c r="DY145" i="17"/>
  <c r="S145" i="17"/>
  <c r="R145" i="17"/>
  <c r="Q145" i="17"/>
  <c r="X145" i="17" s="1"/>
  <c r="P145" i="17"/>
  <c r="O145" i="17"/>
  <c r="N145" i="17"/>
  <c r="M145" i="17"/>
  <c r="K145" i="17"/>
  <c r="W145" i="17" s="1"/>
  <c r="J145" i="17"/>
  <c r="I145" i="17"/>
  <c r="H145" i="17"/>
  <c r="G145" i="17"/>
  <c r="V145" i="17" s="1"/>
  <c r="F145" i="17"/>
  <c r="E145" i="17"/>
  <c r="D145" i="17"/>
  <c r="AP145" i="17" s="1"/>
  <c r="C145" i="17"/>
  <c r="A145" i="17"/>
  <c r="ED144" i="17"/>
  <c r="EC144" i="17"/>
  <c r="EA144" i="17"/>
  <c r="DZ144" i="17"/>
  <c r="DY144" i="17"/>
  <c r="S144" i="17"/>
  <c r="R144" i="17"/>
  <c r="Q144" i="17"/>
  <c r="X144" i="17" s="1"/>
  <c r="P144" i="17"/>
  <c r="O144" i="17"/>
  <c r="N144" i="17"/>
  <c r="M144" i="17"/>
  <c r="K144" i="17"/>
  <c r="J144" i="17"/>
  <c r="I144" i="17"/>
  <c r="H144" i="17"/>
  <c r="G144" i="17"/>
  <c r="V144" i="17" s="1"/>
  <c r="F144" i="17"/>
  <c r="E144" i="17"/>
  <c r="D144" i="17"/>
  <c r="AP144" i="17" s="1"/>
  <c r="C144" i="17"/>
  <c r="A144" i="17"/>
  <c r="ED143" i="17"/>
  <c r="EC143" i="17"/>
  <c r="EA143" i="17"/>
  <c r="DZ143" i="17"/>
  <c r="DY143" i="17"/>
  <c r="S143" i="17"/>
  <c r="R143" i="17"/>
  <c r="Q143" i="17"/>
  <c r="X143" i="17" s="1"/>
  <c r="P143" i="17"/>
  <c r="O143" i="17"/>
  <c r="N143" i="17"/>
  <c r="M143" i="17"/>
  <c r="K143" i="17"/>
  <c r="J143" i="17"/>
  <c r="I143" i="17"/>
  <c r="H143" i="17"/>
  <c r="G143" i="17"/>
  <c r="V143" i="17" s="1"/>
  <c r="F143" i="17"/>
  <c r="E143" i="17"/>
  <c r="D143" i="17"/>
  <c r="AP143" i="17" s="1"/>
  <c r="C143" i="17"/>
  <c r="A143" i="17"/>
  <c r="ED142" i="17"/>
  <c r="EC142" i="17"/>
  <c r="EA142" i="17"/>
  <c r="DZ142" i="17"/>
  <c r="DY142" i="17"/>
  <c r="S142" i="17"/>
  <c r="R142" i="17"/>
  <c r="Q142" i="17"/>
  <c r="X142" i="17" s="1"/>
  <c r="P142" i="17"/>
  <c r="O142" i="17"/>
  <c r="N142" i="17"/>
  <c r="M142" i="17"/>
  <c r="K142" i="17"/>
  <c r="W142" i="17" s="1"/>
  <c r="J142" i="17"/>
  <c r="I142" i="17"/>
  <c r="H142" i="17"/>
  <c r="G142" i="17"/>
  <c r="V142" i="17" s="1"/>
  <c r="F142" i="17"/>
  <c r="E142" i="17"/>
  <c r="D142" i="17"/>
  <c r="AP142" i="17" s="1"/>
  <c r="C142" i="17"/>
  <c r="A142" i="17"/>
  <c r="ED141" i="17"/>
  <c r="EC141" i="17"/>
  <c r="EA141" i="17"/>
  <c r="DZ141" i="17"/>
  <c r="DY141" i="17"/>
  <c r="S141" i="17"/>
  <c r="R141" i="17"/>
  <c r="Q141" i="17"/>
  <c r="X141" i="17" s="1"/>
  <c r="P141" i="17"/>
  <c r="O141" i="17"/>
  <c r="N141" i="17"/>
  <c r="M141" i="17"/>
  <c r="K141" i="17"/>
  <c r="W141" i="17" s="1"/>
  <c r="J141" i="17"/>
  <c r="I141" i="17"/>
  <c r="H141" i="17"/>
  <c r="G141" i="17"/>
  <c r="V141" i="17" s="1"/>
  <c r="F141" i="17"/>
  <c r="E141" i="17"/>
  <c r="D141" i="17"/>
  <c r="AP141" i="17" s="1"/>
  <c r="C141" i="17"/>
  <c r="A141" i="17"/>
  <c r="ED140" i="17"/>
  <c r="EC140" i="17"/>
  <c r="EA140" i="17"/>
  <c r="DZ140" i="17"/>
  <c r="DY140" i="17"/>
  <c r="S140" i="17"/>
  <c r="R140" i="17"/>
  <c r="Q140" i="17"/>
  <c r="X140" i="17" s="1"/>
  <c r="P140" i="17"/>
  <c r="O140" i="17"/>
  <c r="N140" i="17"/>
  <c r="M140" i="17"/>
  <c r="K140" i="17"/>
  <c r="W140" i="17" s="1"/>
  <c r="J140" i="17"/>
  <c r="I140" i="17"/>
  <c r="H140" i="17"/>
  <c r="G140" i="17"/>
  <c r="V140" i="17" s="1"/>
  <c r="F140" i="17"/>
  <c r="E140" i="17"/>
  <c r="D140" i="17"/>
  <c r="AP140" i="17" s="1"/>
  <c r="C140" i="17"/>
  <c r="A140" i="17"/>
  <c r="ED139" i="17"/>
  <c r="EC139" i="17"/>
  <c r="EA139" i="17"/>
  <c r="DZ139" i="17"/>
  <c r="DY139" i="17"/>
  <c r="S139" i="17"/>
  <c r="R139" i="17"/>
  <c r="Q139" i="17"/>
  <c r="X139" i="17" s="1"/>
  <c r="P139" i="17"/>
  <c r="O139" i="17"/>
  <c r="N139" i="17"/>
  <c r="M139" i="17"/>
  <c r="K139" i="17"/>
  <c r="W139" i="17" s="1"/>
  <c r="J139" i="17"/>
  <c r="I139" i="17"/>
  <c r="H139" i="17"/>
  <c r="G139" i="17"/>
  <c r="V139" i="17" s="1"/>
  <c r="F139" i="17"/>
  <c r="E139" i="17"/>
  <c r="D139" i="17"/>
  <c r="AP139" i="17" s="1"/>
  <c r="C139" i="17"/>
  <c r="A139" i="17"/>
  <c r="ED138" i="17"/>
  <c r="EC138" i="17"/>
  <c r="EA138" i="17"/>
  <c r="DZ138" i="17"/>
  <c r="DY138" i="17"/>
  <c r="S138" i="17"/>
  <c r="R138" i="17"/>
  <c r="Q138" i="17"/>
  <c r="X138" i="17" s="1"/>
  <c r="P138" i="17"/>
  <c r="O138" i="17"/>
  <c r="N138" i="17"/>
  <c r="M138" i="17"/>
  <c r="K138" i="17"/>
  <c r="W138" i="17" s="1"/>
  <c r="J138" i="17"/>
  <c r="I138" i="17"/>
  <c r="H138" i="17"/>
  <c r="G138" i="17"/>
  <c r="V138" i="17" s="1"/>
  <c r="F138" i="17"/>
  <c r="E138" i="17"/>
  <c r="D138" i="17"/>
  <c r="AP138" i="17" s="1"/>
  <c r="C138" i="17"/>
  <c r="A138" i="17"/>
  <c r="ED137" i="17"/>
  <c r="EC137" i="17"/>
  <c r="EA137" i="17"/>
  <c r="DZ137" i="17"/>
  <c r="DY137" i="17"/>
  <c r="S137" i="17"/>
  <c r="R137" i="17"/>
  <c r="Q137" i="17"/>
  <c r="X137" i="17" s="1"/>
  <c r="P137" i="17"/>
  <c r="O137" i="17"/>
  <c r="N137" i="17"/>
  <c r="M137" i="17"/>
  <c r="K137" i="17"/>
  <c r="W137" i="17" s="1"/>
  <c r="J137" i="17"/>
  <c r="I137" i="17"/>
  <c r="H137" i="17"/>
  <c r="G137" i="17"/>
  <c r="V137" i="17" s="1"/>
  <c r="F137" i="17"/>
  <c r="E137" i="17"/>
  <c r="D137" i="17"/>
  <c r="AP137" i="17" s="1"/>
  <c r="C137" i="17"/>
  <c r="A137" i="17"/>
  <c r="ED136" i="17"/>
  <c r="EC136" i="17"/>
  <c r="EA136" i="17"/>
  <c r="DZ136" i="17"/>
  <c r="DY136" i="17"/>
  <c r="S136" i="17"/>
  <c r="R136" i="17"/>
  <c r="Q136" i="17"/>
  <c r="X136" i="17" s="1"/>
  <c r="P136" i="17"/>
  <c r="O136" i="17"/>
  <c r="N136" i="17"/>
  <c r="M136" i="17"/>
  <c r="K136" i="17"/>
  <c r="J136" i="17"/>
  <c r="I136" i="17"/>
  <c r="H136" i="17"/>
  <c r="G136" i="17"/>
  <c r="V136" i="17" s="1"/>
  <c r="F136" i="17"/>
  <c r="E136" i="17"/>
  <c r="D136" i="17"/>
  <c r="AP136" i="17" s="1"/>
  <c r="C136" i="17"/>
  <c r="A136" i="17"/>
  <c r="ED135" i="17"/>
  <c r="EC135" i="17"/>
  <c r="EA135" i="17"/>
  <c r="DZ135" i="17"/>
  <c r="DY135" i="17"/>
  <c r="S135" i="17"/>
  <c r="R135" i="17"/>
  <c r="Q135" i="17"/>
  <c r="X135" i="17" s="1"/>
  <c r="P135" i="17"/>
  <c r="O135" i="17"/>
  <c r="N135" i="17"/>
  <c r="M135" i="17"/>
  <c r="K135" i="17"/>
  <c r="J135" i="17"/>
  <c r="I135" i="17"/>
  <c r="H135" i="17"/>
  <c r="G135" i="17"/>
  <c r="V135" i="17" s="1"/>
  <c r="F135" i="17"/>
  <c r="E135" i="17"/>
  <c r="D135" i="17"/>
  <c r="AP135" i="17" s="1"/>
  <c r="C135" i="17"/>
  <c r="A135" i="17"/>
  <c r="ED134" i="17"/>
  <c r="EC134" i="17"/>
  <c r="EA134" i="17"/>
  <c r="DZ134" i="17"/>
  <c r="DY134" i="17"/>
  <c r="S134" i="17"/>
  <c r="R134" i="17"/>
  <c r="Q134" i="17"/>
  <c r="X134" i="17" s="1"/>
  <c r="P134" i="17"/>
  <c r="O134" i="17"/>
  <c r="N134" i="17"/>
  <c r="M134" i="17"/>
  <c r="K134" i="17"/>
  <c r="W134" i="17" s="1"/>
  <c r="J134" i="17"/>
  <c r="I134" i="17"/>
  <c r="H134" i="17"/>
  <c r="G134" i="17"/>
  <c r="V134" i="17" s="1"/>
  <c r="F134" i="17"/>
  <c r="E134" i="17"/>
  <c r="D134" i="17"/>
  <c r="AP134" i="17" s="1"/>
  <c r="C134" i="17"/>
  <c r="A134" i="17"/>
  <c r="ED133" i="17"/>
  <c r="EC133" i="17"/>
  <c r="EA133" i="17"/>
  <c r="DZ133" i="17"/>
  <c r="DY133" i="17"/>
  <c r="S133" i="17"/>
  <c r="R133" i="17"/>
  <c r="Q133" i="17"/>
  <c r="X133" i="17" s="1"/>
  <c r="P133" i="17"/>
  <c r="O133" i="17"/>
  <c r="N133" i="17"/>
  <c r="M133" i="17"/>
  <c r="K133" i="17"/>
  <c r="W133" i="17" s="1"/>
  <c r="J133" i="17"/>
  <c r="I133" i="17"/>
  <c r="H133" i="17"/>
  <c r="G133" i="17"/>
  <c r="V133" i="17" s="1"/>
  <c r="F133" i="17"/>
  <c r="E133" i="17"/>
  <c r="D133" i="17"/>
  <c r="C133" i="17"/>
  <c r="A133" i="17"/>
  <c r="ED132" i="17"/>
  <c r="EC132" i="17"/>
  <c r="EA132" i="17"/>
  <c r="DZ132" i="17"/>
  <c r="DY132" i="17"/>
  <c r="S132" i="17"/>
  <c r="R132" i="17"/>
  <c r="Q132" i="17"/>
  <c r="X132" i="17" s="1"/>
  <c r="P132" i="17"/>
  <c r="O132" i="17"/>
  <c r="N132" i="17"/>
  <c r="M132" i="17"/>
  <c r="K132" i="17"/>
  <c r="W132" i="17" s="1"/>
  <c r="J132" i="17"/>
  <c r="I132" i="17"/>
  <c r="H132" i="17"/>
  <c r="G132" i="17"/>
  <c r="V132" i="17" s="1"/>
  <c r="F132" i="17"/>
  <c r="E132" i="17"/>
  <c r="D132" i="17"/>
  <c r="AP132" i="17" s="1"/>
  <c r="C132" i="17"/>
  <c r="A132" i="17"/>
  <c r="ED131" i="17"/>
  <c r="EC131" i="17"/>
  <c r="EA131" i="17"/>
  <c r="DZ131" i="17"/>
  <c r="DY131" i="17"/>
  <c r="S131" i="17"/>
  <c r="R131" i="17"/>
  <c r="Q131" i="17"/>
  <c r="X131" i="17" s="1"/>
  <c r="P131" i="17"/>
  <c r="O131" i="17"/>
  <c r="N131" i="17"/>
  <c r="M131" i="17"/>
  <c r="K131" i="17"/>
  <c r="W131" i="17" s="1"/>
  <c r="J131" i="17"/>
  <c r="I131" i="17"/>
  <c r="H131" i="17"/>
  <c r="G131" i="17"/>
  <c r="V131" i="17" s="1"/>
  <c r="F131" i="17"/>
  <c r="E131" i="17"/>
  <c r="D131" i="17"/>
  <c r="AP131" i="17" s="1"/>
  <c r="C131" i="17"/>
  <c r="A131" i="17"/>
  <c r="ED130" i="17"/>
  <c r="EC130" i="17"/>
  <c r="EA130" i="17"/>
  <c r="DZ130" i="17"/>
  <c r="DY130" i="17"/>
  <c r="S130" i="17"/>
  <c r="R130" i="17"/>
  <c r="Q130" i="17"/>
  <c r="X130" i="17" s="1"/>
  <c r="P130" i="17"/>
  <c r="O130" i="17"/>
  <c r="N130" i="17"/>
  <c r="M130" i="17"/>
  <c r="K130" i="17"/>
  <c r="W130" i="17" s="1"/>
  <c r="J130" i="17"/>
  <c r="I130" i="17"/>
  <c r="H130" i="17"/>
  <c r="G130" i="17"/>
  <c r="V130" i="17" s="1"/>
  <c r="F130" i="17"/>
  <c r="E130" i="17"/>
  <c r="D130" i="17"/>
  <c r="AP130" i="17" s="1"/>
  <c r="C130" i="17"/>
  <c r="A130" i="17"/>
  <c r="ED129" i="17"/>
  <c r="EC129" i="17"/>
  <c r="EA129" i="17"/>
  <c r="DZ129" i="17"/>
  <c r="DY129" i="17"/>
  <c r="S129" i="17"/>
  <c r="R129" i="17"/>
  <c r="Q129" i="17"/>
  <c r="X129" i="17" s="1"/>
  <c r="P129" i="17"/>
  <c r="O129" i="17"/>
  <c r="N129" i="17"/>
  <c r="M129" i="17"/>
  <c r="K129" i="17"/>
  <c r="J129" i="17"/>
  <c r="I129" i="17"/>
  <c r="H129" i="17"/>
  <c r="G129" i="17"/>
  <c r="V129" i="17" s="1"/>
  <c r="F129" i="17"/>
  <c r="E129" i="17"/>
  <c r="D129" i="17"/>
  <c r="AP129" i="17" s="1"/>
  <c r="C129" i="17"/>
  <c r="T129" i="17" s="1"/>
  <c r="A129" i="17"/>
  <c r="ED128" i="17"/>
  <c r="EC128" i="17"/>
  <c r="EA128" i="17"/>
  <c r="DZ128" i="17"/>
  <c r="DY128" i="17"/>
  <c r="S128" i="17"/>
  <c r="R128" i="17"/>
  <c r="Q128" i="17"/>
  <c r="X128" i="17" s="1"/>
  <c r="P128" i="17"/>
  <c r="O128" i="17"/>
  <c r="N128" i="17"/>
  <c r="M128" i="17"/>
  <c r="K128" i="17"/>
  <c r="W128" i="17" s="1"/>
  <c r="J128" i="17"/>
  <c r="I128" i="17"/>
  <c r="H128" i="17"/>
  <c r="G128" i="17"/>
  <c r="V128" i="17" s="1"/>
  <c r="F128" i="17"/>
  <c r="E128" i="17"/>
  <c r="D128" i="17"/>
  <c r="AP128" i="17" s="1"/>
  <c r="C128" i="17"/>
  <c r="A128" i="17"/>
  <c r="ED127" i="17"/>
  <c r="EC127" i="17"/>
  <c r="EA127" i="17"/>
  <c r="DZ127" i="17"/>
  <c r="DY127" i="17"/>
  <c r="S127" i="17"/>
  <c r="R127" i="17"/>
  <c r="Q127" i="17"/>
  <c r="X127" i="17" s="1"/>
  <c r="P127" i="17"/>
  <c r="O127" i="17"/>
  <c r="N127" i="17"/>
  <c r="M127" i="17"/>
  <c r="K127" i="17"/>
  <c r="J127" i="17"/>
  <c r="I127" i="17"/>
  <c r="H127" i="17"/>
  <c r="G127" i="17"/>
  <c r="V127" i="17" s="1"/>
  <c r="F127" i="17"/>
  <c r="E127" i="17"/>
  <c r="D127" i="17"/>
  <c r="AP127" i="17" s="1"/>
  <c r="C127" i="17"/>
  <c r="A127" i="17"/>
  <c r="ED126" i="17"/>
  <c r="EC126" i="17"/>
  <c r="EA126" i="17"/>
  <c r="DZ126" i="17"/>
  <c r="DY126" i="17"/>
  <c r="S126" i="17"/>
  <c r="R126" i="17"/>
  <c r="Q126" i="17"/>
  <c r="X126" i="17" s="1"/>
  <c r="P126" i="17"/>
  <c r="O126" i="17"/>
  <c r="N126" i="17"/>
  <c r="M126" i="17"/>
  <c r="K126" i="17"/>
  <c r="J126" i="17"/>
  <c r="I126" i="17"/>
  <c r="H126" i="17"/>
  <c r="G126" i="17"/>
  <c r="V126" i="17" s="1"/>
  <c r="F126" i="17"/>
  <c r="E126" i="17"/>
  <c r="D126" i="17"/>
  <c r="AP126" i="17" s="1"/>
  <c r="C126" i="17"/>
  <c r="A126" i="17"/>
  <c r="ED125" i="17"/>
  <c r="EC125" i="17"/>
  <c r="EA125" i="17"/>
  <c r="DZ125" i="17"/>
  <c r="DY125" i="17"/>
  <c r="S125" i="17"/>
  <c r="R125" i="17"/>
  <c r="Q125" i="17"/>
  <c r="X125" i="17" s="1"/>
  <c r="P125" i="17"/>
  <c r="O125" i="17"/>
  <c r="N125" i="17"/>
  <c r="M125" i="17"/>
  <c r="K125" i="17"/>
  <c r="J125" i="17"/>
  <c r="I125" i="17"/>
  <c r="H125" i="17"/>
  <c r="G125" i="17"/>
  <c r="V125" i="17" s="1"/>
  <c r="F125" i="17"/>
  <c r="E125" i="17"/>
  <c r="D125" i="17"/>
  <c r="AP125" i="17" s="1"/>
  <c r="C125" i="17"/>
  <c r="A125" i="17"/>
  <c r="ED124" i="17"/>
  <c r="EC124" i="17"/>
  <c r="EA124" i="17"/>
  <c r="DZ124" i="17"/>
  <c r="DY124" i="17"/>
  <c r="S124" i="17"/>
  <c r="R124" i="17"/>
  <c r="Q124" i="17"/>
  <c r="X124" i="17" s="1"/>
  <c r="P124" i="17"/>
  <c r="O124" i="17"/>
  <c r="N124" i="17"/>
  <c r="M124" i="17"/>
  <c r="K124" i="17"/>
  <c r="J124" i="17"/>
  <c r="I124" i="17"/>
  <c r="H124" i="17"/>
  <c r="G124" i="17"/>
  <c r="V124" i="17" s="1"/>
  <c r="F124" i="17"/>
  <c r="E124" i="17"/>
  <c r="D124" i="17"/>
  <c r="AP124" i="17" s="1"/>
  <c r="C124" i="17"/>
  <c r="A124" i="17"/>
  <c r="ED123" i="17"/>
  <c r="EC123" i="17"/>
  <c r="EA123" i="17"/>
  <c r="DZ123" i="17"/>
  <c r="DY123" i="17"/>
  <c r="S123" i="17"/>
  <c r="R123" i="17"/>
  <c r="Q123" i="17"/>
  <c r="X123" i="17" s="1"/>
  <c r="P123" i="17"/>
  <c r="O123" i="17"/>
  <c r="N123" i="17"/>
  <c r="M123" i="17"/>
  <c r="K123" i="17"/>
  <c r="J123" i="17"/>
  <c r="I123" i="17"/>
  <c r="H123" i="17"/>
  <c r="G123" i="17"/>
  <c r="V123" i="17" s="1"/>
  <c r="F123" i="17"/>
  <c r="E123" i="17"/>
  <c r="D123" i="17"/>
  <c r="AP123" i="17" s="1"/>
  <c r="C123" i="17"/>
  <c r="A123" i="17"/>
  <c r="ED122" i="17"/>
  <c r="EC122" i="17"/>
  <c r="EA122" i="17"/>
  <c r="DZ122" i="17"/>
  <c r="DY122" i="17"/>
  <c r="S122" i="17"/>
  <c r="R122" i="17"/>
  <c r="Q122" i="17"/>
  <c r="X122" i="17" s="1"/>
  <c r="P122" i="17"/>
  <c r="O122" i="17"/>
  <c r="N122" i="17"/>
  <c r="M122" i="17"/>
  <c r="K122" i="17"/>
  <c r="W122" i="17" s="1"/>
  <c r="J122" i="17"/>
  <c r="I122" i="17"/>
  <c r="H122" i="17"/>
  <c r="G122" i="17"/>
  <c r="V122" i="17" s="1"/>
  <c r="F122" i="17"/>
  <c r="E122" i="17"/>
  <c r="D122" i="17"/>
  <c r="AP122" i="17" s="1"/>
  <c r="C122" i="17"/>
  <c r="A122" i="17"/>
  <c r="ED121" i="17"/>
  <c r="EC121" i="17"/>
  <c r="EA121" i="17"/>
  <c r="DZ121" i="17"/>
  <c r="DY121" i="17"/>
  <c r="S121" i="17"/>
  <c r="R121" i="17"/>
  <c r="Q121" i="17"/>
  <c r="X121" i="17" s="1"/>
  <c r="P121" i="17"/>
  <c r="O121" i="17"/>
  <c r="N121" i="17"/>
  <c r="M121" i="17"/>
  <c r="K121" i="17"/>
  <c r="J121" i="17"/>
  <c r="I121" i="17"/>
  <c r="H121" i="17"/>
  <c r="G121" i="17"/>
  <c r="V121" i="17" s="1"/>
  <c r="F121" i="17"/>
  <c r="E121" i="17"/>
  <c r="D121" i="17"/>
  <c r="AP121" i="17" s="1"/>
  <c r="C121" i="17"/>
  <c r="A121" i="17"/>
  <c r="ED120" i="17"/>
  <c r="EC120" i="17"/>
  <c r="EA120" i="17"/>
  <c r="DZ120" i="17"/>
  <c r="DY120" i="17"/>
  <c r="S120" i="17"/>
  <c r="R120" i="17"/>
  <c r="Q120" i="17"/>
  <c r="X120" i="17" s="1"/>
  <c r="P120" i="17"/>
  <c r="O120" i="17"/>
  <c r="N120" i="17"/>
  <c r="M120" i="17"/>
  <c r="K120" i="17"/>
  <c r="J120" i="17"/>
  <c r="I120" i="17"/>
  <c r="H120" i="17"/>
  <c r="G120" i="17"/>
  <c r="V120" i="17" s="1"/>
  <c r="F120" i="17"/>
  <c r="E120" i="17"/>
  <c r="D120" i="17"/>
  <c r="AP120" i="17" s="1"/>
  <c r="C120" i="17"/>
  <c r="A120" i="17"/>
  <c r="ED119" i="17"/>
  <c r="EC119" i="17"/>
  <c r="EA119" i="17"/>
  <c r="DZ119" i="17"/>
  <c r="DY119" i="17"/>
  <c r="S119" i="17"/>
  <c r="R119" i="17"/>
  <c r="Q119" i="17"/>
  <c r="X119" i="17" s="1"/>
  <c r="P119" i="17"/>
  <c r="O119" i="17"/>
  <c r="N119" i="17"/>
  <c r="M119" i="17"/>
  <c r="K119" i="17"/>
  <c r="J119" i="17"/>
  <c r="I119" i="17"/>
  <c r="H119" i="17"/>
  <c r="G119" i="17"/>
  <c r="V119" i="17" s="1"/>
  <c r="F119" i="17"/>
  <c r="E119" i="17"/>
  <c r="D119" i="17"/>
  <c r="AP119" i="17" s="1"/>
  <c r="C119" i="17"/>
  <c r="A119" i="17"/>
  <c r="ED118" i="17"/>
  <c r="EC118" i="17"/>
  <c r="EA118" i="17"/>
  <c r="DZ118" i="17"/>
  <c r="DY118" i="17"/>
  <c r="S118" i="17"/>
  <c r="R118" i="17"/>
  <c r="Q118" i="17"/>
  <c r="X118" i="17" s="1"/>
  <c r="P118" i="17"/>
  <c r="O118" i="17"/>
  <c r="N118" i="17"/>
  <c r="M118" i="17"/>
  <c r="K118" i="17"/>
  <c r="J118" i="17"/>
  <c r="I118" i="17"/>
  <c r="H118" i="17"/>
  <c r="G118" i="17"/>
  <c r="V118" i="17" s="1"/>
  <c r="F118" i="17"/>
  <c r="E118" i="17"/>
  <c r="D118" i="17"/>
  <c r="AP118" i="17" s="1"/>
  <c r="C118" i="17"/>
  <c r="A118" i="17"/>
  <c r="ED117" i="17"/>
  <c r="EC117" i="17"/>
  <c r="EA117" i="17"/>
  <c r="DZ117" i="17"/>
  <c r="DY117" i="17"/>
  <c r="S117" i="17"/>
  <c r="R117" i="17"/>
  <c r="Q117" i="17"/>
  <c r="X117" i="17" s="1"/>
  <c r="P117" i="17"/>
  <c r="O117" i="17"/>
  <c r="N117" i="17"/>
  <c r="M117" i="17"/>
  <c r="K117" i="17"/>
  <c r="J117" i="17"/>
  <c r="I117" i="17"/>
  <c r="H117" i="17"/>
  <c r="G117" i="17"/>
  <c r="V117" i="17" s="1"/>
  <c r="F117" i="17"/>
  <c r="E117" i="17"/>
  <c r="D117" i="17"/>
  <c r="AP117" i="17" s="1"/>
  <c r="C117" i="17"/>
  <c r="A117" i="17"/>
  <c r="ED116" i="17"/>
  <c r="EC116" i="17"/>
  <c r="EA116" i="17"/>
  <c r="DZ116" i="17"/>
  <c r="DY116" i="17"/>
  <c r="S116" i="17"/>
  <c r="R116" i="17"/>
  <c r="Q116" i="17"/>
  <c r="X116" i="17" s="1"/>
  <c r="P116" i="17"/>
  <c r="O116" i="17"/>
  <c r="N116" i="17"/>
  <c r="M116" i="17"/>
  <c r="K116" i="17"/>
  <c r="J116" i="17"/>
  <c r="I116" i="17"/>
  <c r="H116" i="17"/>
  <c r="G116" i="17"/>
  <c r="V116" i="17" s="1"/>
  <c r="F116" i="17"/>
  <c r="E116" i="17"/>
  <c r="D116" i="17"/>
  <c r="AP116" i="17" s="1"/>
  <c r="C116" i="17"/>
  <c r="A116" i="17"/>
  <c r="ED115" i="17"/>
  <c r="EC115" i="17"/>
  <c r="EA115" i="17"/>
  <c r="DZ115" i="17"/>
  <c r="DY115" i="17"/>
  <c r="S115" i="17"/>
  <c r="R115" i="17"/>
  <c r="Q115" i="17"/>
  <c r="X115" i="17" s="1"/>
  <c r="P115" i="17"/>
  <c r="O115" i="17"/>
  <c r="N115" i="17"/>
  <c r="M115" i="17"/>
  <c r="K115" i="17"/>
  <c r="W115" i="17" s="1"/>
  <c r="J115" i="17"/>
  <c r="I115" i="17"/>
  <c r="H115" i="17"/>
  <c r="G115" i="17"/>
  <c r="V115" i="17" s="1"/>
  <c r="F115" i="17"/>
  <c r="E115" i="17"/>
  <c r="D115" i="17"/>
  <c r="AP115" i="17" s="1"/>
  <c r="C115" i="17"/>
  <c r="A115" i="17"/>
  <c r="ED114" i="17"/>
  <c r="EC114" i="17"/>
  <c r="EA114" i="17"/>
  <c r="DZ114" i="17"/>
  <c r="DY114" i="17"/>
  <c r="S114" i="17"/>
  <c r="R114" i="17"/>
  <c r="Q114" i="17"/>
  <c r="X114" i="17" s="1"/>
  <c r="P114" i="17"/>
  <c r="O114" i="17"/>
  <c r="N114" i="17"/>
  <c r="M114" i="17"/>
  <c r="K114" i="17"/>
  <c r="J114" i="17"/>
  <c r="I114" i="17"/>
  <c r="H114" i="17"/>
  <c r="G114" i="17"/>
  <c r="V114" i="17" s="1"/>
  <c r="F114" i="17"/>
  <c r="E114" i="17"/>
  <c r="D114" i="17"/>
  <c r="AP114" i="17" s="1"/>
  <c r="C114" i="17"/>
  <c r="A114" i="17"/>
  <c r="ED113" i="17"/>
  <c r="EC113" i="17"/>
  <c r="EA113" i="17"/>
  <c r="DZ113" i="17"/>
  <c r="DY113" i="17"/>
  <c r="S113" i="17"/>
  <c r="R113" i="17"/>
  <c r="Q113" i="17"/>
  <c r="X113" i="17" s="1"/>
  <c r="P113" i="17"/>
  <c r="O113" i="17"/>
  <c r="N113" i="17"/>
  <c r="M113" i="17"/>
  <c r="K113" i="17"/>
  <c r="J113" i="17"/>
  <c r="I113" i="17"/>
  <c r="H113" i="17"/>
  <c r="G113" i="17"/>
  <c r="V113" i="17" s="1"/>
  <c r="F113" i="17"/>
  <c r="E113" i="17"/>
  <c r="D113" i="17"/>
  <c r="AP113" i="17" s="1"/>
  <c r="C113" i="17"/>
  <c r="A113" i="17"/>
  <c r="ED112" i="17"/>
  <c r="EC112" i="17"/>
  <c r="EA112" i="17"/>
  <c r="DZ112" i="17"/>
  <c r="DY112" i="17"/>
  <c r="S112" i="17"/>
  <c r="R112" i="17"/>
  <c r="Q112" i="17"/>
  <c r="X112" i="17" s="1"/>
  <c r="P112" i="17"/>
  <c r="O112" i="17"/>
  <c r="N112" i="17"/>
  <c r="M112" i="17"/>
  <c r="K112" i="17"/>
  <c r="W112" i="17" s="1"/>
  <c r="J112" i="17"/>
  <c r="I112" i="17"/>
  <c r="H112" i="17"/>
  <c r="G112" i="17"/>
  <c r="V112" i="17" s="1"/>
  <c r="F112" i="17"/>
  <c r="E112" i="17"/>
  <c r="D112" i="17"/>
  <c r="AP112" i="17" s="1"/>
  <c r="C112" i="17"/>
  <c r="A112" i="17"/>
  <c r="ED111" i="17"/>
  <c r="EC111" i="17"/>
  <c r="EA111" i="17"/>
  <c r="DZ111" i="17"/>
  <c r="DY111" i="17"/>
  <c r="S111" i="17"/>
  <c r="R111" i="17"/>
  <c r="Q111" i="17"/>
  <c r="X111" i="17" s="1"/>
  <c r="P111" i="17"/>
  <c r="O111" i="17"/>
  <c r="N111" i="17"/>
  <c r="M111" i="17"/>
  <c r="K111" i="17"/>
  <c r="W111" i="17" s="1"/>
  <c r="J111" i="17"/>
  <c r="I111" i="17"/>
  <c r="H111" i="17"/>
  <c r="G111" i="17"/>
  <c r="V111" i="17" s="1"/>
  <c r="F111" i="17"/>
  <c r="E111" i="17"/>
  <c r="D111" i="17"/>
  <c r="AP111" i="17" s="1"/>
  <c r="C111" i="17"/>
  <c r="A111" i="17"/>
  <c r="ED110" i="17"/>
  <c r="EC110" i="17"/>
  <c r="EA110" i="17"/>
  <c r="DZ110" i="17"/>
  <c r="DY110" i="17"/>
  <c r="S110" i="17"/>
  <c r="R110" i="17"/>
  <c r="Q110" i="17"/>
  <c r="X110" i="17" s="1"/>
  <c r="P110" i="17"/>
  <c r="O110" i="17"/>
  <c r="N110" i="17"/>
  <c r="M110" i="17"/>
  <c r="K110" i="17"/>
  <c r="J110" i="17"/>
  <c r="I110" i="17"/>
  <c r="H110" i="17"/>
  <c r="G110" i="17"/>
  <c r="V110" i="17" s="1"/>
  <c r="F110" i="17"/>
  <c r="E110" i="17"/>
  <c r="D110" i="17"/>
  <c r="AP110" i="17" s="1"/>
  <c r="C110" i="17"/>
  <c r="A110" i="17"/>
  <c r="ED109" i="17"/>
  <c r="EC109" i="17"/>
  <c r="EA109" i="17"/>
  <c r="DZ109" i="17"/>
  <c r="DY109" i="17"/>
  <c r="S109" i="17"/>
  <c r="R109" i="17"/>
  <c r="Q109" i="17"/>
  <c r="X109" i="17" s="1"/>
  <c r="P109" i="17"/>
  <c r="O109" i="17"/>
  <c r="N109" i="17"/>
  <c r="M109" i="17"/>
  <c r="K109" i="17"/>
  <c r="W109" i="17" s="1"/>
  <c r="J109" i="17"/>
  <c r="I109" i="17"/>
  <c r="H109" i="17"/>
  <c r="G109" i="17"/>
  <c r="V109" i="17" s="1"/>
  <c r="F109" i="17"/>
  <c r="E109" i="17"/>
  <c r="D109" i="17"/>
  <c r="AP109" i="17" s="1"/>
  <c r="C109" i="17"/>
  <c r="A109" i="17"/>
  <c r="ED108" i="17"/>
  <c r="EC108" i="17"/>
  <c r="EA108" i="17"/>
  <c r="DZ108" i="17"/>
  <c r="DY108" i="17"/>
  <c r="S108" i="17"/>
  <c r="R108" i="17"/>
  <c r="Q108" i="17"/>
  <c r="X108" i="17" s="1"/>
  <c r="P108" i="17"/>
  <c r="O108" i="17"/>
  <c r="N108" i="17"/>
  <c r="M108" i="17"/>
  <c r="K108" i="17"/>
  <c r="W108" i="17" s="1"/>
  <c r="J108" i="17"/>
  <c r="I108" i="17"/>
  <c r="H108" i="17"/>
  <c r="G108" i="17"/>
  <c r="V108" i="17" s="1"/>
  <c r="F108" i="17"/>
  <c r="E108" i="17"/>
  <c r="D108" i="17"/>
  <c r="AP108" i="17" s="1"/>
  <c r="C108" i="17"/>
  <c r="T108" i="17" s="1"/>
  <c r="A108" i="17"/>
  <c r="ED107" i="17"/>
  <c r="EC107" i="17"/>
  <c r="EA107" i="17"/>
  <c r="DZ107" i="17"/>
  <c r="DY107" i="17"/>
  <c r="S107" i="17"/>
  <c r="R107" i="17"/>
  <c r="Q107" i="17"/>
  <c r="X107" i="17" s="1"/>
  <c r="P107" i="17"/>
  <c r="O107" i="17"/>
  <c r="N107" i="17"/>
  <c r="M107" i="17"/>
  <c r="K107" i="17"/>
  <c r="W107" i="17" s="1"/>
  <c r="J107" i="17"/>
  <c r="I107" i="17"/>
  <c r="H107" i="17"/>
  <c r="G107" i="17"/>
  <c r="V107" i="17" s="1"/>
  <c r="F107" i="17"/>
  <c r="E107" i="17"/>
  <c r="D107" i="17"/>
  <c r="AP107" i="17" s="1"/>
  <c r="C107" i="17"/>
  <c r="A107" i="17"/>
  <c r="ED106" i="17"/>
  <c r="EC106" i="17"/>
  <c r="EA106" i="17"/>
  <c r="DZ106" i="17"/>
  <c r="DY106" i="17"/>
  <c r="S106" i="17"/>
  <c r="R106" i="17"/>
  <c r="Q106" i="17"/>
  <c r="X106" i="17" s="1"/>
  <c r="P106" i="17"/>
  <c r="O106" i="17"/>
  <c r="N106" i="17"/>
  <c r="M106" i="17"/>
  <c r="K106" i="17"/>
  <c r="W106" i="17" s="1"/>
  <c r="J106" i="17"/>
  <c r="I106" i="17"/>
  <c r="H106" i="17"/>
  <c r="G106" i="17"/>
  <c r="V106" i="17" s="1"/>
  <c r="F106" i="17"/>
  <c r="E106" i="17"/>
  <c r="D106" i="17"/>
  <c r="AP106" i="17" s="1"/>
  <c r="C106" i="17"/>
  <c r="A106" i="17"/>
  <c r="ED105" i="17"/>
  <c r="EC105" i="17"/>
  <c r="EA105" i="17"/>
  <c r="DZ105" i="17"/>
  <c r="DY105" i="17"/>
  <c r="S105" i="17"/>
  <c r="R105" i="17"/>
  <c r="Q105" i="17"/>
  <c r="X105" i="17" s="1"/>
  <c r="P105" i="17"/>
  <c r="O105" i="17"/>
  <c r="N105" i="17"/>
  <c r="M105" i="17"/>
  <c r="K105" i="17"/>
  <c r="W105" i="17" s="1"/>
  <c r="J105" i="17"/>
  <c r="I105" i="17"/>
  <c r="H105" i="17"/>
  <c r="G105" i="17"/>
  <c r="V105" i="17" s="1"/>
  <c r="F105" i="17"/>
  <c r="E105" i="17"/>
  <c r="D105" i="17"/>
  <c r="AP105" i="17" s="1"/>
  <c r="C105" i="17"/>
  <c r="A105" i="17"/>
  <c r="ED104" i="17"/>
  <c r="EC104" i="17"/>
  <c r="EA104" i="17"/>
  <c r="DZ104" i="17"/>
  <c r="DY104" i="17"/>
  <c r="S104" i="17"/>
  <c r="R104" i="17"/>
  <c r="Q104" i="17"/>
  <c r="X104" i="17" s="1"/>
  <c r="P104" i="17"/>
  <c r="O104" i="17"/>
  <c r="N104" i="17"/>
  <c r="M104" i="17"/>
  <c r="K104" i="17"/>
  <c r="W104" i="17" s="1"/>
  <c r="J104" i="17"/>
  <c r="I104" i="17"/>
  <c r="H104" i="17"/>
  <c r="G104" i="17"/>
  <c r="V104" i="17" s="1"/>
  <c r="F104" i="17"/>
  <c r="E104" i="17"/>
  <c r="D104" i="17"/>
  <c r="AP104" i="17" s="1"/>
  <c r="C104" i="17"/>
  <c r="A104" i="17"/>
  <c r="ED103" i="17"/>
  <c r="EC103" i="17"/>
  <c r="EA103" i="17"/>
  <c r="DZ103" i="17"/>
  <c r="DY103" i="17"/>
  <c r="S103" i="17"/>
  <c r="R103" i="17"/>
  <c r="Q103" i="17"/>
  <c r="X103" i="17" s="1"/>
  <c r="P103" i="17"/>
  <c r="O103" i="17"/>
  <c r="N103" i="17"/>
  <c r="M103" i="17"/>
  <c r="K103" i="17"/>
  <c r="W103" i="17" s="1"/>
  <c r="J103" i="17"/>
  <c r="I103" i="17"/>
  <c r="H103" i="17"/>
  <c r="G103" i="17"/>
  <c r="V103" i="17" s="1"/>
  <c r="F103" i="17"/>
  <c r="E103" i="17"/>
  <c r="D103" i="17"/>
  <c r="C103" i="17"/>
  <c r="T103" i="17" s="1"/>
  <c r="A103" i="17"/>
  <c r="ED102" i="17"/>
  <c r="EC102" i="17"/>
  <c r="EA102" i="17"/>
  <c r="DZ102" i="17"/>
  <c r="DY102" i="17"/>
  <c r="S102" i="17"/>
  <c r="R102" i="17"/>
  <c r="Q102" i="17"/>
  <c r="X102" i="17" s="1"/>
  <c r="P102" i="17"/>
  <c r="O102" i="17"/>
  <c r="N102" i="17"/>
  <c r="M102" i="17"/>
  <c r="K102" i="17"/>
  <c r="J102" i="17"/>
  <c r="I102" i="17"/>
  <c r="H102" i="17"/>
  <c r="G102" i="17"/>
  <c r="V102" i="17" s="1"/>
  <c r="F102" i="17"/>
  <c r="E102" i="17"/>
  <c r="D102" i="17"/>
  <c r="AP102" i="17" s="1"/>
  <c r="C102" i="17"/>
  <c r="A102" i="17"/>
  <c r="ED101" i="17"/>
  <c r="EC101" i="17"/>
  <c r="EA101" i="17"/>
  <c r="DZ101" i="17"/>
  <c r="DY101" i="17"/>
  <c r="S101" i="17"/>
  <c r="R101" i="17"/>
  <c r="Q101" i="17"/>
  <c r="X101" i="17" s="1"/>
  <c r="P101" i="17"/>
  <c r="O101" i="17"/>
  <c r="N101" i="17"/>
  <c r="M101" i="17"/>
  <c r="K101" i="17"/>
  <c r="J101" i="17"/>
  <c r="I101" i="17"/>
  <c r="H101" i="17"/>
  <c r="G101" i="17"/>
  <c r="V101" i="17" s="1"/>
  <c r="F101" i="17"/>
  <c r="E101" i="17"/>
  <c r="D101" i="17"/>
  <c r="AP101" i="17" s="1"/>
  <c r="C101" i="17"/>
  <c r="A101" i="17"/>
  <c r="ED100" i="17"/>
  <c r="EC100" i="17"/>
  <c r="EA100" i="17"/>
  <c r="DZ100" i="17"/>
  <c r="DY100" i="17"/>
  <c r="S100" i="17"/>
  <c r="R100" i="17"/>
  <c r="Q100" i="17"/>
  <c r="X100" i="17" s="1"/>
  <c r="P100" i="17"/>
  <c r="O100" i="17"/>
  <c r="N100" i="17"/>
  <c r="M100" i="17"/>
  <c r="K100" i="17"/>
  <c r="J100" i="17"/>
  <c r="I100" i="17"/>
  <c r="H100" i="17"/>
  <c r="G100" i="17"/>
  <c r="V100" i="17" s="1"/>
  <c r="F100" i="17"/>
  <c r="E100" i="17"/>
  <c r="D100" i="17"/>
  <c r="AP100" i="17" s="1"/>
  <c r="C100" i="17"/>
  <c r="A100" i="17"/>
  <c r="ED99" i="17"/>
  <c r="EC99" i="17"/>
  <c r="EA99" i="17"/>
  <c r="DZ99" i="17"/>
  <c r="DY99" i="17"/>
  <c r="S99" i="17"/>
  <c r="R99" i="17"/>
  <c r="Q99" i="17"/>
  <c r="X99" i="17" s="1"/>
  <c r="P99" i="17"/>
  <c r="O99" i="17"/>
  <c r="N99" i="17"/>
  <c r="M99" i="17"/>
  <c r="K99" i="17"/>
  <c r="W99" i="17" s="1"/>
  <c r="J99" i="17"/>
  <c r="I99" i="17"/>
  <c r="H99" i="17"/>
  <c r="G99" i="17"/>
  <c r="V99" i="17" s="1"/>
  <c r="F99" i="17"/>
  <c r="E99" i="17"/>
  <c r="D99" i="17"/>
  <c r="AP99" i="17" s="1"/>
  <c r="C99" i="17"/>
  <c r="A99" i="17"/>
  <c r="ED98" i="17"/>
  <c r="EC98" i="17"/>
  <c r="EA98" i="17"/>
  <c r="DZ98" i="17"/>
  <c r="DY98" i="17"/>
  <c r="S98" i="17"/>
  <c r="R98" i="17"/>
  <c r="Q98" i="17"/>
  <c r="X98" i="17" s="1"/>
  <c r="P98" i="17"/>
  <c r="O98" i="17"/>
  <c r="N98" i="17"/>
  <c r="M98" i="17"/>
  <c r="K98" i="17"/>
  <c r="W98" i="17" s="1"/>
  <c r="J98" i="17"/>
  <c r="I98" i="17"/>
  <c r="H98" i="17"/>
  <c r="G98" i="17"/>
  <c r="V98" i="17" s="1"/>
  <c r="F98" i="17"/>
  <c r="E98" i="17"/>
  <c r="D98" i="17"/>
  <c r="AP98" i="17" s="1"/>
  <c r="C98" i="17"/>
  <c r="A98" i="17"/>
  <c r="ED97" i="17"/>
  <c r="EC97" i="17"/>
  <c r="EA97" i="17"/>
  <c r="DZ97" i="17"/>
  <c r="DY97" i="17"/>
  <c r="S97" i="17"/>
  <c r="R97" i="17"/>
  <c r="Q97" i="17"/>
  <c r="X97" i="17" s="1"/>
  <c r="P97" i="17"/>
  <c r="O97" i="17"/>
  <c r="N97" i="17"/>
  <c r="M97" i="17"/>
  <c r="K97" i="17"/>
  <c r="W97" i="17" s="1"/>
  <c r="J97" i="17"/>
  <c r="I97" i="17"/>
  <c r="H97" i="17"/>
  <c r="G97" i="17"/>
  <c r="V97" i="17" s="1"/>
  <c r="F97" i="17"/>
  <c r="E97" i="17"/>
  <c r="D97" i="17"/>
  <c r="AP97" i="17" s="1"/>
  <c r="C97" i="17"/>
  <c r="A97" i="17"/>
  <c r="ED96" i="17"/>
  <c r="EC96" i="17"/>
  <c r="EA96" i="17"/>
  <c r="DZ96" i="17"/>
  <c r="DY96" i="17"/>
  <c r="S96" i="17"/>
  <c r="R96" i="17"/>
  <c r="Q96" i="17"/>
  <c r="X96" i="17" s="1"/>
  <c r="P96" i="17"/>
  <c r="O96" i="17"/>
  <c r="N96" i="17"/>
  <c r="M96" i="17"/>
  <c r="K96" i="17"/>
  <c r="W96" i="17" s="1"/>
  <c r="J96" i="17"/>
  <c r="I96" i="17"/>
  <c r="H96" i="17"/>
  <c r="G96" i="17"/>
  <c r="V96" i="17" s="1"/>
  <c r="F96" i="17"/>
  <c r="E96" i="17"/>
  <c r="D96" i="17"/>
  <c r="AP96" i="17" s="1"/>
  <c r="C96" i="17"/>
  <c r="A96" i="17"/>
  <c r="ED95" i="17"/>
  <c r="EC95" i="17"/>
  <c r="EA95" i="17"/>
  <c r="DZ95" i="17"/>
  <c r="DY95" i="17"/>
  <c r="S95" i="17"/>
  <c r="R95" i="17"/>
  <c r="Q95" i="17"/>
  <c r="X95" i="17" s="1"/>
  <c r="P95" i="17"/>
  <c r="O95" i="17"/>
  <c r="N95" i="17"/>
  <c r="M95" i="17"/>
  <c r="K95" i="17"/>
  <c r="W95" i="17" s="1"/>
  <c r="J95" i="17"/>
  <c r="I95" i="17"/>
  <c r="H95" i="17"/>
  <c r="G95" i="17"/>
  <c r="V95" i="17" s="1"/>
  <c r="F95" i="17"/>
  <c r="E95" i="17"/>
  <c r="D95" i="17"/>
  <c r="AP95" i="17" s="1"/>
  <c r="C95" i="17"/>
  <c r="A95" i="17"/>
  <c r="ED94" i="17"/>
  <c r="EC94" i="17"/>
  <c r="EA94" i="17"/>
  <c r="DZ94" i="17"/>
  <c r="DY94" i="17"/>
  <c r="S94" i="17"/>
  <c r="R94" i="17"/>
  <c r="Q94" i="17"/>
  <c r="X94" i="17" s="1"/>
  <c r="P94" i="17"/>
  <c r="O94" i="17"/>
  <c r="N94" i="17"/>
  <c r="M94" i="17"/>
  <c r="K94" i="17"/>
  <c r="W94" i="17" s="1"/>
  <c r="J94" i="17"/>
  <c r="I94" i="17"/>
  <c r="H94" i="17"/>
  <c r="G94" i="17"/>
  <c r="V94" i="17" s="1"/>
  <c r="F94" i="17"/>
  <c r="E94" i="17"/>
  <c r="D94" i="17"/>
  <c r="AP94" i="17" s="1"/>
  <c r="C94" i="17"/>
  <c r="A94" i="17"/>
  <c r="ED93" i="17"/>
  <c r="EC93" i="17"/>
  <c r="EA93" i="17"/>
  <c r="DZ93" i="17"/>
  <c r="DY93" i="17"/>
  <c r="S93" i="17"/>
  <c r="R93" i="17"/>
  <c r="Q93" i="17"/>
  <c r="X93" i="17" s="1"/>
  <c r="P93" i="17"/>
  <c r="O93" i="17"/>
  <c r="N93" i="17"/>
  <c r="M93" i="17"/>
  <c r="K93" i="17"/>
  <c r="J93" i="17"/>
  <c r="I93" i="17"/>
  <c r="H93" i="17"/>
  <c r="G93" i="17"/>
  <c r="V93" i="17" s="1"/>
  <c r="F93" i="17"/>
  <c r="E93" i="17"/>
  <c r="D93" i="17"/>
  <c r="AP93" i="17" s="1"/>
  <c r="C93" i="17"/>
  <c r="A93" i="17"/>
  <c r="ED92" i="17"/>
  <c r="EC92" i="17"/>
  <c r="EA92" i="17"/>
  <c r="DZ92" i="17"/>
  <c r="DY92" i="17"/>
  <c r="S92" i="17"/>
  <c r="R92" i="17"/>
  <c r="Q92" i="17"/>
  <c r="X92" i="17" s="1"/>
  <c r="P92" i="17"/>
  <c r="O92" i="17"/>
  <c r="N92" i="17"/>
  <c r="M92" i="17"/>
  <c r="K92" i="17"/>
  <c r="W92" i="17" s="1"/>
  <c r="J92" i="17"/>
  <c r="I92" i="17"/>
  <c r="H92" i="17"/>
  <c r="G92" i="17"/>
  <c r="V92" i="17" s="1"/>
  <c r="F92" i="17"/>
  <c r="E92" i="17"/>
  <c r="D92" i="17"/>
  <c r="AP92" i="17" s="1"/>
  <c r="C92" i="17"/>
  <c r="A92" i="17"/>
  <c r="ED91" i="17"/>
  <c r="EC91" i="17"/>
  <c r="EA91" i="17"/>
  <c r="DZ91" i="17"/>
  <c r="DY91" i="17"/>
  <c r="S91" i="17"/>
  <c r="R91" i="17"/>
  <c r="Q91" i="17"/>
  <c r="X91" i="17" s="1"/>
  <c r="P91" i="17"/>
  <c r="O91" i="17"/>
  <c r="N91" i="17"/>
  <c r="M91" i="17"/>
  <c r="K91" i="17"/>
  <c r="W91" i="17" s="1"/>
  <c r="J91" i="17"/>
  <c r="I91" i="17"/>
  <c r="H91" i="17"/>
  <c r="G91" i="17"/>
  <c r="V91" i="17" s="1"/>
  <c r="F91" i="17"/>
  <c r="E91" i="17"/>
  <c r="D91" i="17"/>
  <c r="AP91" i="17" s="1"/>
  <c r="C91" i="17"/>
  <c r="A91" i="17"/>
  <c r="ED90" i="17"/>
  <c r="EC90" i="17"/>
  <c r="EA90" i="17"/>
  <c r="DZ90" i="17"/>
  <c r="DY90" i="17"/>
  <c r="S90" i="17"/>
  <c r="R90" i="17"/>
  <c r="Q90" i="17"/>
  <c r="X90" i="17" s="1"/>
  <c r="P90" i="17"/>
  <c r="O90" i="17"/>
  <c r="N90" i="17"/>
  <c r="M90" i="17"/>
  <c r="K90" i="17"/>
  <c r="W90" i="17" s="1"/>
  <c r="J90" i="17"/>
  <c r="I90" i="17"/>
  <c r="H90" i="17"/>
  <c r="G90" i="17"/>
  <c r="V90" i="17" s="1"/>
  <c r="F90" i="17"/>
  <c r="E90" i="17"/>
  <c r="D90" i="17"/>
  <c r="AP90" i="17" s="1"/>
  <c r="C90" i="17"/>
  <c r="A90" i="17"/>
  <c r="ED89" i="17"/>
  <c r="EC89" i="17"/>
  <c r="EA89" i="17"/>
  <c r="DZ89" i="17"/>
  <c r="DY89" i="17"/>
  <c r="S89" i="17"/>
  <c r="R89" i="17"/>
  <c r="Q89" i="17"/>
  <c r="X89" i="17" s="1"/>
  <c r="P89" i="17"/>
  <c r="O89" i="17"/>
  <c r="N89" i="17"/>
  <c r="M89" i="17"/>
  <c r="K89" i="17"/>
  <c r="W89" i="17" s="1"/>
  <c r="J89" i="17"/>
  <c r="I89" i="17"/>
  <c r="H89" i="17"/>
  <c r="G89" i="17"/>
  <c r="V89" i="17" s="1"/>
  <c r="F89" i="17"/>
  <c r="E89" i="17"/>
  <c r="D89" i="17"/>
  <c r="AP89" i="17" s="1"/>
  <c r="C89" i="17"/>
  <c r="T89" i="17" s="1"/>
  <c r="A89" i="17"/>
  <c r="ED88" i="17"/>
  <c r="EC88" i="17"/>
  <c r="EA88" i="17"/>
  <c r="DZ88" i="17"/>
  <c r="DY88" i="17"/>
  <c r="S88" i="17"/>
  <c r="R88" i="17"/>
  <c r="Q88" i="17"/>
  <c r="X88" i="17" s="1"/>
  <c r="P88" i="17"/>
  <c r="O88" i="17"/>
  <c r="N88" i="17"/>
  <c r="M88" i="17"/>
  <c r="K88" i="17"/>
  <c r="W88" i="17" s="1"/>
  <c r="J88" i="17"/>
  <c r="I88" i="17"/>
  <c r="H88" i="17"/>
  <c r="G88" i="17"/>
  <c r="V88" i="17" s="1"/>
  <c r="F88" i="17"/>
  <c r="E88" i="17"/>
  <c r="D88" i="17"/>
  <c r="AP88" i="17" s="1"/>
  <c r="C88" i="17"/>
  <c r="A88" i="17"/>
  <c r="ED87" i="17"/>
  <c r="EC87" i="17"/>
  <c r="EA87" i="17"/>
  <c r="DZ87" i="17"/>
  <c r="DY87" i="17"/>
  <c r="S87" i="17"/>
  <c r="R87" i="17"/>
  <c r="Q87" i="17"/>
  <c r="X87" i="17" s="1"/>
  <c r="P87" i="17"/>
  <c r="O87" i="17"/>
  <c r="N87" i="17"/>
  <c r="M87" i="17"/>
  <c r="K87" i="17"/>
  <c r="W87" i="17" s="1"/>
  <c r="J87" i="17"/>
  <c r="I87" i="17"/>
  <c r="H87" i="17"/>
  <c r="G87" i="17"/>
  <c r="V87" i="17" s="1"/>
  <c r="F87" i="17"/>
  <c r="E87" i="17"/>
  <c r="D87" i="17"/>
  <c r="AP87" i="17" s="1"/>
  <c r="C87" i="17"/>
  <c r="T87" i="17" s="1"/>
  <c r="A87" i="17"/>
  <c r="ED86" i="17"/>
  <c r="EC86" i="17"/>
  <c r="EA86" i="17"/>
  <c r="DZ86" i="17"/>
  <c r="DY86" i="17"/>
  <c r="S86" i="17"/>
  <c r="R86" i="17"/>
  <c r="Q86" i="17"/>
  <c r="X86" i="17" s="1"/>
  <c r="P86" i="17"/>
  <c r="O86" i="17"/>
  <c r="N86" i="17"/>
  <c r="M86" i="17"/>
  <c r="K86" i="17"/>
  <c r="W86" i="17" s="1"/>
  <c r="J86" i="17"/>
  <c r="I86" i="17"/>
  <c r="H86" i="17"/>
  <c r="G86" i="17"/>
  <c r="V86" i="17" s="1"/>
  <c r="F86" i="17"/>
  <c r="E86" i="17"/>
  <c r="D86" i="17"/>
  <c r="C86" i="17"/>
  <c r="A86" i="17"/>
  <c r="ED85" i="17"/>
  <c r="EC85" i="17"/>
  <c r="EA85" i="17"/>
  <c r="DZ85" i="17"/>
  <c r="DY85" i="17"/>
  <c r="S85" i="17"/>
  <c r="R85" i="17"/>
  <c r="Q85" i="17"/>
  <c r="X85" i="17" s="1"/>
  <c r="P85" i="17"/>
  <c r="O85" i="17"/>
  <c r="N85" i="17"/>
  <c r="M85" i="17"/>
  <c r="K85" i="17"/>
  <c r="J85" i="17"/>
  <c r="I85" i="17"/>
  <c r="H85" i="17"/>
  <c r="G85" i="17"/>
  <c r="V85" i="17" s="1"/>
  <c r="F85" i="17"/>
  <c r="E85" i="17"/>
  <c r="D85" i="17"/>
  <c r="AP85" i="17" s="1"/>
  <c r="C85" i="17"/>
  <c r="A85" i="17"/>
  <c r="ED84" i="17"/>
  <c r="EC84" i="17"/>
  <c r="EA84" i="17"/>
  <c r="DZ84" i="17"/>
  <c r="DY84" i="17"/>
  <c r="S84" i="17"/>
  <c r="R84" i="17"/>
  <c r="Q84" i="17"/>
  <c r="X84" i="17" s="1"/>
  <c r="P84" i="17"/>
  <c r="O84" i="17"/>
  <c r="N84" i="17"/>
  <c r="M84" i="17"/>
  <c r="K84" i="17"/>
  <c r="W84" i="17" s="1"/>
  <c r="J84" i="17"/>
  <c r="I84" i="17"/>
  <c r="H84" i="17"/>
  <c r="G84" i="17"/>
  <c r="V84" i="17" s="1"/>
  <c r="F84" i="17"/>
  <c r="E84" i="17"/>
  <c r="D84" i="17"/>
  <c r="AP84" i="17" s="1"/>
  <c r="C84" i="17"/>
  <c r="A84" i="17"/>
  <c r="ED83" i="17"/>
  <c r="EC83" i="17"/>
  <c r="EA83" i="17"/>
  <c r="DZ83" i="17"/>
  <c r="DY83" i="17"/>
  <c r="S83" i="17"/>
  <c r="R83" i="17"/>
  <c r="Q83" i="17"/>
  <c r="X83" i="17" s="1"/>
  <c r="P83" i="17"/>
  <c r="O83" i="17"/>
  <c r="N83" i="17"/>
  <c r="M83" i="17"/>
  <c r="K83" i="17"/>
  <c r="J83" i="17"/>
  <c r="I83" i="17"/>
  <c r="Y83" i="17" s="1"/>
  <c r="H83" i="17"/>
  <c r="G83" i="17"/>
  <c r="V83" i="17" s="1"/>
  <c r="F83" i="17"/>
  <c r="E83" i="17"/>
  <c r="D83" i="17"/>
  <c r="AP83" i="17" s="1"/>
  <c r="C83" i="17"/>
  <c r="A83" i="17"/>
  <c r="ED82" i="17"/>
  <c r="EC82" i="17"/>
  <c r="EA82" i="17"/>
  <c r="DZ82" i="17"/>
  <c r="DY82" i="17"/>
  <c r="S82" i="17"/>
  <c r="R82" i="17"/>
  <c r="Q82" i="17"/>
  <c r="X82" i="17" s="1"/>
  <c r="P82" i="17"/>
  <c r="O82" i="17"/>
  <c r="N82" i="17"/>
  <c r="M82" i="17"/>
  <c r="K82" i="17"/>
  <c r="W82" i="17" s="1"/>
  <c r="J82" i="17"/>
  <c r="I82" i="17"/>
  <c r="H82" i="17"/>
  <c r="G82" i="17"/>
  <c r="V82" i="17" s="1"/>
  <c r="F82" i="17"/>
  <c r="E82" i="17"/>
  <c r="D82" i="17"/>
  <c r="AP82" i="17" s="1"/>
  <c r="C82" i="17"/>
  <c r="A82" i="17"/>
  <c r="ED81" i="17"/>
  <c r="EC81" i="17"/>
  <c r="EA81" i="17"/>
  <c r="DZ81" i="17"/>
  <c r="DY81" i="17"/>
  <c r="S81" i="17"/>
  <c r="R81" i="17"/>
  <c r="Q81" i="17"/>
  <c r="X81" i="17" s="1"/>
  <c r="P81" i="17"/>
  <c r="O81" i="17"/>
  <c r="N81" i="17"/>
  <c r="M81" i="17"/>
  <c r="K81" i="17"/>
  <c r="W81" i="17" s="1"/>
  <c r="J81" i="17"/>
  <c r="I81" i="17"/>
  <c r="H81" i="17"/>
  <c r="G81" i="17"/>
  <c r="V81" i="17" s="1"/>
  <c r="F81" i="17"/>
  <c r="E81" i="17"/>
  <c r="D81" i="17"/>
  <c r="AP81" i="17" s="1"/>
  <c r="C81" i="17"/>
  <c r="A81" i="17"/>
  <c r="ED80" i="17"/>
  <c r="EC80" i="17"/>
  <c r="EA80" i="17"/>
  <c r="DZ80" i="17"/>
  <c r="DY80" i="17"/>
  <c r="S80" i="17"/>
  <c r="R80" i="17"/>
  <c r="Q80" i="17"/>
  <c r="X80" i="17" s="1"/>
  <c r="P80" i="17"/>
  <c r="O80" i="17"/>
  <c r="N80" i="17"/>
  <c r="M80" i="17"/>
  <c r="K80" i="17"/>
  <c r="W80" i="17" s="1"/>
  <c r="J80" i="17"/>
  <c r="I80" i="17"/>
  <c r="H80" i="17"/>
  <c r="G80" i="17"/>
  <c r="V80" i="17" s="1"/>
  <c r="F80" i="17"/>
  <c r="E80" i="17"/>
  <c r="D80" i="17"/>
  <c r="AP80" i="17" s="1"/>
  <c r="C80" i="17"/>
  <c r="T80" i="17" s="1"/>
  <c r="A80" i="17"/>
  <c r="ED79" i="17"/>
  <c r="EC79" i="17"/>
  <c r="EA79" i="17"/>
  <c r="DZ79" i="17"/>
  <c r="DY79" i="17"/>
  <c r="S79" i="17"/>
  <c r="R79" i="17"/>
  <c r="Q79" i="17"/>
  <c r="X79" i="17" s="1"/>
  <c r="P79" i="17"/>
  <c r="O79" i="17"/>
  <c r="N79" i="17"/>
  <c r="M79" i="17"/>
  <c r="K79" i="17"/>
  <c r="J79" i="17"/>
  <c r="I79" i="17"/>
  <c r="H79" i="17"/>
  <c r="G79" i="17"/>
  <c r="V79" i="17" s="1"/>
  <c r="F79" i="17"/>
  <c r="E79" i="17"/>
  <c r="D79" i="17"/>
  <c r="AP79" i="17" s="1"/>
  <c r="C79" i="17"/>
  <c r="T79" i="17" s="1"/>
  <c r="A79" i="17"/>
  <c r="ED78" i="17"/>
  <c r="EC78" i="17"/>
  <c r="EA78" i="17"/>
  <c r="DZ78" i="17"/>
  <c r="DY78" i="17"/>
  <c r="S78" i="17"/>
  <c r="R78" i="17"/>
  <c r="Q78" i="17"/>
  <c r="X78" i="17" s="1"/>
  <c r="P78" i="17"/>
  <c r="O78" i="17"/>
  <c r="N78" i="17"/>
  <c r="M78" i="17"/>
  <c r="K78" i="17"/>
  <c r="J78" i="17"/>
  <c r="I78" i="17"/>
  <c r="H78" i="17"/>
  <c r="G78" i="17"/>
  <c r="V78" i="17" s="1"/>
  <c r="F78" i="17"/>
  <c r="E78" i="17"/>
  <c r="D78" i="17"/>
  <c r="C78" i="17"/>
  <c r="A78" i="17"/>
  <c r="ED77" i="17"/>
  <c r="EC77" i="17"/>
  <c r="EA77" i="17"/>
  <c r="DZ77" i="17"/>
  <c r="DY77" i="17"/>
  <c r="S77" i="17"/>
  <c r="R77" i="17"/>
  <c r="Q77" i="17"/>
  <c r="X77" i="17" s="1"/>
  <c r="P77" i="17"/>
  <c r="O77" i="17"/>
  <c r="N77" i="17"/>
  <c r="M77" i="17"/>
  <c r="K77" i="17"/>
  <c r="W77" i="17" s="1"/>
  <c r="J77" i="17"/>
  <c r="I77" i="17"/>
  <c r="H77" i="17"/>
  <c r="G77" i="17"/>
  <c r="V77" i="17" s="1"/>
  <c r="F77" i="17"/>
  <c r="E77" i="17"/>
  <c r="D77" i="17"/>
  <c r="AP77" i="17" s="1"/>
  <c r="C77" i="17"/>
  <c r="A77" i="17"/>
  <c r="ED76" i="17"/>
  <c r="EC76" i="17"/>
  <c r="EA76" i="17"/>
  <c r="DZ76" i="17"/>
  <c r="DY76" i="17"/>
  <c r="S76" i="17"/>
  <c r="R76" i="17"/>
  <c r="Q76" i="17"/>
  <c r="X76" i="17" s="1"/>
  <c r="P76" i="17"/>
  <c r="O76" i="17"/>
  <c r="N76" i="17"/>
  <c r="M76" i="17"/>
  <c r="K76" i="17"/>
  <c r="J76" i="17"/>
  <c r="I76" i="17"/>
  <c r="H76" i="17"/>
  <c r="G76" i="17"/>
  <c r="V76" i="17" s="1"/>
  <c r="F76" i="17"/>
  <c r="E76" i="17"/>
  <c r="D76" i="17"/>
  <c r="AP76" i="17" s="1"/>
  <c r="C76" i="17"/>
  <c r="A76" i="17"/>
  <c r="ED75" i="17"/>
  <c r="EC75" i="17"/>
  <c r="EA75" i="17"/>
  <c r="DZ75" i="17"/>
  <c r="DY75" i="17"/>
  <c r="S75" i="17"/>
  <c r="R75" i="17"/>
  <c r="Q75" i="17"/>
  <c r="X75" i="17" s="1"/>
  <c r="P75" i="17"/>
  <c r="O75" i="17"/>
  <c r="N75" i="17"/>
  <c r="M75" i="17"/>
  <c r="K75" i="17"/>
  <c r="J75" i="17"/>
  <c r="I75" i="17"/>
  <c r="H75" i="17"/>
  <c r="G75" i="17"/>
  <c r="V75" i="17" s="1"/>
  <c r="F75" i="17"/>
  <c r="E75" i="17"/>
  <c r="D75" i="17"/>
  <c r="C75" i="17"/>
  <c r="A75" i="17"/>
  <c r="ED74" i="17"/>
  <c r="EC74" i="17"/>
  <c r="EA74" i="17"/>
  <c r="DZ74" i="17"/>
  <c r="DY74" i="17"/>
  <c r="S74" i="17"/>
  <c r="R74" i="17"/>
  <c r="Q74" i="17"/>
  <c r="X74" i="17" s="1"/>
  <c r="P74" i="17"/>
  <c r="O74" i="17"/>
  <c r="N74" i="17"/>
  <c r="M74" i="17"/>
  <c r="K74" i="17"/>
  <c r="J74" i="17"/>
  <c r="I74" i="17"/>
  <c r="H74" i="17"/>
  <c r="G74" i="17"/>
  <c r="V74" i="17" s="1"/>
  <c r="F74" i="17"/>
  <c r="E74" i="17"/>
  <c r="D74" i="17"/>
  <c r="C74" i="17"/>
  <c r="A74" i="17"/>
  <c r="ED73" i="17"/>
  <c r="EC73" i="17"/>
  <c r="EA73" i="17"/>
  <c r="DZ73" i="17"/>
  <c r="DY73" i="17"/>
  <c r="S73" i="17"/>
  <c r="R73" i="17"/>
  <c r="Q73" i="17"/>
  <c r="X73" i="17" s="1"/>
  <c r="P73" i="17"/>
  <c r="O73" i="17"/>
  <c r="N73" i="17"/>
  <c r="M73" i="17"/>
  <c r="K73" i="17"/>
  <c r="W73" i="17" s="1"/>
  <c r="J73" i="17"/>
  <c r="I73" i="17"/>
  <c r="H73" i="17"/>
  <c r="G73" i="17"/>
  <c r="V73" i="17" s="1"/>
  <c r="F73" i="17"/>
  <c r="E73" i="17"/>
  <c r="D73" i="17"/>
  <c r="AP73" i="17" s="1"/>
  <c r="C73" i="17"/>
  <c r="A73" i="17"/>
  <c r="ED72" i="17"/>
  <c r="EC72" i="17"/>
  <c r="EA72" i="17"/>
  <c r="DZ72" i="17"/>
  <c r="DY72" i="17"/>
  <c r="S72" i="17"/>
  <c r="R72" i="17"/>
  <c r="Q72" i="17"/>
  <c r="X72" i="17" s="1"/>
  <c r="P72" i="17"/>
  <c r="O72" i="17"/>
  <c r="N72" i="17"/>
  <c r="M72" i="17"/>
  <c r="K72" i="17"/>
  <c r="J72" i="17"/>
  <c r="I72" i="17"/>
  <c r="H72" i="17"/>
  <c r="G72" i="17"/>
  <c r="V72" i="17" s="1"/>
  <c r="F72" i="17"/>
  <c r="E72" i="17"/>
  <c r="D72" i="17"/>
  <c r="C72" i="17"/>
  <c r="A72" i="17"/>
  <c r="ED71" i="17"/>
  <c r="EC71" i="17"/>
  <c r="EA71" i="17"/>
  <c r="DZ71" i="17"/>
  <c r="DY71" i="17"/>
  <c r="S71" i="17"/>
  <c r="R71" i="17"/>
  <c r="Q71" i="17"/>
  <c r="X71" i="17" s="1"/>
  <c r="P71" i="17"/>
  <c r="O71" i="17"/>
  <c r="N71" i="17"/>
  <c r="M71" i="17"/>
  <c r="K71" i="17"/>
  <c r="W71" i="17" s="1"/>
  <c r="J71" i="17"/>
  <c r="I71" i="17"/>
  <c r="H71" i="17"/>
  <c r="G71" i="17"/>
  <c r="V71" i="17" s="1"/>
  <c r="F71" i="17"/>
  <c r="E71" i="17"/>
  <c r="D71" i="17"/>
  <c r="AP71" i="17" s="1"/>
  <c r="C71" i="17"/>
  <c r="A71" i="17"/>
  <c r="ED70" i="17"/>
  <c r="EC70" i="17"/>
  <c r="EA70" i="17"/>
  <c r="DZ70" i="17"/>
  <c r="DY70" i="17"/>
  <c r="S70" i="17"/>
  <c r="R70" i="17"/>
  <c r="Q70" i="17"/>
  <c r="X70" i="17" s="1"/>
  <c r="P70" i="17"/>
  <c r="O70" i="17"/>
  <c r="N70" i="17"/>
  <c r="M70" i="17"/>
  <c r="K70" i="17"/>
  <c r="W70" i="17" s="1"/>
  <c r="J70" i="17"/>
  <c r="I70" i="17"/>
  <c r="H70" i="17"/>
  <c r="G70" i="17"/>
  <c r="V70" i="17" s="1"/>
  <c r="F70" i="17"/>
  <c r="E70" i="17"/>
  <c r="D70" i="17"/>
  <c r="AP70" i="17" s="1"/>
  <c r="C70" i="17"/>
  <c r="A70" i="17"/>
  <c r="ED69" i="17"/>
  <c r="EC69" i="17"/>
  <c r="EA69" i="17"/>
  <c r="DZ69" i="17"/>
  <c r="DY69" i="17"/>
  <c r="S69" i="17"/>
  <c r="R69" i="17"/>
  <c r="Q69" i="17"/>
  <c r="X69" i="17" s="1"/>
  <c r="P69" i="17"/>
  <c r="O69" i="17"/>
  <c r="N69" i="17"/>
  <c r="M69" i="17"/>
  <c r="K69" i="17"/>
  <c r="W69" i="17" s="1"/>
  <c r="J69" i="17"/>
  <c r="I69" i="17"/>
  <c r="H69" i="17"/>
  <c r="G69" i="17"/>
  <c r="V69" i="17" s="1"/>
  <c r="F69" i="17"/>
  <c r="E69" i="17"/>
  <c r="D69" i="17"/>
  <c r="AP69" i="17" s="1"/>
  <c r="C69" i="17"/>
  <c r="A69" i="17"/>
  <c r="ED68" i="17"/>
  <c r="EC68" i="17"/>
  <c r="EA68" i="17"/>
  <c r="DZ68" i="17"/>
  <c r="DY68" i="17"/>
  <c r="S68" i="17"/>
  <c r="R68" i="17"/>
  <c r="Q68" i="17"/>
  <c r="X68" i="17" s="1"/>
  <c r="P68" i="17"/>
  <c r="O68" i="17"/>
  <c r="N68" i="17"/>
  <c r="M68" i="17"/>
  <c r="K68" i="17"/>
  <c r="J68" i="17"/>
  <c r="I68" i="17"/>
  <c r="H68" i="17"/>
  <c r="G68" i="17"/>
  <c r="V68" i="17" s="1"/>
  <c r="F68" i="17"/>
  <c r="E68" i="17"/>
  <c r="D68" i="17"/>
  <c r="AP68" i="17" s="1"/>
  <c r="C68" i="17"/>
  <c r="A68" i="17"/>
  <c r="ED67" i="17"/>
  <c r="EC67" i="17"/>
  <c r="EA67" i="17"/>
  <c r="DZ67" i="17"/>
  <c r="DY67" i="17"/>
  <c r="S67" i="17"/>
  <c r="R67" i="17"/>
  <c r="Q67" i="17"/>
  <c r="X67" i="17" s="1"/>
  <c r="P67" i="17"/>
  <c r="O67" i="17"/>
  <c r="N67" i="17"/>
  <c r="M67" i="17"/>
  <c r="K67" i="17"/>
  <c r="J67" i="17"/>
  <c r="I67" i="17"/>
  <c r="H67" i="17"/>
  <c r="G67" i="17"/>
  <c r="V67" i="17" s="1"/>
  <c r="F67" i="17"/>
  <c r="E67" i="17"/>
  <c r="D67" i="17"/>
  <c r="AP67" i="17" s="1"/>
  <c r="C67" i="17"/>
  <c r="A67" i="17"/>
  <c r="ED66" i="17"/>
  <c r="EC66" i="17"/>
  <c r="EA66" i="17"/>
  <c r="DZ66" i="17"/>
  <c r="DY66" i="17"/>
  <c r="S66" i="17"/>
  <c r="R66" i="17"/>
  <c r="Q66" i="17"/>
  <c r="X66" i="17" s="1"/>
  <c r="P66" i="17"/>
  <c r="O66" i="17"/>
  <c r="N66" i="17"/>
  <c r="M66" i="17"/>
  <c r="K66" i="17"/>
  <c r="J66" i="17"/>
  <c r="I66" i="17"/>
  <c r="H66" i="17"/>
  <c r="G66" i="17"/>
  <c r="V66" i="17" s="1"/>
  <c r="F66" i="17"/>
  <c r="E66" i="17"/>
  <c r="D66" i="17"/>
  <c r="AP66" i="17" s="1"/>
  <c r="C66" i="17"/>
  <c r="A66" i="17"/>
  <c r="ED65" i="17"/>
  <c r="EC65" i="17"/>
  <c r="EA65" i="17"/>
  <c r="DZ65" i="17"/>
  <c r="DY65" i="17"/>
  <c r="S65" i="17"/>
  <c r="R65" i="17"/>
  <c r="Q65" i="17"/>
  <c r="X65" i="17" s="1"/>
  <c r="P65" i="17"/>
  <c r="O65" i="17"/>
  <c r="N65" i="17"/>
  <c r="M65" i="17"/>
  <c r="K65" i="17"/>
  <c r="J65" i="17"/>
  <c r="I65" i="17"/>
  <c r="H65" i="17"/>
  <c r="G65" i="17"/>
  <c r="V65" i="17" s="1"/>
  <c r="F65" i="17"/>
  <c r="E65" i="17"/>
  <c r="D65" i="17"/>
  <c r="AP65" i="17" s="1"/>
  <c r="C65" i="17"/>
  <c r="A65" i="17"/>
  <c r="ED64" i="17"/>
  <c r="EC64" i="17"/>
  <c r="EA64" i="17"/>
  <c r="DZ64" i="17"/>
  <c r="DY64" i="17"/>
  <c r="S64" i="17"/>
  <c r="R64" i="17"/>
  <c r="Q64" i="17"/>
  <c r="X64" i="17" s="1"/>
  <c r="P64" i="17"/>
  <c r="O64" i="17"/>
  <c r="N64" i="17"/>
  <c r="M64" i="17"/>
  <c r="K64" i="17"/>
  <c r="W64" i="17" s="1"/>
  <c r="J64" i="17"/>
  <c r="I64" i="17"/>
  <c r="H64" i="17"/>
  <c r="G64" i="17"/>
  <c r="V64" i="17" s="1"/>
  <c r="F64" i="17"/>
  <c r="E64" i="17"/>
  <c r="D64" i="17"/>
  <c r="AP64" i="17" s="1"/>
  <c r="C64" i="17"/>
  <c r="T64" i="17" s="1"/>
  <c r="A64" i="17"/>
  <c r="ED63" i="17"/>
  <c r="EC63" i="17"/>
  <c r="EA63" i="17"/>
  <c r="DZ63" i="17"/>
  <c r="DY63" i="17"/>
  <c r="S63" i="17"/>
  <c r="R63" i="17"/>
  <c r="Q63" i="17"/>
  <c r="X63" i="17" s="1"/>
  <c r="P63" i="17"/>
  <c r="O63" i="17"/>
  <c r="N63" i="17"/>
  <c r="M63" i="17"/>
  <c r="K63" i="17"/>
  <c r="W63" i="17" s="1"/>
  <c r="J63" i="17"/>
  <c r="I63" i="17"/>
  <c r="H63" i="17"/>
  <c r="G63" i="17"/>
  <c r="V63" i="17" s="1"/>
  <c r="F63" i="17"/>
  <c r="E63" i="17"/>
  <c r="D63" i="17"/>
  <c r="AP63" i="17" s="1"/>
  <c r="C63" i="17"/>
  <c r="T63" i="17" s="1"/>
  <c r="A63" i="17"/>
  <c r="ED62" i="17"/>
  <c r="EC62" i="17"/>
  <c r="EA62" i="17"/>
  <c r="DZ62" i="17"/>
  <c r="DY62" i="17"/>
  <c r="S62" i="17"/>
  <c r="R62" i="17"/>
  <c r="Q62" i="17"/>
  <c r="X62" i="17" s="1"/>
  <c r="P62" i="17"/>
  <c r="O62" i="17"/>
  <c r="N62" i="17"/>
  <c r="M62" i="17"/>
  <c r="K62" i="17"/>
  <c r="W62" i="17" s="1"/>
  <c r="J62" i="17"/>
  <c r="I62" i="17"/>
  <c r="H62" i="17"/>
  <c r="G62" i="17"/>
  <c r="V62" i="17" s="1"/>
  <c r="F62" i="17"/>
  <c r="E62" i="17"/>
  <c r="D62" i="17"/>
  <c r="AP62" i="17" s="1"/>
  <c r="C62" i="17"/>
  <c r="A62" i="17"/>
  <c r="ED61" i="17"/>
  <c r="EC61" i="17"/>
  <c r="EA61" i="17"/>
  <c r="DZ61" i="17"/>
  <c r="DY61" i="17"/>
  <c r="S61" i="17"/>
  <c r="R61" i="17"/>
  <c r="Q61" i="17"/>
  <c r="X61" i="17" s="1"/>
  <c r="P61" i="17"/>
  <c r="O61" i="17"/>
  <c r="N61" i="17"/>
  <c r="M61" i="17"/>
  <c r="K61" i="17"/>
  <c r="W61" i="17" s="1"/>
  <c r="J61" i="17"/>
  <c r="I61" i="17"/>
  <c r="H61" i="17"/>
  <c r="G61" i="17"/>
  <c r="V61" i="17" s="1"/>
  <c r="F61" i="17"/>
  <c r="E61" i="17"/>
  <c r="D61" i="17"/>
  <c r="AP61" i="17" s="1"/>
  <c r="C61" i="17"/>
  <c r="T61" i="17" s="1"/>
  <c r="A61" i="17"/>
  <c r="ED60" i="17"/>
  <c r="EC60" i="17"/>
  <c r="EA60" i="17"/>
  <c r="DZ60" i="17"/>
  <c r="DY60" i="17"/>
  <c r="S60" i="17"/>
  <c r="R60" i="17"/>
  <c r="Q60" i="17"/>
  <c r="X60" i="17" s="1"/>
  <c r="P60" i="17"/>
  <c r="O60" i="17"/>
  <c r="N60" i="17"/>
  <c r="M60" i="17"/>
  <c r="K60" i="17"/>
  <c r="W60" i="17" s="1"/>
  <c r="J60" i="17"/>
  <c r="I60" i="17"/>
  <c r="H60" i="17"/>
  <c r="G60" i="17"/>
  <c r="V60" i="17" s="1"/>
  <c r="F60" i="17"/>
  <c r="E60" i="17"/>
  <c r="D60" i="17"/>
  <c r="AP60" i="17" s="1"/>
  <c r="C60" i="17"/>
  <c r="A60" i="17"/>
  <c r="ED59" i="17"/>
  <c r="EC59" i="17"/>
  <c r="EA59" i="17"/>
  <c r="DZ59" i="17"/>
  <c r="DY59" i="17"/>
  <c r="S59" i="17"/>
  <c r="R59" i="17"/>
  <c r="Q59" i="17"/>
  <c r="X59" i="17" s="1"/>
  <c r="P59" i="17"/>
  <c r="O59" i="17"/>
  <c r="N59" i="17"/>
  <c r="M59" i="17"/>
  <c r="K59" i="17"/>
  <c r="W59" i="17" s="1"/>
  <c r="J59" i="17"/>
  <c r="I59" i="17"/>
  <c r="H59" i="17"/>
  <c r="G59" i="17"/>
  <c r="V59" i="17" s="1"/>
  <c r="F59" i="17"/>
  <c r="E59" i="17"/>
  <c r="D59" i="17"/>
  <c r="AP59" i="17" s="1"/>
  <c r="C59" i="17"/>
  <c r="A59" i="17"/>
  <c r="ED58" i="17"/>
  <c r="EC58" i="17"/>
  <c r="EA58" i="17"/>
  <c r="DZ58" i="17"/>
  <c r="DY58" i="17"/>
  <c r="S58" i="17"/>
  <c r="R58" i="17"/>
  <c r="Q58" i="17"/>
  <c r="X58" i="17" s="1"/>
  <c r="P58" i="17"/>
  <c r="O58" i="17"/>
  <c r="N58" i="17"/>
  <c r="M58" i="17"/>
  <c r="K58" i="17"/>
  <c r="W58" i="17" s="1"/>
  <c r="J58" i="17"/>
  <c r="I58" i="17"/>
  <c r="H58" i="17"/>
  <c r="G58" i="17"/>
  <c r="V58" i="17" s="1"/>
  <c r="F58" i="17"/>
  <c r="E58" i="17"/>
  <c r="D58" i="17"/>
  <c r="AP58" i="17" s="1"/>
  <c r="C58" i="17"/>
  <c r="A58" i="17"/>
  <c r="ED57" i="17"/>
  <c r="EC57" i="17"/>
  <c r="EA57" i="17"/>
  <c r="DZ57" i="17"/>
  <c r="DY57" i="17"/>
  <c r="S57" i="17"/>
  <c r="R57" i="17"/>
  <c r="Q57" i="17"/>
  <c r="X57" i="17" s="1"/>
  <c r="P57" i="17"/>
  <c r="O57" i="17"/>
  <c r="N57" i="17"/>
  <c r="M57" i="17"/>
  <c r="K57" i="17"/>
  <c r="J57" i="17"/>
  <c r="I57" i="17"/>
  <c r="H57" i="17"/>
  <c r="G57" i="17"/>
  <c r="V57" i="17" s="1"/>
  <c r="F57" i="17"/>
  <c r="E57" i="17"/>
  <c r="D57" i="17"/>
  <c r="AP57" i="17" s="1"/>
  <c r="C57" i="17"/>
  <c r="A57" i="17"/>
  <c r="ED56" i="17"/>
  <c r="EC56" i="17"/>
  <c r="EA56" i="17"/>
  <c r="DZ56" i="17"/>
  <c r="DY56" i="17"/>
  <c r="S56" i="17"/>
  <c r="R56" i="17"/>
  <c r="Q56" i="17"/>
  <c r="X56" i="17" s="1"/>
  <c r="P56" i="17"/>
  <c r="O56" i="17"/>
  <c r="N56" i="17"/>
  <c r="M56" i="17"/>
  <c r="K56" i="17"/>
  <c r="W56" i="17" s="1"/>
  <c r="J56" i="17"/>
  <c r="I56" i="17"/>
  <c r="H56" i="17"/>
  <c r="G56" i="17"/>
  <c r="V56" i="17" s="1"/>
  <c r="F56" i="17"/>
  <c r="E56" i="17"/>
  <c r="D56" i="17"/>
  <c r="AP56" i="17" s="1"/>
  <c r="C56" i="17"/>
  <c r="A56" i="17"/>
  <c r="ED55" i="17"/>
  <c r="EC55" i="17"/>
  <c r="EA55" i="17"/>
  <c r="DZ55" i="17"/>
  <c r="DY55" i="17"/>
  <c r="S55" i="17"/>
  <c r="R55" i="17"/>
  <c r="Q55" i="17"/>
  <c r="X55" i="17" s="1"/>
  <c r="P55" i="17"/>
  <c r="O55" i="17"/>
  <c r="N55" i="17"/>
  <c r="M55" i="17"/>
  <c r="K55" i="17"/>
  <c r="W55" i="17" s="1"/>
  <c r="J55" i="17"/>
  <c r="I55" i="17"/>
  <c r="H55" i="17"/>
  <c r="G55" i="17"/>
  <c r="V55" i="17" s="1"/>
  <c r="F55" i="17"/>
  <c r="E55" i="17"/>
  <c r="D55" i="17"/>
  <c r="AP55" i="17" s="1"/>
  <c r="C55" i="17"/>
  <c r="T55" i="17" s="1"/>
  <c r="A55" i="17"/>
  <c r="ED54" i="17"/>
  <c r="EC54" i="17"/>
  <c r="EA54" i="17"/>
  <c r="DZ54" i="17"/>
  <c r="DY54" i="17"/>
  <c r="S54" i="17"/>
  <c r="R54" i="17"/>
  <c r="Q54" i="17"/>
  <c r="X54" i="17" s="1"/>
  <c r="P54" i="17"/>
  <c r="O54" i="17"/>
  <c r="N54" i="17"/>
  <c r="M54" i="17"/>
  <c r="K54" i="17"/>
  <c r="W54" i="17" s="1"/>
  <c r="J54" i="17"/>
  <c r="I54" i="17"/>
  <c r="H54" i="17"/>
  <c r="G54" i="17"/>
  <c r="V54" i="17" s="1"/>
  <c r="F54" i="17"/>
  <c r="E54" i="17"/>
  <c r="D54" i="17"/>
  <c r="AP54" i="17" s="1"/>
  <c r="C54" i="17"/>
  <c r="A54" i="17"/>
  <c r="ED53" i="17"/>
  <c r="EC53" i="17"/>
  <c r="EA53" i="17"/>
  <c r="DZ53" i="17"/>
  <c r="DY53" i="17"/>
  <c r="S53" i="17"/>
  <c r="R53" i="17"/>
  <c r="Q53" i="17"/>
  <c r="X53" i="17" s="1"/>
  <c r="P53" i="17"/>
  <c r="O53" i="17"/>
  <c r="N53" i="17"/>
  <c r="M53" i="17"/>
  <c r="K53" i="17"/>
  <c r="W53" i="17" s="1"/>
  <c r="J53" i="17"/>
  <c r="I53" i="17"/>
  <c r="H53" i="17"/>
  <c r="G53" i="17"/>
  <c r="V53" i="17" s="1"/>
  <c r="F53" i="17"/>
  <c r="E53" i="17"/>
  <c r="D53" i="17"/>
  <c r="AP53" i="17" s="1"/>
  <c r="C53" i="17"/>
  <c r="A53" i="17"/>
  <c r="ED52" i="17"/>
  <c r="EC52" i="17"/>
  <c r="EA52" i="17"/>
  <c r="DZ52" i="17"/>
  <c r="DY52" i="17"/>
  <c r="S52" i="17"/>
  <c r="R52" i="17"/>
  <c r="Q52" i="17"/>
  <c r="X52" i="17" s="1"/>
  <c r="P52" i="17"/>
  <c r="O52" i="17"/>
  <c r="N52" i="17"/>
  <c r="M52" i="17"/>
  <c r="K52" i="17"/>
  <c r="W52" i="17" s="1"/>
  <c r="J52" i="17"/>
  <c r="I52" i="17"/>
  <c r="H52" i="17"/>
  <c r="G52" i="17"/>
  <c r="V52" i="17" s="1"/>
  <c r="F52" i="17"/>
  <c r="E52" i="17"/>
  <c r="D52" i="17"/>
  <c r="AP52" i="17" s="1"/>
  <c r="C52" i="17"/>
  <c r="A52" i="17"/>
  <c r="ED51" i="17"/>
  <c r="EC51" i="17"/>
  <c r="EA51" i="17"/>
  <c r="DZ51" i="17"/>
  <c r="DY51" i="17"/>
  <c r="S51" i="17"/>
  <c r="R51" i="17"/>
  <c r="Q51" i="17"/>
  <c r="X51" i="17" s="1"/>
  <c r="P51" i="17"/>
  <c r="O51" i="17"/>
  <c r="N51" i="17"/>
  <c r="M51" i="17"/>
  <c r="K51" i="17"/>
  <c r="J51" i="17"/>
  <c r="I51" i="17"/>
  <c r="H51" i="17"/>
  <c r="G51" i="17"/>
  <c r="V51" i="17" s="1"/>
  <c r="F51" i="17"/>
  <c r="E51" i="17"/>
  <c r="D51" i="17"/>
  <c r="AP51" i="17" s="1"/>
  <c r="C51" i="17"/>
  <c r="A51" i="17"/>
  <c r="ED50" i="17"/>
  <c r="EC50" i="17"/>
  <c r="EA50" i="17"/>
  <c r="DZ50" i="17"/>
  <c r="DY50" i="17"/>
  <c r="S50" i="17"/>
  <c r="R50" i="17"/>
  <c r="Q50" i="17"/>
  <c r="X50" i="17" s="1"/>
  <c r="P50" i="17"/>
  <c r="O50" i="17"/>
  <c r="N50" i="17"/>
  <c r="M50" i="17"/>
  <c r="K50" i="17"/>
  <c r="W50" i="17" s="1"/>
  <c r="J50" i="17"/>
  <c r="I50" i="17"/>
  <c r="H50" i="17"/>
  <c r="G50" i="17"/>
  <c r="V50" i="17" s="1"/>
  <c r="F50" i="17"/>
  <c r="E50" i="17"/>
  <c r="D50" i="17"/>
  <c r="AP50" i="17" s="1"/>
  <c r="C50" i="17"/>
  <c r="A50" i="17"/>
  <c r="ED49" i="17"/>
  <c r="EC49" i="17"/>
  <c r="EA49" i="17"/>
  <c r="DZ49" i="17"/>
  <c r="DY49" i="17"/>
  <c r="S49" i="17"/>
  <c r="R49" i="17"/>
  <c r="Q49" i="17"/>
  <c r="X49" i="17" s="1"/>
  <c r="P49" i="17"/>
  <c r="O49" i="17"/>
  <c r="N49" i="17"/>
  <c r="M49" i="17"/>
  <c r="K49" i="17"/>
  <c r="J49" i="17"/>
  <c r="I49" i="17"/>
  <c r="H49" i="17"/>
  <c r="G49" i="17"/>
  <c r="V49" i="17" s="1"/>
  <c r="F49" i="17"/>
  <c r="E49" i="17"/>
  <c r="D49" i="17"/>
  <c r="AP49" i="17" s="1"/>
  <c r="C49" i="17"/>
  <c r="A49" i="17"/>
  <c r="ED48" i="17"/>
  <c r="EC48" i="17"/>
  <c r="EA48" i="17"/>
  <c r="DZ48" i="17"/>
  <c r="DY48" i="17"/>
  <c r="S48" i="17"/>
  <c r="R48" i="17"/>
  <c r="Q48" i="17"/>
  <c r="X48" i="17" s="1"/>
  <c r="P48" i="17"/>
  <c r="O48" i="17"/>
  <c r="N48" i="17"/>
  <c r="M48" i="17"/>
  <c r="K48" i="17"/>
  <c r="J48" i="17"/>
  <c r="I48" i="17"/>
  <c r="H48" i="17"/>
  <c r="G48" i="17"/>
  <c r="V48" i="17" s="1"/>
  <c r="F48" i="17"/>
  <c r="E48" i="17"/>
  <c r="D48" i="17"/>
  <c r="C48" i="17"/>
  <c r="A48" i="17"/>
  <c r="ED47" i="17"/>
  <c r="EC47" i="17"/>
  <c r="EA47" i="17"/>
  <c r="DZ47" i="17"/>
  <c r="DY47" i="17"/>
  <c r="S47" i="17"/>
  <c r="R47" i="17"/>
  <c r="Q47" i="17"/>
  <c r="X47" i="17" s="1"/>
  <c r="P47" i="17"/>
  <c r="O47" i="17"/>
  <c r="N47" i="17"/>
  <c r="M47" i="17"/>
  <c r="K47" i="17"/>
  <c r="W47" i="17" s="1"/>
  <c r="J47" i="17"/>
  <c r="I47" i="17"/>
  <c r="H47" i="17"/>
  <c r="G47" i="17"/>
  <c r="V47" i="17" s="1"/>
  <c r="F47" i="17"/>
  <c r="E47" i="17"/>
  <c r="D47" i="17"/>
  <c r="AP47" i="17" s="1"/>
  <c r="C47" i="17"/>
  <c r="A47" i="17"/>
  <c r="ED46" i="17"/>
  <c r="EC46" i="17"/>
  <c r="EA46" i="17"/>
  <c r="DZ46" i="17"/>
  <c r="DY46" i="17"/>
  <c r="S46" i="17"/>
  <c r="R46" i="17"/>
  <c r="Q46" i="17"/>
  <c r="X46" i="17" s="1"/>
  <c r="P46" i="17"/>
  <c r="O46" i="17"/>
  <c r="N46" i="17"/>
  <c r="M46" i="17"/>
  <c r="K46" i="17"/>
  <c r="W46" i="17" s="1"/>
  <c r="J46" i="17"/>
  <c r="I46" i="17"/>
  <c r="H46" i="17"/>
  <c r="G46" i="17"/>
  <c r="V46" i="17" s="1"/>
  <c r="F46" i="17"/>
  <c r="E46" i="17"/>
  <c r="D46" i="17"/>
  <c r="AP46" i="17" s="1"/>
  <c r="C46" i="17"/>
  <c r="A46" i="17"/>
  <c r="ED45" i="17"/>
  <c r="EC45" i="17"/>
  <c r="EA45" i="17"/>
  <c r="DZ45" i="17"/>
  <c r="DY45" i="17"/>
  <c r="S45" i="17"/>
  <c r="R45" i="17"/>
  <c r="Q45" i="17"/>
  <c r="X45" i="17" s="1"/>
  <c r="P45" i="17"/>
  <c r="O45" i="17"/>
  <c r="N45" i="17"/>
  <c r="M45" i="17"/>
  <c r="K45" i="17"/>
  <c r="W45" i="17" s="1"/>
  <c r="J45" i="17"/>
  <c r="I45" i="17"/>
  <c r="H45" i="17"/>
  <c r="G45" i="17"/>
  <c r="V45" i="17" s="1"/>
  <c r="F45" i="17"/>
  <c r="E45" i="17"/>
  <c r="D45" i="17"/>
  <c r="AP45" i="17" s="1"/>
  <c r="C45" i="17"/>
  <c r="A45" i="17"/>
  <c r="ED44" i="17"/>
  <c r="EC44" i="17"/>
  <c r="EA44" i="17"/>
  <c r="DZ44" i="17"/>
  <c r="DY44" i="17"/>
  <c r="S44" i="17"/>
  <c r="R44" i="17"/>
  <c r="Q44" i="17"/>
  <c r="X44" i="17" s="1"/>
  <c r="P44" i="17"/>
  <c r="O44" i="17"/>
  <c r="N44" i="17"/>
  <c r="M44" i="17"/>
  <c r="K44" i="17"/>
  <c r="W44" i="17" s="1"/>
  <c r="J44" i="17"/>
  <c r="I44" i="17"/>
  <c r="H44" i="17"/>
  <c r="G44" i="17"/>
  <c r="V44" i="17" s="1"/>
  <c r="F44" i="17"/>
  <c r="E44" i="17"/>
  <c r="D44" i="17"/>
  <c r="AP44" i="17" s="1"/>
  <c r="C44" i="17"/>
  <c r="A44" i="17"/>
  <c r="ED43" i="17"/>
  <c r="EC43" i="17"/>
  <c r="EA43" i="17"/>
  <c r="DZ43" i="17"/>
  <c r="DY43" i="17"/>
  <c r="S43" i="17"/>
  <c r="R43" i="17"/>
  <c r="Q43" i="17"/>
  <c r="X43" i="17" s="1"/>
  <c r="P43" i="17"/>
  <c r="O43" i="17"/>
  <c r="N43" i="17"/>
  <c r="M43" i="17"/>
  <c r="K43" i="17"/>
  <c r="J43" i="17"/>
  <c r="I43" i="17"/>
  <c r="H43" i="17"/>
  <c r="G43" i="17"/>
  <c r="V43" i="17" s="1"/>
  <c r="F43" i="17"/>
  <c r="E43" i="17"/>
  <c r="D43" i="17"/>
  <c r="AP43" i="17" s="1"/>
  <c r="C43" i="17"/>
  <c r="A43" i="17"/>
  <c r="ED42" i="17"/>
  <c r="EC42" i="17"/>
  <c r="EA42" i="17"/>
  <c r="DZ42" i="17"/>
  <c r="DY42" i="17"/>
  <c r="S42" i="17"/>
  <c r="R42" i="17"/>
  <c r="Q42" i="17"/>
  <c r="X42" i="17" s="1"/>
  <c r="P42" i="17"/>
  <c r="O42" i="17"/>
  <c r="N42" i="17"/>
  <c r="M42" i="17"/>
  <c r="K42" i="17"/>
  <c r="W42" i="17" s="1"/>
  <c r="J42" i="17"/>
  <c r="I42" i="17"/>
  <c r="H42" i="17"/>
  <c r="G42" i="17"/>
  <c r="V42" i="17" s="1"/>
  <c r="F42" i="17"/>
  <c r="E42" i="17"/>
  <c r="D42" i="17"/>
  <c r="AP42" i="17" s="1"/>
  <c r="C42" i="17"/>
  <c r="A42" i="17"/>
  <c r="ED41" i="17"/>
  <c r="EC41" i="17"/>
  <c r="EA41" i="17"/>
  <c r="DZ41" i="17"/>
  <c r="DY41" i="17"/>
  <c r="S41" i="17"/>
  <c r="R41" i="17"/>
  <c r="Q41" i="17"/>
  <c r="X41" i="17" s="1"/>
  <c r="P41" i="17"/>
  <c r="O41" i="17"/>
  <c r="N41" i="17"/>
  <c r="M41" i="17"/>
  <c r="K41" i="17"/>
  <c r="J41" i="17"/>
  <c r="I41" i="17"/>
  <c r="H41" i="17"/>
  <c r="G41" i="17"/>
  <c r="V41" i="17" s="1"/>
  <c r="F41" i="17"/>
  <c r="E41" i="17"/>
  <c r="D41" i="17"/>
  <c r="AP41" i="17" s="1"/>
  <c r="C41" i="17"/>
  <c r="A41" i="17"/>
  <c r="ED40" i="17"/>
  <c r="EC40" i="17"/>
  <c r="EA40" i="17"/>
  <c r="DZ40" i="17"/>
  <c r="DY40" i="17"/>
  <c r="S40" i="17"/>
  <c r="R40" i="17"/>
  <c r="Q40" i="17"/>
  <c r="X40" i="17" s="1"/>
  <c r="P40" i="17"/>
  <c r="O40" i="17"/>
  <c r="N40" i="17"/>
  <c r="M40" i="17"/>
  <c r="K40" i="17"/>
  <c r="W40" i="17" s="1"/>
  <c r="J40" i="17"/>
  <c r="I40" i="17"/>
  <c r="H40" i="17"/>
  <c r="G40" i="17"/>
  <c r="V40" i="17" s="1"/>
  <c r="F40" i="17"/>
  <c r="E40" i="17"/>
  <c r="D40" i="17"/>
  <c r="AP40" i="17" s="1"/>
  <c r="C40" i="17"/>
  <c r="A40" i="17"/>
  <c r="ED39" i="17"/>
  <c r="EC39" i="17"/>
  <c r="EA39" i="17"/>
  <c r="DZ39" i="17"/>
  <c r="DY39" i="17"/>
  <c r="S39" i="17"/>
  <c r="R39" i="17"/>
  <c r="Q39" i="17"/>
  <c r="X39" i="17" s="1"/>
  <c r="P39" i="17"/>
  <c r="O39" i="17"/>
  <c r="N39" i="17"/>
  <c r="M39" i="17"/>
  <c r="K39" i="17"/>
  <c r="W39" i="17" s="1"/>
  <c r="J39" i="17"/>
  <c r="I39" i="17"/>
  <c r="H39" i="17"/>
  <c r="G39" i="17"/>
  <c r="V39" i="17" s="1"/>
  <c r="F39" i="17"/>
  <c r="E39" i="17"/>
  <c r="D39" i="17"/>
  <c r="AP39" i="17" s="1"/>
  <c r="C39" i="17"/>
  <c r="A39" i="17"/>
  <c r="ED38" i="17"/>
  <c r="EC38" i="17"/>
  <c r="EA38" i="17"/>
  <c r="DZ38" i="17"/>
  <c r="DY38" i="17"/>
  <c r="S38" i="17"/>
  <c r="R38" i="17"/>
  <c r="Q38" i="17"/>
  <c r="X38" i="17" s="1"/>
  <c r="P38" i="17"/>
  <c r="O38" i="17"/>
  <c r="N38" i="17"/>
  <c r="M38" i="17"/>
  <c r="K38" i="17"/>
  <c r="J38" i="17"/>
  <c r="I38" i="17"/>
  <c r="H38" i="17"/>
  <c r="G38" i="17"/>
  <c r="V38" i="17" s="1"/>
  <c r="F38" i="17"/>
  <c r="E38" i="17"/>
  <c r="D38" i="17"/>
  <c r="AP38" i="17" s="1"/>
  <c r="C38" i="17"/>
  <c r="A38" i="17"/>
  <c r="ED37" i="17"/>
  <c r="EC37" i="17"/>
  <c r="EA37" i="17"/>
  <c r="DZ37" i="17"/>
  <c r="DY37" i="17"/>
  <c r="S37" i="17"/>
  <c r="R37" i="17"/>
  <c r="Q37" i="17"/>
  <c r="X37" i="17" s="1"/>
  <c r="P37" i="17"/>
  <c r="O37" i="17"/>
  <c r="N37" i="17"/>
  <c r="M37" i="17"/>
  <c r="K37" i="17"/>
  <c r="W37" i="17" s="1"/>
  <c r="J37" i="17"/>
  <c r="I37" i="17"/>
  <c r="H37" i="17"/>
  <c r="G37" i="17"/>
  <c r="V37" i="17" s="1"/>
  <c r="F37" i="17"/>
  <c r="E37" i="17"/>
  <c r="D37" i="17"/>
  <c r="AP37" i="17" s="1"/>
  <c r="C37" i="17"/>
  <c r="A37" i="17"/>
  <c r="ED36" i="17"/>
  <c r="EC36" i="17"/>
  <c r="EA36" i="17"/>
  <c r="DZ36" i="17"/>
  <c r="DY36" i="17"/>
  <c r="S36" i="17"/>
  <c r="R36" i="17"/>
  <c r="Q36" i="17"/>
  <c r="X36" i="17" s="1"/>
  <c r="P36" i="17"/>
  <c r="O36" i="17"/>
  <c r="N36" i="17"/>
  <c r="M36" i="17"/>
  <c r="K36" i="17"/>
  <c r="W36" i="17" s="1"/>
  <c r="J36" i="17"/>
  <c r="I36" i="17"/>
  <c r="H36" i="17"/>
  <c r="G36" i="17"/>
  <c r="V36" i="17" s="1"/>
  <c r="F36" i="17"/>
  <c r="E36" i="17"/>
  <c r="D36" i="17"/>
  <c r="AP36" i="17" s="1"/>
  <c r="C36" i="17"/>
  <c r="T36" i="17" s="1"/>
  <c r="A36" i="17"/>
  <c r="ED35" i="17"/>
  <c r="EC35" i="17"/>
  <c r="EA35" i="17"/>
  <c r="DZ35" i="17"/>
  <c r="DY35" i="17"/>
  <c r="S35" i="17"/>
  <c r="R35" i="17"/>
  <c r="Q35" i="17"/>
  <c r="X35" i="17" s="1"/>
  <c r="P35" i="17"/>
  <c r="O35" i="17"/>
  <c r="N35" i="17"/>
  <c r="M35" i="17"/>
  <c r="K35" i="17"/>
  <c r="W35" i="17" s="1"/>
  <c r="J35" i="17"/>
  <c r="I35" i="17"/>
  <c r="H35" i="17"/>
  <c r="G35" i="17"/>
  <c r="V35" i="17" s="1"/>
  <c r="F35" i="17"/>
  <c r="E35" i="17"/>
  <c r="D35" i="17"/>
  <c r="AP35" i="17" s="1"/>
  <c r="C35" i="17"/>
  <c r="A35" i="17"/>
  <c r="ED34" i="17"/>
  <c r="EC34" i="17"/>
  <c r="EA34" i="17"/>
  <c r="DZ34" i="17"/>
  <c r="DY34" i="17"/>
  <c r="S34" i="17"/>
  <c r="R34" i="17"/>
  <c r="Q34" i="17"/>
  <c r="X34" i="17" s="1"/>
  <c r="P34" i="17"/>
  <c r="O34" i="17"/>
  <c r="N34" i="17"/>
  <c r="M34" i="17"/>
  <c r="K34" i="17"/>
  <c r="J34" i="17"/>
  <c r="I34" i="17"/>
  <c r="H34" i="17"/>
  <c r="G34" i="17"/>
  <c r="V34" i="17" s="1"/>
  <c r="F34" i="17"/>
  <c r="E34" i="17"/>
  <c r="D34" i="17"/>
  <c r="AP34" i="17" s="1"/>
  <c r="C34" i="17"/>
  <c r="A34" i="17"/>
  <c r="ED33" i="17"/>
  <c r="EC33" i="17"/>
  <c r="EA33" i="17"/>
  <c r="DZ33" i="17"/>
  <c r="DY33" i="17"/>
  <c r="S33" i="17"/>
  <c r="R33" i="17"/>
  <c r="Q33" i="17"/>
  <c r="X33" i="17" s="1"/>
  <c r="P33" i="17"/>
  <c r="O33" i="17"/>
  <c r="N33" i="17"/>
  <c r="M33" i="17"/>
  <c r="K33" i="17"/>
  <c r="J33" i="17"/>
  <c r="I33" i="17"/>
  <c r="H33" i="17"/>
  <c r="G33" i="17"/>
  <c r="V33" i="17" s="1"/>
  <c r="F33" i="17"/>
  <c r="E33" i="17"/>
  <c r="D33" i="17"/>
  <c r="AP33" i="17" s="1"/>
  <c r="C33" i="17"/>
  <c r="A33" i="17"/>
  <c r="ED32" i="17"/>
  <c r="EC32" i="17"/>
  <c r="EA32" i="17"/>
  <c r="DZ32" i="17"/>
  <c r="DY32" i="17"/>
  <c r="S32" i="17"/>
  <c r="R32" i="17"/>
  <c r="Q32" i="17"/>
  <c r="X32" i="17" s="1"/>
  <c r="P32" i="17"/>
  <c r="O32" i="17"/>
  <c r="N32" i="17"/>
  <c r="M32" i="17"/>
  <c r="K32" i="17"/>
  <c r="J32" i="17"/>
  <c r="I32" i="17"/>
  <c r="H32" i="17"/>
  <c r="G32" i="17"/>
  <c r="V32" i="17" s="1"/>
  <c r="F32" i="17"/>
  <c r="E32" i="17"/>
  <c r="D32" i="17"/>
  <c r="AP32" i="17" s="1"/>
  <c r="C32" i="17"/>
  <c r="A32" i="17"/>
  <c r="ED31" i="17"/>
  <c r="EC31" i="17"/>
  <c r="EA31" i="17"/>
  <c r="DZ31" i="17"/>
  <c r="DY31" i="17"/>
  <c r="S31" i="17"/>
  <c r="R31" i="17"/>
  <c r="Q31" i="17"/>
  <c r="X31" i="17" s="1"/>
  <c r="P31" i="17"/>
  <c r="O31" i="17"/>
  <c r="N31" i="17"/>
  <c r="M31" i="17"/>
  <c r="K31" i="17"/>
  <c r="W31" i="17" s="1"/>
  <c r="J31" i="17"/>
  <c r="I31" i="17"/>
  <c r="H31" i="17"/>
  <c r="G31" i="17"/>
  <c r="V31" i="17" s="1"/>
  <c r="F31" i="17"/>
  <c r="E31" i="17"/>
  <c r="D31" i="17"/>
  <c r="AP31" i="17" s="1"/>
  <c r="C31" i="17"/>
  <c r="A31" i="17"/>
  <c r="ED30" i="17"/>
  <c r="EC30" i="17"/>
  <c r="EA30" i="17"/>
  <c r="DZ30" i="17"/>
  <c r="DY30" i="17"/>
  <c r="S30" i="17"/>
  <c r="R30" i="17"/>
  <c r="Q30" i="17"/>
  <c r="X30" i="17" s="1"/>
  <c r="P30" i="17"/>
  <c r="O30" i="17"/>
  <c r="N30" i="17"/>
  <c r="M30" i="17"/>
  <c r="K30" i="17"/>
  <c r="J30" i="17"/>
  <c r="I30" i="17"/>
  <c r="H30" i="17"/>
  <c r="G30" i="17"/>
  <c r="V30" i="17" s="1"/>
  <c r="F30" i="17"/>
  <c r="E30" i="17"/>
  <c r="D30" i="17"/>
  <c r="AP30" i="17" s="1"/>
  <c r="C30" i="17"/>
  <c r="A30" i="17"/>
  <c r="S24" i="17"/>
  <c r="R24" i="17"/>
  <c r="Q24" i="17"/>
  <c r="X24" i="17" s="1"/>
  <c r="P24" i="17"/>
  <c r="S23" i="17"/>
  <c r="R23" i="17"/>
  <c r="Q23" i="17"/>
  <c r="X23" i="17" s="1"/>
  <c r="P23" i="17"/>
  <c r="O23" i="17"/>
  <c r="N23" i="17"/>
  <c r="S22" i="17"/>
  <c r="R22" i="17"/>
  <c r="Q22" i="17"/>
  <c r="X22" i="17" s="1"/>
  <c r="P22" i="17"/>
  <c r="O22" i="17"/>
  <c r="N22" i="17"/>
  <c r="S21" i="17"/>
  <c r="R21" i="17"/>
  <c r="Q21" i="17"/>
  <c r="X21" i="17" s="1"/>
  <c r="P21" i="17"/>
  <c r="O21" i="17"/>
  <c r="N21" i="17"/>
  <c r="S20" i="17"/>
  <c r="R20" i="17"/>
  <c r="Q20" i="17"/>
  <c r="X20" i="17" s="1"/>
  <c r="P20" i="17"/>
  <c r="O20" i="17"/>
  <c r="N20" i="17"/>
  <c r="S19" i="17"/>
  <c r="R19" i="17"/>
  <c r="Q19" i="17"/>
  <c r="X19" i="17" s="1"/>
  <c r="P19" i="17"/>
  <c r="O19" i="17"/>
  <c r="N19" i="17"/>
  <c r="S18" i="17"/>
  <c r="R18" i="17"/>
  <c r="Q18" i="17"/>
  <c r="X18" i="17" s="1"/>
  <c r="P18" i="17"/>
  <c r="O18" i="17"/>
  <c r="N18" i="17"/>
  <c r="S17" i="17"/>
  <c r="R17" i="17"/>
  <c r="Q17" i="17"/>
  <c r="X17" i="17" s="1"/>
  <c r="P17" i="17"/>
  <c r="O17" i="17"/>
  <c r="N17" i="17"/>
  <c r="S16" i="17"/>
  <c r="R16" i="17"/>
  <c r="Q16" i="17"/>
  <c r="X16" i="17" s="1"/>
  <c r="P16" i="17"/>
  <c r="O16" i="17"/>
  <c r="N16" i="17"/>
  <c r="S15" i="17"/>
  <c r="R15" i="17"/>
  <c r="Q15" i="17"/>
  <c r="X15" i="17" s="1"/>
  <c r="P15" i="17"/>
  <c r="O15" i="17"/>
  <c r="N15" i="17"/>
  <c r="S14" i="17"/>
  <c r="R14" i="17"/>
  <c r="Q14" i="17"/>
  <c r="X14" i="17" s="1"/>
  <c r="P14" i="17"/>
  <c r="O14" i="17"/>
  <c r="N14" i="17"/>
  <c r="S13" i="17"/>
  <c r="R13" i="17"/>
  <c r="Q13" i="17"/>
  <c r="X13" i="17" s="1"/>
  <c r="P13" i="17"/>
  <c r="O13" i="17"/>
  <c r="N13" i="17"/>
  <c r="S12" i="17"/>
  <c r="R12" i="17"/>
  <c r="Q12" i="17"/>
  <c r="X12" i="17" s="1"/>
  <c r="P12" i="17"/>
  <c r="O12" i="17"/>
  <c r="N12" i="17"/>
  <c r="S11" i="17"/>
  <c r="R11" i="17"/>
  <c r="Q11" i="17"/>
  <c r="X11" i="17" s="1"/>
  <c r="P11" i="17"/>
  <c r="O11" i="17"/>
  <c r="N11" i="17"/>
  <c r="S10" i="17"/>
  <c r="R10" i="17"/>
  <c r="Q10" i="17"/>
  <c r="X10" i="17" s="1"/>
  <c r="P10" i="17"/>
  <c r="O10" i="17"/>
  <c r="N10" i="17"/>
  <c r="S9" i="17"/>
  <c r="R9" i="17"/>
  <c r="Q9" i="17"/>
  <c r="X9" i="17" s="1"/>
  <c r="P9" i="17"/>
  <c r="O9" i="17"/>
  <c r="N9" i="17"/>
  <c r="S8" i="17"/>
  <c r="R8" i="17"/>
  <c r="Q8" i="17"/>
  <c r="X8" i="17" s="1"/>
  <c r="P8" i="17"/>
  <c r="O8" i="17"/>
  <c r="N8" i="17"/>
  <c r="S7" i="17"/>
  <c r="R7" i="17"/>
  <c r="Q7" i="17"/>
  <c r="X7" i="17" s="1"/>
  <c r="P7" i="17"/>
  <c r="O7" i="17"/>
  <c r="N7" i="17"/>
  <c r="S6" i="17"/>
  <c r="R6" i="17"/>
  <c r="Q6" i="17"/>
  <c r="X6" i="17" s="1"/>
  <c r="P6" i="17"/>
  <c r="O6" i="17"/>
  <c r="N6" i="17"/>
  <c r="B15" i="4"/>
  <c r="B19" i="22"/>
  <c r="D19" i="22" s="1"/>
  <c r="B18" i="22"/>
  <c r="D18" i="22" s="1"/>
  <c r="F62" i="20"/>
  <c r="G62" i="20" s="1"/>
  <c r="C62" i="20"/>
  <c r="F61" i="20"/>
  <c r="C61" i="20"/>
  <c r="F60" i="20"/>
  <c r="C60" i="20"/>
  <c r="F59" i="20"/>
  <c r="C59" i="20"/>
  <c r="F58" i="20"/>
  <c r="C58" i="20"/>
  <c r="F57" i="20"/>
  <c r="C57" i="20"/>
  <c r="F56" i="20"/>
  <c r="C56" i="20"/>
  <c r="F55" i="20"/>
  <c r="C55" i="20"/>
  <c r="F54" i="20"/>
  <c r="C54" i="20"/>
  <c r="F53" i="20"/>
  <c r="C53" i="20"/>
  <c r="F52" i="20"/>
  <c r="C52" i="20"/>
  <c r="F51" i="20"/>
  <c r="C51" i="20"/>
  <c r="F50" i="20"/>
  <c r="C50" i="20"/>
  <c r="F49" i="20"/>
  <c r="C49" i="20"/>
  <c r="F48" i="20"/>
  <c r="C48" i="20"/>
  <c r="F47" i="20"/>
  <c r="C47" i="20"/>
  <c r="F46" i="20"/>
  <c r="C46" i="20"/>
  <c r="F45" i="20"/>
  <c r="C45" i="20"/>
  <c r="F44" i="20"/>
  <c r="C44" i="20"/>
  <c r="F43" i="20"/>
  <c r="C43" i="20"/>
  <c r="F42" i="20"/>
  <c r="C42" i="20"/>
  <c r="F41" i="20"/>
  <c r="C41" i="20"/>
  <c r="F40" i="20"/>
  <c r="C40" i="20"/>
  <c r="F39" i="20"/>
  <c r="C39" i="20"/>
  <c r="F38" i="20"/>
  <c r="C38" i="20"/>
  <c r="F37" i="20"/>
  <c r="C37" i="20"/>
  <c r="F36" i="20"/>
  <c r="C36" i="20"/>
  <c r="F35" i="20"/>
  <c r="C35" i="20"/>
  <c r="F34" i="20"/>
  <c r="C34" i="20"/>
  <c r="F33" i="20"/>
  <c r="C33" i="20"/>
  <c r="F32" i="20"/>
  <c r="C32" i="20"/>
  <c r="F31" i="20"/>
  <c r="C31" i="20"/>
  <c r="F30" i="20"/>
  <c r="C30" i="20"/>
  <c r="F29" i="20"/>
  <c r="C29" i="20"/>
  <c r="F28" i="20"/>
  <c r="C28" i="20"/>
  <c r="F27" i="20"/>
  <c r="C27" i="20"/>
  <c r="F26" i="20"/>
  <c r="C26" i="20"/>
  <c r="F25" i="20"/>
  <c r="C25" i="20"/>
  <c r="F24" i="20"/>
  <c r="C24" i="20"/>
  <c r="F23" i="20"/>
  <c r="B23" i="20"/>
  <c r="N43" i="13"/>
  <c r="M43" i="13"/>
  <c r="K43" i="13"/>
  <c r="J43" i="13"/>
  <c r="I43" i="13"/>
  <c r="H43" i="13"/>
  <c r="N42" i="13"/>
  <c r="M42" i="13"/>
  <c r="K42" i="13"/>
  <c r="J42" i="13"/>
  <c r="I42" i="13"/>
  <c r="H42" i="13"/>
  <c r="N41" i="13"/>
  <c r="M41" i="13"/>
  <c r="K41" i="13"/>
  <c r="J41" i="13"/>
  <c r="I41" i="13"/>
  <c r="H41" i="13"/>
  <c r="N40" i="13"/>
  <c r="M40" i="13"/>
  <c r="K40" i="13"/>
  <c r="J40" i="13"/>
  <c r="I40" i="13"/>
  <c r="H40" i="13"/>
  <c r="N39" i="13"/>
  <c r="M39" i="13"/>
  <c r="K39" i="13"/>
  <c r="J39" i="13"/>
  <c r="I39" i="13"/>
  <c r="H39" i="13"/>
  <c r="N38" i="13"/>
  <c r="M38" i="13"/>
  <c r="K38" i="13"/>
  <c r="J38" i="13"/>
  <c r="I38" i="13"/>
  <c r="H38" i="13"/>
  <c r="N37" i="13"/>
  <c r="M37" i="13"/>
  <c r="K37" i="13"/>
  <c r="J37" i="13"/>
  <c r="I37" i="13"/>
  <c r="H37" i="13"/>
  <c r="N36" i="13"/>
  <c r="M36" i="13"/>
  <c r="K36" i="13"/>
  <c r="J36" i="13"/>
  <c r="I36" i="13"/>
  <c r="H36" i="13"/>
  <c r="N35" i="13"/>
  <c r="M35" i="13"/>
  <c r="K35" i="13"/>
  <c r="J35" i="13"/>
  <c r="I35" i="13"/>
  <c r="H35" i="13"/>
  <c r="N34" i="13"/>
  <c r="M34" i="13"/>
  <c r="K34" i="13"/>
  <c r="J34" i="13"/>
  <c r="I34" i="13"/>
  <c r="H34" i="13"/>
  <c r="N33" i="13"/>
  <c r="M33" i="13"/>
  <c r="K33" i="13"/>
  <c r="J33" i="13"/>
  <c r="I33" i="13"/>
  <c r="H33" i="13"/>
  <c r="N32" i="13"/>
  <c r="M32" i="13"/>
  <c r="K32" i="13"/>
  <c r="J32" i="13"/>
  <c r="I32" i="13"/>
  <c r="H32" i="13"/>
  <c r="N31" i="13"/>
  <c r="M31" i="13"/>
  <c r="K31" i="13"/>
  <c r="J31" i="13"/>
  <c r="I31" i="13"/>
  <c r="H31" i="13"/>
  <c r="N30" i="13"/>
  <c r="M30" i="13"/>
  <c r="K30" i="13"/>
  <c r="J30" i="13"/>
  <c r="I30" i="13"/>
  <c r="H30" i="13"/>
  <c r="N29" i="13"/>
  <c r="M29" i="13"/>
  <c r="K29" i="13"/>
  <c r="J29" i="13"/>
  <c r="I29" i="13"/>
  <c r="H29" i="13"/>
  <c r="N28" i="13"/>
  <c r="M28" i="13"/>
  <c r="K28" i="13"/>
  <c r="J28" i="13"/>
  <c r="I28" i="13"/>
  <c r="H28" i="13"/>
  <c r="N27" i="13"/>
  <c r="M27" i="13"/>
  <c r="K27" i="13"/>
  <c r="J27" i="13"/>
  <c r="I27" i="13"/>
  <c r="H27" i="13"/>
  <c r="N26" i="13"/>
  <c r="M26" i="13"/>
  <c r="K26" i="13"/>
  <c r="J26" i="13"/>
  <c r="I26" i="13"/>
  <c r="H26" i="13"/>
  <c r="N25" i="13"/>
  <c r="M25" i="13"/>
  <c r="K25" i="13"/>
  <c r="J25" i="13"/>
  <c r="I25" i="13"/>
  <c r="H25" i="13"/>
  <c r="N24" i="13"/>
  <c r="M24" i="13"/>
  <c r="K24" i="13"/>
  <c r="J24" i="13"/>
  <c r="I24" i="13"/>
  <c r="H24" i="13"/>
  <c r="B10" i="13"/>
  <c r="B9" i="13"/>
  <c r="B8" i="13"/>
  <c r="B7" i="13"/>
  <c r="B6" i="13"/>
  <c r="B14" i="13" s="1"/>
  <c r="B16" i="22" s="1"/>
  <c r="D16" i="22" s="1"/>
  <c r="G4" i="13"/>
  <c r="B32" i="6"/>
  <c r="B31" i="6"/>
  <c r="B30" i="6"/>
  <c r="B29" i="6"/>
  <c r="B28" i="6"/>
  <c r="B27" i="6"/>
  <c r="G13" i="6"/>
  <c r="H13" i="6" s="1"/>
  <c r="G12" i="6"/>
  <c r="H12" i="6" s="1"/>
  <c r="G11" i="6"/>
  <c r="H11" i="6" s="1"/>
  <c r="G10" i="6"/>
  <c r="H10" i="6" s="1"/>
  <c r="G9" i="6"/>
  <c r="H9" i="6" s="1"/>
  <c r="G8" i="6"/>
  <c r="J35" i="7"/>
  <c r="I35" i="7"/>
  <c r="F35" i="7"/>
  <c r="C35" i="7"/>
  <c r="B35" i="7"/>
  <c r="J34" i="7"/>
  <c r="I34" i="7"/>
  <c r="F34" i="7"/>
  <c r="C34" i="7"/>
  <c r="B34" i="7"/>
  <c r="J33" i="7"/>
  <c r="I33" i="7"/>
  <c r="F33" i="7"/>
  <c r="C33" i="7"/>
  <c r="B33" i="7"/>
  <c r="J32" i="7"/>
  <c r="I32" i="7"/>
  <c r="F32" i="7"/>
  <c r="C32" i="7"/>
  <c r="B32" i="7"/>
  <c r="J31" i="7"/>
  <c r="I31" i="7"/>
  <c r="F31" i="7"/>
  <c r="C31" i="7"/>
  <c r="B31" i="7"/>
  <c r="J30" i="7"/>
  <c r="I30" i="7"/>
  <c r="F30" i="7"/>
  <c r="C30" i="7"/>
  <c r="B30" i="7"/>
  <c r="J29" i="7"/>
  <c r="I29" i="7"/>
  <c r="F29" i="7"/>
  <c r="C29" i="7"/>
  <c r="B29" i="7"/>
  <c r="B12" i="7"/>
  <c r="B11" i="7"/>
  <c r="B5" i="7"/>
  <c r="B52" i="18"/>
  <c r="B53" i="18" s="1"/>
  <c r="B50" i="18"/>
  <c r="L12" i="18"/>
  <c r="K12" i="18"/>
  <c r="J12" i="18"/>
  <c r="I12" i="18"/>
  <c r="L11" i="18"/>
  <c r="K11" i="18"/>
  <c r="J11" i="18"/>
  <c r="I11" i="18"/>
  <c r="L10" i="18"/>
  <c r="K10" i="18"/>
  <c r="J10" i="18"/>
  <c r="I10" i="18"/>
  <c r="F10" i="18"/>
  <c r="L9" i="18"/>
  <c r="K9" i="18"/>
  <c r="J9" i="18"/>
  <c r="I9" i="18"/>
  <c r="F9" i="18"/>
  <c r="L8" i="18"/>
  <c r="K8" i="18"/>
  <c r="J8" i="18"/>
  <c r="I8" i="18"/>
  <c r="F8" i="18"/>
  <c r="L7" i="18"/>
  <c r="K7" i="18"/>
  <c r="J7" i="18"/>
  <c r="I7" i="18"/>
  <c r="F7" i="18"/>
  <c r="L6" i="18"/>
  <c r="K6" i="18"/>
  <c r="J6" i="18"/>
  <c r="I6" i="18"/>
  <c r="F6" i="18"/>
  <c r="L5" i="18"/>
  <c r="K5" i="18"/>
  <c r="J5" i="18"/>
  <c r="I5" i="18"/>
  <c r="F5" i="18"/>
  <c r="M43" i="14"/>
  <c r="M42" i="14"/>
  <c r="M41" i="14"/>
  <c r="M40" i="14"/>
  <c r="M39" i="14"/>
  <c r="M38" i="14"/>
  <c r="M37" i="14"/>
  <c r="M36" i="14"/>
  <c r="M35" i="14"/>
  <c r="M34" i="14"/>
  <c r="M33" i="14"/>
  <c r="M32" i="14"/>
  <c r="M31" i="14"/>
  <c r="M30" i="14"/>
  <c r="M29" i="14"/>
  <c r="M28" i="14"/>
  <c r="M27" i="14"/>
  <c r="M26" i="14"/>
  <c r="M25" i="14"/>
  <c r="M24" i="14"/>
  <c r="M23" i="14"/>
  <c r="M22" i="14"/>
  <c r="M21" i="14"/>
  <c r="M20" i="14"/>
  <c r="M19" i="14"/>
  <c r="M18" i="14"/>
  <c r="M17" i="14"/>
  <c r="M16" i="14"/>
  <c r="M15" i="14"/>
  <c r="M14" i="14"/>
  <c r="M13" i="14"/>
  <c r="M12" i="14"/>
  <c r="M11" i="14"/>
  <c r="M10" i="14"/>
  <c r="M9" i="14"/>
  <c r="M8" i="14"/>
  <c r="M7" i="14"/>
  <c r="M6" i="14"/>
  <c r="M5" i="14"/>
  <c r="M4" i="14"/>
  <c r="B31" i="12"/>
  <c r="B25" i="12"/>
  <c r="B17" i="12"/>
  <c r="B10" i="12"/>
  <c r="B9" i="12"/>
  <c r="B8" i="12"/>
  <c r="B7" i="12"/>
  <c r="B6" i="12"/>
  <c r="B5" i="12"/>
  <c r="B4" i="1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I54" i="2"/>
  <c r="A54" i="2"/>
  <c r="I53" i="2"/>
  <c r="A53" i="2"/>
  <c r="I52" i="2"/>
  <c r="A52" i="2"/>
  <c r="I51" i="2"/>
  <c r="A51" i="2"/>
  <c r="I50" i="2"/>
  <c r="A50" i="2"/>
  <c r="I8" i="2"/>
  <c r="B35" i="22" s="1"/>
  <c r="D35" i="22" s="1"/>
  <c r="T149" i="17" l="1"/>
  <c r="EB279" i="17" a="1"/>
  <c r="EB277" i="17" a="1"/>
  <c r="EB274" i="17" a="1"/>
  <c r="T274" i="17"/>
  <c r="W114" i="17"/>
  <c r="T115" i="17"/>
  <c r="W65" i="17"/>
  <c r="T245" i="17"/>
  <c r="W201" i="17"/>
  <c r="T201" i="17"/>
  <c r="AP272" i="17"/>
  <c r="AP266" i="17"/>
  <c r="AP253" i="17"/>
  <c r="AP218" i="17"/>
  <c r="AP133" i="17"/>
  <c r="U276" i="17"/>
  <c r="EB276" i="17" s="1" a="1"/>
  <c r="T99" i="17"/>
  <c r="W51" i="17"/>
  <c r="T51" i="17"/>
  <c r="W129" i="17"/>
  <c r="W113" i="17"/>
  <c r="T260" i="17"/>
  <c r="W68" i="17"/>
  <c r="W34" i="17"/>
  <c r="W85" i="17"/>
  <c r="W196" i="17"/>
  <c r="W219" i="17"/>
  <c r="W157" i="17"/>
  <c r="W102" i="17"/>
  <c r="W119" i="17"/>
  <c r="H20" i="13"/>
  <c r="H19" i="13"/>
  <c r="H22" i="13"/>
  <c r="H21" i="13"/>
  <c r="H23" i="13"/>
  <c r="T94" i="17"/>
  <c r="W124" i="17"/>
  <c r="W181" i="17"/>
  <c r="T133" i="17"/>
  <c r="T62" i="17"/>
  <c r="T243" i="17"/>
  <c r="W147" i="17"/>
  <c r="T88" i="17"/>
  <c r="T96" i="17"/>
  <c r="W253" i="17"/>
  <c r="T252" i="17"/>
  <c r="T39" i="17"/>
  <c r="T106" i="17"/>
  <c r="T37" i="17"/>
  <c r="W30" i="17"/>
  <c r="W260" i="17"/>
  <c r="T192" i="17"/>
  <c r="T86" i="17"/>
  <c r="W116" i="17"/>
  <c r="W38" i="17"/>
  <c r="W79" i="17"/>
  <c r="W123" i="17"/>
  <c r="T82" i="17"/>
  <c r="T150" i="17"/>
  <c r="T97" i="17"/>
  <c r="T151" i="17"/>
  <c r="T168" i="17"/>
  <c r="W101" i="17"/>
  <c r="U105" i="17"/>
  <c r="EB105" i="17" s="1" a="1"/>
  <c r="T210" i="17"/>
  <c r="W43" i="17"/>
  <c r="W118" i="17"/>
  <c r="W243" i="17"/>
  <c r="W221" i="17"/>
  <c r="U275" i="17"/>
  <c r="EB275" i="17" s="1" a="1"/>
  <c r="W162" i="17"/>
  <c r="W231" i="17"/>
  <c r="W232" i="17"/>
  <c r="T234" i="17"/>
  <c r="W198" i="17"/>
  <c r="W67" i="17"/>
  <c r="W161" i="17"/>
  <c r="W33" i="17"/>
  <c r="W204" i="17"/>
  <c r="T266" i="17"/>
  <c r="W257" i="17"/>
  <c r="T240" i="17"/>
  <c r="W188" i="17"/>
  <c r="T112" i="17"/>
  <c r="W217" i="17"/>
  <c r="B11" i="12" a="1"/>
  <c r="B12" i="12" s="1"/>
  <c r="W72" i="17"/>
  <c r="T224" i="17"/>
  <c r="T183" i="17"/>
  <c r="T174" i="17"/>
  <c r="T156" i="17"/>
  <c r="T188" i="17"/>
  <c r="W247" i="17"/>
  <c r="T251" i="17"/>
  <c r="T247" i="17"/>
  <c r="T269" i="17"/>
  <c r="T65" i="17"/>
  <c r="W125" i="17"/>
  <c r="U91" i="17"/>
  <c r="EB91" i="17" s="1" a="1"/>
  <c r="W267" i="17"/>
  <c r="U255" i="17"/>
  <c r="EB255" i="17" s="1" a="1"/>
  <c r="T185" i="17"/>
  <c r="W241" i="17"/>
  <c r="W273" i="17"/>
  <c r="W78" i="17"/>
  <c r="T241" i="17"/>
  <c r="T261" i="17"/>
  <c r="W200" i="17"/>
  <c r="T172" i="17"/>
  <c r="T40" i="17"/>
  <c r="U143" i="17"/>
  <c r="EB143" i="17" s="1" a="1"/>
  <c r="T107" i="17"/>
  <c r="T44" i="17"/>
  <c r="T38" i="17"/>
  <c r="T223" i="17"/>
  <c r="T33" i="17"/>
  <c r="T264" i="17"/>
  <c r="T98" i="17"/>
  <c r="W245" i="17"/>
  <c r="W41" i="17"/>
  <c r="T139" i="17"/>
  <c r="T182" i="17"/>
  <c r="T114" i="17"/>
  <c r="T105" i="17"/>
  <c r="W154" i="17"/>
  <c r="U83" i="17"/>
  <c r="EB83" i="17" s="1" a="1"/>
  <c r="T242" i="17"/>
  <c r="T189" i="17"/>
  <c r="T166" i="17"/>
  <c r="T171" i="17"/>
  <c r="H4" i="13"/>
  <c r="I4" i="13" s="1"/>
  <c r="H5" i="13"/>
  <c r="U80" i="17"/>
  <c r="EB80" i="17" s="1" a="1"/>
  <c r="T59" i="17"/>
  <c r="W121" i="17"/>
  <c r="G61" i="20"/>
  <c r="T50" i="17"/>
  <c r="W144" i="17"/>
  <c r="T270" i="17"/>
  <c r="T155" i="17"/>
  <c r="T250" i="17"/>
  <c r="T190" i="17"/>
  <c r="T91" i="17"/>
  <c r="T144" i="17"/>
  <c r="T259" i="17"/>
  <c r="U93" i="17"/>
  <c r="EB93" i="17" s="1" a="1"/>
  <c r="T227" i="17"/>
  <c r="W236" i="17"/>
  <c r="T60" i="17"/>
  <c r="W187" i="17"/>
  <c r="W228" i="17"/>
  <c r="T140" i="17"/>
  <c r="T258" i="17"/>
  <c r="W127" i="17"/>
  <c r="U256" i="17"/>
  <c r="EB256" i="17" s="1" a="1"/>
  <c r="T199" i="17"/>
  <c r="T176" i="17"/>
  <c r="U184" i="17"/>
  <c r="EB184" i="17" s="1" a="1"/>
  <c r="T164" i="17"/>
  <c r="T95" i="17"/>
  <c r="W76" i="17"/>
  <c r="W223" i="17"/>
  <c r="T193" i="17"/>
  <c r="T180" i="17"/>
  <c r="G59" i="20"/>
  <c r="T272" i="17"/>
  <c r="U95" i="17"/>
  <c r="EB95" i="17" s="1" a="1"/>
  <c r="T84" i="17"/>
  <c r="U278" i="17"/>
  <c r="EB278" i="17" s="1" a="1"/>
  <c r="U104" i="17"/>
  <c r="EB104" i="17" s="1" a="1"/>
  <c r="T232" i="17"/>
  <c r="W48" i="17"/>
  <c r="T255" i="17"/>
  <c r="W261" i="17"/>
  <c r="W170" i="17"/>
  <c r="T127" i="17"/>
  <c r="T181" i="17"/>
  <c r="W207" i="17"/>
  <c r="T163" i="17"/>
  <c r="U99" i="17"/>
  <c r="EB99" i="17" s="1" a="1"/>
  <c r="W191" i="17"/>
  <c r="T43" i="17"/>
  <c r="W230" i="17"/>
  <c r="T157" i="17"/>
  <c r="T53" i="17"/>
  <c r="U272" i="17"/>
  <c r="EB272" i="17" s="1" a="1"/>
  <c r="U273" i="17"/>
  <c r="EB273" i="17" s="1" a="1"/>
  <c r="U210" i="17"/>
  <c r="EB210" i="17" s="1" a="1"/>
  <c r="T121" i="17"/>
  <c r="T202" i="17"/>
  <c r="T130" i="17"/>
  <c r="T184" i="17"/>
  <c r="U192" i="17"/>
  <c r="EB192" i="17" s="1" a="1"/>
  <c r="T265" i="17"/>
  <c r="W135" i="17"/>
  <c r="T197" i="17"/>
  <c r="T137" i="17"/>
  <c r="T147" i="17"/>
  <c r="U100" i="17"/>
  <c r="EB100" i="17" s="1" a="1"/>
  <c r="T233" i="17"/>
  <c r="U266" i="17"/>
  <c r="EB266" i="17" s="1" a="1"/>
  <c r="T198" i="17"/>
  <c r="T187" i="17"/>
  <c r="T42" i="17"/>
  <c r="T73" i="17"/>
  <c r="T230" i="17"/>
  <c r="U261" i="17"/>
  <c r="EB261" i="17" s="1" a="1"/>
  <c r="T142" i="17"/>
  <c r="T76" i="17"/>
  <c r="W148" i="17"/>
  <c r="T145" i="17"/>
  <c r="U240" i="17"/>
  <c r="EB240" i="17" s="1" a="1"/>
  <c r="T90" i="17"/>
  <c r="U89" i="17"/>
  <c r="EB89" i="17" s="1" a="1"/>
  <c r="U130" i="17"/>
  <c r="EB130" i="17" s="1" a="1"/>
  <c r="T102" i="17"/>
  <c r="U271" i="17"/>
  <c r="EB271" i="17" s="1" a="1"/>
  <c r="U270" i="17"/>
  <c r="EB270" i="17" s="1" a="1"/>
  <c r="T122" i="17"/>
  <c r="U71" i="17"/>
  <c r="EB71" i="17" s="1" a="1"/>
  <c r="W258" i="17"/>
  <c r="T257" i="17"/>
  <c r="T253" i="17"/>
  <c r="U251" i="17"/>
  <c r="EB251" i="17" s="1" a="1"/>
  <c r="T81" i="17"/>
  <c r="T77" i="17"/>
  <c r="T72" i="17"/>
  <c r="T71" i="17"/>
  <c r="T70" i="17"/>
  <c r="T69" i="17"/>
  <c r="T45" i="17"/>
  <c r="T35" i="17"/>
  <c r="U228" i="17"/>
  <c r="EB228" i="17" s="1" a="1"/>
  <c r="U67" i="17"/>
  <c r="EB67" i="17" s="1" a="1"/>
  <c r="U249" i="17"/>
  <c r="EB249" i="17" s="1" a="1"/>
  <c r="U57" i="17"/>
  <c r="EB57" i="17" s="1" a="1"/>
  <c r="T56" i="17"/>
  <c r="T52" i="17"/>
  <c r="T54" i="17"/>
  <c r="T267" i="17"/>
  <c r="U68" i="17"/>
  <c r="EB68" i="17" s="1" a="1"/>
  <c r="U66" i="17"/>
  <c r="EB66" i="17" s="1" a="1"/>
  <c r="T268" i="17"/>
  <c r="U232" i="17"/>
  <c r="EB232" i="17" s="1" a="1"/>
  <c r="U144" i="17"/>
  <c r="EB144" i="17" s="1" a="1"/>
  <c r="U75" i="17"/>
  <c r="EB75" i="17" s="1" a="1"/>
  <c r="U74" i="17"/>
  <c r="EB74" i="17" s="1" a="1"/>
  <c r="T167" i="17"/>
  <c r="U237" i="17"/>
  <c r="EB237" i="17" s="1" a="1"/>
  <c r="T113" i="17"/>
  <c r="T170" i="17"/>
  <c r="T249" i="17"/>
  <c r="T179" i="17"/>
  <c r="T162" i="17"/>
  <c r="U82" i="17"/>
  <c r="EB82" i="17" s="1" a="1"/>
  <c r="T78" i="17"/>
  <c r="W213" i="17"/>
  <c r="T213" i="17"/>
  <c r="W110" i="17"/>
  <c r="U269" i="17"/>
  <c r="EB269" i="17" s="1" a="1"/>
  <c r="T248" i="17"/>
  <c r="W239" i="17"/>
  <c r="T239" i="17"/>
  <c r="T222" i="17"/>
  <c r="T205" i="17"/>
  <c r="W153" i="17"/>
  <c r="T153" i="17"/>
  <c r="W136" i="17"/>
  <c r="W93" i="17"/>
  <c r="T236" i="17"/>
  <c r="T273" i="17"/>
  <c r="U239" i="17"/>
  <c r="EB239" i="17" s="1" a="1"/>
  <c r="W256" i="17"/>
  <c r="T256" i="17"/>
  <c r="T231" i="17"/>
  <c r="T214" i="17"/>
  <c r="T175" i="17"/>
  <c r="T278" i="17"/>
  <c r="T226" i="17"/>
  <c r="U72" i="17"/>
  <c r="EB72" i="17" s="1" a="1"/>
  <c r="T165" i="17"/>
  <c r="U110" i="17"/>
  <c r="EB110" i="17" s="1" a="1"/>
  <c r="U253" i="17"/>
  <c r="EB253" i="17" s="1" a="1"/>
  <c r="U177" i="17"/>
  <c r="EB177" i="17" s="1" a="1"/>
  <c r="T124" i="17"/>
  <c r="U205" i="17"/>
  <c r="EB205" i="17" s="1" a="1"/>
  <c r="T204" i="17"/>
  <c r="T101" i="17"/>
  <c r="U202" i="17"/>
  <c r="EB202" i="17" s="1" a="1"/>
  <c r="U167" i="17"/>
  <c r="EB167" i="17" s="1" a="1"/>
  <c r="U245" i="17"/>
  <c r="EB245" i="17" s="1" a="1"/>
  <c r="U190" i="17"/>
  <c r="EB190" i="17" s="1" a="1"/>
  <c r="U194" i="17"/>
  <c r="EB194" i="17" s="1" a="1"/>
  <c r="U146" i="17"/>
  <c r="EB146" i="17" s="1" a="1"/>
  <c r="U219" i="17"/>
  <c r="EB219" i="17" s="1" a="1"/>
  <c r="U128" i="17"/>
  <c r="EB128" i="17" s="1" a="1"/>
  <c r="T117" i="17"/>
  <c r="U116" i="17"/>
  <c r="EB116" i="17" s="1" a="1"/>
  <c r="U188" i="17"/>
  <c r="EB188" i="17" s="1" a="1"/>
  <c r="U76" i="17"/>
  <c r="EB76" i="17" s="1" a="1"/>
  <c r="U183" i="17"/>
  <c r="EB183" i="17" s="1" a="1"/>
  <c r="U252" i="17"/>
  <c r="EB252" i="17" s="1" a="1"/>
  <c r="U234" i="17"/>
  <c r="EB234" i="17" s="1" a="1"/>
  <c r="U244" i="17"/>
  <c r="EB244" i="17" s="1" a="1"/>
  <c r="U242" i="17"/>
  <c r="EB242" i="17" s="1" a="1"/>
  <c r="U207" i="17"/>
  <c r="EB207" i="17" s="1" a="1"/>
  <c r="U201" i="17"/>
  <c r="EB201" i="17" s="1" a="1"/>
  <c r="T41" i="17"/>
  <c r="T47" i="17"/>
  <c r="U250" i="17"/>
  <c r="EB250" i="17" s="1" a="1"/>
  <c r="U102" i="17"/>
  <c r="EB102" i="17" s="1" a="1"/>
  <c r="U127" i="17"/>
  <c r="EB127" i="17" s="1" a="1"/>
  <c r="H7" i="13"/>
  <c r="H6" i="13"/>
  <c r="T128" i="17"/>
  <c r="U226" i="17"/>
  <c r="EB226" i="17" s="1" a="1"/>
  <c r="G60" i="20"/>
  <c r="T111" i="17"/>
  <c r="U64" i="17"/>
  <c r="EB64" i="17" s="1" a="1"/>
  <c r="G56" i="20"/>
  <c r="U193" i="17"/>
  <c r="EB193" i="17" s="1" a="1"/>
  <c r="T123" i="17"/>
  <c r="T238" i="17"/>
  <c r="T221" i="17"/>
  <c r="T110" i="17"/>
  <c r="U51" i="17"/>
  <c r="EB51" i="17" s="1" a="1"/>
  <c r="T196" i="17"/>
  <c r="U233" i="17"/>
  <c r="EB233" i="17" s="1" a="1"/>
  <c r="U236" i="17"/>
  <c r="EB236" i="17" s="1" a="1"/>
  <c r="W117" i="17"/>
  <c r="T116" i="17"/>
  <c r="T119" i="17"/>
  <c r="T136" i="17"/>
  <c r="U173" i="17"/>
  <c r="EB173" i="17" s="1" a="1"/>
  <c r="U52" i="17"/>
  <c r="EB52" i="17" s="1" a="1"/>
  <c r="U200" i="17"/>
  <c r="EB200" i="17" s="1" a="1"/>
  <c r="U199" i="17"/>
  <c r="EB199" i="17" s="1" a="1"/>
  <c r="U187" i="17"/>
  <c r="EB187" i="17" s="1" a="1"/>
  <c r="W246" i="17"/>
  <c r="U79" i="17"/>
  <c r="EB79" i="17" s="1" a="1"/>
  <c r="T158" i="17"/>
  <c r="U235" i="17"/>
  <c r="EB235" i="17" s="1" a="1"/>
  <c r="T93" i="17"/>
  <c r="U97" i="17"/>
  <c r="EB97" i="17" s="1" a="1"/>
  <c r="T46" i="17"/>
  <c r="U139" i="17"/>
  <c r="EB139" i="17" s="1" a="1"/>
  <c r="T141" i="17"/>
  <c r="U49" i="17"/>
  <c r="EB49" i="17" s="1" a="1"/>
  <c r="W75" i="17"/>
  <c r="T161" i="17"/>
  <c r="U38" i="17"/>
  <c r="EB38" i="17" s="1" a="1"/>
  <c r="U35" i="17"/>
  <c r="EB35" i="17" s="1" a="1"/>
  <c r="W229" i="17"/>
  <c r="U59" i="17"/>
  <c r="EB59" i="17" s="1" a="1"/>
  <c r="U221" i="17"/>
  <c r="EB221" i="17" s="1" a="1"/>
  <c r="U154" i="17"/>
  <c r="EB154" i="17" s="1" a="1"/>
  <c r="U148" i="17"/>
  <c r="EB148" i="17" s="1" a="1"/>
  <c r="T68" i="17"/>
  <c r="U40" i="17"/>
  <c r="EB40" i="17" s="1" a="1"/>
  <c r="T31" i="17"/>
  <c r="T30" i="17"/>
  <c r="T148" i="17"/>
  <c r="U159" i="17"/>
  <c r="EB159" i="17" s="1" a="1"/>
  <c r="U262" i="17"/>
  <c r="EB262" i="17" s="1" a="1"/>
  <c r="U259" i="17"/>
  <c r="EB259" i="17" s="1" a="1"/>
  <c r="U218" i="17"/>
  <c r="EB218" i="17" s="1" a="1"/>
  <c r="T219" i="17"/>
  <c r="T215" i="17"/>
  <c r="U209" i="17"/>
  <c r="EB209" i="17" s="1" a="1"/>
  <c r="U101" i="17"/>
  <c r="EB101" i="17" s="1" a="1"/>
  <c r="U54" i="17"/>
  <c r="EB54" i="17" s="1" a="1"/>
  <c r="U48" i="17"/>
  <c r="EB48" i="17" s="1" a="1"/>
  <c r="T48" i="17"/>
  <c r="U37" i="17"/>
  <c r="EB37" i="17" s="1" a="1"/>
  <c r="U45" i="17"/>
  <c r="EB45" i="17" s="1" a="1"/>
  <c r="T225" i="17"/>
  <c r="U112" i="17"/>
  <c r="EB112" i="17" s="1" a="1"/>
  <c r="U44" i="17"/>
  <c r="EB44" i="17" s="1" a="1"/>
  <c r="G57" i="20"/>
  <c r="U227" i="17"/>
  <c r="EB227" i="17" s="1" a="1"/>
  <c r="U222" i="17"/>
  <c r="EB222" i="17" s="1" a="1"/>
  <c r="U171" i="17"/>
  <c r="EB171" i="17" s="1" a="1"/>
  <c r="U162" i="17"/>
  <c r="EB162" i="17" s="1" a="1"/>
  <c r="U224" i="17"/>
  <c r="EB224" i="17" s="1" a="1"/>
  <c r="U208" i="17"/>
  <c r="EB208" i="17" s="1" a="1"/>
  <c r="U47" i="17"/>
  <c r="EB47" i="17" s="1" a="1"/>
  <c r="T146" i="17"/>
  <c r="T178" i="17"/>
  <c r="W169" i="17"/>
  <c r="U137" i="17"/>
  <c r="EB137" i="17" s="1" a="1"/>
  <c r="T118" i="17"/>
  <c r="U149" i="17"/>
  <c r="EB149" i="17" s="1" a="1"/>
  <c r="U142" i="17"/>
  <c r="EB142" i="17" s="1" a="1"/>
  <c r="U118" i="17"/>
  <c r="EB118" i="17" s="1" a="1"/>
  <c r="U268" i="17"/>
  <c r="EB268" i="17" s="1" a="1"/>
  <c r="U267" i="17"/>
  <c r="EB267" i="17" s="1" a="1"/>
  <c r="U260" i="17"/>
  <c r="EB260" i="17" s="1" a="1"/>
  <c r="U258" i="17"/>
  <c r="EB258" i="17" s="1" a="1"/>
  <c r="T216" i="17"/>
  <c r="T154" i="17"/>
  <c r="T131" i="17"/>
  <c r="T125" i="17"/>
  <c r="U147" i="17"/>
  <c r="EB147" i="17" s="1" a="1"/>
  <c r="T195" i="17"/>
  <c r="W186" i="17"/>
  <c r="U87" i="17"/>
  <c r="EB87" i="17" s="1" a="1"/>
  <c r="U63" i="17"/>
  <c r="EB63" i="17" s="1" a="1"/>
  <c r="U73" i="17"/>
  <c r="EB73" i="17" s="1" a="1"/>
  <c r="U70" i="17"/>
  <c r="EB70" i="17" s="1" a="1"/>
  <c r="U53" i="17"/>
  <c r="EB53" i="17" s="1" a="1"/>
  <c r="U50" i="17"/>
  <c r="EB50" i="17" s="1" a="1"/>
  <c r="U34" i="17"/>
  <c r="EB34" i="17" s="1" a="1"/>
  <c r="U113" i="17"/>
  <c r="EB113" i="17" s="1" a="1"/>
  <c r="U156" i="17"/>
  <c r="EB156" i="17" s="1" a="1"/>
  <c r="U151" i="17"/>
  <c r="EB151" i="17" s="1" a="1"/>
  <c r="T159" i="17"/>
  <c r="U126" i="17"/>
  <c r="EB126" i="17" s="1" a="1"/>
  <c r="U81" i="17"/>
  <c r="EB81" i="17" s="1" a="1"/>
  <c r="U61" i="17"/>
  <c r="EB61" i="17" s="1" a="1"/>
  <c r="G55" i="20"/>
  <c r="U265" i="17"/>
  <c r="EB265" i="17" s="1" a="1"/>
  <c r="U133" i="17"/>
  <c r="EB133" i="17" s="1" a="1"/>
  <c r="U122" i="17"/>
  <c r="EB122" i="17" s="1" a="1"/>
  <c r="D35" i="7"/>
  <c r="G35" i="7" s="1"/>
  <c r="T132" i="17"/>
  <c r="U136" i="17"/>
  <c r="EB136" i="17" s="1" a="1"/>
  <c r="U88" i="17"/>
  <c r="EB88" i="17" s="1" a="1"/>
  <c r="U46" i="17"/>
  <c r="EB46" i="17" s="1" a="1"/>
  <c r="U85" i="17"/>
  <c r="EB85" i="17" s="1" a="1"/>
  <c r="U43" i="17"/>
  <c r="EB43" i="17" s="1" a="1"/>
  <c r="U31" i="17"/>
  <c r="EB31" i="17" s="1" a="1"/>
  <c r="U257" i="17"/>
  <c r="EB257" i="17" s="1" a="1"/>
  <c r="U254" i="17"/>
  <c r="EB254" i="17" s="1" a="1"/>
  <c r="U248" i="17"/>
  <c r="EB248" i="17" s="1" a="1"/>
  <c r="U247" i="17"/>
  <c r="EB247" i="17" s="1" a="1"/>
  <c r="U243" i="17"/>
  <c r="EB243" i="17" s="1" a="1"/>
  <c r="U241" i="17"/>
  <c r="EB241" i="17" s="1" a="1"/>
  <c r="U230" i="17"/>
  <c r="EB230" i="17" s="1" a="1"/>
  <c r="U197" i="17"/>
  <c r="EB197" i="17" s="1" a="1"/>
  <c r="U182" i="17"/>
  <c r="EB182" i="17" s="1" a="1"/>
  <c r="U174" i="17"/>
  <c r="EB174" i="17" s="1" a="1"/>
  <c r="U170" i="17"/>
  <c r="EB170" i="17" s="1" a="1"/>
  <c r="U168" i="17"/>
  <c r="EB168" i="17" s="1" a="1"/>
  <c r="U157" i="17"/>
  <c r="EB157" i="17" s="1" a="1"/>
  <c r="U153" i="17"/>
  <c r="EB153" i="17" s="1" a="1"/>
  <c r="U152" i="17"/>
  <c r="EB152" i="17" s="1" a="1"/>
  <c r="U121" i="17"/>
  <c r="EB121" i="17" s="1" a="1"/>
  <c r="U58" i="17"/>
  <c r="EB58" i="17" s="1" a="1"/>
  <c r="G53" i="20"/>
  <c r="G52" i="20"/>
  <c r="U138" i="17"/>
  <c r="EB138" i="17" s="1" a="1"/>
  <c r="U65" i="17"/>
  <c r="EB65" i="17" s="1" a="1"/>
  <c r="U60" i="17"/>
  <c r="EB60" i="17" s="1" a="1"/>
  <c r="E35" i="7"/>
  <c r="U150" i="17"/>
  <c r="EB150" i="17" s="1" a="1"/>
  <c r="U223" i="17"/>
  <c r="EB223" i="17" s="1" a="1"/>
  <c r="U264" i="17"/>
  <c r="EB264" i="17" s="1" a="1"/>
  <c r="E31" i="7"/>
  <c r="U215" i="17"/>
  <c r="EB215" i="17" s="1" a="1"/>
  <c r="U178" i="17"/>
  <c r="EB178" i="17" s="1" a="1"/>
  <c r="U158" i="17"/>
  <c r="EB158" i="17" s="1" a="1"/>
  <c r="U145" i="17"/>
  <c r="EB145" i="17" s="1" a="1"/>
  <c r="U198" i="17"/>
  <c r="EB198" i="17" s="1" a="1"/>
  <c r="T34" i="17"/>
  <c r="U225" i="17"/>
  <c r="EB225" i="17" s="1" a="1"/>
  <c r="U204" i="17"/>
  <c r="EB204" i="17" s="1" a="1"/>
  <c r="D33" i="7"/>
  <c r="G33" i="7" s="1"/>
  <c r="U216" i="17"/>
  <c r="EB216" i="17" s="1" a="1"/>
  <c r="U213" i="17"/>
  <c r="EB213" i="17" s="1" a="1"/>
  <c r="T207" i="17"/>
  <c r="U160" i="17"/>
  <c r="EB160" i="17" s="1" a="1"/>
  <c r="U77" i="17"/>
  <c r="EB77" i="17" s="1" a="1"/>
  <c r="U103" i="17"/>
  <c r="EB103" i="17" s="1" a="1"/>
  <c r="U84" i="17"/>
  <c r="EB84" i="17" s="1" a="1"/>
  <c r="T263" i="17"/>
  <c r="U246" i="17"/>
  <c r="EB246" i="17" s="1" a="1"/>
  <c r="T229" i="17"/>
  <c r="T212" i="17"/>
  <c r="U166" i="17"/>
  <c r="EB166" i="17" s="1" a="1"/>
  <c r="U164" i="17"/>
  <c r="EB164" i="17" s="1" a="1"/>
  <c r="W203" i="17"/>
  <c r="U165" i="17"/>
  <c r="EB165" i="17" s="1" a="1"/>
  <c r="T169" i="17"/>
  <c r="T152" i="17"/>
  <c r="U120" i="17"/>
  <c r="EB120" i="17" s="1" a="1"/>
  <c r="W143" i="17"/>
  <c r="T143" i="17"/>
  <c r="T135" i="17"/>
  <c r="U92" i="17"/>
  <c r="EB92" i="17" s="1" a="1"/>
  <c r="T75" i="17"/>
  <c r="W66" i="17"/>
  <c r="T66" i="17"/>
  <c r="T58" i="17"/>
  <c r="W32" i="17"/>
  <c r="G51" i="20"/>
  <c r="G50" i="20"/>
  <c r="G47" i="20"/>
  <c r="G46" i="20"/>
  <c r="U191" i="17"/>
  <c r="EB191" i="17" s="1" a="1"/>
  <c r="U36" i="17"/>
  <c r="EB36" i="17" s="1" a="1"/>
  <c r="U229" i="17"/>
  <c r="EB229" i="17" s="1" a="1"/>
  <c r="U186" i="17"/>
  <c r="EB186" i="17" s="1" a="1"/>
  <c r="U161" i="17"/>
  <c r="EB161" i="17" s="1" a="1"/>
  <c r="U56" i="17"/>
  <c r="EB56" i="17" s="1" a="1"/>
  <c r="W160" i="17"/>
  <c r="U55" i="17"/>
  <c r="EB55" i="17" s="1" a="1"/>
  <c r="W126" i="17"/>
  <c r="T126" i="17"/>
  <c r="U117" i="17"/>
  <c r="EB117" i="17" s="1" a="1"/>
  <c r="U90" i="17"/>
  <c r="EB90" i="17" s="1" a="1"/>
  <c r="U238" i="17"/>
  <c r="EB238" i="17" s="1" a="1"/>
  <c r="U163" i="17"/>
  <c r="EB163" i="17" s="1" a="1"/>
  <c r="U109" i="17"/>
  <c r="EB109" i="17" s="1" a="1"/>
  <c r="U108" i="17"/>
  <c r="EB108" i="17" s="1" a="1"/>
  <c r="U119" i="17"/>
  <c r="EB119" i="17" s="1" a="1"/>
  <c r="U96" i="17"/>
  <c r="EB96" i="17" s="1" a="1"/>
  <c r="U94" i="17"/>
  <c r="EB94" i="17" s="1" a="1"/>
  <c r="T246" i="17"/>
  <c r="U78" i="17"/>
  <c r="EB78" i="17" s="1" a="1"/>
  <c r="U181" i="17"/>
  <c r="EB181" i="17" s="1" a="1"/>
  <c r="U179" i="17"/>
  <c r="EB179" i="17" s="1" a="1"/>
  <c r="G58" i="20"/>
  <c r="D32" i="7"/>
  <c r="G32" i="7" s="1"/>
  <c r="U30" i="17"/>
  <c r="EB30" i="17" s="1" a="1"/>
  <c r="G54" i="20"/>
  <c r="G48" i="20"/>
  <c r="E33" i="7"/>
  <c r="U185" i="17"/>
  <c r="EB185" i="17" s="1" a="1"/>
  <c r="W184" i="17"/>
  <c r="U155" i="17"/>
  <c r="EB155" i="17" s="1" a="1"/>
  <c r="U189" i="17"/>
  <c r="EB189" i="17" s="1" a="1"/>
  <c r="W220" i="17"/>
  <c r="U172" i="17"/>
  <c r="EB172" i="17" s="1" a="1"/>
  <c r="G49" i="20"/>
  <c r="B16" i="7"/>
  <c r="E30" i="7"/>
  <c r="W254" i="17"/>
  <c r="U106" i="17"/>
  <c r="EB106" i="17" s="1" a="1"/>
  <c r="W237" i="17"/>
  <c r="U203" i="17"/>
  <c r="EB203" i="17" s="1" a="1"/>
  <c r="U123" i="17"/>
  <c r="EB123" i="17" s="1" a="1"/>
  <c r="T186" i="17"/>
  <c r="U135" i="17"/>
  <c r="EB135" i="17" s="1" a="1"/>
  <c r="U134" i="17"/>
  <c r="EB134" i="17" s="1" a="1"/>
  <c r="U131" i="17"/>
  <c r="EB131" i="17" s="1" a="1"/>
  <c r="U125" i="17"/>
  <c r="EB125" i="17" s="1" a="1"/>
  <c r="T109" i="17"/>
  <c r="U39" i="17"/>
  <c r="EB39" i="17" s="1" a="1"/>
  <c r="D30" i="7"/>
  <c r="G30" i="7" s="1"/>
  <c r="W271" i="17"/>
  <c r="U214" i="17"/>
  <c r="EB214" i="17" s="1" a="1"/>
  <c r="U211" i="17"/>
  <c r="EB211" i="17" s="1" a="1"/>
  <c r="T200" i="17"/>
  <c r="U196" i="17"/>
  <c r="EB196" i="17" s="1" a="1"/>
  <c r="U180" i="17"/>
  <c r="EB180" i="17" s="1" a="1"/>
  <c r="U169" i="17"/>
  <c r="EB169" i="17" s="1" a="1"/>
  <c r="U111" i="17"/>
  <c r="EB111" i="17" s="1" a="1"/>
  <c r="W177" i="17"/>
  <c r="T177" i="17"/>
  <c r="U140" i="17"/>
  <c r="EB140" i="17" s="1" a="1"/>
  <c r="U115" i="17"/>
  <c r="EB115" i="17" s="1" a="1"/>
  <c r="U98" i="17"/>
  <c r="EB98" i="17" s="1" a="1"/>
  <c r="W100" i="17"/>
  <c r="T92" i="17"/>
  <c r="W83" i="17"/>
  <c r="T83" i="17"/>
  <c r="J36" i="7"/>
  <c r="B41" i="7" s="1"/>
  <c r="U32" i="17"/>
  <c r="EB32" i="17" s="1" a="1"/>
  <c r="D31" i="7"/>
  <c r="G31" i="7" s="1"/>
  <c r="C36" i="7"/>
  <c r="T276" i="17"/>
  <c r="U263" i="17"/>
  <c r="EB263" i="17" s="1" a="1"/>
  <c r="U212" i="17"/>
  <c r="EB212" i="17" s="1" a="1"/>
  <c r="U206" i="17"/>
  <c r="EB206" i="17" s="1" a="1"/>
  <c r="T271" i="17"/>
  <c r="T254" i="17"/>
  <c r="U195" i="17"/>
  <c r="EB195" i="17" s="1" a="1"/>
  <c r="T237" i="17"/>
  <c r="U231" i="17"/>
  <c r="EB231" i="17" s="1" a="1"/>
  <c r="T228" i="17"/>
  <c r="U220" i="17"/>
  <c r="EB220" i="17" s="1" a="1"/>
  <c r="T220" i="17"/>
  <c r="W211" i="17"/>
  <c r="T211" i="17"/>
  <c r="T203" i="17"/>
  <c r="W194" i="17"/>
  <c r="T194" i="17"/>
  <c r="U114" i="17"/>
  <c r="EB114" i="17" s="1" a="1"/>
  <c r="U141" i="17"/>
  <c r="EB141" i="17" s="1" a="1"/>
  <c r="T160" i="17"/>
  <c r="M7" i="18"/>
  <c r="T104" i="17"/>
  <c r="T100" i="17"/>
  <c r="U62" i="17"/>
  <c r="EB62" i="17" s="1" a="1"/>
  <c r="M8" i="18"/>
  <c r="W74" i="17"/>
  <c r="T74" i="17"/>
  <c r="W57" i="17"/>
  <c r="T57" i="17"/>
  <c r="U41" i="17"/>
  <c r="EB41" i="17" s="1" a="1"/>
  <c r="B6" i="4"/>
  <c r="G45" i="20"/>
  <c r="G44" i="20"/>
  <c r="G43" i="20"/>
  <c r="D34" i="7"/>
  <c r="G34" i="7" s="1"/>
  <c r="U176" i="17"/>
  <c r="EB176" i="17" s="1" a="1"/>
  <c r="U175" i="17"/>
  <c r="EB175" i="17" s="1" a="1"/>
  <c r="U132" i="17"/>
  <c r="EB132" i="17" s="1" a="1"/>
  <c r="U124" i="17"/>
  <c r="EB124" i="17" s="1" a="1"/>
  <c r="T209" i="17"/>
  <c r="T191" i="17"/>
  <c r="T173" i="17"/>
  <c r="T138" i="17"/>
  <c r="W120" i="17"/>
  <c r="T120" i="17"/>
  <c r="T85" i="17"/>
  <c r="M12" i="18"/>
  <c r="T67" i="17"/>
  <c r="U33" i="17"/>
  <c r="EB33" i="17" s="1" a="1"/>
  <c r="W49" i="17"/>
  <c r="T49" i="17"/>
  <c r="M5" i="18"/>
  <c r="T32" i="17"/>
  <c r="B9" i="4"/>
  <c r="B7" i="4"/>
  <c r="U107" i="17"/>
  <c r="EB107" i="17" s="1" a="1"/>
  <c r="U86" i="17"/>
  <c r="EB86" i="17" s="1" a="1"/>
  <c r="M11" i="18"/>
  <c r="T262" i="17"/>
  <c r="U217" i="17"/>
  <c r="EB217" i="17" s="1" a="1"/>
  <c r="E34" i="7"/>
  <c r="M6" i="18"/>
  <c r="W244" i="17"/>
  <c r="T244" i="17"/>
  <c r="T235" i="17"/>
  <c r="T134" i="17"/>
  <c r="U129" i="17"/>
  <c r="EB129" i="17" s="1" a="1"/>
  <c r="U69" i="17"/>
  <c r="EB69" i="17" s="1" a="1"/>
  <c r="U42" i="17"/>
  <c r="EB42" i="17" s="1" a="1"/>
  <c r="E32" i="7"/>
  <c r="M10" i="18"/>
  <c r="M9" i="18"/>
  <c r="Z235" i="17"/>
  <c r="AQ235" i="17"/>
  <c r="AQ279" i="17"/>
  <c r="Z279" i="17"/>
  <c r="Y279" i="17"/>
  <c r="AA279" i="17"/>
  <c r="AB279" i="17"/>
  <c r="AC279" i="17"/>
  <c r="AD279" i="17"/>
  <c r="AE279" i="17"/>
  <c r="AF279" i="17"/>
  <c r="AK279" i="17" s="1"/>
  <c r="AG279" i="17"/>
  <c r="AH279" i="17"/>
  <c r="AI279" i="17"/>
  <c r="AJ279" i="17"/>
  <c r="AL279" i="17"/>
  <c r="AM279" i="17"/>
  <c r="AN279" i="17"/>
  <c r="AO279" i="17"/>
  <c r="AR279" i="17"/>
  <c r="AS279" i="17"/>
  <c r="AU279" i="17"/>
  <c r="AV279" i="17"/>
  <c r="AW279" i="17"/>
  <c r="AX279" i="17"/>
  <c r="AY279" i="17"/>
  <c r="AZ279" i="17"/>
  <c r="BA279" i="17"/>
  <c r="BB279" i="17"/>
  <c r="BC279" i="17"/>
  <c r="BD279" i="17"/>
  <c r="BE279" i="17"/>
  <c r="BF279" i="17"/>
  <c r="BG279" i="17"/>
  <c r="BH279" i="17"/>
  <c r="BI279" i="17"/>
  <c r="BJ279" i="17"/>
  <c r="BK279" i="17"/>
  <c r="BL279" i="17"/>
  <c r="BM279" i="17"/>
  <c r="BN279" i="17"/>
  <c r="BO279" i="17"/>
  <c r="BP279" i="17"/>
  <c r="BQ279" i="17"/>
  <c r="BR279" i="17"/>
  <c r="BS279" i="17"/>
  <c r="BT279" i="17"/>
  <c r="BU279" i="17"/>
  <c r="BV279" i="17"/>
  <c r="BW279" i="17"/>
  <c r="BX279" i="17"/>
  <c r="BY279" i="17"/>
  <c r="BZ279" i="17"/>
  <c r="CA279" i="17"/>
  <c r="CB279" i="17"/>
  <c r="CC279" i="17"/>
  <c r="CD279" i="17"/>
  <c r="CE279" i="17"/>
  <c r="CF279" i="17"/>
  <c r="CG279" i="17"/>
  <c r="CH279" i="17"/>
  <c r="CJ279" i="17"/>
  <c r="CK279" i="17"/>
  <c r="CL279" i="17"/>
  <c r="CM279" i="17"/>
  <c r="CN279" i="17"/>
  <c r="CO279" i="17"/>
  <c r="CP279" i="17"/>
  <c r="CQ279" i="17"/>
  <c r="CR279" i="17"/>
  <c r="CS279" i="17"/>
  <c r="CT279" i="17"/>
  <c r="CU279" i="17"/>
  <c r="CV279" i="17"/>
  <c r="CW279" i="17"/>
  <c r="CX279" i="17"/>
  <c r="CY279" i="17"/>
  <c r="CZ279" i="17"/>
  <c r="DA279" i="17"/>
  <c r="DB279" i="17"/>
  <c r="DC279" i="17"/>
  <c r="DD279" i="17"/>
  <c r="DE279" i="17"/>
  <c r="DF279" i="17"/>
  <c r="DG279" i="17"/>
  <c r="DH279" i="17"/>
  <c r="DI279" i="17"/>
  <c r="DJ279" i="17"/>
  <c r="DK279" i="17"/>
  <c r="DL279" i="17"/>
  <c r="DM279" i="17"/>
  <c r="DN279" i="17"/>
  <c r="DO279" i="17"/>
  <c r="DP279" i="17"/>
  <c r="DQ279" i="17"/>
  <c r="DR279" i="17"/>
  <c r="DS279" i="17"/>
  <c r="DT279" i="17"/>
  <c r="DU279" i="17"/>
  <c r="DV279" i="17"/>
  <c r="DW279" i="17"/>
  <c r="AQ278" i="17"/>
  <c r="Z278" i="17"/>
  <c r="Y278" i="17"/>
  <c r="AQ277" i="17"/>
  <c r="Z277" i="17"/>
  <c r="Y277" i="17"/>
  <c r="AG277" i="17"/>
  <c r="AU277" i="17"/>
  <c r="AV277" i="17"/>
  <c r="AW277" i="17"/>
  <c r="AX277" i="17"/>
  <c r="AY277" i="17"/>
  <c r="AZ277" i="17"/>
  <c r="BA277" i="17"/>
  <c r="BB277" i="17"/>
  <c r="BC277" i="17"/>
  <c r="BD277" i="17"/>
  <c r="BE277" i="17"/>
  <c r="BF277" i="17"/>
  <c r="BG277" i="17"/>
  <c r="BH277" i="17"/>
  <c r="BI277" i="17"/>
  <c r="BJ277" i="17"/>
  <c r="BK277" i="17"/>
  <c r="BL277" i="17"/>
  <c r="BM277" i="17"/>
  <c r="BN277" i="17"/>
  <c r="BO277" i="17"/>
  <c r="BP277" i="17"/>
  <c r="BQ277" i="17"/>
  <c r="BR277" i="17"/>
  <c r="BS277" i="17"/>
  <c r="BT277" i="17"/>
  <c r="BU277" i="17"/>
  <c r="BV277" i="17"/>
  <c r="BW277" i="17"/>
  <c r="BX277" i="17"/>
  <c r="BY277" i="17"/>
  <c r="BZ277" i="17"/>
  <c r="CA277" i="17"/>
  <c r="CB277" i="17"/>
  <c r="CC277" i="17"/>
  <c r="CD277" i="17"/>
  <c r="CE277" i="17"/>
  <c r="CF277" i="17"/>
  <c r="CG277" i="17"/>
  <c r="CH277" i="17"/>
  <c r="CJ277" i="17"/>
  <c r="CY277" i="17"/>
  <c r="CZ277" i="17"/>
  <c r="DA277" i="17"/>
  <c r="DB277" i="17"/>
  <c r="DC277" i="17"/>
  <c r="DD277" i="17"/>
  <c r="DE277" i="17"/>
  <c r="DF277" i="17"/>
  <c r="DG277" i="17"/>
  <c r="DH277" i="17"/>
  <c r="DI277" i="17"/>
  <c r="DJ277" i="17"/>
  <c r="DK277" i="17"/>
  <c r="DL277" i="17"/>
  <c r="DM277" i="17"/>
  <c r="DN277" i="17"/>
  <c r="DO277" i="17"/>
  <c r="DP277" i="17"/>
  <c r="DQ277" i="17"/>
  <c r="DR277" i="17"/>
  <c r="DS277" i="17"/>
  <c r="DT277" i="17"/>
  <c r="DU277" i="17"/>
  <c r="DV277" i="17"/>
  <c r="DW277" i="17"/>
  <c r="AQ276" i="17"/>
  <c r="Z276" i="17"/>
  <c r="Y276" i="17"/>
  <c r="AQ275" i="17"/>
  <c r="Z275" i="17"/>
  <c r="Y275" i="17"/>
  <c r="AA275" i="17"/>
  <c r="AB275" i="17"/>
  <c r="AC275" i="17"/>
  <c r="AD275" i="17"/>
  <c r="AE275" i="17"/>
  <c r="AF275" i="17"/>
  <c r="AK275" i="17" s="1"/>
  <c r="AG275" i="17"/>
  <c r="AH275" i="17"/>
  <c r="AI275" i="17"/>
  <c r="AJ275" i="17"/>
  <c r="AL275" i="17"/>
  <c r="AM275" i="17"/>
  <c r="AN275" i="17"/>
  <c r="AO275" i="17"/>
  <c r="AR275" i="17"/>
  <c r="AS275" i="17"/>
  <c r="AU275" i="17"/>
  <c r="AV275" i="17"/>
  <c r="AW275" i="17"/>
  <c r="AX275" i="17"/>
  <c r="AY275" i="17"/>
  <c r="AZ275" i="17"/>
  <c r="BA275" i="17"/>
  <c r="BB275" i="17"/>
  <c r="BC275" i="17"/>
  <c r="BD275" i="17"/>
  <c r="BE275" i="17"/>
  <c r="BF275" i="17"/>
  <c r="BG275" i="17"/>
  <c r="BH275" i="17"/>
  <c r="BI275" i="17"/>
  <c r="BJ275" i="17"/>
  <c r="BK275" i="17"/>
  <c r="BL275" i="17"/>
  <c r="BM275" i="17"/>
  <c r="BN275" i="17"/>
  <c r="BO275" i="17"/>
  <c r="BP275" i="17"/>
  <c r="BQ275" i="17"/>
  <c r="BR275" i="17"/>
  <c r="BS275" i="17"/>
  <c r="BT275" i="17"/>
  <c r="BU275" i="17"/>
  <c r="BV275" i="17"/>
  <c r="BW275" i="17"/>
  <c r="BX275" i="17"/>
  <c r="BY275" i="17"/>
  <c r="BZ275" i="17"/>
  <c r="CA275" i="17"/>
  <c r="CB275" i="17"/>
  <c r="CC275" i="17"/>
  <c r="CD275" i="17"/>
  <c r="CE275" i="17"/>
  <c r="CF275" i="17"/>
  <c r="CG275" i="17"/>
  <c r="CH275" i="17"/>
  <c r="CJ275" i="17"/>
  <c r="CK275" i="17"/>
  <c r="CL275" i="17"/>
  <c r="CM275" i="17"/>
  <c r="CN275" i="17"/>
  <c r="CO275" i="17"/>
  <c r="CP275" i="17"/>
  <c r="CQ275" i="17"/>
  <c r="CR275" i="17"/>
  <c r="CS275" i="17"/>
  <c r="CT275" i="17"/>
  <c r="CU275" i="17"/>
  <c r="CV275" i="17"/>
  <c r="CW275" i="17"/>
  <c r="CX275" i="17"/>
  <c r="CY275" i="17"/>
  <c r="CZ275" i="17"/>
  <c r="DA275" i="17"/>
  <c r="DB275" i="17"/>
  <c r="DC275" i="17"/>
  <c r="DD275" i="17"/>
  <c r="DE275" i="17"/>
  <c r="DF275" i="17"/>
  <c r="DG275" i="17"/>
  <c r="DH275" i="17"/>
  <c r="DI275" i="17"/>
  <c r="DJ275" i="17"/>
  <c r="DK275" i="17"/>
  <c r="DL275" i="17"/>
  <c r="DM275" i="17"/>
  <c r="DN275" i="17"/>
  <c r="DO275" i="17"/>
  <c r="DP275" i="17"/>
  <c r="DQ275" i="17"/>
  <c r="DR275" i="17"/>
  <c r="DS275" i="17"/>
  <c r="DT275" i="17"/>
  <c r="DU275" i="17"/>
  <c r="DV275" i="17"/>
  <c r="DW275" i="17"/>
  <c r="AQ274" i="17"/>
  <c r="Z274" i="17"/>
  <c r="Y274" i="17"/>
  <c r="AQ273" i="17"/>
  <c r="Z273" i="17"/>
  <c r="Y273" i="17"/>
  <c r="AQ272" i="17"/>
  <c r="Z272" i="17"/>
  <c r="Y272" i="17"/>
  <c r="AQ271" i="17"/>
  <c r="Z271" i="17"/>
  <c r="Y271" i="17"/>
  <c r="AQ270" i="17"/>
  <c r="Z270" i="17"/>
  <c r="Y270" i="17"/>
  <c r="AQ269" i="17"/>
  <c r="Z269" i="17"/>
  <c r="Y269" i="17"/>
  <c r="AQ268" i="17"/>
  <c r="Z268" i="17"/>
  <c r="Y268" i="17"/>
  <c r="AQ267" i="17"/>
  <c r="Z267" i="17"/>
  <c r="Y267" i="17"/>
  <c r="Y266" i="17"/>
  <c r="Z266" i="17"/>
  <c r="AQ266" i="17"/>
  <c r="AQ265" i="17"/>
  <c r="Z265" i="17"/>
  <c r="Y265" i="17"/>
  <c r="AQ264" i="17"/>
  <c r="Z264" i="17"/>
  <c r="Y264" i="17"/>
  <c r="AQ263" i="17"/>
  <c r="Z263" i="17"/>
  <c r="Y263" i="17"/>
  <c r="Y262" i="17"/>
  <c r="Z262" i="17"/>
  <c r="AQ262" i="17"/>
  <c r="Z261" i="17"/>
  <c r="AQ261" i="17"/>
  <c r="Y261" i="17"/>
  <c r="AQ260" i="17"/>
  <c r="Y260" i="17"/>
  <c r="Z260" i="17"/>
  <c r="Z259" i="17"/>
  <c r="Y259" i="17"/>
  <c r="AQ259" i="17"/>
  <c r="Y258" i="17"/>
  <c r="AQ258" i="17"/>
  <c r="Z258" i="17"/>
  <c r="Y257" i="17"/>
  <c r="AQ257" i="17"/>
  <c r="Z257" i="17"/>
  <c r="Y256" i="17"/>
  <c r="Z256" i="17"/>
  <c r="AQ256" i="17"/>
  <c r="Z255" i="17"/>
  <c r="Y255" i="17"/>
  <c r="AQ255" i="17"/>
  <c r="Y254" i="17"/>
  <c r="Z254" i="17"/>
  <c r="AQ254" i="17"/>
  <c r="AQ253" i="17"/>
  <c r="Z253" i="17"/>
  <c r="Y253" i="17"/>
  <c r="Y252" i="17"/>
  <c r="AQ252" i="17"/>
  <c r="Z252" i="17"/>
  <c r="AQ251" i="17"/>
  <c r="Y251" i="17"/>
  <c r="Z251" i="17"/>
  <c r="AQ250" i="17"/>
  <c r="Y250" i="17"/>
  <c r="Z250" i="17"/>
  <c r="AQ249" i="17"/>
  <c r="Z249" i="17"/>
  <c r="Y249" i="17"/>
  <c r="AQ248" i="17"/>
  <c r="Z248" i="17"/>
  <c r="Y248" i="17"/>
  <c r="AQ247" i="17"/>
  <c r="Z247" i="17"/>
  <c r="Y247" i="17"/>
  <c r="AQ246" i="17"/>
  <c r="Z246" i="17"/>
  <c r="Y246" i="17"/>
  <c r="Z245" i="17"/>
  <c r="Y245" i="17"/>
  <c r="AQ245" i="17"/>
  <c r="Y244" i="17"/>
  <c r="Z244" i="17"/>
  <c r="AQ244" i="17"/>
  <c r="AQ243" i="17"/>
  <c r="Y243" i="17"/>
  <c r="Z243" i="17"/>
  <c r="AQ242" i="17"/>
  <c r="Z242" i="17"/>
  <c r="Y242" i="17"/>
  <c r="AQ241" i="17"/>
  <c r="Z241" i="17"/>
  <c r="Y241" i="17"/>
  <c r="Y240" i="17"/>
  <c r="AQ240" i="17"/>
  <c r="Z240" i="17"/>
  <c r="AQ239" i="17"/>
  <c r="Z239" i="17"/>
  <c r="Y239" i="17"/>
  <c r="Z238" i="17"/>
  <c r="AQ238" i="17"/>
  <c r="Y238" i="17"/>
  <c r="AQ237" i="17"/>
  <c r="Z237" i="17"/>
  <c r="Y237" i="17"/>
  <c r="Y236" i="17"/>
  <c r="AQ236" i="17"/>
  <c r="Z236" i="17"/>
  <c r="X235" i="17"/>
  <c r="W235" i="17"/>
  <c r="AQ234" i="17"/>
  <c r="Z234" i="17"/>
  <c r="Y234" i="17"/>
  <c r="Y233" i="17"/>
  <c r="Z233" i="17"/>
  <c r="AQ233" i="17"/>
  <c r="Z232" i="17"/>
  <c r="Y232" i="17"/>
  <c r="AQ232" i="17"/>
  <c r="Z231" i="17"/>
  <c r="Y231" i="17"/>
  <c r="AQ231" i="17"/>
  <c r="AQ230" i="17"/>
  <c r="Z230" i="17"/>
  <c r="Y230" i="17"/>
  <c r="Y229" i="17"/>
  <c r="AQ229" i="17"/>
  <c r="Z229" i="17"/>
  <c r="Z228" i="17"/>
  <c r="AQ228" i="17"/>
  <c r="Y228" i="17"/>
  <c r="Z227" i="17"/>
  <c r="Y227" i="17"/>
  <c r="AQ227" i="17"/>
  <c r="AQ226" i="17"/>
  <c r="Z226" i="17"/>
  <c r="Y226" i="17"/>
  <c r="Y225" i="17"/>
  <c r="AQ225" i="17"/>
  <c r="Z225" i="17"/>
  <c r="AQ224" i="17"/>
  <c r="Z224" i="17"/>
  <c r="Y224" i="17"/>
  <c r="AQ223" i="17"/>
  <c r="Z223" i="17"/>
  <c r="Y223" i="17"/>
  <c r="Z222" i="17"/>
  <c r="Y222" i="17"/>
  <c r="AQ222" i="17"/>
  <c r="Z221" i="17"/>
  <c r="Y221" i="17"/>
  <c r="AQ221" i="17"/>
  <c r="AQ220" i="17"/>
  <c r="Z220" i="17"/>
  <c r="Y220" i="17"/>
  <c r="Y219" i="17"/>
  <c r="Z219" i="17"/>
  <c r="AQ219" i="17"/>
  <c r="AQ218" i="17"/>
  <c r="Z218" i="17"/>
  <c r="Y218" i="17"/>
  <c r="AA218" i="17"/>
  <c r="AB218" i="17"/>
  <c r="AC218" i="17"/>
  <c r="AD218" i="17"/>
  <c r="AE218" i="17"/>
  <c r="AF218" i="17"/>
  <c r="AK218" i="17" s="1"/>
  <c r="AG218" i="17"/>
  <c r="AH218" i="17"/>
  <c r="AI218" i="17"/>
  <c r="AJ218" i="17"/>
  <c r="AL218" i="17"/>
  <c r="AM218" i="17"/>
  <c r="AN218" i="17"/>
  <c r="AO218" i="17"/>
  <c r="AR218" i="17"/>
  <c r="AS218" i="17"/>
  <c r="AU218" i="17"/>
  <c r="AV218" i="17"/>
  <c r="AW218" i="17"/>
  <c r="AX218" i="17"/>
  <c r="AY218" i="17"/>
  <c r="AZ218" i="17"/>
  <c r="BA218" i="17"/>
  <c r="BB218" i="17"/>
  <c r="BC218" i="17"/>
  <c r="BD218" i="17"/>
  <c r="BE218" i="17"/>
  <c r="BF218" i="17"/>
  <c r="BG218" i="17"/>
  <c r="BH218" i="17"/>
  <c r="BI218" i="17"/>
  <c r="BJ218" i="17"/>
  <c r="BK218" i="17"/>
  <c r="BL218" i="17"/>
  <c r="BM218" i="17"/>
  <c r="BN218" i="17"/>
  <c r="BO218" i="17"/>
  <c r="BP218" i="17"/>
  <c r="BQ218" i="17"/>
  <c r="BR218" i="17"/>
  <c r="BS218" i="17"/>
  <c r="BT218" i="17"/>
  <c r="BU218" i="17"/>
  <c r="BV218" i="17"/>
  <c r="BW218" i="17"/>
  <c r="BX218" i="17"/>
  <c r="BY218" i="17"/>
  <c r="BZ218" i="17"/>
  <c r="CA218" i="17"/>
  <c r="CB218" i="17"/>
  <c r="CC218" i="17"/>
  <c r="CD218" i="17"/>
  <c r="CE218" i="17"/>
  <c r="CF218" i="17"/>
  <c r="CG218" i="17"/>
  <c r="CH218" i="17"/>
  <c r="CJ218" i="17"/>
  <c r="CK218" i="17"/>
  <c r="CL218" i="17"/>
  <c r="CM218" i="17"/>
  <c r="CN218" i="17"/>
  <c r="CO218" i="17"/>
  <c r="CP218" i="17"/>
  <c r="CQ218" i="17"/>
  <c r="CR218" i="17"/>
  <c r="CS218" i="17"/>
  <c r="CT218" i="17"/>
  <c r="CU218" i="17"/>
  <c r="CV218" i="17"/>
  <c r="CW218" i="17"/>
  <c r="CX218" i="17"/>
  <c r="CY218" i="17"/>
  <c r="CZ218" i="17"/>
  <c r="DA218" i="17"/>
  <c r="DB218" i="17"/>
  <c r="DC218" i="17"/>
  <c r="DD218" i="17"/>
  <c r="DE218" i="17"/>
  <c r="DF218" i="17"/>
  <c r="DG218" i="17"/>
  <c r="DH218" i="17"/>
  <c r="DI218" i="17"/>
  <c r="DJ218" i="17"/>
  <c r="DK218" i="17"/>
  <c r="DL218" i="17"/>
  <c r="DM218" i="17"/>
  <c r="DN218" i="17"/>
  <c r="DO218" i="17"/>
  <c r="DP218" i="17"/>
  <c r="DQ218" i="17"/>
  <c r="DR218" i="17"/>
  <c r="DS218" i="17"/>
  <c r="DT218" i="17"/>
  <c r="DU218" i="17"/>
  <c r="DV218" i="17"/>
  <c r="DW218" i="17"/>
  <c r="Y217" i="17"/>
  <c r="Z217" i="17"/>
  <c r="AQ217" i="17"/>
  <c r="AA217" i="17"/>
  <c r="AB217" i="17"/>
  <c r="AC217" i="17"/>
  <c r="AD217" i="17"/>
  <c r="AE217" i="17"/>
  <c r="AF217" i="17"/>
  <c r="AK217" i="17" s="1"/>
  <c r="AG217" i="17"/>
  <c r="AH217" i="17"/>
  <c r="AI217" i="17"/>
  <c r="AJ217" i="17"/>
  <c r="AL217" i="17"/>
  <c r="AM217" i="17"/>
  <c r="AN217" i="17"/>
  <c r="AO217" i="17"/>
  <c r="AR217" i="17"/>
  <c r="AS217" i="17"/>
  <c r="AU217" i="17"/>
  <c r="AV217" i="17"/>
  <c r="AW217" i="17"/>
  <c r="AX217" i="17"/>
  <c r="AY217" i="17"/>
  <c r="AZ217" i="17"/>
  <c r="BA217" i="17"/>
  <c r="BB217" i="17"/>
  <c r="BC217" i="17"/>
  <c r="BD217" i="17"/>
  <c r="BE217" i="17"/>
  <c r="BF217" i="17"/>
  <c r="BG217" i="17"/>
  <c r="BH217" i="17"/>
  <c r="BI217" i="17"/>
  <c r="BJ217" i="17"/>
  <c r="BK217" i="17"/>
  <c r="BL217" i="17"/>
  <c r="BM217" i="17"/>
  <c r="BN217" i="17"/>
  <c r="BO217" i="17"/>
  <c r="BP217" i="17"/>
  <c r="BQ217" i="17"/>
  <c r="BR217" i="17"/>
  <c r="BS217" i="17"/>
  <c r="BT217" i="17"/>
  <c r="BU217" i="17"/>
  <c r="BV217" i="17"/>
  <c r="BW217" i="17"/>
  <c r="BX217" i="17"/>
  <c r="BY217" i="17"/>
  <c r="BZ217" i="17"/>
  <c r="CA217" i="17"/>
  <c r="CB217" i="17"/>
  <c r="CC217" i="17"/>
  <c r="CD217" i="17"/>
  <c r="CE217" i="17"/>
  <c r="CF217" i="17"/>
  <c r="CG217" i="17"/>
  <c r="CH217" i="17"/>
  <c r="CJ217" i="17"/>
  <c r="CK217" i="17"/>
  <c r="CL217" i="17"/>
  <c r="CM217" i="17"/>
  <c r="CN217" i="17"/>
  <c r="CO217" i="17"/>
  <c r="CP217" i="17"/>
  <c r="CQ217" i="17"/>
  <c r="CR217" i="17"/>
  <c r="CS217" i="17"/>
  <c r="CT217" i="17"/>
  <c r="CU217" i="17"/>
  <c r="CV217" i="17"/>
  <c r="CW217" i="17"/>
  <c r="CX217" i="17"/>
  <c r="CY217" i="17"/>
  <c r="CZ217" i="17"/>
  <c r="DA217" i="17"/>
  <c r="DB217" i="17"/>
  <c r="DC217" i="17"/>
  <c r="DD217" i="17"/>
  <c r="DE217" i="17"/>
  <c r="DF217" i="17"/>
  <c r="DG217" i="17"/>
  <c r="DH217" i="17"/>
  <c r="DI217" i="17"/>
  <c r="DJ217" i="17"/>
  <c r="DK217" i="17"/>
  <c r="DL217" i="17"/>
  <c r="DM217" i="17"/>
  <c r="DN217" i="17"/>
  <c r="DO217" i="17"/>
  <c r="DP217" i="17"/>
  <c r="DQ217" i="17"/>
  <c r="DR217" i="17"/>
  <c r="DS217" i="17"/>
  <c r="DT217" i="17"/>
  <c r="DU217" i="17"/>
  <c r="DV217" i="17"/>
  <c r="DW217" i="17"/>
  <c r="AQ216" i="17"/>
  <c r="Z216" i="17"/>
  <c r="Y216" i="17"/>
  <c r="Z215" i="17"/>
  <c r="Y215" i="17"/>
  <c r="AQ215" i="17"/>
  <c r="Z214" i="17"/>
  <c r="AQ214" i="17"/>
  <c r="Y214" i="17"/>
  <c r="AQ213" i="17"/>
  <c r="Z213" i="17"/>
  <c r="Y213" i="17"/>
  <c r="Y212" i="17"/>
  <c r="Z212" i="17"/>
  <c r="AQ212" i="17"/>
  <c r="Y211" i="17"/>
  <c r="Z211" i="17"/>
  <c r="AQ211" i="17"/>
  <c r="Y210" i="17"/>
  <c r="Z210" i="17"/>
  <c r="AQ210" i="17"/>
  <c r="AQ209" i="17"/>
  <c r="Y209" i="17"/>
  <c r="Z209" i="17"/>
  <c r="Y208" i="17"/>
  <c r="Z208" i="17"/>
  <c r="AQ208" i="17"/>
  <c r="AG208" i="17"/>
  <c r="BJ208" i="17"/>
  <c r="BK208" i="17"/>
  <c r="BL208" i="17"/>
  <c r="BM208" i="17"/>
  <c r="BN208" i="17"/>
  <c r="BO208" i="17"/>
  <c r="BP208" i="17"/>
  <c r="BQ208" i="17"/>
  <c r="BR208" i="17"/>
  <c r="BS208" i="17"/>
  <c r="BT208" i="17"/>
  <c r="BU208" i="17"/>
  <c r="BV208" i="17"/>
  <c r="BW208" i="17"/>
  <c r="BX208" i="17"/>
  <c r="BY208" i="17"/>
  <c r="BZ208" i="17"/>
  <c r="CA208" i="17"/>
  <c r="CB208" i="17"/>
  <c r="CC208" i="17"/>
  <c r="CD208" i="17"/>
  <c r="CE208" i="17"/>
  <c r="CF208" i="17"/>
  <c r="CG208" i="17"/>
  <c r="CH208" i="17"/>
  <c r="CJ208" i="17"/>
  <c r="CY208" i="17"/>
  <c r="CZ208" i="17"/>
  <c r="DA208" i="17"/>
  <c r="DB208" i="17"/>
  <c r="DC208" i="17"/>
  <c r="DD208" i="17"/>
  <c r="DE208" i="17"/>
  <c r="DF208" i="17"/>
  <c r="DG208" i="17"/>
  <c r="DH208" i="17"/>
  <c r="DI208" i="17"/>
  <c r="DJ208" i="17"/>
  <c r="DK208" i="17"/>
  <c r="DL208" i="17"/>
  <c r="DM208" i="17"/>
  <c r="DN208" i="17"/>
  <c r="DO208" i="17"/>
  <c r="DP208" i="17"/>
  <c r="DQ208" i="17"/>
  <c r="DR208" i="17"/>
  <c r="DS208" i="17"/>
  <c r="DT208" i="17"/>
  <c r="DU208" i="17"/>
  <c r="DV208" i="17"/>
  <c r="DW208" i="17"/>
  <c r="AQ207" i="17"/>
  <c r="Z207" i="17"/>
  <c r="Y207" i="17"/>
  <c r="AQ206" i="17"/>
  <c r="Z206" i="17"/>
  <c r="Y206" i="17"/>
  <c r="AA206" i="17"/>
  <c r="AB206" i="17"/>
  <c r="AC206" i="17"/>
  <c r="AD206" i="17"/>
  <c r="AE206" i="17"/>
  <c r="AF206" i="17"/>
  <c r="AK206" i="17" s="1"/>
  <c r="AG206" i="17"/>
  <c r="AH206" i="17"/>
  <c r="AI206" i="17"/>
  <c r="AJ206" i="17"/>
  <c r="AL206" i="17"/>
  <c r="AM206" i="17"/>
  <c r="AN206" i="17"/>
  <c r="AO206" i="17"/>
  <c r="AR206" i="17"/>
  <c r="AS206" i="17"/>
  <c r="AU206" i="17"/>
  <c r="AV206" i="17"/>
  <c r="AW206" i="17"/>
  <c r="AX206" i="17"/>
  <c r="AY206" i="17"/>
  <c r="AZ206" i="17"/>
  <c r="BA206" i="17"/>
  <c r="BB206" i="17"/>
  <c r="BC206" i="17"/>
  <c r="BD206" i="17"/>
  <c r="BE206" i="17"/>
  <c r="BF206" i="17"/>
  <c r="BG206" i="17"/>
  <c r="BH206" i="17"/>
  <c r="BI206" i="17"/>
  <c r="BJ206" i="17"/>
  <c r="BK206" i="17"/>
  <c r="BL206" i="17"/>
  <c r="BM206" i="17"/>
  <c r="BN206" i="17"/>
  <c r="BO206" i="17"/>
  <c r="BP206" i="17"/>
  <c r="BQ206" i="17"/>
  <c r="BR206" i="17"/>
  <c r="BS206" i="17"/>
  <c r="BT206" i="17"/>
  <c r="BU206" i="17"/>
  <c r="BV206" i="17"/>
  <c r="BW206" i="17"/>
  <c r="BX206" i="17"/>
  <c r="BY206" i="17"/>
  <c r="BZ206" i="17"/>
  <c r="CA206" i="17"/>
  <c r="CB206" i="17"/>
  <c r="CC206" i="17"/>
  <c r="CD206" i="17"/>
  <c r="CE206" i="17"/>
  <c r="CF206" i="17"/>
  <c r="CG206" i="17"/>
  <c r="CH206" i="17"/>
  <c r="CJ206" i="17"/>
  <c r="CK206" i="17"/>
  <c r="CL206" i="17"/>
  <c r="CM206" i="17"/>
  <c r="CN206" i="17"/>
  <c r="CO206" i="17"/>
  <c r="CP206" i="17"/>
  <c r="CQ206" i="17"/>
  <c r="CR206" i="17"/>
  <c r="CS206" i="17"/>
  <c r="CT206" i="17"/>
  <c r="CU206" i="17"/>
  <c r="CV206" i="17"/>
  <c r="CW206" i="17"/>
  <c r="CX206" i="17"/>
  <c r="CY206" i="17"/>
  <c r="CZ206" i="17"/>
  <c r="DA206" i="17"/>
  <c r="DB206" i="17"/>
  <c r="DC206" i="17"/>
  <c r="DD206" i="17"/>
  <c r="DE206" i="17"/>
  <c r="DF206" i="17"/>
  <c r="DG206" i="17"/>
  <c r="DH206" i="17"/>
  <c r="DI206" i="17"/>
  <c r="DJ206" i="17"/>
  <c r="DK206" i="17"/>
  <c r="DL206" i="17"/>
  <c r="DM206" i="17"/>
  <c r="DN206" i="17"/>
  <c r="DO206" i="17"/>
  <c r="DP206" i="17"/>
  <c r="DQ206" i="17"/>
  <c r="DR206" i="17"/>
  <c r="DS206" i="17"/>
  <c r="DT206" i="17"/>
  <c r="DU206" i="17"/>
  <c r="DV206" i="17"/>
  <c r="DW206" i="17"/>
  <c r="AQ205" i="17"/>
  <c r="Z205" i="17"/>
  <c r="Y205" i="17"/>
  <c r="Z204" i="17"/>
  <c r="AQ204" i="17"/>
  <c r="Y204" i="17"/>
  <c r="AQ203" i="17"/>
  <c r="Y203" i="17"/>
  <c r="Z203" i="17"/>
  <c r="Y202" i="17"/>
  <c r="AQ202" i="17"/>
  <c r="Z202" i="17"/>
  <c r="Z201" i="17"/>
  <c r="AQ201" i="17"/>
  <c r="Y201" i="17"/>
  <c r="Z200" i="17"/>
  <c r="AQ200" i="17"/>
  <c r="Y200" i="17"/>
  <c r="AQ199" i="17"/>
  <c r="Y199" i="17"/>
  <c r="Z199" i="17"/>
  <c r="AQ198" i="17"/>
  <c r="Z198" i="17"/>
  <c r="Y198" i="17"/>
  <c r="Y197" i="17"/>
  <c r="Z197" i="17"/>
  <c r="AQ197" i="17"/>
  <c r="Y196" i="17"/>
  <c r="AQ196" i="17"/>
  <c r="Z196" i="17"/>
  <c r="AQ195" i="17"/>
  <c r="Z195" i="17"/>
  <c r="Y195" i="17"/>
  <c r="AQ194" i="17"/>
  <c r="Y194" i="17"/>
  <c r="Z194" i="17"/>
  <c r="Y193" i="17"/>
  <c r="AQ193" i="17"/>
  <c r="Z193" i="17"/>
  <c r="AQ192" i="17"/>
  <c r="Z192" i="17"/>
  <c r="Y192" i="17"/>
  <c r="AP192" i="17"/>
  <c r="Y191" i="17"/>
  <c r="Z191" i="17"/>
  <c r="AQ191" i="17"/>
  <c r="AQ190" i="17"/>
  <c r="Y190" i="17"/>
  <c r="Z190" i="17"/>
  <c r="AQ189" i="17"/>
  <c r="Z189" i="17"/>
  <c r="Y189" i="17"/>
  <c r="Y188" i="17"/>
  <c r="Z188" i="17"/>
  <c r="AQ188" i="17"/>
  <c r="Z187" i="17"/>
  <c r="AQ187" i="17"/>
  <c r="Y187" i="17"/>
  <c r="AQ186" i="17"/>
  <c r="Y186" i="17"/>
  <c r="Z186" i="17"/>
  <c r="Y185" i="17"/>
  <c r="AQ185" i="17"/>
  <c r="Z185" i="17"/>
  <c r="Z184" i="17"/>
  <c r="Y184" i="17"/>
  <c r="AQ184" i="17"/>
  <c r="Y183" i="17"/>
  <c r="AQ183" i="17"/>
  <c r="Z183" i="17"/>
  <c r="Y182" i="17"/>
  <c r="AQ182" i="17"/>
  <c r="Z182" i="17"/>
  <c r="Z181" i="17"/>
  <c r="Y181" i="17"/>
  <c r="AQ181" i="17"/>
  <c r="Y180" i="17"/>
  <c r="Z180" i="17"/>
  <c r="AQ180" i="17"/>
  <c r="Z179" i="17"/>
  <c r="Y179" i="17"/>
  <c r="AQ179" i="17"/>
  <c r="AQ178" i="17"/>
  <c r="Z178" i="17"/>
  <c r="Y178" i="17"/>
  <c r="AQ177" i="17"/>
  <c r="Y177" i="17"/>
  <c r="Z177" i="17"/>
  <c r="Z176" i="17"/>
  <c r="AQ176" i="17"/>
  <c r="Y176" i="17"/>
  <c r="AP176" i="17"/>
  <c r="Z175" i="17"/>
  <c r="AQ175" i="17"/>
  <c r="Y175" i="17"/>
  <c r="AQ174" i="17"/>
  <c r="Z174" i="17"/>
  <c r="Y174" i="17"/>
  <c r="Y173" i="17"/>
  <c r="AQ173" i="17"/>
  <c r="Z173" i="17"/>
  <c r="AQ172" i="17"/>
  <c r="Y172" i="17"/>
  <c r="Z172" i="17"/>
  <c r="AQ171" i="17"/>
  <c r="Z171" i="17"/>
  <c r="Y171" i="17"/>
  <c r="Z170" i="17"/>
  <c r="AQ170" i="17"/>
  <c r="Y170" i="17"/>
  <c r="Y169" i="17"/>
  <c r="Z169" i="17"/>
  <c r="AQ169" i="17"/>
  <c r="Z168" i="17"/>
  <c r="Y168" i="17"/>
  <c r="AQ168" i="17"/>
  <c r="Z167" i="17"/>
  <c r="Y167" i="17"/>
  <c r="AQ167" i="17"/>
  <c r="Z166" i="17"/>
  <c r="Y166" i="17"/>
  <c r="AQ166" i="17"/>
  <c r="Z165" i="17"/>
  <c r="AQ165" i="17"/>
  <c r="Y165" i="17"/>
  <c r="Z164" i="17"/>
  <c r="Y164" i="17"/>
  <c r="AQ164" i="17"/>
  <c r="Y163" i="17"/>
  <c r="Z163" i="17"/>
  <c r="AQ163" i="17"/>
  <c r="Y162" i="17"/>
  <c r="AQ162" i="17"/>
  <c r="Z162" i="17"/>
  <c r="AQ161" i="17"/>
  <c r="Y161" i="17"/>
  <c r="Z161" i="17"/>
  <c r="Z160" i="17"/>
  <c r="AQ160" i="17"/>
  <c r="Y160" i="17"/>
  <c r="AP160" i="17"/>
  <c r="Y159" i="17"/>
  <c r="Z159" i="17"/>
  <c r="AQ159" i="17"/>
  <c r="Y158" i="17"/>
  <c r="AQ158" i="17"/>
  <c r="Z158" i="17"/>
  <c r="AQ157" i="17"/>
  <c r="Y157" i="17"/>
  <c r="Z157" i="17"/>
  <c r="Y156" i="17"/>
  <c r="AQ156" i="17"/>
  <c r="Z156" i="17"/>
  <c r="Z155" i="17"/>
  <c r="Y155" i="17"/>
  <c r="AQ155" i="17"/>
  <c r="AQ154" i="17"/>
  <c r="Z154" i="17"/>
  <c r="Y154" i="17"/>
  <c r="Y153" i="17"/>
  <c r="AQ153" i="17"/>
  <c r="Z153" i="17"/>
  <c r="Z152" i="17"/>
  <c r="Y152" i="17"/>
  <c r="AQ152" i="17"/>
  <c r="Z151" i="17"/>
  <c r="AQ151" i="17"/>
  <c r="Y151" i="17"/>
  <c r="Z150" i="17"/>
  <c r="AQ150" i="17"/>
  <c r="Y150" i="17"/>
  <c r="Z149" i="17"/>
  <c r="Y149" i="17"/>
  <c r="AQ149" i="17"/>
  <c r="Y148" i="17"/>
  <c r="Z148" i="17"/>
  <c r="AQ148" i="17"/>
  <c r="AQ147" i="17"/>
  <c r="Y147" i="17"/>
  <c r="Z147" i="17"/>
  <c r="AQ146" i="17"/>
  <c r="Y146" i="17"/>
  <c r="Z146" i="17"/>
  <c r="Z145" i="17"/>
  <c r="Y145" i="17"/>
  <c r="AQ145" i="17"/>
  <c r="AQ144" i="17"/>
  <c r="Z144" i="17"/>
  <c r="Y144" i="17"/>
  <c r="Y143" i="17"/>
  <c r="Z143" i="17"/>
  <c r="AQ143" i="17"/>
  <c r="Y142" i="17"/>
  <c r="AQ142" i="17"/>
  <c r="Z142" i="17"/>
  <c r="Z141" i="17"/>
  <c r="Y141" i="17"/>
  <c r="AQ141" i="17"/>
  <c r="Z140" i="17"/>
  <c r="AQ140" i="17"/>
  <c r="Y140" i="17"/>
  <c r="Y139" i="17"/>
  <c r="Z139" i="17"/>
  <c r="AQ139" i="17"/>
  <c r="Z138" i="17"/>
  <c r="Y138" i="17"/>
  <c r="AQ138" i="17"/>
  <c r="Y137" i="17"/>
  <c r="AQ137" i="17"/>
  <c r="Z137" i="17"/>
  <c r="Y136" i="17"/>
  <c r="AQ136" i="17"/>
  <c r="Z136" i="17"/>
  <c r="Z135" i="17"/>
  <c r="AQ135" i="17"/>
  <c r="Y135" i="17"/>
  <c r="AQ134" i="17"/>
  <c r="Y134" i="17"/>
  <c r="Z134" i="17"/>
  <c r="Y133" i="17"/>
  <c r="Z133" i="17"/>
  <c r="AQ133" i="17"/>
  <c r="AQ132" i="17"/>
  <c r="Y132" i="17"/>
  <c r="Z132" i="17"/>
  <c r="Z131" i="17"/>
  <c r="AQ131" i="17"/>
  <c r="Y131" i="17"/>
  <c r="AQ130" i="17"/>
  <c r="Z130" i="17"/>
  <c r="Y130" i="17"/>
  <c r="AQ129" i="17"/>
  <c r="Z129" i="17"/>
  <c r="Y129" i="17"/>
  <c r="AG129" i="17"/>
  <c r="BJ129" i="17"/>
  <c r="BK129" i="17"/>
  <c r="BL129" i="17"/>
  <c r="BM129" i="17"/>
  <c r="BN129" i="17"/>
  <c r="BO129" i="17"/>
  <c r="BP129" i="17"/>
  <c r="BQ129" i="17"/>
  <c r="BR129" i="17"/>
  <c r="BS129" i="17"/>
  <c r="BT129" i="17"/>
  <c r="BU129" i="17"/>
  <c r="BV129" i="17"/>
  <c r="BW129" i="17"/>
  <c r="BX129" i="17"/>
  <c r="BY129" i="17"/>
  <c r="BZ129" i="17"/>
  <c r="CA129" i="17"/>
  <c r="CB129" i="17"/>
  <c r="CC129" i="17"/>
  <c r="CD129" i="17"/>
  <c r="CE129" i="17"/>
  <c r="CF129" i="17"/>
  <c r="CG129" i="17"/>
  <c r="CH129" i="17"/>
  <c r="CJ129" i="17"/>
  <c r="CY129" i="17"/>
  <c r="CZ129" i="17"/>
  <c r="DA129" i="17"/>
  <c r="DB129" i="17"/>
  <c r="DC129" i="17"/>
  <c r="DD129" i="17"/>
  <c r="DE129" i="17"/>
  <c r="DF129" i="17"/>
  <c r="DG129" i="17"/>
  <c r="DH129" i="17"/>
  <c r="DI129" i="17"/>
  <c r="DJ129" i="17"/>
  <c r="DK129" i="17"/>
  <c r="DL129" i="17"/>
  <c r="DM129" i="17"/>
  <c r="DN129" i="17"/>
  <c r="DO129" i="17"/>
  <c r="DP129" i="17"/>
  <c r="DQ129" i="17"/>
  <c r="DR129" i="17"/>
  <c r="DS129" i="17"/>
  <c r="DT129" i="17"/>
  <c r="DU129" i="17"/>
  <c r="DV129" i="17"/>
  <c r="DW129" i="17"/>
  <c r="AQ128" i="17"/>
  <c r="Y128" i="17"/>
  <c r="Z128" i="17"/>
  <c r="Z127" i="17"/>
  <c r="Y127" i="17"/>
  <c r="AQ127" i="17"/>
  <c r="Z126" i="17"/>
  <c r="AQ126" i="17"/>
  <c r="Y126" i="17"/>
  <c r="Y125" i="17"/>
  <c r="AQ125" i="17"/>
  <c r="Z125" i="17"/>
  <c r="AQ124" i="17"/>
  <c r="Z124" i="17"/>
  <c r="Y124" i="17"/>
  <c r="AQ123" i="17"/>
  <c r="Y123" i="17"/>
  <c r="Z123" i="17"/>
  <c r="AQ122" i="17"/>
  <c r="Z122" i="17"/>
  <c r="Y122" i="17"/>
  <c r="AQ121" i="17"/>
  <c r="Z121" i="17"/>
  <c r="Y121" i="17"/>
  <c r="AQ120" i="17"/>
  <c r="Y120" i="17"/>
  <c r="Z120" i="17"/>
  <c r="Z119" i="17"/>
  <c r="Y119" i="17"/>
  <c r="AQ119" i="17"/>
  <c r="Y118" i="17"/>
  <c r="AQ118" i="17"/>
  <c r="Z118" i="17"/>
  <c r="Y117" i="17"/>
  <c r="Z117" i="17"/>
  <c r="AQ117" i="17"/>
  <c r="Y116" i="17"/>
  <c r="Z116" i="17"/>
  <c r="AQ116" i="17"/>
  <c r="Y115" i="17"/>
  <c r="Z115" i="17"/>
  <c r="AQ115" i="17"/>
  <c r="Y114" i="17"/>
  <c r="AQ114" i="17"/>
  <c r="Z114" i="17"/>
  <c r="AQ113" i="17"/>
  <c r="Z113" i="17"/>
  <c r="Y113" i="17"/>
  <c r="AQ112" i="17"/>
  <c r="Z112" i="17"/>
  <c r="Y112" i="17"/>
  <c r="Y111" i="17"/>
  <c r="Z111" i="17"/>
  <c r="AQ111" i="17"/>
  <c r="Z110" i="17"/>
  <c r="Y110" i="17"/>
  <c r="AQ110" i="17"/>
  <c r="Y109" i="17"/>
  <c r="Z109" i="17"/>
  <c r="AQ109" i="17"/>
  <c r="Z108" i="17"/>
  <c r="Y108" i="17"/>
  <c r="AQ108" i="17"/>
  <c r="AG108" i="17"/>
  <c r="BT108" i="17"/>
  <c r="BU108" i="17"/>
  <c r="BV108" i="17"/>
  <c r="BW108" i="17"/>
  <c r="BX108" i="17"/>
  <c r="BY108" i="17"/>
  <c r="BZ108" i="17"/>
  <c r="CA108" i="17"/>
  <c r="CB108" i="17"/>
  <c r="CC108" i="17"/>
  <c r="CD108" i="17"/>
  <c r="CE108" i="17"/>
  <c r="CF108" i="17"/>
  <c r="CG108" i="17"/>
  <c r="CH108" i="17"/>
  <c r="CJ108" i="17"/>
  <c r="DI108" i="17"/>
  <c r="DJ108" i="17"/>
  <c r="DK108" i="17"/>
  <c r="DL108" i="17"/>
  <c r="DM108" i="17"/>
  <c r="DN108" i="17"/>
  <c r="DO108" i="17"/>
  <c r="DP108" i="17"/>
  <c r="DQ108" i="17"/>
  <c r="DR108" i="17"/>
  <c r="DS108" i="17"/>
  <c r="DT108" i="17"/>
  <c r="DU108" i="17"/>
  <c r="DV108" i="17"/>
  <c r="DW108" i="17"/>
  <c r="Y107" i="17"/>
  <c r="AQ107" i="17"/>
  <c r="Z107" i="17"/>
  <c r="Z106" i="17"/>
  <c r="Y106" i="17"/>
  <c r="AQ106" i="17"/>
  <c r="AQ105" i="17"/>
  <c r="Y105" i="17"/>
  <c r="Z105" i="17"/>
  <c r="Y104" i="17"/>
  <c r="AQ104" i="17"/>
  <c r="Z104" i="17"/>
  <c r="Z103" i="17"/>
  <c r="Y103" i="17"/>
  <c r="AQ103" i="17"/>
  <c r="AP103" i="17"/>
  <c r="BU103" i="17"/>
  <c r="CD103" i="17"/>
  <c r="CF103" i="17"/>
  <c r="CZ103" i="17"/>
  <c r="DE103" i="17"/>
  <c r="DK103" i="17"/>
  <c r="BZ103" i="17"/>
  <c r="CJ103" i="17"/>
  <c r="DF103" i="17"/>
  <c r="DM103" i="17"/>
  <c r="DS103" i="17"/>
  <c r="BL103" i="17"/>
  <c r="BN103" i="17"/>
  <c r="BQ103" i="17"/>
  <c r="BW103" i="17"/>
  <c r="CC103" i="17"/>
  <c r="CG103" i="17"/>
  <c r="DC103" i="17"/>
  <c r="DG103" i="17"/>
  <c r="DJ103" i="17"/>
  <c r="DO103" i="17"/>
  <c r="DQ103" i="17"/>
  <c r="DT103" i="17"/>
  <c r="DU103" i="17"/>
  <c r="BS103" i="17"/>
  <c r="BX103" i="17"/>
  <c r="CB103" i="17"/>
  <c r="CH103" i="17"/>
  <c r="DB103" i="17"/>
  <c r="DI103" i="17"/>
  <c r="DN103" i="17"/>
  <c r="DR103" i="17"/>
  <c r="DW103" i="17"/>
  <c r="BJ103" i="17"/>
  <c r="BM103" i="17"/>
  <c r="BO103" i="17"/>
  <c r="BR103" i="17"/>
  <c r="CA103" i="17"/>
  <c r="CY103" i="17"/>
  <c r="DA103" i="17"/>
  <c r="DD103" i="17"/>
  <c r="DV103" i="17"/>
  <c r="AG103" i="17"/>
  <c r="BK103" i="17"/>
  <c r="BP103" i="17"/>
  <c r="BT103" i="17"/>
  <c r="BV103" i="17"/>
  <c r="BY103" i="17"/>
  <c r="CE103" i="17"/>
  <c r="DH103" i="17"/>
  <c r="DL103" i="17"/>
  <c r="DP103" i="17"/>
  <c r="Z102" i="17"/>
  <c r="Y102" i="17"/>
  <c r="AQ102" i="17"/>
  <c r="Z101" i="17"/>
  <c r="AQ101" i="17"/>
  <c r="Y101" i="17"/>
  <c r="Y100" i="17"/>
  <c r="Z100" i="17"/>
  <c r="AQ100" i="17"/>
  <c r="Y99" i="17"/>
  <c r="AQ99" i="17"/>
  <c r="Z99" i="17"/>
  <c r="AQ98" i="17"/>
  <c r="Z98" i="17"/>
  <c r="Y98" i="17"/>
  <c r="AQ97" i="17"/>
  <c r="Y97" i="17"/>
  <c r="Z97" i="17"/>
  <c r="Z96" i="17"/>
  <c r="Y96" i="17"/>
  <c r="AQ96" i="17"/>
  <c r="Z95" i="17"/>
  <c r="Y95" i="17"/>
  <c r="AQ95" i="17"/>
  <c r="AQ94" i="17"/>
  <c r="Z94" i="17"/>
  <c r="Y94" i="17"/>
  <c r="AQ93" i="17"/>
  <c r="Y93" i="17"/>
  <c r="Z93" i="17"/>
  <c r="Y92" i="17"/>
  <c r="Z92" i="17"/>
  <c r="AQ92" i="17"/>
  <c r="Y91" i="17"/>
  <c r="Z91" i="17"/>
  <c r="AQ91" i="17"/>
  <c r="Y90" i="17"/>
  <c r="Z90" i="17"/>
  <c r="AQ90" i="17"/>
  <c r="AQ89" i="17"/>
  <c r="Z89" i="17"/>
  <c r="Y89" i="17"/>
  <c r="DI89" i="17"/>
  <c r="DM89" i="17"/>
  <c r="DT89" i="17"/>
  <c r="BT89" i="17"/>
  <c r="BY89" i="17"/>
  <c r="CH89" i="17"/>
  <c r="DQ89" i="17"/>
  <c r="BU89" i="17"/>
  <c r="BZ89" i="17"/>
  <c r="DK89" i="17"/>
  <c r="DS89" i="17"/>
  <c r="DW89" i="17"/>
  <c r="AG89" i="17"/>
  <c r="BX89" i="17"/>
  <c r="CD89" i="17"/>
  <c r="DV89" i="17"/>
  <c r="CB89" i="17"/>
  <c r="CG89" i="17"/>
  <c r="DL89" i="17"/>
  <c r="DN89" i="17"/>
  <c r="DP89" i="17"/>
  <c r="DU89" i="17"/>
  <c r="BV89" i="17"/>
  <c r="CA89" i="17"/>
  <c r="CC89" i="17"/>
  <c r="CF89" i="17"/>
  <c r="CJ89" i="17"/>
  <c r="DJ89" i="17"/>
  <c r="BW89" i="17"/>
  <c r="CE89" i="17"/>
  <c r="DO89" i="17"/>
  <c r="DR89" i="17"/>
  <c r="Z88" i="17"/>
  <c r="AQ88" i="17"/>
  <c r="Y88" i="17"/>
  <c r="Z87" i="17"/>
  <c r="AQ87" i="17"/>
  <c r="Y87" i="17"/>
  <c r="BL87" i="17"/>
  <c r="BQ87" i="17"/>
  <c r="CV87" i="17"/>
  <c r="DA87" i="17"/>
  <c r="DH87" i="17"/>
  <c r="DM87" i="17"/>
  <c r="DQ87" i="17"/>
  <c r="DV87" i="17"/>
  <c r="AG87" i="17"/>
  <c r="BO87" i="17"/>
  <c r="CB87" i="17"/>
  <c r="CD87" i="17"/>
  <c r="CE87" i="17"/>
  <c r="CT87" i="17"/>
  <c r="CY87" i="17"/>
  <c r="DB87" i="17"/>
  <c r="DO87" i="17"/>
  <c r="DS87" i="17"/>
  <c r="BE87" i="17"/>
  <c r="BK87" i="17"/>
  <c r="BN87" i="17"/>
  <c r="BS87" i="17"/>
  <c r="BW87" i="17"/>
  <c r="BY87" i="17"/>
  <c r="CC87" i="17"/>
  <c r="CJ87" i="17"/>
  <c r="CW87" i="17"/>
  <c r="DD87" i="17"/>
  <c r="DF87" i="17"/>
  <c r="DR87" i="17"/>
  <c r="BI87" i="17"/>
  <c r="BP87" i="17"/>
  <c r="BV87" i="17"/>
  <c r="CF87" i="17"/>
  <c r="DE87" i="17"/>
  <c r="DJ87" i="17"/>
  <c r="DU87" i="17"/>
  <c r="BF87" i="17"/>
  <c r="BM87" i="17"/>
  <c r="BR87" i="17"/>
  <c r="BT87" i="17"/>
  <c r="DL87" i="17"/>
  <c r="BH87" i="17"/>
  <c r="BX87" i="17"/>
  <c r="BZ87" i="17"/>
  <c r="CH87" i="17"/>
  <c r="CX87" i="17"/>
  <c r="DC87" i="17"/>
  <c r="DK87" i="17"/>
  <c r="BG87" i="17"/>
  <c r="BJ87" i="17"/>
  <c r="BU87" i="17"/>
  <c r="CA87" i="17"/>
  <c r="CG87" i="17"/>
  <c r="CU87" i="17"/>
  <c r="CZ87" i="17"/>
  <c r="DG87" i="17"/>
  <c r="DI87" i="17"/>
  <c r="DN87" i="17"/>
  <c r="DP87" i="17"/>
  <c r="DT87" i="17"/>
  <c r="DW87" i="17"/>
  <c r="Y86" i="17"/>
  <c r="AQ86" i="17"/>
  <c r="Z86" i="17"/>
  <c r="AP86" i="17"/>
  <c r="Z85" i="17"/>
  <c r="Y85" i="17"/>
  <c r="AQ85" i="17"/>
  <c r="Z84" i="17"/>
  <c r="AQ84" i="17"/>
  <c r="Y84" i="17"/>
  <c r="AQ83" i="17"/>
  <c r="Z83" i="17"/>
  <c r="Z82" i="17"/>
  <c r="AQ82" i="17"/>
  <c r="Y82" i="17"/>
  <c r="Z81" i="17"/>
  <c r="AQ81" i="17"/>
  <c r="Y81" i="17"/>
  <c r="Y80" i="17"/>
  <c r="Z80" i="17"/>
  <c r="AQ80" i="17"/>
  <c r="BJ80" i="17"/>
  <c r="BO80" i="17"/>
  <c r="BR80" i="17"/>
  <c r="BW80" i="17"/>
  <c r="CD80" i="17"/>
  <c r="DA80" i="17"/>
  <c r="DH80" i="17"/>
  <c r="DL80" i="17"/>
  <c r="DQ80" i="17"/>
  <c r="BK80" i="17"/>
  <c r="BN80" i="17"/>
  <c r="BS80" i="17"/>
  <c r="BX80" i="17"/>
  <c r="BZ80" i="17"/>
  <c r="DC80" i="17"/>
  <c r="DP80" i="17"/>
  <c r="DR80" i="17"/>
  <c r="AG80" i="17"/>
  <c r="BP80" i="17"/>
  <c r="BT80" i="17"/>
  <c r="BY80" i="17"/>
  <c r="CA80" i="17"/>
  <c r="CG80" i="17"/>
  <c r="DF80" i="17"/>
  <c r="DI80" i="17"/>
  <c r="DO80" i="17"/>
  <c r="BV80" i="17"/>
  <c r="CE80" i="17"/>
  <c r="DD80" i="17"/>
  <c r="DM80" i="17"/>
  <c r="DV80" i="17"/>
  <c r="BL80" i="17"/>
  <c r="BQ80" i="17"/>
  <c r="BU80" i="17"/>
  <c r="CB80" i="17"/>
  <c r="CJ80" i="17"/>
  <c r="DG80" i="17"/>
  <c r="DJ80" i="17"/>
  <c r="DK80" i="17"/>
  <c r="DS80" i="17"/>
  <c r="DW80" i="17"/>
  <c r="CF80" i="17"/>
  <c r="CH80" i="17"/>
  <c r="CY80" i="17"/>
  <c r="DB80" i="17"/>
  <c r="DE80" i="17"/>
  <c r="DN80" i="17"/>
  <c r="DU80" i="17"/>
  <c r="BM80" i="17"/>
  <c r="CC80" i="17"/>
  <c r="CZ80" i="17"/>
  <c r="DT80" i="17"/>
  <c r="AQ79" i="17"/>
  <c r="Y79" i="17"/>
  <c r="Z79" i="17"/>
  <c r="DL79" i="17"/>
  <c r="DP79" i="17"/>
  <c r="DS79" i="17"/>
  <c r="BU79" i="17"/>
  <c r="CB79" i="17"/>
  <c r="CH79" i="17"/>
  <c r="DM79" i="17"/>
  <c r="DU79" i="17"/>
  <c r="BV79" i="17"/>
  <c r="BZ79" i="17"/>
  <c r="CG79" i="17"/>
  <c r="CJ79" i="17"/>
  <c r="DR79" i="17"/>
  <c r="DV79" i="17"/>
  <c r="AG79" i="17"/>
  <c r="CA79" i="17"/>
  <c r="CD79" i="17"/>
  <c r="CE79" i="17"/>
  <c r="DJ79" i="17"/>
  <c r="BT79" i="17"/>
  <c r="CF79" i="17"/>
  <c r="DI79" i="17"/>
  <c r="DQ79" i="17"/>
  <c r="BW79" i="17"/>
  <c r="BX79" i="17"/>
  <c r="DK79" i="17"/>
  <c r="DN79" i="17"/>
  <c r="DW79" i="17"/>
  <c r="BY79" i="17"/>
  <c r="CC79" i="17"/>
  <c r="DO79" i="17"/>
  <c r="DT79" i="17"/>
  <c r="Z78" i="17"/>
  <c r="AQ78" i="17"/>
  <c r="Y78" i="17"/>
  <c r="AP78" i="17"/>
  <c r="Z77" i="17"/>
  <c r="Y77" i="17"/>
  <c r="AQ77" i="17"/>
  <c r="AQ76" i="17"/>
  <c r="Y76" i="17"/>
  <c r="Z76" i="17"/>
  <c r="Z75" i="17"/>
  <c r="AQ75" i="17"/>
  <c r="Y75" i="17"/>
  <c r="AP75" i="17"/>
  <c r="Y74" i="17"/>
  <c r="Z74" i="17"/>
  <c r="AQ74" i="17"/>
  <c r="AP74" i="17"/>
  <c r="AQ73" i="17"/>
  <c r="Z73" i="17"/>
  <c r="Y73" i="17"/>
  <c r="Y72" i="17"/>
  <c r="AQ72" i="17"/>
  <c r="Z72" i="17"/>
  <c r="AP72" i="17"/>
  <c r="AQ71" i="17"/>
  <c r="Z71" i="17"/>
  <c r="Y71" i="17"/>
  <c r="Y70" i="17"/>
  <c r="Z70" i="17"/>
  <c r="AQ70" i="17"/>
  <c r="Z69" i="17"/>
  <c r="Y69" i="17"/>
  <c r="AQ69" i="17"/>
  <c r="Z68" i="17"/>
  <c r="AQ68" i="17"/>
  <c r="Y68" i="17"/>
  <c r="Z67" i="17"/>
  <c r="Y67" i="17"/>
  <c r="AQ67" i="17"/>
  <c r="Z66" i="17"/>
  <c r="AQ66" i="17"/>
  <c r="Y66" i="17"/>
  <c r="Y65" i="17"/>
  <c r="Z65" i="17"/>
  <c r="AQ65" i="17"/>
  <c r="AQ64" i="17"/>
  <c r="Z64" i="17"/>
  <c r="Y64" i="17"/>
  <c r="AB64" i="17"/>
  <c r="AS64" i="17"/>
  <c r="BI64" i="17"/>
  <c r="BO64" i="17"/>
  <c r="BT64" i="17"/>
  <c r="BZ64" i="17"/>
  <c r="CL64" i="17"/>
  <c r="CT64" i="17"/>
  <c r="DL64" i="17"/>
  <c r="DV64" i="17"/>
  <c r="AV64" i="17"/>
  <c r="BA64" i="17"/>
  <c r="BR64" i="17"/>
  <c r="BX64" i="17"/>
  <c r="CD64" i="17"/>
  <c r="CH64" i="17"/>
  <c r="CO64" i="17"/>
  <c r="CW64" i="17"/>
  <c r="CZ64" i="17"/>
  <c r="DD64" i="17"/>
  <c r="DH64" i="17"/>
  <c r="DM64" i="17"/>
  <c r="DQ64" i="17"/>
  <c r="DW64" i="17"/>
  <c r="AG64" i="17"/>
  <c r="AL64" i="17"/>
  <c r="AN64" i="17"/>
  <c r="AZ64" i="17"/>
  <c r="BN64" i="17"/>
  <c r="CJ64" i="17"/>
  <c r="CS64" i="17"/>
  <c r="DK64" i="17"/>
  <c r="DS64" i="17"/>
  <c r="AA64" i="17"/>
  <c r="AF64" i="17"/>
  <c r="AK64" i="17" s="1"/>
  <c r="AI64" i="17"/>
  <c r="AU64" i="17"/>
  <c r="BB64" i="17"/>
  <c r="BF64" i="17"/>
  <c r="BL64" i="17"/>
  <c r="BQ64" i="17"/>
  <c r="BS64" i="17"/>
  <c r="BV64" i="17"/>
  <c r="CA64" i="17"/>
  <c r="CE64" i="17"/>
  <c r="CK64" i="17"/>
  <c r="CM64" i="17"/>
  <c r="CR64" i="17"/>
  <c r="DP64" i="17"/>
  <c r="AX64" i="17"/>
  <c r="BD64" i="17"/>
  <c r="BH64" i="17"/>
  <c r="BU64" i="17"/>
  <c r="CC64" i="17"/>
  <c r="CU64" i="17"/>
  <c r="DF64" i="17"/>
  <c r="DN64" i="17"/>
  <c r="AD64" i="17"/>
  <c r="AW64" i="17"/>
  <c r="BJ64" i="17"/>
  <c r="BY64" i="17"/>
  <c r="CB64" i="17"/>
  <c r="CG64" i="17"/>
  <c r="CP64" i="17"/>
  <c r="CV64" i="17"/>
  <c r="CX64" i="17"/>
  <c r="DA64" i="17"/>
  <c r="DE64" i="17"/>
  <c r="DI64" i="17"/>
  <c r="DU64" i="17"/>
  <c r="AE64" i="17"/>
  <c r="AJ64" i="17"/>
  <c r="AO64" i="17"/>
  <c r="AY64" i="17"/>
  <c r="BE64" i="17"/>
  <c r="BK64" i="17"/>
  <c r="CN64" i="17"/>
  <c r="DB64" i="17"/>
  <c r="DJ64" i="17"/>
  <c r="DO64" i="17"/>
  <c r="DT64" i="17"/>
  <c r="AC64" i="17"/>
  <c r="AH64" i="17"/>
  <c r="AM64" i="17"/>
  <c r="AR64" i="17"/>
  <c r="BC64" i="17"/>
  <c r="BG64" i="17"/>
  <c r="BM64" i="17"/>
  <c r="BP64" i="17"/>
  <c r="BW64" i="17"/>
  <c r="CF64" i="17"/>
  <c r="CQ64" i="17"/>
  <c r="CY64" i="17"/>
  <c r="DC64" i="17"/>
  <c r="DG64" i="17"/>
  <c r="DR64" i="17"/>
  <c r="Z63" i="17"/>
  <c r="Y63" i="17"/>
  <c r="AQ63" i="17"/>
  <c r="AC63" i="17"/>
  <c r="AE63" i="17"/>
  <c r="AG63" i="17"/>
  <c r="AJ63" i="17"/>
  <c r="AU63" i="17"/>
  <c r="BC63" i="17"/>
  <c r="BM63" i="17"/>
  <c r="BZ63" i="17"/>
  <c r="CA63" i="17"/>
  <c r="CL63" i="17"/>
  <c r="CR63" i="17"/>
  <c r="CW63" i="17"/>
  <c r="DD63" i="17"/>
  <c r="DK63" i="17"/>
  <c r="DL63" i="17"/>
  <c r="DP63" i="17"/>
  <c r="AA63" i="17"/>
  <c r="AF63" i="17"/>
  <c r="AK63" i="17" s="1"/>
  <c r="AX63" i="17"/>
  <c r="BE63" i="17"/>
  <c r="BT63" i="17"/>
  <c r="BY63" i="17"/>
  <c r="CS63" i="17"/>
  <c r="DS63" i="17"/>
  <c r="AY63" i="17"/>
  <c r="BH63" i="17"/>
  <c r="BR63" i="17"/>
  <c r="BS63" i="17"/>
  <c r="BX63" i="17"/>
  <c r="CB63" i="17"/>
  <c r="CF63" i="17"/>
  <c r="CM63" i="17"/>
  <c r="CZ63" i="17"/>
  <c r="DB63" i="17"/>
  <c r="DJ63" i="17"/>
  <c r="AD63" i="17"/>
  <c r="AV63" i="17"/>
  <c r="BA63" i="17"/>
  <c r="BF63" i="17"/>
  <c r="BO63" i="17"/>
  <c r="BU63" i="17"/>
  <c r="CK63" i="17"/>
  <c r="CP63" i="17"/>
  <c r="CV63" i="17"/>
  <c r="DA63" i="17"/>
  <c r="DI63" i="17"/>
  <c r="DR63" i="17"/>
  <c r="AB63" i="17"/>
  <c r="AM63" i="17"/>
  <c r="AS63" i="17"/>
  <c r="AW63" i="17"/>
  <c r="BK63" i="17"/>
  <c r="BQ63" i="17"/>
  <c r="CD63" i="17"/>
  <c r="CH63" i="17"/>
  <c r="CU63" i="17"/>
  <c r="DF63" i="17"/>
  <c r="DO63" i="17"/>
  <c r="AL63" i="17"/>
  <c r="AN63" i="17"/>
  <c r="AZ63" i="17"/>
  <c r="BD63" i="17"/>
  <c r="BJ63" i="17"/>
  <c r="BV63" i="17"/>
  <c r="BW63" i="17"/>
  <c r="CC63" i="17"/>
  <c r="CE63" i="17"/>
  <c r="CJ63" i="17"/>
  <c r="CN63" i="17"/>
  <c r="DG63" i="17"/>
  <c r="DN63" i="17"/>
  <c r="DU63" i="17"/>
  <c r="AH63" i="17"/>
  <c r="AO63" i="17"/>
  <c r="BG63" i="17"/>
  <c r="BL63" i="17"/>
  <c r="BN63" i="17"/>
  <c r="CO63" i="17"/>
  <c r="CQ63" i="17"/>
  <c r="CT63" i="17"/>
  <c r="CY63" i="17"/>
  <c r="DC63" i="17"/>
  <c r="DE63" i="17"/>
  <c r="DQ63" i="17"/>
  <c r="DT63" i="17"/>
  <c r="DW63" i="17"/>
  <c r="AI63" i="17"/>
  <c r="AR63" i="17"/>
  <c r="BB63" i="17"/>
  <c r="BI63" i="17"/>
  <c r="BP63" i="17"/>
  <c r="CG63" i="17"/>
  <c r="CX63" i="17"/>
  <c r="DH63" i="17"/>
  <c r="DM63" i="17"/>
  <c r="DV63" i="17"/>
  <c r="Z62" i="17"/>
  <c r="AQ62" i="17"/>
  <c r="Y62" i="17"/>
  <c r="AQ61" i="17"/>
  <c r="Y61" i="17"/>
  <c r="Z61" i="17"/>
  <c r="BO61" i="17"/>
  <c r="BV61" i="17"/>
  <c r="BY61" i="17"/>
  <c r="DM61" i="17"/>
  <c r="DP61" i="17"/>
  <c r="DT61" i="17"/>
  <c r="CG61" i="17"/>
  <c r="DK61" i="17"/>
  <c r="DO61" i="17"/>
  <c r="BW61" i="17"/>
  <c r="CC61" i="17"/>
  <c r="DD61" i="17"/>
  <c r="DF61" i="17"/>
  <c r="DH61" i="17"/>
  <c r="DL61" i="17"/>
  <c r="DN61" i="17"/>
  <c r="DU61" i="17"/>
  <c r="AG61" i="17"/>
  <c r="BS61" i="17"/>
  <c r="DV61" i="17"/>
  <c r="BR61" i="17"/>
  <c r="BX61" i="17"/>
  <c r="CA61" i="17"/>
  <c r="CH61" i="17"/>
  <c r="BP61" i="17"/>
  <c r="BQ61" i="17"/>
  <c r="CB61" i="17"/>
  <c r="CE61" i="17"/>
  <c r="DE61" i="17"/>
  <c r="DJ61" i="17"/>
  <c r="DQ61" i="17"/>
  <c r="DW61" i="17"/>
  <c r="BU61" i="17"/>
  <c r="BZ61" i="17"/>
  <c r="CD61" i="17"/>
  <c r="CJ61" i="17"/>
  <c r="DG61" i="17"/>
  <c r="DS61" i="17"/>
  <c r="BT61" i="17"/>
  <c r="CF61" i="17"/>
  <c r="DI61" i="17"/>
  <c r="DR61" i="17"/>
  <c r="Z60" i="17"/>
  <c r="Y60" i="17"/>
  <c r="AQ60" i="17"/>
  <c r="Y59" i="17"/>
  <c r="AQ59" i="17"/>
  <c r="Z59" i="17"/>
  <c r="AQ58" i="17"/>
  <c r="Y58" i="17"/>
  <c r="Z58" i="17"/>
  <c r="Z57" i="17"/>
  <c r="Y57" i="17"/>
  <c r="AQ57" i="17"/>
  <c r="Z56" i="17"/>
  <c r="AQ56" i="17"/>
  <c r="Y56" i="17"/>
  <c r="Z55" i="17"/>
  <c r="AQ55" i="17"/>
  <c r="Y55" i="17"/>
  <c r="BK55" i="17"/>
  <c r="BV55" i="17"/>
  <c r="DC55" i="17"/>
  <c r="DG55" i="17"/>
  <c r="DU55" i="17"/>
  <c r="DW55" i="17"/>
  <c r="BM55" i="17"/>
  <c r="BO55" i="17"/>
  <c r="BX55" i="17"/>
  <c r="BZ55" i="17"/>
  <c r="CG55" i="17"/>
  <c r="CZ55" i="17"/>
  <c r="DF55" i="17"/>
  <c r="DH55" i="17"/>
  <c r="DO55" i="17"/>
  <c r="DQ55" i="17"/>
  <c r="DV55" i="17"/>
  <c r="DM55" i="17"/>
  <c r="DS55" i="17"/>
  <c r="BP55" i="17"/>
  <c r="BU55" i="17"/>
  <c r="CB55" i="17"/>
  <c r="CE55" i="17"/>
  <c r="BJ55" i="17"/>
  <c r="BN55" i="17"/>
  <c r="CY55" i="17"/>
  <c r="DD55" i="17"/>
  <c r="DK55" i="17"/>
  <c r="DT55" i="17"/>
  <c r="BQ55" i="17"/>
  <c r="BS55" i="17"/>
  <c r="CA55" i="17"/>
  <c r="CD55" i="17"/>
  <c r="DA55" i="17"/>
  <c r="DE55" i="17"/>
  <c r="DI55" i="17"/>
  <c r="DL55" i="17"/>
  <c r="DP55" i="17"/>
  <c r="AG55" i="17"/>
  <c r="BR55" i="17"/>
  <c r="BW55" i="17"/>
  <c r="CC55" i="17"/>
  <c r="CF55" i="17"/>
  <c r="CH55" i="17"/>
  <c r="DB55" i="17"/>
  <c r="DN55" i="17"/>
  <c r="DR55" i="17"/>
  <c r="BL55" i="17"/>
  <c r="BT55" i="17"/>
  <c r="BY55" i="17"/>
  <c r="CJ55" i="17"/>
  <c r="DJ55" i="17"/>
  <c r="Y54" i="17"/>
  <c r="Z54" i="17"/>
  <c r="AQ54" i="17"/>
  <c r="Z53" i="17"/>
  <c r="Y53" i="17"/>
  <c r="AQ53" i="17"/>
  <c r="AQ52" i="17"/>
  <c r="Z52" i="17"/>
  <c r="Y52" i="17"/>
  <c r="AQ51" i="17"/>
  <c r="Z51" i="17"/>
  <c r="Y51" i="17"/>
  <c r="Z50" i="17"/>
  <c r="AQ50" i="17"/>
  <c r="Y50" i="17"/>
  <c r="Z49" i="17"/>
  <c r="AQ49" i="17"/>
  <c r="Y49" i="17"/>
  <c r="Y48" i="17"/>
  <c r="Z48" i="17"/>
  <c r="AQ48" i="17"/>
  <c r="AP48" i="17"/>
  <c r="Y47" i="17"/>
  <c r="Z47" i="17"/>
  <c r="AQ47" i="17"/>
  <c r="AQ46" i="17"/>
  <c r="Z46" i="17"/>
  <c r="Y46" i="17"/>
  <c r="Y45" i="17"/>
  <c r="AQ45" i="17"/>
  <c r="Z45" i="17"/>
  <c r="AQ44" i="17"/>
  <c r="Y44" i="17"/>
  <c r="Z44" i="17"/>
  <c r="AQ43" i="17"/>
  <c r="Y43" i="17"/>
  <c r="Z43" i="17"/>
  <c r="AQ42" i="17"/>
  <c r="Z42" i="17"/>
  <c r="Y42" i="17"/>
  <c r="Y41" i="17"/>
  <c r="Z41" i="17"/>
  <c r="AQ41" i="17"/>
  <c r="Y40" i="17"/>
  <c r="AQ40" i="17"/>
  <c r="Z40" i="17"/>
  <c r="Y39" i="17"/>
  <c r="Z39" i="17"/>
  <c r="AQ39" i="17"/>
  <c r="Z38" i="17"/>
  <c r="Y38" i="17"/>
  <c r="AQ38" i="17"/>
  <c r="Z37" i="17"/>
  <c r="AQ37" i="17"/>
  <c r="Y37" i="17"/>
  <c r="Z36" i="17"/>
  <c r="AQ36" i="17"/>
  <c r="Y36" i="17"/>
  <c r="BI36" i="17"/>
  <c r="BM36" i="17"/>
  <c r="BP36" i="17"/>
  <c r="DE36" i="17"/>
  <c r="DJ36" i="17"/>
  <c r="DM36" i="17"/>
  <c r="DU36" i="17"/>
  <c r="BF36" i="17"/>
  <c r="BH36" i="17"/>
  <c r="BS36" i="17"/>
  <c r="CC36" i="17"/>
  <c r="CU36" i="17"/>
  <c r="CW36" i="17"/>
  <c r="CX36" i="17"/>
  <c r="DL36" i="17"/>
  <c r="DR36" i="17"/>
  <c r="BV36" i="17"/>
  <c r="CA36" i="17"/>
  <c r="CJ36" i="17"/>
  <c r="DI36" i="17"/>
  <c r="DV36" i="17"/>
  <c r="BL36" i="17"/>
  <c r="BU36" i="17"/>
  <c r="BZ36" i="17"/>
  <c r="DA36" i="17"/>
  <c r="DC36" i="17"/>
  <c r="DN36" i="17"/>
  <c r="DT36" i="17"/>
  <c r="BQ36" i="17"/>
  <c r="BW36" i="17"/>
  <c r="CD36" i="17"/>
  <c r="CH36" i="17"/>
  <c r="CZ36" i="17"/>
  <c r="DB36" i="17"/>
  <c r="DD36" i="17"/>
  <c r="AG36" i="17"/>
  <c r="BE36" i="17"/>
  <c r="BG36" i="17"/>
  <c r="BO36" i="17"/>
  <c r="BT36" i="17"/>
  <c r="BX36" i="17"/>
  <c r="CE36" i="17"/>
  <c r="CY36" i="17"/>
  <c r="DO36" i="17"/>
  <c r="DW36" i="17"/>
  <c r="CG36" i="17"/>
  <c r="CT36" i="17"/>
  <c r="DH36" i="17"/>
  <c r="DP36" i="17"/>
  <c r="DS36" i="17"/>
  <c r="BK36" i="17"/>
  <c r="BN36" i="17"/>
  <c r="BY36" i="17"/>
  <c r="CB36" i="17"/>
  <c r="DF36" i="17"/>
  <c r="BJ36" i="17"/>
  <c r="BR36" i="17"/>
  <c r="CF36" i="17"/>
  <c r="CV36" i="17"/>
  <c r="DG36" i="17"/>
  <c r="DK36" i="17"/>
  <c r="DQ36" i="17"/>
  <c r="Z35" i="17"/>
  <c r="AQ35" i="17"/>
  <c r="Y35" i="17"/>
  <c r="Z34" i="17"/>
  <c r="Y34" i="17"/>
  <c r="AQ34" i="17"/>
  <c r="Y33" i="17"/>
  <c r="Z33" i="17"/>
  <c r="AQ33" i="17"/>
  <c r="AQ32" i="17"/>
  <c r="Y32" i="17"/>
  <c r="Z32" i="17"/>
  <c r="AQ31" i="17"/>
  <c r="Y31" i="17"/>
  <c r="Z31" i="17"/>
  <c r="AQ30" i="17"/>
  <c r="Z30" i="17"/>
  <c r="Y30" i="17"/>
  <c r="H15" i="13"/>
  <c r="H8" i="13"/>
  <c r="H13" i="13"/>
  <c r="H9" i="13"/>
  <c r="H11" i="13"/>
  <c r="H12" i="13"/>
  <c r="H16" i="13"/>
  <c r="H10" i="13"/>
  <c r="B13" i="20"/>
  <c r="H18" i="13"/>
  <c r="H14" i="13"/>
  <c r="H17" i="13"/>
  <c r="C16" i="6"/>
  <c r="H3" i="3" s="1"/>
  <c r="H8" i="6"/>
  <c r="I36" i="7"/>
  <c r="B40" i="7" s="1"/>
  <c r="E29" i="7"/>
  <c r="B36" i="7"/>
  <c r="D29" i="7"/>
  <c r="B13" i="7"/>
  <c r="B20" i="7"/>
  <c r="B15" i="7"/>
  <c r="B14" i="7"/>
  <c r="K20" i="17"/>
  <c r="W20" i="17" s="1"/>
  <c r="K12" i="17"/>
  <c r="W12" i="17" s="1"/>
  <c r="K9" i="17"/>
  <c r="W9" i="17" s="1"/>
  <c r="K23" i="17"/>
  <c r="W23" i="17" s="1"/>
  <c r="K13" i="17"/>
  <c r="W13" i="17" s="1"/>
  <c r="K14" i="17"/>
  <c r="W14" i="17" s="1"/>
  <c r="K17" i="17"/>
  <c r="W17" i="17" s="1"/>
  <c r="K24" i="17"/>
  <c r="W24" i="17" s="1"/>
  <c r="K18" i="17"/>
  <c r="W18" i="17" s="1"/>
  <c r="K11" i="17"/>
  <c r="W11" i="17" s="1"/>
  <c r="K22" i="17"/>
  <c r="W22" i="17" s="1"/>
  <c r="B32" i="12"/>
  <c r="B14" i="3" s="1"/>
  <c r="K21" i="17"/>
  <c r="W21" i="17" s="1"/>
  <c r="K16" i="17"/>
  <c r="W16" i="17" s="1"/>
  <c r="K15" i="17"/>
  <c r="W15" i="17" s="1"/>
  <c r="K10" i="17"/>
  <c r="W10" i="17" s="1"/>
  <c r="K6" i="17"/>
  <c r="W6" i="17" s="1"/>
  <c r="K8" i="17"/>
  <c r="W8" i="17" s="1"/>
  <c r="K7" i="17"/>
  <c r="W7" i="17" s="1"/>
  <c r="K19" i="17"/>
  <c r="W19" i="17" s="1"/>
  <c r="J9" i="17"/>
  <c r="J21" i="17"/>
  <c r="J22" i="17"/>
  <c r="J23" i="17"/>
  <c r="J18" i="17"/>
  <c r="J10" i="17"/>
  <c r="J24" i="17"/>
  <c r="J11" i="17"/>
  <c r="J20" i="17"/>
  <c r="J19" i="17"/>
  <c r="J12" i="17"/>
  <c r="J8" i="17"/>
  <c r="J13" i="17"/>
  <c r="J15" i="17"/>
  <c r="J16" i="17"/>
  <c r="J6" i="17"/>
  <c r="J14" i="17"/>
  <c r="J17" i="17"/>
  <c r="J7" i="17"/>
  <c r="I18" i="17"/>
  <c r="I21" i="17"/>
  <c r="I17" i="17"/>
  <c r="I22" i="17"/>
  <c r="I10" i="17"/>
  <c r="I6" i="17"/>
  <c r="I11" i="17"/>
  <c r="I20" i="17"/>
  <c r="I23" i="17"/>
  <c r="I19" i="17"/>
  <c r="I16" i="17"/>
  <c r="I15" i="17"/>
  <c r="B14" i="12"/>
  <c r="I7" i="17"/>
  <c r="I14" i="17"/>
  <c r="I13" i="17"/>
  <c r="I12" i="17"/>
  <c r="I9" i="17"/>
  <c r="I24" i="17"/>
  <c r="I8" i="17"/>
  <c r="B4" i="15"/>
  <c r="B19" i="3" s="1"/>
  <c r="B41" i="14"/>
  <c r="C41" i="14" s="1" a="1"/>
  <c r="B39" i="14"/>
  <c r="C39" i="14" s="1" a="1"/>
  <c r="H11" i="17"/>
  <c r="B34" i="14"/>
  <c r="C34" i="14" s="1" a="1"/>
  <c r="B40" i="14"/>
  <c r="C40" i="14" s="1" a="1"/>
  <c r="H17" i="17"/>
  <c r="H15" i="17"/>
  <c r="H22" i="17"/>
  <c r="B38" i="14"/>
  <c r="C38" i="14" s="1" a="1"/>
  <c r="B37" i="14"/>
  <c r="C37" i="14" s="1" a="1"/>
  <c r="B36" i="14"/>
  <c r="C36" i="14" s="1" a="1"/>
  <c r="B35" i="14"/>
  <c r="C35" i="14" s="1" a="1"/>
  <c r="H20" i="17"/>
  <c r="H12" i="17"/>
  <c r="H14" i="17"/>
  <c r="H16" i="17"/>
  <c r="H9" i="17"/>
  <c r="H24" i="17"/>
  <c r="H6" i="17"/>
  <c r="H21" i="17"/>
  <c r="H10" i="17"/>
  <c r="H8" i="17"/>
  <c r="H7" i="17"/>
  <c r="H23" i="17"/>
  <c r="H18" i="17"/>
  <c r="H19" i="17"/>
  <c r="B4" i="14"/>
  <c r="C4" i="14" s="1" a="1"/>
  <c r="H13" i="17"/>
  <c r="B43" i="14"/>
  <c r="C43" i="14" s="1" a="1"/>
  <c r="B42" i="14"/>
  <c r="C42" i="14" s="1" a="1"/>
  <c r="G7" i="17"/>
  <c r="V7" i="17" s="1"/>
  <c r="G14" i="17"/>
  <c r="V14" i="17" s="1"/>
  <c r="G12" i="17"/>
  <c r="V12" i="17" s="1"/>
  <c r="G17" i="17"/>
  <c r="V17" i="17" s="1"/>
  <c r="G22" i="17"/>
  <c r="V22" i="17" s="1"/>
  <c r="G15" i="17"/>
  <c r="V15" i="17" s="1"/>
  <c r="G23" i="17"/>
  <c r="V23" i="17" s="1"/>
  <c r="G18" i="17"/>
  <c r="V18" i="17" s="1"/>
  <c r="G19" i="17"/>
  <c r="V19" i="17" s="1"/>
  <c r="G10" i="17"/>
  <c r="V10" i="17" s="1"/>
  <c r="G16" i="17"/>
  <c r="V16" i="17" s="1"/>
  <c r="G20" i="17"/>
  <c r="V20" i="17" s="1"/>
  <c r="G8" i="17"/>
  <c r="V8" i="17" s="1"/>
  <c r="G11" i="17"/>
  <c r="V11" i="17" s="1"/>
  <c r="G24" i="17"/>
  <c r="V24" i="17" s="1"/>
  <c r="G13" i="17"/>
  <c r="V13" i="17" s="1"/>
  <c r="G21" i="17"/>
  <c r="V21" i="17" s="1"/>
  <c r="G6" i="17"/>
  <c r="V6" i="17" s="1"/>
  <c r="G9" i="17"/>
  <c r="V9" i="17" s="1"/>
  <c r="F11" i="17"/>
  <c r="F19" i="17"/>
  <c r="F8" i="17"/>
  <c r="F12" i="17"/>
  <c r="F10" i="17"/>
  <c r="F18" i="17"/>
  <c r="F14" i="17"/>
  <c r="F9" i="17"/>
  <c r="F21" i="17"/>
  <c r="F6" i="17"/>
  <c r="F7" i="17"/>
  <c r="F16" i="17"/>
  <c r="F20" i="17"/>
  <c r="F15" i="17"/>
  <c r="F22" i="17"/>
  <c r="F17" i="17"/>
  <c r="F13" i="17"/>
  <c r="F24" i="17"/>
  <c r="F23" i="17"/>
  <c r="E22" i="17"/>
  <c r="E11" i="17"/>
  <c r="E20" i="17"/>
  <c r="E24" i="17"/>
  <c r="E15" i="17"/>
  <c r="E19" i="17"/>
  <c r="E21" i="17"/>
  <c r="E7" i="17"/>
  <c r="E12" i="17"/>
  <c r="E18" i="17"/>
  <c r="U18" i="17" s="1"/>
  <c r="E9" i="17"/>
  <c r="E16" i="17"/>
  <c r="E6" i="17"/>
  <c r="U6" i="17" s="1"/>
  <c r="E17" i="17"/>
  <c r="E8" i="17"/>
  <c r="E23" i="17"/>
  <c r="E10" i="17"/>
  <c r="U10" i="17" s="1"/>
  <c r="E13" i="17"/>
  <c r="E14" i="17"/>
  <c r="D7" i="17"/>
  <c r="D20" i="17"/>
  <c r="D14" i="17"/>
  <c r="D15" i="17"/>
  <c r="D16" i="17"/>
  <c r="D17" i="17"/>
  <c r="D19" i="17"/>
  <c r="D22" i="17"/>
  <c r="D12" i="17"/>
  <c r="D6" i="17"/>
  <c r="D8" i="17"/>
  <c r="D23" i="17"/>
  <c r="D21" i="17"/>
  <c r="D24" i="17"/>
  <c r="D10" i="17"/>
  <c r="D9" i="17"/>
  <c r="D13" i="17"/>
  <c r="D11" i="17"/>
  <c r="D18" i="17"/>
  <c r="AL149" i="17" l="1"/>
  <c r="DE149" i="17"/>
  <c r="CU149" i="17"/>
  <c r="DU149" i="17"/>
  <c r="BM149" i="17"/>
  <c r="BU149" i="17"/>
  <c r="AW149" i="17"/>
  <c r="CD149" i="17"/>
  <c r="CQ149" i="17"/>
  <c r="CY149" i="17"/>
  <c r="DV149" i="17"/>
  <c r="CO149" i="17"/>
  <c r="BG149" i="17"/>
  <c r="BT149" i="17"/>
  <c r="CC149" i="17"/>
  <c r="BZ149" i="17"/>
  <c r="BH149" i="17"/>
  <c r="BE149" i="17"/>
  <c r="BR149" i="17"/>
  <c r="AC149" i="17"/>
  <c r="AM149" i="17"/>
  <c r="BY149" i="17"/>
  <c r="BQ149" i="17"/>
  <c r="DN149" i="17"/>
  <c r="CB149" i="17"/>
  <c r="CJ149" i="17"/>
  <c r="AG149" i="17"/>
  <c r="CH149" i="17"/>
  <c r="CE149" i="17"/>
  <c r="AJ149" i="17"/>
  <c r="AX149" i="17"/>
  <c r="BP149" i="17"/>
  <c r="DJ149" i="17"/>
  <c r="AR149" i="17"/>
  <c r="AY149" i="17"/>
  <c r="DH149" i="17"/>
  <c r="DO149" i="17"/>
  <c r="AI149" i="17"/>
  <c r="BW149" i="17"/>
  <c r="CR149" i="17"/>
  <c r="DM149" i="17"/>
  <c r="AD149" i="17"/>
  <c r="AH149" i="17"/>
  <c r="AV149" i="17"/>
  <c r="AZ149" i="17"/>
  <c r="BC149" i="17"/>
  <c r="BJ149" i="17"/>
  <c r="BN149" i="17"/>
  <c r="CK149" i="17"/>
  <c r="CN149" i="17"/>
  <c r="CP149" i="17"/>
  <c r="CS149" i="17"/>
  <c r="CV149" i="17"/>
  <c r="CZ149" i="17"/>
  <c r="DG149" i="17"/>
  <c r="DK149" i="17"/>
  <c r="DQ149" i="17"/>
  <c r="DS149" i="17"/>
  <c r="DW149" i="17"/>
  <c r="AB149" i="17"/>
  <c r="AE149" i="17"/>
  <c r="AN149" i="17"/>
  <c r="AU149" i="17"/>
  <c r="BA149" i="17"/>
  <c r="BD149" i="17"/>
  <c r="BK149" i="17"/>
  <c r="BO149" i="17"/>
  <c r="CA149" i="17"/>
  <c r="CM149" i="17"/>
  <c r="CT149" i="17"/>
  <c r="CW149" i="17"/>
  <c r="DF149" i="17"/>
  <c r="DP149" i="17"/>
  <c r="DT149" i="17"/>
  <c r="AA149" i="17"/>
  <c r="AF149" i="17"/>
  <c r="AK149" i="17" s="1"/>
  <c r="AS149" i="17"/>
  <c r="BB149" i="17"/>
  <c r="BL149" i="17"/>
  <c r="BS149" i="17"/>
  <c r="BV149" i="17"/>
  <c r="BX149" i="17"/>
  <c r="CG149" i="17"/>
  <c r="CL149" i="17"/>
  <c r="CX149" i="17"/>
  <c r="DA149" i="17"/>
  <c r="DC149" i="17"/>
  <c r="DI149" i="17"/>
  <c r="AO149" i="17"/>
  <c r="BF149" i="17"/>
  <c r="BI149" i="17"/>
  <c r="CF149" i="17"/>
  <c r="DB149" i="17"/>
  <c r="DD149" i="17"/>
  <c r="DL149" i="17"/>
  <c r="DR149" i="17"/>
  <c r="AU274" i="17"/>
  <c r="AV274" i="17"/>
  <c r="AX274" i="17"/>
  <c r="AZ274" i="17"/>
  <c r="BB274" i="17"/>
  <c r="BD274" i="17"/>
  <c r="BF274" i="17"/>
  <c r="BH274" i="17"/>
  <c r="BJ274" i="17"/>
  <c r="BL274" i="17"/>
  <c r="BN274" i="17"/>
  <c r="BP274" i="17"/>
  <c r="BR274" i="17"/>
  <c r="BT274" i="17"/>
  <c r="BV274" i="17"/>
  <c r="BX274" i="17"/>
  <c r="BY274" i="17"/>
  <c r="CA274" i="17"/>
  <c r="CB274" i="17"/>
  <c r="CD274" i="17"/>
  <c r="CF274" i="17"/>
  <c r="CH274" i="17"/>
  <c r="DI274" i="17"/>
  <c r="DK274" i="17"/>
  <c r="DL274" i="17"/>
  <c r="DN274" i="17"/>
  <c r="DP274" i="17"/>
  <c r="DR274" i="17"/>
  <c r="DT274" i="17"/>
  <c r="DV274" i="17"/>
  <c r="AG274" i="17"/>
  <c r="AW274" i="17"/>
  <c r="AY274" i="17"/>
  <c r="BA274" i="17"/>
  <c r="BC274" i="17"/>
  <c r="BE274" i="17"/>
  <c r="BG274" i="17"/>
  <c r="BI274" i="17"/>
  <c r="BK274" i="17"/>
  <c r="BM274" i="17"/>
  <c r="BO274" i="17"/>
  <c r="BQ274" i="17"/>
  <c r="BS274" i="17"/>
  <c r="BU274" i="17"/>
  <c r="BW274" i="17"/>
  <c r="BZ274" i="17"/>
  <c r="CC274" i="17"/>
  <c r="CE274" i="17"/>
  <c r="CG274" i="17"/>
  <c r="CJ274" i="17"/>
  <c r="CK274" i="17" s="1"/>
  <c r="CL274" i="17" s="1"/>
  <c r="CM274" i="17" s="1"/>
  <c r="CN274" i="17" s="1"/>
  <c r="CO274" i="17" s="1"/>
  <c r="CP274" i="17" s="1"/>
  <c r="DJ274" i="17"/>
  <c r="DM274" i="17"/>
  <c r="DO274" i="17"/>
  <c r="DQ274" i="17"/>
  <c r="DS274" i="17"/>
  <c r="DU274" i="17"/>
  <c r="DW274" i="17"/>
  <c r="AG115" i="17"/>
  <c r="BJ115" i="17"/>
  <c r="BK115" i="17"/>
  <c r="BL115" i="17"/>
  <c r="BM115" i="17"/>
  <c r="BN115" i="17"/>
  <c r="BO115" i="17"/>
  <c r="BP115" i="17"/>
  <c r="BQ115" i="17"/>
  <c r="BR115" i="17"/>
  <c r="BS115" i="17"/>
  <c r="BT115" i="17"/>
  <c r="BU115" i="17"/>
  <c r="BV115" i="17"/>
  <c r="BW115" i="17"/>
  <c r="BX115" i="17"/>
  <c r="BY115" i="17"/>
  <c r="BZ115" i="17"/>
  <c r="CA115" i="17"/>
  <c r="CB115" i="17"/>
  <c r="CC115" i="17"/>
  <c r="CD115" i="17"/>
  <c r="CE115" i="17"/>
  <c r="CF115" i="17"/>
  <c r="CG115" i="17"/>
  <c r="CH115" i="17"/>
  <c r="CJ115" i="17"/>
  <c r="CY115" i="17"/>
  <c r="CZ115" i="17"/>
  <c r="DA115" i="17"/>
  <c r="DB115" i="17"/>
  <c r="DC115" i="17"/>
  <c r="DD115" i="17"/>
  <c r="DE115" i="17"/>
  <c r="DF115" i="17"/>
  <c r="DG115" i="17"/>
  <c r="DH115" i="17"/>
  <c r="DI115" i="17"/>
  <c r="DJ115" i="17"/>
  <c r="DK115" i="17"/>
  <c r="DL115" i="17"/>
  <c r="DM115" i="17"/>
  <c r="DN115" i="17"/>
  <c r="DO115" i="17"/>
  <c r="DP115" i="17"/>
  <c r="DQ115" i="17"/>
  <c r="DR115" i="17"/>
  <c r="DS115" i="17"/>
  <c r="DT115" i="17"/>
  <c r="DU115" i="17"/>
  <c r="DV115" i="17"/>
  <c r="DW115" i="17"/>
  <c r="BN245" i="17"/>
  <c r="DF245" i="17"/>
  <c r="DI245" i="17"/>
  <c r="DK245" i="17"/>
  <c r="DR245" i="17"/>
  <c r="CA245" i="17"/>
  <c r="DE245" i="17"/>
  <c r="DG245" i="17"/>
  <c r="DJ245" i="17"/>
  <c r="DM245" i="17"/>
  <c r="DN245" i="17"/>
  <c r="DP245" i="17"/>
  <c r="DS245" i="17"/>
  <c r="DV245" i="17"/>
  <c r="BJ245" i="17"/>
  <c r="BL245" i="17"/>
  <c r="BO245" i="17"/>
  <c r="BQ245" i="17"/>
  <c r="BR245" i="17"/>
  <c r="BT245" i="17"/>
  <c r="BU245" i="17"/>
  <c r="BW245" i="17"/>
  <c r="BY245" i="17"/>
  <c r="BZ245" i="17"/>
  <c r="CB245" i="17"/>
  <c r="CD245" i="17"/>
  <c r="CF245" i="17"/>
  <c r="CG245" i="17"/>
  <c r="CH245" i="17"/>
  <c r="CZ245" i="17"/>
  <c r="DB245" i="17"/>
  <c r="DD245" i="17"/>
  <c r="DH245" i="17"/>
  <c r="DL245" i="17"/>
  <c r="DO245" i="17"/>
  <c r="DQ245" i="17"/>
  <c r="DT245" i="17"/>
  <c r="DW245" i="17"/>
  <c r="AG245" i="17"/>
  <c r="BK245" i="17"/>
  <c r="BM245" i="17"/>
  <c r="DU245" i="17"/>
  <c r="BP245" i="17"/>
  <c r="BS245" i="17"/>
  <c r="BV245" i="17"/>
  <c r="BX245" i="17"/>
  <c r="CC245" i="17"/>
  <c r="CE245" i="17"/>
  <c r="CJ245" i="17"/>
  <c r="CY245" i="17"/>
  <c r="DA245" i="17"/>
  <c r="DC245" i="17"/>
  <c r="DO201" i="17"/>
  <c r="DQ201" i="17"/>
  <c r="DR201" i="17"/>
  <c r="DT201" i="17"/>
  <c r="CG201" i="17"/>
  <c r="AB201" i="17"/>
  <c r="AD201" i="17"/>
  <c r="AF201" i="17"/>
  <c r="AK201" i="17" s="1"/>
  <c r="AH201" i="17"/>
  <c r="AJ201" i="17"/>
  <c r="AL201" i="17"/>
  <c r="AS201" i="17"/>
  <c r="AV201" i="17"/>
  <c r="AW201" i="17"/>
  <c r="AZ201" i="17"/>
  <c r="BA201" i="17"/>
  <c r="BD201" i="17"/>
  <c r="BG201" i="17"/>
  <c r="BJ201" i="17"/>
  <c r="BM201" i="17"/>
  <c r="BO201" i="17"/>
  <c r="BQ201" i="17"/>
  <c r="BS201" i="17"/>
  <c r="BU201" i="17"/>
  <c r="BW201" i="17"/>
  <c r="BY201" i="17"/>
  <c r="CA201" i="17"/>
  <c r="CC201" i="17"/>
  <c r="CE201" i="17"/>
  <c r="CF201" i="17"/>
  <c r="DV201" i="17"/>
  <c r="CH201" i="17"/>
  <c r="CK201" i="17"/>
  <c r="CM201" i="17"/>
  <c r="CO201" i="17"/>
  <c r="CQ201" i="17"/>
  <c r="CR201" i="17"/>
  <c r="CU201" i="17"/>
  <c r="CW201" i="17"/>
  <c r="CY201" i="17"/>
  <c r="DA201" i="17"/>
  <c r="DC201" i="17"/>
  <c r="DE201" i="17"/>
  <c r="DG201" i="17"/>
  <c r="DI201" i="17"/>
  <c r="DK201" i="17"/>
  <c r="DL201" i="17"/>
  <c r="DN201" i="17"/>
  <c r="DP201" i="17"/>
  <c r="DS201" i="17"/>
  <c r="DU201" i="17"/>
  <c r="DW201" i="17"/>
  <c r="AA201" i="17"/>
  <c r="AC201" i="17"/>
  <c r="AE201" i="17"/>
  <c r="AG201" i="17"/>
  <c r="AI201" i="17"/>
  <c r="AM201" i="17"/>
  <c r="AN201" i="17"/>
  <c r="AO201" i="17"/>
  <c r="AR201" i="17"/>
  <c r="AU201" i="17"/>
  <c r="AX201" i="17"/>
  <c r="AY201" i="17"/>
  <c r="BB201" i="17"/>
  <c r="BC201" i="17"/>
  <c r="BE201" i="17"/>
  <c r="BF201" i="17"/>
  <c r="BH201" i="17"/>
  <c r="BI201" i="17"/>
  <c r="BK201" i="17"/>
  <c r="BL201" i="17"/>
  <c r="BN201" i="17"/>
  <c r="BP201" i="17"/>
  <c r="BR201" i="17"/>
  <c r="BT201" i="17"/>
  <c r="BV201" i="17"/>
  <c r="BX201" i="17"/>
  <c r="BZ201" i="17"/>
  <c r="CB201" i="17"/>
  <c r="CD201" i="17"/>
  <c r="CJ201" i="17"/>
  <c r="CL201" i="17"/>
  <c r="CN201" i="17"/>
  <c r="CP201" i="17"/>
  <c r="CS201" i="17"/>
  <c r="CT201" i="17"/>
  <c r="CV201" i="17"/>
  <c r="CX201" i="17"/>
  <c r="CZ201" i="17"/>
  <c r="DB201" i="17"/>
  <c r="DD201" i="17"/>
  <c r="DF201" i="17"/>
  <c r="DH201" i="17"/>
  <c r="DJ201" i="17"/>
  <c r="DM201" i="17"/>
  <c r="BL99" i="17"/>
  <c r="BW99" i="17"/>
  <c r="CF99" i="17"/>
  <c r="DD99" i="17"/>
  <c r="DI99" i="17"/>
  <c r="BQ99" i="17"/>
  <c r="BS99" i="17"/>
  <c r="BZ99" i="17"/>
  <c r="CG99" i="17"/>
  <c r="DC99" i="17"/>
  <c r="DP99" i="17"/>
  <c r="DS99" i="17"/>
  <c r="DW99" i="17"/>
  <c r="BN99" i="17"/>
  <c r="BV99" i="17"/>
  <c r="CD99" i="17"/>
  <c r="CY99" i="17"/>
  <c r="DM99" i="17"/>
  <c r="DT99" i="17"/>
  <c r="BK99" i="17"/>
  <c r="BP99" i="17"/>
  <c r="CB99" i="17"/>
  <c r="CJ99" i="17"/>
  <c r="CZ99" i="17"/>
  <c r="DE99" i="17"/>
  <c r="DH99" i="17"/>
  <c r="DO99" i="17"/>
  <c r="DR99" i="17"/>
  <c r="DU99" i="17"/>
  <c r="AG99" i="17"/>
  <c r="BO99" i="17"/>
  <c r="BT99" i="17"/>
  <c r="BX99" i="17"/>
  <c r="DA99" i="17"/>
  <c r="DF99" i="17"/>
  <c r="DK99" i="17"/>
  <c r="DL99" i="17"/>
  <c r="DN99" i="17"/>
  <c r="DQ99" i="17"/>
  <c r="DV99" i="17"/>
  <c r="BJ99" i="17"/>
  <c r="BR99" i="17"/>
  <c r="BY99" i="17"/>
  <c r="CC99" i="17"/>
  <c r="CE99" i="17"/>
  <c r="CH99" i="17"/>
  <c r="DG99" i="17"/>
  <c r="DJ99" i="17"/>
  <c r="BM99" i="17"/>
  <c r="BU99" i="17"/>
  <c r="CA99" i="17"/>
  <c r="DB99" i="17"/>
  <c r="AX51" i="17"/>
  <c r="CD51" i="17"/>
  <c r="CS51" i="17"/>
  <c r="DC51" i="17"/>
  <c r="AS51" i="17"/>
  <c r="BF51" i="17"/>
  <c r="BX51" i="17"/>
  <c r="CT51" i="17"/>
  <c r="DE51" i="17"/>
  <c r="DJ51" i="17"/>
  <c r="DT51" i="17"/>
  <c r="AR51" i="17"/>
  <c r="CU51" i="17"/>
  <c r="DF51" i="17"/>
  <c r="AI51" i="17"/>
  <c r="AV51" i="17"/>
  <c r="BB51" i="17"/>
  <c r="BR51" i="17"/>
  <c r="BH51" i="17"/>
  <c r="BN51" i="17"/>
  <c r="CB51" i="17"/>
  <c r="DD51" i="17"/>
  <c r="DI51" i="17"/>
  <c r="DU51" i="17"/>
  <c r="DW51" i="17"/>
  <c r="BM51" i="17"/>
  <c r="CE51" i="17"/>
  <c r="CQ51" i="17"/>
  <c r="AF51" i="17"/>
  <c r="AK51" i="17" s="1"/>
  <c r="AH51" i="17"/>
  <c r="BP51" i="17"/>
  <c r="CM51" i="17"/>
  <c r="CY51" i="17"/>
  <c r="DL51" i="17"/>
  <c r="AB51" i="17"/>
  <c r="AN51" i="17"/>
  <c r="BC51" i="17"/>
  <c r="BO51" i="17"/>
  <c r="CJ51" i="17"/>
  <c r="DA51" i="17"/>
  <c r="AG51" i="17"/>
  <c r="AL51" i="17"/>
  <c r="BI51" i="17"/>
  <c r="BV51" i="17"/>
  <c r="CH51" i="17"/>
  <c r="CR51" i="17"/>
  <c r="DQ51" i="17"/>
  <c r="AE51" i="17"/>
  <c r="BA51" i="17"/>
  <c r="BT51" i="17"/>
  <c r="BY51" i="17"/>
  <c r="CA51" i="17"/>
  <c r="CK51" i="17"/>
  <c r="CX51" i="17"/>
  <c r="CZ51" i="17"/>
  <c r="DV51" i="17"/>
  <c r="AW51" i="17"/>
  <c r="BK51" i="17"/>
  <c r="CC51" i="17"/>
  <c r="CG51" i="17"/>
  <c r="DB51" i="17"/>
  <c r="DR51" i="17"/>
  <c r="AC51" i="17"/>
  <c r="BU51" i="17"/>
  <c r="CL51" i="17"/>
  <c r="CP51" i="17"/>
  <c r="DO51" i="17"/>
  <c r="AA51" i="17"/>
  <c r="AZ51" i="17"/>
  <c r="BD51" i="17"/>
  <c r="BJ51" i="17"/>
  <c r="BE51" i="17"/>
  <c r="CW51" i="17"/>
  <c r="DN51" i="17"/>
  <c r="BG51" i="17"/>
  <c r="BS51" i="17"/>
  <c r="CN51" i="17"/>
  <c r="DH51" i="17"/>
  <c r="AM51" i="17"/>
  <c r="BW51" i="17"/>
  <c r="CV51" i="17"/>
  <c r="DG51" i="17"/>
  <c r="DP51" i="17"/>
  <c r="AU51" i="17"/>
  <c r="AY51" i="17"/>
  <c r="BL51" i="17"/>
  <c r="BZ51" i="17"/>
  <c r="DM51" i="17"/>
  <c r="AD51" i="17"/>
  <c r="AJ51" i="17"/>
  <c r="AO51" i="17"/>
  <c r="BQ51" i="17"/>
  <c r="CF51" i="17"/>
  <c r="CO51" i="17"/>
  <c r="DK51" i="17"/>
  <c r="DS51" i="17"/>
  <c r="BX260" i="17"/>
  <c r="BZ260" i="17"/>
  <c r="CA260" i="17"/>
  <c r="CC260" i="17"/>
  <c r="CD260" i="17"/>
  <c r="CE260" i="17"/>
  <c r="CG260" i="17"/>
  <c r="CH260" i="17"/>
  <c r="CJ260" i="17"/>
  <c r="CT260" i="17"/>
  <c r="CU260" i="17"/>
  <c r="CV260" i="17"/>
  <c r="CW260" i="17"/>
  <c r="CX260" i="17"/>
  <c r="CY260" i="17"/>
  <c r="DA260" i="17"/>
  <c r="DC260" i="17"/>
  <c r="DF260" i="17"/>
  <c r="DG260" i="17"/>
  <c r="DI260" i="17"/>
  <c r="DJ260" i="17"/>
  <c r="DK260" i="17"/>
  <c r="DM260" i="17"/>
  <c r="DN260" i="17"/>
  <c r="DO260" i="17"/>
  <c r="DQ260" i="17"/>
  <c r="DU260" i="17"/>
  <c r="DV260" i="17"/>
  <c r="DW260" i="17"/>
  <c r="BG260" i="17"/>
  <c r="BL260" i="17"/>
  <c r="BO260" i="17"/>
  <c r="BR260" i="17"/>
  <c r="BV260" i="17"/>
  <c r="BY260" i="17"/>
  <c r="CB260" i="17"/>
  <c r="CF260" i="17"/>
  <c r="CZ260" i="17"/>
  <c r="DB260" i="17"/>
  <c r="DD260" i="17"/>
  <c r="DH260" i="17"/>
  <c r="DL260" i="17"/>
  <c r="DP260" i="17"/>
  <c r="DR260" i="17"/>
  <c r="DS260" i="17"/>
  <c r="DT260" i="17"/>
  <c r="DE260" i="17"/>
  <c r="AG260" i="17"/>
  <c r="BE260" i="17"/>
  <c r="BF260" i="17"/>
  <c r="BH260" i="17"/>
  <c r="BI260" i="17"/>
  <c r="BJ260" i="17"/>
  <c r="BK260" i="17"/>
  <c r="BM260" i="17"/>
  <c r="BN260" i="17"/>
  <c r="BP260" i="17"/>
  <c r="BQ260" i="17"/>
  <c r="BS260" i="17"/>
  <c r="BT260" i="17"/>
  <c r="BU260" i="17"/>
  <c r="BW260" i="17"/>
  <c r="U23" i="17"/>
  <c r="DC94" i="17"/>
  <c r="DH94" i="17"/>
  <c r="DN94" i="17"/>
  <c r="BM94" i="17"/>
  <c r="CD94" i="17"/>
  <c r="CZ94" i="17"/>
  <c r="DD94" i="17"/>
  <c r="DJ94" i="17"/>
  <c r="DO94" i="17"/>
  <c r="BU94" i="17"/>
  <c r="AG94" i="17"/>
  <c r="CC94" i="17"/>
  <c r="DI94" i="17"/>
  <c r="DQ94" i="17"/>
  <c r="BK94" i="17"/>
  <c r="BX94" i="17"/>
  <c r="CE94" i="17"/>
  <c r="DK94" i="17"/>
  <c r="BZ94" i="17"/>
  <c r="DW94" i="17"/>
  <c r="BW94" i="17"/>
  <c r="DU94" i="17"/>
  <c r="BT94" i="17"/>
  <c r="CB94" i="17"/>
  <c r="CH94" i="17"/>
  <c r="DA94" i="17"/>
  <c r="DR94" i="17"/>
  <c r="BP94" i="17"/>
  <c r="BR94" i="17"/>
  <c r="CJ94" i="17"/>
  <c r="DL94" i="17"/>
  <c r="DT94" i="17"/>
  <c r="BO94" i="17"/>
  <c r="DM94" i="17"/>
  <c r="BL94" i="17"/>
  <c r="BV94" i="17"/>
  <c r="CG94" i="17"/>
  <c r="DV94" i="17"/>
  <c r="BS94" i="17"/>
  <c r="CA94" i="17"/>
  <c r="DF94" i="17"/>
  <c r="BQ94" i="17"/>
  <c r="DG94" i="17"/>
  <c r="DS94" i="17"/>
  <c r="BJ94" i="17"/>
  <c r="DB94" i="17"/>
  <c r="DP94" i="17"/>
  <c r="BN94" i="17"/>
  <c r="BY94" i="17"/>
  <c r="CF94" i="17"/>
  <c r="CY94" i="17"/>
  <c r="DE94" i="17"/>
  <c r="AG133" i="17"/>
  <c r="BO133" i="17"/>
  <c r="BP133" i="17"/>
  <c r="BQ133" i="17"/>
  <c r="BR133" i="17"/>
  <c r="BS133" i="17"/>
  <c r="BT133" i="17"/>
  <c r="BU133" i="17"/>
  <c r="BV133" i="17"/>
  <c r="BW133" i="17"/>
  <c r="BX133" i="17"/>
  <c r="BY133" i="17"/>
  <c r="BZ133" i="17"/>
  <c r="CA133" i="17"/>
  <c r="CB133" i="17"/>
  <c r="CC133" i="17"/>
  <c r="CD133" i="17"/>
  <c r="CE133" i="17"/>
  <c r="CF133" i="17"/>
  <c r="CG133" i="17"/>
  <c r="CH133" i="17"/>
  <c r="CJ133" i="17"/>
  <c r="DD133" i="17"/>
  <c r="DE133" i="17"/>
  <c r="DF133" i="17"/>
  <c r="DG133" i="17"/>
  <c r="DH133" i="17"/>
  <c r="DI133" i="17"/>
  <c r="DJ133" i="17"/>
  <c r="DK133" i="17"/>
  <c r="DL133" i="17"/>
  <c r="DM133" i="17"/>
  <c r="DN133" i="17"/>
  <c r="DO133" i="17"/>
  <c r="DP133" i="17"/>
  <c r="DQ133" i="17"/>
  <c r="DR133" i="17"/>
  <c r="DS133" i="17"/>
  <c r="DT133" i="17"/>
  <c r="DU133" i="17"/>
  <c r="DV133" i="17"/>
  <c r="DW133" i="17"/>
  <c r="AM62" i="17"/>
  <c r="CV62" i="17"/>
  <c r="DH62" i="17"/>
  <c r="BA62" i="17"/>
  <c r="BR62" i="17"/>
  <c r="CK62" i="17"/>
  <c r="DD62" i="17"/>
  <c r="CD62" i="17"/>
  <c r="DO62" i="17"/>
  <c r="BI62" i="17"/>
  <c r="BZ62" i="17"/>
  <c r="CE62" i="17"/>
  <c r="CL62" i="17"/>
  <c r="DS62" i="17"/>
  <c r="AI62" i="17"/>
  <c r="DG62" i="17"/>
  <c r="BM62" i="17"/>
  <c r="CG62" i="17"/>
  <c r="DN62" i="17"/>
  <c r="AL62" i="17"/>
  <c r="DT62" i="17"/>
  <c r="AJ62" i="17"/>
  <c r="AX62" i="17"/>
  <c r="CN62" i="17"/>
  <c r="DJ62" i="17"/>
  <c r="BC62" i="17"/>
  <c r="BD62" i="17"/>
  <c r="BE62" i="17"/>
  <c r="CR62" i="17"/>
  <c r="AR62" i="17"/>
  <c r="BJ62" i="17"/>
  <c r="BW62" i="17"/>
  <c r="CJ62" i="17"/>
  <c r="AB62" i="17"/>
  <c r="AN62" i="17"/>
  <c r="BL62" i="17"/>
  <c r="CZ62" i="17"/>
  <c r="DL62" i="17"/>
  <c r="AH62" i="17"/>
  <c r="BK62" i="17"/>
  <c r="CH62" i="17"/>
  <c r="DA62" i="17"/>
  <c r="DK62" i="17"/>
  <c r="DV62" i="17"/>
  <c r="AA62" i="17"/>
  <c r="AW62" i="17"/>
  <c r="BH62" i="17"/>
  <c r="BY62" i="17"/>
  <c r="CY62" i="17"/>
  <c r="AS62" i="17"/>
  <c r="DC62" i="17"/>
  <c r="DW62" i="17"/>
  <c r="AV62" i="17"/>
  <c r="BT62" i="17"/>
  <c r="CB62" i="17"/>
  <c r="CF62" i="17"/>
  <c r="CP62" i="17"/>
  <c r="DM62" i="17"/>
  <c r="BP62" i="17"/>
  <c r="BV62" i="17"/>
  <c r="AY62" i="17"/>
  <c r="BG62" i="17"/>
  <c r="BO62" i="17"/>
  <c r="BX62" i="17"/>
  <c r="CW62" i="17"/>
  <c r="DB62" i="17"/>
  <c r="AZ62" i="17"/>
  <c r="BS62" i="17"/>
  <c r="CM62" i="17"/>
  <c r="CX62" i="17"/>
  <c r="DQ62" i="17"/>
  <c r="AF62" i="17"/>
  <c r="AK62" i="17" s="1"/>
  <c r="BF62" i="17"/>
  <c r="CQ62" i="17"/>
  <c r="AD62" i="17"/>
  <c r="DR62" i="17"/>
  <c r="AU62" i="17"/>
  <c r="BQ62" i="17"/>
  <c r="CC62" i="17"/>
  <c r="CS62" i="17"/>
  <c r="DF62" i="17"/>
  <c r="BU62" i="17"/>
  <c r="AC62" i="17"/>
  <c r="CU62" i="17"/>
  <c r="DI62" i="17"/>
  <c r="AE62" i="17"/>
  <c r="AO62" i="17"/>
  <c r="AG62" i="17"/>
  <c r="CO62" i="17"/>
  <c r="DP62" i="17"/>
  <c r="BB62" i="17"/>
  <c r="CA62" i="17"/>
  <c r="CT62" i="17"/>
  <c r="BN62" i="17"/>
  <c r="DE62" i="17"/>
  <c r="DU62" i="17"/>
  <c r="U17" i="17"/>
  <c r="DB243" i="17"/>
  <c r="DC243" i="17"/>
  <c r="DD243" i="17"/>
  <c r="DE243" i="17"/>
  <c r="DF243" i="17"/>
  <c r="DG243" i="17"/>
  <c r="DH243" i="17"/>
  <c r="DI243" i="17"/>
  <c r="DJ243" i="17"/>
  <c r="DK243" i="17"/>
  <c r="DL243" i="17"/>
  <c r="DM243" i="17"/>
  <c r="DN243" i="17"/>
  <c r="DO243" i="17"/>
  <c r="DP243" i="17"/>
  <c r="DQ243" i="17"/>
  <c r="DR243" i="17"/>
  <c r="DS243" i="17"/>
  <c r="DT243" i="17"/>
  <c r="DU243" i="17"/>
  <c r="DV243" i="17"/>
  <c r="DW243" i="17"/>
  <c r="BJ243" i="17"/>
  <c r="BL243" i="17"/>
  <c r="BN243" i="17"/>
  <c r="BO243" i="17"/>
  <c r="BQ243" i="17"/>
  <c r="BR243" i="17"/>
  <c r="BU243" i="17"/>
  <c r="BX243" i="17"/>
  <c r="BZ243" i="17"/>
  <c r="CF243" i="17"/>
  <c r="CH243" i="17"/>
  <c r="CY243" i="17"/>
  <c r="BK243" i="17"/>
  <c r="BM243" i="17"/>
  <c r="BP243" i="17"/>
  <c r="BS243" i="17"/>
  <c r="BV243" i="17"/>
  <c r="BW243" i="17"/>
  <c r="CB243" i="17"/>
  <c r="CD243" i="17"/>
  <c r="CG243" i="17"/>
  <c r="CJ243" i="17"/>
  <c r="AG243" i="17"/>
  <c r="BT243" i="17"/>
  <c r="BY243" i="17"/>
  <c r="CA243" i="17"/>
  <c r="CC243" i="17"/>
  <c r="CE243" i="17"/>
  <c r="CZ243" i="17"/>
  <c r="DA243" i="17"/>
  <c r="BK88" i="17"/>
  <c r="CB88" i="17"/>
  <c r="DF88" i="17"/>
  <c r="DT88" i="17"/>
  <c r="CH88" i="17"/>
  <c r="DH88" i="17"/>
  <c r="DN88" i="17"/>
  <c r="BM88" i="17"/>
  <c r="BS88" i="17"/>
  <c r="DI88" i="17"/>
  <c r="CA88" i="17"/>
  <c r="CX88" i="17"/>
  <c r="DU88" i="17"/>
  <c r="CW88" i="17"/>
  <c r="DD88" i="17"/>
  <c r="BJ88" i="17"/>
  <c r="BO88" i="17"/>
  <c r="CU88" i="17"/>
  <c r="BF88" i="17"/>
  <c r="DW88" i="17"/>
  <c r="DS88" i="17"/>
  <c r="BI88" i="17"/>
  <c r="BY88" i="17"/>
  <c r="DA88" i="17"/>
  <c r="BR88" i="17"/>
  <c r="BZ88" i="17"/>
  <c r="BE88" i="17"/>
  <c r="BQ88" i="17"/>
  <c r="CF88" i="17"/>
  <c r="DO88" i="17"/>
  <c r="BG88" i="17"/>
  <c r="BP88" i="17"/>
  <c r="DP88" i="17"/>
  <c r="BU88" i="17"/>
  <c r="CG88" i="17"/>
  <c r="DG88" i="17"/>
  <c r="DL88" i="17"/>
  <c r="AG88" i="17"/>
  <c r="BT88" i="17"/>
  <c r="CJ88" i="17"/>
  <c r="DC88" i="17"/>
  <c r="DK88" i="17"/>
  <c r="BL88" i="17"/>
  <c r="CV88" i="17"/>
  <c r="DJ88" i="17"/>
  <c r="BW88" i="17"/>
  <c r="CD88" i="17"/>
  <c r="DE88" i="17"/>
  <c r="BX88" i="17"/>
  <c r="CE88" i="17"/>
  <c r="DM88" i="17"/>
  <c r="BH88" i="17"/>
  <c r="CT88" i="17"/>
  <c r="CZ88" i="17"/>
  <c r="DQ88" i="17"/>
  <c r="BN88" i="17"/>
  <c r="BV88" i="17"/>
  <c r="DB88" i="17"/>
  <c r="DV88" i="17"/>
  <c r="CC88" i="17"/>
  <c r="CY88" i="17"/>
  <c r="DR88" i="17"/>
  <c r="BY96" i="17"/>
  <c r="CE96" i="17"/>
  <c r="DU96" i="17"/>
  <c r="BR96" i="17"/>
  <c r="BX96" i="17"/>
  <c r="DP96" i="17"/>
  <c r="AG96" i="17"/>
  <c r="DL96" i="17"/>
  <c r="DN96" i="17"/>
  <c r="BS96" i="17"/>
  <c r="BV96" i="17"/>
  <c r="CB96" i="17"/>
  <c r="CG96" i="17"/>
  <c r="DK96" i="17"/>
  <c r="DO96" i="17"/>
  <c r="DV96" i="17"/>
  <c r="BZ96" i="17"/>
  <c r="CJ96" i="17"/>
  <c r="DH96" i="17"/>
  <c r="DQ96" i="17"/>
  <c r="BQ96" i="17"/>
  <c r="BT96" i="17"/>
  <c r="BW96" i="17"/>
  <c r="CC96" i="17"/>
  <c r="CF96" i="17"/>
  <c r="DF96" i="17"/>
  <c r="DT96" i="17"/>
  <c r="BO96" i="17"/>
  <c r="BU96" i="17"/>
  <c r="DD96" i="17"/>
  <c r="DJ96" i="17"/>
  <c r="DR96" i="17"/>
  <c r="BP96" i="17"/>
  <c r="CA96" i="17"/>
  <c r="CD96" i="17"/>
  <c r="CH96" i="17"/>
  <c r="DE96" i="17"/>
  <c r="DG96" i="17"/>
  <c r="DI96" i="17"/>
  <c r="DM96" i="17"/>
  <c r="DS96" i="17"/>
  <c r="DW96" i="17"/>
  <c r="AG252" i="17"/>
  <c r="BO252" i="17"/>
  <c r="BP252" i="17"/>
  <c r="BQ252" i="17"/>
  <c r="BR252" i="17"/>
  <c r="BS252" i="17"/>
  <c r="BT252" i="17"/>
  <c r="BU252" i="17"/>
  <c r="BV252" i="17"/>
  <c r="BW252" i="17"/>
  <c r="BX252" i="17"/>
  <c r="BY252" i="17"/>
  <c r="BZ252" i="17"/>
  <c r="CA252" i="17"/>
  <c r="CB252" i="17"/>
  <c r="CC252" i="17"/>
  <c r="CD252" i="17"/>
  <c r="CE252" i="17"/>
  <c r="CF252" i="17"/>
  <c r="CG252" i="17"/>
  <c r="CH252" i="17"/>
  <c r="CJ252" i="17"/>
  <c r="DD252" i="17"/>
  <c r="DE252" i="17"/>
  <c r="DF252" i="17"/>
  <c r="DG252" i="17"/>
  <c r="DH252" i="17"/>
  <c r="DI252" i="17"/>
  <c r="DJ252" i="17"/>
  <c r="DK252" i="17"/>
  <c r="DL252" i="17"/>
  <c r="DM252" i="17"/>
  <c r="DN252" i="17"/>
  <c r="DO252" i="17"/>
  <c r="DP252" i="17"/>
  <c r="DQ252" i="17"/>
  <c r="DR252" i="17"/>
  <c r="DS252" i="17"/>
  <c r="DT252" i="17"/>
  <c r="DU252" i="17"/>
  <c r="DV252" i="17"/>
  <c r="DW252" i="17"/>
  <c r="BK39" i="17"/>
  <c r="BH39" i="17"/>
  <c r="DT39" i="17"/>
  <c r="BX39" i="17"/>
  <c r="DR39" i="17"/>
  <c r="DI39" i="17"/>
  <c r="CY39" i="17"/>
  <c r="DF39" i="17"/>
  <c r="BE39" i="17"/>
  <c r="DH39" i="17"/>
  <c r="CH39" i="17"/>
  <c r="BG39" i="17"/>
  <c r="BS39" i="17"/>
  <c r="CA39" i="17"/>
  <c r="DC39" i="17"/>
  <c r="BZ39" i="17"/>
  <c r="DK39" i="17"/>
  <c r="BV39" i="17"/>
  <c r="CJ39" i="17"/>
  <c r="CU39" i="17"/>
  <c r="DB39" i="17"/>
  <c r="BF39" i="17"/>
  <c r="CC39" i="17"/>
  <c r="CF39" i="17"/>
  <c r="DD39" i="17"/>
  <c r="DM39" i="17"/>
  <c r="DP39" i="17"/>
  <c r="BL39" i="17"/>
  <c r="BP39" i="17"/>
  <c r="CG39" i="17"/>
  <c r="CX39" i="17"/>
  <c r="DG39" i="17"/>
  <c r="DL39" i="17"/>
  <c r="DO39" i="17"/>
  <c r="DQ39" i="17"/>
  <c r="DU39" i="17"/>
  <c r="AG39" i="17"/>
  <c r="BO39" i="17"/>
  <c r="BQ39" i="17"/>
  <c r="BW39" i="17"/>
  <c r="CD39" i="17"/>
  <c r="BI39" i="17"/>
  <c r="BN39" i="17"/>
  <c r="BU39" i="17"/>
  <c r="CB39" i="17"/>
  <c r="CW39" i="17"/>
  <c r="DA39" i="17"/>
  <c r="DV39" i="17"/>
  <c r="BM39" i="17"/>
  <c r="BR39" i="17"/>
  <c r="BT39" i="17"/>
  <c r="CE39" i="17"/>
  <c r="CT39" i="17"/>
  <c r="CV39" i="17"/>
  <c r="CZ39" i="17"/>
  <c r="DE39" i="17"/>
  <c r="DN39" i="17"/>
  <c r="DS39" i="17"/>
  <c r="DW39" i="17"/>
  <c r="BJ39" i="17"/>
  <c r="BY39" i="17"/>
  <c r="DJ39" i="17"/>
  <c r="BS106" i="17"/>
  <c r="DR106" i="17"/>
  <c r="BZ106" i="17"/>
  <c r="BY106" i="17"/>
  <c r="CF106" i="17"/>
  <c r="CX106" i="17"/>
  <c r="DE106" i="17"/>
  <c r="DJ106" i="17"/>
  <c r="CJ106" i="17"/>
  <c r="BO106" i="17"/>
  <c r="CG106" i="17"/>
  <c r="DB106" i="17"/>
  <c r="BI106" i="17"/>
  <c r="BE106" i="17"/>
  <c r="BQ106" i="17"/>
  <c r="DG106" i="17"/>
  <c r="CT106" i="17"/>
  <c r="DM106" i="17"/>
  <c r="CE106" i="17"/>
  <c r="DD106" i="17"/>
  <c r="DK106" i="17"/>
  <c r="DW106" i="17"/>
  <c r="BH106" i="17"/>
  <c r="BJ106" i="17"/>
  <c r="CD106" i="17"/>
  <c r="DA106" i="17"/>
  <c r="DH106" i="17"/>
  <c r="DN106" i="17"/>
  <c r="DU106" i="17"/>
  <c r="BM106" i="17"/>
  <c r="CU106" i="17"/>
  <c r="CY106" i="17"/>
  <c r="DI106" i="17"/>
  <c r="DV106" i="17"/>
  <c r="BR106" i="17"/>
  <c r="CW106" i="17"/>
  <c r="DS106" i="17"/>
  <c r="BN106" i="17"/>
  <c r="BL106" i="17"/>
  <c r="BW106" i="17"/>
  <c r="CA106" i="17"/>
  <c r="CZ106" i="17"/>
  <c r="DF106" i="17"/>
  <c r="DT106" i="17"/>
  <c r="DO106" i="17"/>
  <c r="AG106" i="17"/>
  <c r="DQ106" i="17"/>
  <c r="BF106" i="17"/>
  <c r="BP106" i="17"/>
  <c r="CB106" i="17"/>
  <c r="CV106" i="17"/>
  <c r="DC106" i="17"/>
  <c r="BV106" i="17"/>
  <c r="DP106" i="17"/>
  <c r="BK106" i="17"/>
  <c r="BX106" i="17"/>
  <c r="CC106" i="17"/>
  <c r="DL106" i="17"/>
  <c r="BT106" i="17"/>
  <c r="BU106" i="17"/>
  <c r="BG106" i="17"/>
  <c r="CH106" i="17"/>
  <c r="AD37" i="17"/>
  <c r="AF37" i="17"/>
  <c r="AK37" i="17" s="1"/>
  <c r="AS37" i="17"/>
  <c r="BA37" i="17"/>
  <c r="BX37" i="17"/>
  <c r="CB37" i="17"/>
  <c r="DJ37" i="17"/>
  <c r="DP37" i="17"/>
  <c r="DV37" i="17"/>
  <c r="AG37" i="17"/>
  <c r="BE37" i="17"/>
  <c r="BG37" i="17"/>
  <c r="BL37" i="17"/>
  <c r="BO37" i="17"/>
  <c r="BV37" i="17"/>
  <c r="BY37" i="17"/>
  <c r="CD37" i="17"/>
  <c r="CK37" i="17"/>
  <c r="CO37" i="17"/>
  <c r="CQ37" i="17"/>
  <c r="CS37" i="17"/>
  <c r="CU37" i="17"/>
  <c r="DA37" i="17"/>
  <c r="DK37" i="17"/>
  <c r="DQ37" i="17"/>
  <c r="BD37" i="17"/>
  <c r="BJ37" i="17"/>
  <c r="BW37" i="17"/>
  <c r="CJ37" i="17"/>
  <c r="CR37" i="17"/>
  <c r="CW37" i="17"/>
  <c r="DH37" i="17"/>
  <c r="DS37" i="17"/>
  <c r="AA37" i="17"/>
  <c r="AC37" i="17"/>
  <c r="AH37" i="17"/>
  <c r="AO37" i="17"/>
  <c r="AU37" i="17"/>
  <c r="AZ37" i="17"/>
  <c r="BH37" i="17"/>
  <c r="BN37" i="17"/>
  <c r="CA37" i="17"/>
  <c r="CP37" i="17"/>
  <c r="CX37" i="17"/>
  <c r="AM37" i="17"/>
  <c r="AV37" i="17"/>
  <c r="AY37" i="17"/>
  <c r="BC37" i="17"/>
  <c r="BF37" i="17"/>
  <c r="BP37" i="17"/>
  <c r="CC37" i="17"/>
  <c r="CY37" i="17"/>
  <c r="DE37" i="17"/>
  <c r="DG37" i="17"/>
  <c r="DO37" i="17"/>
  <c r="DU37" i="17"/>
  <c r="AB37" i="17"/>
  <c r="AL37" i="17"/>
  <c r="AW37" i="17"/>
  <c r="BB37" i="17"/>
  <c r="BK37" i="17"/>
  <c r="BQ37" i="17"/>
  <c r="BS37" i="17"/>
  <c r="CE37" i="17"/>
  <c r="CG37" i="17"/>
  <c r="CH37" i="17"/>
  <c r="CN37" i="17"/>
  <c r="CZ37" i="17"/>
  <c r="DB37" i="17"/>
  <c r="DD37" i="17"/>
  <c r="DF37" i="17"/>
  <c r="DM37" i="17"/>
  <c r="AX37" i="17"/>
  <c r="BR37" i="17"/>
  <c r="DI37" i="17"/>
  <c r="AE37" i="17"/>
  <c r="AI37" i="17"/>
  <c r="AJ37" i="17"/>
  <c r="AN37" i="17"/>
  <c r="BI37" i="17"/>
  <c r="BM37" i="17"/>
  <c r="BT37" i="17"/>
  <c r="BZ37" i="17"/>
  <c r="CL37" i="17"/>
  <c r="CM37" i="17"/>
  <c r="CV37" i="17"/>
  <c r="DC37" i="17"/>
  <c r="DL37" i="17"/>
  <c r="DN37" i="17"/>
  <c r="DT37" i="17"/>
  <c r="AR37" i="17"/>
  <c r="BU37" i="17"/>
  <c r="CF37" i="17"/>
  <c r="CT37" i="17"/>
  <c r="DR37" i="17"/>
  <c r="DW37" i="17"/>
  <c r="BT192" i="17"/>
  <c r="BU192" i="17"/>
  <c r="BX192" i="17"/>
  <c r="CA192" i="17"/>
  <c r="CD192" i="17"/>
  <c r="CH192" i="17"/>
  <c r="DI192" i="17"/>
  <c r="DN192" i="17"/>
  <c r="DP192" i="17"/>
  <c r="DR192" i="17"/>
  <c r="DS192" i="17"/>
  <c r="DU192" i="17"/>
  <c r="DW192" i="17"/>
  <c r="BW192" i="17"/>
  <c r="BZ192" i="17"/>
  <c r="CB192" i="17"/>
  <c r="CF192" i="17"/>
  <c r="CG192" i="17"/>
  <c r="DK192" i="17"/>
  <c r="AG192" i="17"/>
  <c r="BV192" i="17"/>
  <c r="BY192" i="17"/>
  <c r="CC192" i="17"/>
  <c r="CE192" i="17"/>
  <c r="CJ192" i="17"/>
  <c r="DJ192" i="17"/>
  <c r="DL192" i="17"/>
  <c r="DM192" i="17"/>
  <c r="DO192" i="17"/>
  <c r="DQ192" i="17"/>
  <c r="DT192" i="17"/>
  <c r="DV192" i="17"/>
  <c r="BN86" i="17"/>
  <c r="BS86" i="17"/>
  <c r="CA86" i="17"/>
  <c r="CF86" i="17"/>
  <c r="CJ86" i="17"/>
  <c r="DC86" i="17"/>
  <c r="DH86" i="17"/>
  <c r="DJ86" i="17"/>
  <c r="DV86" i="17"/>
  <c r="BJ86" i="17"/>
  <c r="BU86" i="17"/>
  <c r="BZ86" i="17"/>
  <c r="CC86" i="17"/>
  <c r="DE86" i="17"/>
  <c r="DG86" i="17"/>
  <c r="DI86" i="17"/>
  <c r="DM86" i="17"/>
  <c r="DP86" i="17"/>
  <c r="DS86" i="17"/>
  <c r="BL86" i="17"/>
  <c r="BQ86" i="17"/>
  <c r="BT86" i="17"/>
  <c r="BX86" i="17"/>
  <c r="CD86" i="17"/>
  <c r="CH86" i="17"/>
  <c r="DL86" i="17"/>
  <c r="DW86" i="17"/>
  <c r="BO86" i="17"/>
  <c r="BR86" i="17"/>
  <c r="BV86" i="17"/>
  <c r="CG86" i="17"/>
  <c r="DB86" i="17"/>
  <c r="DD86" i="17"/>
  <c r="DQ86" i="17"/>
  <c r="AG86" i="17"/>
  <c r="BW86" i="17"/>
  <c r="CB86" i="17"/>
  <c r="CE86" i="17"/>
  <c r="CY86" i="17"/>
  <c r="DA86" i="17"/>
  <c r="DK86" i="17"/>
  <c r="DR86" i="17"/>
  <c r="BM86" i="17"/>
  <c r="BP86" i="17"/>
  <c r="BY86" i="17"/>
  <c r="CZ86" i="17"/>
  <c r="DF86" i="17"/>
  <c r="DO86" i="17"/>
  <c r="DU86" i="17"/>
  <c r="BK86" i="17"/>
  <c r="DN86" i="17"/>
  <c r="DT86" i="17"/>
  <c r="U12" i="17"/>
  <c r="U14" i="17"/>
  <c r="BP82" i="17"/>
  <c r="CF82" i="17"/>
  <c r="DO82" i="17"/>
  <c r="DM82" i="17"/>
  <c r="CD82" i="17"/>
  <c r="DN82" i="17"/>
  <c r="DU82" i="17"/>
  <c r="BY82" i="17"/>
  <c r="DF82" i="17"/>
  <c r="DP82" i="17"/>
  <c r="DW82" i="17"/>
  <c r="BU82" i="17"/>
  <c r="CJ82" i="17"/>
  <c r="DK82" i="17"/>
  <c r="BS82" i="17"/>
  <c r="CE82" i="17"/>
  <c r="CC82" i="17"/>
  <c r="BR82" i="17"/>
  <c r="DR82" i="17"/>
  <c r="BV82" i="17"/>
  <c r="DI82" i="17"/>
  <c r="DQ82" i="17"/>
  <c r="AG82" i="17"/>
  <c r="DG82" i="17"/>
  <c r="DV82" i="17"/>
  <c r="BX82" i="17"/>
  <c r="CA82" i="17"/>
  <c r="CG82" i="17"/>
  <c r="DH82" i="17"/>
  <c r="DL82" i="17"/>
  <c r="DT82" i="17"/>
  <c r="BO82" i="17"/>
  <c r="BQ82" i="17"/>
  <c r="BT82" i="17"/>
  <c r="BW82" i="17"/>
  <c r="BZ82" i="17"/>
  <c r="CB82" i="17"/>
  <c r="CH82" i="17"/>
  <c r="DD82" i="17"/>
  <c r="DS82" i="17"/>
  <c r="DE82" i="17"/>
  <c r="DJ82" i="17"/>
  <c r="CF150" i="17"/>
  <c r="DL150" i="17"/>
  <c r="BT150" i="17"/>
  <c r="BU150" i="17"/>
  <c r="CG150" i="17"/>
  <c r="CE150" i="17"/>
  <c r="DO150" i="17"/>
  <c r="CH150" i="17"/>
  <c r="BX150" i="17"/>
  <c r="CJ150" i="17"/>
  <c r="DR150" i="17"/>
  <c r="AG150" i="17"/>
  <c r="CB150" i="17"/>
  <c r="DW150" i="17"/>
  <c r="DT150" i="17"/>
  <c r="DP150" i="17"/>
  <c r="CC150" i="17"/>
  <c r="DI150" i="17"/>
  <c r="DV150" i="17"/>
  <c r="DM150" i="17"/>
  <c r="BW150" i="17"/>
  <c r="DJ150" i="17"/>
  <c r="DU150" i="17"/>
  <c r="BY150" i="17"/>
  <c r="DQ150" i="17"/>
  <c r="CA150" i="17"/>
  <c r="CD150" i="17"/>
  <c r="BZ150" i="17"/>
  <c r="DK150" i="17"/>
  <c r="BV150" i="17"/>
  <c r="DN150" i="17"/>
  <c r="DS150" i="17"/>
  <c r="DG168" i="17"/>
  <c r="DP168" i="17"/>
  <c r="DV168" i="17"/>
  <c r="AX168" i="17"/>
  <c r="BE168" i="17"/>
  <c r="BG168" i="17"/>
  <c r="BS168" i="17"/>
  <c r="CO168" i="17"/>
  <c r="CQ168" i="17"/>
  <c r="CX168" i="17"/>
  <c r="DF168" i="17"/>
  <c r="DJ168" i="17"/>
  <c r="DT168" i="17"/>
  <c r="AM168" i="17"/>
  <c r="BF168" i="17"/>
  <c r="CD168" i="17"/>
  <c r="CG168" i="17"/>
  <c r="CW168" i="17"/>
  <c r="DD168" i="17"/>
  <c r="AF168" i="17"/>
  <c r="AK168" i="17" s="1"/>
  <c r="AL168" i="17"/>
  <c r="BI168" i="17"/>
  <c r="BO168" i="17"/>
  <c r="BU168" i="17"/>
  <c r="BZ168" i="17"/>
  <c r="CJ168" i="17"/>
  <c r="CV168" i="17"/>
  <c r="DI168" i="17"/>
  <c r="DN168" i="17"/>
  <c r="DU168" i="17"/>
  <c r="AD168" i="17"/>
  <c r="AU168" i="17"/>
  <c r="AY168" i="17"/>
  <c r="BD168" i="17"/>
  <c r="BL168" i="17"/>
  <c r="BT168" i="17"/>
  <c r="CF168" i="17"/>
  <c r="CL168" i="17"/>
  <c r="CN168" i="17"/>
  <c r="CR168" i="17"/>
  <c r="CZ168" i="17"/>
  <c r="DL168" i="17"/>
  <c r="AA168" i="17"/>
  <c r="AE168" i="17"/>
  <c r="BB168" i="17"/>
  <c r="BN168" i="17"/>
  <c r="CA168" i="17"/>
  <c r="AI168" i="17"/>
  <c r="DB168" i="17"/>
  <c r="DE168" i="17"/>
  <c r="DO168" i="17"/>
  <c r="DR168" i="17"/>
  <c r="AR168" i="17"/>
  <c r="BW168" i="17"/>
  <c r="CM168" i="17"/>
  <c r="DM168" i="17"/>
  <c r="AO168" i="17"/>
  <c r="BK168" i="17"/>
  <c r="BQ168" i="17"/>
  <c r="CB168" i="17"/>
  <c r="AV168" i="17"/>
  <c r="CS168" i="17"/>
  <c r="DA168" i="17"/>
  <c r="DK168" i="17"/>
  <c r="AB168" i="17"/>
  <c r="AH168" i="17"/>
  <c r="AW168" i="17"/>
  <c r="BA168" i="17"/>
  <c r="BH168" i="17"/>
  <c r="BX168" i="17"/>
  <c r="CH168" i="17"/>
  <c r="CP168" i="17"/>
  <c r="CT168" i="17"/>
  <c r="CU168" i="17"/>
  <c r="BV97" i="17"/>
  <c r="DV97" i="17"/>
  <c r="CE97" i="17"/>
  <c r="DD97" i="17"/>
  <c r="DP97" i="17"/>
  <c r="BW97" i="17"/>
  <c r="DK97" i="17"/>
  <c r="DE97" i="17"/>
  <c r="DQ97" i="17"/>
  <c r="DW97" i="17"/>
  <c r="BR97" i="17"/>
  <c r="DH97" i="17"/>
  <c r="DL97" i="17"/>
  <c r="BP97" i="17"/>
  <c r="CB97" i="17"/>
  <c r="BS97" i="17"/>
  <c r="CD97" i="17"/>
  <c r="DS97" i="17"/>
  <c r="CC97" i="17"/>
  <c r="DO97" i="17"/>
  <c r="BY97" i="17"/>
  <c r="CG97" i="17"/>
  <c r="DF97" i="17"/>
  <c r="DJ97" i="17"/>
  <c r="DU97" i="17"/>
  <c r="BO97" i="17"/>
  <c r="DG97" i="17"/>
  <c r="DT97" i="17"/>
  <c r="BQ97" i="17"/>
  <c r="BT97" i="17"/>
  <c r="DI97" i="17"/>
  <c r="DM97" i="17"/>
  <c r="DN97" i="17"/>
  <c r="BZ97" i="17"/>
  <c r="AG97" i="17"/>
  <c r="BU97" i="17"/>
  <c r="CA97" i="17"/>
  <c r="CF97" i="17"/>
  <c r="DR97" i="17"/>
  <c r="BX97" i="17"/>
  <c r="CH97" i="17"/>
  <c r="CJ97" i="17"/>
  <c r="BY151" i="17"/>
  <c r="BW151" i="17"/>
  <c r="CC151" i="17"/>
  <c r="CM151" i="17"/>
  <c r="CS151" i="17"/>
  <c r="CX151" i="17"/>
  <c r="CZ151" i="17"/>
  <c r="DW151" i="17"/>
  <c r="AE151" i="17"/>
  <c r="AI151" i="17"/>
  <c r="BE151" i="17"/>
  <c r="BM151" i="17"/>
  <c r="BU151" i="17"/>
  <c r="BX151" i="17"/>
  <c r="DK151" i="17"/>
  <c r="CE151" i="17"/>
  <c r="CH151" i="17"/>
  <c r="CP151" i="17"/>
  <c r="CT151" i="17"/>
  <c r="CV151" i="17"/>
  <c r="DL151" i="17"/>
  <c r="DO151" i="17"/>
  <c r="AA151" i="17"/>
  <c r="AD151" i="17"/>
  <c r="AG151" i="17"/>
  <c r="AZ151" i="17"/>
  <c r="BH151" i="17"/>
  <c r="BK151" i="17"/>
  <c r="DS151" i="17"/>
  <c r="CK151" i="17"/>
  <c r="CU151" i="17"/>
  <c r="CW151" i="17"/>
  <c r="DA151" i="17"/>
  <c r="DJ151" i="17"/>
  <c r="DM151" i="17"/>
  <c r="AJ151" i="17"/>
  <c r="AL151" i="17"/>
  <c r="AU151" i="17"/>
  <c r="AX151" i="17"/>
  <c r="BI151" i="17"/>
  <c r="BN151" i="17"/>
  <c r="BV151" i="17"/>
  <c r="CD151" i="17"/>
  <c r="CN151" i="17"/>
  <c r="CR151" i="17"/>
  <c r="DC151" i="17"/>
  <c r="DI151" i="17"/>
  <c r="DN151" i="17"/>
  <c r="DR151" i="17"/>
  <c r="DT151" i="17"/>
  <c r="AM151" i="17"/>
  <c r="AR151" i="17"/>
  <c r="AW151" i="17"/>
  <c r="BJ151" i="17"/>
  <c r="BO151" i="17"/>
  <c r="BT151" i="17"/>
  <c r="BZ151" i="17"/>
  <c r="CF151" i="17"/>
  <c r="DE151" i="17"/>
  <c r="AB151" i="17"/>
  <c r="DP151" i="17"/>
  <c r="DV151" i="17"/>
  <c r="AN151" i="17"/>
  <c r="AV151" i="17"/>
  <c r="AY151" i="17"/>
  <c r="BA151" i="17"/>
  <c r="BP151" i="17"/>
  <c r="BR151" i="17"/>
  <c r="CB151" i="17"/>
  <c r="CG151" i="17"/>
  <c r="CL151" i="17"/>
  <c r="CO151" i="17"/>
  <c r="CQ151" i="17"/>
  <c r="DB151" i="17"/>
  <c r="DD151" i="17"/>
  <c r="DF151" i="17"/>
  <c r="DH151" i="17"/>
  <c r="DQ151" i="17"/>
  <c r="AO151" i="17"/>
  <c r="AS151" i="17"/>
  <c r="BC151" i="17"/>
  <c r="BF151" i="17"/>
  <c r="BQ151" i="17"/>
  <c r="CA151" i="17"/>
  <c r="CJ151" i="17"/>
  <c r="CY151" i="17"/>
  <c r="DG151" i="17"/>
  <c r="DU151" i="17"/>
  <c r="AC151" i="17"/>
  <c r="AF151" i="17"/>
  <c r="AK151" i="17" s="1"/>
  <c r="AH151" i="17"/>
  <c r="BB151" i="17"/>
  <c r="BD151" i="17"/>
  <c r="BG151" i="17"/>
  <c r="BL151" i="17"/>
  <c r="BS151" i="17"/>
  <c r="AC168" i="17"/>
  <c r="AG168" i="17"/>
  <c r="AJ168" i="17"/>
  <c r="AN168" i="17"/>
  <c r="AS168" i="17"/>
  <c r="AZ168" i="17"/>
  <c r="BC168" i="17"/>
  <c r="BJ168" i="17"/>
  <c r="BM168" i="17"/>
  <c r="BP168" i="17"/>
  <c r="BR168" i="17"/>
  <c r="BV168" i="17"/>
  <c r="BY168" i="17"/>
  <c r="CE168" i="17"/>
  <c r="CK168" i="17"/>
  <c r="CY168" i="17"/>
  <c r="DC168" i="17"/>
  <c r="DH168" i="17"/>
  <c r="DQ168" i="17"/>
  <c r="DS168" i="17"/>
  <c r="CC168" i="17"/>
  <c r="DW168" i="17"/>
  <c r="U21" i="17"/>
  <c r="U7" i="17"/>
  <c r="AG210" i="17"/>
  <c r="BT210" i="17"/>
  <c r="BU210" i="17"/>
  <c r="BV210" i="17"/>
  <c r="BW210" i="17"/>
  <c r="BX210" i="17"/>
  <c r="BY210" i="17"/>
  <c r="BZ210" i="17"/>
  <c r="CA210" i="17"/>
  <c r="CB210" i="17"/>
  <c r="CC210" i="17"/>
  <c r="CD210" i="17"/>
  <c r="CE210" i="17"/>
  <c r="CF210" i="17"/>
  <c r="CG210" i="17"/>
  <c r="CH210" i="17"/>
  <c r="CJ210" i="17"/>
  <c r="DI210" i="17"/>
  <c r="DJ210" i="17"/>
  <c r="DK210" i="17"/>
  <c r="DL210" i="17"/>
  <c r="DM210" i="17"/>
  <c r="DN210" i="17"/>
  <c r="DO210" i="17"/>
  <c r="DP210" i="17"/>
  <c r="DQ210" i="17"/>
  <c r="DR210" i="17"/>
  <c r="DS210" i="17"/>
  <c r="DT210" i="17"/>
  <c r="DU210" i="17"/>
  <c r="DV210" i="17"/>
  <c r="DW210" i="17"/>
  <c r="U19" i="17"/>
  <c r="AA234" i="17"/>
  <c r="AB234" i="17"/>
  <c r="AC234" i="17"/>
  <c r="AD234" i="17"/>
  <c r="AE234" i="17"/>
  <c r="AF234" i="17"/>
  <c r="AK234" i="17" s="1"/>
  <c r="AG234" i="17"/>
  <c r="AH234" i="17"/>
  <c r="AI234" i="17"/>
  <c r="AJ234" i="17"/>
  <c r="AL234" i="17"/>
  <c r="AM234" i="17"/>
  <c r="AN234" i="17"/>
  <c r="AO234" i="17"/>
  <c r="AR234" i="17"/>
  <c r="AS234" i="17"/>
  <c r="AU234" i="17"/>
  <c r="AV234" i="17"/>
  <c r="AW234" i="17"/>
  <c r="AX234" i="17"/>
  <c r="AY234" i="17"/>
  <c r="AZ234" i="17"/>
  <c r="BA234" i="17"/>
  <c r="BB234" i="17"/>
  <c r="BC234" i="17"/>
  <c r="BD234" i="17"/>
  <c r="BE234" i="17"/>
  <c r="BF234" i="17"/>
  <c r="BG234" i="17"/>
  <c r="BH234" i="17"/>
  <c r="BI234" i="17"/>
  <c r="BJ234" i="17"/>
  <c r="BK234" i="17"/>
  <c r="BL234" i="17"/>
  <c r="BM234" i="17"/>
  <c r="BN234" i="17"/>
  <c r="BO234" i="17"/>
  <c r="BP234" i="17"/>
  <c r="BQ234" i="17"/>
  <c r="BR234" i="17"/>
  <c r="BS234" i="17"/>
  <c r="BT234" i="17"/>
  <c r="BU234" i="17"/>
  <c r="BV234" i="17"/>
  <c r="BW234" i="17"/>
  <c r="BX234" i="17"/>
  <c r="BY234" i="17"/>
  <c r="BZ234" i="17"/>
  <c r="CA234" i="17"/>
  <c r="CB234" i="17"/>
  <c r="CC234" i="17"/>
  <c r="CD234" i="17"/>
  <c r="CE234" i="17"/>
  <c r="CF234" i="17"/>
  <c r="CG234" i="17"/>
  <c r="CH234" i="17"/>
  <c r="CJ234" i="17"/>
  <c r="CK234" i="17"/>
  <c r="CL234" i="17"/>
  <c r="CM234" i="17"/>
  <c r="CN234" i="17"/>
  <c r="CO234" i="17"/>
  <c r="CP234" i="17"/>
  <c r="CQ234" i="17"/>
  <c r="CR234" i="17"/>
  <c r="CS234" i="17"/>
  <c r="CT234" i="17"/>
  <c r="CU234" i="17"/>
  <c r="CV234" i="17"/>
  <c r="CW234" i="17"/>
  <c r="CX234" i="17"/>
  <c r="CY234" i="17"/>
  <c r="CZ234" i="17"/>
  <c r="DA234" i="17"/>
  <c r="DB234" i="17"/>
  <c r="DE234" i="17"/>
  <c r="DF234" i="17"/>
  <c r="DG234" i="17"/>
  <c r="DC234" i="17"/>
  <c r="DD234" i="17"/>
  <c r="DH234" i="17"/>
  <c r="DI234" i="17"/>
  <c r="DJ234" i="17"/>
  <c r="DK234" i="17"/>
  <c r="DL234" i="17"/>
  <c r="DM234" i="17"/>
  <c r="DN234" i="17"/>
  <c r="DO234" i="17"/>
  <c r="DP234" i="17"/>
  <c r="DQ234" i="17"/>
  <c r="DR234" i="17"/>
  <c r="DS234" i="17"/>
  <c r="DT234" i="17"/>
  <c r="DU234" i="17"/>
  <c r="DV234" i="17"/>
  <c r="DW234" i="17"/>
  <c r="U20" i="17"/>
  <c r="AG266" i="17"/>
  <c r="BE266" i="17"/>
  <c r="BF266" i="17"/>
  <c r="BG266" i="17"/>
  <c r="BH266" i="17"/>
  <c r="BI266" i="17"/>
  <c r="BJ266" i="17"/>
  <c r="BK266" i="17"/>
  <c r="BL266" i="17"/>
  <c r="BM266" i="17"/>
  <c r="BN266" i="17"/>
  <c r="BO266" i="17"/>
  <c r="BP266" i="17"/>
  <c r="BQ266" i="17"/>
  <c r="BR266" i="17"/>
  <c r="BS266" i="17"/>
  <c r="BT266" i="17"/>
  <c r="BU266" i="17"/>
  <c r="BV266" i="17"/>
  <c r="BW266" i="17"/>
  <c r="BX266" i="17"/>
  <c r="BY266" i="17"/>
  <c r="BZ266" i="17"/>
  <c r="CA266" i="17"/>
  <c r="CB266" i="17"/>
  <c r="CC266" i="17"/>
  <c r="CD266" i="17"/>
  <c r="CE266" i="17"/>
  <c r="CF266" i="17"/>
  <c r="CG266" i="17"/>
  <c r="CH266" i="17"/>
  <c r="CJ266" i="17"/>
  <c r="CT266" i="17"/>
  <c r="CU266" i="17"/>
  <c r="CV266" i="17"/>
  <c r="CW266" i="17"/>
  <c r="CX266" i="17"/>
  <c r="CY266" i="17"/>
  <c r="CZ266" i="17"/>
  <c r="DA266" i="17"/>
  <c r="DB266" i="17"/>
  <c r="DC266" i="17"/>
  <c r="DD266" i="17"/>
  <c r="DE266" i="17"/>
  <c r="DF266" i="17"/>
  <c r="DG266" i="17"/>
  <c r="DH266" i="17"/>
  <c r="DI266" i="17"/>
  <c r="DJ266" i="17"/>
  <c r="DK266" i="17"/>
  <c r="DL266" i="17"/>
  <c r="DM266" i="17"/>
  <c r="DN266" i="17"/>
  <c r="DO266" i="17"/>
  <c r="DP266" i="17"/>
  <c r="DQ266" i="17"/>
  <c r="DR266" i="17"/>
  <c r="DS266" i="17"/>
  <c r="DT266" i="17"/>
  <c r="DU266" i="17"/>
  <c r="DV266" i="17"/>
  <c r="DW266" i="17"/>
  <c r="AG240" i="17"/>
  <c r="BJ240" i="17"/>
  <c r="BK240" i="17"/>
  <c r="BL240" i="17"/>
  <c r="BM240" i="17"/>
  <c r="BN240" i="17"/>
  <c r="BO240" i="17"/>
  <c r="BP240" i="17"/>
  <c r="BQ240" i="17"/>
  <c r="BR240" i="17"/>
  <c r="BS240" i="17"/>
  <c r="BT240" i="17"/>
  <c r="BU240" i="17"/>
  <c r="BV240" i="17"/>
  <c r="BW240" i="17"/>
  <c r="BX240" i="17"/>
  <c r="BY240" i="17"/>
  <c r="BZ240" i="17"/>
  <c r="CA240" i="17"/>
  <c r="CB240" i="17"/>
  <c r="CC240" i="17"/>
  <c r="CD240" i="17"/>
  <c r="CE240" i="17"/>
  <c r="CF240" i="17"/>
  <c r="CG240" i="17"/>
  <c r="CH240" i="17"/>
  <c r="CJ240" i="17"/>
  <c r="CY240" i="17"/>
  <c r="CZ240" i="17"/>
  <c r="DA240" i="17"/>
  <c r="DB240" i="17"/>
  <c r="DC240" i="17"/>
  <c r="DD240" i="17"/>
  <c r="DE240" i="17"/>
  <c r="DF240" i="17"/>
  <c r="DG240" i="17"/>
  <c r="DH240" i="17"/>
  <c r="DI240" i="17"/>
  <c r="DJ240" i="17"/>
  <c r="DK240" i="17"/>
  <c r="DL240" i="17"/>
  <c r="DM240" i="17"/>
  <c r="DN240" i="17"/>
  <c r="DO240" i="17"/>
  <c r="DP240" i="17"/>
  <c r="DQ240" i="17"/>
  <c r="DR240" i="17"/>
  <c r="DS240" i="17"/>
  <c r="DT240" i="17"/>
  <c r="DU240" i="17"/>
  <c r="DV240" i="17"/>
  <c r="DW240" i="17"/>
  <c r="AG112" i="17"/>
  <c r="BO112" i="17"/>
  <c r="BP112" i="17"/>
  <c r="BQ112" i="17"/>
  <c r="BR112" i="17"/>
  <c r="BS112" i="17"/>
  <c r="BT112" i="17"/>
  <c r="BU112" i="17"/>
  <c r="BV112" i="17"/>
  <c r="BW112" i="17"/>
  <c r="BX112" i="17"/>
  <c r="BY112" i="17"/>
  <c r="BZ112" i="17"/>
  <c r="CA112" i="17"/>
  <c r="CB112" i="17"/>
  <c r="CC112" i="17"/>
  <c r="CD112" i="17"/>
  <c r="CE112" i="17"/>
  <c r="CF112" i="17"/>
  <c r="CG112" i="17"/>
  <c r="CH112" i="17"/>
  <c r="CJ112" i="17"/>
  <c r="DD112" i="17"/>
  <c r="DE112" i="17"/>
  <c r="DF112" i="17"/>
  <c r="DG112" i="17"/>
  <c r="DH112" i="17"/>
  <c r="DI112" i="17"/>
  <c r="DJ112" i="17"/>
  <c r="DK112" i="17"/>
  <c r="DL112" i="17"/>
  <c r="DM112" i="17"/>
  <c r="DN112" i="17"/>
  <c r="DO112" i="17"/>
  <c r="DP112" i="17"/>
  <c r="DQ112" i="17"/>
  <c r="DR112" i="17"/>
  <c r="DS112" i="17"/>
  <c r="DT112" i="17"/>
  <c r="DU112" i="17"/>
  <c r="DV112" i="17"/>
  <c r="DW112" i="17"/>
  <c r="AG224" i="17"/>
  <c r="BQ224" i="17"/>
  <c r="BT224" i="17"/>
  <c r="BV224" i="17"/>
  <c r="BX224" i="17"/>
  <c r="BZ224" i="17"/>
  <c r="CC224" i="17"/>
  <c r="CE224" i="17"/>
  <c r="CG224" i="17"/>
  <c r="CJ224" i="17"/>
  <c r="DE224" i="17"/>
  <c r="DH224" i="17"/>
  <c r="DK224" i="17"/>
  <c r="DN224" i="17"/>
  <c r="DP224" i="17"/>
  <c r="DR224" i="17"/>
  <c r="DU224" i="17"/>
  <c r="DW224" i="17"/>
  <c r="BO224" i="17"/>
  <c r="BP224" i="17"/>
  <c r="BR224" i="17"/>
  <c r="BS224" i="17"/>
  <c r="BU224" i="17"/>
  <c r="BW224" i="17"/>
  <c r="BY224" i="17"/>
  <c r="CA224" i="17"/>
  <c r="CB224" i="17"/>
  <c r="CD224" i="17"/>
  <c r="CF224" i="17"/>
  <c r="CH224" i="17"/>
  <c r="DD224" i="17"/>
  <c r="DF224" i="17"/>
  <c r="DG224" i="17"/>
  <c r="DI224" i="17"/>
  <c r="DJ224" i="17"/>
  <c r="DL224" i="17"/>
  <c r="DM224" i="17"/>
  <c r="DO224" i="17"/>
  <c r="DQ224" i="17"/>
  <c r="DS224" i="17"/>
  <c r="DT224" i="17"/>
  <c r="DV224" i="17"/>
  <c r="BP183" i="17"/>
  <c r="BR183" i="17"/>
  <c r="BT183" i="17"/>
  <c r="BW183" i="17"/>
  <c r="CB183" i="17"/>
  <c r="CE183" i="17"/>
  <c r="CG183" i="17"/>
  <c r="DD183" i="17"/>
  <c r="DG183" i="17"/>
  <c r="DM183" i="17"/>
  <c r="DQ183" i="17"/>
  <c r="DS183" i="17"/>
  <c r="DU183" i="17"/>
  <c r="BQ183" i="17"/>
  <c r="BY183" i="17"/>
  <c r="CC183" i="17"/>
  <c r="DE183" i="17"/>
  <c r="DH183" i="17"/>
  <c r="DN183" i="17"/>
  <c r="DP183" i="17"/>
  <c r="DT183" i="17"/>
  <c r="AG183" i="17"/>
  <c r="BS183" i="17"/>
  <c r="BV183" i="17"/>
  <c r="BZ183" i="17"/>
  <c r="CH183" i="17"/>
  <c r="DJ183" i="17"/>
  <c r="DK183" i="17"/>
  <c r="DV183" i="17"/>
  <c r="BO183" i="17"/>
  <c r="BU183" i="17"/>
  <c r="BX183" i="17"/>
  <c r="CA183" i="17"/>
  <c r="CD183" i="17"/>
  <c r="CF183" i="17"/>
  <c r="CJ183" i="17"/>
  <c r="DF183" i="17"/>
  <c r="DI183" i="17"/>
  <c r="DL183" i="17"/>
  <c r="DO183" i="17"/>
  <c r="DR183" i="17"/>
  <c r="DW183" i="17"/>
  <c r="BN174" i="17"/>
  <c r="BS174" i="17"/>
  <c r="DI174" i="17"/>
  <c r="DO174" i="17"/>
  <c r="DS174" i="17"/>
  <c r="DW174" i="17"/>
  <c r="BO174" i="17"/>
  <c r="BT174" i="17"/>
  <c r="BW174" i="17"/>
  <c r="BZ174" i="17"/>
  <c r="CE174" i="17"/>
  <c r="CG174" i="17"/>
  <c r="CZ174" i="17"/>
  <c r="DE174" i="17"/>
  <c r="DL174" i="17"/>
  <c r="DQ174" i="17"/>
  <c r="DR174" i="17"/>
  <c r="DT174" i="17"/>
  <c r="AG174" i="17"/>
  <c r="BJ174" i="17"/>
  <c r="BL174" i="17"/>
  <c r="BP174" i="17"/>
  <c r="BV174" i="17"/>
  <c r="BY174" i="17"/>
  <c r="CC174" i="17"/>
  <c r="CH174" i="17"/>
  <c r="DB174" i="17"/>
  <c r="DF174" i="17"/>
  <c r="DK174" i="17"/>
  <c r="DV174" i="17"/>
  <c r="BQ174" i="17"/>
  <c r="CB174" i="17"/>
  <c r="DC174" i="17"/>
  <c r="DH174" i="17"/>
  <c r="DJ174" i="17"/>
  <c r="DN174" i="17"/>
  <c r="BK174" i="17"/>
  <c r="BM174" i="17"/>
  <c r="BR174" i="17"/>
  <c r="BU174" i="17"/>
  <c r="BX174" i="17"/>
  <c r="CA174" i="17"/>
  <c r="CD174" i="17"/>
  <c r="CF174" i="17"/>
  <c r="CJ174" i="17"/>
  <c r="CY174" i="17"/>
  <c r="DA174" i="17"/>
  <c r="DD174" i="17"/>
  <c r="DG174" i="17"/>
  <c r="DM174" i="17"/>
  <c r="DP174" i="17"/>
  <c r="DU174" i="17"/>
  <c r="BT156" i="17"/>
  <c r="BX156" i="17"/>
  <c r="DP156" i="17"/>
  <c r="DU156" i="17"/>
  <c r="BU156" i="17"/>
  <c r="BW156" i="17"/>
  <c r="CB156" i="17"/>
  <c r="CF156" i="17"/>
  <c r="DK156" i="17"/>
  <c r="DM156" i="17"/>
  <c r="DO156" i="17"/>
  <c r="DR156" i="17"/>
  <c r="DW156" i="17"/>
  <c r="CG156" i="17"/>
  <c r="DJ156" i="17"/>
  <c r="DQ156" i="17"/>
  <c r="BV156" i="17"/>
  <c r="BZ156" i="17"/>
  <c r="CD156" i="17"/>
  <c r="CJ156" i="17"/>
  <c r="DN156" i="17"/>
  <c r="DS156" i="17"/>
  <c r="DT156" i="17"/>
  <c r="AG156" i="17"/>
  <c r="CH156" i="17"/>
  <c r="DV156" i="17"/>
  <c r="BY156" i="17"/>
  <c r="CA156" i="17"/>
  <c r="CC156" i="17"/>
  <c r="CE156" i="17"/>
  <c r="DI156" i="17"/>
  <c r="DL156" i="17"/>
  <c r="DU188" i="17"/>
  <c r="BQ188" i="17"/>
  <c r="CZ188" i="17"/>
  <c r="DL188" i="17"/>
  <c r="BZ188" i="17"/>
  <c r="DC188" i="17"/>
  <c r="DO188" i="17"/>
  <c r="BR188" i="17"/>
  <c r="CB188" i="17"/>
  <c r="DK188" i="17"/>
  <c r="DT188" i="17"/>
  <c r="BW188" i="17"/>
  <c r="DP188" i="17"/>
  <c r="BU188" i="17"/>
  <c r="DA188" i="17"/>
  <c r="DQ188" i="17"/>
  <c r="BL188" i="17"/>
  <c r="BY188" i="17"/>
  <c r="CJ188" i="17"/>
  <c r="DH188" i="17"/>
  <c r="BJ188" i="17"/>
  <c r="CG188" i="17"/>
  <c r="DJ188" i="17"/>
  <c r="BM188" i="17"/>
  <c r="BV188" i="17"/>
  <c r="CF188" i="17"/>
  <c r="DF188" i="17"/>
  <c r="BP188" i="17"/>
  <c r="CH188" i="17"/>
  <c r="DD188" i="17"/>
  <c r="DI188" i="17"/>
  <c r="DS188" i="17"/>
  <c r="DW188" i="17"/>
  <c r="DG188" i="17"/>
  <c r="BS188" i="17"/>
  <c r="CE188" i="17"/>
  <c r="AG188" i="17"/>
  <c r="DR188" i="17"/>
  <c r="CD188" i="17"/>
  <c r="DE188" i="17"/>
  <c r="DM188" i="17"/>
  <c r="BK188" i="17"/>
  <c r="BO188" i="17"/>
  <c r="BX188" i="17"/>
  <c r="CY188" i="17"/>
  <c r="DN188" i="17"/>
  <c r="BN188" i="17"/>
  <c r="BT188" i="17"/>
  <c r="CC188" i="17"/>
  <c r="DB188" i="17"/>
  <c r="CA188" i="17"/>
  <c r="DV188" i="17"/>
  <c r="AG251" i="17"/>
  <c r="BJ251" i="17"/>
  <c r="BK251" i="17"/>
  <c r="BL251" i="17"/>
  <c r="BM251" i="17"/>
  <c r="BN251" i="17"/>
  <c r="BO251" i="17"/>
  <c r="BP251" i="17"/>
  <c r="BQ251" i="17"/>
  <c r="BR251" i="17"/>
  <c r="BS251" i="17"/>
  <c r="BT251" i="17"/>
  <c r="BU251" i="17"/>
  <c r="BV251" i="17"/>
  <c r="BW251" i="17"/>
  <c r="BX251" i="17"/>
  <c r="BY251" i="17"/>
  <c r="BZ251" i="17"/>
  <c r="CA251" i="17"/>
  <c r="CB251" i="17"/>
  <c r="CC251" i="17"/>
  <c r="CD251" i="17"/>
  <c r="CE251" i="17"/>
  <c r="CF251" i="17"/>
  <c r="CG251" i="17"/>
  <c r="CH251" i="17"/>
  <c r="CJ251" i="17"/>
  <c r="CY251" i="17"/>
  <c r="CZ251" i="17"/>
  <c r="DA251" i="17"/>
  <c r="DB251" i="17"/>
  <c r="DC251" i="17"/>
  <c r="DD251" i="17"/>
  <c r="DE251" i="17"/>
  <c r="DF251" i="17"/>
  <c r="DG251" i="17"/>
  <c r="DH251" i="17"/>
  <c r="DI251" i="17"/>
  <c r="DJ251" i="17"/>
  <c r="DK251" i="17"/>
  <c r="DL251" i="17"/>
  <c r="DM251" i="17"/>
  <c r="DN251" i="17"/>
  <c r="DO251" i="17"/>
  <c r="DP251" i="17"/>
  <c r="DQ251" i="17"/>
  <c r="DR251" i="17"/>
  <c r="DS251" i="17"/>
  <c r="DT251" i="17"/>
  <c r="DU251" i="17"/>
  <c r="DV251" i="17"/>
  <c r="DW251" i="17"/>
  <c r="BY247" i="17"/>
  <c r="CA247" i="17"/>
  <c r="BK247" i="17"/>
  <c r="CC247" i="17"/>
  <c r="CE247" i="17"/>
  <c r="CH247" i="17"/>
  <c r="DC247" i="17"/>
  <c r="DG247" i="17"/>
  <c r="DI247" i="17"/>
  <c r="DK247" i="17"/>
  <c r="BL247" i="17"/>
  <c r="BO247" i="17"/>
  <c r="BQ247" i="17"/>
  <c r="BS247" i="17"/>
  <c r="BV247" i="17"/>
  <c r="AG247" i="17"/>
  <c r="BM247" i="17"/>
  <c r="BN247" i="17"/>
  <c r="BP247" i="17"/>
  <c r="BT247" i="17"/>
  <c r="BW247" i="17"/>
  <c r="BZ247" i="17"/>
  <c r="CD247" i="17"/>
  <c r="CF247" i="17"/>
  <c r="CJ247" i="17"/>
  <c r="DA247" i="17"/>
  <c r="DE247" i="17"/>
  <c r="DJ247" i="17"/>
  <c r="DH247" i="17"/>
  <c r="BJ247" i="17"/>
  <c r="BR247" i="17"/>
  <c r="BU247" i="17"/>
  <c r="BX247" i="17"/>
  <c r="CB247" i="17"/>
  <c r="CG247" i="17"/>
  <c r="CY247" i="17"/>
  <c r="CZ247" i="17"/>
  <c r="DB247" i="17"/>
  <c r="DD247" i="17"/>
  <c r="DF247" i="17"/>
  <c r="CR269" i="17"/>
  <c r="CT269" i="17"/>
  <c r="CV269" i="17"/>
  <c r="DA269" i="17"/>
  <c r="DG269" i="17"/>
  <c r="DJ269" i="17"/>
  <c r="DM269" i="17"/>
  <c r="DO269" i="17"/>
  <c r="DQ269" i="17"/>
  <c r="DS269" i="17"/>
  <c r="DT269" i="17"/>
  <c r="DV269" i="17"/>
  <c r="DW269" i="17"/>
  <c r="AC269" i="17"/>
  <c r="AE269" i="17"/>
  <c r="AF269" i="17"/>
  <c r="AK269" i="17" s="1"/>
  <c r="AH269" i="17"/>
  <c r="AL269" i="17"/>
  <c r="AR269" i="17"/>
  <c r="AW269" i="17"/>
  <c r="AY269" i="17"/>
  <c r="BA269" i="17"/>
  <c r="BD269" i="17"/>
  <c r="BJ269" i="17"/>
  <c r="BL269" i="17"/>
  <c r="BP269" i="17"/>
  <c r="BX269" i="17"/>
  <c r="CC269" i="17"/>
  <c r="BV269" i="17"/>
  <c r="CH269" i="17"/>
  <c r="CJ269" i="17"/>
  <c r="CL269" i="17"/>
  <c r="CP269" i="17"/>
  <c r="CS269" i="17"/>
  <c r="CW269" i="17"/>
  <c r="CY269" i="17"/>
  <c r="DB269" i="17"/>
  <c r="DD269" i="17"/>
  <c r="DF269" i="17"/>
  <c r="DH269" i="17"/>
  <c r="DI269" i="17"/>
  <c r="DK269" i="17"/>
  <c r="DL269" i="17"/>
  <c r="DR269" i="17"/>
  <c r="AA269" i="17"/>
  <c r="CE269" i="17"/>
  <c r="AD269" i="17"/>
  <c r="AG269" i="17"/>
  <c r="AI269" i="17"/>
  <c r="AJ269" i="17"/>
  <c r="AM269" i="17"/>
  <c r="AN269" i="17"/>
  <c r="AS269" i="17"/>
  <c r="AV269" i="17"/>
  <c r="BC269" i="17"/>
  <c r="BF269" i="17"/>
  <c r="BH269" i="17"/>
  <c r="BK269" i="17"/>
  <c r="AB269" i="17"/>
  <c r="AO269" i="17"/>
  <c r="AU269" i="17"/>
  <c r="BM269" i="17"/>
  <c r="AZ269" i="17"/>
  <c r="BB269" i="17"/>
  <c r="BE269" i="17"/>
  <c r="BG269" i="17"/>
  <c r="BI269" i="17"/>
  <c r="BN269" i="17"/>
  <c r="BQ269" i="17"/>
  <c r="BS269" i="17"/>
  <c r="BU269" i="17"/>
  <c r="BW269" i="17"/>
  <c r="BY269" i="17"/>
  <c r="CA269" i="17"/>
  <c r="CG269" i="17"/>
  <c r="CO269" i="17"/>
  <c r="CU269" i="17"/>
  <c r="CX269" i="17"/>
  <c r="AX269" i="17"/>
  <c r="DC269" i="17"/>
  <c r="DE269" i="17"/>
  <c r="DN269" i="17"/>
  <c r="DP269" i="17"/>
  <c r="DU269" i="17"/>
  <c r="BO269" i="17"/>
  <c r="BR269" i="17"/>
  <c r="BT269" i="17"/>
  <c r="BZ269" i="17"/>
  <c r="CB269" i="17"/>
  <c r="CD269" i="17"/>
  <c r="CF269" i="17"/>
  <c r="CK269" i="17"/>
  <c r="CM269" i="17"/>
  <c r="CN269" i="17"/>
  <c r="CQ269" i="17"/>
  <c r="CZ269" i="17"/>
  <c r="DL247" i="17"/>
  <c r="DM247" i="17"/>
  <c r="DN247" i="17"/>
  <c r="DO247" i="17"/>
  <c r="DP247" i="17"/>
  <c r="DQ247" i="17"/>
  <c r="DR247" i="17"/>
  <c r="DS247" i="17"/>
  <c r="DT247" i="17"/>
  <c r="DU247" i="17"/>
  <c r="DV247" i="17"/>
  <c r="DW247" i="17"/>
  <c r="AG65" i="17"/>
  <c r="BF65" i="17"/>
  <c r="BJ65" i="17"/>
  <c r="BQ65" i="17"/>
  <c r="BV65" i="17"/>
  <c r="CD65" i="17"/>
  <c r="CX65" i="17"/>
  <c r="DE65" i="17"/>
  <c r="DG65" i="17"/>
  <c r="DJ65" i="17"/>
  <c r="DM65" i="17"/>
  <c r="DP65" i="17"/>
  <c r="BL65" i="17"/>
  <c r="BT65" i="17"/>
  <c r="BY65" i="17"/>
  <c r="CA65" i="17"/>
  <c r="CJ65" i="17"/>
  <c r="CT65" i="17"/>
  <c r="DF65" i="17"/>
  <c r="DO65" i="17"/>
  <c r="DR65" i="17"/>
  <c r="BH65" i="17"/>
  <c r="BP65" i="17"/>
  <c r="BW65" i="17"/>
  <c r="CV65" i="17"/>
  <c r="DD65" i="17"/>
  <c r="BI65" i="17"/>
  <c r="BM65" i="17"/>
  <c r="CH65" i="17"/>
  <c r="CU65" i="17"/>
  <c r="CW65" i="17"/>
  <c r="DA65" i="17"/>
  <c r="DV65" i="17"/>
  <c r="BZ65" i="17"/>
  <c r="CE65" i="17"/>
  <c r="DC65" i="17"/>
  <c r="DQ65" i="17"/>
  <c r="DW65" i="17"/>
  <c r="BE65" i="17"/>
  <c r="BN65" i="17"/>
  <c r="BR65" i="17"/>
  <c r="CB65" i="17"/>
  <c r="CC65" i="17"/>
  <c r="CY65" i="17"/>
  <c r="DB65" i="17"/>
  <c r="DI65" i="17"/>
  <c r="DK65" i="17"/>
  <c r="DN65" i="17"/>
  <c r="DT65" i="17"/>
  <c r="BK65" i="17"/>
  <c r="BU65" i="17"/>
  <c r="BX65" i="17"/>
  <c r="CG65" i="17"/>
  <c r="DL65" i="17"/>
  <c r="DS65" i="17"/>
  <c r="BG65" i="17"/>
  <c r="BO65" i="17"/>
  <c r="BS65" i="17"/>
  <c r="CF65" i="17"/>
  <c r="CZ65" i="17"/>
  <c r="DH65" i="17"/>
  <c r="DU65" i="17"/>
  <c r="BM185" i="17"/>
  <c r="CA185" i="17"/>
  <c r="CD185" i="17"/>
  <c r="DA185" i="17"/>
  <c r="DE185" i="17"/>
  <c r="DI185" i="17"/>
  <c r="DK185" i="17"/>
  <c r="DP185" i="17"/>
  <c r="DW185" i="17"/>
  <c r="BJ185" i="17"/>
  <c r="BL185" i="17"/>
  <c r="BN185" i="17"/>
  <c r="BQ185" i="17"/>
  <c r="BS185" i="17"/>
  <c r="BV185" i="17"/>
  <c r="BZ185" i="17"/>
  <c r="CC185" i="17"/>
  <c r="CF185" i="17"/>
  <c r="CH185" i="17"/>
  <c r="CZ185" i="17"/>
  <c r="DD185" i="17"/>
  <c r="DF185" i="17"/>
  <c r="DJ185" i="17"/>
  <c r="DL185" i="17"/>
  <c r="DR185" i="17"/>
  <c r="DU185" i="17"/>
  <c r="BO185" i="17"/>
  <c r="BT185" i="17"/>
  <c r="BW185" i="17"/>
  <c r="CG185" i="17"/>
  <c r="CY185" i="17"/>
  <c r="DC185" i="17"/>
  <c r="DG185" i="17"/>
  <c r="DN185" i="17"/>
  <c r="DT185" i="17"/>
  <c r="AG185" i="17"/>
  <c r="BK185" i="17"/>
  <c r="BP185" i="17"/>
  <c r="BR185" i="17"/>
  <c r="BU185" i="17"/>
  <c r="BX185" i="17"/>
  <c r="BY185" i="17"/>
  <c r="CB185" i="17"/>
  <c r="CE185" i="17"/>
  <c r="CJ185" i="17"/>
  <c r="DB185" i="17"/>
  <c r="DH185" i="17"/>
  <c r="DM185" i="17"/>
  <c r="DO185" i="17"/>
  <c r="DQ185" i="17"/>
  <c r="DS185" i="17"/>
  <c r="DV185" i="17"/>
  <c r="U22" i="17"/>
  <c r="AG241" i="17"/>
  <c r="BJ241" i="17"/>
  <c r="BK241" i="17"/>
  <c r="BL241" i="17"/>
  <c r="BM241" i="17"/>
  <c r="BN241" i="17"/>
  <c r="BO241" i="17"/>
  <c r="BP241" i="17"/>
  <c r="BQ241" i="17"/>
  <c r="BR241" i="17"/>
  <c r="BS241" i="17"/>
  <c r="BT241" i="17"/>
  <c r="BU241" i="17"/>
  <c r="BV241" i="17"/>
  <c r="BW241" i="17"/>
  <c r="BX241" i="17"/>
  <c r="BY241" i="17"/>
  <c r="BZ241" i="17"/>
  <c r="CA241" i="17"/>
  <c r="CB241" i="17"/>
  <c r="CC241" i="17"/>
  <c r="CD241" i="17"/>
  <c r="CE241" i="17"/>
  <c r="CF241" i="17"/>
  <c r="CG241" i="17"/>
  <c r="CH241" i="17"/>
  <c r="CJ241" i="17"/>
  <c r="CY241" i="17"/>
  <c r="CZ241" i="17"/>
  <c r="DA241" i="17"/>
  <c r="DB241" i="17"/>
  <c r="DC241" i="17"/>
  <c r="DD241" i="17"/>
  <c r="DE241" i="17"/>
  <c r="DF241" i="17"/>
  <c r="DG241" i="17"/>
  <c r="DH241" i="17"/>
  <c r="DI241" i="17"/>
  <c r="DJ241" i="17"/>
  <c r="DK241" i="17"/>
  <c r="DL241" i="17"/>
  <c r="DM241" i="17"/>
  <c r="DN241" i="17"/>
  <c r="DO241" i="17"/>
  <c r="DP241" i="17"/>
  <c r="DQ241" i="17"/>
  <c r="DR241" i="17"/>
  <c r="DS241" i="17"/>
  <c r="DT241" i="17"/>
  <c r="DU241" i="17"/>
  <c r="DV241" i="17"/>
  <c r="DW241" i="17"/>
  <c r="BZ172" i="17"/>
  <c r="CF172" i="17"/>
  <c r="CJ172" i="17"/>
  <c r="DL172" i="17"/>
  <c r="DT172" i="17"/>
  <c r="BP172" i="17"/>
  <c r="BW172" i="17"/>
  <c r="DI172" i="17"/>
  <c r="DS172" i="17"/>
  <c r="BT172" i="17"/>
  <c r="CG172" i="17"/>
  <c r="DM172" i="17"/>
  <c r="BX172" i="17"/>
  <c r="DE172" i="17"/>
  <c r="DK172" i="17"/>
  <c r="DQ172" i="17"/>
  <c r="BV172" i="17"/>
  <c r="CE172" i="17"/>
  <c r="DO172" i="17"/>
  <c r="BS172" i="17"/>
  <c r="DF172" i="17"/>
  <c r="DP172" i="17"/>
  <c r="AG172" i="17"/>
  <c r="BU172" i="17"/>
  <c r="CC172" i="17"/>
  <c r="DD172" i="17"/>
  <c r="DV172" i="17"/>
  <c r="BR172" i="17"/>
  <c r="BY172" i="17"/>
  <c r="CB172" i="17"/>
  <c r="DG172" i="17"/>
  <c r="CH172" i="17"/>
  <c r="DN172" i="17"/>
  <c r="DW172" i="17"/>
  <c r="CA172" i="17"/>
  <c r="BQ172" i="17"/>
  <c r="CD172" i="17"/>
  <c r="DR172" i="17"/>
  <c r="BO172" i="17"/>
  <c r="DU172" i="17"/>
  <c r="DJ172" i="17"/>
  <c r="DH172" i="17"/>
  <c r="AG261" i="17"/>
  <c r="BO261" i="17"/>
  <c r="BQ261" i="17"/>
  <c r="BR261" i="17"/>
  <c r="BT261" i="17"/>
  <c r="BU261" i="17"/>
  <c r="BV261" i="17"/>
  <c r="BX261" i="17"/>
  <c r="BY261" i="17"/>
  <c r="BZ261" i="17"/>
  <c r="CB261" i="17"/>
  <c r="CC261" i="17"/>
  <c r="CD261" i="17"/>
  <c r="CE261" i="17"/>
  <c r="CG261" i="17"/>
  <c r="CJ261" i="17"/>
  <c r="DD261" i="17"/>
  <c r="DE261" i="17"/>
  <c r="DF261" i="17"/>
  <c r="DG261" i="17"/>
  <c r="DH261" i="17"/>
  <c r="DJ261" i="17"/>
  <c r="DK261" i="17"/>
  <c r="DL261" i="17"/>
  <c r="DM261" i="17"/>
  <c r="DO261" i="17"/>
  <c r="DR261" i="17"/>
  <c r="BP261" i="17"/>
  <c r="BS261" i="17"/>
  <c r="BW261" i="17"/>
  <c r="CA261" i="17"/>
  <c r="CF261" i="17"/>
  <c r="CH261" i="17"/>
  <c r="DI261" i="17"/>
  <c r="DN261" i="17"/>
  <c r="DP261" i="17"/>
  <c r="DQ261" i="17"/>
  <c r="DS261" i="17"/>
  <c r="DT261" i="17"/>
  <c r="DU261" i="17"/>
  <c r="DV261" i="17"/>
  <c r="DW261" i="17"/>
  <c r="BS40" i="17"/>
  <c r="CA40" i="17"/>
  <c r="DC40" i="17"/>
  <c r="DL40" i="17"/>
  <c r="CF40" i="17"/>
  <c r="CZ40" i="17"/>
  <c r="DJ40" i="17"/>
  <c r="DP40" i="17"/>
  <c r="BN40" i="17"/>
  <c r="CU40" i="17"/>
  <c r="DU40" i="17"/>
  <c r="BY40" i="17"/>
  <c r="CC40" i="17"/>
  <c r="DF40" i="17"/>
  <c r="DO40" i="17"/>
  <c r="BO40" i="17"/>
  <c r="CX40" i="17"/>
  <c r="DE40" i="17"/>
  <c r="BR40" i="17"/>
  <c r="CB40" i="17"/>
  <c r="CW40" i="17"/>
  <c r="DI40" i="17"/>
  <c r="DR40" i="17"/>
  <c r="BE40" i="17"/>
  <c r="BU40" i="17"/>
  <c r="CJ40" i="17"/>
  <c r="DG40" i="17"/>
  <c r="BF40" i="17"/>
  <c r="CT40" i="17"/>
  <c r="BX40" i="17"/>
  <c r="DV40" i="17"/>
  <c r="BL40" i="17"/>
  <c r="DD40" i="17"/>
  <c r="AG40" i="17"/>
  <c r="DA40" i="17"/>
  <c r="BK40" i="17"/>
  <c r="BQ40" i="17"/>
  <c r="CE40" i="17"/>
  <c r="DB40" i="17"/>
  <c r="DS40" i="17"/>
  <c r="BV40" i="17"/>
  <c r="CD40" i="17"/>
  <c r="CY40" i="17"/>
  <c r="DM40" i="17"/>
  <c r="BI40" i="17"/>
  <c r="BM40" i="17"/>
  <c r="BT40" i="17"/>
  <c r="BZ40" i="17"/>
  <c r="CV40" i="17"/>
  <c r="DH40" i="17"/>
  <c r="DK40" i="17"/>
  <c r="DN40" i="17"/>
  <c r="DT40" i="17"/>
  <c r="BG40" i="17"/>
  <c r="BH40" i="17"/>
  <c r="BJ40" i="17"/>
  <c r="BP40" i="17"/>
  <c r="BW40" i="17"/>
  <c r="CG40" i="17"/>
  <c r="CH40" i="17"/>
  <c r="DQ40" i="17"/>
  <c r="DW40" i="17"/>
  <c r="AB107" i="17"/>
  <c r="AG107" i="17"/>
  <c r="AJ107" i="17"/>
  <c r="AN107" i="17"/>
  <c r="AX107" i="17"/>
  <c r="AZ107" i="17"/>
  <c r="BC107" i="17"/>
  <c r="BI107" i="17"/>
  <c r="BL107" i="17"/>
  <c r="BP107" i="17"/>
  <c r="BS107" i="17"/>
  <c r="CA107" i="17"/>
  <c r="CJ107" i="17"/>
  <c r="CT107" i="17"/>
  <c r="CY107" i="17"/>
  <c r="DA107" i="17"/>
  <c r="DD107" i="17"/>
  <c r="DH107" i="17"/>
  <c r="DK107" i="17"/>
  <c r="DM107" i="17"/>
  <c r="AC107" i="17"/>
  <c r="AI107" i="17"/>
  <c r="AO107" i="17"/>
  <c r="AU107" i="17"/>
  <c r="AW107" i="17"/>
  <c r="AY107" i="17"/>
  <c r="BG107" i="17"/>
  <c r="BX107" i="17"/>
  <c r="CG107" i="17"/>
  <c r="CM107" i="17"/>
  <c r="CR107" i="17"/>
  <c r="CX107" i="17"/>
  <c r="DE107" i="17"/>
  <c r="DO107" i="17"/>
  <c r="DT107" i="17"/>
  <c r="DV107" i="17"/>
  <c r="AL107" i="17"/>
  <c r="AM107" i="17"/>
  <c r="AV107" i="17"/>
  <c r="BD107" i="17"/>
  <c r="BM107" i="17"/>
  <c r="BO107" i="17"/>
  <c r="BW107" i="17"/>
  <c r="BY107" i="17"/>
  <c r="CC107" i="17"/>
  <c r="CO107" i="17"/>
  <c r="CU107" i="17"/>
  <c r="DC107" i="17"/>
  <c r="DN107" i="17"/>
  <c r="DR107" i="17"/>
  <c r="DW107" i="17"/>
  <c r="BA107" i="17"/>
  <c r="BE107" i="17"/>
  <c r="BH107" i="17"/>
  <c r="BK107" i="17"/>
  <c r="BQ107" i="17"/>
  <c r="BT107" i="17"/>
  <c r="CF107" i="17"/>
  <c r="CZ107" i="17"/>
  <c r="DG107" i="17"/>
  <c r="DQ107" i="17"/>
  <c r="DU107" i="17"/>
  <c r="AA107" i="17"/>
  <c r="AD107" i="17"/>
  <c r="AF107" i="17"/>
  <c r="AK107" i="17" s="1"/>
  <c r="AE107" i="17"/>
  <c r="AS107" i="17"/>
  <c r="BF107" i="17"/>
  <c r="BV107" i="17"/>
  <c r="BZ107" i="17"/>
  <c r="CE107" i="17"/>
  <c r="CL107" i="17"/>
  <c r="CP107" i="17"/>
  <c r="CS107" i="17"/>
  <c r="DB107" i="17"/>
  <c r="DI107" i="17"/>
  <c r="CD107" i="17"/>
  <c r="CK107" i="17"/>
  <c r="CN107" i="17"/>
  <c r="CW107" i="17"/>
  <c r="DJ107" i="17"/>
  <c r="DP107" i="17"/>
  <c r="AH107" i="17"/>
  <c r="AR107" i="17"/>
  <c r="BB107" i="17"/>
  <c r="BJ107" i="17"/>
  <c r="BN107" i="17"/>
  <c r="BR107" i="17"/>
  <c r="BU107" i="17"/>
  <c r="CB107" i="17"/>
  <c r="CH107" i="17"/>
  <c r="CQ107" i="17"/>
  <c r="CV107" i="17"/>
  <c r="DF107" i="17"/>
  <c r="DL107" i="17"/>
  <c r="DS107" i="17"/>
  <c r="AG44" i="17"/>
  <c r="BN44" i="17"/>
  <c r="DN44" i="17"/>
  <c r="DR44" i="17"/>
  <c r="BL44" i="17"/>
  <c r="CB44" i="17"/>
  <c r="CE44" i="17"/>
  <c r="CJ44" i="17"/>
  <c r="DL44" i="17"/>
  <c r="DT44" i="17"/>
  <c r="BW44" i="17"/>
  <c r="DO44" i="17"/>
  <c r="BT44" i="17"/>
  <c r="DB44" i="17"/>
  <c r="DE44" i="17"/>
  <c r="DK44" i="17"/>
  <c r="DP44" i="17"/>
  <c r="BM44" i="17"/>
  <c r="BP44" i="17"/>
  <c r="BU44" i="17"/>
  <c r="CG44" i="17"/>
  <c r="CZ44" i="17"/>
  <c r="DI44" i="17"/>
  <c r="DU44" i="17"/>
  <c r="BJ44" i="17"/>
  <c r="CA44" i="17"/>
  <c r="DA44" i="17"/>
  <c r="DC44" i="17"/>
  <c r="DM44" i="17"/>
  <c r="DQ44" i="17"/>
  <c r="BQ44" i="17"/>
  <c r="BX44" i="17"/>
  <c r="DD44" i="17"/>
  <c r="DV44" i="17"/>
  <c r="BO44" i="17"/>
  <c r="BS44" i="17"/>
  <c r="CD44" i="17"/>
  <c r="CY44" i="17"/>
  <c r="DF44" i="17"/>
  <c r="DG44" i="17"/>
  <c r="BK44" i="17"/>
  <c r="BR44" i="17"/>
  <c r="BV44" i="17"/>
  <c r="BY44" i="17"/>
  <c r="BZ44" i="17"/>
  <c r="CC44" i="17"/>
  <c r="CF44" i="17"/>
  <c r="CH44" i="17"/>
  <c r="DH44" i="17"/>
  <c r="DJ44" i="17"/>
  <c r="DS44" i="17"/>
  <c r="DW44" i="17"/>
  <c r="U15" i="17"/>
  <c r="DO38" i="17"/>
  <c r="BZ38" i="17"/>
  <c r="CF38" i="17"/>
  <c r="BT38" i="17"/>
  <c r="DP38" i="17"/>
  <c r="DR38" i="17"/>
  <c r="CB38" i="17"/>
  <c r="DK38" i="17"/>
  <c r="BU38" i="17"/>
  <c r="CG38" i="17"/>
  <c r="DN38" i="17"/>
  <c r="DM38" i="17"/>
  <c r="CE38" i="17"/>
  <c r="DW38" i="17"/>
  <c r="DS38" i="17"/>
  <c r="BV38" i="17"/>
  <c r="BW38" i="17"/>
  <c r="CA38" i="17"/>
  <c r="DT38" i="17"/>
  <c r="DQ38" i="17"/>
  <c r="CJ38" i="17"/>
  <c r="AG38" i="17"/>
  <c r="CC38" i="17"/>
  <c r="DJ38" i="17"/>
  <c r="DL38" i="17"/>
  <c r="CH38" i="17"/>
  <c r="CD38" i="17"/>
  <c r="DV38" i="17"/>
  <c r="BY38" i="17"/>
  <c r="DI38" i="17"/>
  <c r="BX38" i="17"/>
  <c r="DU38" i="17"/>
  <c r="AG223" i="17"/>
  <c r="BQ223" i="17"/>
  <c r="BR223" i="17"/>
  <c r="BS223" i="17"/>
  <c r="BU223" i="17"/>
  <c r="BW223" i="17"/>
  <c r="BY223" i="17"/>
  <c r="CB223" i="17"/>
  <c r="CE223" i="17"/>
  <c r="CF223" i="17"/>
  <c r="CG223" i="17"/>
  <c r="CJ223" i="17"/>
  <c r="DF223" i="17"/>
  <c r="DH223" i="17"/>
  <c r="DJ223" i="17"/>
  <c r="DK223" i="17"/>
  <c r="DN223" i="17"/>
  <c r="DQ223" i="17"/>
  <c r="DT223" i="17"/>
  <c r="BP223" i="17"/>
  <c r="BZ223" i="17"/>
  <c r="DE223" i="17"/>
  <c r="DI223" i="17"/>
  <c r="DM223" i="17"/>
  <c r="DP223" i="17"/>
  <c r="DS223" i="17"/>
  <c r="DV223" i="17"/>
  <c r="DW223" i="17"/>
  <c r="BO223" i="17"/>
  <c r="BT223" i="17"/>
  <c r="BV223" i="17"/>
  <c r="BX223" i="17"/>
  <c r="CA223" i="17"/>
  <c r="CC223" i="17"/>
  <c r="CD223" i="17"/>
  <c r="CH223" i="17"/>
  <c r="DD223" i="17"/>
  <c r="DG223" i="17"/>
  <c r="DL223" i="17"/>
  <c r="DO223" i="17"/>
  <c r="DR223" i="17"/>
  <c r="DU223" i="17"/>
  <c r="DU33" i="17"/>
  <c r="BF33" i="17"/>
  <c r="BP33" i="17"/>
  <c r="BX33" i="17"/>
  <c r="CE33" i="17"/>
  <c r="DC33" i="17"/>
  <c r="DF33" i="17"/>
  <c r="DR33" i="17"/>
  <c r="BW33" i="17"/>
  <c r="DA33" i="17"/>
  <c r="DH33" i="17"/>
  <c r="DL33" i="17"/>
  <c r="BN33" i="17"/>
  <c r="BV33" i="17"/>
  <c r="CV33" i="17"/>
  <c r="DK33" i="17"/>
  <c r="DP33" i="17"/>
  <c r="BZ33" i="17"/>
  <c r="CD33" i="17"/>
  <c r="DD33" i="17"/>
  <c r="DJ33" i="17"/>
  <c r="DS33" i="17"/>
  <c r="BE33" i="17"/>
  <c r="BU33" i="17"/>
  <c r="CJ33" i="17"/>
  <c r="DN33" i="17"/>
  <c r="CH33" i="17"/>
  <c r="BK33" i="17"/>
  <c r="CC33" i="17"/>
  <c r="DG33" i="17"/>
  <c r="BL33" i="17"/>
  <c r="DB33" i="17"/>
  <c r="BJ33" i="17"/>
  <c r="BM33" i="17"/>
  <c r="BR33" i="17"/>
  <c r="CA33" i="17"/>
  <c r="CZ33" i="17"/>
  <c r="DE33" i="17"/>
  <c r="DI33" i="17"/>
  <c r="DW33" i="17"/>
  <c r="CU33" i="17"/>
  <c r="BH33" i="17"/>
  <c r="BO33" i="17"/>
  <c r="CG33" i="17"/>
  <c r="DM33" i="17"/>
  <c r="BS33" i="17"/>
  <c r="CY33" i="17"/>
  <c r="DT33" i="17"/>
  <c r="DV33" i="17"/>
  <c r="DQ33" i="17"/>
  <c r="AG33" i="17"/>
  <c r="BG33" i="17"/>
  <c r="BI33" i="17"/>
  <c r="CB33" i="17"/>
  <c r="CT33" i="17"/>
  <c r="BQ33" i="17"/>
  <c r="CW33" i="17"/>
  <c r="DO33" i="17"/>
  <c r="BY33" i="17"/>
  <c r="CF33" i="17"/>
  <c r="CX33" i="17"/>
  <c r="BT33" i="17"/>
  <c r="AG264" i="17"/>
  <c r="BT264" i="17"/>
  <c r="BU264" i="17"/>
  <c r="BV264" i="17"/>
  <c r="BW264" i="17"/>
  <c r="BX264" i="17"/>
  <c r="BY264" i="17"/>
  <c r="BZ264" i="17"/>
  <c r="CA264" i="17"/>
  <c r="CB264" i="17"/>
  <c r="CC264" i="17"/>
  <c r="CE264" i="17"/>
  <c r="CF264" i="17"/>
  <c r="CG264" i="17"/>
  <c r="CH264" i="17"/>
  <c r="CJ264" i="17"/>
  <c r="DI264" i="17"/>
  <c r="DJ264" i="17"/>
  <c r="DK264" i="17"/>
  <c r="DL264" i="17"/>
  <c r="DM264" i="17"/>
  <c r="DN264" i="17"/>
  <c r="DO264" i="17"/>
  <c r="DP264" i="17"/>
  <c r="DQ264" i="17"/>
  <c r="DR264" i="17"/>
  <c r="DS264" i="17"/>
  <c r="DT264" i="17"/>
  <c r="DU264" i="17"/>
  <c r="DV264" i="17"/>
  <c r="DW264" i="17"/>
  <c r="CD264" i="17"/>
  <c r="U16" i="17"/>
  <c r="BH98" i="17"/>
  <c r="BN98" i="17"/>
  <c r="CH98" i="17"/>
  <c r="DC98" i="17"/>
  <c r="DH98" i="17"/>
  <c r="DV98" i="17"/>
  <c r="BJ98" i="17"/>
  <c r="BY98" i="17"/>
  <c r="CT98" i="17"/>
  <c r="DS98" i="17"/>
  <c r="CB98" i="17"/>
  <c r="CU98" i="17"/>
  <c r="DO98" i="17"/>
  <c r="DU98" i="17"/>
  <c r="CJ98" i="17"/>
  <c r="DE98" i="17"/>
  <c r="DP98" i="17"/>
  <c r="DW98" i="17"/>
  <c r="BO98" i="17"/>
  <c r="BV98" i="17"/>
  <c r="DL98" i="17"/>
  <c r="DQ98" i="17"/>
  <c r="BW98" i="17"/>
  <c r="CA98" i="17"/>
  <c r="CD98" i="17"/>
  <c r="BF98" i="17"/>
  <c r="BZ98" i="17"/>
  <c r="CF98" i="17"/>
  <c r="DB98" i="17"/>
  <c r="DT98" i="17"/>
  <c r="AG98" i="17"/>
  <c r="CX98" i="17"/>
  <c r="DF98" i="17"/>
  <c r="DN98" i="17"/>
  <c r="BE98" i="17"/>
  <c r="BR98" i="17"/>
  <c r="CC98" i="17"/>
  <c r="CY98" i="17"/>
  <c r="BM98" i="17"/>
  <c r="CE98" i="17"/>
  <c r="CW98" i="17"/>
  <c r="DR98" i="17"/>
  <c r="BS98" i="17"/>
  <c r="CV98" i="17"/>
  <c r="DJ98" i="17"/>
  <c r="BL98" i="17"/>
  <c r="BP98" i="17"/>
  <c r="CG98" i="17"/>
  <c r="DA98" i="17"/>
  <c r="DM98" i="17"/>
  <c r="BG98" i="17"/>
  <c r="BQ98" i="17"/>
  <c r="BX98" i="17"/>
  <c r="DG98" i="17"/>
  <c r="BI98" i="17"/>
  <c r="BK98" i="17"/>
  <c r="BU98" i="17"/>
  <c r="DD98" i="17"/>
  <c r="DK98" i="17"/>
  <c r="BT98" i="17"/>
  <c r="CZ98" i="17"/>
  <c r="DI98" i="17"/>
  <c r="BN139" i="17"/>
  <c r="DJ139" i="17"/>
  <c r="DV139" i="17"/>
  <c r="DW139" i="17"/>
  <c r="CF139" i="17"/>
  <c r="BS139" i="17"/>
  <c r="CY139" i="17"/>
  <c r="DD139" i="17"/>
  <c r="DM139" i="17"/>
  <c r="DP139" i="17"/>
  <c r="BV139" i="17"/>
  <c r="DU139" i="17"/>
  <c r="BJ139" i="17"/>
  <c r="DO139" i="17"/>
  <c r="CD139" i="17"/>
  <c r="BU139" i="17"/>
  <c r="CJ139" i="17"/>
  <c r="BP139" i="17"/>
  <c r="DB139" i="17"/>
  <c r="DK139" i="17"/>
  <c r="BK139" i="17"/>
  <c r="BY139" i="17"/>
  <c r="CC139" i="17"/>
  <c r="DE139" i="17"/>
  <c r="DR139" i="17"/>
  <c r="BR139" i="17"/>
  <c r="BW139" i="17"/>
  <c r="DF139" i="17"/>
  <c r="BZ139" i="17"/>
  <c r="CB139" i="17"/>
  <c r="DH139" i="17"/>
  <c r="DL139" i="17"/>
  <c r="DN139" i="17"/>
  <c r="DS139" i="17"/>
  <c r="BO139" i="17"/>
  <c r="CG139" i="17"/>
  <c r="AG139" i="17"/>
  <c r="BL139" i="17"/>
  <c r="BT139" i="17"/>
  <c r="CZ139" i="17"/>
  <c r="DQ139" i="17"/>
  <c r="BM139" i="17"/>
  <c r="CH139" i="17"/>
  <c r="DG139" i="17"/>
  <c r="BX139" i="17"/>
  <c r="DC139" i="17"/>
  <c r="DT139" i="17"/>
  <c r="BQ139" i="17"/>
  <c r="CA139" i="17"/>
  <c r="CE139" i="17"/>
  <c r="DA139" i="17"/>
  <c r="DI139" i="17"/>
  <c r="CH182" i="17"/>
  <c r="DM182" i="17"/>
  <c r="BT182" i="17"/>
  <c r="DA182" i="17"/>
  <c r="DL182" i="17"/>
  <c r="BK182" i="17"/>
  <c r="BP182" i="17"/>
  <c r="BV182" i="17"/>
  <c r="CG182" i="17"/>
  <c r="DE182" i="17"/>
  <c r="DK182" i="17"/>
  <c r="DR182" i="17"/>
  <c r="BQ182" i="17"/>
  <c r="CA182" i="17"/>
  <c r="CF182" i="17"/>
  <c r="DD182" i="17"/>
  <c r="DF182" i="17"/>
  <c r="DO182" i="17"/>
  <c r="DW182" i="17"/>
  <c r="AG182" i="17"/>
  <c r="BR182" i="17"/>
  <c r="BZ182" i="17"/>
  <c r="DB182" i="17"/>
  <c r="DN182" i="17"/>
  <c r="DU182" i="17"/>
  <c r="BU182" i="17"/>
  <c r="BW182" i="17"/>
  <c r="CC182" i="17"/>
  <c r="DI182" i="17"/>
  <c r="BS182" i="17"/>
  <c r="BY182" i="17"/>
  <c r="CB182" i="17"/>
  <c r="CD182" i="17"/>
  <c r="DC182" i="17"/>
  <c r="DH182" i="17"/>
  <c r="DT182" i="17"/>
  <c r="BJ182" i="17"/>
  <c r="CJ182" i="17"/>
  <c r="BM182" i="17"/>
  <c r="DG182" i="17"/>
  <c r="DQ182" i="17"/>
  <c r="DV182" i="17"/>
  <c r="BN182" i="17"/>
  <c r="CE182" i="17"/>
  <c r="CY182" i="17"/>
  <c r="DP182" i="17"/>
  <c r="BX182" i="17"/>
  <c r="CZ182" i="17"/>
  <c r="DJ182" i="17"/>
  <c r="DS182" i="17"/>
  <c r="BL182" i="17"/>
  <c r="BO182" i="17"/>
  <c r="AG114" i="17"/>
  <c r="BO114" i="17"/>
  <c r="BP114" i="17"/>
  <c r="BQ114" i="17"/>
  <c r="BR114" i="17"/>
  <c r="BS114" i="17"/>
  <c r="BT114" i="17"/>
  <c r="BU114" i="17"/>
  <c r="BV114" i="17"/>
  <c r="BW114" i="17"/>
  <c r="BX114" i="17"/>
  <c r="BY114" i="17"/>
  <c r="BZ114" i="17"/>
  <c r="CA114" i="17"/>
  <c r="CB114" i="17"/>
  <c r="CC114" i="17"/>
  <c r="CD114" i="17"/>
  <c r="CE114" i="17"/>
  <c r="CF114" i="17"/>
  <c r="CG114" i="17"/>
  <c r="CH114" i="17"/>
  <c r="CJ114" i="17"/>
  <c r="DD114" i="17"/>
  <c r="DE114" i="17"/>
  <c r="DF114" i="17"/>
  <c r="DG114" i="17"/>
  <c r="DH114" i="17"/>
  <c r="DI114" i="17"/>
  <c r="DJ114" i="17"/>
  <c r="DK114" i="17"/>
  <c r="DL114" i="17"/>
  <c r="DM114" i="17"/>
  <c r="DN114" i="17"/>
  <c r="DO114" i="17"/>
  <c r="DP114" i="17"/>
  <c r="DQ114" i="17"/>
  <c r="DR114" i="17"/>
  <c r="DS114" i="17"/>
  <c r="DT114" i="17"/>
  <c r="DU114" i="17"/>
  <c r="DV114" i="17"/>
  <c r="DW114" i="17"/>
  <c r="AL105" i="17"/>
  <c r="BI105" i="17"/>
  <c r="CN105" i="17"/>
  <c r="DA105" i="17"/>
  <c r="DN105" i="17"/>
  <c r="DT105" i="17"/>
  <c r="BN105" i="17"/>
  <c r="AA105" i="17"/>
  <c r="AJ105" i="17"/>
  <c r="AR105" i="17"/>
  <c r="BB105" i="17"/>
  <c r="BZ105" i="17"/>
  <c r="DI105" i="17"/>
  <c r="AF105" i="17"/>
  <c r="AK105" i="17" s="1"/>
  <c r="BG105" i="17"/>
  <c r="BR105" i="17"/>
  <c r="CM105" i="17"/>
  <c r="CS105" i="17"/>
  <c r="CZ105" i="17"/>
  <c r="DU105" i="17"/>
  <c r="AH105" i="17"/>
  <c r="BE105" i="17"/>
  <c r="CA105" i="17"/>
  <c r="CL105" i="17"/>
  <c r="CR105" i="17"/>
  <c r="DL105" i="17"/>
  <c r="AI105" i="17"/>
  <c r="AM105" i="17"/>
  <c r="BS105" i="17"/>
  <c r="CO105" i="17"/>
  <c r="AE105" i="17"/>
  <c r="AG105" i="17"/>
  <c r="BF105" i="17"/>
  <c r="BX105" i="17"/>
  <c r="CE105" i="17"/>
  <c r="CV105" i="17"/>
  <c r="DH105" i="17"/>
  <c r="DQ105" i="17"/>
  <c r="AY105" i="17"/>
  <c r="BH105" i="17"/>
  <c r="BY105" i="17"/>
  <c r="DK105" i="17"/>
  <c r="AB105" i="17"/>
  <c r="AO105" i="17"/>
  <c r="AW105" i="17"/>
  <c r="BD105" i="17"/>
  <c r="CX105" i="17"/>
  <c r="DE105" i="17"/>
  <c r="AD105" i="17"/>
  <c r="BC105" i="17"/>
  <c r="BM105" i="17"/>
  <c r="BT105" i="17"/>
  <c r="CH105" i="17"/>
  <c r="CP105" i="17"/>
  <c r="DJ105" i="17"/>
  <c r="DP105" i="17"/>
  <c r="DV105" i="17"/>
  <c r="AC105" i="17"/>
  <c r="AU105" i="17"/>
  <c r="BA105" i="17"/>
  <c r="BQ105" i="17"/>
  <c r="BW105" i="17"/>
  <c r="CG105" i="17"/>
  <c r="DB105" i="17"/>
  <c r="DG105" i="17"/>
  <c r="DM105" i="17"/>
  <c r="DW105" i="17"/>
  <c r="AX105" i="17"/>
  <c r="BK105" i="17"/>
  <c r="CB105" i="17"/>
  <c r="CU105" i="17"/>
  <c r="DR105" i="17"/>
  <c r="AN105" i="17"/>
  <c r="AS105" i="17"/>
  <c r="AV105" i="17"/>
  <c r="AZ105" i="17"/>
  <c r="BJ105" i="17"/>
  <c r="BL105" i="17"/>
  <c r="BP105" i="17"/>
  <c r="BV105" i="17"/>
  <c r="CC105" i="17"/>
  <c r="CJ105" i="17"/>
  <c r="CQ105" i="17"/>
  <c r="CT105" i="17"/>
  <c r="CY105" i="17"/>
  <c r="DD105" i="17"/>
  <c r="DF105" i="17"/>
  <c r="DS105" i="17"/>
  <c r="BO105" i="17"/>
  <c r="BU105" i="17"/>
  <c r="CD105" i="17"/>
  <c r="CF105" i="17"/>
  <c r="CK105" i="17"/>
  <c r="CW105" i="17"/>
  <c r="DC105" i="17"/>
  <c r="DO105" i="17"/>
  <c r="AG189" i="17"/>
  <c r="AV189" i="17"/>
  <c r="BN189" i="17"/>
  <c r="CP189" i="17"/>
  <c r="DE189" i="17"/>
  <c r="DR189" i="17"/>
  <c r="AX189" i="17"/>
  <c r="CO189" i="17"/>
  <c r="DC189" i="17"/>
  <c r="AD189" i="17"/>
  <c r="AL189" i="17"/>
  <c r="AR189" i="17"/>
  <c r="CV189" i="17"/>
  <c r="DJ189" i="17"/>
  <c r="DT189" i="17"/>
  <c r="AW189" i="17"/>
  <c r="CW189" i="17"/>
  <c r="DQ189" i="17"/>
  <c r="AE189" i="17"/>
  <c r="BF189" i="17"/>
  <c r="BO189" i="17"/>
  <c r="CA189" i="17"/>
  <c r="CD189" i="17"/>
  <c r="CT189" i="17"/>
  <c r="DF189" i="17"/>
  <c r="AI189" i="17"/>
  <c r="BA189" i="17"/>
  <c r="BP189" i="17"/>
  <c r="CL189" i="17"/>
  <c r="CU189" i="17"/>
  <c r="DL189" i="17"/>
  <c r="AF189" i="17"/>
  <c r="AK189" i="17" s="1"/>
  <c r="CK189" i="17"/>
  <c r="BD189" i="17"/>
  <c r="BM189" i="17"/>
  <c r="BZ189" i="17"/>
  <c r="CR189" i="17"/>
  <c r="CY189" i="17"/>
  <c r="AJ189" i="17"/>
  <c r="BH189" i="17"/>
  <c r="BT189" i="17"/>
  <c r="CE189" i="17"/>
  <c r="DG189" i="17"/>
  <c r="DK189" i="17"/>
  <c r="DU189" i="17"/>
  <c r="AH189" i="17"/>
  <c r="BS189" i="17"/>
  <c r="CH189" i="17"/>
  <c r="CQ189" i="17"/>
  <c r="DA189" i="17"/>
  <c r="DP189" i="17"/>
  <c r="AB189" i="17"/>
  <c r="AY189" i="17"/>
  <c r="BL189" i="17"/>
  <c r="BY189" i="17"/>
  <c r="DI189" i="17"/>
  <c r="DS189" i="17"/>
  <c r="BG189" i="17"/>
  <c r="CB189" i="17"/>
  <c r="CF189" i="17"/>
  <c r="DV189" i="17"/>
  <c r="AN189" i="17"/>
  <c r="BI189" i="17"/>
  <c r="BR189" i="17"/>
  <c r="CC189" i="17"/>
  <c r="AC189" i="17"/>
  <c r="CG189" i="17"/>
  <c r="DB189" i="17"/>
  <c r="DO189" i="17"/>
  <c r="AA189" i="17"/>
  <c r="BK189" i="17"/>
  <c r="BX189" i="17"/>
  <c r="DM189" i="17"/>
  <c r="AO189" i="17"/>
  <c r="BJ189" i="17"/>
  <c r="CZ189" i="17"/>
  <c r="BC189" i="17"/>
  <c r="BU189" i="17"/>
  <c r="CX189" i="17"/>
  <c r="BB189" i="17"/>
  <c r="BW189" i="17"/>
  <c r="CJ189" i="17"/>
  <c r="DH189" i="17"/>
  <c r="DN189" i="17"/>
  <c r="AS189" i="17"/>
  <c r="AZ189" i="17"/>
  <c r="BE189" i="17"/>
  <c r="BV189" i="17"/>
  <c r="CN189" i="17"/>
  <c r="CS189" i="17"/>
  <c r="AM189" i="17"/>
  <c r="AU189" i="17"/>
  <c r="BQ189" i="17"/>
  <c r="CM189" i="17"/>
  <c r="DD189" i="17"/>
  <c r="DW189" i="17"/>
  <c r="AZ242" i="17"/>
  <c r="DU242" i="17"/>
  <c r="DV242" i="17"/>
  <c r="AA242" i="17"/>
  <c r="AB242" i="17"/>
  <c r="AC242" i="17"/>
  <c r="AD242" i="17"/>
  <c r="AE242" i="17"/>
  <c r="AF242" i="17"/>
  <c r="AK242" i="17" s="1"/>
  <c r="AG242" i="17"/>
  <c r="AH242" i="17"/>
  <c r="AI242" i="17"/>
  <c r="AJ242" i="17"/>
  <c r="AL242" i="17"/>
  <c r="AM242" i="17"/>
  <c r="AN242" i="17"/>
  <c r="AO242" i="17"/>
  <c r="AR242" i="17"/>
  <c r="AS242" i="17"/>
  <c r="AU242" i="17"/>
  <c r="AV242" i="17"/>
  <c r="AW242" i="17"/>
  <c r="AX242" i="17"/>
  <c r="AY242" i="17"/>
  <c r="BX242" i="17"/>
  <c r="BA242" i="17"/>
  <c r="BB242" i="17"/>
  <c r="BC242" i="17"/>
  <c r="BD242" i="17"/>
  <c r="BE242" i="17"/>
  <c r="BF242" i="17"/>
  <c r="BG242" i="17"/>
  <c r="BH242" i="17"/>
  <c r="BI242" i="17"/>
  <c r="BJ242" i="17"/>
  <c r="BK242" i="17"/>
  <c r="BL242" i="17"/>
  <c r="BM242" i="17"/>
  <c r="BN242" i="17"/>
  <c r="BO242" i="17"/>
  <c r="BP242" i="17"/>
  <c r="BQ242" i="17"/>
  <c r="BR242" i="17"/>
  <c r="BS242" i="17"/>
  <c r="BT242" i="17"/>
  <c r="BU242" i="17"/>
  <c r="BV242" i="17"/>
  <c r="BW242" i="17"/>
  <c r="DW242" i="17"/>
  <c r="BY242" i="17"/>
  <c r="BZ242" i="17"/>
  <c r="CA242" i="17"/>
  <c r="CB242" i="17"/>
  <c r="CC242" i="17"/>
  <c r="CD242" i="17"/>
  <c r="CE242" i="17"/>
  <c r="CF242" i="17"/>
  <c r="CG242" i="17"/>
  <c r="CH242" i="17"/>
  <c r="CJ242" i="17"/>
  <c r="CK242" i="17"/>
  <c r="CL242" i="17"/>
  <c r="CM242" i="17"/>
  <c r="CN242" i="17"/>
  <c r="CO242" i="17"/>
  <c r="CP242" i="17"/>
  <c r="CQ242" i="17"/>
  <c r="CR242" i="17"/>
  <c r="CS242" i="17"/>
  <c r="CT242" i="17"/>
  <c r="CU242" i="17"/>
  <c r="CV242" i="17"/>
  <c r="CW242" i="17"/>
  <c r="CX242" i="17"/>
  <c r="CY242" i="17"/>
  <c r="CZ242" i="17"/>
  <c r="DA242" i="17"/>
  <c r="DB242" i="17"/>
  <c r="DC242" i="17"/>
  <c r="DD242" i="17"/>
  <c r="DE242" i="17"/>
  <c r="DF242" i="17"/>
  <c r="DG242" i="17"/>
  <c r="DH242" i="17"/>
  <c r="DI242" i="17"/>
  <c r="DJ242" i="17"/>
  <c r="DK242" i="17"/>
  <c r="DL242" i="17"/>
  <c r="DM242" i="17"/>
  <c r="DN242" i="17"/>
  <c r="DO242" i="17"/>
  <c r="DP242" i="17"/>
  <c r="DQ242" i="17"/>
  <c r="DR242" i="17"/>
  <c r="DS242" i="17"/>
  <c r="DT242" i="17"/>
  <c r="CQ166" i="17"/>
  <c r="DI166" i="17"/>
  <c r="DK166" i="17"/>
  <c r="AG166" i="17"/>
  <c r="AR166" i="17"/>
  <c r="AV166" i="17"/>
  <c r="BB166" i="17"/>
  <c r="BG166" i="17"/>
  <c r="BL166" i="17"/>
  <c r="BX166" i="17"/>
  <c r="CC166" i="17"/>
  <c r="CJ166" i="17"/>
  <c r="BC166" i="17"/>
  <c r="CU166" i="17"/>
  <c r="CX166" i="17"/>
  <c r="DC166" i="17"/>
  <c r="DH166" i="17"/>
  <c r="DN166" i="17"/>
  <c r="DP166" i="17"/>
  <c r="DT166" i="17"/>
  <c r="DU166" i="17"/>
  <c r="AF166" i="17"/>
  <c r="AK166" i="17" s="1"/>
  <c r="AO166" i="17"/>
  <c r="AY166" i="17"/>
  <c r="DQ166" i="17"/>
  <c r="BF166" i="17"/>
  <c r="BK166" i="17"/>
  <c r="BO166" i="17"/>
  <c r="BV166" i="17"/>
  <c r="CA166" i="17"/>
  <c r="CN166" i="17"/>
  <c r="CW166" i="17"/>
  <c r="DD166" i="17"/>
  <c r="DJ166" i="17"/>
  <c r="DM166" i="17"/>
  <c r="DR166" i="17"/>
  <c r="AD166" i="17"/>
  <c r="AH166" i="17"/>
  <c r="AI166" i="17"/>
  <c r="AL166" i="17"/>
  <c r="AN166" i="17"/>
  <c r="BA166" i="17"/>
  <c r="BD166" i="17"/>
  <c r="BI166" i="17"/>
  <c r="BQ166" i="17"/>
  <c r="BT166" i="17"/>
  <c r="BW166" i="17"/>
  <c r="BZ166" i="17"/>
  <c r="CF166" i="17"/>
  <c r="CK166" i="17"/>
  <c r="CP166" i="17"/>
  <c r="CS166" i="17"/>
  <c r="CV166" i="17"/>
  <c r="CZ166" i="17"/>
  <c r="DE166" i="17"/>
  <c r="DS166" i="17"/>
  <c r="DW166" i="17"/>
  <c r="AB166" i="17"/>
  <c r="AE166" i="17"/>
  <c r="AJ166" i="17"/>
  <c r="AU166" i="17"/>
  <c r="AW166" i="17"/>
  <c r="BE166" i="17"/>
  <c r="BJ166" i="17"/>
  <c r="BM166" i="17"/>
  <c r="BP166" i="17"/>
  <c r="BS166" i="17"/>
  <c r="BY166" i="17"/>
  <c r="CD166" i="17"/>
  <c r="CH166" i="17"/>
  <c r="CM166" i="17"/>
  <c r="CR166" i="17"/>
  <c r="CY166" i="17"/>
  <c r="DB166" i="17"/>
  <c r="DF166" i="17"/>
  <c r="DL166" i="17"/>
  <c r="DO166" i="17"/>
  <c r="DV166" i="17"/>
  <c r="AA166" i="17"/>
  <c r="AC166" i="17"/>
  <c r="AM166" i="17"/>
  <c r="AS166" i="17"/>
  <c r="AX166" i="17"/>
  <c r="AZ166" i="17"/>
  <c r="BH166" i="17"/>
  <c r="BN166" i="17"/>
  <c r="BR166" i="17"/>
  <c r="BU166" i="17"/>
  <c r="CB166" i="17"/>
  <c r="CE166" i="17"/>
  <c r="CG166" i="17"/>
  <c r="CL166" i="17"/>
  <c r="CO166" i="17"/>
  <c r="CT166" i="17"/>
  <c r="DA166" i="17"/>
  <c r="DG166" i="17"/>
  <c r="BK270" i="17"/>
  <c r="AG270" i="17"/>
  <c r="BJ270" i="17"/>
  <c r="AG171" i="17"/>
  <c r="BT171" i="17"/>
  <c r="CA171" i="17"/>
  <c r="CC171" i="17"/>
  <c r="CH171" i="17"/>
  <c r="DD171" i="17"/>
  <c r="DI171" i="17"/>
  <c r="DM171" i="17"/>
  <c r="DN171" i="17"/>
  <c r="DT171" i="17"/>
  <c r="BP171" i="17"/>
  <c r="BR171" i="17"/>
  <c r="BU171" i="17"/>
  <c r="CE171" i="17"/>
  <c r="DH171" i="17"/>
  <c r="DJ171" i="17"/>
  <c r="DL171" i="17"/>
  <c r="DO171" i="17"/>
  <c r="DP171" i="17"/>
  <c r="BQ171" i="17"/>
  <c r="BS171" i="17"/>
  <c r="BV171" i="17"/>
  <c r="BY171" i="17"/>
  <c r="CD171" i="17"/>
  <c r="CJ171" i="17"/>
  <c r="DF171" i="17"/>
  <c r="DQ171" i="17"/>
  <c r="DU171" i="17"/>
  <c r="CF171" i="17"/>
  <c r="DE171" i="17"/>
  <c r="DK171" i="17"/>
  <c r="DS171" i="17"/>
  <c r="DW171" i="17"/>
  <c r="BO171" i="17"/>
  <c r="BW171" i="17"/>
  <c r="BX171" i="17"/>
  <c r="BZ171" i="17"/>
  <c r="CB171" i="17"/>
  <c r="CG171" i="17"/>
  <c r="DG171" i="17"/>
  <c r="DR171" i="17"/>
  <c r="DV171" i="17"/>
  <c r="BL270" i="17"/>
  <c r="BM270" i="17"/>
  <c r="BN270" i="17"/>
  <c r="BO270" i="17"/>
  <c r="BP270" i="17"/>
  <c r="BQ270" i="17"/>
  <c r="BR270" i="17"/>
  <c r="BS270" i="17"/>
  <c r="BT270" i="17"/>
  <c r="BU270" i="17"/>
  <c r="BV270" i="17"/>
  <c r="BW270" i="17"/>
  <c r="BX270" i="17"/>
  <c r="BY270" i="17"/>
  <c r="AY80" i="17"/>
  <c r="BI80" i="17"/>
  <c r="AU80" i="17"/>
  <c r="CK80" i="17" s="1"/>
  <c r="AX80" i="17"/>
  <c r="BC80" i="17"/>
  <c r="BE80" i="17"/>
  <c r="BB80" i="17"/>
  <c r="BG80" i="17"/>
  <c r="AW80" i="17"/>
  <c r="BF80" i="17"/>
  <c r="AZ80" i="17"/>
  <c r="BH80" i="17"/>
  <c r="BD80" i="17"/>
  <c r="AV80" i="17"/>
  <c r="BA80" i="17"/>
  <c r="CJ59" i="17"/>
  <c r="CZ59" i="17"/>
  <c r="DB59" i="17"/>
  <c r="DO59" i="17"/>
  <c r="DP59" i="17"/>
  <c r="DR59" i="17"/>
  <c r="BK59" i="17"/>
  <c r="BO59" i="17"/>
  <c r="BW59" i="17"/>
  <c r="CE59" i="17"/>
  <c r="CA59" i="17"/>
  <c r="CY59" i="17"/>
  <c r="DJ59" i="17"/>
  <c r="DS59" i="17"/>
  <c r="BJ59" i="17"/>
  <c r="BR59" i="17"/>
  <c r="CB59" i="17"/>
  <c r="DE59" i="17"/>
  <c r="DH59" i="17"/>
  <c r="DW59" i="17"/>
  <c r="BM59" i="17"/>
  <c r="BS59" i="17"/>
  <c r="CD59" i="17"/>
  <c r="CF59" i="17"/>
  <c r="DD59" i="17"/>
  <c r="DL59" i="17"/>
  <c r="DT59" i="17"/>
  <c r="BU59" i="17"/>
  <c r="BZ59" i="17"/>
  <c r="CH59" i="17"/>
  <c r="DF59" i="17"/>
  <c r="DM59" i="17"/>
  <c r="BV59" i="17"/>
  <c r="DC59" i="17"/>
  <c r="BN59" i="17"/>
  <c r="BT59" i="17"/>
  <c r="BY59" i="17"/>
  <c r="DA59" i="17"/>
  <c r="DI59" i="17"/>
  <c r="DN59" i="17"/>
  <c r="DV59" i="17"/>
  <c r="AG59" i="17"/>
  <c r="BL59" i="17"/>
  <c r="BP59" i="17"/>
  <c r="CC59" i="17"/>
  <c r="CG59" i="17"/>
  <c r="DG59" i="17"/>
  <c r="DK59" i="17"/>
  <c r="DQ59" i="17"/>
  <c r="DU59" i="17"/>
  <c r="BQ59" i="17"/>
  <c r="BX59" i="17"/>
  <c r="CA270" i="17"/>
  <c r="CB270" i="17"/>
  <c r="CC270" i="17"/>
  <c r="CD270" i="17"/>
  <c r="CE270" i="17"/>
  <c r="CF270" i="17"/>
  <c r="CG270" i="17"/>
  <c r="CH270" i="17"/>
  <c r="CJ270" i="17"/>
  <c r="CZ270" i="17"/>
  <c r="DA270" i="17"/>
  <c r="DB270" i="17"/>
  <c r="DC270" i="17"/>
  <c r="DD270" i="17"/>
  <c r="DE270" i="17"/>
  <c r="DF270" i="17"/>
  <c r="DG270" i="17"/>
  <c r="DH270" i="17"/>
  <c r="CY270" i="17"/>
  <c r="BZ270" i="17"/>
  <c r="CQ50" i="17"/>
  <c r="DC50" i="17"/>
  <c r="DR50" i="17"/>
  <c r="AI50" i="17"/>
  <c r="AN50" i="17"/>
  <c r="BA50" i="17"/>
  <c r="BK50" i="17"/>
  <c r="BN50" i="17"/>
  <c r="BS50" i="17"/>
  <c r="BW50" i="17"/>
  <c r="CC50" i="17"/>
  <c r="CK50" i="17"/>
  <c r="DQ50" i="17"/>
  <c r="DF50" i="17"/>
  <c r="DL50" i="17"/>
  <c r="DP50" i="17"/>
  <c r="DS50" i="17"/>
  <c r="BO50" i="17"/>
  <c r="BR50" i="17"/>
  <c r="CA50" i="17"/>
  <c r="CJ50" i="17"/>
  <c r="CN50" i="17"/>
  <c r="DE50" i="17"/>
  <c r="DK50" i="17"/>
  <c r="DW50" i="17"/>
  <c r="AA50" i="17"/>
  <c r="AC50" i="17"/>
  <c r="AL50" i="17"/>
  <c r="AR50" i="17"/>
  <c r="AW50" i="17"/>
  <c r="BC50" i="17"/>
  <c r="BI50" i="17"/>
  <c r="BL50" i="17"/>
  <c r="BT50" i="17"/>
  <c r="BX50" i="17"/>
  <c r="CL50" i="17"/>
  <c r="CT50" i="17"/>
  <c r="CY50" i="17"/>
  <c r="DT50" i="17"/>
  <c r="DV50" i="17"/>
  <c r="AH50" i="17"/>
  <c r="AM50" i="17"/>
  <c r="AU50" i="17"/>
  <c r="AV50" i="17"/>
  <c r="AX50" i="17"/>
  <c r="AZ50" i="17"/>
  <c r="BD50" i="17"/>
  <c r="BF50" i="17"/>
  <c r="BH50" i="17"/>
  <c r="BQ50" i="17"/>
  <c r="BU50" i="17"/>
  <c r="CO50" i="17"/>
  <c r="CP50" i="17"/>
  <c r="CU50" i="17"/>
  <c r="CX50" i="17"/>
  <c r="CZ50" i="17"/>
  <c r="DB50" i="17"/>
  <c r="DI50" i="17"/>
  <c r="DJ50" i="17"/>
  <c r="DN50" i="17"/>
  <c r="AD50" i="17"/>
  <c r="AG50" i="17"/>
  <c r="AJ50" i="17"/>
  <c r="AS50" i="17"/>
  <c r="BJ50" i="17"/>
  <c r="BV50" i="17"/>
  <c r="BZ50" i="17"/>
  <c r="CG50" i="17"/>
  <c r="CM50" i="17"/>
  <c r="CR50" i="17"/>
  <c r="DA50" i="17"/>
  <c r="DG50" i="17"/>
  <c r="AE50" i="17"/>
  <c r="AY50" i="17"/>
  <c r="BG50" i="17"/>
  <c r="CD50" i="17"/>
  <c r="CS50" i="17"/>
  <c r="CV50" i="17"/>
  <c r="DH50" i="17"/>
  <c r="AB50" i="17"/>
  <c r="AF50" i="17"/>
  <c r="AK50" i="17" s="1"/>
  <c r="BE50" i="17"/>
  <c r="BM50" i="17"/>
  <c r="CE50" i="17"/>
  <c r="CF50" i="17"/>
  <c r="CW50" i="17"/>
  <c r="DD50" i="17"/>
  <c r="DM50" i="17"/>
  <c r="DO50" i="17"/>
  <c r="DU50" i="17"/>
  <c r="AO50" i="17"/>
  <c r="BB50" i="17"/>
  <c r="BP50" i="17"/>
  <c r="BY50" i="17"/>
  <c r="CB50" i="17"/>
  <c r="CH50" i="17"/>
  <c r="DJ270" i="17"/>
  <c r="DK270" i="17"/>
  <c r="DI270" i="17"/>
  <c r="DL270" i="17"/>
  <c r="DM270" i="17"/>
  <c r="DN270" i="17"/>
  <c r="DO270" i="17"/>
  <c r="DP270" i="17"/>
  <c r="DQ270" i="17"/>
  <c r="DR270" i="17"/>
  <c r="DS270" i="17"/>
  <c r="DT270" i="17"/>
  <c r="DU270" i="17"/>
  <c r="DV270" i="17"/>
  <c r="DW270" i="17"/>
  <c r="AG250" i="17"/>
  <c r="BO250" i="17"/>
  <c r="BP250" i="17"/>
  <c r="BQ250" i="17"/>
  <c r="BR250" i="17"/>
  <c r="BS250" i="17"/>
  <c r="BT250" i="17"/>
  <c r="BU250" i="17"/>
  <c r="BV250" i="17"/>
  <c r="BW250" i="17"/>
  <c r="BX250" i="17"/>
  <c r="BY250" i="17"/>
  <c r="BZ250" i="17"/>
  <c r="CA250" i="17"/>
  <c r="CB250" i="17"/>
  <c r="CC250" i="17"/>
  <c r="CD250" i="17"/>
  <c r="CE250" i="17"/>
  <c r="CF250" i="17"/>
  <c r="CG250" i="17"/>
  <c r="CH250" i="17"/>
  <c r="CJ250" i="17"/>
  <c r="DD250" i="17"/>
  <c r="DE250" i="17"/>
  <c r="DF250" i="17"/>
  <c r="DG250" i="17"/>
  <c r="DH250" i="17"/>
  <c r="DI250" i="17"/>
  <c r="DJ250" i="17"/>
  <c r="DK250" i="17"/>
  <c r="DL250" i="17"/>
  <c r="DM250" i="17"/>
  <c r="DN250" i="17"/>
  <c r="DO250" i="17"/>
  <c r="DP250" i="17"/>
  <c r="DQ250" i="17"/>
  <c r="DR250" i="17"/>
  <c r="DS250" i="17"/>
  <c r="DT250" i="17"/>
  <c r="DU250" i="17"/>
  <c r="DV250" i="17"/>
  <c r="DW250" i="17"/>
  <c r="AG155" i="17"/>
  <c r="BJ155" i="17"/>
  <c r="BQ155" i="17"/>
  <c r="BU155" i="17"/>
  <c r="CC155" i="17"/>
  <c r="DE155" i="17"/>
  <c r="DL155" i="17"/>
  <c r="DN155" i="17"/>
  <c r="DT155" i="17"/>
  <c r="DW155" i="17"/>
  <c r="BK155" i="17"/>
  <c r="BN155" i="17"/>
  <c r="BT155" i="17"/>
  <c r="BY155" i="17"/>
  <c r="CF155" i="17"/>
  <c r="DO155" i="17"/>
  <c r="CZ155" i="17"/>
  <c r="DR155" i="17"/>
  <c r="BS155" i="17"/>
  <c r="BX155" i="17"/>
  <c r="CG155" i="17"/>
  <c r="CJ155" i="17"/>
  <c r="CY155" i="17"/>
  <c r="DD155" i="17"/>
  <c r="DG155" i="17"/>
  <c r="DI155" i="17"/>
  <c r="DK155" i="17"/>
  <c r="DP155" i="17"/>
  <c r="BM155" i="17"/>
  <c r="BR155" i="17"/>
  <c r="BW155" i="17"/>
  <c r="BZ155" i="17"/>
  <c r="CD155" i="17"/>
  <c r="DA155" i="17"/>
  <c r="DM155" i="17"/>
  <c r="BL155" i="17"/>
  <c r="BO155" i="17"/>
  <c r="CA155" i="17"/>
  <c r="CB155" i="17"/>
  <c r="DC155" i="17"/>
  <c r="DJ155" i="17"/>
  <c r="DU155" i="17"/>
  <c r="BP155" i="17"/>
  <c r="BV155" i="17"/>
  <c r="CE155" i="17"/>
  <c r="CH155" i="17"/>
  <c r="DB155" i="17"/>
  <c r="DF155" i="17"/>
  <c r="DH155" i="17"/>
  <c r="DQ155" i="17"/>
  <c r="DS155" i="17"/>
  <c r="DV155" i="17"/>
  <c r="BP190" i="17"/>
  <c r="BZ190" i="17"/>
  <c r="CZ190" i="17"/>
  <c r="DO190" i="17"/>
  <c r="DV190" i="17"/>
  <c r="CY190" i="17"/>
  <c r="DP190" i="17"/>
  <c r="BM190" i="17"/>
  <c r="CC190" i="17"/>
  <c r="DA190" i="17"/>
  <c r="DK190" i="17"/>
  <c r="DQ190" i="17"/>
  <c r="BL190" i="17"/>
  <c r="CA190" i="17"/>
  <c r="DD190" i="17"/>
  <c r="DS190" i="17"/>
  <c r="BN190" i="17"/>
  <c r="BQ190" i="17"/>
  <c r="BX190" i="17"/>
  <c r="CF190" i="17"/>
  <c r="DB190" i="17"/>
  <c r="DG190" i="17"/>
  <c r="DI190" i="17"/>
  <c r="DW190" i="17"/>
  <c r="BJ190" i="17"/>
  <c r="BS190" i="17"/>
  <c r="BV190" i="17"/>
  <c r="CD190" i="17"/>
  <c r="CH190" i="17"/>
  <c r="DC190" i="17"/>
  <c r="DF190" i="17"/>
  <c r="DR190" i="17"/>
  <c r="DL190" i="17"/>
  <c r="DU190" i="17"/>
  <c r="BK190" i="17"/>
  <c r="BO190" i="17"/>
  <c r="BU190" i="17"/>
  <c r="BY190" i="17"/>
  <c r="CG190" i="17"/>
  <c r="DH190" i="17"/>
  <c r="DM190" i="17"/>
  <c r="DT190" i="17"/>
  <c r="BR190" i="17"/>
  <c r="BW190" i="17"/>
  <c r="CE190" i="17"/>
  <c r="DJ190" i="17"/>
  <c r="AG190" i="17"/>
  <c r="BT190" i="17"/>
  <c r="CB190" i="17"/>
  <c r="CJ190" i="17"/>
  <c r="DE190" i="17"/>
  <c r="DN190" i="17"/>
  <c r="AY91" i="17"/>
  <c r="DK91" i="17"/>
  <c r="DH91" i="17"/>
  <c r="CZ91" i="17"/>
  <c r="BZ91" i="17"/>
  <c r="BQ91" i="17"/>
  <c r="BO91" i="17"/>
  <c r="BJ91" i="17"/>
  <c r="BD91" i="17"/>
  <c r="DJ91" i="17"/>
  <c r="DB91" i="17"/>
  <c r="DF91" i="17"/>
  <c r="BU91" i="17"/>
  <c r="BK91" i="17"/>
  <c r="AG91" i="17"/>
  <c r="BG91" i="17"/>
  <c r="BB91" i="17"/>
  <c r="BW91" i="17"/>
  <c r="BY91" i="17"/>
  <c r="CB91" i="17"/>
  <c r="CE91" i="17"/>
  <c r="CJ91" i="17"/>
  <c r="DL91" i="17"/>
  <c r="DR91" i="17"/>
  <c r="AW91" i="17"/>
  <c r="BA91" i="17"/>
  <c r="BH91" i="17"/>
  <c r="BM91" i="17"/>
  <c r="BP91" i="17"/>
  <c r="BS91" i="17"/>
  <c r="DG91" i="17"/>
  <c r="DM91" i="17"/>
  <c r="DS91" i="17"/>
  <c r="DV91" i="17"/>
  <c r="AU91" i="17"/>
  <c r="BF91" i="17"/>
  <c r="BL91" i="17"/>
  <c r="BV91" i="17"/>
  <c r="CD91" i="17"/>
  <c r="DN91" i="17"/>
  <c r="DT91" i="17"/>
  <c r="AX91" i="17"/>
  <c r="BE91" i="17"/>
  <c r="BI91" i="17"/>
  <c r="BX91" i="17"/>
  <c r="CA91" i="17"/>
  <c r="CG91" i="17"/>
  <c r="CY91" i="17"/>
  <c r="DD91" i="17"/>
  <c r="DW91" i="17"/>
  <c r="AV91" i="17"/>
  <c r="AZ91" i="17"/>
  <c r="BC91" i="17"/>
  <c r="BN91" i="17"/>
  <c r="BR91" i="17"/>
  <c r="BT91" i="17"/>
  <c r="CC91" i="17"/>
  <c r="CF91" i="17"/>
  <c r="CH91" i="17"/>
  <c r="DA91" i="17"/>
  <c r="DC91" i="17"/>
  <c r="DE91" i="17"/>
  <c r="DI91" i="17"/>
  <c r="DO91" i="17"/>
  <c r="DP91" i="17"/>
  <c r="DQ91" i="17"/>
  <c r="DU91" i="17"/>
  <c r="CW259" i="17"/>
  <c r="CX259" i="17"/>
  <c r="CY259" i="17"/>
  <c r="CZ259" i="17"/>
  <c r="DA259" i="17"/>
  <c r="DB259" i="17"/>
  <c r="DC259" i="17"/>
  <c r="DE259" i="17"/>
  <c r="DG259" i="17"/>
  <c r="DL259" i="17"/>
  <c r="DN259" i="17"/>
  <c r="DO259" i="17"/>
  <c r="DQ259" i="17"/>
  <c r="DR259" i="17"/>
  <c r="DS259" i="17"/>
  <c r="DT259" i="17"/>
  <c r="DU259" i="17"/>
  <c r="DW259" i="17"/>
  <c r="AB259" i="17"/>
  <c r="AE259" i="17"/>
  <c r="AI259" i="17"/>
  <c r="AM259" i="17"/>
  <c r="AU259" i="17"/>
  <c r="AY259" i="17"/>
  <c r="BC259" i="17"/>
  <c r="BH259" i="17"/>
  <c r="BM259" i="17"/>
  <c r="BP259" i="17"/>
  <c r="BS259" i="17"/>
  <c r="CB259" i="17"/>
  <c r="CE259" i="17"/>
  <c r="CG259" i="17"/>
  <c r="CN259" i="17"/>
  <c r="CQ259" i="17"/>
  <c r="CS259" i="17"/>
  <c r="CU259" i="17"/>
  <c r="DD259" i="17"/>
  <c r="DF259" i="17"/>
  <c r="DH259" i="17"/>
  <c r="DI259" i="17"/>
  <c r="DJ259" i="17"/>
  <c r="DK259" i="17"/>
  <c r="DM259" i="17"/>
  <c r="DP259" i="17"/>
  <c r="DV259" i="17"/>
  <c r="BQ259" i="17"/>
  <c r="AA259" i="17"/>
  <c r="AC259" i="17"/>
  <c r="AD259" i="17"/>
  <c r="AF259" i="17"/>
  <c r="AK259" i="17" s="1"/>
  <c r="AG259" i="17"/>
  <c r="AH259" i="17"/>
  <c r="AJ259" i="17"/>
  <c r="AL259" i="17"/>
  <c r="AN259" i="17"/>
  <c r="AO259" i="17"/>
  <c r="AR259" i="17"/>
  <c r="AS259" i="17"/>
  <c r="AV259" i="17"/>
  <c r="AW259" i="17"/>
  <c r="AX259" i="17"/>
  <c r="AZ259" i="17"/>
  <c r="BA259" i="17"/>
  <c r="BB259" i="17"/>
  <c r="BD259" i="17"/>
  <c r="BE259" i="17"/>
  <c r="BF259" i="17"/>
  <c r="BG259" i="17"/>
  <c r="BI259" i="17"/>
  <c r="BJ259" i="17"/>
  <c r="BK259" i="17"/>
  <c r="BL259" i="17"/>
  <c r="BN259" i="17"/>
  <c r="BO259" i="17"/>
  <c r="BR259" i="17"/>
  <c r="BT259" i="17"/>
  <c r="BU259" i="17"/>
  <c r="BV259" i="17"/>
  <c r="BW259" i="17"/>
  <c r="BX259" i="17"/>
  <c r="BY259" i="17"/>
  <c r="BZ259" i="17"/>
  <c r="CA259" i="17"/>
  <c r="CC259" i="17"/>
  <c r="CD259" i="17"/>
  <c r="CF259" i="17"/>
  <c r="CH259" i="17"/>
  <c r="CJ259" i="17"/>
  <c r="CK259" i="17"/>
  <c r="CL259" i="17"/>
  <c r="CM259" i="17"/>
  <c r="CO259" i="17"/>
  <c r="CP259" i="17"/>
  <c r="CR259" i="17"/>
  <c r="CT259" i="17"/>
  <c r="CV259" i="17"/>
  <c r="BN227" i="17"/>
  <c r="BM227" i="17"/>
  <c r="BL227" i="17"/>
  <c r="BK227" i="17"/>
  <c r="BJ227" i="17"/>
  <c r="BI227" i="17"/>
  <c r="BH227" i="17"/>
  <c r="BG227" i="17"/>
  <c r="BF227" i="17"/>
  <c r="BE227" i="17"/>
  <c r="AG227" i="17"/>
  <c r="BU227" i="17"/>
  <c r="BV227" i="17"/>
  <c r="BW227" i="17"/>
  <c r="BX227" i="17"/>
  <c r="BY227" i="17"/>
  <c r="BZ227" i="17"/>
  <c r="CA227" i="17"/>
  <c r="CB227" i="17"/>
  <c r="CC227" i="17"/>
  <c r="CD227" i="17"/>
  <c r="CE227" i="17"/>
  <c r="CF227" i="17"/>
  <c r="CG227" i="17"/>
  <c r="CH227" i="17"/>
  <c r="CJ227" i="17"/>
  <c r="CT227" i="17"/>
  <c r="CU227" i="17"/>
  <c r="CV227" i="17"/>
  <c r="CW227" i="17"/>
  <c r="CX227" i="17"/>
  <c r="CY227" i="17"/>
  <c r="CZ227" i="17"/>
  <c r="BT227" i="17"/>
  <c r="DA227" i="17"/>
  <c r="DB227" i="17"/>
  <c r="DC227" i="17"/>
  <c r="DD227" i="17"/>
  <c r="DE227" i="17"/>
  <c r="DF227" i="17"/>
  <c r="DG227" i="17"/>
  <c r="DH227" i="17"/>
  <c r="DI227" i="17"/>
  <c r="DJ227" i="17"/>
  <c r="DK227" i="17"/>
  <c r="DL227" i="17"/>
  <c r="DM227" i="17"/>
  <c r="DN227" i="17"/>
  <c r="DO227" i="17"/>
  <c r="DP227" i="17"/>
  <c r="DQ227" i="17"/>
  <c r="DR227" i="17"/>
  <c r="DS227" i="17"/>
  <c r="DT227" i="17"/>
  <c r="DU227" i="17"/>
  <c r="DV227" i="17"/>
  <c r="DW227" i="17"/>
  <c r="BS227" i="17"/>
  <c r="BR227" i="17"/>
  <c r="BQ227" i="17"/>
  <c r="BP227" i="17"/>
  <c r="BO227" i="17"/>
  <c r="AE144" i="17"/>
  <c r="BC144" i="17"/>
  <c r="BM144" i="17"/>
  <c r="BQ144" i="17"/>
  <c r="CB144" i="17"/>
  <c r="CG144" i="17"/>
  <c r="CM144" i="17"/>
  <c r="CR144" i="17"/>
  <c r="CT144" i="17"/>
  <c r="CU144" i="17"/>
  <c r="CZ144" i="17"/>
  <c r="DH144" i="17"/>
  <c r="DK144" i="17"/>
  <c r="DO144" i="17"/>
  <c r="AB144" i="17"/>
  <c r="AS144" i="17"/>
  <c r="AW144" i="17"/>
  <c r="AZ144" i="17"/>
  <c r="BG144" i="17"/>
  <c r="BK144" i="17"/>
  <c r="BR144" i="17"/>
  <c r="CE144" i="17"/>
  <c r="CJ144" i="17"/>
  <c r="CO144" i="17"/>
  <c r="CS144" i="17"/>
  <c r="DC144" i="17"/>
  <c r="DI144" i="17"/>
  <c r="DL144" i="17"/>
  <c r="DP144" i="17"/>
  <c r="DW144" i="17"/>
  <c r="AF144" i="17"/>
  <c r="AK144" i="17" s="1"/>
  <c r="AI144" i="17"/>
  <c r="AL144" i="17"/>
  <c r="AV144" i="17"/>
  <c r="BB144" i="17"/>
  <c r="BI144" i="17"/>
  <c r="BN144" i="17"/>
  <c r="BP144" i="17"/>
  <c r="BT144" i="17"/>
  <c r="BX144" i="17"/>
  <c r="CH144" i="17"/>
  <c r="CN144" i="17"/>
  <c r="CW144" i="17"/>
  <c r="DE144" i="17"/>
  <c r="DN144" i="17"/>
  <c r="DQ144" i="17"/>
  <c r="DV144" i="17"/>
  <c r="AD144" i="17"/>
  <c r="AJ144" i="17"/>
  <c r="AN144" i="17"/>
  <c r="AX144" i="17"/>
  <c r="BD144" i="17"/>
  <c r="BJ144" i="17"/>
  <c r="BW144" i="17"/>
  <c r="CK144" i="17"/>
  <c r="CQ144" i="17"/>
  <c r="CX144" i="17"/>
  <c r="DG144" i="17"/>
  <c r="DJ144" i="17"/>
  <c r="DT144" i="17"/>
  <c r="AA144" i="17"/>
  <c r="AC144" i="17"/>
  <c r="AG144" i="17"/>
  <c r="AM144" i="17"/>
  <c r="AO144" i="17"/>
  <c r="AU144" i="17"/>
  <c r="BA144" i="17"/>
  <c r="BE144" i="17"/>
  <c r="BF144" i="17"/>
  <c r="BH144" i="17"/>
  <c r="BL144" i="17"/>
  <c r="BO144" i="17"/>
  <c r="BS144" i="17"/>
  <c r="BV144" i="17"/>
  <c r="BY144" i="17"/>
  <c r="CA144" i="17"/>
  <c r="CC144" i="17"/>
  <c r="CF144" i="17"/>
  <c r="CY144" i="17"/>
  <c r="DA144" i="17"/>
  <c r="DD144" i="17"/>
  <c r="DF144" i="17"/>
  <c r="DM144" i="17"/>
  <c r="DR144" i="17"/>
  <c r="DU144" i="17"/>
  <c r="AH144" i="17"/>
  <c r="AR144" i="17"/>
  <c r="AY144" i="17"/>
  <c r="BU144" i="17"/>
  <c r="BZ144" i="17"/>
  <c r="CD144" i="17"/>
  <c r="CL144" i="17"/>
  <c r="CP144" i="17"/>
  <c r="CV144" i="17"/>
  <c r="DB144" i="17"/>
  <c r="DS144" i="17"/>
  <c r="BR60" i="17"/>
  <c r="BU60" i="17"/>
  <c r="BW60" i="17"/>
  <c r="DE60" i="17"/>
  <c r="DG60" i="17"/>
  <c r="DO60" i="17"/>
  <c r="DQ60" i="17"/>
  <c r="DT60" i="17"/>
  <c r="BL60" i="17"/>
  <c r="CB60" i="17"/>
  <c r="BO60" i="17"/>
  <c r="BQ60" i="17"/>
  <c r="CE60" i="17"/>
  <c r="CG60" i="17"/>
  <c r="CJ60" i="17"/>
  <c r="CZ60" i="17"/>
  <c r="DD60" i="17"/>
  <c r="DI60" i="17"/>
  <c r="DM60" i="17"/>
  <c r="DR60" i="17"/>
  <c r="DU60" i="17"/>
  <c r="BT60" i="17"/>
  <c r="DB60" i="17"/>
  <c r="DJ60" i="17"/>
  <c r="DV60" i="17"/>
  <c r="AG60" i="17"/>
  <c r="BK60" i="17"/>
  <c r="BP60" i="17"/>
  <c r="BX60" i="17"/>
  <c r="CA60" i="17"/>
  <c r="CD60" i="17"/>
  <c r="DH60" i="17"/>
  <c r="DK60" i="17"/>
  <c r="DS60" i="17"/>
  <c r="BM60" i="17"/>
  <c r="BS60" i="17"/>
  <c r="BY60" i="17"/>
  <c r="CC60" i="17"/>
  <c r="CH60" i="17"/>
  <c r="CY60" i="17"/>
  <c r="DF60" i="17"/>
  <c r="DN60" i="17"/>
  <c r="DW60" i="17"/>
  <c r="BJ60" i="17"/>
  <c r="BN60" i="17"/>
  <c r="BV60" i="17"/>
  <c r="BZ60" i="17"/>
  <c r="CF60" i="17"/>
  <c r="DA60" i="17"/>
  <c r="DC60" i="17"/>
  <c r="DL60" i="17"/>
  <c r="DP60" i="17"/>
  <c r="BY140" i="17"/>
  <c r="CH140" i="17"/>
  <c r="CZ140" i="17"/>
  <c r="DH140" i="17"/>
  <c r="DR140" i="17"/>
  <c r="DS140" i="17"/>
  <c r="DW140" i="17"/>
  <c r="BJ140" i="17"/>
  <c r="BN140" i="17"/>
  <c r="BX140" i="17"/>
  <c r="BZ140" i="17"/>
  <c r="CB140" i="17"/>
  <c r="CY140" i="17"/>
  <c r="DA140" i="17"/>
  <c r="DK140" i="17"/>
  <c r="DN140" i="17"/>
  <c r="DP140" i="17"/>
  <c r="BL140" i="17"/>
  <c r="DF140" i="17"/>
  <c r="DT140" i="17"/>
  <c r="AG140" i="17"/>
  <c r="BO140" i="17"/>
  <c r="BT140" i="17"/>
  <c r="CA140" i="17"/>
  <c r="CC140" i="17"/>
  <c r="CF140" i="17"/>
  <c r="DC140" i="17"/>
  <c r="DI140" i="17"/>
  <c r="DM140" i="17"/>
  <c r="BP140" i="17"/>
  <c r="DB140" i="17"/>
  <c r="DV140" i="17"/>
  <c r="BQ140" i="17"/>
  <c r="BS140" i="17"/>
  <c r="BU140" i="17"/>
  <c r="BV140" i="17"/>
  <c r="CE140" i="17"/>
  <c r="CG140" i="17"/>
  <c r="DE140" i="17"/>
  <c r="DG140" i="17"/>
  <c r="DJ140" i="17"/>
  <c r="DO140" i="17"/>
  <c r="BK140" i="17"/>
  <c r="BM140" i="17"/>
  <c r="BR140" i="17"/>
  <c r="BW140" i="17"/>
  <c r="CD140" i="17"/>
  <c r="CJ140" i="17"/>
  <c r="DD140" i="17"/>
  <c r="DL140" i="17"/>
  <c r="DQ140" i="17"/>
  <c r="DU140" i="17"/>
  <c r="BP258" i="17"/>
  <c r="BQ258" i="17"/>
  <c r="BR258" i="17"/>
  <c r="BU258" i="17"/>
  <c r="BW258" i="17"/>
  <c r="BZ258" i="17"/>
  <c r="CE258" i="17"/>
  <c r="DD258" i="17"/>
  <c r="DE258" i="17"/>
  <c r="DJ258" i="17"/>
  <c r="DO258" i="17"/>
  <c r="DQ258" i="17"/>
  <c r="DT258" i="17"/>
  <c r="BO258" i="17"/>
  <c r="BY258" i="17"/>
  <c r="CF258" i="17"/>
  <c r="CJ258" i="17"/>
  <c r="DP258" i="17"/>
  <c r="AG258" i="17"/>
  <c r="BT258" i="17"/>
  <c r="BX258" i="17"/>
  <c r="CB258" i="17"/>
  <c r="CC258" i="17"/>
  <c r="CG258" i="17"/>
  <c r="DG258" i="17"/>
  <c r="DL258" i="17"/>
  <c r="DN258" i="17"/>
  <c r="DR258" i="17"/>
  <c r="DU258" i="17"/>
  <c r="BV258" i="17"/>
  <c r="CD258" i="17"/>
  <c r="DF258" i="17"/>
  <c r="DI258" i="17"/>
  <c r="DK258" i="17"/>
  <c r="DS258" i="17"/>
  <c r="CH258" i="17"/>
  <c r="DW258" i="17"/>
  <c r="BS258" i="17"/>
  <c r="CA258" i="17"/>
  <c r="DH258" i="17"/>
  <c r="DM258" i="17"/>
  <c r="DV258" i="17"/>
  <c r="AG176" i="17"/>
  <c r="AV176" i="17"/>
  <c r="AZ176" i="17"/>
  <c r="BD176" i="17"/>
  <c r="BF176" i="17"/>
  <c r="BH176" i="17"/>
  <c r="BJ176" i="17"/>
  <c r="BM176" i="17"/>
  <c r="BQ176" i="17"/>
  <c r="BT176" i="17"/>
  <c r="BV176" i="17"/>
  <c r="BX176" i="17"/>
  <c r="CB176" i="17"/>
  <c r="CG176" i="17"/>
  <c r="CJ176" i="17"/>
  <c r="CN176" i="17"/>
  <c r="CP176" i="17"/>
  <c r="CR176" i="17"/>
  <c r="CX176" i="17"/>
  <c r="DC176" i="17"/>
  <c r="DF176" i="17"/>
  <c r="DJ176" i="17"/>
  <c r="DP176" i="17"/>
  <c r="DT176" i="17"/>
  <c r="DW176" i="17"/>
  <c r="AA176" i="17"/>
  <c r="AF176" i="17"/>
  <c r="AK176" i="17" s="1"/>
  <c r="AL176" i="17"/>
  <c r="AO176" i="17"/>
  <c r="AR176" i="17"/>
  <c r="AY176" i="17"/>
  <c r="BA176" i="17"/>
  <c r="BC176" i="17"/>
  <c r="BE176" i="17"/>
  <c r="BK176" i="17"/>
  <c r="BN176" i="17"/>
  <c r="BS176" i="17"/>
  <c r="CA176" i="17"/>
  <c r="CC176" i="17"/>
  <c r="CF176" i="17"/>
  <c r="CK176" i="17"/>
  <c r="CM176" i="17"/>
  <c r="CT176" i="17"/>
  <c r="DG176" i="17"/>
  <c r="DM176" i="17"/>
  <c r="DO176" i="17"/>
  <c r="DS176" i="17"/>
  <c r="AE176" i="17"/>
  <c r="AH176" i="17"/>
  <c r="AM176" i="17"/>
  <c r="AX176" i="17"/>
  <c r="BG176" i="17"/>
  <c r="BO176" i="17"/>
  <c r="BW176" i="17"/>
  <c r="BZ176" i="17"/>
  <c r="CE176" i="17"/>
  <c r="CV176" i="17"/>
  <c r="CZ176" i="17"/>
  <c r="DB176" i="17"/>
  <c r="DE176" i="17"/>
  <c r="DN176" i="17"/>
  <c r="DR176" i="17"/>
  <c r="DV176" i="17"/>
  <c r="AC176" i="17"/>
  <c r="AI176" i="17"/>
  <c r="AD176" i="17"/>
  <c r="CL176" i="17"/>
  <c r="CQ176" i="17"/>
  <c r="CS176" i="17"/>
  <c r="CW176" i="17"/>
  <c r="DA176" i="17"/>
  <c r="DI176" i="17"/>
  <c r="DL176" i="17"/>
  <c r="AB176" i="17"/>
  <c r="AJ176" i="17"/>
  <c r="AN176" i="17"/>
  <c r="AU176" i="17"/>
  <c r="AW176" i="17"/>
  <c r="BB176" i="17"/>
  <c r="BI176" i="17"/>
  <c r="BL176" i="17"/>
  <c r="BP176" i="17"/>
  <c r="BR176" i="17"/>
  <c r="BU176" i="17"/>
  <c r="BY176" i="17"/>
  <c r="CD176" i="17"/>
  <c r="CH176" i="17"/>
  <c r="AS176" i="17"/>
  <c r="BO199" i="17"/>
  <c r="BP199" i="17"/>
  <c r="BS199" i="17"/>
  <c r="BW199" i="17"/>
  <c r="BY199" i="17"/>
  <c r="CA199" i="17"/>
  <c r="CB199" i="17"/>
  <c r="CD199" i="17"/>
  <c r="CF199" i="17"/>
  <c r="CG199" i="17"/>
  <c r="CJ199" i="17"/>
  <c r="DD199" i="17"/>
  <c r="DG199" i="17"/>
  <c r="DI199" i="17"/>
  <c r="DK199" i="17"/>
  <c r="DN199" i="17"/>
  <c r="DP199" i="17"/>
  <c r="DR199" i="17"/>
  <c r="DT199" i="17"/>
  <c r="DV199" i="17"/>
  <c r="AG199" i="17"/>
  <c r="BQ199" i="17"/>
  <c r="BR199" i="17"/>
  <c r="BT199" i="17"/>
  <c r="BU199" i="17"/>
  <c r="BV199" i="17"/>
  <c r="BX199" i="17"/>
  <c r="BZ199" i="17"/>
  <c r="CC199" i="17"/>
  <c r="CE199" i="17"/>
  <c r="CH199" i="17"/>
  <c r="DE199" i="17"/>
  <c r="DF199" i="17"/>
  <c r="DH199" i="17"/>
  <c r="DJ199" i="17"/>
  <c r="DL199" i="17"/>
  <c r="DM199" i="17"/>
  <c r="DO199" i="17"/>
  <c r="DQ199" i="17"/>
  <c r="DS199" i="17"/>
  <c r="DU199" i="17"/>
  <c r="DW199" i="17"/>
  <c r="DK176" i="17"/>
  <c r="DH176" i="17"/>
  <c r="DD176" i="17"/>
  <c r="CY176" i="17"/>
  <c r="CU176" i="17"/>
  <c r="CO176" i="17"/>
  <c r="DU176" i="17"/>
  <c r="DQ176" i="17"/>
  <c r="CG164" i="17"/>
  <c r="CD164" i="17"/>
  <c r="CA164" i="17"/>
  <c r="BY164" i="17"/>
  <c r="BT164" i="17"/>
  <c r="BQ164" i="17"/>
  <c r="BJ164" i="17"/>
  <c r="BH164" i="17"/>
  <c r="BF164" i="17"/>
  <c r="BE164" i="17"/>
  <c r="BB164" i="17"/>
  <c r="AM164" i="17"/>
  <c r="AY164" i="17"/>
  <c r="AU164" i="17"/>
  <c r="AE164" i="17"/>
  <c r="AB164" i="17"/>
  <c r="DS164" i="17"/>
  <c r="DM164" i="17"/>
  <c r="DJ164" i="17"/>
  <c r="DB164" i="17"/>
  <c r="CX164" i="17"/>
  <c r="CK164" i="17"/>
  <c r="CE164" i="17"/>
  <c r="BW164" i="17"/>
  <c r="BU164" i="17"/>
  <c r="BM164" i="17"/>
  <c r="BI164" i="17"/>
  <c r="AV164" i="17"/>
  <c r="AR164" i="17"/>
  <c r="AJ164" i="17"/>
  <c r="AH164" i="17"/>
  <c r="AD164" i="17"/>
  <c r="DQ164" i="17"/>
  <c r="DO164" i="17"/>
  <c r="DL164" i="17"/>
  <c r="DH164" i="17"/>
  <c r="DF164" i="17"/>
  <c r="DE164" i="17"/>
  <c r="DC164" i="17"/>
  <c r="CY164" i="17"/>
  <c r="CV164" i="17"/>
  <c r="CT164" i="17"/>
  <c r="DV164" i="17"/>
  <c r="DT164" i="17"/>
  <c r="CL164" i="17"/>
  <c r="DP164" i="17"/>
  <c r="DK164" i="17"/>
  <c r="DI164" i="17"/>
  <c r="DD164" i="17"/>
  <c r="CZ164" i="17"/>
  <c r="CR164" i="17"/>
  <c r="CP164" i="17"/>
  <c r="BS164" i="17"/>
  <c r="CH164" i="17"/>
  <c r="CF164" i="17"/>
  <c r="CC164" i="17"/>
  <c r="CB164" i="17"/>
  <c r="CN164" i="17"/>
  <c r="BX164" i="17"/>
  <c r="BR164" i="17"/>
  <c r="BP164" i="17"/>
  <c r="BN164" i="17"/>
  <c r="BK164" i="17"/>
  <c r="BA164" i="17"/>
  <c r="AX164" i="17"/>
  <c r="AW164" i="17"/>
  <c r="AS164" i="17"/>
  <c r="AN164" i="17"/>
  <c r="AL164" i="17"/>
  <c r="AI164" i="17"/>
  <c r="AG164" i="17"/>
  <c r="AF164" i="17"/>
  <c r="AK164" i="17" s="1"/>
  <c r="AC164" i="17"/>
  <c r="CQ164" i="17"/>
  <c r="CS164" i="17"/>
  <c r="CU164" i="17"/>
  <c r="CW164" i="17"/>
  <c r="DA164" i="17"/>
  <c r="DG164" i="17"/>
  <c r="DN164" i="17"/>
  <c r="DR164" i="17"/>
  <c r="DU164" i="17"/>
  <c r="DW164" i="17"/>
  <c r="AA164" i="17"/>
  <c r="CO164" i="17"/>
  <c r="AO164" i="17"/>
  <c r="AZ164" i="17"/>
  <c r="BC164" i="17"/>
  <c r="BD164" i="17"/>
  <c r="BG164" i="17"/>
  <c r="BL164" i="17"/>
  <c r="BO164" i="17"/>
  <c r="BV164" i="17"/>
  <c r="BZ164" i="17"/>
  <c r="CJ164" i="17"/>
  <c r="CM164" i="17"/>
  <c r="AN95" i="17"/>
  <c r="BV95" i="17"/>
  <c r="DH95" i="17"/>
  <c r="AF95" i="17"/>
  <c r="AK95" i="17" s="1"/>
  <c r="AU95" i="17"/>
  <c r="BF95" i="17"/>
  <c r="BG95" i="17"/>
  <c r="BL95" i="17"/>
  <c r="BP95" i="17"/>
  <c r="BW95" i="17"/>
  <c r="CD95" i="17"/>
  <c r="CK95" i="17"/>
  <c r="CL95" i="17"/>
  <c r="CW95" i="17"/>
  <c r="CY95" i="17"/>
  <c r="DB95" i="17"/>
  <c r="DJ95" i="17"/>
  <c r="DR95" i="17"/>
  <c r="AI95" i="17"/>
  <c r="AR95" i="17"/>
  <c r="AW95" i="17"/>
  <c r="BD95" i="17"/>
  <c r="BI95" i="17"/>
  <c r="BU95" i="17"/>
  <c r="CB95" i="17"/>
  <c r="CS95" i="17"/>
  <c r="DG95" i="17"/>
  <c r="DK95" i="17"/>
  <c r="DW95" i="17"/>
  <c r="AD95" i="17"/>
  <c r="AJ95" i="17"/>
  <c r="AL95" i="17"/>
  <c r="BB95" i="17"/>
  <c r="BM95" i="17"/>
  <c r="BX95" i="17"/>
  <c r="CC95" i="17"/>
  <c r="CO95" i="17"/>
  <c r="CX95" i="17"/>
  <c r="DD95" i="17"/>
  <c r="DI95" i="17"/>
  <c r="DM95" i="17"/>
  <c r="AH95" i="17"/>
  <c r="BC95" i="17"/>
  <c r="BH95" i="17"/>
  <c r="BK95" i="17"/>
  <c r="BO95" i="17"/>
  <c r="BQ95" i="17"/>
  <c r="BT95" i="17"/>
  <c r="CA95" i="17"/>
  <c r="CG95" i="17"/>
  <c r="CJ95" i="17"/>
  <c r="CM95" i="17"/>
  <c r="CN95" i="17"/>
  <c r="CR95" i="17"/>
  <c r="CV95" i="17"/>
  <c r="CZ95" i="17"/>
  <c r="DL95" i="17"/>
  <c r="DN95" i="17"/>
  <c r="DV95" i="17"/>
  <c r="AA95" i="17"/>
  <c r="AX95" i="17"/>
  <c r="BE95" i="17"/>
  <c r="BR95" i="17"/>
  <c r="BZ95" i="17"/>
  <c r="CE95" i="17"/>
  <c r="CT95" i="17"/>
  <c r="DA95" i="17"/>
  <c r="DE95" i="17"/>
  <c r="DP95" i="17"/>
  <c r="AC95" i="17"/>
  <c r="AG95" i="17"/>
  <c r="AO95" i="17"/>
  <c r="AZ95" i="17"/>
  <c r="BJ95" i="17"/>
  <c r="BN95" i="17"/>
  <c r="BS95" i="17"/>
  <c r="BY95" i="17"/>
  <c r="CH95" i="17"/>
  <c r="CP95" i="17"/>
  <c r="DC95" i="17"/>
  <c r="DO95" i="17"/>
  <c r="AB95" i="17"/>
  <c r="AE95" i="17"/>
  <c r="AM95" i="17"/>
  <c r="AS95" i="17"/>
  <c r="AV95" i="17"/>
  <c r="BA95" i="17"/>
  <c r="CF95" i="17"/>
  <c r="CQ95" i="17"/>
  <c r="CU95" i="17"/>
  <c r="DF95" i="17"/>
  <c r="DQ95" i="17"/>
  <c r="DS95" i="17"/>
  <c r="DT95" i="17"/>
  <c r="DU95" i="17"/>
  <c r="AY95" i="17"/>
  <c r="CS193" i="17"/>
  <c r="CU193" i="17"/>
  <c r="CW193" i="17"/>
  <c r="CX193" i="17"/>
  <c r="DA193" i="17"/>
  <c r="DD193" i="17"/>
  <c r="DF193" i="17"/>
  <c r="DH193" i="17"/>
  <c r="DL193" i="17"/>
  <c r="DO193" i="17"/>
  <c r="DR193" i="17"/>
  <c r="DU193" i="17"/>
  <c r="DW193" i="17"/>
  <c r="AC193" i="17"/>
  <c r="AF193" i="17"/>
  <c r="AK193" i="17" s="1"/>
  <c r="AI193" i="17"/>
  <c r="AJ193" i="17"/>
  <c r="AM193" i="17"/>
  <c r="AR193" i="17"/>
  <c r="AU193" i="17"/>
  <c r="BB193" i="17"/>
  <c r="BE193" i="17"/>
  <c r="BJ193" i="17"/>
  <c r="BL193" i="17"/>
  <c r="BO193" i="17"/>
  <c r="CA193" i="17"/>
  <c r="CD193" i="17"/>
  <c r="CH193" i="17"/>
  <c r="CL193" i="17"/>
  <c r="CO193" i="17"/>
  <c r="CQ193" i="17"/>
  <c r="CV193" i="17"/>
  <c r="CZ193" i="17"/>
  <c r="DC193" i="17"/>
  <c r="DG193" i="17"/>
  <c r="DJ193" i="17"/>
  <c r="DM193" i="17"/>
  <c r="DP193" i="17"/>
  <c r="DS193" i="17"/>
  <c r="AB193" i="17"/>
  <c r="AE193" i="17"/>
  <c r="BX193" i="17"/>
  <c r="AH193" i="17"/>
  <c r="AL193" i="17"/>
  <c r="AO193" i="17"/>
  <c r="AV193" i="17"/>
  <c r="AX193" i="17"/>
  <c r="AZ193" i="17"/>
  <c r="BC193" i="17"/>
  <c r="BG193" i="17"/>
  <c r="BI193" i="17"/>
  <c r="BN193" i="17"/>
  <c r="BQ193" i="17"/>
  <c r="BS193" i="17"/>
  <c r="BW193" i="17"/>
  <c r="BZ193" i="17"/>
  <c r="CC193" i="17"/>
  <c r="CF193" i="17"/>
  <c r="CJ193" i="17"/>
  <c r="CN193" i="17"/>
  <c r="CR193" i="17"/>
  <c r="CT193" i="17"/>
  <c r="CY193" i="17"/>
  <c r="DB193" i="17"/>
  <c r="DE193" i="17"/>
  <c r="DI193" i="17"/>
  <c r="DK193" i="17"/>
  <c r="DN193" i="17"/>
  <c r="DQ193" i="17"/>
  <c r="DT193" i="17"/>
  <c r="DV193" i="17"/>
  <c r="CM193" i="17"/>
  <c r="AA193" i="17"/>
  <c r="AD193" i="17"/>
  <c r="AG193" i="17"/>
  <c r="AN193" i="17"/>
  <c r="AS193" i="17"/>
  <c r="AW193" i="17"/>
  <c r="AY193" i="17"/>
  <c r="BA193" i="17"/>
  <c r="BD193" i="17"/>
  <c r="BF193" i="17"/>
  <c r="BH193" i="17"/>
  <c r="BK193" i="17"/>
  <c r="BM193" i="17"/>
  <c r="BP193" i="17"/>
  <c r="BR193" i="17"/>
  <c r="BT193" i="17"/>
  <c r="BU193" i="17"/>
  <c r="BV193" i="17"/>
  <c r="BY193" i="17"/>
  <c r="CB193" i="17"/>
  <c r="CE193" i="17"/>
  <c r="CG193" i="17"/>
  <c r="CK193" i="17"/>
  <c r="CP193" i="17"/>
  <c r="CS180" i="17"/>
  <c r="DP180" i="17"/>
  <c r="DJ180" i="17"/>
  <c r="CU180" i="17"/>
  <c r="CD180" i="17"/>
  <c r="AG180" i="17"/>
  <c r="DR180" i="17"/>
  <c r="DB180" i="17"/>
  <c r="CP180" i="17"/>
  <c r="BB180" i="17"/>
  <c r="AM180" i="17"/>
  <c r="AB180" i="17"/>
  <c r="DS180" i="17"/>
  <c r="DF180" i="17"/>
  <c r="BX180" i="17"/>
  <c r="BM180" i="17"/>
  <c r="BC180" i="17"/>
  <c r="AE180" i="17"/>
  <c r="DQ180" i="17"/>
  <c r="CZ180" i="17"/>
  <c r="CA180" i="17"/>
  <c r="BV180" i="17"/>
  <c r="BL180" i="17"/>
  <c r="BI180" i="17"/>
  <c r="AX180" i="17"/>
  <c r="AJ180" i="17"/>
  <c r="DT180" i="17"/>
  <c r="DE180" i="17"/>
  <c r="BA180" i="17"/>
  <c r="AW180" i="17"/>
  <c r="BG180" i="17"/>
  <c r="DD180" i="17"/>
  <c r="CQ180" i="17"/>
  <c r="CF180" i="17"/>
  <c r="BQ180" i="17"/>
  <c r="BN180" i="17"/>
  <c r="BK180" i="17"/>
  <c r="AV180" i="17"/>
  <c r="DV180" i="17"/>
  <c r="DH180" i="17"/>
  <c r="CR180" i="17"/>
  <c r="CH180" i="17"/>
  <c r="CB180" i="17"/>
  <c r="BP180" i="17"/>
  <c r="BH180" i="17"/>
  <c r="BD180" i="17"/>
  <c r="AU180" i="17"/>
  <c r="AD180" i="17"/>
  <c r="DK180" i="17"/>
  <c r="CX180" i="17"/>
  <c r="CV180" i="17"/>
  <c r="CG180" i="17"/>
  <c r="BT180" i="17"/>
  <c r="AZ180" i="17"/>
  <c r="AO180" i="17"/>
  <c r="DL180" i="17"/>
  <c r="DC180" i="17"/>
  <c r="CW180" i="17"/>
  <c r="CO180" i="17"/>
  <c r="CE180" i="17"/>
  <c r="BS180" i="17"/>
  <c r="AS180" i="17"/>
  <c r="AN180" i="17"/>
  <c r="AF180" i="17"/>
  <c r="AK180" i="17" s="1"/>
  <c r="AC180" i="17"/>
  <c r="DO180" i="17"/>
  <c r="CN180" i="17"/>
  <c r="BZ180" i="17"/>
  <c r="BR180" i="17"/>
  <c r="BF180" i="17"/>
  <c r="AR180" i="17"/>
  <c r="AL180" i="17"/>
  <c r="AH180" i="17"/>
  <c r="BE180" i="17"/>
  <c r="CC180" i="17"/>
  <c r="CM180" i="17"/>
  <c r="DA180" i="17"/>
  <c r="DW180" i="17"/>
  <c r="AI180" i="17"/>
  <c r="AY180" i="17"/>
  <c r="BU180" i="17"/>
  <c r="CL180" i="17"/>
  <c r="DN180" i="17"/>
  <c r="BW180" i="17"/>
  <c r="CJ180" i="17"/>
  <c r="CY180" i="17"/>
  <c r="DG180" i="17"/>
  <c r="DM180" i="17"/>
  <c r="DU180" i="17"/>
  <c r="AA180" i="17"/>
  <c r="DI180" i="17"/>
  <c r="CT180" i="17"/>
  <c r="CK180" i="17"/>
  <c r="BY180" i="17"/>
  <c r="BO180" i="17"/>
  <c r="BJ180" i="17"/>
  <c r="U24" i="17"/>
  <c r="BU272" i="17"/>
  <c r="AG272" i="17"/>
  <c r="BO272" i="17"/>
  <c r="BP272" i="17"/>
  <c r="BQ272" i="17"/>
  <c r="BR272" i="17"/>
  <c r="BS272" i="17"/>
  <c r="BT272" i="17"/>
  <c r="BV272" i="17"/>
  <c r="BW272" i="17"/>
  <c r="BX272" i="17"/>
  <c r="BY272" i="17"/>
  <c r="BZ272" i="17"/>
  <c r="CA272" i="17"/>
  <c r="CB272" i="17"/>
  <c r="CC272" i="17"/>
  <c r="CD272" i="17"/>
  <c r="CE272" i="17"/>
  <c r="CF272" i="17"/>
  <c r="CG272" i="17"/>
  <c r="CH272" i="17"/>
  <c r="CJ272" i="17"/>
  <c r="DD272" i="17"/>
  <c r="DE272" i="17"/>
  <c r="DF272" i="17"/>
  <c r="DG272" i="17"/>
  <c r="DH272" i="17"/>
  <c r="DI272" i="17"/>
  <c r="DJ272" i="17"/>
  <c r="DK272" i="17"/>
  <c r="DL272" i="17"/>
  <c r="DM272" i="17"/>
  <c r="H30" i="7"/>
  <c r="DN272" i="17"/>
  <c r="DO272" i="17"/>
  <c r="DP272" i="17"/>
  <c r="DQ272" i="17"/>
  <c r="DR272" i="17"/>
  <c r="DS272" i="17"/>
  <c r="DT272" i="17"/>
  <c r="DU272" i="17"/>
  <c r="DV272" i="17"/>
  <c r="DW272" i="17"/>
  <c r="BY84" i="17"/>
  <c r="BP84" i="17"/>
  <c r="BS84" i="17"/>
  <c r="DO84" i="17"/>
  <c r="DS84" i="17"/>
  <c r="CD84" i="17"/>
  <c r="CH84" i="17"/>
  <c r="DD84" i="17"/>
  <c r="DI84" i="17"/>
  <c r="DM84" i="17"/>
  <c r="DU84" i="17"/>
  <c r="BO84" i="17"/>
  <c r="BR84" i="17"/>
  <c r="BX84" i="17"/>
  <c r="BZ84" i="17"/>
  <c r="CE84" i="17"/>
  <c r="CJ84" i="17"/>
  <c r="DF84" i="17"/>
  <c r="DK84" i="17"/>
  <c r="DN84" i="17"/>
  <c r="DQ84" i="17"/>
  <c r="DV84" i="17"/>
  <c r="BT84" i="17"/>
  <c r="CA84" i="17"/>
  <c r="CC84" i="17"/>
  <c r="CF84" i="17"/>
  <c r="DG84" i="17"/>
  <c r="DP84" i="17"/>
  <c r="AG84" i="17"/>
  <c r="BV84" i="17"/>
  <c r="CB84" i="17"/>
  <c r="CG84" i="17"/>
  <c r="DE84" i="17"/>
  <c r="DH84" i="17"/>
  <c r="DL84" i="17"/>
  <c r="DT84" i="17"/>
  <c r="DW84" i="17"/>
  <c r="BQ84" i="17"/>
  <c r="BW84" i="17"/>
  <c r="DJ84" i="17"/>
  <c r="DR84" i="17"/>
  <c r="BU84" i="17"/>
  <c r="BV232" i="17"/>
  <c r="BW232" i="17"/>
  <c r="BX232" i="17"/>
  <c r="BY232" i="17"/>
  <c r="BZ232" i="17"/>
  <c r="CA232" i="17"/>
  <c r="CB232" i="17"/>
  <c r="CC232" i="17"/>
  <c r="CQ232" i="17"/>
  <c r="CR232" i="17"/>
  <c r="CS232" i="17"/>
  <c r="CT232" i="17"/>
  <c r="CU232" i="17"/>
  <c r="CV232" i="17"/>
  <c r="CW232" i="17"/>
  <c r="CX232" i="17"/>
  <c r="CY232" i="17"/>
  <c r="CZ232" i="17"/>
  <c r="DA232" i="17"/>
  <c r="DB232" i="17"/>
  <c r="DC232" i="17"/>
  <c r="DD232" i="17"/>
  <c r="DE232" i="17"/>
  <c r="DF232" i="17"/>
  <c r="DG232" i="17"/>
  <c r="DH232" i="17"/>
  <c r="DI232" i="17"/>
  <c r="DJ232" i="17"/>
  <c r="AL232" i="17"/>
  <c r="DL232" i="17"/>
  <c r="DM232" i="17"/>
  <c r="DN232" i="17"/>
  <c r="DO232" i="17"/>
  <c r="DP232" i="17"/>
  <c r="DQ232" i="17"/>
  <c r="DR232" i="17"/>
  <c r="DS232" i="17"/>
  <c r="DT232" i="17"/>
  <c r="DU232" i="17"/>
  <c r="DV232" i="17"/>
  <c r="DW232" i="17"/>
  <c r="AA232" i="17"/>
  <c r="AB232" i="17"/>
  <c r="AC232" i="17"/>
  <c r="AD232" i="17"/>
  <c r="AE232" i="17"/>
  <c r="AF232" i="17"/>
  <c r="AK232" i="17" s="1"/>
  <c r="AG232" i="17"/>
  <c r="AH232" i="17"/>
  <c r="AI232" i="17"/>
  <c r="AJ232" i="17"/>
  <c r="AM232" i="17"/>
  <c r="AN232" i="17"/>
  <c r="AO232" i="17"/>
  <c r="AR232" i="17"/>
  <c r="AS232" i="17"/>
  <c r="AU232" i="17"/>
  <c r="AV232" i="17"/>
  <c r="AW232" i="17"/>
  <c r="AX232" i="17"/>
  <c r="AY232" i="17"/>
  <c r="AZ232" i="17"/>
  <c r="BA232" i="17"/>
  <c r="DK232" i="17"/>
  <c r="BB232" i="17"/>
  <c r="BC232" i="17"/>
  <c r="BD232" i="17"/>
  <c r="BE232" i="17"/>
  <c r="BF232" i="17"/>
  <c r="BG232" i="17"/>
  <c r="BH232" i="17"/>
  <c r="BI232" i="17"/>
  <c r="BJ232" i="17"/>
  <c r="BK232" i="17"/>
  <c r="BL232" i="17"/>
  <c r="BM232" i="17"/>
  <c r="BN232" i="17"/>
  <c r="BO232" i="17"/>
  <c r="BP232" i="17"/>
  <c r="BQ232" i="17"/>
  <c r="BR232" i="17"/>
  <c r="BS232" i="17"/>
  <c r="BT232" i="17"/>
  <c r="BU232" i="17"/>
  <c r="BZ127" i="17"/>
  <c r="CA127" i="17"/>
  <c r="CB127" i="17"/>
  <c r="CC127" i="17"/>
  <c r="CD127" i="17"/>
  <c r="CE127" i="17"/>
  <c r="CF127" i="17"/>
  <c r="CG127" i="17"/>
  <c r="CH127" i="17"/>
  <c r="AG127" i="17"/>
  <c r="BJ127" i="17"/>
  <c r="BK127" i="17"/>
  <c r="BL127" i="17"/>
  <c r="BM127" i="17"/>
  <c r="BN127" i="17"/>
  <c r="BO127" i="17"/>
  <c r="BP127" i="17"/>
  <c r="BQ127" i="17"/>
  <c r="BR127" i="17"/>
  <c r="BS127" i="17"/>
  <c r="BT127" i="17"/>
  <c r="BU127" i="17"/>
  <c r="BV127" i="17"/>
  <c r="BW127" i="17"/>
  <c r="BX127" i="17"/>
  <c r="BY127" i="17"/>
  <c r="CD232" i="17"/>
  <c r="CE232" i="17"/>
  <c r="CF232" i="17"/>
  <c r="CG232" i="17"/>
  <c r="CH232" i="17"/>
  <c r="CJ232" i="17"/>
  <c r="CK232" i="17"/>
  <c r="CL232" i="17"/>
  <c r="CM232" i="17"/>
  <c r="CN232" i="17"/>
  <c r="CO232" i="17"/>
  <c r="CP232" i="17"/>
  <c r="BX255" i="17"/>
  <c r="BZ255" i="17"/>
  <c r="CB255" i="17"/>
  <c r="CE255" i="17"/>
  <c r="CH255" i="17"/>
  <c r="DD255" i="17"/>
  <c r="DG255" i="17"/>
  <c r="DI255" i="17"/>
  <c r="DJ255" i="17"/>
  <c r="DL255" i="17"/>
  <c r="DN255" i="17"/>
  <c r="DQ255" i="17"/>
  <c r="DT255" i="17"/>
  <c r="DW255" i="17"/>
  <c r="BO255" i="17"/>
  <c r="BQ255" i="17"/>
  <c r="BR255" i="17"/>
  <c r="BS255" i="17"/>
  <c r="BT255" i="17"/>
  <c r="BU255" i="17"/>
  <c r="BV255" i="17"/>
  <c r="BW255" i="17"/>
  <c r="BY255" i="17"/>
  <c r="CA255" i="17"/>
  <c r="CC255" i="17"/>
  <c r="CD255" i="17"/>
  <c r="CF255" i="17"/>
  <c r="CG255" i="17"/>
  <c r="CJ255" i="17"/>
  <c r="DE255" i="17"/>
  <c r="BP255" i="17"/>
  <c r="DH255" i="17"/>
  <c r="DK255" i="17"/>
  <c r="DM255" i="17"/>
  <c r="DO255" i="17"/>
  <c r="DF255" i="17"/>
  <c r="DR255" i="17"/>
  <c r="DS255" i="17"/>
  <c r="DU255" i="17"/>
  <c r="DV255" i="17"/>
  <c r="DP255" i="17"/>
  <c r="AG255" i="17"/>
  <c r="AU255" i="17"/>
  <c r="AV255" i="17"/>
  <c r="AW255" i="17"/>
  <c r="AX255" i="17"/>
  <c r="AY255" i="17"/>
  <c r="AZ255" i="17"/>
  <c r="BA255" i="17"/>
  <c r="BB255" i="17"/>
  <c r="BC255" i="17"/>
  <c r="BD255" i="17"/>
  <c r="BE255" i="17"/>
  <c r="BF255" i="17"/>
  <c r="BG255" i="17"/>
  <c r="BH255" i="17"/>
  <c r="BI255" i="17"/>
  <c r="BJ255" i="17"/>
  <c r="BK255" i="17"/>
  <c r="BL255" i="17"/>
  <c r="BM255" i="17"/>
  <c r="BN255" i="17"/>
  <c r="CY127" i="17"/>
  <c r="CJ127" i="17"/>
  <c r="CZ127" i="17"/>
  <c r="DA127" i="17"/>
  <c r="DB127" i="17"/>
  <c r="DC127" i="17"/>
  <c r="DD127" i="17"/>
  <c r="DE127" i="17"/>
  <c r="DF127" i="17"/>
  <c r="DG127" i="17"/>
  <c r="DH127" i="17"/>
  <c r="DI127" i="17"/>
  <c r="DJ127" i="17"/>
  <c r="DK127" i="17"/>
  <c r="DL127" i="17"/>
  <c r="DM127" i="17"/>
  <c r="DN127" i="17"/>
  <c r="DO127" i="17"/>
  <c r="DP127" i="17"/>
  <c r="DQ127" i="17"/>
  <c r="DR127" i="17"/>
  <c r="DS127" i="17"/>
  <c r="DT127" i="17"/>
  <c r="DU127" i="17"/>
  <c r="DV127" i="17"/>
  <c r="DW127" i="17"/>
  <c r="BW181" i="17"/>
  <c r="CE181" i="17"/>
  <c r="DI181" i="17"/>
  <c r="DL181" i="17"/>
  <c r="DP181" i="17"/>
  <c r="DW181" i="17"/>
  <c r="BT181" i="17"/>
  <c r="BX181" i="17"/>
  <c r="BZ181" i="17"/>
  <c r="CD181" i="17"/>
  <c r="CG181" i="17"/>
  <c r="CJ181" i="17"/>
  <c r="DV181" i="17"/>
  <c r="CB181" i="17"/>
  <c r="CC181" i="17"/>
  <c r="CH181" i="17"/>
  <c r="DJ181" i="17"/>
  <c r="DM181" i="17"/>
  <c r="DO181" i="17"/>
  <c r="DR181" i="17"/>
  <c r="DT181" i="17"/>
  <c r="AG181" i="17"/>
  <c r="BV181" i="17"/>
  <c r="BY181" i="17"/>
  <c r="CA181" i="17"/>
  <c r="DQ181" i="17"/>
  <c r="DU181" i="17"/>
  <c r="BU181" i="17"/>
  <c r="CF181" i="17"/>
  <c r="DK181" i="17"/>
  <c r="DN181" i="17"/>
  <c r="DS181" i="17"/>
  <c r="BC99" i="17"/>
  <c r="AW99" i="17"/>
  <c r="AZ99" i="17"/>
  <c r="BF99" i="17"/>
  <c r="BG99" i="17"/>
  <c r="BI99" i="17"/>
  <c r="BB99" i="17"/>
  <c r="BD99" i="17"/>
  <c r="AY99" i="17"/>
  <c r="BE99" i="17"/>
  <c r="AV99" i="17"/>
  <c r="AX99" i="17"/>
  <c r="BA99" i="17"/>
  <c r="AU99" i="17"/>
  <c r="BH99" i="17"/>
  <c r="CZ43" i="17"/>
  <c r="DD43" i="17"/>
  <c r="DP43" i="17"/>
  <c r="BO43" i="17"/>
  <c r="DF43" i="17"/>
  <c r="DK43" i="17"/>
  <c r="DM43" i="17"/>
  <c r="DW43" i="17"/>
  <c r="AG43" i="17"/>
  <c r="BM43" i="17"/>
  <c r="BV43" i="17"/>
  <c r="CA43" i="17"/>
  <c r="CG43" i="17"/>
  <c r="DI43" i="17"/>
  <c r="BN43" i="17"/>
  <c r="BQ43" i="17"/>
  <c r="BT43" i="17"/>
  <c r="CD43" i="17"/>
  <c r="CY43" i="17"/>
  <c r="DO43" i="17"/>
  <c r="DQ43" i="17"/>
  <c r="BL43" i="17"/>
  <c r="BS43" i="17"/>
  <c r="BW43" i="17"/>
  <c r="DC43" i="17"/>
  <c r="DN43" i="17"/>
  <c r="DS43" i="17"/>
  <c r="CC43" i="17"/>
  <c r="DG43" i="17"/>
  <c r="DJ43" i="17"/>
  <c r="DU43" i="17"/>
  <c r="BK43" i="17"/>
  <c r="BR43" i="17"/>
  <c r="BZ43" i="17"/>
  <c r="CE43" i="17"/>
  <c r="CH43" i="17"/>
  <c r="BP43" i="17"/>
  <c r="CB43" i="17"/>
  <c r="DB43" i="17"/>
  <c r="BX43" i="17"/>
  <c r="DH43" i="17"/>
  <c r="DL43" i="17"/>
  <c r="DR43" i="17"/>
  <c r="DT43" i="17"/>
  <c r="BJ43" i="17"/>
  <c r="BU43" i="17"/>
  <c r="BY43" i="17"/>
  <c r="CF43" i="17"/>
  <c r="CJ43" i="17"/>
  <c r="DA43" i="17"/>
  <c r="DV43" i="17"/>
  <c r="DE43" i="17"/>
  <c r="AG163" i="17"/>
  <c r="BJ163" i="17"/>
  <c r="BN163" i="17"/>
  <c r="BQ163" i="17"/>
  <c r="BV163" i="17"/>
  <c r="BX163" i="17"/>
  <c r="BZ163" i="17"/>
  <c r="CD163" i="17"/>
  <c r="CX163" i="17"/>
  <c r="DB163" i="17"/>
  <c r="DH163" i="17"/>
  <c r="DO163" i="17"/>
  <c r="DS163" i="17"/>
  <c r="DW163" i="17"/>
  <c r="BF163" i="17"/>
  <c r="BH163" i="17"/>
  <c r="BL163" i="17"/>
  <c r="BY163" i="17"/>
  <c r="CA163" i="17"/>
  <c r="CE163" i="17"/>
  <c r="CW163" i="17"/>
  <c r="DG163" i="17"/>
  <c r="DL163" i="17"/>
  <c r="DP163" i="17"/>
  <c r="DT163" i="17"/>
  <c r="BE163" i="17"/>
  <c r="BP163" i="17"/>
  <c r="BR163" i="17"/>
  <c r="BU163" i="17"/>
  <c r="CC163" i="17"/>
  <c r="CH163" i="17"/>
  <c r="CU163" i="17"/>
  <c r="DA163" i="17"/>
  <c r="DD163" i="17"/>
  <c r="DF163" i="17"/>
  <c r="DQ163" i="17"/>
  <c r="DV163" i="17"/>
  <c r="BI163" i="17"/>
  <c r="BK163" i="17"/>
  <c r="BO163" i="17"/>
  <c r="BT163" i="17"/>
  <c r="CG163" i="17"/>
  <c r="CT163" i="17"/>
  <c r="CY163" i="17"/>
  <c r="DE163" i="17"/>
  <c r="DJ163" i="17"/>
  <c r="DM163" i="17"/>
  <c r="DR163" i="17"/>
  <c r="BG163" i="17"/>
  <c r="BM163" i="17"/>
  <c r="BS163" i="17"/>
  <c r="BW163" i="17"/>
  <c r="CB163" i="17"/>
  <c r="CF163" i="17"/>
  <c r="CJ163" i="17"/>
  <c r="CV163" i="17"/>
  <c r="CZ163" i="17"/>
  <c r="DC163" i="17"/>
  <c r="DI163" i="17"/>
  <c r="DK163" i="17"/>
  <c r="DN163" i="17"/>
  <c r="DU163" i="17"/>
  <c r="BF157" i="17"/>
  <c r="BK157" i="17"/>
  <c r="BO157" i="17"/>
  <c r="BQ157" i="17"/>
  <c r="CT157" i="17"/>
  <c r="DB157" i="17"/>
  <c r="DH157" i="17"/>
  <c r="DL157" i="17"/>
  <c r="DQ157" i="17"/>
  <c r="DT157" i="17"/>
  <c r="BH157" i="17"/>
  <c r="BL157" i="17"/>
  <c r="BP157" i="17"/>
  <c r="BR157" i="17"/>
  <c r="BW157" i="17"/>
  <c r="CA157" i="17"/>
  <c r="CF157" i="17"/>
  <c r="CU157" i="17"/>
  <c r="DA157" i="17"/>
  <c r="DE157" i="17"/>
  <c r="DG157" i="17"/>
  <c r="DK157" i="17"/>
  <c r="DP157" i="17"/>
  <c r="DW157" i="17"/>
  <c r="BJ157" i="17"/>
  <c r="BM157" i="17"/>
  <c r="BS157" i="17"/>
  <c r="BX157" i="17"/>
  <c r="BZ157" i="17"/>
  <c r="CC157" i="17"/>
  <c r="CG157" i="17"/>
  <c r="CX157" i="17"/>
  <c r="DF157" i="17"/>
  <c r="DJ157" i="17"/>
  <c r="DO157" i="17"/>
  <c r="DR157" i="17"/>
  <c r="DV157" i="17"/>
  <c r="BE157" i="17"/>
  <c r="BI157" i="17"/>
  <c r="BN157" i="17"/>
  <c r="BT157" i="17"/>
  <c r="BU157" i="17"/>
  <c r="CD157" i="17"/>
  <c r="CJ157" i="17"/>
  <c r="CW157" i="17"/>
  <c r="CY157" i="17"/>
  <c r="DC157" i="17"/>
  <c r="DS157" i="17"/>
  <c r="AG157" i="17"/>
  <c r="BG157" i="17"/>
  <c r="BV157" i="17"/>
  <c r="BY157" i="17"/>
  <c r="CB157" i="17"/>
  <c r="CE157" i="17"/>
  <c r="CH157" i="17"/>
  <c r="CV157" i="17"/>
  <c r="CZ157" i="17"/>
  <c r="DD157" i="17"/>
  <c r="DI157" i="17"/>
  <c r="DM157" i="17"/>
  <c r="DN157" i="17"/>
  <c r="DU157" i="17"/>
  <c r="CB53" i="17"/>
  <c r="DH53" i="17"/>
  <c r="DW53" i="17"/>
  <c r="AG53" i="17"/>
  <c r="BO53" i="17"/>
  <c r="BR53" i="17"/>
  <c r="BY53" i="17"/>
  <c r="DL53" i="17"/>
  <c r="CD53" i="17"/>
  <c r="CG53" i="17"/>
  <c r="DE53" i="17"/>
  <c r="DN53" i="17"/>
  <c r="BQ53" i="17"/>
  <c r="DP53" i="17"/>
  <c r="BP53" i="17"/>
  <c r="DF53" i="17"/>
  <c r="DI53" i="17"/>
  <c r="DM53" i="17"/>
  <c r="DQ53" i="17"/>
  <c r="DU53" i="17"/>
  <c r="BS53" i="17"/>
  <c r="CC53" i="17"/>
  <c r="CF53" i="17"/>
  <c r="CH53" i="17"/>
  <c r="DK53" i="17"/>
  <c r="DT53" i="17"/>
  <c r="BV53" i="17"/>
  <c r="CA53" i="17"/>
  <c r="CE53" i="17"/>
  <c r="DD53" i="17"/>
  <c r="DG53" i="17"/>
  <c r="BX53" i="17"/>
  <c r="DR53" i="17"/>
  <c r="BW53" i="17"/>
  <c r="CJ53" i="17"/>
  <c r="DS53" i="17"/>
  <c r="BT53" i="17"/>
  <c r="BU53" i="17"/>
  <c r="BZ53" i="17"/>
  <c r="DJ53" i="17"/>
  <c r="DO53" i="17"/>
  <c r="DV53" i="17"/>
  <c r="AU272" i="17"/>
  <c r="AV272" i="17"/>
  <c r="AW272" i="17"/>
  <c r="AX272" i="17"/>
  <c r="AY272" i="17"/>
  <c r="AZ272" i="17"/>
  <c r="BA272" i="17"/>
  <c r="BC272" i="17"/>
  <c r="BD272" i="17"/>
  <c r="BE272" i="17"/>
  <c r="BF272" i="17"/>
  <c r="BG272" i="17"/>
  <c r="BH272" i="17"/>
  <c r="BI272" i="17"/>
  <c r="BJ272" i="17"/>
  <c r="BK272" i="17"/>
  <c r="BL272" i="17"/>
  <c r="BM272" i="17"/>
  <c r="BN272" i="17"/>
  <c r="BB272" i="17"/>
  <c r="AU210" i="17"/>
  <c r="AV210" i="17"/>
  <c r="AW210" i="17"/>
  <c r="AX210" i="17"/>
  <c r="AY210" i="17"/>
  <c r="AZ210" i="17"/>
  <c r="BA210" i="17"/>
  <c r="BB210" i="17"/>
  <c r="BC210" i="17"/>
  <c r="BD210" i="17"/>
  <c r="BE210" i="17"/>
  <c r="BF210" i="17"/>
  <c r="BG210" i="17"/>
  <c r="BH210" i="17"/>
  <c r="BI210" i="17"/>
  <c r="BJ210" i="17"/>
  <c r="BK210" i="17"/>
  <c r="BL210" i="17"/>
  <c r="BM210" i="17"/>
  <c r="BN210" i="17"/>
  <c r="BO210" i="17"/>
  <c r="BP210" i="17"/>
  <c r="BQ210" i="17"/>
  <c r="BR210" i="17"/>
  <c r="BS210" i="17"/>
  <c r="AV192" i="17"/>
  <c r="AX192" i="17"/>
  <c r="AZ192" i="17"/>
  <c r="BB192" i="17"/>
  <c r="BF192" i="17"/>
  <c r="BI192" i="17"/>
  <c r="BK192" i="17"/>
  <c r="BO192" i="17"/>
  <c r="BR192" i="17"/>
  <c r="AU192" i="17"/>
  <c r="AY192" i="17"/>
  <c r="BD192" i="17"/>
  <c r="BG192" i="17"/>
  <c r="BH192" i="17"/>
  <c r="BJ192" i="17"/>
  <c r="BM192" i="17"/>
  <c r="BP192" i="17"/>
  <c r="BS192" i="17"/>
  <c r="BC192" i="17"/>
  <c r="AW192" i="17"/>
  <c r="BA192" i="17"/>
  <c r="BE192" i="17"/>
  <c r="BL192" i="17"/>
  <c r="BN192" i="17"/>
  <c r="BQ192" i="17"/>
  <c r="BS121" i="17"/>
  <c r="BR121" i="17"/>
  <c r="BQ121" i="17"/>
  <c r="BP121" i="17"/>
  <c r="BO121" i="17"/>
  <c r="BN121" i="17"/>
  <c r="BM121" i="17"/>
  <c r="BL121" i="17"/>
  <c r="BK121" i="17"/>
  <c r="BJ121" i="17"/>
  <c r="BI121" i="17"/>
  <c r="BH121" i="17"/>
  <c r="AI121" i="17"/>
  <c r="BG121" i="17"/>
  <c r="BF121" i="17"/>
  <c r="BE121" i="17"/>
  <c r="BD121" i="17"/>
  <c r="BC121" i="17"/>
  <c r="BB121" i="17"/>
  <c r="BA121" i="17"/>
  <c r="AZ121" i="17"/>
  <c r="AY121" i="17"/>
  <c r="AX121" i="17"/>
  <c r="AW121" i="17"/>
  <c r="AV121" i="17"/>
  <c r="AU121" i="17"/>
  <c r="AS121" i="17"/>
  <c r="AR121" i="17"/>
  <c r="AO121" i="17"/>
  <c r="CT121" i="17"/>
  <c r="AN121" i="17"/>
  <c r="AM121" i="17"/>
  <c r="AL121" i="17"/>
  <c r="AJ121" i="17"/>
  <c r="AH121" i="17"/>
  <c r="AG121" i="17"/>
  <c r="AF121" i="17"/>
  <c r="AK121" i="17" s="1"/>
  <c r="AE121" i="17"/>
  <c r="AD121" i="17"/>
  <c r="AC121" i="17"/>
  <c r="AB121" i="17"/>
  <c r="AA121" i="17"/>
  <c r="DC121" i="17"/>
  <c r="DB121" i="17"/>
  <c r="DA121" i="17"/>
  <c r="CZ121" i="17"/>
  <c r="CY121" i="17"/>
  <c r="CX121" i="17"/>
  <c r="CW121" i="17"/>
  <c r="CV121" i="17"/>
  <c r="CU121" i="17"/>
  <c r="CS121" i="17"/>
  <c r="CR121" i="17"/>
  <c r="CQ121" i="17"/>
  <c r="CP121" i="17"/>
  <c r="CO121" i="17"/>
  <c r="CN121" i="17"/>
  <c r="CM121" i="17"/>
  <c r="CL121" i="17"/>
  <c r="CK121" i="17"/>
  <c r="CJ121" i="17"/>
  <c r="CH121" i="17"/>
  <c r="CG121" i="17"/>
  <c r="CF121" i="17"/>
  <c r="CE121" i="17"/>
  <c r="CD121" i="17"/>
  <c r="CC121" i="17"/>
  <c r="CB121" i="17"/>
  <c r="CA121" i="17"/>
  <c r="BZ121" i="17"/>
  <c r="BY121" i="17"/>
  <c r="BX121" i="17"/>
  <c r="BW121" i="17"/>
  <c r="BV121" i="17"/>
  <c r="BU121" i="17"/>
  <c r="BT121" i="17"/>
  <c r="DD121" i="17"/>
  <c r="DE121" i="17"/>
  <c r="DF121" i="17"/>
  <c r="DG121" i="17"/>
  <c r="DH121" i="17"/>
  <c r="DI121" i="17"/>
  <c r="DJ121" i="17"/>
  <c r="DK121" i="17"/>
  <c r="DL121" i="17"/>
  <c r="DM121" i="17"/>
  <c r="DN121" i="17"/>
  <c r="DO121" i="17"/>
  <c r="DP121" i="17"/>
  <c r="DQ121" i="17"/>
  <c r="DR121" i="17"/>
  <c r="DS121" i="17"/>
  <c r="DT121" i="17"/>
  <c r="DU121" i="17"/>
  <c r="DV121" i="17"/>
  <c r="DW121" i="17"/>
  <c r="DM202" i="17"/>
  <c r="DQ202" i="17"/>
  <c r="DS202" i="17"/>
  <c r="BP202" i="17"/>
  <c r="BU202" i="17"/>
  <c r="CA202" i="17"/>
  <c r="DD202" i="17"/>
  <c r="DT202" i="17"/>
  <c r="BQ202" i="17"/>
  <c r="BZ202" i="17"/>
  <c r="CG202" i="17"/>
  <c r="CJ202" i="17"/>
  <c r="DI202" i="17"/>
  <c r="DP202" i="17"/>
  <c r="DU202" i="17"/>
  <c r="DV202" i="17"/>
  <c r="BR202" i="17"/>
  <c r="BY202" i="17"/>
  <c r="DF202" i="17"/>
  <c r="DO202" i="17"/>
  <c r="DW202" i="17"/>
  <c r="BV202" i="17"/>
  <c r="BO202" i="17"/>
  <c r="BT202" i="17"/>
  <c r="CD202" i="17"/>
  <c r="CH202" i="17"/>
  <c r="DG202" i="17"/>
  <c r="DK202" i="17"/>
  <c r="DN202" i="17"/>
  <c r="DR202" i="17"/>
  <c r="AG202" i="17"/>
  <c r="BW202" i="17"/>
  <c r="CC202" i="17"/>
  <c r="DJ202" i="17"/>
  <c r="DL202" i="17"/>
  <c r="BS202" i="17"/>
  <c r="BX202" i="17"/>
  <c r="CB202" i="17"/>
  <c r="CE202" i="17"/>
  <c r="CF202" i="17"/>
  <c r="DE202" i="17"/>
  <c r="DH202" i="17"/>
  <c r="DB130" i="17"/>
  <c r="DA130" i="17"/>
  <c r="CZ130" i="17"/>
  <c r="CY130" i="17"/>
  <c r="CX130" i="17"/>
  <c r="CW130" i="17"/>
  <c r="CV130" i="17"/>
  <c r="CU130" i="17"/>
  <c r="DC130" i="17"/>
  <c r="CT130" i="17"/>
  <c r="CS130" i="17"/>
  <c r="CR130" i="17"/>
  <c r="CQ130" i="17"/>
  <c r="CP130" i="17"/>
  <c r="CO130" i="17"/>
  <c r="CN130" i="17"/>
  <c r="CM130" i="17"/>
  <c r="CL130" i="17"/>
  <c r="CK130" i="17"/>
  <c r="CJ130" i="17"/>
  <c r="CH130" i="17"/>
  <c r="CG130" i="17"/>
  <c r="CF130" i="17"/>
  <c r="CE130" i="17"/>
  <c r="CD130" i="17"/>
  <c r="CC130" i="17"/>
  <c r="CB130" i="17"/>
  <c r="CA130" i="17"/>
  <c r="BZ130" i="17"/>
  <c r="BX130" i="17"/>
  <c r="BW130" i="17"/>
  <c r="BV130" i="17"/>
  <c r="BU130" i="17"/>
  <c r="BT130" i="17"/>
  <c r="BS130" i="17"/>
  <c r="BR130" i="17"/>
  <c r="BQ130" i="17"/>
  <c r="BP130" i="17"/>
  <c r="BO130" i="17"/>
  <c r="BN130" i="17"/>
  <c r="BM130" i="17"/>
  <c r="BL130" i="17"/>
  <c r="BK130" i="17"/>
  <c r="BJ130" i="17"/>
  <c r="BI130" i="17"/>
  <c r="BH130" i="17"/>
  <c r="BG130" i="17"/>
  <c r="BF130" i="17"/>
  <c r="BE130" i="17"/>
  <c r="BD130" i="17"/>
  <c r="BC130" i="17"/>
  <c r="BB130" i="17"/>
  <c r="BA130" i="17"/>
  <c r="AZ130" i="17"/>
  <c r="AY130" i="17"/>
  <c r="AX130" i="17"/>
  <c r="AW130" i="17"/>
  <c r="AV130" i="17"/>
  <c r="AU130" i="17"/>
  <c r="AS130" i="17"/>
  <c r="AR130" i="17"/>
  <c r="AO130" i="17"/>
  <c r="AN130" i="17"/>
  <c r="AM130" i="17"/>
  <c r="AL130" i="17"/>
  <c r="AJ130" i="17"/>
  <c r="BY130" i="17"/>
  <c r="AI130" i="17"/>
  <c r="AH130" i="17"/>
  <c r="AG130" i="17"/>
  <c r="AF130" i="17"/>
  <c r="AK130" i="17" s="1"/>
  <c r="AE130" i="17"/>
  <c r="AD130" i="17"/>
  <c r="AC130" i="17"/>
  <c r="AB130" i="17"/>
  <c r="AA130" i="17"/>
  <c r="DD130" i="17"/>
  <c r="DE130" i="17"/>
  <c r="DF130" i="17"/>
  <c r="DG130" i="17"/>
  <c r="DH130" i="17"/>
  <c r="DI130" i="17"/>
  <c r="DJ130" i="17"/>
  <c r="DK130" i="17"/>
  <c r="DL130" i="17"/>
  <c r="DM130" i="17"/>
  <c r="DN130" i="17"/>
  <c r="DO130" i="17"/>
  <c r="DP130" i="17"/>
  <c r="DQ130" i="17"/>
  <c r="DR130" i="17"/>
  <c r="DS130" i="17"/>
  <c r="DT130" i="17"/>
  <c r="DU130" i="17"/>
  <c r="DV130" i="17"/>
  <c r="DW130" i="17"/>
  <c r="CH184" i="17"/>
  <c r="CJ184" i="17"/>
  <c r="AX184" i="17"/>
  <c r="BG184" i="17"/>
  <c r="BK184" i="17"/>
  <c r="BM184" i="17"/>
  <c r="BR184" i="17"/>
  <c r="BW184" i="17"/>
  <c r="BZ184" i="17"/>
  <c r="CC184" i="17"/>
  <c r="CF184" i="17"/>
  <c r="CT184" i="17"/>
  <c r="CV184" i="17"/>
  <c r="CY184" i="17"/>
  <c r="DA184" i="17"/>
  <c r="DE184" i="17"/>
  <c r="DI184" i="17"/>
  <c r="DL184" i="17"/>
  <c r="DN184" i="17"/>
  <c r="DQ184" i="17"/>
  <c r="DR184" i="17"/>
  <c r="DU184" i="17"/>
  <c r="AW184" i="17"/>
  <c r="AY184" i="17"/>
  <c r="BD184" i="17"/>
  <c r="BH184" i="17"/>
  <c r="BL184" i="17"/>
  <c r="BO184" i="17"/>
  <c r="BV184" i="17"/>
  <c r="BY184" i="17"/>
  <c r="CD184" i="17"/>
  <c r="CG184" i="17"/>
  <c r="CU184" i="17"/>
  <c r="CW184" i="17"/>
  <c r="DC184" i="17"/>
  <c r="DF184" i="17"/>
  <c r="DJ184" i="17"/>
  <c r="DO184" i="17"/>
  <c r="DV184" i="17"/>
  <c r="AV184" i="17"/>
  <c r="AZ184" i="17"/>
  <c r="BB184" i="17"/>
  <c r="BC184" i="17"/>
  <c r="BF184" i="17"/>
  <c r="BJ184" i="17"/>
  <c r="BN184" i="17"/>
  <c r="BQ184" i="17"/>
  <c r="BS184" i="17"/>
  <c r="BU184" i="17"/>
  <c r="BX184" i="17"/>
  <c r="CB184" i="17"/>
  <c r="CX184" i="17"/>
  <c r="DB184" i="17"/>
  <c r="DD184" i="17"/>
  <c r="DG184" i="17"/>
  <c r="DK184" i="17"/>
  <c r="DP184" i="17"/>
  <c r="DS184" i="17"/>
  <c r="DW184" i="17"/>
  <c r="AG184" i="17"/>
  <c r="AU184" i="17"/>
  <c r="BA184" i="17"/>
  <c r="BE184" i="17"/>
  <c r="BI184" i="17"/>
  <c r="BP184" i="17"/>
  <c r="BT184" i="17"/>
  <c r="CA184" i="17"/>
  <c r="CE184" i="17"/>
  <c r="CZ184" i="17"/>
  <c r="DH184" i="17"/>
  <c r="DM184" i="17"/>
  <c r="DT184" i="17"/>
  <c r="CZ265" i="17"/>
  <c r="DA265" i="17"/>
  <c r="DB265" i="17"/>
  <c r="DC265" i="17"/>
  <c r="DD265" i="17"/>
  <c r="DE265" i="17"/>
  <c r="DF265" i="17"/>
  <c r="DG265" i="17"/>
  <c r="DH265" i="17"/>
  <c r="DI265" i="17"/>
  <c r="DJ265" i="17"/>
  <c r="DK265" i="17"/>
  <c r="AZ265" i="17"/>
  <c r="DM265" i="17"/>
  <c r="DN265" i="17"/>
  <c r="DO265" i="17"/>
  <c r="DP265" i="17"/>
  <c r="DQ265" i="17"/>
  <c r="DR265" i="17"/>
  <c r="DS265" i="17"/>
  <c r="DT265" i="17"/>
  <c r="DU265" i="17"/>
  <c r="DV265" i="17"/>
  <c r="DW265" i="17"/>
  <c r="AA265" i="17"/>
  <c r="AB265" i="17"/>
  <c r="AC265" i="17"/>
  <c r="AD265" i="17"/>
  <c r="AE265" i="17"/>
  <c r="AF265" i="17"/>
  <c r="AK265" i="17" s="1"/>
  <c r="AG265" i="17"/>
  <c r="AH265" i="17"/>
  <c r="AI265" i="17"/>
  <c r="DL265" i="17"/>
  <c r="AJ265" i="17"/>
  <c r="AL265" i="17"/>
  <c r="AM265" i="17"/>
  <c r="AN265" i="17"/>
  <c r="AO265" i="17"/>
  <c r="AR265" i="17"/>
  <c r="AS265" i="17"/>
  <c r="AU265" i="17"/>
  <c r="AV265" i="17"/>
  <c r="AW265" i="17"/>
  <c r="AX265" i="17"/>
  <c r="AY265" i="17"/>
  <c r="BA265" i="17"/>
  <c r="BB265" i="17"/>
  <c r="BC265" i="17"/>
  <c r="BD265" i="17"/>
  <c r="BE265" i="17"/>
  <c r="BF265" i="17"/>
  <c r="BG265" i="17"/>
  <c r="BH265" i="17"/>
  <c r="BI265" i="17"/>
  <c r="BJ265" i="17"/>
  <c r="BK265" i="17"/>
  <c r="BL265" i="17"/>
  <c r="BM265" i="17"/>
  <c r="BN265" i="17"/>
  <c r="BO265" i="17"/>
  <c r="BP265" i="17"/>
  <c r="BQ265" i="17"/>
  <c r="BR265" i="17"/>
  <c r="BS265" i="17"/>
  <c r="BT265" i="17"/>
  <c r="BU265" i="17"/>
  <c r="BV265" i="17"/>
  <c r="BW265" i="17"/>
  <c r="BX265" i="17"/>
  <c r="BY265" i="17"/>
  <c r="BZ265" i="17"/>
  <c r="CA265" i="17"/>
  <c r="CB265" i="17"/>
  <c r="CQ265" i="17"/>
  <c r="CC265" i="17"/>
  <c r="CD265" i="17"/>
  <c r="CE265" i="17"/>
  <c r="CF265" i="17"/>
  <c r="CG265" i="17"/>
  <c r="CH265" i="17"/>
  <c r="CJ265" i="17"/>
  <c r="CK265" i="17"/>
  <c r="CL265" i="17"/>
  <c r="CM265" i="17"/>
  <c r="CN265" i="17"/>
  <c r="CO265" i="17"/>
  <c r="CP265" i="17"/>
  <c r="CR265" i="17"/>
  <c r="CS265" i="17"/>
  <c r="CT265" i="17"/>
  <c r="CU265" i="17"/>
  <c r="CV265" i="17"/>
  <c r="CW265" i="17"/>
  <c r="CX265" i="17"/>
  <c r="CY265" i="17"/>
  <c r="CF197" i="17"/>
  <c r="DH197" i="17"/>
  <c r="DK197" i="17"/>
  <c r="DN197" i="17"/>
  <c r="DQ197" i="17"/>
  <c r="DT197" i="17"/>
  <c r="BK197" i="17"/>
  <c r="BN197" i="17"/>
  <c r="BQ197" i="17"/>
  <c r="BT197" i="17"/>
  <c r="BW197" i="17"/>
  <c r="BY197" i="17"/>
  <c r="CC197" i="17"/>
  <c r="BS197" i="17"/>
  <c r="CZ197" i="17"/>
  <c r="DB197" i="17"/>
  <c r="DE197" i="17"/>
  <c r="DG197" i="17"/>
  <c r="DJ197" i="17"/>
  <c r="DL197" i="17"/>
  <c r="DO197" i="17"/>
  <c r="DR197" i="17"/>
  <c r="DV197" i="17"/>
  <c r="AG197" i="17"/>
  <c r="BM197" i="17"/>
  <c r="BP197" i="17"/>
  <c r="DW197" i="17"/>
  <c r="BV197" i="17"/>
  <c r="BZ197" i="17"/>
  <c r="CB197" i="17"/>
  <c r="CE197" i="17"/>
  <c r="CH197" i="17"/>
  <c r="CY197" i="17"/>
  <c r="DC197" i="17"/>
  <c r="DF197" i="17"/>
  <c r="DI197" i="17"/>
  <c r="DM197" i="17"/>
  <c r="DP197" i="17"/>
  <c r="DS197" i="17"/>
  <c r="DU197" i="17"/>
  <c r="BJ197" i="17"/>
  <c r="BL197" i="17"/>
  <c r="BO197" i="17"/>
  <c r="BR197" i="17"/>
  <c r="BU197" i="17"/>
  <c r="BX197" i="17"/>
  <c r="CA197" i="17"/>
  <c r="CD197" i="17"/>
  <c r="CG197" i="17"/>
  <c r="CJ197" i="17"/>
  <c r="DA197" i="17"/>
  <c r="DD197" i="17"/>
  <c r="DD137" i="17"/>
  <c r="DU137" i="17"/>
  <c r="BS137" i="17"/>
  <c r="BV137" i="17"/>
  <c r="CJ137" i="17"/>
  <c r="CA137" i="17"/>
  <c r="BR137" i="17"/>
  <c r="CE137" i="17"/>
  <c r="CY137" i="17"/>
  <c r="DJ137" i="17"/>
  <c r="DS137" i="17"/>
  <c r="CD137" i="17"/>
  <c r="DE137" i="17"/>
  <c r="BL137" i="17"/>
  <c r="CF137" i="17"/>
  <c r="BN137" i="17"/>
  <c r="CB137" i="17"/>
  <c r="DG137" i="17"/>
  <c r="DP137" i="17"/>
  <c r="BJ137" i="17"/>
  <c r="DB137" i="17"/>
  <c r="BP137" i="17"/>
  <c r="CC137" i="17"/>
  <c r="DK137" i="17"/>
  <c r="DQ137" i="17"/>
  <c r="BX137" i="17"/>
  <c r="CG137" i="17"/>
  <c r="DF137" i="17"/>
  <c r="DL137" i="17"/>
  <c r="DW137" i="17"/>
  <c r="BM137" i="17"/>
  <c r="DA137" i="17"/>
  <c r="AG137" i="17"/>
  <c r="BW137" i="17"/>
  <c r="DI137" i="17"/>
  <c r="DT137" i="17"/>
  <c r="BQ137" i="17"/>
  <c r="BT137" i="17"/>
  <c r="CZ137" i="17"/>
  <c r="DC137" i="17"/>
  <c r="DN137" i="17"/>
  <c r="DR137" i="17"/>
  <c r="DV137" i="17"/>
  <c r="BU137" i="17"/>
  <c r="DH137" i="17"/>
  <c r="BK137" i="17"/>
  <c r="BY137" i="17"/>
  <c r="CH137" i="17"/>
  <c r="DM137" i="17"/>
  <c r="BO137" i="17"/>
  <c r="BZ137" i="17"/>
  <c r="DO137" i="17"/>
  <c r="BT147" i="17"/>
  <c r="DD147" i="17"/>
  <c r="DT147" i="17"/>
  <c r="BX147" i="17"/>
  <c r="CA147" i="17"/>
  <c r="BZ147" i="17"/>
  <c r="CD147" i="17"/>
  <c r="DR147" i="17"/>
  <c r="BR147" i="17"/>
  <c r="BO147" i="17"/>
  <c r="CE147" i="17"/>
  <c r="DH147" i="17"/>
  <c r="DL147" i="17"/>
  <c r="BV147" i="17"/>
  <c r="DS147" i="17"/>
  <c r="BU147" i="17"/>
  <c r="DE147" i="17"/>
  <c r="DK147" i="17"/>
  <c r="CF147" i="17"/>
  <c r="DN147" i="17"/>
  <c r="BP147" i="17"/>
  <c r="DO147" i="17"/>
  <c r="DQ147" i="17"/>
  <c r="DG147" i="17"/>
  <c r="DP147" i="17"/>
  <c r="AG147" i="17"/>
  <c r="CG147" i="17"/>
  <c r="BS147" i="17"/>
  <c r="BW147" i="17"/>
  <c r="CC147" i="17"/>
  <c r="CJ147" i="17"/>
  <c r="DJ147" i="17"/>
  <c r="DU147" i="17"/>
  <c r="DF147" i="17"/>
  <c r="DM147" i="17"/>
  <c r="DW147" i="17"/>
  <c r="BQ147" i="17"/>
  <c r="BY147" i="17"/>
  <c r="CB147" i="17"/>
  <c r="CH147" i="17"/>
  <c r="DI147" i="17"/>
  <c r="DV147" i="17"/>
  <c r="AU266" i="17"/>
  <c r="AV266" i="17"/>
  <c r="AW266" i="17"/>
  <c r="AX266" i="17"/>
  <c r="AY266" i="17"/>
  <c r="AZ266" i="17"/>
  <c r="BA266" i="17"/>
  <c r="BB266" i="17"/>
  <c r="BC266" i="17"/>
  <c r="BD266" i="17"/>
  <c r="AG233" i="17"/>
  <c r="BJ233" i="17"/>
  <c r="BK233" i="17"/>
  <c r="BL233" i="17"/>
  <c r="BM233" i="17"/>
  <c r="BN233" i="17"/>
  <c r="BO233" i="17"/>
  <c r="BP233" i="17"/>
  <c r="BQ233" i="17"/>
  <c r="BR233" i="17"/>
  <c r="BS233" i="17"/>
  <c r="BT233" i="17"/>
  <c r="BU233" i="17"/>
  <c r="BV233" i="17"/>
  <c r="BW233" i="17"/>
  <c r="BX233" i="17"/>
  <c r="BY233" i="17"/>
  <c r="BZ233" i="17"/>
  <c r="CA233" i="17"/>
  <c r="CB233" i="17"/>
  <c r="CC233" i="17"/>
  <c r="CD233" i="17"/>
  <c r="CE233" i="17"/>
  <c r="CF233" i="17"/>
  <c r="CG233" i="17"/>
  <c r="CH233" i="17"/>
  <c r="CJ233" i="17"/>
  <c r="CY233" i="17"/>
  <c r="CZ233" i="17"/>
  <c r="DA233" i="17"/>
  <c r="DB233" i="17"/>
  <c r="DC233" i="17"/>
  <c r="DD233" i="17"/>
  <c r="DE233" i="17"/>
  <c r="DF233" i="17"/>
  <c r="DG233" i="17"/>
  <c r="DH233" i="17"/>
  <c r="DI233" i="17"/>
  <c r="DJ233" i="17"/>
  <c r="DK233" i="17"/>
  <c r="DL233" i="17"/>
  <c r="DM233" i="17"/>
  <c r="DN233" i="17"/>
  <c r="DO233" i="17"/>
  <c r="DP233" i="17"/>
  <c r="DQ233" i="17"/>
  <c r="DR233" i="17"/>
  <c r="DS233" i="17"/>
  <c r="DT233" i="17"/>
  <c r="DU233" i="17"/>
  <c r="DV233" i="17"/>
  <c r="DW233" i="17"/>
  <c r="DK198" i="17"/>
  <c r="DT198" i="17"/>
  <c r="DN198" i="17"/>
  <c r="DP198" i="17"/>
  <c r="DQ198" i="17"/>
  <c r="DS198" i="17"/>
  <c r="DU198" i="17"/>
  <c r="DW198" i="17"/>
  <c r="AG198" i="17"/>
  <c r="BU198" i="17"/>
  <c r="BY198" i="17"/>
  <c r="CA198" i="17"/>
  <c r="CB198" i="17"/>
  <c r="CC198" i="17"/>
  <c r="CF198" i="17"/>
  <c r="CH198" i="17"/>
  <c r="DV198" i="17"/>
  <c r="DJ198" i="17"/>
  <c r="DL198" i="17"/>
  <c r="DM198" i="17"/>
  <c r="DO198" i="17"/>
  <c r="DR198" i="17"/>
  <c r="BT198" i="17"/>
  <c r="BV198" i="17"/>
  <c r="BW198" i="17"/>
  <c r="BX198" i="17"/>
  <c r="BZ198" i="17"/>
  <c r="CD198" i="17"/>
  <c r="CE198" i="17"/>
  <c r="CG198" i="17"/>
  <c r="CJ198" i="17"/>
  <c r="DI198" i="17"/>
  <c r="BM187" i="17"/>
  <c r="CC187" i="17"/>
  <c r="CO187" i="17"/>
  <c r="CV187" i="17"/>
  <c r="DB187" i="17"/>
  <c r="DH187" i="17"/>
  <c r="DT187" i="17"/>
  <c r="AE187" i="17"/>
  <c r="AG187" i="17"/>
  <c r="AI187" i="17"/>
  <c r="AL187" i="17"/>
  <c r="AX187" i="17"/>
  <c r="BB187" i="17"/>
  <c r="BS187" i="17"/>
  <c r="BX187" i="17"/>
  <c r="AV187" i="17"/>
  <c r="CT187" i="17"/>
  <c r="DF187" i="17"/>
  <c r="DJ187" i="17"/>
  <c r="DN187" i="17"/>
  <c r="DQ187" i="17"/>
  <c r="CJ187" i="17"/>
  <c r="DC187" i="17"/>
  <c r="AZ187" i="17"/>
  <c r="BC187" i="17"/>
  <c r="BE187" i="17"/>
  <c r="BN187" i="17"/>
  <c r="BW187" i="17"/>
  <c r="CB187" i="17"/>
  <c r="CK187" i="17"/>
  <c r="CP187" i="17"/>
  <c r="CU187" i="17"/>
  <c r="DW187" i="17"/>
  <c r="CZ187" i="17"/>
  <c r="CN187" i="17"/>
  <c r="CD187" i="17"/>
  <c r="BL187" i="17"/>
  <c r="AY187" i="17"/>
  <c r="AS187" i="17"/>
  <c r="AN187" i="17"/>
  <c r="AB187" i="17"/>
  <c r="DM187" i="17"/>
  <c r="DD187" i="17"/>
  <c r="CW187" i="17"/>
  <c r="CG187" i="17"/>
  <c r="BT187" i="17"/>
  <c r="BH187" i="17"/>
  <c r="AH187" i="17"/>
  <c r="AF187" i="17"/>
  <c r="AK187" i="17" s="1"/>
  <c r="DU187" i="17"/>
  <c r="CY187" i="17"/>
  <c r="CL187" i="17"/>
  <c r="BY187" i="17"/>
  <c r="BP187" i="17"/>
  <c r="BG187" i="17"/>
  <c r="BA187" i="17"/>
  <c r="DK187" i="17"/>
  <c r="BV187" i="17"/>
  <c r="BO187" i="17"/>
  <c r="BD187" i="17"/>
  <c r="AO187" i="17"/>
  <c r="AC187" i="17"/>
  <c r="DS187" i="17"/>
  <c r="DI187" i="17"/>
  <c r="AW187" i="17"/>
  <c r="BI187" i="17"/>
  <c r="BQ187" i="17"/>
  <c r="BZ187" i="17"/>
  <c r="CE187" i="17"/>
  <c r="CM187" i="17"/>
  <c r="CS187" i="17"/>
  <c r="CX187" i="17"/>
  <c r="DE187" i="17"/>
  <c r="DL187" i="17"/>
  <c r="DO187" i="17"/>
  <c r="DV187" i="17"/>
  <c r="AJ187" i="17"/>
  <c r="AU187" i="17"/>
  <c r="BJ187" i="17"/>
  <c r="BR187" i="17"/>
  <c r="CF187" i="17"/>
  <c r="CR187" i="17"/>
  <c r="DG187" i="17"/>
  <c r="DP187" i="17"/>
  <c r="BF187" i="17"/>
  <c r="BK187" i="17"/>
  <c r="BU187" i="17"/>
  <c r="CA187" i="17"/>
  <c r="CH187" i="17"/>
  <c r="CQ187" i="17"/>
  <c r="DA187" i="17"/>
  <c r="DR187" i="17"/>
  <c r="AA187" i="17"/>
  <c r="AD187" i="17"/>
  <c r="AM187" i="17"/>
  <c r="AR187" i="17"/>
  <c r="CJ42" i="17"/>
  <c r="DO42" i="17"/>
  <c r="DL42" i="17"/>
  <c r="BW42" i="17"/>
  <c r="DG42" i="17"/>
  <c r="DU42" i="17"/>
  <c r="BO42" i="17"/>
  <c r="BM42" i="17"/>
  <c r="CZ42" i="17"/>
  <c r="DK42" i="17"/>
  <c r="CA42" i="17"/>
  <c r="DM42" i="17"/>
  <c r="BN42" i="17"/>
  <c r="BT42" i="17"/>
  <c r="BU42" i="17"/>
  <c r="DR42" i="17"/>
  <c r="BP42" i="17"/>
  <c r="DA42" i="17"/>
  <c r="DP42" i="17"/>
  <c r="BQ42" i="17"/>
  <c r="BI42" i="17"/>
  <c r="DF42" i="17"/>
  <c r="BF42" i="17"/>
  <c r="CG42" i="17"/>
  <c r="BV42" i="17"/>
  <c r="BZ42" i="17"/>
  <c r="DB42" i="17"/>
  <c r="DQ42" i="17"/>
  <c r="CD42" i="17"/>
  <c r="CV42" i="17"/>
  <c r="DS42" i="17"/>
  <c r="BY42" i="17"/>
  <c r="BE42" i="17"/>
  <c r="BL42" i="17"/>
  <c r="BJ42" i="17"/>
  <c r="CT42" i="17"/>
  <c r="DC42" i="17"/>
  <c r="BK42" i="17"/>
  <c r="BX42" i="17"/>
  <c r="CH42" i="17"/>
  <c r="DD42" i="17"/>
  <c r="DI42" i="17"/>
  <c r="DT42" i="17"/>
  <c r="CW42" i="17"/>
  <c r="DW42" i="17"/>
  <c r="CF42" i="17"/>
  <c r="DJ42" i="17"/>
  <c r="BS42" i="17"/>
  <c r="DV42" i="17"/>
  <c r="CC42" i="17"/>
  <c r="BG42" i="17"/>
  <c r="AG42" i="17"/>
  <c r="DN42" i="17"/>
  <c r="CX42" i="17"/>
  <c r="DE42" i="17"/>
  <c r="DH42" i="17"/>
  <c r="BR42" i="17"/>
  <c r="CY42" i="17"/>
  <c r="CU42" i="17"/>
  <c r="CB42" i="17"/>
  <c r="BH42" i="17"/>
  <c r="CE42" i="17"/>
  <c r="AR73" i="17"/>
  <c r="AY73" i="17"/>
  <c r="BC73" i="17"/>
  <c r="BH73" i="17"/>
  <c r="BL73" i="17"/>
  <c r="CO73" i="17"/>
  <c r="CZ73" i="17"/>
  <c r="DN73" i="17"/>
  <c r="AB73" i="17"/>
  <c r="AF73" i="17"/>
  <c r="AK73" i="17" s="1"/>
  <c r="AM73" i="17"/>
  <c r="AS73" i="17"/>
  <c r="BF73" i="17"/>
  <c r="BI73" i="17"/>
  <c r="BK73" i="17"/>
  <c r="BV73" i="17"/>
  <c r="CB73" i="17"/>
  <c r="CF73" i="17"/>
  <c r="CQ73" i="17"/>
  <c r="DK73" i="17"/>
  <c r="DP73" i="17"/>
  <c r="BQ73" i="17"/>
  <c r="BT73" i="17"/>
  <c r="CK73" i="17"/>
  <c r="BY73" i="17"/>
  <c r="CR73" i="17"/>
  <c r="CT73" i="17"/>
  <c r="CW73" i="17"/>
  <c r="DB73" i="17"/>
  <c r="DI73" i="17"/>
  <c r="AW73" i="17"/>
  <c r="BE73" i="17"/>
  <c r="BN73" i="17"/>
  <c r="BW73" i="17"/>
  <c r="CC73" i="17"/>
  <c r="CE73" i="17"/>
  <c r="CP73" i="17"/>
  <c r="CV73" i="17"/>
  <c r="CY73" i="17"/>
  <c r="DD73" i="17"/>
  <c r="DG73" i="17"/>
  <c r="BX73" i="17"/>
  <c r="DS73" i="17"/>
  <c r="AC73" i="17"/>
  <c r="AJ73" i="17"/>
  <c r="AO73" i="17"/>
  <c r="AV73" i="17"/>
  <c r="AZ73" i="17"/>
  <c r="BJ73" i="17"/>
  <c r="BO73" i="17"/>
  <c r="BR73" i="17"/>
  <c r="CA73" i="17"/>
  <c r="CL73" i="17"/>
  <c r="DF73" i="17"/>
  <c r="DQ73" i="17"/>
  <c r="DU73" i="17"/>
  <c r="AE73" i="17"/>
  <c r="AH73" i="17"/>
  <c r="BA73" i="17"/>
  <c r="BS73" i="17"/>
  <c r="BU73" i="17"/>
  <c r="CG73" i="17"/>
  <c r="CM73" i="17"/>
  <c r="CU73" i="17"/>
  <c r="DA73" i="17"/>
  <c r="DC73" i="17"/>
  <c r="DJ73" i="17"/>
  <c r="DM73" i="17"/>
  <c r="DO73" i="17"/>
  <c r="DV73" i="17"/>
  <c r="AX73" i="17"/>
  <c r="BB73" i="17"/>
  <c r="AL73" i="17"/>
  <c r="BM73" i="17"/>
  <c r="BP73" i="17"/>
  <c r="CH73" i="17"/>
  <c r="CN73" i="17"/>
  <c r="DT73" i="17"/>
  <c r="AA73" i="17"/>
  <c r="AD73" i="17"/>
  <c r="AG73" i="17"/>
  <c r="AN73" i="17"/>
  <c r="AU73" i="17"/>
  <c r="BD73" i="17"/>
  <c r="BG73" i="17"/>
  <c r="BZ73" i="17"/>
  <c r="CD73" i="17"/>
  <c r="CJ73" i="17"/>
  <c r="CS73" i="17"/>
  <c r="CX73" i="17"/>
  <c r="DE73" i="17"/>
  <c r="DH73" i="17"/>
  <c r="DL73" i="17"/>
  <c r="DR73" i="17"/>
  <c r="DW73" i="17"/>
  <c r="AI73" i="17"/>
  <c r="AA230" i="17"/>
  <c r="AB230" i="17"/>
  <c r="AC230" i="17"/>
  <c r="AD230" i="17"/>
  <c r="AE230" i="17"/>
  <c r="AF230" i="17"/>
  <c r="AK230" i="17" s="1"/>
  <c r="AG230" i="17"/>
  <c r="AH230" i="17"/>
  <c r="AI230" i="17"/>
  <c r="AJ230" i="17"/>
  <c r="AL230" i="17"/>
  <c r="AM230" i="17"/>
  <c r="AN230" i="17"/>
  <c r="AO230" i="17"/>
  <c r="AR230" i="17"/>
  <c r="AS230" i="17"/>
  <c r="AU230" i="17"/>
  <c r="AV230" i="17"/>
  <c r="AW230" i="17"/>
  <c r="AX230" i="17"/>
  <c r="AY230" i="17"/>
  <c r="AZ230" i="17"/>
  <c r="BA230" i="17"/>
  <c r="BB230" i="17"/>
  <c r="BD230" i="17"/>
  <c r="BE230" i="17"/>
  <c r="BF230" i="17"/>
  <c r="BG230" i="17"/>
  <c r="BH230" i="17"/>
  <c r="BI230" i="17"/>
  <c r="BJ230" i="17"/>
  <c r="BK230" i="17"/>
  <c r="BL230" i="17"/>
  <c r="BM230" i="17"/>
  <c r="BN230" i="17"/>
  <c r="BO230" i="17"/>
  <c r="BP230" i="17"/>
  <c r="BQ230" i="17"/>
  <c r="BR230" i="17"/>
  <c r="BS230" i="17"/>
  <c r="BT230" i="17"/>
  <c r="BU230" i="17"/>
  <c r="BV230" i="17"/>
  <c r="BW230" i="17"/>
  <c r="BX230" i="17"/>
  <c r="BY230" i="17"/>
  <c r="CA230" i="17"/>
  <c r="CB230" i="17"/>
  <c r="CC230" i="17"/>
  <c r="CD230" i="17"/>
  <c r="CE230" i="17"/>
  <c r="CF230" i="17"/>
  <c r="CG230" i="17"/>
  <c r="CH230" i="17"/>
  <c r="CJ230" i="17"/>
  <c r="CK230" i="17"/>
  <c r="CL230" i="17"/>
  <c r="CM230" i="17"/>
  <c r="CN230" i="17"/>
  <c r="CO230" i="17"/>
  <c r="CP230" i="17"/>
  <c r="CQ230" i="17"/>
  <c r="CT230" i="17"/>
  <c r="CS230" i="17"/>
  <c r="CR230" i="17"/>
  <c r="DW230" i="17"/>
  <c r="DV230" i="17"/>
  <c r="DU230" i="17"/>
  <c r="DT230" i="17"/>
  <c r="DS230" i="17"/>
  <c r="DR230" i="17"/>
  <c r="DP230" i="17"/>
  <c r="DO230" i="17"/>
  <c r="DN230" i="17"/>
  <c r="DM230" i="17"/>
  <c r="DL230" i="17"/>
  <c r="DJ230" i="17"/>
  <c r="DI230" i="17"/>
  <c r="DH230" i="17"/>
  <c r="DG230" i="17"/>
  <c r="DF230" i="17"/>
  <c r="DQ230" i="17"/>
  <c r="BZ230" i="17"/>
  <c r="BC230" i="17"/>
  <c r="DD230" i="17"/>
  <c r="DC230" i="17"/>
  <c r="DB230" i="17"/>
  <c r="DK230" i="17"/>
  <c r="DA230" i="17"/>
  <c r="CZ230" i="17"/>
  <c r="CY230" i="17"/>
  <c r="CX230" i="17"/>
  <c r="CW230" i="17"/>
  <c r="CV230" i="17"/>
  <c r="CU230" i="17"/>
  <c r="DE230" i="17"/>
  <c r="AU261" i="17"/>
  <c r="AW261" i="17"/>
  <c r="AX261" i="17"/>
  <c r="AY261" i="17"/>
  <c r="BA261" i="17"/>
  <c r="BB261" i="17"/>
  <c r="BD261" i="17"/>
  <c r="BE261" i="17"/>
  <c r="BF261" i="17"/>
  <c r="BH261" i="17"/>
  <c r="BI261" i="17"/>
  <c r="BJ261" i="17"/>
  <c r="BK261" i="17"/>
  <c r="BL261" i="17"/>
  <c r="BN261" i="17"/>
  <c r="AV261" i="17"/>
  <c r="AZ261" i="17"/>
  <c r="BC261" i="17"/>
  <c r="BG261" i="17"/>
  <c r="BM261" i="17"/>
  <c r="BQ142" i="17"/>
  <c r="BT142" i="17"/>
  <c r="CG142" i="17"/>
  <c r="DK142" i="17"/>
  <c r="DQ142" i="17"/>
  <c r="DW142" i="17"/>
  <c r="BJ142" i="17"/>
  <c r="CH142" i="17"/>
  <c r="DD142" i="17"/>
  <c r="DH142" i="17"/>
  <c r="DP142" i="17"/>
  <c r="DU142" i="17"/>
  <c r="BL142" i="17"/>
  <c r="BR142" i="17"/>
  <c r="CB142" i="17"/>
  <c r="CJ142" i="17"/>
  <c r="DA142" i="17"/>
  <c r="AG142" i="17"/>
  <c r="BU142" i="17"/>
  <c r="BX142" i="17"/>
  <c r="CA142" i="17"/>
  <c r="CD142" i="17"/>
  <c r="CY142" i="17"/>
  <c r="DG142" i="17"/>
  <c r="DM142" i="17"/>
  <c r="BK142" i="17"/>
  <c r="BP142" i="17"/>
  <c r="BS142" i="17"/>
  <c r="BV142" i="17"/>
  <c r="BZ142" i="17"/>
  <c r="CZ142" i="17"/>
  <c r="DF142" i="17"/>
  <c r="DJ142" i="17"/>
  <c r="DL142" i="17"/>
  <c r="DN142" i="17"/>
  <c r="DS142" i="17"/>
  <c r="BM142" i="17"/>
  <c r="BW142" i="17"/>
  <c r="BY142" i="17"/>
  <c r="CE142" i="17"/>
  <c r="DB142" i="17"/>
  <c r="DE142" i="17"/>
  <c r="DI142" i="17"/>
  <c r="DR142" i="17"/>
  <c r="DV142" i="17"/>
  <c r="BO142" i="17"/>
  <c r="CC142" i="17"/>
  <c r="CF142" i="17"/>
  <c r="DC142" i="17"/>
  <c r="DO142" i="17"/>
  <c r="DT142" i="17"/>
  <c r="BN142" i="17"/>
  <c r="BU76" i="17"/>
  <c r="BZ76" i="17"/>
  <c r="CB76" i="17"/>
  <c r="CF76" i="17"/>
  <c r="BN76" i="17"/>
  <c r="BX76" i="17"/>
  <c r="CD76" i="17"/>
  <c r="DF76" i="17"/>
  <c r="AG76" i="17"/>
  <c r="BK76" i="17"/>
  <c r="CC76" i="17"/>
  <c r="CE76" i="17"/>
  <c r="CJ76" i="17"/>
  <c r="DH76" i="17"/>
  <c r="DM76" i="17"/>
  <c r="DO76" i="17"/>
  <c r="DS76" i="17"/>
  <c r="BM76" i="17"/>
  <c r="BS76" i="17"/>
  <c r="CG76" i="17"/>
  <c r="DA76" i="17"/>
  <c r="BO76" i="17"/>
  <c r="DG76" i="17"/>
  <c r="DP76" i="17"/>
  <c r="BP76" i="17"/>
  <c r="CA76" i="17"/>
  <c r="CY76" i="17"/>
  <c r="DN76" i="17"/>
  <c r="DU76" i="17"/>
  <c r="BQ76" i="17"/>
  <c r="BW76" i="17"/>
  <c r="BY76" i="17"/>
  <c r="CH76" i="17"/>
  <c r="CZ76" i="17"/>
  <c r="DJ76" i="17"/>
  <c r="DR76" i="17"/>
  <c r="DC76" i="17"/>
  <c r="BJ76" i="17"/>
  <c r="BR76" i="17"/>
  <c r="BT76" i="17"/>
  <c r="BV76" i="17"/>
  <c r="DB76" i="17"/>
  <c r="DE76" i="17"/>
  <c r="DI76" i="17"/>
  <c r="DL76" i="17"/>
  <c r="DT76" i="17"/>
  <c r="BL76" i="17"/>
  <c r="DD76" i="17"/>
  <c r="DK76" i="17"/>
  <c r="DQ76" i="17"/>
  <c r="DV76" i="17"/>
  <c r="DW76" i="17"/>
  <c r="BW145" i="17"/>
  <c r="DG145" i="17"/>
  <c r="BN145" i="17"/>
  <c r="DF145" i="17"/>
  <c r="BS145" i="17"/>
  <c r="CV145" i="17"/>
  <c r="DR145" i="17"/>
  <c r="BP145" i="17"/>
  <c r="DV145" i="17"/>
  <c r="BV145" i="17"/>
  <c r="CY145" i="17"/>
  <c r="BI145" i="17"/>
  <c r="CD145" i="17"/>
  <c r="DP145" i="17"/>
  <c r="BE145" i="17"/>
  <c r="BY145" i="17"/>
  <c r="DE145" i="17"/>
  <c r="BG145" i="17"/>
  <c r="DB145" i="17"/>
  <c r="BQ145" i="17"/>
  <c r="CJ145" i="17"/>
  <c r="DA145" i="17"/>
  <c r="DO145" i="17"/>
  <c r="BT145" i="17"/>
  <c r="CW145" i="17"/>
  <c r="DS145" i="17"/>
  <c r="BR145" i="17"/>
  <c r="DT145" i="17"/>
  <c r="BM145" i="17"/>
  <c r="CZ145" i="17"/>
  <c r="BO145" i="17"/>
  <c r="CT145" i="17"/>
  <c r="DW145" i="17"/>
  <c r="BJ145" i="17"/>
  <c r="CU145" i="17"/>
  <c r="DJ145" i="17"/>
  <c r="DQ145" i="17"/>
  <c r="CG145" i="17"/>
  <c r="DL145" i="17"/>
  <c r="BF145" i="17"/>
  <c r="CB145" i="17"/>
  <c r="CA145" i="17"/>
  <c r="CC145" i="17"/>
  <c r="DK145" i="17"/>
  <c r="DN145" i="17"/>
  <c r="BZ145" i="17"/>
  <c r="DC145" i="17"/>
  <c r="BH145" i="17"/>
  <c r="CE145" i="17"/>
  <c r="DU145" i="17"/>
  <c r="BU145" i="17"/>
  <c r="CX145" i="17"/>
  <c r="DI145" i="17"/>
  <c r="BX145" i="17"/>
  <c r="DH145" i="17"/>
  <c r="BK145" i="17"/>
  <c r="BL145" i="17"/>
  <c r="CF145" i="17"/>
  <c r="AG145" i="17"/>
  <c r="CH145" i="17"/>
  <c r="DD145" i="17"/>
  <c r="DM145" i="17"/>
  <c r="AU240" i="17"/>
  <c r="AV240" i="17"/>
  <c r="AW240" i="17"/>
  <c r="AX240" i="17"/>
  <c r="AY240" i="17"/>
  <c r="AZ240" i="17"/>
  <c r="BA240" i="17"/>
  <c r="BB240" i="17"/>
  <c r="BC240" i="17"/>
  <c r="BD240" i="17"/>
  <c r="BE240" i="17"/>
  <c r="BF240" i="17"/>
  <c r="BG240" i="17"/>
  <c r="BH240" i="17"/>
  <c r="BI240" i="17"/>
  <c r="AU248" i="17"/>
  <c r="BC270" i="17"/>
  <c r="BH270" i="17"/>
  <c r="AU270" i="17"/>
  <c r="AV270" i="17"/>
  <c r="AW270" i="17"/>
  <c r="AX270" i="17"/>
  <c r="AY270" i="17"/>
  <c r="AZ270" i="17"/>
  <c r="BA270" i="17"/>
  <c r="BB270" i="17"/>
  <c r="BI270" i="17"/>
  <c r="BD270" i="17"/>
  <c r="BE270" i="17"/>
  <c r="BF270" i="17"/>
  <c r="BG270" i="17"/>
  <c r="DS122" i="17"/>
  <c r="BO122" i="17"/>
  <c r="DT122" i="17"/>
  <c r="DU122" i="17"/>
  <c r="DV122" i="17"/>
  <c r="AG122" i="17"/>
  <c r="DW122" i="17"/>
  <c r="BP122" i="17"/>
  <c r="BQ122" i="17"/>
  <c r="BR122" i="17"/>
  <c r="BS122" i="17"/>
  <c r="BT122" i="17"/>
  <c r="BU122" i="17"/>
  <c r="BV122" i="17"/>
  <c r="BW122" i="17"/>
  <c r="BX122" i="17"/>
  <c r="BY122" i="17"/>
  <c r="BZ122" i="17"/>
  <c r="CA122" i="17"/>
  <c r="CB122" i="17"/>
  <c r="CC122" i="17"/>
  <c r="CD122" i="17"/>
  <c r="CE122" i="17"/>
  <c r="CF122" i="17"/>
  <c r="CG122" i="17"/>
  <c r="CH122" i="17"/>
  <c r="CJ122" i="17"/>
  <c r="DD122" i="17"/>
  <c r="DE122" i="17"/>
  <c r="DF122" i="17"/>
  <c r="DG122" i="17"/>
  <c r="DH122" i="17"/>
  <c r="DI122" i="17"/>
  <c r="DJ122" i="17"/>
  <c r="DK122" i="17"/>
  <c r="DL122" i="17"/>
  <c r="DM122" i="17"/>
  <c r="DN122" i="17"/>
  <c r="DO122" i="17"/>
  <c r="DP122" i="17"/>
  <c r="DQ122" i="17"/>
  <c r="DR122" i="17"/>
  <c r="DB81" i="17"/>
  <c r="DA81" i="17"/>
  <c r="DH81" i="17"/>
  <c r="DP81" i="17"/>
  <c r="DU81" i="17"/>
  <c r="BL81" i="17"/>
  <c r="BN81" i="17"/>
  <c r="CJ81" i="17"/>
  <c r="BX81" i="17"/>
  <c r="CE81" i="17"/>
  <c r="DD81" i="17"/>
  <c r="DG81" i="17"/>
  <c r="BJ81" i="17"/>
  <c r="BM81" i="17"/>
  <c r="BQ81" i="17"/>
  <c r="BZ81" i="17"/>
  <c r="CD81" i="17"/>
  <c r="DC81" i="17"/>
  <c r="DJ81" i="17"/>
  <c r="DK81" i="17"/>
  <c r="DQ81" i="17"/>
  <c r="DT81" i="17"/>
  <c r="BS81" i="17"/>
  <c r="CF81" i="17"/>
  <c r="CY81" i="17"/>
  <c r="BO77" i="17"/>
  <c r="AL77" i="17"/>
  <c r="AH77" i="17"/>
  <c r="BQ77" i="17"/>
  <c r="AN77" i="17"/>
  <c r="BB77" i="17"/>
  <c r="BK77" i="17"/>
  <c r="BT77" i="17"/>
  <c r="AY77" i="17"/>
  <c r="DT90" i="17"/>
  <c r="CH90" i="17"/>
  <c r="BU90" i="17"/>
  <c r="DM90" i="17"/>
  <c r="DB90" i="17"/>
  <c r="CE90" i="17"/>
  <c r="BV90" i="17"/>
  <c r="BP90" i="17"/>
  <c r="BM90" i="17"/>
  <c r="DW90" i="17"/>
  <c r="DF90" i="17"/>
  <c r="CJ90" i="17"/>
  <c r="CB90" i="17"/>
  <c r="BJ90" i="17"/>
  <c r="DS90" i="17"/>
  <c r="DV90" i="17"/>
  <c r="BX90" i="17"/>
  <c r="DN90" i="17"/>
  <c r="CA90" i="17"/>
  <c r="AG90" i="17"/>
  <c r="CG90" i="17"/>
  <c r="BW90" i="17"/>
  <c r="DL90" i="17"/>
  <c r="DD90" i="17"/>
  <c r="DQ90" i="17"/>
  <c r="BY90" i="17"/>
  <c r="DG90" i="17"/>
  <c r="DP90" i="17"/>
  <c r="DA90" i="17"/>
  <c r="CF90" i="17"/>
  <c r="BZ90" i="17"/>
  <c r="DE90" i="17"/>
  <c r="CZ90" i="17"/>
  <c r="BT90" i="17"/>
  <c r="DO90" i="17"/>
  <c r="DK90" i="17"/>
  <c r="BS90" i="17"/>
  <c r="BO90" i="17"/>
  <c r="BK90" i="17"/>
  <c r="DC90" i="17"/>
  <c r="DR90" i="17"/>
  <c r="DI90" i="17"/>
  <c r="BR90" i="17"/>
  <c r="BN90" i="17"/>
  <c r="DU90" i="17"/>
  <c r="DJ90" i="17"/>
  <c r="CC90" i="17"/>
  <c r="BQ90" i="17"/>
  <c r="BL90" i="17"/>
  <c r="DH90" i="17"/>
  <c r="CY90" i="17"/>
  <c r="CD90" i="17"/>
  <c r="BC89" i="17"/>
  <c r="BE89" i="17"/>
  <c r="BN89" i="17"/>
  <c r="BG89" i="17"/>
  <c r="AW89" i="17"/>
  <c r="BP89" i="17"/>
  <c r="BJ89" i="17"/>
  <c r="BB89" i="17"/>
  <c r="AX89" i="17"/>
  <c r="BL89" i="17"/>
  <c r="BQ89" i="17"/>
  <c r="BM89" i="17"/>
  <c r="BI89" i="17"/>
  <c r="BD89" i="17"/>
  <c r="AU89" i="17"/>
  <c r="CK89" i="17" s="1"/>
  <c r="BO89" i="17"/>
  <c r="AZ89" i="17"/>
  <c r="BF89" i="17"/>
  <c r="BK89" i="17"/>
  <c r="BS89" i="17"/>
  <c r="AV89" i="17"/>
  <c r="BH89" i="17"/>
  <c r="BR89" i="17"/>
  <c r="BA89" i="17"/>
  <c r="AY89" i="17"/>
  <c r="BX102" i="17"/>
  <c r="BY102" i="17"/>
  <c r="CG102" i="17"/>
  <c r="CJ102" i="17"/>
  <c r="DE102" i="17"/>
  <c r="DH102" i="17"/>
  <c r="DM102" i="17"/>
  <c r="DT102" i="17"/>
  <c r="BL102" i="17"/>
  <c r="BR102" i="17"/>
  <c r="BU102" i="17"/>
  <c r="BZ102" i="17"/>
  <c r="CH102" i="17"/>
  <c r="DB102" i="17"/>
  <c r="DJ102" i="17"/>
  <c r="DP102" i="17"/>
  <c r="DU102" i="17"/>
  <c r="DR102" i="17"/>
  <c r="DV102" i="17"/>
  <c r="BP102" i="17"/>
  <c r="BW102" i="17"/>
  <c r="CF102" i="17"/>
  <c r="DG102" i="17"/>
  <c r="DL102" i="17"/>
  <c r="DW102" i="17"/>
  <c r="BN102" i="17"/>
  <c r="BQ102" i="17"/>
  <c r="CD102" i="17"/>
  <c r="CZ102" i="17"/>
  <c r="DI102" i="17"/>
  <c r="DA102" i="17"/>
  <c r="DN102" i="17"/>
  <c r="CC102" i="17"/>
  <c r="CA102" i="17"/>
  <c r="CY102" i="17"/>
  <c r="DQ102" i="17"/>
  <c r="BK102" i="17"/>
  <c r="BS102" i="17"/>
  <c r="DD102" i="17"/>
  <c r="DK102" i="17"/>
  <c r="DS102" i="17"/>
  <c r="BM102" i="17"/>
  <c r="BV102" i="17"/>
  <c r="CB102" i="17"/>
  <c r="CE102" i="17"/>
  <c r="DC102" i="17"/>
  <c r="DF102" i="17"/>
  <c r="DO102" i="17"/>
  <c r="AG102" i="17"/>
  <c r="BJ102" i="17"/>
  <c r="BO102" i="17"/>
  <c r="BT102" i="17"/>
  <c r="DO253" i="17"/>
  <c r="DN253" i="17"/>
  <c r="DM253" i="17"/>
  <c r="BP253" i="17"/>
  <c r="DL253" i="17"/>
  <c r="DK253" i="17"/>
  <c r="DJ253" i="17"/>
  <c r="DH253" i="17"/>
  <c r="AG253" i="17"/>
  <c r="DG253" i="17"/>
  <c r="DF253" i="17"/>
  <c r="DE253" i="17"/>
  <c r="DD253" i="17"/>
  <c r="CJ253" i="17"/>
  <c r="CH253" i="17"/>
  <c r="CG253" i="17"/>
  <c r="CF253" i="17"/>
  <c r="CE253" i="17"/>
  <c r="CD253" i="17"/>
  <c r="CC253" i="17"/>
  <c r="CB253" i="17"/>
  <c r="CA253" i="17"/>
  <c r="BZ253" i="17"/>
  <c r="BY253" i="17"/>
  <c r="BX253" i="17"/>
  <c r="BW253" i="17"/>
  <c r="DS253" i="17"/>
  <c r="DT253" i="17"/>
  <c r="DU253" i="17"/>
  <c r="BV253" i="17"/>
  <c r="DV253" i="17"/>
  <c r="DQ253" i="17"/>
  <c r="DI253" i="17"/>
  <c r="DW253" i="17"/>
  <c r="BU253" i="17"/>
  <c r="BT253" i="17"/>
  <c r="BO253" i="17"/>
  <c r="BR253" i="17"/>
  <c r="BQ253" i="17"/>
  <c r="DR253" i="17"/>
  <c r="DP253" i="17"/>
  <c r="BS253" i="17"/>
  <c r="BG251" i="17"/>
  <c r="BF251" i="17"/>
  <c r="BE251" i="17"/>
  <c r="BD251" i="17"/>
  <c r="BC251" i="17"/>
  <c r="BB251" i="17"/>
  <c r="BA251" i="17"/>
  <c r="AZ251" i="17"/>
  <c r="AY251" i="17"/>
  <c r="AW251" i="17"/>
  <c r="AV251" i="17"/>
  <c r="AU251" i="17"/>
  <c r="BI251" i="17"/>
  <c r="BH251" i="17"/>
  <c r="AX251" i="17"/>
  <c r="DL81" i="17"/>
  <c r="BY81" i="17"/>
  <c r="BP81" i="17"/>
  <c r="DM81" i="17"/>
  <c r="DN81" i="17"/>
  <c r="BO81" i="17"/>
  <c r="BT81" i="17"/>
  <c r="CC81" i="17"/>
  <c r="CG81" i="17"/>
  <c r="DF81" i="17"/>
  <c r="DO81" i="17"/>
  <c r="DW81" i="17"/>
  <c r="BK81" i="17"/>
  <c r="BU81" i="17"/>
  <c r="BW81" i="17"/>
  <c r="CA81" i="17"/>
  <c r="DE81" i="17"/>
  <c r="DI81" i="17"/>
  <c r="DR81" i="17"/>
  <c r="DV81" i="17"/>
  <c r="BV81" i="17"/>
  <c r="CB81" i="17"/>
  <c r="CZ81" i="17"/>
  <c r="AG81" i="17"/>
  <c r="BR81" i="17"/>
  <c r="DS81" i="17"/>
  <c r="CH81" i="17"/>
  <c r="CV77" i="17"/>
  <c r="DA77" i="17"/>
  <c r="DC77" i="17"/>
  <c r="DK77" i="17"/>
  <c r="DM77" i="17"/>
  <c r="AV77" i="17"/>
  <c r="BF77" i="17"/>
  <c r="BP77" i="17"/>
  <c r="CS77" i="17"/>
  <c r="CY77" i="17"/>
  <c r="DT77" i="17"/>
  <c r="AA77" i="17"/>
  <c r="AI77" i="17"/>
  <c r="AW77" i="17"/>
  <c r="AZ77" i="17"/>
  <c r="BV77" i="17"/>
  <c r="CF77" i="17"/>
  <c r="CT77" i="17"/>
  <c r="CW77" i="17"/>
  <c r="DH77" i="17"/>
  <c r="DQ77" i="17"/>
  <c r="DU77" i="17"/>
  <c r="AB77" i="17"/>
  <c r="AU77" i="17"/>
  <c r="BD77" i="17"/>
  <c r="BJ77" i="17"/>
  <c r="BM77" i="17"/>
  <c r="BR77" i="17"/>
  <c r="BW77" i="17"/>
  <c r="CA77" i="17"/>
  <c r="CG77" i="17"/>
  <c r="CR77" i="17"/>
  <c r="DB77" i="17"/>
  <c r="DG77" i="17"/>
  <c r="DP77" i="17"/>
  <c r="AF77" i="17"/>
  <c r="AK77" i="17" s="1"/>
  <c r="AM77" i="17"/>
  <c r="BA77" i="17"/>
  <c r="BE77" i="17"/>
  <c r="BH77" i="17"/>
  <c r="CJ77" i="17"/>
  <c r="CZ77" i="17"/>
  <c r="DE77" i="17"/>
  <c r="DN77" i="17"/>
  <c r="DW77" i="17"/>
  <c r="AD77" i="17"/>
  <c r="AJ77" i="17"/>
  <c r="BG77" i="17"/>
  <c r="BU77" i="17"/>
  <c r="CB77" i="17"/>
  <c r="CN77" i="17"/>
  <c r="CU77" i="17"/>
  <c r="DD77" i="17"/>
  <c r="DF77" i="17"/>
  <c r="DI77" i="17"/>
  <c r="DL77" i="17"/>
  <c r="DS77" i="17"/>
  <c r="AC77" i="17"/>
  <c r="AG77" i="17"/>
  <c r="AO77" i="17"/>
  <c r="AR77" i="17"/>
  <c r="AX77" i="17"/>
  <c r="BI77" i="17"/>
  <c r="BL77" i="17"/>
  <c r="BN77" i="17"/>
  <c r="BS77" i="17"/>
  <c r="BX77" i="17"/>
  <c r="BZ77" i="17"/>
  <c r="CC77" i="17"/>
  <c r="CH77" i="17"/>
  <c r="CM77" i="17"/>
  <c r="CQ77" i="17"/>
  <c r="CX77" i="17"/>
  <c r="DJ77" i="17"/>
  <c r="DO77" i="17"/>
  <c r="DR77" i="17"/>
  <c r="DV77" i="17"/>
  <c r="AE77" i="17"/>
  <c r="AS77" i="17"/>
  <c r="BC77" i="17"/>
  <c r="BY77" i="17"/>
  <c r="CE77" i="17"/>
  <c r="CK77" i="17"/>
  <c r="CO77" i="17"/>
  <c r="CD77" i="17"/>
  <c r="CL77" i="17"/>
  <c r="CP77" i="17"/>
  <c r="BR72" i="17"/>
  <c r="BV72" i="17"/>
  <c r="CE72" i="17"/>
  <c r="CH72" i="17"/>
  <c r="CQ72" i="17"/>
  <c r="CY72" i="17"/>
  <c r="DM72" i="17"/>
  <c r="DT72" i="17"/>
  <c r="DW72" i="17"/>
  <c r="AB72" i="17"/>
  <c r="AD72" i="17"/>
  <c r="AR72" i="17"/>
  <c r="AV72" i="17"/>
  <c r="AX72" i="17"/>
  <c r="BD72" i="17"/>
  <c r="BI72" i="17"/>
  <c r="BM72" i="17"/>
  <c r="BN72" i="17"/>
  <c r="BU72" i="17"/>
  <c r="CJ72" i="17"/>
  <c r="CV72" i="17"/>
  <c r="DC72" i="17"/>
  <c r="AH72" i="17"/>
  <c r="AO72" i="17"/>
  <c r="AS72" i="17"/>
  <c r="AW72" i="17"/>
  <c r="BJ72" i="17"/>
  <c r="BX72" i="17"/>
  <c r="CL72" i="17"/>
  <c r="CO72" i="17"/>
  <c r="CP72" i="17"/>
  <c r="CS72" i="17"/>
  <c r="CX72" i="17"/>
  <c r="CZ72" i="17"/>
  <c r="DF72" i="17"/>
  <c r="DJ72" i="17"/>
  <c r="DP72" i="17"/>
  <c r="DS72" i="17"/>
  <c r="DV72" i="17"/>
  <c r="AY72" i="17"/>
  <c r="BG72" i="17"/>
  <c r="BK72" i="17"/>
  <c r="BQ72" i="17"/>
  <c r="CA72" i="17"/>
  <c r="CG72" i="17"/>
  <c r="CN72" i="17"/>
  <c r="DD72" i="17"/>
  <c r="AI72" i="17"/>
  <c r="AL72" i="17"/>
  <c r="AZ72" i="17"/>
  <c r="BE72" i="17"/>
  <c r="BP72" i="17"/>
  <c r="CB72" i="17"/>
  <c r="DA72" i="17"/>
  <c r="DH72" i="17"/>
  <c r="DK72" i="17"/>
  <c r="AG72" i="17"/>
  <c r="AN72" i="17"/>
  <c r="AU72" i="17"/>
  <c r="BB72" i="17"/>
  <c r="BO72" i="17"/>
  <c r="BT72" i="17"/>
  <c r="BY72" i="17"/>
  <c r="CD72" i="17"/>
  <c r="CR72" i="17"/>
  <c r="DB72" i="17"/>
  <c r="DN72" i="17"/>
  <c r="DR72" i="17"/>
  <c r="AA72" i="17"/>
  <c r="AC72" i="17"/>
  <c r="AF72" i="17"/>
  <c r="AK72" i="17" s="1"/>
  <c r="BA72" i="17"/>
  <c r="BC72" i="17"/>
  <c r="BH72" i="17"/>
  <c r="BS72" i="17"/>
  <c r="BW72" i="17"/>
  <c r="CC72" i="17"/>
  <c r="CF72" i="17"/>
  <c r="CM72" i="17"/>
  <c r="CT72" i="17"/>
  <c r="CW72" i="17"/>
  <c r="DG72" i="17"/>
  <c r="DI72" i="17"/>
  <c r="DO72" i="17"/>
  <c r="AE72" i="17"/>
  <c r="BF72" i="17"/>
  <c r="BZ72" i="17"/>
  <c r="CK72" i="17"/>
  <c r="CU72" i="17"/>
  <c r="DE72" i="17"/>
  <c r="DL72" i="17"/>
  <c r="DQ72" i="17"/>
  <c r="DU72" i="17"/>
  <c r="AJ72" i="17"/>
  <c r="AM72" i="17"/>
  <c r="BL72" i="17"/>
  <c r="AM71" i="17"/>
  <c r="AY71" i="17"/>
  <c r="BD71" i="17"/>
  <c r="BG71" i="17"/>
  <c r="BM71" i="17"/>
  <c r="BS71" i="17"/>
  <c r="CC71" i="17"/>
  <c r="CJ71" i="17"/>
  <c r="CL71" i="17"/>
  <c r="CP71" i="17"/>
  <c r="DA71" i="17"/>
  <c r="DF71" i="17"/>
  <c r="DH71" i="17"/>
  <c r="DL71" i="17"/>
  <c r="DT71" i="17"/>
  <c r="AN71" i="17"/>
  <c r="BA71" i="17"/>
  <c r="BL71" i="17"/>
  <c r="BU71" i="17"/>
  <c r="BZ71" i="17"/>
  <c r="CH71" i="17"/>
  <c r="AA71" i="17"/>
  <c r="AC71" i="17"/>
  <c r="AE71" i="17"/>
  <c r="AL71" i="17"/>
  <c r="AR71" i="17"/>
  <c r="AU71" i="17"/>
  <c r="AX71" i="17"/>
  <c r="BC71" i="17"/>
  <c r="BK71" i="17"/>
  <c r="BX71" i="17"/>
  <c r="CS71" i="17"/>
  <c r="CZ71" i="17"/>
  <c r="DD71" i="17"/>
  <c r="DM71" i="17"/>
  <c r="DQ71" i="17"/>
  <c r="AH71" i="17"/>
  <c r="BB71" i="17"/>
  <c r="BN71" i="17"/>
  <c r="BQ71" i="17"/>
  <c r="CD71" i="17"/>
  <c r="CN71" i="17"/>
  <c r="CQ71" i="17"/>
  <c r="DJ71" i="17"/>
  <c r="DN71" i="17"/>
  <c r="AG71" i="17"/>
  <c r="AJ71" i="17"/>
  <c r="BT71" i="17"/>
  <c r="CB71" i="17"/>
  <c r="CE71" i="17"/>
  <c r="CR71" i="17"/>
  <c r="CW71" i="17"/>
  <c r="CY71" i="17"/>
  <c r="DI71" i="17"/>
  <c r="DO71" i="17"/>
  <c r="AV71" i="17"/>
  <c r="AZ71" i="17"/>
  <c r="BE71" i="17"/>
  <c r="BF71" i="17"/>
  <c r="BO71" i="17"/>
  <c r="BV71" i="17"/>
  <c r="BY71" i="17"/>
  <c r="CK71" i="17"/>
  <c r="CO71" i="17"/>
  <c r="CU71" i="17"/>
  <c r="CX71" i="17"/>
  <c r="DP71" i="17"/>
  <c r="DS71" i="17"/>
  <c r="DV71" i="17"/>
  <c r="AD71" i="17"/>
  <c r="AF71" i="17"/>
  <c r="AK71" i="17" s="1"/>
  <c r="AO71" i="17"/>
  <c r="AS71" i="17"/>
  <c r="AW71" i="17"/>
  <c r="BH71" i="17"/>
  <c r="BJ71" i="17"/>
  <c r="BR71" i="17"/>
  <c r="CA71" i="17"/>
  <c r="CG71" i="17"/>
  <c r="CT71" i="17"/>
  <c r="DE71" i="17"/>
  <c r="DK71" i="17"/>
  <c r="DR71" i="17"/>
  <c r="DW71" i="17"/>
  <c r="BI71" i="17"/>
  <c r="BP71" i="17"/>
  <c r="BW71" i="17"/>
  <c r="CF71" i="17"/>
  <c r="CM71" i="17"/>
  <c r="CV71" i="17"/>
  <c r="DC71" i="17"/>
  <c r="DG71" i="17"/>
  <c r="DU71" i="17"/>
  <c r="DB71" i="17"/>
  <c r="AB71" i="17"/>
  <c r="AI71" i="17"/>
  <c r="AF70" i="17"/>
  <c r="AK70" i="17" s="1"/>
  <c r="BF70" i="17"/>
  <c r="BS70" i="17"/>
  <c r="BT70" i="17"/>
  <c r="CA70" i="17"/>
  <c r="CK70" i="17"/>
  <c r="CS70" i="17"/>
  <c r="DB70" i="17"/>
  <c r="DE70" i="17"/>
  <c r="DK70" i="17"/>
  <c r="DW70" i="17"/>
  <c r="AA70" i="17"/>
  <c r="AI70" i="17"/>
  <c r="BG70" i="17"/>
  <c r="BM70" i="17"/>
  <c r="BR70" i="17"/>
  <c r="BW70" i="17"/>
  <c r="CC70" i="17"/>
  <c r="CJ70" i="17"/>
  <c r="CO70" i="17"/>
  <c r="DD70" i="17"/>
  <c r="DL70" i="17"/>
  <c r="DU70" i="17"/>
  <c r="AG70" i="17"/>
  <c r="AL70" i="17"/>
  <c r="BY70" i="17"/>
  <c r="CF70" i="17"/>
  <c r="CM70" i="17"/>
  <c r="CT70" i="17"/>
  <c r="CX70" i="17"/>
  <c r="DJ70" i="17"/>
  <c r="AH70" i="17"/>
  <c r="BC70" i="17"/>
  <c r="BB70" i="17"/>
  <c r="BV70" i="17"/>
  <c r="CD70" i="17"/>
  <c r="CV70" i="17"/>
  <c r="DI70" i="17"/>
  <c r="AD70" i="17"/>
  <c r="AU70" i="17"/>
  <c r="BE70" i="17"/>
  <c r="BH70" i="17"/>
  <c r="BL70" i="17"/>
  <c r="BN70" i="17"/>
  <c r="CH70" i="17"/>
  <c r="CL70" i="17"/>
  <c r="CR70" i="17"/>
  <c r="CW70" i="17"/>
  <c r="CY70" i="17"/>
  <c r="DF70" i="17"/>
  <c r="DO70" i="17"/>
  <c r="DR70" i="17"/>
  <c r="AC70" i="17"/>
  <c r="AM70" i="17"/>
  <c r="AW70" i="17"/>
  <c r="BI70" i="17"/>
  <c r="BP70" i="17"/>
  <c r="CB70" i="17"/>
  <c r="CQ70" i="17"/>
  <c r="CZ70" i="17"/>
  <c r="DH70" i="17"/>
  <c r="AJ70" i="17"/>
  <c r="AN70" i="17"/>
  <c r="AY70" i="17"/>
  <c r="DH45" i="17"/>
  <c r="DJ45" i="17"/>
  <c r="DP45" i="17"/>
  <c r="BS45" i="17"/>
  <c r="CA45" i="17"/>
  <c r="AG278" i="17"/>
  <c r="AU278" i="17"/>
  <c r="AV278" i="17"/>
  <c r="AW278" i="17"/>
  <c r="AX278" i="17"/>
  <c r="AY278" i="17"/>
  <c r="AZ278" i="17"/>
  <c r="BA278" i="17"/>
  <c r="BB278" i="17"/>
  <c r="BC278" i="17"/>
  <c r="BD278" i="17"/>
  <c r="BE278" i="17"/>
  <c r="BF278" i="17"/>
  <c r="BG278" i="17"/>
  <c r="BH278" i="17"/>
  <c r="BI278" i="17"/>
  <c r="BJ278" i="17"/>
  <c r="BK278" i="17"/>
  <c r="BL278" i="17"/>
  <c r="BM278" i="17"/>
  <c r="BN278" i="17"/>
  <c r="BO278" i="17"/>
  <c r="BP278" i="17"/>
  <c r="BQ278" i="17"/>
  <c r="AA257" i="17"/>
  <c r="AC257" i="17"/>
  <c r="AD257" i="17"/>
  <c r="AE257" i="17"/>
  <c r="AF257" i="17"/>
  <c r="AK257" i="17" s="1"/>
  <c r="AG257" i="17"/>
  <c r="AH257" i="17"/>
  <c r="AI257" i="17"/>
  <c r="AJ257" i="17"/>
  <c r="AL257" i="17"/>
  <c r="AM257" i="17"/>
  <c r="AN257" i="17"/>
  <c r="AO257" i="17"/>
  <c r="AR257" i="17"/>
  <c r="AS257" i="17"/>
  <c r="AU257" i="17"/>
  <c r="AV257" i="17"/>
  <c r="AW257" i="17"/>
  <c r="AX257" i="17"/>
  <c r="AY257" i="17"/>
  <c r="AZ257" i="17"/>
  <c r="BA257" i="17"/>
  <c r="BC257" i="17"/>
  <c r="BD257" i="17"/>
  <c r="BE257" i="17"/>
  <c r="BF257" i="17"/>
  <c r="BG257" i="17"/>
  <c r="BI257" i="17"/>
  <c r="BJ257" i="17"/>
  <c r="BK257" i="17"/>
  <c r="BM257" i="17"/>
  <c r="BN257" i="17"/>
  <c r="BP257" i="17"/>
  <c r="BQ257" i="17"/>
  <c r="BR257" i="17"/>
  <c r="BT257" i="17"/>
  <c r="BU257" i="17"/>
  <c r="BW257" i="17"/>
  <c r="BZ257" i="17"/>
  <c r="CB257" i="17"/>
  <c r="CC257" i="17"/>
  <c r="CE257" i="17"/>
  <c r="CG257" i="17"/>
  <c r="CJ257" i="17"/>
  <c r="CK257" i="17"/>
  <c r="CL257" i="17"/>
  <c r="CN257" i="17"/>
  <c r="CP257" i="17"/>
  <c r="CR257" i="17"/>
  <c r="CT257" i="17"/>
  <c r="CV257" i="17"/>
  <c r="CX257" i="17"/>
  <c r="CZ257" i="17"/>
  <c r="DA257" i="17"/>
  <c r="DB257" i="17"/>
  <c r="DD257" i="17"/>
  <c r="DF257" i="17"/>
  <c r="DH257" i="17"/>
  <c r="DI257" i="17"/>
  <c r="DK257" i="17"/>
  <c r="DL257" i="17"/>
  <c r="DN257" i="17"/>
  <c r="DP257" i="17"/>
  <c r="DR257" i="17"/>
  <c r="DT257" i="17"/>
  <c r="DV257" i="17"/>
  <c r="AB257" i="17"/>
  <c r="BB257" i="17"/>
  <c r="BH257" i="17"/>
  <c r="BL257" i="17"/>
  <c r="BO257" i="17"/>
  <c r="BS257" i="17"/>
  <c r="BV257" i="17"/>
  <c r="BX257" i="17"/>
  <c r="BY257" i="17"/>
  <c r="CA257" i="17"/>
  <c r="CD257" i="17"/>
  <c r="CF257" i="17"/>
  <c r="CH257" i="17"/>
  <c r="CM257" i="17"/>
  <c r="CO257" i="17"/>
  <c r="CQ257" i="17"/>
  <c r="CS257" i="17"/>
  <c r="CU257" i="17"/>
  <c r="CW257" i="17"/>
  <c r="CY257" i="17"/>
  <c r="DC257" i="17"/>
  <c r="DE257" i="17"/>
  <c r="DG257" i="17"/>
  <c r="DJ257" i="17"/>
  <c r="DM257" i="17"/>
  <c r="DO257" i="17"/>
  <c r="DQ257" i="17"/>
  <c r="DS257" i="17"/>
  <c r="DU257" i="17"/>
  <c r="DW257" i="17"/>
  <c r="AE70" i="17"/>
  <c r="AR70" i="17"/>
  <c r="AX70" i="17"/>
  <c r="BA70" i="17"/>
  <c r="BD70" i="17"/>
  <c r="BJ70" i="17"/>
  <c r="BO70" i="17"/>
  <c r="BU70" i="17"/>
  <c r="BZ70" i="17"/>
  <c r="CE70" i="17"/>
  <c r="CG70" i="17"/>
  <c r="CN70" i="17"/>
  <c r="CP70" i="17"/>
  <c r="DA70" i="17"/>
  <c r="DG70" i="17"/>
  <c r="DN70" i="17"/>
  <c r="DP70" i="17"/>
  <c r="DS70" i="17"/>
  <c r="DT70" i="17"/>
  <c r="DV70" i="17"/>
  <c r="AB70" i="17"/>
  <c r="AO70" i="17"/>
  <c r="AS70" i="17"/>
  <c r="AV70" i="17"/>
  <c r="AZ70" i="17"/>
  <c r="BK70" i="17"/>
  <c r="BQ70" i="17"/>
  <c r="BX70" i="17"/>
  <c r="CU70" i="17"/>
  <c r="DC70" i="17"/>
  <c r="DQ70" i="17"/>
  <c r="DM70" i="17"/>
  <c r="AR69" i="17"/>
  <c r="AW69" i="17"/>
  <c r="BH69" i="17"/>
  <c r="BM69" i="17"/>
  <c r="BQ69" i="17"/>
  <c r="CA69" i="17"/>
  <c r="CF69" i="17"/>
  <c r="CT69" i="17"/>
  <c r="DB69" i="17"/>
  <c r="DU69" i="17"/>
  <c r="BW69" i="17"/>
  <c r="CR69" i="17"/>
  <c r="CV69" i="17"/>
  <c r="DA69" i="17"/>
  <c r="DF69" i="17"/>
  <c r="DI69" i="17"/>
  <c r="DM69" i="17"/>
  <c r="DP69" i="17"/>
  <c r="DT69" i="17"/>
  <c r="AO69" i="17"/>
  <c r="AZ69" i="17"/>
  <c r="BU69" i="17"/>
  <c r="BX69" i="17"/>
  <c r="CH69" i="17"/>
  <c r="DD69" i="17"/>
  <c r="DG69" i="17"/>
  <c r="DR69" i="17"/>
  <c r="AN69" i="17"/>
  <c r="AY69" i="17"/>
  <c r="BK69" i="17"/>
  <c r="BT69" i="17"/>
  <c r="BY69" i="17"/>
  <c r="CC69" i="17"/>
  <c r="CN69" i="17"/>
  <c r="CW69" i="17"/>
  <c r="CY69" i="17"/>
  <c r="DH69" i="17"/>
  <c r="DV69" i="17"/>
  <c r="AC69" i="17"/>
  <c r="AG69" i="17"/>
  <c r="AJ69" i="17"/>
  <c r="BD69" i="17"/>
  <c r="BG69" i="17"/>
  <c r="BS69" i="17"/>
  <c r="CJ69" i="17"/>
  <c r="CM69" i="17"/>
  <c r="CQ69" i="17"/>
  <c r="CS69" i="17"/>
  <c r="DL69" i="17"/>
  <c r="DQ69" i="17"/>
  <c r="AA69" i="17"/>
  <c r="AH69" i="17"/>
  <c r="AM69" i="17"/>
  <c r="BC69" i="17"/>
  <c r="BP69" i="17"/>
  <c r="BR69" i="17"/>
  <c r="BV69" i="17"/>
  <c r="CE69" i="17"/>
  <c r="CO69" i="17"/>
  <c r="CP69" i="17"/>
  <c r="CU69" i="17"/>
  <c r="DE69" i="17"/>
  <c r="DJ69" i="17"/>
  <c r="AB69" i="17"/>
  <c r="DS69" i="17"/>
  <c r="AE69" i="17"/>
  <c r="AI69" i="17"/>
  <c r="AU69" i="17"/>
  <c r="BA69" i="17"/>
  <c r="BE69" i="17"/>
  <c r="BI69" i="17"/>
  <c r="BO69" i="17"/>
  <c r="BZ69" i="17"/>
  <c r="CK69" i="17"/>
  <c r="CZ69" i="17"/>
  <c r="AD69" i="17"/>
  <c r="AF69" i="17"/>
  <c r="AK69" i="17" s="1"/>
  <c r="AL69" i="17"/>
  <c r="AS69" i="17"/>
  <c r="DN69" i="17"/>
  <c r="AX69" i="17"/>
  <c r="BB69" i="17"/>
  <c r="BF69" i="17"/>
  <c r="BJ69" i="17"/>
  <c r="BL69" i="17"/>
  <c r="BN69" i="17"/>
  <c r="CB69" i="17"/>
  <c r="CD69" i="17"/>
  <c r="CG69" i="17"/>
  <c r="CL69" i="17"/>
  <c r="CX69" i="17"/>
  <c r="DC69" i="17"/>
  <c r="DK69" i="17"/>
  <c r="DO69" i="17"/>
  <c r="DW69" i="17"/>
  <c r="AV69" i="17"/>
  <c r="DM45" i="17"/>
  <c r="DW45" i="17"/>
  <c r="BQ45" i="17"/>
  <c r="BW45" i="17"/>
  <c r="CJ45" i="17"/>
  <c r="DR45" i="17"/>
  <c r="BU45" i="17"/>
  <c r="DI45" i="17"/>
  <c r="DO45" i="17"/>
  <c r="BO45" i="17"/>
  <c r="CB45" i="17"/>
  <c r="CH45" i="17"/>
  <c r="DF45" i="17"/>
  <c r="DK45" i="17"/>
  <c r="DN45" i="17"/>
  <c r="DT45" i="17"/>
  <c r="BP45" i="17"/>
  <c r="BY45" i="17"/>
  <c r="CE45" i="17"/>
  <c r="DD45" i="17"/>
  <c r="DS45" i="17"/>
  <c r="AG45" i="17"/>
  <c r="BV45" i="17"/>
  <c r="CD45" i="17"/>
  <c r="DE45" i="17"/>
  <c r="DL45" i="17"/>
  <c r="DQ45" i="17"/>
  <c r="DU45" i="17"/>
  <c r="BT45" i="17"/>
  <c r="BZ45" i="17"/>
  <c r="CC45" i="17"/>
  <c r="CG45" i="17"/>
  <c r="BR45" i="17"/>
  <c r="BX45" i="17"/>
  <c r="CF45" i="17"/>
  <c r="DV45" i="17"/>
  <c r="DG45" i="17"/>
  <c r="BA35" i="17"/>
  <c r="BY35" i="17"/>
  <c r="CB35" i="17"/>
  <c r="CN35" i="17"/>
  <c r="CR35" i="17"/>
  <c r="DJ35" i="17"/>
  <c r="DO35" i="17"/>
  <c r="DW35" i="17"/>
  <c r="AC35" i="17"/>
  <c r="AI35" i="17"/>
  <c r="AL35" i="17"/>
  <c r="AY35" i="17"/>
  <c r="DL35" i="17"/>
  <c r="BD35" i="17"/>
  <c r="BF35" i="17"/>
  <c r="BH35" i="17"/>
  <c r="BJ35" i="17"/>
  <c r="BK35" i="17"/>
  <c r="BS35" i="17"/>
  <c r="CO35" i="17"/>
  <c r="DA35" i="17"/>
  <c r="DD35" i="17"/>
  <c r="DF35" i="17"/>
  <c r="DK35" i="17"/>
  <c r="DN35" i="17"/>
  <c r="DQ35" i="17"/>
  <c r="AF35" i="17"/>
  <c r="AK35" i="17" s="1"/>
  <c r="AW35" i="17"/>
  <c r="BG35" i="17"/>
  <c r="BR35" i="17"/>
  <c r="BV35" i="17"/>
  <c r="CU35" i="17"/>
  <c r="DC35" i="17"/>
  <c r="DT35" i="17"/>
  <c r="AB35" i="17"/>
  <c r="AJ35" i="17"/>
  <c r="AR35" i="17"/>
  <c r="BO35" i="17"/>
  <c r="BQ35" i="17"/>
  <c r="BX35" i="17"/>
  <c r="CA35" i="17"/>
  <c r="CM35" i="17"/>
  <c r="CS35" i="17"/>
  <c r="CX35" i="17"/>
  <c r="DM35" i="17"/>
  <c r="DR35" i="17"/>
  <c r="AD35" i="17"/>
  <c r="AE35" i="17"/>
  <c r="AO35" i="17"/>
  <c r="AS35" i="17"/>
  <c r="BC35" i="17"/>
  <c r="BE35" i="17"/>
  <c r="BI35" i="17"/>
  <c r="CD35" i="17"/>
  <c r="CJ35" i="17"/>
  <c r="CL35" i="17"/>
  <c r="CT35" i="17"/>
  <c r="DE35" i="17"/>
  <c r="DI35" i="17"/>
  <c r="AA35" i="17"/>
  <c r="AH35" i="17"/>
  <c r="AM35" i="17"/>
  <c r="AV35" i="17"/>
  <c r="BB35" i="17"/>
  <c r="BP35" i="17"/>
  <c r="BU35" i="17"/>
  <c r="BZ35" i="17"/>
  <c r="CC35" i="17"/>
  <c r="CE35" i="17"/>
  <c r="CG35" i="17"/>
  <c r="CK35" i="17"/>
  <c r="CQ35" i="17"/>
  <c r="CV35" i="17"/>
  <c r="CY35" i="17"/>
  <c r="DG35" i="17"/>
  <c r="DU35" i="17"/>
  <c r="DV35" i="17"/>
  <c r="AG35" i="17"/>
  <c r="AN35" i="17"/>
  <c r="AX35" i="17"/>
  <c r="AZ35" i="17"/>
  <c r="BL35" i="17"/>
  <c r="CF35" i="17"/>
  <c r="CP35" i="17"/>
  <c r="DS35" i="17"/>
  <c r="AU35" i="17"/>
  <c r="BM35" i="17"/>
  <c r="BT35" i="17"/>
  <c r="CW35" i="17"/>
  <c r="CZ35" i="17"/>
  <c r="DH35" i="17"/>
  <c r="DP35" i="17"/>
  <c r="BN35" i="17"/>
  <c r="BW35" i="17"/>
  <c r="CH35" i="17"/>
  <c r="DB35" i="17"/>
  <c r="BM56" i="17"/>
  <c r="BR56" i="17"/>
  <c r="BU56" i="17"/>
  <c r="BY56" i="17"/>
  <c r="CA56" i="17"/>
  <c r="CZ56" i="17"/>
  <c r="DC56" i="17"/>
  <c r="DG56" i="17"/>
  <c r="DK56" i="17"/>
  <c r="DV56" i="17"/>
  <c r="CD56" i="17"/>
  <c r="CG56" i="17"/>
  <c r="DR56" i="17"/>
  <c r="BJ56" i="17"/>
  <c r="BO56" i="17"/>
  <c r="BQ56" i="17"/>
  <c r="CE56" i="17"/>
  <c r="CJ56" i="17"/>
  <c r="DL56" i="17"/>
  <c r="DP56" i="17"/>
  <c r="DT56" i="17"/>
  <c r="BV56" i="17"/>
  <c r="DH56" i="17"/>
  <c r="CB56" i="17"/>
  <c r="CF56" i="17"/>
  <c r="DA56" i="17"/>
  <c r="DF56" i="17"/>
  <c r="DQ56" i="17"/>
  <c r="AG56" i="17"/>
  <c r="BK56" i="17"/>
  <c r="BS56" i="17"/>
  <c r="BZ56" i="17"/>
  <c r="DD56" i="17"/>
  <c r="DN56" i="17"/>
  <c r="BN56" i="17"/>
  <c r="BT56" i="17"/>
  <c r="BW56" i="17"/>
  <c r="CC56" i="17"/>
  <c r="CY56" i="17"/>
  <c r="DE56" i="17"/>
  <c r="DO56" i="17"/>
  <c r="DW56" i="17"/>
  <c r="BP56" i="17"/>
  <c r="DB56" i="17"/>
  <c r="DU56" i="17"/>
  <c r="DM56" i="17"/>
  <c r="DJ56" i="17"/>
  <c r="DS56" i="17"/>
  <c r="BL56" i="17"/>
  <c r="BX56" i="17"/>
  <c r="CH56" i="17"/>
  <c r="DI56" i="17"/>
  <c r="DD52" i="17"/>
  <c r="DS52" i="17"/>
  <c r="DV52" i="17"/>
  <c r="BJ52" i="17"/>
  <c r="BR52" i="17"/>
  <c r="BW52" i="17"/>
  <c r="DA52" i="17"/>
  <c r="DG52" i="17"/>
  <c r="DO52" i="17"/>
  <c r="DR52" i="17"/>
  <c r="BP52" i="17"/>
  <c r="BU52" i="17"/>
  <c r="CD52" i="17"/>
  <c r="DN52" i="17"/>
  <c r="BN52" i="17"/>
  <c r="BV52" i="17"/>
  <c r="CA52" i="17"/>
  <c r="CG52" i="17"/>
  <c r="CH52" i="17"/>
  <c r="DM52" i="17"/>
  <c r="BS52" i="17"/>
  <c r="BY52" i="17"/>
  <c r="CC52" i="17"/>
  <c r="CJ52" i="17"/>
  <c r="DF52" i="17"/>
  <c r="DI52" i="17"/>
  <c r="DP52" i="17"/>
  <c r="BL52" i="17"/>
  <c r="DE52" i="17"/>
  <c r="DJ52" i="17"/>
  <c r="DK52" i="17"/>
  <c r="DU52" i="17"/>
  <c r="AG52" i="17"/>
  <c r="BK52" i="17"/>
  <c r="CY52" i="17"/>
  <c r="DH52" i="17"/>
  <c r="DT52" i="17"/>
  <c r="BM52" i="17"/>
  <c r="BX52" i="17"/>
  <c r="CE52" i="17"/>
  <c r="CZ52" i="17"/>
  <c r="DC52" i="17"/>
  <c r="DL52" i="17"/>
  <c r="DQ52" i="17"/>
  <c r="DW52" i="17"/>
  <c r="BO52" i="17"/>
  <c r="BQ52" i="17"/>
  <c r="BT52" i="17"/>
  <c r="BZ52" i="17"/>
  <c r="CB52" i="17"/>
  <c r="CF52" i="17"/>
  <c r="DB52" i="17"/>
  <c r="BT54" i="17"/>
  <c r="CC54" i="17"/>
  <c r="CH54" i="17"/>
  <c r="CJ54" i="17"/>
  <c r="DT54" i="17"/>
  <c r="BX54" i="17"/>
  <c r="DW54" i="17"/>
  <c r="BO54" i="17"/>
  <c r="BZ54" i="17"/>
  <c r="CF54" i="17"/>
  <c r="DD54" i="17"/>
  <c r="DQ54" i="17"/>
  <c r="DH54" i="17"/>
  <c r="DL54" i="17"/>
  <c r="DO54" i="17"/>
  <c r="BW54" i="17"/>
  <c r="DM54" i="17"/>
  <c r="BR54" i="17"/>
  <c r="BV54" i="17"/>
  <c r="BY54" i="17"/>
  <c r="CB54" i="17"/>
  <c r="CG54" i="17"/>
  <c r="DK54" i="17"/>
  <c r="BS54" i="17"/>
  <c r="DG54" i="17"/>
  <c r="DP54" i="17"/>
  <c r="AG54" i="17"/>
  <c r="BP54" i="17"/>
  <c r="CA54" i="17"/>
  <c r="CE54" i="17"/>
  <c r="DE54" i="17"/>
  <c r="DR54" i="17"/>
  <c r="DU54" i="17"/>
  <c r="BU54" i="17"/>
  <c r="DJ54" i="17"/>
  <c r="CD54" i="17"/>
  <c r="DF54" i="17"/>
  <c r="DI54" i="17"/>
  <c r="DN54" i="17"/>
  <c r="DS54" i="17"/>
  <c r="DV54" i="17"/>
  <c r="BQ54" i="17"/>
  <c r="BT267" i="17"/>
  <c r="DW267" i="17"/>
  <c r="DV267" i="17"/>
  <c r="CE267" i="17"/>
  <c r="DL267" i="17"/>
  <c r="AG267" i="17"/>
  <c r="BO267" i="17"/>
  <c r="BP267" i="17"/>
  <c r="BQ267" i="17"/>
  <c r="BR267" i="17"/>
  <c r="BS267" i="17"/>
  <c r="BU267" i="17"/>
  <c r="BV267" i="17"/>
  <c r="BW267" i="17"/>
  <c r="BX267" i="17"/>
  <c r="BY267" i="17"/>
  <c r="BZ267" i="17"/>
  <c r="CA267" i="17"/>
  <c r="CB267" i="17"/>
  <c r="CC267" i="17"/>
  <c r="CD267" i="17"/>
  <c r="CF267" i="17"/>
  <c r="CG267" i="17"/>
  <c r="CH267" i="17"/>
  <c r="CJ267" i="17"/>
  <c r="DD267" i="17"/>
  <c r="DE267" i="17"/>
  <c r="DF267" i="17"/>
  <c r="DG267" i="17"/>
  <c r="DH267" i="17"/>
  <c r="DI267" i="17"/>
  <c r="DJ267" i="17"/>
  <c r="DK267" i="17"/>
  <c r="DM267" i="17"/>
  <c r="DN267" i="17"/>
  <c r="DO267" i="17"/>
  <c r="DP267" i="17"/>
  <c r="DQ267" i="17"/>
  <c r="DR267" i="17"/>
  <c r="DS267" i="17"/>
  <c r="DT267" i="17"/>
  <c r="DU267" i="17"/>
  <c r="BT278" i="17"/>
  <c r="BU278" i="17"/>
  <c r="BV278" i="17"/>
  <c r="BW278" i="17"/>
  <c r="BS278" i="17"/>
  <c r="BR278" i="17"/>
  <c r="U8" i="17"/>
  <c r="BX278" i="17"/>
  <c r="BY278" i="17"/>
  <c r="BZ278" i="17"/>
  <c r="CA278" i="17"/>
  <c r="CB278" i="17"/>
  <c r="CC278" i="17"/>
  <c r="CD278" i="17"/>
  <c r="CE278" i="17"/>
  <c r="CF278" i="17"/>
  <c r="CG278" i="17"/>
  <c r="CH278" i="17"/>
  <c r="CJ278" i="17"/>
  <c r="DD278" i="17"/>
  <c r="DE278" i="17"/>
  <c r="DF278" i="17"/>
  <c r="DG278" i="17"/>
  <c r="DH278" i="17"/>
  <c r="DI278" i="17"/>
  <c r="DJ278" i="17"/>
  <c r="DK278" i="17"/>
  <c r="DL278" i="17"/>
  <c r="AN167" i="17"/>
  <c r="AZ167" i="17"/>
  <c r="BC167" i="17"/>
  <c r="BH167" i="17"/>
  <c r="BL167" i="17"/>
  <c r="BN167" i="17"/>
  <c r="BR167" i="17"/>
  <c r="BZ167" i="17"/>
  <c r="CE167" i="17"/>
  <c r="CK167" i="17"/>
  <c r="CN167" i="17"/>
  <c r="CU167" i="17"/>
  <c r="DC167" i="17"/>
  <c r="DF167" i="17"/>
  <c r="DJ167" i="17"/>
  <c r="DS167" i="17"/>
  <c r="DW167" i="17"/>
  <c r="AB167" i="17"/>
  <c r="AE167" i="17"/>
  <c r="AF167" i="17"/>
  <c r="AK167" i="17" s="1"/>
  <c r="AO167" i="17"/>
  <c r="AS167" i="17"/>
  <c r="AW167" i="17"/>
  <c r="BA167" i="17"/>
  <c r="BD167" i="17"/>
  <c r="BJ167" i="17"/>
  <c r="BO167" i="17"/>
  <c r="BP167" i="17"/>
  <c r="BS167" i="17"/>
  <c r="BU167" i="17"/>
  <c r="CG167" i="17"/>
  <c r="CM167" i="17"/>
  <c r="CQ167" i="17"/>
  <c r="CS167" i="17"/>
  <c r="CY167" i="17"/>
  <c r="DA167" i="17"/>
  <c r="DE167" i="17"/>
  <c r="DM167" i="17"/>
  <c r="DO167" i="17"/>
  <c r="DT167" i="17"/>
  <c r="AA167" i="17"/>
  <c r="AD167" i="17"/>
  <c r="AI167" i="17"/>
  <c r="AM167" i="17"/>
  <c r="AV167" i="17"/>
  <c r="BG167" i="17"/>
  <c r="BM167" i="17"/>
  <c r="BW167" i="17"/>
  <c r="BY167" i="17"/>
  <c r="CB167" i="17"/>
  <c r="CD167" i="17"/>
  <c r="CH167" i="17"/>
  <c r="CO167" i="17"/>
  <c r="CP167" i="17"/>
  <c r="CT167" i="17"/>
  <c r="CW167" i="17"/>
  <c r="DD167" i="17"/>
  <c r="DI167" i="17"/>
  <c r="DN167" i="17"/>
  <c r="DP167" i="17"/>
  <c r="DR167" i="17"/>
  <c r="DV167" i="17"/>
  <c r="AC167" i="17"/>
  <c r="AJ167" i="17"/>
  <c r="AR167" i="17"/>
  <c r="BB167" i="17"/>
  <c r="BF167" i="17"/>
  <c r="BK167" i="17"/>
  <c r="BV167" i="17"/>
  <c r="CL167" i="17"/>
  <c r="CV167" i="17"/>
  <c r="CZ167" i="17"/>
  <c r="DQ167" i="17"/>
  <c r="AG167" i="17"/>
  <c r="AH167" i="17"/>
  <c r="AL167" i="17"/>
  <c r="AU167" i="17"/>
  <c r="AX167" i="17"/>
  <c r="AY167" i="17"/>
  <c r="BE167" i="17"/>
  <c r="BI167" i="17"/>
  <c r="BQ167" i="17"/>
  <c r="BT167" i="17"/>
  <c r="BX167" i="17"/>
  <c r="CA167" i="17"/>
  <c r="CC167" i="17"/>
  <c r="CF167" i="17"/>
  <c r="AJ268" i="17"/>
  <c r="DS268" i="17"/>
  <c r="DT268" i="17"/>
  <c r="DU268" i="17"/>
  <c r="DV268" i="17"/>
  <c r="AA268" i="17"/>
  <c r="AB268" i="17"/>
  <c r="AC268" i="17"/>
  <c r="AD268" i="17"/>
  <c r="AE268" i="17"/>
  <c r="AF268" i="17"/>
  <c r="AK268" i="17" s="1"/>
  <c r="AG268" i="17"/>
  <c r="AH268" i="17"/>
  <c r="AI268" i="17"/>
  <c r="BB268" i="17"/>
  <c r="AL268" i="17"/>
  <c r="AM268" i="17"/>
  <c r="AN268" i="17"/>
  <c r="AO268" i="17"/>
  <c r="AR268" i="17"/>
  <c r="AS268" i="17"/>
  <c r="AU268" i="17"/>
  <c r="AV268" i="17"/>
  <c r="AW268" i="17"/>
  <c r="AX268" i="17"/>
  <c r="AY268" i="17"/>
  <c r="AZ268" i="17"/>
  <c r="BA268" i="17"/>
  <c r="DW268" i="17"/>
  <c r="BC268" i="17"/>
  <c r="BD268" i="17"/>
  <c r="BE268" i="17"/>
  <c r="BF268" i="17"/>
  <c r="BG268" i="17"/>
  <c r="BH268" i="17"/>
  <c r="BI268" i="17"/>
  <c r="BJ268" i="17"/>
  <c r="BK268" i="17"/>
  <c r="BL268" i="17"/>
  <c r="BM268" i="17"/>
  <c r="BN268" i="17"/>
  <c r="BO268" i="17"/>
  <c r="BP268" i="17"/>
  <c r="BQ268" i="17"/>
  <c r="BR268" i="17"/>
  <c r="BS268" i="17"/>
  <c r="BT268" i="17"/>
  <c r="BU268" i="17"/>
  <c r="BV268" i="17"/>
  <c r="BW268" i="17"/>
  <c r="BX268" i="17"/>
  <c r="BY268" i="17"/>
  <c r="BZ268" i="17"/>
  <c r="CA268" i="17"/>
  <c r="CB268" i="17"/>
  <c r="CC268" i="17"/>
  <c r="CD268" i="17"/>
  <c r="CE268" i="17"/>
  <c r="CF268" i="17"/>
  <c r="CG268" i="17"/>
  <c r="CH268" i="17"/>
  <c r="CJ268" i="17"/>
  <c r="CK268" i="17"/>
  <c r="CL268" i="17"/>
  <c r="CM268" i="17"/>
  <c r="CN268" i="17"/>
  <c r="CO268" i="17"/>
  <c r="CP268" i="17"/>
  <c r="CQ268" i="17"/>
  <c r="CR268" i="17"/>
  <c r="CS268" i="17"/>
  <c r="CT268" i="17"/>
  <c r="CU268" i="17"/>
  <c r="CV268" i="17"/>
  <c r="CW268" i="17"/>
  <c r="CX268" i="17"/>
  <c r="CY268" i="17"/>
  <c r="CZ268" i="17"/>
  <c r="DA268" i="17"/>
  <c r="DB268" i="17"/>
  <c r="DC268" i="17"/>
  <c r="DD268" i="17"/>
  <c r="DE268" i="17"/>
  <c r="DF268" i="17"/>
  <c r="DG268" i="17"/>
  <c r="DH268" i="17"/>
  <c r="DI268" i="17"/>
  <c r="DJ268" i="17"/>
  <c r="DK268" i="17"/>
  <c r="DL268" i="17"/>
  <c r="DM268" i="17"/>
  <c r="DN268" i="17"/>
  <c r="DO268" i="17"/>
  <c r="DP268" i="17"/>
  <c r="DQ268" i="17"/>
  <c r="DR268" i="17"/>
  <c r="CJ167" i="17"/>
  <c r="CR167" i="17"/>
  <c r="CX167" i="17"/>
  <c r="DB167" i="17"/>
  <c r="DG167" i="17"/>
  <c r="DH167" i="17"/>
  <c r="DK167" i="17"/>
  <c r="DL167" i="17"/>
  <c r="DU167" i="17"/>
  <c r="DN278" i="17"/>
  <c r="DO278" i="17"/>
  <c r="DP278" i="17"/>
  <c r="DQ278" i="17"/>
  <c r="DM278" i="17"/>
  <c r="DS213" i="17"/>
  <c r="BT213" i="17"/>
  <c r="BU213" i="17"/>
  <c r="BV213" i="17"/>
  <c r="BW213" i="17"/>
  <c r="BY213" i="17"/>
  <c r="CA213" i="17"/>
  <c r="CC213" i="17"/>
  <c r="CE213" i="17"/>
  <c r="CG213" i="17"/>
  <c r="CH213" i="17"/>
  <c r="DJ213" i="17"/>
  <c r="DL213" i="17"/>
  <c r="DN213" i="17"/>
  <c r="DO213" i="17"/>
  <c r="DQ213" i="17"/>
  <c r="DV213" i="17"/>
  <c r="DU213" i="17"/>
  <c r="DW213" i="17"/>
  <c r="AG213" i="17"/>
  <c r="BX213" i="17"/>
  <c r="BZ213" i="17"/>
  <c r="CB213" i="17"/>
  <c r="CD213" i="17"/>
  <c r="CF213" i="17"/>
  <c r="CJ213" i="17"/>
  <c r="DI213" i="17"/>
  <c r="DK213" i="17"/>
  <c r="DM213" i="17"/>
  <c r="DP213" i="17"/>
  <c r="DR213" i="17"/>
  <c r="DT213" i="17"/>
  <c r="DS278" i="17"/>
  <c r="DR278" i="17"/>
  <c r="DT278" i="17"/>
  <c r="DU278" i="17"/>
  <c r="AV82" i="17"/>
  <c r="BM82" i="17"/>
  <c r="BC82" i="17"/>
  <c r="BI82" i="17"/>
  <c r="AX82" i="17"/>
  <c r="BF82" i="17"/>
  <c r="BB82" i="17"/>
  <c r="BL82" i="17"/>
  <c r="DV278" i="17"/>
  <c r="DW278" i="17"/>
  <c r="DK113" i="17"/>
  <c r="DJ113" i="17"/>
  <c r="DI113" i="17"/>
  <c r="DH113" i="17"/>
  <c r="DG113" i="17"/>
  <c r="DF113" i="17"/>
  <c r="DE113" i="17"/>
  <c r="DD113" i="17"/>
  <c r="CJ113" i="17"/>
  <c r="BX113" i="17"/>
  <c r="CH113" i="17"/>
  <c r="CG113" i="17"/>
  <c r="BW113" i="17"/>
  <c r="CF113" i="17"/>
  <c r="CE113" i="17"/>
  <c r="CD113" i="17"/>
  <c r="CB113" i="17"/>
  <c r="CA113" i="17"/>
  <c r="BZ113" i="17"/>
  <c r="DW113" i="17"/>
  <c r="DV113" i="17"/>
  <c r="DU113" i="17"/>
  <c r="DT113" i="17"/>
  <c r="DS113" i="17"/>
  <c r="DR113" i="17"/>
  <c r="BY113" i="17"/>
  <c r="DP113" i="17"/>
  <c r="DO113" i="17"/>
  <c r="DN113" i="17"/>
  <c r="DM113" i="17"/>
  <c r="DL113" i="17"/>
  <c r="BV113" i="17"/>
  <c r="BU113" i="17"/>
  <c r="BT113" i="17"/>
  <c r="BS113" i="17"/>
  <c r="BR113" i="17"/>
  <c r="BQ113" i="17"/>
  <c r="BP113" i="17"/>
  <c r="BO113" i="17"/>
  <c r="AG113" i="17"/>
  <c r="DQ113" i="17"/>
  <c r="CC113" i="17"/>
  <c r="CV170" i="17"/>
  <c r="CB170" i="17"/>
  <c r="BY170" i="17"/>
  <c r="BU170" i="17"/>
  <c r="BN170" i="17"/>
  <c r="BJ170" i="17"/>
  <c r="BG170" i="17"/>
  <c r="CH170" i="17"/>
  <c r="CJ170" i="17"/>
  <c r="CX170" i="17"/>
  <c r="DQ170" i="17"/>
  <c r="BI170" i="17"/>
  <c r="DL170" i="17"/>
  <c r="BF170" i="17"/>
  <c r="BS170" i="17"/>
  <c r="CA170" i="17"/>
  <c r="CE170" i="17"/>
  <c r="CW170" i="17"/>
  <c r="DC170" i="17"/>
  <c r="DK170" i="17"/>
  <c r="DV170" i="17"/>
  <c r="DP170" i="17"/>
  <c r="DF170" i="17"/>
  <c r="CT170" i="17"/>
  <c r="BX170" i="17"/>
  <c r="BL170" i="17"/>
  <c r="BH170" i="17"/>
  <c r="BE170" i="17"/>
  <c r="DU170" i="17"/>
  <c r="DO170" i="17"/>
  <c r="DI170" i="17"/>
  <c r="DE170" i="17"/>
  <c r="CY170" i="17"/>
  <c r="CU170" i="17"/>
  <c r="CD170" i="17"/>
  <c r="BV170" i="17"/>
  <c r="BT170" i="17"/>
  <c r="BQ170" i="17"/>
  <c r="BO170" i="17"/>
  <c r="AG170" i="17"/>
  <c r="DR170" i="17"/>
  <c r="DT170" i="17"/>
  <c r="DM170" i="17"/>
  <c r="DJ170" i="17"/>
  <c r="DH170" i="17"/>
  <c r="DB170" i="17"/>
  <c r="CZ170" i="17"/>
  <c r="CG170" i="17"/>
  <c r="CF170" i="17"/>
  <c r="CC170" i="17"/>
  <c r="BZ170" i="17"/>
  <c r="BW170" i="17"/>
  <c r="BR170" i="17"/>
  <c r="BP170" i="17"/>
  <c r="BM170" i="17"/>
  <c r="BK170" i="17"/>
  <c r="DW170" i="17"/>
  <c r="DS170" i="17"/>
  <c r="DN170" i="17"/>
  <c r="DG170" i="17"/>
  <c r="DD170" i="17"/>
  <c r="DA170" i="17"/>
  <c r="AM249" i="17"/>
  <c r="BD249" i="17"/>
  <c r="BE249" i="17"/>
  <c r="BF249" i="17"/>
  <c r="BG249" i="17"/>
  <c r="BH249" i="17"/>
  <c r="BI249" i="17"/>
  <c r="BJ249" i="17"/>
  <c r="BK249" i="17"/>
  <c r="BL249" i="17"/>
  <c r="BM249" i="17"/>
  <c r="BN249" i="17"/>
  <c r="BO249" i="17"/>
  <c r="BP249" i="17"/>
  <c r="BQ249" i="17"/>
  <c r="BR249" i="17"/>
  <c r="BS249" i="17"/>
  <c r="BT249" i="17"/>
  <c r="BU249" i="17"/>
  <c r="BV249" i="17"/>
  <c r="BW249" i="17"/>
  <c r="BX249" i="17"/>
  <c r="BY249" i="17"/>
  <c r="BZ249" i="17"/>
  <c r="CA249" i="17"/>
  <c r="CB249" i="17"/>
  <c r="CC249" i="17"/>
  <c r="CD249" i="17"/>
  <c r="CE249" i="17"/>
  <c r="CF249" i="17"/>
  <c r="CG249" i="17"/>
  <c r="CH249" i="17"/>
  <c r="CJ249" i="17"/>
  <c r="CK249" i="17"/>
  <c r="CL249" i="17"/>
  <c r="CM249" i="17"/>
  <c r="CN249" i="17"/>
  <c r="CO249" i="17"/>
  <c r="CP249" i="17"/>
  <c r="CQ249" i="17"/>
  <c r="CR249" i="17"/>
  <c r="CS249" i="17"/>
  <c r="CT249" i="17"/>
  <c r="CU249" i="17"/>
  <c r="CV249" i="17"/>
  <c r="CW249" i="17"/>
  <c r="CX249" i="17"/>
  <c r="CY249" i="17"/>
  <c r="CZ249" i="17"/>
  <c r="DA249" i="17"/>
  <c r="DB249" i="17"/>
  <c r="DC249" i="17"/>
  <c r="DD249" i="17"/>
  <c r="DE249" i="17"/>
  <c r="DF249" i="17"/>
  <c r="DG249" i="17"/>
  <c r="DH249" i="17"/>
  <c r="DI249" i="17"/>
  <c r="DJ249" i="17"/>
  <c r="DK249" i="17"/>
  <c r="DL249" i="17"/>
  <c r="DM249" i="17"/>
  <c r="DN249" i="17"/>
  <c r="DO249" i="17"/>
  <c r="DP249" i="17"/>
  <c r="DQ249" i="17"/>
  <c r="DR249" i="17"/>
  <c r="DS249" i="17"/>
  <c r="DT249" i="17"/>
  <c r="DU249" i="17"/>
  <c r="DV249" i="17"/>
  <c r="DW249" i="17"/>
  <c r="AA249" i="17"/>
  <c r="AB249" i="17"/>
  <c r="AC249" i="17"/>
  <c r="AD249" i="17"/>
  <c r="AE249" i="17"/>
  <c r="AF249" i="17"/>
  <c r="AK249" i="17" s="1"/>
  <c r="AG249" i="17"/>
  <c r="AH249" i="17"/>
  <c r="AI249" i="17"/>
  <c r="AJ249" i="17"/>
  <c r="AL249" i="17"/>
  <c r="AN249" i="17"/>
  <c r="AO249" i="17"/>
  <c r="AR249" i="17"/>
  <c r="AS249" i="17"/>
  <c r="AU249" i="17"/>
  <c r="AV249" i="17"/>
  <c r="AW249" i="17"/>
  <c r="AX249" i="17"/>
  <c r="AY249" i="17"/>
  <c r="AZ249" i="17"/>
  <c r="BA249" i="17"/>
  <c r="BB249" i="17"/>
  <c r="BC249" i="17"/>
  <c r="DQ179" i="17"/>
  <c r="BP179" i="17"/>
  <c r="DG179" i="17"/>
  <c r="DJ179" i="17"/>
  <c r="DN179" i="17"/>
  <c r="DR179" i="17"/>
  <c r="BJ179" i="17"/>
  <c r="DK179" i="17"/>
  <c r="DM179" i="17"/>
  <c r="DP179" i="17"/>
  <c r="DV179" i="17"/>
  <c r="BO179" i="17"/>
  <c r="BR179" i="17"/>
  <c r="BV179" i="17"/>
  <c r="CJ179" i="17"/>
  <c r="AG179" i="17"/>
  <c r="BM179" i="17"/>
  <c r="BQ179" i="17"/>
  <c r="BU179" i="17"/>
  <c r="CA179" i="17"/>
  <c r="CD179" i="17"/>
  <c r="CF179" i="17"/>
  <c r="CZ179" i="17"/>
  <c r="DD179" i="17"/>
  <c r="DS179" i="17"/>
  <c r="BL179" i="17"/>
  <c r="DH179" i="17"/>
  <c r="DU179" i="17"/>
  <c r="DC179" i="17"/>
  <c r="DF179" i="17"/>
  <c r="DO179" i="17"/>
  <c r="BT179" i="17"/>
  <c r="BY179" i="17"/>
  <c r="CC179" i="17"/>
  <c r="CE179" i="17"/>
  <c r="CG179" i="17"/>
  <c r="DA179" i="17"/>
  <c r="DE179" i="17"/>
  <c r="DI179" i="17"/>
  <c r="DL179" i="17"/>
  <c r="DW179" i="17"/>
  <c r="DT179" i="17"/>
  <c r="BK179" i="17"/>
  <c r="BN179" i="17"/>
  <c r="BX179" i="17"/>
  <c r="BS179" i="17"/>
  <c r="BW179" i="17"/>
  <c r="BZ179" i="17"/>
  <c r="CB179" i="17"/>
  <c r="CH179" i="17"/>
  <c r="CY179" i="17"/>
  <c r="DB179" i="17"/>
  <c r="CP162" i="17"/>
  <c r="AG162" i="17"/>
  <c r="CY162" i="17"/>
  <c r="DW162" i="17"/>
  <c r="DR162" i="17"/>
  <c r="BX162" i="17"/>
  <c r="BG162" i="17"/>
  <c r="AZ162" i="17"/>
  <c r="AO162" i="17"/>
  <c r="AI162" i="17"/>
  <c r="AC162" i="17"/>
  <c r="DT162" i="17"/>
  <c r="CV162" i="17"/>
  <c r="AX162" i="17"/>
  <c r="BQ162" i="17"/>
  <c r="BA162" i="17"/>
  <c r="AH162" i="17"/>
  <c r="DN162" i="17"/>
  <c r="DF162" i="17"/>
  <c r="DB162" i="17"/>
  <c r="CR162" i="17"/>
  <c r="CD162" i="17"/>
  <c r="BV162" i="17"/>
  <c r="BL162" i="17"/>
  <c r="BD162" i="17"/>
  <c r="AJ162" i="17"/>
  <c r="DD162" i="17"/>
  <c r="CC162" i="17"/>
  <c r="BT162" i="17"/>
  <c r="BO162" i="17"/>
  <c r="BJ162" i="17"/>
  <c r="AR162" i="17"/>
  <c r="DS162" i="17"/>
  <c r="DM162" i="17"/>
  <c r="DK162" i="17"/>
  <c r="CS162" i="17"/>
  <c r="CL162" i="17"/>
  <c r="BR162" i="17"/>
  <c r="BE162" i="17"/>
  <c r="AU162" i="17"/>
  <c r="AB162" i="17"/>
  <c r="AD162" i="17"/>
  <c r="AN162" i="17"/>
  <c r="BB162" i="17"/>
  <c r="BK162" i="17"/>
  <c r="BY162" i="17"/>
  <c r="CE162" i="17"/>
  <c r="CO162" i="17"/>
  <c r="DH162" i="17"/>
  <c r="BH162" i="17"/>
  <c r="CJ162" i="17"/>
  <c r="DL162" i="17"/>
  <c r="DC162" i="17"/>
  <c r="CT162" i="17"/>
  <c r="CK162" i="17"/>
  <c r="AV162" i="17"/>
  <c r="AF162" i="17"/>
  <c r="AK162" i="17" s="1"/>
  <c r="DG162" i="17"/>
  <c r="CN162" i="17"/>
  <c r="BU162" i="17"/>
  <c r="AM162" i="17"/>
  <c r="DV162" i="17"/>
  <c r="DI162" i="17"/>
  <c r="CU162" i="17"/>
  <c r="CH162" i="17"/>
  <c r="BW162" i="17"/>
  <c r="BP162" i="17"/>
  <c r="BF162" i="17"/>
  <c r="AY162" i="17"/>
  <c r="DQ162" i="17"/>
  <c r="DE162" i="17"/>
  <c r="DO162" i="17"/>
  <c r="DJ162" i="17"/>
  <c r="CZ162" i="17"/>
  <c r="CW162" i="17"/>
  <c r="CQ162" i="17"/>
  <c r="CG162" i="17"/>
  <c r="CB162" i="17"/>
  <c r="BN162" i="17"/>
  <c r="BC162" i="17"/>
  <c r="AE162" i="17"/>
  <c r="AL162" i="17"/>
  <c r="AW162" i="17"/>
  <c r="BM162" i="17"/>
  <c r="CA162" i="17"/>
  <c r="CF162" i="17"/>
  <c r="CX162" i="17"/>
  <c r="DP162" i="17"/>
  <c r="DU162" i="17"/>
  <c r="AS162" i="17"/>
  <c r="BI162" i="17"/>
  <c r="BS162" i="17"/>
  <c r="BZ162" i="17"/>
  <c r="CM162" i="17"/>
  <c r="DA162" i="17"/>
  <c r="AA162" i="17"/>
  <c r="BG82" i="17"/>
  <c r="AY82" i="17"/>
  <c r="BD82" i="17"/>
  <c r="BK82" i="17"/>
  <c r="AW82" i="17"/>
  <c r="BA82" i="17"/>
  <c r="BH82" i="17"/>
  <c r="BJ82" i="17"/>
  <c r="BN82" i="17"/>
  <c r="AU82" i="17"/>
  <c r="AZ82" i="17"/>
  <c r="BE82" i="17"/>
  <c r="AG78" i="17"/>
  <c r="BU78" i="17"/>
  <c r="BX78" i="17"/>
  <c r="CH78" i="17"/>
  <c r="DF78" i="17"/>
  <c r="DI78" i="17"/>
  <c r="BR78" i="17"/>
  <c r="DD78" i="17"/>
  <c r="DL78" i="17"/>
  <c r="DN78" i="17"/>
  <c r="DP78" i="17"/>
  <c r="DW78" i="17"/>
  <c r="BT78" i="17"/>
  <c r="BW78" i="17"/>
  <c r="BZ78" i="17"/>
  <c r="CD78" i="17"/>
  <c r="DR78" i="17"/>
  <c r="CJ78" i="17"/>
  <c r="DE78" i="17"/>
  <c r="DG78" i="17"/>
  <c r="DK78" i="17"/>
  <c r="DQ78" i="17"/>
  <c r="BO78" i="17"/>
  <c r="DO78" i="17"/>
  <c r="DU78" i="17"/>
  <c r="CA78" i="17"/>
  <c r="CB78" i="17"/>
  <c r="CG78" i="17"/>
  <c r="DT78" i="17"/>
  <c r="BP78" i="17"/>
  <c r="BS78" i="17"/>
  <c r="BV78" i="17"/>
  <c r="BY78" i="17"/>
  <c r="CC78" i="17"/>
  <c r="CE78" i="17"/>
  <c r="DJ78" i="17"/>
  <c r="DS78" i="17"/>
  <c r="DV78" i="17"/>
  <c r="BQ78" i="17"/>
  <c r="DH78" i="17"/>
  <c r="DM78" i="17"/>
  <c r="CF78" i="17"/>
  <c r="BO239" i="17"/>
  <c r="BN239" i="17"/>
  <c r="BM239" i="17"/>
  <c r="BL239" i="17"/>
  <c r="BK239" i="17"/>
  <c r="BJ239" i="17"/>
  <c r="DJ239" i="17"/>
  <c r="DG239" i="17"/>
  <c r="DA239" i="17"/>
  <c r="CY239" i="17"/>
  <c r="DD239" i="17"/>
  <c r="CE239" i="17"/>
  <c r="AG239" i="17"/>
  <c r="CH239" i="17"/>
  <c r="CC239" i="17"/>
  <c r="BZ239" i="17"/>
  <c r="BW239" i="17"/>
  <c r="BU239" i="17"/>
  <c r="DW239" i="17"/>
  <c r="DU239" i="17"/>
  <c r="DT239" i="17"/>
  <c r="DR239" i="17"/>
  <c r="DQ239" i="17"/>
  <c r="DO239" i="17"/>
  <c r="DM239" i="17"/>
  <c r="DK239" i="17"/>
  <c r="DI239" i="17"/>
  <c r="DH239" i="17"/>
  <c r="DF239" i="17"/>
  <c r="CG239" i="17"/>
  <c r="DE239" i="17"/>
  <c r="DC239" i="17"/>
  <c r="DB239" i="17"/>
  <c r="CZ239" i="17"/>
  <c r="CJ239" i="17"/>
  <c r="CF239" i="17"/>
  <c r="DV239" i="17"/>
  <c r="CB239" i="17"/>
  <c r="CA239" i="17"/>
  <c r="BY239" i="17"/>
  <c r="BX239" i="17"/>
  <c r="BV239" i="17"/>
  <c r="BT239" i="17"/>
  <c r="BS239" i="17"/>
  <c r="BR239" i="17"/>
  <c r="BQ239" i="17"/>
  <c r="BP239" i="17"/>
  <c r="CD239" i="17"/>
  <c r="DS239" i="17"/>
  <c r="DP239" i="17"/>
  <c r="DN239" i="17"/>
  <c r="DL239" i="17"/>
  <c r="DW205" i="17"/>
  <c r="DV205" i="17"/>
  <c r="DU205" i="17"/>
  <c r="DT205" i="17"/>
  <c r="DS205" i="17"/>
  <c r="DQ205" i="17"/>
  <c r="DP205" i="17"/>
  <c r="DO205" i="17"/>
  <c r="DN205" i="17"/>
  <c r="DM205" i="17"/>
  <c r="DK205" i="17"/>
  <c r="BX205" i="17"/>
  <c r="DI205" i="17"/>
  <c r="DH205" i="17"/>
  <c r="DG205" i="17"/>
  <c r="DF205" i="17"/>
  <c r="DE205" i="17"/>
  <c r="DD205" i="17"/>
  <c r="CJ205" i="17"/>
  <c r="CH205" i="17"/>
  <c r="CG205" i="17"/>
  <c r="CF205" i="17"/>
  <c r="CE205" i="17"/>
  <c r="CD205" i="17"/>
  <c r="CC205" i="17"/>
  <c r="CB205" i="17"/>
  <c r="CA205" i="17"/>
  <c r="BZ205" i="17"/>
  <c r="BW205" i="17"/>
  <c r="BV205" i="17"/>
  <c r="BU205" i="17"/>
  <c r="BT205" i="17"/>
  <c r="BS205" i="17"/>
  <c r="BR205" i="17"/>
  <c r="BQ205" i="17"/>
  <c r="BP205" i="17"/>
  <c r="BO205" i="17"/>
  <c r="AG205" i="17"/>
  <c r="DL205" i="17"/>
  <c r="DR205" i="17"/>
  <c r="BY205" i="17"/>
  <c r="DJ205" i="17"/>
  <c r="CK153" i="17"/>
  <c r="CO153" i="17"/>
  <c r="DH153" i="17"/>
  <c r="AA153" i="17"/>
  <c r="AO153" i="17"/>
  <c r="AX153" i="17"/>
  <c r="BS153" i="17"/>
  <c r="BZ153" i="17"/>
  <c r="CM153" i="17"/>
  <c r="DM153" i="17"/>
  <c r="AV153" i="17"/>
  <c r="BC153" i="17"/>
  <c r="CQ153" i="17"/>
  <c r="DJ153" i="17"/>
  <c r="BL153" i="17"/>
  <c r="AD153" i="17"/>
  <c r="BB153" i="17"/>
  <c r="BP153" i="17"/>
  <c r="CJ153" i="17"/>
  <c r="AB153" i="17"/>
  <c r="BM153" i="17"/>
  <c r="CS153" i="17"/>
  <c r="AI153" i="17"/>
  <c r="AZ153" i="17"/>
  <c r="BE153" i="17"/>
  <c r="BT153" i="17"/>
  <c r="CF153" i="17"/>
  <c r="DD153" i="17"/>
  <c r="DI153" i="17"/>
  <c r="DV153" i="17"/>
  <c r="DN153" i="17"/>
  <c r="AH153" i="17"/>
  <c r="BJ153" i="17"/>
  <c r="BU153" i="17"/>
  <c r="CL153" i="17"/>
  <c r="DF153" i="17"/>
  <c r="DT153" i="17"/>
  <c r="AC153" i="17"/>
  <c r="AR153" i="17"/>
  <c r="BN153" i="17"/>
  <c r="BV153" i="17"/>
  <c r="CH153" i="17"/>
  <c r="DE153" i="17"/>
  <c r="AG153" i="17"/>
  <c r="AW153" i="17"/>
  <c r="BH153" i="17"/>
  <c r="CA153" i="17"/>
  <c r="CZ153" i="17"/>
  <c r="DQ153" i="17"/>
  <c r="AL153" i="17"/>
  <c r="BF153" i="17"/>
  <c r="DA153" i="17"/>
  <c r="DG153" i="17"/>
  <c r="DO153" i="17"/>
  <c r="AU153" i="17"/>
  <c r="BG153" i="17"/>
  <c r="BR153" i="17"/>
  <c r="CN153" i="17"/>
  <c r="DB153" i="17"/>
  <c r="DS153" i="17"/>
  <c r="AY153" i="17"/>
  <c r="CG153" i="17"/>
  <c r="DW153" i="17"/>
  <c r="BY153" i="17"/>
  <c r="CP153" i="17"/>
  <c r="DR153" i="17"/>
  <c r="AJ153" i="17"/>
  <c r="BQ153" i="17"/>
  <c r="CX153" i="17"/>
  <c r="DP153" i="17"/>
  <c r="AF153" i="17"/>
  <c r="AK153" i="17" s="1"/>
  <c r="BD153" i="17"/>
  <c r="CD153" i="17"/>
  <c r="CU153" i="17"/>
  <c r="AE153" i="17"/>
  <c r="CT153" i="17"/>
  <c r="AS153" i="17"/>
  <c r="BX153" i="17"/>
  <c r="CV153" i="17"/>
  <c r="AN153" i="17"/>
  <c r="BW153" i="17"/>
  <c r="CY153" i="17"/>
  <c r="DK153" i="17"/>
  <c r="DU153" i="17"/>
  <c r="BI153" i="17"/>
  <c r="CB153" i="17"/>
  <c r="DC153" i="17"/>
  <c r="AM153" i="17"/>
  <c r="BA153" i="17"/>
  <c r="BK153" i="17"/>
  <c r="CC153" i="17"/>
  <c r="CW153" i="17"/>
  <c r="DL153" i="17"/>
  <c r="CR153" i="17"/>
  <c r="BO153" i="17"/>
  <c r="CE153" i="17"/>
  <c r="BL256" i="17"/>
  <c r="BK256" i="17"/>
  <c r="BJ256" i="17"/>
  <c r="BI256" i="17"/>
  <c r="BH256" i="17"/>
  <c r="BG256" i="17"/>
  <c r="BF256" i="17"/>
  <c r="BE256" i="17"/>
  <c r="BD256" i="17"/>
  <c r="BC256" i="17"/>
  <c r="BB256" i="17"/>
  <c r="BA256" i="17"/>
  <c r="AZ256" i="17"/>
  <c r="AU256" i="17"/>
  <c r="AY256" i="17"/>
  <c r="AX256" i="17"/>
  <c r="AW256" i="17"/>
  <c r="CE256" i="17"/>
  <c r="CD256" i="17"/>
  <c r="CC256" i="17"/>
  <c r="CB256" i="17"/>
  <c r="CA256" i="17"/>
  <c r="BZ256" i="17"/>
  <c r="BY256" i="17"/>
  <c r="BX256" i="17"/>
  <c r="BW256" i="17"/>
  <c r="BV256" i="17"/>
  <c r="AV256" i="17"/>
  <c r="DK256" i="17"/>
  <c r="AG256" i="17"/>
  <c r="DW256" i="17"/>
  <c r="DV256" i="17"/>
  <c r="DU256" i="17"/>
  <c r="DT256" i="17"/>
  <c r="DS256" i="17"/>
  <c r="DR256" i="17"/>
  <c r="DQ256" i="17"/>
  <c r="DP256" i="17"/>
  <c r="DO256" i="17"/>
  <c r="DN256" i="17"/>
  <c r="DM256" i="17"/>
  <c r="DL256" i="17"/>
  <c r="DJ256" i="17"/>
  <c r="DI256" i="17"/>
  <c r="DH256" i="17"/>
  <c r="DG256" i="17"/>
  <c r="DF256" i="17"/>
  <c r="DE256" i="17"/>
  <c r="BU256" i="17"/>
  <c r="DD256" i="17"/>
  <c r="DC256" i="17"/>
  <c r="DB256" i="17"/>
  <c r="DA256" i="17"/>
  <c r="CZ256" i="17"/>
  <c r="CY256" i="17"/>
  <c r="CX256" i="17"/>
  <c r="CW256" i="17"/>
  <c r="CV256" i="17"/>
  <c r="CU256" i="17"/>
  <c r="CT256" i="17"/>
  <c r="CJ256" i="17"/>
  <c r="CH256" i="17"/>
  <c r="CG256" i="17"/>
  <c r="CF256" i="17"/>
  <c r="BT256" i="17"/>
  <c r="BS256" i="17"/>
  <c r="BR256" i="17"/>
  <c r="BQ256" i="17"/>
  <c r="BP256" i="17"/>
  <c r="BO256" i="17"/>
  <c r="BN256" i="17"/>
  <c r="BM256" i="17"/>
  <c r="H31" i="7"/>
  <c r="AG248" i="17"/>
  <c r="BO248" i="17"/>
  <c r="BP248" i="17"/>
  <c r="BQ248" i="17"/>
  <c r="BR248" i="17"/>
  <c r="BS248" i="17"/>
  <c r="BT248" i="17"/>
  <c r="BU248" i="17"/>
  <c r="BV248" i="17"/>
  <c r="BW248" i="17"/>
  <c r="BX248" i="17"/>
  <c r="BY248" i="17"/>
  <c r="BZ248" i="17"/>
  <c r="CA248" i="17"/>
  <c r="CB248" i="17"/>
  <c r="CC248" i="17"/>
  <c r="CD248" i="17"/>
  <c r="CE248" i="17"/>
  <c r="CF248" i="17"/>
  <c r="CG248" i="17"/>
  <c r="CH248" i="17"/>
  <c r="CJ248" i="17"/>
  <c r="DD248" i="17"/>
  <c r="DE248" i="17"/>
  <c r="DF248" i="17"/>
  <c r="DG248" i="17"/>
  <c r="DH248" i="17"/>
  <c r="DI248" i="17"/>
  <c r="DJ248" i="17"/>
  <c r="DK248" i="17"/>
  <c r="DL248" i="17"/>
  <c r="DM248" i="17"/>
  <c r="DN248" i="17"/>
  <c r="DO248" i="17"/>
  <c r="DP248" i="17"/>
  <c r="DQ248" i="17"/>
  <c r="DR248" i="17"/>
  <c r="DS248" i="17"/>
  <c r="DT248" i="17"/>
  <c r="DU248" i="17"/>
  <c r="DV248" i="17"/>
  <c r="DW248" i="17"/>
  <c r="AG222" i="17"/>
  <c r="BT222" i="17"/>
  <c r="BU222" i="17"/>
  <c r="BV222" i="17"/>
  <c r="BW222" i="17"/>
  <c r="BX222" i="17"/>
  <c r="BY222" i="17"/>
  <c r="BZ222" i="17"/>
  <c r="CA222" i="17"/>
  <c r="CB222" i="17"/>
  <c r="CC222" i="17"/>
  <c r="CD222" i="17"/>
  <c r="CE222" i="17"/>
  <c r="CF222" i="17"/>
  <c r="CG222" i="17"/>
  <c r="CH222" i="17"/>
  <c r="CJ222" i="17"/>
  <c r="DI222" i="17"/>
  <c r="DJ222" i="17"/>
  <c r="DK222" i="17"/>
  <c r="DL222" i="17"/>
  <c r="DM222" i="17"/>
  <c r="DN222" i="17"/>
  <c r="DO222" i="17"/>
  <c r="DP222" i="17"/>
  <c r="DQ222" i="17"/>
  <c r="DR222" i="17"/>
  <c r="DS222" i="17"/>
  <c r="DT222" i="17"/>
  <c r="DU222" i="17"/>
  <c r="DV222" i="17"/>
  <c r="DW222" i="17"/>
  <c r="BJ236" i="17"/>
  <c r="BR236" i="17"/>
  <c r="BE236" i="17"/>
  <c r="CT236" i="17"/>
  <c r="AG236" i="17"/>
  <c r="BG236" i="17"/>
  <c r="BL236" i="17"/>
  <c r="BO236" i="17"/>
  <c r="BU236" i="17"/>
  <c r="BX236" i="17"/>
  <c r="BZ236" i="17"/>
  <c r="CB236" i="17"/>
  <c r="CD236" i="17"/>
  <c r="CF236" i="17"/>
  <c r="CH236" i="17"/>
  <c r="CU236" i="17"/>
  <c r="CW236" i="17"/>
  <c r="CY236" i="17"/>
  <c r="DA236" i="17"/>
  <c r="DD236" i="17"/>
  <c r="DF236" i="17"/>
  <c r="DI236" i="17"/>
  <c r="DL236" i="17"/>
  <c r="DN236" i="17"/>
  <c r="DP236" i="17"/>
  <c r="DS236" i="17"/>
  <c r="DV236" i="17"/>
  <c r="BF236" i="17"/>
  <c r="BH236" i="17"/>
  <c r="BI236" i="17"/>
  <c r="BK236" i="17"/>
  <c r="BM236" i="17"/>
  <c r="BN236" i="17"/>
  <c r="BP236" i="17"/>
  <c r="BQ236" i="17"/>
  <c r="BS236" i="17"/>
  <c r="BT236" i="17"/>
  <c r="BV236" i="17"/>
  <c r="BW236" i="17"/>
  <c r="BY236" i="17"/>
  <c r="CA236" i="17"/>
  <c r="CC236" i="17"/>
  <c r="CE236" i="17"/>
  <c r="CG236" i="17"/>
  <c r="CJ236" i="17"/>
  <c r="CV236" i="17"/>
  <c r="CX236" i="17"/>
  <c r="CZ236" i="17"/>
  <c r="DB236" i="17"/>
  <c r="DC236" i="17"/>
  <c r="DE236" i="17"/>
  <c r="DG236" i="17"/>
  <c r="DH236" i="17"/>
  <c r="DJ236" i="17"/>
  <c r="DK236" i="17"/>
  <c r="DM236" i="17"/>
  <c r="DO236" i="17"/>
  <c r="DQ236" i="17"/>
  <c r="DR236" i="17"/>
  <c r="DT236" i="17"/>
  <c r="DU236" i="17"/>
  <c r="DW236" i="17"/>
  <c r="DK273" i="17"/>
  <c r="DL273" i="17"/>
  <c r="DM273" i="17"/>
  <c r="DN273" i="17"/>
  <c r="DO273" i="17"/>
  <c r="DP273" i="17"/>
  <c r="DQ273" i="17"/>
  <c r="DR273" i="17"/>
  <c r="DS273" i="17"/>
  <c r="DT273" i="17"/>
  <c r="DU273" i="17"/>
  <c r="DV273" i="17"/>
  <c r="DW273" i="17"/>
  <c r="BL273" i="17"/>
  <c r="CW273" i="17"/>
  <c r="AU273" i="17"/>
  <c r="AV273" i="17"/>
  <c r="AW273" i="17"/>
  <c r="AX273" i="17"/>
  <c r="AY273" i="17"/>
  <c r="AZ273" i="17"/>
  <c r="BA273" i="17"/>
  <c r="BB273" i="17"/>
  <c r="BC273" i="17"/>
  <c r="BD273" i="17"/>
  <c r="BE273" i="17"/>
  <c r="BF273" i="17"/>
  <c r="BG273" i="17"/>
  <c r="BH273" i="17"/>
  <c r="BI273" i="17"/>
  <c r="BJ273" i="17"/>
  <c r="BK273" i="17"/>
  <c r="BM273" i="17"/>
  <c r="BN273" i="17"/>
  <c r="BO273" i="17"/>
  <c r="BP273" i="17"/>
  <c r="BQ273" i="17"/>
  <c r="BR273" i="17"/>
  <c r="BS273" i="17"/>
  <c r="BT273" i="17"/>
  <c r="BU273" i="17"/>
  <c r="BV273" i="17"/>
  <c r="BW273" i="17"/>
  <c r="BX273" i="17"/>
  <c r="BY273" i="17"/>
  <c r="BZ273" i="17"/>
  <c r="CA273" i="17"/>
  <c r="CB273" i="17"/>
  <c r="CC273" i="17"/>
  <c r="CD273" i="17"/>
  <c r="CE273" i="17"/>
  <c r="CF273" i="17"/>
  <c r="CG273" i="17"/>
  <c r="CH273" i="17"/>
  <c r="DI273" i="17"/>
  <c r="CJ273" i="17"/>
  <c r="CT273" i="17"/>
  <c r="CU273" i="17"/>
  <c r="CV273" i="17"/>
  <c r="AG273" i="17"/>
  <c r="CX273" i="17"/>
  <c r="CY273" i="17"/>
  <c r="CZ273" i="17"/>
  <c r="DA273" i="17"/>
  <c r="DB273" i="17"/>
  <c r="DC273" i="17"/>
  <c r="DD273" i="17"/>
  <c r="DE273" i="17"/>
  <c r="DF273" i="17"/>
  <c r="DG273" i="17"/>
  <c r="DH273" i="17"/>
  <c r="DJ273" i="17"/>
  <c r="AU239" i="17"/>
  <c r="AY239" i="17"/>
  <c r="AZ239" i="17"/>
  <c r="BA239" i="17"/>
  <c r="AX239" i="17"/>
  <c r="BB239" i="17"/>
  <c r="BC239" i="17"/>
  <c r="BD239" i="17"/>
  <c r="BE239" i="17"/>
  <c r="BF239" i="17"/>
  <c r="BG239" i="17"/>
  <c r="BH239" i="17"/>
  <c r="BI239" i="17"/>
  <c r="AW239" i="17"/>
  <c r="AV239" i="17"/>
  <c r="BJ231" i="17"/>
  <c r="BK231" i="17"/>
  <c r="BL231" i="17"/>
  <c r="BM231" i="17"/>
  <c r="BN231" i="17"/>
  <c r="BO231" i="17"/>
  <c r="BP231" i="17"/>
  <c r="BQ231" i="17"/>
  <c r="BR231" i="17"/>
  <c r="BS231" i="17"/>
  <c r="BT231" i="17"/>
  <c r="BU231" i="17"/>
  <c r="BV231" i="17"/>
  <c r="BW231" i="17"/>
  <c r="BX231" i="17"/>
  <c r="BY231" i="17"/>
  <c r="BZ231" i="17"/>
  <c r="CA231" i="17"/>
  <c r="CB231" i="17"/>
  <c r="CC231" i="17"/>
  <c r="CD231" i="17"/>
  <c r="CE231" i="17"/>
  <c r="CF231" i="17"/>
  <c r="CG231" i="17"/>
  <c r="CH231" i="17"/>
  <c r="CJ231" i="17"/>
  <c r="CY231" i="17"/>
  <c r="CZ231" i="17"/>
  <c r="DA231" i="17"/>
  <c r="DB231" i="17"/>
  <c r="DC231" i="17"/>
  <c r="DD231" i="17"/>
  <c r="DE231" i="17"/>
  <c r="DF231" i="17"/>
  <c r="DG231" i="17"/>
  <c r="DH231" i="17"/>
  <c r="DI231" i="17"/>
  <c r="DJ231" i="17"/>
  <c r="DK231" i="17"/>
  <c r="DL231" i="17"/>
  <c r="DM231" i="17"/>
  <c r="DN231" i="17"/>
  <c r="DO231" i="17"/>
  <c r="DP231" i="17"/>
  <c r="DQ231" i="17"/>
  <c r="DR231" i="17"/>
  <c r="DS231" i="17"/>
  <c r="DT231" i="17"/>
  <c r="DU231" i="17"/>
  <c r="DV231" i="17"/>
  <c r="DW231" i="17"/>
  <c r="AG231" i="17"/>
  <c r="BE214" i="17"/>
  <c r="BF214" i="17"/>
  <c r="BG214" i="17"/>
  <c r="BH214" i="17"/>
  <c r="BI214" i="17"/>
  <c r="BJ214" i="17"/>
  <c r="BK214" i="17"/>
  <c r="BL214" i="17"/>
  <c r="BM214" i="17"/>
  <c r="BN214" i="17"/>
  <c r="BO214" i="17"/>
  <c r="BP214" i="17"/>
  <c r="BQ214" i="17"/>
  <c r="BR214" i="17"/>
  <c r="BS214" i="17"/>
  <c r="BT214" i="17"/>
  <c r="BU214" i="17"/>
  <c r="BV214" i="17"/>
  <c r="BW214" i="17"/>
  <c r="BX214" i="17"/>
  <c r="BY214" i="17"/>
  <c r="BZ214" i="17"/>
  <c r="CA214" i="17"/>
  <c r="CB214" i="17"/>
  <c r="CC214" i="17"/>
  <c r="CD214" i="17"/>
  <c r="CE214" i="17"/>
  <c r="CF214" i="17"/>
  <c r="CG214" i="17"/>
  <c r="CH214" i="17"/>
  <c r="CJ214" i="17"/>
  <c r="CT214" i="17"/>
  <c r="CU214" i="17"/>
  <c r="CV214" i="17"/>
  <c r="CW214" i="17"/>
  <c r="CX214" i="17"/>
  <c r="CY214" i="17"/>
  <c r="CZ214" i="17"/>
  <c r="DA214" i="17"/>
  <c r="DB214" i="17"/>
  <c r="DC214" i="17"/>
  <c r="DD214" i="17"/>
  <c r="DE214" i="17"/>
  <c r="DF214" i="17"/>
  <c r="DG214" i="17"/>
  <c r="DH214" i="17"/>
  <c r="DI214" i="17"/>
  <c r="DJ214" i="17"/>
  <c r="DK214" i="17"/>
  <c r="DL214" i="17"/>
  <c r="DM214" i="17"/>
  <c r="DN214" i="17"/>
  <c r="DO214" i="17"/>
  <c r="DP214" i="17"/>
  <c r="DQ214" i="17"/>
  <c r="DR214" i="17"/>
  <c r="DS214" i="17"/>
  <c r="DT214" i="17"/>
  <c r="DU214" i="17"/>
  <c r="DV214" i="17"/>
  <c r="DW214" i="17"/>
  <c r="AG214" i="17"/>
  <c r="AE175" i="17"/>
  <c r="AI175" i="17"/>
  <c r="AL175" i="17"/>
  <c r="AV175" i="17"/>
  <c r="BM175" i="17"/>
  <c r="BV175" i="17"/>
  <c r="CB175" i="17"/>
  <c r="CE175" i="17"/>
  <c r="CG175" i="17"/>
  <c r="CM175" i="17"/>
  <c r="CQ175" i="17"/>
  <c r="CS175" i="17"/>
  <c r="CW175" i="17"/>
  <c r="DA175" i="17"/>
  <c r="DD175" i="17"/>
  <c r="DL175" i="17"/>
  <c r="AB175" i="17"/>
  <c r="AG175" i="17"/>
  <c r="AM175" i="17"/>
  <c r="AS175" i="17"/>
  <c r="AY175" i="17"/>
  <c r="BH175" i="17"/>
  <c r="BN175" i="17"/>
  <c r="BU175" i="17"/>
  <c r="BX175" i="17"/>
  <c r="CO175" i="17"/>
  <c r="CT175" i="17"/>
  <c r="CY175" i="17"/>
  <c r="DI175" i="17"/>
  <c r="DN175" i="17"/>
  <c r="DQ175" i="17"/>
  <c r="DV175" i="17"/>
  <c r="AA175" i="17"/>
  <c r="AH175" i="17"/>
  <c r="AO175" i="17"/>
  <c r="AR175" i="17"/>
  <c r="AW175" i="17"/>
  <c r="BB175" i="17"/>
  <c r="BD175" i="17"/>
  <c r="BI175" i="17"/>
  <c r="BL175" i="17"/>
  <c r="BP175" i="17"/>
  <c r="BR175" i="17"/>
  <c r="BT175" i="17"/>
  <c r="BZ175" i="17"/>
  <c r="CA175" i="17"/>
  <c r="CC175" i="17"/>
  <c r="CF175" i="17"/>
  <c r="CH175" i="17"/>
  <c r="CL175" i="17"/>
  <c r="BY175" i="17"/>
  <c r="CU175" i="17"/>
  <c r="DF175" i="17"/>
  <c r="DK175" i="17"/>
  <c r="DS175" i="17"/>
  <c r="DU175" i="17"/>
  <c r="AC175" i="17"/>
  <c r="AJ175" i="17"/>
  <c r="AN175" i="17"/>
  <c r="AU175" i="17"/>
  <c r="AX175" i="17"/>
  <c r="BA175" i="17"/>
  <c r="BC175" i="17"/>
  <c r="BF175" i="17"/>
  <c r="BG175" i="17"/>
  <c r="BJ175" i="17"/>
  <c r="BO175" i="17"/>
  <c r="BW175" i="17"/>
  <c r="CK175" i="17"/>
  <c r="CN175" i="17"/>
  <c r="CR175" i="17"/>
  <c r="CX175" i="17"/>
  <c r="DB175" i="17"/>
  <c r="DE175" i="17"/>
  <c r="DH175" i="17"/>
  <c r="DO175" i="17"/>
  <c r="DP175" i="17"/>
  <c r="DT175" i="17"/>
  <c r="DW175" i="17"/>
  <c r="AD175" i="17"/>
  <c r="AF175" i="17"/>
  <c r="AK175" i="17" s="1"/>
  <c r="AZ175" i="17"/>
  <c r="BE175" i="17"/>
  <c r="BK175" i="17"/>
  <c r="BQ175" i="17"/>
  <c r="BS175" i="17"/>
  <c r="CD175" i="17"/>
  <c r="CJ175" i="17"/>
  <c r="CV175" i="17"/>
  <c r="CZ175" i="17"/>
  <c r="DC175" i="17"/>
  <c r="DG175" i="17"/>
  <c r="DJ175" i="17"/>
  <c r="DM175" i="17"/>
  <c r="DR175" i="17"/>
  <c r="CP175" i="17"/>
  <c r="AB226" i="17"/>
  <c r="BU226" i="17"/>
  <c r="BV226" i="17"/>
  <c r="BW226" i="17"/>
  <c r="BX226" i="17"/>
  <c r="BY226" i="17"/>
  <c r="BZ226" i="17"/>
  <c r="CA226" i="17"/>
  <c r="CB226" i="17"/>
  <c r="CC226" i="17"/>
  <c r="CD226" i="17"/>
  <c r="CE226" i="17"/>
  <c r="CF226" i="17"/>
  <c r="CG226" i="17"/>
  <c r="CH226" i="17"/>
  <c r="CJ226" i="17"/>
  <c r="CK226" i="17"/>
  <c r="CL226" i="17"/>
  <c r="CM226" i="17"/>
  <c r="CN226" i="17"/>
  <c r="CO226" i="17"/>
  <c r="CP226" i="17"/>
  <c r="CQ226" i="17"/>
  <c r="CR226" i="17"/>
  <c r="CS226" i="17"/>
  <c r="CT226" i="17"/>
  <c r="CU226" i="17"/>
  <c r="CV226" i="17"/>
  <c r="CW226" i="17"/>
  <c r="CX226" i="17"/>
  <c r="CY226" i="17"/>
  <c r="CZ226" i="17"/>
  <c r="DA226" i="17"/>
  <c r="DB226" i="17"/>
  <c r="DC226" i="17"/>
  <c r="DD226" i="17"/>
  <c r="DE226" i="17"/>
  <c r="DF226" i="17"/>
  <c r="DG226" i="17"/>
  <c r="DH226" i="17"/>
  <c r="DI226" i="17"/>
  <c r="BF226" i="17"/>
  <c r="DJ226" i="17"/>
  <c r="DK226" i="17"/>
  <c r="DL226" i="17"/>
  <c r="DM226" i="17"/>
  <c r="DN226" i="17"/>
  <c r="DO226" i="17"/>
  <c r="AC226" i="17"/>
  <c r="DP226" i="17"/>
  <c r="DQ226" i="17"/>
  <c r="DR226" i="17"/>
  <c r="DS226" i="17"/>
  <c r="AA226" i="17"/>
  <c r="DT226" i="17"/>
  <c r="DU226" i="17"/>
  <c r="DV226" i="17"/>
  <c r="DW226" i="17"/>
  <c r="AD226" i="17"/>
  <c r="AE226" i="17"/>
  <c r="AF226" i="17"/>
  <c r="AK226" i="17" s="1"/>
  <c r="AG226" i="17"/>
  <c r="AH226" i="17"/>
  <c r="AI226" i="17"/>
  <c r="AJ226" i="17"/>
  <c r="AL226" i="17"/>
  <c r="AM226" i="17"/>
  <c r="AN226" i="17"/>
  <c r="AO226" i="17"/>
  <c r="AR226" i="17"/>
  <c r="AS226" i="17"/>
  <c r="AU226" i="17"/>
  <c r="AV226" i="17"/>
  <c r="AW226" i="17"/>
  <c r="AX226" i="17"/>
  <c r="AY226" i="17"/>
  <c r="AZ226" i="17"/>
  <c r="BA226" i="17"/>
  <c r="BB226" i="17"/>
  <c r="BC226" i="17"/>
  <c r="BD226" i="17"/>
  <c r="BE226" i="17"/>
  <c r="BG226" i="17"/>
  <c r="BH226" i="17"/>
  <c r="BI226" i="17"/>
  <c r="BJ226" i="17"/>
  <c r="BK226" i="17"/>
  <c r="BL226" i="17"/>
  <c r="BM226" i="17"/>
  <c r="BN226" i="17"/>
  <c r="BO226" i="17"/>
  <c r="BP226" i="17"/>
  <c r="BQ226" i="17"/>
  <c r="BR226" i="17"/>
  <c r="BS226" i="17"/>
  <c r="BT226" i="17"/>
  <c r="BO165" i="17"/>
  <c r="BT165" i="17"/>
  <c r="BX165" i="17"/>
  <c r="CA165" i="17"/>
  <c r="CJ165" i="17"/>
  <c r="CP165" i="17"/>
  <c r="CS165" i="17"/>
  <c r="CT165" i="17"/>
  <c r="CW165" i="17"/>
  <c r="CZ165" i="17"/>
  <c r="DC165" i="17"/>
  <c r="DU165" i="17"/>
  <c r="AA165" i="17"/>
  <c r="AC165" i="17"/>
  <c r="AF165" i="17"/>
  <c r="AK165" i="17" s="1"/>
  <c r="AO165" i="17"/>
  <c r="AU165" i="17"/>
  <c r="AZ165" i="17"/>
  <c r="BB165" i="17"/>
  <c r="BE165" i="17"/>
  <c r="BH165" i="17"/>
  <c r="BK165" i="17"/>
  <c r="BN165" i="17"/>
  <c r="BR165" i="17"/>
  <c r="CB165" i="17"/>
  <c r="CF165" i="17"/>
  <c r="CH165" i="17"/>
  <c r="CL165" i="17"/>
  <c r="CN165" i="17"/>
  <c r="CU165" i="17"/>
  <c r="DF165" i="17"/>
  <c r="DK165" i="17"/>
  <c r="DN165" i="17"/>
  <c r="DP165" i="17"/>
  <c r="DR165" i="17"/>
  <c r="DT165" i="17"/>
  <c r="AD165" i="17"/>
  <c r="AG165" i="17"/>
  <c r="AJ165" i="17"/>
  <c r="AL165" i="17"/>
  <c r="AW165" i="17"/>
  <c r="BC165" i="17"/>
  <c r="BM165" i="17"/>
  <c r="BQ165" i="17"/>
  <c r="BU165" i="17"/>
  <c r="CC165" i="17"/>
  <c r="CK165" i="17"/>
  <c r="CO165" i="17"/>
  <c r="DA165" i="17"/>
  <c r="DD165" i="17"/>
  <c r="DH165" i="17"/>
  <c r="DJ165" i="17"/>
  <c r="DO165" i="17"/>
  <c r="DV165" i="17"/>
  <c r="AE165" i="17"/>
  <c r="AR165" i="17"/>
  <c r="AV165" i="17"/>
  <c r="AX165" i="17"/>
  <c r="BG165" i="17"/>
  <c r="BL165" i="17"/>
  <c r="BP165" i="17"/>
  <c r="BW165" i="17"/>
  <c r="BY165" i="17"/>
  <c r="CE165" i="17"/>
  <c r="CG165" i="17"/>
  <c r="CQ165" i="17"/>
  <c r="CV165" i="17"/>
  <c r="CY165" i="17"/>
  <c r="DB165" i="17"/>
  <c r="DE165" i="17"/>
  <c r="DG165" i="17"/>
  <c r="DM165" i="17"/>
  <c r="DQ165" i="17"/>
  <c r="DW165" i="17"/>
  <c r="AI165" i="17"/>
  <c r="AN165" i="17"/>
  <c r="BF165" i="17"/>
  <c r="BI165" i="17"/>
  <c r="BS165" i="17"/>
  <c r="BV165" i="17"/>
  <c r="BZ165" i="17"/>
  <c r="CD165" i="17"/>
  <c r="CM165" i="17"/>
  <c r="CR165" i="17"/>
  <c r="CX165" i="17"/>
  <c r="DI165" i="17"/>
  <c r="DL165" i="17"/>
  <c r="DS165" i="17"/>
  <c r="AB165" i="17"/>
  <c r="AH165" i="17"/>
  <c r="AM165" i="17"/>
  <c r="AS165" i="17"/>
  <c r="AY165" i="17"/>
  <c r="BA165" i="17"/>
  <c r="BD165" i="17"/>
  <c r="BJ165" i="17"/>
  <c r="BD253" i="17"/>
  <c r="BG253" i="17"/>
  <c r="BH253" i="17"/>
  <c r="BI253" i="17"/>
  <c r="BJ253" i="17"/>
  <c r="BK253" i="17"/>
  <c r="BL253" i="17"/>
  <c r="BM253" i="17"/>
  <c r="AU253" i="17"/>
  <c r="AV253" i="17"/>
  <c r="AW253" i="17"/>
  <c r="AX253" i="17"/>
  <c r="AY253" i="17"/>
  <c r="AZ253" i="17"/>
  <c r="BA253" i="17"/>
  <c r="BB253" i="17"/>
  <c r="BC253" i="17"/>
  <c r="BN253" i="17"/>
  <c r="BE253" i="17"/>
  <c r="BF253" i="17"/>
  <c r="BX124" i="17"/>
  <c r="BY124" i="17"/>
  <c r="AG124" i="17"/>
  <c r="BJ124" i="17"/>
  <c r="BK124" i="17"/>
  <c r="BL124" i="17"/>
  <c r="BM124" i="17"/>
  <c r="BZ124" i="17"/>
  <c r="BN124" i="17"/>
  <c r="BO124" i="17"/>
  <c r="BP124" i="17"/>
  <c r="BQ124" i="17"/>
  <c r="DC124" i="17"/>
  <c r="DB124" i="17"/>
  <c r="DA124" i="17"/>
  <c r="CZ124" i="17"/>
  <c r="CY124" i="17"/>
  <c r="CJ124" i="17"/>
  <c r="CH124" i="17"/>
  <c r="CG124" i="17"/>
  <c r="CF124" i="17"/>
  <c r="CE124" i="17"/>
  <c r="CD124" i="17"/>
  <c r="CC124" i="17"/>
  <c r="CB124" i="17"/>
  <c r="CA124" i="17"/>
  <c r="BR124" i="17"/>
  <c r="BS124" i="17"/>
  <c r="BT124" i="17"/>
  <c r="BU124" i="17"/>
  <c r="BV124" i="17"/>
  <c r="BW124" i="17"/>
  <c r="DD124" i="17"/>
  <c r="DE124" i="17"/>
  <c r="DF124" i="17"/>
  <c r="DG124" i="17"/>
  <c r="DH124" i="17"/>
  <c r="DI124" i="17"/>
  <c r="DJ124" i="17"/>
  <c r="DK124" i="17"/>
  <c r="DL124" i="17"/>
  <c r="DM124" i="17"/>
  <c r="DN124" i="17"/>
  <c r="DO124" i="17"/>
  <c r="DP124" i="17"/>
  <c r="DQ124" i="17"/>
  <c r="DR124" i="17"/>
  <c r="DS124" i="17"/>
  <c r="DT124" i="17"/>
  <c r="DU124" i="17"/>
  <c r="DV124" i="17"/>
  <c r="DW124" i="17"/>
  <c r="BA205" i="17"/>
  <c r="BG205" i="17"/>
  <c r="BL205" i="17"/>
  <c r="AU205" i="17"/>
  <c r="BD205" i="17"/>
  <c r="BI205" i="17"/>
  <c r="BN205" i="17"/>
  <c r="AX205" i="17"/>
  <c r="BC205" i="17"/>
  <c r="BH205" i="17"/>
  <c r="BM205" i="17"/>
  <c r="AV205" i="17"/>
  <c r="AZ205" i="17"/>
  <c r="BE205" i="17"/>
  <c r="BJ205" i="17"/>
  <c r="AY205" i="17"/>
  <c r="BB205" i="17"/>
  <c r="BF205" i="17"/>
  <c r="BK205" i="17"/>
  <c r="AW205" i="17"/>
  <c r="CE101" i="17"/>
  <c r="CH101" i="17"/>
  <c r="DJ101" i="17"/>
  <c r="DT101" i="17"/>
  <c r="BU101" i="17"/>
  <c r="BX101" i="17"/>
  <c r="DO101" i="17"/>
  <c r="CA101" i="17"/>
  <c r="CF101" i="17"/>
  <c r="CJ101" i="17"/>
  <c r="DN101" i="17"/>
  <c r="DQ101" i="17"/>
  <c r="CD101" i="17"/>
  <c r="DM101" i="17"/>
  <c r="CC101" i="17"/>
  <c r="DK101" i="17"/>
  <c r="DS101" i="17"/>
  <c r="AG101" i="17"/>
  <c r="BZ101" i="17"/>
  <c r="CG101" i="17"/>
  <c r="DP101" i="17"/>
  <c r="DU101" i="17"/>
  <c r="BT101" i="17"/>
  <c r="DI101" i="17"/>
  <c r="DL101" i="17"/>
  <c r="BW101" i="17"/>
  <c r="DV101" i="17"/>
  <c r="DR101" i="17"/>
  <c r="DW101" i="17"/>
  <c r="BV101" i="17"/>
  <c r="BY101" i="17"/>
  <c r="CB101" i="17"/>
  <c r="BB245" i="17"/>
  <c r="BA245" i="17"/>
  <c r="AZ245" i="17"/>
  <c r="AY245" i="17"/>
  <c r="AX245" i="17"/>
  <c r="AW245" i="17"/>
  <c r="AU245" i="17"/>
  <c r="BI245" i="17"/>
  <c r="BH245" i="17"/>
  <c r="BG245" i="17"/>
  <c r="BF245" i="17"/>
  <c r="BE245" i="17"/>
  <c r="BD245" i="17"/>
  <c r="BC245" i="17"/>
  <c r="AV245" i="17"/>
  <c r="AE204" i="17"/>
  <c r="AF204" i="17"/>
  <c r="AK204" i="17" s="1"/>
  <c r="AG204" i="17"/>
  <c r="AH204" i="17"/>
  <c r="AI204" i="17"/>
  <c r="AJ204" i="17"/>
  <c r="AL204" i="17"/>
  <c r="AM204" i="17"/>
  <c r="AN204" i="17"/>
  <c r="AO204" i="17"/>
  <c r="AR204" i="17"/>
  <c r="AS204" i="17"/>
  <c r="AU204" i="17"/>
  <c r="AV204" i="17"/>
  <c r="AW204" i="17"/>
  <c r="AX204" i="17"/>
  <c r="AY204" i="17"/>
  <c r="AZ204" i="17"/>
  <c r="BA204" i="17"/>
  <c r="BB204" i="17"/>
  <c r="BC204" i="17"/>
  <c r="BD204" i="17"/>
  <c r="BE204" i="17"/>
  <c r="BF204" i="17"/>
  <c r="BG204" i="17"/>
  <c r="BH204" i="17"/>
  <c r="BI204" i="17"/>
  <c r="BJ204" i="17"/>
  <c r="BK204" i="17"/>
  <c r="BL204" i="17"/>
  <c r="BM204" i="17"/>
  <c r="BN204" i="17"/>
  <c r="BO204" i="17"/>
  <c r="BP204" i="17"/>
  <c r="BQ204" i="17"/>
  <c r="BR204" i="17"/>
  <c r="BS204" i="17"/>
  <c r="BT204" i="17"/>
  <c r="BU204" i="17"/>
  <c r="BV204" i="17"/>
  <c r="BW204" i="17"/>
  <c r="BX204" i="17"/>
  <c r="BY204" i="17"/>
  <c r="BZ204" i="17"/>
  <c r="CA204" i="17"/>
  <c r="CB204" i="17"/>
  <c r="CC204" i="17"/>
  <c r="CD204" i="17"/>
  <c r="CE204" i="17"/>
  <c r="CF204" i="17"/>
  <c r="CG204" i="17"/>
  <c r="CH204" i="17"/>
  <c r="CJ204" i="17"/>
  <c r="CK204" i="17"/>
  <c r="CL204" i="17"/>
  <c r="CM204" i="17"/>
  <c r="CN204" i="17"/>
  <c r="CO204" i="17"/>
  <c r="CP204" i="17"/>
  <c r="CQ204" i="17"/>
  <c r="CR204" i="17"/>
  <c r="CS204" i="17"/>
  <c r="CT204" i="17"/>
  <c r="CU204" i="17"/>
  <c r="CV204" i="17"/>
  <c r="CW204" i="17"/>
  <c r="CX204" i="17"/>
  <c r="CY204" i="17"/>
  <c r="CZ204" i="17"/>
  <c r="DA204" i="17"/>
  <c r="DB204" i="17"/>
  <c r="DC204" i="17"/>
  <c r="DD204" i="17"/>
  <c r="DE204" i="17"/>
  <c r="DF204" i="17"/>
  <c r="DG204" i="17"/>
  <c r="DH204" i="17"/>
  <c r="DI204" i="17"/>
  <c r="DJ204" i="17"/>
  <c r="DK204" i="17"/>
  <c r="AA204" i="17"/>
  <c r="DM204" i="17"/>
  <c r="DN204" i="17"/>
  <c r="DO204" i="17"/>
  <c r="DP204" i="17"/>
  <c r="DQ204" i="17"/>
  <c r="DR204" i="17"/>
  <c r="DS204" i="17"/>
  <c r="DT204" i="17"/>
  <c r="DU204" i="17"/>
  <c r="DV204" i="17"/>
  <c r="DW204" i="17"/>
  <c r="DL204" i="17"/>
  <c r="AB204" i="17"/>
  <c r="AC204" i="17"/>
  <c r="AD204" i="17"/>
  <c r="AW202" i="17"/>
  <c r="AX202" i="17"/>
  <c r="AZ202" i="17"/>
  <c r="BC202" i="17"/>
  <c r="BF202" i="17"/>
  <c r="BH202" i="17"/>
  <c r="BJ202" i="17"/>
  <c r="BL202" i="17"/>
  <c r="BN202" i="17"/>
  <c r="BK202" i="17"/>
  <c r="BI202" i="17"/>
  <c r="AU202" i="17"/>
  <c r="BM202" i="17"/>
  <c r="AV202" i="17"/>
  <c r="AY202" i="17"/>
  <c r="BA202" i="17"/>
  <c r="BB202" i="17"/>
  <c r="BD202" i="17"/>
  <c r="BE202" i="17"/>
  <c r="BG202" i="17"/>
  <c r="AX190" i="17"/>
  <c r="BE190" i="17"/>
  <c r="AV190" i="17"/>
  <c r="BB190" i="17"/>
  <c r="AY190" i="17"/>
  <c r="BA190" i="17"/>
  <c r="BF190" i="17"/>
  <c r="AU190" i="17"/>
  <c r="BC190" i="17"/>
  <c r="BG190" i="17"/>
  <c r="BI190" i="17"/>
  <c r="AW190" i="17"/>
  <c r="AZ190" i="17"/>
  <c r="BD190" i="17"/>
  <c r="BH190" i="17"/>
  <c r="DG117" i="17"/>
  <c r="DH117" i="17"/>
  <c r="DI117" i="17"/>
  <c r="DJ117" i="17"/>
  <c r="DK117" i="17"/>
  <c r="CX117" i="17"/>
  <c r="DM117" i="17"/>
  <c r="DN117" i="17"/>
  <c r="DO117" i="17"/>
  <c r="DP117" i="17"/>
  <c r="DQ117" i="17"/>
  <c r="DR117" i="17"/>
  <c r="DS117" i="17"/>
  <c r="DT117" i="17"/>
  <c r="DU117" i="17"/>
  <c r="DV117" i="17"/>
  <c r="DW117" i="17"/>
  <c r="DL117" i="17"/>
  <c r="AW117" i="17"/>
  <c r="AX117" i="17"/>
  <c r="AY117" i="17"/>
  <c r="AZ117" i="17"/>
  <c r="BA117" i="17"/>
  <c r="BB117" i="17"/>
  <c r="BC117" i="17"/>
  <c r="BD117" i="17"/>
  <c r="BE117" i="17"/>
  <c r="BF117" i="17"/>
  <c r="BG117" i="17"/>
  <c r="BH117" i="17"/>
  <c r="BI117" i="17"/>
  <c r="BJ117" i="17"/>
  <c r="BK117" i="17"/>
  <c r="BL117" i="17"/>
  <c r="BM117" i="17"/>
  <c r="BN117" i="17"/>
  <c r="BO117" i="17"/>
  <c r="BP117" i="17"/>
  <c r="BQ117" i="17"/>
  <c r="BR117" i="17"/>
  <c r="BS117" i="17"/>
  <c r="BT117" i="17"/>
  <c r="BU117" i="17"/>
  <c r="BV117" i="17"/>
  <c r="BW117" i="17"/>
  <c r="BX117" i="17"/>
  <c r="BY117" i="17"/>
  <c r="BZ117" i="17"/>
  <c r="CA117" i="17"/>
  <c r="CB117" i="17"/>
  <c r="CC117" i="17"/>
  <c r="CD117" i="17"/>
  <c r="CE117" i="17"/>
  <c r="CF117" i="17"/>
  <c r="CG117" i="17"/>
  <c r="CH117" i="17"/>
  <c r="CJ117" i="17"/>
  <c r="CK117" i="17"/>
  <c r="CL117" i="17"/>
  <c r="CM117" i="17"/>
  <c r="CN117" i="17"/>
  <c r="CO117" i="17"/>
  <c r="CP117" i="17"/>
  <c r="CQ117" i="17"/>
  <c r="CR117" i="17"/>
  <c r="CS117" i="17"/>
  <c r="CT117" i="17"/>
  <c r="CU117" i="17"/>
  <c r="CV117" i="17"/>
  <c r="CW117" i="17"/>
  <c r="CY117" i="17"/>
  <c r="CZ117" i="17"/>
  <c r="DA117" i="17"/>
  <c r="DB117" i="17"/>
  <c r="DC117" i="17"/>
  <c r="DD117" i="17"/>
  <c r="DE117" i="17"/>
  <c r="DF117" i="17"/>
  <c r="AU252" i="17"/>
  <c r="AW252" i="17"/>
  <c r="AX252" i="17"/>
  <c r="AY252" i="17"/>
  <c r="AZ252" i="17"/>
  <c r="BA252" i="17"/>
  <c r="BB252" i="17"/>
  <c r="BD252" i="17"/>
  <c r="BE252" i="17"/>
  <c r="BF252" i="17"/>
  <c r="BG252" i="17"/>
  <c r="BI252" i="17"/>
  <c r="BJ252" i="17"/>
  <c r="BL252" i="17"/>
  <c r="BN252" i="17"/>
  <c r="AV252" i="17"/>
  <c r="BC252" i="17"/>
  <c r="BH252" i="17"/>
  <c r="BK252" i="17"/>
  <c r="BM252" i="17"/>
  <c r="AX188" i="17"/>
  <c r="BC188" i="17"/>
  <c r="BH188" i="17"/>
  <c r="BB188" i="17"/>
  <c r="BF188" i="17"/>
  <c r="AU188" i="17"/>
  <c r="AW188" i="17"/>
  <c r="BA188" i="17"/>
  <c r="BD188" i="17"/>
  <c r="AV188" i="17"/>
  <c r="AY188" i="17"/>
  <c r="BG188" i="17"/>
  <c r="BI188" i="17"/>
  <c r="AZ188" i="17"/>
  <c r="BE188" i="17"/>
  <c r="AV117" i="17"/>
  <c r="AA117" i="17"/>
  <c r="AB117" i="17"/>
  <c r="AC117" i="17"/>
  <c r="AD117" i="17"/>
  <c r="AE117" i="17"/>
  <c r="AF117" i="17"/>
  <c r="AK117" i="17" s="1"/>
  <c r="AG117" i="17"/>
  <c r="AH117" i="17"/>
  <c r="AI117" i="17"/>
  <c r="AJ117" i="17"/>
  <c r="AL117" i="17"/>
  <c r="AM117" i="17"/>
  <c r="AN117" i="17"/>
  <c r="AO117" i="17"/>
  <c r="AR117" i="17"/>
  <c r="AS117" i="17"/>
  <c r="AU117" i="17"/>
  <c r="AW76" i="17"/>
  <c r="BE76" i="17"/>
  <c r="AV76" i="17"/>
  <c r="BB76" i="17"/>
  <c r="AX76" i="17"/>
  <c r="BA76" i="17"/>
  <c r="BC76" i="17"/>
  <c r="BF76" i="17"/>
  <c r="AU76" i="17"/>
  <c r="BH76" i="17"/>
  <c r="AY76" i="17"/>
  <c r="BI76" i="17"/>
  <c r="BD76" i="17"/>
  <c r="BG76" i="17"/>
  <c r="AZ76" i="17"/>
  <c r="AW183" i="17"/>
  <c r="BC183" i="17"/>
  <c r="BE183" i="17"/>
  <c r="BH183" i="17"/>
  <c r="BL183" i="17"/>
  <c r="AU183" i="17"/>
  <c r="AY183" i="17"/>
  <c r="BB183" i="17"/>
  <c r="BF183" i="17"/>
  <c r="BK183" i="17"/>
  <c r="BM183" i="17"/>
  <c r="AV183" i="17"/>
  <c r="BA183" i="17"/>
  <c r="BD183" i="17"/>
  <c r="BI183" i="17"/>
  <c r="BN183" i="17"/>
  <c r="AX183" i="17"/>
  <c r="AZ183" i="17"/>
  <c r="BG183" i="17"/>
  <c r="BJ183" i="17"/>
  <c r="BL41" i="17"/>
  <c r="BP41" i="17"/>
  <c r="BT41" i="17"/>
  <c r="BU41" i="17"/>
  <c r="DM41" i="17"/>
  <c r="CA41" i="17"/>
  <c r="DJ41" i="17"/>
  <c r="DG41" i="17"/>
  <c r="BY41" i="17"/>
  <c r="CY41" i="17"/>
  <c r="DD41" i="17"/>
  <c r="BN41" i="17"/>
  <c r="BW41" i="17"/>
  <c r="DT41" i="17"/>
  <c r="BK41" i="17"/>
  <c r="CG41" i="17"/>
  <c r="DF41" i="17"/>
  <c r="DI41" i="17"/>
  <c r="BR41" i="17"/>
  <c r="BO41" i="17"/>
  <c r="DR41" i="17"/>
  <c r="DU41" i="17"/>
  <c r="CF41" i="17"/>
  <c r="DK41" i="17"/>
  <c r="DL41" i="17"/>
  <c r="CC41" i="17"/>
  <c r="DW41" i="17"/>
  <c r="CH41" i="17"/>
  <c r="DA41" i="17"/>
  <c r="DP41" i="17"/>
  <c r="BJ41" i="17"/>
  <c r="DV41" i="17"/>
  <c r="BM41" i="17"/>
  <c r="CE41" i="17"/>
  <c r="DN41" i="17"/>
  <c r="BZ41" i="17"/>
  <c r="CD41" i="17"/>
  <c r="BX41" i="17"/>
  <c r="AG41" i="17"/>
  <c r="CJ41" i="17"/>
  <c r="BV41" i="17"/>
  <c r="DB41" i="17"/>
  <c r="DS41" i="17"/>
  <c r="BS41" i="17"/>
  <c r="DE41" i="17"/>
  <c r="DH41" i="17"/>
  <c r="DQ41" i="17"/>
  <c r="CB41" i="17"/>
  <c r="DC41" i="17"/>
  <c r="DO41" i="17"/>
  <c r="BQ41" i="17"/>
  <c r="CZ41" i="17"/>
  <c r="AG47" i="17"/>
  <c r="AU47" i="17"/>
  <c r="AW47" i="17"/>
  <c r="BH47" i="17"/>
  <c r="BK47" i="17"/>
  <c r="BO47" i="17"/>
  <c r="BU47" i="17"/>
  <c r="BX47" i="17"/>
  <c r="CE47" i="17"/>
  <c r="CN47" i="17"/>
  <c r="CR47" i="17"/>
  <c r="CU47" i="17"/>
  <c r="DA47" i="17"/>
  <c r="DF47" i="17"/>
  <c r="AH47" i="17"/>
  <c r="AL47" i="17"/>
  <c r="AY47" i="17"/>
  <c r="BE47" i="17"/>
  <c r="BN47" i="17"/>
  <c r="CB47" i="17"/>
  <c r="DD47" i="17"/>
  <c r="DR47" i="17"/>
  <c r="CG47" i="17"/>
  <c r="CJ47" i="17"/>
  <c r="CO47" i="17"/>
  <c r="CW47" i="17"/>
  <c r="DB47" i="17"/>
  <c r="DE47" i="17"/>
  <c r="DH47" i="17"/>
  <c r="DQ47" i="17"/>
  <c r="DS47" i="17"/>
  <c r="DT47" i="17"/>
  <c r="DW47" i="17"/>
  <c r="AA47" i="17"/>
  <c r="AM47" i="17"/>
  <c r="AR47" i="17"/>
  <c r="BB47" i="17"/>
  <c r="BG47" i="17"/>
  <c r="BR47" i="17"/>
  <c r="DM47" i="17"/>
  <c r="AC47" i="17"/>
  <c r="AF47" i="17"/>
  <c r="AK47" i="17" s="1"/>
  <c r="AV47" i="17"/>
  <c r="BA47" i="17"/>
  <c r="BD47" i="17"/>
  <c r="BF47" i="17"/>
  <c r="BS47" i="17"/>
  <c r="CA47" i="17"/>
  <c r="CF47" i="17"/>
  <c r="CK47" i="17"/>
  <c r="CT47" i="17"/>
  <c r="DG47" i="17"/>
  <c r="DK47" i="17"/>
  <c r="DN47" i="17"/>
  <c r="DP47" i="17"/>
  <c r="DU47" i="17"/>
  <c r="AJ47" i="17"/>
  <c r="AO47" i="17"/>
  <c r="BJ47" i="17"/>
  <c r="BM47" i="17"/>
  <c r="BT47" i="17"/>
  <c r="CC47" i="17"/>
  <c r="CM47" i="17"/>
  <c r="CQ47" i="17"/>
  <c r="CV47" i="17"/>
  <c r="CY47" i="17"/>
  <c r="AB47" i="17"/>
  <c r="AE47" i="17"/>
  <c r="AN47" i="17"/>
  <c r="AS47" i="17"/>
  <c r="AZ47" i="17"/>
  <c r="BC47" i="17"/>
  <c r="BI47" i="17"/>
  <c r="BQ47" i="17"/>
  <c r="BV47" i="17"/>
  <c r="BZ47" i="17"/>
  <c r="CD47" i="17"/>
  <c r="CH47" i="17"/>
  <c r="CL47" i="17"/>
  <c r="CX47" i="17"/>
  <c r="CZ47" i="17"/>
  <c r="DI47" i="17"/>
  <c r="DL47" i="17"/>
  <c r="DO47" i="17"/>
  <c r="DV47" i="17"/>
  <c r="AD47" i="17"/>
  <c r="AI47" i="17"/>
  <c r="AX47" i="17"/>
  <c r="BL47" i="17"/>
  <c r="BP47" i="17"/>
  <c r="BW47" i="17"/>
  <c r="BY47" i="17"/>
  <c r="CP47" i="17"/>
  <c r="CS47" i="17"/>
  <c r="DC47" i="17"/>
  <c r="DJ47" i="17"/>
  <c r="AU250" i="17"/>
  <c r="AV250" i="17"/>
  <c r="AW250" i="17"/>
  <c r="AX250" i="17"/>
  <c r="AY250" i="17"/>
  <c r="AZ250" i="17"/>
  <c r="BA250" i="17"/>
  <c r="BB250" i="17"/>
  <c r="BC250" i="17"/>
  <c r="BD250" i="17"/>
  <c r="BE250" i="17"/>
  <c r="BF250" i="17"/>
  <c r="BG250" i="17"/>
  <c r="BH250" i="17"/>
  <c r="BI250" i="17"/>
  <c r="BJ250" i="17"/>
  <c r="BK250" i="17"/>
  <c r="BL250" i="17"/>
  <c r="BM250" i="17"/>
  <c r="BN250" i="17"/>
  <c r="AW102" i="17"/>
  <c r="BB102" i="17"/>
  <c r="BE102" i="17"/>
  <c r="BH102" i="17"/>
  <c r="AZ102" i="17"/>
  <c r="AY102" i="17"/>
  <c r="BC102" i="17"/>
  <c r="BF102" i="17"/>
  <c r="BI102" i="17"/>
  <c r="AU102" i="17"/>
  <c r="AX102" i="17"/>
  <c r="BD102" i="17"/>
  <c r="AV102" i="17"/>
  <c r="BA102" i="17"/>
  <c r="BG102" i="17"/>
  <c r="AV127" i="17"/>
  <c r="AW127" i="17"/>
  <c r="AZ127" i="17"/>
  <c r="BB127" i="17"/>
  <c r="BD127" i="17"/>
  <c r="BI127" i="17"/>
  <c r="AU127" i="17"/>
  <c r="AX127" i="17"/>
  <c r="AY127" i="17"/>
  <c r="BH127" i="17"/>
  <c r="BA127" i="17"/>
  <c r="BC127" i="17"/>
  <c r="BE127" i="17"/>
  <c r="BF127" i="17"/>
  <c r="BG127" i="17"/>
  <c r="H33" i="7"/>
  <c r="AG128" i="17"/>
  <c r="AU128" i="17"/>
  <c r="AV128" i="17"/>
  <c r="AW128" i="17"/>
  <c r="AX128" i="17"/>
  <c r="AY128" i="17"/>
  <c r="AZ128" i="17"/>
  <c r="BA128" i="17"/>
  <c r="BB128" i="17"/>
  <c r="BC128" i="17"/>
  <c r="BD128" i="17"/>
  <c r="BE128" i="17"/>
  <c r="BF128" i="17"/>
  <c r="BG128" i="17"/>
  <c r="BH128" i="17"/>
  <c r="BI128" i="17"/>
  <c r="BJ128" i="17"/>
  <c r="BK128" i="17"/>
  <c r="BL128" i="17"/>
  <c r="BM128" i="17"/>
  <c r="BN128" i="17"/>
  <c r="BO128" i="17"/>
  <c r="BP128" i="17"/>
  <c r="BQ128" i="17"/>
  <c r="BR128" i="17"/>
  <c r="BS128" i="17"/>
  <c r="BT128" i="17"/>
  <c r="BU128" i="17"/>
  <c r="BV128" i="17"/>
  <c r="BW128" i="17"/>
  <c r="BX128" i="17"/>
  <c r="BY128" i="17"/>
  <c r="BZ128" i="17"/>
  <c r="CA128" i="17"/>
  <c r="CB128" i="17"/>
  <c r="CC128" i="17"/>
  <c r="CD128" i="17"/>
  <c r="CE128" i="17"/>
  <c r="CF128" i="17"/>
  <c r="CG128" i="17"/>
  <c r="CH128" i="17"/>
  <c r="CJ128" i="17"/>
  <c r="CY128" i="17"/>
  <c r="CZ128" i="17"/>
  <c r="DA128" i="17"/>
  <c r="DB128" i="17"/>
  <c r="DC128" i="17"/>
  <c r="DD128" i="17"/>
  <c r="DE128" i="17"/>
  <c r="DF128" i="17"/>
  <c r="DG128" i="17"/>
  <c r="DH128" i="17"/>
  <c r="DI128" i="17"/>
  <c r="DJ128" i="17"/>
  <c r="DK128" i="17"/>
  <c r="DL128" i="17"/>
  <c r="DM128" i="17"/>
  <c r="DN128" i="17"/>
  <c r="DO128" i="17"/>
  <c r="DP128" i="17"/>
  <c r="DQ128" i="17"/>
  <c r="DR128" i="17"/>
  <c r="DS128" i="17"/>
  <c r="DT128" i="17"/>
  <c r="DU128" i="17"/>
  <c r="DV128" i="17"/>
  <c r="DW128" i="17"/>
  <c r="AG111" i="17"/>
  <c r="DM111" i="17"/>
  <c r="BU111" i="17"/>
  <c r="BT111" i="17"/>
  <c r="BV111" i="17"/>
  <c r="BW111" i="17"/>
  <c r="BX111" i="17"/>
  <c r="BY111" i="17"/>
  <c r="BZ111" i="17"/>
  <c r="CA111" i="17"/>
  <c r="CB111" i="17"/>
  <c r="CC111" i="17"/>
  <c r="CD111" i="17"/>
  <c r="CE111" i="17"/>
  <c r="CF111" i="17"/>
  <c r="CG111" i="17"/>
  <c r="CH111" i="17"/>
  <c r="CJ111" i="17"/>
  <c r="DI111" i="17"/>
  <c r="DJ111" i="17"/>
  <c r="DK111" i="17"/>
  <c r="DL111" i="17"/>
  <c r="DN111" i="17"/>
  <c r="DO111" i="17"/>
  <c r="DP111" i="17"/>
  <c r="DQ111" i="17"/>
  <c r="DR111" i="17"/>
  <c r="DS111" i="17"/>
  <c r="DT111" i="17"/>
  <c r="DU111" i="17"/>
  <c r="DV111" i="17"/>
  <c r="DW111" i="17"/>
  <c r="CJ123" i="17"/>
  <c r="CT123" i="17"/>
  <c r="CU123" i="17"/>
  <c r="CV123" i="17"/>
  <c r="CW123" i="17"/>
  <c r="CX123" i="17"/>
  <c r="CY123" i="17"/>
  <c r="CZ123" i="17"/>
  <c r="BW123" i="17"/>
  <c r="DB123" i="17"/>
  <c r="DC123" i="17"/>
  <c r="DD123" i="17"/>
  <c r="DE123" i="17"/>
  <c r="DF123" i="17"/>
  <c r="DG123" i="17"/>
  <c r="DH123" i="17"/>
  <c r="BM123" i="17"/>
  <c r="DA123" i="17"/>
  <c r="AG123" i="17"/>
  <c r="BE123" i="17"/>
  <c r="BF123" i="17"/>
  <c r="BG123" i="17"/>
  <c r="BH123" i="17"/>
  <c r="BI123" i="17"/>
  <c r="BJ123" i="17"/>
  <c r="BK123" i="17"/>
  <c r="BL123" i="17"/>
  <c r="BN123" i="17"/>
  <c r="BO123" i="17"/>
  <c r="BP123" i="17"/>
  <c r="BQ123" i="17"/>
  <c r="BR123" i="17"/>
  <c r="BS123" i="17"/>
  <c r="BT123" i="17"/>
  <c r="BU123" i="17"/>
  <c r="BV123" i="17"/>
  <c r="CG123" i="17"/>
  <c r="BX123" i="17"/>
  <c r="BY123" i="17"/>
  <c r="BZ123" i="17"/>
  <c r="CA123" i="17"/>
  <c r="CB123" i="17"/>
  <c r="CC123" i="17"/>
  <c r="CD123" i="17"/>
  <c r="CE123" i="17"/>
  <c r="CF123" i="17"/>
  <c r="CH123" i="17"/>
  <c r="DI123" i="17"/>
  <c r="DJ123" i="17"/>
  <c r="DK123" i="17"/>
  <c r="DL123" i="17"/>
  <c r="DM123" i="17"/>
  <c r="DN123" i="17"/>
  <c r="DO123" i="17"/>
  <c r="DP123" i="17"/>
  <c r="DQ123" i="17"/>
  <c r="DR123" i="17"/>
  <c r="DS123" i="17"/>
  <c r="DT123" i="17"/>
  <c r="DU123" i="17"/>
  <c r="DV123" i="17"/>
  <c r="DW123" i="17"/>
  <c r="BP238" i="17"/>
  <c r="BS238" i="17"/>
  <c r="BV238" i="17"/>
  <c r="BX238" i="17"/>
  <c r="CA238" i="17"/>
  <c r="CD238" i="17"/>
  <c r="CG238" i="17"/>
  <c r="CH238" i="17"/>
  <c r="DE238" i="17"/>
  <c r="DH238" i="17"/>
  <c r="DK238" i="17"/>
  <c r="DN238" i="17"/>
  <c r="DQ238" i="17"/>
  <c r="DT238" i="17"/>
  <c r="DW238" i="17"/>
  <c r="AG238" i="17"/>
  <c r="BO238" i="17"/>
  <c r="BQ238" i="17"/>
  <c r="BR238" i="17"/>
  <c r="BT238" i="17"/>
  <c r="BU238" i="17"/>
  <c r="BW238" i="17"/>
  <c r="BY238" i="17"/>
  <c r="BZ238" i="17"/>
  <c r="CB238" i="17"/>
  <c r="CC238" i="17"/>
  <c r="CE238" i="17"/>
  <c r="CF238" i="17"/>
  <c r="CJ238" i="17"/>
  <c r="DD238" i="17"/>
  <c r="DF238" i="17"/>
  <c r="DG238" i="17"/>
  <c r="DI238" i="17"/>
  <c r="DJ238" i="17"/>
  <c r="DL238" i="17"/>
  <c r="DM238" i="17"/>
  <c r="DO238" i="17"/>
  <c r="DP238" i="17"/>
  <c r="DR238" i="17"/>
  <c r="DS238" i="17"/>
  <c r="DU238" i="17"/>
  <c r="DV238" i="17"/>
  <c r="DV221" i="17"/>
  <c r="DW221" i="17"/>
  <c r="DK221" i="17"/>
  <c r="BP221" i="17"/>
  <c r="BY221" i="17"/>
  <c r="CA221" i="17"/>
  <c r="CC221" i="17"/>
  <c r="CE221" i="17"/>
  <c r="CG221" i="17"/>
  <c r="CH221" i="17"/>
  <c r="CJ221" i="17"/>
  <c r="CY221" i="17"/>
  <c r="CZ221" i="17"/>
  <c r="DA221" i="17"/>
  <c r="DB221" i="17"/>
  <c r="DC221" i="17"/>
  <c r="DD221" i="17"/>
  <c r="DE221" i="17"/>
  <c r="DG221" i="17"/>
  <c r="DH221" i="17"/>
  <c r="DJ221" i="17"/>
  <c r="DM221" i="17"/>
  <c r="DO221" i="17"/>
  <c r="DQ221" i="17"/>
  <c r="DS221" i="17"/>
  <c r="AG221" i="17"/>
  <c r="BJ221" i="17"/>
  <c r="BK221" i="17"/>
  <c r="BL221" i="17"/>
  <c r="BM221" i="17"/>
  <c r="BN221" i="17"/>
  <c r="BO221" i="17"/>
  <c r="BQ221" i="17"/>
  <c r="BR221" i="17"/>
  <c r="BS221" i="17"/>
  <c r="BT221" i="17"/>
  <c r="BU221" i="17"/>
  <c r="BV221" i="17"/>
  <c r="BW221" i="17"/>
  <c r="BX221" i="17"/>
  <c r="BZ221" i="17"/>
  <c r="CB221" i="17"/>
  <c r="CD221" i="17"/>
  <c r="CF221" i="17"/>
  <c r="DF221" i="17"/>
  <c r="DI221" i="17"/>
  <c r="DU221" i="17"/>
  <c r="DL221" i="17"/>
  <c r="DN221" i="17"/>
  <c r="DP221" i="17"/>
  <c r="DR221" i="17"/>
  <c r="DT221" i="17"/>
  <c r="DE110" i="17"/>
  <c r="DF110" i="17"/>
  <c r="DG110" i="17"/>
  <c r="DI110" i="17"/>
  <c r="DJ110" i="17"/>
  <c r="DK110" i="17"/>
  <c r="DL110" i="17"/>
  <c r="DM110" i="17"/>
  <c r="DN110" i="17"/>
  <c r="DO110" i="17"/>
  <c r="DP110" i="17"/>
  <c r="DQ110" i="17"/>
  <c r="DR110" i="17"/>
  <c r="DS110" i="17"/>
  <c r="DT110" i="17"/>
  <c r="DU110" i="17"/>
  <c r="DV110" i="17"/>
  <c r="DW110" i="17"/>
  <c r="AG110" i="17"/>
  <c r="AU110" i="17"/>
  <c r="DH110" i="17"/>
  <c r="AW110" i="17"/>
  <c r="AX110" i="17"/>
  <c r="AY110" i="17"/>
  <c r="AZ110" i="17"/>
  <c r="BA110" i="17"/>
  <c r="BB110" i="17"/>
  <c r="BC110" i="17"/>
  <c r="BD110" i="17"/>
  <c r="BE110" i="17"/>
  <c r="BF110" i="17"/>
  <c r="BG110" i="17"/>
  <c r="BH110" i="17"/>
  <c r="BI110" i="17"/>
  <c r="BJ110" i="17"/>
  <c r="BK110" i="17"/>
  <c r="BL110" i="17"/>
  <c r="BM110" i="17"/>
  <c r="AV110" i="17"/>
  <c r="BN110" i="17"/>
  <c r="BO110" i="17"/>
  <c r="BP110" i="17"/>
  <c r="BQ110" i="17"/>
  <c r="BR110" i="17"/>
  <c r="BS110" i="17"/>
  <c r="BT110" i="17"/>
  <c r="BU110" i="17"/>
  <c r="BV110" i="17"/>
  <c r="BW110" i="17"/>
  <c r="BX110" i="17"/>
  <c r="BY110" i="17"/>
  <c r="BZ110" i="17"/>
  <c r="CA110" i="17"/>
  <c r="CB110" i="17"/>
  <c r="CC110" i="17"/>
  <c r="CD110" i="17"/>
  <c r="CE110" i="17"/>
  <c r="CF110" i="17"/>
  <c r="CG110" i="17"/>
  <c r="CH110" i="17"/>
  <c r="CJ110" i="17"/>
  <c r="DD110" i="17"/>
  <c r="CJ196" i="17"/>
  <c r="CA196" i="17"/>
  <c r="CC196" i="17"/>
  <c r="CD196" i="17"/>
  <c r="CF196" i="17"/>
  <c r="CG196" i="17"/>
  <c r="DG196" i="17"/>
  <c r="DL196" i="17"/>
  <c r="DQ196" i="17"/>
  <c r="DU196" i="17"/>
  <c r="DI196" i="17"/>
  <c r="DD196" i="17"/>
  <c r="DF196" i="17"/>
  <c r="DJ196" i="17"/>
  <c r="DM196" i="17"/>
  <c r="DO196" i="17"/>
  <c r="DR196" i="17"/>
  <c r="DT196" i="17"/>
  <c r="DV196" i="17"/>
  <c r="BO196" i="17"/>
  <c r="BQ196" i="17"/>
  <c r="BS196" i="17"/>
  <c r="BT196" i="17"/>
  <c r="BV196" i="17"/>
  <c r="BW196" i="17"/>
  <c r="BZ196" i="17"/>
  <c r="CE196" i="17"/>
  <c r="CH196" i="17"/>
  <c r="DE196" i="17"/>
  <c r="BU196" i="17"/>
  <c r="DH196" i="17"/>
  <c r="DK196" i="17"/>
  <c r="DN196" i="17"/>
  <c r="DP196" i="17"/>
  <c r="DS196" i="17"/>
  <c r="DW196" i="17"/>
  <c r="AG196" i="17"/>
  <c r="BP196" i="17"/>
  <c r="BR196" i="17"/>
  <c r="CB196" i="17"/>
  <c r="BX196" i="17"/>
  <c r="BY196" i="17"/>
  <c r="BF233" i="17"/>
  <c r="AY233" i="17"/>
  <c r="AZ233" i="17"/>
  <c r="BA233" i="17"/>
  <c r="BB233" i="17"/>
  <c r="BC233" i="17"/>
  <c r="BD233" i="17"/>
  <c r="BE233" i="17"/>
  <c r="AU233" i="17"/>
  <c r="AW233" i="17"/>
  <c r="AX233" i="17"/>
  <c r="BG233" i="17"/>
  <c r="BH233" i="17"/>
  <c r="BI233" i="17"/>
  <c r="AV233" i="17"/>
  <c r="BB236" i="17"/>
  <c r="BC236" i="17"/>
  <c r="BD236" i="17"/>
  <c r="AY236" i="17"/>
  <c r="AU236" i="17"/>
  <c r="AW236" i="17"/>
  <c r="AX236" i="17"/>
  <c r="AV236" i="17"/>
  <c r="AZ236" i="17"/>
  <c r="BA236" i="17"/>
  <c r="AY199" i="17"/>
  <c r="BA199" i="17"/>
  <c r="BD199" i="17"/>
  <c r="BF199" i="17"/>
  <c r="BH199" i="17"/>
  <c r="BJ199" i="17"/>
  <c r="BK199" i="17"/>
  <c r="BL199" i="17"/>
  <c r="BN199" i="17"/>
  <c r="BC199" i="17"/>
  <c r="AV199" i="17"/>
  <c r="AX199" i="17"/>
  <c r="BD93" i="17"/>
  <c r="BO93" i="17"/>
  <c r="BS93" i="17"/>
  <c r="CY93" i="17"/>
  <c r="AA93" i="17"/>
  <c r="AU93" i="17"/>
  <c r="BE93" i="17"/>
  <c r="CE93" i="17"/>
  <c r="CR93" i="17"/>
  <c r="DH93" i="17"/>
  <c r="AO93" i="17"/>
  <c r="BC93" i="17"/>
  <c r="CC93" i="17"/>
  <c r="DO93" i="17"/>
  <c r="AL93" i="17"/>
  <c r="AX93" i="17"/>
  <c r="BI93" i="17"/>
  <c r="BU93" i="17"/>
  <c r="BZ93" i="17"/>
  <c r="CQ93" i="17"/>
  <c r="CZ93" i="17"/>
  <c r="DU93" i="17"/>
  <c r="AB93" i="17"/>
  <c r="AI93" i="17"/>
  <c r="CF93" i="17"/>
  <c r="CS93" i="17"/>
  <c r="CU93" i="17"/>
  <c r="DK93" i="17"/>
  <c r="DS93" i="17"/>
  <c r="AV93" i="17"/>
  <c r="BA93" i="17"/>
  <c r="BH93" i="17"/>
  <c r="CD93" i="17"/>
  <c r="CM93" i="17"/>
  <c r="CW93" i="17"/>
  <c r="DA93" i="17"/>
  <c r="DW93" i="17"/>
  <c r="BW93" i="17"/>
  <c r="CK93" i="17"/>
  <c r="CN93" i="17"/>
  <c r="DC93" i="17"/>
  <c r="DL93" i="17"/>
  <c r="DV93" i="17"/>
  <c r="AN93" i="17"/>
  <c r="BP93" i="17"/>
  <c r="CA93" i="17"/>
  <c r="DD93" i="17"/>
  <c r="DN93" i="17"/>
  <c r="AH93" i="17"/>
  <c r="AM93" i="17"/>
  <c r="AY93" i="17"/>
  <c r="BF93" i="17"/>
  <c r="CH93" i="17"/>
  <c r="CL93" i="17"/>
  <c r="CT93" i="17"/>
  <c r="DB93" i="17"/>
  <c r="DF93" i="17"/>
  <c r="DP93" i="17"/>
  <c r="AG93" i="17"/>
  <c r="BJ93" i="17"/>
  <c r="CP93" i="17"/>
  <c r="DE93" i="17"/>
  <c r="DT93" i="17"/>
  <c r="CG93" i="17"/>
  <c r="DM93" i="17"/>
  <c r="AR93" i="17"/>
  <c r="BM93" i="17"/>
  <c r="CO93" i="17"/>
  <c r="AD93" i="17"/>
  <c r="BB93" i="17"/>
  <c r="BK93" i="17"/>
  <c r="CJ93" i="17"/>
  <c r="CV93" i="17"/>
  <c r="DJ93" i="17"/>
  <c r="AF93" i="17"/>
  <c r="AK93" i="17" s="1"/>
  <c r="AW93" i="17"/>
  <c r="AZ93" i="17"/>
  <c r="BL93" i="17"/>
  <c r="BN93" i="17"/>
  <c r="BQ93" i="17"/>
  <c r="BT93" i="17"/>
  <c r="BX93" i="17"/>
  <c r="CB93" i="17"/>
  <c r="AC93" i="17"/>
  <c r="BR93" i="17"/>
  <c r="BY93" i="17"/>
  <c r="DI93" i="17"/>
  <c r="DQ93" i="17"/>
  <c r="AE93" i="17"/>
  <c r="BG93" i="17"/>
  <c r="BV93" i="17"/>
  <c r="CX93" i="17"/>
  <c r="DG93" i="17"/>
  <c r="DR93" i="17"/>
  <c r="AJ93" i="17"/>
  <c r="AS93" i="17"/>
  <c r="BG97" i="17"/>
  <c r="BL97" i="17"/>
  <c r="AV97" i="17"/>
  <c r="BK97" i="17"/>
  <c r="BB97" i="17"/>
  <c r="AZ97" i="17"/>
  <c r="BH97" i="17"/>
  <c r="AY97" i="17"/>
  <c r="BC97" i="17"/>
  <c r="BJ97" i="17"/>
  <c r="BD97" i="17"/>
  <c r="AU97" i="17"/>
  <c r="AX97" i="17"/>
  <c r="AW97" i="17"/>
  <c r="BN97" i="17"/>
  <c r="BF97" i="17"/>
  <c r="BM97" i="17"/>
  <c r="BA97" i="17"/>
  <c r="BI97" i="17"/>
  <c r="BE97" i="17"/>
  <c r="H35" i="7"/>
  <c r="H34" i="7"/>
  <c r="H32" i="7"/>
  <c r="DJ116" i="17"/>
  <c r="BZ116" i="17"/>
  <c r="BW116" i="17"/>
  <c r="BT116" i="17"/>
  <c r="CK116" i="17"/>
  <c r="CW116" i="17"/>
  <c r="CY116" i="17"/>
  <c r="DD116" i="17"/>
  <c r="DI116" i="17"/>
  <c r="DK116" i="17"/>
  <c r="DN116" i="17"/>
  <c r="DP116" i="17"/>
  <c r="DR116" i="17"/>
  <c r="DT116" i="17"/>
  <c r="AC116" i="17"/>
  <c r="AI116" i="17"/>
  <c r="AW116" i="17"/>
  <c r="BD116" i="17"/>
  <c r="BH116" i="17"/>
  <c r="DC116" i="17"/>
  <c r="BL116" i="17"/>
  <c r="BN116" i="17"/>
  <c r="BP116" i="17"/>
  <c r="AG116" i="17"/>
  <c r="AV116" i="17"/>
  <c r="BB116" i="17"/>
  <c r="BF116" i="17"/>
  <c r="BJ116" i="17"/>
  <c r="BR116" i="17"/>
  <c r="BU116" i="17"/>
  <c r="BY116" i="17"/>
  <c r="CE116" i="17"/>
  <c r="CJ116" i="17"/>
  <c r="CL116" i="17"/>
  <c r="CP116" i="17"/>
  <c r="CR116" i="17"/>
  <c r="CU116" i="17"/>
  <c r="DB116" i="17"/>
  <c r="BS116" i="17"/>
  <c r="DH116" i="17"/>
  <c r="CN116" i="17"/>
  <c r="BX116" i="17"/>
  <c r="CA116" i="17"/>
  <c r="CC116" i="17"/>
  <c r="CD116" i="17"/>
  <c r="CF116" i="17"/>
  <c r="BM116" i="17"/>
  <c r="CG116" i="17"/>
  <c r="CQ116" i="17"/>
  <c r="CZ116" i="17"/>
  <c r="AB116" i="17"/>
  <c r="AE116" i="17"/>
  <c r="AH116" i="17"/>
  <c r="AJ116" i="17"/>
  <c r="AL116" i="17"/>
  <c r="BQ116" i="17"/>
  <c r="AM116" i="17"/>
  <c r="AS116" i="17"/>
  <c r="AY116" i="17"/>
  <c r="BA116" i="17"/>
  <c r="BC116" i="17"/>
  <c r="BE116" i="17"/>
  <c r="BG116" i="17"/>
  <c r="BI116" i="17"/>
  <c r="DE116" i="17"/>
  <c r="DU116" i="17"/>
  <c r="CO116" i="17"/>
  <c r="CV116" i="17"/>
  <c r="CX116" i="17"/>
  <c r="DA116" i="17"/>
  <c r="DF116" i="17"/>
  <c r="DM116" i="17"/>
  <c r="DQ116" i="17"/>
  <c r="DS116" i="17"/>
  <c r="DV116" i="17"/>
  <c r="DW116" i="17"/>
  <c r="AR116" i="17"/>
  <c r="CT116" i="17"/>
  <c r="AO116" i="17"/>
  <c r="AZ116" i="17"/>
  <c r="BK116" i="17"/>
  <c r="BV116" i="17"/>
  <c r="CB116" i="17"/>
  <c r="CM116" i="17"/>
  <c r="CS116" i="17"/>
  <c r="DG116" i="17"/>
  <c r="DL116" i="17"/>
  <c r="DO116" i="17"/>
  <c r="AA116" i="17"/>
  <c r="AD116" i="17"/>
  <c r="AF116" i="17"/>
  <c r="AK116" i="17" s="1"/>
  <c r="AN116" i="17"/>
  <c r="AU116" i="17"/>
  <c r="AX116" i="17"/>
  <c r="BO116" i="17"/>
  <c r="CH116" i="17"/>
  <c r="CG119" i="17"/>
  <c r="CY119" i="17"/>
  <c r="DC119" i="17"/>
  <c r="DH119" i="17"/>
  <c r="DK119" i="17"/>
  <c r="DO119" i="17"/>
  <c r="DQ119" i="17"/>
  <c r="BU119" i="17"/>
  <c r="AG119" i="17"/>
  <c r="BQ119" i="17"/>
  <c r="BX119" i="17"/>
  <c r="CA119" i="17"/>
  <c r="CD119" i="17"/>
  <c r="CE119" i="17"/>
  <c r="DR119" i="17"/>
  <c r="DB119" i="17"/>
  <c r="DI119" i="17"/>
  <c r="DS119" i="17"/>
  <c r="CZ119" i="17"/>
  <c r="BR119" i="17"/>
  <c r="BT119" i="17"/>
  <c r="CB119" i="17"/>
  <c r="DE119" i="17"/>
  <c r="DG119" i="17"/>
  <c r="DJ119" i="17"/>
  <c r="DN119" i="17"/>
  <c r="DU119" i="17"/>
  <c r="BK119" i="17"/>
  <c r="BN119" i="17"/>
  <c r="BL119" i="17"/>
  <c r="CF119" i="17"/>
  <c r="BO119" i="17"/>
  <c r="CC119" i="17"/>
  <c r="CJ119" i="17"/>
  <c r="DA119" i="17"/>
  <c r="DF119" i="17"/>
  <c r="DM119" i="17"/>
  <c r="DP119" i="17"/>
  <c r="DT119" i="17"/>
  <c r="DV119" i="17"/>
  <c r="DD119" i="17"/>
  <c r="DL119" i="17"/>
  <c r="DW119" i="17"/>
  <c r="CH119" i="17"/>
  <c r="BJ119" i="17"/>
  <c r="BM119" i="17"/>
  <c r="BP119" i="17"/>
  <c r="BS119" i="17"/>
  <c r="BV119" i="17"/>
  <c r="BW119" i="17"/>
  <c r="BY119" i="17"/>
  <c r="BZ119" i="17"/>
  <c r="BI199" i="17"/>
  <c r="AU199" i="17"/>
  <c r="BB199" i="17"/>
  <c r="BE199" i="17"/>
  <c r="BM199" i="17"/>
  <c r="AW199" i="17"/>
  <c r="BG199" i="17"/>
  <c r="AZ199" i="17"/>
  <c r="DM158" i="17"/>
  <c r="DU158" i="17"/>
  <c r="CT158" i="17"/>
  <c r="AB158" i="17"/>
  <c r="AE158" i="17"/>
  <c r="AI158" i="17"/>
  <c r="AL158" i="17"/>
  <c r="AN158" i="17"/>
  <c r="AR158" i="17"/>
  <c r="AV158" i="17"/>
  <c r="BB158" i="17"/>
  <c r="BG158" i="17"/>
  <c r="BK158" i="17"/>
  <c r="BQ158" i="17"/>
  <c r="BT158" i="17"/>
  <c r="BZ158" i="17"/>
  <c r="CD158" i="17"/>
  <c r="CL158" i="17"/>
  <c r="CO158" i="17"/>
  <c r="CR158" i="17"/>
  <c r="CU158" i="17"/>
  <c r="CY158" i="17"/>
  <c r="DA158" i="17"/>
  <c r="DH158" i="17"/>
  <c r="DJ158" i="17"/>
  <c r="DQ158" i="17"/>
  <c r="DW158" i="17"/>
  <c r="AA158" i="17"/>
  <c r="AH158" i="17"/>
  <c r="AO158" i="17"/>
  <c r="BA158" i="17"/>
  <c r="BD158" i="17"/>
  <c r="BF158" i="17"/>
  <c r="BI158" i="17"/>
  <c r="BN158" i="17"/>
  <c r="BP158" i="17"/>
  <c r="BW158" i="17"/>
  <c r="BY158" i="17"/>
  <c r="CC158" i="17"/>
  <c r="CE158" i="17"/>
  <c r="CG158" i="17"/>
  <c r="CM158" i="17"/>
  <c r="DD158" i="17"/>
  <c r="DG158" i="17"/>
  <c r="DK158" i="17"/>
  <c r="DO158" i="17"/>
  <c r="DT158" i="17"/>
  <c r="AC158" i="17"/>
  <c r="AJ158" i="17"/>
  <c r="AM158" i="17"/>
  <c r="AS158" i="17"/>
  <c r="AY158" i="17"/>
  <c r="BJ158" i="17"/>
  <c r="BO158" i="17"/>
  <c r="CA158" i="17"/>
  <c r="CF158" i="17"/>
  <c r="AD158" i="17"/>
  <c r="CJ158" i="17"/>
  <c r="CQ158" i="17"/>
  <c r="CV158" i="17"/>
  <c r="CW158" i="17"/>
  <c r="CZ158" i="17"/>
  <c r="DC158" i="17"/>
  <c r="DN158" i="17"/>
  <c r="DS158" i="17"/>
  <c r="AF158" i="17"/>
  <c r="AK158" i="17" s="1"/>
  <c r="AU158" i="17"/>
  <c r="AW158" i="17"/>
  <c r="AZ158" i="17"/>
  <c r="BH158" i="17"/>
  <c r="BL158" i="17"/>
  <c r="BR158" i="17"/>
  <c r="BV158" i="17"/>
  <c r="CB158" i="17"/>
  <c r="CK158" i="17"/>
  <c r="CN158" i="17"/>
  <c r="DB158" i="17"/>
  <c r="DF158" i="17"/>
  <c r="DL158" i="17"/>
  <c r="DP158" i="17"/>
  <c r="DR158" i="17"/>
  <c r="DV158" i="17"/>
  <c r="AG158" i="17"/>
  <c r="AX158" i="17"/>
  <c r="BC158" i="17"/>
  <c r="BE158" i="17"/>
  <c r="BM158" i="17"/>
  <c r="BS158" i="17"/>
  <c r="BU158" i="17"/>
  <c r="BX158" i="17"/>
  <c r="CH158" i="17"/>
  <c r="CP158" i="17"/>
  <c r="CS158" i="17"/>
  <c r="CX158" i="17"/>
  <c r="DE158" i="17"/>
  <c r="DI158" i="17"/>
  <c r="BI141" i="17"/>
  <c r="BZ141" i="17"/>
  <c r="AB141" i="17"/>
  <c r="AF141" i="17"/>
  <c r="AK141" i="17" s="1"/>
  <c r="AR141" i="17"/>
  <c r="AV141" i="17"/>
  <c r="AX141" i="17"/>
  <c r="BA141" i="17"/>
  <c r="DR141" i="17"/>
  <c r="BL141" i="17"/>
  <c r="BQ141" i="17"/>
  <c r="BU141" i="17"/>
  <c r="CD141" i="17"/>
  <c r="CN141" i="17"/>
  <c r="CT141" i="17"/>
  <c r="DJ141" i="17"/>
  <c r="CS141" i="17"/>
  <c r="DU141" i="17"/>
  <c r="AE141" i="17"/>
  <c r="BH141" i="17"/>
  <c r="BN141" i="17"/>
  <c r="BT141" i="17"/>
  <c r="CA141" i="17"/>
  <c r="CF141" i="17"/>
  <c r="CJ141" i="17"/>
  <c r="CL141" i="17"/>
  <c r="CR141" i="17"/>
  <c r="DA141" i="17"/>
  <c r="DF141" i="17"/>
  <c r="DN141" i="17"/>
  <c r="DT141" i="17"/>
  <c r="AJ141" i="17"/>
  <c r="BB141" i="17"/>
  <c r="BJ141" i="17"/>
  <c r="BP141" i="17"/>
  <c r="BW141" i="17"/>
  <c r="BY141" i="17"/>
  <c r="CE141" i="17"/>
  <c r="CH141" i="17"/>
  <c r="CO141" i="17"/>
  <c r="CY141" i="17"/>
  <c r="DD141" i="17"/>
  <c r="DO141" i="17"/>
  <c r="AI141" i="17"/>
  <c r="AM141" i="17"/>
  <c r="AO141" i="17"/>
  <c r="AS141" i="17"/>
  <c r="AW141" i="17"/>
  <c r="BE141" i="17"/>
  <c r="BO141" i="17"/>
  <c r="DB141" i="17"/>
  <c r="DH141" i="17"/>
  <c r="DL141" i="17"/>
  <c r="DP141" i="17"/>
  <c r="DW141" i="17"/>
  <c r="AD141" i="17"/>
  <c r="AU141" i="17"/>
  <c r="BC141" i="17"/>
  <c r="BG141" i="17"/>
  <c r="BM141" i="17"/>
  <c r="BV141" i="17"/>
  <c r="BX141" i="17"/>
  <c r="CO136" i="17"/>
  <c r="DO136" i="17"/>
  <c r="DV136" i="17"/>
  <c r="AB136" i="17"/>
  <c r="AC136" i="17"/>
  <c r="AE136" i="17"/>
  <c r="AM136" i="17"/>
  <c r="AX136" i="17"/>
  <c r="BI136" i="17"/>
  <c r="BM136" i="17"/>
  <c r="BV136" i="17"/>
  <c r="BY136" i="17"/>
  <c r="CN136" i="17"/>
  <c r="CR136" i="17"/>
  <c r="CZ136" i="17"/>
  <c r="DD136" i="17"/>
  <c r="CE136" i="17"/>
  <c r="DL136" i="17"/>
  <c r="AA136" i="17"/>
  <c r="AS136" i="17"/>
  <c r="BB136" i="17"/>
  <c r="BL136" i="17"/>
  <c r="BP136" i="17"/>
  <c r="BU136" i="17"/>
  <c r="BW136" i="17"/>
  <c r="CC136" i="17"/>
  <c r="DS136" i="17"/>
  <c r="DN136" i="17"/>
  <c r="DB136" i="17"/>
  <c r="CV136" i="17"/>
  <c r="CH136" i="17"/>
  <c r="CK136" i="17"/>
  <c r="CF136" i="17"/>
  <c r="BZ136" i="17"/>
  <c r="BQ136" i="17"/>
  <c r="BJ136" i="17"/>
  <c r="BH136" i="17"/>
  <c r="BA136" i="17"/>
  <c r="AL136" i="17"/>
  <c r="AF136" i="17"/>
  <c r="AK136" i="17" s="1"/>
  <c r="AD136" i="17"/>
  <c r="DW136" i="17"/>
  <c r="DT136" i="17"/>
  <c r="DP136" i="17"/>
  <c r="DI136" i="17"/>
  <c r="DC136" i="17"/>
  <c r="DA136" i="17"/>
  <c r="CT136" i="17"/>
  <c r="CQ136" i="17"/>
  <c r="AG136" i="17"/>
  <c r="AJ136" i="17"/>
  <c r="AN136" i="17"/>
  <c r="AY136" i="17"/>
  <c r="BE136" i="17"/>
  <c r="BG136" i="17"/>
  <c r="BK136" i="17"/>
  <c r="BR136" i="17"/>
  <c r="BT136" i="17"/>
  <c r="BX136" i="17"/>
  <c r="CG136" i="17"/>
  <c r="CM136" i="17"/>
  <c r="CW136" i="17"/>
  <c r="DQ136" i="17"/>
  <c r="DU136" i="17"/>
  <c r="AH136" i="17"/>
  <c r="AU136" i="17"/>
  <c r="AZ136" i="17"/>
  <c r="BD136" i="17"/>
  <c r="CL136" i="17"/>
  <c r="CY136" i="17"/>
  <c r="DF136" i="17"/>
  <c r="DJ136" i="17"/>
  <c r="DR136" i="17"/>
  <c r="AI136" i="17"/>
  <c r="AO136" i="17"/>
  <c r="AR136" i="17"/>
  <c r="AW136" i="17"/>
  <c r="BC136" i="17"/>
  <c r="BF136" i="17"/>
  <c r="BO136" i="17"/>
  <c r="BS136" i="17"/>
  <c r="CB136" i="17"/>
  <c r="CD136" i="17"/>
  <c r="CJ136" i="17"/>
  <c r="CP136" i="17"/>
  <c r="CS136" i="17"/>
  <c r="DE136" i="17"/>
  <c r="DG136" i="17"/>
  <c r="DK136" i="17"/>
  <c r="DM136" i="17"/>
  <c r="AV136" i="17"/>
  <c r="BN136" i="17"/>
  <c r="CA136" i="17"/>
  <c r="CU136" i="17"/>
  <c r="CX136" i="17"/>
  <c r="DH136" i="17"/>
  <c r="BD52" i="17"/>
  <c r="AV52" i="17"/>
  <c r="BB52" i="17"/>
  <c r="BF52" i="17"/>
  <c r="AZ52" i="17"/>
  <c r="BE52" i="17"/>
  <c r="BC52" i="17"/>
  <c r="BA52" i="17"/>
  <c r="AY52" i="17"/>
  <c r="BH52" i="17"/>
  <c r="BG52" i="17"/>
  <c r="AW52" i="17"/>
  <c r="BI52" i="17"/>
  <c r="AX52" i="17"/>
  <c r="AU52" i="17"/>
  <c r="BM79" i="17"/>
  <c r="BE79" i="17"/>
  <c r="AW79" i="17"/>
  <c r="BL79" i="17"/>
  <c r="BG79" i="17"/>
  <c r="BB79" i="17"/>
  <c r="AZ79" i="17"/>
  <c r="BF79" i="17"/>
  <c r="BN79" i="17"/>
  <c r="BC79" i="17"/>
  <c r="BS79" i="17"/>
  <c r="CJ46" i="17"/>
  <c r="CW46" i="17"/>
  <c r="DG46" i="17"/>
  <c r="DO46" i="17"/>
  <c r="DW46" i="17"/>
  <c r="AG46" i="17"/>
  <c r="BM46" i="17"/>
  <c r="BR46" i="17"/>
  <c r="BU46" i="17"/>
  <c r="CB46" i="17"/>
  <c r="CT46" i="17"/>
  <c r="CY46" i="17"/>
  <c r="DA46" i="17"/>
  <c r="DC46" i="17"/>
  <c r="DI46" i="17"/>
  <c r="DN46" i="17"/>
  <c r="DP46" i="17"/>
  <c r="DR46" i="17"/>
  <c r="DU46" i="17"/>
  <c r="BI46" i="17"/>
  <c r="BP46" i="17"/>
  <c r="BX46" i="17"/>
  <c r="CH46" i="17"/>
  <c r="CX46" i="17"/>
  <c r="DE46" i="17"/>
  <c r="DM46" i="17"/>
  <c r="DT46" i="17"/>
  <c r="DV46" i="17"/>
  <c r="BK46" i="17"/>
  <c r="BV46" i="17"/>
  <c r="BZ46" i="17"/>
  <c r="CD46" i="17"/>
  <c r="CU46" i="17"/>
  <c r="DB46" i="17"/>
  <c r="BH46" i="17"/>
  <c r="BT46" i="17"/>
  <c r="CG46" i="17"/>
  <c r="CV46" i="17"/>
  <c r="DF46" i="17"/>
  <c r="DL46" i="17"/>
  <c r="BE46" i="17"/>
  <c r="BO46" i="17"/>
  <c r="CC46" i="17"/>
  <c r="CF46" i="17"/>
  <c r="DD46" i="17"/>
  <c r="DH46" i="17"/>
  <c r="DJ46" i="17"/>
  <c r="DQ46" i="17"/>
  <c r="BJ46" i="17"/>
  <c r="BL46" i="17"/>
  <c r="BQ46" i="17"/>
  <c r="BS46" i="17"/>
  <c r="BW46" i="17"/>
  <c r="CE46" i="17"/>
  <c r="CZ46" i="17"/>
  <c r="DK46" i="17"/>
  <c r="DS46" i="17"/>
  <c r="BF46" i="17"/>
  <c r="BG46" i="17"/>
  <c r="BN46" i="17"/>
  <c r="BY46" i="17"/>
  <c r="CA46" i="17"/>
  <c r="AW139" i="17"/>
  <c r="BI139" i="17"/>
  <c r="AY139" i="17"/>
  <c r="BG139" i="17"/>
  <c r="AU139" i="17"/>
  <c r="BE139" i="17"/>
  <c r="BC139" i="17"/>
  <c r="BA139" i="17"/>
  <c r="BD139" i="17"/>
  <c r="AV139" i="17"/>
  <c r="BH139" i="17"/>
  <c r="BB139" i="17"/>
  <c r="BF139" i="17"/>
  <c r="AZ139" i="17"/>
  <c r="AX139" i="17"/>
  <c r="CC141" i="17"/>
  <c r="BS141" i="17"/>
  <c r="AY141" i="17"/>
  <c r="AN141" i="17"/>
  <c r="CB141" i="17"/>
  <c r="AC141" i="17"/>
  <c r="DS141" i="17"/>
  <c r="DQ141" i="17"/>
  <c r="DK141" i="17"/>
  <c r="AG141" i="17"/>
  <c r="CZ141" i="17"/>
  <c r="CP141" i="17"/>
  <c r="CV141" i="17"/>
  <c r="BR141" i="17"/>
  <c r="BK141" i="17"/>
  <c r="DI141" i="17"/>
  <c r="BF141" i="17"/>
  <c r="BD141" i="17"/>
  <c r="AZ141" i="17"/>
  <c r="AL141" i="17"/>
  <c r="AH141" i="17"/>
  <c r="AA141" i="17"/>
  <c r="DV141" i="17"/>
  <c r="DE141" i="17"/>
  <c r="DC141" i="17"/>
  <c r="CW141" i="17"/>
  <c r="CU141" i="17"/>
  <c r="CM141" i="17"/>
  <c r="DM141" i="17"/>
  <c r="DG141" i="17"/>
  <c r="CX141" i="17"/>
  <c r="CQ141" i="17"/>
  <c r="CK141" i="17"/>
  <c r="CG141" i="17"/>
  <c r="BP79" i="17"/>
  <c r="AU79" i="17"/>
  <c r="CK79" i="17" s="1"/>
  <c r="AY79" i="17"/>
  <c r="BI79" i="17"/>
  <c r="BR79" i="17"/>
  <c r="AV79" i="17"/>
  <c r="BA79" i="17"/>
  <c r="BD79" i="17"/>
  <c r="BH79" i="17"/>
  <c r="AX79" i="17"/>
  <c r="BJ79" i="17"/>
  <c r="BO79" i="17"/>
  <c r="BK79" i="17"/>
  <c r="BQ79" i="17"/>
  <c r="U13" i="17"/>
  <c r="DS161" i="17"/>
  <c r="BI161" i="17"/>
  <c r="BP161" i="17"/>
  <c r="BS161" i="17"/>
  <c r="BW161" i="17"/>
  <c r="BZ161" i="17"/>
  <c r="CC161" i="17"/>
  <c r="CJ161" i="17"/>
  <c r="CR161" i="17"/>
  <c r="CX161" i="17"/>
  <c r="DB161" i="17"/>
  <c r="DF161" i="17"/>
  <c r="DJ161" i="17"/>
  <c r="DN161" i="17"/>
  <c r="DP161" i="17"/>
  <c r="AH161" i="17"/>
  <c r="AL161" i="17"/>
  <c r="AU161" i="17"/>
  <c r="AY161" i="17"/>
  <c r="BC161" i="17"/>
  <c r="BG161" i="17"/>
  <c r="BN161" i="17"/>
  <c r="BQ161" i="17"/>
  <c r="BU161" i="17"/>
  <c r="BX161" i="17"/>
  <c r="CD161" i="17"/>
  <c r="CF161" i="17"/>
  <c r="CH161" i="17"/>
  <c r="CO161" i="17"/>
  <c r="CY161" i="17"/>
  <c r="DH161" i="17"/>
  <c r="DM161" i="17"/>
  <c r="DQ161" i="17"/>
  <c r="CA161" i="17"/>
  <c r="DW161" i="17"/>
  <c r="AA161" i="17"/>
  <c r="AD161" i="17"/>
  <c r="AG161" i="17"/>
  <c r="BB161" i="17"/>
  <c r="BH161" i="17"/>
  <c r="BJ161" i="17"/>
  <c r="BV161" i="17"/>
  <c r="CE161" i="17"/>
  <c r="CG161" i="17"/>
  <c r="CK161" i="17"/>
  <c r="CL161" i="17"/>
  <c r="CM161" i="17"/>
  <c r="CP161" i="17"/>
  <c r="CS161" i="17"/>
  <c r="CU161" i="17"/>
  <c r="CZ161" i="17"/>
  <c r="DD161" i="17"/>
  <c r="DG161" i="17"/>
  <c r="DK161" i="17"/>
  <c r="DO161" i="17"/>
  <c r="DR161" i="17"/>
  <c r="DV161" i="17"/>
  <c r="AC161" i="17"/>
  <c r="AM161" i="17"/>
  <c r="AN161" i="17"/>
  <c r="AZ161" i="17"/>
  <c r="BE161" i="17"/>
  <c r="BK161" i="17"/>
  <c r="BM161" i="17"/>
  <c r="BO161" i="17"/>
  <c r="BR161" i="17"/>
  <c r="CN161" i="17"/>
  <c r="CT161" i="17"/>
  <c r="CW161" i="17"/>
  <c r="DA161" i="17"/>
  <c r="DE161" i="17"/>
  <c r="DI161" i="17"/>
  <c r="DL161" i="17"/>
  <c r="DT161" i="17"/>
  <c r="AB161" i="17"/>
  <c r="AE161" i="17"/>
  <c r="AI161" i="17"/>
  <c r="AO161" i="17"/>
  <c r="AR161" i="17"/>
  <c r="AW161" i="17"/>
  <c r="BA161" i="17"/>
  <c r="BL161" i="17"/>
  <c r="BT161" i="17"/>
  <c r="BY161" i="17"/>
  <c r="CB161" i="17"/>
  <c r="CQ161" i="17"/>
  <c r="CV161" i="17"/>
  <c r="DC161" i="17"/>
  <c r="DU161" i="17"/>
  <c r="AF161" i="17"/>
  <c r="AK161" i="17" s="1"/>
  <c r="AJ161" i="17"/>
  <c r="AS161" i="17"/>
  <c r="AV161" i="17"/>
  <c r="AX161" i="17"/>
  <c r="BD161" i="17"/>
  <c r="BF161" i="17"/>
  <c r="BM38" i="17"/>
  <c r="BA38" i="17"/>
  <c r="BL38" i="17"/>
  <c r="BP38" i="17"/>
  <c r="BG38" i="17"/>
  <c r="BH38" i="17"/>
  <c r="AV38" i="17"/>
  <c r="BS38" i="17"/>
  <c r="BF38" i="17"/>
  <c r="BD38" i="17"/>
  <c r="AU38" i="17"/>
  <c r="BO38" i="17"/>
  <c r="BE38" i="17"/>
  <c r="BQ38" i="17"/>
  <c r="BI38" i="17"/>
  <c r="BJ38" i="17"/>
  <c r="BB38" i="17"/>
  <c r="BK38" i="17"/>
  <c r="AY38" i="17"/>
  <c r="AW38" i="17"/>
  <c r="AX38" i="17"/>
  <c r="BR38" i="17"/>
  <c r="AZ38" i="17"/>
  <c r="BN38" i="17"/>
  <c r="BC38" i="17"/>
  <c r="AU59" i="17"/>
  <c r="BA59" i="17"/>
  <c r="BE59" i="17"/>
  <c r="AY59" i="17"/>
  <c r="AX59" i="17"/>
  <c r="BI59" i="17"/>
  <c r="BG59" i="17"/>
  <c r="BD59" i="17"/>
  <c r="AW59" i="17"/>
  <c r="BC59" i="17"/>
  <c r="BF59" i="17"/>
  <c r="BB59" i="17"/>
  <c r="BH59" i="17"/>
  <c r="AV59" i="17"/>
  <c r="AZ59" i="17"/>
  <c r="AV221" i="17"/>
  <c r="AW221" i="17"/>
  <c r="AX221" i="17"/>
  <c r="AY221" i="17"/>
  <c r="AZ221" i="17"/>
  <c r="BA221" i="17"/>
  <c r="BB221" i="17"/>
  <c r="BC221" i="17"/>
  <c r="BD221" i="17"/>
  <c r="AU221" i="17"/>
  <c r="BI221" i="17"/>
  <c r="BH221" i="17"/>
  <c r="BG221" i="17"/>
  <c r="BF221" i="17"/>
  <c r="BE221" i="17"/>
  <c r="BK68" i="17"/>
  <c r="BY68" i="17"/>
  <c r="CO68" i="17"/>
  <c r="CV68" i="17"/>
  <c r="DP68" i="17"/>
  <c r="AM68" i="17"/>
  <c r="AU68" i="17"/>
  <c r="BD68" i="17"/>
  <c r="BO68" i="17"/>
  <c r="CC68" i="17"/>
  <c r="AE68" i="17"/>
  <c r="CQ68" i="17"/>
  <c r="AO68" i="17"/>
  <c r="CY68" i="17"/>
  <c r="AJ68" i="17"/>
  <c r="BG68" i="17"/>
  <c r="BX68" i="17"/>
  <c r="CJ68" i="17"/>
  <c r="DM68" i="17"/>
  <c r="AB68" i="17"/>
  <c r="BE68" i="17"/>
  <c r="BS68" i="17"/>
  <c r="CM68" i="17"/>
  <c r="CX68" i="17"/>
  <c r="DE68" i="17"/>
  <c r="DL68" i="17"/>
  <c r="DV68" i="17"/>
  <c r="AR68" i="17"/>
  <c r="BH68" i="17"/>
  <c r="CA68" i="17"/>
  <c r="CS68" i="17"/>
  <c r="DK68" i="17"/>
  <c r="AI68" i="17"/>
  <c r="AY68" i="17"/>
  <c r="BL68" i="17"/>
  <c r="BU68" i="17"/>
  <c r="CG68" i="17"/>
  <c r="CW68" i="17"/>
  <c r="DF68" i="17"/>
  <c r="DO68" i="17"/>
  <c r="AL68" i="17"/>
  <c r="BJ68" i="17"/>
  <c r="BP68" i="17"/>
  <c r="BZ68" i="17"/>
  <c r="CF68" i="17"/>
  <c r="CK68" i="17"/>
  <c r="CP68" i="17"/>
  <c r="CT68" i="17"/>
  <c r="DB68" i="17"/>
  <c r="DR68" i="17"/>
  <c r="DW68" i="17"/>
  <c r="AW68" i="17"/>
  <c r="BF68" i="17"/>
  <c r="BT68" i="17"/>
  <c r="CD68" i="17"/>
  <c r="CN68" i="17"/>
  <c r="DD68" i="17"/>
  <c r="AH68" i="17"/>
  <c r="BC68" i="17"/>
  <c r="BR68" i="17"/>
  <c r="CE68" i="17"/>
  <c r="DA68" i="17"/>
  <c r="DH68" i="17"/>
  <c r="DS68" i="17"/>
  <c r="BB68" i="17"/>
  <c r="DJ68" i="17"/>
  <c r="AD68" i="17"/>
  <c r="AG68" i="17"/>
  <c r="AN68" i="17"/>
  <c r="DG68" i="17"/>
  <c r="BV68" i="17"/>
  <c r="BA68" i="17"/>
  <c r="AC68" i="17"/>
  <c r="DT68" i="17"/>
  <c r="DI68" i="17"/>
  <c r="CU68" i="17"/>
  <c r="CB68" i="17"/>
  <c r="BM68" i="17"/>
  <c r="AS68" i="17"/>
  <c r="DU68" i="17"/>
  <c r="CL68" i="17"/>
  <c r="BQ68" i="17"/>
  <c r="AZ68" i="17"/>
  <c r="BN68" i="17"/>
  <c r="AX68" i="17"/>
  <c r="AF68" i="17"/>
  <c r="AK68" i="17" s="1"/>
  <c r="AA68" i="17"/>
  <c r="DQ68" i="17"/>
  <c r="DC68" i="17"/>
  <c r="CZ68" i="17"/>
  <c r="BI68" i="17"/>
  <c r="BW68" i="17"/>
  <c r="CH68" i="17"/>
  <c r="CR68" i="17"/>
  <c r="DN68" i="17"/>
  <c r="AV68" i="17"/>
  <c r="AW40" i="17"/>
  <c r="BB40" i="17"/>
  <c r="AZ40" i="17"/>
  <c r="BA40" i="17"/>
  <c r="AU40" i="17"/>
  <c r="BC40" i="17"/>
  <c r="AX40" i="17"/>
  <c r="BD40" i="17"/>
  <c r="AV40" i="17"/>
  <c r="AY40" i="17"/>
  <c r="DT31" i="17"/>
  <c r="BN31" i="17"/>
  <c r="BX31" i="17"/>
  <c r="CH31" i="17"/>
  <c r="BS31" i="17"/>
  <c r="CA31" i="17"/>
  <c r="DP31" i="17"/>
  <c r="DH31" i="17"/>
  <c r="DA31" i="17"/>
  <c r="CD31" i="17"/>
  <c r="BW31" i="17"/>
  <c r="BT31" i="17"/>
  <c r="BM31" i="17"/>
  <c r="DK31" i="17"/>
  <c r="CZ31" i="17"/>
  <c r="DG31" i="17"/>
  <c r="DC31" i="17"/>
  <c r="CB31" i="17"/>
  <c r="BU31" i="17"/>
  <c r="BQ31" i="17"/>
  <c r="DV31" i="17"/>
  <c r="BP31" i="17"/>
  <c r="DE31" i="17"/>
  <c r="DQ31" i="17"/>
  <c r="BK31" i="17"/>
  <c r="BZ31" i="17"/>
  <c r="DD31" i="17"/>
  <c r="DO31" i="17"/>
  <c r="DS31" i="17"/>
  <c r="AG31" i="17"/>
  <c r="BO31" i="17"/>
  <c r="BV31" i="17"/>
  <c r="CC31" i="17"/>
  <c r="CJ31" i="17"/>
  <c r="CY31" i="17"/>
  <c r="DB31" i="17"/>
  <c r="DJ31" i="17"/>
  <c r="DL31" i="17"/>
  <c r="DW31" i="17"/>
  <c r="BL31" i="17"/>
  <c r="CF31" i="17"/>
  <c r="DI31" i="17"/>
  <c r="DM31" i="17"/>
  <c r="DU31" i="17"/>
  <c r="BR31" i="17"/>
  <c r="BY31" i="17"/>
  <c r="CE31" i="17"/>
  <c r="CG31" i="17"/>
  <c r="DF31" i="17"/>
  <c r="DN31" i="17"/>
  <c r="DR31" i="17"/>
  <c r="BJ31" i="17"/>
  <c r="DL30" i="17"/>
  <c r="DR30" i="17"/>
  <c r="DS30" i="17"/>
  <c r="CG30" i="17"/>
  <c r="DH30" i="17"/>
  <c r="CH30" i="17"/>
  <c r="BR30" i="17"/>
  <c r="BZ30" i="17"/>
  <c r="CC30" i="17"/>
  <c r="DP30" i="17"/>
  <c r="DU30" i="17"/>
  <c r="CE30" i="17"/>
  <c r="DE30" i="17"/>
  <c r="DM30" i="17"/>
  <c r="DT30" i="17"/>
  <c r="BP30" i="17"/>
  <c r="CJ30" i="17"/>
  <c r="DO30" i="17"/>
  <c r="DQ30" i="17"/>
  <c r="BO30" i="17"/>
  <c r="BQ30" i="17"/>
  <c r="BV30" i="17"/>
  <c r="DF30" i="17"/>
  <c r="DK30" i="17"/>
  <c r="BX30" i="17"/>
  <c r="CD30" i="17"/>
  <c r="DN30" i="17"/>
  <c r="BT30" i="17"/>
  <c r="BW30" i="17"/>
  <c r="DJ30" i="17"/>
  <c r="DV30" i="17"/>
  <c r="BU30" i="17"/>
  <c r="CB30" i="17"/>
  <c r="DD30" i="17"/>
  <c r="DG30" i="17"/>
  <c r="DW30" i="17"/>
  <c r="AG30" i="17"/>
  <c r="BS30" i="17"/>
  <c r="BY30" i="17"/>
  <c r="CA30" i="17"/>
  <c r="CF30" i="17"/>
  <c r="DI30" i="17"/>
  <c r="AW171" i="17"/>
  <c r="BD171" i="17"/>
  <c r="BH171" i="17"/>
  <c r="BM171" i="17"/>
  <c r="AV171" i="17"/>
  <c r="BN171" i="17"/>
  <c r="AX171" i="17"/>
  <c r="BJ171" i="17"/>
  <c r="BG171" i="17"/>
  <c r="BE171" i="17"/>
  <c r="BF171" i="17"/>
  <c r="BC171" i="17"/>
  <c r="BA171" i="17"/>
  <c r="AY171" i="17"/>
  <c r="AU171" i="17"/>
  <c r="BL171" i="17"/>
  <c r="BK171" i="17"/>
  <c r="BI171" i="17"/>
  <c r="BB171" i="17"/>
  <c r="AZ171" i="17"/>
  <c r="CU148" i="17"/>
  <c r="CZ148" i="17"/>
  <c r="DE148" i="17"/>
  <c r="DI148" i="17"/>
  <c r="DQ148" i="17"/>
  <c r="AF148" i="17"/>
  <c r="AK148" i="17" s="1"/>
  <c r="AH148" i="17"/>
  <c r="AJ148" i="17"/>
  <c r="AU148" i="17"/>
  <c r="BB148" i="17"/>
  <c r="BR148" i="17"/>
  <c r="BT148" i="17"/>
  <c r="CC148" i="17"/>
  <c r="CE148" i="17"/>
  <c r="CO148" i="17"/>
  <c r="CR148" i="17"/>
  <c r="DK148" i="17"/>
  <c r="AG148" i="17"/>
  <c r="DP148" i="17"/>
  <c r="DU148" i="17"/>
  <c r="AR148" i="17"/>
  <c r="AZ148" i="17"/>
  <c r="BE148" i="17"/>
  <c r="BL148" i="17"/>
  <c r="CL148" i="17"/>
  <c r="CW148" i="17"/>
  <c r="DB148" i="17"/>
  <c r="DM148" i="17"/>
  <c r="AC148" i="17"/>
  <c r="AI148" i="17"/>
  <c r="AN148" i="17"/>
  <c r="AX148" i="17"/>
  <c r="BI148" i="17"/>
  <c r="BO148" i="17"/>
  <c r="BU148" i="17"/>
  <c r="BV148" i="17"/>
  <c r="BX148" i="17"/>
  <c r="CD148" i="17"/>
  <c r="CQ148" i="17"/>
  <c r="CX148" i="17"/>
  <c r="DA148" i="17"/>
  <c r="DF148" i="17"/>
  <c r="DH148" i="17"/>
  <c r="DN148" i="17"/>
  <c r="DS148" i="17"/>
  <c r="AB148" i="17"/>
  <c r="AW148" i="17"/>
  <c r="BC148" i="17"/>
  <c r="BH148" i="17"/>
  <c r="BS148" i="17"/>
  <c r="CA148" i="17"/>
  <c r="CJ148" i="17"/>
  <c r="CT148" i="17"/>
  <c r="DL148" i="17"/>
  <c r="DO148" i="17"/>
  <c r="DW148" i="17"/>
  <c r="AM148" i="17"/>
  <c r="AO148" i="17"/>
  <c r="AV148" i="17"/>
  <c r="BA148" i="17"/>
  <c r="BG148" i="17"/>
  <c r="BK148" i="17"/>
  <c r="BN148" i="17"/>
  <c r="BP148" i="17"/>
  <c r="CB148" i="17"/>
  <c r="CF148" i="17"/>
  <c r="CS148" i="17"/>
  <c r="DC148" i="17"/>
  <c r="DJ148" i="17"/>
  <c r="DR148" i="17"/>
  <c r="AD148" i="17"/>
  <c r="AE148" i="17"/>
  <c r="AS148" i="17"/>
  <c r="AY148" i="17"/>
  <c r="BF148" i="17"/>
  <c r="BM148" i="17"/>
  <c r="BQ148" i="17"/>
  <c r="BW148" i="17"/>
  <c r="CH148" i="17"/>
  <c r="CK148" i="17"/>
  <c r="CV148" i="17"/>
  <c r="CY148" i="17"/>
  <c r="DD148" i="17"/>
  <c r="DG148" i="17"/>
  <c r="DT148" i="17"/>
  <c r="DV148" i="17"/>
  <c r="AA148" i="17"/>
  <c r="AL148" i="17"/>
  <c r="BD148" i="17"/>
  <c r="BJ148" i="17"/>
  <c r="BY148" i="17"/>
  <c r="BZ148" i="17"/>
  <c r="CG148" i="17"/>
  <c r="CM148" i="17"/>
  <c r="CN148" i="17"/>
  <c r="CP148" i="17"/>
  <c r="BW178" i="17"/>
  <c r="DG178" i="17"/>
  <c r="BR178" i="17"/>
  <c r="BY178" i="17"/>
  <c r="CJ178" i="17"/>
  <c r="DE178" i="17"/>
  <c r="DK178" i="17"/>
  <c r="DQ178" i="17"/>
  <c r="DU178" i="17"/>
  <c r="BS178" i="17"/>
  <c r="CH178" i="17"/>
  <c r="DH178" i="17"/>
  <c r="AG178" i="17"/>
  <c r="BO178" i="17"/>
  <c r="BQ178" i="17"/>
  <c r="BT178" i="17"/>
  <c r="CD178" i="17"/>
  <c r="CF178" i="17"/>
  <c r="DD178" i="17"/>
  <c r="DF178" i="17"/>
  <c r="DJ178" i="17"/>
  <c r="DN178" i="17"/>
  <c r="DP178" i="17"/>
  <c r="DT178" i="17"/>
  <c r="BV178" i="17"/>
  <c r="BZ178" i="17"/>
  <c r="CB178" i="17"/>
  <c r="CE178" i="17"/>
  <c r="CG178" i="17"/>
  <c r="DI178" i="17"/>
  <c r="DL178" i="17"/>
  <c r="DO178" i="17"/>
  <c r="DV178" i="17"/>
  <c r="BU178" i="17"/>
  <c r="BX178" i="17"/>
  <c r="CA178" i="17"/>
  <c r="CC178" i="17"/>
  <c r="BP178" i="17"/>
  <c r="DM178" i="17"/>
  <c r="DR178" i="17"/>
  <c r="DW178" i="17"/>
  <c r="DS178" i="17"/>
  <c r="AY219" i="17"/>
  <c r="BA219" i="17"/>
  <c r="BC219" i="17"/>
  <c r="BF219" i="17"/>
  <c r="BG219" i="17"/>
  <c r="BI219" i="17"/>
  <c r="BM219" i="17"/>
  <c r="BQ219" i="17"/>
  <c r="BR219" i="17"/>
  <c r="BS219" i="17"/>
  <c r="BU219" i="17"/>
  <c r="BX219" i="17"/>
  <c r="BZ219" i="17"/>
  <c r="DJ219" i="17"/>
  <c r="CB219" i="17"/>
  <c r="CD219" i="17"/>
  <c r="BV219" i="17"/>
  <c r="CH219" i="17"/>
  <c r="DD219" i="17"/>
  <c r="DU219" i="17"/>
  <c r="DV219" i="17"/>
  <c r="BB219" i="17"/>
  <c r="AZ219" i="17"/>
  <c r="AX219" i="17"/>
  <c r="AW219" i="17"/>
  <c r="AU219" i="17"/>
  <c r="DF219" i="17"/>
  <c r="AG219" i="17"/>
  <c r="DW219" i="17"/>
  <c r="DT219" i="17"/>
  <c r="DR219" i="17"/>
  <c r="DP219" i="17"/>
  <c r="DO219" i="17"/>
  <c r="DM219" i="17"/>
  <c r="DL219" i="17"/>
  <c r="CJ219" i="17"/>
  <c r="CG219" i="17"/>
  <c r="CE219" i="17"/>
  <c r="CC219" i="17"/>
  <c r="CA219" i="17"/>
  <c r="BY219" i="17"/>
  <c r="CF219" i="17"/>
  <c r="BW219" i="17"/>
  <c r="BT219" i="17"/>
  <c r="BP219" i="17"/>
  <c r="AV219" i="17"/>
  <c r="BN219" i="17"/>
  <c r="BL219" i="17"/>
  <c r="BK219" i="17"/>
  <c r="BJ219" i="17"/>
  <c r="BH219" i="17"/>
  <c r="DH219" i="17"/>
  <c r="BE219" i="17"/>
  <c r="BO219" i="17"/>
  <c r="DE219" i="17"/>
  <c r="DG219" i="17"/>
  <c r="DI219" i="17"/>
  <c r="DK219" i="17"/>
  <c r="DN219" i="17"/>
  <c r="DQ219" i="17"/>
  <c r="DS219" i="17"/>
  <c r="BD219" i="17"/>
  <c r="DI215" i="17"/>
  <c r="DK215" i="17"/>
  <c r="DM215" i="17"/>
  <c r="DP215" i="17"/>
  <c r="DS215" i="17"/>
  <c r="DU215" i="17"/>
  <c r="DV215" i="17"/>
  <c r="BX215" i="17"/>
  <c r="BU215" i="17"/>
  <c r="CA215" i="17"/>
  <c r="CC215" i="17"/>
  <c r="CD215" i="17"/>
  <c r="CE215" i="17"/>
  <c r="CG215" i="17"/>
  <c r="CH215" i="17"/>
  <c r="CJ215" i="17"/>
  <c r="DJ215" i="17"/>
  <c r="DL215" i="17"/>
  <c r="DO215" i="17"/>
  <c r="DQ215" i="17"/>
  <c r="DR215" i="17"/>
  <c r="DT215" i="17"/>
  <c r="DW215" i="17"/>
  <c r="DN215" i="17"/>
  <c r="AG215" i="17"/>
  <c r="BT215" i="17"/>
  <c r="BV215" i="17"/>
  <c r="BW215" i="17"/>
  <c r="BY215" i="17"/>
  <c r="BZ215" i="17"/>
  <c r="CB215" i="17"/>
  <c r="CF215" i="17"/>
  <c r="BC101" i="17"/>
  <c r="BR101" i="17"/>
  <c r="AV101" i="17"/>
  <c r="BL101" i="17"/>
  <c r="AZ101" i="17"/>
  <c r="BE101" i="17"/>
  <c r="BS101" i="17"/>
  <c r="BP101" i="17"/>
  <c r="BA101" i="17"/>
  <c r="BH101" i="17"/>
  <c r="BQ101" i="17"/>
  <c r="BK101" i="17"/>
  <c r="AU101" i="17"/>
  <c r="BI101" i="17"/>
  <c r="AX101" i="17"/>
  <c r="BD101" i="17"/>
  <c r="BN101" i="17"/>
  <c r="BM101" i="17"/>
  <c r="BO101" i="17"/>
  <c r="BJ101" i="17"/>
  <c r="BG101" i="17"/>
  <c r="BB101" i="17"/>
  <c r="BF101" i="17"/>
  <c r="AW101" i="17"/>
  <c r="AY101" i="17"/>
  <c r="BI54" i="17"/>
  <c r="BB54" i="17"/>
  <c r="AY54" i="17"/>
  <c r="BH54" i="17"/>
  <c r="AW54" i="17"/>
  <c r="BG54" i="17"/>
  <c r="BM54" i="17"/>
  <c r="AZ54" i="17"/>
  <c r="AX54" i="17"/>
  <c r="BK54" i="17"/>
  <c r="AU54" i="17"/>
  <c r="BJ54" i="17"/>
  <c r="BF54" i="17"/>
  <c r="BC54" i="17"/>
  <c r="BD54" i="17"/>
  <c r="BA54" i="17"/>
  <c r="BE54" i="17"/>
  <c r="BN54" i="17"/>
  <c r="BL54" i="17"/>
  <c r="AV54" i="17"/>
  <c r="CY48" i="17"/>
  <c r="CE48" i="17"/>
  <c r="BT48" i="17"/>
  <c r="BR48" i="17"/>
  <c r="BN48" i="17"/>
  <c r="BI48" i="17"/>
  <c r="BC48" i="17"/>
  <c r="AG48" i="17"/>
  <c r="CJ48" i="17"/>
  <c r="CD48" i="17"/>
  <c r="BG48" i="17"/>
  <c r="DK48" i="17"/>
  <c r="DA48" i="17"/>
  <c r="BQ48" i="17"/>
  <c r="BO48" i="17"/>
  <c r="BL48" i="17"/>
  <c r="BA48" i="17"/>
  <c r="AW48" i="17"/>
  <c r="DN48" i="17"/>
  <c r="DI48" i="17"/>
  <c r="DE48" i="17"/>
  <c r="BZ48" i="17"/>
  <c r="BV48" i="17"/>
  <c r="BU48" i="17"/>
  <c r="BE48" i="17"/>
  <c r="AZ48" i="17"/>
  <c r="AX48" i="17"/>
  <c r="CZ48" i="17"/>
  <c r="CC48" i="17"/>
  <c r="BY48" i="17"/>
  <c r="BJ48" i="17"/>
  <c r="BP48" i="17"/>
  <c r="CA48" i="17"/>
  <c r="BW48" i="17"/>
  <c r="BS48" i="17"/>
  <c r="BM48" i="17"/>
  <c r="BF48" i="17"/>
  <c r="DV48" i="17"/>
  <c r="DR48" i="17"/>
  <c r="CF48" i="17"/>
  <c r="AY48" i="17"/>
  <c r="BX48" i="17"/>
  <c r="BK48" i="17"/>
  <c r="AV48" i="17"/>
  <c r="DW48" i="17"/>
  <c r="DF48" i="17"/>
  <c r="CG48" i="17"/>
  <c r="CB48" i="17"/>
  <c r="BH48" i="17"/>
  <c r="BD48" i="17"/>
  <c r="BB48" i="17"/>
  <c r="DU48" i="17"/>
  <c r="DS48" i="17"/>
  <c r="DO48" i="17"/>
  <c r="DP48" i="17"/>
  <c r="DL48" i="17"/>
  <c r="AU48" i="17"/>
  <c r="CH48" i="17"/>
  <c r="DB48" i="17"/>
  <c r="DD48" i="17"/>
  <c r="DG48" i="17"/>
  <c r="DM48" i="17"/>
  <c r="DQ48" i="17"/>
  <c r="DT48" i="17"/>
  <c r="DJ48" i="17"/>
  <c r="DH48" i="17"/>
  <c r="DC48" i="17"/>
  <c r="AU45" i="17"/>
  <c r="BF45" i="17"/>
  <c r="BB45" i="17"/>
  <c r="AW45" i="17"/>
  <c r="AZ45" i="17"/>
  <c r="BI45" i="17"/>
  <c r="BM45" i="17"/>
  <c r="BD45" i="17"/>
  <c r="BA45" i="17"/>
  <c r="BE45" i="17"/>
  <c r="BN45" i="17"/>
  <c r="BL45" i="17"/>
  <c r="BC45" i="17"/>
  <c r="AY45" i="17"/>
  <c r="BH45" i="17"/>
  <c r="BK45" i="17"/>
  <c r="AV45" i="17"/>
  <c r="AX45" i="17"/>
  <c r="BG45" i="17"/>
  <c r="BJ45" i="17"/>
  <c r="DD225" i="17"/>
  <c r="DE225" i="17"/>
  <c r="DF225" i="17"/>
  <c r="DG225" i="17"/>
  <c r="DH225" i="17"/>
  <c r="DI225" i="17"/>
  <c r="DJ225" i="17"/>
  <c r="DK225" i="17"/>
  <c r="DL225" i="17"/>
  <c r="DM225" i="17"/>
  <c r="DO225" i="17"/>
  <c r="DP225" i="17"/>
  <c r="DQ225" i="17"/>
  <c r="DR225" i="17"/>
  <c r="DS225" i="17"/>
  <c r="DT225" i="17"/>
  <c r="DU225" i="17"/>
  <c r="DV225" i="17"/>
  <c r="DW225" i="17"/>
  <c r="DN225" i="17"/>
  <c r="AG225" i="17"/>
  <c r="BJ225" i="17"/>
  <c r="BK225" i="17"/>
  <c r="BL225" i="17"/>
  <c r="BM225" i="17"/>
  <c r="BN225" i="17"/>
  <c r="BO225" i="17"/>
  <c r="BP225" i="17"/>
  <c r="BQ225" i="17"/>
  <c r="BR225" i="17"/>
  <c r="BS225" i="17"/>
  <c r="BT225" i="17"/>
  <c r="BU225" i="17"/>
  <c r="BV225" i="17"/>
  <c r="BW225" i="17"/>
  <c r="BX225" i="17"/>
  <c r="BY225" i="17"/>
  <c r="BZ225" i="17"/>
  <c r="CA225" i="17"/>
  <c r="CB225" i="17"/>
  <c r="CC225" i="17"/>
  <c r="CD225" i="17"/>
  <c r="CE225" i="17"/>
  <c r="CF225" i="17"/>
  <c r="CG225" i="17"/>
  <c r="CH225" i="17"/>
  <c r="CJ225" i="17"/>
  <c r="CY225" i="17"/>
  <c r="CZ225" i="17"/>
  <c r="DA225" i="17"/>
  <c r="DB225" i="17"/>
  <c r="DC225" i="17"/>
  <c r="BM112" i="17"/>
  <c r="BN112" i="17"/>
  <c r="AX112" i="17"/>
  <c r="AW112" i="17"/>
  <c r="BB112" i="17"/>
  <c r="BE112" i="17"/>
  <c r="BI112" i="17"/>
  <c r="BJ112" i="17"/>
  <c r="BD112" i="17"/>
  <c r="BG112" i="17"/>
  <c r="AV112" i="17"/>
  <c r="AY112" i="17"/>
  <c r="BA112" i="17"/>
  <c r="BK112" i="17"/>
  <c r="AU112" i="17"/>
  <c r="AZ112" i="17"/>
  <c r="BC112" i="17"/>
  <c r="BF112" i="17"/>
  <c r="BH112" i="17"/>
  <c r="BL112" i="17"/>
  <c r="BB44" i="17"/>
  <c r="AX44" i="17"/>
  <c r="BI44" i="17"/>
  <c r="AY44" i="17"/>
  <c r="AW44" i="17"/>
  <c r="BA44" i="17"/>
  <c r="BD44" i="17"/>
  <c r="AZ44" i="17"/>
  <c r="BH44" i="17"/>
  <c r="BF44" i="17"/>
  <c r="BC44" i="17"/>
  <c r="BG44" i="17"/>
  <c r="BE44" i="17"/>
  <c r="AV44" i="17"/>
  <c r="AU44" i="17"/>
  <c r="AU227" i="17"/>
  <c r="AV227" i="17"/>
  <c r="BC227" i="17"/>
  <c r="BD227" i="17"/>
  <c r="AW227" i="17"/>
  <c r="AX227" i="17"/>
  <c r="AY227" i="17"/>
  <c r="AZ227" i="17"/>
  <c r="BA227" i="17"/>
  <c r="BB227" i="17"/>
  <c r="BD222" i="17"/>
  <c r="BC222" i="17"/>
  <c r="BA222" i="17"/>
  <c r="AZ222" i="17"/>
  <c r="AY222" i="17"/>
  <c r="AX222" i="17"/>
  <c r="AW222" i="17"/>
  <c r="AV222" i="17"/>
  <c r="AU222" i="17"/>
  <c r="BI222" i="17"/>
  <c r="BP222" i="17"/>
  <c r="BN222" i="17"/>
  <c r="BL222" i="17"/>
  <c r="BS222" i="17"/>
  <c r="BR222" i="17"/>
  <c r="BQ222" i="17"/>
  <c r="BO222" i="17"/>
  <c r="BM222" i="17"/>
  <c r="BK222" i="17"/>
  <c r="BJ222" i="17"/>
  <c r="BB222" i="17"/>
  <c r="BH222" i="17"/>
  <c r="BG222" i="17"/>
  <c r="BF222" i="17"/>
  <c r="BE222" i="17"/>
  <c r="BE224" i="17"/>
  <c r="BD224" i="17"/>
  <c r="BC224" i="17"/>
  <c r="BB224" i="17"/>
  <c r="BA224" i="17"/>
  <c r="AZ224" i="17"/>
  <c r="AY224" i="17"/>
  <c r="AX224" i="17"/>
  <c r="AW224" i="17"/>
  <c r="AV224" i="17"/>
  <c r="AU224" i="17"/>
  <c r="BH224" i="17"/>
  <c r="BN224" i="17"/>
  <c r="BM224" i="17"/>
  <c r="BL224" i="17"/>
  <c r="BK224" i="17"/>
  <c r="BJ224" i="17"/>
  <c r="BI224" i="17"/>
  <c r="BG224" i="17"/>
  <c r="BF224" i="17"/>
  <c r="BD208" i="17"/>
  <c r="AU208" i="17"/>
  <c r="CK208" i="17" s="1"/>
  <c r="BF208" i="17"/>
  <c r="BA208" i="17"/>
  <c r="AY208" i="17"/>
  <c r="AW208" i="17"/>
  <c r="BH208" i="17"/>
  <c r="BE208" i="17"/>
  <c r="BG208" i="17"/>
  <c r="BI208" i="17"/>
  <c r="AV208" i="17"/>
  <c r="BC208" i="17"/>
  <c r="AX208" i="17"/>
  <c r="AZ208" i="17"/>
  <c r="BB208" i="17"/>
  <c r="BK146" i="17"/>
  <c r="BP146" i="17"/>
  <c r="BV146" i="17"/>
  <c r="CA146" i="17"/>
  <c r="CF146" i="17"/>
  <c r="CT146" i="17"/>
  <c r="DK146" i="17"/>
  <c r="DS146" i="17"/>
  <c r="AC146" i="17"/>
  <c r="AD146" i="17"/>
  <c r="AG146" i="17"/>
  <c r="AN146" i="17"/>
  <c r="AU146" i="17"/>
  <c r="AY146" i="17"/>
  <c r="BB146" i="17"/>
  <c r="BG146" i="17"/>
  <c r="BM146" i="17"/>
  <c r="BS146" i="17"/>
  <c r="CJ146" i="17"/>
  <c r="CQ146" i="17"/>
  <c r="CX146" i="17"/>
  <c r="DL146" i="17"/>
  <c r="DP146" i="17"/>
  <c r="DW146" i="17"/>
  <c r="AX146" i="17"/>
  <c r="BF146" i="17"/>
  <c r="BO146" i="17"/>
  <c r="BU146" i="17"/>
  <c r="CO146" i="17"/>
  <c r="CZ146" i="17"/>
  <c r="DH146" i="17"/>
  <c r="DV146" i="17"/>
  <c r="CP146" i="17"/>
  <c r="CN146" i="17"/>
  <c r="CK146" i="17"/>
  <c r="CH146" i="17"/>
  <c r="CB146" i="17"/>
  <c r="BW146" i="17"/>
  <c r="DR146" i="17"/>
  <c r="BT146" i="17"/>
  <c r="BJ146" i="17"/>
  <c r="BE146" i="17"/>
  <c r="CV146" i="17"/>
  <c r="AW146" i="17"/>
  <c r="AS146" i="17"/>
  <c r="AM146" i="17"/>
  <c r="DC146" i="17"/>
  <c r="DF146" i="17"/>
  <c r="DN146" i="17"/>
  <c r="AE146" i="17"/>
  <c r="AJ146" i="17"/>
  <c r="BD146" i="17"/>
  <c r="BR146" i="17"/>
  <c r="BZ146" i="17"/>
  <c r="CE146" i="17"/>
  <c r="CM146" i="17"/>
  <c r="DB146" i="17"/>
  <c r="DD146" i="17"/>
  <c r="DG146" i="17"/>
  <c r="DJ146" i="17"/>
  <c r="DQ146" i="17"/>
  <c r="AI146" i="17"/>
  <c r="AF146" i="17"/>
  <c r="AK146" i="17" s="1"/>
  <c r="DU146" i="17"/>
  <c r="DA146" i="17"/>
  <c r="CS146" i="17"/>
  <c r="CL146" i="17"/>
  <c r="DT146" i="17"/>
  <c r="AL146" i="17"/>
  <c r="AO146" i="17"/>
  <c r="AV146" i="17"/>
  <c r="AZ146" i="17"/>
  <c r="BC146" i="17"/>
  <c r="BI146" i="17"/>
  <c r="BL146" i="17"/>
  <c r="BQ146" i="17"/>
  <c r="BY146" i="17"/>
  <c r="CD146" i="17"/>
  <c r="CR146" i="17"/>
  <c r="CU146" i="17"/>
  <c r="CW146" i="17"/>
  <c r="CY146" i="17"/>
  <c r="DE146" i="17"/>
  <c r="DI146" i="17"/>
  <c r="CG146" i="17"/>
  <c r="CC146" i="17"/>
  <c r="BX146" i="17"/>
  <c r="BN146" i="17"/>
  <c r="BH146" i="17"/>
  <c r="BA146" i="17"/>
  <c r="AH146" i="17"/>
  <c r="AB146" i="17"/>
  <c r="DM146" i="17"/>
  <c r="DO146" i="17"/>
  <c r="AA146" i="17"/>
  <c r="AR146" i="17"/>
  <c r="BM258" i="17"/>
  <c r="BK258" i="17"/>
  <c r="BI258" i="17"/>
  <c r="BG258" i="17"/>
  <c r="BD258" i="17"/>
  <c r="BB258" i="17"/>
  <c r="BL258" i="17"/>
  <c r="AW258" i="17"/>
  <c r="AU258" i="17"/>
  <c r="BN258" i="17"/>
  <c r="AY258" i="17"/>
  <c r="AU137" i="17"/>
  <c r="AX137" i="17"/>
  <c r="BF137" i="17"/>
  <c r="BD137" i="17"/>
  <c r="BE137" i="17"/>
  <c r="BC137" i="17"/>
  <c r="AW137" i="17"/>
  <c r="BA137" i="17"/>
  <c r="BI137" i="17"/>
  <c r="AZ137" i="17"/>
  <c r="BH137" i="17"/>
  <c r="AY137" i="17"/>
  <c r="AV137" i="17"/>
  <c r="BB137" i="17"/>
  <c r="BG137" i="17"/>
  <c r="AG118" i="17"/>
  <c r="BT118" i="17"/>
  <c r="BU118" i="17"/>
  <c r="BV118" i="17"/>
  <c r="BW118" i="17"/>
  <c r="BX118" i="17"/>
  <c r="BY118" i="17"/>
  <c r="BZ118" i="17"/>
  <c r="CA118" i="17"/>
  <c r="CB118" i="17"/>
  <c r="CC118" i="17"/>
  <c r="CD118" i="17"/>
  <c r="CE118" i="17"/>
  <c r="CF118" i="17"/>
  <c r="CG118" i="17"/>
  <c r="CH118" i="17"/>
  <c r="CJ118" i="17"/>
  <c r="DI118" i="17"/>
  <c r="DJ118" i="17"/>
  <c r="DK118" i="17"/>
  <c r="DL118" i="17"/>
  <c r="DM118" i="17"/>
  <c r="DN118" i="17"/>
  <c r="DO118" i="17"/>
  <c r="DP118" i="17"/>
  <c r="DQ118" i="17"/>
  <c r="DS118" i="17"/>
  <c r="DT118" i="17"/>
  <c r="DU118" i="17"/>
  <c r="DV118" i="17"/>
  <c r="DW118" i="17"/>
  <c r="DR118" i="17"/>
  <c r="CF216" i="17"/>
  <c r="AG216" i="17"/>
  <c r="BJ216" i="17"/>
  <c r="BK216" i="17"/>
  <c r="BL216" i="17"/>
  <c r="BM216" i="17"/>
  <c r="BN216" i="17"/>
  <c r="BO216" i="17"/>
  <c r="BP216" i="17"/>
  <c r="BQ216" i="17"/>
  <c r="BR216" i="17"/>
  <c r="BS216" i="17"/>
  <c r="DW216" i="17"/>
  <c r="BU216" i="17"/>
  <c r="BV216" i="17"/>
  <c r="BW216" i="17"/>
  <c r="BX216" i="17"/>
  <c r="BY216" i="17"/>
  <c r="BZ216" i="17"/>
  <c r="CA216" i="17"/>
  <c r="CB216" i="17"/>
  <c r="CC216" i="17"/>
  <c r="CD216" i="17"/>
  <c r="CE216" i="17"/>
  <c r="DT216" i="17"/>
  <c r="CG216" i="17"/>
  <c r="CH216" i="17"/>
  <c r="CJ216" i="17"/>
  <c r="CY216" i="17"/>
  <c r="CZ216" i="17"/>
  <c r="DA216" i="17"/>
  <c r="DB216" i="17"/>
  <c r="DC216" i="17"/>
  <c r="DD216" i="17"/>
  <c r="DE216" i="17"/>
  <c r="DF216" i="17"/>
  <c r="DG216" i="17"/>
  <c r="DH216" i="17"/>
  <c r="DI216" i="17"/>
  <c r="DJ216" i="17"/>
  <c r="DK216" i="17"/>
  <c r="DL216" i="17"/>
  <c r="DM216" i="17"/>
  <c r="DN216" i="17"/>
  <c r="DO216" i="17"/>
  <c r="DP216" i="17"/>
  <c r="DQ216" i="17"/>
  <c r="DR216" i="17"/>
  <c r="DS216" i="17"/>
  <c r="DU216" i="17"/>
  <c r="DV216" i="17"/>
  <c r="BT216" i="17"/>
  <c r="CE195" i="17"/>
  <c r="DG195" i="17"/>
  <c r="DP195" i="17"/>
  <c r="DV195" i="17"/>
  <c r="DH195" i="17"/>
  <c r="DJ195" i="17"/>
  <c r="DN195" i="17"/>
  <c r="DU195" i="17"/>
  <c r="BO195" i="17"/>
  <c r="BU195" i="17"/>
  <c r="BY195" i="17"/>
  <c r="CB195" i="17"/>
  <c r="CF195" i="17"/>
  <c r="CH195" i="17"/>
  <c r="DE195" i="17"/>
  <c r="DM195" i="17"/>
  <c r="DR195" i="17"/>
  <c r="DI195" i="17"/>
  <c r="DQ195" i="17"/>
  <c r="DW195" i="17"/>
  <c r="AG195" i="17"/>
  <c r="BP195" i="17"/>
  <c r="BR195" i="17"/>
  <c r="BT195" i="17"/>
  <c r="BV195" i="17"/>
  <c r="BX195" i="17"/>
  <c r="CA195" i="17"/>
  <c r="CD195" i="17"/>
  <c r="CG195" i="17"/>
  <c r="CJ195" i="17"/>
  <c r="DK195" i="17"/>
  <c r="DO195" i="17"/>
  <c r="DT195" i="17"/>
  <c r="DF195" i="17"/>
  <c r="DL195" i="17"/>
  <c r="DS195" i="17"/>
  <c r="DD195" i="17"/>
  <c r="BQ195" i="17"/>
  <c r="BS195" i="17"/>
  <c r="BW195" i="17"/>
  <c r="BZ195" i="17"/>
  <c r="CC195" i="17"/>
  <c r="BG53" i="17"/>
  <c r="BJ53" i="17"/>
  <c r="BD53" i="17"/>
  <c r="BL53" i="17"/>
  <c r="AU53" i="17"/>
  <c r="AW53" i="17"/>
  <c r="BK53" i="17"/>
  <c r="BB53" i="17"/>
  <c r="AX53" i="17"/>
  <c r="BH53" i="17"/>
  <c r="BA53" i="17"/>
  <c r="AZ53" i="17"/>
  <c r="BC53" i="17"/>
  <c r="BI53" i="17"/>
  <c r="AV53" i="17"/>
  <c r="AY53" i="17"/>
  <c r="BF53" i="17"/>
  <c r="BM53" i="17"/>
  <c r="BE53" i="17"/>
  <c r="BN53" i="17"/>
  <c r="AW156" i="17"/>
  <c r="BK156" i="17"/>
  <c r="AY156" i="17"/>
  <c r="BC156" i="17"/>
  <c r="BQ156" i="17"/>
  <c r="BH156" i="17"/>
  <c r="AV156" i="17"/>
  <c r="BR156" i="17"/>
  <c r="BS156" i="17"/>
  <c r="BP156" i="17"/>
  <c r="BN156" i="17"/>
  <c r="BI156" i="17"/>
  <c r="BG156" i="17"/>
  <c r="BL156" i="17"/>
  <c r="AZ156" i="17"/>
  <c r="BD156" i="17"/>
  <c r="BB156" i="17"/>
  <c r="BM156" i="17"/>
  <c r="BF142" i="17"/>
  <c r="AY142" i="17"/>
  <c r="BD142" i="17"/>
  <c r="BA142" i="17"/>
  <c r="AX142" i="17"/>
  <c r="BG142" i="17"/>
  <c r="BB142" i="17"/>
  <c r="AZ142" i="17"/>
  <c r="AV142" i="17"/>
  <c r="AW142" i="17"/>
  <c r="BC142" i="17"/>
  <c r="BI142" i="17"/>
  <c r="BE142" i="17"/>
  <c r="BH142" i="17"/>
  <c r="AU142" i="17"/>
  <c r="BK118" i="17"/>
  <c r="BS118" i="17"/>
  <c r="BR118" i="17"/>
  <c r="BQ118" i="17"/>
  <c r="BP118" i="17"/>
  <c r="BO118" i="17"/>
  <c r="BN118" i="17"/>
  <c r="BM118" i="17"/>
  <c r="BL118" i="17"/>
  <c r="AU118" i="17"/>
  <c r="BJ118" i="17"/>
  <c r="BI118" i="17"/>
  <c r="BH118" i="17"/>
  <c r="BG118" i="17"/>
  <c r="BF118" i="17"/>
  <c r="BD118" i="17"/>
  <c r="BC118" i="17"/>
  <c r="BB118" i="17"/>
  <c r="BA118" i="17"/>
  <c r="AZ118" i="17"/>
  <c r="AY118" i="17"/>
  <c r="AX118" i="17"/>
  <c r="AW118" i="17"/>
  <c r="AV118" i="17"/>
  <c r="BE118" i="17"/>
  <c r="AU267" i="17"/>
  <c r="AV267" i="17"/>
  <c r="AW267" i="17"/>
  <c r="AX267" i="17"/>
  <c r="AY267" i="17"/>
  <c r="AZ267" i="17"/>
  <c r="BA267" i="17"/>
  <c r="BB267" i="17"/>
  <c r="BC267" i="17"/>
  <c r="BE267" i="17"/>
  <c r="BF267" i="17"/>
  <c r="BG267" i="17"/>
  <c r="BH267" i="17"/>
  <c r="BI267" i="17"/>
  <c r="BJ267" i="17"/>
  <c r="BK267" i="17"/>
  <c r="BL267" i="17"/>
  <c r="BM267" i="17"/>
  <c r="BN267" i="17"/>
  <c r="BD267" i="17"/>
  <c r="AW260" i="17"/>
  <c r="AY260" i="17"/>
  <c r="AZ260" i="17"/>
  <c r="AX260" i="17"/>
  <c r="AU260" i="17"/>
  <c r="BD260" i="17"/>
  <c r="BC260" i="17"/>
  <c r="AV260" i="17"/>
  <c r="BB260" i="17"/>
  <c r="BA260" i="17"/>
  <c r="AX258" i="17"/>
  <c r="AV258" i="17"/>
  <c r="BJ258" i="17"/>
  <c r="BH258" i="17"/>
  <c r="BF258" i="17"/>
  <c r="BE258" i="17"/>
  <c r="BC258" i="17"/>
  <c r="BA258" i="17"/>
  <c r="AZ258" i="17"/>
  <c r="BB154" i="17"/>
  <c r="BF154" i="17"/>
  <c r="BN154" i="17"/>
  <c r="BS154" i="17"/>
  <c r="BY154" i="17"/>
  <c r="CD154" i="17"/>
  <c r="DB154" i="17"/>
  <c r="DG154" i="17"/>
  <c r="DM154" i="17"/>
  <c r="DP154" i="17"/>
  <c r="DT154" i="17"/>
  <c r="DO154" i="17"/>
  <c r="AU154" i="17"/>
  <c r="BH154" i="17"/>
  <c r="BQ154" i="17"/>
  <c r="BT154" i="17"/>
  <c r="CA154" i="17"/>
  <c r="DI154" i="17"/>
  <c r="DN154" i="17"/>
  <c r="AG154" i="17"/>
  <c r="AV154" i="17"/>
  <c r="AX154" i="17"/>
  <c r="AY154" i="17"/>
  <c r="BC154" i="17"/>
  <c r="BJ154" i="17"/>
  <c r="BM154" i="17"/>
  <c r="BP154" i="17"/>
  <c r="BU154" i="17"/>
  <c r="BX154" i="17"/>
  <c r="CB154" i="17"/>
  <c r="CF154" i="17"/>
  <c r="CJ154" i="17"/>
  <c r="DA154" i="17"/>
  <c r="DH154" i="17"/>
  <c r="DL154" i="17"/>
  <c r="DQ154" i="17"/>
  <c r="DS154" i="17"/>
  <c r="DV154" i="17"/>
  <c r="BA154" i="17"/>
  <c r="CC154" i="17"/>
  <c r="CZ154" i="17"/>
  <c r="DF154" i="17"/>
  <c r="DK154" i="17"/>
  <c r="DW154" i="17"/>
  <c r="AZ154" i="17"/>
  <c r="BD154" i="17"/>
  <c r="BL154" i="17"/>
  <c r="BO154" i="17"/>
  <c r="BW154" i="17"/>
  <c r="CG154" i="17"/>
  <c r="DD154" i="17"/>
  <c r="DR154" i="17"/>
  <c r="BK154" i="17"/>
  <c r="BZ154" i="17"/>
  <c r="CE154" i="17"/>
  <c r="CH154" i="17"/>
  <c r="CY154" i="17"/>
  <c r="DE154" i="17"/>
  <c r="DU154" i="17"/>
  <c r="AW154" i="17"/>
  <c r="BE154" i="17"/>
  <c r="BG154" i="17"/>
  <c r="BI154" i="17"/>
  <c r="BR154" i="17"/>
  <c r="BV154" i="17"/>
  <c r="DC154" i="17"/>
  <c r="DJ154" i="17"/>
  <c r="CF131" i="17"/>
  <c r="DW131" i="17"/>
  <c r="DV131" i="17"/>
  <c r="DU131" i="17"/>
  <c r="DT131" i="17"/>
  <c r="DS131" i="17"/>
  <c r="DR131" i="17"/>
  <c r="DQ131" i="17"/>
  <c r="DP131" i="17"/>
  <c r="CA131" i="17"/>
  <c r="BZ131" i="17"/>
  <c r="BY131" i="17"/>
  <c r="BX131" i="17"/>
  <c r="BW131" i="17"/>
  <c r="BV131" i="17"/>
  <c r="BU131" i="17"/>
  <c r="BT131" i="17"/>
  <c r="BS131" i="17"/>
  <c r="BR131" i="17"/>
  <c r="BQ131" i="17"/>
  <c r="BP131" i="17"/>
  <c r="BO131" i="17"/>
  <c r="BN131" i="17"/>
  <c r="BM131" i="17"/>
  <c r="BL131" i="17"/>
  <c r="BK131" i="17"/>
  <c r="BJ131" i="17"/>
  <c r="DE131" i="17"/>
  <c r="AG131" i="17"/>
  <c r="DF131" i="17"/>
  <c r="DG131" i="17"/>
  <c r="DH131" i="17"/>
  <c r="DI131" i="17"/>
  <c r="DJ131" i="17"/>
  <c r="DK131" i="17"/>
  <c r="DL131" i="17"/>
  <c r="DM131" i="17"/>
  <c r="DN131" i="17"/>
  <c r="DO131" i="17"/>
  <c r="DD131" i="17"/>
  <c r="DC131" i="17"/>
  <c r="DB131" i="17"/>
  <c r="DA131" i="17"/>
  <c r="CZ131" i="17"/>
  <c r="CY131" i="17"/>
  <c r="CJ131" i="17"/>
  <c r="CH131" i="17"/>
  <c r="CG131" i="17"/>
  <c r="CE131" i="17"/>
  <c r="CD131" i="17"/>
  <c r="CC131" i="17"/>
  <c r="CB131" i="17"/>
  <c r="DH125" i="17"/>
  <c r="DI125" i="17"/>
  <c r="DJ125" i="17"/>
  <c r="DK125" i="17"/>
  <c r="DL125" i="17"/>
  <c r="DM125" i="17"/>
  <c r="DN125" i="17"/>
  <c r="DO125" i="17"/>
  <c r="DP125" i="17"/>
  <c r="DQ125" i="17"/>
  <c r="DR125" i="17"/>
  <c r="DS125" i="17"/>
  <c r="DT125" i="17"/>
  <c r="DU125" i="17"/>
  <c r="DV125" i="17"/>
  <c r="DW125" i="17"/>
  <c r="DG125" i="17"/>
  <c r="AG125" i="17"/>
  <c r="BO125" i="17"/>
  <c r="BP125" i="17"/>
  <c r="BQ125" i="17"/>
  <c r="BR125" i="17"/>
  <c r="BS125" i="17"/>
  <c r="BT125" i="17"/>
  <c r="BU125" i="17"/>
  <c r="BV125" i="17"/>
  <c r="BW125" i="17"/>
  <c r="BX125" i="17"/>
  <c r="BY125" i="17"/>
  <c r="BZ125" i="17"/>
  <c r="CA125" i="17"/>
  <c r="CB125" i="17"/>
  <c r="CC125" i="17"/>
  <c r="CD125" i="17"/>
  <c r="CE125" i="17"/>
  <c r="CF125" i="17"/>
  <c r="CG125" i="17"/>
  <c r="CH125" i="17"/>
  <c r="CJ125" i="17"/>
  <c r="DD125" i="17"/>
  <c r="DE125" i="17"/>
  <c r="DF125" i="17"/>
  <c r="BB147" i="17"/>
  <c r="BK147" i="17"/>
  <c r="BH147" i="17"/>
  <c r="BA147" i="17"/>
  <c r="BC147" i="17"/>
  <c r="BE147" i="17"/>
  <c r="BG147" i="17"/>
  <c r="AU147" i="17"/>
  <c r="BD147" i="17"/>
  <c r="BM147" i="17"/>
  <c r="AW147" i="17"/>
  <c r="BF147" i="17"/>
  <c r="BI147" i="17"/>
  <c r="BL147" i="17"/>
  <c r="AV147" i="17"/>
  <c r="AX147" i="17"/>
  <c r="BN147" i="17"/>
  <c r="AY147" i="17"/>
  <c r="BJ147" i="17"/>
  <c r="AZ147" i="17"/>
  <c r="BC87" i="17"/>
  <c r="AX87" i="17"/>
  <c r="AY87" i="17"/>
  <c r="AV87" i="17"/>
  <c r="BB87" i="17"/>
  <c r="AW87" i="17"/>
  <c r="BA87" i="17"/>
  <c r="AZ87" i="17"/>
  <c r="AU87" i="17"/>
  <c r="CK87" i="17" s="1"/>
  <c r="BD87" i="17"/>
  <c r="BO156" i="17"/>
  <c r="BJ156" i="17"/>
  <c r="BE156" i="17"/>
  <c r="BA156" i="17"/>
  <c r="AU156" i="17"/>
  <c r="BF156" i="17"/>
  <c r="AX156" i="17"/>
  <c r="CA159" i="17"/>
  <c r="BM159" i="17"/>
  <c r="BI159" i="17"/>
  <c r="BF159" i="17"/>
  <c r="BE159" i="17"/>
  <c r="BB159" i="17"/>
  <c r="AW159" i="17"/>
  <c r="BJ159" i="17"/>
  <c r="DP159" i="17"/>
  <c r="DM159" i="17"/>
  <c r="DJ159" i="17"/>
  <c r="DH159" i="17"/>
  <c r="DF159" i="17"/>
  <c r="CJ159" i="17"/>
  <c r="CE159" i="17"/>
  <c r="AG159" i="17"/>
  <c r="BW159" i="17"/>
  <c r="BT159" i="17"/>
  <c r="BP159" i="17"/>
  <c r="BN159" i="17"/>
  <c r="BL159" i="17"/>
  <c r="AX159" i="17"/>
  <c r="AU159" i="17"/>
  <c r="DU159" i="17"/>
  <c r="CH159" i="17"/>
  <c r="CB159" i="17"/>
  <c r="BY159" i="17"/>
  <c r="BV159" i="17"/>
  <c r="BR159" i="17"/>
  <c r="BO159" i="17"/>
  <c r="BH159" i="17"/>
  <c r="BC159" i="17"/>
  <c r="AZ159" i="17"/>
  <c r="BG159" i="17"/>
  <c r="BA159" i="17"/>
  <c r="AV159" i="17"/>
  <c r="DV159" i="17"/>
  <c r="DR159" i="17"/>
  <c r="DO159" i="17"/>
  <c r="DL159" i="17"/>
  <c r="DI159" i="17"/>
  <c r="DE159" i="17"/>
  <c r="CG159" i="17"/>
  <c r="CD159" i="17"/>
  <c r="BZ159" i="17"/>
  <c r="BU159" i="17"/>
  <c r="DT159" i="17"/>
  <c r="DQ159" i="17"/>
  <c r="DN159" i="17"/>
  <c r="DK159" i="17"/>
  <c r="DG159" i="17"/>
  <c r="DD159" i="17"/>
  <c r="CF159" i="17"/>
  <c r="CC159" i="17"/>
  <c r="BX159" i="17"/>
  <c r="BS159" i="17"/>
  <c r="BK159" i="17"/>
  <c r="BD159" i="17"/>
  <c r="AY159" i="17"/>
  <c r="DW159" i="17"/>
  <c r="DS159" i="17"/>
  <c r="BQ159" i="17"/>
  <c r="BB81" i="17"/>
  <c r="AY81" i="17"/>
  <c r="BC81" i="17"/>
  <c r="AW81" i="17"/>
  <c r="BI81" i="17"/>
  <c r="AU81" i="17"/>
  <c r="BG81" i="17"/>
  <c r="AX81" i="17"/>
  <c r="BA81" i="17"/>
  <c r="BE81" i="17"/>
  <c r="BH81" i="17"/>
  <c r="BF81" i="17"/>
  <c r="BD81" i="17"/>
  <c r="AZ81" i="17"/>
  <c r="AV81" i="17"/>
  <c r="AW61" i="17"/>
  <c r="BH61" i="17"/>
  <c r="BD61" i="17"/>
  <c r="AU61" i="17"/>
  <c r="CK61" i="17" s="1"/>
  <c r="BJ61" i="17"/>
  <c r="BM61" i="17"/>
  <c r="BA61" i="17"/>
  <c r="BB61" i="17"/>
  <c r="BN61" i="17"/>
  <c r="BC61" i="17"/>
  <c r="BL61" i="17"/>
  <c r="AY61" i="17"/>
  <c r="BF61" i="17"/>
  <c r="AZ61" i="17"/>
  <c r="BG61" i="17"/>
  <c r="BK61" i="17"/>
  <c r="BI61" i="17"/>
  <c r="BE61" i="17"/>
  <c r="AV61" i="17"/>
  <c r="AX61" i="17"/>
  <c r="BM122" i="17"/>
  <c r="BN122" i="17"/>
  <c r="AU122" i="17"/>
  <c r="AV122" i="17"/>
  <c r="AW122" i="17"/>
  <c r="AY122" i="17"/>
  <c r="AZ122" i="17"/>
  <c r="BA122" i="17"/>
  <c r="BB122" i="17"/>
  <c r="AX122" i="17"/>
  <c r="BG122" i="17"/>
  <c r="BC122" i="17"/>
  <c r="BD122" i="17"/>
  <c r="BE122" i="17"/>
  <c r="BF122" i="17"/>
  <c r="BH122" i="17"/>
  <c r="BI122" i="17"/>
  <c r="BJ122" i="17"/>
  <c r="BK122" i="17"/>
  <c r="BL122" i="17"/>
  <c r="BB248" i="17"/>
  <c r="BI248" i="17"/>
  <c r="BH248" i="17"/>
  <c r="BG248" i="17"/>
  <c r="BF248" i="17"/>
  <c r="BE248" i="17"/>
  <c r="BD248" i="17"/>
  <c r="AZ248" i="17"/>
  <c r="AY248" i="17"/>
  <c r="AX248" i="17"/>
  <c r="BK248" i="17"/>
  <c r="BM248" i="17"/>
  <c r="AV248" i="17"/>
  <c r="BJ248" i="17"/>
  <c r="BL248" i="17"/>
  <c r="AW248" i="17"/>
  <c r="BC248" i="17"/>
  <c r="BN248" i="17"/>
  <c r="BA248" i="17"/>
  <c r="AX182" i="17"/>
  <c r="BG182" i="17"/>
  <c r="BI182" i="17"/>
  <c r="AV182" i="17"/>
  <c r="AZ182" i="17"/>
  <c r="BB182" i="17"/>
  <c r="BF182" i="17"/>
  <c r="BH182" i="17"/>
  <c r="AY182" i="17"/>
  <c r="BA182" i="17"/>
  <c r="AW182" i="17"/>
  <c r="AU182" i="17"/>
  <c r="BC182" i="17"/>
  <c r="BE182" i="17"/>
  <c r="BD182" i="17"/>
  <c r="CK277" i="17"/>
  <c r="U11" i="17"/>
  <c r="AU113" i="17"/>
  <c r="AV113" i="17"/>
  <c r="AW113" i="17"/>
  <c r="AX113" i="17"/>
  <c r="AY113" i="17"/>
  <c r="AZ113" i="17"/>
  <c r="BA113" i="17"/>
  <c r="BB113" i="17"/>
  <c r="BC113" i="17"/>
  <c r="BD113" i="17"/>
  <c r="BE113" i="17"/>
  <c r="BF113" i="17"/>
  <c r="BG113" i="17"/>
  <c r="BH113" i="17"/>
  <c r="BI113" i="17"/>
  <c r="BJ113" i="17"/>
  <c r="BK113" i="17"/>
  <c r="BL113" i="17"/>
  <c r="BM113" i="17"/>
  <c r="BN113" i="17"/>
  <c r="BK133" i="17"/>
  <c r="AU133" i="17"/>
  <c r="AW133" i="17"/>
  <c r="AX133" i="17"/>
  <c r="AY133" i="17"/>
  <c r="AZ133" i="17"/>
  <c r="BN133" i="17"/>
  <c r="BM133" i="17"/>
  <c r="BL133" i="17"/>
  <c r="AV133" i="17"/>
  <c r="BJ133" i="17"/>
  <c r="BI133" i="17"/>
  <c r="BH133" i="17"/>
  <c r="BG133" i="17"/>
  <c r="BF133" i="17"/>
  <c r="BE133" i="17"/>
  <c r="BD133" i="17"/>
  <c r="BC133" i="17"/>
  <c r="BB133" i="17"/>
  <c r="BA133" i="17"/>
  <c r="BP132" i="17"/>
  <c r="BO132" i="17"/>
  <c r="BN132" i="17"/>
  <c r="BM132" i="17"/>
  <c r="BL132" i="17"/>
  <c r="BK132" i="17"/>
  <c r="BJ132" i="17"/>
  <c r="AG132" i="17"/>
  <c r="BQ132" i="17"/>
  <c r="CH132" i="17"/>
  <c r="CG132" i="17"/>
  <c r="BY132" i="17"/>
  <c r="CF132" i="17"/>
  <c r="CE132" i="17"/>
  <c r="CC132" i="17"/>
  <c r="DQ132" i="17"/>
  <c r="CB132" i="17"/>
  <c r="CA132" i="17"/>
  <c r="BZ132" i="17"/>
  <c r="BX132" i="17"/>
  <c r="BW132" i="17"/>
  <c r="BV132" i="17"/>
  <c r="BU132" i="17"/>
  <c r="BT132" i="17"/>
  <c r="BS132" i="17"/>
  <c r="BR132" i="17"/>
  <c r="CD132" i="17"/>
  <c r="DW132" i="17"/>
  <c r="DV132" i="17"/>
  <c r="DU132" i="17"/>
  <c r="DT132" i="17"/>
  <c r="DS132" i="17"/>
  <c r="DR132" i="17"/>
  <c r="DP132" i="17"/>
  <c r="DO132" i="17"/>
  <c r="DN132" i="17"/>
  <c r="DM132" i="17"/>
  <c r="DL132" i="17"/>
  <c r="DK132" i="17"/>
  <c r="DJ132" i="17"/>
  <c r="DI132" i="17"/>
  <c r="DH132" i="17"/>
  <c r="DG132" i="17"/>
  <c r="DF132" i="17"/>
  <c r="DE132" i="17"/>
  <c r="DD132" i="17"/>
  <c r="DC132" i="17"/>
  <c r="DB132" i="17"/>
  <c r="DA132" i="17"/>
  <c r="CZ132" i="17"/>
  <c r="CY132" i="17"/>
  <c r="CJ132" i="17"/>
  <c r="BC88" i="17"/>
  <c r="BA88" i="17"/>
  <c r="AY88" i="17"/>
  <c r="AW88" i="17"/>
  <c r="AZ88" i="17"/>
  <c r="BB88" i="17"/>
  <c r="AX88" i="17"/>
  <c r="AV88" i="17"/>
  <c r="AU88" i="17"/>
  <c r="BD88" i="17"/>
  <c r="AX46" i="17"/>
  <c r="BD46" i="17"/>
  <c r="AU46" i="17"/>
  <c r="BB46" i="17"/>
  <c r="AY46" i="17"/>
  <c r="AW46" i="17"/>
  <c r="BC46" i="17"/>
  <c r="AZ46" i="17"/>
  <c r="AV46" i="17"/>
  <c r="BA46" i="17"/>
  <c r="BH43" i="17"/>
  <c r="AY43" i="17"/>
  <c r="BC43" i="17"/>
  <c r="AX43" i="17"/>
  <c r="BD43" i="17"/>
  <c r="BA43" i="17"/>
  <c r="BF43" i="17"/>
  <c r="BG43" i="17"/>
  <c r="AU43" i="17"/>
  <c r="AW43" i="17"/>
  <c r="BE43" i="17"/>
  <c r="BI43" i="17"/>
  <c r="AZ43" i="17"/>
  <c r="AV43" i="17"/>
  <c r="BB43" i="17"/>
  <c r="AZ31" i="17"/>
  <c r="BG31" i="17"/>
  <c r="BD31" i="17"/>
  <c r="AW31" i="17"/>
  <c r="AU31" i="17"/>
  <c r="BC31" i="17"/>
  <c r="BH31" i="17"/>
  <c r="BF31" i="17"/>
  <c r="AV31" i="17"/>
  <c r="BA31" i="17"/>
  <c r="AY31" i="17"/>
  <c r="BE31" i="17"/>
  <c r="AX31" i="17"/>
  <c r="BI31" i="17"/>
  <c r="BB31" i="17"/>
  <c r="AU247" i="17"/>
  <c r="AV247" i="17"/>
  <c r="AW247" i="17"/>
  <c r="AX247" i="17"/>
  <c r="AY247" i="17"/>
  <c r="AZ247" i="17"/>
  <c r="BA247" i="17"/>
  <c r="BB247" i="17"/>
  <c r="BC247" i="17"/>
  <c r="BD247" i="17"/>
  <c r="BE247" i="17"/>
  <c r="BF247" i="17"/>
  <c r="BG247" i="17"/>
  <c r="BH247" i="17"/>
  <c r="BI247" i="17"/>
  <c r="AU243" i="17"/>
  <c r="AV243" i="17"/>
  <c r="AW243" i="17"/>
  <c r="AX243" i="17"/>
  <c r="AY243" i="17"/>
  <c r="AZ243" i="17"/>
  <c r="BA243" i="17"/>
  <c r="BB243" i="17"/>
  <c r="BC243" i="17"/>
  <c r="BD243" i="17"/>
  <c r="BE243" i="17"/>
  <c r="BF243" i="17"/>
  <c r="BG243" i="17"/>
  <c r="BI243" i="17"/>
  <c r="BH243" i="17"/>
  <c r="BG241" i="17"/>
  <c r="BE241" i="17"/>
  <c r="BF241" i="17"/>
  <c r="AU241" i="17"/>
  <c r="AW241" i="17"/>
  <c r="AX241" i="17"/>
  <c r="AY241" i="17"/>
  <c r="AV241" i="17"/>
  <c r="AZ241" i="17"/>
  <c r="BA241" i="17"/>
  <c r="BB241" i="17"/>
  <c r="BC241" i="17"/>
  <c r="BI241" i="17"/>
  <c r="BH241" i="17"/>
  <c r="BD241" i="17"/>
  <c r="BB197" i="17"/>
  <c r="AY197" i="17"/>
  <c r="AU197" i="17"/>
  <c r="BH197" i="17"/>
  <c r="BF197" i="17"/>
  <c r="AZ197" i="17"/>
  <c r="AW197" i="17"/>
  <c r="BI197" i="17"/>
  <c r="BE197" i="17"/>
  <c r="BC197" i="17"/>
  <c r="AX197" i="17"/>
  <c r="AV197" i="17"/>
  <c r="BA197" i="17"/>
  <c r="BG197" i="17"/>
  <c r="BD197" i="17"/>
  <c r="AW174" i="17"/>
  <c r="BB174" i="17"/>
  <c r="AV174" i="17"/>
  <c r="BE174" i="17"/>
  <c r="BH174" i="17"/>
  <c r="BC174" i="17"/>
  <c r="BG174" i="17"/>
  <c r="BA174" i="17"/>
  <c r="AY174" i="17"/>
  <c r="BI174" i="17"/>
  <c r="AU174" i="17"/>
  <c r="AX174" i="17"/>
  <c r="AZ174" i="17"/>
  <c r="BF174" i="17"/>
  <c r="BD174" i="17"/>
  <c r="AU170" i="17"/>
  <c r="BB170" i="17"/>
  <c r="BD170" i="17"/>
  <c r="AZ170" i="17"/>
  <c r="BC170" i="17"/>
  <c r="AW170" i="17"/>
  <c r="AX170" i="17"/>
  <c r="BA170" i="17"/>
  <c r="AV170" i="17"/>
  <c r="AY170" i="17"/>
  <c r="BC157" i="17"/>
  <c r="AY157" i="17"/>
  <c r="AW157" i="17"/>
  <c r="BD157" i="17"/>
  <c r="BA157" i="17"/>
  <c r="AX157" i="17"/>
  <c r="BB157" i="17"/>
  <c r="AZ157" i="17"/>
  <c r="AU157" i="17"/>
  <c r="AV157" i="17"/>
  <c r="BA163" i="17"/>
  <c r="AZ163" i="17"/>
  <c r="AV163" i="17"/>
  <c r="BC163" i="17"/>
  <c r="AU163" i="17"/>
  <c r="AW163" i="17"/>
  <c r="BD163" i="17"/>
  <c r="AX163" i="17"/>
  <c r="AY163" i="17"/>
  <c r="BB163" i="17"/>
  <c r="BF155" i="17"/>
  <c r="AV155" i="17"/>
  <c r="BE155" i="17"/>
  <c r="BI155" i="17"/>
  <c r="AX155" i="17"/>
  <c r="AU155" i="17"/>
  <c r="BD155" i="17"/>
  <c r="AY155" i="17"/>
  <c r="BC155" i="17"/>
  <c r="BH155" i="17"/>
  <c r="BA155" i="17"/>
  <c r="BG155" i="17"/>
  <c r="BB155" i="17"/>
  <c r="AZ155" i="17"/>
  <c r="AW155" i="17"/>
  <c r="BC65" i="17"/>
  <c r="BD65" i="17"/>
  <c r="AW65" i="17"/>
  <c r="BB65" i="17"/>
  <c r="AX65" i="17"/>
  <c r="AZ65" i="17"/>
  <c r="BA65" i="17"/>
  <c r="AU65" i="17"/>
  <c r="AY65" i="17"/>
  <c r="AV65" i="17"/>
  <c r="BB60" i="17"/>
  <c r="AY60" i="17"/>
  <c r="AW60" i="17"/>
  <c r="BA60" i="17"/>
  <c r="BI60" i="17"/>
  <c r="AV60" i="17"/>
  <c r="AX60" i="17"/>
  <c r="AU60" i="17"/>
  <c r="AZ60" i="17"/>
  <c r="BF60" i="17"/>
  <c r="BE60" i="17"/>
  <c r="BH60" i="17"/>
  <c r="BD60" i="17"/>
  <c r="BG60" i="17"/>
  <c r="BC60" i="17"/>
  <c r="BO150" i="17"/>
  <c r="BQ150" i="17"/>
  <c r="BK150" i="17"/>
  <c r="BE150" i="17"/>
  <c r="BG150" i="17"/>
  <c r="BI150" i="17"/>
  <c r="BM150" i="17"/>
  <c r="BH150" i="17"/>
  <c r="BD150" i="17"/>
  <c r="BB150" i="17"/>
  <c r="BJ150" i="17"/>
  <c r="BS150" i="17"/>
  <c r="AV150" i="17"/>
  <c r="BC150" i="17"/>
  <c r="AW150" i="17"/>
  <c r="AY150" i="17"/>
  <c r="BP150" i="17"/>
  <c r="BR150" i="17"/>
  <c r="AU150" i="17"/>
  <c r="AX150" i="17"/>
  <c r="AZ150" i="17"/>
  <c r="BN150" i="17"/>
  <c r="BA150" i="17"/>
  <c r="BF150" i="17"/>
  <c r="BL150" i="17"/>
  <c r="AX96" i="17"/>
  <c r="AV96" i="17"/>
  <c r="BB96" i="17"/>
  <c r="AY96" i="17"/>
  <c r="BG96" i="17"/>
  <c r="BC96" i="17"/>
  <c r="BE96" i="17"/>
  <c r="BA96" i="17"/>
  <c r="AW96" i="17"/>
  <c r="BL96" i="17"/>
  <c r="BF96" i="17"/>
  <c r="BD96" i="17"/>
  <c r="BK96" i="17"/>
  <c r="BN96" i="17"/>
  <c r="BI96" i="17"/>
  <c r="AV223" i="17"/>
  <c r="BE223" i="17"/>
  <c r="BF223" i="17"/>
  <c r="BG223" i="17"/>
  <c r="BH223" i="17"/>
  <c r="BI223" i="17"/>
  <c r="BJ223" i="17"/>
  <c r="BK223" i="17"/>
  <c r="BL223" i="17"/>
  <c r="BM223" i="17"/>
  <c r="BN223" i="17"/>
  <c r="AZ223" i="17"/>
  <c r="AY223" i="17"/>
  <c r="BC223" i="17"/>
  <c r="AX223" i="17"/>
  <c r="BD223" i="17"/>
  <c r="AW223" i="17"/>
  <c r="AU223" i="17"/>
  <c r="BA223" i="17"/>
  <c r="BB223" i="17"/>
  <c r="AV264" i="17"/>
  <c r="AW264" i="17"/>
  <c r="AX264" i="17"/>
  <c r="AY264" i="17"/>
  <c r="BA264" i="17"/>
  <c r="BB264" i="17"/>
  <c r="BC264" i="17"/>
  <c r="BD264" i="17"/>
  <c r="BE264" i="17"/>
  <c r="BF264" i="17"/>
  <c r="BG264" i="17"/>
  <c r="AZ264" i="17"/>
  <c r="BI264" i="17"/>
  <c r="BJ264" i="17"/>
  <c r="BK264" i="17"/>
  <c r="BL264" i="17"/>
  <c r="BM264" i="17"/>
  <c r="BN264" i="17"/>
  <c r="BO264" i="17"/>
  <c r="BP264" i="17"/>
  <c r="BQ264" i="17"/>
  <c r="BR264" i="17"/>
  <c r="BS264" i="17"/>
  <c r="BH264" i="17"/>
  <c r="AU264" i="17"/>
  <c r="BC178" i="17"/>
  <c r="AW178" i="17"/>
  <c r="AX178" i="17"/>
  <c r="BA178" i="17"/>
  <c r="AY178" i="17"/>
  <c r="BF178" i="17"/>
  <c r="BH178" i="17"/>
  <c r="BG178" i="17"/>
  <c r="BI178" i="17"/>
  <c r="BD178" i="17"/>
  <c r="BL178" i="17"/>
  <c r="BN178" i="17"/>
  <c r="BE178" i="17"/>
  <c r="AU178" i="17"/>
  <c r="AZ178" i="17"/>
  <c r="BJ178" i="17"/>
  <c r="BM178" i="17"/>
  <c r="BK178" i="17"/>
  <c r="BB178" i="17"/>
  <c r="AV178" i="17"/>
  <c r="BO169" i="17"/>
  <c r="BY169" i="17"/>
  <c r="DP169" i="17"/>
  <c r="DJ169" i="17"/>
  <c r="BW169" i="17"/>
  <c r="DV169" i="17"/>
  <c r="DL169" i="17"/>
  <c r="DU169" i="17"/>
  <c r="BR169" i="17"/>
  <c r="BQ169" i="17"/>
  <c r="CC169" i="17"/>
  <c r="DF169" i="17"/>
  <c r="DI169" i="17"/>
  <c r="CG169" i="17"/>
  <c r="BV169" i="17"/>
  <c r="DK169" i="17"/>
  <c r="CD169" i="17"/>
  <c r="DM169" i="17"/>
  <c r="AG169" i="17"/>
  <c r="DE169" i="17"/>
  <c r="CH169" i="17"/>
  <c r="BX169" i="17"/>
  <c r="BS169" i="17"/>
  <c r="DT169" i="17"/>
  <c r="CJ169" i="17"/>
  <c r="DQ169" i="17"/>
  <c r="BZ169" i="17"/>
  <c r="DS169" i="17"/>
  <c r="DD169" i="17"/>
  <c r="CA169" i="17"/>
  <c r="CF169" i="17"/>
  <c r="DW169" i="17"/>
  <c r="BU169" i="17"/>
  <c r="DN169" i="17"/>
  <c r="DO169" i="17"/>
  <c r="DG169" i="17"/>
  <c r="CB169" i="17"/>
  <c r="DH169" i="17"/>
  <c r="DR169" i="17"/>
  <c r="CE169" i="17"/>
  <c r="BP169" i="17"/>
  <c r="BT169" i="17"/>
  <c r="BE75" i="17"/>
  <c r="BK75" i="17"/>
  <c r="BQ75" i="17"/>
  <c r="BX75" i="17"/>
  <c r="CG75" i="17"/>
  <c r="DA75" i="17"/>
  <c r="DU75" i="17"/>
  <c r="AX75" i="17"/>
  <c r="BH75" i="17"/>
  <c r="CA75" i="17"/>
  <c r="CJ75" i="17"/>
  <c r="CU75" i="17"/>
  <c r="DI75" i="17"/>
  <c r="DN75" i="17"/>
  <c r="DP75" i="17"/>
  <c r="DT75" i="17"/>
  <c r="AG75" i="17"/>
  <c r="BP75" i="17"/>
  <c r="DC75" i="17"/>
  <c r="DO75" i="17"/>
  <c r="DH75" i="17"/>
  <c r="AZ75" i="17"/>
  <c r="BB75" i="17"/>
  <c r="BF75" i="17"/>
  <c r="BJ75" i="17"/>
  <c r="BN75" i="17"/>
  <c r="BR75" i="17"/>
  <c r="BW75" i="17"/>
  <c r="CW75" i="17"/>
  <c r="BL75" i="17"/>
  <c r="BU75" i="17"/>
  <c r="BY75" i="17"/>
  <c r="CF75" i="17"/>
  <c r="CX75" i="17"/>
  <c r="DS75" i="17"/>
  <c r="DW75" i="17"/>
  <c r="AW75" i="17"/>
  <c r="BA75" i="17"/>
  <c r="BG75" i="17"/>
  <c r="BS75" i="17"/>
  <c r="BV75" i="17"/>
  <c r="CB75" i="17"/>
  <c r="CE75" i="17"/>
  <c r="CY75" i="17"/>
  <c r="DD75" i="17"/>
  <c r="DF75" i="17"/>
  <c r="DG75" i="17"/>
  <c r="DM75" i="17"/>
  <c r="DQ75" i="17"/>
  <c r="DV75" i="17"/>
  <c r="AU75" i="17"/>
  <c r="BD75" i="17"/>
  <c r="BO75" i="17"/>
  <c r="BT75" i="17"/>
  <c r="CC75" i="17"/>
  <c r="CD75" i="17"/>
  <c r="CT75" i="17"/>
  <c r="DK75" i="17"/>
  <c r="DL75" i="17"/>
  <c r="DR75" i="17"/>
  <c r="AY75" i="17"/>
  <c r="BI75" i="17"/>
  <c r="BM75" i="17"/>
  <c r="BZ75" i="17"/>
  <c r="CH75" i="17"/>
  <c r="CV75" i="17"/>
  <c r="CZ75" i="17"/>
  <c r="DB75" i="17"/>
  <c r="DE75" i="17"/>
  <c r="DJ75" i="17"/>
  <c r="AV75" i="17"/>
  <c r="BC75" i="17"/>
  <c r="CF58" i="17"/>
  <c r="DH58" i="17"/>
  <c r="AX58" i="17"/>
  <c r="DP58" i="17"/>
  <c r="BV58" i="17"/>
  <c r="BP58" i="17"/>
  <c r="BG58" i="17"/>
  <c r="DS58" i="17"/>
  <c r="DD58" i="17"/>
  <c r="BZ58" i="17"/>
  <c r="BU58" i="17"/>
  <c r="AU58" i="17"/>
  <c r="DE58" i="17"/>
  <c r="BN58" i="17"/>
  <c r="BC58" i="17"/>
  <c r="DQ58" i="17"/>
  <c r="DI58" i="17"/>
  <c r="BY58" i="17"/>
  <c r="BM58" i="17"/>
  <c r="AY58" i="17"/>
  <c r="DK58" i="17"/>
  <c r="BR58" i="17"/>
  <c r="DF58" i="17"/>
  <c r="CH58" i="17"/>
  <c r="BW58" i="17"/>
  <c r="BQ58" i="17"/>
  <c r="BF58" i="17"/>
  <c r="AZ58" i="17"/>
  <c r="DM58" i="17"/>
  <c r="CD58" i="17"/>
  <c r="BJ58" i="17"/>
  <c r="BE58" i="17"/>
  <c r="DW58" i="17"/>
  <c r="DU58" i="17"/>
  <c r="BS58" i="17"/>
  <c r="BL58" i="17"/>
  <c r="DO58" i="17"/>
  <c r="CJ58" i="17"/>
  <c r="BT58" i="17"/>
  <c r="BI58" i="17"/>
  <c r="BA58" i="17"/>
  <c r="DV58" i="17"/>
  <c r="DJ58" i="17"/>
  <c r="CE58" i="17"/>
  <c r="CA58" i="17"/>
  <c r="BD58" i="17"/>
  <c r="AG58" i="17"/>
  <c r="DG58" i="17"/>
  <c r="BO58" i="17"/>
  <c r="BB58" i="17"/>
  <c r="DL58" i="17"/>
  <c r="CG58" i="17"/>
  <c r="BK58" i="17"/>
  <c r="AV58" i="17"/>
  <c r="DN58" i="17"/>
  <c r="CC58" i="17"/>
  <c r="CB58" i="17"/>
  <c r="BH58" i="17"/>
  <c r="DR58" i="17"/>
  <c r="BX58" i="17"/>
  <c r="DT58" i="17"/>
  <c r="AW58" i="17"/>
  <c r="AX56" i="17"/>
  <c r="BC56" i="17"/>
  <c r="BA56" i="17"/>
  <c r="BI56" i="17"/>
  <c r="AW56" i="17"/>
  <c r="BB56" i="17"/>
  <c r="BE56" i="17"/>
  <c r="AY56" i="17"/>
  <c r="BD56" i="17"/>
  <c r="BG56" i="17"/>
  <c r="AU56" i="17"/>
  <c r="BF56" i="17"/>
  <c r="AY90" i="17"/>
  <c r="BF90" i="17"/>
  <c r="BB90" i="17"/>
  <c r="BD90" i="17"/>
  <c r="AV90" i="17"/>
  <c r="AW90" i="17"/>
  <c r="BA90" i="17"/>
  <c r="BG90" i="17"/>
  <c r="AX90" i="17"/>
  <c r="BH90" i="17"/>
  <c r="BI90" i="17"/>
  <c r="AU90" i="17"/>
  <c r="BC90" i="17"/>
  <c r="AZ90" i="17"/>
  <c r="BE90" i="17"/>
  <c r="BD94" i="17"/>
  <c r="AX94" i="17"/>
  <c r="BI94" i="17"/>
  <c r="BF94" i="17"/>
  <c r="BC94" i="17"/>
  <c r="AY94" i="17"/>
  <c r="AZ94" i="17"/>
  <c r="BG94" i="17"/>
  <c r="BB94" i="17"/>
  <c r="BA94" i="17"/>
  <c r="BH94" i="17"/>
  <c r="BE94" i="17"/>
  <c r="AU94" i="17"/>
  <c r="AW94" i="17"/>
  <c r="AV94" i="17"/>
  <c r="AX78" i="17"/>
  <c r="BA78" i="17"/>
  <c r="BI78" i="17"/>
  <c r="BL78" i="17"/>
  <c r="BF78" i="17"/>
  <c r="BN78" i="17"/>
  <c r="BH78" i="17"/>
  <c r="BK78" i="17"/>
  <c r="AU78" i="17"/>
  <c r="AY78" i="17"/>
  <c r="BD78" i="17"/>
  <c r="BG78" i="17"/>
  <c r="AV78" i="17"/>
  <c r="BC78" i="17"/>
  <c r="BM78" i="17"/>
  <c r="AW78" i="17"/>
  <c r="BB78" i="17"/>
  <c r="AZ78" i="17"/>
  <c r="BE78" i="17"/>
  <c r="BJ78" i="17"/>
  <c r="BI181" i="17"/>
  <c r="AX181" i="17"/>
  <c r="BF181" i="17"/>
  <c r="BE181" i="17"/>
  <c r="BJ181" i="17"/>
  <c r="BM181" i="17"/>
  <c r="BS181" i="17"/>
  <c r="BB181" i="17"/>
  <c r="BO181" i="17"/>
  <c r="BR181" i="17"/>
  <c r="BH181" i="17"/>
  <c r="BP181" i="17"/>
  <c r="AV181" i="17"/>
  <c r="BA181" i="17"/>
  <c r="BQ181" i="17"/>
  <c r="BC181" i="17"/>
  <c r="AW181" i="17"/>
  <c r="BK181" i="17"/>
  <c r="AY181" i="17"/>
  <c r="BN181" i="17"/>
  <c r="BL181" i="17"/>
  <c r="BD181" i="17"/>
  <c r="BG181" i="17"/>
  <c r="AZ181" i="17"/>
  <c r="AU181" i="17"/>
  <c r="AV179" i="17"/>
  <c r="AU179" i="17"/>
  <c r="BI179" i="17"/>
  <c r="BF179" i="17"/>
  <c r="AW179" i="17"/>
  <c r="AZ179" i="17"/>
  <c r="AX179" i="17"/>
  <c r="BH179" i="17"/>
  <c r="BA179" i="17"/>
  <c r="BE179" i="17"/>
  <c r="BD179" i="17"/>
  <c r="BB179" i="17"/>
  <c r="BG179" i="17"/>
  <c r="AY179" i="17"/>
  <c r="BC179" i="17"/>
  <c r="BH185" i="17"/>
  <c r="BE185" i="17"/>
  <c r="BB185" i="17"/>
  <c r="AX185" i="17"/>
  <c r="BI185" i="17"/>
  <c r="AZ185" i="17"/>
  <c r="AW185" i="17"/>
  <c r="AU185" i="17"/>
  <c r="BC185" i="17"/>
  <c r="BF185" i="17"/>
  <c r="AY185" i="17"/>
  <c r="BV276" i="17"/>
  <c r="AY276" i="17"/>
  <c r="AX276" i="17"/>
  <c r="AW276" i="17"/>
  <c r="AV276" i="17"/>
  <c r="CD276" i="17"/>
  <c r="CH276" i="17"/>
  <c r="CG276" i="17"/>
  <c r="CF276" i="17"/>
  <c r="CE276" i="17"/>
  <c r="BG276" i="17"/>
  <c r="CC276" i="17"/>
  <c r="CB276" i="17"/>
  <c r="CA276" i="17"/>
  <c r="BZ276" i="17"/>
  <c r="BY276" i="17"/>
  <c r="BX276" i="17"/>
  <c r="BW276" i="17"/>
  <c r="AU276" i="17"/>
  <c r="BU276" i="17"/>
  <c r="BT276" i="17"/>
  <c r="AG276" i="17"/>
  <c r="BR276" i="17"/>
  <c r="BQ276" i="17"/>
  <c r="BP276" i="17"/>
  <c r="BO276" i="17"/>
  <c r="BN276" i="17"/>
  <c r="BM276" i="17"/>
  <c r="BL276" i="17"/>
  <c r="BK276" i="17"/>
  <c r="BJ276" i="17"/>
  <c r="BI276" i="17"/>
  <c r="BH276" i="17"/>
  <c r="BS276" i="17"/>
  <c r="BF276" i="17"/>
  <c r="BE276" i="17"/>
  <c r="BD276" i="17"/>
  <c r="BC276" i="17"/>
  <c r="BB276" i="17"/>
  <c r="BA276" i="17"/>
  <c r="AZ276" i="17"/>
  <c r="BS215" i="17"/>
  <c r="BK215" i="17"/>
  <c r="BL215" i="17"/>
  <c r="BM215" i="17"/>
  <c r="BN215" i="17"/>
  <c r="BO215" i="17"/>
  <c r="BP215" i="17"/>
  <c r="BR215" i="17"/>
  <c r="AU215" i="17"/>
  <c r="AV215" i="17"/>
  <c r="AW215" i="17"/>
  <c r="AX215" i="17"/>
  <c r="AY215" i="17"/>
  <c r="AZ215" i="17"/>
  <c r="BA215" i="17"/>
  <c r="BB215" i="17"/>
  <c r="BC215" i="17"/>
  <c r="BD215" i="17"/>
  <c r="BQ215" i="17"/>
  <c r="BE215" i="17"/>
  <c r="BF215" i="17"/>
  <c r="BG215" i="17"/>
  <c r="BH215" i="17"/>
  <c r="BI215" i="17"/>
  <c r="BJ215" i="17"/>
  <c r="BB145" i="17"/>
  <c r="AY145" i="17"/>
  <c r="BD145" i="17"/>
  <c r="BA145" i="17"/>
  <c r="AV145" i="17"/>
  <c r="AU145" i="17"/>
  <c r="AX145" i="17"/>
  <c r="BC145" i="17"/>
  <c r="AZ145" i="17"/>
  <c r="AW145" i="17"/>
  <c r="BQ198" i="17"/>
  <c r="BN198" i="17"/>
  <c r="BK198" i="17"/>
  <c r="BG198" i="17"/>
  <c r="BF198" i="17"/>
  <c r="BE198" i="17"/>
  <c r="BC198" i="17"/>
  <c r="BA198" i="17"/>
  <c r="AW198" i="17"/>
  <c r="AU198" i="17"/>
  <c r="AV198" i="17"/>
  <c r="AZ198" i="17"/>
  <c r="BB198" i="17"/>
  <c r="BP198" i="17"/>
  <c r="BM198" i="17"/>
  <c r="BD198" i="17"/>
  <c r="BH198" i="17"/>
  <c r="BJ198" i="17"/>
  <c r="BR198" i="17"/>
  <c r="BI198" i="17"/>
  <c r="AY198" i="17"/>
  <c r="BO198" i="17"/>
  <c r="AX198" i="17"/>
  <c r="BS198" i="17"/>
  <c r="BL198" i="17"/>
  <c r="AV34" i="17"/>
  <c r="DT34" i="17"/>
  <c r="DO34" i="17"/>
  <c r="CD34" i="17"/>
  <c r="BV34" i="17"/>
  <c r="BB34" i="17"/>
  <c r="AU34" i="17"/>
  <c r="BH34" i="17"/>
  <c r="BD34" i="17"/>
  <c r="AZ34" i="17"/>
  <c r="DJ34" i="17"/>
  <c r="DD34" i="17"/>
  <c r="CG34" i="17"/>
  <c r="CC34" i="17"/>
  <c r="BT34" i="17"/>
  <c r="BR34" i="17"/>
  <c r="BP34" i="17"/>
  <c r="BI34" i="17"/>
  <c r="DM34" i="17"/>
  <c r="DI34" i="17"/>
  <c r="AX34" i="17"/>
  <c r="AW34" i="17"/>
  <c r="AG34" i="17"/>
  <c r="BQ34" i="17"/>
  <c r="BK34" i="17"/>
  <c r="BF34" i="17"/>
  <c r="BA34" i="17"/>
  <c r="DF34" i="17"/>
  <c r="CB34" i="17"/>
  <c r="BS34" i="17"/>
  <c r="BN34" i="17"/>
  <c r="BL34" i="17"/>
  <c r="BE34" i="17"/>
  <c r="CJ34" i="17"/>
  <c r="CE34" i="17"/>
  <c r="BW34" i="17"/>
  <c r="BJ34" i="17"/>
  <c r="DW34" i="17"/>
  <c r="DR34" i="17"/>
  <c r="DQ34" i="17"/>
  <c r="DK34" i="17"/>
  <c r="DH34" i="17"/>
  <c r="DG34" i="17"/>
  <c r="BZ34" i="17"/>
  <c r="BC34" i="17"/>
  <c r="DU34" i="17"/>
  <c r="DS34" i="17"/>
  <c r="CH34" i="17"/>
  <c r="CF34" i="17"/>
  <c r="BY34" i="17"/>
  <c r="BU34" i="17"/>
  <c r="BM34" i="17"/>
  <c r="AY34" i="17"/>
  <c r="DP34" i="17"/>
  <c r="BX34" i="17"/>
  <c r="BG34" i="17"/>
  <c r="DV34" i="17"/>
  <c r="DN34" i="17"/>
  <c r="DL34" i="17"/>
  <c r="DE34" i="17"/>
  <c r="CA34" i="17"/>
  <c r="BO34" i="17"/>
  <c r="BC225" i="17"/>
  <c r="BA225" i="17"/>
  <c r="AU225" i="17"/>
  <c r="BB225" i="17"/>
  <c r="BF225" i="17"/>
  <c r="AX225" i="17"/>
  <c r="BD225" i="17"/>
  <c r="BI225" i="17"/>
  <c r="BG225" i="17"/>
  <c r="BH225" i="17"/>
  <c r="AV225" i="17"/>
  <c r="AZ225" i="17"/>
  <c r="BE225" i="17"/>
  <c r="AW225" i="17"/>
  <c r="AY225" i="17"/>
  <c r="AU216" i="17"/>
  <c r="AV216" i="17"/>
  <c r="AW216" i="17"/>
  <c r="AX216" i="17"/>
  <c r="AY216" i="17"/>
  <c r="AZ216" i="17"/>
  <c r="BA216" i="17"/>
  <c r="BF216" i="17"/>
  <c r="BE216" i="17"/>
  <c r="BD216" i="17"/>
  <c r="BC216" i="17"/>
  <c r="BB216" i="17"/>
  <c r="BI216" i="17"/>
  <c r="BG216" i="17"/>
  <c r="BH216" i="17"/>
  <c r="BJ213" i="17"/>
  <c r="BK213" i="17"/>
  <c r="BL213" i="17"/>
  <c r="BM213" i="17"/>
  <c r="BN213" i="17"/>
  <c r="BO213" i="17"/>
  <c r="BQ213" i="17"/>
  <c r="BR213" i="17"/>
  <c r="BS213" i="17"/>
  <c r="BP213" i="17"/>
  <c r="AU213" i="17"/>
  <c r="AV213" i="17"/>
  <c r="AW213" i="17"/>
  <c r="AX213" i="17"/>
  <c r="AY213" i="17"/>
  <c r="AZ213" i="17"/>
  <c r="BA213" i="17"/>
  <c r="BB213" i="17"/>
  <c r="BC213" i="17"/>
  <c r="BD213" i="17"/>
  <c r="BE213" i="17"/>
  <c r="BF213" i="17"/>
  <c r="BG213" i="17"/>
  <c r="BH213" i="17"/>
  <c r="BI213" i="17"/>
  <c r="BX207" i="17"/>
  <c r="BY207" i="17"/>
  <c r="BZ207" i="17"/>
  <c r="CA207" i="17"/>
  <c r="CB207" i="17"/>
  <c r="CC207" i="17"/>
  <c r="CD207" i="17"/>
  <c r="CE207" i="17"/>
  <c r="CF207" i="17"/>
  <c r="CG207" i="17"/>
  <c r="CH207" i="17"/>
  <c r="CJ207" i="17"/>
  <c r="BI207" i="17"/>
  <c r="CY207" i="17"/>
  <c r="CZ207" i="17"/>
  <c r="DA207" i="17"/>
  <c r="DB207" i="17"/>
  <c r="DC207" i="17"/>
  <c r="DD207" i="17"/>
  <c r="DE207" i="17"/>
  <c r="DF207" i="17"/>
  <c r="DU207" i="17"/>
  <c r="DT207" i="17"/>
  <c r="DS207" i="17"/>
  <c r="DR207" i="17"/>
  <c r="DG207" i="17"/>
  <c r="DQ207" i="17"/>
  <c r="DP207" i="17"/>
  <c r="DV207" i="17"/>
  <c r="DO207" i="17"/>
  <c r="DN207" i="17"/>
  <c r="DH207" i="17"/>
  <c r="DK207" i="17"/>
  <c r="DI207" i="17"/>
  <c r="DL207" i="17"/>
  <c r="DM207" i="17"/>
  <c r="DW207" i="17"/>
  <c r="AG207" i="17"/>
  <c r="AU207" i="17"/>
  <c r="AV207" i="17"/>
  <c r="AW207" i="17"/>
  <c r="AX207" i="17"/>
  <c r="AY207" i="17"/>
  <c r="AZ207" i="17"/>
  <c r="BA207" i="17"/>
  <c r="BB207" i="17"/>
  <c r="BC207" i="17"/>
  <c r="BD207" i="17"/>
  <c r="BE207" i="17"/>
  <c r="BF207" i="17"/>
  <c r="BG207" i="17"/>
  <c r="BH207" i="17"/>
  <c r="DJ207" i="17"/>
  <c r="BJ207" i="17"/>
  <c r="BK207" i="17"/>
  <c r="BL207" i="17"/>
  <c r="BM207" i="17"/>
  <c r="BN207" i="17"/>
  <c r="BO207" i="17"/>
  <c r="BP207" i="17"/>
  <c r="BQ207" i="17"/>
  <c r="BR207" i="17"/>
  <c r="BS207" i="17"/>
  <c r="BT207" i="17"/>
  <c r="BU207" i="17"/>
  <c r="BV207" i="17"/>
  <c r="BW207" i="17"/>
  <c r="BA103" i="17"/>
  <c r="AV103" i="17"/>
  <c r="AZ103" i="17"/>
  <c r="BE103" i="17"/>
  <c r="BI103" i="17"/>
  <c r="AY103" i="17"/>
  <c r="BG103" i="17"/>
  <c r="BB103" i="17"/>
  <c r="AX103" i="17"/>
  <c r="BF103" i="17"/>
  <c r="BD103" i="17"/>
  <c r="AU103" i="17"/>
  <c r="CK103" i="17" s="1"/>
  <c r="BC103" i="17"/>
  <c r="AW103" i="17"/>
  <c r="BH103" i="17"/>
  <c r="AV84" i="17"/>
  <c r="BF84" i="17"/>
  <c r="BE84" i="17"/>
  <c r="BC84" i="17"/>
  <c r="AY84" i="17"/>
  <c r="AU84" i="17"/>
  <c r="BL84" i="17"/>
  <c r="BB84" i="17"/>
  <c r="AW84" i="17"/>
  <c r="BJ84" i="17"/>
  <c r="AZ84" i="17"/>
  <c r="BG84" i="17"/>
  <c r="BI84" i="17"/>
  <c r="BA84" i="17"/>
  <c r="BH84" i="17"/>
  <c r="BK84" i="17"/>
  <c r="BM84" i="17"/>
  <c r="BD84" i="17"/>
  <c r="BN84" i="17"/>
  <c r="AX84" i="17"/>
  <c r="CV263" i="17"/>
  <c r="CW263" i="17"/>
  <c r="CX263" i="17"/>
  <c r="CY263" i="17"/>
  <c r="CZ263" i="17"/>
  <c r="DA263" i="17"/>
  <c r="DB263" i="17"/>
  <c r="DC263" i="17"/>
  <c r="DD263" i="17"/>
  <c r="DE263" i="17"/>
  <c r="DF263" i="17"/>
  <c r="DG263" i="17"/>
  <c r="DH263" i="17"/>
  <c r="DI263" i="17"/>
  <c r="DK263" i="17"/>
  <c r="DL263" i="17"/>
  <c r="DM263" i="17"/>
  <c r="DN263" i="17"/>
  <c r="DO263" i="17"/>
  <c r="DP263" i="17"/>
  <c r="DQ263" i="17"/>
  <c r="DR263" i="17"/>
  <c r="DS263" i="17"/>
  <c r="DT263" i="17"/>
  <c r="DU263" i="17"/>
  <c r="DV263" i="17"/>
  <c r="DW263" i="17"/>
  <c r="BG263" i="17"/>
  <c r="CM263" i="17"/>
  <c r="DJ263" i="17"/>
  <c r="AA263" i="17"/>
  <c r="AB263" i="17"/>
  <c r="AC263" i="17"/>
  <c r="AD263" i="17"/>
  <c r="AE263" i="17"/>
  <c r="AF263" i="17"/>
  <c r="AK263" i="17" s="1"/>
  <c r="AG263" i="17"/>
  <c r="AH263" i="17"/>
  <c r="AI263" i="17"/>
  <c r="AJ263" i="17"/>
  <c r="AL263" i="17"/>
  <c r="AM263" i="17"/>
  <c r="AN263" i="17"/>
  <c r="AO263" i="17"/>
  <c r="AR263" i="17"/>
  <c r="AS263" i="17"/>
  <c r="AU263" i="17"/>
  <c r="AV263" i="17"/>
  <c r="AW263" i="17"/>
  <c r="AX263" i="17"/>
  <c r="AY263" i="17"/>
  <c r="AZ263" i="17"/>
  <c r="BA263" i="17"/>
  <c r="BB263" i="17"/>
  <c r="BC263" i="17"/>
  <c r="BD263" i="17"/>
  <c r="BE263" i="17"/>
  <c r="BF263" i="17"/>
  <c r="BH263" i="17"/>
  <c r="BI263" i="17"/>
  <c r="BJ263" i="17"/>
  <c r="BK263" i="17"/>
  <c r="BL263" i="17"/>
  <c r="BM263" i="17"/>
  <c r="BN263" i="17"/>
  <c r="BO263" i="17"/>
  <c r="BP263" i="17"/>
  <c r="BQ263" i="17"/>
  <c r="BR263" i="17"/>
  <c r="BS263" i="17"/>
  <c r="BT263" i="17"/>
  <c r="BU263" i="17"/>
  <c r="BV263" i="17"/>
  <c r="BW263" i="17"/>
  <c r="BX263" i="17"/>
  <c r="BY263" i="17"/>
  <c r="BZ263" i="17"/>
  <c r="CA263" i="17"/>
  <c r="CB263" i="17"/>
  <c r="CC263" i="17"/>
  <c r="CD263" i="17"/>
  <c r="CE263" i="17"/>
  <c r="CF263" i="17"/>
  <c r="CG263" i="17"/>
  <c r="CH263" i="17"/>
  <c r="CJ263" i="17"/>
  <c r="CK263" i="17"/>
  <c r="CL263" i="17"/>
  <c r="CN263" i="17"/>
  <c r="CO263" i="17"/>
  <c r="CP263" i="17"/>
  <c r="CQ263" i="17"/>
  <c r="CR263" i="17"/>
  <c r="CS263" i="17"/>
  <c r="CT263" i="17"/>
  <c r="CU263" i="17"/>
  <c r="CF229" i="17"/>
  <c r="CG229" i="17"/>
  <c r="CH229" i="17"/>
  <c r="CJ229" i="17"/>
  <c r="DD229" i="17"/>
  <c r="BB229" i="17"/>
  <c r="BA229" i="17"/>
  <c r="AZ229" i="17"/>
  <c r="AY229" i="17"/>
  <c r="AW229" i="17"/>
  <c r="AV229" i="17"/>
  <c r="AU229" i="17"/>
  <c r="AG229" i="17"/>
  <c r="AX229" i="17"/>
  <c r="BD229" i="17"/>
  <c r="BE229" i="17"/>
  <c r="BF229" i="17"/>
  <c r="BG229" i="17"/>
  <c r="BH229" i="17"/>
  <c r="BI229" i="17"/>
  <c r="BJ229" i="17"/>
  <c r="BK229" i="17"/>
  <c r="BL229" i="17"/>
  <c r="BM229" i="17"/>
  <c r="BN229" i="17"/>
  <c r="BO229" i="17"/>
  <c r="BP229" i="17"/>
  <c r="BQ229" i="17"/>
  <c r="BC229" i="17"/>
  <c r="BR229" i="17"/>
  <c r="BS229" i="17"/>
  <c r="BT229" i="17"/>
  <c r="BU229" i="17"/>
  <c r="BV229" i="17"/>
  <c r="BW229" i="17"/>
  <c r="BX229" i="17"/>
  <c r="BY229" i="17"/>
  <c r="BZ229" i="17"/>
  <c r="CA229" i="17"/>
  <c r="CB229" i="17"/>
  <c r="DW229" i="17"/>
  <c r="DV229" i="17"/>
  <c r="DU229" i="17"/>
  <c r="DT229" i="17"/>
  <c r="DS229" i="17"/>
  <c r="DR229" i="17"/>
  <c r="DQ229" i="17"/>
  <c r="DP229" i="17"/>
  <c r="DO229" i="17"/>
  <c r="DN229" i="17"/>
  <c r="DM229" i="17"/>
  <c r="DL229" i="17"/>
  <c r="DK229" i="17"/>
  <c r="DJ229" i="17"/>
  <c r="DI229" i="17"/>
  <c r="DH229" i="17"/>
  <c r="DG229" i="17"/>
  <c r="CC229" i="17"/>
  <c r="CD229" i="17"/>
  <c r="CE229" i="17"/>
  <c r="DF229" i="17"/>
  <c r="DE229" i="17"/>
  <c r="CQ212" i="17"/>
  <c r="CP212" i="17"/>
  <c r="CO212" i="17"/>
  <c r="CN212" i="17"/>
  <c r="CM212" i="17"/>
  <c r="CL212" i="17"/>
  <c r="CK212" i="17"/>
  <c r="CJ212" i="17"/>
  <c r="CH212" i="17"/>
  <c r="CG212" i="17"/>
  <c r="CF212" i="17"/>
  <c r="CE212" i="17"/>
  <c r="CD212" i="17"/>
  <c r="CC212" i="17"/>
  <c r="DN212" i="17"/>
  <c r="DO212" i="17"/>
  <c r="DP212" i="17"/>
  <c r="DQ212" i="17"/>
  <c r="DR212" i="17"/>
  <c r="DS212" i="17"/>
  <c r="DT212" i="17"/>
  <c r="DU212" i="17"/>
  <c r="DV212" i="17"/>
  <c r="CB212" i="17"/>
  <c r="CA212" i="17"/>
  <c r="BZ212" i="17"/>
  <c r="BY212" i="17"/>
  <c r="BX212" i="17"/>
  <c r="BW212" i="17"/>
  <c r="BV212" i="17"/>
  <c r="BU212" i="17"/>
  <c r="BT212" i="17"/>
  <c r="BS212" i="17"/>
  <c r="BR212" i="17"/>
  <c r="BQ212" i="17"/>
  <c r="BP212" i="17"/>
  <c r="BO212" i="17"/>
  <c r="BN212" i="17"/>
  <c r="BM212" i="17"/>
  <c r="BL212" i="17"/>
  <c r="BK212" i="17"/>
  <c r="BJ212" i="17"/>
  <c r="BI212" i="17"/>
  <c r="BH212" i="17"/>
  <c r="BG212" i="17"/>
  <c r="BF212" i="17"/>
  <c r="BE212" i="17"/>
  <c r="BD212" i="17"/>
  <c r="BC212" i="17"/>
  <c r="BB212" i="17"/>
  <c r="BA212" i="17"/>
  <c r="AZ212" i="17"/>
  <c r="AY212" i="17"/>
  <c r="AX212" i="17"/>
  <c r="AW212" i="17"/>
  <c r="AV212" i="17"/>
  <c r="AU212" i="17"/>
  <c r="AS212" i="17"/>
  <c r="AR212" i="17"/>
  <c r="AO212" i="17"/>
  <c r="AN212" i="17"/>
  <c r="AM212" i="17"/>
  <c r="AL212" i="17"/>
  <c r="AJ212" i="17"/>
  <c r="AI212" i="17"/>
  <c r="AH212" i="17"/>
  <c r="AG212" i="17"/>
  <c r="AF212" i="17"/>
  <c r="AK212" i="17" s="1"/>
  <c r="AE212" i="17"/>
  <c r="AD212" i="17"/>
  <c r="AC212" i="17"/>
  <c r="AB212" i="17"/>
  <c r="AA212" i="17"/>
  <c r="DW212" i="17"/>
  <c r="DK212" i="17"/>
  <c r="DJ212" i="17"/>
  <c r="DI212" i="17"/>
  <c r="DH212" i="17"/>
  <c r="DG212" i="17"/>
  <c r="DF212" i="17"/>
  <c r="DE212" i="17"/>
  <c r="DD212" i="17"/>
  <c r="DL212" i="17"/>
  <c r="DC212" i="17"/>
  <c r="DB212" i="17"/>
  <c r="DA212" i="17"/>
  <c r="CZ212" i="17"/>
  <c r="CY212" i="17"/>
  <c r="DM212" i="17"/>
  <c r="CX212" i="17"/>
  <c r="CW212" i="17"/>
  <c r="CV212" i="17"/>
  <c r="CU212" i="17"/>
  <c r="CT212" i="17"/>
  <c r="CS212" i="17"/>
  <c r="CR212" i="17"/>
  <c r="AI152" i="17"/>
  <c r="AM152" i="17"/>
  <c r="AN152" i="17"/>
  <c r="AR152" i="17"/>
  <c r="AY152" i="17"/>
  <c r="BD152" i="17"/>
  <c r="BH152" i="17"/>
  <c r="BJ152" i="17"/>
  <c r="BO152" i="17"/>
  <c r="BQ152" i="17"/>
  <c r="BZ152" i="17"/>
  <c r="CF152" i="17"/>
  <c r="CM152" i="17"/>
  <c r="CX152" i="17"/>
  <c r="DB152" i="17"/>
  <c r="DD152" i="17"/>
  <c r="DU152" i="17"/>
  <c r="AU152" i="17"/>
  <c r="AZ152" i="17"/>
  <c r="AF152" i="17"/>
  <c r="AK152" i="17" s="1"/>
  <c r="BL152" i="17"/>
  <c r="BT152" i="17"/>
  <c r="CD152" i="17"/>
  <c r="CG152" i="17"/>
  <c r="CO152" i="17"/>
  <c r="CT152" i="17"/>
  <c r="DH152" i="17"/>
  <c r="CH152" i="17"/>
  <c r="DN152" i="17"/>
  <c r="DS152" i="17"/>
  <c r="DO152" i="17"/>
  <c r="DV152" i="17"/>
  <c r="DL152" i="17"/>
  <c r="DJ152" i="17"/>
  <c r="CZ152" i="17"/>
  <c r="AB152" i="17"/>
  <c r="AO152" i="17"/>
  <c r="BG152" i="17"/>
  <c r="BK152" i="17"/>
  <c r="AA152" i="17"/>
  <c r="BC152" i="17"/>
  <c r="BM152" i="17"/>
  <c r="BR152" i="17"/>
  <c r="BX152" i="17"/>
  <c r="CA152" i="17"/>
  <c r="CN152" i="17"/>
  <c r="CR152" i="17"/>
  <c r="CV152" i="17"/>
  <c r="CY152" i="17"/>
  <c r="CU152" i="17"/>
  <c r="DC152" i="17"/>
  <c r="DR152" i="17"/>
  <c r="DT152" i="17"/>
  <c r="AC152" i="17"/>
  <c r="AG152" i="17"/>
  <c r="AJ152" i="17"/>
  <c r="AL152" i="17"/>
  <c r="AV152" i="17"/>
  <c r="AX152" i="17"/>
  <c r="BA152" i="17"/>
  <c r="BB152" i="17"/>
  <c r="BF152" i="17"/>
  <c r="BI152" i="17"/>
  <c r="BS152" i="17"/>
  <c r="BW152" i="17"/>
  <c r="CC152" i="17"/>
  <c r="BV152" i="17"/>
  <c r="CK152" i="17"/>
  <c r="CS152" i="17"/>
  <c r="DA152" i="17"/>
  <c r="DG152" i="17"/>
  <c r="DI152" i="17"/>
  <c r="DQ152" i="17"/>
  <c r="DW152" i="17"/>
  <c r="AD152" i="17"/>
  <c r="BP152" i="17"/>
  <c r="AW152" i="17"/>
  <c r="BE152" i="17"/>
  <c r="BN152" i="17"/>
  <c r="BY152" i="17"/>
  <c r="CB152" i="17"/>
  <c r="CE152" i="17"/>
  <c r="CQ152" i="17"/>
  <c r="CL152" i="17"/>
  <c r="DF152" i="17"/>
  <c r="DK152" i="17"/>
  <c r="DM152" i="17"/>
  <c r="DP152" i="17"/>
  <c r="AH152" i="17"/>
  <c r="AS152" i="17"/>
  <c r="BU152" i="17"/>
  <c r="CJ152" i="17"/>
  <c r="CP152" i="17"/>
  <c r="CW152" i="17"/>
  <c r="DE152" i="17"/>
  <c r="AE152" i="17"/>
  <c r="CA143" i="17"/>
  <c r="CD143" i="17"/>
  <c r="CH143" i="17"/>
  <c r="DR143" i="17"/>
  <c r="DU143" i="17"/>
  <c r="CE143" i="17"/>
  <c r="DK143" i="17"/>
  <c r="DO143" i="17"/>
  <c r="DP143" i="17"/>
  <c r="DS143" i="17"/>
  <c r="AX143" i="17"/>
  <c r="AY143" i="17"/>
  <c r="BD143" i="17"/>
  <c r="BO143" i="17"/>
  <c r="BQ143" i="17"/>
  <c r="BT143" i="17"/>
  <c r="BW143" i="17"/>
  <c r="AV143" i="17"/>
  <c r="AZ143" i="17"/>
  <c r="BH143" i="17"/>
  <c r="BM143" i="17"/>
  <c r="BR143" i="17"/>
  <c r="BV143" i="17"/>
  <c r="CF143" i="17"/>
  <c r="CJ143" i="17"/>
  <c r="DL143" i="17"/>
  <c r="BB143" i="17"/>
  <c r="BI143" i="17"/>
  <c r="BN143" i="17"/>
  <c r="CC143" i="17"/>
  <c r="DV143" i="17"/>
  <c r="AG143" i="17"/>
  <c r="AW143" i="17"/>
  <c r="BE143" i="17"/>
  <c r="BK143" i="17"/>
  <c r="BZ143" i="17"/>
  <c r="DJ143" i="17"/>
  <c r="BC143" i="17"/>
  <c r="AU143" i="17"/>
  <c r="BL143" i="17"/>
  <c r="BS143" i="17"/>
  <c r="BY143" i="17"/>
  <c r="CB143" i="17"/>
  <c r="CG143" i="17"/>
  <c r="DI143" i="17"/>
  <c r="DN143" i="17"/>
  <c r="BA143" i="17"/>
  <c r="DW143" i="17"/>
  <c r="DQ143" i="17"/>
  <c r="BF143" i="17"/>
  <c r="BG143" i="17"/>
  <c r="BJ143" i="17"/>
  <c r="BP143" i="17"/>
  <c r="BU143" i="17"/>
  <c r="DM143" i="17"/>
  <c r="BX143" i="17"/>
  <c r="DT143" i="17"/>
  <c r="CH135" i="17"/>
  <c r="DQ135" i="17"/>
  <c r="BI135" i="17"/>
  <c r="DJ135" i="17"/>
  <c r="BM135" i="17"/>
  <c r="BY135" i="17"/>
  <c r="CG135" i="17"/>
  <c r="CW135" i="17"/>
  <c r="CY135" i="17"/>
  <c r="DA135" i="17"/>
  <c r="DK135" i="17"/>
  <c r="DT135" i="17"/>
  <c r="BE135" i="17"/>
  <c r="BS135" i="17"/>
  <c r="BV135" i="17"/>
  <c r="CD135" i="17"/>
  <c r="CT135" i="17"/>
  <c r="BK135" i="17"/>
  <c r="AG135" i="17"/>
  <c r="BT135" i="17"/>
  <c r="CA135" i="17"/>
  <c r="CZ135" i="17"/>
  <c r="DN135" i="17"/>
  <c r="DP135" i="17"/>
  <c r="DR135" i="17"/>
  <c r="BJ135" i="17"/>
  <c r="BP135" i="17"/>
  <c r="DC135" i="17"/>
  <c r="BZ135" i="17"/>
  <c r="DG135" i="17"/>
  <c r="DL135" i="17"/>
  <c r="DW135" i="17"/>
  <c r="BN135" i="17"/>
  <c r="BW135" i="17"/>
  <c r="DF135" i="17"/>
  <c r="DU135" i="17"/>
  <c r="CF135" i="17"/>
  <c r="CX135" i="17"/>
  <c r="DE135" i="17"/>
  <c r="DH135" i="17"/>
  <c r="DS135" i="17"/>
  <c r="DV135" i="17"/>
  <c r="BL135" i="17"/>
  <c r="BO135" i="17"/>
  <c r="CE135" i="17"/>
  <c r="CV135" i="17"/>
  <c r="DB135" i="17"/>
  <c r="BR135" i="17"/>
  <c r="BX135" i="17"/>
  <c r="CJ135" i="17"/>
  <c r="CU135" i="17"/>
  <c r="DD135" i="17"/>
  <c r="BF135" i="17"/>
  <c r="BU135" i="17"/>
  <c r="CB135" i="17"/>
  <c r="DM135" i="17"/>
  <c r="BH135" i="17"/>
  <c r="BQ135" i="17"/>
  <c r="CC135" i="17"/>
  <c r="DI135" i="17"/>
  <c r="DO135" i="17"/>
  <c r="BG135" i="17"/>
  <c r="AV36" i="17"/>
  <c r="AX36" i="17"/>
  <c r="BD36" i="17"/>
  <c r="BA36" i="17"/>
  <c r="AU36" i="17"/>
  <c r="CK36" i="17" s="1"/>
  <c r="AW36" i="17"/>
  <c r="BC36" i="17"/>
  <c r="AY36" i="17"/>
  <c r="BB36" i="17"/>
  <c r="AZ36" i="17"/>
  <c r="CK126" i="17"/>
  <c r="CL126" i="17"/>
  <c r="CN126" i="17"/>
  <c r="CO126" i="17"/>
  <c r="CQ126" i="17"/>
  <c r="CS126" i="17"/>
  <c r="CU126" i="17"/>
  <c r="CV126" i="17"/>
  <c r="CW126" i="17"/>
  <c r="CX126" i="17"/>
  <c r="CZ126" i="17"/>
  <c r="DC126" i="17"/>
  <c r="DE126" i="17"/>
  <c r="DF126" i="17"/>
  <c r="DG126" i="17"/>
  <c r="DI126" i="17"/>
  <c r="DJ126" i="17"/>
  <c r="DL126" i="17"/>
  <c r="DM126" i="17"/>
  <c r="DO126" i="17"/>
  <c r="DR126" i="17"/>
  <c r="DS126" i="17"/>
  <c r="DU126" i="17"/>
  <c r="DV126" i="17"/>
  <c r="DW126" i="17"/>
  <c r="DT126" i="17"/>
  <c r="CT126" i="17"/>
  <c r="CY126" i="17"/>
  <c r="DA126" i="17"/>
  <c r="DB126" i="17"/>
  <c r="DD126" i="17"/>
  <c r="DH126" i="17"/>
  <c r="DK126" i="17"/>
  <c r="DN126" i="17"/>
  <c r="DP126" i="17"/>
  <c r="DQ126" i="17"/>
  <c r="AA126" i="17"/>
  <c r="AB126" i="17"/>
  <c r="AD126" i="17"/>
  <c r="AG126" i="17"/>
  <c r="AH126" i="17"/>
  <c r="AI126" i="17"/>
  <c r="AM126" i="17"/>
  <c r="AO126" i="17"/>
  <c r="AS126" i="17"/>
  <c r="AU126" i="17"/>
  <c r="AV126" i="17"/>
  <c r="AX126" i="17"/>
  <c r="AZ126" i="17"/>
  <c r="BB126" i="17"/>
  <c r="BC126" i="17"/>
  <c r="BE126" i="17"/>
  <c r="BG126" i="17"/>
  <c r="BK126" i="17"/>
  <c r="BM126" i="17"/>
  <c r="BO126" i="17"/>
  <c r="BP126" i="17"/>
  <c r="BR126" i="17"/>
  <c r="BT126" i="17"/>
  <c r="BV126" i="17"/>
  <c r="BY126" i="17"/>
  <c r="BZ126" i="17"/>
  <c r="CB126" i="17"/>
  <c r="CC126" i="17"/>
  <c r="CE126" i="17"/>
  <c r="CG126" i="17"/>
  <c r="CJ126" i="17"/>
  <c r="AC126" i="17"/>
  <c r="AF126" i="17"/>
  <c r="AK126" i="17" s="1"/>
  <c r="AJ126" i="17"/>
  <c r="AL126" i="17"/>
  <c r="AN126" i="17"/>
  <c r="AR126" i="17"/>
  <c r="AW126" i="17"/>
  <c r="AY126" i="17"/>
  <c r="BA126" i="17"/>
  <c r="BD126" i="17"/>
  <c r="BF126" i="17"/>
  <c r="BH126" i="17"/>
  <c r="BI126" i="17"/>
  <c r="BJ126" i="17"/>
  <c r="BL126" i="17"/>
  <c r="AE126" i="17"/>
  <c r="BN126" i="17"/>
  <c r="BQ126" i="17"/>
  <c r="BS126" i="17"/>
  <c r="BU126" i="17"/>
  <c r="BW126" i="17"/>
  <c r="BX126" i="17"/>
  <c r="CA126" i="17"/>
  <c r="CD126" i="17"/>
  <c r="CF126" i="17"/>
  <c r="CH126" i="17"/>
  <c r="CM126" i="17"/>
  <c r="CP126" i="17"/>
  <c r="CR126" i="17"/>
  <c r="AZ238" i="17"/>
  <c r="AY238" i="17"/>
  <c r="AV238" i="17"/>
  <c r="AW238" i="17"/>
  <c r="BH238" i="17"/>
  <c r="BB238" i="17"/>
  <c r="BL238" i="17"/>
  <c r="BF238" i="17"/>
  <c r="BC238" i="17"/>
  <c r="BE238" i="17"/>
  <c r="BA238" i="17"/>
  <c r="AU238" i="17"/>
  <c r="AX238" i="17"/>
  <c r="BD238" i="17"/>
  <c r="AW108" i="17"/>
  <c r="AX108" i="17"/>
  <c r="AY108" i="17"/>
  <c r="AZ108" i="17"/>
  <c r="BO108" i="17"/>
  <c r="BR108" i="17"/>
  <c r="BN108" i="17"/>
  <c r="BC108" i="17"/>
  <c r="BJ108" i="17"/>
  <c r="AV108" i="17"/>
  <c r="BE108" i="17"/>
  <c r="BG108" i="17"/>
  <c r="BL108" i="17"/>
  <c r="BP108" i="17"/>
  <c r="BS108" i="17"/>
  <c r="AU108" i="17"/>
  <c r="CK108" i="17" s="1"/>
  <c r="BD108" i="17"/>
  <c r="BI108" i="17"/>
  <c r="BQ108" i="17"/>
  <c r="BA108" i="17"/>
  <c r="BB108" i="17"/>
  <c r="BF108" i="17"/>
  <c r="BH108" i="17"/>
  <c r="BK108" i="17"/>
  <c r="BM108" i="17"/>
  <c r="AZ119" i="17"/>
  <c r="BB119" i="17"/>
  <c r="BD119" i="17"/>
  <c r="AW119" i="17"/>
  <c r="BI119" i="17"/>
  <c r="AX119" i="17"/>
  <c r="AU119" i="17"/>
  <c r="AV119" i="17"/>
  <c r="BG119" i="17"/>
  <c r="BH119" i="17"/>
  <c r="AY119" i="17"/>
  <c r="BA119" i="17"/>
  <c r="BC119" i="17"/>
  <c r="BF119" i="17"/>
  <c r="BE119" i="17"/>
  <c r="CJ246" i="17"/>
  <c r="CG246" i="17"/>
  <c r="CE246" i="17"/>
  <c r="CD246" i="17"/>
  <c r="CH246" i="17"/>
  <c r="CC246" i="17"/>
  <c r="AU246" i="17"/>
  <c r="AG246" i="17"/>
  <c r="CF246" i="17"/>
  <c r="BA185" i="17"/>
  <c r="BD185" i="17"/>
  <c r="BG185" i="17"/>
  <c r="AV185" i="17"/>
  <c r="CJ276" i="17"/>
  <c r="DE276" i="17"/>
  <c r="DD276" i="17"/>
  <c r="DF276" i="17"/>
  <c r="CW66" i="17"/>
  <c r="DL66" i="17"/>
  <c r="DO66" i="17"/>
  <c r="DW66" i="17"/>
  <c r="AD66" i="17"/>
  <c r="AI66" i="17"/>
  <c r="AS66" i="17"/>
  <c r="BP66" i="17"/>
  <c r="BY66" i="17"/>
  <c r="CU66" i="17"/>
  <c r="DD66" i="17"/>
  <c r="DK66" i="17"/>
  <c r="DQ66" i="17"/>
  <c r="AE66" i="17"/>
  <c r="BF66" i="17"/>
  <c r="BH66" i="17"/>
  <c r="BK66" i="17"/>
  <c r="BR66" i="17"/>
  <c r="CH66" i="17"/>
  <c r="CL66" i="17"/>
  <c r="CR66" i="17"/>
  <c r="AM66" i="17"/>
  <c r="CV66" i="17"/>
  <c r="DB66" i="17"/>
  <c r="DF66" i="17"/>
  <c r="DM66" i="17"/>
  <c r="DS66" i="17"/>
  <c r="DU66" i="17"/>
  <c r="AG66" i="17"/>
  <c r="BA66" i="17"/>
  <c r="BQ66" i="17"/>
  <c r="BT66" i="17"/>
  <c r="CC66" i="17"/>
  <c r="CJ66" i="17"/>
  <c r="CS66" i="17"/>
  <c r="CY66" i="17"/>
  <c r="DC66" i="17"/>
  <c r="DJ66" i="17"/>
  <c r="DR66" i="17"/>
  <c r="AO66" i="17"/>
  <c r="AZ66" i="17"/>
  <c r="BC66" i="17"/>
  <c r="BJ66" i="17"/>
  <c r="BW66" i="17"/>
  <c r="BX66" i="17"/>
  <c r="CA66" i="17"/>
  <c r="CE66" i="17"/>
  <c r="CT66" i="17"/>
  <c r="DG66" i="17"/>
  <c r="DI66" i="17"/>
  <c r="DP66" i="17"/>
  <c r="DV66" i="17"/>
  <c r="AC66" i="17"/>
  <c r="AN66" i="17"/>
  <c r="AY66" i="17"/>
  <c r="CM66" i="17"/>
  <c r="DT66" i="17"/>
  <c r="AB66" i="17"/>
  <c r="AL66" i="17"/>
  <c r="AU66" i="17"/>
  <c r="BB66" i="17"/>
  <c r="BD66" i="17"/>
  <c r="BI66" i="17"/>
  <c r="BM66" i="17"/>
  <c r="BO66" i="17"/>
  <c r="CD66" i="17"/>
  <c r="CF66" i="17"/>
  <c r="CK66" i="17"/>
  <c r="CN66" i="17"/>
  <c r="CQ66" i="17"/>
  <c r="CX66" i="17"/>
  <c r="DE66" i="17"/>
  <c r="DH66" i="17"/>
  <c r="AA66" i="17"/>
  <c r="AJ66" i="17"/>
  <c r="AR66" i="17"/>
  <c r="AW66" i="17"/>
  <c r="BN66" i="17"/>
  <c r="BS66" i="17"/>
  <c r="BV66" i="17"/>
  <c r="CB66" i="17"/>
  <c r="CO66" i="17"/>
  <c r="CZ66" i="17"/>
  <c r="DN66" i="17"/>
  <c r="AF66" i="17"/>
  <c r="AK66" i="17" s="1"/>
  <c r="AH66" i="17"/>
  <c r="DA66" i="17"/>
  <c r="AV66" i="17"/>
  <c r="AX66" i="17"/>
  <c r="BE66" i="17"/>
  <c r="BG66" i="17"/>
  <c r="BL66" i="17"/>
  <c r="BU66" i="17"/>
  <c r="BZ66" i="17"/>
  <c r="CG66" i="17"/>
  <c r="CP66" i="17"/>
  <c r="BH56" i="17"/>
  <c r="AZ56" i="17"/>
  <c r="AV56" i="17"/>
  <c r="AY55" i="17"/>
  <c r="AV55" i="17"/>
  <c r="BI55" i="17"/>
  <c r="BA55" i="17"/>
  <c r="AX55" i="17"/>
  <c r="BH55" i="17"/>
  <c r="BC55" i="17"/>
  <c r="AZ55" i="17"/>
  <c r="AW55" i="17"/>
  <c r="BD55" i="17"/>
  <c r="BF55" i="17"/>
  <c r="BB55" i="17"/>
  <c r="BE55" i="17"/>
  <c r="AU55" i="17"/>
  <c r="CK55" i="17" s="1"/>
  <c r="BG55" i="17"/>
  <c r="AU96" i="17"/>
  <c r="BJ96" i="17"/>
  <c r="AZ96" i="17"/>
  <c r="BM96" i="17"/>
  <c r="BH96" i="17"/>
  <c r="BC246" i="17"/>
  <c r="BD246" i="17"/>
  <c r="BE246" i="17"/>
  <c r="BF246" i="17"/>
  <c r="BG246" i="17"/>
  <c r="BH246" i="17"/>
  <c r="BI246" i="17"/>
  <c r="BJ246" i="17"/>
  <c r="BK246" i="17"/>
  <c r="BL246" i="17"/>
  <c r="BM246" i="17"/>
  <c r="BN246" i="17"/>
  <c r="BO246" i="17"/>
  <c r="BP246" i="17"/>
  <c r="BQ246" i="17"/>
  <c r="BR246" i="17"/>
  <c r="AW246" i="17"/>
  <c r="BT246" i="17"/>
  <c r="BV246" i="17"/>
  <c r="BW246" i="17"/>
  <c r="BX246" i="17"/>
  <c r="BY246" i="17"/>
  <c r="BZ246" i="17"/>
  <c r="CA246" i="17"/>
  <c r="CB246" i="17"/>
  <c r="BU246" i="17"/>
  <c r="BS246" i="17"/>
  <c r="AZ246" i="17"/>
  <c r="AV246" i="17"/>
  <c r="AX246" i="17"/>
  <c r="AY246" i="17"/>
  <c r="BA246" i="17"/>
  <c r="BB246" i="17"/>
  <c r="DG276" i="17"/>
  <c r="DS276" i="17"/>
  <c r="DR276" i="17"/>
  <c r="DQ276" i="17"/>
  <c r="DO276" i="17"/>
  <c r="DN276" i="17"/>
  <c r="DM276" i="17"/>
  <c r="DL276" i="17"/>
  <c r="DK276" i="17"/>
  <c r="DJ276" i="17"/>
  <c r="DI276" i="17"/>
  <c r="DH276" i="17"/>
  <c r="DP276" i="17"/>
  <c r="DW276" i="17"/>
  <c r="DV276" i="17"/>
  <c r="DU276" i="17"/>
  <c r="DT276" i="17"/>
  <c r="BG238" i="17"/>
  <c r="BN238" i="17"/>
  <c r="BI238" i="17"/>
  <c r="BJ238" i="17"/>
  <c r="BM238" i="17"/>
  <c r="BK238" i="17"/>
  <c r="DD246" i="17"/>
  <c r="CY246" i="17"/>
  <c r="CZ246" i="17"/>
  <c r="DA246" i="17"/>
  <c r="DB246" i="17"/>
  <c r="DC246" i="17"/>
  <c r="DK246" i="17"/>
  <c r="DE246" i="17"/>
  <c r="DF246" i="17"/>
  <c r="DG246" i="17"/>
  <c r="DH246" i="17"/>
  <c r="DI246" i="17"/>
  <c r="DJ246" i="17"/>
  <c r="DL246" i="17"/>
  <c r="DM246" i="17"/>
  <c r="DN246" i="17"/>
  <c r="DO246" i="17"/>
  <c r="DP246" i="17"/>
  <c r="DQ246" i="17"/>
  <c r="DR246" i="17"/>
  <c r="DS246" i="17"/>
  <c r="DU246" i="17"/>
  <c r="DV246" i="17"/>
  <c r="DW246" i="17"/>
  <c r="DT246" i="17"/>
  <c r="AW30" i="17"/>
  <c r="AZ30" i="17"/>
  <c r="BG30" i="17"/>
  <c r="AY30" i="17"/>
  <c r="AU30" i="17"/>
  <c r="BC30" i="17"/>
  <c r="BI30" i="17"/>
  <c r="BJ30" i="17"/>
  <c r="AV30" i="17"/>
  <c r="BH30" i="17"/>
  <c r="BB30" i="17"/>
  <c r="BE30" i="17"/>
  <c r="BA30" i="17"/>
  <c r="BL30" i="17"/>
  <c r="BM30" i="17"/>
  <c r="AX30" i="17"/>
  <c r="BD30" i="17"/>
  <c r="BK30" i="17"/>
  <c r="BN30" i="17"/>
  <c r="BF30" i="17"/>
  <c r="AW172" i="17"/>
  <c r="AY172" i="17"/>
  <c r="BD172" i="17"/>
  <c r="AU172" i="17"/>
  <c r="BA172" i="17"/>
  <c r="BH172" i="17"/>
  <c r="BK172" i="17"/>
  <c r="BN172" i="17"/>
  <c r="BB172" i="17"/>
  <c r="BG172" i="17"/>
  <c r="BJ172" i="17"/>
  <c r="BM172" i="17"/>
  <c r="AV172" i="17"/>
  <c r="AX172" i="17"/>
  <c r="BE172" i="17"/>
  <c r="BF172" i="17"/>
  <c r="BI172" i="17"/>
  <c r="BL172" i="17"/>
  <c r="AZ172" i="17"/>
  <c r="BC172" i="17"/>
  <c r="AW106" i="17"/>
  <c r="AV106" i="17"/>
  <c r="BA106" i="17"/>
  <c r="AU106" i="17"/>
  <c r="AY106" i="17"/>
  <c r="BB106" i="17"/>
  <c r="AZ106" i="17"/>
  <c r="BD106" i="17"/>
  <c r="AX106" i="17"/>
  <c r="BC106" i="17"/>
  <c r="BA123" i="17"/>
  <c r="AW123" i="17"/>
  <c r="AX123" i="17"/>
  <c r="AY123" i="17"/>
  <c r="AZ123" i="17"/>
  <c r="AU123" i="17"/>
  <c r="BD123" i="17"/>
  <c r="BB123" i="17"/>
  <c r="AV123" i="17"/>
  <c r="BC123" i="17"/>
  <c r="BM186" i="17"/>
  <c r="BP186" i="17"/>
  <c r="BT186" i="17"/>
  <c r="BW186" i="17"/>
  <c r="CA186" i="17"/>
  <c r="CE186" i="17"/>
  <c r="CN186" i="17"/>
  <c r="CP186" i="17"/>
  <c r="CT186" i="17"/>
  <c r="CX186" i="17"/>
  <c r="DA186" i="17"/>
  <c r="DB186" i="17"/>
  <c r="DI186" i="17"/>
  <c r="DK186" i="17"/>
  <c r="DN186" i="17"/>
  <c r="DV186" i="17"/>
  <c r="AH186" i="17"/>
  <c r="BB186" i="17"/>
  <c r="BJ186" i="17"/>
  <c r="CG186" i="17"/>
  <c r="CM186" i="17"/>
  <c r="CW186" i="17"/>
  <c r="DG186" i="17"/>
  <c r="DP186" i="17"/>
  <c r="DS186" i="17"/>
  <c r="AG186" i="17"/>
  <c r="AM186" i="17"/>
  <c r="AN186" i="17"/>
  <c r="AS186" i="17"/>
  <c r="AY186" i="17"/>
  <c r="BC186" i="17"/>
  <c r="BK186" i="17"/>
  <c r="BS186" i="17"/>
  <c r="BY186" i="17"/>
  <c r="AX186" i="17"/>
  <c r="CB186" i="17"/>
  <c r="CF186" i="17"/>
  <c r="CK186" i="17"/>
  <c r="CS186" i="17"/>
  <c r="CV186" i="17"/>
  <c r="CY186" i="17"/>
  <c r="DC186" i="17"/>
  <c r="DE186" i="17"/>
  <c r="DJ186" i="17"/>
  <c r="DM186" i="17"/>
  <c r="DW186" i="17"/>
  <c r="AA186" i="17"/>
  <c r="AE186" i="17"/>
  <c r="AU186" i="17"/>
  <c r="AV186" i="17"/>
  <c r="AZ186" i="17"/>
  <c r="BF186" i="17"/>
  <c r="BO186" i="17"/>
  <c r="BR186" i="17"/>
  <c r="BU186" i="17"/>
  <c r="BX186" i="17"/>
  <c r="CD186" i="17"/>
  <c r="CH186" i="17"/>
  <c r="CL186" i="17"/>
  <c r="CR186" i="17"/>
  <c r="DD186" i="17"/>
  <c r="DL186" i="17"/>
  <c r="DQ186" i="17"/>
  <c r="DT186" i="17"/>
  <c r="AB186" i="17"/>
  <c r="AD186" i="17"/>
  <c r="AI186" i="17"/>
  <c r="AO186" i="17"/>
  <c r="BA186" i="17"/>
  <c r="BD186" i="17"/>
  <c r="BE186" i="17"/>
  <c r="BG186" i="17"/>
  <c r="BI186" i="17"/>
  <c r="BL186" i="17"/>
  <c r="BN186" i="17"/>
  <c r="BQ186" i="17"/>
  <c r="BV186" i="17"/>
  <c r="BZ186" i="17"/>
  <c r="CC186" i="17"/>
  <c r="CJ186" i="17"/>
  <c r="CO186" i="17"/>
  <c r="CQ186" i="17"/>
  <c r="CU186" i="17"/>
  <c r="CZ186" i="17"/>
  <c r="DF186" i="17"/>
  <c r="DH186" i="17"/>
  <c r="DO186" i="17"/>
  <c r="DR186" i="17"/>
  <c r="DU186" i="17"/>
  <c r="AC186" i="17"/>
  <c r="AF186" i="17"/>
  <c r="AK186" i="17" s="1"/>
  <c r="AJ186" i="17"/>
  <c r="AL186" i="17"/>
  <c r="AR186" i="17"/>
  <c r="AW186" i="17"/>
  <c r="BH186" i="17"/>
  <c r="BA135" i="17"/>
  <c r="AZ135" i="17"/>
  <c r="AV135" i="17"/>
  <c r="BC135" i="17"/>
  <c r="BD135" i="17"/>
  <c r="AW135" i="17"/>
  <c r="AY135" i="17"/>
  <c r="AX135" i="17"/>
  <c r="BB135" i="17"/>
  <c r="AU135" i="17"/>
  <c r="BA131" i="17"/>
  <c r="BB131" i="17"/>
  <c r="BC131" i="17"/>
  <c r="BD131" i="17"/>
  <c r="BE131" i="17"/>
  <c r="BF131" i="17"/>
  <c r="BG131" i="17"/>
  <c r="BH131" i="17"/>
  <c r="BI131" i="17"/>
  <c r="AX131" i="17"/>
  <c r="AZ131" i="17"/>
  <c r="AU131" i="17"/>
  <c r="AV131" i="17"/>
  <c r="AY131" i="17"/>
  <c r="AW131" i="17"/>
  <c r="AU125" i="17"/>
  <c r="AV125" i="17"/>
  <c r="BD125" i="17"/>
  <c r="BH125" i="17"/>
  <c r="BG125" i="17"/>
  <c r="BF125" i="17"/>
  <c r="BE125" i="17"/>
  <c r="BC125" i="17"/>
  <c r="BB125" i="17"/>
  <c r="BA125" i="17"/>
  <c r="AZ125" i="17"/>
  <c r="AY125" i="17"/>
  <c r="AX125" i="17"/>
  <c r="BI125" i="17"/>
  <c r="BJ125" i="17"/>
  <c r="BK125" i="17"/>
  <c r="AW125" i="17"/>
  <c r="BL125" i="17"/>
  <c r="BM125" i="17"/>
  <c r="BN125" i="17"/>
  <c r="BW109" i="17"/>
  <c r="BV109" i="17"/>
  <c r="BU109" i="17"/>
  <c r="BT109" i="17"/>
  <c r="BS109" i="17"/>
  <c r="BR109" i="17"/>
  <c r="BQ109" i="17"/>
  <c r="BP109" i="17"/>
  <c r="BO109" i="17"/>
  <c r="BN109" i="17"/>
  <c r="BM109" i="17"/>
  <c r="BL109" i="17"/>
  <c r="BK109" i="17"/>
  <c r="BJ109" i="17"/>
  <c r="BI109" i="17"/>
  <c r="BH109" i="17"/>
  <c r="BG109" i="17"/>
  <c r="AI109" i="17"/>
  <c r="BF109" i="17"/>
  <c r="BE109" i="17"/>
  <c r="BD109" i="17"/>
  <c r="BC109" i="17"/>
  <c r="BB109" i="17"/>
  <c r="BA109" i="17"/>
  <c r="AZ109" i="17"/>
  <c r="AX109" i="17"/>
  <c r="AW109" i="17"/>
  <c r="AV109" i="17"/>
  <c r="AU109" i="17"/>
  <c r="CQ109" i="17"/>
  <c r="AS109" i="17"/>
  <c r="AR109" i="17"/>
  <c r="AO109" i="17"/>
  <c r="AN109" i="17"/>
  <c r="AM109" i="17"/>
  <c r="AL109" i="17"/>
  <c r="AJ109" i="17"/>
  <c r="AH109" i="17"/>
  <c r="AG109" i="17"/>
  <c r="AF109" i="17"/>
  <c r="AK109" i="17" s="1"/>
  <c r="AE109" i="17"/>
  <c r="AD109" i="17"/>
  <c r="AC109" i="17"/>
  <c r="AB109" i="17"/>
  <c r="AA109" i="17"/>
  <c r="DW109" i="17"/>
  <c r="DV109" i="17"/>
  <c r="DU109" i="17"/>
  <c r="DT109" i="17"/>
  <c r="DS109" i="17"/>
  <c r="DR109" i="17"/>
  <c r="DQ109" i="17"/>
  <c r="DP109" i="17"/>
  <c r="DO109" i="17"/>
  <c r="DN109" i="17"/>
  <c r="DM109" i="17"/>
  <c r="DL109" i="17"/>
  <c r="DK109" i="17"/>
  <c r="DJ109" i="17"/>
  <c r="DI109" i="17"/>
  <c r="DH109" i="17"/>
  <c r="DG109" i="17"/>
  <c r="DF109" i="17"/>
  <c r="DE109" i="17"/>
  <c r="DD109" i="17"/>
  <c r="DC109" i="17"/>
  <c r="DB109" i="17"/>
  <c r="DA109" i="17"/>
  <c r="CZ109" i="17"/>
  <c r="CY109" i="17"/>
  <c r="CX109" i="17"/>
  <c r="CW109" i="17"/>
  <c r="CV109" i="17"/>
  <c r="CU109" i="17"/>
  <c r="CT109" i="17"/>
  <c r="CS109" i="17"/>
  <c r="CR109" i="17"/>
  <c r="AY109" i="17"/>
  <c r="CP109" i="17"/>
  <c r="CO109" i="17"/>
  <c r="CN109" i="17"/>
  <c r="CM109" i="17"/>
  <c r="CL109" i="17"/>
  <c r="CK109" i="17"/>
  <c r="CJ109" i="17"/>
  <c r="CH109" i="17"/>
  <c r="CG109" i="17"/>
  <c r="CF109" i="17"/>
  <c r="CE109" i="17"/>
  <c r="CD109" i="17"/>
  <c r="CC109" i="17"/>
  <c r="CB109" i="17"/>
  <c r="CA109" i="17"/>
  <c r="BZ109" i="17"/>
  <c r="BY109" i="17"/>
  <c r="BX109" i="17"/>
  <c r="BB39" i="17"/>
  <c r="BC39" i="17"/>
  <c r="AU39" i="17"/>
  <c r="AZ39" i="17"/>
  <c r="BA39" i="17"/>
  <c r="AY39" i="17"/>
  <c r="AW39" i="17"/>
  <c r="AV39" i="17"/>
  <c r="AX39" i="17"/>
  <c r="BD39" i="17"/>
  <c r="AV214" i="17"/>
  <c r="AU214" i="17"/>
  <c r="AW214" i="17"/>
  <c r="AX214" i="17"/>
  <c r="AY214" i="17"/>
  <c r="AZ214" i="17"/>
  <c r="BA214" i="17"/>
  <c r="BB214" i="17"/>
  <c r="BC214" i="17"/>
  <c r="BD214" i="17"/>
  <c r="AZ200" i="17"/>
  <c r="AX200" i="17"/>
  <c r="AV200" i="17"/>
  <c r="CG200" i="17"/>
  <c r="CD200" i="17"/>
  <c r="CA200" i="17"/>
  <c r="BU200" i="17"/>
  <c r="DK200" i="17"/>
  <c r="DO200" i="17"/>
  <c r="AG200" i="17"/>
  <c r="AU200" i="17"/>
  <c r="AW200" i="17"/>
  <c r="AY200" i="17"/>
  <c r="BA200" i="17"/>
  <c r="BC200" i="17"/>
  <c r="BF200" i="17"/>
  <c r="BH200" i="17"/>
  <c r="BK200" i="17"/>
  <c r="BN200" i="17"/>
  <c r="BP200" i="17"/>
  <c r="BQ200" i="17"/>
  <c r="BS200" i="17"/>
  <c r="DN200" i="17"/>
  <c r="CB200" i="17"/>
  <c r="BY200" i="17"/>
  <c r="BV200" i="17"/>
  <c r="DV200" i="17"/>
  <c r="DS200" i="17"/>
  <c r="DT200" i="17"/>
  <c r="DQ200" i="17"/>
  <c r="BX200" i="17"/>
  <c r="DW200" i="17"/>
  <c r="DI200" i="17"/>
  <c r="DG200" i="17"/>
  <c r="DR200" i="17"/>
  <c r="DU200" i="17"/>
  <c r="DD200" i="17"/>
  <c r="DP200" i="17"/>
  <c r="CJ200" i="17"/>
  <c r="CF200" i="17"/>
  <c r="DM200" i="17"/>
  <c r="DL200" i="17"/>
  <c r="DJ200" i="17"/>
  <c r="DH200" i="17"/>
  <c r="DF200" i="17"/>
  <c r="DE200" i="17"/>
  <c r="CH200" i="17"/>
  <c r="CE200" i="17"/>
  <c r="CC200" i="17"/>
  <c r="BZ200" i="17"/>
  <c r="BW200" i="17"/>
  <c r="BM200" i="17"/>
  <c r="BT200" i="17"/>
  <c r="BR200" i="17"/>
  <c r="BO200" i="17"/>
  <c r="BL200" i="17"/>
  <c r="BJ200" i="17"/>
  <c r="BI200" i="17"/>
  <c r="BG200" i="17"/>
  <c r="BE200" i="17"/>
  <c r="BD200" i="17"/>
  <c r="BB200" i="17"/>
  <c r="BG196" i="17"/>
  <c r="BD196" i="17"/>
  <c r="BK196" i="17"/>
  <c r="AX196" i="17"/>
  <c r="BC196" i="17"/>
  <c r="BL196" i="17"/>
  <c r="BB196" i="17"/>
  <c r="BH196" i="17"/>
  <c r="AU196" i="17"/>
  <c r="BE196" i="17"/>
  <c r="BJ196" i="17"/>
  <c r="AV196" i="17"/>
  <c r="AZ196" i="17"/>
  <c r="BF196" i="17"/>
  <c r="AW196" i="17"/>
  <c r="BN196" i="17"/>
  <c r="BI196" i="17"/>
  <c r="BA196" i="17"/>
  <c r="AY196" i="17"/>
  <c r="BM196" i="17"/>
  <c r="AZ169" i="17"/>
  <c r="BB169" i="17"/>
  <c r="BD169" i="17"/>
  <c r="BF169" i="17"/>
  <c r="BI169" i="17"/>
  <c r="BC169" i="17"/>
  <c r="BE169" i="17"/>
  <c r="AX169" i="17"/>
  <c r="BK169" i="17"/>
  <c r="BH169" i="17"/>
  <c r="BM169" i="17"/>
  <c r="BL169" i="17"/>
  <c r="AV169" i="17"/>
  <c r="AW169" i="17"/>
  <c r="AY169" i="17"/>
  <c r="BA169" i="17"/>
  <c r="BG169" i="17"/>
  <c r="BJ169" i="17"/>
  <c r="BN169" i="17"/>
  <c r="AU169" i="17"/>
  <c r="BE111" i="17"/>
  <c r="BD111" i="17"/>
  <c r="AU111" i="17"/>
  <c r="AV111" i="17"/>
  <c r="AW111" i="17"/>
  <c r="AX111" i="17"/>
  <c r="AY111" i="17"/>
  <c r="AZ111" i="17"/>
  <c r="BA111" i="17"/>
  <c r="BB111" i="17"/>
  <c r="BC111" i="17"/>
  <c r="BF111" i="17"/>
  <c r="BG111" i="17"/>
  <c r="BH111" i="17"/>
  <c r="BI111" i="17"/>
  <c r="BJ111" i="17"/>
  <c r="BK111" i="17"/>
  <c r="BL111" i="17"/>
  <c r="BM111" i="17"/>
  <c r="BN111" i="17"/>
  <c r="BO111" i="17"/>
  <c r="BP111" i="17"/>
  <c r="BQ111" i="17"/>
  <c r="BR111" i="17"/>
  <c r="BS111" i="17"/>
  <c r="BM177" i="17"/>
  <c r="BP177" i="17"/>
  <c r="BT177" i="17"/>
  <c r="BX177" i="17"/>
  <c r="CF177" i="17"/>
  <c r="CG177" i="17"/>
  <c r="DC177" i="17"/>
  <c r="DI177" i="17"/>
  <c r="DK177" i="17"/>
  <c r="DM177" i="17"/>
  <c r="DP177" i="17"/>
  <c r="AV177" i="17"/>
  <c r="BC177" i="17"/>
  <c r="BF177" i="17"/>
  <c r="BH177" i="17"/>
  <c r="BQ177" i="17"/>
  <c r="BS177" i="17"/>
  <c r="BW177" i="17"/>
  <c r="BZ177" i="17"/>
  <c r="CB177" i="17"/>
  <c r="CD177" i="17"/>
  <c r="DT177" i="17"/>
  <c r="DD177" i="17"/>
  <c r="BD177" i="17"/>
  <c r="BG177" i="17"/>
  <c r="BK177" i="17"/>
  <c r="BO177" i="17"/>
  <c r="BV177" i="17"/>
  <c r="DH177" i="17"/>
  <c r="DF177" i="17"/>
  <c r="DA177" i="17"/>
  <c r="CA177" i="17"/>
  <c r="CJ177" i="17"/>
  <c r="DJ177" i="17"/>
  <c r="DO177" i="17"/>
  <c r="CY177" i="17"/>
  <c r="CC177" i="17"/>
  <c r="BU177" i="17"/>
  <c r="BN177" i="17"/>
  <c r="BB177" i="17"/>
  <c r="AY177" i="17"/>
  <c r="DW177" i="17"/>
  <c r="DQ177" i="17"/>
  <c r="DN177" i="17"/>
  <c r="AX177" i="17"/>
  <c r="BE177" i="17"/>
  <c r="BJ177" i="17"/>
  <c r="DS177" i="17"/>
  <c r="DV177" i="17"/>
  <c r="AU177" i="17"/>
  <c r="BI177" i="17"/>
  <c r="BL177" i="17"/>
  <c r="BR177" i="17"/>
  <c r="BY177" i="17"/>
  <c r="CE177" i="17"/>
  <c r="CZ177" i="17"/>
  <c r="DB177" i="17"/>
  <c r="DE177" i="17"/>
  <c r="DG177" i="17"/>
  <c r="DL177" i="17"/>
  <c r="DR177" i="17"/>
  <c r="CH177" i="17"/>
  <c r="DU177" i="17"/>
  <c r="AG177" i="17"/>
  <c r="AW177" i="17"/>
  <c r="AZ177" i="17"/>
  <c r="BA177" i="17"/>
  <c r="AY140" i="17"/>
  <c r="AV140" i="17"/>
  <c r="AW140" i="17"/>
  <c r="BA140" i="17"/>
  <c r="AZ140" i="17"/>
  <c r="BF140" i="17"/>
  <c r="AX140" i="17"/>
  <c r="BI140" i="17"/>
  <c r="BG140" i="17"/>
  <c r="BH140" i="17"/>
  <c r="BD140" i="17"/>
  <c r="AU140" i="17"/>
  <c r="BE140" i="17"/>
  <c r="BC140" i="17"/>
  <c r="BB140" i="17"/>
  <c r="AV115" i="17"/>
  <c r="AY115" i="17"/>
  <c r="AZ115" i="17"/>
  <c r="BB115" i="17"/>
  <c r="BD115" i="17"/>
  <c r="BI115" i="17"/>
  <c r="AW115" i="17"/>
  <c r="BF115" i="17"/>
  <c r="BE115" i="17"/>
  <c r="AU115" i="17"/>
  <c r="BH115" i="17"/>
  <c r="BA115" i="17"/>
  <c r="AX115" i="17"/>
  <c r="BC115" i="17"/>
  <c r="BG115" i="17"/>
  <c r="BA98" i="17"/>
  <c r="AU98" i="17"/>
  <c r="AW98" i="17"/>
  <c r="AZ98" i="17"/>
  <c r="AV98" i="17"/>
  <c r="AY98" i="17"/>
  <c r="BC98" i="17"/>
  <c r="BD98" i="17"/>
  <c r="AX98" i="17"/>
  <c r="BB98" i="17"/>
  <c r="DR92" i="17"/>
  <c r="AD92" i="17"/>
  <c r="AL92" i="17"/>
  <c r="AS92" i="17"/>
  <c r="BH92" i="17"/>
  <c r="BL92" i="17"/>
  <c r="BO92" i="17"/>
  <c r="BR92" i="17"/>
  <c r="BV92" i="17"/>
  <c r="AW92" i="17"/>
  <c r="CC92" i="17"/>
  <c r="BM92" i="17"/>
  <c r="CJ92" i="17"/>
  <c r="CR92" i="17"/>
  <c r="CW92" i="17"/>
  <c r="DC92" i="17"/>
  <c r="DM92" i="17"/>
  <c r="AH92" i="17"/>
  <c r="AM92" i="17"/>
  <c r="AV92" i="17"/>
  <c r="BN92" i="17"/>
  <c r="CF92" i="17"/>
  <c r="CZ92" i="17"/>
  <c r="DD92" i="17"/>
  <c r="AB92" i="17"/>
  <c r="AI92" i="17"/>
  <c r="AZ92" i="17"/>
  <c r="BD92" i="17"/>
  <c r="BJ92" i="17"/>
  <c r="BT92" i="17"/>
  <c r="BX92" i="17"/>
  <c r="CK92" i="17"/>
  <c r="CO92" i="17"/>
  <c r="CT92" i="17"/>
  <c r="BE92" i="17"/>
  <c r="BZ92" i="17"/>
  <c r="BW92" i="17"/>
  <c r="BQ92" i="17"/>
  <c r="AY92" i="17"/>
  <c r="AR92" i="17"/>
  <c r="AN92" i="17"/>
  <c r="AJ92" i="17"/>
  <c r="AE92" i="17"/>
  <c r="AC92" i="17"/>
  <c r="AA92" i="17"/>
  <c r="DW92" i="17"/>
  <c r="DP92" i="17"/>
  <c r="CE92" i="17"/>
  <c r="CN92" i="17"/>
  <c r="CQ92" i="17"/>
  <c r="CS92" i="17"/>
  <c r="CV92" i="17"/>
  <c r="CY92" i="17"/>
  <c r="DI92" i="17"/>
  <c r="DT92" i="17"/>
  <c r="AU92" i="17"/>
  <c r="AX92" i="17"/>
  <c r="BC92" i="17"/>
  <c r="BK92" i="17"/>
  <c r="BP92" i="17"/>
  <c r="BU92" i="17"/>
  <c r="BY92" i="17"/>
  <c r="CB92" i="17"/>
  <c r="CD92" i="17"/>
  <c r="CP92" i="17"/>
  <c r="CU92" i="17"/>
  <c r="DO92" i="17"/>
  <c r="DL92" i="17"/>
  <c r="DN92" i="17"/>
  <c r="DQ92" i="17"/>
  <c r="DV92" i="17"/>
  <c r="AG92" i="17"/>
  <c r="AO92" i="17"/>
  <c r="BA92" i="17"/>
  <c r="BG92" i="17"/>
  <c r="CA92" i="17"/>
  <c r="CH92" i="17"/>
  <c r="CM92" i="17"/>
  <c r="DH92" i="17"/>
  <c r="DE92" i="17"/>
  <c r="DK92" i="17"/>
  <c r="DS92" i="17"/>
  <c r="DU92" i="17"/>
  <c r="DJ92" i="17"/>
  <c r="DF92" i="17"/>
  <c r="DA92" i="17"/>
  <c r="CX92" i="17"/>
  <c r="BI92" i="17"/>
  <c r="BS92" i="17"/>
  <c r="CG92" i="17"/>
  <c r="CL92" i="17"/>
  <c r="AF92" i="17"/>
  <c r="AK92" i="17" s="1"/>
  <c r="BB92" i="17"/>
  <c r="DB92" i="17"/>
  <c r="BF92" i="17"/>
  <c r="DG92" i="17"/>
  <c r="BL83" i="17"/>
  <c r="BP83" i="17"/>
  <c r="BT83" i="17"/>
  <c r="CD83" i="17"/>
  <c r="CJ83" i="17"/>
  <c r="DK83" i="17"/>
  <c r="DO83" i="17"/>
  <c r="DS83" i="17"/>
  <c r="BC83" i="17"/>
  <c r="BF83" i="17"/>
  <c r="BI83" i="17"/>
  <c r="BR83" i="17"/>
  <c r="BS83" i="17"/>
  <c r="CB83" i="17"/>
  <c r="DE83" i="17"/>
  <c r="DN83" i="17"/>
  <c r="DT83" i="17"/>
  <c r="BB83" i="17"/>
  <c r="BM83" i="17"/>
  <c r="BU83" i="17"/>
  <c r="BY83" i="17"/>
  <c r="DG83" i="17"/>
  <c r="DR83" i="17"/>
  <c r="AU83" i="17"/>
  <c r="BJ83" i="17"/>
  <c r="BW83" i="17"/>
  <c r="BZ83" i="17"/>
  <c r="CA83" i="17"/>
  <c r="CC83" i="17"/>
  <c r="DF83" i="17"/>
  <c r="DJ83" i="17"/>
  <c r="DL83" i="17"/>
  <c r="AV83" i="17"/>
  <c r="BD83" i="17"/>
  <c r="BG83" i="17"/>
  <c r="BO83" i="17"/>
  <c r="BV83" i="17"/>
  <c r="CH83" i="17"/>
  <c r="DI83" i="17"/>
  <c r="DP83" i="17"/>
  <c r="DU83" i="17"/>
  <c r="DW83" i="17"/>
  <c r="AY83" i="17"/>
  <c r="BK83" i="17"/>
  <c r="BQ83" i="17"/>
  <c r="CF83" i="17"/>
  <c r="DD83" i="17"/>
  <c r="DQ83" i="17"/>
  <c r="DV83" i="17"/>
  <c r="CE83" i="17"/>
  <c r="AG83" i="17"/>
  <c r="AX83" i="17"/>
  <c r="BA83" i="17"/>
  <c r="BN83" i="17"/>
  <c r="BX83" i="17"/>
  <c r="CG83" i="17"/>
  <c r="DH83" i="17"/>
  <c r="DM83" i="17"/>
  <c r="AW83" i="17"/>
  <c r="AZ83" i="17"/>
  <c r="BE83" i="17"/>
  <c r="BH83" i="17"/>
  <c r="DS173" i="17"/>
  <c r="AU173" i="17"/>
  <c r="AX173" i="17"/>
  <c r="BC173" i="17"/>
  <c r="BG173" i="17"/>
  <c r="BL173" i="17"/>
  <c r="CC173" i="17"/>
  <c r="CJ173" i="17"/>
  <c r="DD173" i="17"/>
  <c r="DL173" i="17"/>
  <c r="DQ173" i="17"/>
  <c r="DV173" i="17"/>
  <c r="BF173" i="17"/>
  <c r="BJ173" i="17"/>
  <c r="BN173" i="17"/>
  <c r="BT173" i="17"/>
  <c r="BV173" i="17"/>
  <c r="BY173" i="17"/>
  <c r="CF173" i="17"/>
  <c r="DI173" i="17"/>
  <c r="DP173" i="17"/>
  <c r="DW173" i="17"/>
  <c r="DK173" i="17"/>
  <c r="DG173" i="17"/>
  <c r="DO173" i="17"/>
  <c r="AZ173" i="17"/>
  <c r="BA173" i="17"/>
  <c r="BD173" i="17"/>
  <c r="BH173" i="17"/>
  <c r="BQ173" i="17"/>
  <c r="CD173" i="17"/>
  <c r="CH173" i="17"/>
  <c r="DE173" i="17"/>
  <c r="DH173" i="17"/>
  <c r="DR173" i="17"/>
  <c r="DU173" i="17"/>
  <c r="AV173" i="17"/>
  <c r="AY173" i="17"/>
  <c r="BE173" i="17"/>
  <c r="BI173" i="17"/>
  <c r="BM173" i="17"/>
  <c r="BO173" i="17"/>
  <c r="BS173" i="17"/>
  <c r="BW173" i="17"/>
  <c r="BZ173" i="17"/>
  <c r="DF173" i="17"/>
  <c r="DJ173" i="17"/>
  <c r="DM173" i="17"/>
  <c r="DN173" i="17"/>
  <c r="DT173" i="17"/>
  <c r="AG173" i="17"/>
  <c r="AW173" i="17"/>
  <c r="BB173" i="17"/>
  <c r="BK173" i="17"/>
  <c r="BP173" i="17"/>
  <c r="BR173" i="17"/>
  <c r="BU173" i="17"/>
  <c r="BX173" i="17"/>
  <c r="CA173" i="17"/>
  <c r="CB173" i="17"/>
  <c r="CE173" i="17"/>
  <c r="CG173" i="17"/>
  <c r="E36" i="7"/>
  <c r="B38" i="7" s="1"/>
  <c r="B42" i="7" s="1"/>
  <c r="B29" i="22" s="1"/>
  <c r="D29" i="22" s="1"/>
  <c r="AC271" i="17"/>
  <c r="AD271" i="17"/>
  <c r="AE271" i="17"/>
  <c r="AF271" i="17"/>
  <c r="AK271" i="17" s="1"/>
  <c r="AG271" i="17"/>
  <c r="AH271" i="17"/>
  <c r="AI271" i="17"/>
  <c r="AJ271" i="17"/>
  <c r="AL271" i="17"/>
  <c r="AM271" i="17"/>
  <c r="AN271" i="17"/>
  <c r="AO271" i="17"/>
  <c r="AR271" i="17"/>
  <c r="AS271" i="17"/>
  <c r="AU271" i="17"/>
  <c r="AV271" i="17"/>
  <c r="AW271" i="17"/>
  <c r="AX271" i="17"/>
  <c r="AY271" i="17"/>
  <c r="AZ271" i="17"/>
  <c r="BA271" i="17"/>
  <c r="BB271" i="17"/>
  <c r="BC271" i="17"/>
  <c r="BD271" i="17"/>
  <c r="BE271" i="17"/>
  <c r="BF271" i="17"/>
  <c r="BG271" i="17"/>
  <c r="BH271" i="17"/>
  <c r="BI271" i="17"/>
  <c r="BJ271" i="17"/>
  <c r="BK271" i="17"/>
  <c r="BL271" i="17"/>
  <c r="BM271" i="17"/>
  <c r="BN271" i="17"/>
  <c r="BO271" i="17"/>
  <c r="BP271" i="17"/>
  <c r="BQ271" i="17"/>
  <c r="BR271" i="17"/>
  <c r="BS271" i="17"/>
  <c r="BT271" i="17"/>
  <c r="BU271" i="17"/>
  <c r="BV271" i="17"/>
  <c r="BW271" i="17"/>
  <c r="BX271" i="17"/>
  <c r="BY271" i="17"/>
  <c r="BZ271" i="17"/>
  <c r="CA271" i="17"/>
  <c r="CB271" i="17"/>
  <c r="CC271" i="17"/>
  <c r="CD271" i="17"/>
  <c r="CE271" i="17"/>
  <c r="CF271" i="17"/>
  <c r="CG271" i="17"/>
  <c r="CH271" i="17"/>
  <c r="CJ271" i="17"/>
  <c r="CK271" i="17"/>
  <c r="CL271" i="17"/>
  <c r="CM271" i="17"/>
  <c r="CN271" i="17"/>
  <c r="CO271" i="17"/>
  <c r="CP271" i="17"/>
  <c r="CQ271" i="17"/>
  <c r="CR271" i="17"/>
  <c r="CS271" i="17"/>
  <c r="CT271" i="17"/>
  <c r="CU271" i="17"/>
  <c r="CV271" i="17"/>
  <c r="CW271" i="17"/>
  <c r="CX271" i="17"/>
  <c r="CY271" i="17"/>
  <c r="DW271" i="17"/>
  <c r="CZ271" i="17"/>
  <c r="DB271" i="17"/>
  <c r="DC271" i="17"/>
  <c r="DD271" i="17"/>
  <c r="DE271" i="17"/>
  <c r="DF271" i="17"/>
  <c r="DG271" i="17"/>
  <c r="DH271" i="17"/>
  <c r="DI271" i="17"/>
  <c r="DJ271" i="17"/>
  <c r="DK271" i="17"/>
  <c r="DL271" i="17"/>
  <c r="DA271" i="17"/>
  <c r="DN271" i="17"/>
  <c r="DO271" i="17"/>
  <c r="DP271" i="17"/>
  <c r="DQ271" i="17"/>
  <c r="DR271" i="17"/>
  <c r="DS271" i="17"/>
  <c r="DT271" i="17"/>
  <c r="DU271" i="17"/>
  <c r="DV271" i="17"/>
  <c r="AA271" i="17"/>
  <c r="AB271" i="17"/>
  <c r="DM271" i="17"/>
  <c r="BC254" i="17"/>
  <c r="BD254" i="17"/>
  <c r="BE254" i="17"/>
  <c r="BF254" i="17"/>
  <c r="BG254" i="17"/>
  <c r="BH254" i="17"/>
  <c r="BI254" i="17"/>
  <c r="BJ254" i="17"/>
  <c r="BK254" i="17"/>
  <c r="BL254" i="17"/>
  <c r="BM254" i="17"/>
  <c r="BN254" i="17"/>
  <c r="BO254" i="17"/>
  <c r="BQ254" i="17"/>
  <c r="BR254" i="17"/>
  <c r="BS254" i="17"/>
  <c r="BT254" i="17"/>
  <c r="BU254" i="17"/>
  <c r="BV254" i="17"/>
  <c r="BW254" i="17"/>
  <c r="BX254" i="17"/>
  <c r="BY254" i="17"/>
  <c r="BZ254" i="17"/>
  <c r="CA254" i="17"/>
  <c r="CB254" i="17"/>
  <c r="CC254" i="17"/>
  <c r="CD254" i="17"/>
  <c r="CE254" i="17"/>
  <c r="CF254" i="17"/>
  <c r="CG254" i="17"/>
  <c r="CH254" i="17"/>
  <c r="CJ254" i="17"/>
  <c r="CK254" i="17"/>
  <c r="CL254" i="17"/>
  <c r="CM254" i="17"/>
  <c r="CN254" i="17"/>
  <c r="CO254" i="17"/>
  <c r="CP254" i="17"/>
  <c r="CQ254" i="17"/>
  <c r="CR254" i="17"/>
  <c r="CS254" i="17"/>
  <c r="CT254" i="17"/>
  <c r="CU254" i="17"/>
  <c r="CV254" i="17"/>
  <c r="CW254" i="17"/>
  <c r="CX254" i="17"/>
  <c r="CY254" i="17"/>
  <c r="CZ254" i="17"/>
  <c r="DA254" i="17"/>
  <c r="DB254" i="17"/>
  <c r="DC254" i="17"/>
  <c r="DD254" i="17"/>
  <c r="DE254" i="17"/>
  <c r="DF254" i="17"/>
  <c r="DG254" i="17"/>
  <c r="DH254" i="17"/>
  <c r="DI254" i="17"/>
  <c r="DJ254" i="17"/>
  <c r="DK254" i="17"/>
  <c r="DL254" i="17"/>
  <c r="DM254" i="17"/>
  <c r="DN254" i="17"/>
  <c r="DO254" i="17"/>
  <c r="DP254" i="17"/>
  <c r="DQ254" i="17"/>
  <c r="DR254" i="17"/>
  <c r="DS254" i="17"/>
  <c r="DT254" i="17"/>
  <c r="DU254" i="17"/>
  <c r="DV254" i="17"/>
  <c r="DW254" i="17"/>
  <c r="BP254" i="17"/>
  <c r="BA254" i="17"/>
  <c r="BB254" i="17"/>
  <c r="AZ254" i="17"/>
  <c r="AA254" i="17"/>
  <c r="AB254" i="17"/>
  <c r="AC254" i="17"/>
  <c r="AD254" i="17"/>
  <c r="AE254" i="17"/>
  <c r="AF254" i="17"/>
  <c r="AK254" i="17" s="1"/>
  <c r="AG254" i="17"/>
  <c r="AH254" i="17"/>
  <c r="AI254" i="17"/>
  <c r="AJ254" i="17"/>
  <c r="AL254" i="17"/>
  <c r="AM254" i="17"/>
  <c r="AN254" i="17"/>
  <c r="AO254" i="17"/>
  <c r="AR254" i="17"/>
  <c r="AS254" i="17"/>
  <c r="AU254" i="17"/>
  <c r="AV254" i="17"/>
  <c r="AW254" i="17"/>
  <c r="AX254" i="17"/>
  <c r="AY254" i="17"/>
  <c r="AW195" i="17"/>
  <c r="AV195" i="17"/>
  <c r="BN195" i="17"/>
  <c r="BM195" i="17"/>
  <c r="BL195" i="17"/>
  <c r="BK195" i="17"/>
  <c r="BJ195" i="17"/>
  <c r="BI195" i="17"/>
  <c r="BH195" i="17"/>
  <c r="BG195" i="17"/>
  <c r="BF195" i="17"/>
  <c r="BE195" i="17"/>
  <c r="BD195" i="17"/>
  <c r="AU195" i="17"/>
  <c r="BB195" i="17"/>
  <c r="BA195" i="17"/>
  <c r="AY195" i="17"/>
  <c r="AX195" i="17"/>
  <c r="AZ195" i="17"/>
  <c r="BC195" i="17"/>
  <c r="AL237" i="17"/>
  <c r="AM237" i="17"/>
  <c r="AO237" i="17"/>
  <c r="AR237" i="17"/>
  <c r="AU237" i="17"/>
  <c r="AX237" i="17"/>
  <c r="AZ237" i="17"/>
  <c r="BB237" i="17"/>
  <c r="BD237" i="17"/>
  <c r="BE237" i="17"/>
  <c r="BF237" i="17"/>
  <c r="BG237" i="17"/>
  <c r="BH237" i="17"/>
  <c r="BI237" i="17"/>
  <c r="BJ237" i="17"/>
  <c r="BK237" i="17"/>
  <c r="BL237" i="17"/>
  <c r="BM237" i="17"/>
  <c r="BN237" i="17"/>
  <c r="BO237" i="17"/>
  <c r="BP237" i="17"/>
  <c r="BQ237" i="17"/>
  <c r="BR237" i="17"/>
  <c r="BS237" i="17"/>
  <c r="BT237" i="17"/>
  <c r="BU237" i="17"/>
  <c r="BV237" i="17"/>
  <c r="BW237" i="17"/>
  <c r="BX237" i="17"/>
  <c r="BY237" i="17"/>
  <c r="BZ237" i="17"/>
  <c r="CA237" i="17"/>
  <c r="CB237" i="17"/>
  <c r="CC237" i="17"/>
  <c r="CD237" i="17"/>
  <c r="CE237" i="17"/>
  <c r="CF237" i="17"/>
  <c r="CH237" i="17"/>
  <c r="CJ237" i="17"/>
  <c r="CK237" i="17"/>
  <c r="CL237" i="17"/>
  <c r="CM237" i="17"/>
  <c r="CN237" i="17"/>
  <c r="CO237" i="17"/>
  <c r="CP237" i="17"/>
  <c r="CQ237" i="17"/>
  <c r="CR237" i="17"/>
  <c r="CS237" i="17"/>
  <c r="CT237" i="17"/>
  <c r="CU237" i="17"/>
  <c r="CV237" i="17"/>
  <c r="CW237" i="17"/>
  <c r="CX237" i="17"/>
  <c r="CY237" i="17"/>
  <c r="CZ237" i="17"/>
  <c r="DA237" i="17"/>
  <c r="DB237" i="17"/>
  <c r="DC237" i="17"/>
  <c r="DD237" i="17"/>
  <c r="DF237" i="17"/>
  <c r="DG237" i="17"/>
  <c r="DH237" i="17"/>
  <c r="DI237" i="17"/>
  <c r="DJ237" i="17"/>
  <c r="DK237" i="17"/>
  <c r="DL237" i="17"/>
  <c r="DM237" i="17"/>
  <c r="DN237" i="17"/>
  <c r="DO237" i="17"/>
  <c r="DP237" i="17"/>
  <c r="DQ237" i="17"/>
  <c r="DR237" i="17"/>
  <c r="DS237" i="17"/>
  <c r="DT237" i="17"/>
  <c r="DU237" i="17"/>
  <c r="DV237" i="17"/>
  <c r="DW237" i="17"/>
  <c r="DE237" i="17"/>
  <c r="CG237" i="17"/>
  <c r="AB237" i="17"/>
  <c r="AC237" i="17"/>
  <c r="AD237" i="17"/>
  <c r="AE237" i="17"/>
  <c r="AG237" i="17"/>
  <c r="AI237" i="17"/>
  <c r="AJ237" i="17"/>
  <c r="AN237" i="17"/>
  <c r="AS237" i="17"/>
  <c r="AV237" i="17"/>
  <c r="AW237" i="17"/>
  <c r="AY237" i="17"/>
  <c r="BA237" i="17"/>
  <c r="BC237" i="17"/>
  <c r="AA237" i="17"/>
  <c r="AF237" i="17"/>
  <c r="AK237" i="17" s="1"/>
  <c r="AH237" i="17"/>
  <c r="BC231" i="17"/>
  <c r="BE231" i="17"/>
  <c r="BG231" i="17"/>
  <c r="BI231" i="17"/>
  <c r="BH231" i="17"/>
  <c r="BB231" i="17"/>
  <c r="BF231" i="17"/>
  <c r="BD231" i="17"/>
  <c r="AZ231" i="17"/>
  <c r="AX231" i="17"/>
  <c r="AV231" i="17"/>
  <c r="AY231" i="17"/>
  <c r="AW231" i="17"/>
  <c r="AU231" i="17"/>
  <c r="BA231" i="17"/>
  <c r="BF228" i="17"/>
  <c r="BG228" i="17"/>
  <c r="BH228" i="17"/>
  <c r="BI228" i="17"/>
  <c r="BJ228" i="17"/>
  <c r="BK228" i="17"/>
  <c r="BL228" i="17"/>
  <c r="BM228" i="17"/>
  <c r="BN228" i="17"/>
  <c r="BO228" i="17"/>
  <c r="BP228" i="17"/>
  <c r="BQ228" i="17"/>
  <c r="BR228" i="17"/>
  <c r="BS228" i="17"/>
  <c r="BT228" i="17"/>
  <c r="BU228" i="17"/>
  <c r="BV228" i="17"/>
  <c r="BW228" i="17"/>
  <c r="BX228" i="17"/>
  <c r="BY228" i="17"/>
  <c r="BZ228" i="17"/>
  <c r="CA228" i="17"/>
  <c r="CB228" i="17"/>
  <c r="CC228" i="17"/>
  <c r="AZ228" i="17"/>
  <c r="CE228" i="17"/>
  <c r="CF228" i="17"/>
  <c r="CG228" i="17"/>
  <c r="CH228" i="17"/>
  <c r="CJ228" i="17"/>
  <c r="DD228" i="17"/>
  <c r="DE228" i="17"/>
  <c r="DF228" i="17"/>
  <c r="DG228" i="17"/>
  <c r="DH228" i="17"/>
  <c r="DI228" i="17"/>
  <c r="DJ228" i="17"/>
  <c r="DK228" i="17"/>
  <c r="DL228" i="17"/>
  <c r="DM228" i="17"/>
  <c r="DN228" i="17"/>
  <c r="DO228" i="17"/>
  <c r="AG228" i="17"/>
  <c r="DQ228" i="17"/>
  <c r="DR228" i="17"/>
  <c r="DS228" i="17"/>
  <c r="DT228" i="17"/>
  <c r="DU228" i="17"/>
  <c r="DV228" i="17"/>
  <c r="DW228" i="17"/>
  <c r="AU228" i="17"/>
  <c r="AV228" i="17"/>
  <c r="CD228" i="17"/>
  <c r="AW228" i="17"/>
  <c r="AX228" i="17"/>
  <c r="AY228" i="17"/>
  <c r="BA228" i="17"/>
  <c r="BB228" i="17"/>
  <c r="BC228" i="17"/>
  <c r="BD228" i="17"/>
  <c r="BE228" i="17"/>
  <c r="DP228" i="17"/>
  <c r="CA220" i="17"/>
  <c r="AG220" i="17"/>
  <c r="AU220" i="17"/>
  <c r="AV220" i="17"/>
  <c r="AW220" i="17"/>
  <c r="AX220" i="17"/>
  <c r="AY220" i="17"/>
  <c r="AZ220" i="17"/>
  <c r="BA220" i="17"/>
  <c r="BB220" i="17"/>
  <c r="CD220" i="17"/>
  <c r="CE220" i="17"/>
  <c r="CF220" i="17"/>
  <c r="CG220" i="17"/>
  <c r="CH220" i="17"/>
  <c r="CJ220" i="17"/>
  <c r="CY220" i="17"/>
  <c r="CZ220" i="17"/>
  <c r="DA220" i="17"/>
  <c r="DB220" i="17"/>
  <c r="DC220" i="17"/>
  <c r="DD220" i="17"/>
  <c r="DE220" i="17"/>
  <c r="DF220" i="17"/>
  <c r="DG220" i="17"/>
  <c r="DH220" i="17"/>
  <c r="DI220" i="17"/>
  <c r="DJ220" i="17"/>
  <c r="DK220" i="17"/>
  <c r="DL220" i="17"/>
  <c r="DM220" i="17"/>
  <c r="DN220" i="17"/>
  <c r="DO220" i="17"/>
  <c r="DP220" i="17"/>
  <c r="DQ220" i="17"/>
  <c r="DR220" i="17"/>
  <c r="DS220" i="17"/>
  <c r="DT220" i="17"/>
  <c r="DU220" i="17"/>
  <c r="DV220" i="17"/>
  <c r="DW220" i="17"/>
  <c r="BT220" i="17"/>
  <c r="BS220" i="17"/>
  <c r="BR220" i="17"/>
  <c r="BQ220" i="17"/>
  <c r="BP220" i="17"/>
  <c r="BN220" i="17"/>
  <c r="BM220" i="17"/>
  <c r="BL220" i="17"/>
  <c r="BK220" i="17"/>
  <c r="BJ220" i="17"/>
  <c r="BI220" i="17"/>
  <c r="BH220" i="17"/>
  <c r="BG220" i="17"/>
  <c r="BF220" i="17"/>
  <c r="BE220" i="17"/>
  <c r="BD220" i="17"/>
  <c r="BC220" i="17"/>
  <c r="BZ220" i="17"/>
  <c r="BO220" i="17"/>
  <c r="CB220" i="17"/>
  <c r="CC220" i="17"/>
  <c r="BY220" i="17"/>
  <c r="BX220" i="17"/>
  <c r="BW220" i="17"/>
  <c r="BV220" i="17"/>
  <c r="BU220" i="17"/>
  <c r="BH211" i="17"/>
  <c r="CF211" i="17"/>
  <c r="AG211" i="17"/>
  <c r="AU211" i="17"/>
  <c r="AV211" i="17"/>
  <c r="AW211" i="17"/>
  <c r="AX211" i="17"/>
  <c r="AY211" i="17"/>
  <c r="AZ211" i="17"/>
  <c r="BA211" i="17"/>
  <c r="BB211" i="17"/>
  <c r="BC211" i="17"/>
  <c r="BD211" i="17"/>
  <c r="BE211" i="17"/>
  <c r="BF211" i="17"/>
  <c r="BG211" i="17"/>
  <c r="DM211" i="17"/>
  <c r="BI211" i="17"/>
  <c r="DO211" i="17"/>
  <c r="DP211" i="17"/>
  <c r="DQ211" i="17"/>
  <c r="DR211" i="17"/>
  <c r="BX211" i="17"/>
  <c r="BY211" i="17"/>
  <c r="DT211" i="17"/>
  <c r="DU211" i="17"/>
  <c r="DV211" i="17"/>
  <c r="DW211" i="17"/>
  <c r="CG211" i="17"/>
  <c r="CH211" i="17"/>
  <c r="CJ211" i="17"/>
  <c r="DS211" i="17"/>
  <c r="BV211" i="17"/>
  <c r="DE211" i="17"/>
  <c r="DD211" i="17"/>
  <c r="BZ211" i="17"/>
  <c r="CA211" i="17"/>
  <c r="CB211" i="17"/>
  <c r="CC211" i="17"/>
  <c r="CD211" i="17"/>
  <c r="CE211" i="17"/>
  <c r="DF211" i="17"/>
  <c r="DG211" i="17"/>
  <c r="DH211" i="17"/>
  <c r="DI211" i="17"/>
  <c r="BU211" i="17"/>
  <c r="BT211" i="17"/>
  <c r="BS211" i="17"/>
  <c r="BR211" i="17"/>
  <c r="BQ211" i="17"/>
  <c r="BP211" i="17"/>
  <c r="BO211" i="17"/>
  <c r="DJ211" i="17"/>
  <c r="DK211" i="17"/>
  <c r="DL211" i="17"/>
  <c r="BN211" i="17"/>
  <c r="BM211" i="17"/>
  <c r="DN211" i="17"/>
  <c r="BW211" i="17"/>
  <c r="BL211" i="17"/>
  <c r="BK211" i="17"/>
  <c r="BJ211" i="17"/>
  <c r="DU203" i="17"/>
  <c r="DW203" i="17"/>
  <c r="CY203" i="17"/>
  <c r="CZ203" i="17"/>
  <c r="DA203" i="17"/>
  <c r="DB203" i="17"/>
  <c r="DC203" i="17"/>
  <c r="DD203" i="17"/>
  <c r="DE203" i="17"/>
  <c r="DF203" i="17"/>
  <c r="DG203" i="17"/>
  <c r="DH203" i="17"/>
  <c r="DI203" i="17"/>
  <c r="DJ203" i="17"/>
  <c r="DK203" i="17"/>
  <c r="DL203" i="17"/>
  <c r="DM203" i="17"/>
  <c r="DN203" i="17"/>
  <c r="DV203" i="17"/>
  <c r="DO203" i="17"/>
  <c r="DP203" i="17"/>
  <c r="AU203" i="17"/>
  <c r="AW203" i="17"/>
  <c r="AY203" i="17"/>
  <c r="AZ203" i="17"/>
  <c r="BC203" i="17"/>
  <c r="BE203" i="17"/>
  <c r="AG203" i="17"/>
  <c r="AV203" i="17"/>
  <c r="AX203" i="17"/>
  <c r="BA203" i="17"/>
  <c r="BB203" i="17"/>
  <c r="BD203" i="17"/>
  <c r="DQ203" i="17"/>
  <c r="BG203" i="17"/>
  <c r="BH203" i="17"/>
  <c r="BI203" i="17"/>
  <c r="BJ203" i="17"/>
  <c r="BK203" i="17"/>
  <c r="BL203" i="17"/>
  <c r="BM203" i="17"/>
  <c r="BN203" i="17"/>
  <c r="BO203" i="17"/>
  <c r="BP203" i="17"/>
  <c r="BQ203" i="17"/>
  <c r="BR203" i="17"/>
  <c r="BS203" i="17"/>
  <c r="BT203" i="17"/>
  <c r="BU203" i="17"/>
  <c r="BV203" i="17"/>
  <c r="BW203" i="17"/>
  <c r="BX203" i="17"/>
  <c r="BY203" i="17"/>
  <c r="BZ203" i="17"/>
  <c r="CA203" i="17"/>
  <c r="CB203" i="17"/>
  <c r="CC203" i="17"/>
  <c r="CD203" i="17"/>
  <c r="CE203" i="17"/>
  <c r="CF203" i="17"/>
  <c r="CG203" i="17"/>
  <c r="CH203" i="17"/>
  <c r="CJ203" i="17"/>
  <c r="DR203" i="17"/>
  <c r="DS203" i="17"/>
  <c r="DT203" i="17"/>
  <c r="BF203" i="17"/>
  <c r="BO194" i="17"/>
  <c r="AU194" i="17"/>
  <c r="AV194" i="17"/>
  <c r="AZ194" i="17"/>
  <c r="BC194" i="17"/>
  <c r="BE194" i="17"/>
  <c r="BG194" i="17"/>
  <c r="BI194" i="17"/>
  <c r="BM194" i="17"/>
  <c r="BQ194" i="17"/>
  <c r="BT194" i="17"/>
  <c r="BV194" i="17"/>
  <c r="BX194" i="17"/>
  <c r="BZ194" i="17"/>
  <c r="CC194" i="17"/>
  <c r="CD194" i="17"/>
  <c r="CF194" i="17"/>
  <c r="CH194" i="17"/>
  <c r="DI194" i="17"/>
  <c r="DK194" i="17"/>
  <c r="DM194" i="17"/>
  <c r="DN194" i="17"/>
  <c r="DP194" i="17"/>
  <c r="DQ194" i="17"/>
  <c r="DR194" i="17"/>
  <c r="DS194" i="17"/>
  <c r="DT194" i="17"/>
  <c r="DU194" i="17"/>
  <c r="DV194" i="17"/>
  <c r="DW194" i="17"/>
  <c r="AW194" i="17"/>
  <c r="BA194" i="17"/>
  <c r="BD194" i="17"/>
  <c r="BH194" i="17"/>
  <c r="BK194" i="17"/>
  <c r="BL194" i="17"/>
  <c r="BN194" i="17"/>
  <c r="BP194" i="17"/>
  <c r="BR194" i="17"/>
  <c r="BS194" i="17"/>
  <c r="BU194" i="17"/>
  <c r="BW194" i="17"/>
  <c r="BY194" i="17"/>
  <c r="CA194" i="17"/>
  <c r="CB194" i="17"/>
  <c r="CE194" i="17"/>
  <c r="CG194" i="17"/>
  <c r="CJ194" i="17"/>
  <c r="DJ194" i="17"/>
  <c r="DL194" i="17"/>
  <c r="DO194" i="17"/>
  <c r="AG194" i="17"/>
  <c r="AX194" i="17"/>
  <c r="AY194" i="17"/>
  <c r="BB194" i="17"/>
  <c r="BF194" i="17"/>
  <c r="BJ194" i="17"/>
  <c r="BN114" i="17"/>
  <c r="BM114" i="17"/>
  <c r="BL114" i="17"/>
  <c r="AU114" i="17"/>
  <c r="AV114" i="17"/>
  <c r="AW114" i="17"/>
  <c r="AX114" i="17"/>
  <c r="AY114" i="17"/>
  <c r="AZ114" i="17"/>
  <c r="BA114" i="17"/>
  <c r="BB114" i="17"/>
  <c r="BC114" i="17"/>
  <c r="BD114" i="17"/>
  <c r="BE114" i="17"/>
  <c r="BF114" i="17"/>
  <c r="BG114" i="17"/>
  <c r="BH114" i="17"/>
  <c r="BI114" i="17"/>
  <c r="BJ114" i="17"/>
  <c r="BK114" i="17"/>
  <c r="CJ160" i="17"/>
  <c r="CO160" i="17"/>
  <c r="CT160" i="17"/>
  <c r="CX160" i="17"/>
  <c r="CZ160" i="17"/>
  <c r="DK160" i="17"/>
  <c r="DP160" i="17"/>
  <c r="DU160" i="17"/>
  <c r="BM160" i="17"/>
  <c r="BQ160" i="17"/>
  <c r="BX160" i="17"/>
  <c r="CB160" i="17"/>
  <c r="CF160" i="17"/>
  <c r="CM160" i="17"/>
  <c r="CV160" i="17"/>
  <c r="DM160" i="17"/>
  <c r="DF160" i="17"/>
  <c r="DJ160" i="17"/>
  <c r="AC160" i="17"/>
  <c r="AF160" i="17"/>
  <c r="AK160" i="17" s="1"/>
  <c r="AH160" i="17"/>
  <c r="AN160" i="17"/>
  <c r="AR160" i="17"/>
  <c r="DS160" i="17"/>
  <c r="AU160" i="17"/>
  <c r="AX160" i="17"/>
  <c r="BF160" i="17"/>
  <c r="BJ160" i="17"/>
  <c r="BP160" i="17"/>
  <c r="BT160" i="17"/>
  <c r="BZ160" i="17"/>
  <c r="CC160" i="17"/>
  <c r="CK160" i="17"/>
  <c r="DD160" i="17"/>
  <c r="CQ160" i="17"/>
  <c r="DG160" i="17"/>
  <c r="CW160" i="17"/>
  <c r="CY160" i="17"/>
  <c r="DH160" i="17"/>
  <c r="AA160" i="17"/>
  <c r="AD160" i="17"/>
  <c r="AJ160" i="17"/>
  <c r="BA160" i="17"/>
  <c r="BE160" i="17"/>
  <c r="BK160" i="17"/>
  <c r="BN160" i="17"/>
  <c r="BS160" i="17"/>
  <c r="BV160" i="17"/>
  <c r="BY160" i="17"/>
  <c r="CD160" i="17"/>
  <c r="CL160" i="17"/>
  <c r="CN160" i="17"/>
  <c r="CP160" i="17"/>
  <c r="CS160" i="17"/>
  <c r="CU160" i="17"/>
  <c r="DA160" i="17"/>
  <c r="DC160" i="17"/>
  <c r="DI160" i="17"/>
  <c r="DL160" i="17"/>
  <c r="CR160" i="17"/>
  <c r="DQ160" i="17"/>
  <c r="AG160" i="17"/>
  <c r="DV160" i="17"/>
  <c r="AB160" i="17"/>
  <c r="AE160" i="17"/>
  <c r="AI160" i="17"/>
  <c r="AL160" i="17"/>
  <c r="AO160" i="17"/>
  <c r="AV160" i="17"/>
  <c r="AY160" i="17"/>
  <c r="BC160" i="17"/>
  <c r="BG160" i="17"/>
  <c r="BI160" i="17"/>
  <c r="BO160" i="17"/>
  <c r="BU160" i="17"/>
  <c r="BW160" i="17"/>
  <c r="CA160" i="17"/>
  <c r="CG160" i="17"/>
  <c r="DT160" i="17"/>
  <c r="DR160" i="17"/>
  <c r="DO160" i="17"/>
  <c r="DN160" i="17"/>
  <c r="DE160" i="17"/>
  <c r="DB160" i="17"/>
  <c r="DW160" i="17"/>
  <c r="CH160" i="17"/>
  <c r="CE160" i="17"/>
  <c r="BR160" i="17"/>
  <c r="BL160" i="17"/>
  <c r="BH160" i="17"/>
  <c r="BD160" i="17"/>
  <c r="BB160" i="17"/>
  <c r="AZ160" i="17"/>
  <c r="AW160" i="17"/>
  <c r="AS160" i="17"/>
  <c r="AM160" i="17"/>
  <c r="DP104" i="17"/>
  <c r="DH104" i="17"/>
  <c r="DW104" i="17"/>
  <c r="BW104" i="17"/>
  <c r="BD104" i="17"/>
  <c r="DT104" i="17"/>
  <c r="BK104" i="17"/>
  <c r="BB104" i="17"/>
  <c r="AZ104" i="17"/>
  <c r="AG104" i="17"/>
  <c r="DI104" i="17"/>
  <c r="CH104" i="17"/>
  <c r="AU104" i="17"/>
  <c r="DO104" i="17"/>
  <c r="BQ104" i="17"/>
  <c r="BF104" i="17"/>
  <c r="AW104" i="17"/>
  <c r="BY104" i="17"/>
  <c r="BR104" i="17"/>
  <c r="BG104" i="17"/>
  <c r="DU104" i="17"/>
  <c r="DJ104" i="17"/>
  <c r="CB104" i="17"/>
  <c r="BX104" i="17"/>
  <c r="BV104" i="17"/>
  <c r="BP104" i="17"/>
  <c r="BC104" i="17"/>
  <c r="DQ104" i="17"/>
  <c r="DK104" i="17"/>
  <c r="DG104" i="17"/>
  <c r="DD104" i="17"/>
  <c r="DF104" i="17"/>
  <c r="BN104" i="17"/>
  <c r="AY104" i="17"/>
  <c r="DM104" i="17"/>
  <c r="CE104" i="17"/>
  <c r="BM104" i="17"/>
  <c r="AV104" i="17"/>
  <c r="DL104" i="17"/>
  <c r="CA104" i="17"/>
  <c r="DR104" i="17"/>
  <c r="BU104" i="17"/>
  <c r="CD104" i="17"/>
  <c r="BO104" i="17"/>
  <c r="BI104" i="17"/>
  <c r="DS104" i="17"/>
  <c r="BL104" i="17"/>
  <c r="BA104" i="17"/>
  <c r="DE104" i="17"/>
  <c r="BZ104" i="17"/>
  <c r="BT104" i="17"/>
  <c r="BJ104" i="17"/>
  <c r="AX104" i="17"/>
  <c r="DN104" i="17"/>
  <c r="CJ104" i="17"/>
  <c r="CG104" i="17"/>
  <c r="BH104" i="17"/>
  <c r="CF104" i="17"/>
  <c r="BE104" i="17"/>
  <c r="CC104" i="17"/>
  <c r="BS104" i="17"/>
  <c r="DV104" i="17"/>
  <c r="CT100" i="17"/>
  <c r="BA100" i="17"/>
  <c r="AL100" i="17"/>
  <c r="AE100" i="17"/>
  <c r="AV100" i="17"/>
  <c r="AU100" i="17"/>
  <c r="AJ100" i="17"/>
  <c r="AD100" i="17"/>
  <c r="DQ100" i="17"/>
  <c r="DV100" i="17"/>
  <c r="BD100" i="17"/>
  <c r="BW100" i="17"/>
  <c r="CZ100" i="17"/>
  <c r="DU100" i="17"/>
  <c r="DP100" i="17"/>
  <c r="DG100" i="17"/>
  <c r="DE100" i="17"/>
  <c r="CD100" i="17"/>
  <c r="BV100" i="17"/>
  <c r="BE100" i="17"/>
  <c r="AH100" i="17"/>
  <c r="AC100" i="17"/>
  <c r="DS100" i="17"/>
  <c r="CX100" i="17"/>
  <c r="CO100" i="17"/>
  <c r="CA100" i="17"/>
  <c r="BI100" i="17"/>
  <c r="AN100" i="17"/>
  <c r="DA100" i="17"/>
  <c r="CL100" i="17"/>
  <c r="CV100" i="17"/>
  <c r="BX100" i="17"/>
  <c r="BJ100" i="17"/>
  <c r="AM100" i="17"/>
  <c r="DN100" i="17"/>
  <c r="DW100" i="17"/>
  <c r="AG100" i="17"/>
  <c r="AR100" i="17"/>
  <c r="BF100" i="17"/>
  <c r="BT100" i="17"/>
  <c r="CC100" i="17"/>
  <c r="CH100" i="17"/>
  <c r="CP100" i="17"/>
  <c r="CS100" i="17"/>
  <c r="DC100" i="17"/>
  <c r="DL100" i="17"/>
  <c r="AS100" i="17"/>
  <c r="CU100" i="17"/>
  <c r="CF100" i="17"/>
  <c r="BU100" i="17"/>
  <c r="BS100" i="17"/>
  <c r="BL100" i="17"/>
  <c r="AZ100" i="17"/>
  <c r="DO100" i="17"/>
  <c r="CY100" i="17"/>
  <c r="CK100" i="17"/>
  <c r="CB100" i="17"/>
  <c r="BN100" i="17"/>
  <c r="DD100" i="17"/>
  <c r="BC100" i="17"/>
  <c r="BR100" i="17"/>
  <c r="BH100" i="17"/>
  <c r="AI100" i="17"/>
  <c r="DH100" i="17"/>
  <c r="CN100" i="17"/>
  <c r="BY100" i="17"/>
  <c r="AX100" i="17"/>
  <c r="DR100" i="17"/>
  <c r="DI100" i="17"/>
  <c r="CW100" i="17"/>
  <c r="CM100" i="17"/>
  <c r="BQ100" i="17"/>
  <c r="BO100" i="17"/>
  <c r="BB100" i="17"/>
  <c r="AW100" i="17"/>
  <c r="AO100" i="17"/>
  <c r="AA100" i="17"/>
  <c r="DK100" i="17"/>
  <c r="CE100" i="17"/>
  <c r="BK100" i="17"/>
  <c r="BM100" i="17"/>
  <c r="CJ100" i="17"/>
  <c r="CR100" i="17"/>
  <c r="DB100" i="17"/>
  <c r="DF100" i="17"/>
  <c r="DM100" i="17"/>
  <c r="AB100" i="17"/>
  <c r="AF100" i="17"/>
  <c r="AK100" i="17" s="1"/>
  <c r="AY100" i="17"/>
  <c r="BG100" i="17"/>
  <c r="BP100" i="17"/>
  <c r="BZ100" i="17"/>
  <c r="CG100" i="17"/>
  <c r="CQ100" i="17"/>
  <c r="DJ100" i="17"/>
  <c r="DT100" i="17"/>
  <c r="BH74" i="17"/>
  <c r="DT74" i="17"/>
  <c r="DG74" i="17"/>
  <c r="BO74" i="17"/>
  <c r="AG74" i="17"/>
  <c r="DL74" i="17"/>
  <c r="BV74" i="17"/>
  <c r="BL74" i="17"/>
  <c r="DW74" i="17"/>
  <c r="DR74" i="17"/>
  <c r="DJ74" i="17"/>
  <c r="CG74" i="17"/>
  <c r="BS74" i="17"/>
  <c r="BY74" i="17"/>
  <c r="BU74" i="17"/>
  <c r="BM74" i="17"/>
  <c r="CH74" i="17"/>
  <c r="CE74" i="17"/>
  <c r="CA74" i="17"/>
  <c r="BX74" i="17"/>
  <c r="BI74" i="17"/>
  <c r="BF74" i="17"/>
  <c r="BD74" i="17"/>
  <c r="BA74" i="17"/>
  <c r="AW74" i="17"/>
  <c r="DS74" i="17"/>
  <c r="DP74" i="17"/>
  <c r="DK74" i="17"/>
  <c r="CJ74" i="17"/>
  <c r="CD74" i="17"/>
  <c r="DH74" i="17"/>
  <c r="DF74" i="17"/>
  <c r="CC74" i="17"/>
  <c r="BW74" i="17"/>
  <c r="BE74" i="17"/>
  <c r="AU74" i="17"/>
  <c r="BT74" i="17"/>
  <c r="BG74" i="17"/>
  <c r="BC74" i="17"/>
  <c r="DV74" i="17"/>
  <c r="DO74" i="17"/>
  <c r="DE74" i="17"/>
  <c r="BB74" i="17"/>
  <c r="BN74" i="17"/>
  <c r="CB74" i="17"/>
  <c r="DN74" i="17"/>
  <c r="AX74" i="17"/>
  <c r="BQ74" i="17"/>
  <c r="DU74" i="17"/>
  <c r="BJ74" i="17"/>
  <c r="DD74" i="17"/>
  <c r="DQ74" i="17"/>
  <c r="AZ74" i="17"/>
  <c r="CF74" i="17"/>
  <c r="DI74" i="17"/>
  <c r="AV74" i="17"/>
  <c r="BK74" i="17"/>
  <c r="BZ74" i="17"/>
  <c r="DM74" i="17"/>
  <c r="AY74" i="17"/>
  <c r="BR74" i="17"/>
  <c r="BP74" i="17"/>
  <c r="DN57" i="17"/>
  <c r="DA57" i="17"/>
  <c r="BK57" i="17"/>
  <c r="AV57" i="17"/>
  <c r="AW57" i="17"/>
  <c r="DT57" i="17"/>
  <c r="BC57" i="17"/>
  <c r="BN57" i="17"/>
  <c r="CY57" i="17"/>
  <c r="DB57" i="17"/>
  <c r="BT57" i="17"/>
  <c r="BO57" i="17"/>
  <c r="CB57" i="17"/>
  <c r="DD57" i="17"/>
  <c r="DH57" i="17"/>
  <c r="DJ57" i="17"/>
  <c r="DL57" i="17"/>
  <c r="DR57" i="17"/>
  <c r="DI57" i="17"/>
  <c r="DS57" i="17"/>
  <c r="C19" i="5"/>
  <c r="C69" i="5"/>
  <c r="B69" i="5"/>
  <c r="AZ57" i="17"/>
  <c r="BB57" i="17"/>
  <c r="BF57" i="17"/>
  <c r="BI57" i="17"/>
  <c r="BL57" i="17"/>
  <c r="BV57" i="17"/>
  <c r="CA57" i="17"/>
  <c r="CE57" i="17"/>
  <c r="DM57" i="17"/>
  <c r="DV57" i="17"/>
  <c r="BG57" i="17"/>
  <c r="BE57" i="17"/>
  <c r="BQ57" i="17"/>
  <c r="AX57" i="17"/>
  <c r="B19" i="5"/>
  <c r="BZ57" i="17"/>
  <c r="CZ57" i="17"/>
  <c r="DG57" i="17"/>
  <c r="AU57" i="17"/>
  <c r="BA57" i="17"/>
  <c r="CF57" i="17"/>
  <c r="BJ57" i="17"/>
  <c r="BR57" i="17"/>
  <c r="BU57" i="17"/>
  <c r="BW57" i="17"/>
  <c r="CG57" i="17"/>
  <c r="DF57" i="17"/>
  <c r="DP57" i="17"/>
  <c r="DU57" i="17"/>
  <c r="BP57" i="17"/>
  <c r="BX57" i="17"/>
  <c r="CD57" i="17"/>
  <c r="DE57" i="17"/>
  <c r="DQ57" i="17"/>
  <c r="BD57" i="17"/>
  <c r="BS57" i="17"/>
  <c r="BY57" i="17"/>
  <c r="CC57" i="17"/>
  <c r="CH57" i="17"/>
  <c r="DC57" i="17"/>
  <c r="DK57" i="17"/>
  <c r="DO57" i="17"/>
  <c r="DW57" i="17"/>
  <c r="AG57" i="17"/>
  <c r="AY57" i="17"/>
  <c r="BH57" i="17"/>
  <c r="BM57" i="17"/>
  <c r="CJ57" i="17"/>
  <c r="BB41" i="17"/>
  <c r="BI41" i="17"/>
  <c r="BH41" i="17"/>
  <c r="AW41" i="17"/>
  <c r="AZ41" i="17"/>
  <c r="AX41" i="17"/>
  <c r="BA41" i="17"/>
  <c r="BD41" i="17"/>
  <c r="BF41" i="17"/>
  <c r="BG41" i="17"/>
  <c r="BC41" i="17"/>
  <c r="AY41" i="17"/>
  <c r="BE41" i="17"/>
  <c r="AV41" i="17"/>
  <c r="AU41" i="17"/>
  <c r="BA132" i="17"/>
  <c r="BB132" i="17"/>
  <c r="BC132" i="17"/>
  <c r="BD132" i="17"/>
  <c r="BE132" i="17"/>
  <c r="BH132" i="17"/>
  <c r="BF132" i="17"/>
  <c r="BG132" i="17"/>
  <c r="AU132" i="17"/>
  <c r="AV132" i="17"/>
  <c r="AW132" i="17"/>
  <c r="AX132" i="17"/>
  <c r="AY132" i="17"/>
  <c r="BI132" i="17"/>
  <c r="AZ132" i="17"/>
  <c r="BC124" i="17"/>
  <c r="BE124" i="17"/>
  <c r="BG124" i="17"/>
  <c r="BI124" i="17"/>
  <c r="BD124" i="17"/>
  <c r="BF124" i="17"/>
  <c r="BH124" i="17"/>
  <c r="AU124" i="17"/>
  <c r="AV124" i="17"/>
  <c r="AW124" i="17"/>
  <c r="AX124" i="17"/>
  <c r="AY124" i="17"/>
  <c r="AZ124" i="17"/>
  <c r="BA124" i="17"/>
  <c r="BB124" i="17"/>
  <c r="C49" i="5"/>
  <c r="B49" i="5"/>
  <c r="BS191" i="17"/>
  <c r="BN191" i="17"/>
  <c r="AY191" i="17"/>
  <c r="AE191" i="17"/>
  <c r="AB191" i="17"/>
  <c r="BZ191" i="17"/>
  <c r="CN191" i="17"/>
  <c r="BQ191" i="17"/>
  <c r="DG191" i="17"/>
  <c r="AC191" i="17"/>
  <c r="AG191" i="17"/>
  <c r="AU191" i="17"/>
  <c r="BC191" i="17"/>
  <c r="BG191" i="17"/>
  <c r="BW191" i="17"/>
  <c r="CG191" i="17"/>
  <c r="CP191" i="17"/>
  <c r="BP191" i="17"/>
  <c r="DB191" i="17"/>
  <c r="DH191" i="17"/>
  <c r="DM191" i="17"/>
  <c r="DP191" i="17"/>
  <c r="AD191" i="17"/>
  <c r="AS191" i="17"/>
  <c r="BA191" i="17"/>
  <c r="BE191" i="17"/>
  <c r="CR191" i="17"/>
  <c r="CX191" i="17"/>
  <c r="DF191" i="17"/>
  <c r="BB191" i="17"/>
  <c r="BJ191" i="17"/>
  <c r="AZ191" i="17"/>
  <c r="AO191" i="17"/>
  <c r="DW191" i="17"/>
  <c r="DN191" i="17"/>
  <c r="DL191" i="17"/>
  <c r="DA191" i="17"/>
  <c r="CS191" i="17"/>
  <c r="CK191" i="17"/>
  <c r="BY191" i="17"/>
  <c r="BR191" i="17"/>
  <c r="BH191" i="17"/>
  <c r="AR191" i="17"/>
  <c r="AL191" i="17"/>
  <c r="AI191" i="17"/>
  <c r="DU191" i="17"/>
  <c r="DI191" i="17"/>
  <c r="DC191" i="17"/>
  <c r="AH191" i="17"/>
  <c r="DS191" i="17"/>
  <c r="AM191" i="17"/>
  <c r="DT191" i="17"/>
  <c r="CU191" i="17"/>
  <c r="DD191" i="17"/>
  <c r="CV191" i="17"/>
  <c r="CM191" i="17"/>
  <c r="CD191" i="17"/>
  <c r="CA191" i="17"/>
  <c r="BL191" i="17"/>
  <c r="AX191" i="17"/>
  <c r="CL191" i="17"/>
  <c r="CB191" i="17"/>
  <c r="AF191" i="17"/>
  <c r="AK191" i="17" s="1"/>
  <c r="DV191" i="17"/>
  <c r="DK191" i="17"/>
  <c r="CZ191" i="17"/>
  <c r="BI191" i="17"/>
  <c r="AJ191" i="17"/>
  <c r="BU191" i="17"/>
  <c r="BO191" i="17"/>
  <c r="BK191" i="17"/>
  <c r="BD191" i="17"/>
  <c r="AW191" i="17"/>
  <c r="AN191" i="17"/>
  <c r="AA191" i="17"/>
  <c r="DQ191" i="17"/>
  <c r="DO191" i="17"/>
  <c r="DE191" i="17"/>
  <c r="CY191" i="17"/>
  <c r="CO191" i="17"/>
  <c r="CT191" i="17"/>
  <c r="CJ191" i="17"/>
  <c r="CF191" i="17"/>
  <c r="BX191" i="17"/>
  <c r="DR191" i="17"/>
  <c r="BT191" i="17"/>
  <c r="BM191" i="17"/>
  <c r="BF191" i="17"/>
  <c r="DJ191" i="17"/>
  <c r="CW191" i="17"/>
  <c r="AV191" i="17"/>
  <c r="CC191" i="17"/>
  <c r="BV191" i="17"/>
  <c r="CQ191" i="17"/>
  <c r="CH191" i="17"/>
  <c r="CE191" i="17"/>
  <c r="DA120" i="17"/>
  <c r="DJ120" i="17"/>
  <c r="DL120" i="17"/>
  <c r="DN120" i="17"/>
  <c r="DR120" i="17"/>
  <c r="DT120" i="17"/>
  <c r="DU120" i="17"/>
  <c r="DW120" i="17"/>
  <c r="DH120" i="17"/>
  <c r="DV120" i="17"/>
  <c r="DS120" i="17"/>
  <c r="DQ120" i="17"/>
  <c r="DP120" i="17"/>
  <c r="DO120" i="17"/>
  <c r="DM120" i="17"/>
  <c r="DK120" i="17"/>
  <c r="AG120" i="17"/>
  <c r="AW120" i="17"/>
  <c r="AY120" i="17"/>
  <c r="BA120" i="17"/>
  <c r="BC120" i="17"/>
  <c r="BF120" i="17"/>
  <c r="BI120" i="17"/>
  <c r="BJ120" i="17"/>
  <c r="BK120" i="17"/>
  <c r="BM120" i="17"/>
  <c r="BO120" i="17"/>
  <c r="BP120" i="17"/>
  <c r="BR120" i="17"/>
  <c r="BT120" i="17"/>
  <c r="BU120" i="17"/>
  <c r="BX120" i="17"/>
  <c r="BY120" i="17"/>
  <c r="CA120" i="17"/>
  <c r="CD120" i="17"/>
  <c r="CH120" i="17"/>
  <c r="CZ120" i="17"/>
  <c r="DB120" i="17"/>
  <c r="DC120" i="17"/>
  <c r="DD120" i="17"/>
  <c r="DE120" i="17"/>
  <c r="DG120" i="17"/>
  <c r="DI120" i="17"/>
  <c r="AU120" i="17"/>
  <c r="AV120" i="17"/>
  <c r="AX120" i="17"/>
  <c r="AZ120" i="17"/>
  <c r="BB120" i="17"/>
  <c r="BD120" i="17"/>
  <c r="BE120" i="17"/>
  <c r="BG120" i="17"/>
  <c r="BH120" i="17"/>
  <c r="BL120" i="17"/>
  <c r="BN120" i="17"/>
  <c r="BQ120" i="17"/>
  <c r="BS120" i="17"/>
  <c r="BV120" i="17"/>
  <c r="BW120" i="17"/>
  <c r="BZ120" i="17"/>
  <c r="CB120" i="17"/>
  <c r="CC120" i="17"/>
  <c r="CE120" i="17"/>
  <c r="CF120" i="17"/>
  <c r="CG120" i="17"/>
  <c r="CJ120" i="17"/>
  <c r="CY120" i="17"/>
  <c r="DF120" i="17"/>
  <c r="DG85" i="17"/>
  <c r="DI85" i="17"/>
  <c r="DQ85" i="17"/>
  <c r="DU85" i="17"/>
  <c r="DW85" i="17"/>
  <c r="BK85" i="17"/>
  <c r="BU85" i="17"/>
  <c r="BW85" i="17"/>
  <c r="BF85" i="17"/>
  <c r="BC85" i="17"/>
  <c r="AZ85" i="17"/>
  <c r="DD85" i="17"/>
  <c r="CH85" i="17"/>
  <c r="CC85" i="17"/>
  <c r="BT85" i="17"/>
  <c r="DV85" i="17"/>
  <c r="DR85" i="17"/>
  <c r="DM85" i="17"/>
  <c r="DB85" i="17"/>
  <c r="CJ85" i="17"/>
  <c r="BX85" i="17"/>
  <c r="BQ85" i="17"/>
  <c r="BJ85" i="17"/>
  <c r="DS85" i="17"/>
  <c r="DO85" i="17"/>
  <c r="DN85" i="17"/>
  <c r="DH85" i="17"/>
  <c r="DC85" i="17"/>
  <c r="CZ85" i="17"/>
  <c r="CT85" i="17"/>
  <c r="CD85" i="17"/>
  <c r="BY85" i="17"/>
  <c r="BV85" i="17"/>
  <c r="BR85" i="17"/>
  <c r="BM85" i="17"/>
  <c r="BH85" i="17"/>
  <c r="BD85" i="17"/>
  <c r="BA85" i="17"/>
  <c r="DT85" i="17"/>
  <c r="DF85" i="17"/>
  <c r="CY85" i="17"/>
  <c r="CA85" i="17"/>
  <c r="BO85" i="17"/>
  <c r="BI85" i="17"/>
  <c r="AW85" i="17"/>
  <c r="AU85" i="17"/>
  <c r="DE85" i="17"/>
  <c r="DL85" i="17"/>
  <c r="BL85" i="17"/>
  <c r="CE85" i="17"/>
  <c r="CG85" i="17"/>
  <c r="CU85" i="17"/>
  <c r="CW85" i="17"/>
  <c r="DK85" i="17"/>
  <c r="DP85" i="17"/>
  <c r="AG85" i="17"/>
  <c r="AV85" i="17"/>
  <c r="AX85" i="17"/>
  <c r="BN85" i="17"/>
  <c r="BP85" i="17"/>
  <c r="BS85" i="17"/>
  <c r="CB85" i="17"/>
  <c r="CF85" i="17"/>
  <c r="CV85" i="17"/>
  <c r="CX85" i="17"/>
  <c r="DA85" i="17"/>
  <c r="DJ85" i="17"/>
  <c r="BZ85" i="17"/>
  <c r="AY85" i="17"/>
  <c r="BB85" i="17"/>
  <c r="BE85" i="17"/>
  <c r="BG85" i="17"/>
  <c r="B71" i="5"/>
  <c r="B47" i="5"/>
  <c r="C47" i="5"/>
  <c r="C71" i="5"/>
  <c r="BA33" i="17"/>
  <c r="AX33" i="17"/>
  <c r="AU33" i="17"/>
  <c r="AY33" i="17"/>
  <c r="BD33" i="17"/>
  <c r="AV33" i="17"/>
  <c r="BB33" i="17"/>
  <c r="BC33" i="17"/>
  <c r="AW33" i="17"/>
  <c r="AZ33" i="17"/>
  <c r="BX49" i="17"/>
  <c r="CC49" i="17"/>
  <c r="DC49" i="17"/>
  <c r="AU49" i="17"/>
  <c r="BB49" i="17"/>
  <c r="BH49" i="17"/>
  <c r="BM49" i="17"/>
  <c r="BP49" i="17"/>
  <c r="BS49" i="17"/>
  <c r="BY49" i="17"/>
  <c r="CB49" i="17"/>
  <c r="DB49" i="17"/>
  <c r="DG49" i="17"/>
  <c r="DK49" i="17"/>
  <c r="DP49" i="17"/>
  <c r="AG49" i="17"/>
  <c r="BA49" i="17"/>
  <c r="BL49" i="17"/>
  <c r="BQ49" i="17"/>
  <c r="CA49" i="17"/>
  <c r="CH49" i="17"/>
  <c r="DJ49" i="17"/>
  <c r="DQ49" i="17"/>
  <c r="DV49" i="17"/>
  <c r="AY49" i="17"/>
  <c r="BO49" i="17"/>
  <c r="BW49" i="17"/>
  <c r="CG49" i="17"/>
  <c r="CU49" i="17"/>
  <c r="CZ49" i="17"/>
  <c r="DI49" i="17"/>
  <c r="DL49" i="17"/>
  <c r="BG49" i="17"/>
  <c r="BJ49" i="17"/>
  <c r="BU49" i="17"/>
  <c r="CV49" i="17"/>
  <c r="CX49" i="17"/>
  <c r="DM49" i="17"/>
  <c r="DR49" i="17"/>
  <c r="AX49" i="17"/>
  <c r="BZ49" i="17"/>
  <c r="CE49" i="17"/>
  <c r="CT49" i="17"/>
  <c r="DD49" i="17"/>
  <c r="DH49" i="17"/>
  <c r="DN49" i="17"/>
  <c r="DT49" i="17"/>
  <c r="BE49" i="17"/>
  <c r="BK49" i="17"/>
  <c r="CF49" i="17"/>
  <c r="CY49" i="17"/>
  <c r="DE49" i="17"/>
  <c r="DU49" i="17"/>
  <c r="BN49" i="17"/>
  <c r="C42" i="5"/>
  <c r="B36" i="5"/>
  <c r="B68" i="5"/>
  <c r="B42" i="5"/>
  <c r="C36" i="5"/>
  <c r="AW49" i="17"/>
  <c r="AZ49" i="17"/>
  <c r="BD49" i="17"/>
  <c r="BF49" i="17"/>
  <c r="BI49" i="17"/>
  <c r="C68" i="5"/>
  <c r="BR49" i="17"/>
  <c r="BV49" i="17"/>
  <c r="CD49" i="17"/>
  <c r="B21" i="5"/>
  <c r="C21" i="5"/>
  <c r="CJ49" i="17"/>
  <c r="B63" i="5"/>
  <c r="C63" i="5"/>
  <c r="CW49" i="17"/>
  <c r="DA49" i="17"/>
  <c r="DF49" i="17"/>
  <c r="DO49" i="17"/>
  <c r="DS49" i="17"/>
  <c r="DW49" i="17"/>
  <c r="AV49" i="17"/>
  <c r="BC49" i="17"/>
  <c r="BT49" i="17"/>
  <c r="BV32" i="17"/>
  <c r="DI32" i="17"/>
  <c r="DD32" i="17"/>
  <c r="CF32" i="17"/>
  <c r="BZ32" i="17"/>
  <c r="BS32" i="17"/>
  <c r="BD32" i="17"/>
  <c r="CE32" i="17"/>
  <c r="DW32" i="17"/>
  <c r="AX32" i="17"/>
  <c r="BQ32" i="17"/>
  <c r="B62" i="5"/>
  <c r="BK32" i="17"/>
  <c r="DT32" i="17"/>
  <c r="DG32" i="17"/>
  <c r="BX32" i="17"/>
  <c r="BG32" i="17"/>
  <c r="BA32" i="17"/>
  <c r="BW32" i="17"/>
  <c r="DO32" i="17"/>
  <c r="DK32" i="17"/>
  <c r="CB32" i="17"/>
  <c r="CG32" i="17"/>
  <c r="BP32" i="17"/>
  <c r="BH32" i="17"/>
  <c r="AY32" i="17"/>
  <c r="CA32" i="17"/>
  <c r="BO32" i="17"/>
  <c r="DH32" i="17"/>
  <c r="DF32" i="17"/>
  <c r="DE32" i="17"/>
  <c r="BU32" i="17"/>
  <c r="BC32" i="17"/>
  <c r="AG32" i="17"/>
  <c r="DR32" i="17"/>
  <c r="BL32" i="17"/>
  <c r="BM32" i="17"/>
  <c r="B10" i="4"/>
  <c r="B20" i="5"/>
  <c r="CJ32" i="17"/>
  <c r="C62" i="5"/>
  <c r="BB32" i="17"/>
  <c r="CC32" i="17"/>
  <c r="C70" i="5"/>
  <c r="DS32" i="17"/>
  <c r="BJ32" i="17"/>
  <c r="CH32" i="17"/>
  <c r="BI32" i="17"/>
  <c r="BR32" i="17"/>
  <c r="C48" i="5"/>
  <c r="DP32" i="17"/>
  <c r="C35" i="5"/>
  <c r="BN32" i="17"/>
  <c r="BF32" i="17"/>
  <c r="BT32" i="17"/>
  <c r="CD32" i="17"/>
  <c r="DM32" i="17"/>
  <c r="AZ32" i="17"/>
  <c r="DQ32" i="17"/>
  <c r="DV32" i="17"/>
  <c r="DN32" i="17"/>
  <c r="DJ32" i="17"/>
  <c r="BY32" i="17"/>
  <c r="AW32" i="17"/>
  <c r="AV32" i="17"/>
  <c r="BE32" i="17"/>
  <c r="AU32" i="17"/>
  <c r="DU32" i="17"/>
  <c r="DL32" i="17"/>
  <c r="B22" i="4"/>
  <c r="C20" i="5"/>
  <c r="B35" i="5"/>
  <c r="C41" i="5"/>
  <c r="B8" i="4"/>
  <c r="B11" i="4"/>
  <c r="B41" i="5"/>
  <c r="B70" i="5"/>
  <c r="B48" i="5"/>
  <c r="CF262" i="17"/>
  <c r="CE262" i="17"/>
  <c r="CD262" i="17"/>
  <c r="CC262" i="17"/>
  <c r="CB262" i="17"/>
  <c r="CA262" i="17"/>
  <c r="BZ262" i="17"/>
  <c r="BY262" i="17"/>
  <c r="BX262" i="17"/>
  <c r="DI262" i="17"/>
  <c r="BV262" i="17"/>
  <c r="BU262" i="17"/>
  <c r="BT262" i="17"/>
  <c r="BS262" i="17"/>
  <c r="BR262" i="17"/>
  <c r="BQ262" i="17"/>
  <c r="BP262" i="17"/>
  <c r="BO262" i="17"/>
  <c r="BN262" i="17"/>
  <c r="BM262" i="17"/>
  <c r="BL262" i="17"/>
  <c r="BK262" i="17"/>
  <c r="BJ262" i="17"/>
  <c r="AA262" i="17"/>
  <c r="BH262" i="17"/>
  <c r="BG262" i="17"/>
  <c r="BF262" i="17"/>
  <c r="BE262" i="17"/>
  <c r="BD262" i="17"/>
  <c r="BC262" i="17"/>
  <c r="BB262" i="17"/>
  <c r="BA262" i="17"/>
  <c r="AZ262" i="17"/>
  <c r="AY262" i="17"/>
  <c r="AX262" i="17"/>
  <c r="AW262" i="17"/>
  <c r="AV262" i="17"/>
  <c r="AU262" i="17"/>
  <c r="AS262" i="17"/>
  <c r="AR262" i="17"/>
  <c r="AO262" i="17"/>
  <c r="AN262" i="17"/>
  <c r="AM262" i="17"/>
  <c r="AL262" i="17"/>
  <c r="DW262" i="17"/>
  <c r="AJ262" i="17"/>
  <c r="AI262" i="17"/>
  <c r="DV262" i="17"/>
  <c r="AH262" i="17"/>
  <c r="DU262" i="17"/>
  <c r="DT262" i="17"/>
  <c r="AG262" i="17"/>
  <c r="DS262" i="17"/>
  <c r="DR262" i="17"/>
  <c r="AF262" i="17"/>
  <c r="AK262" i="17" s="1"/>
  <c r="AE262" i="17"/>
  <c r="AD262" i="17"/>
  <c r="AC262" i="17"/>
  <c r="AB262" i="17"/>
  <c r="DQ262" i="17"/>
  <c r="DP262" i="17"/>
  <c r="DO262" i="17"/>
  <c r="DN262" i="17"/>
  <c r="DM262" i="17"/>
  <c r="DL262" i="17"/>
  <c r="DK262" i="17"/>
  <c r="DJ262" i="17"/>
  <c r="BI262" i="17"/>
  <c r="DH262" i="17"/>
  <c r="DG262" i="17"/>
  <c r="DF262" i="17"/>
  <c r="DE262" i="17"/>
  <c r="DD262" i="17"/>
  <c r="DC262" i="17"/>
  <c r="BW262" i="17"/>
  <c r="DB262" i="17"/>
  <c r="DA262" i="17"/>
  <c r="CZ262" i="17"/>
  <c r="CY262" i="17"/>
  <c r="CX262" i="17"/>
  <c r="CW262" i="17"/>
  <c r="CV262" i="17"/>
  <c r="CU262" i="17"/>
  <c r="CT262" i="17"/>
  <c r="CS262" i="17"/>
  <c r="CR262" i="17"/>
  <c r="CQ262" i="17"/>
  <c r="CP262" i="17"/>
  <c r="CO262" i="17"/>
  <c r="CN262" i="17"/>
  <c r="CM262" i="17"/>
  <c r="CL262" i="17"/>
  <c r="CK262" i="17"/>
  <c r="CJ262" i="17"/>
  <c r="CH262" i="17"/>
  <c r="CG262" i="17"/>
  <c r="BB244" i="17"/>
  <c r="BA244" i="17"/>
  <c r="AZ244" i="17"/>
  <c r="AY244" i="17"/>
  <c r="AX244" i="17"/>
  <c r="AW244" i="17"/>
  <c r="AV244" i="17"/>
  <c r="AU244" i="17"/>
  <c r="AS244" i="17"/>
  <c r="AR244" i="17"/>
  <c r="AO244" i="17"/>
  <c r="AN244" i="17"/>
  <c r="AM244" i="17"/>
  <c r="AL244" i="17"/>
  <c r="AJ244" i="17"/>
  <c r="AI244" i="17"/>
  <c r="AH244" i="17"/>
  <c r="AG244" i="17"/>
  <c r="AF244" i="17"/>
  <c r="AK244" i="17" s="1"/>
  <c r="AE244" i="17"/>
  <c r="AD244" i="17"/>
  <c r="AC244" i="17"/>
  <c r="AB244" i="17"/>
  <c r="AA244" i="17"/>
  <c r="BN244" i="17"/>
  <c r="CG244" i="17"/>
  <c r="DK244" i="17"/>
  <c r="DW244" i="17"/>
  <c r="DV244" i="17"/>
  <c r="DU244" i="17"/>
  <c r="DT244" i="17"/>
  <c r="DS244" i="17"/>
  <c r="DR244" i="17"/>
  <c r="DQ244" i="17"/>
  <c r="DP244" i="17"/>
  <c r="DO244" i="17"/>
  <c r="DN244" i="17"/>
  <c r="DM244" i="17"/>
  <c r="DL244" i="17"/>
  <c r="DJ244" i="17"/>
  <c r="DI244" i="17"/>
  <c r="DH244" i="17"/>
  <c r="DG244" i="17"/>
  <c r="DF244" i="17"/>
  <c r="DE244" i="17"/>
  <c r="DD244" i="17"/>
  <c r="DC244" i="17"/>
  <c r="DB244" i="17"/>
  <c r="DA244" i="17"/>
  <c r="CZ244" i="17"/>
  <c r="CY244" i="17"/>
  <c r="CX244" i="17"/>
  <c r="CW244" i="17"/>
  <c r="CV244" i="17"/>
  <c r="CU244" i="17"/>
  <c r="CT244" i="17"/>
  <c r="CS244" i="17"/>
  <c r="CR244" i="17"/>
  <c r="CQ244" i="17"/>
  <c r="CP244" i="17"/>
  <c r="CO244" i="17"/>
  <c r="CN244" i="17"/>
  <c r="CM244" i="17"/>
  <c r="CL244" i="17"/>
  <c r="CK244" i="17"/>
  <c r="CJ244" i="17"/>
  <c r="CH244" i="17"/>
  <c r="CF244" i="17"/>
  <c r="CE244" i="17"/>
  <c r="CD244" i="17"/>
  <c r="CC244" i="17"/>
  <c r="CB244" i="17"/>
  <c r="CA244" i="17"/>
  <c r="BZ244" i="17"/>
  <c r="BM244" i="17"/>
  <c r="BL244" i="17"/>
  <c r="BK244" i="17"/>
  <c r="BJ244" i="17"/>
  <c r="BI244" i="17"/>
  <c r="BH244" i="17"/>
  <c r="BY244" i="17"/>
  <c r="BG244" i="17"/>
  <c r="BX244" i="17"/>
  <c r="BF244" i="17"/>
  <c r="BE244" i="17"/>
  <c r="BW244" i="17"/>
  <c r="BV244" i="17"/>
  <c r="BU244" i="17"/>
  <c r="BT244" i="17"/>
  <c r="BS244" i="17"/>
  <c r="BD244" i="17"/>
  <c r="BR244" i="17"/>
  <c r="BC244" i="17"/>
  <c r="BQ244" i="17"/>
  <c r="BP244" i="17"/>
  <c r="BO244" i="17"/>
  <c r="DB235" i="17"/>
  <c r="CY235" i="17"/>
  <c r="CV235" i="17"/>
  <c r="CQ235" i="17"/>
  <c r="CO235" i="17"/>
  <c r="CK235" i="17"/>
  <c r="CF235" i="17"/>
  <c r="CC235" i="17"/>
  <c r="CA235" i="17"/>
  <c r="BY235" i="17"/>
  <c r="BU235" i="17"/>
  <c r="BS235" i="17"/>
  <c r="BM235" i="17"/>
  <c r="BH235" i="17"/>
  <c r="AZ235" i="17"/>
  <c r="AS235" i="17"/>
  <c r="AN235" i="17"/>
  <c r="AI235" i="17"/>
  <c r="AC235" i="17"/>
  <c r="CJ235" i="17"/>
  <c r="BV235" i="17"/>
  <c r="CD235" i="17"/>
  <c r="CL235" i="17"/>
  <c r="BR235" i="17"/>
  <c r="BO235" i="17"/>
  <c r="BL235" i="17"/>
  <c r="BK235" i="17"/>
  <c r="BE235" i="17"/>
  <c r="BB235" i="17"/>
  <c r="AY235" i="17"/>
  <c r="AV235" i="17"/>
  <c r="AR235" i="17"/>
  <c r="CS235" i="17"/>
  <c r="AM235" i="17"/>
  <c r="AJ235" i="17"/>
  <c r="AG235" i="17"/>
  <c r="AD235" i="17"/>
  <c r="DV235" i="17"/>
  <c r="DS235" i="17"/>
  <c r="DN235" i="17"/>
  <c r="DK235" i="17"/>
  <c r="DF235" i="17"/>
  <c r="DD235" i="17"/>
  <c r="DA235" i="17"/>
  <c r="CW235" i="17"/>
  <c r="CT235" i="17"/>
  <c r="CM235" i="17"/>
  <c r="CH235" i="17"/>
  <c r="BW235" i="17"/>
  <c r="BP235" i="17"/>
  <c r="BI235" i="17"/>
  <c r="BF235" i="17"/>
  <c r="CP235" i="17"/>
  <c r="AE235" i="17"/>
  <c r="AB235" i="17"/>
  <c r="DQ235" i="17"/>
  <c r="BC235" i="17"/>
  <c r="AW235" i="17"/>
  <c r="DI235" i="17"/>
  <c r="AF235" i="17"/>
  <c r="AK235" i="17" s="1"/>
  <c r="AA235" i="17"/>
  <c r="DU235" i="17"/>
  <c r="DR235" i="17"/>
  <c r="CU235" i="17"/>
  <c r="CX235" i="17"/>
  <c r="DC235" i="17"/>
  <c r="DE235" i="17"/>
  <c r="DO235" i="17"/>
  <c r="DL235" i="17"/>
  <c r="DG235" i="17"/>
  <c r="CZ235" i="17"/>
  <c r="DH235" i="17"/>
  <c r="DJ235" i="17"/>
  <c r="DM235" i="17"/>
  <c r="CR235" i="17"/>
  <c r="CN235" i="17"/>
  <c r="DP235" i="17"/>
  <c r="DT235" i="17"/>
  <c r="DW235" i="17"/>
  <c r="BZ235" i="17"/>
  <c r="CG235" i="17"/>
  <c r="CB235" i="17"/>
  <c r="BX235" i="17"/>
  <c r="BT235" i="17"/>
  <c r="BQ235" i="17"/>
  <c r="BN235" i="17"/>
  <c r="BJ235" i="17"/>
  <c r="BG235" i="17"/>
  <c r="BD235" i="17"/>
  <c r="BA235" i="17"/>
  <c r="AX235" i="17"/>
  <c r="AU235" i="17"/>
  <c r="AO235" i="17"/>
  <c r="AL235" i="17"/>
  <c r="AH235" i="17"/>
  <c r="CE235" i="17"/>
  <c r="AZ129" i="17"/>
  <c r="BE129" i="17"/>
  <c r="AU129" i="17"/>
  <c r="CK129" i="17" s="1"/>
  <c r="BD129" i="17"/>
  <c r="BC129" i="17"/>
  <c r="BB129" i="17"/>
  <c r="BA129" i="17"/>
  <c r="AV129" i="17"/>
  <c r="AW129" i="17"/>
  <c r="AX129" i="17"/>
  <c r="AY129" i="17"/>
  <c r="BF129" i="17"/>
  <c r="BG129" i="17"/>
  <c r="BH129" i="17"/>
  <c r="BI129" i="17"/>
  <c r="BB42" i="17"/>
  <c r="AW42" i="17"/>
  <c r="AU42" i="17"/>
  <c r="BA42" i="17"/>
  <c r="BC42" i="17"/>
  <c r="AV42" i="17"/>
  <c r="AY42" i="17"/>
  <c r="AZ42" i="17"/>
  <c r="BD42" i="17"/>
  <c r="AX42" i="17"/>
  <c r="AX209" i="17"/>
  <c r="AY209" i="17"/>
  <c r="AZ209" i="17"/>
  <c r="BA209" i="17"/>
  <c r="BB209" i="17"/>
  <c r="BC209" i="17"/>
  <c r="BD209" i="17"/>
  <c r="BE209" i="17"/>
  <c r="BF209" i="17"/>
  <c r="BG209" i="17"/>
  <c r="BH209" i="17"/>
  <c r="BI209" i="17"/>
  <c r="BJ209" i="17"/>
  <c r="BK209" i="17"/>
  <c r="BL209" i="17"/>
  <c r="BN209" i="17"/>
  <c r="BO209" i="17"/>
  <c r="BP209" i="17"/>
  <c r="BQ209" i="17"/>
  <c r="BR209" i="17"/>
  <c r="BS209" i="17"/>
  <c r="BT209" i="17"/>
  <c r="BU209" i="17"/>
  <c r="BV209" i="17"/>
  <c r="BW209" i="17"/>
  <c r="BX209" i="17"/>
  <c r="BY209" i="17"/>
  <c r="BZ209" i="17"/>
  <c r="CA209" i="17"/>
  <c r="CB209" i="17"/>
  <c r="CC209" i="17"/>
  <c r="CD209" i="17"/>
  <c r="CF209" i="17"/>
  <c r="CG209" i="17"/>
  <c r="CH209" i="17"/>
  <c r="CJ209" i="17"/>
  <c r="DD209" i="17"/>
  <c r="DE209" i="17"/>
  <c r="DF209" i="17"/>
  <c r="DG209" i="17"/>
  <c r="DH209" i="17"/>
  <c r="DI209" i="17"/>
  <c r="DJ209" i="17"/>
  <c r="DK209" i="17"/>
  <c r="DL209" i="17"/>
  <c r="DM209" i="17"/>
  <c r="DN209" i="17"/>
  <c r="DO209" i="17"/>
  <c r="DP209" i="17"/>
  <c r="DQ209" i="17"/>
  <c r="DR209" i="17"/>
  <c r="DS209" i="17"/>
  <c r="DT209" i="17"/>
  <c r="DU209" i="17"/>
  <c r="DV209" i="17"/>
  <c r="DW209" i="17"/>
  <c r="BM209" i="17"/>
  <c r="CE209" i="17"/>
  <c r="AG209" i="17"/>
  <c r="AU209" i="17"/>
  <c r="AV209" i="17"/>
  <c r="AW209" i="17"/>
  <c r="BI138" i="17"/>
  <c r="BM138" i="17"/>
  <c r="BX138" i="17"/>
  <c r="CT138" i="17"/>
  <c r="DD138" i="17"/>
  <c r="AC138" i="17"/>
  <c r="AU138" i="17"/>
  <c r="BE138" i="17"/>
  <c r="BF138" i="17"/>
  <c r="BK138" i="17"/>
  <c r="BN138" i="17"/>
  <c r="BV138" i="17"/>
  <c r="BZ138" i="17"/>
  <c r="CC138" i="17"/>
  <c r="CN138" i="17"/>
  <c r="CR138" i="17"/>
  <c r="CW138" i="17"/>
  <c r="DJ138" i="17"/>
  <c r="AB138" i="17"/>
  <c r="AF138" i="17"/>
  <c r="AK138" i="17" s="1"/>
  <c r="AM138" i="17"/>
  <c r="AS138" i="17"/>
  <c r="BD138" i="17"/>
  <c r="BQ138" i="17"/>
  <c r="BS138" i="17"/>
  <c r="CB138" i="17"/>
  <c r="CK138" i="17"/>
  <c r="DA138" i="17"/>
  <c r="DI138" i="17"/>
  <c r="DL138" i="17"/>
  <c r="DV138" i="17"/>
  <c r="AA138" i="17"/>
  <c r="AD138" i="17"/>
  <c r="AN138" i="17"/>
  <c r="BB138" i="17"/>
  <c r="BG138" i="17"/>
  <c r="BL138" i="17"/>
  <c r="CE138" i="17"/>
  <c r="CM138" i="17"/>
  <c r="CS138" i="17"/>
  <c r="CU138" i="17"/>
  <c r="CY138" i="17"/>
  <c r="DC138" i="17"/>
  <c r="DF138" i="17"/>
  <c r="DM138" i="17"/>
  <c r="DN138" i="17"/>
  <c r="DG138" i="17"/>
  <c r="DT138" i="17"/>
  <c r="AJ138" i="17"/>
  <c r="AR138" i="17"/>
  <c r="AX138" i="17"/>
  <c r="AZ138" i="17"/>
  <c r="BJ138" i="17"/>
  <c r="BO138" i="17"/>
  <c r="BW138" i="17"/>
  <c r="CD138" i="17"/>
  <c r="CH138" i="17"/>
  <c r="CP138" i="17"/>
  <c r="CZ138" i="17"/>
  <c r="DB138" i="17"/>
  <c r="DE138" i="17"/>
  <c r="DH138" i="17"/>
  <c r="DO138" i="17"/>
  <c r="DS138" i="17"/>
  <c r="CX138" i="17"/>
  <c r="CV138" i="17"/>
  <c r="CO138" i="17"/>
  <c r="CJ138" i="17"/>
  <c r="CF138" i="17"/>
  <c r="BY138" i="17"/>
  <c r="DQ138" i="17"/>
  <c r="BU138" i="17"/>
  <c r="BT138" i="17"/>
  <c r="BR138" i="17"/>
  <c r="BH138" i="17"/>
  <c r="BA138" i="17"/>
  <c r="AI138" i="17"/>
  <c r="AE138" i="17"/>
  <c r="DW138" i="17"/>
  <c r="DK138" i="17"/>
  <c r="CQ138" i="17"/>
  <c r="CL138" i="17"/>
  <c r="CG138" i="17"/>
  <c r="CA138" i="17"/>
  <c r="BP138" i="17"/>
  <c r="BC138" i="17"/>
  <c r="AW138" i="17"/>
  <c r="DR138" i="17"/>
  <c r="AG138" i="17"/>
  <c r="AO138" i="17"/>
  <c r="DU138" i="17"/>
  <c r="AH138" i="17"/>
  <c r="AL138" i="17"/>
  <c r="AV138" i="17"/>
  <c r="AY138" i="17"/>
  <c r="DP138" i="17"/>
  <c r="BP67" i="17"/>
  <c r="CA67" i="17"/>
  <c r="DL67" i="17"/>
  <c r="DW67" i="17"/>
  <c r="AV67" i="17"/>
  <c r="BM67" i="17"/>
  <c r="BO67" i="17"/>
  <c r="BX67" i="17"/>
  <c r="DI67" i="17"/>
  <c r="DM67" i="17"/>
  <c r="DT67" i="17"/>
  <c r="AX67" i="17"/>
  <c r="BB67" i="17"/>
  <c r="BE67" i="17"/>
  <c r="BY67" i="17"/>
  <c r="CC67" i="17"/>
  <c r="CH67" i="17"/>
  <c r="DQ67" i="17"/>
  <c r="BC67" i="17"/>
  <c r="BK67" i="17"/>
  <c r="BN67" i="17"/>
  <c r="BS67" i="17"/>
  <c r="BT67" i="17"/>
  <c r="BZ67" i="17"/>
  <c r="CF67" i="17"/>
  <c r="DJ67" i="17"/>
  <c r="DP67" i="17"/>
  <c r="DS67" i="17"/>
  <c r="AZ67" i="17"/>
  <c r="BF67" i="17"/>
  <c r="BH67" i="17"/>
  <c r="BR67" i="17"/>
  <c r="BW67" i="17"/>
  <c r="CB67" i="17"/>
  <c r="CJ67" i="17"/>
  <c r="DN67" i="17"/>
  <c r="DV67" i="17"/>
  <c r="AU67" i="17"/>
  <c r="AY67" i="17"/>
  <c r="BG67" i="17"/>
  <c r="BJ67" i="17"/>
  <c r="BQ67" i="17"/>
  <c r="AG67" i="17"/>
  <c r="BI67" i="17"/>
  <c r="BU67" i="17"/>
  <c r="CD67" i="17"/>
  <c r="AW67" i="17"/>
  <c r="BA67" i="17"/>
  <c r="BL67" i="17"/>
  <c r="BV67" i="17"/>
  <c r="CE67" i="17"/>
  <c r="CG67" i="17"/>
  <c r="DK67" i="17"/>
  <c r="DO67" i="17"/>
  <c r="DR67" i="17"/>
  <c r="DU67" i="17"/>
  <c r="BD67" i="17"/>
  <c r="BF86" i="17"/>
  <c r="AZ86" i="17"/>
  <c r="BD86" i="17"/>
  <c r="BH86" i="17"/>
  <c r="AU86" i="17"/>
  <c r="AX86" i="17"/>
  <c r="BA86" i="17"/>
  <c r="BG86" i="17"/>
  <c r="BC86" i="17"/>
  <c r="BB86" i="17"/>
  <c r="BI86" i="17"/>
  <c r="AV86" i="17"/>
  <c r="AY86" i="17"/>
  <c r="BE86" i="17"/>
  <c r="AW86" i="17"/>
  <c r="BO134" i="17"/>
  <c r="BS134" i="17"/>
  <c r="BY134" i="17"/>
  <c r="CJ134" i="17"/>
  <c r="AW134" i="17"/>
  <c r="AZ134" i="17"/>
  <c r="BG134" i="17"/>
  <c r="BM134" i="17"/>
  <c r="BU134" i="17"/>
  <c r="CB134" i="17"/>
  <c r="DL134" i="17"/>
  <c r="DM134" i="17"/>
  <c r="DO134" i="17"/>
  <c r="BB134" i="17"/>
  <c r="AG134" i="17"/>
  <c r="CA134" i="17"/>
  <c r="CD134" i="17"/>
  <c r="CH134" i="17"/>
  <c r="DN134" i="17"/>
  <c r="DS134" i="17"/>
  <c r="DW134" i="17"/>
  <c r="AU134" i="17"/>
  <c r="AX134" i="17"/>
  <c r="BA134" i="17"/>
  <c r="BH134" i="17"/>
  <c r="BD134" i="17"/>
  <c r="BQ134" i="17"/>
  <c r="CC134" i="17"/>
  <c r="CE134" i="17"/>
  <c r="DK134" i="17"/>
  <c r="DR134" i="17"/>
  <c r="DU134" i="17"/>
  <c r="BE134" i="17"/>
  <c r="BL134" i="17"/>
  <c r="CF134" i="17"/>
  <c r="DI134" i="17"/>
  <c r="DT134" i="17"/>
  <c r="DV134" i="17"/>
  <c r="AV134" i="17"/>
  <c r="AY134" i="17"/>
  <c r="BC134" i="17"/>
  <c r="BI134" i="17"/>
  <c r="BK134" i="17"/>
  <c r="BN134" i="17"/>
  <c r="BR134" i="17"/>
  <c r="BT134" i="17"/>
  <c r="BV134" i="17"/>
  <c r="BX134" i="17"/>
  <c r="CG134" i="17"/>
  <c r="DJ134" i="17"/>
  <c r="DP134" i="17"/>
  <c r="DQ134" i="17"/>
  <c r="BF134" i="17"/>
  <c r="BJ134" i="17"/>
  <c r="BP134" i="17"/>
  <c r="BW134" i="17"/>
  <c r="BZ134" i="17"/>
  <c r="U9" i="17"/>
  <c r="B23" i="4"/>
  <c r="C56" i="5"/>
  <c r="C57" i="5"/>
  <c r="C54" i="5"/>
  <c r="B54" i="5"/>
  <c r="B55" i="5"/>
  <c r="B56" i="5"/>
  <c r="C55" i="5"/>
  <c r="B57" i="5"/>
  <c r="B14" i="20"/>
  <c r="C23" i="20"/>
  <c r="D36" i="7"/>
  <c r="B28" i="22" s="1"/>
  <c r="D28" i="22" s="1"/>
  <c r="G29" i="7"/>
  <c r="B24" i="7"/>
  <c r="G38" i="2" s="1"/>
  <c r="AQ18" i="17"/>
  <c r="Y18" i="17"/>
  <c r="Z18" i="17"/>
  <c r="Y21" i="17"/>
  <c r="Z21" i="17"/>
  <c r="AQ21" i="17"/>
  <c r="Y17" i="17"/>
  <c r="AQ17" i="17"/>
  <c r="Z17" i="17"/>
  <c r="Y22" i="17"/>
  <c r="Z22" i="17"/>
  <c r="AQ22" i="17"/>
  <c r="Z10" i="17"/>
  <c r="Y10" i="17"/>
  <c r="AQ10" i="17"/>
  <c r="AQ6" i="17"/>
  <c r="Z6" i="17"/>
  <c r="Y6" i="17"/>
  <c r="AQ11" i="17"/>
  <c r="Y11" i="17"/>
  <c r="Z11" i="17"/>
  <c r="Y20" i="17"/>
  <c r="Z20" i="17"/>
  <c r="AQ20" i="17"/>
  <c r="Y23" i="17"/>
  <c r="Z23" i="17"/>
  <c r="AQ23" i="17"/>
  <c r="Z19" i="17"/>
  <c r="Y19" i="17"/>
  <c r="AQ19" i="17"/>
  <c r="Z16" i="17"/>
  <c r="Y16" i="17"/>
  <c r="AQ16" i="17"/>
  <c r="Z15" i="17"/>
  <c r="Y15" i="17"/>
  <c r="AQ15" i="17"/>
  <c r="B16" i="12"/>
  <c r="C4" i="15"/>
  <c r="B21" i="3" s="1"/>
  <c r="B22" i="3" s="1"/>
  <c r="AQ7" i="17"/>
  <c r="Y7" i="17"/>
  <c r="Z7" i="17"/>
  <c r="Z14" i="17"/>
  <c r="Y14" i="17"/>
  <c r="AQ14" i="17"/>
  <c r="AQ13" i="17"/>
  <c r="Y13" i="17"/>
  <c r="Z13" i="17"/>
  <c r="AQ12" i="17"/>
  <c r="Y12" i="17"/>
  <c r="Z12" i="17"/>
  <c r="AQ9" i="17"/>
  <c r="Z9" i="17"/>
  <c r="Y9" i="17"/>
  <c r="Y24" i="17"/>
  <c r="AQ24" i="17"/>
  <c r="Z24" i="17"/>
  <c r="Z8" i="17"/>
  <c r="Y8" i="17"/>
  <c r="AQ8" i="17"/>
  <c r="K41" i="14"/>
  <c r="G41" i="14"/>
  <c r="I41" i="14"/>
  <c r="O41" i="14"/>
  <c r="P41" i="14" s="1"/>
  <c r="D41" i="14"/>
  <c r="K41" i="19"/>
  <c r="O39" i="14"/>
  <c r="P39" i="14" s="1"/>
  <c r="K39" i="19"/>
  <c r="I39" i="14"/>
  <c r="D39" i="14"/>
  <c r="K39" i="14"/>
  <c r="S39" i="14"/>
  <c r="G34" i="14"/>
  <c r="K34" i="14"/>
  <c r="K34" i="19"/>
  <c r="D34" i="14"/>
  <c r="I34" i="14"/>
  <c r="O34" i="14"/>
  <c r="P34" i="14" s="1"/>
  <c r="I40" i="14"/>
  <c r="D40" i="14"/>
  <c r="O40" i="14"/>
  <c r="P40" i="14" s="1"/>
  <c r="K40" i="19"/>
  <c r="K40" i="14"/>
  <c r="K38" i="19"/>
  <c r="I38" i="14"/>
  <c r="O38" i="14"/>
  <c r="P38" i="14" s="1"/>
  <c r="K38" i="14"/>
  <c r="D38" i="14"/>
  <c r="D37" i="14"/>
  <c r="K37" i="14"/>
  <c r="K37" i="19"/>
  <c r="I37" i="14"/>
  <c r="O37" i="14"/>
  <c r="P37" i="14" s="1"/>
  <c r="G37" i="14"/>
  <c r="D36" i="14"/>
  <c r="K36" i="19"/>
  <c r="K36" i="14"/>
  <c r="F36" i="14"/>
  <c r="O36" i="14"/>
  <c r="P36" i="14" s="1"/>
  <c r="I36" i="14"/>
  <c r="F35" i="14"/>
  <c r="D35" i="14"/>
  <c r="I35" i="14"/>
  <c r="K35" i="14"/>
  <c r="K35" i="19"/>
  <c r="S35" i="14"/>
  <c r="T35" i="14" s="1"/>
  <c r="G35" i="14"/>
  <c r="O35" i="14"/>
  <c r="P35" i="14" s="1"/>
  <c r="K4" i="19"/>
  <c r="O4" i="14"/>
  <c r="D4" i="14"/>
  <c r="G4" i="14"/>
  <c r="I4" i="14"/>
  <c r="K4" i="14"/>
  <c r="O43" i="14"/>
  <c r="P43" i="14" s="1"/>
  <c r="K43" i="14"/>
  <c r="D43" i="14"/>
  <c r="K43" i="19"/>
  <c r="L43" i="19" s="1"/>
  <c r="I43" i="14"/>
  <c r="S43" i="14"/>
  <c r="O42" i="14"/>
  <c r="P42" i="14" s="1"/>
  <c r="F42" i="14"/>
  <c r="K42" i="14"/>
  <c r="I42" i="14"/>
  <c r="D42" i="14"/>
  <c r="K42" i="19"/>
  <c r="AP7" i="17"/>
  <c r="T7" i="17"/>
  <c r="T20" i="17"/>
  <c r="AP20" i="17"/>
  <c r="T14" i="17"/>
  <c r="AP14" i="17"/>
  <c r="AP15" i="17"/>
  <c r="T15" i="17"/>
  <c r="T16" i="17"/>
  <c r="AP16" i="17"/>
  <c r="AP17" i="17"/>
  <c r="T17" i="17"/>
  <c r="T19" i="17"/>
  <c r="AP19" i="17"/>
  <c r="T22" i="17"/>
  <c r="AP22" i="17"/>
  <c r="AP12" i="17"/>
  <c r="T12" i="17"/>
  <c r="T6" i="17"/>
  <c r="AP6" i="17"/>
  <c r="AP8" i="17"/>
  <c r="T8" i="17"/>
  <c r="AP23" i="17"/>
  <c r="T23" i="17"/>
  <c r="T21" i="17"/>
  <c r="AP21" i="17"/>
  <c r="AP24" i="17"/>
  <c r="AP10" i="17"/>
  <c r="T10" i="17"/>
  <c r="AP9" i="17"/>
  <c r="T9" i="17"/>
  <c r="AP13" i="17"/>
  <c r="T13" i="17"/>
  <c r="T11" i="17"/>
  <c r="AP11" i="17"/>
  <c r="T18" i="17"/>
  <c r="AP18" i="17"/>
  <c r="C30" i="5"/>
  <c r="C26" i="5"/>
  <c r="C27" i="5"/>
  <c r="C28" i="5"/>
  <c r="B27" i="5"/>
  <c r="C29" i="5"/>
  <c r="B30" i="5"/>
  <c r="B28" i="5"/>
  <c r="B29" i="5"/>
  <c r="B26" i="5"/>
  <c r="J4" i="13"/>
  <c r="B15" i="12"/>
  <c r="B13" i="12"/>
  <c r="CQ274" i="17" l="1"/>
  <c r="CR274" i="17" s="1"/>
  <c r="CS274" i="17" s="1"/>
  <c r="CT274" i="17" s="1"/>
  <c r="CU274" i="17" s="1"/>
  <c r="CV274" i="17" s="1"/>
  <c r="CW274" i="17" s="1"/>
  <c r="CX274" i="17" s="1"/>
  <c r="CY274" i="17" s="1"/>
  <c r="CZ274" i="17" s="1"/>
  <c r="DA274" i="17" s="1"/>
  <c r="DB274" i="17" s="1"/>
  <c r="CK115" i="17"/>
  <c r="CL115" i="17" s="1"/>
  <c r="CM115" i="17" s="1"/>
  <c r="CN115" i="17" s="1"/>
  <c r="CK245" i="17"/>
  <c r="CL245" i="17" s="1"/>
  <c r="CM245" i="17" s="1"/>
  <c r="CN245" i="17" s="1"/>
  <c r="CK99" i="17"/>
  <c r="CL99" i="17" s="1"/>
  <c r="CM99" i="17" s="1"/>
  <c r="CN99" i="17" s="1"/>
  <c r="CO99" i="17" s="1"/>
  <c r="CP99" i="17" s="1"/>
  <c r="CK260" i="17"/>
  <c r="CL260" i="17" s="1"/>
  <c r="CM260" i="17" s="1"/>
  <c r="CK246" i="17"/>
  <c r="CL246" i="17" s="1"/>
  <c r="CK94" i="17"/>
  <c r="CL94" i="17" s="1"/>
  <c r="CM94" i="17" s="1"/>
  <c r="CK133" i="17"/>
  <c r="CL133" i="17" s="1"/>
  <c r="CM133" i="17" s="1"/>
  <c r="CK243" i="17"/>
  <c r="CL243" i="17" s="1"/>
  <c r="CK88" i="17"/>
  <c r="CL88" i="17" s="1"/>
  <c r="CM88" i="17" s="1"/>
  <c r="CK96" i="17"/>
  <c r="CL96" i="17" s="1"/>
  <c r="CM96" i="17" s="1"/>
  <c r="CN96" i="17" s="1"/>
  <c r="CO96" i="17" s="1"/>
  <c r="CK39" i="17"/>
  <c r="CL39" i="17" s="1"/>
  <c r="CM39" i="17" s="1"/>
  <c r="CK252" i="17"/>
  <c r="CL252" i="17" s="1"/>
  <c r="CM252" i="17" s="1"/>
  <c r="CN252" i="17" s="1"/>
  <c r="CO252" i="17" s="1"/>
  <c r="CP252" i="17" s="1"/>
  <c r="CQ252" i="17" s="1"/>
  <c r="CR252" i="17" s="1"/>
  <c r="CS252" i="17" s="1"/>
  <c r="CT252" i="17" s="1"/>
  <c r="CU252" i="17" s="1"/>
  <c r="CV252" i="17" s="1"/>
  <c r="CW252" i="17" s="1"/>
  <c r="CX252" i="17" s="1"/>
  <c r="CY252" i="17" s="1"/>
  <c r="CZ252" i="17" s="1"/>
  <c r="CK106" i="17"/>
  <c r="CL106" i="17" s="1"/>
  <c r="CM106" i="17" s="1"/>
  <c r="CK192" i="17"/>
  <c r="CL192" i="17" s="1"/>
  <c r="CK86" i="17"/>
  <c r="CL86" i="17" s="1"/>
  <c r="CM86" i="17" s="1"/>
  <c r="CN86" i="17" s="1"/>
  <c r="CO86" i="17" s="1"/>
  <c r="CP86" i="17" s="1"/>
  <c r="CQ86" i="17" s="1"/>
  <c r="CK82" i="17"/>
  <c r="CL82" i="17" s="1"/>
  <c r="CM82" i="17" s="1"/>
  <c r="CN82" i="17" s="1"/>
  <c r="CO82" i="17" s="1"/>
  <c r="CK97" i="17"/>
  <c r="CL97" i="17" s="1"/>
  <c r="CK150" i="17"/>
  <c r="CL150" i="17" s="1"/>
  <c r="CM150" i="17" s="1"/>
  <c r="CK210" i="17"/>
  <c r="CL210" i="17" s="1"/>
  <c r="CM210" i="17" s="1"/>
  <c r="CN210" i="17" s="1"/>
  <c r="CO210" i="17" s="1"/>
  <c r="CP210" i="17" s="1"/>
  <c r="CQ210" i="17" s="1"/>
  <c r="CR210" i="17" s="1"/>
  <c r="CS210" i="17" s="1"/>
  <c r="CT210" i="17" s="1"/>
  <c r="CU210" i="17" s="1"/>
  <c r="CV210" i="17" s="1"/>
  <c r="CW210" i="17" s="1"/>
  <c r="CX210" i="17" s="1"/>
  <c r="CK266" i="17"/>
  <c r="CL266" i="17" s="1"/>
  <c r="CM266" i="17" s="1"/>
  <c r="CK240" i="17"/>
  <c r="CL240" i="17" s="1"/>
  <c r="CM240" i="17" s="1"/>
  <c r="CN240" i="17" s="1"/>
  <c r="CO240" i="17" s="1"/>
  <c r="CP240" i="17" s="1"/>
  <c r="CQ240" i="17" s="1"/>
  <c r="CR240" i="17" s="1"/>
  <c r="CS240" i="17" s="1"/>
  <c r="CT240" i="17" s="1"/>
  <c r="CU240" i="17" s="1"/>
  <c r="CK183" i="17"/>
  <c r="CL183" i="17" s="1"/>
  <c r="CM183" i="17" s="1"/>
  <c r="CK112" i="17"/>
  <c r="CL112" i="17" s="1"/>
  <c r="CM112" i="17" s="1"/>
  <c r="CN112" i="17" s="1"/>
  <c r="CO112" i="17" s="1"/>
  <c r="CP112" i="17" s="1"/>
  <c r="CQ112" i="17" s="1"/>
  <c r="CR112" i="17" s="1"/>
  <c r="CS112" i="17" s="1"/>
  <c r="CT112" i="17" s="1"/>
  <c r="CK224" i="17"/>
  <c r="CL224" i="17" s="1"/>
  <c r="CM224" i="17" s="1"/>
  <c r="CN224" i="17" s="1"/>
  <c r="CO224" i="17" s="1"/>
  <c r="CP224" i="17" s="1"/>
  <c r="CQ224" i="17" s="1"/>
  <c r="CK174" i="17"/>
  <c r="CL174" i="17" s="1"/>
  <c r="CM174" i="17" s="1"/>
  <c r="CN174" i="17" s="1"/>
  <c r="CK156" i="17"/>
  <c r="CL156" i="17" s="1"/>
  <c r="CK188" i="17"/>
  <c r="CL188" i="17" s="1"/>
  <c r="CM188" i="17" s="1"/>
  <c r="CK251" i="17"/>
  <c r="CL251" i="17" s="1"/>
  <c r="CM251" i="17" s="1"/>
  <c r="CN251" i="17" s="1"/>
  <c r="CO251" i="17" s="1"/>
  <c r="CP251" i="17" s="1"/>
  <c r="CQ251" i="17" s="1"/>
  <c r="CK247" i="17"/>
  <c r="CL247" i="17" s="1"/>
  <c r="CK65" i="17"/>
  <c r="CL65" i="17" s="1"/>
  <c r="CK185" i="17"/>
  <c r="CL185" i="17" s="1"/>
  <c r="CK172" i="17"/>
  <c r="CL172" i="17" s="1"/>
  <c r="CM172" i="17" s="1"/>
  <c r="CN172" i="17" s="1"/>
  <c r="CO172" i="17" s="1"/>
  <c r="CK241" i="17"/>
  <c r="CL241" i="17" s="1"/>
  <c r="CM241" i="17" s="1"/>
  <c r="CN241" i="17" s="1"/>
  <c r="CO241" i="17" s="1"/>
  <c r="CP241" i="17" s="1"/>
  <c r="CQ241" i="17" s="1"/>
  <c r="CR241" i="17" s="1"/>
  <c r="CS241" i="17" s="1"/>
  <c r="CT241" i="17" s="1"/>
  <c r="CU241" i="17" s="1"/>
  <c r="CV241" i="17" s="1"/>
  <c r="CK261" i="17"/>
  <c r="CL261" i="17" s="1"/>
  <c r="CM261" i="17" s="1"/>
  <c r="CN261" i="17" s="1"/>
  <c r="CK40" i="17"/>
  <c r="CL40" i="17" s="1"/>
  <c r="CM40" i="17" s="1"/>
  <c r="CN40" i="17" s="1"/>
  <c r="CK44" i="17"/>
  <c r="CL44" i="17" s="1"/>
  <c r="CM44" i="17" s="1"/>
  <c r="CK38" i="17"/>
  <c r="CL38" i="17" s="1"/>
  <c r="CM38" i="17" s="1"/>
  <c r="CN38" i="17" s="1"/>
  <c r="CK223" i="17"/>
  <c r="CL223" i="17" s="1"/>
  <c r="CM223" i="17" s="1"/>
  <c r="CN223" i="17" s="1"/>
  <c r="CO223" i="17" s="1"/>
  <c r="CP223" i="17" s="1"/>
  <c r="CQ223" i="17" s="1"/>
  <c r="CR223" i="17" s="1"/>
  <c r="CK255" i="17"/>
  <c r="CL255" i="17" s="1"/>
  <c r="CK33" i="17"/>
  <c r="CL33" i="17" s="1"/>
  <c r="CM33" i="17" s="1"/>
  <c r="CK264" i="17"/>
  <c r="CL264" i="17" s="1"/>
  <c r="CK98" i="17"/>
  <c r="CL98" i="17" s="1"/>
  <c r="CM98" i="17" s="1"/>
  <c r="CK114" i="17"/>
  <c r="CL114" i="17" s="1"/>
  <c r="CK139" i="17"/>
  <c r="CL139" i="17" s="1"/>
  <c r="CM139" i="17" s="1"/>
  <c r="CK182" i="17"/>
  <c r="CL182" i="17" s="1"/>
  <c r="CM182" i="17" s="1"/>
  <c r="CN182" i="17" s="1"/>
  <c r="CK171" i="17"/>
  <c r="CL171" i="17" s="1"/>
  <c r="CK209" i="17"/>
  <c r="CL209" i="17" s="1"/>
  <c r="CK59" i="17"/>
  <c r="CL59" i="17" s="1"/>
  <c r="CM59" i="17" s="1"/>
  <c r="CN59" i="17" s="1"/>
  <c r="CK270" i="17"/>
  <c r="CL270" i="17" s="1"/>
  <c r="CM270" i="17" s="1"/>
  <c r="CK250" i="17"/>
  <c r="CL250" i="17" s="1"/>
  <c r="CM250" i="17" s="1"/>
  <c r="CN250" i="17" s="1"/>
  <c r="CO250" i="17" s="1"/>
  <c r="CP250" i="17" s="1"/>
  <c r="CQ250" i="17" s="1"/>
  <c r="CR250" i="17" s="1"/>
  <c r="CS250" i="17" s="1"/>
  <c r="CT250" i="17" s="1"/>
  <c r="CU250" i="17" s="1"/>
  <c r="CV250" i="17" s="1"/>
  <c r="CW250" i="17" s="1"/>
  <c r="CX250" i="17" s="1"/>
  <c r="CY250" i="17" s="1"/>
  <c r="CZ250" i="17" s="1"/>
  <c r="DA250" i="17" s="1"/>
  <c r="DB250" i="17" s="1"/>
  <c r="CK155" i="17"/>
  <c r="CL155" i="17" s="1"/>
  <c r="CM155" i="17" s="1"/>
  <c r="CK190" i="17"/>
  <c r="CL190" i="17" s="1"/>
  <c r="CK227" i="17"/>
  <c r="CL227" i="17" s="1"/>
  <c r="CK91" i="17"/>
  <c r="CL91" i="17" s="1"/>
  <c r="CM91" i="17" s="1"/>
  <c r="CK60" i="17"/>
  <c r="CL60" i="17" s="1"/>
  <c r="CK140" i="17"/>
  <c r="CL140" i="17" s="1"/>
  <c r="CK258" i="17"/>
  <c r="CL258" i="17" s="1"/>
  <c r="CM258" i="17" s="1"/>
  <c r="CN258" i="17" s="1"/>
  <c r="CK199" i="17"/>
  <c r="CL199" i="17" s="1"/>
  <c r="CM199" i="17" s="1"/>
  <c r="CK32" i="17"/>
  <c r="CL32" i="17" s="1"/>
  <c r="CK272" i="17"/>
  <c r="CL272" i="17" s="1"/>
  <c r="CM272" i="17" s="1"/>
  <c r="CK84" i="17"/>
  <c r="CL84" i="17" s="1"/>
  <c r="CK127" i="17"/>
  <c r="CL127" i="17" s="1"/>
  <c r="CM127" i="17" s="1"/>
  <c r="CN127" i="17" s="1"/>
  <c r="CO127" i="17" s="1"/>
  <c r="CP127" i="17" s="1"/>
  <c r="CQ127" i="17" s="1"/>
  <c r="CR127" i="17" s="1"/>
  <c r="CK43" i="17"/>
  <c r="CL43" i="17" s="1"/>
  <c r="CM43" i="17" s="1"/>
  <c r="CN43" i="17" s="1"/>
  <c r="CK163" i="17"/>
  <c r="CL163" i="17" s="1"/>
  <c r="CK181" i="17"/>
  <c r="CL181" i="17" s="1"/>
  <c r="CM181" i="17" s="1"/>
  <c r="CK157" i="17"/>
  <c r="CL157" i="17" s="1"/>
  <c r="CM157" i="17" s="1"/>
  <c r="CK53" i="17"/>
  <c r="CL53" i="17" s="1"/>
  <c r="CM53" i="17" s="1"/>
  <c r="CN53" i="17" s="1"/>
  <c r="CL36" i="17"/>
  <c r="CM36" i="17" s="1"/>
  <c r="CK184" i="17"/>
  <c r="CL184" i="17" s="1"/>
  <c r="CK202" i="17"/>
  <c r="CL202" i="17" s="1"/>
  <c r="CM202" i="17" s="1"/>
  <c r="CK137" i="17"/>
  <c r="CL137" i="17" s="1"/>
  <c r="CK147" i="17"/>
  <c r="CL147" i="17" s="1"/>
  <c r="CM147" i="17" s="1"/>
  <c r="CK197" i="17"/>
  <c r="CL197" i="17" s="1"/>
  <c r="CK233" i="17"/>
  <c r="CL233" i="17" s="1"/>
  <c r="CM233" i="17" s="1"/>
  <c r="CK198" i="17"/>
  <c r="CL198" i="17" s="1"/>
  <c r="CM198" i="17" s="1"/>
  <c r="CK42" i="17"/>
  <c r="CL42" i="17" s="1"/>
  <c r="CM42" i="17" s="1"/>
  <c r="CK76" i="17"/>
  <c r="CL76" i="17" s="1"/>
  <c r="CM76" i="17" s="1"/>
  <c r="CK142" i="17"/>
  <c r="CL142" i="17" s="1"/>
  <c r="CM142" i="17" s="1"/>
  <c r="CN142" i="17" s="1"/>
  <c r="CK145" i="17"/>
  <c r="CL145" i="17" s="1"/>
  <c r="CM145" i="17" s="1"/>
  <c r="CN145" i="17" s="1"/>
  <c r="CK248" i="17"/>
  <c r="CL248" i="17" s="1"/>
  <c r="CM248" i="17" s="1"/>
  <c r="CK278" i="17"/>
  <c r="CL278" i="17" s="1"/>
  <c r="CM278" i="17" s="1"/>
  <c r="CN278" i="17" s="1"/>
  <c r="CK102" i="17"/>
  <c r="CL102" i="17" s="1"/>
  <c r="CM102" i="17" s="1"/>
  <c r="CN102" i="17" s="1"/>
  <c r="CO102" i="17" s="1"/>
  <c r="CK81" i="17"/>
  <c r="CL81" i="17" s="1"/>
  <c r="CK122" i="17"/>
  <c r="CL122" i="17" s="1"/>
  <c r="CK90" i="17"/>
  <c r="CL90" i="17" s="1"/>
  <c r="CM90" i="17" s="1"/>
  <c r="CK253" i="17"/>
  <c r="CL253" i="17" s="1"/>
  <c r="CK52" i="17"/>
  <c r="CL52" i="17" s="1"/>
  <c r="CM52" i="17" s="1"/>
  <c r="CN52" i="17" s="1"/>
  <c r="CO52" i="17" s="1"/>
  <c r="CP52" i="17" s="1"/>
  <c r="CQ52" i="17" s="1"/>
  <c r="CR52" i="17" s="1"/>
  <c r="CS52" i="17" s="1"/>
  <c r="CT52" i="17" s="1"/>
  <c r="CU52" i="17" s="1"/>
  <c r="CV52" i="17" s="1"/>
  <c r="CW52" i="17" s="1"/>
  <c r="CK45" i="17"/>
  <c r="CL45" i="17" s="1"/>
  <c r="CK267" i="17"/>
  <c r="CL267" i="17" s="1"/>
  <c r="CK54" i="17"/>
  <c r="CL54" i="17" s="1"/>
  <c r="CK56" i="17"/>
  <c r="CL56" i="17" s="1"/>
  <c r="CM56" i="17" s="1"/>
  <c r="CK273" i="17"/>
  <c r="CL273" i="17" s="1"/>
  <c r="CK213" i="17"/>
  <c r="CL213" i="17" s="1"/>
  <c r="CK239" i="17"/>
  <c r="CL239" i="17" s="1"/>
  <c r="CK205" i="17"/>
  <c r="CL205" i="17" s="1"/>
  <c r="CM205" i="17" s="1"/>
  <c r="CN205" i="17" s="1"/>
  <c r="CO205" i="17" s="1"/>
  <c r="CP205" i="17" s="1"/>
  <c r="CQ205" i="17" s="1"/>
  <c r="CR205" i="17" s="1"/>
  <c r="CS205" i="17" s="1"/>
  <c r="CT205" i="17" s="1"/>
  <c r="CU205" i="17" s="1"/>
  <c r="CV205" i="17" s="1"/>
  <c r="CW205" i="17" s="1"/>
  <c r="CX205" i="17" s="1"/>
  <c r="CY205" i="17" s="1"/>
  <c r="CZ205" i="17" s="1"/>
  <c r="DA205" i="17" s="1"/>
  <c r="CK78" i="17"/>
  <c r="CL78" i="17" s="1"/>
  <c r="CM78" i="17" s="1"/>
  <c r="CN78" i="17" s="1"/>
  <c r="CK256" i="17"/>
  <c r="CL256" i="17" s="1"/>
  <c r="CM256" i="17" s="1"/>
  <c r="CK113" i="17"/>
  <c r="CL113" i="17" s="1"/>
  <c r="CM113" i="17" s="1"/>
  <c r="CN113" i="17" s="1"/>
  <c r="CO113" i="17" s="1"/>
  <c r="CP113" i="17" s="1"/>
  <c r="CQ113" i="17" s="1"/>
  <c r="CR113" i="17" s="1"/>
  <c r="CS113" i="17" s="1"/>
  <c r="CT113" i="17" s="1"/>
  <c r="CU113" i="17" s="1"/>
  <c r="CK170" i="17"/>
  <c r="CL170" i="17" s="1"/>
  <c r="CM170" i="17" s="1"/>
  <c r="CN170" i="17" s="1"/>
  <c r="CO170" i="17" s="1"/>
  <c r="CP170" i="17" s="1"/>
  <c r="CQ170" i="17" s="1"/>
  <c r="CR170" i="17" s="1"/>
  <c r="CK179" i="17"/>
  <c r="CL179" i="17" s="1"/>
  <c r="CM179" i="17" s="1"/>
  <c r="CN179" i="17" s="1"/>
  <c r="CO179" i="17" s="1"/>
  <c r="CP179" i="17" s="1"/>
  <c r="CQ179" i="17" s="1"/>
  <c r="CR179" i="17" s="1"/>
  <c r="CS179" i="17" s="1"/>
  <c r="CK222" i="17"/>
  <c r="CL222" i="17" s="1"/>
  <c r="CK236" i="17"/>
  <c r="CL236" i="17" s="1"/>
  <c r="CM236" i="17" s="1"/>
  <c r="CK214" i="17"/>
  <c r="CL214" i="17" s="1"/>
  <c r="CM214" i="17" s="1"/>
  <c r="CK231" i="17"/>
  <c r="CL231" i="17" s="1"/>
  <c r="CM231" i="17" s="1"/>
  <c r="CN231" i="17" s="1"/>
  <c r="CO231" i="17" s="1"/>
  <c r="CP231" i="17" s="1"/>
  <c r="CQ231" i="17" s="1"/>
  <c r="CR231" i="17" s="1"/>
  <c r="CS231" i="17" s="1"/>
  <c r="CK101" i="17"/>
  <c r="CL101" i="17" s="1"/>
  <c r="CM101" i="17" s="1"/>
  <c r="CN101" i="17" s="1"/>
  <c r="CK124" i="17"/>
  <c r="CL124" i="17" s="1"/>
  <c r="CK154" i="17"/>
  <c r="CL154" i="17" s="1"/>
  <c r="CM154" i="17" s="1"/>
  <c r="CN154" i="17" s="1"/>
  <c r="CO154" i="17" s="1"/>
  <c r="CP154" i="17" s="1"/>
  <c r="CQ154" i="17" s="1"/>
  <c r="CL103" i="17"/>
  <c r="CM103" i="17" s="1"/>
  <c r="CN103" i="17" s="1"/>
  <c r="CO103" i="17" s="1"/>
  <c r="CK228" i="17"/>
  <c r="CL228" i="17" s="1"/>
  <c r="CK41" i="17"/>
  <c r="CL41" i="17" s="1"/>
  <c r="CM41" i="17" s="1"/>
  <c r="CK128" i="17"/>
  <c r="CL128" i="17" s="1"/>
  <c r="CK58" i="17"/>
  <c r="CL58" i="17" s="1"/>
  <c r="CM58" i="17" s="1"/>
  <c r="CK110" i="17"/>
  <c r="CL110" i="17" s="1"/>
  <c r="CM110" i="17" s="1"/>
  <c r="CN110" i="17" s="1"/>
  <c r="CO110" i="17" s="1"/>
  <c r="CP110" i="17" s="1"/>
  <c r="CQ110" i="17" s="1"/>
  <c r="CR110" i="17" s="1"/>
  <c r="CS110" i="17" s="1"/>
  <c r="CT110" i="17" s="1"/>
  <c r="CU110" i="17" s="1"/>
  <c r="CV110" i="17" s="1"/>
  <c r="CK238" i="17"/>
  <c r="CL238" i="17" s="1"/>
  <c r="CM238" i="17" s="1"/>
  <c r="CN238" i="17" s="1"/>
  <c r="CO238" i="17" s="1"/>
  <c r="CK111" i="17"/>
  <c r="CL111" i="17" s="1"/>
  <c r="CM111" i="17" s="1"/>
  <c r="CN111" i="17" s="1"/>
  <c r="CO111" i="17" s="1"/>
  <c r="CP111" i="17" s="1"/>
  <c r="CK123" i="17"/>
  <c r="CL123" i="17" s="1"/>
  <c r="CM123" i="17" s="1"/>
  <c r="CK74" i="17"/>
  <c r="CL74" i="17" s="1"/>
  <c r="CM74" i="17" s="1"/>
  <c r="CN74" i="17" s="1"/>
  <c r="CO74" i="17" s="1"/>
  <c r="CP74" i="17" s="1"/>
  <c r="CQ74" i="17" s="1"/>
  <c r="CR74" i="17" s="1"/>
  <c r="CS74" i="17" s="1"/>
  <c r="CK221" i="17"/>
  <c r="CL221" i="17" s="1"/>
  <c r="CK196" i="17"/>
  <c r="CL196" i="17" s="1"/>
  <c r="CM196" i="17" s="1"/>
  <c r="CN196" i="17" s="1"/>
  <c r="CK119" i="17"/>
  <c r="CL119" i="17" s="1"/>
  <c r="CK46" i="17"/>
  <c r="CL46" i="17" s="1"/>
  <c r="CM46" i="17" s="1"/>
  <c r="CL79" i="17"/>
  <c r="CM79" i="17" s="1"/>
  <c r="CN79" i="17" s="1"/>
  <c r="CK34" i="17"/>
  <c r="CL34" i="17" s="1"/>
  <c r="CK225" i="17"/>
  <c r="CL225" i="17" s="1"/>
  <c r="B25" i="22"/>
  <c r="D25" i="22" s="1"/>
  <c r="CK31" i="17"/>
  <c r="CL31" i="17" s="1"/>
  <c r="CM31" i="17" s="1"/>
  <c r="CK30" i="17"/>
  <c r="CL30" i="17" s="1"/>
  <c r="CM30" i="17" s="1"/>
  <c r="CN30" i="17" s="1"/>
  <c r="CK194" i="17"/>
  <c r="CL194" i="17" s="1"/>
  <c r="CK104" i="17"/>
  <c r="CL104" i="17" s="1"/>
  <c r="CM104" i="17" s="1"/>
  <c r="CK48" i="17"/>
  <c r="CL48" i="17" s="1"/>
  <c r="CM48" i="17" s="1"/>
  <c r="CK178" i="17"/>
  <c r="CL178" i="17" s="1"/>
  <c r="CM178" i="17" s="1"/>
  <c r="CN178" i="17" s="1"/>
  <c r="CO178" i="17" s="1"/>
  <c r="CP178" i="17" s="1"/>
  <c r="CK219" i="17"/>
  <c r="CL219" i="17" s="1"/>
  <c r="CM219" i="17" s="1"/>
  <c r="CN219" i="17" s="1"/>
  <c r="CO219" i="17" s="1"/>
  <c r="CP219" i="17" s="1"/>
  <c r="CQ219" i="17" s="1"/>
  <c r="CR219" i="17" s="1"/>
  <c r="CS219" i="17" s="1"/>
  <c r="CT219" i="17" s="1"/>
  <c r="CU219" i="17" s="1"/>
  <c r="CK215" i="17"/>
  <c r="CL215" i="17" s="1"/>
  <c r="CK118" i="17"/>
  <c r="CL118" i="17" s="1"/>
  <c r="CM118" i="17" s="1"/>
  <c r="CN118" i="17" s="1"/>
  <c r="CO118" i="17" s="1"/>
  <c r="CP118" i="17" s="1"/>
  <c r="CQ118" i="17" s="1"/>
  <c r="CR118" i="17" s="1"/>
  <c r="CS118" i="17" s="1"/>
  <c r="CT118" i="17" s="1"/>
  <c r="CU118" i="17" s="1"/>
  <c r="CV118" i="17" s="1"/>
  <c r="CW118" i="17" s="1"/>
  <c r="CX118" i="17" s="1"/>
  <c r="CY118" i="17" s="1"/>
  <c r="CZ118" i="17" s="1"/>
  <c r="DA118" i="17" s="1"/>
  <c r="DB118" i="17" s="1"/>
  <c r="DC118" i="17" s="1"/>
  <c r="DD118" i="17" s="1"/>
  <c r="DE118" i="17" s="1"/>
  <c r="DF118" i="17" s="1"/>
  <c r="CK143" i="17"/>
  <c r="CL143" i="17" s="1"/>
  <c r="F34" i="14"/>
  <c r="H34" i="14" s="1"/>
  <c r="S34" i="14"/>
  <c r="T34" i="14" s="1"/>
  <c r="R34" i="14" s="1"/>
  <c r="U34" i="14" s="1"/>
  <c r="CK216" i="17"/>
  <c r="CL216" i="17" s="1"/>
  <c r="CM216" i="17" s="1"/>
  <c r="CN216" i="17" s="1"/>
  <c r="CO216" i="17" s="1"/>
  <c r="CP216" i="17" s="1"/>
  <c r="CQ216" i="17" s="1"/>
  <c r="CK195" i="17"/>
  <c r="CL195" i="17" s="1"/>
  <c r="CK159" i="17"/>
  <c r="CL159" i="17" s="1"/>
  <c r="CK75" i="17"/>
  <c r="CL75" i="17" s="1"/>
  <c r="CK207" i="17"/>
  <c r="CL207" i="17" s="1"/>
  <c r="CL108" i="17"/>
  <c r="CM108" i="17" s="1"/>
  <c r="CN108" i="17" s="1"/>
  <c r="CO108" i="17" s="1"/>
  <c r="CP108" i="17" s="1"/>
  <c r="CK131" i="17"/>
  <c r="CL131" i="17" s="1"/>
  <c r="CM131" i="17" s="1"/>
  <c r="CK125" i="17"/>
  <c r="CL125" i="17" s="1"/>
  <c r="CL61" i="17"/>
  <c r="CK132" i="17"/>
  <c r="CL132" i="17" s="1"/>
  <c r="CL277" i="17"/>
  <c r="CM277" i="17" s="1"/>
  <c r="F40" i="14"/>
  <c r="S40" i="14"/>
  <c r="G40" i="14"/>
  <c r="CK57" i="17"/>
  <c r="CL57" i="17" s="1"/>
  <c r="B72" i="5"/>
  <c r="CK276" i="17"/>
  <c r="CK229" i="17"/>
  <c r="CL229" i="17" s="1"/>
  <c r="CM229" i="17" s="1"/>
  <c r="CN229" i="17" s="1"/>
  <c r="CO229" i="17" s="1"/>
  <c r="CP229" i="17" s="1"/>
  <c r="CQ229" i="17" s="1"/>
  <c r="CR229" i="17" s="1"/>
  <c r="CS229" i="17" s="1"/>
  <c r="CT229" i="17" s="1"/>
  <c r="CU229" i="17" s="1"/>
  <c r="CV229" i="17" s="1"/>
  <c r="CW229" i="17" s="1"/>
  <c r="B37" i="5"/>
  <c r="C43" i="5"/>
  <c r="B43" i="5"/>
  <c r="CK169" i="17"/>
  <c r="CL169" i="17" s="1"/>
  <c r="CM169" i="17" s="1"/>
  <c r="CN169" i="17" s="1"/>
  <c r="CO169" i="17" s="1"/>
  <c r="CP169" i="17" s="1"/>
  <c r="CK135" i="17"/>
  <c r="CL135" i="17" s="1"/>
  <c r="CM135" i="17" s="1"/>
  <c r="CK173" i="17"/>
  <c r="CL173" i="17" s="1"/>
  <c r="CM173" i="17" s="1"/>
  <c r="CN173" i="17" s="1"/>
  <c r="CO173" i="17" s="1"/>
  <c r="CP173" i="17" s="1"/>
  <c r="CQ173" i="17" s="1"/>
  <c r="CR173" i="17" s="1"/>
  <c r="CS173" i="17" s="1"/>
  <c r="B50" i="5"/>
  <c r="CK120" i="17"/>
  <c r="CL120" i="17" s="1"/>
  <c r="CK177" i="17"/>
  <c r="CL177" i="17" s="1"/>
  <c r="CM177" i="17" s="1"/>
  <c r="CK83" i="17"/>
  <c r="CL83" i="17" s="1"/>
  <c r="CM83" i="17" s="1"/>
  <c r="CN83" i="17" s="1"/>
  <c r="CK200" i="17"/>
  <c r="CL200" i="17" s="1"/>
  <c r="CM200" i="17" s="1"/>
  <c r="CK49" i="17"/>
  <c r="CL49" i="17" s="1"/>
  <c r="CM49" i="17" s="1"/>
  <c r="D4" i="15"/>
  <c r="B20" i="3" s="1"/>
  <c r="CK211" i="17"/>
  <c r="CK203" i="17"/>
  <c r="CL203" i="17" s="1"/>
  <c r="CM203" i="17" s="1"/>
  <c r="CN203" i="17" s="1"/>
  <c r="CO203" i="17" s="1"/>
  <c r="CP203" i="17" s="1"/>
  <c r="CQ203" i="17" s="1"/>
  <c r="CR203" i="17" s="1"/>
  <c r="CS203" i="17" s="1"/>
  <c r="CT203" i="17" s="1"/>
  <c r="CU203" i="17" s="1"/>
  <c r="CV203" i="17" s="1"/>
  <c r="CK67" i="17"/>
  <c r="CL67" i="17" s="1"/>
  <c r="CM67" i="17" s="1"/>
  <c r="CN67" i="17" s="1"/>
  <c r="CL208" i="17"/>
  <c r="B64" i="5"/>
  <c r="CK85" i="17"/>
  <c r="CL85" i="17" s="1"/>
  <c r="CM85" i="17" s="1"/>
  <c r="CN85" i="17" s="1"/>
  <c r="CO85" i="17" s="1"/>
  <c r="CP85" i="17" s="1"/>
  <c r="B22" i="5"/>
  <c r="C64" i="5"/>
  <c r="C37" i="5"/>
  <c r="L42" i="19"/>
  <c r="CL55" i="17"/>
  <c r="C22" i="5"/>
  <c r="C72" i="5"/>
  <c r="C50" i="5"/>
  <c r="F41" i="14"/>
  <c r="H41" i="14" s="1"/>
  <c r="S41" i="14"/>
  <c r="T41" i="14" s="1"/>
  <c r="R41" i="14" s="1"/>
  <c r="U41" i="14" s="1"/>
  <c r="CK220" i="17"/>
  <c r="CL129" i="17"/>
  <c r="B17" i="7"/>
  <c r="B18" i="7" s="1"/>
  <c r="B19" i="7" s="1"/>
  <c r="B21" i="7" s="1"/>
  <c r="B22" i="7" s="1"/>
  <c r="N24" i="17" s="1"/>
  <c r="CK134" i="17"/>
  <c r="CL134" i="17" s="1"/>
  <c r="L41" i="19"/>
  <c r="R35" i="14"/>
  <c r="U35" i="14" s="1"/>
  <c r="G39" i="14"/>
  <c r="F39" i="14"/>
  <c r="B58" i="5"/>
  <c r="B15" i="20"/>
  <c r="B16" i="20" s="1"/>
  <c r="D23" i="20"/>
  <c r="H29" i="7"/>
  <c r="G36" i="7"/>
  <c r="H36" i="7" s="1"/>
  <c r="B39" i="7" s="1"/>
  <c r="B43" i="7" s="1"/>
  <c r="B45" i="7" s="1"/>
  <c r="H35" i="14"/>
  <c r="P4" i="14"/>
  <c r="C5" i="15"/>
  <c r="C7" i="15"/>
  <c r="C6" i="15"/>
  <c r="D6" i="15" s="1"/>
  <c r="AZ7" i="17"/>
  <c r="BE7" i="17"/>
  <c r="BL7" i="17"/>
  <c r="BQ7" i="17"/>
  <c r="BW7" i="17"/>
  <c r="BZ7" i="17"/>
  <c r="CH7" i="17"/>
  <c r="DV7" i="17"/>
  <c r="DR7" i="17"/>
  <c r="BJ7" i="17"/>
  <c r="BP7" i="17"/>
  <c r="CC7" i="17"/>
  <c r="DO7" i="17"/>
  <c r="DU7" i="17"/>
  <c r="AV7" i="17"/>
  <c r="AY7" i="17"/>
  <c r="BH7" i="17"/>
  <c r="DN7" i="17"/>
  <c r="DW7" i="17"/>
  <c r="AW7" i="17"/>
  <c r="BI7" i="17"/>
  <c r="BK7" i="17"/>
  <c r="BO7" i="17"/>
  <c r="BS7" i="17"/>
  <c r="BU7" i="17"/>
  <c r="BY7" i="17"/>
  <c r="CA7" i="17"/>
  <c r="CG7" i="17"/>
  <c r="DS7" i="17"/>
  <c r="BD7" i="17"/>
  <c r="BV7" i="17"/>
  <c r="CD7" i="17"/>
  <c r="BA7" i="17"/>
  <c r="BM7" i="17"/>
  <c r="BT7" i="17"/>
  <c r="BX7" i="17"/>
  <c r="CJ7" i="17"/>
  <c r="DQ7" i="17"/>
  <c r="DT7" i="17"/>
  <c r="AU7" i="17"/>
  <c r="BB7" i="17"/>
  <c r="BG7" i="17"/>
  <c r="BN7" i="17"/>
  <c r="BR7" i="17"/>
  <c r="CE7" i="17"/>
  <c r="AX7" i="17"/>
  <c r="BC7" i="17"/>
  <c r="BF7" i="17"/>
  <c r="CB7" i="17"/>
  <c r="CF7" i="17"/>
  <c r="DP7" i="17"/>
  <c r="AU20" i="17"/>
  <c r="BG20" i="17"/>
  <c r="BL20" i="17"/>
  <c r="BU20" i="17"/>
  <c r="BW20" i="17"/>
  <c r="CD20" i="17"/>
  <c r="CH20" i="17"/>
  <c r="DV20" i="17"/>
  <c r="BM20" i="17"/>
  <c r="BQ20" i="17"/>
  <c r="BS20" i="17"/>
  <c r="CB20" i="17"/>
  <c r="DP20" i="17"/>
  <c r="DW20" i="17"/>
  <c r="AV20" i="17"/>
  <c r="AY20" i="17"/>
  <c r="BD20" i="17"/>
  <c r="BH20" i="17"/>
  <c r="BR20" i="17"/>
  <c r="BY20" i="17"/>
  <c r="CG20" i="17"/>
  <c r="DT20" i="17"/>
  <c r="BO20" i="17"/>
  <c r="BX20" i="17"/>
  <c r="CC20" i="17"/>
  <c r="CJ20" i="17"/>
  <c r="DO20" i="17"/>
  <c r="DS20" i="17"/>
  <c r="AW20" i="17"/>
  <c r="BC20" i="17"/>
  <c r="BT20" i="17"/>
  <c r="DR20" i="17"/>
  <c r="BB20" i="17"/>
  <c r="BI20" i="17"/>
  <c r="BN20" i="17"/>
  <c r="BZ20" i="17"/>
  <c r="CA20" i="17"/>
  <c r="DQ20" i="17"/>
  <c r="AX20" i="17"/>
  <c r="BA20" i="17"/>
  <c r="BF20" i="17"/>
  <c r="BK20" i="17"/>
  <c r="BP20" i="17"/>
  <c r="BV20" i="17"/>
  <c r="CE20" i="17"/>
  <c r="DN20" i="17"/>
  <c r="DU20" i="17"/>
  <c r="AZ20" i="17"/>
  <c r="BE20" i="17"/>
  <c r="BJ20" i="17"/>
  <c r="CF20" i="17"/>
  <c r="AY14" i="17"/>
  <c r="BJ14" i="17"/>
  <c r="BM14" i="17"/>
  <c r="BO14" i="17"/>
  <c r="BU14" i="17"/>
  <c r="BY14" i="17"/>
  <c r="CD14" i="17"/>
  <c r="DO14" i="17"/>
  <c r="AV14" i="17"/>
  <c r="BA14" i="17"/>
  <c r="BD14" i="17"/>
  <c r="BK14" i="17"/>
  <c r="BR14" i="17"/>
  <c r="BZ14" i="17"/>
  <c r="CJ14" i="17"/>
  <c r="DN14" i="17"/>
  <c r="DV14" i="17"/>
  <c r="AW14" i="17"/>
  <c r="AZ14" i="17"/>
  <c r="BS14" i="17"/>
  <c r="BV14" i="17"/>
  <c r="CE14" i="17"/>
  <c r="CH14" i="17"/>
  <c r="DQ14" i="17"/>
  <c r="DS14" i="17"/>
  <c r="BN14" i="17"/>
  <c r="BT14" i="17"/>
  <c r="DP14" i="17"/>
  <c r="AU14" i="17"/>
  <c r="BF14" i="17"/>
  <c r="BG14" i="17"/>
  <c r="BI14" i="17"/>
  <c r="BP14" i="17"/>
  <c r="BX14" i="17"/>
  <c r="CF14" i="17"/>
  <c r="DW14" i="17"/>
  <c r="AX14" i="17"/>
  <c r="BC14" i="17"/>
  <c r="BE14" i="17"/>
  <c r="BQ14" i="17"/>
  <c r="CB14" i="17"/>
  <c r="CC14" i="17"/>
  <c r="CG14" i="17"/>
  <c r="DR14" i="17"/>
  <c r="BB14" i="17"/>
  <c r="BH14" i="17"/>
  <c r="BW14" i="17"/>
  <c r="DU14" i="17"/>
  <c r="BL14" i="17"/>
  <c r="CA14" i="17"/>
  <c r="DT14" i="17"/>
  <c r="BD15" i="17"/>
  <c r="BF15" i="17"/>
  <c r="BM15" i="17"/>
  <c r="BX15" i="17"/>
  <c r="AY15" i="17"/>
  <c r="BS15" i="17"/>
  <c r="BZ15" i="17"/>
  <c r="AW15" i="17"/>
  <c r="BL15" i="17"/>
  <c r="BP15" i="17"/>
  <c r="BT15" i="17"/>
  <c r="BW15" i="17"/>
  <c r="CA15" i="17"/>
  <c r="CE15" i="17"/>
  <c r="CJ15" i="17"/>
  <c r="DP15" i="17"/>
  <c r="AV15" i="17"/>
  <c r="BN15" i="17"/>
  <c r="BY15" i="17"/>
  <c r="DN15" i="17"/>
  <c r="BC15" i="17"/>
  <c r="BH15" i="17"/>
  <c r="BK15" i="17"/>
  <c r="BO15" i="17"/>
  <c r="BV15" i="17"/>
  <c r="CC15" i="17"/>
  <c r="DO15" i="17"/>
  <c r="DV15" i="17"/>
  <c r="CG15" i="17"/>
  <c r="DS15" i="17"/>
  <c r="AU15" i="17"/>
  <c r="AX15" i="17"/>
  <c r="BB15" i="17"/>
  <c r="BG15" i="17"/>
  <c r="BQ15" i="17"/>
  <c r="CB15" i="17"/>
  <c r="CD15" i="17"/>
  <c r="DU15" i="17"/>
  <c r="AZ15" i="17"/>
  <c r="BA15" i="17"/>
  <c r="BE15" i="17"/>
  <c r="BI15" i="17"/>
  <c r="BU15" i="17"/>
  <c r="CF15" i="17"/>
  <c r="CH15" i="17"/>
  <c r="DR15" i="17"/>
  <c r="DT15" i="17"/>
  <c r="BJ15" i="17"/>
  <c r="BR15" i="17"/>
  <c r="DQ15" i="17"/>
  <c r="DW15" i="17"/>
  <c r="AV16" i="17"/>
  <c r="BC16" i="17"/>
  <c r="BO16" i="17"/>
  <c r="BS16" i="17"/>
  <c r="BV16" i="17"/>
  <c r="CJ16" i="17"/>
  <c r="DS16" i="17"/>
  <c r="DV16" i="17"/>
  <c r="AW16" i="17"/>
  <c r="AZ16" i="17"/>
  <c r="BQ16" i="17"/>
  <c r="BU16" i="17"/>
  <c r="BW16" i="17"/>
  <c r="CC16" i="17"/>
  <c r="CE16" i="17"/>
  <c r="DP16" i="17"/>
  <c r="DW16" i="17"/>
  <c r="BA16" i="17"/>
  <c r="BL16" i="17"/>
  <c r="CB16" i="17"/>
  <c r="CH16" i="17"/>
  <c r="DN16" i="17"/>
  <c r="DU16" i="17"/>
  <c r="BK16" i="17"/>
  <c r="BN16" i="17"/>
  <c r="CF16" i="17"/>
  <c r="AU16" i="17"/>
  <c r="BF16" i="17"/>
  <c r="BI16" i="17"/>
  <c r="CA16" i="17"/>
  <c r="DO16" i="17"/>
  <c r="DT16" i="17"/>
  <c r="BE16" i="17"/>
  <c r="BM16" i="17"/>
  <c r="BZ16" i="17"/>
  <c r="AX16" i="17"/>
  <c r="BG16" i="17"/>
  <c r="BR16" i="17"/>
  <c r="BX16" i="17"/>
  <c r="CD16" i="17"/>
  <c r="DR16" i="17"/>
  <c r="AY16" i="17"/>
  <c r="BB16" i="17"/>
  <c r="BD16" i="17"/>
  <c r="BH16" i="17"/>
  <c r="BJ16" i="17"/>
  <c r="BP16" i="17"/>
  <c r="BY16" i="17"/>
  <c r="CG16" i="17"/>
  <c r="BT16" i="17"/>
  <c r="DQ16" i="17"/>
  <c r="AU17" i="17"/>
  <c r="BJ17" i="17"/>
  <c r="BQ17" i="17"/>
  <c r="BS17" i="17"/>
  <c r="BX17" i="17"/>
  <c r="BZ17" i="17"/>
  <c r="CE17" i="17"/>
  <c r="DO17" i="17"/>
  <c r="DS17" i="17"/>
  <c r="DV17" i="17"/>
  <c r="BG17" i="17"/>
  <c r="BO17" i="17"/>
  <c r="CG17" i="17"/>
  <c r="DT17" i="17"/>
  <c r="DW17" i="17"/>
  <c r="BC17" i="17"/>
  <c r="BL17" i="17"/>
  <c r="BR17" i="17"/>
  <c r="BW17" i="17"/>
  <c r="BY17" i="17"/>
  <c r="CB17" i="17"/>
  <c r="DP17" i="17"/>
  <c r="AY17" i="17"/>
  <c r="BB17" i="17"/>
  <c r="CD17" i="17"/>
  <c r="CJ17" i="17"/>
  <c r="DU17" i="17"/>
  <c r="AW17" i="17"/>
  <c r="AZ17" i="17"/>
  <c r="BK17" i="17"/>
  <c r="BP17" i="17"/>
  <c r="CH17" i="17"/>
  <c r="DN17" i="17"/>
  <c r="DR17" i="17"/>
  <c r="BA17" i="17"/>
  <c r="BD17" i="17"/>
  <c r="BH17" i="17"/>
  <c r="BU17" i="17"/>
  <c r="CC17" i="17"/>
  <c r="CF17" i="17"/>
  <c r="DQ17" i="17"/>
  <c r="AV17" i="17"/>
  <c r="BF17" i="17"/>
  <c r="BM17" i="17"/>
  <c r="BT17" i="17"/>
  <c r="CA17" i="17"/>
  <c r="AX17" i="17"/>
  <c r="BE17" i="17"/>
  <c r="BI17" i="17"/>
  <c r="BN17" i="17"/>
  <c r="BV17" i="17"/>
  <c r="BD19" i="17"/>
  <c r="BP19" i="17"/>
  <c r="BS19" i="17"/>
  <c r="BW19" i="17"/>
  <c r="DP19" i="17"/>
  <c r="AU19" i="17"/>
  <c r="CB19" i="17"/>
  <c r="CG19" i="17"/>
  <c r="DR19" i="17"/>
  <c r="BA19" i="17"/>
  <c r="BF19" i="17"/>
  <c r="BJ19" i="17"/>
  <c r="BR19" i="17"/>
  <c r="BY19" i="17"/>
  <c r="CA19" i="17"/>
  <c r="CJ19" i="17"/>
  <c r="DQ19" i="17"/>
  <c r="AY19" i="17"/>
  <c r="BG19" i="17"/>
  <c r="BK19" i="17"/>
  <c r="BM19" i="17"/>
  <c r="BT19" i="17"/>
  <c r="CE19" i="17"/>
  <c r="DO19" i="17"/>
  <c r="DT19" i="17"/>
  <c r="AZ19" i="17"/>
  <c r="BL19" i="17"/>
  <c r="BQ19" i="17"/>
  <c r="BX19" i="17"/>
  <c r="CH19" i="17"/>
  <c r="BB19" i="17"/>
  <c r="BH19" i="17"/>
  <c r="BN19" i="17"/>
  <c r="BU19" i="17"/>
  <c r="DV19" i="17"/>
  <c r="AX19" i="17"/>
  <c r="BE19" i="17"/>
  <c r="BV19" i="17"/>
  <c r="CC19" i="17"/>
  <c r="CF19" i="17"/>
  <c r="DN19" i="17"/>
  <c r="DW19" i="17"/>
  <c r="AV19" i="17"/>
  <c r="BC19" i="17"/>
  <c r="BI19" i="17"/>
  <c r="BZ19" i="17"/>
  <c r="AW19" i="17"/>
  <c r="BO19" i="17"/>
  <c r="CD19" i="17"/>
  <c r="DS19" i="17"/>
  <c r="DU19" i="17"/>
  <c r="AU22" i="17"/>
  <c r="AW22" i="17"/>
  <c r="BA22" i="17"/>
  <c r="BF22" i="17"/>
  <c r="BO22" i="17"/>
  <c r="BW22" i="17"/>
  <c r="CF22" i="17"/>
  <c r="CG22" i="17"/>
  <c r="DR22" i="17"/>
  <c r="DU22" i="17"/>
  <c r="AY22" i="17"/>
  <c r="BE22" i="17"/>
  <c r="BY22" i="17"/>
  <c r="AV22" i="17"/>
  <c r="BL22" i="17"/>
  <c r="BU22" i="17"/>
  <c r="BZ22" i="17"/>
  <c r="CE22" i="17"/>
  <c r="DO22" i="17"/>
  <c r="AX22" i="17"/>
  <c r="BI22" i="17"/>
  <c r="BM22" i="17"/>
  <c r="DS22" i="17"/>
  <c r="DW22" i="17"/>
  <c r="BJ22" i="17"/>
  <c r="BN22" i="17"/>
  <c r="BQ22" i="17"/>
  <c r="CA22" i="17"/>
  <c r="CD22" i="17"/>
  <c r="CJ22" i="17"/>
  <c r="DP22" i="17"/>
  <c r="BC22" i="17"/>
  <c r="BS22" i="17"/>
  <c r="CC22" i="17"/>
  <c r="BD22" i="17"/>
  <c r="BG22" i="17"/>
  <c r="BR22" i="17"/>
  <c r="BV22" i="17"/>
  <c r="BX22" i="17"/>
  <c r="CB22" i="17"/>
  <c r="DT22" i="17"/>
  <c r="BH22" i="17"/>
  <c r="BK22" i="17"/>
  <c r="BT22" i="17"/>
  <c r="DN22" i="17"/>
  <c r="AZ22" i="17"/>
  <c r="BB22" i="17"/>
  <c r="BP22" i="17"/>
  <c r="CH22" i="17"/>
  <c r="DQ22" i="17"/>
  <c r="DV22" i="17"/>
  <c r="AV12" i="17"/>
  <c r="AZ12" i="17"/>
  <c r="BE12" i="17"/>
  <c r="BO12" i="17"/>
  <c r="CA12" i="17"/>
  <c r="DO12" i="17"/>
  <c r="BD12" i="17"/>
  <c r="BX12" i="17"/>
  <c r="CF12" i="17"/>
  <c r="CJ12" i="17"/>
  <c r="DP12" i="17"/>
  <c r="DV12" i="17"/>
  <c r="AW12" i="17"/>
  <c r="BA12" i="17"/>
  <c r="BH12" i="17"/>
  <c r="BQ12" i="17"/>
  <c r="CB12" i="17"/>
  <c r="DN12" i="17"/>
  <c r="DU12" i="17"/>
  <c r="AX12" i="17"/>
  <c r="BC12" i="17"/>
  <c r="BG12" i="17"/>
  <c r="BP12" i="17"/>
  <c r="BW12" i="17"/>
  <c r="BZ12" i="17"/>
  <c r="AU12" i="17"/>
  <c r="BK12" i="17"/>
  <c r="BU12" i="17"/>
  <c r="CC12" i="17"/>
  <c r="DQ12" i="17"/>
  <c r="DT12" i="17"/>
  <c r="BI12" i="17"/>
  <c r="BN12" i="17"/>
  <c r="BT12" i="17"/>
  <c r="CG12" i="17"/>
  <c r="DS12" i="17"/>
  <c r="DW12" i="17"/>
  <c r="BB12" i="17"/>
  <c r="BF12" i="17"/>
  <c r="CD12" i="17"/>
  <c r="CH12" i="17"/>
  <c r="AY12" i="17"/>
  <c r="BL12" i="17"/>
  <c r="BS12" i="17"/>
  <c r="BV12" i="17"/>
  <c r="BJ12" i="17"/>
  <c r="BM12" i="17"/>
  <c r="BR12" i="17"/>
  <c r="BY12" i="17"/>
  <c r="CE12" i="17"/>
  <c r="DR12" i="17"/>
  <c r="BM6" i="17"/>
  <c r="AW6" i="17"/>
  <c r="BJ6" i="17"/>
  <c r="BL6" i="17"/>
  <c r="BT6" i="17"/>
  <c r="CC6" i="17"/>
  <c r="CH6" i="17"/>
  <c r="DQ6" i="17"/>
  <c r="DU6" i="17"/>
  <c r="AV6" i="17"/>
  <c r="BP6" i="17"/>
  <c r="BW6" i="17"/>
  <c r="DO6" i="17"/>
  <c r="AZ6" i="17"/>
  <c r="BB6" i="17"/>
  <c r="BH6" i="17"/>
  <c r="BX6" i="17"/>
  <c r="BY6" i="17"/>
  <c r="CE6" i="17"/>
  <c r="DW6" i="17"/>
  <c r="AU6" i="17"/>
  <c r="BC6" i="17"/>
  <c r="BE6" i="17"/>
  <c r="BK6" i="17"/>
  <c r="BR6" i="17"/>
  <c r="CB6" i="17"/>
  <c r="DP6" i="17"/>
  <c r="DS6" i="17"/>
  <c r="AY6" i="17"/>
  <c r="BG6" i="17"/>
  <c r="CD6" i="17"/>
  <c r="DR6" i="17"/>
  <c r="BD6" i="17"/>
  <c r="BI6" i="17"/>
  <c r="BN6" i="17"/>
  <c r="BV6" i="17"/>
  <c r="BZ6" i="17"/>
  <c r="CF6" i="17"/>
  <c r="DN6" i="17"/>
  <c r="AX6" i="17"/>
  <c r="BF6" i="17"/>
  <c r="BQ6" i="17"/>
  <c r="CA6" i="17"/>
  <c r="CG6" i="17"/>
  <c r="CJ6" i="17"/>
  <c r="BA6" i="17"/>
  <c r="BO6" i="17"/>
  <c r="BS6" i="17"/>
  <c r="BU6" i="17"/>
  <c r="DT6" i="17"/>
  <c r="DV6" i="17"/>
  <c r="AW8" i="17"/>
  <c r="AX8" i="17"/>
  <c r="BC8" i="17"/>
  <c r="BR8" i="17"/>
  <c r="BX8" i="17"/>
  <c r="CB8" i="17"/>
  <c r="CG8" i="17"/>
  <c r="DQ8" i="17"/>
  <c r="DS8" i="17"/>
  <c r="BK8" i="17"/>
  <c r="BM8" i="17"/>
  <c r="BY8" i="17"/>
  <c r="CJ8" i="17"/>
  <c r="DV8" i="17"/>
  <c r="BD8" i="17"/>
  <c r="DN8" i="17"/>
  <c r="AU8" i="17"/>
  <c r="BE8" i="17"/>
  <c r="BI8" i="17"/>
  <c r="BN8" i="17"/>
  <c r="BV8" i="17"/>
  <c r="BZ8" i="17"/>
  <c r="CA8" i="17"/>
  <c r="CF8" i="17"/>
  <c r="BJ8" i="17"/>
  <c r="DR8" i="17"/>
  <c r="AZ8" i="17"/>
  <c r="BF8" i="17"/>
  <c r="BL8" i="17"/>
  <c r="BO8" i="17"/>
  <c r="CC8" i="17"/>
  <c r="CE8" i="17"/>
  <c r="DP8" i="17"/>
  <c r="DU8" i="17"/>
  <c r="AV8" i="17"/>
  <c r="AY8" i="17"/>
  <c r="BB8" i="17"/>
  <c r="BH8" i="17"/>
  <c r="BS8" i="17"/>
  <c r="BW8" i="17"/>
  <c r="DW8" i="17"/>
  <c r="BA8" i="17"/>
  <c r="BU8" i="17"/>
  <c r="DO8" i="17"/>
  <c r="BG8" i="17"/>
  <c r="BP8" i="17"/>
  <c r="BQ8" i="17"/>
  <c r="BT8" i="17"/>
  <c r="CD8" i="17"/>
  <c r="CH8" i="17"/>
  <c r="DT8" i="17"/>
  <c r="AW23" i="17"/>
  <c r="BO23" i="17"/>
  <c r="BU23" i="17"/>
  <c r="AX23" i="17"/>
  <c r="BZ23" i="17"/>
  <c r="DP23" i="17"/>
  <c r="AY23" i="17"/>
  <c r="BG23" i="17"/>
  <c r="BS23" i="17"/>
  <c r="CB23" i="17"/>
  <c r="DO23" i="17"/>
  <c r="DT23" i="17"/>
  <c r="BA23" i="17"/>
  <c r="BJ23" i="17"/>
  <c r="BL23" i="17"/>
  <c r="BY23" i="17"/>
  <c r="DQ23" i="17"/>
  <c r="BB23" i="17"/>
  <c r="BF23" i="17"/>
  <c r="BI23" i="17"/>
  <c r="BV23" i="17"/>
  <c r="CG23" i="17"/>
  <c r="DN23" i="17"/>
  <c r="DW23" i="17"/>
  <c r="AU23" i="17"/>
  <c r="AZ23" i="17"/>
  <c r="BM23" i="17"/>
  <c r="BR23" i="17"/>
  <c r="CE23" i="17"/>
  <c r="CJ23" i="17"/>
  <c r="DR23" i="17"/>
  <c r="DU23" i="17"/>
  <c r="BE23" i="17"/>
  <c r="BH23" i="17"/>
  <c r="BW23" i="17"/>
  <c r="CA23" i="17"/>
  <c r="CD23" i="17"/>
  <c r="CF23" i="17"/>
  <c r="BD23" i="17"/>
  <c r="BQ23" i="17"/>
  <c r="BT23" i="17"/>
  <c r="CH23" i="17"/>
  <c r="DS23" i="17"/>
  <c r="DV23" i="17"/>
  <c r="AV23" i="17"/>
  <c r="BC23" i="17"/>
  <c r="BK23" i="17"/>
  <c r="BN23" i="17"/>
  <c r="BP23" i="17"/>
  <c r="BX23" i="17"/>
  <c r="CC23" i="17"/>
  <c r="AY21" i="17"/>
  <c r="BB21" i="17"/>
  <c r="CH21" i="17"/>
  <c r="DO21" i="17"/>
  <c r="BC21" i="17"/>
  <c r="BH21" i="17"/>
  <c r="BM21" i="17"/>
  <c r="BW21" i="17"/>
  <c r="CE21" i="17"/>
  <c r="CG21" i="17"/>
  <c r="DS21" i="17"/>
  <c r="DU21" i="17"/>
  <c r="DR21" i="17"/>
  <c r="AU21" i="17"/>
  <c r="AW21" i="17"/>
  <c r="BK21" i="17"/>
  <c r="BN21" i="17"/>
  <c r="BR21" i="17"/>
  <c r="CB21" i="17"/>
  <c r="CJ21" i="17"/>
  <c r="DT21" i="17"/>
  <c r="AX21" i="17"/>
  <c r="BF21" i="17"/>
  <c r="BX21" i="17"/>
  <c r="CA21" i="17"/>
  <c r="CD21" i="17"/>
  <c r="DN21" i="17"/>
  <c r="BE21" i="17"/>
  <c r="BJ21" i="17"/>
  <c r="BP21" i="17"/>
  <c r="BV21" i="17"/>
  <c r="DP21" i="17"/>
  <c r="DV21" i="17"/>
  <c r="AZ21" i="17"/>
  <c r="BD21" i="17"/>
  <c r="BI21" i="17"/>
  <c r="BO21" i="17"/>
  <c r="BQ21" i="17"/>
  <c r="BZ21" i="17"/>
  <c r="CC21" i="17"/>
  <c r="BG21" i="17"/>
  <c r="BT21" i="17"/>
  <c r="BY21" i="17"/>
  <c r="DQ21" i="17"/>
  <c r="AV21" i="17"/>
  <c r="BA21" i="17"/>
  <c r="BL21" i="17"/>
  <c r="BS21" i="17"/>
  <c r="BU21" i="17"/>
  <c r="CF21" i="17"/>
  <c r="DW21" i="17"/>
  <c r="AV10" i="17"/>
  <c r="AZ10" i="17"/>
  <c r="BC10" i="17"/>
  <c r="BJ10" i="17"/>
  <c r="CA10" i="17"/>
  <c r="DP10" i="17"/>
  <c r="AU10" i="17"/>
  <c r="BA10" i="17"/>
  <c r="BT10" i="17"/>
  <c r="CC10" i="17"/>
  <c r="DS10" i="17"/>
  <c r="BB10" i="17"/>
  <c r="BG10" i="17"/>
  <c r="BS10" i="17"/>
  <c r="CF10" i="17"/>
  <c r="DV10" i="17"/>
  <c r="AY10" i="17"/>
  <c r="BH10" i="17"/>
  <c r="BM10" i="17"/>
  <c r="BY10" i="17"/>
  <c r="CD10" i="17"/>
  <c r="CJ10" i="17"/>
  <c r="DT10" i="17"/>
  <c r="BE10" i="17"/>
  <c r="BI10" i="17"/>
  <c r="BN10" i="17"/>
  <c r="BQ10" i="17"/>
  <c r="BW10" i="17"/>
  <c r="DR10" i="17"/>
  <c r="DU10" i="17"/>
  <c r="BF10" i="17"/>
  <c r="BK10" i="17"/>
  <c r="BP10" i="17"/>
  <c r="BX10" i="17"/>
  <c r="CE10" i="17"/>
  <c r="DN10" i="17"/>
  <c r="BD10" i="17"/>
  <c r="BR10" i="17"/>
  <c r="BU10" i="17"/>
  <c r="BZ10" i="17"/>
  <c r="CB10" i="17"/>
  <c r="CG10" i="17"/>
  <c r="DQ10" i="17"/>
  <c r="DW10" i="17"/>
  <c r="AW10" i="17"/>
  <c r="BL10" i="17"/>
  <c r="AX10" i="17"/>
  <c r="BO10" i="17"/>
  <c r="BV10" i="17"/>
  <c r="CH10" i="17"/>
  <c r="DO10" i="17"/>
  <c r="BC9" i="17"/>
  <c r="BG9" i="17"/>
  <c r="BP9" i="17"/>
  <c r="BT9" i="17"/>
  <c r="BV9" i="17"/>
  <c r="CA9" i="17"/>
  <c r="CD9" i="17"/>
  <c r="DQ9" i="17"/>
  <c r="AV9" i="17"/>
  <c r="BM9" i="17"/>
  <c r="DP9" i="17"/>
  <c r="DU9" i="17"/>
  <c r="AZ9" i="17"/>
  <c r="BB9" i="17"/>
  <c r="BZ9" i="17"/>
  <c r="DT9" i="17"/>
  <c r="AY9" i="17"/>
  <c r="BH9" i="17"/>
  <c r="BO9" i="17"/>
  <c r="BW9" i="17"/>
  <c r="DN9" i="17"/>
  <c r="AX9" i="17"/>
  <c r="BD9" i="17"/>
  <c r="BE9" i="17"/>
  <c r="BF9" i="17"/>
  <c r="BI9" i="17"/>
  <c r="BK9" i="17"/>
  <c r="BN9" i="17"/>
  <c r="BQ9" i="17"/>
  <c r="CF9" i="17"/>
  <c r="CH9" i="17"/>
  <c r="DS9" i="17"/>
  <c r="DV9" i="17"/>
  <c r="BU9" i="17"/>
  <c r="CJ9" i="17"/>
  <c r="DR9" i="17"/>
  <c r="BL9" i="17"/>
  <c r="BX9" i="17"/>
  <c r="CC9" i="17"/>
  <c r="AU9" i="17"/>
  <c r="BA9" i="17"/>
  <c r="BS9" i="17"/>
  <c r="CB9" i="17"/>
  <c r="CE9" i="17"/>
  <c r="DO9" i="17"/>
  <c r="DW9" i="17"/>
  <c r="AW9" i="17"/>
  <c r="BJ9" i="17"/>
  <c r="BR9" i="17"/>
  <c r="BY9" i="17"/>
  <c r="CG9" i="17"/>
  <c r="AU13" i="17"/>
  <c r="BB13" i="17"/>
  <c r="BG13" i="17"/>
  <c r="BO13" i="17"/>
  <c r="CC13" i="17"/>
  <c r="CF13" i="17"/>
  <c r="DW13" i="17"/>
  <c r="AV13" i="17"/>
  <c r="AY13" i="17"/>
  <c r="BK13" i="17"/>
  <c r="BP13" i="17"/>
  <c r="BZ13" i="17"/>
  <c r="DN13" i="17"/>
  <c r="DP13" i="17"/>
  <c r="DS13" i="17"/>
  <c r="AX13" i="17"/>
  <c r="BL13" i="17"/>
  <c r="DT13" i="17"/>
  <c r="AZ13" i="17"/>
  <c r="BT13" i="17"/>
  <c r="BY13" i="17"/>
  <c r="CH13" i="17"/>
  <c r="DQ13" i="17"/>
  <c r="DV13" i="17"/>
  <c r="BH13" i="17"/>
  <c r="BM13" i="17"/>
  <c r="BR13" i="17"/>
  <c r="BU13" i="17"/>
  <c r="BX13" i="17"/>
  <c r="CD13" i="17"/>
  <c r="DU13" i="17"/>
  <c r="BA13" i="17"/>
  <c r="BC13" i="17"/>
  <c r="BE13" i="17"/>
  <c r="BS13" i="17"/>
  <c r="BW13" i="17"/>
  <c r="CE13" i="17"/>
  <c r="DO13" i="17"/>
  <c r="BJ13" i="17"/>
  <c r="AW13" i="17"/>
  <c r="BD13" i="17"/>
  <c r="BF13" i="17"/>
  <c r="BI13" i="17"/>
  <c r="BN13" i="17"/>
  <c r="BQ13" i="17"/>
  <c r="BV13" i="17"/>
  <c r="CB13" i="17"/>
  <c r="CJ13" i="17"/>
  <c r="CA13" i="17"/>
  <c r="CG13" i="17"/>
  <c r="DR13" i="17"/>
  <c r="BA11" i="17"/>
  <c r="BG11" i="17"/>
  <c r="CE11" i="17"/>
  <c r="BB11" i="17"/>
  <c r="BF11" i="17"/>
  <c r="BK11" i="17"/>
  <c r="BP11" i="17"/>
  <c r="DU11" i="17"/>
  <c r="AU11" i="17"/>
  <c r="AW11" i="17"/>
  <c r="BD11" i="17"/>
  <c r="BI11" i="17"/>
  <c r="BL11" i="17"/>
  <c r="BR11" i="17"/>
  <c r="BU11" i="17"/>
  <c r="CA11" i="17"/>
  <c r="DW11" i="17"/>
  <c r="AX11" i="17"/>
  <c r="BJ11" i="17"/>
  <c r="BV11" i="17"/>
  <c r="CC11" i="17"/>
  <c r="CF11" i="17"/>
  <c r="BX11" i="17"/>
  <c r="CD11" i="17"/>
  <c r="DR11" i="17"/>
  <c r="AV11" i="17"/>
  <c r="BC11" i="17"/>
  <c r="BT11" i="17"/>
  <c r="CB11" i="17"/>
  <c r="CG11" i="17"/>
  <c r="DO11" i="17"/>
  <c r="DT11" i="17"/>
  <c r="CJ11" i="17"/>
  <c r="AZ11" i="17"/>
  <c r="BE11" i="17"/>
  <c r="BH11" i="17"/>
  <c r="BN11" i="17"/>
  <c r="BS11" i="17"/>
  <c r="BW11" i="17"/>
  <c r="BZ11" i="17"/>
  <c r="DN11" i="17"/>
  <c r="DQ11" i="17"/>
  <c r="DV11" i="17"/>
  <c r="AY11" i="17"/>
  <c r="BM11" i="17"/>
  <c r="BO11" i="17"/>
  <c r="BQ11" i="17"/>
  <c r="BY11" i="17"/>
  <c r="CH11" i="17"/>
  <c r="DP11" i="17"/>
  <c r="DS11" i="17"/>
  <c r="AV18" i="17"/>
  <c r="BR18" i="17"/>
  <c r="BW18" i="17"/>
  <c r="BY18" i="17"/>
  <c r="CD18" i="17"/>
  <c r="CG18" i="17"/>
  <c r="CJ18" i="17"/>
  <c r="DN18" i="17"/>
  <c r="AU18" i="17"/>
  <c r="BH18" i="17"/>
  <c r="BL18" i="17"/>
  <c r="BP18" i="17"/>
  <c r="BU18" i="17"/>
  <c r="BX18" i="17"/>
  <c r="CB18" i="17"/>
  <c r="DQ18" i="17"/>
  <c r="BK18" i="17"/>
  <c r="DU18" i="17"/>
  <c r="AW18" i="17"/>
  <c r="AX18" i="17"/>
  <c r="BC18" i="17"/>
  <c r="DO18" i="17"/>
  <c r="DV18" i="17"/>
  <c r="AY18" i="17"/>
  <c r="BJ18" i="17"/>
  <c r="BQ18" i="17"/>
  <c r="CF18" i="17"/>
  <c r="DS18" i="17"/>
  <c r="AZ18" i="17"/>
  <c r="BF18" i="17"/>
  <c r="BI18" i="17"/>
  <c r="BN18" i="17"/>
  <c r="BS18" i="17"/>
  <c r="CC18" i="17"/>
  <c r="DR18" i="17"/>
  <c r="BA18" i="17"/>
  <c r="BE18" i="17"/>
  <c r="CE18" i="17"/>
  <c r="CH18" i="17"/>
  <c r="BD18" i="17"/>
  <c r="BM18" i="17"/>
  <c r="BT18" i="17"/>
  <c r="BZ18" i="17"/>
  <c r="DP18" i="17"/>
  <c r="DT18" i="17"/>
  <c r="DW18" i="17"/>
  <c r="BB18" i="17"/>
  <c r="BG18" i="17"/>
  <c r="BO18" i="17"/>
  <c r="BV18" i="17"/>
  <c r="CA18" i="17"/>
  <c r="CL89" i="17"/>
  <c r="CL87" i="17"/>
  <c r="B31" i="5"/>
  <c r="K4" i="13"/>
  <c r="B10" i="20" s="1"/>
  <c r="C58" i="5"/>
  <c r="L39" i="19"/>
  <c r="L34" i="19"/>
  <c r="L40" i="19"/>
  <c r="L38" i="19"/>
  <c r="L37" i="19"/>
  <c r="L36" i="19"/>
  <c r="L35" i="19"/>
  <c r="C31" i="5"/>
  <c r="T39" i="14"/>
  <c r="R39" i="14" s="1"/>
  <c r="U39" i="14" s="1"/>
  <c r="S38" i="14"/>
  <c r="F38" i="14"/>
  <c r="G38" i="14"/>
  <c r="S37" i="14"/>
  <c r="F37" i="14"/>
  <c r="G36" i="14"/>
  <c r="H36" i="14" s="1"/>
  <c r="S36" i="14"/>
  <c r="S4" i="14"/>
  <c r="F4" i="14"/>
  <c r="F43" i="14"/>
  <c r="G43" i="14"/>
  <c r="T43" i="14"/>
  <c r="R43" i="14" s="1"/>
  <c r="U43" i="14" s="1"/>
  <c r="G42" i="14"/>
  <c r="H42" i="14" s="1"/>
  <c r="S42" i="14"/>
  <c r="CL80" i="17"/>
  <c r="CN270" i="17" l="1"/>
  <c r="CO270" i="17" s="1"/>
  <c r="CN272" i="17"/>
  <c r="CK18" i="17"/>
  <c r="CL18" i="17" s="1"/>
  <c r="CM18" i="17" s="1"/>
  <c r="CN233" i="17"/>
  <c r="CW110" i="17"/>
  <c r="CM227" i="17"/>
  <c r="CN256" i="17"/>
  <c r="DC250" i="17"/>
  <c r="AC250" i="17" s="1"/>
  <c r="CO245" i="17"/>
  <c r="CP245" i="17" s="1"/>
  <c r="CQ245" i="17" s="1"/>
  <c r="CR245" i="17" s="1"/>
  <c r="CM255" i="17"/>
  <c r="CN255" i="17" s="1"/>
  <c r="CO255" i="17" s="1"/>
  <c r="CP255" i="17" s="1"/>
  <c r="CR251" i="17"/>
  <c r="CS251" i="17" s="1"/>
  <c r="CT251" i="17" s="1"/>
  <c r="CU251" i="17" s="1"/>
  <c r="CN248" i="17"/>
  <c r="CO248" i="17" s="1"/>
  <c r="H40" i="14"/>
  <c r="CM61" i="17"/>
  <c r="CN277" i="17"/>
  <c r="CM239" i="17"/>
  <c r="CN239" i="17" s="1"/>
  <c r="CO239" i="17" s="1"/>
  <c r="CM222" i="17"/>
  <c r="DC274" i="17"/>
  <c r="CK11" i="17"/>
  <c r="CL11" i="17" s="1"/>
  <c r="H39" i="14"/>
  <c r="CM247" i="17"/>
  <c r="CN157" i="17"/>
  <c r="T40" i="14"/>
  <c r="R40" i="14" s="1"/>
  <c r="U40" i="14" s="1"/>
  <c r="DG118" i="17"/>
  <c r="CM253" i="17"/>
  <c r="CN253" i="17" s="1"/>
  <c r="CO253" i="17" s="1"/>
  <c r="CP253" i="17" s="1"/>
  <c r="CQ253" i="17" s="1"/>
  <c r="CR253" i="17" s="1"/>
  <c r="CS253" i="17" s="1"/>
  <c r="CT253" i="17" s="1"/>
  <c r="CU253" i="17" s="1"/>
  <c r="CV253" i="17" s="1"/>
  <c r="CW253" i="17" s="1"/>
  <c r="CX253" i="17" s="1"/>
  <c r="CL276" i="17"/>
  <c r="CO278" i="17"/>
  <c r="CM264" i="17"/>
  <c r="CK14" i="17"/>
  <c r="CL14" i="17" s="1"/>
  <c r="CK21" i="17"/>
  <c r="CL21" i="17" s="1"/>
  <c r="CM246" i="17"/>
  <c r="CN246" i="17" s="1"/>
  <c r="CO246" i="17" s="1"/>
  <c r="CX229" i="17"/>
  <c r="CM119" i="17"/>
  <c r="CN119" i="17" s="1"/>
  <c r="CO119" i="17" s="1"/>
  <c r="CM225" i="17"/>
  <c r="CM34" i="17"/>
  <c r="CM207" i="17"/>
  <c r="CN207" i="17" s="1"/>
  <c r="CO207" i="17" s="1"/>
  <c r="CM128" i="17"/>
  <c r="CN128" i="17" s="1"/>
  <c r="CP82" i="17"/>
  <c r="CM122" i="17"/>
  <c r="CV240" i="17"/>
  <c r="DB205" i="17"/>
  <c r="DC205" i="17" s="1"/>
  <c r="CV113" i="17"/>
  <c r="CW113" i="17" s="1"/>
  <c r="CX113" i="17" s="1"/>
  <c r="CL220" i="17"/>
  <c r="CU112" i="17"/>
  <c r="CV112" i="17" s="1"/>
  <c r="CW112" i="17" s="1"/>
  <c r="CX112" i="17" s="1"/>
  <c r="CY112" i="17" s="1"/>
  <c r="CM267" i="17"/>
  <c r="CN267" i="17" s="1"/>
  <c r="CN266" i="17"/>
  <c r="CK20" i="17"/>
  <c r="CL20" i="17" s="1"/>
  <c r="CK16" i="17"/>
  <c r="CL16" i="17" s="1"/>
  <c r="CL211" i="17"/>
  <c r="CM211" i="17" s="1"/>
  <c r="CM243" i="17"/>
  <c r="CN243" i="17" s="1"/>
  <c r="CM208" i="17"/>
  <c r="CM221" i="17"/>
  <c r="CN221" i="17" s="1"/>
  <c r="CO221" i="17" s="1"/>
  <c r="CP221" i="17" s="1"/>
  <c r="CM213" i="17"/>
  <c r="CN213" i="17" s="1"/>
  <c r="CO213" i="17" s="1"/>
  <c r="CS127" i="17"/>
  <c r="CK22" i="17"/>
  <c r="CL22" i="17" s="1"/>
  <c r="CK9" i="17"/>
  <c r="CL9" i="17" s="1"/>
  <c r="CP238" i="17"/>
  <c r="CQ238" i="17" s="1"/>
  <c r="CR238" i="17" s="1"/>
  <c r="CQ111" i="17"/>
  <c r="CR111" i="17" s="1"/>
  <c r="CS111" i="17" s="1"/>
  <c r="CW241" i="17"/>
  <c r="CM125" i="17"/>
  <c r="CN214" i="17"/>
  <c r="CT173" i="17"/>
  <c r="CM55" i="17"/>
  <c r="CO53" i="17"/>
  <c r="CK12" i="17"/>
  <c r="CL12" i="17" s="1"/>
  <c r="CM12" i="17" s="1"/>
  <c r="CM273" i="17"/>
  <c r="CN273" i="17" s="1"/>
  <c r="CM156" i="17"/>
  <c r="CN156" i="17" s="1"/>
  <c r="CO156" i="17" s="1"/>
  <c r="CP156" i="17" s="1"/>
  <c r="CQ156" i="17" s="1"/>
  <c r="CR156" i="17" s="1"/>
  <c r="CS156" i="17" s="1"/>
  <c r="CK8" i="17"/>
  <c r="CL8" i="17" s="1"/>
  <c r="DA252" i="17"/>
  <c r="CR224" i="17"/>
  <c r="CS223" i="17"/>
  <c r="CV219" i="17"/>
  <c r="CR216" i="17"/>
  <c r="CS216" i="17" s="1"/>
  <c r="CN123" i="17"/>
  <c r="CO115" i="17"/>
  <c r="CX52" i="17"/>
  <c r="AA52" i="17" s="1"/>
  <c r="CO78" i="17"/>
  <c r="CN183" i="17"/>
  <c r="CO183" i="17" s="1"/>
  <c r="CP183" i="17" s="1"/>
  <c r="CT231" i="17"/>
  <c r="CM195" i="17"/>
  <c r="CW203" i="17"/>
  <c r="CM114" i="17"/>
  <c r="CM132" i="17"/>
  <c r="CM124" i="17"/>
  <c r="CM129" i="17"/>
  <c r="CK15" i="17"/>
  <c r="CL15" i="17" s="1"/>
  <c r="CM228" i="17"/>
  <c r="CM120" i="17"/>
  <c r="CM209" i="17"/>
  <c r="CN133" i="17"/>
  <c r="CO133" i="17" s="1"/>
  <c r="CP133" i="17" s="1"/>
  <c r="CQ133" i="17" s="1"/>
  <c r="CN200" i="17"/>
  <c r="CO200" i="17" s="1"/>
  <c r="CO182" i="17"/>
  <c r="CM159" i="17"/>
  <c r="CN159" i="17" s="1"/>
  <c r="CO159" i="17" s="1"/>
  <c r="CP159" i="17" s="1"/>
  <c r="CQ159" i="17" s="1"/>
  <c r="CR159" i="17" s="1"/>
  <c r="CS159" i="17" s="1"/>
  <c r="CT159" i="17" s="1"/>
  <c r="CU159" i="17" s="1"/>
  <c r="CV159" i="17" s="1"/>
  <c r="CW159" i="17" s="1"/>
  <c r="CX159" i="17" s="1"/>
  <c r="CR154" i="17"/>
  <c r="CS154" i="17" s="1"/>
  <c r="CT154" i="17" s="1"/>
  <c r="CU154" i="17" s="1"/>
  <c r="CN139" i="17"/>
  <c r="CO139" i="17" s="1"/>
  <c r="CP139" i="17" s="1"/>
  <c r="CN94" i="17"/>
  <c r="CM163" i="17"/>
  <c r="CN147" i="17"/>
  <c r="CM140" i="17"/>
  <c r="CN131" i="17"/>
  <c r="CQ108" i="17"/>
  <c r="CR108" i="17" s="1"/>
  <c r="CS108" i="17" s="1"/>
  <c r="CT108" i="17" s="1"/>
  <c r="CU108" i="17" s="1"/>
  <c r="CP102" i="17"/>
  <c r="CO101" i="17"/>
  <c r="CP101" i="17" s="1"/>
  <c r="CQ101" i="17" s="1"/>
  <c r="CQ99" i="17"/>
  <c r="CR99" i="17" s="1"/>
  <c r="CS99" i="17" s="1"/>
  <c r="CT99" i="17" s="1"/>
  <c r="CO30" i="17"/>
  <c r="CK6" i="17"/>
  <c r="CL6" i="17" s="1"/>
  <c r="CM184" i="17"/>
  <c r="CO261" i="17"/>
  <c r="CP261" i="17" s="1"/>
  <c r="CQ261" i="17" s="1"/>
  <c r="CR261" i="17" s="1"/>
  <c r="CS261" i="17" s="1"/>
  <c r="CT261" i="17" s="1"/>
  <c r="CU261" i="17" s="1"/>
  <c r="CV261" i="17" s="1"/>
  <c r="CW261" i="17" s="1"/>
  <c r="CN260" i="17"/>
  <c r="CO258" i="17"/>
  <c r="CY210" i="17"/>
  <c r="CZ210" i="17" s="1"/>
  <c r="CN202" i="17"/>
  <c r="CM197" i="17"/>
  <c r="CO196" i="17"/>
  <c r="CM194" i="17"/>
  <c r="CM192" i="17"/>
  <c r="CN192" i="17" s="1"/>
  <c r="CO192" i="17" s="1"/>
  <c r="CP192" i="17" s="1"/>
  <c r="CQ192" i="17" s="1"/>
  <c r="CR192" i="17" s="1"/>
  <c r="CS192" i="17" s="1"/>
  <c r="CT192" i="17" s="1"/>
  <c r="CU192" i="17" s="1"/>
  <c r="CV192" i="17" s="1"/>
  <c r="CW192" i="17" s="1"/>
  <c r="CX192" i="17" s="1"/>
  <c r="CY192" i="17" s="1"/>
  <c r="CZ192" i="17" s="1"/>
  <c r="DA192" i="17" s="1"/>
  <c r="CM185" i="17"/>
  <c r="CN185" i="17" s="1"/>
  <c r="CN155" i="17"/>
  <c r="CN150" i="17"/>
  <c r="CM137" i="17"/>
  <c r="CM97" i="17"/>
  <c r="CP96" i="17"/>
  <c r="CN88" i="17"/>
  <c r="CR86" i="17"/>
  <c r="CQ85" i="17"/>
  <c r="CM80" i="17"/>
  <c r="CO79" i="17"/>
  <c r="CN76" i="17"/>
  <c r="CM75" i="17"/>
  <c r="CT74" i="17"/>
  <c r="CO59" i="17"/>
  <c r="CN58" i="17"/>
  <c r="CM57" i="17"/>
  <c r="CM54" i="17"/>
  <c r="CN44" i="17"/>
  <c r="CO44" i="17" s="1"/>
  <c r="CO43" i="17"/>
  <c r="CN41" i="17"/>
  <c r="CO41" i="17" s="1"/>
  <c r="CP41" i="17" s="1"/>
  <c r="CO38" i="17"/>
  <c r="CN33" i="17"/>
  <c r="CN31" i="17"/>
  <c r="CO31" i="17" s="1"/>
  <c r="CP31" i="17" s="1"/>
  <c r="B46" i="7"/>
  <c r="O24" i="17"/>
  <c r="T24" i="17" s="1"/>
  <c r="Q41" i="14"/>
  <c r="Q34" i="14"/>
  <c r="Q36" i="14"/>
  <c r="Q35" i="14"/>
  <c r="Q42" i="14"/>
  <c r="CN199" i="17"/>
  <c r="CN198" i="17"/>
  <c r="CN177" i="17"/>
  <c r="CM171" i="17"/>
  <c r="CO145" i="17"/>
  <c r="CM143" i="17"/>
  <c r="CO142" i="17"/>
  <c r="CN135" i="17"/>
  <c r="CN91" i="17"/>
  <c r="CM84" i="17"/>
  <c r="CO83" i="17"/>
  <c r="CM81" i="17"/>
  <c r="CO67" i="17"/>
  <c r="CM65" i="17"/>
  <c r="CM60" i="17"/>
  <c r="CN56" i="17"/>
  <c r="CN49" i="17"/>
  <c r="CN48" i="17"/>
  <c r="CN42" i="17"/>
  <c r="CO40" i="17"/>
  <c r="CM32" i="17"/>
  <c r="L4" i="13"/>
  <c r="O4" i="13" s="1"/>
  <c r="T38" i="14"/>
  <c r="R38" i="14" s="1"/>
  <c r="U38" i="14" s="1"/>
  <c r="H38" i="14"/>
  <c r="T37" i="14"/>
  <c r="R37" i="14" s="1"/>
  <c r="U37" i="14" s="1"/>
  <c r="H37" i="14"/>
  <c r="T36" i="14"/>
  <c r="R36" i="14" s="1"/>
  <c r="U36" i="14" s="1"/>
  <c r="T4" i="14"/>
  <c r="R4" i="14" s="1"/>
  <c r="B7" i="15"/>
  <c r="D7" i="15" s="1"/>
  <c r="B5" i="15"/>
  <c r="H4" i="14"/>
  <c r="H43" i="14"/>
  <c r="T42" i="14"/>
  <c r="R42" i="14" s="1"/>
  <c r="U42" i="14" s="1"/>
  <c r="CN236" i="17"/>
  <c r="CM215" i="17"/>
  <c r="CM190" i="17"/>
  <c r="CT179" i="17"/>
  <c r="CQ178" i="17"/>
  <c r="CO174" i="17"/>
  <c r="CP172" i="17"/>
  <c r="CS170" i="17"/>
  <c r="CQ169" i="17"/>
  <c r="CM134" i="17"/>
  <c r="CP103" i="17"/>
  <c r="CN98" i="17"/>
  <c r="CN46" i="17"/>
  <c r="CN36" i="17"/>
  <c r="B17" i="20"/>
  <c r="B17" i="22" s="1"/>
  <c r="D17" i="22" s="1"/>
  <c r="E23" i="20"/>
  <c r="CK7" i="17"/>
  <c r="CK17" i="17"/>
  <c r="CK19" i="17"/>
  <c r="CK23" i="17"/>
  <c r="CK10" i="17"/>
  <c r="CK13" i="17"/>
  <c r="CN188" i="17"/>
  <c r="CN181" i="17"/>
  <c r="CN106" i="17"/>
  <c r="CN104" i="17"/>
  <c r="CN90" i="17"/>
  <c r="CM89" i="17"/>
  <c r="CM87" i="17"/>
  <c r="CM45" i="17"/>
  <c r="CN39" i="17"/>
  <c r="CO39" i="17" s="1"/>
  <c r="CP270" i="17" l="1"/>
  <c r="Q40" i="14"/>
  <c r="Q39" i="14"/>
  <c r="CO272" i="17"/>
  <c r="CP272" i="17" s="1"/>
  <c r="CQ272" i="17" s="1"/>
  <c r="CR272" i="17" s="1"/>
  <c r="CS272" i="17" s="1"/>
  <c r="CT272" i="17" s="1"/>
  <c r="CU272" i="17" s="1"/>
  <c r="CV272" i="17" s="1"/>
  <c r="CW272" i="17" s="1"/>
  <c r="CX272" i="17" s="1"/>
  <c r="CO233" i="17"/>
  <c r="CP233" i="17" s="1"/>
  <c r="CQ233" i="17" s="1"/>
  <c r="CX110" i="17"/>
  <c r="CN227" i="17"/>
  <c r="AA250" i="17"/>
  <c r="AB250" i="17"/>
  <c r="CO256" i="17"/>
  <c r="CS245" i="17"/>
  <c r="CQ255" i="17"/>
  <c r="CV251" i="17"/>
  <c r="CP248" i="17"/>
  <c r="CQ248" i="17" s="1"/>
  <c r="CN61" i="17"/>
  <c r="CO61" i="17" s="1"/>
  <c r="CP61" i="17" s="1"/>
  <c r="CQ61" i="17" s="1"/>
  <c r="CR61" i="17" s="1"/>
  <c r="CP239" i="17"/>
  <c r="CQ239" i="17" s="1"/>
  <c r="DD274" i="17"/>
  <c r="DE274" i="17" s="1"/>
  <c r="DF274" i="17" s="1"/>
  <c r="DG274" i="17" s="1"/>
  <c r="CO277" i="17"/>
  <c r="CN222" i="17"/>
  <c r="CO157" i="17"/>
  <c r="CN247" i="17"/>
  <c r="DH118" i="17"/>
  <c r="AC118" i="17" s="1"/>
  <c r="CY253" i="17"/>
  <c r="CM276" i="17"/>
  <c r="CP278" i="17"/>
  <c r="CN264" i="17"/>
  <c r="CY229" i="17"/>
  <c r="CP246" i="17"/>
  <c r="CP119" i="17"/>
  <c r="CN34" i="17"/>
  <c r="CO34" i="17" s="1"/>
  <c r="CP34" i="17" s="1"/>
  <c r="CQ34" i="17" s="1"/>
  <c r="CP207" i="17"/>
  <c r="CN122" i="17"/>
  <c r="CW240" i="17"/>
  <c r="AB205" i="17"/>
  <c r="AL205" i="17" s="1"/>
  <c r="AC205" i="17"/>
  <c r="CO266" i="17"/>
  <c r="CO128" i="17"/>
  <c r="CQ82" i="17"/>
  <c r="CM220" i="17"/>
  <c r="AA205" i="17"/>
  <c r="CN225" i="17"/>
  <c r="CO225" i="17" s="1"/>
  <c r="CY113" i="17"/>
  <c r="CZ113" i="17" s="1"/>
  <c r="CZ112" i="17"/>
  <c r="CO267" i="17"/>
  <c r="CN211" i="17"/>
  <c r="CO211" i="17" s="1"/>
  <c r="CP211" i="17" s="1"/>
  <c r="CQ211" i="17" s="1"/>
  <c r="CR211" i="17" s="1"/>
  <c r="CS211" i="17" s="1"/>
  <c r="CT211" i="17" s="1"/>
  <c r="CU211" i="17" s="1"/>
  <c r="CV211" i="17" s="1"/>
  <c r="CW211" i="17" s="1"/>
  <c r="CO243" i="17"/>
  <c r="CP243" i="17" s="1"/>
  <c r="CQ243" i="17" s="1"/>
  <c r="CR243" i="17" s="1"/>
  <c r="CQ221" i="17"/>
  <c r="CR221" i="17" s="1"/>
  <c r="CP213" i="17"/>
  <c r="CN208" i="17"/>
  <c r="CT127" i="17"/>
  <c r="CX241" i="17"/>
  <c r="CS238" i="17"/>
  <c r="CT111" i="17"/>
  <c r="CN55" i="17"/>
  <c r="CP53" i="17"/>
  <c r="CT156" i="17"/>
  <c r="CO273" i="17"/>
  <c r="CN125" i="17"/>
  <c r="CO214" i="17"/>
  <c r="CP214" i="17" s="1"/>
  <c r="CU173" i="17"/>
  <c r="CT223" i="17"/>
  <c r="CU223" i="17" s="1"/>
  <c r="CW219" i="17"/>
  <c r="CX219" i="17" s="1"/>
  <c r="CP115" i="17"/>
  <c r="CQ115" i="17" s="1"/>
  <c r="AC52" i="17"/>
  <c r="AB52" i="17"/>
  <c r="AL52" i="17" s="1"/>
  <c r="DB252" i="17"/>
  <c r="CS224" i="17"/>
  <c r="CT216" i="17"/>
  <c r="CO123" i="17"/>
  <c r="AD52" i="17"/>
  <c r="AH52" i="17"/>
  <c r="AM52" i="17"/>
  <c r="CP78" i="17"/>
  <c r="CQ183" i="17"/>
  <c r="CN228" i="17"/>
  <c r="CN120" i="17"/>
  <c r="CN209" i="17"/>
  <c r="CO209" i="17" s="1"/>
  <c r="CP209" i="17" s="1"/>
  <c r="CQ209" i="17" s="1"/>
  <c r="CR209" i="17" s="1"/>
  <c r="CR133" i="17"/>
  <c r="CS133" i="17" s="1"/>
  <c r="CP200" i="17"/>
  <c r="CQ200" i="17" s="1"/>
  <c r="CP182" i="17"/>
  <c r="CQ139" i="17"/>
  <c r="CV154" i="17"/>
  <c r="CU231" i="17"/>
  <c r="CN195" i="17"/>
  <c r="CX203" i="17"/>
  <c r="CN114" i="17"/>
  <c r="CN132" i="17"/>
  <c r="CN124" i="17"/>
  <c r="CN129" i="17"/>
  <c r="CO94" i="17"/>
  <c r="CN163" i="17"/>
  <c r="CO163" i="17" s="1"/>
  <c r="CY159" i="17"/>
  <c r="CZ159" i="17" s="1"/>
  <c r="DA159" i="17" s="1"/>
  <c r="DB159" i="17" s="1"/>
  <c r="CN140" i="17"/>
  <c r="CO140" i="17" s="1"/>
  <c r="CP140" i="17" s="1"/>
  <c r="CQ140" i="17" s="1"/>
  <c r="CO131" i="17"/>
  <c r="CQ102" i="17"/>
  <c r="CR102" i="17" s="1"/>
  <c r="CS102" i="17" s="1"/>
  <c r="CU99" i="17"/>
  <c r="CV99" i="17" s="1"/>
  <c r="CP39" i="17"/>
  <c r="CO147" i="17"/>
  <c r="CV108" i="17"/>
  <c r="CR101" i="17"/>
  <c r="CP30" i="17"/>
  <c r="CN184" i="17"/>
  <c r="CO260" i="17"/>
  <c r="CP260" i="17" s="1"/>
  <c r="CQ260" i="17" s="1"/>
  <c r="CP258" i="17"/>
  <c r="CQ258" i="17" s="1"/>
  <c r="CP196" i="17"/>
  <c r="CQ196" i="17" s="1"/>
  <c r="CR196" i="17" s="1"/>
  <c r="CS196" i="17" s="1"/>
  <c r="DB192" i="17"/>
  <c r="CO155" i="17"/>
  <c r="CO150" i="17"/>
  <c r="CN137" i="17"/>
  <c r="CR85" i="17"/>
  <c r="CP79" i="17"/>
  <c r="CQ79" i="17" s="1"/>
  <c r="CO76" i="17"/>
  <c r="CP76" i="17" s="1"/>
  <c r="CN75" i="17"/>
  <c r="CP59" i="17"/>
  <c r="CQ59" i="17" s="1"/>
  <c r="CR59" i="17" s="1"/>
  <c r="CN54" i="17"/>
  <c r="CO54" i="17" s="1"/>
  <c r="CP38" i="17"/>
  <c r="CQ38" i="17" s="1"/>
  <c r="CO33" i="17"/>
  <c r="CO202" i="17"/>
  <c r="CN197" i="17"/>
  <c r="CN194" i="17"/>
  <c r="CN97" i="17"/>
  <c r="CQ96" i="17"/>
  <c r="CO88" i="17"/>
  <c r="CS86" i="17"/>
  <c r="CN80" i="17"/>
  <c r="CU74" i="17"/>
  <c r="CO58" i="17"/>
  <c r="CN57" i="17"/>
  <c r="CP43" i="17"/>
  <c r="CQ41" i="17"/>
  <c r="CX261" i="17"/>
  <c r="CO236" i="17"/>
  <c r="CN215" i="17"/>
  <c r="DA210" i="17"/>
  <c r="CN190" i="17"/>
  <c r="CO190" i="17" s="1"/>
  <c r="CP190" i="17" s="1"/>
  <c r="CQ190" i="17" s="1"/>
  <c r="CR190" i="17" s="1"/>
  <c r="CS190" i="17" s="1"/>
  <c r="CO185" i="17"/>
  <c r="CP185" i="17" s="1"/>
  <c r="CU179" i="17"/>
  <c r="CV179" i="17" s="1"/>
  <c r="CR178" i="17"/>
  <c r="CP174" i="17"/>
  <c r="CQ172" i="17"/>
  <c r="CR172" i="17" s="1"/>
  <c r="CS172" i="17" s="1"/>
  <c r="CT172" i="17" s="1"/>
  <c r="CU172" i="17" s="1"/>
  <c r="CV172" i="17" s="1"/>
  <c r="CW172" i="17" s="1"/>
  <c r="CX172" i="17" s="1"/>
  <c r="AB170" i="17"/>
  <c r="AC170" i="17"/>
  <c r="AA170" i="17"/>
  <c r="CR169" i="17"/>
  <c r="CS169" i="17" s="1"/>
  <c r="CT169" i="17" s="1"/>
  <c r="CU169" i="17" s="1"/>
  <c r="CV169" i="17" s="1"/>
  <c r="CW169" i="17" s="1"/>
  <c r="CX169" i="17" s="1"/>
  <c r="CY169" i="17" s="1"/>
  <c r="CQ103" i="17"/>
  <c r="CO98" i="17"/>
  <c r="CO46" i="17"/>
  <c r="CP44" i="17"/>
  <c r="CO36" i="17"/>
  <c r="CQ31" i="17"/>
  <c r="CO188" i="17"/>
  <c r="CO181" i="17"/>
  <c r="CO106" i="17"/>
  <c r="CO104" i="17"/>
  <c r="CP104" i="17" s="1"/>
  <c r="CO90" i="17"/>
  <c r="CN89" i="17"/>
  <c r="CN87" i="17"/>
  <c r="CN45" i="17"/>
  <c r="BZ24" i="17"/>
  <c r="BX24" i="17"/>
  <c r="BO24" i="17"/>
  <c r="BJ24" i="17"/>
  <c r="BE24" i="17"/>
  <c r="BB24" i="17"/>
  <c r="AU24" i="17"/>
  <c r="DS24" i="17"/>
  <c r="DR24" i="17"/>
  <c r="CG24" i="17"/>
  <c r="BY24" i="17"/>
  <c r="BK24" i="17"/>
  <c r="BC24" i="17"/>
  <c r="AX24" i="17"/>
  <c r="BV24" i="17"/>
  <c r="BT24" i="17"/>
  <c r="BN24" i="17"/>
  <c r="BM24" i="17"/>
  <c r="DV24" i="17"/>
  <c r="DO24" i="17"/>
  <c r="CJ24" i="17"/>
  <c r="BW24" i="17"/>
  <c r="BG24" i="17"/>
  <c r="DW24" i="17"/>
  <c r="DU24" i="17"/>
  <c r="CH24" i="17"/>
  <c r="BU24" i="17"/>
  <c r="BS24" i="17"/>
  <c r="BQ24" i="17"/>
  <c r="BI24" i="17"/>
  <c r="BF24" i="17"/>
  <c r="AZ24" i="17"/>
  <c r="CC24" i="17"/>
  <c r="BP24" i="17"/>
  <c r="BL24" i="17"/>
  <c r="BA24" i="17"/>
  <c r="DT24" i="17"/>
  <c r="DP24" i="17"/>
  <c r="CD24" i="17"/>
  <c r="CA24" i="17"/>
  <c r="AY24" i="17"/>
  <c r="DQ24" i="17"/>
  <c r="CE24" i="17"/>
  <c r="CB24" i="17"/>
  <c r="BR24" i="17"/>
  <c r="AW24" i="17"/>
  <c r="DN24" i="17"/>
  <c r="CF24" i="17"/>
  <c r="BH24" i="17"/>
  <c r="BD24" i="17"/>
  <c r="AV24" i="17"/>
  <c r="CO199" i="17"/>
  <c r="CO198" i="17"/>
  <c r="CO177" i="17"/>
  <c r="CP145" i="17"/>
  <c r="CN143" i="17"/>
  <c r="CO91" i="17"/>
  <c r="CN84" i="17"/>
  <c r="CP83" i="17"/>
  <c r="CN81" i="17"/>
  <c r="CN65" i="17"/>
  <c r="CN60" i="17"/>
  <c r="CO56" i="17"/>
  <c r="CO48" i="17"/>
  <c r="CO42" i="17"/>
  <c r="CP40" i="17"/>
  <c r="N4" i="13"/>
  <c r="B18" i="20" s="1"/>
  <c r="M4" i="13"/>
  <c r="B9" i="20"/>
  <c r="B11" i="20" s="1"/>
  <c r="G5" i="13"/>
  <c r="Q38" i="14"/>
  <c r="Q37" i="14"/>
  <c r="U4" i="14"/>
  <c r="B5" i="14"/>
  <c r="C5" i="14" s="1" a="1"/>
  <c r="D5" i="15"/>
  <c r="Q4" i="14"/>
  <c r="Q43" i="14"/>
  <c r="CN134" i="17"/>
  <c r="G23" i="20"/>
  <c r="H23" i="20" s="1"/>
  <c r="B24" i="20" s="1"/>
  <c r="CL7" i="17"/>
  <c r="CM20" i="17"/>
  <c r="CM15" i="17"/>
  <c r="CM16" i="17"/>
  <c r="CL19" i="17"/>
  <c r="CM22" i="17"/>
  <c r="CM8" i="17"/>
  <c r="CL23" i="17"/>
  <c r="CM21" i="17"/>
  <c r="CL10" i="17"/>
  <c r="CN18" i="17"/>
  <c r="CN171" i="17"/>
  <c r="CP142" i="17"/>
  <c r="CO135" i="17"/>
  <c r="CP67" i="17"/>
  <c r="CO49" i="17"/>
  <c r="CN32" i="17"/>
  <c r="CO32" i="17" s="1"/>
  <c r="CM14" i="17"/>
  <c r="CL17" i="17"/>
  <c r="CN12" i="17"/>
  <c r="CO12" i="17" s="1"/>
  <c r="CP12" i="17" s="1"/>
  <c r="CM6" i="17"/>
  <c r="CN6" i="17" s="1"/>
  <c r="CO6" i="17" s="1"/>
  <c r="CM9" i="17"/>
  <c r="CN9" i="17" s="1"/>
  <c r="CO9" i="17" s="1"/>
  <c r="CP9" i="17" s="1"/>
  <c r="CQ9" i="17" s="1"/>
  <c r="CR9" i="17" s="1"/>
  <c r="CS9" i="17" s="1"/>
  <c r="CL13" i="17"/>
  <c r="CM11" i="17"/>
  <c r="CN11" i="17" s="1"/>
  <c r="CO11" i="17" s="1"/>
  <c r="CP11" i="17" s="1"/>
  <c r="CQ11" i="17" s="1"/>
  <c r="CQ270" i="17" l="1"/>
  <c r="CY272" i="17"/>
  <c r="CR233" i="17"/>
  <c r="CS233" i="17" s="1"/>
  <c r="CT233" i="17" s="1"/>
  <c r="CY110" i="17"/>
  <c r="CO227" i="17"/>
  <c r="CP227" i="17" s="1"/>
  <c r="CQ227" i="17" s="1"/>
  <c r="CR227" i="17" s="1"/>
  <c r="AH250" i="17"/>
  <c r="AD250" i="17"/>
  <c r="AM250" i="17"/>
  <c r="AL250" i="17"/>
  <c r="AE250" i="17"/>
  <c r="CP256" i="17"/>
  <c r="CQ256" i="17" s="1"/>
  <c r="CP157" i="17"/>
  <c r="CT245" i="17"/>
  <c r="CR255" i="17"/>
  <c r="CS255" i="17" s="1"/>
  <c r="CT255" i="17" s="1"/>
  <c r="CU255" i="17" s="1"/>
  <c r="CV255" i="17" s="1"/>
  <c r="CW251" i="17"/>
  <c r="CR239" i="17"/>
  <c r="CS239" i="17" s="1"/>
  <c r="CR248" i="17"/>
  <c r="CS61" i="17"/>
  <c r="CO222" i="17"/>
  <c r="CP277" i="17"/>
  <c r="DH274" i="17"/>
  <c r="CO247" i="17"/>
  <c r="CP247" i="17" s="1"/>
  <c r="CQ247" i="17" s="1"/>
  <c r="CR247" i="17" s="1"/>
  <c r="CS247" i="17" s="1"/>
  <c r="AB118" i="17"/>
  <c r="AL118" i="17" s="1"/>
  <c r="AA118" i="17"/>
  <c r="CZ253" i="17"/>
  <c r="CN276" i="17"/>
  <c r="CO276" i="17" s="1"/>
  <c r="CP276" i="17" s="1"/>
  <c r="CQ276" i="17" s="1"/>
  <c r="CR276" i="17" s="1"/>
  <c r="CS276" i="17" s="1"/>
  <c r="CT276" i="17" s="1"/>
  <c r="CU276" i="17" s="1"/>
  <c r="CV276" i="17" s="1"/>
  <c r="CW276" i="17" s="1"/>
  <c r="CX276" i="17" s="1"/>
  <c r="CY276" i="17" s="1"/>
  <c r="CZ276" i="17" s="1"/>
  <c r="DA276" i="17" s="1"/>
  <c r="DB276" i="17" s="1"/>
  <c r="DC276" i="17" s="1"/>
  <c r="CQ278" i="17"/>
  <c r="CR278" i="17" s="1"/>
  <c r="CS278" i="17" s="1"/>
  <c r="CT278" i="17" s="1"/>
  <c r="CU278" i="17" s="1"/>
  <c r="CV278" i="17" s="1"/>
  <c r="CW278" i="17" s="1"/>
  <c r="CX278" i="17" s="1"/>
  <c r="CY278" i="17" s="1"/>
  <c r="CZ278" i="17" s="1"/>
  <c r="DA278" i="17" s="1"/>
  <c r="DB278" i="17" s="1"/>
  <c r="DC278" i="17" s="1"/>
  <c r="CO264" i="17"/>
  <c r="CQ246" i="17"/>
  <c r="CR246" i="17" s="1"/>
  <c r="CZ229" i="17"/>
  <c r="CQ207" i="17"/>
  <c r="CR207" i="17" s="1"/>
  <c r="CS207" i="17" s="1"/>
  <c r="CT207" i="17" s="1"/>
  <c r="CU207" i="17" s="1"/>
  <c r="CV207" i="17" s="1"/>
  <c r="CX240" i="17"/>
  <c r="AC240" i="17" s="1"/>
  <c r="CP225" i="17"/>
  <c r="CQ119" i="17"/>
  <c r="CR34" i="17"/>
  <c r="CO122" i="17"/>
  <c r="CP266" i="17"/>
  <c r="AE205" i="17"/>
  <c r="CP128" i="17"/>
  <c r="CQ128" i="17" s="1"/>
  <c r="CR128" i="17" s="1"/>
  <c r="CS128" i="17" s="1"/>
  <c r="CR82" i="17"/>
  <c r="CN220" i="17"/>
  <c r="AD205" i="17"/>
  <c r="AM205" i="17"/>
  <c r="AN205" i="17" s="1"/>
  <c r="AH205" i="17"/>
  <c r="DA113" i="17"/>
  <c r="DA112" i="17"/>
  <c r="CP267" i="17"/>
  <c r="CQ213" i="17"/>
  <c r="CR213" i="17" s="1"/>
  <c r="AB241" i="17"/>
  <c r="AL241" i="17" s="1"/>
  <c r="AC241" i="17"/>
  <c r="AA241" i="17"/>
  <c r="CX211" i="17"/>
  <c r="CY211" i="17" s="1"/>
  <c r="CZ211" i="17" s="1"/>
  <c r="CS221" i="17"/>
  <c r="CS243" i="17"/>
  <c r="CT243" i="17" s="1"/>
  <c r="CU243" i="17" s="1"/>
  <c r="CV243" i="17" s="1"/>
  <c r="CW243" i="17" s="1"/>
  <c r="CU127" i="17"/>
  <c r="CV127" i="17" s="1"/>
  <c r="CW127" i="17" s="1"/>
  <c r="CQ53" i="17"/>
  <c r="CR53" i="17" s="1"/>
  <c r="CS53" i="17" s="1"/>
  <c r="CT53" i="17" s="1"/>
  <c r="CU53" i="17" s="1"/>
  <c r="CV231" i="17"/>
  <c r="CO208" i="17"/>
  <c r="CU111" i="17"/>
  <c r="CV111" i="17" s="1"/>
  <c r="CW111" i="17" s="1"/>
  <c r="CX111" i="17" s="1"/>
  <c r="CY111" i="17" s="1"/>
  <c r="CO55" i="17"/>
  <c r="CU156" i="17"/>
  <c r="CO125" i="17"/>
  <c r="CP125" i="17" s="1"/>
  <c r="CQ125" i="17" s="1"/>
  <c r="CT238" i="17"/>
  <c r="AE52" i="17"/>
  <c r="CQ214" i="17"/>
  <c r="CV173" i="17"/>
  <c r="CW173" i="17" s="1"/>
  <c r="CP273" i="17"/>
  <c r="CY219" i="17"/>
  <c r="AN52" i="17"/>
  <c r="CK24" i="17"/>
  <c r="CL24" i="17" s="1"/>
  <c r="DC252" i="17"/>
  <c r="CT224" i="17"/>
  <c r="CU216" i="17"/>
  <c r="CV216" i="17" s="1"/>
  <c r="CW216" i="17" s="1"/>
  <c r="CP123" i="17"/>
  <c r="CR115" i="17"/>
  <c r="CS115" i="17" s="1"/>
  <c r="CT115" i="17" s="1"/>
  <c r="CU115" i="17" s="1"/>
  <c r="CQ78" i="17"/>
  <c r="CR78" i="17" s="1"/>
  <c r="CS78" i="17" s="1"/>
  <c r="CT78" i="17" s="1"/>
  <c r="CR183" i="17"/>
  <c r="CS183" i="17" s="1"/>
  <c r="CT183" i="17" s="1"/>
  <c r="CO228" i="17"/>
  <c r="CP228" i="17" s="1"/>
  <c r="CR139" i="17"/>
  <c r="CS139" i="17" s="1"/>
  <c r="AA203" i="17"/>
  <c r="AB203" i="17"/>
  <c r="AC203" i="17"/>
  <c r="CO124" i="17"/>
  <c r="DB210" i="17"/>
  <c r="DC210" i="17" s="1"/>
  <c r="CW179" i="17"/>
  <c r="CQ174" i="17"/>
  <c r="CY172" i="17"/>
  <c r="CV223" i="17"/>
  <c r="CO120" i="17"/>
  <c r="CS209" i="17"/>
  <c r="CT133" i="17"/>
  <c r="CQ182" i="17"/>
  <c r="CR200" i="17"/>
  <c r="CW154" i="17"/>
  <c r="CO195" i="17"/>
  <c r="CP195" i="17" s="1"/>
  <c r="CQ195" i="17" s="1"/>
  <c r="CR195" i="17" s="1"/>
  <c r="CO114" i="17"/>
  <c r="CO132" i="17"/>
  <c r="CO129" i="17"/>
  <c r="CP129" i="17" s="1"/>
  <c r="CQ129" i="17" s="1"/>
  <c r="CR129" i="17" s="1"/>
  <c r="CP94" i="17"/>
  <c r="CP163" i="17"/>
  <c r="CQ163" i="17" s="1"/>
  <c r="CR163" i="17" s="1"/>
  <c r="CS163" i="17" s="1"/>
  <c r="CR140" i="17"/>
  <c r="CP131" i="17"/>
  <c r="CT102" i="17"/>
  <c r="CQ39" i="17"/>
  <c r="DC159" i="17"/>
  <c r="CP147" i="17"/>
  <c r="CQ147" i="17" s="1"/>
  <c r="CR147" i="17" s="1"/>
  <c r="CS101" i="17"/>
  <c r="CT101" i="17" s="1"/>
  <c r="CU101" i="17" s="1"/>
  <c r="CW99" i="17"/>
  <c r="CQ30" i="17"/>
  <c r="CR30" i="17" s="1"/>
  <c r="CO184" i="17"/>
  <c r="CP184" i="17" s="1"/>
  <c r="CQ184" i="17" s="1"/>
  <c r="CR184" i="17" s="1"/>
  <c r="CP155" i="17"/>
  <c r="CP150" i="17"/>
  <c r="CO137" i="17"/>
  <c r="CS85" i="17"/>
  <c r="CO75" i="17"/>
  <c r="CP75" i="17" s="1"/>
  <c r="CP33" i="17"/>
  <c r="CP236" i="17"/>
  <c r="CQ236" i="17" s="1"/>
  <c r="CO215" i="17"/>
  <c r="CP215" i="17" s="1"/>
  <c r="CQ215" i="17" s="1"/>
  <c r="CR215" i="17" s="1"/>
  <c r="CS215" i="17" s="1"/>
  <c r="CT215" i="17" s="1"/>
  <c r="CU215" i="17" s="1"/>
  <c r="CV215" i="17" s="1"/>
  <c r="CW215" i="17" s="1"/>
  <c r="CX215" i="17" s="1"/>
  <c r="CY215" i="17" s="1"/>
  <c r="CZ215" i="17" s="1"/>
  <c r="DA215" i="17" s="1"/>
  <c r="DB215" i="17" s="1"/>
  <c r="DC215" i="17" s="1"/>
  <c r="DD215" i="17" s="1"/>
  <c r="CP98" i="17"/>
  <c r="CQ98" i="17" s="1"/>
  <c r="CP46" i="17"/>
  <c r="CP36" i="17"/>
  <c r="CP106" i="17"/>
  <c r="CW108" i="17"/>
  <c r="DC192" i="17"/>
  <c r="CR260" i="17"/>
  <c r="CR258" i="17"/>
  <c r="CS258" i="17" s="1"/>
  <c r="CT258" i="17" s="1"/>
  <c r="CU258" i="17" s="1"/>
  <c r="CV258" i="17" s="1"/>
  <c r="CW258" i="17" s="1"/>
  <c r="CX258" i="17" s="1"/>
  <c r="CP202" i="17"/>
  <c r="CO197" i="17"/>
  <c r="CT196" i="17"/>
  <c r="CU196" i="17" s="1"/>
  <c r="CO194" i="17"/>
  <c r="CP194" i="17" s="1"/>
  <c r="CQ194" i="17" s="1"/>
  <c r="CR194" i="17" s="1"/>
  <c r="CS194" i="17" s="1"/>
  <c r="CT194" i="17" s="1"/>
  <c r="CU194" i="17" s="1"/>
  <c r="CV194" i="17" s="1"/>
  <c r="CW194" i="17" s="1"/>
  <c r="CX194" i="17" s="1"/>
  <c r="CY194" i="17" s="1"/>
  <c r="CZ194" i="17" s="1"/>
  <c r="DA194" i="17" s="1"/>
  <c r="DB194" i="17" s="1"/>
  <c r="DC194" i="17" s="1"/>
  <c r="DD194" i="17" s="1"/>
  <c r="CP88" i="17"/>
  <c r="CT86" i="17"/>
  <c r="CO80" i="17"/>
  <c r="CP80" i="17" s="1"/>
  <c r="CR79" i="17"/>
  <c r="CV74" i="17"/>
  <c r="CS59" i="17"/>
  <c r="CP58" i="17"/>
  <c r="CO57" i="17"/>
  <c r="CP57" i="17" s="1"/>
  <c r="CQ43" i="17"/>
  <c r="CR43" i="17" s="1"/>
  <c r="CR41" i="17"/>
  <c r="CS41" i="17" s="1"/>
  <c r="CT41" i="17" s="1"/>
  <c r="CY261" i="17"/>
  <c r="CS178" i="17"/>
  <c r="CR103" i="17"/>
  <c r="CS103" i="17" s="1"/>
  <c r="CQ44" i="17"/>
  <c r="CR31" i="17"/>
  <c r="CP188" i="17"/>
  <c r="CP181" i="17"/>
  <c r="CQ104" i="17"/>
  <c r="CP90" i="17"/>
  <c r="CQ90" i="17" s="1"/>
  <c r="CR90" i="17" s="1"/>
  <c r="CS90" i="17" s="1"/>
  <c r="CT90" i="17" s="1"/>
  <c r="CO87" i="17"/>
  <c r="CP87" i="17" s="1"/>
  <c r="CO171" i="17"/>
  <c r="CP171" i="17" s="1"/>
  <c r="CQ171" i="17" s="1"/>
  <c r="CP135" i="17"/>
  <c r="CQ135" i="17" s="1"/>
  <c r="CQ67" i="17"/>
  <c r="CR67" i="17" s="1"/>
  <c r="CS67" i="17" s="1"/>
  <c r="CT67" i="17" s="1"/>
  <c r="CU67" i="17" s="1"/>
  <c r="CV67" i="17" s="1"/>
  <c r="CW67" i="17" s="1"/>
  <c r="CX67" i="17" s="1"/>
  <c r="CP32" i="17"/>
  <c r="CN14" i="17"/>
  <c r="CP6" i="17"/>
  <c r="CT9" i="17"/>
  <c r="CR11" i="17"/>
  <c r="CS11" i="17" s="1"/>
  <c r="CO97" i="17"/>
  <c r="CR96" i="17"/>
  <c r="CQ76" i="17"/>
  <c r="CP54" i="17"/>
  <c r="CR38" i="17"/>
  <c r="AE170" i="17"/>
  <c r="AL170" i="17"/>
  <c r="CO89" i="17"/>
  <c r="CO45" i="17"/>
  <c r="AH170" i="17"/>
  <c r="AM170" i="17"/>
  <c r="AD170" i="17"/>
  <c r="CT190" i="17"/>
  <c r="CQ185" i="17"/>
  <c r="CZ169" i="17"/>
  <c r="CO134" i="17"/>
  <c r="CM7" i="17"/>
  <c r="CM10" i="17"/>
  <c r="CQ142" i="17"/>
  <c r="CP49" i="17"/>
  <c r="CM13" i="17"/>
  <c r="B36" i="22"/>
  <c r="D36" i="22" s="1"/>
  <c r="B37" i="22"/>
  <c r="D37" i="22" s="1"/>
  <c r="CO84" i="17"/>
  <c r="CP56" i="17"/>
  <c r="CP48" i="17"/>
  <c r="CP42" i="17"/>
  <c r="I5" i="13"/>
  <c r="J5" i="13" s="1"/>
  <c r="O5" i="14"/>
  <c r="D5" i="14"/>
  <c r="K5" i="19"/>
  <c r="I5" i="14"/>
  <c r="K5" i="14"/>
  <c r="D24" i="20"/>
  <c r="E24" i="20" s="1"/>
  <c r="CN20" i="17"/>
  <c r="CN15" i="17"/>
  <c r="CN16" i="17"/>
  <c r="CM19" i="17"/>
  <c r="CN22" i="17"/>
  <c r="CN8" i="17"/>
  <c r="CO18" i="17"/>
  <c r="CM17" i="17"/>
  <c r="CQ12" i="17"/>
  <c r="I23" i="20"/>
  <c r="CP199" i="17"/>
  <c r="CP198" i="17"/>
  <c r="CP177" i="17"/>
  <c r="CQ177" i="17" s="1"/>
  <c r="CR177" i="17" s="1"/>
  <c r="CS177" i="17" s="1"/>
  <c r="CT177" i="17" s="1"/>
  <c r="CU177" i="17" s="1"/>
  <c r="CV177" i="17" s="1"/>
  <c r="CW177" i="17" s="1"/>
  <c r="CQ145" i="17"/>
  <c r="CO143" i="17"/>
  <c r="CP91" i="17"/>
  <c r="CQ83" i="17"/>
  <c r="CO81" i="17"/>
  <c r="CO65" i="17"/>
  <c r="CO60" i="17"/>
  <c r="CQ40" i="17"/>
  <c r="CR40" i="17" s="1"/>
  <c r="CM23" i="17"/>
  <c r="CN23" i="17" s="1"/>
  <c r="CO23" i="17" s="1"/>
  <c r="CN21" i="17"/>
  <c r="CO21" i="17" s="1"/>
  <c r="CP21" i="17" s="1"/>
  <c r="CQ21" i="17" s="1"/>
  <c r="CR21" i="17" s="1"/>
  <c r="CS21" i="17" s="1"/>
  <c r="CT21" i="17" s="1"/>
  <c r="CR270" i="17" l="1"/>
  <c r="CZ272" i="17"/>
  <c r="CU233" i="17"/>
  <c r="CZ110" i="17"/>
  <c r="CS227" i="17"/>
  <c r="AN250" i="17"/>
  <c r="AE118" i="17"/>
  <c r="CR256" i="17"/>
  <c r="CQ277" i="17"/>
  <c r="CR277" i="17" s="1"/>
  <c r="AI250" i="17"/>
  <c r="AF250" i="17"/>
  <c r="AK250" i="17" s="1"/>
  <c r="CQ157" i="17"/>
  <c r="CU245" i="17"/>
  <c r="CW255" i="17"/>
  <c r="CX255" i="17" s="1"/>
  <c r="CY255" i="17" s="1"/>
  <c r="CX251" i="17"/>
  <c r="AC251" i="17" s="1"/>
  <c r="CT239" i="17"/>
  <c r="CS248" i="17"/>
  <c r="CT248" i="17" s="1"/>
  <c r="CT61" i="17"/>
  <c r="CP222" i="17"/>
  <c r="CQ222" i="17" s="1"/>
  <c r="AC274" i="17"/>
  <c r="AB274" i="17"/>
  <c r="AL274" i="17" s="1"/>
  <c r="AA274" i="17"/>
  <c r="DA229" i="17"/>
  <c r="CT247" i="17"/>
  <c r="CU247" i="17" s="1"/>
  <c r="CV247" i="17" s="1"/>
  <c r="AD118" i="17"/>
  <c r="AM118" i="17"/>
  <c r="AN118" i="17" s="1"/>
  <c r="AH118" i="17"/>
  <c r="DA253" i="17"/>
  <c r="AB240" i="17"/>
  <c r="AA240" i="17"/>
  <c r="AC276" i="17"/>
  <c r="AA276" i="17"/>
  <c r="AB276" i="17"/>
  <c r="AC278" i="17"/>
  <c r="AB278" i="17"/>
  <c r="AA278" i="17"/>
  <c r="CP264" i="17"/>
  <c r="CQ225" i="17"/>
  <c r="CS246" i="17"/>
  <c r="CT246" i="17" s="1"/>
  <c r="CU246" i="17" s="1"/>
  <c r="CV246" i="17" s="1"/>
  <c r="CT128" i="17"/>
  <c r="CR119" i="17"/>
  <c r="CS119" i="17" s="1"/>
  <c r="CT119" i="17" s="1"/>
  <c r="CS34" i="17"/>
  <c r="CW207" i="17"/>
  <c r="CX207" i="17" s="1"/>
  <c r="CP122" i="17"/>
  <c r="CQ122" i="17" s="1"/>
  <c r="CR122" i="17" s="1"/>
  <c r="CQ266" i="17"/>
  <c r="CS82" i="17"/>
  <c r="CO220" i="17"/>
  <c r="CP220" i="17" s="1"/>
  <c r="AE241" i="17"/>
  <c r="DB113" i="17"/>
  <c r="DB112" i="17"/>
  <c r="CQ267" i="17"/>
  <c r="CR267" i="17" s="1"/>
  <c r="AF205" i="17"/>
  <c r="AK205" i="17" s="1"/>
  <c r="AI205" i="17"/>
  <c r="CX127" i="17"/>
  <c r="AA127" i="17" s="1"/>
  <c r="CW231" i="17"/>
  <c r="CQ123" i="17"/>
  <c r="CR123" i="17" s="1"/>
  <c r="CQ36" i="17"/>
  <c r="CS260" i="17"/>
  <c r="AM241" i="17"/>
  <c r="AN241" i="17" s="1"/>
  <c r="AD241" i="17"/>
  <c r="AH241" i="17"/>
  <c r="CT221" i="17"/>
  <c r="CS213" i="17"/>
  <c r="CT213" i="17" s="1"/>
  <c r="CV115" i="17"/>
  <c r="DA211" i="17"/>
  <c r="CX243" i="17"/>
  <c r="CP208" i="17"/>
  <c r="CP132" i="17"/>
  <c r="CP55" i="17"/>
  <c r="CV53" i="17"/>
  <c r="CV156" i="17"/>
  <c r="CU238" i="17"/>
  <c r="CZ111" i="17"/>
  <c r="DA111" i="17" s="1"/>
  <c r="DB111" i="17" s="1"/>
  <c r="DC111" i="17" s="1"/>
  <c r="CR125" i="17"/>
  <c r="CS125" i="17" s="1"/>
  <c r="CT125" i="17" s="1"/>
  <c r="CX173" i="17"/>
  <c r="AA252" i="17"/>
  <c r="AC252" i="17"/>
  <c r="AB252" i="17"/>
  <c r="DD210" i="17"/>
  <c r="CR236" i="17"/>
  <c r="CY258" i="17"/>
  <c r="CU86" i="17"/>
  <c r="CR214" i="17"/>
  <c r="AF52" i="17"/>
  <c r="AK52" i="17" s="1"/>
  <c r="AI52" i="17"/>
  <c r="CQ273" i="17"/>
  <c r="CU224" i="17"/>
  <c r="CU78" i="17"/>
  <c r="CU183" i="17"/>
  <c r="CQ228" i="17"/>
  <c r="CR228" i="17" s="1"/>
  <c r="CS228" i="17" s="1"/>
  <c r="CT228" i="17" s="1"/>
  <c r="CU228" i="17" s="1"/>
  <c r="AD203" i="17"/>
  <c r="AH203" i="17"/>
  <c r="AM203" i="17"/>
  <c r="AE203" i="17"/>
  <c r="AL203" i="17"/>
  <c r="CP124" i="17"/>
  <c r="CR174" i="17"/>
  <c r="CZ172" i="17"/>
  <c r="CW74" i="17"/>
  <c r="CX74" i="17" s="1"/>
  <c r="CS31" i="17"/>
  <c r="CZ219" i="17"/>
  <c r="CX179" i="17"/>
  <c r="AB179" i="17" s="1"/>
  <c r="CW223" i="17"/>
  <c r="CX216" i="17"/>
  <c r="AC216" i="17" s="1"/>
  <c r="CP120" i="17"/>
  <c r="CQ120" i="17" s="1"/>
  <c r="CR120" i="17" s="1"/>
  <c r="CS120" i="17" s="1"/>
  <c r="CT120" i="17" s="1"/>
  <c r="CT209" i="17"/>
  <c r="CU209" i="17" s="1"/>
  <c r="CV209" i="17" s="1"/>
  <c r="CW209" i="17" s="1"/>
  <c r="CU133" i="17"/>
  <c r="CV133" i="17" s="1"/>
  <c r="CW133" i="17" s="1"/>
  <c r="CX133" i="17" s="1"/>
  <c r="CY133" i="17" s="1"/>
  <c r="CZ133" i="17" s="1"/>
  <c r="CR182" i="17"/>
  <c r="CS182" i="17" s="1"/>
  <c r="CT139" i="17"/>
  <c r="CU139" i="17" s="1"/>
  <c r="CS200" i="17"/>
  <c r="CP114" i="17"/>
  <c r="CQ114" i="17" s="1"/>
  <c r="CQ94" i="17"/>
  <c r="AC163" i="17"/>
  <c r="AA163" i="17"/>
  <c r="AD163" i="17" s="1"/>
  <c r="AA159" i="17"/>
  <c r="AB159" i="17"/>
  <c r="AL159" i="17" s="1"/>
  <c r="AC159" i="17"/>
  <c r="AC85" i="17"/>
  <c r="AA85" i="17"/>
  <c r="AB85" i="17"/>
  <c r="CQ202" i="17"/>
  <c r="CQ88" i="17"/>
  <c r="CQ58" i="17"/>
  <c r="CX154" i="17"/>
  <c r="CS195" i="17"/>
  <c r="CS129" i="17"/>
  <c r="AB163" i="17"/>
  <c r="AI170" i="17"/>
  <c r="CS140" i="17"/>
  <c r="CT140" i="17" s="1"/>
  <c r="CU140" i="17" s="1"/>
  <c r="CQ131" i="17"/>
  <c r="CU102" i="17"/>
  <c r="CV102" i="17" s="1"/>
  <c r="CR39" i="17"/>
  <c r="CX99" i="17"/>
  <c r="AB99" i="17" s="1"/>
  <c r="CS30" i="17"/>
  <c r="CS184" i="17"/>
  <c r="CQ150" i="17"/>
  <c r="CR150" i="17" s="1"/>
  <c r="CS150" i="17" s="1"/>
  <c r="CP137" i="17"/>
  <c r="CP197" i="17"/>
  <c r="CR98" i="17"/>
  <c r="CQ181" i="17"/>
  <c r="CR181" i="17" s="1"/>
  <c r="CS181" i="17" s="1"/>
  <c r="CT181" i="17" s="1"/>
  <c r="CU181" i="17" s="1"/>
  <c r="CV181" i="17" s="1"/>
  <c r="CO14" i="17"/>
  <c r="CP14" i="17" s="1"/>
  <c r="CQ14" i="17" s="1"/>
  <c r="CR14" i="17" s="1"/>
  <c r="CS14" i="17" s="1"/>
  <c r="CT14" i="17" s="1"/>
  <c r="CU14" i="17" s="1"/>
  <c r="CV14" i="17" s="1"/>
  <c r="CW14" i="17" s="1"/>
  <c r="CX14" i="17" s="1"/>
  <c r="CY14" i="17" s="1"/>
  <c r="CZ14" i="17" s="1"/>
  <c r="DA14" i="17" s="1"/>
  <c r="CQ155" i="17"/>
  <c r="CQ75" i="17"/>
  <c r="CQ33" i="17"/>
  <c r="DE215" i="17"/>
  <c r="CQ46" i="17"/>
  <c r="CQ106" i="17"/>
  <c r="CS147" i="17"/>
  <c r="CX108" i="17"/>
  <c r="CV101" i="17"/>
  <c r="DE194" i="17"/>
  <c r="CS79" i="17"/>
  <c r="CT59" i="17"/>
  <c r="CT178" i="17"/>
  <c r="CR44" i="17"/>
  <c r="CS44" i="17" s="1"/>
  <c r="CT44" i="17" s="1"/>
  <c r="CU44" i="17" s="1"/>
  <c r="CV44" i="17" s="1"/>
  <c r="CU9" i="17"/>
  <c r="CV9" i="17" s="1"/>
  <c r="CT11" i="17"/>
  <c r="CU11" i="17" s="1"/>
  <c r="CV11" i="17" s="1"/>
  <c r="CW11" i="17" s="1"/>
  <c r="DD192" i="17"/>
  <c r="CQ80" i="17"/>
  <c r="CU41" i="17"/>
  <c r="CZ261" i="17"/>
  <c r="CT103" i="17"/>
  <c r="CQ188" i="17"/>
  <c r="CR104" i="17"/>
  <c r="CQ87" i="17"/>
  <c r="CR135" i="17"/>
  <c r="CQ32" i="17"/>
  <c r="CQ6" i="17"/>
  <c r="AF170" i="17"/>
  <c r="AK170" i="17" s="1"/>
  <c r="CV196" i="17"/>
  <c r="CP97" i="17"/>
  <c r="CS96" i="17"/>
  <c r="CR76" i="17"/>
  <c r="CQ57" i="17"/>
  <c r="CQ54" i="17"/>
  <c r="CS43" i="17"/>
  <c r="CS38" i="17"/>
  <c r="CU90" i="17"/>
  <c r="CP89" i="17"/>
  <c r="CQ89" i="17" s="1"/>
  <c r="CP45" i="17"/>
  <c r="CU190" i="17"/>
  <c r="CR185" i="17"/>
  <c r="DA169" i="17"/>
  <c r="CP134" i="17"/>
  <c r="CQ134" i="17" s="1"/>
  <c r="CR134" i="17" s="1"/>
  <c r="CS134" i="17" s="1"/>
  <c r="CT134" i="17" s="1"/>
  <c r="CU134" i="17" s="1"/>
  <c r="CN7" i="17"/>
  <c r="CO7" i="17" s="1"/>
  <c r="CP7" i="17" s="1"/>
  <c r="CN10" i="17"/>
  <c r="CO10" i="17" s="1"/>
  <c r="CP10" i="17" s="1"/>
  <c r="CQ10" i="17" s="1"/>
  <c r="CR10" i="17" s="1"/>
  <c r="CS10" i="17" s="1"/>
  <c r="CT10" i="17" s="1"/>
  <c r="CU10" i="17" s="1"/>
  <c r="CV10" i="17" s="1"/>
  <c r="CR171" i="17"/>
  <c r="CR142" i="17"/>
  <c r="CY67" i="17"/>
  <c r="CQ49" i="17"/>
  <c r="CN13" i="17"/>
  <c r="CO13" i="17" s="1"/>
  <c r="CP13" i="17" s="1"/>
  <c r="CQ13" i="17" s="1"/>
  <c r="CQ198" i="17"/>
  <c r="CR198" i="17" s="1"/>
  <c r="CS198" i="17" s="1"/>
  <c r="CT198" i="17" s="1"/>
  <c r="CU198" i="17" s="1"/>
  <c r="CV198" i="17" s="1"/>
  <c r="CW198" i="17" s="1"/>
  <c r="CX198" i="17" s="1"/>
  <c r="CR145" i="17"/>
  <c r="CS40" i="17"/>
  <c r="AB40" i="17" s="1"/>
  <c r="AN170" i="17"/>
  <c r="CN17" i="17"/>
  <c r="CO17" i="17" s="1"/>
  <c r="CP17" i="17" s="1"/>
  <c r="CQ199" i="17"/>
  <c r="CX177" i="17"/>
  <c r="CP143" i="17"/>
  <c r="CQ91" i="17"/>
  <c r="CR83" i="17"/>
  <c r="CS83" i="17" s="1"/>
  <c r="CT83" i="17" s="1"/>
  <c r="CU83" i="17" s="1"/>
  <c r="CV83" i="17" s="1"/>
  <c r="CP81" i="17"/>
  <c r="CP65" i="17"/>
  <c r="CQ65" i="17" s="1"/>
  <c r="CP60" i="17"/>
  <c r="CQ60" i="17" s="1"/>
  <c r="CR60" i="17" s="1"/>
  <c r="CP23" i="17"/>
  <c r="CU21" i="17"/>
  <c r="P5" i="14"/>
  <c r="G24" i="20"/>
  <c r="H24" i="20" s="1"/>
  <c r="B25" i="20" s="1"/>
  <c r="CO16" i="17"/>
  <c r="CP18" i="17"/>
  <c r="CR12" i="17"/>
  <c r="CP84" i="17"/>
  <c r="CQ56" i="17"/>
  <c r="CR56" i="17" s="1"/>
  <c r="CS56" i="17" s="1"/>
  <c r="CQ48" i="17"/>
  <c r="CQ42" i="17"/>
  <c r="K5" i="13"/>
  <c r="L5" i="13" s="1"/>
  <c r="O5" i="13" s="1"/>
  <c r="S5" i="14"/>
  <c r="G5" i="14"/>
  <c r="F5" i="14"/>
  <c r="CO20" i="17"/>
  <c r="CO15" i="17"/>
  <c r="CN19" i="17"/>
  <c r="CO19" i="17" s="1"/>
  <c r="CP19" i="17" s="1"/>
  <c r="CQ19" i="17" s="1"/>
  <c r="CR19" i="17" s="1"/>
  <c r="CS19" i="17" s="1"/>
  <c r="CT19" i="17" s="1"/>
  <c r="CU19" i="17" s="1"/>
  <c r="CV19" i="17" s="1"/>
  <c r="CO22" i="17"/>
  <c r="CO8" i="17"/>
  <c r="CM24" i="17"/>
  <c r="CN24" i="17" s="1"/>
  <c r="CS270" i="17" l="1"/>
  <c r="DA272" i="17"/>
  <c r="CV233" i="17"/>
  <c r="CW233" i="17" s="1"/>
  <c r="CX233" i="17" s="1"/>
  <c r="DA110" i="17"/>
  <c r="DB110" i="17" s="1"/>
  <c r="AB227" i="17"/>
  <c r="AL227" i="17" s="1"/>
  <c r="AC227" i="17"/>
  <c r="AA227" i="17"/>
  <c r="CS277" i="17"/>
  <c r="AB216" i="17"/>
  <c r="AA216" i="17"/>
  <c r="CS256" i="17"/>
  <c r="AA256" i="17" s="1"/>
  <c r="CV245" i="17"/>
  <c r="CR157" i="17"/>
  <c r="AB251" i="17"/>
  <c r="AA251" i="17"/>
  <c r="CR222" i="17"/>
  <c r="AJ250" i="17"/>
  <c r="AR250" i="17"/>
  <c r="AO250" i="17"/>
  <c r="AS250" i="17"/>
  <c r="CZ255" i="17"/>
  <c r="CU239" i="17"/>
  <c r="CU61" i="17"/>
  <c r="AE274" i="17"/>
  <c r="CU248" i="17"/>
  <c r="DB229" i="17"/>
  <c r="AH274" i="17"/>
  <c r="AM274" i="17"/>
  <c r="AN274" i="17" s="1"/>
  <c r="AD274" i="17"/>
  <c r="CW247" i="17"/>
  <c r="AE240" i="17"/>
  <c r="AL240" i="17"/>
  <c r="AN203" i="17"/>
  <c r="DB253" i="17"/>
  <c r="AM240" i="17"/>
  <c r="AD240" i="17"/>
  <c r="AH240" i="17"/>
  <c r="AF118" i="17"/>
  <c r="AK118" i="17" s="1"/>
  <c r="AI118" i="17"/>
  <c r="AM276" i="17"/>
  <c r="AD276" i="17"/>
  <c r="AH276" i="17"/>
  <c r="CQ264" i="17"/>
  <c r="CR225" i="17"/>
  <c r="CS225" i="17" s="1"/>
  <c r="CT225" i="17" s="1"/>
  <c r="CR266" i="17"/>
  <c r="AL276" i="17"/>
  <c r="AE276" i="17"/>
  <c r="AL278" i="17"/>
  <c r="AE278" i="17"/>
  <c r="AE159" i="17"/>
  <c r="AH278" i="17"/>
  <c r="AD278" i="17"/>
  <c r="AM278" i="17"/>
  <c r="CU128" i="17"/>
  <c r="DC113" i="17"/>
  <c r="CW246" i="17"/>
  <c r="CU119" i="17"/>
  <c r="CT34" i="17"/>
  <c r="CS122" i="17"/>
  <c r="CT82" i="17"/>
  <c r="CU82" i="17" s="1"/>
  <c r="CQ220" i="17"/>
  <c r="CR220" i="17" s="1"/>
  <c r="CS220" i="17" s="1"/>
  <c r="AB207" i="17"/>
  <c r="AA207" i="17"/>
  <c r="AC207" i="17"/>
  <c r="DC112" i="17"/>
  <c r="AC260" i="17"/>
  <c r="AA260" i="17"/>
  <c r="AB260" i="17"/>
  <c r="AO52" i="17"/>
  <c r="AJ52" i="17"/>
  <c r="AR52" i="17" s="1"/>
  <c r="AS52" i="17"/>
  <c r="CS267" i="17"/>
  <c r="AC127" i="17"/>
  <c r="AB127" i="17"/>
  <c r="AM127" i="17"/>
  <c r="AD127" i="17"/>
  <c r="AH127" i="17"/>
  <c r="CX231" i="17"/>
  <c r="AC231" i="17" s="1"/>
  <c r="AJ205" i="17"/>
  <c r="AR205" i="17" s="1"/>
  <c r="AO205" i="17"/>
  <c r="AS205" i="17"/>
  <c r="CR36" i="17"/>
  <c r="CU221" i="17"/>
  <c r="CS123" i="17"/>
  <c r="AC123" i="17" s="1"/>
  <c r="CW115" i="17"/>
  <c r="AC243" i="17"/>
  <c r="AA243" i="17"/>
  <c r="AB243" i="17"/>
  <c r="CV238" i="17"/>
  <c r="CW238" i="17" s="1"/>
  <c r="AI241" i="17"/>
  <c r="AF241" i="17"/>
  <c r="AK241" i="17" s="1"/>
  <c r="CU213" i="17"/>
  <c r="CQ208" i="17"/>
  <c r="AD252" i="17"/>
  <c r="AM252" i="17"/>
  <c r="AH252" i="17"/>
  <c r="CQ132" i="17"/>
  <c r="DB211" i="17"/>
  <c r="CQ55" i="17"/>
  <c r="CW53" i="17"/>
  <c r="CW156" i="17"/>
  <c r="DD111" i="17"/>
  <c r="CY173" i="17"/>
  <c r="DE210" i="17"/>
  <c r="CS236" i="17"/>
  <c r="AC236" i="17" s="1"/>
  <c r="CZ258" i="17"/>
  <c r="CV86" i="17"/>
  <c r="CW86" i="17" s="1"/>
  <c r="CR273" i="17"/>
  <c r="AI203" i="17"/>
  <c r="AF203" i="17"/>
  <c r="AK203" i="17" s="1"/>
  <c r="CX223" i="17"/>
  <c r="CR58" i="17"/>
  <c r="CU125" i="17"/>
  <c r="AE252" i="17"/>
  <c r="AL252" i="17"/>
  <c r="CS214" i="17"/>
  <c r="AA214" i="17" s="1"/>
  <c r="CV224" i="17"/>
  <c r="CW224" i="17" s="1"/>
  <c r="CX224" i="17" s="1"/>
  <c r="CV78" i="17"/>
  <c r="CV183" i="17"/>
  <c r="CW183" i="17" s="1"/>
  <c r="CX183" i="17" s="1"/>
  <c r="CY183" i="17" s="1"/>
  <c r="CS174" i="17"/>
  <c r="CT174" i="17" s="1"/>
  <c r="DA172" i="17"/>
  <c r="DB172" i="17" s="1"/>
  <c r="CT31" i="17"/>
  <c r="CQ137" i="17"/>
  <c r="CQ197" i="17"/>
  <c r="CV228" i="17"/>
  <c r="CQ124" i="17"/>
  <c r="AL179" i="17"/>
  <c r="DA219" i="17"/>
  <c r="AC179" i="17"/>
  <c r="AA179" i="17"/>
  <c r="CT182" i="17"/>
  <c r="CT200" i="17"/>
  <c r="AH159" i="17"/>
  <c r="AM159" i="17"/>
  <c r="AN159" i="17" s="1"/>
  <c r="AD159" i="17"/>
  <c r="CR202" i="17"/>
  <c r="CR88" i="17"/>
  <c r="CW181" i="17"/>
  <c r="CX181" i="17" s="1"/>
  <c r="CY181" i="17" s="1"/>
  <c r="CZ181" i="17" s="1"/>
  <c r="DA181" i="17" s="1"/>
  <c r="DB181" i="17" s="1"/>
  <c r="DB169" i="17"/>
  <c r="CR94" i="17"/>
  <c r="AM85" i="17"/>
  <c r="AH85" i="17"/>
  <c r="AD85" i="17"/>
  <c r="AL85" i="17"/>
  <c r="AE85" i="17"/>
  <c r="CY74" i="17"/>
  <c r="AO170" i="17"/>
  <c r="AM163" i="17"/>
  <c r="AH163" i="17"/>
  <c r="CU120" i="17"/>
  <c r="CV120" i="17" s="1"/>
  <c r="CW120" i="17" s="1"/>
  <c r="CX120" i="17" s="1"/>
  <c r="CX209" i="17"/>
  <c r="DA133" i="17"/>
  <c r="DB133" i="17" s="1"/>
  <c r="CV139" i="17"/>
  <c r="CW139" i="17" s="1"/>
  <c r="CT195" i="17"/>
  <c r="CU195" i="17" s="1"/>
  <c r="CR114" i="17"/>
  <c r="CS114" i="17" s="1"/>
  <c r="CT114" i="17" s="1"/>
  <c r="CU114" i="17" s="1"/>
  <c r="CT129" i="17"/>
  <c r="CU129" i="17" s="1"/>
  <c r="CV129" i="17" s="1"/>
  <c r="CW129" i="17" s="1"/>
  <c r="AS170" i="17"/>
  <c r="AJ170" i="17"/>
  <c r="AR170" i="17" s="1"/>
  <c r="CR131" i="17"/>
  <c r="AC99" i="17"/>
  <c r="AA99" i="17"/>
  <c r="CT30" i="17"/>
  <c r="CU30" i="17" s="1"/>
  <c r="CV30" i="17" s="1"/>
  <c r="AC184" i="17"/>
  <c r="AA184" i="17"/>
  <c r="AB184" i="17"/>
  <c r="CS98" i="17"/>
  <c r="AA98" i="17" s="1"/>
  <c r="CS76" i="17"/>
  <c r="CR57" i="17"/>
  <c r="CS57" i="17" s="1"/>
  <c r="CT57" i="17" s="1"/>
  <c r="CU57" i="17" s="1"/>
  <c r="CV57" i="17" s="1"/>
  <c r="CV134" i="17"/>
  <c r="CR49" i="17"/>
  <c r="CR91" i="17"/>
  <c r="CR42" i="17"/>
  <c r="AE163" i="17"/>
  <c r="AL163" i="17"/>
  <c r="CW102" i="17"/>
  <c r="CS39" i="17"/>
  <c r="AL99" i="17"/>
  <c r="CT150" i="17"/>
  <c r="AB154" i="17"/>
  <c r="AL154" i="17" s="1"/>
  <c r="AA154" i="17"/>
  <c r="AC154" i="17"/>
  <c r="CV140" i="17"/>
  <c r="CR75" i="17"/>
  <c r="CR33" i="17"/>
  <c r="DF215" i="17"/>
  <c r="DG215" i="17" s="1"/>
  <c r="CR46" i="17"/>
  <c r="CR106" i="17"/>
  <c r="CT147" i="17"/>
  <c r="CY108" i="17"/>
  <c r="CZ108" i="17" s="1"/>
  <c r="CW101" i="17"/>
  <c r="CX101" i="17" s="1"/>
  <c r="CY101" i="17" s="1"/>
  <c r="CZ101" i="17" s="1"/>
  <c r="DF194" i="17"/>
  <c r="CT79" i="17"/>
  <c r="CU79" i="17" s="1"/>
  <c r="CV79" i="17" s="1"/>
  <c r="CW79" i="17" s="1"/>
  <c r="CX79" i="17" s="1"/>
  <c r="CY79" i="17" s="1"/>
  <c r="CZ79" i="17" s="1"/>
  <c r="DA79" i="17" s="1"/>
  <c r="DB79" i="17" s="1"/>
  <c r="DC79" i="17" s="1"/>
  <c r="DD79" i="17" s="1"/>
  <c r="DE79" i="17" s="1"/>
  <c r="CU59" i="17"/>
  <c r="CU178" i="17"/>
  <c r="CV178" i="17" s="1"/>
  <c r="CW178" i="17" s="1"/>
  <c r="CT43" i="17"/>
  <c r="CT38" i="17"/>
  <c r="CV190" i="17"/>
  <c r="CS171" i="17"/>
  <c r="CT171" i="17" s="1"/>
  <c r="CU171" i="17" s="1"/>
  <c r="CV171" i="17" s="1"/>
  <c r="CW171" i="17" s="1"/>
  <c r="CX171" i="17" s="1"/>
  <c r="CY171" i="17" s="1"/>
  <c r="CZ171" i="17" s="1"/>
  <c r="CR13" i="17"/>
  <c r="CS13" i="17" s="1"/>
  <c r="CT13" i="17" s="1"/>
  <c r="CU13" i="17" s="1"/>
  <c r="CV13" i="17" s="1"/>
  <c r="CW13" i="17" s="1"/>
  <c r="CX13" i="17" s="1"/>
  <c r="CY13" i="17" s="1"/>
  <c r="CR155" i="17"/>
  <c r="DB14" i="17"/>
  <c r="CW9" i="17"/>
  <c r="DE192" i="17"/>
  <c r="DF192" i="17" s="1"/>
  <c r="CR80" i="17"/>
  <c r="CS80" i="17" s="1"/>
  <c r="DA261" i="17"/>
  <c r="CU103" i="17"/>
  <c r="CV103" i="17" s="1"/>
  <c r="CW103" i="17" s="1"/>
  <c r="CW44" i="17"/>
  <c r="CR188" i="17"/>
  <c r="CS188" i="17" s="1"/>
  <c r="CR87" i="17"/>
  <c r="CS135" i="17"/>
  <c r="CR6" i="17"/>
  <c r="CS6" i="17" s="1"/>
  <c r="CT6" i="17" s="1"/>
  <c r="CU6" i="17" s="1"/>
  <c r="CV6" i="17" s="1"/>
  <c r="CW6" i="17" s="1"/>
  <c r="CX6" i="17" s="1"/>
  <c r="CX11" i="17"/>
  <c r="CY11" i="17" s="1"/>
  <c r="CZ11" i="17" s="1"/>
  <c r="DA11" i="17" s="1"/>
  <c r="DB11" i="17" s="1"/>
  <c r="CW196" i="17"/>
  <c r="CQ97" i="17"/>
  <c r="CT96" i="17"/>
  <c r="CR54" i="17"/>
  <c r="CV90" i="17"/>
  <c r="CQ45" i="17"/>
  <c r="CS145" i="17"/>
  <c r="AA40" i="17"/>
  <c r="AC40" i="17"/>
  <c r="CT56" i="17"/>
  <c r="CR48" i="17"/>
  <c r="CS48" i="17" s="1"/>
  <c r="CV41" i="17"/>
  <c r="CS104" i="17"/>
  <c r="CR32" i="17"/>
  <c r="CS185" i="17"/>
  <c r="CS142" i="17"/>
  <c r="CZ67" i="17"/>
  <c r="CQ7" i="17"/>
  <c r="AL40" i="17"/>
  <c r="CR89" i="17"/>
  <c r="CS89" i="17" s="1"/>
  <c r="CR199" i="17"/>
  <c r="CY198" i="17"/>
  <c r="CZ198" i="17" s="1"/>
  <c r="AA177" i="17"/>
  <c r="AB177" i="17"/>
  <c r="AL177" i="17" s="1"/>
  <c r="AC177" i="17"/>
  <c r="CQ143" i="17"/>
  <c r="CQ23" i="17"/>
  <c r="CR23" i="17" s="1"/>
  <c r="CS23" i="17" s="1"/>
  <c r="CT23" i="17" s="1"/>
  <c r="CU23" i="17" s="1"/>
  <c r="CV23" i="17" s="1"/>
  <c r="CW23" i="17" s="1"/>
  <c r="CX23" i="17" s="1"/>
  <c r="CV21" i="17"/>
  <c r="CW21" i="17" s="1"/>
  <c r="CX21" i="17" s="1"/>
  <c r="CW10" i="17"/>
  <c r="CX10" i="17" s="1"/>
  <c r="CQ84" i="17"/>
  <c r="CR84" i="17" s="1"/>
  <c r="CS84" i="17" s="1"/>
  <c r="CT84" i="17" s="1"/>
  <c r="CU84" i="17" s="1"/>
  <c r="CV84" i="17" s="1"/>
  <c r="CW84" i="17" s="1"/>
  <c r="CX84" i="17" s="1"/>
  <c r="CP20" i="17"/>
  <c r="CP15" i="17"/>
  <c r="CW19" i="17"/>
  <c r="CP22" i="17"/>
  <c r="CP8" i="17"/>
  <c r="CW83" i="17"/>
  <c r="CQ81" i="17"/>
  <c r="CR65" i="17"/>
  <c r="CS60" i="17"/>
  <c r="CQ17" i="17"/>
  <c r="CS12" i="17"/>
  <c r="CT12" i="17" s="1"/>
  <c r="CO24" i="17"/>
  <c r="D25" i="20"/>
  <c r="E25" i="20" s="1"/>
  <c r="G6" i="13"/>
  <c r="M5" i="13"/>
  <c r="N5" i="13"/>
  <c r="T5" i="14"/>
  <c r="R5" i="14" s="1"/>
  <c r="H5" i="14"/>
  <c r="I24" i="20"/>
  <c r="CP16" i="17"/>
  <c r="CQ16" i="17" s="1"/>
  <c r="CQ18" i="17"/>
  <c r="CT270" i="17" l="1"/>
  <c r="DB272" i="17"/>
  <c r="AC233" i="17"/>
  <c r="AB233" i="17"/>
  <c r="AL233" i="17" s="1"/>
  <c r="AA233" i="17"/>
  <c r="DC110" i="17"/>
  <c r="AA110" i="17" s="1"/>
  <c r="AD110" i="17" s="1"/>
  <c r="AE227" i="17"/>
  <c r="AD227" i="17"/>
  <c r="AH227" i="17"/>
  <c r="AM227" i="17"/>
  <c r="AN227" i="17" s="1"/>
  <c r="AE216" i="17"/>
  <c r="AL216" i="17"/>
  <c r="AD216" i="17"/>
  <c r="AH216" i="17"/>
  <c r="AM216" i="17"/>
  <c r="AN240" i="17"/>
  <c r="CT277" i="17"/>
  <c r="AB256" i="17"/>
  <c r="AC256" i="17"/>
  <c r="CS157" i="17"/>
  <c r="AC157" i="17" s="1"/>
  <c r="CV239" i="17"/>
  <c r="AD256" i="17"/>
  <c r="AH256" i="17"/>
  <c r="AM256" i="17"/>
  <c r="CW245" i="17"/>
  <c r="AE251" i="17"/>
  <c r="AL251" i="17"/>
  <c r="CS222" i="17"/>
  <c r="AM251" i="17"/>
  <c r="AD251" i="17"/>
  <c r="AH251" i="17"/>
  <c r="CV61" i="17"/>
  <c r="DA255" i="17"/>
  <c r="CV248" i="17"/>
  <c r="DC229" i="17"/>
  <c r="AB229" i="17" s="1"/>
  <c r="AI274" i="17"/>
  <c r="AF274" i="17"/>
  <c r="AK274" i="17" s="1"/>
  <c r="CX247" i="17"/>
  <c r="AN276" i="17"/>
  <c r="AN278" i="17"/>
  <c r="DC253" i="17"/>
  <c r="AF240" i="17"/>
  <c r="AK240" i="17" s="1"/>
  <c r="AI240" i="17"/>
  <c r="AN85" i="17"/>
  <c r="CR264" i="17"/>
  <c r="AM207" i="17"/>
  <c r="AD207" i="17"/>
  <c r="AH207" i="17"/>
  <c r="AJ118" i="17"/>
  <c r="AS118" i="17"/>
  <c r="AR118" i="17"/>
  <c r="AO118" i="17"/>
  <c r="AC113" i="17"/>
  <c r="AA113" i="17"/>
  <c r="AB113" i="17"/>
  <c r="AL113" i="17" s="1"/>
  <c r="CS266" i="17"/>
  <c r="AI276" i="17"/>
  <c r="AF276" i="17"/>
  <c r="AK276" i="17" s="1"/>
  <c r="AF278" i="17"/>
  <c r="AK278" i="17" s="1"/>
  <c r="AI278" i="17"/>
  <c r="CU225" i="17"/>
  <c r="CV128" i="17"/>
  <c r="AL207" i="17"/>
  <c r="AE207" i="17"/>
  <c r="AA231" i="17"/>
  <c r="AB231" i="17"/>
  <c r="CX246" i="17"/>
  <c r="AB246" i="17" s="1"/>
  <c r="AL246" i="17" s="1"/>
  <c r="CV119" i="17"/>
  <c r="CU34" i="17"/>
  <c r="CV34" i="17" s="1"/>
  <c r="CW34" i="17" s="1"/>
  <c r="CX34" i="17" s="1"/>
  <c r="CT122" i="17"/>
  <c r="CU122" i="17" s="1"/>
  <c r="CV122" i="17" s="1"/>
  <c r="CW122" i="17" s="1"/>
  <c r="CX44" i="17"/>
  <c r="CT220" i="17"/>
  <c r="CV82" i="17"/>
  <c r="AB112" i="17"/>
  <c r="AA112" i="17"/>
  <c r="AC112" i="17"/>
  <c r="AE260" i="17"/>
  <c r="AL260" i="17"/>
  <c r="AM243" i="17"/>
  <c r="AH243" i="17"/>
  <c r="AD243" i="17"/>
  <c r="AM260" i="17"/>
  <c r="AH260" i="17"/>
  <c r="AD260" i="17"/>
  <c r="CT267" i="17"/>
  <c r="AA236" i="17"/>
  <c r="AB236" i="17"/>
  <c r="AE127" i="17"/>
  <c r="AL127" i="17"/>
  <c r="AN127" i="17" s="1"/>
  <c r="CS36" i="17"/>
  <c r="AB36" i="17" s="1"/>
  <c r="AL36" i="17" s="1"/>
  <c r="CV221" i="17"/>
  <c r="AA123" i="17"/>
  <c r="AB123" i="17"/>
  <c r="CX115" i="17"/>
  <c r="CR208" i="17"/>
  <c r="CS208" i="17" s="1"/>
  <c r="CU31" i="17"/>
  <c r="AL243" i="17"/>
  <c r="AE243" i="17"/>
  <c r="CX238" i="17"/>
  <c r="CZ173" i="17"/>
  <c r="CY223" i="17"/>
  <c r="CS58" i="17"/>
  <c r="AD214" i="17"/>
  <c r="AH214" i="17"/>
  <c r="AM214" i="17"/>
  <c r="CW78" i="17"/>
  <c r="CX78" i="17" s="1"/>
  <c r="CY78" i="17" s="1"/>
  <c r="AD179" i="17"/>
  <c r="AH179" i="17"/>
  <c r="AM179" i="17"/>
  <c r="AN179" i="17" s="1"/>
  <c r="CV213" i="17"/>
  <c r="AN252" i="17"/>
  <c r="AE99" i="17"/>
  <c r="AS241" i="17"/>
  <c r="AO241" i="17"/>
  <c r="AJ241" i="17"/>
  <c r="AR241" i="17" s="1"/>
  <c r="AI252" i="17"/>
  <c r="AF252" i="17"/>
  <c r="AK252" i="17" s="1"/>
  <c r="CR132" i="17"/>
  <c r="CS132" i="17" s="1"/>
  <c r="DC211" i="17"/>
  <c r="AB211" i="17" s="1"/>
  <c r="CR55" i="17"/>
  <c r="CX53" i="17"/>
  <c r="CY53" i="17" s="1"/>
  <c r="CX156" i="17"/>
  <c r="CY156" i="17" s="1"/>
  <c r="DE111" i="17"/>
  <c r="DF210" i="17"/>
  <c r="DA258" i="17"/>
  <c r="AB145" i="17"/>
  <c r="AC145" i="17"/>
  <c r="AA145" i="17"/>
  <c r="CS273" i="17"/>
  <c r="AC273" i="17" s="1"/>
  <c r="AJ203" i="17"/>
  <c r="AR203" i="17" s="1"/>
  <c r="AO203" i="17"/>
  <c r="AS203" i="17"/>
  <c r="CV125" i="17"/>
  <c r="CX86" i="17"/>
  <c r="AA86" i="17" s="1"/>
  <c r="AB214" i="17"/>
  <c r="AL214" i="17" s="1"/>
  <c r="AC214" i="17"/>
  <c r="CY224" i="17"/>
  <c r="CZ224" i="17" s="1"/>
  <c r="DA224" i="17" s="1"/>
  <c r="DB224" i="17" s="1"/>
  <c r="CR197" i="17"/>
  <c r="CS197" i="17" s="1"/>
  <c r="CT197" i="17" s="1"/>
  <c r="CU197" i="17" s="1"/>
  <c r="CV197" i="17" s="1"/>
  <c r="DB219" i="17"/>
  <c r="CU200" i="17"/>
  <c r="DC169" i="17"/>
  <c r="AB169" i="17" s="1"/>
  <c r="CR137" i="17"/>
  <c r="AE179" i="17"/>
  <c r="AN163" i="17"/>
  <c r="AE40" i="17"/>
  <c r="CZ183" i="17"/>
  <c r="CW228" i="17"/>
  <c r="CU174" i="17"/>
  <c r="DC172" i="17"/>
  <c r="CU182" i="17"/>
  <c r="CS202" i="17"/>
  <c r="CT202" i="17" s="1"/>
  <c r="CS88" i="17"/>
  <c r="AA88" i="17" s="1"/>
  <c r="DC133" i="17"/>
  <c r="CS131" i="17"/>
  <c r="AD184" i="17"/>
  <c r="AH184" i="17"/>
  <c r="AM184" i="17"/>
  <c r="AL184" i="17"/>
  <c r="AE184" i="17"/>
  <c r="DG194" i="17"/>
  <c r="CX178" i="17"/>
  <c r="DG192" i="17"/>
  <c r="CR124" i="17"/>
  <c r="DC181" i="17"/>
  <c r="AI159" i="17"/>
  <c r="AF159" i="17"/>
  <c r="AK159" i="17" s="1"/>
  <c r="CS94" i="17"/>
  <c r="CZ74" i="17"/>
  <c r="AA120" i="17"/>
  <c r="AC120" i="17"/>
  <c r="AB120" i="17"/>
  <c r="AL120" i="17" s="1"/>
  <c r="CY209" i="17"/>
  <c r="CX139" i="17"/>
  <c r="AB139" i="17" s="1"/>
  <c r="AB98" i="17"/>
  <c r="AL98" i="17" s="1"/>
  <c r="AC98" i="17"/>
  <c r="CW134" i="17"/>
  <c r="CS49" i="17"/>
  <c r="CS91" i="17"/>
  <c r="CT91" i="17" s="1"/>
  <c r="CU91" i="17" s="1"/>
  <c r="CS42" i="17"/>
  <c r="AB42" i="17" s="1"/>
  <c r="AL42" i="17" s="1"/>
  <c r="CW140" i="17"/>
  <c r="DF79" i="17"/>
  <c r="AI85" i="17"/>
  <c r="AF85" i="17"/>
  <c r="AK85" i="17" s="1"/>
  <c r="CX129" i="17"/>
  <c r="AH99" i="17"/>
  <c r="AD99" i="17"/>
  <c r="AM99" i="17"/>
  <c r="AN99" i="17" s="1"/>
  <c r="AD98" i="17"/>
  <c r="AH98" i="17"/>
  <c r="AM98" i="17"/>
  <c r="CT76" i="17"/>
  <c r="CV195" i="17"/>
  <c r="CV114" i="17"/>
  <c r="AB39" i="17"/>
  <c r="AA39" i="17"/>
  <c r="AC39" i="17"/>
  <c r="CW30" i="17"/>
  <c r="CX30" i="17" s="1"/>
  <c r="CY30" i="17" s="1"/>
  <c r="CZ30" i="17" s="1"/>
  <c r="CU150" i="17"/>
  <c r="CV150" i="17" s="1"/>
  <c r="CS75" i="17"/>
  <c r="AC75" i="17" s="1"/>
  <c r="CS33" i="17"/>
  <c r="DH215" i="17"/>
  <c r="AB215" i="17" s="1"/>
  <c r="CS46" i="17"/>
  <c r="CS106" i="17"/>
  <c r="AC106" i="17" s="1"/>
  <c r="CU147" i="17"/>
  <c r="CW57" i="17"/>
  <c r="CU43" i="17"/>
  <c r="CU38" i="17"/>
  <c r="CW190" i="17"/>
  <c r="DB261" i="17"/>
  <c r="DC261" i="17" s="1"/>
  <c r="AB261" i="17" s="1"/>
  <c r="AF163" i="17"/>
  <c r="AK163" i="17" s="1"/>
  <c r="AI163" i="17"/>
  <c r="CX102" i="17"/>
  <c r="AD154" i="17"/>
  <c r="AH154" i="17"/>
  <c r="AM154" i="17"/>
  <c r="AN154" i="17" s="1"/>
  <c r="DA108" i="17"/>
  <c r="DA101" i="17"/>
  <c r="CV59" i="17"/>
  <c r="DA171" i="17"/>
  <c r="AE154" i="17"/>
  <c r="CS155" i="17"/>
  <c r="DC14" i="17"/>
  <c r="DD14" i="17" s="1"/>
  <c r="DE14" i="17" s="1"/>
  <c r="DF14" i="17" s="1"/>
  <c r="DG14" i="17" s="1"/>
  <c r="DH14" i="17" s="1"/>
  <c r="DI14" i="17" s="1"/>
  <c r="DJ14" i="17" s="1"/>
  <c r="DK14" i="17" s="1"/>
  <c r="DL14" i="17" s="1"/>
  <c r="DM14" i="17" s="1"/>
  <c r="CX9" i="17"/>
  <c r="CT80" i="17"/>
  <c r="CX103" i="17"/>
  <c r="AC103" i="17" s="1"/>
  <c r="DC11" i="17"/>
  <c r="DD11" i="17" s="1"/>
  <c r="CX196" i="17"/>
  <c r="CU96" i="17"/>
  <c r="CS54" i="17"/>
  <c r="CT54" i="17" s="1"/>
  <c r="CU54" i="17" s="1"/>
  <c r="CV54" i="17" s="1"/>
  <c r="CW54" i="17" s="1"/>
  <c r="CX54" i="17" s="1"/>
  <c r="CY54" i="17" s="1"/>
  <c r="CZ54" i="17" s="1"/>
  <c r="DA54" i="17" s="1"/>
  <c r="DB54" i="17" s="1"/>
  <c r="DC54" i="17" s="1"/>
  <c r="CW90" i="17"/>
  <c r="CR45" i="17"/>
  <c r="CS45" i="17" s="1"/>
  <c r="CT45" i="17" s="1"/>
  <c r="CU45" i="17" s="1"/>
  <c r="CV45" i="17" s="1"/>
  <c r="CW45" i="17" s="1"/>
  <c r="CX45" i="17" s="1"/>
  <c r="CY45" i="17" s="1"/>
  <c r="CU56" i="17"/>
  <c r="CT188" i="17"/>
  <c r="CR97" i="17"/>
  <c r="CZ13" i="17"/>
  <c r="AM40" i="17"/>
  <c r="AN40" i="17" s="1"/>
  <c r="AD40" i="17"/>
  <c r="AH40" i="17"/>
  <c r="CS87" i="17"/>
  <c r="AB135" i="17"/>
  <c r="AC135" i="17"/>
  <c r="AA135" i="17"/>
  <c r="CT104" i="17"/>
  <c r="CS32" i="17"/>
  <c r="CY6" i="17"/>
  <c r="CT185" i="17"/>
  <c r="CT142" i="17"/>
  <c r="CU142" i="17" s="1"/>
  <c r="DA67" i="17"/>
  <c r="DB67" i="17" s="1"/>
  <c r="DC67" i="17" s="1"/>
  <c r="DD67" i="17" s="1"/>
  <c r="DE67" i="17" s="1"/>
  <c r="CR143" i="17"/>
  <c r="CS143" i="17" s="1"/>
  <c r="CY84" i="17"/>
  <c r="CZ84" i="17" s="1"/>
  <c r="CT48" i="17"/>
  <c r="CQ20" i="17"/>
  <c r="CR20" i="17" s="1"/>
  <c r="CX19" i="17"/>
  <c r="CY19" i="17" s="1"/>
  <c r="CQ22" i="17"/>
  <c r="CR7" i="17"/>
  <c r="CS7" i="17" s="1"/>
  <c r="CT7" i="17" s="1"/>
  <c r="CU7" i="17" s="1"/>
  <c r="CT89" i="17"/>
  <c r="CS199" i="17"/>
  <c r="AD177" i="17"/>
  <c r="AH177" i="17"/>
  <c r="AM177" i="17"/>
  <c r="AN177" i="17" s="1"/>
  <c r="CY23" i="17"/>
  <c r="CY21" i="17"/>
  <c r="CY10" i="17"/>
  <c r="CQ15" i="17"/>
  <c r="CQ8" i="17"/>
  <c r="AE177" i="17"/>
  <c r="CW41" i="17"/>
  <c r="DA198" i="17"/>
  <c r="CX83" i="17"/>
  <c r="CR81" i="17"/>
  <c r="CS65" i="17"/>
  <c r="AC65" i="17" s="1"/>
  <c r="CT60" i="17"/>
  <c r="CR17" i="17"/>
  <c r="CS17" i="17" s="1"/>
  <c r="CT17" i="17" s="1"/>
  <c r="CU17" i="17" s="1"/>
  <c r="CU12" i="17"/>
  <c r="CV12" i="17" s="1"/>
  <c r="CW12" i="17" s="1"/>
  <c r="CX12" i="17" s="1"/>
  <c r="CP24" i="17"/>
  <c r="CQ24" i="17" s="1"/>
  <c r="CR24" i="17" s="1"/>
  <c r="CS24" i="17" s="1"/>
  <c r="CT24" i="17" s="1"/>
  <c r="CU24" i="17" s="1"/>
  <c r="CV24" i="17" s="1"/>
  <c r="CR16" i="17"/>
  <c r="CR18" i="17"/>
  <c r="G25" i="20"/>
  <c r="H25" i="20" s="1"/>
  <c r="B26" i="20" s="1"/>
  <c r="I6" i="13"/>
  <c r="U5" i="14"/>
  <c r="B6" i="14"/>
  <c r="C6" i="14" s="1" a="1"/>
  <c r="Q5" i="14"/>
  <c r="CU270" i="17" l="1"/>
  <c r="CV270" i="17" s="1"/>
  <c r="CW270" i="17" s="1"/>
  <c r="DE11" i="17"/>
  <c r="DC272" i="17"/>
  <c r="AB272" i="17" s="1"/>
  <c r="AN216" i="17"/>
  <c r="AB110" i="17"/>
  <c r="AL110" i="17" s="1"/>
  <c r="AC110" i="17"/>
  <c r="AI251" i="17"/>
  <c r="AF251" i="17"/>
  <c r="AK251" i="17" s="1"/>
  <c r="AD233" i="17"/>
  <c r="AH233" i="17"/>
  <c r="AM233" i="17"/>
  <c r="AN233" i="17" s="1"/>
  <c r="AE233" i="17"/>
  <c r="AM110" i="17"/>
  <c r="AH110" i="17"/>
  <c r="AI227" i="17"/>
  <c r="AO227" i="17" s="1"/>
  <c r="AF227" i="17"/>
  <c r="AK227" i="17" s="1"/>
  <c r="AI216" i="17"/>
  <c r="AJ216" i="17" s="1"/>
  <c r="AF216" i="17"/>
  <c r="AK216" i="17" s="1"/>
  <c r="AL256" i="17"/>
  <c r="AN256" i="17" s="1"/>
  <c r="AE256" i="17"/>
  <c r="AB157" i="17"/>
  <c r="AA157" i="17"/>
  <c r="CU277" i="17"/>
  <c r="CW239" i="17"/>
  <c r="CX245" i="17"/>
  <c r="AA245" i="17" s="1"/>
  <c r="CT222" i="17"/>
  <c r="AN251" i="17"/>
  <c r="CW61" i="17"/>
  <c r="DB255" i="17"/>
  <c r="CW248" i="17"/>
  <c r="AA229" i="17"/>
  <c r="AC229" i="17"/>
  <c r="AL229" i="17"/>
  <c r="AC253" i="17"/>
  <c r="AA253" i="17"/>
  <c r="AB253" i="17"/>
  <c r="AN207" i="17"/>
  <c r="AN260" i="17"/>
  <c r="AA247" i="17"/>
  <c r="AC247" i="17"/>
  <c r="AB247" i="17"/>
  <c r="CS264" i="17"/>
  <c r="AJ274" i="17"/>
  <c r="AS274" i="17"/>
  <c r="AR274" i="17"/>
  <c r="AO274" i="17"/>
  <c r="AE113" i="17"/>
  <c r="AJ240" i="17"/>
  <c r="AO240" i="17"/>
  <c r="AR240" i="17"/>
  <c r="AS240" i="17"/>
  <c r="CW128" i="17"/>
  <c r="AM113" i="17"/>
  <c r="AN113" i="17" s="1"/>
  <c r="AD113" i="17"/>
  <c r="AH113" i="17"/>
  <c r="AN184" i="17"/>
  <c r="AB266" i="17"/>
  <c r="AL266" i="17" s="1"/>
  <c r="AA266" i="17"/>
  <c r="AC266" i="17"/>
  <c r="AO276" i="17"/>
  <c r="AR276" i="17"/>
  <c r="AS276" i="17"/>
  <c r="AJ276" i="17"/>
  <c r="AJ278" i="17"/>
  <c r="AR278" i="17" s="1"/>
  <c r="AO278" i="17"/>
  <c r="AS278" i="17"/>
  <c r="AH231" i="17"/>
  <c r="AD231" i="17"/>
  <c r="AM231" i="17"/>
  <c r="CV225" i="17"/>
  <c r="AF207" i="17"/>
  <c r="AK207" i="17" s="1"/>
  <c r="AI207" i="17"/>
  <c r="AE231" i="17"/>
  <c r="AL231" i="17"/>
  <c r="AA246" i="17"/>
  <c r="AC246" i="17"/>
  <c r="CY34" i="17"/>
  <c r="AA44" i="17"/>
  <c r="AH44" i="17" s="1"/>
  <c r="AB44" i="17"/>
  <c r="AL44" i="17" s="1"/>
  <c r="AC44" i="17"/>
  <c r="CW82" i="17"/>
  <c r="AA211" i="17"/>
  <c r="AC211" i="17"/>
  <c r="CW119" i="17"/>
  <c r="AE214" i="17"/>
  <c r="AN243" i="17"/>
  <c r="CX122" i="17"/>
  <c r="CY122" i="17" s="1"/>
  <c r="CU220" i="17"/>
  <c r="CV220" i="17" s="1"/>
  <c r="CW220" i="17" s="1"/>
  <c r="CX220" i="17" s="1"/>
  <c r="CU267" i="17"/>
  <c r="CV267" i="17" s="1"/>
  <c r="CW267" i="17" s="1"/>
  <c r="CX267" i="17" s="1"/>
  <c r="AA14" i="17"/>
  <c r="AB14" i="17"/>
  <c r="AC14" i="17"/>
  <c r="AE112" i="17"/>
  <c r="AL112" i="17"/>
  <c r="AM112" i="17"/>
  <c r="AH112" i="17"/>
  <c r="AD112" i="17"/>
  <c r="AH236" i="17"/>
  <c r="AD236" i="17"/>
  <c r="AM236" i="17"/>
  <c r="AL236" i="17"/>
  <c r="AE236" i="17"/>
  <c r="AH123" i="17"/>
  <c r="AD123" i="17"/>
  <c r="AM123" i="17"/>
  <c r="AN214" i="17"/>
  <c r="AF260" i="17"/>
  <c r="AK260" i="17" s="1"/>
  <c r="AI260" i="17"/>
  <c r="AC36" i="17"/>
  <c r="AA36" i="17"/>
  <c r="AA115" i="17"/>
  <c r="AC115" i="17"/>
  <c r="AB115" i="17"/>
  <c r="CZ78" i="17"/>
  <c r="AF127" i="17"/>
  <c r="AK127" i="17" s="1"/>
  <c r="AI127" i="17"/>
  <c r="CW221" i="17"/>
  <c r="AL123" i="17"/>
  <c r="AE123" i="17"/>
  <c r="CV31" i="17"/>
  <c r="AF243" i="17"/>
  <c r="AK243" i="17" s="1"/>
  <c r="AI243" i="17"/>
  <c r="CT208" i="17"/>
  <c r="CU208" i="17" s="1"/>
  <c r="CV208" i="17" s="1"/>
  <c r="DA173" i="17"/>
  <c r="CT58" i="17"/>
  <c r="CU58" i="17" s="1"/>
  <c r="CV58" i="17" s="1"/>
  <c r="CW58" i="17" s="1"/>
  <c r="CX58" i="17" s="1"/>
  <c r="CY58" i="17" s="1"/>
  <c r="CZ58" i="17" s="1"/>
  <c r="DA58" i="17" s="1"/>
  <c r="DB58" i="17" s="1"/>
  <c r="AL211" i="17"/>
  <c r="AB75" i="17"/>
  <c r="AA75" i="17"/>
  <c r="CY238" i="17"/>
  <c r="CZ223" i="17"/>
  <c r="CW213" i="17"/>
  <c r="CZ156" i="17"/>
  <c r="DA156" i="17" s="1"/>
  <c r="DB156" i="17" s="1"/>
  <c r="DC156" i="17" s="1"/>
  <c r="DD156" i="17" s="1"/>
  <c r="DE156" i="17" s="1"/>
  <c r="DF111" i="17"/>
  <c r="DG210" i="17"/>
  <c r="DB258" i="17"/>
  <c r="AE145" i="17"/>
  <c r="AL145" i="17"/>
  <c r="AM145" i="17"/>
  <c r="AH145" i="17"/>
  <c r="AD145" i="17"/>
  <c r="DC219" i="17"/>
  <c r="AB219" i="17" s="1"/>
  <c r="AL219" i="17" s="1"/>
  <c r="DA74" i="17"/>
  <c r="AB65" i="17"/>
  <c r="AL65" i="17" s="1"/>
  <c r="AA65" i="17"/>
  <c r="AJ252" i="17"/>
  <c r="AR252" i="17"/>
  <c r="AO252" i="17"/>
  <c r="AS252" i="17"/>
  <c r="CS55" i="17"/>
  <c r="CZ53" i="17"/>
  <c r="AE98" i="17"/>
  <c r="CT132" i="17"/>
  <c r="AB273" i="17"/>
  <c r="AA273" i="17"/>
  <c r="CW125" i="17"/>
  <c r="AC86" i="17"/>
  <c r="AB86" i="17"/>
  <c r="CW197" i="17"/>
  <c r="DA183" i="17"/>
  <c r="AC133" i="17"/>
  <c r="AA133" i="17"/>
  <c r="AB133" i="17"/>
  <c r="AA261" i="17"/>
  <c r="AC261" i="17"/>
  <c r="CV200" i="17"/>
  <c r="AA169" i="17"/>
  <c r="AC169" i="17"/>
  <c r="AE120" i="17"/>
  <c r="AM86" i="17"/>
  <c r="AH86" i="17"/>
  <c r="AD86" i="17"/>
  <c r="AL169" i="17"/>
  <c r="DC224" i="17"/>
  <c r="CS137" i="17"/>
  <c r="CT137" i="17" s="1"/>
  <c r="CX228" i="17"/>
  <c r="CY228" i="17" s="1"/>
  <c r="CZ228" i="17" s="1"/>
  <c r="DA228" i="17" s="1"/>
  <c r="DB228" i="17" s="1"/>
  <c r="DC228" i="17" s="1"/>
  <c r="CV174" i="17"/>
  <c r="AA172" i="17"/>
  <c r="AB172" i="17"/>
  <c r="AC172" i="17"/>
  <c r="CV182" i="17"/>
  <c r="CU202" i="17"/>
  <c r="AC88" i="17"/>
  <c r="AB88" i="17"/>
  <c r="CT131" i="17"/>
  <c r="AF184" i="17"/>
  <c r="AK184" i="17" s="1"/>
  <c r="AI184" i="17"/>
  <c r="DH194" i="17"/>
  <c r="AA194" i="17" s="1"/>
  <c r="DH192" i="17"/>
  <c r="CT94" i="17"/>
  <c r="AM88" i="17"/>
  <c r="AD88" i="17"/>
  <c r="AH88" i="17"/>
  <c r="CY178" i="17"/>
  <c r="AN98" i="17"/>
  <c r="AI179" i="17"/>
  <c r="AF179" i="17"/>
  <c r="AK179" i="17" s="1"/>
  <c r="CS124" i="17"/>
  <c r="DD181" i="17"/>
  <c r="CZ209" i="17"/>
  <c r="AC139" i="17"/>
  <c r="AA139" i="17"/>
  <c r="CX134" i="17"/>
  <c r="CV91" i="17"/>
  <c r="CX140" i="17"/>
  <c r="AB140" i="17" s="1"/>
  <c r="AL140" i="17" s="1"/>
  <c r="DG79" i="17"/>
  <c r="CY9" i="17"/>
  <c r="CZ9" i="17" s="1"/>
  <c r="DA9" i="17" s="1"/>
  <c r="AC87" i="17"/>
  <c r="AA87" i="17"/>
  <c r="AB87" i="17"/>
  <c r="CZ6" i="17"/>
  <c r="CY83" i="17"/>
  <c r="CZ83" i="17" s="1"/>
  <c r="AA42" i="17"/>
  <c r="AC42" i="17"/>
  <c r="AJ159" i="17"/>
  <c r="AR159" i="17" s="1"/>
  <c r="AO159" i="17"/>
  <c r="AS159" i="17"/>
  <c r="AD120" i="17"/>
  <c r="AH120" i="17"/>
  <c r="AM120" i="17"/>
  <c r="AN120" i="17" s="1"/>
  <c r="AL139" i="17"/>
  <c r="AA49" i="17"/>
  <c r="AC49" i="17"/>
  <c r="AB49" i="17"/>
  <c r="CU76" i="17"/>
  <c r="CW195" i="17"/>
  <c r="CW114" i="17"/>
  <c r="AL39" i="17"/>
  <c r="AE39" i="17"/>
  <c r="AH39" i="17"/>
  <c r="AD39" i="17"/>
  <c r="AM39" i="17"/>
  <c r="AC33" i="17"/>
  <c r="AB33" i="17"/>
  <c r="AA33" i="17"/>
  <c r="AB46" i="17"/>
  <c r="AA46" i="17"/>
  <c r="AC46" i="17"/>
  <c r="CV147" i="17"/>
  <c r="CX57" i="17"/>
  <c r="AO85" i="17"/>
  <c r="AR85" i="17"/>
  <c r="AJ85" i="17"/>
  <c r="AS85" i="17"/>
  <c r="AF99" i="17"/>
  <c r="AK99" i="17" s="1"/>
  <c r="AI99" i="17"/>
  <c r="AC215" i="17"/>
  <c r="AA215" i="17"/>
  <c r="AA106" i="17"/>
  <c r="AB106" i="17"/>
  <c r="CV43" i="17"/>
  <c r="CV38" i="17"/>
  <c r="CX190" i="17"/>
  <c r="AB129" i="17"/>
  <c r="AA129" i="17"/>
  <c r="AC129" i="17"/>
  <c r="AL215" i="17"/>
  <c r="AL261" i="17"/>
  <c r="DA30" i="17"/>
  <c r="CW150" i="17"/>
  <c r="DB108" i="17"/>
  <c r="CW59" i="17"/>
  <c r="DB171" i="17"/>
  <c r="CT155" i="17"/>
  <c r="CU80" i="17"/>
  <c r="AA103" i="17"/>
  <c r="AB103" i="17"/>
  <c r="CY196" i="17"/>
  <c r="CZ196" i="17" s="1"/>
  <c r="DA196" i="17" s="1"/>
  <c r="DB196" i="17" s="1"/>
  <c r="CV96" i="17"/>
  <c r="CW96" i="17" s="1"/>
  <c r="CX90" i="17"/>
  <c r="AB90" i="17" s="1"/>
  <c r="CZ45" i="17"/>
  <c r="CV56" i="17"/>
  <c r="CU185" i="17"/>
  <c r="CV142" i="17"/>
  <c r="CW142" i="17" s="1"/>
  <c r="CT143" i="17"/>
  <c r="CU143" i="17" s="1"/>
  <c r="CV143" i="17" s="1"/>
  <c r="CW143" i="17" s="1"/>
  <c r="AS163" i="17"/>
  <c r="AO163" i="17"/>
  <c r="AJ163" i="17"/>
  <c r="AR163" i="17" s="1"/>
  <c r="DB101" i="17"/>
  <c r="AA102" i="17"/>
  <c r="AB102" i="17"/>
  <c r="AC102" i="17"/>
  <c r="AF154" i="17"/>
  <c r="AK154" i="17" s="1"/>
  <c r="AI154" i="17"/>
  <c r="CU188" i="17"/>
  <c r="CS97" i="17"/>
  <c r="AA54" i="17"/>
  <c r="AB54" i="17"/>
  <c r="AC54" i="17"/>
  <c r="DA13" i="17"/>
  <c r="CU104" i="17"/>
  <c r="CT32" i="17"/>
  <c r="CU32" i="17" s="1"/>
  <c r="CV32" i="17" s="1"/>
  <c r="CW32" i="17" s="1"/>
  <c r="CX32" i="17" s="1"/>
  <c r="CY32" i="17" s="1"/>
  <c r="CZ32" i="17" s="1"/>
  <c r="CS20" i="17"/>
  <c r="CT20" i="17" s="1"/>
  <c r="AE135" i="17"/>
  <c r="AL135" i="17"/>
  <c r="AH135" i="17"/>
  <c r="AM135" i="17"/>
  <c r="AD135" i="17"/>
  <c r="DA84" i="17"/>
  <c r="CU48" i="17"/>
  <c r="CR22" i="17"/>
  <c r="AI40" i="17"/>
  <c r="AJ40" i="17" s="1"/>
  <c r="AF40" i="17"/>
  <c r="DF67" i="17"/>
  <c r="CU89" i="17"/>
  <c r="CV89" i="17" s="1"/>
  <c r="CW89" i="17" s="1"/>
  <c r="CX89" i="17" s="1"/>
  <c r="CY89" i="17" s="1"/>
  <c r="CZ89" i="17" s="1"/>
  <c r="DA89" i="17" s="1"/>
  <c r="CT199" i="17"/>
  <c r="CZ23" i="17"/>
  <c r="DA23" i="17" s="1"/>
  <c r="CZ21" i="17"/>
  <c r="CZ10" i="17"/>
  <c r="CR15" i="17"/>
  <c r="CZ19" i="17"/>
  <c r="CR8" i="17"/>
  <c r="CX41" i="17"/>
  <c r="AC41" i="17" s="1"/>
  <c r="DB198" i="17"/>
  <c r="CS81" i="17"/>
  <c r="CV17" i="17"/>
  <c r="CY12" i="17"/>
  <c r="CZ12" i="17" s="1"/>
  <c r="DA12" i="17" s="1"/>
  <c r="DB12" i="17" s="1"/>
  <c r="CV7" i="17"/>
  <c r="CU60" i="17"/>
  <c r="AI177" i="17"/>
  <c r="AF177" i="17"/>
  <c r="AK177" i="17" s="1"/>
  <c r="CS16" i="17"/>
  <c r="CS18" i="17"/>
  <c r="CT18" i="17" s="1"/>
  <c r="CU18" i="17" s="1"/>
  <c r="CV18" i="17" s="1"/>
  <c r="CW18" i="17" s="1"/>
  <c r="CW24" i="17"/>
  <c r="D26" i="20"/>
  <c r="E26" i="20" s="1"/>
  <c r="K6" i="14"/>
  <c r="I6" i="14"/>
  <c r="O6" i="14"/>
  <c r="D6" i="14"/>
  <c r="K6" i="19"/>
  <c r="I25" i="20"/>
  <c r="J6" i="13"/>
  <c r="CX270" i="17" l="1"/>
  <c r="DF11" i="17"/>
  <c r="AN236" i="17"/>
  <c r="AE110" i="17"/>
  <c r="AE169" i="17"/>
  <c r="AS251" i="17"/>
  <c r="AJ251" i="17"/>
  <c r="AR251" i="17" s="1"/>
  <c r="AC272" i="17"/>
  <c r="AA272" i="17"/>
  <c r="AL272" i="17"/>
  <c r="AE266" i="17"/>
  <c r="AN110" i="17"/>
  <c r="AO251" i="17"/>
  <c r="AS227" i="17"/>
  <c r="AR227" i="17"/>
  <c r="AJ227" i="17"/>
  <c r="AI233" i="17"/>
  <c r="AF233" i="17"/>
  <c r="AK233" i="17" s="1"/>
  <c r="AE229" i="17"/>
  <c r="AS216" i="17"/>
  <c r="AR216" i="17"/>
  <c r="AO216" i="17"/>
  <c r="AE246" i="17"/>
  <c r="CV277" i="17"/>
  <c r="AC245" i="17"/>
  <c r="AB245" i="17"/>
  <c r="AE157" i="17"/>
  <c r="AL157" i="17"/>
  <c r="AH157" i="17"/>
  <c r="AD157" i="17"/>
  <c r="AM157" i="17"/>
  <c r="AE44" i="17"/>
  <c r="AE42" i="17"/>
  <c r="AI256" i="17"/>
  <c r="AF256" i="17"/>
  <c r="AK256" i="17" s="1"/>
  <c r="CX239" i="17"/>
  <c r="AB239" i="17" s="1"/>
  <c r="CU222" i="17"/>
  <c r="CV222" i="17" s="1"/>
  <c r="CW222" i="17" s="1"/>
  <c r="CX222" i="17" s="1"/>
  <c r="CY222" i="17" s="1"/>
  <c r="CZ222" i="17" s="1"/>
  <c r="DA222" i="17" s="1"/>
  <c r="DB222" i="17" s="1"/>
  <c r="DC222" i="17" s="1"/>
  <c r="DD222" i="17" s="1"/>
  <c r="DE222" i="17" s="1"/>
  <c r="DF222" i="17" s="1"/>
  <c r="AI236" i="17"/>
  <c r="AF236" i="17"/>
  <c r="AK236" i="17" s="1"/>
  <c r="AD245" i="17"/>
  <c r="AH245" i="17"/>
  <c r="AM245" i="17"/>
  <c r="CX61" i="17"/>
  <c r="CY61" i="17" s="1"/>
  <c r="CZ61" i="17" s="1"/>
  <c r="DA61" i="17" s="1"/>
  <c r="DC255" i="17"/>
  <c r="CX248" i="17"/>
  <c r="AH229" i="17"/>
  <c r="AD229" i="17"/>
  <c r="AM229" i="17"/>
  <c r="AN229" i="17" s="1"/>
  <c r="AN123" i="17"/>
  <c r="AD253" i="17"/>
  <c r="AH253" i="17"/>
  <c r="AM253" i="17"/>
  <c r="AL253" i="17"/>
  <c r="AE253" i="17"/>
  <c r="AM247" i="17"/>
  <c r="AD247" i="17"/>
  <c r="AH247" i="17"/>
  <c r="AL247" i="17"/>
  <c r="AE247" i="17"/>
  <c r="CT264" i="17"/>
  <c r="CU264" i="17" s="1"/>
  <c r="CV264" i="17" s="1"/>
  <c r="CW264" i="17" s="1"/>
  <c r="CX264" i="17" s="1"/>
  <c r="AM246" i="17"/>
  <c r="AN246" i="17" s="1"/>
  <c r="AD246" i="17"/>
  <c r="AH246" i="17"/>
  <c r="CX128" i="17"/>
  <c r="AN39" i="17"/>
  <c r="AL75" i="17"/>
  <c r="AE75" i="17"/>
  <c r="AN231" i="17"/>
  <c r="AE211" i="17"/>
  <c r="AI113" i="17"/>
  <c r="AF113" i="17"/>
  <c r="AK113" i="17" s="1"/>
  <c r="CX82" i="17"/>
  <c r="DA78" i="17"/>
  <c r="AJ243" i="17"/>
  <c r="AR243" i="17" s="1"/>
  <c r="AO243" i="17"/>
  <c r="AS243" i="17"/>
  <c r="DC258" i="17"/>
  <c r="AD266" i="17"/>
  <c r="AH266" i="17"/>
  <c r="AM266" i="17"/>
  <c r="AN266" i="17" s="1"/>
  <c r="AF231" i="17"/>
  <c r="AK231" i="17" s="1"/>
  <c r="AI231" i="17"/>
  <c r="CW225" i="17"/>
  <c r="AS207" i="17"/>
  <c r="AO207" i="17"/>
  <c r="AJ207" i="17"/>
  <c r="AR207" i="17" s="1"/>
  <c r="AH211" i="17"/>
  <c r="AM211" i="17"/>
  <c r="AN211" i="17" s="1"/>
  <c r="AD211" i="17"/>
  <c r="AD75" i="17"/>
  <c r="AM75" i="17"/>
  <c r="AH75" i="17"/>
  <c r="CZ34" i="17"/>
  <c r="AD44" i="17"/>
  <c r="AM44" i="17"/>
  <c r="AN44" i="17" s="1"/>
  <c r="CX119" i="17"/>
  <c r="AF214" i="17"/>
  <c r="AK214" i="17" s="1"/>
  <c r="AI214" i="17"/>
  <c r="CY267" i="17"/>
  <c r="AM14" i="17"/>
  <c r="AD14" i="17"/>
  <c r="AL14" i="17"/>
  <c r="AE14" i="17"/>
  <c r="AE261" i="17"/>
  <c r="CZ122" i="17"/>
  <c r="AB220" i="17"/>
  <c r="AL220" i="17" s="1"/>
  <c r="AC220" i="17"/>
  <c r="AA220" i="17"/>
  <c r="AO260" i="17"/>
  <c r="AS260" i="17"/>
  <c r="AJ260" i="17"/>
  <c r="AR260" i="17" s="1"/>
  <c r="AN112" i="17"/>
  <c r="AI112" i="17"/>
  <c r="AF112" i="17"/>
  <c r="AK112" i="17" s="1"/>
  <c r="AM172" i="17"/>
  <c r="AH172" i="17"/>
  <c r="AD172" i="17"/>
  <c r="AL172" i="17"/>
  <c r="AE172" i="17"/>
  <c r="AB192" i="17"/>
  <c r="AL192" i="17" s="1"/>
  <c r="AA192" i="17"/>
  <c r="AC192" i="17"/>
  <c r="AH36" i="17"/>
  <c r="AM36" i="17"/>
  <c r="AN36" i="17" s="1"/>
  <c r="AD36" i="17"/>
  <c r="AE115" i="17"/>
  <c r="AL115" i="17"/>
  <c r="AE36" i="17"/>
  <c r="AN145" i="17"/>
  <c r="AH115" i="17"/>
  <c r="AM115" i="17"/>
  <c r="AD115" i="17"/>
  <c r="CX221" i="17"/>
  <c r="AA221" i="17" s="1"/>
  <c r="CW31" i="17"/>
  <c r="DB173" i="17"/>
  <c r="AF145" i="17"/>
  <c r="AK145" i="17" s="1"/>
  <c r="AI145" i="17"/>
  <c r="DB74" i="17"/>
  <c r="AE133" i="17"/>
  <c r="AL133" i="17"/>
  <c r="AA140" i="17"/>
  <c r="AC140" i="17"/>
  <c r="AJ127" i="17"/>
  <c r="AR127" i="17" s="1"/>
  <c r="AS127" i="17"/>
  <c r="AO127" i="17"/>
  <c r="AF123" i="17"/>
  <c r="AK123" i="17" s="1"/>
  <c r="AI123" i="17"/>
  <c r="CW208" i="17"/>
  <c r="CZ238" i="17"/>
  <c r="DC58" i="17"/>
  <c r="CX213" i="17"/>
  <c r="DF156" i="17"/>
  <c r="DG111" i="17"/>
  <c r="AC219" i="17"/>
  <c r="AA219" i="17"/>
  <c r="DB183" i="17"/>
  <c r="DC183" i="17" s="1"/>
  <c r="AB183" i="17" s="1"/>
  <c r="AB224" i="17"/>
  <c r="AL224" i="17" s="1"/>
  <c r="AA224" i="17"/>
  <c r="AC224" i="17"/>
  <c r="AJ184" i="17"/>
  <c r="AR184" i="17" s="1"/>
  <c r="AS184" i="17"/>
  <c r="AO184" i="17"/>
  <c r="AM103" i="17"/>
  <c r="AD103" i="17"/>
  <c r="AH103" i="17"/>
  <c r="DA223" i="17"/>
  <c r="DH210" i="17"/>
  <c r="AE139" i="17"/>
  <c r="AH65" i="17"/>
  <c r="AD65" i="17"/>
  <c r="AM65" i="17"/>
  <c r="AN65" i="17" s="1"/>
  <c r="AE65" i="17"/>
  <c r="CT55" i="17"/>
  <c r="CU55" i="17" s="1"/>
  <c r="DA53" i="17"/>
  <c r="CU132" i="17"/>
  <c r="CX125" i="17"/>
  <c r="CY125" i="17" s="1"/>
  <c r="CZ125" i="17" s="1"/>
  <c r="CU94" i="17"/>
  <c r="CV94" i="17" s="1"/>
  <c r="CX142" i="17"/>
  <c r="AE273" i="17"/>
  <c r="AL273" i="17"/>
  <c r="AD273" i="17"/>
  <c r="AH273" i="17"/>
  <c r="AM273" i="17"/>
  <c r="AI98" i="17"/>
  <c r="AF98" i="17"/>
  <c r="AK98" i="17" s="1"/>
  <c r="AL86" i="17"/>
  <c r="AN86" i="17" s="1"/>
  <c r="AE86" i="17"/>
  <c r="CX197" i="17"/>
  <c r="AA197" i="17" s="1"/>
  <c r="AH133" i="17"/>
  <c r="AM133" i="17"/>
  <c r="AD133" i="17"/>
  <c r="AH261" i="17"/>
  <c r="AM261" i="17"/>
  <c r="AN261" i="17" s="1"/>
  <c r="AD261" i="17"/>
  <c r="CW200" i="17"/>
  <c r="CW174" i="17"/>
  <c r="DE181" i="17"/>
  <c r="DA209" i="17"/>
  <c r="DA83" i="17"/>
  <c r="DB13" i="17"/>
  <c r="AH169" i="17"/>
  <c r="AD169" i="17"/>
  <c r="AM169" i="17"/>
  <c r="AN169" i="17" s="1"/>
  <c r="CW182" i="17"/>
  <c r="CV202" i="17"/>
  <c r="AL88" i="17"/>
  <c r="AN88" i="17" s="1"/>
  <c r="AE88" i="17"/>
  <c r="CU131" i="17"/>
  <c r="AB194" i="17"/>
  <c r="AC194" i="17"/>
  <c r="AD194" i="17"/>
  <c r="AM194" i="17"/>
  <c r="AH194" i="17"/>
  <c r="CU137" i="17"/>
  <c r="CZ178" i="17"/>
  <c r="AJ179" i="17"/>
  <c r="AR179" i="17" s="1"/>
  <c r="AS179" i="17"/>
  <c r="AO179" i="17"/>
  <c r="AC228" i="17"/>
  <c r="AA228" i="17"/>
  <c r="AB228" i="17"/>
  <c r="CT124" i="17"/>
  <c r="CW91" i="17"/>
  <c r="CX91" i="17" s="1"/>
  <c r="DH79" i="17"/>
  <c r="AC79" i="17" s="1"/>
  <c r="AH87" i="17"/>
  <c r="AM87" i="17"/>
  <c r="AD87" i="17"/>
  <c r="AL87" i="17"/>
  <c r="AE87" i="17"/>
  <c r="AF120" i="17"/>
  <c r="AK120" i="17" s="1"/>
  <c r="AI120" i="17"/>
  <c r="CV76" i="17"/>
  <c r="AI39" i="17"/>
  <c r="AF39" i="17"/>
  <c r="AK39" i="17" s="1"/>
  <c r="AE33" i="17"/>
  <c r="AL33" i="17"/>
  <c r="AE46" i="17"/>
  <c r="AL46" i="17"/>
  <c r="AB57" i="17"/>
  <c r="AL57" i="17" s="1"/>
  <c r="AC57" i="17"/>
  <c r="AA57" i="17"/>
  <c r="DC196" i="17"/>
  <c r="AC196" i="17" s="1"/>
  <c r="AH54" i="17"/>
  <c r="AD54" i="17"/>
  <c r="AM54" i="17"/>
  <c r="AH139" i="17"/>
  <c r="AM139" i="17"/>
  <c r="AN139" i="17" s="1"/>
  <c r="AD139" i="17"/>
  <c r="DB9" i="17"/>
  <c r="DA6" i="17"/>
  <c r="CY134" i="17"/>
  <c r="CX195" i="17"/>
  <c r="CX114" i="17"/>
  <c r="CW147" i="17"/>
  <c r="DB30" i="17"/>
  <c r="CX150" i="17"/>
  <c r="CY150" i="17" s="1"/>
  <c r="CZ150" i="17" s="1"/>
  <c r="DA150" i="17" s="1"/>
  <c r="DB150" i="17" s="1"/>
  <c r="DC150" i="17" s="1"/>
  <c r="DD150" i="17" s="1"/>
  <c r="DC108" i="17"/>
  <c r="CX59" i="17"/>
  <c r="AA59" i="17" s="1"/>
  <c r="AH42" i="17"/>
  <c r="AM42" i="17"/>
  <c r="AN42" i="17" s="1"/>
  <c r="AD42" i="17"/>
  <c r="AD49" i="17"/>
  <c r="AH49" i="17"/>
  <c r="AM49" i="17"/>
  <c r="AE49" i="17"/>
  <c r="AL49" i="17"/>
  <c r="AH33" i="17"/>
  <c r="AM33" i="17"/>
  <c r="AD33" i="17"/>
  <c r="AH46" i="17"/>
  <c r="AD46" i="17"/>
  <c r="AM46" i="17"/>
  <c r="AE215" i="17"/>
  <c r="CW43" i="17"/>
  <c r="CW38" i="17"/>
  <c r="CX38" i="17" s="1"/>
  <c r="CY38" i="17" s="1"/>
  <c r="CZ38" i="17" s="1"/>
  <c r="DA38" i="17" s="1"/>
  <c r="AC190" i="17"/>
  <c r="AA190" i="17"/>
  <c r="AB190" i="17"/>
  <c r="AL190" i="17" s="1"/>
  <c r="DC171" i="17"/>
  <c r="CU155" i="17"/>
  <c r="CV80" i="17"/>
  <c r="CX96" i="17"/>
  <c r="CY96" i="17" s="1"/>
  <c r="CZ96" i="17" s="1"/>
  <c r="DA96" i="17" s="1"/>
  <c r="AA90" i="17"/>
  <c r="AC90" i="17"/>
  <c r="CW56" i="17"/>
  <c r="CV185" i="17"/>
  <c r="CV188" i="17"/>
  <c r="DA32" i="17"/>
  <c r="AJ99" i="17"/>
  <c r="AR99" i="17" s="1"/>
  <c r="AO99" i="17"/>
  <c r="AS99" i="17"/>
  <c r="AM215" i="17"/>
  <c r="AN215" i="17" s="1"/>
  <c r="AD215" i="17"/>
  <c r="AH215" i="17"/>
  <c r="AM106" i="17"/>
  <c r="AD106" i="17"/>
  <c r="AH106" i="17"/>
  <c r="AE106" i="17"/>
  <c r="AL106" i="17"/>
  <c r="AE129" i="17"/>
  <c r="AL129" i="17"/>
  <c r="AM129" i="17"/>
  <c r="AH129" i="17"/>
  <c r="AD129" i="17"/>
  <c r="AL103" i="17"/>
  <c r="AE103" i="17"/>
  <c r="AL90" i="17"/>
  <c r="DA45" i="17"/>
  <c r="AN135" i="17"/>
  <c r="DC101" i="17"/>
  <c r="CT97" i="17"/>
  <c r="CU97" i="17" s="1"/>
  <c r="CV97" i="17" s="1"/>
  <c r="CV104" i="17"/>
  <c r="CX143" i="17"/>
  <c r="DB23" i="17"/>
  <c r="DA10" i="17"/>
  <c r="DB10" i="17" s="1"/>
  <c r="DC10" i="17" s="1"/>
  <c r="DD10" i="17" s="1"/>
  <c r="CS8" i="17"/>
  <c r="AD102" i="17"/>
  <c r="AM102" i="17"/>
  <c r="AH102" i="17"/>
  <c r="AE102" i="17"/>
  <c r="AL102" i="17"/>
  <c r="AJ154" i="17"/>
  <c r="AR154" i="17" s="1"/>
  <c r="AS154" i="17"/>
  <c r="AO154" i="17"/>
  <c r="AE54" i="17"/>
  <c r="AL54" i="17"/>
  <c r="DB84" i="17"/>
  <c r="CV48" i="17"/>
  <c r="CW48" i="17" s="1"/>
  <c r="CU20" i="17"/>
  <c r="CV20" i="17" s="1"/>
  <c r="CW20" i="17" s="1"/>
  <c r="CX20" i="17" s="1"/>
  <c r="CS22" i="17"/>
  <c r="CT22" i="17" s="1"/>
  <c r="CU22" i="17" s="1"/>
  <c r="CV22" i="17" s="1"/>
  <c r="DG67" i="17"/>
  <c r="CU199" i="17"/>
  <c r="DA21" i="17"/>
  <c r="CS15" i="17"/>
  <c r="DA19" i="17"/>
  <c r="AA41" i="17"/>
  <c r="AB41" i="17"/>
  <c r="DC198" i="17"/>
  <c r="CT81" i="17"/>
  <c r="CW17" i="17"/>
  <c r="AF135" i="17"/>
  <c r="AK135" i="17" s="1"/>
  <c r="AI135" i="17"/>
  <c r="AR40" i="17"/>
  <c r="AO40" i="17"/>
  <c r="AS40" i="17"/>
  <c r="AK40" i="17"/>
  <c r="DB89" i="17"/>
  <c r="CV60" i="17"/>
  <c r="DC12" i="17"/>
  <c r="DD12" i="17" s="1"/>
  <c r="CT16" i="17"/>
  <c r="G6" i="14"/>
  <c r="S6" i="14"/>
  <c r="F6" i="14"/>
  <c r="CW7" i="17"/>
  <c r="AS177" i="17"/>
  <c r="AJ177" i="17"/>
  <c r="AR177" i="17"/>
  <c r="AO177" i="17"/>
  <c r="CX24" i="17"/>
  <c r="CX18" i="17"/>
  <c r="G26" i="20"/>
  <c r="H26" i="20" s="1"/>
  <c r="B27" i="20" s="1"/>
  <c r="P6" i="14"/>
  <c r="K6" i="13"/>
  <c r="AN172" i="17" l="1"/>
  <c r="AC270" i="17"/>
  <c r="AA270" i="17"/>
  <c r="AB270" i="17"/>
  <c r="AL270" i="17" s="1"/>
  <c r="AF110" i="17"/>
  <c r="AK110" i="17" s="1"/>
  <c r="AI110" i="17"/>
  <c r="DG11" i="17"/>
  <c r="DE10" i="17"/>
  <c r="DE12" i="17"/>
  <c r="AN253" i="17"/>
  <c r="AE272" i="17"/>
  <c r="AM272" i="17"/>
  <c r="AN272" i="17" s="1"/>
  <c r="AH272" i="17"/>
  <c r="AD272" i="17"/>
  <c r="AS233" i="17"/>
  <c r="AO233" i="17"/>
  <c r="AJ233" i="17"/>
  <c r="AR233" i="17" s="1"/>
  <c r="AN115" i="17"/>
  <c r="CW277" i="17"/>
  <c r="AF229" i="17"/>
  <c r="AK229" i="17" s="1"/>
  <c r="AI229" i="17"/>
  <c r="AE90" i="17"/>
  <c r="AI157" i="17"/>
  <c r="AF157" i="17"/>
  <c r="AK157" i="17" s="1"/>
  <c r="AL245" i="17"/>
  <c r="AN245" i="17" s="1"/>
  <c r="AE245" i="17"/>
  <c r="AO256" i="17"/>
  <c r="AS256" i="17"/>
  <c r="AJ256" i="17"/>
  <c r="AR256" i="17" s="1"/>
  <c r="AA239" i="17"/>
  <c r="AC239" i="17"/>
  <c r="AL239" i="17"/>
  <c r="AJ236" i="17"/>
  <c r="AR236" i="17" s="1"/>
  <c r="AO236" i="17"/>
  <c r="AS236" i="17"/>
  <c r="AE192" i="17"/>
  <c r="AN157" i="17"/>
  <c r="DG222" i="17"/>
  <c r="AN106" i="17"/>
  <c r="DB61" i="17"/>
  <c r="AA255" i="17"/>
  <c r="AC255" i="17"/>
  <c r="AB255" i="17"/>
  <c r="CY248" i="17"/>
  <c r="AI246" i="17"/>
  <c r="AF246" i="17"/>
  <c r="AK246" i="17" s="1"/>
  <c r="AA258" i="17"/>
  <c r="AC258" i="17"/>
  <c r="AB258" i="17"/>
  <c r="AN247" i="17"/>
  <c r="AN75" i="17"/>
  <c r="AF253" i="17"/>
  <c r="AK253" i="17" s="1"/>
  <c r="AI253" i="17"/>
  <c r="AF247" i="17"/>
  <c r="AK247" i="17" s="1"/>
  <c r="AI247" i="17"/>
  <c r="CY264" i="17"/>
  <c r="AB128" i="17"/>
  <c r="AA128" i="17"/>
  <c r="AH128" i="17" s="1"/>
  <c r="AC128" i="17"/>
  <c r="DB78" i="17"/>
  <c r="AS231" i="17"/>
  <c r="AJ231" i="17"/>
  <c r="AR231" i="17" s="1"/>
  <c r="AO231" i="17"/>
  <c r="AF75" i="17"/>
  <c r="AK75" i="17" s="1"/>
  <c r="AI75" i="17"/>
  <c r="AN133" i="17"/>
  <c r="AF211" i="17"/>
  <c r="AK211" i="17" s="1"/>
  <c r="AI211" i="17"/>
  <c r="CY82" i="17"/>
  <c r="CZ82" i="17" s="1"/>
  <c r="CX225" i="17"/>
  <c r="AB225" i="17" s="1"/>
  <c r="AL225" i="17" s="1"/>
  <c r="AO113" i="17"/>
  <c r="AJ113" i="17"/>
  <c r="AR113" i="17" s="1"/>
  <c r="AS113" i="17"/>
  <c r="AE140" i="17"/>
  <c r="AN273" i="17"/>
  <c r="AI266" i="17"/>
  <c r="AF266" i="17"/>
  <c r="AK266" i="17" s="1"/>
  <c r="AC119" i="17"/>
  <c r="AA119" i="17"/>
  <c r="AB119" i="17"/>
  <c r="AE57" i="17"/>
  <c r="AF14" i="17"/>
  <c r="DA34" i="17"/>
  <c r="CZ267" i="17"/>
  <c r="DA267" i="17" s="1"/>
  <c r="DB267" i="17" s="1"/>
  <c r="AB221" i="17"/>
  <c r="AL221" i="17" s="1"/>
  <c r="AC221" i="17"/>
  <c r="AF44" i="17"/>
  <c r="AK44" i="17" s="1"/>
  <c r="AI44" i="17"/>
  <c r="AN14" i="17"/>
  <c r="AS214" i="17"/>
  <c r="AJ214" i="17"/>
  <c r="AR214" i="17" s="1"/>
  <c r="AO214" i="17"/>
  <c r="DA122" i="17"/>
  <c r="AF115" i="17"/>
  <c r="AK115" i="17" s="1"/>
  <c r="AI115" i="17"/>
  <c r="AJ145" i="17"/>
  <c r="AR145" i="17" s="1"/>
  <c r="AS145" i="17"/>
  <c r="AO145" i="17"/>
  <c r="AH220" i="17"/>
  <c r="AD220" i="17"/>
  <c r="AM220" i="17"/>
  <c r="AN220" i="17" s="1"/>
  <c r="AE220" i="17"/>
  <c r="AA58" i="17"/>
  <c r="AD58" i="17" s="1"/>
  <c r="AC58" i="17"/>
  <c r="AB58" i="17"/>
  <c r="AL58" i="17" s="1"/>
  <c r="AO112" i="17"/>
  <c r="AS112" i="17"/>
  <c r="AJ112" i="17"/>
  <c r="AR112" i="17" s="1"/>
  <c r="AF129" i="17"/>
  <c r="AK129" i="17" s="1"/>
  <c r="AI172" i="17"/>
  <c r="AF172" i="17"/>
  <c r="AK172" i="17" s="1"/>
  <c r="AM192" i="17"/>
  <c r="AN192" i="17" s="1"/>
  <c r="AD192" i="17"/>
  <c r="AH192" i="17"/>
  <c r="CX31" i="17"/>
  <c r="DC173" i="17"/>
  <c r="AD140" i="17"/>
  <c r="AM140" i="17"/>
  <c r="AN140" i="17" s="1"/>
  <c r="AH140" i="17"/>
  <c r="AB197" i="17"/>
  <c r="AC197" i="17"/>
  <c r="AI36" i="17"/>
  <c r="AF36" i="17"/>
  <c r="AK36" i="17" s="1"/>
  <c r="AD221" i="17"/>
  <c r="AM221" i="17"/>
  <c r="AH221" i="17"/>
  <c r="DC74" i="17"/>
  <c r="AE224" i="17"/>
  <c r="AI129" i="17"/>
  <c r="CX208" i="17"/>
  <c r="DG156" i="17"/>
  <c r="DH111" i="17"/>
  <c r="AI88" i="17"/>
  <c r="AF88" i="17"/>
  <c r="AK88" i="17" s="1"/>
  <c r="AJ123" i="17"/>
  <c r="AR123" i="17" s="1"/>
  <c r="AS123" i="17"/>
  <c r="AO123" i="17"/>
  <c r="DA238" i="17"/>
  <c r="CY213" i="17"/>
  <c r="AD219" i="17"/>
  <c r="AH219" i="17"/>
  <c r="AM219" i="17"/>
  <c r="AN219" i="17" s="1"/>
  <c r="AE219" i="17"/>
  <c r="AM224" i="17"/>
  <c r="AN224" i="17" s="1"/>
  <c r="AH224" i="17"/>
  <c r="AD224" i="17"/>
  <c r="AN103" i="17"/>
  <c r="AI103" i="17"/>
  <c r="AF103" i="17"/>
  <c r="AK103" i="17" s="1"/>
  <c r="DB223" i="17"/>
  <c r="AB210" i="17"/>
  <c r="AA210" i="17"/>
  <c r="AC210" i="17"/>
  <c r="DB53" i="17"/>
  <c r="CV132" i="17"/>
  <c r="AA183" i="17"/>
  <c r="AC183" i="17"/>
  <c r="AB142" i="17"/>
  <c r="AL142" i="17" s="1"/>
  <c r="AC142" i="17"/>
  <c r="AA142" i="17"/>
  <c r="AJ98" i="17"/>
  <c r="AS98" i="17"/>
  <c r="AR98" i="17"/>
  <c r="AO98" i="17"/>
  <c r="AF133" i="17"/>
  <c r="AK133" i="17" s="1"/>
  <c r="AI133" i="17"/>
  <c r="AE228" i="17"/>
  <c r="AL228" i="17"/>
  <c r="CU124" i="17"/>
  <c r="AL183" i="17"/>
  <c r="H6" i="14"/>
  <c r="AF65" i="17"/>
  <c r="AK65" i="17" s="1"/>
  <c r="AI65" i="17"/>
  <c r="CV55" i="17"/>
  <c r="DA125" i="17"/>
  <c r="AI261" i="17"/>
  <c r="AF261" i="17"/>
  <c r="AK261" i="17" s="1"/>
  <c r="CX200" i="17"/>
  <c r="CX174" i="17"/>
  <c r="DB83" i="17"/>
  <c r="AF86" i="17"/>
  <c r="AK86" i="17" s="1"/>
  <c r="AI86" i="17"/>
  <c r="AD197" i="17"/>
  <c r="AM197" i="17"/>
  <c r="AH197" i="17"/>
  <c r="CW94" i="17"/>
  <c r="DF181" i="17"/>
  <c r="DB209" i="17"/>
  <c r="DC13" i="17"/>
  <c r="DD13" i="17" s="1"/>
  <c r="DE13" i="17" s="1"/>
  <c r="DF13" i="17" s="1"/>
  <c r="DG13" i="17" s="1"/>
  <c r="DH13" i="17" s="1"/>
  <c r="DI13" i="17" s="1"/>
  <c r="DJ13" i="17" s="1"/>
  <c r="DK13" i="17" s="1"/>
  <c r="DL13" i="17" s="1"/>
  <c r="DM13" i="17" s="1"/>
  <c r="AN87" i="17"/>
  <c r="F68" i="5"/>
  <c r="AN33" i="17"/>
  <c r="AN46" i="17"/>
  <c r="AF273" i="17"/>
  <c r="AK273" i="17" s="1"/>
  <c r="AI273" i="17"/>
  <c r="CX182" i="17"/>
  <c r="AB182" i="17" s="1"/>
  <c r="CW202" i="17"/>
  <c r="CV137" i="17"/>
  <c r="AA79" i="17"/>
  <c r="AB79" i="17"/>
  <c r="CW76" i="17"/>
  <c r="AI46" i="17"/>
  <c r="AF46" i="17"/>
  <c r="AK46" i="17" s="1"/>
  <c r="AB196" i="17"/>
  <c r="AL196" i="17" s="1"/>
  <c r="AA196" i="17"/>
  <c r="AI169" i="17"/>
  <c r="AF169" i="17"/>
  <c r="AK169" i="17" s="1"/>
  <c r="CV131" i="17"/>
  <c r="AE194" i="17"/>
  <c r="AL194" i="17"/>
  <c r="AN194" i="17" s="1"/>
  <c r="AH228" i="17"/>
  <c r="AD228" i="17"/>
  <c r="AM228" i="17"/>
  <c r="AH57" i="17"/>
  <c r="AM57" i="17"/>
  <c r="AN57" i="17" s="1"/>
  <c r="AD57" i="17"/>
  <c r="AN54" i="17"/>
  <c r="AF49" i="17"/>
  <c r="AK49" i="17" s="1"/>
  <c r="DA178" i="17"/>
  <c r="AF87" i="17"/>
  <c r="AK87" i="17" s="1"/>
  <c r="AI87" i="17"/>
  <c r="AO120" i="17"/>
  <c r="AJ120" i="17"/>
  <c r="AR120" i="17" s="1"/>
  <c r="AS120" i="17"/>
  <c r="AS39" i="17"/>
  <c r="AO39" i="17"/>
  <c r="AJ39" i="17"/>
  <c r="AR39" i="17" s="1"/>
  <c r="AA91" i="17"/>
  <c r="AB91" i="17"/>
  <c r="AC91" i="17"/>
  <c r="DC9" i="17"/>
  <c r="DD9" i="17" s="1"/>
  <c r="DB6" i="17"/>
  <c r="DC6" i="17" s="1"/>
  <c r="DD6" i="17" s="1"/>
  <c r="DE6" i="17" s="1"/>
  <c r="DF6" i="17" s="1"/>
  <c r="DG6" i="17" s="1"/>
  <c r="DH6" i="17" s="1"/>
  <c r="DI6" i="17" s="1"/>
  <c r="DJ6" i="17" s="1"/>
  <c r="DK6" i="17" s="1"/>
  <c r="DL6" i="17" s="1"/>
  <c r="DM6" i="17" s="1"/>
  <c r="CY195" i="17"/>
  <c r="CY114" i="17"/>
  <c r="DC30" i="17"/>
  <c r="AC59" i="17"/>
  <c r="AB59" i="17"/>
  <c r="AB171" i="17"/>
  <c r="AL171" i="17" s="1"/>
  <c r="AA171" i="17"/>
  <c r="AC171" i="17"/>
  <c r="CV155" i="17"/>
  <c r="AI139" i="17"/>
  <c r="AF139" i="17"/>
  <c r="AK139" i="17" s="1"/>
  <c r="CZ134" i="17"/>
  <c r="CX147" i="17"/>
  <c r="DD108" i="17"/>
  <c r="AM59" i="17"/>
  <c r="AH59" i="17"/>
  <c r="AD59" i="17"/>
  <c r="AI49" i="17"/>
  <c r="AN49" i="17"/>
  <c r="AF33" i="17"/>
  <c r="AK33" i="17" s="1"/>
  <c r="AI33" i="17"/>
  <c r="CX43" i="17"/>
  <c r="DE150" i="17"/>
  <c r="DF150" i="17" s="1"/>
  <c r="DG150" i="17" s="1"/>
  <c r="CX56" i="17"/>
  <c r="AC56" i="17" s="1"/>
  <c r="CW185" i="17"/>
  <c r="CX185" i="17" s="1"/>
  <c r="CW188" i="17"/>
  <c r="DB32" i="17"/>
  <c r="DC32" i="17" s="1"/>
  <c r="AA32" i="17" s="1"/>
  <c r="CW97" i="17"/>
  <c r="DC84" i="17"/>
  <c r="AA84" i="17" s="1"/>
  <c r="AF42" i="17"/>
  <c r="AI42" i="17"/>
  <c r="AM190" i="17"/>
  <c r="AN190" i="17" s="1"/>
  <c r="AH190" i="17"/>
  <c r="AD190" i="17"/>
  <c r="CW80" i="17"/>
  <c r="AD90" i="17"/>
  <c r="AH90" i="17"/>
  <c r="AM90" i="17"/>
  <c r="AN90" i="17" s="1"/>
  <c r="AE190" i="17"/>
  <c r="DB38" i="17"/>
  <c r="DC38" i="17" s="1"/>
  <c r="DB96" i="17"/>
  <c r="DB45" i="17"/>
  <c r="DD101" i="17"/>
  <c r="CW104" i="17"/>
  <c r="CX104" i="17" s="1"/>
  <c r="CY143" i="17"/>
  <c r="CZ143" i="17" s="1"/>
  <c r="CT8" i="17"/>
  <c r="DC23" i="17"/>
  <c r="DD23" i="17" s="1"/>
  <c r="DE23" i="17" s="1"/>
  <c r="DF23" i="17" s="1"/>
  <c r="DG23" i="17" s="1"/>
  <c r="DH23" i="17" s="1"/>
  <c r="DI23" i="17" s="1"/>
  <c r="DJ23" i="17" s="1"/>
  <c r="DK23" i="17" s="1"/>
  <c r="DL23" i="17" s="1"/>
  <c r="DM23" i="17" s="1"/>
  <c r="AN129" i="17"/>
  <c r="AF215" i="17"/>
  <c r="AK215" i="17" s="1"/>
  <c r="AI215" i="17"/>
  <c r="AF106" i="17"/>
  <c r="AK106" i="17" s="1"/>
  <c r="AI106" i="17"/>
  <c r="AF54" i="17"/>
  <c r="AK54" i="17" s="1"/>
  <c r="AI54" i="17"/>
  <c r="CX48" i="17"/>
  <c r="AC48" i="17" s="1"/>
  <c r="CV199" i="17"/>
  <c r="CW199" i="17" s="1"/>
  <c r="CX199" i="17" s="1"/>
  <c r="CY199" i="17" s="1"/>
  <c r="DB21" i="17"/>
  <c r="CT15" i="17"/>
  <c r="DB19" i="17"/>
  <c r="DD198" i="17"/>
  <c r="CU81" i="17"/>
  <c r="CX17" i="17"/>
  <c r="DC89" i="17"/>
  <c r="CW60" i="17"/>
  <c r="CX60" i="17" s="1"/>
  <c r="AC60" i="17" s="1"/>
  <c r="DH67" i="17"/>
  <c r="AL41" i="17"/>
  <c r="AE41" i="17"/>
  <c r="AN102" i="17"/>
  <c r="AF102" i="17"/>
  <c r="AK102" i="17" s="1"/>
  <c r="AI102" i="17"/>
  <c r="CW22" i="17"/>
  <c r="AH41" i="17"/>
  <c r="AM41" i="17"/>
  <c r="AD41" i="17"/>
  <c r="CY20" i="17"/>
  <c r="AR135" i="17"/>
  <c r="AO135" i="17"/>
  <c r="AS135" i="17"/>
  <c r="AJ135" i="17"/>
  <c r="CU16" i="17"/>
  <c r="T6" i="14"/>
  <c r="R6" i="14" s="1"/>
  <c r="CY24" i="17"/>
  <c r="CY18" i="17"/>
  <c r="CX7" i="17"/>
  <c r="D27" i="20"/>
  <c r="E27" i="20" s="1"/>
  <c r="I26" i="20"/>
  <c r="L6" i="13"/>
  <c r="O6" i="13" s="1"/>
  <c r="AD270" i="17" l="1"/>
  <c r="AM270" i="17"/>
  <c r="AN270" i="17" s="1"/>
  <c r="AH270" i="17"/>
  <c r="AE270" i="17"/>
  <c r="AJ110" i="17"/>
  <c r="AR110" i="17" s="1"/>
  <c r="AO110" i="17"/>
  <c r="AS110" i="17"/>
  <c r="AI272" i="17"/>
  <c r="AS272" i="17" s="1"/>
  <c r="AF272" i="17"/>
  <c r="AK272" i="17" s="1"/>
  <c r="DH11" i="17"/>
  <c r="DF10" i="17"/>
  <c r="DF12" i="17"/>
  <c r="DE9" i="17"/>
  <c r="Q6" i="14"/>
  <c r="AO229" i="17"/>
  <c r="AS229" i="17"/>
  <c r="AJ229" i="17"/>
  <c r="AR229" i="17"/>
  <c r="AE239" i="17"/>
  <c r="AI245" i="17"/>
  <c r="AF245" i="17"/>
  <c r="AK245" i="17" s="1"/>
  <c r="CX277" i="17"/>
  <c r="AO157" i="17"/>
  <c r="AR157" i="17"/>
  <c r="AS157" i="17"/>
  <c r="AJ157" i="17"/>
  <c r="DH222" i="17"/>
  <c r="AA222" i="17" s="1"/>
  <c r="AH239" i="17"/>
  <c r="AM239" i="17"/>
  <c r="AN239" i="17" s="1"/>
  <c r="AD239" i="17"/>
  <c r="AM255" i="17"/>
  <c r="AH255" i="17"/>
  <c r="AD255" i="17"/>
  <c r="DC61" i="17"/>
  <c r="AE255" i="17"/>
  <c r="AL255" i="17"/>
  <c r="CZ248" i="17"/>
  <c r="AH258" i="17"/>
  <c r="AD258" i="17"/>
  <c r="AM258" i="17"/>
  <c r="AL258" i="17"/>
  <c r="AE258" i="17"/>
  <c r="AM128" i="17"/>
  <c r="AD128" i="17"/>
  <c r="AO246" i="17"/>
  <c r="AS246" i="17"/>
  <c r="AR246" i="17"/>
  <c r="AJ246" i="17"/>
  <c r="CZ264" i="17"/>
  <c r="AJ253" i="17"/>
  <c r="AR253" i="17" s="1"/>
  <c r="AS253" i="17"/>
  <c r="AO253" i="17"/>
  <c r="AO247" i="17"/>
  <c r="AS247" i="17"/>
  <c r="AR247" i="17"/>
  <c r="AJ247" i="17"/>
  <c r="AL128" i="17"/>
  <c r="AE128" i="17"/>
  <c r="AJ75" i="17"/>
  <c r="AO75" i="17"/>
  <c r="AS75" i="17"/>
  <c r="AR75" i="17"/>
  <c r="AO266" i="17"/>
  <c r="AS266" i="17"/>
  <c r="AJ266" i="17"/>
  <c r="AR266" i="17" s="1"/>
  <c r="DC78" i="17"/>
  <c r="DB34" i="17"/>
  <c r="AJ211" i="17"/>
  <c r="AR211" i="17" s="1"/>
  <c r="AS211" i="17"/>
  <c r="AO211" i="17"/>
  <c r="AC225" i="17"/>
  <c r="AA225" i="17"/>
  <c r="DA82" i="17"/>
  <c r="AS115" i="17"/>
  <c r="AO115" i="17"/>
  <c r="AJ115" i="17"/>
  <c r="AR115" i="17" s="1"/>
  <c r="AO172" i="17"/>
  <c r="AS172" i="17"/>
  <c r="AJ172" i="17"/>
  <c r="AR172" i="17" s="1"/>
  <c r="AE221" i="17"/>
  <c r="AN221" i="17"/>
  <c r="AM119" i="17"/>
  <c r="AH119" i="17"/>
  <c r="AD119" i="17"/>
  <c r="AE119" i="17"/>
  <c r="AL119" i="17"/>
  <c r="DC267" i="17"/>
  <c r="DB122" i="17"/>
  <c r="AA30" i="17"/>
  <c r="AC30" i="17"/>
  <c r="AB30" i="17"/>
  <c r="AO44" i="17"/>
  <c r="AR44" i="17"/>
  <c r="AJ44" i="17"/>
  <c r="AS44" i="17"/>
  <c r="AI192" i="17"/>
  <c r="AF192" i="17"/>
  <c r="AK192" i="17" s="1"/>
  <c r="AC31" i="17"/>
  <c r="AB31" i="17"/>
  <c r="AA31" i="17"/>
  <c r="AI220" i="17"/>
  <c r="AF220" i="17"/>
  <c r="AK220" i="17" s="1"/>
  <c r="AE183" i="17"/>
  <c r="AE58" i="17"/>
  <c r="AM58" i="17"/>
  <c r="AN58" i="17" s="1"/>
  <c r="AH58" i="17"/>
  <c r="AA173" i="17"/>
  <c r="AC173" i="17"/>
  <c r="AB173" i="17"/>
  <c r="AL173" i="17" s="1"/>
  <c r="AI140" i="17"/>
  <c r="AF140" i="17"/>
  <c r="AK140" i="17" s="1"/>
  <c r="AE197" i="17"/>
  <c r="AL197" i="17"/>
  <c r="AN197" i="17" s="1"/>
  <c r="DH156" i="17"/>
  <c r="AA111" i="17"/>
  <c r="AC111" i="17"/>
  <c r="AB111" i="17"/>
  <c r="AS88" i="17"/>
  <c r="AJ88" i="17"/>
  <c r="AR88" i="17" s="1"/>
  <c r="AO88" i="17"/>
  <c r="DC53" i="17"/>
  <c r="AC53" i="17" s="1"/>
  <c r="CW55" i="17"/>
  <c r="AB74" i="17"/>
  <c r="AL74" i="17" s="1"/>
  <c r="AC74" i="17"/>
  <c r="AA74" i="17"/>
  <c r="AA208" i="17"/>
  <c r="AB208" i="17"/>
  <c r="AL208" i="17" s="1"/>
  <c r="AC208" i="17"/>
  <c r="AI224" i="17"/>
  <c r="AF224" i="17"/>
  <c r="AK224" i="17" s="1"/>
  <c r="AS103" i="17"/>
  <c r="AO103" i="17"/>
  <c r="AR103" i="17"/>
  <c r="AJ103" i="17"/>
  <c r="AM210" i="17"/>
  <c r="AH210" i="17"/>
  <c r="AD210" i="17"/>
  <c r="AH183" i="17"/>
  <c r="AM183" i="17"/>
  <c r="AN183" i="17" s="1"/>
  <c r="AD183" i="17"/>
  <c r="AS36" i="17"/>
  <c r="AO36" i="17"/>
  <c r="AJ36" i="17"/>
  <c r="AR36" i="17" s="1"/>
  <c r="AO129" i="17"/>
  <c r="AS129" i="17"/>
  <c r="AR129" i="17"/>
  <c r="AJ129" i="17"/>
  <c r="AF219" i="17"/>
  <c r="AK219" i="17" s="1"/>
  <c r="AI219" i="17"/>
  <c r="DC223" i="17"/>
  <c r="AB223" i="17" s="1"/>
  <c r="CW132" i="17"/>
  <c r="CV124" i="17"/>
  <c r="CW124" i="17" s="1"/>
  <c r="CX124" i="17" s="1"/>
  <c r="DB125" i="17"/>
  <c r="AF57" i="17"/>
  <c r="AK57" i="17" s="1"/>
  <c r="AI57" i="17"/>
  <c r="DB238" i="17"/>
  <c r="CZ213" i="17"/>
  <c r="AE210" i="17"/>
  <c r="AL210" i="17"/>
  <c r="AM142" i="17"/>
  <c r="AN142" i="17" s="1"/>
  <c r="AD142" i="17"/>
  <c r="AH142" i="17"/>
  <c r="AE142" i="17"/>
  <c r="AN228" i="17"/>
  <c r="AS133" i="17"/>
  <c r="AR133" i="17"/>
  <c r="AJ133" i="17"/>
  <c r="AO133" i="17"/>
  <c r="AJ65" i="17"/>
  <c r="AR65" i="17" s="1"/>
  <c r="AS65" i="17"/>
  <c r="AO65" i="17"/>
  <c r="AC174" i="17"/>
  <c r="AA174" i="17"/>
  <c r="AB174" i="17"/>
  <c r="AL174" i="17" s="1"/>
  <c r="DC83" i="17"/>
  <c r="AA83" i="17" s="1"/>
  <c r="CY200" i="17"/>
  <c r="AS261" i="17"/>
  <c r="AJ261" i="17"/>
  <c r="AR261" i="17" s="1"/>
  <c r="AO261" i="17"/>
  <c r="CX94" i="17"/>
  <c r="AC94" i="17" s="1"/>
  <c r="DG181" i="17"/>
  <c r="DC209" i="17"/>
  <c r="AC13" i="17"/>
  <c r="AA13" i="17"/>
  <c r="AB13" i="17"/>
  <c r="AA182" i="17"/>
  <c r="AC182" i="17"/>
  <c r="CX202" i="17"/>
  <c r="CY202" i="17" s="1"/>
  <c r="CZ202" i="17" s="1"/>
  <c r="DA202" i="17" s="1"/>
  <c r="CX76" i="17"/>
  <c r="AS46" i="17"/>
  <c r="AJ46" i="17"/>
  <c r="AR46" i="17" s="1"/>
  <c r="AO46" i="17"/>
  <c r="AR87" i="17"/>
  <c r="AO87" i="17"/>
  <c r="AJ87" i="17"/>
  <c r="AS87" i="17"/>
  <c r="CZ114" i="17"/>
  <c r="AM171" i="17"/>
  <c r="AN171" i="17" s="1"/>
  <c r="AD171" i="17"/>
  <c r="AH171" i="17"/>
  <c r="AJ49" i="17"/>
  <c r="AR49" i="17" s="1"/>
  <c r="AS49" i="17"/>
  <c r="AO49" i="17"/>
  <c r="AS86" i="17"/>
  <c r="AR86" i="17"/>
  <c r="AO86" i="17"/>
  <c r="AJ86" i="17"/>
  <c r="AR273" i="17"/>
  <c r="AO273" i="17"/>
  <c r="AS273" i="17"/>
  <c r="AJ273" i="17"/>
  <c r="AL182" i="17"/>
  <c r="CW137" i="17"/>
  <c r="AD79" i="17"/>
  <c r="AH79" i="17"/>
  <c r="AM79" i="17"/>
  <c r="AL79" i="17"/>
  <c r="AE79" i="17"/>
  <c r="AM196" i="17"/>
  <c r="AN196" i="17" s="1"/>
  <c r="AD196" i="17"/>
  <c r="AH196" i="17"/>
  <c r="AE196" i="17"/>
  <c r="AN41" i="17"/>
  <c r="AE171" i="17"/>
  <c r="CW131" i="17"/>
  <c r="AA6" i="17"/>
  <c r="AC6" i="17"/>
  <c r="AB6" i="17"/>
  <c r="CZ195" i="17"/>
  <c r="AS33" i="17"/>
  <c r="AJ33" i="17"/>
  <c r="AR33" i="17" s="1"/>
  <c r="AO33" i="17"/>
  <c r="AC43" i="17"/>
  <c r="AA43" i="17"/>
  <c r="AB43" i="17"/>
  <c r="AA56" i="17"/>
  <c r="AB56" i="17"/>
  <c r="AJ169" i="17"/>
  <c r="AR169" i="17" s="1"/>
  <c r="AO169" i="17"/>
  <c r="AS169" i="17"/>
  <c r="AF194" i="17"/>
  <c r="AK194" i="17" s="1"/>
  <c r="AI194" i="17"/>
  <c r="AI228" i="17"/>
  <c r="AF228" i="17"/>
  <c r="AK228" i="17" s="1"/>
  <c r="DB178" i="17"/>
  <c r="AH91" i="17"/>
  <c r="AM91" i="17"/>
  <c r="AD91" i="17"/>
  <c r="CW155" i="17"/>
  <c r="AB32" i="17"/>
  <c r="AL32" i="17" s="1"/>
  <c r="AE91" i="17"/>
  <c r="AL91" i="17"/>
  <c r="AL59" i="17"/>
  <c r="AN59" i="17" s="1"/>
  <c r="AE59" i="17"/>
  <c r="CY147" i="17"/>
  <c r="AC84" i="17"/>
  <c r="AB84" i="17"/>
  <c r="DC45" i="17"/>
  <c r="AB45" i="17" s="1"/>
  <c r="DD89" i="17"/>
  <c r="AJ139" i="17"/>
  <c r="AR139" i="17" s="1"/>
  <c r="AO139" i="17"/>
  <c r="AS139" i="17"/>
  <c r="DA134" i="17"/>
  <c r="DE108" i="17"/>
  <c r="CX188" i="17"/>
  <c r="CX97" i="17"/>
  <c r="AC32" i="17"/>
  <c r="G68" i="5"/>
  <c r="AB185" i="17"/>
  <c r="AL185" i="17" s="1"/>
  <c r="AC185" i="17"/>
  <c r="AA185" i="17"/>
  <c r="AD84" i="17"/>
  <c r="AM84" i="17"/>
  <c r="AH84" i="17"/>
  <c r="AI190" i="17"/>
  <c r="AF190" i="17"/>
  <c r="AK190" i="17" s="1"/>
  <c r="DH150" i="17"/>
  <c r="CX80" i="17"/>
  <c r="AA80" i="17" s="1"/>
  <c r="DC96" i="17"/>
  <c r="DE101" i="17"/>
  <c r="CU8" i="17"/>
  <c r="CV8" i="17" s="1"/>
  <c r="CW8" i="17" s="1"/>
  <c r="CX8" i="17" s="1"/>
  <c r="DC21" i="17"/>
  <c r="DD21" i="17" s="1"/>
  <c r="DE21" i="17" s="1"/>
  <c r="DF21" i="17" s="1"/>
  <c r="DG21" i="17" s="1"/>
  <c r="DH21" i="17" s="1"/>
  <c r="DI21" i="17" s="1"/>
  <c r="DJ21" i="17" s="1"/>
  <c r="DK21" i="17" s="1"/>
  <c r="DL21" i="17" s="1"/>
  <c r="DM21" i="17" s="1"/>
  <c r="CY17" i="17"/>
  <c r="AO42" i="17"/>
  <c r="AJ42" i="17"/>
  <c r="AS42" i="17"/>
  <c r="AR42" i="17"/>
  <c r="DD38" i="17"/>
  <c r="CY104" i="17"/>
  <c r="AD32" i="17"/>
  <c r="AM32" i="17"/>
  <c r="AH32" i="17"/>
  <c r="AK42" i="17"/>
  <c r="D68" i="5"/>
  <c r="E68" i="5" s="1"/>
  <c r="AI90" i="17"/>
  <c r="AF90" i="17"/>
  <c r="AK90" i="17" s="1"/>
  <c r="DA143" i="17"/>
  <c r="DB143" i="17" s="1"/>
  <c r="DC143" i="17" s="1"/>
  <c r="AB23" i="17"/>
  <c r="AL23" i="17" s="1"/>
  <c r="AC23" i="17"/>
  <c r="AA23" i="17"/>
  <c r="AA48" i="17"/>
  <c r="AB48" i="17"/>
  <c r="CU15" i="17"/>
  <c r="DC19" i="17"/>
  <c r="DD19" i="17" s="1"/>
  <c r="CV81" i="17"/>
  <c r="CZ20" i="17"/>
  <c r="AS215" i="17"/>
  <c r="AR215" i="17"/>
  <c r="AO215" i="17"/>
  <c r="AJ215" i="17"/>
  <c r="AS106" i="17"/>
  <c r="AO106" i="17"/>
  <c r="AJ106" i="17"/>
  <c r="AR106" i="17" s="1"/>
  <c r="DE198" i="17"/>
  <c r="AB60" i="17"/>
  <c r="AA60" i="17"/>
  <c r="AS54" i="17"/>
  <c r="AR54" i="17"/>
  <c r="AO54" i="17"/>
  <c r="AJ54" i="17"/>
  <c r="AB67" i="17"/>
  <c r="AC67" i="17"/>
  <c r="AA67" i="17"/>
  <c r="CZ199" i="17"/>
  <c r="DA199" i="17" s="1"/>
  <c r="CX22" i="17"/>
  <c r="CY22" i="17" s="1"/>
  <c r="CZ22" i="17" s="1"/>
  <c r="DA22" i="17" s="1"/>
  <c r="DB22" i="17" s="1"/>
  <c r="U6" i="14"/>
  <c r="B7" i="14"/>
  <c r="C7" i="14" s="1" a="1"/>
  <c r="AR102" i="17"/>
  <c r="AS102" i="17"/>
  <c r="AO102" i="17"/>
  <c r="AJ102" i="17"/>
  <c r="AI41" i="17"/>
  <c r="AF41" i="17"/>
  <c r="CZ24" i="17"/>
  <c r="DA24" i="17" s="1"/>
  <c r="CZ18" i="17"/>
  <c r="CV16" i="17"/>
  <c r="CY7" i="17"/>
  <c r="G27" i="20"/>
  <c r="H27" i="20" s="1"/>
  <c r="M6" i="13"/>
  <c r="G7" i="13"/>
  <c r="N6" i="13"/>
  <c r="AN258" i="17" l="1"/>
  <c r="AF270" i="17"/>
  <c r="AK270" i="17" s="1"/>
  <c r="AI270" i="17"/>
  <c r="AJ272" i="17"/>
  <c r="AR272" i="17" s="1"/>
  <c r="AO272" i="17"/>
  <c r="DI11" i="17"/>
  <c r="DG10" i="17"/>
  <c r="DG12" i="17"/>
  <c r="DH12" i="17" s="1"/>
  <c r="DI12" i="17" s="1"/>
  <c r="DF9" i="17"/>
  <c r="DE19" i="17"/>
  <c r="AN79" i="17"/>
  <c r="AJ245" i="17"/>
  <c r="AO245" i="17"/>
  <c r="AR245" i="17"/>
  <c r="AS245" i="17"/>
  <c r="AN255" i="17"/>
  <c r="AI255" i="17"/>
  <c r="AF255" i="17"/>
  <c r="AK255" i="17" s="1"/>
  <c r="AE182" i="17"/>
  <c r="AA277" i="17"/>
  <c r="AC277" i="17"/>
  <c r="AB277" i="17"/>
  <c r="AL277" i="17" s="1"/>
  <c r="AC222" i="17"/>
  <c r="AB222" i="17"/>
  <c r="AL222" i="17" s="1"/>
  <c r="AM222" i="17"/>
  <c r="AD222" i="17"/>
  <c r="AH222" i="17"/>
  <c r="AF239" i="17"/>
  <c r="AK239" i="17" s="1"/>
  <c r="AI239" i="17"/>
  <c r="AI258" i="17"/>
  <c r="AA45" i="17"/>
  <c r="AC45" i="17"/>
  <c r="AC61" i="17"/>
  <c r="AA61" i="17"/>
  <c r="AB61" i="17"/>
  <c r="DA248" i="17"/>
  <c r="AN128" i="17"/>
  <c r="AF258" i="17"/>
  <c r="AK258" i="17" s="1"/>
  <c r="DA264" i="17"/>
  <c r="DC34" i="17"/>
  <c r="AF128" i="17"/>
  <c r="AK128" i="17" s="1"/>
  <c r="AI128" i="17"/>
  <c r="AC78" i="17"/>
  <c r="AB78" i="17"/>
  <c r="AL78" i="17" s="1"/>
  <c r="AA78" i="17"/>
  <c r="AF221" i="17"/>
  <c r="AK221" i="17" s="1"/>
  <c r="AI221" i="17"/>
  <c r="AA156" i="17"/>
  <c r="AC156" i="17"/>
  <c r="AB156" i="17"/>
  <c r="AB188" i="17"/>
  <c r="AL188" i="17" s="1"/>
  <c r="AC188" i="17"/>
  <c r="AA188" i="17"/>
  <c r="AE225" i="17"/>
  <c r="AN119" i="17"/>
  <c r="AH225" i="17"/>
  <c r="AD225" i="17"/>
  <c r="AM225" i="17"/>
  <c r="AN225" i="17" s="1"/>
  <c r="DB82" i="17"/>
  <c r="AC209" i="17"/>
  <c r="AB209" i="17"/>
  <c r="AL209" i="17" s="1"/>
  <c r="AA209" i="17"/>
  <c r="AN91" i="17"/>
  <c r="AE208" i="17"/>
  <c r="DH181" i="17"/>
  <c r="AI119" i="17"/>
  <c r="AF119" i="17"/>
  <c r="AK119" i="17" s="1"/>
  <c r="AB267" i="17"/>
  <c r="AL267" i="17" s="1"/>
  <c r="AA267" i="17"/>
  <c r="AC267" i="17"/>
  <c r="DC122" i="17"/>
  <c r="AA122" i="17" s="1"/>
  <c r="AH30" i="17"/>
  <c r="AM30" i="17"/>
  <c r="AD30" i="17"/>
  <c r="CX132" i="17"/>
  <c r="AB132" i="17" s="1"/>
  <c r="AE74" i="17"/>
  <c r="AL30" i="17"/>
  <c r="AE30" i="17"/>
  <c r="AJ192" i="17"/>
  <c r="AS192" i="17"/>
  <c r="AR192" i="17"/>
  <c r="AO192" i="17"/>
  <c r="AL31" i="17"/>
  <c r="AE31" i="17"/>
  <c r="AD31" i="17"/>
  <c r="AM31" i="17"/>
  <c r="AH31" i="17"/>
  <c r="AH173" i="17"/>
  <c r="AM173" i="17"/>
  <c r="AN173" i="17" s="1"/>
  <c r="AD173" i="17"/>
  <c r="AD111" i="17"/>
  <c r="AM111" i="17"/>
  <c r="AH111" i="17"/>
  <c r="AB53" i="17"/>
  <c r="AL53" i="17" s="1"/>
  <c r="AA53" i="17"/>
  <c r="CX55" i="17"/>
  <c r="AJ220" i="17"/>
  <c r="AR220" i="17" s="1"/>
  <c r="AO220" i="17"/>
  <c r="AS220" i="17"/>
  <c r="AE173" i="17"/>
  <c r="AF58" i="17"/>
  <c r="AK58" i="17" s="1"/>
  <c r="AI58" i="17"/>
  <c r="AJ140" i="17"/>
  <c r="AR140" i="17" s="1"/>
  <c r="AO140" i="17"/>
  <c r="AS140" i="17"/>
  <c r="AI197" i="17"/>
  <c r="AF197" i="17"/>
  <c r="AK197" i="17" s="1"/>
  <c r="AL111" i="17"/>
  <c r="AE111" i="17"/>
  <c r="AD74" i="17"/>
  <c r="AH74" i="17"/>
  <c r="AM74" i="17"/>
  <c r="AN74" i="17" s="1"/>
  <c r="AM208" i="17"/>
  <c r="AN208" i="17" s="1"/>
  <c r="AD208" i="17"/>
  <c r="AH208" i="17"/>
  <c r="AN210" i="17"/>
  <c r="AJ224" i="17"/>
  <c r="AS224" i="17"/>
  <c r="AR224" i="17"/>
  <c r="AO224" i="17"/>
  <c r="AI210" i="17"/>
  <c r="AF210" i="17"/>
  <c r="AK210" i="17" s="1"/>
  <c r="AI183" i="17"/>
  <c r="AF183" i="17"/>
  <c r="AK183" i="17" s="1"/>
  <c r="AA223" i="17"/>
  <c r="AC223" i="17"/>
  <c r="AA124" i="17"/>
  <c r="AC124" i="17"/>
  <c r="AB124" i="17"/>
  <c r="DA213" i="17"/>
  <c r="AJ219" i="17"/>
  <c r="AO219" i="17"/>
  <c r="AS219" i="17"/>
  <c r="AR219" i="17"/>
  <c r="AL223" i="17"/>
  <c r="DC125" i="17"/>
  <c r="AJ57" i="17"/>
  <c r="AR57" i="17" s="1"/>
  <c r="AS57" i="17"/>
  <c r="AO57" i="17"/>
  <c r="AC83" i="17"/>
  <c r="AB83" i="17"/>
  <c r="CZ200" i="17"/>
  <c r="DA200" i="17" s="1"/>
  <c r="DB200" i="17" s="1"/>
  <c r="DC200" i="17" s="1"/>
  <c r="AA94" i="17"/>
  <c r="AB94" i="17"/>
  <c r="DA195" i="17"/>
  <c r="DE89" i="17"/>
  <c r="AF142" i="17"/>
  <c r="AK142" i="17" s="1"/>
  <c r="AI142" i="17"/>
  <c r="DC238" i="17"/>
  <c r="AB238" i="17" s="1"/>
  <c r="AE174" i="17"/>
  <c r="AH174" i="17"/>
  <c r="AD174" i="17"/>
  <c r="AM174" i="17"/>
  <c r="AN174" i="17" s="1"/>
  <c r="AD83" i="17"/>
  <c r="AM83" i="17"/>
  <c r="AH83" i="17"/>
  <c r="AH182" i="17"/>
  <c r="AM182" i="17"/>
  <c r="AN182" i="17" s="1"/>
  <c r="AD182" i="17"/>
  <c r="DB202" i="17"/>
  <c r="AC76" i="17"/>
  <c r="AB76" i="17"/>
  <c r="AA76" i="17"/>
  <c r="DA114" i="17"/>
  <c r="AF171" i="17"/>
  <c r="AK171" i="17" s="1"/>
  <c r="AI171" i="17"/>
  <c r="CX131" i="17"/>
  <c r="AB131" i="17" s="1"/>
  <c r="AD6" i="17"/>
  <c r="AM6" i="17"/>
  <c r="AE6" i="17"/>
  <c r="AL6" i="17"/>
  <c r="AE13" i="17"/>
  <c r="AL13" i="17"/>
  <c r="AD13" i="17"/>
  <c r="AM13" i="17"/>
  <c r="CX137" i="17"/>
  <c r="DF101" i="17"/>
  <c r="AI79" i="17"/>
  <c r="AF79" i="17"/>
  <c r="AK79" i="17" s="1"/>
  <c r="AI196" i="17"/>
  <c r="AF196" i="17"/>
  <c r="AK196" i="17" s="1"/>
  <c r="AE32" i="17"/>
  <c r="AH43" i="17"/>
  <c r="AM43" i="17"/>
  <c r="AD43" i="17"/>
  <c r="AL43" i="17"/>
  <c r="AE43" i="17"/>
  <c r="AH56" i="17"/>
  <c r="AD56" i="17"/>
  <c r="AM56" i="17"/>
  <c r="AE56" i="17"/>
  <c r="AL56" i="17"/>
  <c r="DC178" i="17"/>
  <c r="AI91" i="17"/>
  <c r="AF91" i="17"/>
  <c r="AK91" i="17" s="1"/>
  <c r="CX155" i="17"/>
  <c r="AB155" i="17" s="1"/>
  <c r="CZ147" i="17"/>
  <c r="AL84" i="17"/>
  <c r="AN84" i="17" s="1"/>
  <c r="AE84" i="17"/>
  <c r="AB80" i="17"/>
  <c r="AL80" i="17" s="1"/>
  <c r="AC80" i="17"/>
  <c r="AA21" i="17"/>
  <c r="AB21" i="17"/>
  <c r="AC21" i="17"/>
  <c r="AJ194" i="17"/>
  <c r="AR194" i="17" s="1"/>
  <c r="AO194" i="17"/>
  <c r="AS194" i="17"/>
  <c r="AS228" i="17"/>
  <c r="AO228" i="17"/>
  <c r="AJ228" i="17"/>
  <c r="AR228" i="17" s="1"/>
  <c r="AF59" i="17"/>
  <c r="AK59" i="17" s="1"/>
  <c r="AI59" i="17"/>
  <c r="AL45" i="17"/>
  <c r="DF108" i="17"/>
  <c r="CY97" i="17"/>
  <c r="AJ190" i="17"/>
  <c r="AR190" i="17" s="1"/>
  <c r="AO190" i="17"/>
  <c r="AS190" i="17"/>
  <c r="AB150" i="17"/>
  <c r="AA150" i="17"/>
  <c r="AC150" i="17"/>
  <c r="AA96" i="17"/>
  <c r="AB96" i="17"/>
  <c r="AC96" i="17"/>
  <c r="CZ17" i="17"/>
  <c r="DB24" i="17"/>
  <c r="DB134" i="17"/>
  <c r="AD185" i="17"/>
  <c r="AH185" i="17"/>
  <c r="AM185" i="17"/>
  <c r="AN185" i="17" s="1"/>
  <c r="AD80" i="17"/>
  <c r="AH80" i="17"/>
  <c r="AM80" i="17"/>
  <c r="AE185" i="17"/>
  <c r="I68" i="5"/>
  <c r="J68" i="5" s="1"/>
  <c r="AN32" i="17"/>
  <c r="AE23" i="17"/>
  <c r="H68" i="5"/>
  <c r="DE38" i="17"/>
  <c r="CZ104" i="17"/>
  <c r="DA104" i="17" s="1"/>
  <c r="DB104" i="17" s="1"/>
  <c r="CV15" i="17"/>
  <c r="CW81" i="17"/>
  <c r="DA20" i="17"/>
  <c r="AE67" i="17"/>
  <c r="AL67" i="17"/>
  <c r="CY8" i="17"/>
  <c r="AM23" i="17"/>
  <c r="AN23" i="17" s="1"/>
  <c r="AD23" i="17"/>
  <c r="AD48" i="17"/>
  <c r="AM48" i="17"/>
  <c r="AH48" i="17"/>
  <c r="AL48" i="17"/>
  <c r="AE48" i="17"/>
  <c r="AR90" i="17"/>
  <c r="AJ90" i="17"/>
  <c r="AO90" i="17"/>
  <c r="AS90" i="17"/>
  <c r="DD143" i="17"/>
  <c r="DF198" i="17"/>
  <c r="DB199" i="17"/>
  <c r="K7" i="14"/>
  <c r="I7" i="14"/>
  <c r="K7" i="19"/>
  <c r="AE60" i="17"/>
  <c r="AL60" i="17"/>
  <c r="AH60" i="17"/>
  <c r="AM60" i="17"/>
  <c r="AD60" i="17"/>
  <c r="AD67" i="17"/>
  <c r="AM67" i="17"/>
  <c r="AH67" i="17"/>
  <c r="O7" i="14"/>
  <c r="P7" i="14" s="1"/>
  <c r="D7" i="14"/>
  <c r="DC22" i="17"/>
  <c r="DD22" i="17" s="1"/>
  <c r="DA18" i="17"/>
  <c r="AJ41" i="17"/>
  <c r="AR41" i="17"/>
  <c r="AO41" i="17"/>
  <c r="AS41" i="17"/>
  <c r="AK41" i="17"/>
  <c r="CW16" i="17"/>
  <c r="CZ7" i="17"/>
  <c r="I7" i="13"/>
  <c r="J7" i="13" s="1"/>
  <c r="K7" i="13" s="1"/>
  <c r="I27" i="20"/>
  <c r="B28" i="20"/>
  <c r="L68" i="5" l="1"/>
  <c r="AN48" i="17"/>
  <c r="AJ270" i="17"/>
  <c r="AR270" i="17" s="1"/>
  <c r="AS270" i="17"/>
  <c r="AO270" i="17"/>
  <c r="DJ11" i="17"/>
  <c r="DH10" i="17"/>
  <c r="DJ12" i="17"/>
  <c r="DK12" i="17" s="1"/>
  <c r="DG9" i="17"/>
  <c r="DH9" i="17" s="1"/>
  <c r="DL12" i="17"/>
  <c r="DI9" i="17"/>
  <c r="DF19" i="17"/>
  <c r="DE22" i="17"/>
  <c r="AS255" i="17"/>
  <c r="AJ255" i="17"/>
  <c r="AR255" i="17" s="1"/>
  <c r="AO255" i="17"/>
  <c r="AE277" i="17"/>
  <c r="AE45" i="17"/>
  <c r="AE222" i="17"/>
  <c r="AM277" i="17"/>
  <c r="AN277" i="17" s="1"/>
  <c r="AD277" i="17"/>
  <c r="AH277" i="17"/>
  <c r="AN222" i="17"/>
  <c r="AJ258" i="17"/>
  <c r="AS258" i="17"/>
  <c r="AO258" i="17"/>
  <c r="AR258" i="17"/>
  <c r="AS239" i="17"/>
  <c r="AJ239" i="17"/>
  <c r="AR239" i="17" s="1"/>
  <c r="AO239" i="17"/>
  <c r="AH45" i="17"/>
  <c r="AM45" i="17"/>
  <c r="AN45" i="17" s="1"/>
  <c r="AD45" i="17"/>
  <c r="AD61" i="17"/>
  <c r="AM61" i="17"/>
  <c r="AH61" i="17"/>
  <c r="AE61" i="17"/>
  <c r="AL61" i="17"/>
  <c r="DB248" i="17"/>
  <c r="AE267" i="17"/>
  <c r="AJ128" i="17"/>
  <c r="AR128" i="17" s="1"/>
  <c r="AO128" i="17"/>
  <c r="AS128" i="17"/>
  <c r="AA34" i="17"/>
  <c r="AB34" i="17"/>
  <c r="AC34" i="17"/>
  <c r="AI225" i="17"/>
  <c r="AF225" i="17"/>
  <c r="AK225" i="17" s="1"/>
  <c r="DB264" i="17"/>
  <c r="DC264" i="17" s="1"/>
  <c r="AE188" i="17"/>
  <c r="AB181" i="17"/>
  <c r="AL181" i="17" s="1"/>
  <c r="AA181" i="17"/>
  <c r="AD181" i="17" s="1"/>
  <c r="AC181" i="17"/>
  <c r="AI208" i="17"/>
  <c r="AO221" i="17"/>
  <c r="AS221" i="17"/>
  <c r="AJ221" i="17"/>
  <c r="AR221" i="17" s="1"/>
  <c r="AD156" i="17"/>
  <c r="AH156" i="17"/>
  <c r="AM156" i="17"/>
  <c r="AD78" i="17"/>
  <c r="AH78" i="17"/>
  <c r="AM78" i="17"/>
  <c r="AN78" i="17" s="1"/>
  <c r="AN31" i="17"/>
  <c r="AF208" i="17"/>
  <c r="AK208" i="17" s="1"/>
  <c r="AE78" i="17"/>
  <c r="AE209" i="17"/>
  <c r="AL156" i="17"/>
  <c r="AE156" i="17"/>
  <c r="AM188" i="17"/>
  <c r="AN188" i="17" s="1"/>
  <c r="AH188" i="17"/>
  <c r="AD188" i="17"/>
  <c r="DC82" i="17"/>
  <c r="AB82" i="17" s="1"/>
  <c r="AM209" i="17"/>
  <c r="AN209" i="17" s="1"/>
  <c r="AD209" i="17"/>
  <c r="AH209" i="17"/>
  <c r="AI30" i="17"/>
  <c r="AF30" i="17"/>
  <c r="AK30" i="17" s="1"/>
  <c r="AE80" i="17"/>
  <c r="AC122" i="17"/>
  <c r="AB122" i="17"/>
  <c r="AL122" i="17" s="1"/>
  <c r="AC132" i="17"/>
  <c r="AA132" i="17"/>
  <c r="AE53" i="17"/>
  <c r="AM53" i="17"/>
  <c r="AN53" i="17" s="1"/>
  <c r="AD53" i="17"/>
  <c r="AH53" i="17"/>
  <c r="AS119" i="17"/>
  <c r="AR119" i="17"/>
  <c r="AO119" i="17"/>
  <c r="AJ119" i="17"/>
  <c r="AD267" i="17"/>
  <c r="AH267" i="17"/>
  <c r="AM267" i="17"/>
  <c r="AN267" i="17" s="1"/>
  <c r="AM122" i="17"/>
  <c r="AH122" i="17"/>
  <c r="AD122" i="17"/>
  <c r="AN30" i="17"/>
  <c r="AF23" i="17"/>
  <c r="B52" i="7" s="1"/>
  <c r="AL132" i="17"/>
  <c r="AC137" i="17"/>
  <c r="AA137" i="17"/>
  <c r="AB137" i="17"/>
  <c r="AN111" i="17"/>
  <c r="AF74" i="17"/>
  <c r="AK74" i="17" s="1"/>
  <c r="AI74" i="17"/>
  <c r="AI31" i="17"/>
  <c r="AF31" i="17"/>
  <c r="AK31" i="17" s="1"/>
  <c r="AI111" i="17"/>
  <c r="AF111" i="17"/>
  <c r="AK111" i="17" s="1"/>
  <c r="AC55" i="17"/>
  <c r="AB55" i="17"/>
  <c r="AL55" i="17" s="1"/>
  <c r="AA55" i="17"/>
  <c r="AA155" i="17"/>
  <c r="AC155" i="17"/>
  <c r="AF173" i="17"/>
  <c r="AK173" i="17" s="1"/>
  <c r="AI173" i="17"/>
  <c r="AJ58" i="17"/>
  <c r="AR58" i="17" s="1"/>
  <c r="AO58" i="17"/>
  <c r="AS58" i="17"/>
  <c r="AS197" i="17"/>
  <c r="AO197" i="17"/>
  <c r="AJ197" i="17"/>
  <c r="AR197" i="17" s="1"/>
  <c r="DB213" i="17"/>
  <c r="AE223" i="17"/>
  <c r="AN6" i="17"/>
  <c r="AN56" i="17"/>
  <c r="AJ210" i="17"/>
  <c r="AR210" i="17"/>
  <c r="AS210" i="17"/>
  <c r="AO210" i="17"/>
  <c r="AO183" i="17"/>
  <c r="AS183" i="17"/>
  <c r="AJ183" i="17"/>
  <c r="AR183" i="17" s="1"/>
  <c r="AM94" i="17"/>
  <c r="AH94" i="17"/>
  <c r="AD94" i="17"/>
  <c r="DB195" i="17"/>
  <c r="DC195" i="17" s="1"/>
  <c r="AM223" i="17"/>
  <c r="AN223" i="17" s="1"/>
  <c r="AD223" i="17"/>
  <c r="AH223" i="17"/>
  <c r="AH124" i="17"/>
  <c r="AD124" i="17"/>
  <c r="AM124" i="17"/>
  <c r="AL124" i="17"/>
  <c r="AE124" i="17"/>
  <c r="AC125" i="17"/>
  <c r="AB125" i="17"/>
  <c r="AA125" i="17"/>
  <c r="DF89" i="17"/>
  <c r="AA200" i="17"/>
  <c r="AC200" i="17"/>
  <c r="AB200" i="17"/>
  <c r="AF182" i="17"/>
  <c r="AK182" i="17" s="1"/>
  <c r="AI182" i="17"/>
  <c r="AJ182" i="17" s="1"/>
  <c r="AR182" i="17" s="1"/>
  <c r="AC131" i="17"/>
  <c r="AA131" i="17"/>
  <c r="AF48" i="17"/>
  <c r="AK48" i="17" s="1"/>
  <c r="AI48" i="17"/>
  <c r="AF6" i="17"/>
  <c r="AL83" i="17"/>
  <c r="AN83" i="17" s="1"/>
  <c r="AE83" i="17"/>
  <c r="AL94" i="17"/>
  <c r="AE94" i="17"/>
  <c r="AC238" i="17"/>
  <c r="AA238" i="17"/>
  <c r="AF174" i="17"/>
  <c r="AK174" i="17" s="1"/>
  <c r="AI174" i="17"/>
  <c r="DC202" i="17"/>
  <c r="DB114" i="17"/>
  <c r="DF38" i="17"/>
  <c r="AJ142" i="17"/>
  <c r="AR142" i="17" s="1"/>
  <c r="AS142" i="17"/>
  <c r="AO142" i="17"/>
  <c r="AL238" i="17"/>
  <c r="AL76" i="17"/>
  <c r="AE76" i="17"/>
  <c r="AH76" i="17"/>
  <c r="AM76" i="17"/>
  <c r="AD76" i="17"/>
  <c r="AL131" i="17"/>
  <c r="AN43" i="17"/>
  <c r="AN80" i="17"/>
  <c r="AJ171" i="17"/>
  <c r="AR171" i="17" s="1"/>
  <c r="AO171" i="17"/>
  <c r="AS171" i="17"/>
  <c r="DG101" i="17"/>
  <c r="AA178" i="17"/>
  <c r="AH178" i="17" s="1"/>
  <c r="AC178" i="17"/>
  <c r="AB178" i="17"/>
  <c r="AF13" i="17"/>
  <c r="AN13" i="17"/>
  <c r="DA147" i="17"/>
  <c r="CZ97" i="17"/>
  <c r="DA97" i="17" s="1"/>
  <c r="AJ79" i="17"/>
  <c r="AR79" i="17" s="1"/>
  <c r="AS79" i="17"/>
  <c r="AO79" i="17"/>
  <c r="AJ196" i="17"/>
  <c r="AR196" i="17" s="1"/>
  <c r="AO196" i="17"/>
  <c r="AS196" i="17"/>
  <c r="AM21" i="17"/>
  <c r="AD21" i="17"/>
  <c r="AL21" i="17"/>
  <c r="AE21" i="17"/>
  <c r="AI32" i="17"/>
  <c r="AF32" i="17"/>
  <c r="AF43" i="17"/>
  <c r="AI43" i="17"/>
  <c r="AI56" i="17"/>
  <c r="AF56" i="17"/>
  <c r="AK56" i="17" s="1"/>
  <c r="AS91" i="17"/>
  <c r="AJ91" i="17"/>
  <c r="AR91" i="17" s="1"/>
  <c r="AO91" i="17"/>
  <c r="AL155" i="17"/>
  <c r="AF84" i="17"/>
  <c r="AK84" i="17" s="1"/>
  <c r="AI84" i="17"/>
  <c r="DG108" i="17"/>
  <c r="AM96" i="17"/>
  <c r="AD96" i="17"/>
  <c r="AH96" i="17"/>
  <c r="DA17" i="17"/>
  <c r="DG198" i="17"/>
  <c r="AS59" i="17"/>
  <c r="AJ59" i="17"/>
  <c r="AR59" i="17"/>
  <c r="AO59" i="17"/>
  <c r="AE96" i="17"/>
  <c r="AL96" i="17"/>
  <c r="DC24" i="17"/>
  <c r="DD24" i="17" s="1"/>
  <c r="DE24" i="17" s="1"/>
  <c r="DF24" i="17" s="1"/>
  <c r="DG24" i="17" s="1"/>
  <c r="DH24" i="17" s="1"/>
  <c r="DI24" i="17" s="1"/>
  <c r="DJ24" i="17" s="1"/>
  <c r="DK24" i="17" s="1"/>
  <c r="DL24" i="17" s="1"/>
  <c r="DM24" i="17" s="1"/>
  <c r="AE150" i="17"/>
  <c r="AL150" i="17"/>
  <c r="AM150" i="17"/>
  <c r="AH150" i="17"/>
  <c r="AD150" i="17"/>
  <c r="CX81" i="17"/>
  <c r="AB81" i="17" s="1"/>
  <c r="DC134" i="17"/>
  <c r="DC104" i="17"/>
  <c r="AB104" i="17" s="1"/>
  <c r="AL104" i="17" s="1"/>
  <c r="CW15" i="17"/>
  <c r="DB20" i="17"/>
  <c r="AN60" i="17"/>
  <c r="AN67" i="17"/>
  <c r="AI185" i="17"/>
  <c r="AF185" i="17"/>
  <c r="CZ8" i="17"/>
  <c r="DE143" i="17"/>
  <c r="S7" i="14"/>
  <c r="G7" i="14"/>
  <c r="F7" i="14"/>
  <c r="DB18" i="17"/>
  <c r="DC199" i="17"/>
  <c r="AI60" i="17"/>
  <c r="AF60" i="17"/>
  <c r="AI67" i="17"/>
  <c r="AF67" i="17"/>
  <c r="CX16" i="17"/>
  <c r="DA7" i="17"/>
  <c r="L7" i="13"/>
  <c r="G8" i="13" s="1"/>
  <c r="D28" i="20"/>
  <c r="DK11" i="17" l="1"/>
  <c r="DI10" i="17"/>
  <c r="DM12" i="17"/>
  <c r="DJ9" i="17"/>
  <c r="DG19" i="17"/>
  <c r="DF22" i="17"/>
  <c r="DG22" i="17" s="1"/>
  <c r="DH22" i="17" s="1"/>
  <c r="DI22" i="17" s="1"/>
  <c r="DJ22" i="17" s="1"/>
  <c r="DK22" i="17" s="1"/>
  <c r="AI222" i="17"/>
  <c r="AF222" i="17"/>
  <c r="AK222" i="17" s="1"/>
  <c r="AF277" i="17"/>
  <c r="AK277" i="17" s="1"/>
  <c r="AI277" i="17"/>
  <c r="AF45" i="17"/>
  <c r="AK45" i="17" s="1"/>
  <c r="AI45" i="17"/>
  <c r="AN61" i="17"/>
  <c r="AN156" i="17"/>
  <c r="DC248" i="17"/>
  <c r="AB248" i="17" s="1"/>
  <c r="AL248" i="17" s="1"/>
  <c r="AI61" i="17"/>
  <c r="AF61" i="17"/>
  <c r="AK61" i="17" s="1"/>
  <c r="AJ225" i="17"/>
  <c r="AO225" i="17"/>
  <c r="AR225" i="17"/>
  <c r="AS225" i="17"/>
  <c r="DD264" i="17"/>
  <c r="DE264" i="17" s="1"/>
  <c r="AJ208" i="17"/>
  <c r="AR208" i="17"/>
  <c r="AS208" i="17"/>
  <c r="AO208" i="17"/>
  <c r="AE181" i="17"/>
  <c r="AM34" i="17"/>
  <c r="AH34" i="17"/>
  <c r="AD34" i="17"/>
  <c r="AE34" i="17"/>
  <c r="AL34" i="17"/>
  <c r="AM181" i="17"/>
  <c r="AN181" i="17" s="1"/>
  <c r="AH181" i="17"/>
  <c r="AF156" i="17"/>
  <c r="AK156" i="17" s="1"/>
  <c r="AI156" i="17"/>
  <c r="AS31" i="17"/>
  <c r="AO31" i="17"/>
  <c r="AJ31" i="17"/>
  <c r="AR31" i="17" s="1"/>
  <c r="AO30" i="17"/>
  <c r="AN21" i="17"/>
  <c r="AI209" i="17"/>
  <c r="AF188" i="17"/>
  <c r="AK188" i="17" s="1"/>
  <c r="AI188" i="17"/>
  <c r="AR30" i="17"/>
  <c r="AS30" i="17"/>
  <c r="AJ30" i="17"/>
  <c r="AF78" i="17"/>
  <c r="AK78" i="17" s="1"/>
  <c r="AI78" i="17"/>
  <c r="AC82" i="17"/>
  <c r="AA82" i="17"/>
  <c r="AF209" i="17"/>
  <c r="AK209" i="17" s="1"/>
  <c r="AE155" i="17"/>
  <c r="AL82" i="17"/>
  <c r="AF80" i="17"/>
  <c r="AK80" i="17" s="1"/>
  <c r="AI80" i="17"/>
  <c r="AJ111" i="17"/>
  <c r="AO111" i="17"/>
  <c r="AS111" i="17"/>
  <c r="AR111" i="17"/>
  <c r="AE132" i="17"/>
  <c r="AE122" i="17"/>
  <c r="AD137" i="17"/>
  <c r="AH137" i="17"/>
  <c r="AM137" i="17"/>
  <c r="AL137" i="17"/>
  <c r="AE137" i="17"/>
  <c r="AM132" i="17"/>
  <c r="AN132" i="17" s="1"/>
  <c r="AH132" i="17"/>
  <c r="AD132" i="17"/>
  <c r="AE131" i="17"/>
  <c r="AN122" i="17"/>
  <c r="AI53" i="17"/>
  <c r="AF53" i="17"/>
  <c r="AK53" i="17" s="1"/>
  <c r="AI267" i="17"/>
  <c r="AF267" i="17"/>
  <c r="AK267" i="17" s="1"/>
  <c r="H7" i="14"/>
  <c r="AM155" i="17"/>
  <c r="AN155" i="17" s="1"/>
  <c r="AH155" i="17"/>
  <c r="AD155" i="17"/>
  <c r="AM55" i="17"/>
  <c r="AN55" i="17" s="1"/>
  <c r="AD55" i="17"/>
  <c r="AH55" i="17"/>
  <c r="AE55" i="17"/>
  <c r="AO74" i="17"/>
  <c r="AS74" i="17"/>
  <c r="AR74" i="17"/>
  <c r="AJ74" i="17"/>
  <c r="DC213" i="17"/>
  <c r="AJ173" i="17"/>
  <c r="AO173" i="17"/>
  <c r="AS173" i="17"/>
  <c r="AR173" i="17"/>
  <c r="AI124" i="17"/>
  <c r="AF124" i="17"/>
  <c r="AK124" i="17" s="1"/>
  <c r="AH200" i="17"/>
  <c r="AD200" i="17"/>
  <c r="AM200" i="17"/>
  <c r="AE200" i="17"/>
  <c r="AL200" i="17"/>
  <c r="AN94" i="17"/>
  <c r="AN76" i="17"/>
  <c r="AB195" i="17"/>
  <c r="AC195" i="17"/>
  <c r="AA195" i="17"/>
  <c r="DG89" i="17"/>
  <c r="AO182" i="17"/>
  <c r="AS182" i="17"/>
  <c r="AM131" i="17"/>
  <c r="AN131" i="17" s="1"/>
  <c r="AD131" i="17"/>
  <c r="AH131" i="17"/>
  <c r="AI223" i="17"/>
  <c r="AF223" i="17"/>
  <c r="AK223" i="17" s="1"/>
  <c r="AE125" i="17"/>
  <c r="AL125" i="17"/>
  <c r="AM125" i="17"/>
  <c r="AD125" i="17"/>
  <c r="AH125" i="17"/>
  <c r="AN124" i="17"/>
  <c r="AE238" i="17"/>
  <c r="AJ48" i="17"/>
  <c r="AR48" i="17" s="1"/>
  <c r="AS48" i="17"/>
  <c r="AO48" i="17"/>
  <c r="AC202" i="17"/>
  <c r="AB202" i="17"/>
  <c r="AL202" i="17" s="1"/>
  <c r="AA202" i="17"/>
  <c r="DG38" i="17"/>
  <c r="AD238" i="17"/>
  <c r="AH238" i="17"/>
  <c r="AM238" i="17"/>
  <c r="AN238" i="17" s="1"/>
  <c r="AJ174" i="17"/>
  <c r="AO174" i="17"/>
  <c r="AS174" i="17"/>
  <c r="AR174" i="17"/>
  <c r="DC114" i="17"/>
  <c r="AI83" i="17"/>
  <c r="AF83" i="17"/>
  <c r="AK83" i="17" s="1"/>
  <c r="AF94" i="17"/>
  <c r="AK94" i="17" s="1"/>
  <c r="AI94" i="17"/>
  <c r="AD178" i="17"/>
  <c r="AM178" i="17"/>
  <c r="AE178" i="17"/>
  <c r="AL178" i="17"/>
  <c r="AI76" i="17"/>
  <c r="AF76" i="17"/>
  <c r="AK76" i="17" s="1"/>
  <c r="AN150" i="17"/>
  <c r="DH101" i="17"/>
  <c r="AA101" i="17" s="1"/>
  <c r="DB147" i="17"/>
  <c r="AS43" i="17"/>
  <c r="AO43" i="17"/>
  <c r="AR43" i="17"/>
  <c r="AJ43" i="17"/>
  <c r="AO84" i="17"/>
  <c r="AS84" i="17"/>
  <c r="AJ84" i="17"/>
  <c r="AR84" i="17" s="1"/>
  <c r="AF96" i="17"/>
  <c r="AK96" i="17" s="1"/>
  <c r="AI96" i="17"/>
  <c r="AF21" i="17"/>
  <c r="AK43" i="17"/>
  <c r="DH108" i="17"/>
  <c r="DB17" i="17"/>
  <c r="DH198" i="17"/>
  <c r="AC198" i="17" s="1"/>
  <c r="AO32" i="17"/>
  <c r="AJ32" i="17"/>
  <c r="AR32" i="17" s="1"/>
  <c r="AS32" i="17"/>
  <c r="AK32" i="17"/>
  <c r="DB97" i="17"/>
  <c r="AN96" i="17"/>
  <c r="AO56" i="17"/>
  <c r="AS56" i="17"/>
  <c r="AJ56" i="17"/>
  <c r="AR56" i="17" s="1"/>
  <c r="AB24" i="17"/>
  <c r="AL24" i="17" s="1"/>
  <c r="AA24" i="17"/>
  <c r="AC24" i="17"/>
  <c r="AF150" i="17"/>
  <c r="AK150" i="17" s="1"/>
  <c r="AI150" i="17"/>
  <c r="AA81" i="17"/>
  <c r="AC81" i="17"/>
  <c r="AL81" i="17"/>
  <c r="CX15" i="17"/>
  <c r="DC20" i="17"/>
  <c r="DD20" i="17" s="1"/>
  <c r="DE20" i="17" s="1"/>
  <c r="DF20" i="17" s="1"/>
  <c r="DG20" i="17" s="1"/>
  <c r="DH20" i="17" s="1"/>
  <c r="DI20" i="17" s="1"/>
  <c r="DJ20" i="17" s="1"/>
  <c r="DK20" i="17" s="1"/>
  <c r="DL20" i="17" s="1"/>
  <c r="DM20" i="17" s="1"/>
  <c r="DA8" i="17"/>
  <c r="DF143" i="17"/>
  <c r="DG143" i="17" s="1"/>
  <c r="DC18" i="17"/>
  <c r="DD18" i="17" s="1"/>
  <c r="DD134" i="17"/>
  <c r="AA104" i="17"/>
  <c r="AC104" i="17"/>
  <c r="AO185" i="17"/>
  <c r="AS185" i="17"/>
  <c r="AJ185" i="17"/>
  <c r="AR185" i="17" s="1"/>
  <c r="T7" i="14"/>
  <c r="R7" i="14" s="1"/>
  <c r="AK185" i="17"/>
  <c r="AA199" i="17"/>
  <c r="AB199" i="17"/>
  <c r="AC199" i="17"/>
  <c r="N7" i="13"/>
  <c r="M7" i="13"/>
  <c r="O7" i="13"/>
  <c r="CY16" i="17"/>
  <c r="DB7" i="17"/>
  <c r="AJ60" i="17"/>
  <c r="AR60" i="17" s="1"/>
  <c r="AO60" i="17"/>
  <c r="AS60" i="17"/>
  <c r="AK60" i="17"/>
  <c r="AJ67" i="17"/>
  <c r="AR67" i="17"/>
  <c r="AS67" i="17"/>
  <c r="AO67" i="17"/>
  <c r="AK67" i="17"/>
  <c r="I8" i="13"/>
  <c r="E28" i="20"/>
  <c r="AA12" i="17" l="1"/>
  <c r="AB12" i="17"/>
  <c r="AC12" i="17"/>
  <c r="DL11" i="17"/>
  <c r="DJ10" i="17"/>
  <c r="DH19" i="17"/>
  <c r="DI19" i="17" s="1"/>
  <c r="DJ19" i="17" s="1"/>
  <c r="DK9" i="17"/>
  <c r="DK19" i="17"/>
  <c r="DL22" i="17"/>
  <c r="DE18" i="17"/>
  <c r="Q7" i="14"/>
  <c r="AJ222" i="17"/>
  <c r="AR222" i="17" s="1"/>
  <c r="AS222" i="17"/>
  <c r="AO222" i="17"/>
  <c r="AJ277" i="17"/>
  <c r="AR277" i="17" s="1"/>
  <c r="AO277" i="17"/>
  <c r="AS277" i="17"/>
  <c r="AN200" i="17"/>
  <c r="AE104" i="17"/>
  <c r="AN34" i="17"/>
  <c r="AF55" i="17"/>
  <c r="AK55" i="17" s="1"/>
  <c r="AJ45" i="17"/>
  <c r="AR45" i="17" s="1"/>
  <c r="AO45" i="17"/>
  <c r="AS45" i="17"/>
  <c r="AI181" i="17"/>
  <c r="AF181" i="17"/>
  <c r="AK181" i="17" s="1"/>
  <c r="AC248" i="17"/>
  <c r="AA248" i="17"/>
  <c r="AF34" i="17"/>
  <c r="AK34" i="17" s="1"/>
  <c r="AI34" i="17"/>
  <c r="AS188" i="17"/>
  <c r="AJ188" i="17"/>
  <c r="AR188" i="17" s="1"/>
  <c r="AO188" i="17"/>
  <c r="AJ61" i="17"/>
  <c r="AS61" i="17"/>
  <c r="AR61" i="17"/>
  <c r="AO61" i="17"/>
  <c r="DF264" i="17"/>
  <c r="AI55" i="17"/>
  <c r="AJ55" i="17" s="1"/>
  <c r="AJ156" i="17"/>
  <c r="AR156" i="17"/>
  <c r="AO156" i="17"/>
  <c r="AS156" i="17"/>
  <c r="AJ209" i="17"/>
  <c r="AR209" i="17" s="1"/>
  <c r="AO209" i="17"/>
  <c r="AS209" i="17"/>
  <c r="AE82" i="17"/>
  <c r="AO80" i="17"/>
  <c r="AS80" i="17"/>
  <c r="AJ80" i="17"/>
  <c r="AR80" i="17" s="1"/>
  <c r="AJ78" i="17"/>
  <c r="AR78" i="17" s="1"/>
  <c r="AS78" i="17"/>
  <c r="AO78" i="17"/>
  <c r="AH82" i="17"/>
  <c r="AD82" i="17"/>
  <c r="AM82" i="17"/>
  <c r="AN82" i="17" s="1"/>
  <c r="AN137" i="17"/>
  <c r="AI122" i="17"/>
  <c r="AF122" i="17"/>
  <c r="AK122" i="17" s="1"/>
  <c r="AF137" i="17"/>
  <c r="AI137" i="17"/>
  <c r="AI132" i="17"/>
  <c r="AF132" i="17"/>
  <c r="AK132" i="17" s="1"/>
  <c r="AE81" i="17"/>
  <c r="AO53" i="17"/>
  <c r="AS53" i="17"/>
  <c r="AJ53" i="17"/>
  <c r="AR53" i="17" s="1"/>
  <c r="AJ267" i="17"/>
  <c r="AR267" i="17" s="1"/>
  <c r="AS267" i="17"/>
  <c r="AO267" i="17"/>
  <c r="AF155" i="17"/>
  <c r="AK155" i="17" s="1"/>
  <c r="AI155" i="17"/>
  <c r="AO124" i="17"/>
  <c r="AR124" i="17"/>
  <c r="AJ124" i="17"/>
  <c r="AS124" i="17"/>
  <c r="AI200" i="17"/>
  <c r="AF200" i="17"/>
  <c r="AK200" i="17" s="1"/>
  <c r="AI238" i="17"/>
  <c r="AO238" i="17" s="1"/>
  <c r="AF238" i="17"/>
  <c r="AK238" i="17" s="1"/>
  <c r="DH89" i="17"/>
  <c r="AB89" i="17" s="1"/>
  <c r="AL89" i="17" s="1"/>
  <c r="DD213" i="17"/>
  <c r="AN125" i="17"/>
  <c r="AN178" i="17"/>
  <c r="AL195" i="17"/>
  <c r="AE195" i="17"/>
  <c r="AD195" i="17"/>
  <c r="AM195" i="17"/>
  <c r="AH195" i="17"/>
  <c r="AF131" i="17"/>
  <c r="AK131" i="17" s="1"/>
  <c r="AI131" i="17"/>
  <c r="AS223" i="17"/>
  <c r="AJ223" i="17"/>
  <c r="AR223" i="17" s="1"/>
  <c r="AO223" i="17"/>
  <c r="AI125" i="17"/>
  <c r="AF125" i="17"/>
  <c r="AK125" i="17" s="1"/>
  <c r="AH202" i="17"/>
  <c r="AD202" i="17"/>
  <c r="AM202" i="17"/>
  <c r="AN202" i="17" s="1"/>
  <c r="DH38" i="17"/>
  <c r="AE202" i="17"/>
  <c r="AO96" i="17"/>
  <c r="AA114" i="17"/>
  <c r="AC114" i="17"/>
  <c r="AB114" i="17"/>
  <c r="AL114" i="17" s="1"/>
  <c r="DC147" i="17"/>
  <c r="AC147" i="17" s="1"/>
  <c r="AB198" i="17"/>
  <c r="AA198" i="17"/>
  <c r="AJ94" i="17"/>
  <c r="AR94" i="17" s="1"/>
  <c r="AS94" i="17"/>
  <c r="AO94" i="17"/>
  <c r="AS83" i="17"/>
  <c r="AO83" i="17"/>
  <c r="AJ83" i="17"/>
  <c r="AR83" i="17" s="1"/>
  <c r="AF178" i="17"/>
  <c r="AK178" i="17" s="1"/>
  <c r="AI178" i="17"/>
  <c r="AH101" i="17"/>
  <c r="AD101" i="17"/>
  <c r="AM101" i="17"/>
  <c r="AA108" i="17"/>
  <c r="AB108" i="17"/>
  <c r="AL108" i="17" s="1"/>
  <c r="AC108" i="17"/>
  <c r="AO76" i="17"/>
  <c r="AS76" i="17"/>
  <c r="AJ76" i="17"/>
  <c r="AR76" i="17" s="1"/>
  <c r="AE24" i="17"/>
  <c r="AB101" i="17"/>
  <c r="AL101" i="17" s="1"/>
  <c r="AC101" i="17"/>
  <c r="AS96" i="17"/>
  <c r="AR96" i="17"/>
  <c r="AJ96" i="17"/>
  <c r="DC17" i="17"/>
  <c r="DD17" i="17" s="1"/>
  <c r="DC97" i="17"/>
  <c r="AB97" i="17" s="1"/>
  <c r="AM24" i="17"/>
  <c r="AN24" i="17" s="1"/>
  <c r="AD24" i="17"/>
  <c r="AD81" i="17"/>
  <c r="AH81" i="17"/>
  <c r="AM81" i="17"/>
  <c r="AN81" i="17" s="1"/>
  <c r="AS150" i="17"/>
  <c r="AR150" i="17"/>
  <c r="AO150" i="17"/>
  <c r="AJ150" i="17"/>
  <c r="CY15" i="17"/>
  <c r="AC20" i="17"/>
  <c r="AB20" i="17"/>
  <c r="AA20" i="17"/>
  <c r="DB8" i="17"/>
  <c r="AL199" i="17"/>
  <c r="AE199" i="17"/>
  <c r="AD104" i="17"/>
  <c r="AM104" i="17"/>
  <c r="AN104" i="17" s="1"/>
  <c r="AH104" i="17"/>
  <c r="DH143" i="17"/>
  <c r="B8" i="14"/>
  <c r="C8" i="14" s="1" a="1"/>
  <c r="U7" i="14"/>
  <c r="AH199" i="17"/>
  <c r="AD199" i="17"/>
  <c r="AM199" i="17"/>
  <c r="DE134" i="17"/>
  <c r="CZ16" i="17"/>
  <c r="DC7" i="17"/>
  <c r="DD7" i="17" s="1"/>
  <c r="DE7" i="17" s="1"/>
  <c r="DF7" i="17" s="1"/>
  <c r="DG7" i="17" s="1"/>
  <c r="DH7" i="17" s="1"/>
  <c r="DI7" i="17" s="1"/>
  <c r="DJ7" i="17" s="1"/>
  <c r="DK7" i="17" s="1"/>
  <c r="DL7" i="17" s="1"/>
  <c r="DM7" i="17" s="1"/>
  <c r="G28" i="20"/>
  <c r="H28" i="20" s="1"/>
  <c r="J8" i="13"/>
  <c r="AM12" i="17" l="1"/>
  <c r="AD12" i="17"/>
  <c r="AL12" i="17"/>
  <c r="AN12" i="17" s="1"/>
  <c r="AE12" i="17"/>
  <c r="DK10" i="17"/>
  <c r="DM11" i="17"/>
  <c r="DL9" i="17"/>
  <c r="DL19" i="17"/>
  <c r="DM22" i="17"/>
  <c r="DF18" i="17"/>
  <c r="DE17" i="17"/>
  <c r="AS181" i="17"/>
  <c r="AO181" i="17"/>
  <c r="AR181" i="17"/>
  <c r="AJ181" i="17"/>
  <c r="AE248" i="17"/>
  <c r="AM248" i="17"/>
  <c r="AN248" i="17" s="1"/>
  <c r="AH248" i="17"/>
  <c r="F30" i="5" s="1"/>
  <c r="AD248" i="17"/>
  <c r="AN195" i="17"/>
  <c r="AO34" i="17"/>
  <c r="AS34" i="17"/>
  <c r="AJ34" i="17"/>
  <c r="AR34" i="17" s="1"/>
  <c r="DG264" i="17"/>
  <c r="AR55" i="17"/>
  <c r="AO55" i="17"/>
  <c r="AS55" i="17"/>
  <c r="AS178" i="17"/>
  <c r="AJ178" i="17"/>
  <c r="AR178" i="17"/>
  <c r="AS131" i="17"/>
  <c r="AO131" i="17"/>
  <c r="AF82" i="17"/>
  <c r="AK82" i="17" s="1"/>
  <c r="AI82" i="17"/>
  <c r="AJ122" i="17"/>
  <c r="AR122" i="17" s="1"/>
  <c r="AO122" i="17"/>
  <c r="AS122" i="17"/>
  <c r="AK137" i="17"/>
  <c r="AO137" i="17"/>
  <c r="AS137" i="17"/>
  <c r="AJ137" i="17"/>
  <c r="AR137" i="17" s="1"/>
  <c r="AJ238" i="17"/>
  <c r="AR238" i="17" s="1"/>
  <c r="AS238" i="17"/>
  <c r="AJ132" i="17"/>
  <c r="AS132" i="17"/>
  <c r="AO132" i="17"/>
  <c r="AR132" i="17"/>
  <c r="AO178" i="17"/>
  <c r="AE114" i="17"/>
  <c r="AR155" i="17"/>
  <c r="AJ155" i="17"/>
  <c r="AS155" i="17"/>
  <c r="AO155" i="17"/>
  <c r="AJ131" i="17"/>
  <c r="AR131" i="17"/>
  <c r="AS200" i="17"/>
  <c r="AJ200" i="17"/>
  <c r="AR200" i="17" s="1"/>
  <c r="AO200" i="17"/>
  <c r="AA89" i="17"/>
  <c r="AC89" i="17"/>
  <c r="AM114" i="17"/>
  <c r="AN114" i="17" s="1"/>
  <c r="AD114" i="17"/>
  <c r="AH114" i="17"/>
  <c r="AE108" i="17"/>
  <c r="DE213" i="17"/>
  <c r="AN101" i="17"/>
  <c r="AE101" i="17"/>
  <c r="AD108" i="17"/>
  <c r="AH108" i="17"/>
  <c r="AM108" i="17"/>
  <c r="AN108" i="17" s="1"/>
  <c r="AI195" i="17"/>
  <c r="AF195" i="17"/>
  <c r="AK195" i="17" s="1"/>
  <c r="AB38" i="17"/>
  <c r="AA38" i="17"/>
  <c r="AC38" i="17"/>
  <c r="AB147" i="17"/>
  <c r="AL147" i="17" s="1"/>
  <c r="AA147" i="17"/>
  <c r="AL198" i="17"/>
  <c r="AE198" i="17"/>
  <c r="AH198" i="17"/>
  <c r="AM198" i="17"/>
  <c r="AD198" i="17"/>
  <c r="AO125" i="17"/>
  <c r="AJ125" i="17"/>
  <c r="AR125" i="17" s="1"/>
  <c r="AS125" i="17"/>
  <c r="F57" i="5"/>
  <c r="AI202" i="17"/>
  <c r="AJ202" i="17" s="1"/>
  <c r="AF202" i="17"/>
  <c r="AF24" i="17"/>
  <c r="C52" i="7" s="1"/>
  <c r="D52" i="7" s="1"/>
  <c r="E52" i="7" s="1"/>
  <c r="AA97" i="17"/>
  <c r="AC97" i="17"/>
  <c r="AL97" i="17"/>
  <c r="DC8" i="17"/>
  <c r="DD8" i="17" s="1"/>
  <c r="DE8" i="17" s="1"/>
  <c r="DF8" i="17" s="1"/>
  <c r="DG8" i="17" s="1"/>
  <c r="DH8" i="17" s="1"/>
  <c r="DI8" i="17" s="1"/>
  <c r="DJ8" i="17" s="1"/>
  <c r="DK8" i="17" s="1"/>
  <c r="DL8" i="17" s="1"/>
  <c r="DM8" i="17" s="1"/>
  <c r="AF81" i="17"/>
  <c r="AI81" i="17"/>
  <c r="CZ15" i="17"/>
  <c r="F69" i="5"/>
  <c r="AE20" i="17"/>
  <c r="AL20" i="17"/>
  <c r="AD20" i="17"/>
  <c r="AM20" i="17"/>
  <c r="AN199" i="17"/>
  <c r="AF199" i="17"/>
  <c r="AI199" i="17"/>
  <c r="AA143" i="17"/>
  <c r="AC143" i="17"/>
  <c r="AB143" i="17"/>
  <c r="AL143" i="17" s="1"/>
  <c r="DF134" i="17"/>
  <c r="DA16" i="17"/>
  <c r="AC7" i="17"/>
  <c r="AA7" i="17"/>
  <c r="AB7" i="17"/>
  <c r="AL7" i="17" s="1"/>
  <c r="D8" i="14"/>
  <c r="O8" i="14"/>
  <c r="P8" i="14" s="1"/>
  <c r="K8" i="14"/>
  <c r="I8" i="14"/>
  <c r="K8" i="19"/>
  <c r="F55" i="5"/>
  <c r="AF104" i="17"/>
  <c r="AI104" i="17"/>
  <c r="AJ104" i="17" s="1"/>
  <c r="AR104" i="17" s="1"/>
  <c r="I28" i="20"/>
  <c r="B29" i="20"/>
  <c r="K8" i="13"/>
  <c r="AF12" i="17" l="1"/>
  <c r="AA22" i="17"/>
  <c r="AC22" i="17"/>
  <c r="AB22" i="17"/>
  <c r="DL10" i="17"/>
  <c r="AA11" i="17"/>
  <c r="AB11" i="17"/>
  <c r="AC11" i="17"/>
  <c r="DM9" i="17"/>
  <c r="AA9" i="17" s="1"/>
  <c r="DM19" i="17"/>
  <c r="AA19" i="17" s="1"/>
  <c r="DG18" i="17"/>
  <c r="DF17" i="17"/>
  <c r="DG17" i="17" s="1"/>
  <c r="AF248" i="17"/>
  <c r="AI248" i="17"/>
  <c r="DH264" i="17"/>
  <c r="AS82" i="17"/>
  <c r="AO82" i="17"/>
  <c r="AJ82" i="17"/>
  <c r="AR82" i="17" s="1"/>
  <c r="AN198" i="17"/>
  <c r="AI114" i="17"/>
  <c r="AF114" i="17"/>
  <c r="AK114" i="17" s="1"/>
  <c r="AE89" i="17"/>
  <c r="AE97" i="17"/>
  <c r="AH89" i="17"/>
  <c r="AD89" i="17"/>
  <c r="AM89" i="17"/>
  <c r="AN89" i="17" s="1"/>
  <c r="AF198" i="17"/>
  <c r="AI198" i="17"/>
  <c r="G49" i="5" s="1"/>
  <c r="DF213" i="17"/>
  <c r="AF101" i="17"/>
  <c r="AK101" i="17" s="1"/>
  <c r="AI101" i="17"/>
  <c r="AI108" i="17"/>
  <c r="AO108" i="17" s="1"/>
  <c r="AF108" i="17"/>
  <c r="AK108" i="17" s="1"/>
  <c r="AS195" i="17"/>
  <c r="AJ195" i="17"/>
  <c r="AR195" i="17" s="1"/>
  <c r="AO195" i="17"/>
  <c r="AE38" i="17"/>
  <c r="AL38" i="17"/>
  <c r="AD38" i="17"/>
  <c r="AH38" i="17"/>
  <c r="AM38" i="17"/>
  <c r="AD147" i="17"/>
  <c r="AM147" i="17"/>
  <c r="AN147" i="17" s="1"/>
  <c r="AH147" i="17"/>
  <c r="F20" i="5" s="1"/>
  <c r="AE147" i="17"/>
  <c r="F49" i="5"/>
  <c r="AO202" i="17"/>
  <c r="AR202" i="17"/>
  <c r="I57" i="5" s="1"/>
  <c r="J57" i="5" s="1"/>
  <c r="AS202" i="17"/>
  <c r="G57" i="5"/>
  <c r="D57" i="5"/>
  <c r="E57" i="5" s="1"/>
  <c r="AK202" i="17"/>
  <c r="AK199" i="17"/>
  <c r="D55" i="5"/>
  <c r="E55" i="5" s="1"/>
  <c r="AR199" i="17"/>
  <c r="I55" i="5" s="1"/>
  <c r="AO199" i="17"/>
  <c r="G55" i="5"/>
  <c r="L55" i="5" s="1"/>
  <c r="AS199" i="17"/>
  <c r="AJ199" i="17"/>
  <c r="AH97" i="17"/>
  <c r="AM97" i="17"/>
  <c r="AN97" i="17" s="1"/>
  <c r="AD97" i="17"/>
  <c r="AC8" i="17"/>
  <c r="AA8" i="17"/>
  <c r="AB8" i="17"/>
  <c r="AL8" i="17" s="1"/>
  <c r="DA15" i="17"/>
  <c r="D69" i="5"/>
  <c r="E69" i="5" s="1"/>
  <c r="AK81" i="17"/>
  <c r="AO81" i="17"/>
  <c r="AJ81" i="17"/>
  <c r="AR81" i="17" s="1"/>
  <c r="AS81" i="17"/>
  <c r="G69" i="5"/>
  <c r="DB16" i="17"/>
  <c r="AF20" i="17"/>
  <c r="AN20" i="17"/>
  <c r="AE7" i="17"/>
  <c r="DG134" i="17"/>
  <c r="AM7" i="17"/>
  <c r="AN7" i="17" s="1"/>
  <c r="I20" i="6" s="1"/>
  <c r="AD7" i="17"/>
  <c r="AE143" i="17"/>
  <c r="AM143" i="17"/>
  <c r="AN143" i="17" s="1"/>
  <c r="AD143" i="17"/>
  <c r="AH143" i="17"/>
  <c r="F42" i="5"/>
  <c r="S8" i="14"/>
  <c r="T8" i="14" s="1"/>
  <c r="R8" i="14" s="1"/>
  <c r="G8" i="14"/>
  <c r="F8" i="14"/>
  <c r="AK104" i="17"/>
  <c r="AO104" i="17"/>
  <c r="AS104" i="17"/>
  <c r="D29" i="20"/>
  <c r="E29" i="20" s="1"/>
  <c r="L8" i="13"/>
  <c r="O8" i="13" s="1"/>
  <c r="H69" i="5" l="1"/>
  <c r="H57" i="5"/>
  <c r="L57" i="5" s="1"/>
  <c r="AD22" i="17"/>
  <c r="AM22" i="17"/>
  <c r="AE22" i="17"/>
  <c r="AL22" i="17"/>
  <c r="DM10" i="17"/>
  <c r="AA10" i="17" s="1"/>
  <c r="AD11" i="17"/>
  <c r="AM11" i="17"/>
  <c r="AE11" i="17"/>
  <c r="AL11" i="17"/>
  <c r="AB9" i="17"/>
  <c r="AL9" i="17" s="1"/>
  <c r="AC9" i="17"/>
  <c r="AC19" i="17"/>
  <c r="AB19" i="17"/>
  <c r="AM9" i="17"/>
  <c r="AD9" i="17"/>
  <c r="AD19" i="17"/>
  <c r="AM19" i="17"/>
  <c r="DH18" i="17"/>
  <c r="DH17" i="17"/>
  <c r="AF147" i="17"/>
  <c r="G30" i="5"/>
  <c r="AR248" i="17"/>
  <c r="I30" i="5" s="1"/>
  <c r="J30" i="5" s="1"/>
  <c r="AO248" i="17"/>
  <c r="AS248" i="17"/>
  <c r="AJ248" i="17"/>
  <c r="D30" i="5"/>
  <c r="E30" i="5" s="1"/>
  <c r="AK248" i="17"/>
  <c r="AA264" i="17"/>
  <c r="AB264" i="17"/>
  <c r="AC264" i="17"/>
  <c r="AS198" i="17"/>
  <c r="AJ198" i="17"/>
  <c r="AR198" i="17" s="1"/>
  <c r="I49" i="5" s="1"/>
  <c r="J49" i="5" s="1"/>
  <c r="F28" i="5"/>
  <c r="F56" i="5"/>
  <c r="D49" i="5"/>
  <c r="E49" i="5" s="1"/>
  <c r="AK198" i="17"/>
  <c r="AO198" i="17"/>
  <c r="AO114" i="17"/>
  <c r="AJ114" i="17"/>
  <c r="AR114" i="17" s="1"/>
  <c r="AS114" i="17"/>
  <c r="AS108" i="17"/>
  <c r="AR108" i="17"/>
  <c r="AJ108" i="17"/>
  <c r="AN38" i="17"/>
  <c r="AF89" i="17"/>
  <c r="AK89" i="17" s="1"/>
  <c r="AI89" i="17"/>
  <c r="DG213" i="17"/>
  <c r="AI147" i="17"/>
  <c r="H49" i="5"/>
  <c r="L49" i="5" s="1"/>
  <c r="H8" i="14"/>
  <c r="AO101" i="17"/>
  <c r="AR101" i="17"/>
  <c r="AS101" i="17"/>
  <c r="AJ101" i="17"/>
  <c r="AI38" i="17"/>
  <c r="AF38" i="17"/>
  <c r="D29" i="5" s="1"/>
  <c r="E29" i="5" s="1"/>
  <c r="F47" i="5"/>
  <c r="F29" i="5"/>
  <c r="AF97" i="17"/>
  <c r="AI97" i="17"/>
  <c r="H55" i="5"/>
  <c r="F70" i="5"/>
  <c r="AD8" i="17"/>
  <c r="AM8" i="17"/>
  <c r="AN8" i="17" s="1"/>
  <c r="I21" i="6" s="1"/>
  <c r="AE8" i="17"/>
  <c r="DB15" i="17"/>
  <c r="DC16" i="17"/>
  <c r="DD16" i="17" s="1"/>
  <c r="DE16" i="17" s="1"/>
  <c r="DF16" i="17" s="1"/>
  <c r="DG16" i="17" s="1"/>
  <c r="DH16" i="17" s="1"/>
  <c r="DI16" i="17" s="1"/>
  <c r="DJ16" i="17" s="1"/>
  <c r="DK16" i="17" s="1"/>
  <c r="DL16" i="17" s="1"/>
  <c r="DM16" i="17" s="1"/>
  <c r="AF7" i="17"/>
  <c r="E20" i="6" s="1"/>
  <c r="I69" i="5"/>
  <c r="J69" i="5" s="1"/>
  <c r="DH134" i="17"/>
  <c r="AI143" i="17"/>
  <c r="AF143" i="17"/>
  <c r="B9" i="14"/>
  <c r="C9" i="14" s="1" a="1"/>
  <c r="U8" i="14"/>
  <c r="J55" i="5"/>
  <c r="G29" i="20"/>
  <c r="H29" i="20" s="1"/>
  <c r="G9" i="13"/>
  <c r="N8" i="13"/>
  <c r="M8" i="13"/>
  <c r="L69" i="5" l="1"/>
  <c r="H30" i="5"/>
  <c r="D9" i="14"/>
  <c r="AN22" i="17"/>
  <c r="AF22" i="17"/>
  <c r="AN11" i="17"/>
  <c r="AF11" i="17"/>
  <c r="AN9" i="17"/>
  <c r="I22" i="6" s="1"/>
  <c r="AE9" i="17"/>
  <c r="AF9" i="17" s="1"/>
  <c r="E22" i="6" s="1"/>
  <c r="F22" i="6" s="1"/>
  <c r="AB10" i="17"/>
  <c r="AL10" i="17" s="1"/>
  <c r="AC10" i="17"/>
  <c r="AD10" i="17"/>
  <c r="AM10" i="17"/>
  <c r="AL19" i="17"/>
  <c r="AN19" i="17" s="1"/>
  <c r="AE19" i="17"/>
  <c r="AF19" i="17" s="1"/>
  <c r="DI18" i="17"/>
  <c r="DI17" i="17"/>
  <c r="DJ17" i="17"/>
  <c r="Q8" i="14"/>
  <c r="D20" i="5"/>
  <c r="E20" i="5" s="1"/>
  <c r="AK147" i="17"/>
  <c r="AH264" i="17"/>
  <c r="F36" i="5" s="1"/>
  <c r="AD264" i="17"/>
  <c r="AM264" i="17"/>
  <c r="AL264" i="17"/>
  <c r="AE264" i="17"/>
  <c r="G28" i="5"/>
  <c r="G20" i="5"/>
  <c r="G29" i="5"/>
  <c r="L29" i="5" s="1"/>
  <c r="AJ38" i="17"/>
  <c r="AR38" i="17"/>
  <c r="AO38" i="17"/>
  <c r="AJ89" i="17"/>
  <c r="AR89" i="17" s="1"/>
  <c r="AO89" i="17"/>
  <c r="AS89" i="17"/>
  <c r="G70" i="5"/>
  <c r="DH213" i="17"/>
  <c r="AC213" i="17" s="1"/>
  <c r="AJ147" i="17"/>
  <c r="AR147" i="17" s="1"/>
  <c r="I20" i="5" s="1"/>
  <c r="J20" i="5" s="1"/>
  <c r="AO147" i="17"/>
  <c r="AS147" i="17"/>
  <c r="D70" i="5"/>
  <c r="E70" i="5" s="1"/>
  <c r="AK97" i="17"/>
  <c r="G47" i="5"/>
  <c r="AS38" i="17"/>
  <c r="D47" i="5"/>
  <c r="E47" i="5" s="1"/>
  <c r="AK38" i="17"/>
  <c r="DC15" i="17"/>
  <c r="DD15" i="17" s="1"/>
  <c r="DE15" i="17" s="1"/>
  <c r="DF15" i="17" s="1"/>
  <c r="DG15" i="17" s="1"/>
  <c r="DH15" i="17" s="1"/>
  <c r="DI15" i="17" s="1"/>
  <c r="DJ15" i="17" s="1"/>
  <c r="DK15" i="17" s="1"/>
  <c r="DL15" i="17" s="1"/>
  <c r="DM15" i="17" s="1"/>
  <c r="D28" i="5"/>
  <c r="E28" i="5" s="1"/>
  <c r="AS97" i="17"/>
  <c r="AJ97" i="17"/>
  <c r="AR97" i="17" s="1"/>
  <c r="AO97" i="17"/>
  <c r="AF8" i="17"/>
  <c r="E21" i="6" s="1"/>
  <c r="F21" i="6" s="1"/>
  <c r="AA16" i="17"/>
  <c r="AC16" i="17"/>
  <c r="AB16" i="17"/>
  <c r="F20" i="6"/>
  <c r="AC134" i="17"/>
  <c r="AB134" i="17"/>
  <c r="AL134" i="17" s="1"/>
  <c r="AA134" i="17"/>
  <c r="AR143" i="17"/>
  <c r="AS143" i="17"/>
  <c r="G42" i="5"/>
  <c r="AO143" i="17"/>
  <c r="D42" i="5"/>
  <c r="E42" i="5" s="1"/>
  <c r="AK143" i="17"/>
  <c r="AJ143" i="17"/>
  <c r="G56" i="5"/>
  <c r="D56" i="5"/>
  <c r="E56" i="5" s="1"/>
  <c r="I9" i="14"/>
  <c r="K9" i="14"/>
  <c r="O9" i="14"/>
  <c r="P9" i="14" s="1"/>
  <c r="K9" i="19"/>
  <c r="I29" i="20"/>
  <c r="B30" i="20"/>
  <c r="D30" i="20" s="1"/>
  <c r="I9" i="13"/>
  <c r="H70" i="5" l="1"/>
  <c r="J54" i="2"/>
  <c r="L30" i="5"/>
  <c r="H56" i="5"/>
  <c r="L56" i="5" s="1"/>
  <c r="H47" i="5"/>
  <c r="H28" i="5"/>
  <c r="H20" i="5"/>
  <c r="L20" i="5" s="1"/>
  <c r="AE10" i="17"/>
  <c r="AF10" i="17" s="1"/>
  <c r="E23" i="6" s="1"/>
  <c r="F23" i="6" s="1"/>
  <c r="AN10" i="17"/>
  <c r="I23" i="6" s="1"/>
  <c r="DJ18" i="17"/>
  <c r="DK17" i="17"/>
  <c r="AN264" i="17"/>
  <c r="AI264" i="17"/>
  <c r="AJ264" i="17" s="1"/>
  <c r="AR264" i="17" s="1"/>
  <c r="I36" i="5" s="1"/>
  <c r="J36" i="5" s="1"/>
  <c r="AF264" i="17"/>
  <c r="AB213" i="17"/>
  <c r="AL213" i="17" s="1"/>
  <c r="AA213" i="17"/>
  <c r="H29" i="5"/>
  <c r="J53" i="2" s="1"/>
  <c r="I47" i="5"/>
  <c r="J47" i="5" s="1"/>
  <c r="I29" i="5"/>
  <c r="J29" i="5" s="1"/>
  <c r="AB15" i="17"/>
  <c r="AL15" i="17" s="1"/>
  <c r="AC15" i="17"/>
  <c r="AA15" i="17"/>
  <c r="I42" i="5"/>
  <c r="J42" i="5" s="1"/>
  <c r="I56" i="5"/>
  <c r="J56" i="5" s="1"/>
  <c r="I28" i="5"/>
  <c r="J28" i="5" s="1"/>
  <c r="I70" i="5"/>
  <c r="J70" i="5" s="1"/>
  <c r="AD16" i="17"/>
  <c r="AM16" i="17"/>
  <c r="AE16" i="17"/>
  <c r="AL16" i="17"/>
  <c r="AM134" i="17"/>
  <c r="AN134" i="17" s="1"/>
  <c r="AD134" i="17"/>
  <c r="AH134" i="17"/>
  <c r="AE134" i="17"/>
  <c r="H42" i="5"/>
  <c r="L42" i="5" s="1"/>
  <c r="F9" i="14"/>
  <c r="S9" i="14"/>
  <c r="T9" i="14" s="1"/>
  <c r="R9" i="14" s="1"/>
  <c r="G9" i="14"/>
  <c r="E30" i="20"/>
  <c r="J9" i="13"/>
  <c r="L70" i="5" l="1"/>
  <c r="L47" i="5"/>
  <c r="J52" i="2"/>
  <c r="L28" i="5"/>
  <c r="DK18" i="17"/>
  <c r="DL17" i="17"/>
  <c r="AK264" i="17"/>
  <c r="D36" i="5"/>
  <c r="E36" i="5" s="1"/>
  <c r="G36" i="5"/>
  <c r="AO264" i="17"/>
  <c r="AS264" i="17"/>
  <c r="AE213" i="17"/>
  <c r="AM213" i="17"/>
  <c r="AN213" i="17" s="1"/>
  <c r="B24" i="4" s="1"/>
  <c r="AH213" i="17"/>
  <c r="F54" i="5" s="1"/>
  <c r="F58" i="5" s="1"/>
  <c r="AD213" i="17"/>
  <c r="F27" i="5"/>
  <c r="F63" i="5"/>
  <c r="F19" i="5"/>
  <c r="AI134" i="17"/>
  <c r="AF134" i="17"/>
  <c r="AE15" i="17"/>
  <c r="AD15" i="17"/>
  <c r="AM15" i="17"/>
  <c r="AN15" i="17" s="1"/>
  <c r="AN16" i="17"/>
  <c r="AF16" i="17"/>
  <c r="H9" i="14"/>
  <c r="U9" i="14"/>
  <c r="B10" i="14"/>
  <c r="C10" i="14" s="1" a="1"/>
  <c r="G30" i="20"/>
  <c r="H30" i="20" s="1"/>
  <c r="K9" i="13"/>
  <c r="H36" i="5" l="1"/>
  <c r="L36" i="5" s="1"/>
  <c r="F62" i="5"/>
  <c r="F64" i="5" s="1"/>
  <c r="F21" i="5"/>
  <c r="F22" i="5" s="1"/>
  <c r="B12" i="4"/>
  <c r="F35" i="5"/>
  <c r="F37" i="5" s="1"/>
  <c r="DL18" i="17"/>
  <c r="F48" i="5"/>
  <c r="F50" i="5" s="1"/>
  <c r="F71" i="5"/>
  <c r="F72" i="5" s="1"/>
  <c r="DM17" i="17"/>
  <c r="AC17" i="17" s="1"/>
  <c r="Q9" i="14"/>
  <c r="F26" i="5"/>
  <c r="F31" i="5" s="1"/>
  <c r="F41" i="5"/>
  <c r="F43" i="5" s="1"/>
  <c r="AF213" i="17"/>
  <c r="D54" i="5" s="1"/>
  <c r="AI213" i="17"/>
  <c r="G21" i="5" s="1"/>
  <c r="AF15" i="17"/>
  <c r="G27" i="5"/>
  <c r="AO134" i="17"/>
  <c r="AJ134" i="17"/>
  <c r="G19" i="5"/>
  <c r="AS134" i="17"/>
  <c r="G63" i="5"/>
  <c r="AK134" i="17"/>
  <c r="D63" i="5"/>
  <c r="D27" i="5"/>
  <c r="E27" i="5" s="1"/>
  <c r="K10" i="14"/>
  <c r="O10" i="14"/>
  <c r="P10" i="14" s="1"/>
  <c r="D19" i="5"/>
  <c r="I10" i="14"/>
  <c r="K10" i="19"/>
  <c r="D10" i="14"/>
  <c r="I30" i="20"/>
  <c r="B31" i="20"/>
  <c r="L9" i="13"/>
  <c r="O9" i="13" s="1"/>
  <c r="DM18" i="17" l="1"/>
  <c r="AB18" i="17" s="1"/>
  <c r="AA17" i="17"/>
  <c r="AB17" i="17"/>
  <c r="D26" i="5"/>
  <c r="D71" i="5"/>
  <c r="D21" i="5"/>
  <c r="D62" i="5"/>
  <c r="D41" i="5"/>
  <c r="D48" i="5"/>
  <c r="B16" i="4"/>
  <c r="B17" i="4" s="1"/>
  <c r="G41" i="5"/>
  <c r="G71" i="5"/>
  <c r="L71" i="5" s="1"/>
  <c r="AJ213" i="17"/>
  <c r="B13" i="4"/>
  <c r="G35" i="5"/>
  <c r="D35" i="5"/>
  <c r="AK213" i="17"/>
  <c r="G54" i="5"/>
  <c r="AO213" i="17"/>
  <c r="G26" i="5"/>
  <c r="G62" i="5"/>
  <c r="AS213" i="17"/>
  <c r="G48" i="5"/>
  <c r="D58" i="5"/>
  <c r="E58" i="5" s="1"/>
  <c r="E54" i="5"/>
  <c r="H27" i="5"/>
  <c r="L27" i="5" s="1"/>
  <c r="H63" i="5"/>
  <c r="L63" i="5" s="1"/>
  <c r="E63" i="5"/>
  <c r="H21" i="5"/>
  <c r="L21" i="5" s="1"/>
  <c r="AR134" i="17"/>
  <c r="G22" i="5"/>
  <c r="H19" i="5"/>
  <c r="E19" i="5"/>
  <c r="G10" i="14"/>
  <c r="F10" i="14"/>
  <c r="S10" i="14"/>
  <c r="T10" i="14" s="1"/>
  <c r="R10" i="14" s="1"/>
  <c r="D31" i="20"/>
  <c r="E31" i="20" s="1"/>
  <c r="N9" i="13"/>
  <c r="M9" i="13"/>
  <c r="G10" i="13"/>
  <c r="C7" i="5" l="1"/>
  <c r="F7" i="5"/>
  <c r="G64" i="5"/>
  <c r="G31" i="5"/>
  <c r="L19" i="5"/>
  <c r="AA18" i="17"/>
  <c r="AC18" i="17"/>
  <c r="AL18" i="17"/>
  <c r="AD17" i="17"/>
  <c r="AM17" i="17"/>
  <c r="AL17" i="17"/>
  <c r="AE17" i="17"/>
  <c r="E26" i="5"/>
  <c r="D31" i="5"/>
  <c r="E31" i="5" s="1"/>
  <c r="E71" i="5"/>
  <c r="D72" i="5"/>
  <c r="E72" i="5" s="1"/>
  <c r="E21" i="5"/>
  <c r="D22" i="5"/>
  <c r="E22" i="5" s="1"/>
  <c r="E62" i="5"/>
  <c r="D64" i="5"/>
  <c r="E64" i="5" s="1"/>
  <c r="D43" i="5"/>
  <c r="E43" i="5" s="1"/>
  <c r="E41" i="5"/>
  <c r="D50" i="5"/>
  <c r="E50" i="5" s="1"/>
  <c r="E48" i="5"/>
  <c r="A32" i="4"/>
  <c r="H39" i="4"/>
  <c r="F36" i="4"/>
  <c r="A86" i="5"/>
  <c r="A81" i="5"/>
  <c r="L82" i="5"/>
  <c r="H41" i="5"/>
  <c r="G43" i="5"/>
  <c r="F8" i="4"/>
  <c r="H6" i="4"/>
  <c r="I7" i="4"/>
  <c r="I10" i="4"/>
  <c r="H8" i="4"/>
  <c r="I6" i="4"/>
  <c r="G9" i="4"/>
  <c r="G10" i="4"/>
  <c r="F7" i="4"/>
  <c r="G7" i="4"/>
  <c r="H7" i="4"/>
  <c r="I8" i="4"/>
  <c r="F6" i="4"/>
  <c r="H10" i="4"/>
  <c r="F9" i="4"/>
  <c r="F10" i="4"/>
  <c r="G8" i="4"/>
  <c r="K48" i="5"/>
  <c r="G72" i="5"/>
  <c r="H71" i="5"/>
  <c r="G37" i="5"/>
  <c r="H35" i="5"/>
  <c r="AR213" i="17"/>
  <c r="I41" i="5" s="1"/>
  <c r="H9" i="4"/>
  <c r="I9" i="4"/>
  <c r="G6" i="4"/>
  <c r="K21" i="5"/>
  <c r="K20" i="5"/>
  <c r="K69" i="5"/>
  <c r="K47" i="5"/>
  <c r="K56" i="5"/>
  <c r="B25" i="4"/>
  <c r="K55" i="5"/>
  <c r="K68" i="5"/>
  <c r="E86" i="5"/>
  <c r="M80" i="5"/>
  <c r="K86" i="5"/>
  <c r="B32" i="4"/>
  <c r="A89" i="5"/>
  <c r="K80" i="5"/>
  <c r="J84" i="5"/>
  <c r="M88" i="5"/>
  <c r="I85" i="5"/>
  <c r="K36" i="4"/>
  <c r="H33" i="4"/>
  <c r="B33" i="4"/>
  <c r="C80" i="5"/>
  <c r="K32" i="4"/>
  <c r="F82" i="5"/>
  <c r="E35" i="4"/>
  <c r="C36" i="4"/>
  <c r="G80" i="5"/>
  <c r="A80" i="5"/>
  <c r="K37" i="4"/>
  <c r="E30" i="4"/>
  <c r="L33" i="4"/>
  <c r="E38" i="4"/>
  <c r="B87" i="5"/>
  <c r="K39" i="4"/>
  <c r="B31" i="4"/>
  <c r="F87" i="5"/>
  <c r="F88" i="5"/>
  <c r="J33" i="4"/>
  <c r="G88" i="5"/>
  <c r="L83" i="5"/>
  <c r="A31" i="4"/>
  <c r="A84" i="5"/>
  <c r="G82" i="5"/>
  <c r="L36" i="4"/>
  <c r="I34" i="4"/>
  <c r="H82" i="5"/>
  <c r="G85" i="5"/>
  <c r="J34" i="4"/>
  <c r="I80" i="5"/>
  <c r="G89" i="5"/>
  <c r="G37" i="4"/>
  <c r="G34" i="4"/>
  <c r="C30" i="4"/>
  <c r="B82" i="5"/>
  <c r="E83" i="5"/>
  <c r="C31" i="4"/>
  <c r="I35" i="4"/>
  <c r="D32" i="4"/>
  <c r="D38" i="4"/>
  <c r="B36" i="4"/>
  <c r="H31" i="4"/>
  <c r="B34" i="4"/>
  <c r="F37" i="4"/>
  <c r="C82" i="5"/>
  <c r="E84" i="5"/>
  <c r="M84" i="5"/>
  <c r="G31" i="4"/>
  <c r="E88" i="5"/>
  <c r="B38" i="4"/>
  <c r="I39" i="4"/>
  <c r="E89" i="5"/>
  <c r="J39" i="4"/>
  <c r="A34" i="4"/>
  <c r="C81" i="5"/>
  <c r="I88" i="5"/>
  <c r="J36" i="4"/>
  <c r="M87" i="5"/>
  <c r="D33" i="4"/>
  <c r="G32" i="4"/>
  <c r="F35" i="4"/>
  <c r="I82" i="5"/>
  <c r="L81" i="5"/>
  <c r="K38" i="4"/>
  <c r="H30" i="4"/>
  <c r="K49" i="5"/>
  <c r="K28" i="5"/>
  <c r="K19" i="5"/>
  <c r="B14" i="4"/>
  <c r="E8" i="2" s="1"/>
  <c r="B34" i="22" s="1"/>
  <c r="D34" i="22" s="1"/>
  <c r="K71" i="5"/>
  <c r="K42" i="5"/>
  <c r="K30" i="5"/>
  <c r="K70" i="5"/>
  <c r="K29" i="5"/>
  <c r="K27" i="5"/>
  <c r="K63" i="5"/>
  <c r="K35" i="5"/>
  <c r="K57" i="5"/>
  <c r="K36" i="5"/>
  <c r="K41" i="5"/>
  <c r="E35" i="5"/>
  <c r="D37" i="5"/>
  <c r="E37" i="5" s="1"/>
  <c r="G30" i="4"/>
  <c r="A87" i="5"/>
  <c r="B88" i="5"/>
  <c r="G86" i="5"/>
  <c r="D31" i="4"/>
  <c r="G81" i="5"/>
  <c r="F32" i="4"/>
  <c r="F81" i="5"/>
  <c r="K81" i="5"/>
  <c r="F34" i="4"/>
  <c r="L89" i="5"/>
  <c r="H35" i="4"/>
  <c r="I36" i="4"/>
  <c r="D37" i="4"/>
  <c r="F33" i="4"/>
  <c r="I87" i="5"/>
  <c r="F85" i="5"/>
  <c r="E32" i="4"/>
  <c r="A37" i="4"/>
  <c r="B37" i="4"/>
  <c r="B80" i="5"/>
  <c r="D35" i="4"/>
  <c r="K34" i="4"/>
  <c r="B84" i="5"/>
  <c r="F30" i="4"/>
  <c r="H32" i="4"/>
  <c r="A83" i="5"/>
  <c r="L88" i="5"/>
  <c r="E37" i="4"/>
  <c r="E80" i="5"/>
  <c r="C34" i="4"/>
  <c r="L35" i="4"/>
  <c r="C87" i="5"/>
  <c r="J89" i="5"/>
  <c r="I32" i="4"/>
  <c r="H87" i="5"/>
  <c r="E87" i="5"/>
  <c r="L34" i="4"/>
  <c r="J83" i="5"/>
  <c r="L30" i="4"/>
  <c r="L32" i="4"/>
  <c r="I86" i="5"/>
  <c r="M83" i="5"/>
  <c r="M81" i="5"/>
  <c r="L87" i="5"/>
  <c r="J32" i="4"/>
  <c r="I38" i="4"/>
  <c r="B30" i="4"/>
  <c r="C38" i="4"/>
  <c r="C84" i="5"/>
  <c r="J85" i="5"/>
  <c r="K84" i="5"/>
  <c r="M86" i="5"/>
  <c r="J38" i="4"/>
  <c r="F83" i="5"/>
  <c r="K35" i="4"/>
  <c r="B39" i="4"/>
  <c r="K89" i="5"/>
  <c r="G36" i="4"/>
  <c r="A33" i="4"/>
  <c r="B86" i="5"/>
  <c r="C35" i="4"/>
  <c r="C89" i="5"/>
  <c r="D34" i="4"/>
  <c r="I81" i="5"/>
  <c r="E36" i="4"/>
  <c r="G83" i="5"/>
  <c r="F80" i="5"/>
  <c r="I84" i="5"/>
  <c r="I89" i="5"/>
  <c r="A85" i="5"/>
  <c r="A82" i="5"/>
  <c r="I30" i="4"/>
  <c r="F31" i="4"/>
  <c r="J31" i="4"/>
  <c r="H81" i="5"/>
  <c r="J81" i="5"/>
  <c r="E33" i="4"/>
  <c r="I83" i="5"/>
  <c r="F38" i="4"/>
  <c r="H38" i="4"/>
  <c r="J35" i="4"/>
  <c r="B83" i="5"/>
  <c r="H34" i="4"/>
  <c r="K85" i="5"/>
  <c r="K87" i="5"/>
  <c r="I37" i="4"/>
  <c r="J80" i="5"/>
  <c r="L86" i="5"/>
  <c r="G84" i="5"/>
  <c r="F86" i="5"/>
  <c r="L80" i="5"/>
  <c r="K31" i="4"/>
  <c r="J87" i="5"/>
  <c r="E81" i="5"/>
  <c r="K33" i="4"/>
  <c r="B85" i="5"/>
  <c r="H89" i="5"/>
  <c r="B81" i="5"/>
  <c r="H88" i="5"/>
  <c r="H80" i="5"/>
  <c r="A35" i="4"/>
  <c r="H37" i="4"/>
  <c r="G33" i="4"/>
  <c r="E39" i="4"/>
  <c r="H85" i="5"/>
  <c r="E85" i="5"/>
  <c r="A38" i="4"/>
  <c r="C37" i="4"/>
  <c r="L38" i="4"/>
  <c r="E34" i="4"/>
  <c r="I31" i="4"/>
  <c r="H36" i="4"/>
  <c r="J86" i="5"/>
  <c r="A30" i="4"/>
  <c r="A36" i="4"/>
  <c r="B35" i="4"/>
  <c r="F39" i="4"/>
  <c r="E82" i="5"/>
  <c r="G38" i="4"/>
  <c r="C33" i="4"/>
  <c r="J82" i="5"/>
  <c r="H86" i="5"/>
  <c r="A39" i="4"/>
  <c r="M85" i="5"/>
  <c r="J37" i="4"/>
  <c r="C88" i="5"/>
  <c r="K30" i="4"/>
  <c r="E31" i="4"/>
  <c r="L39" i="4"/>
  <c r="C32" i="4"/>
  <c r="F89" i="5"/>
  <c r="F84" i="5"/>
  <c r="B89" i="5"/>
  <c r="L85" i="5"/>
  <c r="C39" i="4"/>
  <c r="K83" i="5"/>
  <c r="J88" i="5"/>
  <c r="I33" i="4"/>
  <c r="L31" i="4"/>
  <c r="L37" i="4"/>
  <c r="G87" i="5"/>
  <c r="M89" i="5"/>
  <c r="C86" i="5"/>
  <c r="D36" i="4"/>
  <c r="M82" i="5"/>
  <c r="K88" i="5"/>
  <c r="K82" i="5"/>
  <c r="H83" i="5"/>
  <c r="C83" i="5"/>
  <c r="C85" i="5"/>
  <c r="G35" i="4"/>
  <c r="G39" i="4"/>
  <c r="L84" i="5"/>
  <c r="D39" i="4"/>
  <c r="D30" i="4"/>
  <c r="G58" i="5"/>
  <c r="H54" i="5"/>
  <c r="I12" i="5" s="1"/>
  <c r="H48" i="5"/>
  <c r="I11" i="5" s="1"/>
  <c r="G50" i="5"/>
  <c r="K54" i="5"/>
  <c r="H26" i="5"/>
  <c r="I8" i="5" s="1"/>
  <c r="K26" i="5"/>
  <c r="H62" i="5"/>
  <c r="K62" i="5"/>
  <c r="J30" i="4"/>
  <c r="A88" i="5"/>
  <c r="H84" i="5"/>
  <c r="J51" i="2"/>
  <c r="I27" i="5"/>
  <c r="I19" i="5"/>
  <c r="I7" i="5" s="1"/>
  <c r="I63" i="5"/>
  <c r="H22" i="5"/>
  <c r="K22" i="5"/>
  <c r="L22" i="5" s="1"/>
  <c r="H7" i="5"/>
  <c r="E7" i="5"/>
  <c r="H10" i="14"/>
  <c r="U10" i="14"/>
  <c r="B11" i="14"/>
  <c r="C11" i="14" s="1" a="1"/>
  <c r="G31" i="20"/>
  <c r="H31" i="20" s="1"/>
  <c r="B32" i="20" s="1"/>
  <c r="I10" i="13"/>
  <c r="I13" i="5" l="1"/>
  <c r="F12" i="5"/>
  <c r="F11" i="5"/>
  <c r="F10" i="5"/>
  <c r="I10" i="5"/>
  <c r="C14" i="5"/>
  <c r="F14" i="5"/>
  <c r="C13" i="5"/>
  <c r="F13" i="5"/>
  <c r="C10" i="5"/>
  <c r="F9" i="5"/>
  <c r="C9" i="5"/>
  <c r="F8" i="5"/>
  <c r="L62" i="5"/>
  <c r="L54" i="5"/>
  <c r="C12" i="5"/>
  <c r="L48" i="5"/>
  <c r="C11" i="5"/>
  <c r="L41" i="5"/>
  <c r="L35" i="5"/>
  <c r="L26" i="5"/>
  <c r="C8" i="5"/>
  <c r="K64" i="5"/>
  <c r="H64" i="5"/>
  <c r="H31" i="5"/>
  <c r="K31" i="5"/>
  <c r="AN17" i="17"/>
  <c r="AE18" i="17"/>
  <c r="AD18" i="17"/>
  <c r="AM18" i="17"/>
  <c r="AN18" i="17" s="1"/>
  <c r="AF17" i="17"/>
  <c r="Q10" i="14"/>
  <c r="H11" i="4"/>
  <c r="I11" i="4"/>
  <c r="I12" i="4" s="1"/>
  <c r="B27" i="22" s="1"/>
  <c r="D27" i="22" s="1"/>
  <c r="F11" i="4"/>
  <c r="E10" i="5"/>
  <c r="H10" i="5"/>
  <c r="K43" i="5"/>
  <c r="H43" i="5"/>
  <c r="G11" i="4"/>
  <c r="H72" i="5"/>
  <c r="K72" i="5"/>
  <c r="H14" i="5"/>
  <c r="H37" i="5"/>
  <c r="K37" i="5"/>
  <c r="E9" i="5"/>
  <c r="H9" i="5"/>
  <c r="B20" i="4"/>
  <c r="I48" i="5"/>
  <c r="B18" i="4"/>
  <c r="A10" i="2" s="1"/>
  <c r="I71" i="5"/>
  <c r="I14" i="5" s="1"/>
  <c r="I54" i="5"/>
  <c r="B19" i="4"/>
  <c r="I35" i="5"/>
  <c r="I9" i="5" s="1"/>
  <c r="B21" i="4"/>
  <c r="E14" i="5"/>
  <c r="I21" i="5"/>
  <c r="I62" i="5"/>
  <c r="I26" i="5"/>
  <c r="B39" i="22"/>
  <c r="D39" i="22" s="1"/>
  <c r="J50" i="2"/>
  <c r="H8" i="5"/>
  <c r="E8" i="5"/>
  <c r="H13" i="5"/>
  <c r="E13" i="5"/>
  <c r="K58" i="5"/>
  <c r="H58" i="5"/>
  <c r="H12" i="5"/>
  <c r="E12" i="5"/>
  <c r="E11" i="5"/>
  <c r="H11" i="5"/>
  <c r="K50" i="5"/>
  <c r="H50" i="5"/>
  <c r="J27" i="5"/>
  <c r="J19" i="5"/>
  <c r="J63" i="5"/>
  <c r="J41" i="5"/>
  <c r="I43" i="5"/>
  <c r="J43" i="5" s="1"/>
  <c r="O11" i="14"/>
  <c r="P11" i="14" s="1"/>
  <c r="D11" i="14"/>
  <c r="K11" i="14"/>
  <c r="K11" i="19"/>
  <c r="I11" i="14"/>
  <c r="D32" i="20"/>
  <c r="E32" i="20" s="1"/>
  <c r="I31" i="20"/>
  <c r="J10" i="13"/>
  <c r="AF18" i="17" l="1"/>
  <c r="I50" i="5"/>
  <c r="J50" i="5" s="1"/>
  <c r="J48" i="5"/>
  <c r="G32" i="2"/>
  <c r="J71" i="5"/>
  <c r="I72" i="5"/>
  <c r="J72" i="5" s="1"/>
  <c r="J54" i="5"/>
  <c r="I58" i="5"/>
  <c r="J58" i="5" s="1"/>
  <c r="J35" i="5"/>
  <c r="I37" i="5"/>
  <c r="J37" i="5" s="1"/>
  <c r="J21" i="5"/>
  <c r="I22" i="5"/>
  <c r="J22" i="5" s="1"/>
  <c r="J62" i="5"/>
  <c r="I64" i="5"/>
  <c r="J64" i="5" s="1"/>
  <c r="J26" i="5"/>
  <c r="I31" i="5"/>
  <c r="J31" i="5" s="1"/>
  <c r="B26" i="22"/>
  <c r="D26" i="22" s="1"/>
  <c r="S11" i="14"/>
  <c r="T11" i="14" s="1"/>
  <c r="R11" i="14" s="1"/>
  <c r="G11" i="14"/>
  <c r="F11" i="14"/>
  <c r="G32" i="20"/>
  <c r="H32" i="20" s="1"/>
  <c r="B33" i="20" s="1"/>
  <c r="K10" i="13"/>
  <c r="L10" i="13" s="1"/>
  <c r="H11" i="14" l="1"/>
  <c r="D33" i="20"/>
  <c r="E33" i="20" s="1"/>
  <c r="U11" i="14"/>
  <c r="B12" i="14"/>
  <c r="C12" i="14" s="1" a="1"/>
  <c r="G11" i="13"/>
  <c r="M10" i="13"/>
  <c r="N10" i="13"/>
  <c r="O10" i="13"/>
  <c r="I32" i="20"/>
  <c r="Q11" i="14" l="1"/>
  <c r="G33" i="20"/>
  <c r="H33" i="20" s="1"/>
  <c r="B34" i="20" s="1"/>
  <c r="D12" i="14"/>
  <c r="I12" i="14"/>
  <c r="K12" i="19"/>
  <c r="K12" i="14"/>
  <c r="O12" i="14"/>
  <c r="P12" i="14" s="1"/>
  <c r="I11" i="13"/>
  <c r="G12" i="14" l="1"/>
  <c r="S12" i="14"/>
  <c r="T12" i="14" s="1"/>
  <c r="R12" i="14" s="1"/>
  <c r="F12" i="14"/>
  <c r="D34" i="20"/>
  <c r="I33" i="20"/>
  <c r="J11" i="13"/>
  <c r="H12" i="14" l="1"/>
  <c r="U12" i="14"/>
  <c r="B13" i="14"/>
  <c r="C13" i="14" s="1" a="1"/>
  <c r="E34" i="20"/>
  <c r="K11" i="13"/>
  <c r="Q12" i="14" l="1"/>
  <c r="G13" i="14"/>
  <c r="I13" i="14"/>
  <c r="K13" i="14"/>
  <c r="K13" i="19"/>
  <c r="D13" i="14"/>
  <c r="O13" i="14"/>
  <c r="P13" i="14" s="1"/>
  <c r="G34" i="20"/>
  <c r="H34" i="20" s="1"/>
  <c r="B35" i="20" s="1"/>
  <c r="L11" i="13"/>
  <c r="O11" i="13" s="1"/>
  <c r="D35" i="20" l="1"/>
  <c r="M11" i="13"/>
  <c r="G12" i="13"/>
  <c r="N11" i="13"/>
  <c r="I34" i="20"/>
  <c r="S13" i="14"/>
  <c r="F13" i="14"/>
  <c r="I12" i="13" l="1"/>
  <c r="T13" i="14"/>
  <c r="R13" i="14" s="1"/>
  <c r="H13" i="14"/>
  <c r="E35" i="20"/>
  <c r="U13" i="14" l="1"/>
  <c r="B14" i="14"/>
  <c r="C14" i="14" s="1" a="1"/>
  <c r="Q13" i="14"/>
  <c r="G35" i="20"/>
  <c r="H35" i="20" s="1"/>
  <c r="J12" i="13"/>
  <c r="K12" i="13" s="1"/>
  <c r="O14" i="14" l="1"/>
  <c r="P14" i="14" s="1"/>
  <c r="I14" i="14"/>
  <c r="D14" i="14"/>
  <c r="K14" i="14"/>
  <c r="K14" i="19"/>
  <c r="I35" i="20"/>
  <c r="B36" i="20"/>
  <c r="L12" i="13"/>
  <c r="O12" i="13" s="1"/>
  <c r="D36" i="20" l="1"/>
  <c r="E36" i="20" s="1"/>
  <c r="G13" i="13"/>
  <c r="N12" i="13"/>
  <c r="M12" i="13"/>
  <c r="S14" i="14"/>
  <c r="G14" i="14"/>
  <c r="F14" i="14"/>
  <c r="G36" i="20" l="1"/>
  <c r="H36" i="20" s="1"/>
  <c r="B37" i="20" s="1"/>
  <c r="I13" i="13"/>
  <c r="T14" i="14"/>
  <c r="R14" i="14" s="1"/>
  <c r="H14" i="14"/>
  <c r="D37" i="20" l="1"/>
  <c r="U14" i="14"/>
  <c r="B15" i="14"/>
  <c r="C15" i="14" s="1" a="1"/>
  <c r="Q14" i="14"/>
  <c r="I36" i="20"/>
  <c r="J13" i="13"/>
  <c r="K13" i="13" s="1"/>
  <c r="K15" i="19" l="1"/>
  <c r="O15" i="14"/>
  <c r="P15" i="14" s="1"/>
  <c r="I15" i="14"/>
  <c r="D15" i="14"/>
  <c r="K15" i="14"/>
  <c r="E37" i="20"/>
  <c r="L13" i="13"/>
  <c r="O13" i="13" s="1"/>
  <c r="G37" i="20" l="1"/>
  <c r="H37" i="20" s="1"/>
  <c r="N13" i="13"/>
  <c r="G14" i="13"/>
  <c r="M13" i="13"/>
  <c r="S15" i="14"/>
  <c r="F15" i="14"/>
  <c r="G15" i="14"/>
  <c r="I14" i="13" l="1"/>
  <c r="T15" i="14"/>
  <c r="R15" i="14" s="1"/>
  <c r="H15" i="14"/>
  <c r="I37" i="20"/>
  <c r="B38" i="20"/>
  <c r="U15" i="14" l="1"/>
  <c r="B16" i="14"/>
  <c r="C16" i="14" s="1" a="1"/>
  <c r="Q15" i="14"/>
  <c r="D38" i="20"/>
  <c r="J14" i="13"/>
  <c r="K14" i="13" s="1"/>
  <c r="K16" i="19" l="1"/>
  <c r="D16" i="14"/>
  <c r="K16" i="14"/>
  <c r="I16" i="14"/>
  <c r="O16" i="14"/>
  <c r="P16" i="14" s="1"/>
  <c r="E38" i="20"/>
  <c r="G38" i="20" s="1"/>
  <c r="H38" i="20" s="1"/>
  <c r="L14" i="13"/>
  <c r="O14" i="13" s="1"/>
  <c r="N14" i="13" l="1"/>
  <c r="M14" i="13"/>
  <c r="G15" i="13"/>
  <c r="F16" i="14"/>
  <c r="S16" i="14"/>
  <c r="G16" i="14"/>
  <c r="B39" i="20"/>
  <c r="I38" i="20"/>
  <c r="I15" i="13" l="1"/>
  <c r="J15" i="13" s="1"/>
  <c r="H16" i="14"/>
  <c r="T16" i="14"/>
  <c r="R16" i="14" s="1"/>
  <c r="D39" i="20"/>
  <c r="Q16" i="14" l="1"/>
  <c r="U16" i="14"/>
  <c r="B17" i="14"/>
  <c r="C17" i="14" s="1" a="1"/>
  <c r="K15" i="13"/>
  <c r="E39" i="20"/>
  <c r="G39" i="20" s="1"/>
  <c r="H39" i="20" s="1"/>
  <c r="L15" i="13" l="1"/>
  <c r="O15" i="13" s="1"/>
  <c r="K17" i="14"/>
  <c r="I17" i="14"/>
  <c r="O17" i="14"/>
  <c r="P17" i="14" s="1"/>
  <c r="D17" i="14"/>
  <c r="K17" i="19"/>
  <c r="B40" i="20"/>
  <c r="I39" i="20"/>
  <c r="N15" i="13" l="1"/>
  <c r="G16" i="13"/>
  <c r="M15" i="13"/>
  <c r="D40" i="20"/>
  <c r="G17" i="14"/>
  <c r="F17" i="14"/>
  <c r="S17" i="14"/>
  <c r="I16" i="13" l="1"/>
  <c r="J16" i="13" s="1"/>
  <c r="K16" i="13" s="1"/>
  <c r="L16" i="13" s="1"/>
  <c r="O16" i="13" s="1"/>
  <c r="E40" i="20"/>
  <c r="G40" i="20" s="1"/>
  <c r="H40" i="20" s="1"/>
  <c r="H17" i="14"/>
  <c r="T17" i="14"/>
  <c r="R17" i="14" s="1"/>
  <c r="B41" i="20" l="1"/>
  <c r="I40" i="20"/>
  <c r="Q17" i="14"/>
  <c r="U17" i="14"/>
  <c r="B18" i="14"/>
  <c r="C18" i="14" s="1" a="1"/>
  <c r="N16" i="13"/>
  <c r="G17" i="13"/>
  <c r="M16" i="13"/>
  <c r="D41" i="20" l="1"/>
  <c r="K18" i="19"/>
  <c r="D18" i="14"/>
  <c r="K18" i="14"/>
  <c r="O18" i="14"/>
  <c r="P18" i="14" s="1"/>
  <c r="I18" i="14"/>
  <c r="I17" i="13"/>
  <c r="E41" i="20" l="1"/>
  <c r="G41" i="20" s="1"/>
  <c r="H41" i="20" s="1"/>
  <c r="F18" i="14"/>
  <c r="S18" i="14"/>
  <c r="G18" i="14"/>
  <c r="J17" i="13"/>
  <c r="B42" i="20" l="1"/>
  <c r="I41" i="20"/>
  <c r="H18" i="14"/>
  <c r="T18" i="14"/>
  <c r="R18" i="14" s="1"/>
  <c r="K17" i="13"/>
  <c r="D42" i="20" l="1"/>
  <c r="E42" i="20" s="1"/>
  <c r="G42" i="20" s="1"/>
  <c r="H42" i="20" s="1"/>
  <c r="B43" i="20" s="1"/>
  <c r="Q18" i="14"/>
  <c r="U18" i="14"/>
  <c r="B19" i="14"/>
  <c r="C19" i="14" s="1" a="1"/>
  <c r="L17" i="13"/>
  <c r="O17" i="13" s="1"/>
  <c r="I42" i="20" l="1"/>
  <c r="D43" i="20"/>
  <c r="E43" i="20" s="1"/>
  <c r="H43" i="20" s="1"/>
  <c r="I19" i="14"/>
  <c r="K19" i="14"/>
  <c r="D19" i="14"/>
  <c r="O19" i="14"/>
  <c r="P19" i="14" s="1"/>
  <c r="K19" i="19"/>
  <c r="M17" i="13"/>
  <c r="N17" i="13"/>
  <c r="G18" i="13"/>
  <c r="B44" i="20" l="1"/>
  <c r="I43" i="20"/>
  <c r="I18" i="13"/>
  <c r="F19" i="14"/>
  <c r="G19" i="14"/>
  <c r="S19" i="14"/>
  <c r="D44" i="20" l="1"/>
  <c r="H19" i="14"/>
  <c r="T19" i="14"/>
  <c r="R19" i="14" s="1"/>
  <c r="J18" i="13"/>
  <c r="E44" i="20" l="1"/>
  <c r="H44" i="20" s="1"/>
  <c r="Q19" i="14"/>
  <c r="U19" i="14"/>
  <c r="B20" i="14"/>
  <c r="C20" i="14" s="1" a="1"/>
  <c r="K18" i="13"/>
  <c r="L18" i="13" s="1"/>
  <c r="O18" i="13" l="1"/>
  <c r="B45" i="20"/>
  <c r="D45" i="20" s="1"/>
  <c r="I44" i="20"/>
  <c r="D20" i="14"/>
  <c r="I20" i="14"/>
  <c r="O20" i="14"/>
  <c r="P20" i="14" s="1"/>
  <c r="K20" i="19"/>
  <c r="K20" i="14"/>
  <c r="N18" i="13"/>
  <c r="M18" i="13"/>
  <c r="G19" i="13"/>
  <c r="I19" i="13" l="1"/>
  <c r="E45" i="20"/>
  <c r="H45" i="20" s="1"/>
  <c r="G20" i="14"/>
  <c r="F20" i="14"/>
  <c r="S20" i="14"/>
  <c r="J19" i="13" l="1"/>
  <c r="B46" i="20"/>
  <c r="D46" i="20" s="1"/>
  <c r="E46" i="20" s="1"/>
  <c r="H46" i="20" s="1"/>
  <c r="I45" i="20"/>
  <c r="H20" i="14"/>
  <c r="T20" i="14"/>
  <c r="R20" i="14" s="1"/>
  <c r="K19" i="13" l="1"/>
  <c r="I46" i="20"/>
  <c r="B47" i="20"/>
  <c r="Q20" i="14"/>
  <c r="U20" i="14"/>
  <c r="B21" i="14"/>
  <c r="C21" i="14" l="1" a="1"/>
  <c r="K21" i="19"/>
  <c r="L19" i="13"/>
  <c r="O19" i="13" s="1"/>
  <c r="D47" i="20"/>
  <c r="O21" i="14"/>
  <c r="P21" i="14" s="1"/>
  <c r="I21" i="14"/>
  <c r="D21" i="14"/>
  <c r="K21" i="14"/>
  <c r="G20" i="13" l="1"/>
  <c r="M19" i="13"/>
  <c r="N19" i="13"/>
  <c r="E47" i="20"/>
  <c r="H47" i="20" s="1"/>
  <c r="F21" i="14"/>
  <c r="G21" i="14"/>
  <c r="S21" i="14"/>
  <c r="I20" i="13" l="1"/>
  <c r="J20" i="13" s="1"/>
  <c r="K20" i="13" s="1"/>
  <c r="L20" i="13" s="1"/>
  <c r="B48" i="20"/>
  <c r="I47" i="20"/>
  <c r="H21" i="14"/>
  <c r="T21" i="14"/>
  <c r="R21" i="14" s="1"/>
  <c r="G21" i="13" l="1"/>
  <c r="M20" i="13"/>
  <c r="N20" i="13"/>
  <c r="O20" i="13"/>
  <c r="D48" i="20"/>
  <c r="Q21" i="14"/>
  <c r="U21" i="14"/>
  <c r="B22" i="14"/>
  <c r="C22" i="14" s="1" a="1"/>
  <c r="I21" i="13" l="1"/>
  <c r="J21" i="13" s="1"/>
  <c r="K21" i="13" s="1"/>
  <c r="E48" i="20"/>
  <c r="H48" i="20" s="1"/>
  <c r="I22" i="14"/>
  <c r="K22" i="14"/>
  <c r="D22" i="14"/>
  <c r="K22" i="19"/>
  <c r="O22" i="14"/>
  <c r="P22" i="14" s="1"/>
  <c r="L21" i="13" l="1"/>
  <c r="O21" i="13" s="1"/>
  <c r="B49" i="20"/>
  <c r="D49" i="20" s="1"/>
  <c r="I48" i="20"/>
  <c r="F22" i="14"/>
  <c r="S22" i="14"/>
  <c r="G22" i="14"/>
  <c r="G22" i="13" l="1"/>
  <c r="N21" i="13"/>
  <c r="M21" i="13"/>
  <c r="E49" i="20"/>
  <c r="H49" i="20" s="1"/>
  <c r="H22" i="14"/>
  <c r="T22" i="14"/>
  <c r="R22" i="14" s="1"/>
  <c r="I22" i="13" l="1"/>
  <c r="B50" i="20"/>
  <c r="D50" i="20" s="1"/>
  <c r="I49" i="20"/>
  <c r="Q22" i="14"/>
  <c r="U22" i="14"/>
  <c r="B23" i="14"/>
  <c r="C23" i="14" s="1" a="1"/>
  <c r="J22" i="13" l="1"/>
  <c r="E50" i="20"/>
  <c r="H50" i="20" s="1"/>
  <c r="D23" i="14"/>
  <c r="K23" i="14"/>
  <c r="I23" i="14"/>
  <c r="O23" i="14"/>
  <c r="K23" i="19"/>
  <c r="K22" i="13" l="1"/>
  <c r="L22" i="13" s="1"/>
  <c r="B51" i="20"/>
  <c r="I50" i="20"/>
  <c r="P23" i="14"/>
  <c r="G23" i="14"/>
  <c r="F23" i="14"/>
  <c r="S23" i="14"/>
  <c r="G23" i="13" l="1"/>
  <c r="M22" i="13"/>
  <c r="N22" i="13"/>
  <c r="O22" i="13"/>
  <c r="D51" i="20"/>
  <c r="H23" i="14"/>
  <c r="T23" i="14"/>
  <c r="R23" i="14" s="1"/>
  <c r="I23" i="13" l="1"/>
  <c r="U23" i="14"/>
  <c r="B24" i="14"/>
  <c r="C24" i="14" s="1" a="1"/>
  <c r="E51" i="20"/>
  <c r="H51" i="20" s="1"/>
  <c r="Q23" i="14"/>
  <c r="J23" i="13" l="1"/>
  <c r="K23" i="13" s="1"/>
  <c r="K24" i="19"/>
  <c r="O24" i="14"/>
  <c r="K24" i="14"/>
  <c r="I24" i="14"/>
  <c r="D24" i="14"/>
  <c r="B52" i="20"/>
  <c r="I51" i="20"/>
  <c r="L23" i="13" l="1"/>
  <c r="P24" i="14"/>
  <c r="F24" i="14"/>
  <c r="S24" i="14"/>
  <c r="T24" i="14" s="1"/>
  <c r="R24" i="14" s="1"/>
  <c r="G24" i="14"/>
  <c r="D52" i="20"/>
  <c r="E52" i="20" s="1"/>
  <c r="H52" i="20" s="1"/>
  <c r="G24" i="13" l="1"/>
  <c r="B13" i="13" a="1"/>
  <c r="M23" i="13"/>
  <c r="N23" i="13"/>
  <c r="O23" i="13"/>
  <c r="U24" i="14"/>
  <c r="B25" i="14"/>
  <c r="C25" i="14" s="1" a="1"/>
  <c r="H24" i="14"/>
  <c r="I52" i="20"/>
  <c r="B53" i="20"/>
  <c r="L24" i="13" l="1"/>
  <c r="K25" i="19"/>
  <c r="D25" i="14"/>
  <c r="K25" i="14"/>
  <c r="I25" i="14"/>
  <c r="O25" i="14"/>
  <c r="Q24" i="14"/>
  <c r="D53" i="20"/>
  <c r="G25" i="13" l="1"/>
  <c r="O24" i="13"/>
  <c r="G25" i="14"/>
  <c r="P25" i="14"/>
  <c r="S25" i="14"/>
  <c r="T25" i="14" s="1"/>
  <c r="R25" i="14" s="1"/>
  <c r="F25" i="14"/>
  <c r="E53" i="20"/>
  <c r="H53" i="20" s="1"/>
  <c r="L25" i="13" l="1"/>
  <c r="U25" i="14"/>
  <c r="B26" i="14"/>
  <c r="C26" i="14" s="1" a="1"/>
  <c r="H25" i="14"/>
  <c r="B54" i="20"/>
  <c r="D54" i="20" s="1"/>
  <c r="I53" i="20"/>
  <c r="G26" i="13" l="1"/>
  <c r="L26" i="13" s="1"/>
  <c r="O25" i="13"/>
  <c r="K26" i="19"/>
  <c r="K26" i="14"/>
  <c r="I26" i="14"/>
  <c r="D26" i="14"/>
  <c r="O26" i="14"/>
  <c r="Q25" i="14"/>
  <c r="E54" i="20"/>
  <c r="H54" i="20" s="1"/>
  <c r="G27" i="13" l="1"/>
  <c r="O26" i="13"/>
  <c r="S26" i="14"/>
  <c r="T26" i="14" s="1"/>
  <c r="R26" i="14" s="1"/>
  <c r="P26" i="14"/>
  <c r="F26" i="14"/>
  <c r="G26" i="14"/>
  <c r="B55" i="20"/>
  <c r="D55" i="20" s="1"/>
  <c r="I54" i="20"/>
  <c r="L27" i="13" l="1"/>
  <c r="U26" i="14"/>
  <c r="B27" i="14"/>
  <c r="C27" i="14" s="1" a="1"/>
  <c r="H26" i="14"/>
  <c r="E55" i="20"/>
  <c r="H55" i="20" s="1"/>
  <c r="G28" i="13" l="1"/>
  <c r="L28" i="13" s="1"/>
  <c r="O27" i="13"/>
  <c r="K27" i="14"/>
  <c r="I27" i="14"/>
  <c r="K27" i="19"/>
  <c r="O27" i="14"/>
  <c r="D27" i="14"/>
  <c r="Q26" i="14"/>
  <c r="B56" i="20"/>
  <c r="D56" i="20" s="1"/>
  <c r="E56" i="20" s="1"/>
  <c r="H56" i="20" s="1"/>
  <c r="I55" i="20"/>
  <c r="G29" i="13" l="1"/>
  <c r="L29" i="13" s="1"/>
  <c r="O28" i="13"/>
  <c r="P27" i="14"/>
  <c r="S27" i="14"/>
  <c r="T27" i="14" s="1"/>
  <c r="R27" i="14" s="1"/>
  <c r="F27" i="14"/>
  <c r="G27" i="14"/>
  <c r="B57" i="20"/>
  <c r="I56" i="20"/>
  <c r="G30" i="13" l="1"/>
  <c r="O29" i="13"/>
  <c r="U27" i="14"/>
  <c r="B28" i="14"/>
  <c r="C28" i="14" s="1" a="1"/>
  <c r="H27" i="14"/>
  <c r="D57" i="20"/>
  <c r="L30" i="13" l="1"/>
  <c r="K28" i="19"/>
  <c r="I28" i="14"/>
  <c r="O28" i="14"/>
  <c r="P28" i="14" s="1"/>
  <c r="D28" i="14"/>
  <c r="K28" i="14"/>
  <c r="Q27" i="14"/>
  <c r="E57" i="20"/>
  <c r="H57" i="20" s="1"/>
  <c r="G31" i="13" l="1"/>
  <c r="L31" i="13" s="1"/>
  <c r="O30" i="13"/>
  <c r="B29" i="14"/>
  <c r="C29" i="14" s="1" a="1"/>
  <c r="S28" i="14"/>
  <c r="T28" i="14" s="1"/>
  <c r="R28" i="14" s="1"/>
  <c r="U28" i="14" s="1"/>
  <c r="F28" i="14"/>
  <c r="G28" i="14"/>
  <c r="B58" i="20"/>
  <c r="I57" i="20"/>
  <c r="G32" i="13" l="1"/>
  <c r="O31" i="13"/>
  <c r="I29" i="14"/>
  <c r="K29" i="19"/>
  <c r="D29" i="14"/>
  <c r="K29" i="14"/>
  <c r="O29" i="14"/>
  <c r="P29" i="14" s="1"/>
  <c r="H28" i="14"/>
  <c r="D58" i="20"/>
  <c r="E58" i="20" s="1"/>
  <c r="H58" i="20" s="1"/>
  <c r="L32" i="13" l="1"/>
  <c r="Q28" i="14"/>
  <c r="F29" i="14"/>
  <c r="S29" i="14"/>
  <c r="T29" i="14" s="1"/>
  <c r="R29" i="14" s="1"/>
  <c r="G29" i="14"/>
  <c r="I58" i="20"/>
  <c r="B59" i="20"/>
  <c r="G33" i="13" l="1"/>
  <c r="L33" i="13" s="1"/>
  <c r="O32" i="13"/>
  <c r="H29" i="14"/>
  <c r="U29" i="14"/>
  <c r="B30" i="14"/>
  <c r="C30" i="14" s="1" a="1"/>
  <c r="D59" i="20"/>
  <c r="E59" i="20" s="1"/>
  <c r="H59" i="20" s="1"/>
  <c r="G34" i="13" l="1"/>
  <c r="O33" i="13"/>
  <c r="Q29" i="14"/>
  <c r="K30" i="19"/>
  <c r="K30" i="14"/>
  <c r="I30" i="14"/>
  <c r="O30" i="14"/>
  <c r="P30" i="14" s="1"/>
  <c r="D30" i="14"/>
  <c r="S30" i="14"/>
  <c r="I59" i="20"/>
  <c r="B60" i="20"/>
  <c r="L34" i="13" l="1"/>
  <c r="T30" i="14"/>
  <c r="R30" i="14" s="1"/>
  <c r="U30" i="14" s="1"/>
  <c r="B31" i="14"/>
  <c r="C31" i="14" s="1" a="1"/>
  <c r="F30" i="14"/>
  <c r="G30" i="14"/>
  <c r="D60" i="20"/>
  <c r="G35" i="13" l="1"/>
  <c r="L35" i="13" s="1"/>
  <c r="O34" i="13"/>
  <c r="O31" i="14"/>
  <c r="P31" i="14" s="1"/>
  <c r="D31" i="14"/>
  <c r="I31" i="14"/>
  <c r="K31" i="14"/>
  <c r="K31" i="19"/>
  <c r="H30" i="14"/>
  <c r="E60" i="20"/>
  <c r="H60" i="20" s="1"/>
  <c r="G36" i="13" l="1"/>
  <c r="O35" i="13"/>
  <c r="Q30" i="14"/>
  <c r="S31" i="14"/>
  <c r="T31" i="14" s="1"/>
  <c r="R31" i="14" s="1"/>
  <c r="G31" i="14"/>
  <c r="F31" i="14"/>
  <c r="B61" i="20"/>
  <c r="D61" i="20" s="1"/>
  <c r="E61" i="20" s="1"/>
  <c r="H61" i="20" s="1"/>
  <c r="I60" i="20"/>
  <c r="L36" i="13" l="1"/>
  <c r="U31" i="14"/>
  <c r="B32" i="14"/>
  <c r="C32" i="14" s="1" a="1"/>
  <c r="H31" i="14"/>
  <c r="B62" i="20"/>
  <c r="I61" i="20"/>
  <c r="G37" i="13" l="1"/>
  <c r="L37" i="13" s="1"/>
  <c r="O36" i="13"/>
  <c r="I32" i="14"/>
  <c r="O32" i="14"/>
  <c r="P32" i="14" s="1"/>
  <c r="K32" i="14"/>
  <c r="D32" i="14"/>
  <c r="K32" i="19"/>
  <c r="Q31" i="14"/>
  <c r="D62" i="20"/>
  <c r="E62" i="20" s="1"/>
  <c r="H62" i="20" s="1"/>
  <c r="G38" i="13" l="1"/>
  <c r="O37" i="13"/>
  <c r="F32" i="14"/>
  <c r="S32" i="14"/>
  <c r="T32" i="14" s="1"/>
  <c r="R32" i="14" s="1"/>
  <c r="G32" i="14"/>
  <c r="I62" i="20"/>
  <c r="B31" i="22" s="1"/>
  <c r="D31" i="22" s="1"/>
  <c r="B32" i="22"/>
  <c r="D32" i="22" s="1"/>
  <c r="L38" i="13" l="1"/>
  <c r="U32" i="14"/>
  <c r="B33" i="14"/>
  <c r="C33" i="14" s="1" a="1"/>
  <c r="H32" i="14"/>
  <c r="G39" i="13" l="1"/>
  <c r="O38" i="13"/>
  <c r="B8" i="22"/>
  <c r="D8" i="22" s="1"/>
  <c r="O33" i="14"/>
  <c r="K33" i="14"/>
  <c r="B10" i="15" s="1"/>
  <c r="B24" i="3" s="1"/>
  <c r="D33" i="14"/>
  <c r="K33" i="19"/>
  <c r="L21" i="19" s="1"/>
  <c r="I33" i="14"/>
  <c r="Q32" i="14"/>
  <c r="L39" i="13" l="1"/>
  <c r="B23" i="12"/>
  <c r="P33" i="14"/>
  <c r="B24" i="12" s="1"/>
  <c r="B9" i="22"/>
  <c r="D9" i="22" s="1"/>
  <c r="S33" i="14"/>
  <c r="T33" i="14" s="1"/>
  <c r="R33" i="14" s="1"/>
  <c r="U33" i="14" s="1"/>
  <c r="B10" i="22" s="1"/>
  <c r="D10" i="22" s="1"/>
  <c r="F33" i="14"/>
  <c r="G33" i="14"/>
  <c r="B9" i="15" s="1"/>
  <c r="G40" i="13" l="1"/>
  <c r="L40" i="13" s="1"/>
  <c r="O39" i="13"/>
  <c r="H33" i="14"/>
  <c r="B6" i="22" s="1"/>
  <c r="D6" i="22" s="1"/>
  <c r="B23" i="3"/>
  <c r="B11" i="15"/>
  <c r="B27" i="12"/>
  <c r="G41" i="13" l="1"/>
  <c r="L41" i="13" s="1"/>
  <c r="O40" i="13"/>
  <c r="B5" i="16"/>
  <c r="Q33" i="14"/>
  <c r="B22" i="12" s="1"/>
  <c r="B25" i="3"/>
  <c r="B23" i="22"/>
  <c r="D23" i="22" s="1"/>
  <c r="G35" i="2"/>
  <c r="E3" i="3"/>
  <c r="B4" i="22"/>
  <c r="D4" i="22" s="1"/>
  <c r="G42" i="13" l="1"/>
  <c r="L42" i="13" s="1"/>
  <c r="O41" i="13"/>
  <c r="E8" i="3"/>
  <c r="B19" i="12"/>
  <c r="O42" i="13" l="1"/>
  <c r="G43" i="13"/>
  <c r="L43" i="13" s="1"/>
  <c r="O43" i="13" s="1"/>
  <c r="E9" i="3"/>
  <c r="A5" i="2"/>
  <c r="B26" i="12"/>
  <c r="B5" i="22" s="1"/>
  <c r="D5" i="22" s="1"/>
  <c r="B29" i="12"/>
  <c r="B22" i="22"/>
  <c r="D22" i="22" s="1"/>
  <c r="B15" i="22" l="1"/>
  <c r="D15" i="22" s="1"/>
  <c r="E33" i="14"/>
  <c r="E32" i="14"/>
  <c r="E31" i="14"/>
  <c r="E30" i="14"/>
  <c r="E29" i="14"/>
  <c r="E28" i="14"/>
  <c r="E27" i="14"/>
  <c r="E26" i="14"/>
  <c r="E25" i="14"/>
  <c r="E14" i="14"/>
  <c r="E18" i="14"/>
  <c r="E20" i="14"/>
  <c r="E23" i="14"/>
  <c r="M17" i="17"/>
  <c r="B21" i="12"/>
  <c r="E7" i="3" s="1"/>
  <c r="M10" i="17"/>
  <c r="M21" i="17"/>
  <c r="E11" i="14"/>
  <c r="E13" i="14"/>
  <c r="E16" i="14"/>
  <c r="E19" i="14"/>
  <c r="E22" i="14"/>
  <c r="B20" i="12"/>
  <c r="E10" i="3" s="1"/>
  <c r="M23" i="17"/>
  <c r="M7" i="17"/>
  <c r="M6" i="17"/>
  <c r="M22" i="17"/>
  <c r="M15" i="17"/>
  <c r="M19" i="17"/>
  <c r="M14" i="17"/>
  <c r="B18" i="12"/>
  <c r="M24" i="17"/>
  <c r="M13" i="17"/>
  <c r="M20" i="17"/>
  <c r="M8" i="17"/>
  <c r="M16" i="17"/>
  <c r="M18" i="17"/>
  <c r="M12" i="17"/>
  <c r="M11" i="17"/>
  <c r="M9" i="17"/>
  <c r="E41" i="14"/>
  <c r="E39" i="14"/>
  <c r="E34" i="14"/>
  <c r="E40" i="14"/>
  <c r="E38" i="14"/>
  <c r="E37" i="14"/>
  <c r="E36" i="14"/>
  <c r="E35" i="14"/>
  <c r="E4" i="14"/>
  <c r="E43" i="14"/>
  <c r="E42" i="14"/>
  <c r="E24" i="14"/>
  <c r="E5" i="14"/>
  <c r="E6" i="14"/>
  <c r="E7" i="14"/>
  <c r="E8" i="14"/>
  <c r="E9" i="14"/>
  <c r="E10" i="14"/>
  <c r="E12" i="14"/>
  <c r="E15" i="14"/>
  <c r="E17" i="14"/>
  <c r="E21" i="14"/>
  <c r="E6" i="3"/>
  <c r="B80" i="3" l="1"/>
  <c r="J33" i="14"/>
  <c r="L33" i="14" s="1"/>
  <c r="B79" i="3"/>
  <c r="J32" i="14"/>
  <c r="L32" i="14" s="1"/>
  <c r="B78" i="3"/>
  <c r="J31" i="14"/>
  <c r="L31" i="14" s="1"/>
  <c r="B77" i="3"/>
  <c r="J30" i="14"/>
  <c r="L30" i="14" s="1"/>
  <c r="B76" i="3"/>
  <c r="J29" i="14"/>
  <c r="L29" i="14" s="1"/>
  <c r="B75" i="3"/>
  <c r="J28" i="14"/>
  <c r="L28" i="14" s="1"/>
  <c r="B74" i="3"/>
  <c r="J27" i="14"/>
  <c r="L27" i="14" s="1"/>
  <c r="B73" i="3"/>
  <c r="J26" i="14"/>
  <c r="L26" i="14" s="1"/>
  <c r="J25" i="14"/>
  <c r="L25" i="14" s="1"/>
  <c r="B72" i="3"/>
  <c r="J14" i="14"/>
  <c r="L14" i="14" s="1"/>
  <c r="B61" i="3"/>
  <c r="J18" i="14"/>
  <c r="L18" i="14" s="1"/>
  <c r="B65" i="3"/>
  <c r="J20" i="14"/>
  <c r="L20" i="14" s="1"/>
  <c r="B67" i="3"/>
  <c r="J23" i="14"/>
  <c r="L23" i="14" s="1"/>
  <c r="B70" i="3"/>
  <c r="AG17" i="17"/>
  <c r="AK17" i="17"/>
  <c r="AG10" i="17"/>
  <c r="AK10" i="17"/>
  <c r="AG21" i="17"/>
  <c r="AK21" i="17"/>
  <c r="J11" i="14"/>
  <c r="L11" i="14" s="1"/>
  <c r="B58" i="3"/>
  <c r="J13" i="14"/>
  <c r="L13" i="14" s="1"/>
  <c r="B60" i="3"/>
  <c r="J16" i="14"/>
  <c r="L16" i="14" s="1"/>
  <c r="B63" i="3"/>
  <c r="J19" i="14"/>
  <c r="L19" i="14" s="1"/>
  <c r="B66" i="3"/>
  <c r="J22" i="14"/>
  <c r="L22" i="14" s="1"/>
  <c r="B69" i="3"/>
  <c r="AG23" i="17"/>
  <c r="AK23" i="17"/>
  <c r="AG7" i="17"/>
  <c r="AK7" i="17"/>
  <c r="AG6" i="17"/>
  <c r="AK6" i="17"/>
  <c r="AG22" i="17"/>
  <c r="AK22" i="17"/>
  <c r="AG15" i="17"/>
  <c r="AK15" i="17"/>
  <c r="AG19" i="17"/>
  <c r="AK19" i="17"/>
  <c r="AG14" i="17"/>
  <c r="AK14" i="17"/>
  <c r="AK24" i="17"/>
  <c r="AG24" i="17"/>
  <c r="AG13" i="17"/>
  <c r="AK13" i="17"/>
  <c r="AG20" i="17"/>
  <c r="AK20" i="17"/>
  <c r="AK8" i="17"/>
  <c r="AG8" i="17"/>
  <c r="AG16" i="17"/>
  <c r="AK16" i="17"/>
  <c r="AG18" i="17"/>
  <c r="AK18" i="17"/>
  <c r="AG12" i="17"/>
  <c r="AK12" i="17"/>
  <c r="AG11" i="17"/>
  <c r="AK11" i="17"/>
  <c r="AG9" i="17"/>
  <c r="AK9" i="17"/>
  <c r="J41" i="14"/>
  <c r="L41" i="14" s="1"/>
  <c r="B88" i="3"/>
  <c r="J39" i="14"/>
  <c r="L39" i="14" s="1"/>
  <c r="B86" i="3"/>
  <c r="J34" i="14"/>
  <c r="L34" i="14" s="1"/>
  <c r="B81" i="3"/>
  <c r="J40" i="14"/>
  <c r="L40" i="14" s="1"/>
  <c r="B87" i="3"/>
  <c r="J38" i="14"/>
  <c r="L38" i="14" s="1"/>
  <c r="B85" i="3"/>
  <c r="J37" i="14"/>
  <c r="L37" i="14" s="1"/>
  <c r="B84" i="3"/>
  <c r="J36" i="14"/>
  <c r="L36" i="14" s="1"/>
  <c r="B83" i="3"/>
  <c r="J35" i="14"/>
  <c r="L35" i="14" s="1"/>
  <c r="B82" i="3"/>
  <c r="B4" i="16"/>
  <c r="J4" i="14"/>
  <c r="L4" i="14" s="1"/>
  <c r="B51" i="3"/>
  <c r="J43" i="14"/>
  <c r="L43" i="14" s="1"/>
  <c r="B90" i="3"/>
  <c r="J42" i="14"/>
  <c r="L42" i="14" s="1"/>
  <c r="B89" i="3"/>
  <c r="J24" i="14"/>
  <c r="L24" i="14" s="1"/>
  <c r="B71" i="3"/>
  <c r="J5" i="14"/>
  <c r="L5" i="14" s="1"/>
  <c r="B52" i="3"/>
  <c r="J6" i="14"/>
  <c r="L6" i="14" s="1"/>
  <c r="B53" i="3"/>
  <c r="J7" i="14"/>
  <c r="L7" i="14" s="1"/>
  <c r="B54" i="3"/>
  <c r="J8" i="14"/>
  <c r="L8" i="14" s="1"/>
  <c r="B55" i="3"/>
  <c r="J9" i="14"/>
  <c r="L9" i="14" s="1"/>
  <c r="B56" i="3"/>
  <c r="J10" i="14"/>
  <c r="L10" i="14" s="1"/>
  <c r="B57" i="3"/>
  <c r="J12" i="14"/>
  <c r="L12" i="14" s="1"/>
  <c r="B59" i="3"/>
  <c r="J15" i="14"/>
  <c r="L15" i="14" s="1"/>
  <c r="B62" i="3"/>
  <c r="J17" i="14"/>
  <c r="L17" i="14" s="1"/>
  <c r="B64" i="3"/>
  <c r="J21" i="14"/>
  <c r="B68" i="3"/>
  <c r="L21" i="14" l="1"/>
  <c r="O21" i="19"/>
  <c r="C80" i="3"/>
  <c r="O33" i="19"/>
  <c r="B79" i="2"/>
  <c r="N33" i="14"/>
  <c r="C79" i="2" s="1"/>
  <c r="D80" i="3"/>
  <c r="C79" i="3"/>
  <c r="O32" i="19"/>
  <c r="D79" i="3"/>
  <c r="B78" i="2"/>
  <c r="N32" i="14"/>
  <c r="C78" i="2" s="1"/>
  <c r="C78" i="3"/>
  <c r="O31" i="19"/>
  <c r="B77" i="2"/>
  <c r="N31" i="14"/>
  <c r="C77" i="2" s="1"/>
  <c r="D78" i="3"/>
  <c r="C77" i="3"/>
  <c r="O30" i="19"/>
  <c r="N30" i="14"/>
  <c r="C76" i="2" s="1"/>
  <c r="D77" i="3"/>
  <c r="B76" i="2"/>
  <c r="C76" i="3"/>
  <c r="O29" i="19"/>
  <c r="B75" i="2"/>
  <c r="N29" i="14"/>
  <c r="C75" i="2" s="1"/>
  <c r="D76" i="3"/>
  <c r="C75" i="3"/>
  <c r="O28" i="19"/>
  <c r="N28" i="14"/>
  <c r="C74" i="2" s="1"/>
  <c r="B74" i="2"/>
  <c r="D75" i="3"/>
  <c r="C74" i="3"/>
  <c r="O27" i="19"/>
  <c r="B73" i="2"/>
  <c r="N27" i="14"/>
  <c r="C73" i="2" s="1"/>
  <c r="D74" i="3"/>
  <c r="C73" i="3"/>
  <c r="O26" i="19"/>
  <c r="N26" i="14"/>
  <c r="C72" i="2" s="1"/>
  <c r="B72" i="2"/>
  <c r="D73" i="3"/>
  <c r="B71" i="2"/>
  <c r="N25" i="14"/>
  <c r="C71" i="2" s="1"/>
  <c r="D72" i="3"/>
  <c r="C72" i="3"/>
  <c r="O25" i="19"/>
  <c r="B60" i="2"/>
  <c r="N14" i="14"/>
  <c r="C60" i="2" s="1"/>
  <c r="D61" i="3"/>
  <c r="C61" i="3"/>
  <c r="O14" i="19"/>
  <c r="B64" i="2"/>
  <c r="N18" i="14"/>
  <c r="C64" i="2" s="1"/>
  <c r="D65" i="3"/>
  <c r="C65" i="3"/>
  <c r="O18" i="19"/>
  <c r="N20" i="14"/>
  <c r="C66" i="2" s="1"/>
  <c r="B66" i="2"/>
  <c r="D67" i="3"/>
  <c r="C67" i="3"/>
  <c r="O20" i="19"/>
  <c r="B69" i="2"/>
  <c r="D70" i="3"/>
  <c r="N23" i="14"/>
  <c r="C69" i="2" s="1"/>
  <c r="C70" i="3"/>
  <c r="O23" i="19"/>
  <c r="AI17" i="17"/>
  <c r="AH17" i="17"/>
  <c r="AI10" i="17"/>
  <c r="AH10" i="17"/>
  <c r="AH21" i="17"/>
  <c r="AI21" i="17"/>
  <c r="N11" i="14"/>
  <c r="C57" i="2" s="1"/>
  <c r="B57" i="2"/>
  <c r="D58" i="3"/>
  <c r="C58" i="3"/>
  <c r="O11" i="19"/>
  <c r="N13" i="14"/>
  <c r="C59" i="2" s="1"/>
  <c r="B59" i="2"/>
  <c r="D60" i="3"/>
  <c r="O13" i="19"/>
  <c r="C60" i="3"/>
  <c r="B62" i="2"/>
  <c r="D63" i="3"/>
  <c r="N16" i="14"/>
  <c r="C62" i="2" s="1"/>
  <c r="O16" i="19"/>
  <c r="C63" i="3"/>
  <c r="B65" i="2"/>
  <c r="N19" i="14"/>
  <c r="C65" i="2" s="1"/>
  <c r="D66" i="3"/>
  <c r="C66" i="3"/>
  <c r="O19" i="19"/>
  <c r="B68" i="2"/>
  <c r="N22" i="14"/>
  <c r="C68" i="2" s="1"/>
  <c r="D69" i="3"/>
  <c r="C69" i="3"/>
  <c r="O22" i="19"/>
  <c r="AH23" i="17"/>
  <c r="AI23" i="17"/>
  <c r="AH7" i="17"/>
  <c r="AI7" i="17"/>
  <c r="AI6" i="17"/>
  <c r="AH6" i="17"/>
  <c r="AI22" i="17"/>
  <c r="AH22" i="17"/>
  <c r="AH15" i="17"/>
  <c r="AI15" i="17"/>
  <c r="AI19" i="17"/>
  <c r="AH19" i="17"/>
  <c r="AI14" i="17"/>
  <c r="AH14" i="17"/>
  <c r="AI24" i="17"/>
  <c r="AH24" i="17"/>
  <c r="AI13" i="17"/>
  <c r="AH13" i="17"/>
  <c r="AI20" i="17"/>
  <c r="AH20" i="17"/>
  <c r="AH8" i="17"/>
  <c r="AI8" i="17"/>
  <c r="AH16" i="17"/>
  <c r="AI16" i="17"/>
  <c r="AI18" i="17"/>
  <c r="AH18" i="17"/>
  <c r="AH12" i="17"/>
  <c r="AI12" i="17"/>
  <c r="AI11" i="17"/>
  <c r="AH11" i="17"/>
  <c r="AH9" i="17"/>
  <c r="AI9" i="17"/>
  <c r="B87" i="2"/>
  <c r="D88" i="3"/>
  <c r="N41" i="14"/>
  <c r="C87" i="2" s="1"/>
  <c r="O41" i="19"/>
  <c r="C88" i="3"/>
  <c r="B85" i="2"/>
  <c r="D86" i="3"/>
  <c r="N39" i="14"/>
  <c r="C85" i="2" s="1"/>
  <c r="O39" i="19"/>
  <c r="C86" i="3"/>
  <c r="B80" i="2"/>
  <c r="D81" i="3"/>
  <c r="N34" i="14"/>
  <c r="C80" i="2" s="1"/>
  <c r="O34" i="19"/>
  <c r="C81" i="3"/>
  <c r="B86" i="2"/>
  <c r="D87" i="3"/>
  <c r="N40" i="14"/>
  <c r="C86" i="2" s="1"/>
  <c r="O40" i="19"/>
  <c r="C87" i="3"/>
  <c r="B84" i="2"/>
  <c r="D85" i="3"/>
  <c r="N38" i="14"/>
  <c r="C84" i="2" s="1"/>
  <c r="O38" i="19"/>
  <c r="C85" i="3"/>
  <c r="N37" i="14"/>
  <c r="C83" i="2" s="1"/>
  <c r="D84" i="3"/>
  <c r="B83" i="2"/>
  <c r="O37" i="19"/>
  <c r="C84" i="3"/>
  <c r="B82" i="2"/>
  <c r="N36" i="14"/>
  <c r="C82" i="2" s="1"/>
  <c r="D83" i="3"/>
  <c r="O36" i="19"/>
  <c r="C83" i="3"/>
  <c r="N35" i="14"/>
  <c r="C81" i="2" s="1"/>
  <c r="D82" i="3"/>
  <c r="B81" i="2"/>
  <c r="O35" i="19"/>
  <c r="C82" i="3"/>
  <c r="B50" i="2"/>
  <c r="N4" i="14"/>
  <c r="D51" i="3"/>
  <c r="B4" i="19"/>
  <c r="H10" i="3"/>
  <c r="B5" i="19"/>
  <c r="B6" i="16"/>
  <c r="B30" i="22"/>
  <c r="D30" i="22" s="1"/>
  <c r="O4" i="19"/>
  <c r="C51" i="3"/>
  <c r="N43" i="14"/>
  <c r="C89" i="2" s="1"/>
  <c r="B89" i="2"/>
  <c r="D90" i="3"/>
  <c r="C90" i="3"/>
  <c r="O43" i="19"/>
  <c r="D89" i="3"/>
  <c r="N42" i="14"/>
  <c r="C88" i="2" s="1"/>
  <c r="B88" i="2"/>
  <c r="C89" i="3"/>
  <c r="O42" i="19"/>
  <c r="N24" i="14"/>
  <c r="C70" i="2" s="1"/>
  <c r="B70" i="2"/>
  <c r="D71" i="3"/>
  <c r="O24" i="19"/>
  <c r="C71" i="3"/>
  <c r="N5" i="14"/>
  <c r="C51" i="2" s="1"/>
  <c r="B51" i="2"/>
  <c r="D52" i="3"/>
  <c r="O5" i="19"/>
  <c r="C52" i="3"/>
  <c r="B52" i="2"/>
  <c r="N6" i="14"/>
  <c r="C52" i="2" s="1"/>
  <c r="D53" i="3"/>
  <c r="C53" i="3"/>
  <c r="O6" i="19"/>
  <c r="N7" i="14"/>
  <c r="C53" i="2" s="1"/>
  <c r="B53" i="2"/>
  <c r="D54" i="3"/>
  <c r="O7" i="19"/>
  <c r="C54" i="3"/>
  <c r="B54" i="2"/>
  <c r="N8" i="14"/>
  <c r="C54" i="2" s="1"/>
  <c r="D55" i="3"/>
  <c r="C55" i="3"/>
  <c r="O8" i="19"/>
  <c r="B55" i="2"/>
  <c r="N9" i="14"/>
  <c r="C55" i="2" s="1"/>
  <c r="D56" i="3"/>
  <c r="O9" i="19"/>
  <c r="C56" i="3"/>
  <c r="N10" i="14"/>
  <c r="C56" i="2" s="1"/>
  <c r="B56" i="2"/>
  <c r="D57" i="3"/>
  <c r="O10" i="19"/>
  <c r="C57" i="3"/>
  <c r="N12" i="14"/>
  <c r="C58" i="2" s="1"/>
  <c r="B58" i="2"/>
  <c r="D59" i="3"/>
  <c r="O12" i="19"/>
  <c r="C59" i="3"/>
  <c r="B61" i="2"/>
  <c r="N15" i="14"/>
  <c r="C61" i="2" s="1"/>
  <c r="D62" i="3"/>
  <c r="C62" i="3"/>
  <c r="O15" i="19"/>
  <c r="N17" i="14"/>
  <c r="C63" i="2" s="1"/>
  <c r="B63" i="2"/>
  <c r="D64" i="3"/>
  <c r="O17" i="19"/>
  <c r="C64" i="3"/>
  <c r="C68" i="3"/>
  <c r="B67" i="2" l="1"/>
  <c r="N21" i="14"/>
  <c r="D68" i="3"/>
  <c r="AJ14" i="17"/>
  <c r="AJ20" i="17"/>
  <c r="AJ22" i="17"/>
  <c r="AJ13" i="17"/>
  <c r="AJ11" i="17"/>
  <c r="AR11" i="17" s="1"/>
  <c r="AJ18" i="17"/>
  <c r="AJ19" i="17"/>
  <c r="AJ17" i="17"/>
  <c r="AJ21" i="17"/>
  <c r="E30" i="6"/>
  <c r="G30" i="6" s="1"/>
  <c r="AS17" i="17"/>
  <c r="AO17" i="17"/>
  <c r="B23" i="6"/>
  <c r="AO10" i="17"/>
  <c r="AS10" i="17"/>
  <c r="H23" i="6"/>
  <c r="AJ10" i="17"/>
  <c r="E32" i="6"/>
  <c r="G32" i="6" s="1"/>
  <c r="AO21" i="17"/>
  <c r="AS21" i="17"/>
  <c r="B50" i="7"/>
  <c r="AO23" i="17"/>
  <c r="AS23" i="17"/>
  <c r="H20" i="6"/>
  <c r="AJ7" i="17"/>
  <c r="B20" i="6"/>
  <c r="C20" i="6" s="1"/>
  <c r="AS7" i="17"/>
  <c r="AO7" i="17"/>
  <c r="AO6" i="17"/>
  <c r="AS6" i="17"/>
  <c r="E33" i="6"/>
  <c r="B21" i="22"/>
  <c r="D21" i="22" s="1"/>
  <c r="AJ6" i="17"/>
  <c r="AR6" i="17" s="1"/>
  <c r="F32" i="6"/>
  <c r="H32" i="6" s="1"/>
  <c r="AS22" i="17"/>
  <c r="AO22" i="17"/>
  <c r="E29" i="6"/>
  <c r="G29" i="6" s="1"/>
  <c r="AS15" i="17"/>
  <c r="AO15" i="17"/>
  <c r="E31" i="6"/>
  <c r="G31" i="6" s="1"/>
  <c r="AS19" i="17"/>
  <c r="AO19" i="17"/>
  <c r="F28" i="6"/>
  <c r="H28" i="6" s="1"/>
  <c r="AO14" i="17"/>
  <c r="AS14" i="17"/>
  <c r="C50" i="7"/>
  <c r="AS24" i="17"/>
  <c r="AO24" i="17"/>
  <c r="E28" i="6"/>
  <c r="G28" i="6" s="1"/>
  <c r="AS13" i="17"/>
  <c r="AO13" i="17"/>
  <c r="F31" i="6"/>
  <c r="H31" i="6" s="1"/>
  <c r="AS20" i="17"/>
  <c r="AO20" i="17"/>
  <c r="H21" i="6"/>
  <c r="AJ8" i="17"/>
  <c r="B21" i="6"/>
  <c r="AS8" i="17"/>
  <c r="AO8" i="17"/>
  <c r="F29" i="6"/>
  <c r="H29" i="6" s="1"/>
  <c r="AO16" i="17"/>
  <c r="AS16" i="17"/>
  <c r="F30" i="6"/>
  <c r="H30" i="6" s="1"/>
  <c r="AS18" i="17"/>
  <c r="AO18" i="17"/>
  <c r="F27" i="6"/>
  <c r="H27" i="6" s="1"/>
  <c r="AS12" i="17"/>
  <c r="AO12" i="17"/>
  <c r="E27" i="6"/>
  <c r="G27" i="6" s="1"/>
  <c r="AS11" i="17"/>
  <c r="AO11" i="17"/>
  <c r="H22" i="6"/>
  <c r="AJ9" i="17"/>
  <c r="D22" i="6" s="1"/>
  <c r="AR9" i="17"/>
  <c r="G22" i="6" s="1"/>
  <c r="B22" i="6"/>
  <c r="AO9" i="17"/>
  <c r="AS9" i="17"/>
  <c r="G6" i="16"/>
  <c r="H6" i="16" s="1"/>
  <c r="G15" i="16"/>
  <c r="H15" i="16" s="1"/>
  <c r="G7" i="16"/>
  <c r="H7" i="16" s="1"/>
  <c r="G5" i="16"/>
  <c r="H5" i="16" s="1"/>
  <c r="G12" i="16"/>
  <c r="H12" i="16" s="1"/>
  <c r="G16" i="16"/>
  <c r="H16" i="16" s="1"/>
  <c r="G14" i="16"/>
  <c r="H14" i="16" s="1"/>
  <c r="G20" i="16"/>
  <c r="H20" i="16" s="1"/>
  <c r="G8" i="16"/>
  <c r="H8" i="16" s="1"/>
  <c r="G17" i="16"/>
  <c r="H17" i="16" s="1"/>
  <c r="G10" i="16"/>
  <c r="H10" i="16" s="1"/>
  <c r="G18" i="16"/>
  <c r="H18" i="16" s="1"/>
  <c r="G4" i="16"/>
  <c r="H4" i="16" s="1"/>
  <c r="C50" i="2"/>
  <c r="G19" i="16"/>
  <c r="H19" i="16" s="1"/>
  <c r="G13" i="16"/>
  <c r="H13" i="16" s="1"/>
  <c r="G11" i="16"/>
  <c r="H11" i="16" s="1"/>
  <c r="G9" i="16"/>
  <c r="H9" i="16" s="1"/>
  <c r="B6" i="19"/>
  <c r="P21" i="19" s="1"/>
  <c r="N4" i="19"/>
  <c r="B12" i="19"/>
  <c r="AJ23" i="17"/>
  <c r="AJ15" i="17"/>
  <c r="AR15" i="17" s="1"/>
  <c r="AJ24" i="17"/>
  <c r="AJ16" i="17"/>
  <c r="AJ12" i="17"/>
  <c r="G42" i="16" l="1"/>
  <c r="H42" i="16" s="1"/>
  <c r="G24" i="16"/>
  <c r="H24" i="16" s="1"/>
  <c r="G31" i="16"/>
  <c r="H31" i="16" s="1"/>
  <c r="G40" i="16"/>
  <c r="H40" i="16" s="1"/>
  <c r="G36" i="16"/>
  <c r="H36" i="16" s="1"/>
  <c r="G43" i="16"/>
  <c r="H43" i="16" s="1"/>
  <c r="G26" i="16"/>
  <c r="H26" i="16" s="1"/>
  <c r="G29" i="16"/>
  <c r="H29" i="16" s="1"/>
  <c r="C67" i="2"/>
  <c r="G34" i="16"/>
  <c r="H34" i="16" s="1"/>
  <c r="G30" i="16"/>
  <c r="H30" i="16" s="1"/>
  <c r="G21" i="16"/>
  <c r="H21" i="16" s="1"/>
  <c r="G33" i="16"/>
  <c r="H33" i="16" s="1"/>
  <c r="G41" i="16"/>
  <c r="H41" i="16" s="1"/>
  <c r="G38" i="16"/>
  <c r="H38" i="16" s="1"/>
  <c r="G23" i="16"/>
  <c r="H23" i="16" s="1"/>
  <c r="B7" i="16"/>
  <c r="G37" i="16"/>
  <c r="H37" i="16" s="1"/>
  <c r="G35" i="16"/>
  <c r="H35" i="16" s="1"/>
  <c r="G28" i="16"/>
  <c r="H28" i="16" s="1"/>
  <c r="G22" i="16"/>
  <c r="H22" i="16" s="1"/>
  <c r="G39" i="16"/>
  <c r="H39" i="16" s="1"/>
  <c r="G27" i="16"/>
  <c r="H27" i="16" s="1"/>
  <c r="G25" i="16"/>
  <c r="H25" i="16" s="1"/>
  <c r="G32" i="16"/>
  <c r="H32" i="16" s="1"/>
  <c r="D28" i="6"/>
  <c r="AR14" i="17"/>
  <c r="D31" i="6"/>
  <c r="AR20" i="17"/>
  <c r="D32" i="6"/>
  <c r="AR22" i="17"/>
  <c r="J28" i="6"/>
  <c r="AR13" i="17"/>
  <c r="AR19" i="17"/>
  <c r="J31" i="6"/>
  <c r="D21" i="6"/>
  <c r="AR8" i="17"/>
  <c r="G21" i="6" s="1"/>
  <c r="J27" i="6"/>
  <c r="J30" i="6"/>
  <c r="AR17" i="17"/>
  <c r="D30" i="6"/>
  <c r="AR18" i="17"/>
  <c r="C23" i="6"/>
  <c r="I31" i="6"/>
  <c r="C21" i="6"/>
  <c r="I29" i="6"/>
  <c r="I30" i="6"/>
  <c r="C22" i="6"/>
  <c r="J32" i="6"/>
  <c r="AR21" i="17"/>
  <c r="B51" i="7"/>
  <c r="AR23" i="17"/>
  <c r="P40" i="19"/>
  <c r="P24" i="19"/>
  <c r="P15" i="19"/>
  <c r="P10" i="19"/>
  <c r="P33" i="19"/>
  <c r="P43" i="19"/>
  <c r="P38" i="19"/>
  <c r="P32" i="19"/>
  <c r="P22" i="19"/>
  <c r="P11" i="19"/>
  <c r="P9" i="19"/>
  <c r="P39" i="19"/>
  <c r="P27" i="19"/>
  <c r="P25" i="19"/>
  <c r="P14" i="19"/>
  <c r="P4" i="19"/>
  <c r="R4" i="19" s="1"/>
  <c r="P12" i="19"/>
  <c r="P19" i="19"/>
  <c r="P8" i="19"/>
  <c r="P37" i="19"/>
  <c r="P17" i="19"/>
  <c r="P30" i="19"/>
  <c r="P29" i="19"/>
  <c r="P26" i="19"/>
  <c r="P13" i="19"/>
  <c r="P28" i="19"/>
  <c r="P35" i="19"/>
  <c r="P16" i="19"/>
  <c r="P6" i="19"/>
  <c r="P36" i="19"/>
  <c r="P5" i="19"/>
  <c r="P23" i="19"/>
  <c r="P7" i="19"/>
  <c r="P18" i="19"/>
  <c r="P41" i="19"/>
  <c r="P42" i="19"/>
  <c r="P31" i="19"/>
  <c r="P34" i="19"/>
  <c r="P20" i="19"/>
  <c r="B7" i="19"/>
  <c r="Q4" i="19"/>
  <c r="AR12" i="17"/>
  <c r="D27" i="6"/>
  <c r="I32" i="6"/>
  <c r="I28" i="6"/>
  <c r="D50" i="7"/>
  <c r="E50" i="7" s="1"/>
  <c r="I27" i="6"/>
  <c r="J29" i="6"/>
  <c r="D23" i="6"/>
  <c r="AR10" i="17"/>
  <c r="G23" i="6" s="1"/>
  <c r="D20" i="6"/>
  <c r="AR7" i="17"/>
  <c r="G20" i="6" s="1"/>
  <c r="C51" i="7"/>
  <c r="AR24" i="17"/>
  <c r="D29" i="6"/>
  <c r="AR16" i="17"/>
  <c r="B9" i="16" l="1"/>
  <c r="B20" i="22"/>
  <c r="D20" i="22" s="1"/>
  <c r="B11" i="16"/>
  <c r="B7" i="22" s="1"/>
  <c r="D7" i="22" s="1"/>
  <c r="B8" i="16"/>
  <c r="B12" i="15"/>
  <c r="B10" i="16"/>
  <c r="E5" i="2"/>
  <c r="B33" i="22" s="1"/>
  <c r="D33" i="22" s="1"/>
  <c r="H6" i="3"/>
  <c r="D51" i="7"/>
  <c r="E51" i="7" s="1"/>
  <c r="R5" i="19"/>
  <c r="R6" i="19" s="1"/>
  <c r="R7" i="19" s="1"/>
  <c r="R8" i="19" s="1"/>
  <c r="R9" i="19" s="1"/>
  <c r="R10" i="19" s="1"/>
  <c r="R11" i="19" s="1"/>
  <c r="R12" i="19" s="1"/>
  <c r="R13" i="19" s="1"/>
  <c r="R14" i="19" s="1"/>
  <c r="R15" i="19" s="1"/>
  <c r="R16" i="19" s="1"/>
  <c r="R17" i="19" s="1"/>
  <c r="R18" i="19" s="1"/>
  <c r="R19" i="19" s="1"/>
  <c r="R20" i="19" s="1"/>
  <c r="R21" i="19" s="1"/>
  <c r="R22" i="19" s="1"/>
  <c r="R23" i="19" s="1"/>
  <c r="R24" i="19" s="1"/>
  <c r="R25" i="19" s="1"/>
  <c r="R26" i="19" s="1"/>
  <c r="R27" i="19" s="1"/>
  <c r="R28" i="19" s="1"/>
  <c r="R29" i="19" s="1"/>
  <c r="R30" i="19" s="1"/>
  <c r="R31" i="19" s="1"/>
  <c r="R32" i="19" s="1"/>
  <c r="R33" i="19" s="1"/>
  <c r="R34" i="19" s="1"/>
  <c r="R35" i="19" s="1"/>
  <c r="R36" i="19" s="1"/>
  <c r="R37" i="19" s="1"/>
  <c r="R38" i="19" s="1"/>
  <c r="R39" i="19" s="1"/>
  <c r="R40" i="19" s="1"/>
  <c r="R41" i="19" s="1"/>
  <c r="R42" i="19" s="1"/>
  <c r="R43" i="19" s="1"/>
  <c r="B9" i="19"/>
  <c r="B10" i="19" s="1"/>
  <c r="B8" i="19"/>
  <c r="N5" i="19"/>
  <c r="Q5" i="19" s="1"/>
  <c r="E38" i="6"/>
  <c r="E43" i="6"/>
  <c r="E41" i="6"/>
  <c r="E39" i="6"/>
  <c r="E42" i="6"/>
  <c r="E40" i="6"/>
  <c r="A8" i="2" l="1"/>
  <c r="H9" i="3"/>
  <c r="H11" i="3"/>
  <c r="I5" i="2"/>
  <c r="H7" i="3"/>
  <c r="B24" i="22"/>
  <c r="D24" i="22" s="1"/>
  <c r="B26" i="3"/>
  <c r="G41" i="2"/>
  <c r="G4" i="19"/>
  <c r="B11" i="22"/>
  <c r="D11" i="22" s="1"/>
  <c r="B15" i="19"/>
  <c r="N6" i="19"/>
  <c r="Q6" i="19" s="1"/>
  <c r="D38" i="6"/>
  <c r="G50" i="2" s="1"/>
  <c r="C38" i="6"/>
  <c r="F50" i="2" s="1"/>
  <c r="B38" i="6"/>
  <c r="D43" i="6"/>
  <c r="G55" i="2" s="1"/>
  <c r="C43" i="6"/>
  <c r="F55" i="2" s="1"/>
  <c r="B43" i="6"/>
  <c r="E55" i="2" s="1"/>
  <c r="B41" i="6"/>
  <c r="E53" i="2" s="1"/>
  <c r="D41" i="6"/>
  <c r="G53" i="2" s="1"/>
  <c r="C41" i="6"/>
  <c r="F53" i="2" s="1"/>
  <c r="C39" i="6"/>
  <c r="F51" i="2" s="1"/>
  <c r="D39" i="6"/>
  <c r="G51" i="2" s="1"/>
  <c r="B39" i="6"/>
  <c r="E51" i="2" s="1"/>
  <c r="B42" i="6"/>
  <c r="E54" i="2" s="1"/>
  <c r="D42" i="6"/>
  <c r="G54" i="2" s="1"/>
  <c r="C42" i="6"/>
  <c r="F54" i="2" s="1"/>
  <c r="C40" i="6"/>
  <c r="F52" i="2" s="1"/>
  <c r="B40" i="6"/>
  <c r="E52" i="2" s="1"/>
  <c r="D40" i="6"/>
  <c r="G52" i="2" s="1"/>
  <c r="H4" i="19" l="1"/>
  <c r="N7" i="19"/>
  <c r="Q7" i="19" s="1"/>
  <c r="E50" i="2"/>
  <c r="G44" i="2"/>
  <c r="B14" i="19" l="1"/>
  <c r="N8" i="19"/>
  <c r="Q8" i="19" s="1"/>
  <c r="J4" i="19"/>
  <c r="U4" i="19"/>
  <c r="N9" i="19" l="1"/>
  <c r="Q9" i="19" s="1"/>
  <c r="L4" i="19"/>
  <c r="M4" i="19" s="1"/>
  <c r="N10" i="19" l="1"/>
  <c r="Q10" i="19" s="1"/>
  <c r="B11" i="19"/>
  <c r="B13" i="19" s="1"/>
  <c r="S4" i="19"/>
  <c r="T4" i="19" s="1"/>
  <c r="B16" i="19"/>
  <c r="B18" i="19" s="1"/>
  <c r="G5" i="19"/>
  <c r="N11" i="19" l="1"/>
  <c r="Q11" i="19" s="1"/>
  <c r="H5" i="19"/>
  <c r="U5" i="19" l="1"/>
  <c r="J5" i="19"/>
  <c r="L5" i="19" s="1"/>
  <c r="M5" i="19" s="1"/>
  <c r="N12" i="19"/>
  <c r="Q12" i="19" s="1"/>
  <c r="G6" i="19" l="1"/>
  <c r="H6" i="19" s="1"/>
  <c r="S5" i="19"/>
  <c r="T5" i="19" s="1"/>
  <c r="N13" i="19"/>
  <c r="Q13" i="19" s="1"/>
  <c r="N14" i="19" l="1"/>
  <c r="Q14" i="19" s="1"/>
  <c r="U6" i="19"/>
  <c r="J6" i="19"/>
  <c r="L6" i="19" s="1"/>
  <c r="N15" i="19" l="1"/>
  <c r="Q15" i="19" s="1"/>
  <c r="M6" i="19"/>
  <c r="G7" i="19" l="1"/>
  <c r="S6" i="19"/>
  <c r="T6" i="19" s="1"/>
  <c r="N16" i="19"/>
  <c r="Q16" i="19" s="1"/>
  <c r="N17" i="19" s="1"/>
  <c r="Q17" i="19" s="1"/>
  <c r="N18" i="19" s="1"/>
  <c r="Q18" i="19" s="1"/>
  <c r="N19" i="19" s="1"/>
  <c r="Q19" i="19" s="1"/>
  <c r="N20" i="19" s="1"/>
  <c r="Q20" i="19" s="1"/>
  <c r="N21" i="19" s="1"/>
  <c r="Q21" i="19" s="1"/>
  <c r="N22" i="19" l="1"/>
  <c r="Q22" i="19" s="1"/>
  <c r="N23" i="19" s="1"/>
  <c r="Q23" i="19" s="1"/>
  <c r="N24" i="19" s="1"/>
  <c r="Q24" i="19" s="1"/>
  <c r="N25" i="19" s="1"/>
  <c r="Q25" i="19" s="1"/>
  <c r="N26" i="19" s="1"/>
  <c r="Q26" i="19" s="1"/>
  <c r="N27" i="19" s="1"/>
  <c r="Q27" i="19" s="1"/>
  <c r="N28" i="19" s="1"/>
  <c r="Q28" i="19" s="1"/>
  <c r="N29" i="19" s="1"/>
  <c r="Q29" i="19" s="1"/>
  <c r="N30" i="19" s="1"/>
  <c r="Q30" i="19" s="1"/>
  <c r="N31" i="19" s="1"/>
  <c r="Q31" i="19" s="1"/>
  <c r="N32" i="19" s="1"/>
  <c r="Q32" i="19" s="1"/>
  <c r="N33" i="19" s="1"/>
  <c r="Q33" i="19" s="1"/>
  <c r="N34" i="19" s="1"/>
  <c r="Q34" i="19" s="1"/>
  <c r="N35" i="19" s="1"/>
  <c r="Q35" i="19" s="1"/>
  <c r="N36" i="19" s="1"/>
  <c r="Q36" i="19" s="1"/>
  <c r="N37" i="19" s="1"/>
  <c r="Q37" i="19" s="1"/>
  <c r="N38" i="19" s="1"/>
  <c r="Q38" i="19" s="1"/>
  <c r="N39" i="19" s="1"/>
  <c r="Q39" i="19" s="1"/>
  <c r="N40" i="19" s="1"/>
  <c r="Q40" i="19" s="1"/>
  <c r="N41" i="19" s="1"/>
  <c r="Q41" i="19" s="1"/>
  <c r="N42" i="19" s="1"/>
  <c r="Q42" i="19" s="1"/>
  <c r="N43" i="19" s="1"/>
  <c r="Q43" i="19" s="1"/>
  <c r="B14" i="22" s="1"/>
  <c r="D14" i="22" s="1"/>
  <c r="H7" i="19"/>
  <c r="J7" i="19" l="1"/>
  <c r="L7" i="19" s="1"/>
  <c r="M7" i="19" s="1"/>
  <c r="U7" i="19"/>
  <c r="S7" i="19" l="1"/>
  <c r="T7" i="19" s="1"/>
  <c r="G8" i="19"/>
  <c r="H8" i="19" s="1"/>
  <c r="J8" i="19" l="1"/>
  <c r="L8" i="19" s="1"/>
  <c r="M8" i="19" s="1"/>
  <c r="U8" i="19"/>
  <c r="S8" i="19" l="1"/>
  <c r="T8" i="19" s="1"/>
  <c r="G9" i="19"/>
  <c r="H9" i="19" s="1"/>
  <c r="U9" i="19" l="1"/>
  <c r="J9" i="19"/>
  <c r="L9" i="19" s="1"/>
  <c r="M9" i="19" l="1"/>
  <c r="S9" i="19" l="1"/>
  <c r="T9" i="19" s="1"/>
  <c r="G10" i="19"/>
  <c r="H10" i="19" l="1"/>
  <c r="U10" i="19" l="1"/>
  <c r="J10" i="19"/>
  <c r="L10" i="19" s="1"/>
  <c r="M10" i="19" s="1"/>
  <c r="G11" i="19" l="1"/>
  <c r="H11" i="19" s="1"/>
  <c r="S10" i="19"/>
  <c r="T10" i="19" s="1"/>
  <c r="U11" i="19" l="1"/>
  <c r="J11" i="19"/>
  <c r="L11" i="19" s="1"/>
  <c r="M11" i="19" s="1"/>
  <c r="S11" i="19" l="1"/>
  <c r="T11" i="19" s="1"/>
  <c r="G12" i="19"/>
  <c r="H12" i="19" s="1"/>
  <c r="U12" i="19" l="1"/>
  <c r="J12" i="19"/>
  <c r="L12" i="19" s="1"/>
  <c r="M12" i="19" s="1"/>
  <c r="S12" i="19" l="1"/>
  <c r="T12" i="19" s="1"/>
  <c r="G13" i="19"/>
  <c r="H13" i="19" s="1"/>
  <c r="U13" i="19" l="1"/>
  <c r="J13" i="19"/>
  <c r="L13" i="19" s="1"/>
  <c r="M13" i="19" s="1"/>
  <c r="S13" i="19" l="1"/>
  <c r="T13" i="19" s="1"/>
  <c r="G14" i="19"/>
  <c r="H14" i="19" s="1"/>
  <c r="U14" i="19" l="1"/>
  <c r="J14" i="19"/>
  <c r="L14" i="19" s="1"/>
  <c r="M14" i="19" l="1"/>
  <c r="S14" i="19" l="1"/>
  <c r="T14" i="19" s="1"/>
  <c r="G15" i="19"/>
  <c r="H15" i="19" l="1"/>
  <c r="J15" i="19" l="1"/>
  <c r="L15" i="19" s="1"/>
  <c r="M15" i="19" s="1"/>
  <c r="U15" i="19"/>
  <c r="G16" i="19" l="1"/>
  <c r="S15" i="19"/>
  <c r="T15" i="19" s="1"/>
  <c r="H16" i="19" l="1"/>
  <c r="U16" i="19" l="1"/>
  <c r="J16" i="19"/>
  <c r="L16" i="19" s="1"/>
  <c r="M16" i="19" s="1"/>
  <c r="S16" i="19" l="1"/>
  <c r="T16" i="19" s="1"/>
  <c r="G17" i="19"/>
  <c r="H17" i="19" s="1"/>
  <c r="J17" i="19" l="1"/>
  <c r="L17" i="19" s="1"/>
  <c r="M17" i="19" s="1"/>
  <c r="U17" i="19"/>
  <c r="G18" i="19" l="1"/>
  <c r="H18" i="19" s="1"/>
  <c r="S17" i="19"/>
  <c r="T17" i="19" s="1"/>
  <c r="U18" i="19" l="1"/>
  <c r="J18" i="19"/>
  <c r="L18" i="19" s="1"/>
  <c r="M18" i="19" l="1"/>
  <c r="S18" i="19" l="1"/>
  <c r="G19" i="19"/>
  <c r="T18" i="19" l="1"/>
  <c r="H19" i="19"/>
  <c r="U19" i="19" l="1"/>
  <c r="J19" i="19"/>
  <c r="L19" i="19" l="1"/>
  <c r="M19" i="19" s="1"/>
  <c r="S19" i="19" l="1"/>
  <c r="T19" i="19" s="1"/>
  <c r="G20" i="19"/>
  <c r="H20" i="19" s="1"/>
  <c r="J20" i="19" l="1"/>
  <c r="U20" i="19"/>
  <c r="L20" i="19" l="1"/>
  <c r="M20" i="19" s="1"/>
  <c r="G21" i="19" s="1"/>
  <c r="H21" i="19" l="1"/>
  <c r="S20" i="19"/>
  <c r="J21" i="19" l="1"/>
  <c r="M21" i="19" s="1"/>
  <c r="S21" i="19" s="1"/>
  <c r="U21" i="19"/>
  <c r="T20" i="19"/>
  <c r="T21" i="19" l="1"/>
  <c r="G22" i="19" l="1"/>
  <c r="H22" i="19" s="1"/>
  <c r="U22" i="19" l="1"/>
  <c r="J22" i="19"/>
  <c r="L22" i="19" l="1"/>
  <c r="M22" i="19" s="1"/>
  <c r="S22" i="19" l="1"/>
  <c r="T22" i="19" s="1"/>
  <c r="G23" i="19"/>
  <c r="H23" i="19" l="1"/>
  <c r="U23" i="19" l="1"/>
  <c r="J23" i="19"/>
  <c r="L23" i="19" l="1"/>
  <c r="M23" i="19" l="1"/>
  <c r="L24" i="19"/>
  <c r="G24" i="19" l="1"/>
  <c r="S23" i="19"/>
  <c r="T23" i="19" s="1"/>
  <c r="H24" i="19" l="1"/>
  <c r="U24" i="19" l="1"/>
  <c r="J24" i="19"/>
  <c r="M24" i="19" s="1"/>
  <c r="S24" i="19" l="1"/>
  <c r="T24" i="19" s="1"/>
  <c r="G25" i="19"/>
  <c r="L25" i="19"/>
  <c r="H25" i="19" l="1"/>
  <c r="J25" i="19" l="1"/>
  <c r="M25" i="19" s="1"/>
  <c r="U25" i="19"/>
  <c r="S25" i="19" l="1"/>
  <c r="T25" i="19" s="1"/>
  <c r="G26" i="19"/>
  <c r="L26" i="19"/>
  <c r="H26" i="19" l="1"/>
  <c r="J26" i="19" l="1"/>
  <c r="M26" i="19" s="1"/>
  <c r="U26" i="19"/>
  <c r="S26" i="19" l="1"/>
  <c r="T26" i="19" s="1"/>
  <c r="G27" i="19"/>
  <c r="H27" i="19" l="1"/>
  <c r="L27" i="19"/>
  <c r="J27" i="19" l="1"/>
  <c r="M27" i="19" s="1"/>
  <c r="U27" i="19"/>
  <c r="G28" i="19" l="1"/>
  <c r="H28" i="19" s="1"/>
  <c r="S27" i="19"/>
  <c r="T27" i="19" s="1"/>
  <c r="J28" i="19" l="1"/>
  <c r="U28" i="19"/>
  <c r="L28" i="19" l="1"/>
  <c r="M28" i="19" s="1"/>
  <c r="S28" i="19" l="1"/>
  <c r="G29" i="19"/>
  <c r="T28" i="19" l="1"/>
  <c r="H29" i="19"/>
  <c r="J29" i="19" l="1"/>
  <c r="U29" i="19"/>
  <c r="L29" i="19" l="1"/>
  <c r="M29" i="19" s="1"/>
  <c r="G30" i="19" l="1"/>
  <c r="S29" i="19"/>
  <c r="H30" i="19" l="1"/>
  <c r="T29" i="19"/>
  <c r="J30" i="19" l="1"/>
  <c r="U30" i="19"/>
  <c r="L30" i="19"/>
  <c r="M30" i="19" l="1"/>
  <c r="S30" i="19" l="1"/>
  <c r="T30" i="19" s="1"/>
  <c r="G31" i="19"/>
  <c r="H31" i="19" s="1"/>
  <c r="U31" i="19" l="1"/>
  <c r="J31" i="19"/>
  <c r="L31" i="19" l="1"/>
  <c r="M31" i="19" s="1"/>
  <c r="S31" i="19" l="1"/>
  <c r="G32" i="19"/>
  <c r="T31" i="19" l="1"/>
  <c r="H32" i="19"/>
  <c r="J32" i="19" l="1"/>
  <c r="U32" i="19"/>
  <c r="L32" i="19" l="1"/>
  <c r="M32" i="19" s="1"/>
  <c r="G33" i="19" l="1"/>
  <c r="S32" i="19"/>
  <c r="H33" i="19" l="1"/>
  <c r="T32" i="19"/>
  <c r="U33" i="19" l="1"/>
  <c r="J33" i="19"/>
  <c r="L33" i="19" l="1"/>
  <c r="M33" i="19" s="1"/>
  <c r="S33" i="19" l="1"/>
  <c r="G34" i="19"/>
  <c r="T33" i="19" l="1"/>
  <c r="H34" i="19"/>
  <c r="U34" i="19" l="1"/>
  <c r="J34" i="19"/>
  <c r="M34" i="19" s="1"/>
  <c r="G35" i="19" l="1"/>
  <c r="S34" i="19"/>
  <c r="H35" i="19" l="1"/>
  <c r="T34" i="19"/>
  <c r="J35" i="19" l="1"/>
  <c r="M35" i="19" s="1"/>
  <c r="U35" i="19"/>
  <c r="S35" i="19" l="1"/>
  <c r="G36" i="19"/>
  <c r="T35" i="19" l="1"/>
  <c r="H36" i="19"/>
  <c r="U36" i="19" l="1"/>
  <c r="J36" i="19"/>
  <c r="M36" i="19" s="1"/>
  <c r="G37" i="19" l="1"/>
  <c r="H37" i="19" s="1"/>
  <c r="S36" i="19"/>
  <c r="T36" i="19" s="1"/>
  <c r="U37" i="19" l="1"/>
  <c r="J37" i="19"/>
  <c r="M37" i="19" s="1"/>
  <c r="S37" i="19" l="1"/>
  <c r="T37" i="19" s="1"/>
  <c r="G38" i="19"/>
  <c r="H38" i="19" s="1"/>
  <c r="J38" i="19" l="1"/>
  <c r="M38" i="19" s="1"/>
  <c r="U38" i="19"/>
  <c r="G39" i="19" l="1"/>
  <c r="H39" i="19" s="1"/>
  <c r="S38" i="19"/>
  <c r="T38" i="19" s="1"/>
  <c r="J39" i="19" l="1"/>
  <c r="M39" i="19" s="1"/>
  <c r="U39" i="19"/>
  <c r="S39" i="19" l="1"/>
  <c r="T39" i="19" s="1"/>
  <c r="G40" i="19"/>
  <c r="H40" i="19" l="1"/>
  <c r="J40" i="19" l="1"/>
  <c r="M40" i="19" s="1"/>
  <c r="U40" i="19"/>
  <c r="G41" i="19" l="1"/>
  <c r="H41" i="19" s="1"/>
  <c r="S40" i="19"/>
  <c r="T40" i="19" s="1"/>
  <c r="U41" i="19" l="1"/>
  <c r="J41" i="19"/>
  <c r="M41" i="19" s="1"/>
  <c r="G42" i="19" l="1"/>
  <c r="H42" i="19" s="1"/>
  <c r="S41" i="19"/>
  <c r="T41" i="19" s="1"/>
  <c r="J42" i="19" l="1"/>
  <c r="M42" i="19" s="1"/>
  <c r="U42" i="19"/>
  <c r="S42" i="19" l="1"/>
  <c r="T42" i="19" s="1"/>
  <c r="G43" i="19"/>
  <c r="H43" i="19" l="1"/>
  <c r="J43" i="19" s="1"/>
  <c r="M43" i="19" s="1"/>
  <c r="S43" i="19" s="1"/>
  <c r="B19" i="19" l="1"/>
  <c r="B12" i="22" s="1"/>
  <c r="D12" i="22" s="1"/>
  <c r="U43" i="19"/>
  <c r="T43" i="19" s="1"/>
  <c r="B13" i="22" s="1"/>
  <c r="D13" i="22" s="1"/>
  <c r="B38" i="22"/>
  <c r="D38" i="22" s="1"/>
  <c r="B40" i="2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<sst xmlns="http://schemas.openxmlformats.org/spreadsheetml/2006/main" count="3562" uniqueCount="1057">
  <si>
    <t>Input status</t>
  </si>
  <si>
    <t>Active scenario</t>
  </si>
  <si>
    <t>1. Customer &amp; policy inputs</t>
  </si>
  <si>
    <t>2. Premium</t>
  </si>
  <si>
    <t>Entry age (years)</t>
  </si>
  <si>
    <t>Charged annual premium (AED)</t>
  </si>
  <si>
    <t>PVFP (AED)</t>
  </si>
  <si>
    <t>Sex</t>
  </si>
  <si>
    <t>Male</t>
  </si>
  <si>
    <t>Premium per instalment (selected mode)</t>
  </si>
  <si>
    <t>New-business margin (NBM)</t>
  </si>
  <si>
    <t>Smoker status</t>
  </si>
  <si>
    <t>Non-smoker</t>
  </si>
  <si>
    <t>Technical annual-mode premium</t>
  </si>
  <si>
    <t>Target NBM</t>
  </si>
  <si>
    <t>Underwriting / risk class</t>
  </si>
  <si>
    <t>Standard</t>
  </si>
  <si>
    <t>Technical monthly-mode instalment</t>
  </si>
  <si>
    <t>Break-even year</t>
  </si>
  <si>
    <t>Sum assured (AED)</t>
  </si>
  <si>
    <t>Premium per 1,000 sum assured</t>
  </si>
  <si>
    <t>PV premiums (AED)</t>
  </si>
  <si>
    <t>Policy term (years)</t>
  </si>
  <si>
    <t>Pricing basis</t>
  </si>
  <si>
    <t>Profitability indication</t>
  </si>
  <si>
    <t>Premium frequency</t>
  </si>
  <si>
    <t>Annual</t>
  </si>
  <si>
    <t>Distribution channel</t>
  </si>
  <si>
    <t>Bancassurance</t>
  </si>
  <si>
    <t>Initial commission applied</t>
  </si>
  <si>
    <t>Max entry age for this term</t>
  </si>
  <si>
    <t>4. Reinsurance (surplus above retention)</t>
  </si>
  <si>
    <t>Sum assured</t>
  </si>
  <si>
    <t>Retained sum assured</t>
  </si>
  <si>
    <t>Ceded sum assured</t>
  </si>
  <si>
    <t>Ceded share</t>
  </si>
  <si>
    <t>PV RI recoveries</t>
  </si>
  <si>
    <t>PV RI premiums</t>
  </si>
  <si>
    <t>Reinsurance impact on PVFP</t>
  </si>
  <si>
    <t>PVFP without reinsurance</t>
  </si>
  <si>
    <t>Portfolio metric</t>
  </si>
  <si>
    <t>Value</t>
  </si>
  <si>
    <t>Definition</t>
  </si>
  <si>
    <t>NBM band</t>
  </si>
  <si>
    <t>Policies</t>
  </si>
  <si>
    <t>Charged prem.</t>
  </si>
  <si>
    <t>PV premiums</t>
  </si>
  <si>
    <t>PVFP</t>
  </si>
  <si>
    <t>&lt; −50%</t>
  </si>
  <si>
    <t>Term Life policies</t>
  </si>
  <si>
    <t>−50% to −20%</t>
  </si>
  <si>
    <t>Term Life within table/term bounds</t>
  </si>
  <si>
    <t>−20% to 0%</t>
  </si>
  <si>
    <t>0% to target</t>
  </si>
  <si>
    <t>Entry age + term − 1 &gt; 80</t>
  </si>
  <si>
    <t>≥ target</t>
  </si>
  <si>
    <t>Charged annualised premium (AED)</t>
  </si>
  <si>
    <t>Sum of synthetic charged premiums, priced policies</t>
  </si>
  <si>
    <t>Total</t>
  </si>
  <si>
    <t>PV premiums at charged premium (AED)</t>
  </si>
  <si>
    <t>Band total check (PVFP)</t>
  </si>
  <si>
    <t>Before tax and cost of capital</t>
  </si>
  <si>
    <t>Portfolio NBM</t>
  </si>
  <si>
    <t>PVFP ÷ PV premiums</t>
  </si>
  <si>
    <t>Technical annualised premium (AED)</t>
  </si>
  <si>
    <t>Premium re-solved to target NBM</t>
  </si>
  <si>
    <t>Loss-making policies</t>
  </si>
  <si>
    <t>PVFP &lt; 0 at charged premium</t>
  </si>
  <si>
    <t>At/above target policies</t>
  </si>
  <si>
    <t>PVFP of loss-making policies (AED)</t>
  </si>
  <si>
    <t>Value destroyed by loss-making business</t>
  </si>
  <si>
    <t>Total sum assured – priced (AED)</t>
  </si>
  <si>
    <t>Ceded sum assured (AED)</t>
  </si>
  <si>
    <t>Surplus above retention</t>
  </si>
  <si>
    <t>PV recoveries − PV RI premiums</t>
  </si>
  <si>
    <t>PVFP without reinsurance (AED)</t>
  </si>
  <si>
    <t>Rank · Policy ID</t>
  </si>
  <si>
    <t>Entry age</t>
  </si>
  <si>
    <t>Profile (sex · smoker · UW class)</t>
  </si>
  <si>
    <t>Term</t>
  </si>
  <si>
    <t>Channel</t>
  </si>
  <si>
    <t>Frequency</t>
  </si>
  <si>
    <t>Technical prem.</t>
  </si>
  <si>
    <t>Adequacy</t>
  </si>
  <si>
    <t>NBM</t>
  </si>
  <si>
    <t>Entry-age band</t>
  </si>
  <si>
    <t>Underwriting class</t>
  </si>
  <si>
    <t>Sum-assured band (AED)</t>
  </si>
  <si>
    <t>By channel</t>
  </si>
  <si>
    <t>Loss-making</t>
  </si>
  <si>
    <t>% loss-making</t>
  </si>
  <si>
    <t>Share of PVFP</t>
  </si>
  <si>
    <t>Assessment</t>
  </si>
  <si>
    <t>Direct</t>
  </si>
  <si>
    <t>Broker</t>
  </si>
  <si>
    <t>By entry-age band</t>
  </si>
  <si>
    <t>20-29</t>
  </si>
  <si>
    <t>30-39</t>
  </si>
  <si>
    <t>40-49</t>
  </si>
  <si>
    <t>50-59</t>
  </si>
  <si>
    <t>60+</t>
  </si>
  <si>
    <t>By sex</t>
  </si>
  <si>
    <t>Female</t>
  </si>
  <si>
    <t>By smoker status</t>
  </si>
  <si>
    <t>Smoker</t>
  </si>
  <si>
    <t>By underwriting class</t>
  </si>
  <si>
    <t>Preferred</t>
  </si>
  <si>
    <t>Rated</t>
  </si>
  <si>
    <t>By sum-assured band (aed)</t>
  </si>
  <si>
    <t>Up to 250k</t>
  </si>
  <si>
    <t>250k-500k</t>
  </si>
  <si>
    <t>500k-1m</t>
  </si>
  <si>
    <t>Over 1m</t>
  </si>
  <si>
    <t>By premium frequency</t>
  </si>
  <si>
    <t>Monthly</t>
  </si>
  <si>
    <t>By policy term (years)</t>
  </si>
  <si>
    <t>Lever</t>
  </si>
  <si>
    <t>Base</t>
  </si>
  <si>
    <t>Upside</t>
  </si>
  <si>
    <t>Downside</t>
  </si>
  <si>
    <t>Custom</t>
  </si>
  <si>
    <t>Mortality multiplier</t>
  </si>
  <si>
    <t>Assumptions!C21</t>
  </si>
  <si>
    <t>Lapse multiplier</t>
  </si>
  <si>
    <t>Assumptions!C22</t>
  </si>
  <si>
    <t>Expense multiplier</t>
  </si>
  <si>
    <t>Assumptions!C23</t>
  </si>
  <si>
    <t>Commission shift (pp)</t>
  </si>
  <si>
    <t>Assumptions!C24</t>
  </si>
  <si>
    <t>Discount-rate shift</t>
  </si>
  <si>
    <t>Assumptions!C25</t>
  </si>
  <si>
    <t>UL fund-return shift</t>
  </si>
  <si>
    <t>Assumptions!C26</t>
  </si>
  <si>
    <t>Scenario</t>
  </si>
  <si>
    <t>Δ PVFP vs Base</t>
  </si>
  <si>
    <t>Technical premium</t>
  </si>
  <si>
    <t>Δ premium vs Base</t>
  </si>
  <si>
    <t>Profitability</t>
  </si>
  <si>
    <t>RI effect on PVFP</t>
  </si>
  <si>
    <t>Driver</t>
  </si>
  <si>
    <t>Stress (±)</t>
  </si>
  <si>
    <t>Stress size (input)</t>
  </si>
  <si>
    <t>PVFP down</t>
  </si>
  <si>
    <t>PVFP up</t>
  </si>
  <si>
    <t>Δ PVFP down</t>
  </si>
  <si>
    <t>Δ PVFP up</t>
  </si>
  <si>
    <t>NBM down / up</t>
  </si>
  <si>
    <t>Mortality (qx)</t>
  </si>
  <si>
    <t>Lapse rates</t>
  </si>
  <si>
    <t>Expenses</t>
  </si>
  <si>
    <t>Commission (pp)</t>
  </si>
  <si>
    <t>Discount rate</t>
  </si>
  <si>
    <t>RI premium rate</t>
  </si>
  <si>
    <t>Rank</t>
  </si>
  <si>
    <t>Δ PVFP (down stress)</t>
  </si>
  <si>
    <t>Δ PVFP (up stress)</t>
  </si>
  <si>
    <t>Range</t>
  </si>
  <si>
    <t>Credibility parameters</t>
  </si>
  <si>
    <t>Probability that estimate is within tolerance</t>
  </si>
  <si>
    <t>Tolerance (k)</t>
  </si>
  <si>
    <t>A. Mortality</t>
  </si>
  <si>
    <t>Experience Analysis B47</t>
  </si>
  <si>
    <t>Experience Analysis B48</t>
  </si>
  <si>
    <t>A/E vs study expected basis</t>
  </si>
  <si>
    <t>Headline A/E shown on Experience Analysis</t>
  </si>
  <si>
    <t>Approx. 95% interval – lower</t>
  </si>
  <si>
    <t>Normal approximation to Poisson count</t>
  </si>
  <si>
    <t>Approx. 95% interval – upper</t>
  </si>
  <si>
    <t>Interval includes 1.00 ⇒ not statistically distinguishable from expected</t>
  </si>
  <si>
    <t>Sample expected deaths – study basis (250 records)</t>
  </si>
  <si>
    <t>Policy Data column N</t>
  </si>
  <si>
    <t>Sample expected deaths – pricing basis (250 records)</t>
  </si>
  <si>
    <t>Basis bridge: study ÷ pricing expected</t>
  </si>
  <si>
    <t>Study basis is lighter than the pricing table (select-type effect)</t>
  </si>
  <si>
    <t>Implied A/E vs pricing basis</t>
  </si>
  <si>
    <t>Approximation: assumes sample mix represents the full study</t>
  </si>
  <si>
    <t>Credibility factor Z</t>
  </si>
  <si>
    <t>Limited-fluctuation credibility on death count</t>
  </si>
  <si>
    <t>Credibility-weighted A/E</t>
  </si>
  <si>
    <t>Z × implied A/E + (1 − Z) × prior</t>
  </si>
  <si>
    <t>Applied multiplicatively to live Assumptions C21 in the impact test</t>
  </si>
  <si>
    <t>Actuarial judgement override (optional)</t>
  </si>
  <si>
    <t>Leave blank to use the credibility result</t>
  </si>
  <si>
    <t>Interpretation</t>
  </si>
  <si>
    <t>Duration</t>
  </si>
  <si>
    <t>Exposure – annual pay</t>
  </si>
  <si>
    <t>Exposure – monthly pay</t>
  </si>
  <si>
    <t>Exposure – total</t>
  </si>
  <si>
    <t>Actual lapses</t>
  </si>
  <si>
    <t>Pricing lapse rate</t>
  </si>
  <si>
    <t>Expected lapses</t>
  </si>
  <si>
    <t>A/E</t>
  </si>
  <si>
    <t>Actual – annual pay</t>
  </si>
  <si>
    <t>Actual – monthly pay</t>
  </si>
  <si>
    <t>Actual lapse events (Term, d1–7)</t>
  </si>
  <si>
    <t>Pricing basis = Base_Lapse × Lapse_Decay^(d−1), floored</t>
  </si>
  <si>
    <t>A/E – annual-pay Term</t>
  </si>
  <si>
    <t>Frequency-specific view</t>
  </si>
  <si>
    <t>A/E – monthly-pay Term</t>
  </si>
  <si>
    <t>Monthly payers lapse faster: consider a frequency-specific basis</t>
  </si>
  <si>
    <t>Same full-credibility standard as mortality</t>
  </si>
  <si>
    <t>Applied multiplicatively to live Assumptions C22 in the impact test</t>
  </si>
  <si>
    <t>Metric</t>
  </si>
  <si>
    <t>Current basis</t>
  </si>
  <si>
    <t>Recommended basis</t>
  </si>
  <si>
    <t>Change</t>
  </si>
  <si>
    <t>Change %</t>
  </si>
  <si>
    <t>Source</t>
  </si>
  <si>
    <t>Quote PVFP at charged premium (AED)</t>
  </si>
  <si>
    <t>Quote NBM at charged premium</t>
  </si>
  <si>
    <t>Quote technical premium to hit target NBM (AED)</t>
  </si>
  <si>
    <t>Parameter</t>
  </si>
  <si>
    <t>Description</t>
  </si>
  <si>
    <t>Base case</t>
  </si>
  <si>
    <t>Unit</t>
  </si>
  <si>
    <t>Classification</t>
  </si>
  <si>
    <t>Source / rationale</t>
  </si>
  <si>
    <t>Valuation_Date</t>
  </si>
  <si>
    <t>2026-09-25</t>
  </si>
  <si>
    <t>date</t>
  </si>
  <si>
    <t>Portfolio model</t>
  </si>
  <si>
    <t>Expense_Inflation</t>
  </si>
  <si>
    <t>Annual expense inflation</t>
  </si>
  <si>
    <t>%</t>
  </si>
  <si>
    <t>Scenario assumption</t>
  </si>
  <si>
    <t>Discount_Rate</t>
  </si>
  <si>
    <t>Investment_Return</t>
  </si>
  <si>
    <t>Risk_Adjustment_Pct</t>
  </si>
  <si>
    <t>Acquisition_Expense</t>
  </si>
  <si>
    <t>AED</t>
  </si>
  <si>
    <t>Portfolio assumption</t>
  </si>
  <si>
    <t>Maintenance_Expense</t>
  </si>
  <si>
    <t>AED p.a.</t>
  </si>
  <si>
    <t>Initial_Commission</t>
  </si>
  <si>
    <t>Renewal_Commission</t>
  </si>
  <si>
    <t>Base_Lapse</t>
  </si>
  <si>
    <t>Year 1 lapse rate</t>
  </si>
  <si>
    <t>Reinsurance_Retention</t>
  </si>
  <si>
    <t>Retention per life</t>
  </si>
  <si>
    <t>Reinsurance_Rate</t>
  </si>
  <si>
    <t>% of ceded SA</t>
  </si>
  <si>
    <t>Profit_Loading</t>
  </si>
  <si>
    <t>% of premium</t>
  </si>
  <si>
    <t>UL_Allocation</t>
  </si>
  <si>
    <t>UL_Fund_Charge</t>
  </si>
  <si>
    <t>Annual fund management charge</t>
  </si>
  <si>
    <t>% of fund</t>
  </si>
  <si>
    <t>UL_Policy_Charge</t>
  </si>
  <si>
    <t>Annual policy charge</t>
  </si>
  <si>
    <t>UL_Death_Loading</t>
  </si>
  <si>
    <t>% of account value</t>
  </si>
  <si>
    <t>Mortality_Multiplier</t>
  </si>
  <si>
    <t>factor</t>
  </si>
  <si>
    <t>Lapse_Multiplier</t>
  </si>
  <si>
    <t>Expense_Multiplier</t>
  </si>
  <si>
    <t>Commission_Shift</t>
  </si>
  <si>
    <t>percentage points</t>
  </si>
  <si>
    <t>Discount_Shift</t>
  </si>
  <si>
    <t>Return_Shift</t>
  </si>
  <si>
    <t>Lapse_Floor</t>
  </si>
  <si>
    <t>Minimum conditional annual lapse</t>
  </si>
  <si>
    <t>Lapse_Decay</t>
  </si>
  <si>
    <t>Monthly_Loading</t>
  </si>
  <si>
    <t>Preferred_Factor</t>
  </si>
  <si>
    <t>Rated_Factor</t>
  </si>
  <si>
    <t>Direct_Commission</t>
  </si>
  <si>
    <t>Initial commission – Direct channel</t>
  </si>
  <si>
    <t>Broker_Commission</t>
  </si>
  <si>
    <t>Initial commission – Broker channel</t>
  </si>
  <si>
    <t>Bank_Commission</t>
  </si>
  <si>
    <t>Initial commission – Bancassurance channel</t>
  </si>
  <si>
    <t>Principle</t>
  </si>
  <si>
    <t>Explanation</t>
  </si>
  <si>
    <t>Probability roll-forward</t>
  </si>
  <si>
    <t>Deaths first; lapses conditional on survival.</t>
  </si>
  <si>
    <t>General actuarial methodology</t>
  </si>
  <si>
    <t>Discounted profit</t>
  </si>
  <si>
    <t>PVFP = sum of discounted annual profits.</t>
  </si>
  <si>
    <t>IFRS 17</t>
  </si>
  <si>
    <t>FCF, CSM and separate reinsurance-held accounting.</t>
  </si>
  <si>
    <t>Officially sourced context</t>
  </si>
  <si>
    <t>Age</t>
  </si>
  <si>
    <t>Female Non-smoker</t>
  </si>
  <si>
    <t>Female Smoker</t>
  </si>
  <si>
    <t>Male Non-smoker</t>
  </si>
  <si>
    <t>Male Smoker</t>
  </si>
  <si>
    <t>Preferred Factor</t>
  </si>
  <si>
    <t>Rated Factor</t>
  </si>
  <si>
    <t>Term Life</t>
  </si>
  <si>
    <t>Unit-Linked</t>
  </si>
  <si>
    <t>Input or result</t>
  </si>
  <si>
    <t>years</t>
  </si>
  <si>
    <t>Smoking status</t>
  </si>
  <si>
    <t>UW class</t>
  </si>
  <si>
    <t>Policy term</t>
  </si>
  <si>
    <t>Base qx</t>
  </si>
  <si>
    <t>Year 1 gross claims</t>
  </si>
  <si>
    <t>Year 1 retained claims</t>
  </si>
  <si>
    <t>Year 1 expenses</t>
  </si>
  <si>
    <t>Year 1 commission</t>
  </si>
  <si>
    <t>Premium per instalment</t>
  </si>
  <si>
    <t>PV fixed costs</t>
  </si>
  <si>
    <t>PV unit premium annuity</t>
  </si>
  <si>
    <t>PV commission coefficient</t>
  </si>
  <si>
    <t>PVFP / PV premiums</t>
  </si>
  <si>
    <t>Premium equation residual</t>
  </si>
  <si>
    <t>Annual premium override</t>
  </si>
  <si>
    <t>Charged annual premium</t>
  </si>
  <si>
    <t>Input</t>
  </si>
  <si>
    <t>Comment</t>
  </si>
  <si>
    <t>Year</t>
  </si>
  <si>
    <t>Opening Fund</t>
  </si>
  <si>
    <t>Allocated Premium</t>
  </si>
  <si>
    <t>Fund Growth</t>
  </si>
  <si>
    <t>Fund Charge</t>
  </si>
  <si>
    <t>Policy Charge</t>
  </si>
  <si>
    <t>Closing Fund</t>
  </si>
  <si>
    <t>Death benefit</t>
  </si>
  <si>
    <t>Surrender benefit</t>
  </si>
  <si>
    <t>Fund check</t>
  </si>
  <si>
    <t>Annual premium</t>
  </si>
  <si>
    <t>Projection term</t>
  </si>
  <si>
    <t>Fund return</t>
  </si>
  <si>
    <t>Premium allocation</t>
  </si>
  <si>
    <t>Fund management charge</t>
  </si>
  <si>
    <t>% p.a.</t>
  </si>
  <si>
    <t>Policy charge</t>
  </si>
  <si>
    <t>Death benefit loading</t>
  </si>
  <si>
    <t>% account value</t>
  </si>
  <si>
    <t>Initial account value</t>
  </si>
  <si>
    <t>Annual qx</t>
  </si>
  <si>
    <t>Premium</t>
  </si>
  <si>
    <t>Gross claims</t>
  </si>
  <si>
    <t>Ceded claims</t>
  </si>
  <si>
    <t>Retained claims</t>
  </si>
  <si>
    <t>Commission</t>
  </si>
  <si>
    <t>Discount factor</t>
  </si>
  <si>
    <t>PV profit</t>
  </si>
  <si>
    <t>Deaths</t>
  </si>
  <si>
    <t>Lapses</t>
  </si>
  <si>
    <t>Roll-forward check</t>
  </si>
  <si>
    <t>Gross</t>
  </si>
  <si>
    <t>Ceded</t>
  </si>
  <si>
    <t>Net / retained</t>
  </si>
  <si>
    <t>Expected Year 1 claim</t>
  </si>
  <si>
    <t>-</t>
  </si>
  <si>
    <t>Cost of reinsurance</t>
  </si>
  <si>
    <t>PV retained claims</t>
  </si>
  <si>
    <t>PV other outgo</t>
  </si>
  <si>
    <t>Profit status</t>
  </si>
  <si>
    <t>Profit bridge</t>
  </si>
  <si>
    <t>Mortality qx by policy year (0 after term)</t>
  </si>
  <si>
    <t>Beginning-of-year in-force by policy year</t>
  </si>
  <si>
    <t>Experience helper (portfolio rows only)</t>
  </si>
  <si>
    <t>ID</t>
  </si>
  <si>
    <t>Group</t>
  </si>
  <si>
    <t>Product</t>
  </si>
  <si>
    <t>Premium freq.</t>
  </si>
  <si>
    <t>Premium basis</t>
  </si>
  <si>
    <t>Given annual premium</t>
  </si>
  <si>
    <t>Mortality mult.</t>
  </si>
  <si>
    <t>Lapse mult.</t>
  </si>
  <si>
    <t>Expense mult.</t>
  </si>
  <si>
    <t>Commission shift</t>
  </si>
  <si>
    <t>In scope (1/0)</t>
  </si>
  <si>
    <t>Table col</t>
  </si>
  <si>
    <t>UW factor</t>
  </si>
  <si>
    <t>Initial comm.</t>
  </si>
  <si>
    <t>Renewal comm.</t>
  </si>
  <si>
    <t>Retained SA</t>
  </si>
  <si>
    <t>Ceded SA</t>
  </si>
  <si>
    <t>PV annuity (ä)</t>
  </si>
  <si>
    <t>PV claims per unit SA</t>
  </si>
  <si>
    <t>PV expense factor</t>
  </si>
  <si>
    <t>PV comm. coefficient</t>
  </si>
  <si>
    <t>Technical annual premium</t>
  </si>
  <si>
    <t>Premium used</t>
  </si>
  <si>
    <t>Premium adequacy (given ÷ technical)</t>
  </si>
  <si>
    <t>PVFP without RI</t>
  </si>
  <si>
    <t>Age band</t>
  </si>
  <si>
    <t>SA band</t>
  </si>
  <si>
    <t>Profitability flag</t>
  </si>
  <si>
    <t>Duration (yrs)</t>
  </si>
  <si>
    <t>Exposure (yrs)</t>
  </si>
  <si>
    <t>Study expected deaths</t>
  </si>
  <si>
    <t>Pricing-basis expected deaths</t>
  </si>
  <si>
    <t>Actual death</t>
  </si>
  <si>
    <t>Actual lapse</t>
  </si>
  <si>
    <t>REC</t>
  </si>
  <si>
    <t>Given</t>
  </si>
  <si>
    <t>SCN_BASE</t>
  </si>
  <si>
    <t>Scenario (Base) at fixed charged premium</t>
  </si>
  <si>
    <t>SCN_UPSIDE</t>
  </si>
  <si>
    <t>Scenario (Upside) at fixed charged premium</t>
  </si>
  <si>
    <t>SCN_DOWNSIDE</t>
  </si>
  <si>
    <t>Scenario (Downside) at fixed charged premium</t>
  </si>
  <si>
    <t>SCN_CUSTOM</t>
  </si>
  <si>
    <t>Scenario (Custom) at fixed charged premium</t>
  </si>
  <si>
    <t>TOR_MORT_DN</t>
  </si>
  <si>
    <t>Tornado: mort down</t>
  </si>
  <si>
    <t>TOR_MORT_UP</t>
  </si>
  <si>
    <t>Tornado: mort up</t>
  </si>
  <si>
    <t>TOR_LAPSE_DN</t>
  </si>
  <si>
    <t>Tornado: lapse down</t>
  </si>
  <si>
    <t>TOR_LAPSE_UP</t>
  </si>
  <si>
    <t>Tornado: lapse up</t>
  </si>
  <si>
    <t>TOR_EXP_DN</t>
  </si>
  <si>
    <t>Tornado: exp down</t>
  </si>
  <si>
    <t>TOR_EXP_UP</t>
  </si>
  <si>
    <t>Tornado: exp up</t>
  </si>
  <si>
    <t>TOR_COMM_DN</t>
  </si>
  <si>
    <t>Tornado: comm down</t>
  </si>
  <si>
    <t>TOR_COMM_UP</t>
  </si>
  <si>
    <t>Tornado: comm up</t>
  </si>
  <si>
    <t>TOR_DISC_DN</t>
  </si>
  <si>
    <t>Tornado: disc down</t>
  </si>
  <si>
    <t>TOR_DISC_UP</t>
  </si>
  <si>
    <t>Tornado: disc up</t>
  </si>
  <si>
    <t>TOR_RI_DN</t>
  </si>
  <si>
    <t>Tornado: ri down</t>
  </si>
  <si>
    <t>TOR_RI_UP</t>
  </si>
  <si>
    <t>Tornado: ri up</t>
  </si>
  <si>
    <t>EXP_CUR</t>
  </si>
  <si>
    <t>Experience: current pricing basis</t>
  </si>
  <si>
    <t>EXP_REC</t>
  </si>
  <si>
    <t>Experience: recommended basis (illustrative)</t>
  </si>
  <si>
    <t>Portfolio</t>
  </si>
  <si>
    <t>UW Class</t>
  </si>
  <si>
    <t>Exposure</t>
  </si>
  <si>
    <t>Actual deaths</t>
  </si>
  <si>
    <t>Expected deaths</t>
  </si>
  <si>
    <t>Observed lapse rate</t>
  </si>
  <si>
    <t>Policy-years</t>
  </si>
  <si>
    <t>Events</t>
  </si>
  <si>
    <t>Sum of supplied rounded expected deaths</t>
  </si>
  <si>
    <t>Mortality A/E</t>
  </si>
  <si>
    <t>Actual / expected</t>
  </si>
  <si>
    <t>Lapse incidence</t>
  </si>
  <si>
    <t>Events per exposed policy-year</t>
  </si>
  <si>
    <t>Annualised lapse-only persistency</t>
  </si>
  <si>
    <t>Constant-force proxy, excludes mortality</t>
  </si>
  <si>
    <t>Dual death/lapse flags</t>
  </si>
  <si>
    <t>Basis</t>
  </si>
  <si>
    <t>Opening CSM</t>
  </si>
  <si>
    <t>Accretion</t>
  </si>
  <si>
    <t>Future service Δ</t>
  </si>
  <si>
    <t>CSM before release</t>
  </si>
  <si>
    <t>Coverage units</t>
  </si>
  <si>
    <t>CSM release</t>
  </si>
  <si>
    <t>Closing CSM</t>
  </si>
  <si>
    <t>Opening BEL</t>
  </si>
  <si>
    <t>Gross outgo</t>
  </si>
  <si>
    <t>RA release</t>
  </si>
  <si>
    <t>Closing BEL</t>
  </si>
  <si>
    <t>Closing RA</t>
  </si>
  <si>
    <t>LRC</t>
  </si>
  <si>
    <t>Roll-forward Δ</t>
  </si>
  <si>
    <t>CSM excess loss</t>
  </si>
  <si>
    <t>PV future premiums</t>
  </si>
  <si>
    <t>Gross underlying contracts</t>
  </si>
  <si>
    <t>PV gross outgo</t>
  </si>
  <si>
    <t>Initial risk adjustment</t>
  </si>
  <si>
    <t>Initial FCF</t>
  </si>
  <si>
    <t>Initial CSM</t>
  </si>
  <si>
    <t>Initial loss component</t>
  </si>
  <si>
    <t>Onerous?</t>
  </si>
  <si>
    <t>Insurance revenue proxy</t>
  </si>
  <si>
    <t>Service expenses proxy</t>
  </si>
  <si>
    <t>Insurance service result</t>
  </si>
  <si>
    <t>Finance expense proxy</t>
  </si>
  <si>
    <t>Opening LRC</t>
  </si>
  <si>
    <t>BEL + RA + CSM</t>
  </si>
  <si>
    <t>Closing LRC</t>
  </si>
  <si>
    <t>Closing LIC</t>
  </si>
  <si>
    <t>LRC roll-forward residual</t>
  </si>
  <si>
    <t>CSM release reconciliation</t>
  </si>
  <si>
    <t>Rationale</t>
  </si>
  <si>
    <t>Status</t>
  </si>
  <si>
    <t>Feature</t>
  </si>
  <si>
    <t>GMM</t>
  </si>
  <si>
    <t>VFA</t>
  </si>
  <si>
    <t>Clearly identified underlying items</t>
  </si>
  <si>
    <t>Yes</t>
  </si>
  <si>
    <t>Policyholder account is linked to a defined fund pool</t>
  </si>
  <si>
    <t>Illustrative</t>
  </si>
  <si>
    <t>Typical focus</t>
  </si>
  <si>
    <t>Non-direct participating protection</t>
  </si>
  <si>
    <t>Direct participating / underlying items</t>
  </si>
  <si>
    <t>Substantial share of fair value returns paid to policyholder</t>
  </si>
  <si>
    <t>Account value reflects fund performance net of charges</t>
  </si>
  <si>
    <t>CSM response to financial changes</t>
  </si>
  <si>
    <t>More limited</t>
  </si>
  <si>
    <t>Variable fee-related changes can adjust CSM</t>
  </si>
  <si>
    <t>Substantial variability with underlying items</t>
  </si>
  <si>
    <t>Benefits vary with account value</t>
  </si>
  <si>
    <t>Underlying items</t>
  </si>
  <si>
    <t>Not central</t>
  </si>
  <si>
    <t>Clearly identified</t>
  </si>
  <si>
    <t>Investment service</t>
  </si>
  <si>
    <t>May exist</t>
  </si>
  <si>
    <t>Investment-related service integral</t>
  </si>
  <si>
    <t>Reinsurance held</t>
  </si>
  <si>
    <t>Separate measurement</t>
  </si>
  <si>
    <t>VFA does not apply to reinsurance held</t>
  </si>
  <si>
    <t>Year 1 underlying items / closing fund</t>
  </si>
  <si>
    <t>Unit-linked closing fund</t>
  </si>
  <si>
    <t>Account value plus death loading</t>
  </si>
  <si>
    <t>Investment performance adjustment</t>
  </si>
  <si>
    <t>Closing CSM before release</t>
  </si>
  <si>
    <t>CSM reconciliation</t>
  </si>
  <si>
    <t>Life Insurance Pricing &amp; Profitability Model</t>
  </si>
  <si>
    <t>Personal actuarial project</t>
  </si>
  <si>
    <t>Purpose</t>
  </si>
  <si>
    <t>Data and modelling basis</t>
  </si>
  <si>
    <t>Term cash flows use annual steps and year-end discounting. Profit is before tax and capital costs. Monthly premiums use a loading rather than monthly decrements.</t>
  </si>
  <si>
    <t>Excel conventions</t>
  </si>
  <si>
    <t>Yellow cells with blue text are inputs. Black formulas calculate within a sheet; green formulas link to another sheet. Detailed policy calculations can be unhidden.</t>
  </si>
  <si>
    <t>Results Summary</t>
  </si>
  <si>
    <t>Policy NBM</t>
  </si>
  <si>
    <t>Portfolio profitability by entry age</t>
  </si>
  <si>
    <t>Annual profit</t>
  </si>
  <si>
    <t>Lower assumption</t>
  </si>
  <si>
    <t>Higher assumption</t>
  </si>
  <si>
    <t>Term Life Pricing Calculator</t>
  </si>
  <si>
    <t>Net outgo</t>
  </si>
  <si>
    <t>Profit</t>
  </si>
  <si>
    <t>Assumptions</t>
  </si>
  <si>
    <t>Illustrative channel commission assumption</t>
  </si>
  <si>
    <t>https://www.ifrs.org/issued-standards/list-of-standards/ifrs-17-insurance-contracts/</t>
  </si>
  <si>
    <t>Mortality</t>
  </si>
  <si>
    <t>Premium Calculation</t>
  </si>
  <si>
    <t>Linked from Pricing Calculator!C6 (edit inputs there)</t>
  </si>
  <si>
    <t>Linked from Pricing Calculator!C7 (edit inputs there)</t>
  </si>
  <si>
    <t>Linked from Pricing Calculator!C8 (edit inputs there)</t>
  </si>
  <si>
    <t>Linked from Pricing Calculator!C9 (edit inputs there)</t>
  </si>
  <si>
    <t>Linked from Pricing Calculator!C11 (edit inputs there)</t>
  </si>
  <si>
    <t>Linked from Pricing Calculator!C10 (edit inputs there)</t>
  </si>
  <si>
    <t>Linked from Pricing Calculator!C12 (edit inputs there)</t>
  </si>
  <si>
    <t>Reinsurance</t>
  </si>
  <si>
    <t>Profit Testing</t>
  </si>
  <si>
    <t>Cumulative discounted profit</t>
  </si>
  <si>
    <t>First non-negative cumulative discounted profit</t>
  </si>
  <si>
    <t>NBM = PVFP / PV premiums. Break-even uses discounted profits.</t>
  </si>
  <si>
    <t>Portfolio Analysis</t>
  </si>
  <si>
    <t>Policies selected for further investigation</t>
  </si>
  <si>
    <t>Experience Analysis</t>
  </si>
  <si>
    <t>Age &lt;30</t>
  </si>
  <si>
    <t>Age 30-39</t>
  </si>
  <si>
    <t>Age 40-49</t>
  </si>
  <si>
    <t>Age 50+</t>
  </si>
  <si>
    <t>Duration 1-2</t>
  </si>
  <si>
    <t>Duration 3+</t>
  </si>
  <si>
    <t>Supplied synthetic study totals</t>
  </si>
  <si>
    <t>Assumption Review</t>
  </si>
  <si>
    <t>Exposure × Mortality qx (attained age) × UW factor</t>
  </si>
  <si>
    <t>Potential mortality multiplier</t>
  </si>
  <si>
    <t>Potential lapse multiplier</t>
  </si>
  <si>
    <t>Individual policy: effect of the potential basis</t>
  </si>
  <si>
    <t>Formula comparison</t>
  </si>
  <si>
    <t>Sensitivities</t>
  </si>
  <si>
    <t>Current pricing basis</t>
  </si>
  <si>
    <t>NBM (up stress)</t>
  </si>
  <si>
    <t>IFRS 17 GMM</t>
  </si>
  <si>
    <t>Year 1 fund and policy charges</t>
  </si>
  <si>
    <t>Fee change</t>
  </si>
  <si>
    <t>Excess loss</t>
  </si>
  <si>
    <t>Before release</t>
  </si>
  <si>
    <t>Service units</t>
  </si>
  <si>
    <t>Difference</t>
  </si>
  <si>
    <t>Policy Data</t>
  </si>
  <si>
    <t>Policy ID</t>
  </si>
  <si>
    <t>Term (years)</t>
  </si>
  <si>
    <t>Exposure years</t>
  </si>
  <si>
    <t>Death event</t>
  </si>
  <si>
    <t>Lapse event</t>
  </si>
  <si>
    <t>Annual premium (AED)</t>
  </si>
  <si>
    <t>Checks</t>
  </si>
  <si>
    <t>Check</t>
  </si>
  <si>
    <t>Quote input validity</t>
  </si>
  <si>
    <t>VALID</t>
  </si>
  <si>
    <t>abs &lt; 0.01</t>
  </si>
  <si>
    <t>Minimum in-force</t>
  </si>
  <si>
    <t>&gt;=0</t>
  </si>
  <si>
    <t>Maximum qx</t>
  </si>
  <si>
    <t>&lt;=1</t>
  </si>
  <si>
    <t>Decrement conservation</t>
  </si>
  <si>
    <t>abs &lt; 0.00000001</t>
  </si>
  <si>
    <t>GMM liability roll-forward</t>
  </si>
  <si>
    <t>abs &lt; 0.0001</t>
  </si>
  <si>
    <t>GMM terminal BEL</t>
  </si>
  <si>
    <t>UL fund conservation</t>
  </si>
  <si>
    <t>UL input validity</t>
  </si>
  <si>
    <t>VFA CSM roll-forward</t>
  </si>
  <si>
    <t>Experience death total</t>
  </si>
  <si>
    <t>zero</t>
  </si>
  <si>
    <t>Experience expected total</t>
  </si>
  <si>
    <t>abs &lt; 0.00001</t>
  </si>
  <si>
    <t>Policy calculation PVFP without RI = Reinsurance</t>
  </si>
  <si>
    <t>Portfolio record completeness</t>
  </si>
  <si>
    <t>Channel commission applied in cash flows</t>
  </si>
  <si>
    <t>VFA terminal CSM</t>
  </si>
  <si>
    <t>Summary policy PVFP</t>
  </si>
  <si>
    <t>Summary portfolio NBM</t>
  </si>
  <si>
    <t>Summary mortality A/E</t>
  </si>
  <si>
    <t>abs &lt; 0.000001</t>
  </si>
  <si>
    <t>Pricing mortality lower bound</t>
  </si>
  <si>
    <t>Pricing mortality upper bound</t>
  </si>
  <si>
    <t>Formula errors across calculation sheets</t>
  </si>
  <si>
    <t>Overall checks</t>
  </si>
  <si>
    <t>Portfolio Totals</t>
  </si>
  <si>
    <t>Out of term-pricing scope (see Unit-Linked)</t>
  </si>
  <si>
    <t>Policy Calculations</t>
  </si>
  <si>
    <t>PVFP sorting key</t>
  </si>
  <si>
    <t>Reconciliation: live quote vs Cashflows</t>
  </si>
  <si>
    <t>Build a term life insurance pricing model and understand how mortality, lapses, expenses, commission and reinsurance affect premiums and profitability.</t>
  </si>
  <si>
    <t>Model Structure</t>
  </si>
  <si>
    <t>The model starts with an individual term life policy and follows the pricing process through premium calculation, projected cash flows, reinsurance and profit testing.</t>
  </si>
  <si>
    <t>Then applied to a synthetic portfolio to compare profitability across different groups, review experience and test the impact of changing key assumptions.</t>
  </si>
  <si>
    <t>The Assumptions and Mortality sheets set out the basis used in the model. IFRS 17 GMM and Unit-Linked / VFA are included as simplified extensions of the main pricing model.</t>
  </si>
  <si>
    <t>Amounts are in AED. Policy and experience data are synthetic, while the product features and actuarial assumptions are illustrative and are not based on a specific insurer.</t>
  </si>
  <si>
    <t>Core results and sensitivities update automatically when the inputs are changed. The Checks sheet can be used to review the main validation and reconciliation checks.</t>
  </si>
  <si>
    <t>Summary of the individual policy and synthetic portfolio results. Amounts are in AED.</t>
  </si>
  <si>
    <t>Technical annual premium (AED)</t>
  </si>
  <si>
    <t>Policy PVFP (AED)</t>
  </si>
  <si>
    <t>Break even year</t>
  </si>
  <si>
    <t>Projected annual policy profit</t>
  </si>
  <si>
    <t>Impact of key assumptions on policy PVFP</t>
  </si>
  <si>
    <t>Key observations</t>
  </si>
  <si>
    <t>Change the yellow inputs to price a new policy. Amounts are in AED.</t>
  </si>
  <si>
    <t>Limits: entry age 20–(81 – term); policy term 1–40 years; sum assured &gt; 0. Mortality rates are available up to age 80.</t>
  </si>
  <si>
    <t>Monthly premiums are based on the annual premium with a monthly payment loading applied; decrements are modelled annually.</t>
  </si>
  <si>
    <t>3. Policy profitability</t>
  </si>
  <si>
    <t>Reinsurance reduces the amount of claim risk retained by the insurer. Its overall impact can be seen by comparing the cost of reinsurance with the expected recoveries and the change in PVFP.</t>
  </si>
  <si>
    <t>Reference date for portfolio calculations</t>
  </si>
  <si>
    <t>Discount rate used for pricing and present value calculations</t>
  </si>
  <si>
    <t>Assumed annual fund return for the unit-linked projection</t>
  </si>
  <si>
    <t>Risk adjustment as % of PV future claims and expenses</t>
  </si>
  <si>
    <t>Initial acquisition expense per policy</t>
  </si>
  <si>
    <t>Annual maintenance expense in Year 1</t>
  </si>
  <si>
    <t>Default initial commission assumption</t>
  </si>
  <si>
    <t>Renewal commission as % of premium</t>
  </si>
  <si>
    <t>Reinsurance premium rate on ceded sum assured</t>
  </si>
  <si>
    <t>Target new-business margin (NBM)</t>
  </si>
  <si>
    <t>Proportion of unit-linked premium allocated to the fund</t>
  </si>
  <si>
    <t>Additional death benefit above the account value</t>
  </si>
  <si>
    <t>Multiplier applied to mortality rates</t>
  </si>
  <si>
    <t>Multiplier applied to lapse rates</t>
  </si>
  <si>
    <t>Multiplier applied to expenses</t>
  </si>
  <si>
    <t>Change applied to commission rates</t>
  </si>
  <si>
    <t>Change applied to the discount rate</t>
  </si>
  <si>
    <t>Change applied to the unit-linked fund return</t>
  </si>
  <si>
    <t>Annual reduction applied to lapse rates by duration</t>
  </si>
  <si>
    <t>Loading applied to monthly premium payments</t>
  </si>
  <si>
    <t>Simplified assumption for the IFRS 17 illustration</t>
  </si>
  <si>
    <t>Illustrative modelling assumption</t>
  </si>
  <si>
    <t>Starting assumption for experience analysis</t>
  </si>
  <si>
    <t>Illustrative mortality rates by age, sex and smoker status. Underwriting factors are shown in the Assumptions sheet.</t>
  </si>
  <si>
    <t>Policy inputs are linked from the Pricing Calculator. An optional premium override can be entered below.</t>
  </si>
  <si>
    <t>Underwriting Class</t>
  </si>
  <si>
    <t>Mortality rate at entry age</t>
  </si>
  <si>
    <t>Underwriting-adjusted qx</t>
  </si>
  <si>
    <t>Base mortality adjusted for underwriting class</t>
  </si>
  <si>
    <t>Sum assured × adjusted mortality rate</t>
  </si>
  <si>
    <t>Expected claims after reinsurance recoveries</t>
  </si>
  <si>
    <t>Year 1 reinsurance premium</t>
  </si>
  <si>
    <t>Ceded sum assured × reinsurance premium rate</t>
  </si>
  <si>
    <t>Acquisition and maintenance expenses</t>
  </si>
  <si>
    <t>Charged premium × initial commission rate</t>
  </si>
  <si>
    <t>Premium required to meet the target NBM</t>
  </si>
  <si>
    <t>Annual premium expressed per AED 1,000 of sum assured</t>
  </si>
  <si>
    <t>Premium payable for the selected payment frequency</t>
  </si>
  <si>
    <t>PV claims and expenses</t>
  </si>
  <si>
    <t>Present value of retained claims, expenses and reinsurance premiums</t>
  </si>
  <si>
    <t>Present value factor for future premiums</t>
  </si>
  <si>
    <t>Present value factor for future commission payments</t>
  </si>
  <si>
    <t>Should be zero when the premium is solved</t>
  </si>
  <si>
    <t>Check the yellow input cells if the status is invalid</t>
  </si>
  <si>
    <t>Leave blank to use the technical premium; enter a value to test a different premium.</t>
  </si>
  <si>
    <t>Premium used for profit testing, sensitivities and comparisons</t>
  </si>
  <si>
    <t>Selected distribution channel from the Pricing Calculator</t>
  </si>
  <si>
    <t>Initial commission rate</t>
  </si>
  <si>
    <t>Commission rate based on the selected distribution channel</t>
  </si>
  <si>
    <t>Projected Cash Flows</t>
  </si>
  <si>
    <t>Annual projection of premiums, claims, expenses, reinsurance and profit for the selected policy.</t>
  </si>
  <si>
    <t>Opening in-force</t>
  </si>
  <si>
    <t>Lapse rate</t>
  </si>
  <si>
    <t>Reinsurance premium</t>
  </si>
  <si>
    <t>PV premium factor</t>
  </si>
  <si>
    <t>PV commission factor</t>
  </si>
  <si>
    <t>PV claims &amp; expenses</t>
  </si>
  <si>
    <t>Closing in-force</t>
  </si>
  <si>
    <t>Annual projection with financial cash flows assumed at year end. Death is applied before lapses, and no surrender benefit is assumed for the term policy.</t>
  </si>
  <si>
    <t>Amount above the retention limit is ceded</t>
  </si>
  <si>
    <t>Expected claim cost in Year 1</t>
  </si>
  <si>
    <t>Year 1 claim and reinsurance cost</t>
  </si>
  <si>
    <t>Claims and reinsurance premium combined</t>
  </si>
  <si>
    <t>PV reinsurance recoveries</t>
  </si>
  <si>
    <t>PV reinsurance premiums</t>
  </si>
  <si>
    <t>This section compares the economic impact of reinsurance on projected cash flows. Separate IFRS 17 accounting for reinsurance contracts held is not included.</t>
  </si>
  <si>
    <t>Present value of projected premiums</t>
  </si>
  <si>
    <t>Expected claims after RI recoveries</t>
  </si>
  <si>
    <t>Expenses, commission and RI premiums</t>
  </si>
  <si>
    <t>Present value of future profits, before tax and capital costs</t>
  </si>
  <si>
    <t>Indicates whether PVFP is positive or negative</t>
  </si>
  <si>
    <t>Profit reconciliation</t>
  </si>
  <si>
    <t>Should be zero if the cash flows reconcile</t>
  </si>
  <si>
    <t>Break-even reached?</t>
  </si>
  <si>
    <t>Financial cash flows are assumed to occur at year end in this annual projection.</t>
  </si>
  <si>
    <t>PVFP is calculated after RI and before tax and capital costs.</t>
  </si>
  <si>
    <t>Analysis of profitability across the synthetic term life portfolio.</t>
  </si>
  <si>
    <t>Results are compared across key policy and customer segments to identify differences in premium adequacy and profitability.</t>
  </si>
  <si>
    <t>Portfolio observations</t>
  </si>
  <si>
    <t>Segment</t>
  </si>
  <si>
    <t>Lowest NBM</t>
  </si>
  <si>
    <t>Highest NBM</t>
  </si>
  <si>
    <t>Policies requiring further review</t>
  </si>
  <si>
    <t>Experience analysis based on synthetic policy data generated for this project. Results are used to compare observed mortality and lapse experience with the illustrative pricing assumptions.</t>
  </si>
  <si>
    <t>Policy sample analysis</t>
  </si>
  <si>
    <t>This analysis uses the 250 synthetic policies in the Policy Data sheet. Age, smoker status and duration are separate views of the same policies and should not be added together.</t>
  </si>
  <si>
    <t>Synthetic experience dataset used for the mortality and lapse analysis</t>
  </si>
  <si>
    <t>3 records contain both death and lapse flags and are excluded from assumption calibration</t>
  </si>
  <si>
    <t>Data basis: Policy and experience data are synthetic and were generated for this project. Mortality and lapse experience is illustrative and is intended to demonstrate the experience-analysis methodology rather than represent the experience of a specific insurer or market.</t>
  </si>
  <si>
    <t>Review of mortality and lapse experience to assess whether changes to the current pricing assumptions are supported by the data.</t>
  </si>
  <si>
    <t>Full-credibility standard (deaths)</t>
  </si>
  <si>
    <t>Current basis A/E</t>
  </si>
  <si>
    <t>Limited-fluctuation credibility standard</t>
  </si>
  <si>
    <t xml:space="preserve">Actual deaths </t>
  </si>
  <si>
    <t>Expected deaths – expected basis</t>
  </si>
  <si>
    <t>B. Term life lapse experience</t>
  </si>
  <si>
    <t>Lapse A/E – overall</t>
  </si>
  <si>
    <t>Sensitivity analysis of policy profitability and technical premium under alternative assumptions.</t>
  </si>
  <si>
    <t>Mortality, lapse and expense stresses are multiplicative; commission and discount stresses are additive.</t>
  </si>
  <si>
    <t>Current value</t>
  </si>
  <si>
    <t>Matches base?</t>
  </si>
  <si>
    <t xml:space="preserve">Scenario comparison </t>
  </si>
  <si>
    <t>Downside combines adverse movements in the key pricing assumptions.</t>
  </si>
  <si>
    <t>One-way sensitivity analysis</t>
  </si>
  <si>
    <t>PVFP range</t>
  </si>
  <si>
    <t>Base PVFP</t>
  </si>
  <si>
    <t>PVFP sensitivity ranking</t>
  </si>
  <si>
    <t>Claims, expenses and commission before RI</t>
  </si>
  <si>
    <t>Illustrative risk adjustment</t>
  </si>
  <si>
    <t>Liability shown as positive</t>
  </si>
  <si>
    <t>CSM eliminates gain at initial recognition</t>
  </si>
  <si>
    <t>Loss recognised at initial measurement</t>
  </si>
  <si>
    <t>Single illustrative group</t>
  </si>
  <si>
    <t>Expected outgo plus CSM and RA release</t>
  </si>
  <si>
    <t>Actual experience assumed equal to expected</t>
  </si>
  <si>
    <t>CSM and RA release</t>
  </si>
  <si>
    <t>Discount unwind and CSM accretion</t>
  </si>
  <si>
    <t>BEL + remaining RA + CSM</t>
  </si>
  <si>
    <t>No outstanding claims assumed</t>
  </si>
  <si>
    <t>Reconciliation check</t>
  </si>
  <si>
    <t>This section covers gross contracts only. Reinsurance-held contracts and detailed loss-component allocation are outside the scope of the model.</t>
  </si>
  <si>
    <t>Assumption</t>
  </si>
  <si>
    <t>Illustrative Assumptions</t>
  </si>
  <si>
    <t>Assumptions sheet</t>
  </si>
  <si>
    <t>Opening Balance</t>
  </si>
  <si>
    <t>Fund value at maturity</t>
  </si>
  <si>
    <t>Illustrative unit-linked projection based on the assumptions shown above; no policyholder or insurer data is used.</t>
  </si>
  <si>
    <t>IFRS 17 VFA: Unit-Linked</t>
  </si>
  <si>
    <t>VFA eligibility criteria</t>
  </si>
  <si>
    <t>Illustrative charge income</t>
  </si>
  <si>
    <t>Illustrative adjustment for changes in future fees</t>
  </si>
  <si>
    <t>Opening CSM adjusted for changes in the variable fee</t>
  </si>
  <si>
    <t>CSM release based on service units</t>
  </si>
  <si>
    <t>CSM after release</t>
  </si>
  <si>
    <t>Account value with surrender penalty</t>
  </si>
  <si>
    <t xml:space="preserve">CSM roll-forward </t>
  </si>
  <si>
    <t>Assessment depends on product features</t>
  </si>
  <si>
    <t>Financial changes may adjust the CSM under VFA</t>
  </si>
  <si>
    <t>Relevant to VFA eligibility</t>
  </si>
  <si>
    <t>Reflects investment-related service</t>
  </si>
  <si>
    <t>Separate treatment under IFRS 17</t>
  </si>
  <si>
    <t>Opening CSM is an illustrative assumption. Equal service units are used for the CSM release.</t>
  </si>
  <si>
    <t>VFA eligibility depends on the contract terms and the policyholder's participation in the underlying items.</t>
  </si>
  <si>
    <t>Experience qx</t>
  </si>
  <si>
    <t>Experience lapse rate</t>
  </si>
  <si>
    <t>POL100000</t>
  </si>
  <si>
    <t>POL100001</t>
  </si>
  <si>
    <t>POL100002</t>
  </si>
  <si>
    <t>POL100003</t>
  </si>
  <si>
    <t>POL100004</t>
  </si>
  <si>
    <t>POL100005</t>
  </si>
  <si>
    <t>POL100006</t>
  </si>
  <si>
    <t>POL100007</t>
  </si>
  <si>
    <t>POL100008</t>
  </si>
  <si>
    <t>POL100009</t>
  </si>
  <si>
    <t>POL100010</t>
  </si>
  <si>
    <t>POL100011</t>
  </si>
  <si>
    <t>POL100012</t>
  </si>
  <si>
    <t>POL100013</t>
  </si>
  <si>
    <t>POL100014</t>
  </si>
  <si>
    <t>POL100015</t>
  </si>
  <si>
    <t>POL100016</t>
  </si>
  <si>
    <t>POL100017</t>
  </si>
  <si>
    <t>POL100018</t>
  </si>
  <si>
    <t>POL100019</t>
  </si>
  <si>
    <t>POL100020</t>
  </si>
  <si>
    <t>POL100021</t>
  </si>
  <si>
    <t>POL100022</t>
  </si>
  <si>
    <t>POL100023</t>
  </si>
  <si>
    <t>POL100024</t>
  </si>
  <si>
    <t>POL100025</t>
  </si>
  <si>
    <t>POL100026</t>
  </si>
  <si>
    <t>POL100027</t>
  </si>
  <si>
    <t>POL100028</t>
  </si>
  <si>
    <t>POL100029</t>
  </si>
  <si>
    <t>POL100030</t>
  </si>
  <si>
    <t>POL100031</t>
  </si>
  <si>
    <t>POL100032</t>
  </si>
  <si>
    <t>POL100033</t>
  </si>
  <si>
    <t>POL100034</t>
  </si>
  <si>
    <t>POL100035</t>
  </si>
  <si>
    <t>POL100036</t>
  </si>
  <si>
    <t>POL100037</t>
  </si>
  <si>
    <t>POL100038</t>
  </si>
  <si>
    <t>POL100039</t>
  </si>
  <si>
    <t>POL100040</t>
  </si>
  <si>
    <t>POL100041</t>
  </si>
  <si>
    <t>POL100042</t>
  </si>
  <si>
    <t>POL100043</t>
  </si>
  <si>
    <t>POL100044</t>
  </si>
  <si>
    <t>POL100045</t>
  </si>
  <si>
    <t>POL100046</t>
  </si>
  <si>
    <t>POL100047</t>
  </si>
  <si>
    <t>POL100048</t>
  </si>
  <si>
    <t>POL100049</t>
  </si>
  <si>
    <t>POL100050</t>
  </si>
  <si>
    <t>POL100051</t>
  </si>
  <si>
    <t>POL100052</t>
  </si>
  <si>
    <t>POL100053</t>
  </si>
  <si>
    <t>POL100054</t>
  </si>
  <si>
    <t>POL100055</t>
  </si>
  <si>
    <t>POL100056</t>
  </si>
  <si>
    <t>POL100057</t>
  </si>
  <si>
    <t>POL100058</t>
  </si>
  <si>
    <t>POL100059</t>
  </si>
  <si>
    <t>POL100060</t>
  </si>
  <si>
    <t>POL100061</t>
  </si>
  <si>
    <t>POL100062</t>
  </si>
  <si>
    <t>POL100063</t>
  </si>
  <si>
    <t>POL100064</t>
  </si>
  <si>
    <t>POL100065</t>
  </si>
  <si>
    <t>POL100066</t>
  </si>
  <si>
    <t>POL100067</t>
  </si>
  <si>
    <t>POL100068</t>
  </si>
  <si>
    <t>POL100069</t>
  </si>
  <si>
    <t>POL100070</t>
  </si>
  <si>
    <t>POL100071</t>
  </si>
  <si>
    <t>POL100072</t>
  </si>
  <si>
    <t>POL100073</t>
  </si>
  <si>
    <t>POL100074</t>
  </si>
  <si>
    <t>POL100075</t>
  </si>
  <si>
    <t>POL100076</t>
  </si>
  <si>
    <t>POL100077</t>
  </si>
  <si>
    <t>POL100078</t>
  </si>
  <si>
    <t>POL100079</t>
  </si>
  <si>
    <t>POL100080</t>
  </si>
  <si>
    <t>POL100081</t>
  </si>
  <si>
    <t>POL100082</t>
  </si>
  <si>
    <t>POL100083</t>
  </si>
  <si>
    <t>POL100084</t>
  </si>
  <si>
    <t>POL100085</t>
  </si>
  <si>
    <t>POL100086</t>
  </si>
  <si>
    <t>POL100087</t>
  </si>
  <si>
    <t>POL100088</t>
  </si>
  <si>
    <t>POL100089</t>
  </si>
  <si>
    <t>POL100090</t>
  </si>
  <si>
    <t>POL100091</t>
  </si>
  <si>
    <t>POL100092</t>
  </si>
  <si>
    <t>POL100093</t>
  </si>
  <si>
    <t>POL100094</t>
  </si>
  <si>
    <t>POL100095</t>
  </si>
  <si>
    <t>POL100096</t>
  </si>
  <si>
    <t>POL100097</t>
  </si>
  <si>
    <t>POL100098</t>
  </si>
  <si>
    <t>POL100099</t>
  </si>
  <si>
    <t>POL100100</t>
  </si>
  <si>
    <t>POL100101</t>
  </si>
  <si>
    <t>POL100102</t>
  </si>
  <si>
    <t>POL100103</t>
  </si>
  <si>
    <t>POL100104</t>
  </si>
  <si>
    <t>POL100105</t>
  </si>
  <si>
    <t>POL100106</t>
  </si>
  <si>
    <t>POL100107</t>
  </si>
  <si>
    <t>POL100108</t>
  </si>
  <si>
    <t>POL100109</t>
  </si>
  <si>
    <t>POL100110</t>
  </si>
  <si>
    <t>POL100111</t>
  </si>
  <si>
    <t>POL100112</t>
  </si>
  <si>
    <t>POL100113</t>
  </si>
  <si>
    <t>POL100114</t>
  </si>
  <si>
    <t>POL100115</t>
  </si>
  <si>
    <t>POL100116</t>
  </si>
  <si>
    <t>POL100117</t>
  </si>
  <si>
    <t>POL100118</t>
  </si>
  <si>
    <t>POL100119</t>
  </si>
  <si>
    <t>POL100120</t>
  </si>
  <si>
    <t>POL100121</t>
  </si>
  <si>
    <t>POL100122</t>
  </si>
  <si>
    <t>POL100123</t>
  </si>
  <si>
    <t>POL100124</t>
  </si>
  <si>
    <t>POL100125</t>
  </si>
  <si>
    <t>POL100126</t>
  </si>
  <si>
    <t>POL100127</t>
  </si>
  <si>
    <t>POL100128</t>
  </si>
  <si>
    <t>POL100129</t>
  </si>
  <si>
    <t>POL100130</t>
  </si>
  <si>
    <t>POL100131</t>
  </si>
  <si>
    <t>POL100132</t>
  </si>
  <si>
    <t>POL100133</t>
  </si>
  <si>
    <t>POL100134</t>
  </si>
  <si>
    <t>POL100135</t>
  </si>
  <si>
    <t>POL100136</t>
  </si>
  <si>
    <t>POL100137</t>
  </si>
  <si>
    <t>POL100138</t>
  </si>
  <si>
    <t>POL100139</t>
  </si>
  <si>
    <t>POL100140</t>
  </si>
  <si>
    <t>POL100141</t>
  </si>
  <si>
    <t>POL100142</t>
  </si>
  <si>
    <t>POL100143</t>
  </si>
  <si>
    <t>POL100144</t>
  </si>
  <si>
    <t>POL100145</t>
  </si>
  <si>
    <t>POL100146</t>
  </si>
  <si>
    <t>POL100147</t>
  </si>
  <si>
    <t>POL100148</t>
  </si>
  <si>
    <t>POL100149</t>
  </si>
  <si>
    <t>POL100150</t>
  </si>
  <si>
    <t>POL100151</t>
  </si>
  <si>
    <t>POL100152</t>
  </si>
  <si>
    <t>POL100153</t>
  </si>
  <si>
    <t>POL100154</t>
  </si>
  <si>
    <t>POL100155</t>
  </si>
  <si>
    <t>POL100156</t>
  </si>
  <si>
    <t>POL100157</t>
  </si>
  <si>
    <t>POL100158</t>
  </si>
  <si>
    <t>POL100159</t>
  </si>
  <si>
    <t>POL100160</t>
  </si>
  <si>
    <t>POL100161</t>
  </si>
  <si>
    <t>POL100162</t>
  </si>
  <si>
    <t>POL100163</t>
  </si>
  <si>
    <t>POL100164</t>
  </si>
  <si>
    <t>POL100165</t>
  </si>
  <si>
    <t>POL100166</t>
  </si>
  <si>
    <t>POL100167</t>
  </si>
  <si>
    <t>POL100168</t>
  </si>
  <si>
    <t>POL100169</t>
  </si>
  <si>
    <t>POL100170</t>
  </si>
  <si>
    <t>POL100171</t>
  </si>
  <si>
    <t>POL100172</t>
  </si>
  <si>
    <t>POL100173</t>
  </si>
  <si>
    <t>POL100174</t>
  </si>
  <si>
    <t>POL100175</t>
  </si>
  <si>
    <t>POL100176</t>
  </si>
  <si>
    <t>POL100177</t>
  </si>
  <si>
    <t>POL100178</t>
  </si>
  <si>
    <t>POL100179</t>
  </si>
  <si>
    <t>POL100180</t>
  </si>
  <si>
    <t>POL100181</t>
  </si>
  <si>
    <t>POL100182</t>
  </si>
  <si>
    <t>POL100183</t>
  </si>
  <si>
    <t>POL100184</t>
  </si>
  <si>
    <t>POL100185</t>
  </si>
  <si>
    <t>POL100186</t>
  </si>
  <si>
    <t>POL100187</t>
  </si>
  <si>
    <t>POL100188</t>
  </si>
  <si>
    <t>POL100189</t>
  </si>
  <si>
    <t>POL100190</t>
  </si>
  <si>
    <t>POL100191</t>
  </si>
  <si>
    <t>POL100192</t>
  </si>
  <si>
    <t>POL100193</t>
  </si>
  <si>
    <t>POL100194</t>
  </si>
  <si>
    <t>POL100195</t>
  </si>
  <si>
    <t>POL100196</t>
  </si>
  <si>
    <t>POL100197</t>
  </si>
  <si>
    <t>POL100198</t>
  </si>
  <si>
    <t>POL100199</t>
  </si>
  <si>
    <t>POL100200</t>
  </si>
  <si>
    <t>POL100201</t>
  </si>
  <si>
    <t>POL100202</t>
  </si>
  <si>
    <t>POL100203</t>
  </si>
  <si>
    <t>POL100204</t>
  </si>
  <si>
    <t>POL100205</t>
  </si>
  <si>
    <t>POL100206</t>
  </si>
  <si>
    <t>POL100207</t>
  </si>
  <si>
    <t>POL100208</t>
  </si>
  <si>
    <t>POL100209</t>
  </si>
  <si>
    <t>POL100210</t>
  </si>
  <si>
    <t>POL100211</t>
  </si>
  <si>
    <t>POL100212</t>
  </si>
  <si>
    <t>POL100213</t>
  </si>
  <si>
    <t>POL100214</t>
  </si>
  <si>
    <t>POL100215</t>
  </si>
  <si>
    <t>POL100216</t>
  </si>
  <si>
    <t>POL100217</t>
  </si>
  <si>
    <t>POL100218</t>
  </si>
  <si>
    <t>POL100219</t>
  </si>
  <si>
    <t>POL100220</t>
  </si>
  <si>
    <t>POL100221</t>
  </si>
  <si>
    <t>POL100222</t>
  </si>
  <si>
    <t>POL100223</t>
  </si>
  <si>
    <t>POL100224</t>
  </si>
  <si>
    <t>POL100225</t>
  </si>
  <si>
    <t>POL100226</t>
  </si>
  <si>
    <t>POL100227</t>
  </si>
  <si>
    <t>POL100228</t>
  </si>
  <si>
    <t>POL100229</t>
  </si>
  <si>
    <t>POL100230</t>
  </si>
  <si>
    <t>POL100231</t>
  </si>
  <si>
    <t>POL100232</t>
  </si>
  <si>
    <t>POL100233</t>
  </si>
  <si>
    <t>POL100234</t>
  </si>
  <si>
    <t>POL100235</t>
  </si>
  <si>
    <t>POL100236</t>
  </si>
  <si>
    <t>POL100237</t>
  </si>
  <si>
    <t>POL100238</t>
  </si>
  <si>
    <t>POL100239</t>
  </si>
  <si>
    <t>POL100240</t>
  </si>
  <si>
    <t>POL100241</t>
  </si>
  <si>
    <t>POL100242</t>
  </si>
  <si>
    <t>POL100243</t>
  </si>
  <si>
    <t>POL100244</t>
  </si>
  <si>
    <t>POL100245</t>
  </si>
  <si>
    <t>POL100246</t>
  </si>
  <si>
    <t>POL100247</t>
  </si>
  <si>
    <t>POL100248</t>
  </si>
  <si>
    <t>POL100249</t>
  </si>
  <si>
    <t xml:space="preserve">Tolerance </t>
  </si>
  <si>
    <t>Result</t>
  </si>
  <si>
    <t>Premium equation reconciliation</t>
  </si>
  <si>
    <t>Claims reconciliation</t>
  </si>
  <si>
    <t>GMM CSM / loss component check</t>
  </si>
  <si>
    <t>GMM CSM run-off</t>
  </si>
  <si>
    <t>Policy PVFP reconciliation</t>
  </si>
  <si>
    <t>Policy PV premiums reconciliation</t>
  </si>
  <si>
    <t>Technical premium reconciliation</t>
  </si>
  <si>
    <t>RI impact reconciliation</t>
  </si>
  <si>
    <t>Segment reconciliation</t>
  </si>
  <si>
    <t>NBM band reconciliation</t>
  </si>
  <si>
    <t>Lapse exposure reconciliation</t>
  </si>
  <si>
    <t>Credibility factor bounds</t>
  </si>
  <si>
    <t>VFA CSM reconciliation</t>
  </si>
  <si>
    <t>Investigation list reconciliation</t>
  </si>
  <si>
    <t>Summary of pricing and profitability results for the synthetic term life portfolio.</t>
  </si>
  <si>
    <t>Total Policies</t>
  </si>
  <si>
    <t>Policies priced</t>
  </si>
  <si>
    <t>Unit-linked policies</t>
  </si>
  <si>
    <t>Term policies outside pricing scope</t>
  </si>
  <si>
    <t>Premium adequacy</t>
  </si>
  <si>
    <t>Below-target profitable policies</t>
  </si>
  <si>
    <t>RI impact on PVFP (AED)</t>
  </si>
  <si>
    <t>Charged premium / technical premium</t>
  </si>
  <si>
    <t>Purpose: Apply the pricing calculations consistently across individual scenarios and the synthetic policy portfolio. Results are reconciled to the main cash-flow model in the Checks sheet.</t>
  </si>
  <si>
    <t>The sorting helper is used only to rank policies and does not affect profitability results.</t>
  </si>
  <si>
    <t>Portfolio section — 250 synthetic policies from Policy Data. Term life policies within the modelled age and term ranges are priced as new business using their synthetic charged premiums.</t>
  </si>
  <si>
    <t>Scenario assumptions are applied consistently across the portfolio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</si>
</sst>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
    <numFmt numFmtId="165" formatCode="0.0%"/>
    <numFmt numFmtId="166" formatCode="0.000"/>
    <numFmt numFmtId="167" formatCode="#,##0.00;\(#,##0.00\);\–"/>
    <numFmt numFmtId="168" formatCode="#,##0;\(#,##0\);\–"/>
    <numFmt numFmtId="169" formatCode="#,##0.000"/>
    <numFmt numFmtId="170" formatCode="0.0000"/>
    <numFmt numFmtId="171" formatCode="#,##0.000000"/>
    <numFmt numFmtId="172" formatCode="#,##0.0"/>
    <numFmt numFmtId="173" formatCode="0.00\x"/>
    <numFmt numFmtId="174" formatCode="0.0000%"/>
    <numFmt numFmtId="175" formatCode="0.000000"/>
    <numFmt numFmtId="176" formatCode="0.0%;\(0.0%\);\–"/>
    <numFmt numFmtId="177" formatCode="0.0%;\(0.0%\);&quot;–&quot;"/>
    <numFmt numFmtId="178" formatCode="#,##0.00;\(#,##0.00\);&quot;–&quot;"/>
    <numFmt numFmtId="179" formatCode="_ * #,##0.0000_ ;_ * \-#,##0.0000_ ;_ * &quot;-&quot;??_ ;_ @_ "/>
  </numFmts>
  <fonts count="27" x14ac:knownFonts="1">
    <font>
      <sz val="10"/>
      <name val="Arial"/>
    </font>
    <font>
      <sz val="10"/>
      <name val="Arial"/>
    </font>
    <font>
      <sz val="11"/>
      <name val="Calibri"/>
    </font>
    <font>
      <b/>
      <sz val="16"/>
      <color rgb="FF233D4D"/>
      <name val="Arial"/>
    </font>
    <font>
      <sz val="11"/>
      <color rgb="FF253540"/>
      <name val="Microsoft JhengHei"/>
      <family val="2"/>
    </font>
    <font>
      <sz val="10"/>
      <name val="Microsoft JhengHei"/>
      <family val="2"/>
    </font>
    <font>
      <b/>
      <sz val="17"/>
      <color rgb="FF233D4D"/>
      <name val="Microsoft JhengHei"/>
      <family val="2"/>
    </font>
    <font>
      <b/>
      <sz val="11"/>
      <color rgb="FF253540"/>
      <name val="Microsoft JhengHei"/>
      <family val="2"/>
    </font>
    <font>
      <b/>
      <sz val="16"/>
      <color rgb="FF233D4D"/>
      <name val="Microsoft JhengHei"/>
      <family val="2"/>
    </font>
    <font>
      <b/>
      <sz val="14"/>
      <color rgb="FF233D4D"/>
      <name val="Microsoft JhengHei"/>
      <family val="2"/>
    </font>
    <font>
      <sz val="14"/>
      <color rgb="FF253540"/>
      <name val="Microsoft JhengHei"/>
      <family val="2"/>
    </font>
    <font>
      <b/>
      <sz val="10"/>
      <name val="Microsoft JhengHei"/>
      <family val="2"/>
    </font>
    <font>
      <sz val="10"/>
      <color rgb="FF008000"/>
      <name val="Microsoft JhengHei"/>
      <family val="2"/>
    </font>
    <font>
      <b/>
      <sz val="10"/>
      <color rgb="FF193B5B"/>
      <name val="Microsoft JhengHei"/>
      <family val="2"/>
    </font>
    <font>
      <b/>
      <sz val="10"/>
      <color rgb="FF0000FF"/>
      <name val="Microsoft JhengHei"/>
      <family val="2"/>
    </font>
    <font>
      <sz val="10"/>
      <color rgb="FF595959"/>
      <name val="Microsoft JhengHei"/>
      <family val="2"/>
    </font>
    <font>
      <b/>
      <sz val="10"/>
      <color rgb="FF595959"/>
      <name val="Microsoft JhengHei"/>
      <family val="2"/>
    </font>
    <font>
      <b/>
      <sz val="10"/>
      <color rgb="FF59636C"/>
      <name val="Microsoft JhengHei"/>
      <family val="2"/>
    </font>
    <font>
      <sz val="10"/>
      <color rgb="FF0000FF"/>
      <name val="Microsoft JhengHei"/>
      <family val="2"/>
    </font>
    <font>
      <i/>
      <sz val="10"/>
      <name val="Microsoft JhengHei"/>
      <family val="2"/>
    </font>
    <font>
      <b/>
      <sz val="10"/>
      <color rgb="FFFFFFFF"/>
      <name val="Microsoft JhengHei"/>
      <family val="2"/>
    </font>
    <font>
      <sz val="10"/>
      <color rgb="FF000000"/>
      <name val="Microsoft JhengHei"/>
      <family val="2"/>
    </font>
    <font>
      <i/>
      <sz val="10"/>
      <color rgb="FF59636C"/>
      <name val="Microsoft JhengHei"/>
      <family val="2"/>
    </font>
    <font>
      <sz val="10"/>
      <color rgb="FF253540"/>
      <name val="Microsoft JhengHei"/>
      <family val="2"/>
    </font>
    <font>
      <b/>
      <sz val="10"/>
      <color theme="1"/>
      <name val="Microsoft JhengHei"/>
      <family val="2"/>
    </font>
    <font>
      <b/>
      <sz val="10"/>
      <color rgb="FF233D4D"/>
      <name val="Microsoft JhengHei"/>
      <family val="2"/>
    </font>
    <font>
      <b/>
      <sz val="10"/>
      <color rgb="FFC00000"/>
      <name val="Microsoft JhengHei"/>
      <family val="2"/>
    </font>
  </fonts>
  <fills count="14">
    <fill>
      <patternFill patternType="none"/>
    </fill>
    <fill>
      <patternFill patternType="gray125"/>
    </fill>
    <fill>
      <patternFill patternType="solid">
        <fgColor rgb="FFD9EAF7"/>
      </patternFill>
    </fill>
    <fill>
      <patternFill patternType="solid">
        <fgColor rgb="FF193B5B"/>
      </patternFill>
    </fill>
    <fill>
      <patternFill patternType="solid">
        <fgColor rgb="FFFFF2CC"/>
      </patternFill>
    </fill>
    <fill>
      <patternFill patternType="solid">
        <fgColor rgb="FFF2F2F2"/>
      </patternFill>
    </fill>
    <fill>
      <patternFill patternType="solid">
        <fgColor rgb="FFDDEBF7"/>
      </patternFill>
    </fill>
    <fill>
      <patternFill patternType="solid">
        <fgColor rgb="FFFFFFFF"/>
      </patternFill>
    </fill>
    <fill>
      <patternFill patternType="solid">
        <fgColor rgb="FFFFF2CC"/>
      </patternFill>
    </fill>
    <fill>
      <patternFill patternType="solid">
        <fgColor rgb="FFD9EAF7"/>
      </patternFill>
    </fill>
    <fill>
      <patternFill patternType="solid">
        <fgColor theme="0" tint="-0.14999847407452621"/>
        <bgColor indexed="64"/>
      </patternFill>
    </fill>
    <fill>
      <patternFill patternType="solid">
        <fgColor theme="3" tint="0.89999084444715716"/>
        <bgColor indexed="64"/>
      </patternFill>
    </fill>
    <fill>
      <patternFill patternType="solid">
        <fgColor theme="0"/>
        <bgColor indexed="64"/>
      </patternFill>
    </fill>
    <fill>
      <patternFill patternType="solid">
        <fgColor theme="0" tint="-4.9989318521683403E-2"/>
        <bgColor indexed="64"/>
      </patternFill>
    </fill>
  </fills>
  <borders count="50">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top style="thin">
        <color rgb="FFBFBFBF"/>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right style="medium">
        <color indexed="64"/>
      </right>
      <top style="thin">
        <color rgb="FFBFBFBF"/>
      </top>
      <bottom style="thin">
        <color rgb="FFBFBFBF"/>
      </bottom>
      <diagonal/>
    </border>
    <border>
      <left style="thin">
        <color rgb="FFBFBFBF"/>
      </left>
      <right/>
      <top style="thin">
        <color rgb="FFBFBFBF"/>
      </top>
      <bottom style="medium">
        <color indexed="64"/>
      </bottom>
      <diagonal/>
    </border>
    <border>
      <left/>
      <right style="medium">
        <color indexed="64"/>
      </right>
      <top style="thin">
        <color rgb="FFBFBFBF"/>
      </top>
      <bottom style="medium">
        <color indexed="64"/>
      </bottom>
      <diagonal/>
    </border>
    <border>
      <left style="thin">
        <color rgb="FFBFBFBF"/>
      </left>
      <right style="medium">
        <color indexed="64"/>
      </right>
      <top style="medium">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rgb="FFBFBFBF"/>
      </left>
      <right style="thin">
        <color rgb="FFBFBFBF"/>
      </right>
      <top style="thin">
        <color rgb="FFBFBFBF"/>
      </top>
      <bottom style="medium">
        <color indexed="64"/>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medium">
        <color indexed="64"/>
      </left>
      <right style="thin">
        <color rgb="FFBFBFBF"/>
      </right>
      <top/>
      <bottom style="medium">
        <color indexed="64"/>
      </bottom>
      <diagonal/>
    </border>
    <border>
      <left style="thin">
        <color rgb="FFBFBFBF"/>
      </left>
      <right style="thin">
        <color rgb="FFBFBFBF"/>
      </right>
      <top/>
      <bottom style="medium">
        <color indexed="64"/>
      </bottom>
      <diagonal/>
    </border>
    <border>
      <left style="thin">
        <color rgb="FFBFBFBF"/>
      </left>
      <right style="medium">
        <color indexed="64"/>
      </right>
      <top/>
      <bottom style="medium">
        <color indexed="64"/>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BFBFBF"/>
      </right>
      <top style="thin">
        <color rgb="FFBFBFBF"/>
      </top>
      <bottom style="medium">
        <color indexed="64"/>
      </bottom>
      <diagonal/>
    </border>
    <border>
      <left style="medium">
        <color indexed="64"/>
      </left>
      <right style="medium">
        <color indexed="64"/>
      </right>
      <top style="medium">
        <color indexed="64"/>
      </top>
      <bottom/>
      <diagonal/>
    </border>
    <border>
      <left/>
      <right style="thin">
        <color rgb="FFBFBFBF"/>
      </right>
      <top style="medium">
        <color indexed="64"/>
      </top>
      <bottom style="thin">
        <color rgb="FFBFBFBF"/>
      </bottom>
      <diagonal/>
    </border>
    <border>
      <left/>
      <right style="thin">
        <color rgb="FFBFBFBF"/>
      </right>
      <top/>
      <bottom style="medium">
        <color indexed="64"/>
      </bottom>
      <diagonal/>
    </border>
    <border>
      <left style="medium">
        <color indexed="64"/>
      </left>
      <right style="medium">
        <color indexed="64"/>
      </right>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
      <left/>
      <right style="thin">
        <color rgb="FFBFBFBF"/>
      </right>
      <top style="medium">
        <color indexed="64"/>
      </top>
      <bottom style="medium">
        <color indexed="64"/>
      </bottom>
      <diagonal/>
    </border>
    <border>
      <left style="medium">
        <color indexed="64"/>
      </left>
      <right style="medium">
        <color indexed="64"/>
      </right>
      <top style="medium">
        <color indexed="64"/>
      </top>
      <bottom style="thin">
        <color rgb="FFBFBFBF"/>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s>
  <cellStyleXfs count="7">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0" fontId="2" fillId="0" borderId="0"/>
  </cellStyleXfs>
  <cellXfs count="488">
    <xf numFmtId="0" fontId="0" fillId="0" borderId="0" xfId="0"/>
    <xf numFmtId="0" fontId="0" fillId="0" borderId="0" xfId="0" applyAlignment="1">
      <alignment vertical="center"/>
    </xf>
    <xf numFmtId="0" fontId="0" fillId="0" borderId="0" xfId="0" applyAlignment="1">
      <alignment horizontal="left"/>
    </xf>
    <xf numFmtId="0" fontId="3" fillId="7" borderId="0" xfId="0" applyFont="1" applyFill="1" applyAlignment="1">
      <alignment horizontal="left" vertical="center"/>
    </xf>
    <xf numFmtId="0" fontId="4" fillId="0" borderId="0" xfId="0" applyFont="1"/>
    <xf numFmtId="0" fontId="5" fillId="0" borderId="0" xfId="0" applyFont="1"/>
    <xf numFmtId="0" fontId="4" fillId="0" borderId="6" xfId="0" applyFont="1" applyBorder="1"/>
    <xf numFmtId="0" fontId="4" fillId="0" borderId="7" xfId="0" applyFont="1" applyBorder="1"/>
    <xf numFmtId="0" fontId="4" fillId="10" borderId="6" xfId="0" applyFont="1" applyFill="1" applyBorder="1" applyAlignment="1">
      <alignment horizontal="center"/>
    </xf>
    <xf numFmtId="0" fontId="4" fillId="10" borderId="0" xfId="0" applyFont="1" applyFill="1" applyAlignment="1">
      <alignment horizontal="center"/>
    </xf>
    <xf numFmtId="0" fontId="4" fillId="10" borderId="7" xfId="0" applyFont="1" applyFill="1" applyBorder="1" applyAlignment="1">
      <alignment horizontal="center"/>
    </xf>
    <xf numFmtId="0" fontId="7" fillId="0" borderId="0" xfId="0" applyFont="1"/>
    <xf numFmtId="178" fontId="4" fillId="0" borderId="0" xfId="0" applyNumberFormat="1" applyFont="1"/>
    <xf numFmtId="178" fontId="4" fillId="0" borderId="7" xfId="0" applyNumberFormat="1" applyFont="1" applyBorder="1"/>
    <xf numFmtId="178" fontId="5" fillId="0" borderId="0" xfId="0" applyNumberFormat="1" applyFont="1"/>
    <xf numFmtId="178" fontId="5" fillId="0" borderId="7" xfId="0" applyNumberFormat="1" applyFont="1" applyBorder="1"/>
    <xf numFmtId="0" fontId="4" fillId="0" borderId="8" xfId="0" applyFont="1" applyBorder="1"/>
    <xf numFmtId="178" fontId="5" fillId="0" borderId="9" xfId="0" applyNumberFormat="1" applyFont="1" applyBorder="1"/>
    <xf numFmtId="178" fontId="5" fillId="0" borderId="10" xfId="0" applyNumberFormat="1" applyFont="1" applyBorder="1"/>
    <xf numFmtId="177" fontId="4" fillId="0" borderId="0" xfId="0" applyNumberFormat="1" applyFont="1"/>
    <xf numFmtId="178" fontId="4" fillId="0" borderId="9" xfId="0" applyNumberFormat="1" applyFont="1" applyBorder="1"/>
    <xf numFmtId="0" fontId="4" fillId="0" borderId="9" xfId="0" applyFont="1" applyBorder="1"/>
    <xf numFmtId="0" fontId="4" fillId="0" borderId="10" xfId="0" applyFont="1" applyBorder="1"/>
    <xf numFmtId="0" fontId="8" fillId="7"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left"/>
    </xf>
    <xf numFmtId="0" fontId="5" fillId="0" borderId="0" xfId="0" applyFont="1" applyAlignment="1">
      <alignment vertical="center"/>
    </xf>
    <xf numFmtId="0" fontId="11" fillId="0" borderId="0" xfId="0" applyFont="1" applyAlignment="1">
      <alignment vertical="center"/>
    </xf>
    <xf numFmtId="0" fontId="15" fillId="0" borderId="0" xfId="0" applyFont="1" applyAlignment="1">
      <alignment vertical="center"/>
    </xf>
    <xf numFmtId="0" fontId="13" fillId="2" borderId="3" xfId="0" applyFont="1" applyFill="1" applyBorder="1" applyAlignment="1">
      <alignment vertical="center"/>
    </xf>
    <xf numFmtId="0" fontId="5" fillId="2" borderId="5" xfId="0" applyFont="1" applyFill="1" applyBorder="1" applyAlignment="1">
      <alignment vertical="center"/>
    </xf>
    <xf numFmtId="0" fontId="5" fillId="0" borderId="15" xfId="0" applyFont="1" applyBorder="1" applyAlignment="1">
      <alignment vertical="center"/>
    </xf>
    <xf numFmtId="1" fontId="14" fillId="4" borderId="16" xfId="0" applyNumberFormat="1" applyFont="1" applyFill="1" applyBorder="1" applyAlignment="1">
      <alignment horizontal="center" vertical="center" wrapText="1"/>
    </xf>
    <xf numFmtId="0" fontId="14" fillId="4" borderId="16" xfId="0" applyFont="1" applyFill="1" applyBorder="1" applyAlignment="1">
      <alignment horizontal="center" vertical="center" wrapText="1"/>
    </xf>
    <xf numFmtId="3" fontId="14" fillId="4" borderId="16" xfId="0" applyNumberFormat="1" applyFont="1" applyFill="1" applyBorder="1" applyAlignment="1">
      <alignment horizontal="center" vertical="center" wrapText="1"/>
    </xf>
    <xf numFmtId="165" fontId="12" fillId="0" borderId="16" xfId="0" applyNumberFormat="1" applyFont="1" applyBorder="1" applyAlignment="1">
      <alignment horizontal="center" vertical="center" wrapText="1"/>
    </xf>
    <xf numFmtId="0" fontId="5" fillId="0" borderId="17" xfId="0" applyFont="1" applyBorder="1" applyAlignment="1">
      <alignment vertical="center"/>
    </xf>
    <xf numFmtId="1" fontId="5" fillId="0" borderId="18" xfId="0" applyNumberFormat="1" applyFont="1" applyBorder="1" applyAlignment="1">
      <alignment horizontal="center" vertical="center" wrapText="1"/>
    </xf>
    <xf numFmtId="4" fontId="13" fillId="0" borderId="16" xfId="0" applyNumberFormat="1" applyFont="1" applyBorder="1" applyAlignment="1">
      <alignment horizontal="center" vertical="center" wrapText="1"/>
    </xf>
    <xf numFmtId="4" fontId="12" fillId="0" borderId="16" xfId="0" applyNumberFormat="1" applyFont="1" applyBorder="1" applyAlignment="1">
      <alignment horizontal="center" vertical="center" wrapText="1"/>
    </xf>
    <xf numFmtId="4" fontId="5" fillId="0" borderId="16" xfId="0" applyNumberFormat="1" applyFont="1" applyBorder="1" applyAlignment="1">
      <alignment horizontal="center" vertical="center" wrapText="1"/>
    </xf>
    <xf numFmtId="169" fontId="12" fillId="0" borderId="16" xfId="0" applyNumberFormat="1" applyFont="1" applyBorder="1" applyAlignment="1">
      <alignment horizontal="center" vertical="center" wrapText="1"/>
    </xf>
    <xf numFmtId="0" fontId="12" fillId="0" borderId="18" xfId="0" applyFont="1" applyBorder="1" applyAlignment="1">
      <alignment horizontal="center" vertical="center" wrapText="1"/>
    </xf>
    <xf numFmtId="0" fontId="5" fillId="2" borderId="4" xfId="0" applyFont="1" applyFill="1" applyBorder="1" applyAlignment="1">
      <alignment vertical="center"/>
    </xf>
    <xf numFmtId="0" fontId="16" fillId="0" borderId="0" xfId="0" applyFont="1" applyAlignment="1">
      <alignment vertical="center"/>
    </xf>
    <xf numFmtId="0" fontId="17" fillId="0" borderId="0" xfId="0" applyFont="1" applyAlignment="1">
      <alignment vertical="center"/>
    </xf>
    <xf numFmtId="3" fontId="12" fillId="0" borderId="16" xfId="0" applyNumberFormat="1" applyFont="1" applyBorder="1" applyAlignment="1">
      <alignment horizontal="center" vertical="center" wrapText="1"/>
    </xf>
    <xf numFmtId="0" fontId="11" fillId="0" borderId="15" xfId="0" applyFont="1" applyBorder="1" applyAlignment="1">
      <alignment vertical="center"/>
    </xf>
    <xf numFmtId="164" fontId="12" fillId="0" borderId="16" xfId="0" applyNumberFormat="1" applyFont="1" applyBorder="1" applyAlignment="1">
      <alignment horizontal="center" vertical="center" wrapText="1"/>
    </xf>
    <xf numFmtId="164" fontId="12" fillId="0" borderId="18" xfId="0" applyNumberFormat="1" applyFont="1" applyBorder="1" applyAlignment="1">
      <alignment horizontal="center" vertical="center" wrapText="1"/>
    </xf>
    <xf numFmtId="0" fontId="11" fillId="0" borderId="11" xfId="0" applyFont="1" applyBorder="1" applyAlignment="1">
      <alignment horizontal="right" vertical="center"/>
    </xf>
    <xf numFmtId="0" fontId="12" fillId="0" borderId="22" xfId="0" applyFont="1" applyBorder="1" applyAlignment="1">
      <alignment horizontal="center" vertical="center" wrapText="1"/>
    </xf>
    <xf numFmtId="0" fontId="5" fillId="0" borderId="6" xfId="0" applyFont="1" applyBorder="1"/>
    <xf numFmtId="0" fontId="5" fillId="0" borderId="8" xfId="0" applyFont="1" applyBorder="1"/>
    <xf numFmtId="0" fontId="11" fillId="0" borderId="11" xfId="0" applyFont="1" applyBorder="1"/>
    <xf numFmtId="0" fontId="11" fillId="0" borderId="12" xfId="0" applyFont="1" applyBorder="1"/>
    <xf numFmtId="0" fontId="11" fillId="0" borderId="13" xfId="0" applyFont="1" applyBorder="1"/>
    <xf numFmtId="179" fontId="5" fillId="0" borderId="0" xfId="1" applyNumberFormat="1" applyFont="1" applyBorder="1"/>
    <xf numFmtId="179" fontId="5" fillId="0" borderId="7" xfId="1" applyNumberFormat="1" applyFont="1" applyBorder="1"/>
    <xf numFmtId="179" fontId="5" fillId="0" borderId="9" xfId="1" applyNumberFormat="1" applyFont="1" applyBorder="1"/>
    <xf numFmtId="179" fontId="5" fillId="0" borderId="10" xfId="1" applyNumberFormat="1" applyFont="1" applyBorder="1"/>
    <xf numFmtId="0" fontId="7" fillId="0" borderId="6" xfId="0" applyFont="1" applyBorder="1"/>
    <xf numFmtId="0" fontId="7" fillId="0" borderId="8" xfId="0" applyFont="1" applyBorder="1"/>
    <xf numFmtId="0" fontId="11" fillId="0" borderId="17" xfId="0" applyFont="1" applyBorder="1" applyAlignment="1">
      <alignment vertical="center"/>
    </xf>
    <xf numFmtId="0" fontId="5" fillId="0" borderId="0" xfId="0" applyFont="1" applyAlignment="1">
      <alignment vertical="center" wrapText="1"/>
    </xf>
    <xf numFmtId="0" fontId="11" fillId="2" borderId="3" xfId="0" applyFont="1" applyFill="1" applyBorder="1" applyAlignment="1">
      <alignment vertical="center" wrapText="1"/>
    </xf>
    <xf numFmtId="0" fontId="11" fillId="2" borderId="4" xfId="0" applyFont="1" applyFill="1" applyBorder="1" applyAlignment="1">
      <alignment vertical="center" wrapText="1"/>
    </xf>
    <xf numFmtId="0" fontId="11" fillId="2" borderId="5" xfId="0" applyFont="1" applyFill="1" applyBorder="1" applyAlignment="1">
      <alignment vertical="center" wrapText="1"/>
    </xf>
    <xf numFmtId="0" fontId="5" fillId="0" borderId="6" xfId="0" applyFont="1" applyBorder="1" applyAlignment="1">
      <alignment vertical="center" wrapText="1"/>
    </xf>
    <xf numFmtId="0" fontId="18" fillId="4" borderId="0" xfId="0" applyFont="1" applyFill="1" applyAlignment="1">
      <alignment vertical="center" wrapText="1"/>
    </xf>
    <xf numFmtId="0" fontId="5" fillId="0" borderId="7" xfId="0" applyFont="1" applyBorder="1" applyAlignment="1">
      <alignment vertical="center" wrapText="1"/>
    </xf>
    <xf numFmtId="10" fontId="18" fillId="4" borderId="0" xfId="0" applyNumberFormat="1" applyFont="1" applyFill="1" applyAlignment="1">
      <alignment vertical="center" wrapText="1"/>
    </xf>
    <xf numFmtId="3" fontId="18" fillId="4" borderId="0" xfId="0" applyNumberFormat="1" applyFont="1" applyFill="1" applyAlignment="1">
      <alignment vertical="center" wrapText="1"/>
    </xf>
    <xf numFmtId="173" fontId="18" fillId="4" borderId="0" xfId="0" applyNumberFormat="1" applyFont="1" applyFill="1" applyAlignment="1">
      <alignment vertical="center" wrapText="1"/>
    </xf>
    <xf numFmtId="0" fontId="5" fillId="0" borderId="9" xfId="0" applyFont="1" applyBorder="1" applyAlignment="1">
      <alignment vertical="center" wrapText="1"/>
    </xf>
    <xf numFmtId="10" fontId="18" fillId="4" borderId="9" xfId="0" applyNumberFormat="1" applyFont="1" applyFill="1" applyBorder="1" applyAlignment="1">
      <alignment vertical="center" wrapText="1"/>
    </xf>
    <xf numFmtId="0" fontId="5" fillId="0" borderId="10" xfId="0" applyFont="1" applyBorder="1" applyAlignment="1">
      <alignment vertical="center" wrapText="1"/>
    </xf>
    <xf numFmtId="0" fontId="11" fillId="2" borderId="11" xfId="0" applyFont="1" applyFill="1" applyBorder="1" applyAlignment="1">
      <alignment vertical="center" wrapText="1"/>
    </xf>
    <xf numFmtId="0" fontId="11" fillId="2" borderId="12" xfId="0" applyFont="1" applyFill="1" applyBorder="1" applyAlignment="1">
      <alignment vertical="center" wrapText="1"/>
    </xf>
    <xf numFmtId="0" fontId="11" fillId="2" borderId="13" xfId="0" applyFont="1" applyFill="1" applyBorder="1" applyAlignment="1">
      <alignment vertical="center" wrapText="1"/>
    </xf>
    <xf numFmtId="0" fontId="8" fillId="7" borderId="0" xfId="0" applyFont="1" applyFill="1" applyAlignment="1">
      <alignment vertical="center"/>
    </xf>
    <xf numFmtId="0" fontId="8" fillId="7" borderId="23" xfId="0" applyFont="1" applyFill="1" applyBorder="1" applyAlignment="1">
      <alignment vertical="center"/>
    </xf>
    <xf numFmtId="0" fontId="11" fillId="2" borderId="2" xfId="0" applyFont="1" applyFill="1" applyBorder="1" applyAlignment="1">
      <alignment vertical="center" wrapText="1"/>
    </xf>
    <xf numFmtId="0" fontId="11" fillId="0" borderId="6" xfId="0" applyFont="1" applyBorder="1" applyAlignment="1">
      <alignment vertical="center" wrapText="1"/>
    </xf>
    <xf numFmtId="0" fontId="11" fillId="0" borderId="8"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11" fillId="0" borderId="5" xfId="0" applyFont="1" applyBorder="1" applyAlignment="1">
      <alignment vertical="center" wrapText="1"/>
    </xf>
    <xf numFmtId="174" fontId="5" fillId="0" borderId="0" xfId="0" applyNumberFormat="1" applyFont="1" applyAlignment="1">
      <alignment vertical="center" wrapText="1"/>
    </xf>
    <xf numFmtId="175" fontId="5" fillId="0" borderId="0" xfId="0" applyNumberFormat="1" applyFont="1" applyAlignment="1">
      <alignment vertical="center" wrapText="1"/>
    </xf>
    <xf numFmtId="175" fontId="5" fillId="0" borderId="7" xfId="0" applyNumberFormat="1" applyFont="1" applyBorder="1" applyAlignment="1">
      <alignment vertical="center" wrapText="1"/>
    </xf>
    <xf numFmtId="0" fontId="5" fillId="0" borderId="6" xfId="0" applyFont="1" applyBorder="1" applyAlignment="1">
      <alignment vertical="center"/>
    </xf>
    <xf numFmtId="174" fontId="5" fillId="0" borderId="0" xfId="0" applyNumberFormat="1" applyFont="1" applyAlignment="1">
      <alignment vertical="center"/>
    </xf>
    <xf numFmtId="175" fontId="5" fillId="0" borderId="0" xfId="0" applyNumberFormat="1" applyFont="1" applyAlignment="1">
      <alignment vertical="center"/>
    </xf>
    <xf numFmtId="175" fontId="5" fillId="0" borderId="7" xfId="0" applyNumberFormat="1" applyFont="1" applyBorder="1" applyAlignment="1">
      <alignment vertical="center"/>
    </xf>
    <xf numFmtId="0" fontId="5" fillId="0" borderId="8" xfId="0" applyFont="1" applyBorder="1" applyAlignment="1">
      <alignment vertical="center"/>
    </xf>
    <xf numFmtId="174" fontId="5" fillId="0" borderId="9" xfId="0" applyNumberFormat="1" applyFont="1" applyBorder="1" applyAlignment="1">
      <alignment vertical="center"/>
    </xf>
    <xf numFmtId="175" fontId="5" fillId="0" borderId="9" xfId="0" applyNumberFormat="1" applyFont="1" applyBorder="1" applyAlignment="1">
      <alignment vertical="center"/>
    </xf>
    <xf numFmtId="175" fontId="5" fillId="0" borderId="10" xfId="0" applyNumberFormat="1" applyFont="1" applyBorder="1" applyAlignment="1">
      <alignment vertical="center"/>
    </xf>
    <xf numFmtId="0" fontId="20" fillId="3" borderId="0" xfId="0" applyFont="1" applyFill="1" applyAlignment="1">
      <alignment vertical="center" wrapText="1"/>
    </xf>
    <xf numFmtId="0" fontId="12" fillId="0" borderId="0" xfId="0" applyFont="1" applyAlignment="1">
      <alignment vertical="center"/>
    </xf>
    <xf numFmtId="167" fontId="21" fillId="0" borderId="0" xfId="0" applyNumberFormat="1" applyFont="1" applyAlignment="1">
      <alignment vertical="center"/>
    </xf>
    <xf numFmtId="1" fontId="12" fillId="0" borderId="0" xfId="0" applyNumberFormat="1" applyFont="1" applyAlignment="1">
      <alignment vertical="center"/>
    </xf>
    <xf numFmtId="0" fontId="5" fillId="0" borderId="7" xfId="0" applyFont="1" applyBorder="1" applyAlignment="1">
      <alignment vertical="center"/>
    </xf>
    <xf numFmtId="3" fontId="12" fillId="0" borderId="0" xfId="0" applyNumberFormat="1" applyFont="1" applyAlignment="1">
      <alignment vertical="center"/>
    </xf>
    <xf numFmtId="174" fontId="12" fillId="0" borderId="0" xfId="0" applyNumberFormat="1" applyFont="1" applyAlignment="1">
      <alignment vertical="center"/>
    </xf>
    <xf numFmtId="167" fontId="12" fillId="0" borderId="0" xfId="0" applyNumberFormat="1" applyFont="1" applyAlignment="1">
      <alignment vertical="center"/>
    </xf>
    <xf numFmtId="176" fontId="12" fillId="0" borderId="0" xfId="0" applyNumberFormat="1" applyFont="1" applyAlignment="1">
      <alignment vertical="center"/>
    </xf>
    <xf numFmtId="167" fontId="18" fillId="4" borderId="0" xfId="0" applyNumberFormat="1" applyFont="1" applyFill="1" applyAlignment="1">
      <alignment vertical="center"/>
    </xf>
    <xf numFmtId="167" fontId="21" fillId="0" borderId="9" xfId="0" applyNumberFormat="1" applyFont="1" applyBorder="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5" fillId="0" borderId="3" xfId="0" applyFont="1" applyBorder="1" applyAlignment="1">
      <alignment vertical="center"/>
    </xf>
    <xf numFmtId="0" fontId="12" fillId="0" borderId="4"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10" fontId="5" fillId="0" borderId="9" xfId="0" applyNumberFormat="1" applyFont="1" applyBorder="1" applyAlignment="1">
      <alignment vertical="center"/>
    </xf>
    <xf numFmtId="175" fontId="12" fillId="0" borderId="0" xfId="0" applyNumberFormat="1" applyFont="1" applyAlignment="1">
      <alignment vertical="center"/>
    </xf>
    <xf numFmtId="175" fontId="21" fillId="0" borderId="0" xfId="0" applyNumberFormat="1" applyFont="1" applyAlignment="1">
      <alignment vertical="center"/>
    </xf>
    <xf numFmtId="167" fontId="21" fillId="0" borderId="7" xfId="0" applyNumberFormat="1" applyFont="1" applyBorder="1" applyAlignment="1">
      <alignment vertical="center"/>
    </xf>
    <xf numFmtId="175" fontId="12" fillId="0" borderId="9" xfId="0" applyNumberFormat="1" applyFont="1" applyBorder="1" applyAlignment="1">
      <alignment vertical="center"/>
    </xf>
    <xf numFmtId="174" fontId="12" fillId="0" borderId="9" xfId="0" applyNumberFormat="1" applyFont="1" applyBorder="1" applyAlignment="1">
      <alignment vertical="center"/>
    </xf>
    <xf numFmtId="167" fontId="12" fillId="0" borderId="9" xfId="0" applyNumberFormat="1" applyFont="1" applyBorder="1" applyAlignment="1">
      <alignment vertical="center"/>
    </xf>
    <xf numFmtId="175" fontId="21" fillId="0" borderId="9" xfId="0" applyNumberFormat="1" applyFont="1" applyBorder="1" applyAlignment="1">
      <alignment vertical="center"/>
    </xf>
    <xf numFmtId="167" fontId="21" fillId="0" borderId="10" xfId="0" applyNumberFormat="1" applyFont="1" applyBorder="1" applyAlignment="1">
      <alignment vertical="center"/>
    </xf>
    <xf numFmtId="167" fontId="12" fillId="0" borderId="0" xfId="0" applyNumberFormat="1" applyFont="1" applyAlignment="1">
      <alignment vertical="center" wrapText="1"/>
    </xf>
    <xf numFmtId="167" fontId="21" fillId="0" borderId="0" xfId="0" applyNumberFormat="1" applyFont="1" applyAlignment="1">
      <alignment vertical="center" wrapText="1"/>
    </xf>
    <xf numFmtId="167" fontId="5" fillId="0" borderId="0" xfId="0" applyNumberFormat="1" applyFont="1" applyAlignment="1">
      <alignment vertical="center" wrapText="1"/>
    </xf>
    <xf numFmtId="167" fontId="12" fillId="0" borderId="9" xfId="0" applyNumberFormat="1" applyFont="1" applyBorder="1" applyAlignment="1">
      <alignment vertical="center" wrapText="1"/>
    </xf>
    <xf numFmtId="167" fontId="5" fillId="0" borderId="9" xfId="0" applyNumberFormat="1" applyFont="1" applyBorder="1" applyAlignment="1">
      <alignment vertical="center" wrapText="1"/>
    </xf>
    <xf numFmtId="176" fontId="21" fillId="0" borderId="0" xfId="0" applyNumberFormat="1" applyFont="1" applyAlignment="1">
      <alignment vertical="center"/>
    </xf>
    <xf numFmtId="167" fontId="5" fillId="0" borderId="0" xfId="0" applyNumberFormat="1" applyFont="1" applyAlignment="1">
      <alignment vertical="center"/>
    </xf>
    <xf numFmtId="176" fontId="5" fillId="0" borderId="0" xfId="0" applyNumberFormat="1" applyFont="1" applyAlignment="1">
      <alignment vertical="center"/>
    </xf>
    <xf numFmtId="0" fontId="21" fillId="0" borderId="0" xfId="0" applyFont="1" applyAlignment="1">
      <alignment vertical="center"/>
    </xf>
    <xf numFmtId="167" fontId="12" fillId="0" borderId="4" xfId="0" applyNumberFormat="1" applyFont="1" applyBorder="1" applyAlignment="1">
      <alignment vertical="center"/>
    </xf>
    <xf numFmtId="1" fontId="21" fillId="0" borderId="0" xfId="0" applyNumberFormat="1" applyFont="1" applyAlignment="1">
      <alignment vertical="center"/>
    </xf>
    <xf numFmtId="0" fontId="12" fillId="0" borderId="5" xfId="0" applyFont="1" applyBorder="1" applyAlignment="1">
      <alignment horizontal="right" vertical="center"/>
    </xf>
    <xf numFmtId="0" fontId="12" fillId="0" borderId="7" xfId="0" applyFont="1" applyBorder="1" applyAlignment="1">
      <alignment horizontal="right" vertical="center"/>
    </xf>
    <xf numFmtId="0" fontId="12" fillId="0" borderId="10" xfId="0" applyFont="1" applyBorder="1" applyAlignment="1">
      <alignment horizontal="right" vertical="center"/>
    </xf>
    <xf numFmtId="0" fontId="11" fillId="0" borderId="3" xfId="0" applyFont="1" applyBorder="1" applyAlignment="1">
      <alignment vertical="center"/>
    </xf>
    <xf numFmtId="0" fontId="11" fillId="0" borderId="6" xfId="0" applyFont="1" applyBorder="1" applyAlignment="1">
      <alignment vertical="center"/>
    </xf>
    <xf numFmtId="0" fontId="11" fillId="0" borderId="8" xfId="0" applyFont="1" applyBorder="1" applyAlignment="1">
      <alignment vertical="center"/>
    </xf>
    <xf numFmtId="0" fontId="11" fillId="0" borderId="0" xfId="0" applyFont="1" applyAlignment="1">
      <alignment vertical="center" wrapText="1"/>
    </xf>
    <xf numFmtId="0" fontId="8" fillId="7" borderId="0" xfId="0" applyFont="1" applyFill="1" applyAlignment="1">
      <alignment horizontal="left"/>
    </xf>
    <xf numFmtId="0" fontId="5" fillId="0" borderId="1" xfId="0" applyFont="1" applyBorder="1" applyAlignment="1">
      <alignment vertical="center"/>
    </xf>
    <xf numFmtId="165" fontId="5" fillId="0" borderId="1" xfId="0" applyNumberFormat="1" applyFont="1" applyBorder="1" applyAlignment="1">
      <alignment vertical="center"/>
    </xf>
    <xf numFmtId="1" fontId="5" fillId="0" borderId="1" xfId="0" applyNumberFormat="1" applyFont="1" applyBorder="1" applyAlignment="1">
      <alignment vertical="center"/>
    </xf>
    <xf numFmtId="168" fontId="5" fillId="0" borderId="1" xfId="0" applyNumberFormat="1" applyFont="1" applyBorder="1" applyAlignment="1">
      <alignment vertical="center"/>
    </xf>
    <xf numFmtId="9" fontId="5" fillId="0" borderId="1" xfId="0" applyNumberFormat="1" applyFont="1" applyBorder="1" applyAlignment="1">
      <alignment vertical="center"/>
    </xf>
    <xf numFmtId="0" fontId="15" fillId="0" borderId="1" xfId="0" applyFont="1" applyBorder="1" applyAlignment="1">
      <alignment vertical="center"/>
    </xf>
    <xf numFmtId="0" fontId="5" fillId="12" borderId="24" xfId="0" applyFont="1" applyFill="1" applyBorder="1" applyAlignment="1">
      <alignment vertical="center"/>
    </xf>
    <xf numFmtId="0" fontId="5" fillId="0" borderId="16" xfId="0" applyFont="1" applyBorder="1" applyAlignment="1">
      <alignment vertical="center"/>
    </xf>
    <xf numFmtId="0" fontId="5" fillId="0" borderId="25" xfId="0" applyFont="1" applyBorder="1" applyAlignment="1">
      <alignment vertical="center"/>
    </xf>
    <xf numFmtId="165" fontId="5" fillId="0" borderId="25" xfId="0" applyNumberFormat="1" applyFont="1" applyBorder="1" applyAlignment="1">
      <alignment vertical="center"/>
    </xf>
    <xf numFmtId="0" fontId="5" fillId="0" borderId="18" xfId="0" applyFont="1" applyBorder="1" applyAlignment="1">
      <alignment vertical="center"/>
    </xf>
    <xf numFmtId="0" fontId="5" fillId="13" borderId="0" xfId="0" applyFont="1" applyFill="1" applyAlignment="1">
      <alignment vertical="center"/>
    </xf>
    <xf numFmtId="0" fontId="5" fillId="13" borderId="9" xfId="0" applyFont="1" applyFill="1" applyBorder="1" applyAlignment="1">
      <alignment vertical="center"/>
    </xf>
    <xf numFmtId="0" fontId="11" fillId="0" borderId="26" xfId="0" applyFont="1" applyBorder="1" applyAlignment="1">
      <alignment vertical="center"/>
    </xf>
    <xf numFmtId="0" fontId="5" fillId="0" borderId="27" xfId="0" applyFont="1" applyBorder="1" applyAlignment="1">
      <alignment vertical="center"/>
    </xf>
    <xf numFmtId="165" fontId="5" fillId="0" borderId="27" xfId="0" applyNumberFormat="1" applyFont="1" applyBorder="1" applyAlignment="1">
      <alignment vertical="center"/>
    </xf>
    <xf numFmtId="0" fontId="5" fillId="0" borderId="28" xfId="0" applyFont="1" applyBorder="1" applyAlignment="1">
      <alignment vertical="center"/>
    </xf>
    <xf numFmtId="0" fontId="24" fillId="11" borderId="29" xfId="0" applyFont="1" applyFill="1" applyBorder="1" applyAlignment="1">
      <alignment horizontal="center" vertical="center" wrapText="1"/>
    </xf>
    <xf numFmtId="0" fontId="24" fillId="11" borderId="30" xfId="0" applyFont="1" applyFill="1" applyBorder="1" applyAlignment="1">
      <alignment horizontal="center" vertical="center" wrapText="1"/>
    </xf>
    <xf numFmtId="0" fontId="24" fillId="11" borderId="22" xfId="0" applyFont="1" applyFill="1" applyBorder="1" applyAlignment="1">
      <alignment horizontal="center" vertical="center" wrapText="1"/>
    </xf>
    <xf numFmtId="0" fontId="13" fillId="2" borderId="11" xfId="0" applyFont="1" applyFill="1" applyBorder="1" applyAlignment="1">
      <alignment vertical="center"/>
    </xf>
    <xf numFmtId="0" fontId="5" fillId="2" borderId="12" xfId="0" applyFont="1" applyFill="1" applyBorder="1" applyAlignment="1">
      <alignment vertical="center"/>
    </xf>
    <xf numFmtId="0" fontId="5" fillId="2" borderId="13" xfId="0" applyFont="1" applyFill="1" applyBorder="1" applyAlignment="1">
      <alignment vertical="center"/>
    </xf>
    <xf numFmtId="1" fontId="11" fillId="0" borderId="25" xfId="0" applyNumberFormat="1" applyFont="1" applyBorder="1" applyAlignment="1">
      <alignment vertical="center"/>
    </xf>
    <xf numFmtId="168" fontId="11" fillId="0" borderId="25" xfId="0" applyNumberFormat="1" applyFont="1" applyBorder="1" applyAlignment="1">
      <alignment vertical="center"/>
    </xf>
    <xf numFmtId="165" fontId="11" fillId="0" borderId="25" xfId="0" applyNumberFormat="1" applyFont="1" applyBorder="1" applyAlignment="1">
      <alignment vertical="center"/>
    </xf>
    <xf numFmtId="9" fontId="11" fillId="0" borderId="25" xfId="0" applyNumberFormat="1" applyFont="1" applyBorder="1" applyAlignment="1">
      <alignment vertical="center"/>
    </xf>
    <xf numFmtId="167" fontId="15" fillId="0" borderId="25" xfId="0" applyNumberFormat="1" applyFont="1" applyBorder="1" applyAlignment="1">
      <alignment vertical="center"/>
    </xf>
    <xf numFmtId="0" fontId="15" fillId="0" borderId="18" xfId="0" applyFont="1" applyBorder="1" applyAlignment="1">
      <alignment vertical="center"/>
    </xf>
    <xf numFmtId="1" fontId="5" fillId="0" borderId="27" xfId="0" applyNumberFormat="1" applyFont="1" applyBorder="1" applyAlignment="1">
      <alignment vertical="center"/>
    </xf>
    <xf numFmtId="168" fontId="5" fillId="0" borderId="27" xfId="0" applyNumberFormat="1" applyFont="1" applyBorder="1" applyAlignment="1">
      <alignment vertical="center"/>
    </xf>
    <xf numFmtId="9" fontId="5" fillId="0" borderId="27" xfId="0" applyNumberFormat="1" applyFont="1" applyBorder="1" applyAlignment="1">
      <alignment vertical="center"/>
    </xf>
    <xf numFmtId="0" fontId="24" fillId="11" borderId="31" xfId="0" applyFont="1" applyFill="1" applyBorder="1" applyAlignment="1">
      <alignment horizontal="center" vertical="center" wrapText="1"/>
    </xf>
    <xf numFmtId="0" fontId="24" fillId="11" borderId="32" xfId="0" applyFont="1" applyFill="1" applyBorder="1" applyAlignment="1">
      <alignment horizontal="center" vertical="center" wrapText="1"/>
    </xf>
    <xf numFmtId="0" fontId="24" fillId="11" borderId="33" xfId="0" applyFont="1" applyFill="1" applyBorder="1" applyAlignment="1">
      <alignment horizontal="center" vertical="center" wrapText="1"/>
    </xf>
    <xf numFmtId="0" fontId="23" fillId="0" borderId="6" xfId="0" applyFont="1" applyBorder="1" applyAlignment="1">
      <alignment vertical="center"/>
    </xf>
    <xf numFmtId="0" fontId="23" fillId="0" borderId="0" xfId="0" applyFont="1" applyAlignment="1">
      <alignment vertical="center"/>
    </xf>
    <xf numFmtId="178" fontId="23" fillId="0" borderId="0" xfId="0" applyNumberFormat="1" applyFont="1" applyAlignment="1">
      <alignment vertical="center"/>
    </xf>
    <xf numFmtId="177" fontId="23" fillId="0" borderId="0" xfId="0" applyNumberFormat="1" applyFont="1" applyAlignment="1">
      <alignment vertical="center"/>
    </xf>
    <xf numFmtId="177" fontId="23" fillId="0" borderId="7" xfId="0" applyNumberFormat="1" applyFont="1" applyBorder="1" applyAlignment="1">
      <alignment vertical="center"/>
    </xf>
    <xf numFmtId="0" fontId="23" fillId="0" borderId="8" xfId="0" applyFont="1" applyBorder="1" applyAlignment="1">
      <alignment vertical="center"/>
    </xf>
    <xf numFmtId="0" fontId="23" fillId="0" borderId="9" xfId="0" applyFont="1" applyBorder="1" applyAlignment="1">
      <alignment vertical="center"/>
    </xf>
    <xf numFmtId="178" fontId="23" fillId="0" borderId="9" xfId="0" applyNumberFormat="1" applyFont="1" applyBorder="1" applyAlignment="1">
      <alignment vertical="center"/>
    </xf>
    <xf numFmtId="177" fontId="23" fillId="0" borderId="9" xfId="0" applyNumberFormat="1" applyFont="1" applyBorder="1" applyAlignment="1">
      <alignment vertical="center"/>
    </xf>
    <xf numFmtId="177" fontId="23" fillId="0" borderId="10" xfId="0" applyNumberFormat="1" applyFont="1" applyBorder="1" applyAlignment="1">
      <alignment vertical="center"/>
    </xf>
    <xf numFmtId="0" fontId="24" fillId="11" borderId="8" xfId="0" applyFont="1" applyFill="1" applyBorder="1" applyAlignment="1">
      <alignment vertical="center" wrapText="1"/>
    </xf>
    <xf numFmtId="0" fontId="24" fillId="11" borderId="9" xfId="0" applyFont="1" applyFill="1" applyBorder="1" applyAlignment="1">
      <alignment vertical="center" wrapText="1"/>
    </xf>
    <xf numFmtId="0" fontId="24" fillId="11" borderId="10" xfId="0" applyFont="1" applyFill="1" applyBorder="1" applyAlignment="1">
      <alignment vertical="center" wrapText="1"/>
    </xf>
    <xf numFmtId="0" fontId="11" fillId="0" borderId="11" xfId="0" applyFont="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3" fontId="5" fillId="0" borderId="0" xfId="0" applyNumberFormat="1" applyFont="1" applyAlignment="1">
      <alignment vertical="center" wrapText="1"/>
    </xf>
    <xf numFmtId="176" fontId="21" fillId="0" borderId="7" xfId="0" applyNumberFormat="1" applyFont="1" applyBorder="1" applyAlignment="1">
      <alignment vertical="center" wrapText="1"/>
    </xf>
    <xf numFmtId="0" fontId="5" fillId="0" borderId="8" xfId="0" applyFont="1" applyBorder="1" applyAlignment="1">
      <alignment vertical="center" wrapText="1"/>
    </xf>
    <xf numFmtId="176" fontId="21" fillId="0" borderId="10" xfId="0" applyNumberFormat="1" applyFont="1" applyBorder="1" applyAlignment="1">
      <alignment vertical="center" wrapText="1"/>
    </xf>
    <xf numFmtId="1" fontId="5" fillId="0" borderId="0" xfId="0" applyNumberFormat="1" applyFont="1" applyAlignment="1">
      <alignment vertical="center" wrapText="1"/>
    </xf>
    <xf numFmtId="170" fontId="5" fillId="0" borderId="0" xfId="0" applyNumberFormat="1" applyFont="1" applyAlignment="1">
      <alignment vertical="center" wrapText="1"/>
    </xf>
    <xf numFmtId="177" fontId="5" fillId="0" borderId="7" xfId="0" applyNumberFormat="1" applyFont="1" applyBorder="1" applyAlignment="1">
      <alignment vertical="center" wrapText="1"/>
    </xf>
    <xf numFmtId="1" fontId="5" fillId="0" borderId="9" xfId="0" applyNumberFormat="1" applyFont="1" applyBorder="1" applyAlignment="1">
      <alignment vertical="center" wrapText="1"/>
    </xf>
    <xf numFmtId="170" fontId="5" fillId="0" borderId="9" xfId="0" applyNumberFormat="1" applyFont="1" applyBorder="1" applyAlignment="1">
      <alignment vertical="center" wrapText="1"/>
    </xf>
    <xf numFmtId="177" fontId="5" fillId="0" borderId="10" xfId="0" applyNumberFormat="1" applyFont="1" applyBorder="1" applyAlignment="1">
      <alignment vertical="center" wrapText="1"/>
    </xf>
    <xf numFmtId="176" fontId="5" fillId="0" borderId="7" xfId="0" applyNumberFormat="1" applyFont="1" applyBorder="1" applyAlignment="1">
      <alignment vertical="center" wrapText="1"/>
    </xf>
    <xf numFmtId="176" fontId="5" fillId="0" borderId="10" xfId="0" applyNumberFormat="1" applyFont="1" applyBorder="1" applyAlignment="1">
      <alignment vertical="center" wrapText="1"/>
    </xf>
    <xf numFmtId="4" fontId="5" fillId="0" borderId="0" xfId="0" applyNumberFormat="1" applyFont="1" applyAlignment="1">
      <alignment vertical="center" wrapText="1"/>
    </xf>
    <xf numFmtId="176" fontId="21" fillId="0" borderId="0" xfId="0" applyNumberFormat="1" applyFont="1" applyAlignment="1">
      <alignment vertical="center" wrapText="1"/>
    </xf>
    <xf numFmtId="3" fontId="5" fillId="0" borderId="9" xfId="0" applyNumberFormat="1" applyFont="1" applyBorder="1" applyAlignment="1">
      <alignment vertical="center" wrapText="1"/>
    </xf>
    <xf numFmtId="0" fontId="13" fillId="0" borderId="0" xfId="0" applyFont="1" applyAlignment="1">
      <alignment vertical="center"/>
    </xf>
    <xf numFmtId="172" fontId="5" fillId="0" borderId="1" xfId="0" applyNumberFormat="1" applyFont="1" applyBorder="1" applyAlignment="1">
      <alignment vertical="center"/>
    </xf>
    <xf numFmtId="166" fontId="5" fillId="0" borderId="1" xfId="0" applyNumberFormat="1" applyFont="1" applyBorder="1" applyAlignment="1">
      <alignment vertical="center"/>
    </xf>
    <xf numFmtId="170" fontId="12" fillId="0" borderId="1" xfId="0" applyNumberFormat="1" applyFont="1" applyBorder="1" applyAlignment="1">
      <alignment vertical="center"/>
    </xf>
    <xf numFmtId="172" fontId="12" fillId="0" borderId="1" xfId="0" applyNumberFormat="1" applyFont="1" applyBorder="1" applyAlignment="1">
      <alignment vertical="center"/>
    </xf>
    <xf numFmtId="10" fontId="12" fillId="0" borderId="1" xfId="0" applyNumberFormat="1" applyFont="1" applyBorder="1" applyAlignment="1">
      <alignment vertical="center"/>
    </xf>
    <xf numFmtId="168" fontId="12" fillId="0" borderId="1" xfId="0" applyNumberFormat="1" applyFont="1" applyBorder="1" applyAlignment="1">
      <alignment vertical="center"/>
    </xf>
    <xf numFmtId="165" fontId="12" fillId="0" borderId="1" xfId="0" applyNumberFormat="1" applyFont="1" applyBorder="1" applyAlignment="1">
      <alignment vertical="center"/>
    </xf>
    <xf numFmtId="167" fontId="12" fillId="0" borderId="1" xfId="0" applyNumberFormat="1" applyFont="1" applyBorder="1" applyAlignment="1">
      <alignment vertical="center"/>
    </xf>
    <xf numFmtId="171" fontId="5" fillId="0" borderId="0" xfId="0" applyNumberFormat="1" applyFont="1" applyAlignment="1">
      <alignment vertical="center"/>
    </xf>
    <xf numFmtId="0" fontId="22" fillId="0" borderId="0" xfId="0" applyFont="1" applyAlignment="1">
      <alignment vertical="center"/>
    </xf>
    <xf numFmtId="166" fontId="18" fillId="0" borderId="0" xfId="0" applyNumberFormat="1" applyFont="1" applyAlignment="1">
      <alignment vertical="center"/>
    </xf>
    <xf numFmtId="0" fontId="15" fillId="0" borderId="7" xfId="0" applyFont="1" applyBorder="1" applyAlignment="1">
      <alignment vertical="center" wrapText="1"/>
    </xf>
    <xf numFmtId="0" fontId="15" fillId="0" borderId="7" xfId="0" applyFont="1" applyBorder="1" applyAlignment="1">
      <alignment vertical="center"/>
    </xf>
    <xf numFmtId="0" fontId="5" fillId="0" borderId="9" xfId="0" applyFont="1" applyBorder="1" applyAlignment="1">
      <alignment horizontal="center" vertical="center" wrapText="1"/>
    </xf>
    <xf numFmtId="1" fontId="12" fillId="0" borderId="34" xfId="0" applyNumberFormat="1" applyFont="1" applyBorder="1" applyAlignment="1">
      <alignment vertical="center"/>
    </xf>
    <xf numFmtId="2" fontId="12" fillId="0" borderId="35" xfId="0" applyNumberFormat="1" applyFont="1" applyBorder="1" applyAlignment="1">
      <alignment vertical="center"/>
    </xf>
    <xf numFmtId="166" fontId="5" fillId="0" borderId="35" xfId="0" applyNumberFormat="1" applyFont="1" applyBorder="1" applyAlignment="1">
      <alignment vertical="center"/>
    </xf>
    <xf numFmtId="170" fontId="12" fillId="0" borderId="35" xfId="0" applyNumberFormat="1" applyFont="1" applyBorder="1" applyAlignment="1">
      <alignment vertical="center"/>
    </xf>
    <xf numFmtId="166" fontId="13" fillId="2" borderId="35" xfId="0" applyNumberFormat="1" applyFont="1" applyFill="1" applyBorder="1" applyAlignment="1">
      <alignment vertical="center"/>
    </xf>
    <xf numFmtId="166" fontId="18" fillId="4" borderId="35" xfId="0" applyNumberFormat="1" applyFont="1" applyFill="1" applyBorder="1" applyAlignment="1">
      <alignment vertical="center"/>
    </xf>
    <xf numFmtId="0" fontId="13" fillId="2" borderId="2" xfId="0" applyFont="1" applyFill="1" applyBorder="1" applyAlignment="1">
      <alignment vertical="center"/>
    </xf>
    <xf numFmtId="0" fontId="11" fillId="0" borderId="36" xfId="0" applyFont="1" applyBorder="1" applyAlignment="1">
      <alignment vertical="center"/>
    </xf>
    <xf numFmtId="0" fontId="11" fillId="0" borderId="37" xfId="0" applyFont="1" applyBorder="1" applyAlignment="1">
      <alignment vertical="center"/>
    </xf>
    <xf numFmtId="165" fontId="18" fillId="4" borderId="35" xfId="0" applyNumberFormat="1" applyFont="1" applyFill="1" applyBorder="1" applyAlignment="1">
      <alignment vertical="center"/>
    </xf>
    <xf numFmtId="166" fontId="18" fillId="4" borderId="38" xfId="0" applyNumberFormat="1" applyFont="1" applyFill="1" applyBorder="1" applyAlignment="1">
      <alignment vertical="center"/>
    </xf>
    <xf numFmtId="0" fontId="11" fillId="0" borderId="39" xfId="0" applyFont="1" applyBorder="1" applyAlignment="1">
      <alignment vertical="center"/>
    </xf>
    <xf numFmtId="172" fontId="5" fillId="0" borderId="34" xfId="0" applyNumberFormat="1" applyFont="1" applyBorder="1" applyAlignment="1">
      <alignment vertical="center"/>
    </xf>
    <xf numFmtId="0" fontId="13" fillId="11" borderId="11" xfId="0" applyFont="1" applyFill="1" applyBorder="1" applyAlignment="1">
      <alignment vertical="center"/>
    </xf>
    <xf numFmtId="0" fontId="5" fillId="11" borderId="12" xfId="0" applyFont="1" applyFill="1" applyBorder="1" applyAlignment="1">
      <alignment vertical="center"/>
    </xf>
    <xf numFmtId="0" fontId="5" fillId="11" borderId="13" xfId="0" applyFont="1" applyFill="1" applyBorder="1" applyAlignment="1">
      <alignment vertical="center"/>
    </xf>
    <xf numFmtId="172" fontId="12" fillId="0" borderId="16" xfId="0" applyNumberFormat="1" applyFont="1" applyBorder="1" applyAlignment="1">
      <alignment vertical="center"/>
    </xf>
    <xf numFmtId="172" fontId="11" fillId="0" borderId="25" xfId="0" applyNumberFormat="1" applyFont="1" applyBorder="1" applyAlignment="1">
      <alignment vertical="center"/>
    </xf>
    <xf numFmtId="166" fontId="11" fillId="0" borderId="25" xfId="0" applyNumberFormat="1" applyFont="1" applyBorder="1" applyAlignment="1">
      <alignment vertical="center"/>
    </xf>
    <xf numFmtId="172" fontId="11" fillId="0" borderId="18" xfId="0" applyNumberFormat="1" applyFont="1" applyBorder="1" applyAlignment="1">
      <alignment vertical="center"/>
    </xf>
    <xf numFmtId="0" fontId="5" fillId="0" borderId="26" xfId="0" applyFont="1" applyBorder="1" applyAlignment="1">
      <alignment vertical="center"/>
    </xf>
    <xf numFmtId="172" fontId="12" fillId="0" borderId="27" xfId="0" applyNumberFormat="1" applyFont="1" applyBorder="1" applyAlignment="1">
      <alignment vertical="center"/>
    </xf>
    <xf numFmtId="172" fontId="5" fillId="0" borderId="27" xfId="0" applyNumberFormat="1" applyFont="1" applyBorder="1" applyAlignment="1">
      <alignment vertical="center"/>
    </xf>
    <xf numFmtId="10" fontId="12" fillId="0" borderId="27" xfId="0" applyNumberFormat="1" applyFont="1" applyBorder="1" applyAlignment="1">
      <alignment vertical="center"/>
    </xf>
    <xf numFmtId="166" fontId="5" fillId="0" borderId="27" xfId="0" applyNumberFormat="1" applyFont="1" applyBorder="1" applyAlignment="1">
      <alignment vertical="center"/>
    </xf>
    <xf numFmtId="172" fontId="12" fillId="0" borderId="28" xfId="0" applyNumberFormat="1" applyFont="1" applyBorder="1" applyAlignment="1">
      <alignment vertical="center"/>
    </xf>
    <xf numFmtId="0" fontId="5" fillId="0" borderId="1" xfId="0" applyFont="1" applyBorder="1" applyAlignment="1">
      <alignment horizontal="center" vertical="center" wrapText="1"/>
    </xf>
    <xf numFmtId="0" fontId="15" fillId="0" borderId="5" xfId="0" applyFont="1" applyBorder="1" applyAlignment="1">
      <alignment vertical="center"/>
    </xf>
    <xf numFmtId="172" fontId="5" fillId="0" borderId="40" xfId="0" applyNumberFormat="1" applyFont="1" applyBorder="1" applyAlignment="1">
      <alignment vertical="center"/>
    </xf>
    <xf numFmtId="0" fontId="15" fillId="0" borderId="27" xfId="0" applyFont="1" applyBorder="1" applyAlignment="1">
      <alignment vertical="center"/>
    </xf>
    <xf numFmtId="0" fontId="15" fillId="0" borderId="16" xfId="0" applyFont="1" applyBorder="1" applyAlignment="1">
      <alignment vertical="center"/>
    </xf>
    <xf numFmtId="167" fontId="12" fillId="0" borderId="25" xfId="0" applyNumberFormat="1" applyFont="1" applyBorder="1" applyAlignment="1">
      <alignment vertical="center"/>
    </xf>
    <xf numFmtId="167" fontId="5" fillId="0" borderId="25" xfId="0" applyNumberFormat="1" applyFont="1" applyBorder="1" applyAlignment="1">
      <alignment vertical="center"/>
    </xf>
    <xf numFmtId="168" fontId="12" fillId="0" borderId="27" xfId="0" applyNumberFormat="1" applyFont="1" applyBorder="1" applyAlignment="1">
      <alignment vertical="center"/>
    </xf>
    <xf numFmtId="0" fontId="15" fillId="0" borderId="28" xfId="0" applyFont="1" applyBorder="1" applyAlignment="1">
      <alignment vertical="center"/>
    </xf>
    <xf numFmtId="0" fontId="24" fillId="11" borderId="41" xfId="0" applyFont="1" applyFill="1" applyBorder="1" applyAlignment="1">
      <alignment horizontal="center" vertical="center" wrapText="1"/>
    </xf>
    <xf numFmtId="168" fontId="12" fillId="0" borderId="34" xfId="0" applyNumberFormat="1" applyFont="1" applyBorder="1" applyAlignment="1">
      <alignment vertical="center"/>
    </xf>
    <xf numFmtId="165" fontId="12" fillId="0" borderId="35" xfId="0" applyNumberFormat="1" applyFont="1" applyBorder="1" applyAlignment="1">
      <alignment vertical="center"/>
    </xf>
    <xf numFmtId="167" fontId="12" fillId="0" borderId="38" xfId="0" applyNumberFormat="1" applyFont="1" applyBorder="1" applyAlignment="1">
      <alignment vertical="center"/>
    </xf>
    <xf numFmtId="0" fontId="24" fillId="11" borderId="37" xfId="0" applyFont="1" applyFill="1" applyBorder="1" applyAlignment="1">
      <alignment horizontal="center" vertical="center" wrapText="1"/>
    </xf>
    <xf numFmtId="0" fontId="11" fillId="0" borderId="42" xfId="0" applyFont="1" applyBorder="1" applyAlignment="1">
      <alignment vertical="center"/>
    </xf>
    <xf numFmtId="0" fontId="11" fillId="0" borderId="43" xfId="0" applyFont="1" applyBorder="1" applyAlignment="1">
      <alignment vertical="center"/>
    </xf>
    <xf numFmtId="0" fontId="11" fillId="0" borderId="44" xfId="0" applyFont="1" applyBorder="1" applyAlignment="1">
      <alignment vertical="center"/>
    </xf>
    <xf numFmtId="170" fontId="18" fillId="4" borderId="1" xfId="0" applyNumberFormat="1" applyFont="1" applyFill="1" applyBorder="1" applyAlignment="1">
      <alignment vertical="center"/>
    </xf>
    <xf numFmtId="10" fontId="18" fillId="4" borderId="1" xfId="0" applyNumberFormat="1" applyFont="1" applyFill="1" applyBorder="1" applyAlignment="1">
      <alignment vertical="center"/>
    </xf>
    <xf numFmtId="0" fontId="13" fillId="0" borderId="1" xfId="0" applyFont="1" applyBorder="1" applyAlignment="1">
      <alignment vertical="center"/>
    </xf>
    <xf numFmtId="0" fontId="12" fillId="0" borderId="1" xfId="0" applyFont="1" applyBorder="1" applyAlignment="1">
      <alignment vertical="center"/>
    </xf>
    <xf numFmtId="177" fontId="12" fillId="0" borderId="1" xfId="0" applyNumberFormat="1" applyFont="1" applyBorder="1" applyAlignment="1">
      <alignment vertical="center"/>
    </xf>
    <xf numFmtId="177" fontId="15" fillId="0" borderId="1" xfId="0" applyNumberFormat="1" applyFont="1" applyBorder="1" applyAlignment="1">
      <alignment horizontal="center" vertical="center" wrapText="1"/>
    </xf>
    <xf numFmtId="171" fontId="12" fillId="0" borderId="0" xfId="0" applyNumberFormat="1" applyFont="1" applyAlignment="1">
      <alignment vertical="center"/>
    </xf>
    <xf numFmtId="0" fontId="20" fillId="0" borderId="0" xfId="0" applyFont="1" applyAlignment="1">
      <alignment horizontal="center" vertical="center" wrapText="1"/>
    </xf>
    <xf numFmtId="168" fontId="5" fillId="0" borderId="0" xfId="0" applyNumberFormat="1" applyFont="1" applyAlignment="1">
      <alignment vertical="center"/>
    </xf>
    <xf numFmtId="165" fontId="5" fillId="0" borderId="0" xfId="0" applyNumberFormat="1" applyFont="1" applyAlignment="1">
      <alignment vertical="center"/>
    </xf>
    <xf numFmtId="1" fontId="5" fillId="0" borderId="0" xfId="0" applyNumberFormat="1" applyFont="1" applyAlignment="1">
      <alignment vertical="center"/>
    </xf>
    <xf numFmtId="168" fontId="12" fillId="0" borderId="0" xfId="0" applyNumberFormat="1" applyFont="1" applyAlignment="1">
      <alignment vertical="center"/>
    </xf>
    <xf numFmtId="165" fontId="12" fillId="0" borderId="0" xfId="0" applyNumberFormat="1" applyFont="1" applyAlignment="1">
      <alignment vertical="center"/>
    </xf>
    <xf numFmtId="10" fontId="18" fillId="4" borderId="25" xfId="0" applyNumberFormat="1" applyFont="1" applyFill="1" applyBorder="1" applyAlignment="1">
      <alignment vertical="center"/>
    </xf>
    <xf numFmtId="10" fontId="12" fillId="0" borderId="25" xfId="0" applyNumberFormat="1" applyFont="1" applyBorder="1" applyAlignment="1">
      <alignment vertical="center"/>
    </xf>
    <xf numFmtId="170" fontId="18" fillId="4" borderId="27" xfId="0" applyNumberFormat="1" applyFont="1" applyFill="1" applyBorder="1" applyAlignment="1">
      <alignment vertical="center"/>
    </xf>
    <xf numFmtId="170" fontId="12" fillId="0" borderId="27" xfId="0" applyNumberFormat="1" applyFont="1" applyBorder="1" applyAlignment="1">
      <alignment vertical="center"/>
    </xf>
    <xf numFmtId="0" fontId="5" fillId="0" borderId="27" xfId="0" applyFont="1" applyBorder="1" applyAlignment="1">
      <alignment horizontal="center" vertical="center" wrapText="1"/>
    </xf>
    <xf numFmtId="0" fontId="24" fillId="11" borderId="45" xfId="0" applyFont="1" applyFill="1" applyBorder="1" applyAlignment="1">
      <alignment horizontal="center" vertical="center" wrapText="1"/>
    </xf>
    <xf numFmtId="0" fontId="5" fillId="0" borderId="34" xfId="0" applyFont="1" applyBorder="1" applyAlignment="1">
      <alignment vertical="center" wrapText="1"/>
    </xf>
    <xf numFmtId="0" fontId="5" fillId="0" borderId="35" xfId="0" applyFont="1" applyBorder="1" applyAlignment="1">
      <alignment vertical="center" wrapText="1"/>
    </xf>
    <xf numFmtId="0" fontId="5" fillId="0" borderId="38" xfId="0" applyFont="1" applyBorder="1" applyAlignment="1">
      <alignment vertical="center" wrapText="1"/>
    </xf>
    <xf numFmtId="0" fontId="24" fillId="11" borderId="2" xfId="0" applyFont="1" applyFill="1" applyBorder="1" applyAlignment="1">
      <alignment horizontal="center" vertical="center" wrapText="1"/>
    </xf>
    <xf numFmtId="0" fontId="11" fillId="0" borderId="42" xfId="0" applyFont="1" applyBorder="1" applyAlignment="1">
      <alignment vertical="center" wrapText="1"/>
    </xf>
    <xf numFmtId="0" fontId="11" fillId="0" borderId="43" xfId="0" applyFont="1" applyBorder="1" applyAlignment="1">
      <alignment vertical="center" wrapText="1"/>
    </xf>
    <xf numFmtId="0" fontId="11" fillId="0" borderId="44" xfId="0" applyFont="1" applyBorder="1" applyAlignment="1">
      <alignment vertical="center" wrapText="1"/>
    </xf>
    <xf numFmtId="0" fontId="24" fillId="0" borderId="0" xfId="0" applyFont="1" applyAlignment="1">
      <alignment horizontal="center" vertical="center" wrapText="1"/>
    </xf>
    <xf numFmtId="0" fontId="5" fillId="0" borderId="28"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8" xfId="0" applyFont="1" applyBorder="1" applyAlignment="1">
      <alignment horizontal="center" vertical="center" wrapText="1"/>
    </xf>
    <xf numFmtId="168" fontId="12" fillId="0" borderId="25" xfId="0" applyNumberFormat="1" applyFont="1" applyBorder="1" applyAlignment="1">
      <alignment vertical="center"/>
    </xf>
    <xf numFmtId="168" fontId="5" fillId="0" borderId="25" xfId="0" applyNumberFormat="1" applyFont="1" applyBorder="1" applyAlignment="1">
      <alignment vertical="center"/>
    </xf>
    <xf numFmtId="165" fontId="12" fillId="0" borderId="25" xfId="0" applyNumberFormat="1" applyFont="1" applyBorder="1" applyAlignment="1">
      <alignment vertical="center"/>
    </xf>
    <xf numFmtId="0" fontId="12" fillId="0" borderId="25" xfId="0" applyFont="1" applyBorder="1" applyAlignment="1">
      <alignment vertical="center"/>
    </xf>
    <xf numFmtId="165" fontId="12" fillId="0" borderId="27" xfId="0" applyNumberFormat="1" applyFont="1" applyBorder="1" applyAlignment="1">
      <alignment vertical="center"/>
    </xf>
    <xf numFmtId="167" fontId="12" fillId="0" borderId="27" xfId="0" applyNumberFormat="1" applyFont="1" applyBorder="1" applyAlignment="1">
      <alignment vertical="center"/>
    </xf>
    <xf numFmtId="0" fontId="12" fillId="0" borderId="27" xfId="0" applyFont="1" applyBorder="1" applyAlignment="1">
      <alignment vertical="center"/>
    </xf>
    <xf numFmtId="168" fontId="12" fillId="0" borderId="35" xfId="0" applyNumberFormat="1" applyFont="1" applyBorder="1" applyAlignment="1">
      <alignment vertical="center"/>
    </xf>
    <xf numFmtId="168" fontId="12" fillId="0" borderId="38" xfId="0" applyNumberFormat="1" applyFont="1" applyBorder="1" applyAlignment="1">
      <alignment vertical="center"/>
    </xf>
    <xf numFmtId="0" fontId="11" fillId="0" borderId="46" xfId="0" applyFont="1" applyBorder="1" applyAlignment="1">
      <alignment vertical="center"/>
    </xf>
    <xf numFmtId="168" fontId="12" fillId="0" borderId="9" xfId="0" applyNumberFormat="1" applyFont="1" applyBorder="1" applyAlignment="1">
      <alignment vertical="center"/>
    </xf>
    <xf numFmtId="10" fontId="18" fillId="4" borderId="27" xfId="0" applyNumberFormat="1" applyFont="1" applyFill="1" applyBorder="1" applyAlignment="1">
      <alignment vertical="center"/>
    </xf>
    <xf numFmtId="177" fontId="12" fillId="0" borderId="27" xfId="0" applyNumberFormat="1" applyFont="1" applyBorder="1" applyAlignment="1">
      <alignment vertical="center"/>
    </xf>
    <xf numFmtId="168" fontId="5" fillId="0" borderId="16" xfId="0" applyNumberFormat="1" applyFont="1" applyBorder="1" applyAlignment="1">
      <alignment vertical="center"/>
    </xf>
    <xf numFmtId="168" fontId="5" fillId="0" borderId="18" xfId="0" applyNumberFormat="1" applyFont="1" applyBorder="1" applyAlignment="1">
      <alignment vertical="center"/>
    </xf>
    <xf numFmtId="168" fontId="5" fillId="0" borderId="28" xfId="0" applyNumberFormat="1" applyFont="1" applyBorder="1" applyAlignment="1">
      <alignment vertical="center"/>
    </xf>
    <xf numFmtId="0" fontId="21" fillId="0" borderId="0" xfId="0" applyFont="1" applyAlignment="1">
      <alignment vertical="center" wrapText="1"/>
    </xf>
    <xf numFmtId="0" fontId="24" fillId="11" borderId="11" xfId="0" applyFont="1" applyFill="1" applyBorder="1" applyAlignment="1">
      <alignment vertical="center" wrapText="1"/>
    </xf>
    <xf numFmtId="0" fontId="24" fillId="11" borderId="12" xfId="0" applyFont="1" applyFill="1" applyBorder="1" applyAlignment="1">
      <alignment vertical="center" wrapText="1"/>
    </xf>
    <xf numFmtId="0" fontId="24" fillId="11" borderId="13" xfId="0" applyFont="1" applyFill="1" applyBorder="1" applyAlignment="1">
      <alignment vertical="center" wrapText="1"/>
    </xf>
    <xf numFmtId="0" fontId="24" fillId="11" borderId="2" xfId="0" applyFont="1" applyFill="1" applyBorder="1" applyAlignment="1">
      <alignment vertical="center" wrapText="1"/>
    </xf>
    <xf numFmtId="0" fontId="5" fillId="0" borderId="36" xfId="0" applyFont="1" applyBorder="1" applyAlignment="1">
      <alignment vertical="center"/>
    </xf>
    <xf numFmtId="0" fontId="5" fillId="0" borderId="37" xfId="0" applyFont="1" applyBorder="1" applyAlignment="1">
      <alignment vertical="center"/>
    </xf>
    <xf numFmtId="167" fontId="5" fillId="0" borderId="9" xfId="0" applyNumberFormat="1" applyFont="1" applyBorder="1" applyAlignment="1">
      <alignment vertical="center"/>
    </xf>
    <xf numFmtId="167" fontId="18" fillId="4" borderId="0" xfId="0" applyNumberFormat="1" applyFont="1" applyFill="1" applyAlignment="1">
      <alignment vertical="center" wrapText="1"/>
    </xf>
    <xf numFmtId="1" fontId="18" fillId="4" borderId="0" xfId="0" applyNumberFormat="1" applyFont="1" applyFill="1" applyAlignment="1">
      <alignment vertical="center" wrapText="1"/>
    </xf>
    <xf numFmtId="176" fontId="12" fillId="4" borderId="0" xfId="0" applyNumberFormat="1" applyFont="1" applyFill="1" applyAlignment="1">
      <alignment vertical="center" wrapText="1"/>
    </xf>
    <xf numFmtId="176" fontId="12" fillId="0" borderId="0" xfId="0" applyNumberFormat="1" applyFont="1" applyAlignment="1">
      <alignment vertical="center" wrapText="1"/>
    </xf>
    <xf numFmtId="10" fontId="12" fillId="0" borderId="0" xfId="0" applyNumberFormat="1" applyFont="1" applyAlignment="1">
      <alignment vertical="center" wrapText="1"/>
    </xf>
    <xf numFmtId="0" fontId="11" fillId="0" borderId="36" xfId="0" applyFont="1" applyBorder="1" applyAlignment="1">
      <alignment vertical="center" wrapText="1"/>
    </xf>
    <xf numFmtId="0" fontId="11" fillId="0" borderId="37" xfId="0" applyFont="1" applyBorder="1" applyAlignment="1">
      <alignment vertical="center" wrapText="1"/>
    </xf>
    <xf numFmtId="167" fontId="21" fillId="0" borderId="9" xfId="0" applyNumberFormat="1" applyFont="1" applyBorder="1" applyAlignment="1">
      <alignment vertical="center" wrapText="1"/>
    </xf>
    <xf numFmtId="0" fontId="11" fillId="6" borderId="12" xfId="0" applyFont="1" applyFill="1" applyBorder="1" applyAlignment="1">
      <alignment vertical="center" wrapText="1"/>
    </xf>
    <xf numFmtId="0" fontId="11" fillId="6" borderId="13" xfId="0" applyFont="1" applyFill="1" applyBorder="1" applyAlignment="1">
      <alignment vertical="center" wrapText="1"/>
    </xf>
    <xf numFmtId="178" fontId="5" fillId="0" borderId="0" xfId="0" applyNumberFormat="1" applyFont="1" applyAlignment="1">
      <alignment vertical="center" wrapText="1"/>
    </xf>
    <xf numFmtId="178" fontId="5" fillId="0" borderId="7" xfId="0" applyNumberFormat="1" applyFont="1" applyBorder="1" applyAlignment="1">
      <alignment vertical="center" wrapText="1"/>
    </xf>
    <xf numFmtId="178" fontId="5" fillId="0" borderId="0" xfId="0" applyNumberFormat="1" applyFont="1" applyAlignment="1">
      <alignment vertical="center"/>
    </xf>
    <xf numFmtId="178" fontId="5" fillId="0" borderId="7" xfId="0" applyNumberFormat="1" applyFont="1" applyBorder="1" applyAlignment="1">
      <alignment vertical="center"/>
    </xf>
    <xf numFmtId="178" fontId="5" fillId="0" borderId="9" xfId="0" applyNumberFormat="1" applyFont="1" applyBorder="1" applyAlignment="1">
      <alignment vertical="center"/>
    </xf>
    <xf numFmtId="1" fontId="5" fillId="0" borderId="9" xfId="0" applyNumberFormat="1" applyFont="1" applyBorder="1" applyAlignment="1">
      <alignment vertical="center"/>
    </xf>
    <xf numFmtId="178" fontId="5" fillId="0" borderId="10" xfId="0" applyNumberFormat="1" applyFont="1" applyBorder="1" applyAlignment="1">
      <alignment vertical="center"/>
    </xf>
    <xf numFmtId="167" fontId="18" fillId="8" borderId="0" xfId="0" applyNumberFormat="1" applyFont="1" applyFill="1" applyAlignment="1">
      <alignment vertical="center" wrapText="1"/>
    </xf>
    <xf numFmtId="0" fontId="11" fillId="11" borderId="0" xfId="0" applyFont="1" applyFill="1" applyAlignment="1">
      <alignment vertical="center" wrapText="1"/>
    </xf>
    <xf numFmtId="3" fontId="5" fillId="0" borderId="0" xfId="0" applyNumberFormat="1" applyFont="1" applyAlignment="1">
      <alignment vertical="center"/>
    </xf>
    <xf numFmtId="0" fontId="25" fillId="9" borderId="3" xfId="0" applyFont="1" applyFill="1" applyBorder="1" applyAlignment="1">
      <alignment vertical="center" wrapText="1"/>
    </xf>
    <xf numFmtId="0" fontId="25" fillId="9" borderId="4" xfId="0" applyFont="1" applyFill="1" applyBorder="1" applyAlignment="1">
      <alignment vertical="center" wrapText="1"/>
    </xf>
    <xf numFmtId="0" fontId="25" fillId="9" borderId="5" xfId="0" applyFont="1" applyFill="1" applyBorder="1" applyAlignment="1">
      <alignment vertical="center" wrapText="1"/>
    </xf>
    <xf numFmtId="3" fontId="5" fillId="0" borderId="9" xfId="0" applyNumberFormat="1" applyFont="1" applyBorder="1" applyAlignment="1">
      <alignment vertical="center"/>
    </xf>
    <xf numFmtId="0" fontId="11" fillId="11" borderId="3" xfId="0" applyFont="1" applyFill="1" applyBorder="1" applyAlignment="1">
      <alignment vertical="center"/>
    </xf>
    <xf numFmtId="0" fontId="11" fillId="11" borderId="4" xfId="0" applyFont="1" applyFill="1" applyBorder="1" applyAlignment="1">
      <alignment vertical="center"/>
    </xf>
    <xf numFmtId="0" fontId="11" fillId="11" borderId="5" xfId="0" applyFont="1" applyFill="1" applyBorder="1" applyAlignment="1">
      <alignment vertical="center"/>
    </xf>
    <xf numFmtId="0" fontId="5" fillId="7" borderId="7" xfId="0" applyFont="1" applyFill="1" applyBorder="1" applyAlignment="1">
      <alignment vertical="center"/>
    </xf>
    <xf numFmtId="0" fontId="26" fillId="0" borderId="0" xfId="0" applyFont="1" applyAlignment="1">
      <alignment vertical="center"/>
    </xf>
    <xf numFmtId="167" fontId="15" fillId="0" borderId="0" xfId="0" applyNumberFormat="1" applyFont="1" applyAlignment="1">
      <alignment vertical="center"/>
    </xf>
    <xf numFmtId="0" fontId="13" fillId="2" borderId="0" xfId="0" applyFont="1" applyFill="1" applyAlignment="1">
      <alignment vertical="center"/>
    </xf>
    <xf numFmtId="0" fontId="5" fillId="2" borderId="0" xfId="0" applyFont="1" applyFill="1" applyAlignment="1">
      <alignment vertical="center"/>
    </xf>
    <xf numFmtId="0" fontId="11" fillId="11" borderId="47" xfId="0" applyFont="1" applyFill="1" applyBorder="1" applyAlignment="1">
      <alignment horizontal="center" vertical="center" wrapText="1"/>
    </xf>
    <xf numFmtId="0" fontId="11" fillId="11" borderId="48" xfId="0" applyFont="1" applyFill="1" applyBorder="1" applyAlignment="1">
      <alignment horizontal="center" vertical="center" wrapText="1"/>
    </xf>
    <xf numFmtId="0" fontId="11" fillId="11" borderId="49" xfId="0" applyFont="1" applyFill="1" applyBorder="1" applyAlignment="1">
      <alignment horizontal="center" vertical="center" wrapText="1"/>
    </xf>
    <xf numFmtId="168" fontId="11" fillId="0" borderId="18" xfId="0" applyNumberFormat="1" applyFont="1" applyBorder="1" applyAlignment="1">
      <alignment vertical="center"/>
    </xf>
    <xf numFmtId="0" fontId="11" fillId="11" borderId="29" xfId="0" applyFont="1" applyFill="1" applyBorder="1" applyAlignment="1">
      <alignment horizontal="center" vertical="center" wrapText="1"/>
    </xf>
    <xf numFmtId="0" fontId="11" fillId="11" borderId="30" xfId="0" applyFont="1" applyFill="1" applyBorder="1" applyAlignment="1">
      <alignment horizontal="center" vertical="center" wrapText="1"/>
    </xf>
    <xf numFmtId="0" fontId="11" fillId="11" borderId="22" xfId="0" applyFont="1" applyFill="1" applyBorder="1" applyAlignment="1">
      <alignment horizontal="center" vertical="center" wrapText="1"/>
    </xf>
    <xf numFmtId="0" fontId="11" fillId="11" borderId="45" xfId="0" applyFont="1" applyFill="1" applyBorder="1" applyAlignment="1">
      <alignment horizontal="center" vertical="center" wrapText="1"/>
    </xf>
    <xf numFmtId="1" fontId="5" fillId="0" borderId="34" xfId="0" applyNumberFormat="1" applyFont="1" applyBorder="1" applyAlignment="1">
      <alignment horizontal="center" vertical="center" wrapText="1"/>
    </xf>
    <xf numFmtId="1" fontId="5" fillId="0" borderId="35" xfId="0" applyNumberFormat="1" applyFont="1" applyBorder="1" applyAlignment="1">
      <alignment horizontal="center" vertical="center" wrapText="1"/>
    </xf>
    <xf numFmtId="168" fontId="5" fillId="0" borderId="35" xfId="0" applyNumberFormat="1" applyFont="1" applyBorder="1" applyAlignment="1">
      <alignment horizontal="center" vertical="center" wrapText="1"/>
    </xf>
    <xf numFmtId="168" fontId="13" fillId="0" borderId="35" xfId="0" applyNumberFormat="1" applyFont="1" applyBorder="1" applyAlignment="1">
      <alignment horizontal="center" vertical="center" wrapText="1"/>
    </xf>
    <xf numFmtId="165" fontId="13" fillId="0" borderId="35" xfId="0" applyNumberFormat="1" applyFont="1" applyBorder="1" applyAlignment="1">
      <alignment horizontal="center" vertical="center" wrapText="1"/>
    </xf>
    <xf numFmtId="165" fontId="5" fillId="0" borderId="35" xfId="0" applyNumberFormat="1" applyFont="1" applyBorder="1" applyAlignment="1">
      <alignment horizontal="center" vertical="center" wrapText="1"/>
    </xf>
    <xf numFmtId="168" fontId="5" fillId="0" borderId="38" xfId="0" applyNumberFormat="1" applyFont="1" applyBorder="1" applyAlignment="1">
      <alignment horizontal="center" vertical="center" wrapText="1"/>
    </xf>
    <xf numFmtId="0" fontId="11" fillId="11" borderId="2" xfId="0" applyFont="1" applyFill="1" applyBorder="1" applyAlignment="1">
      <alignment horizontal="center" vertical="center" wrapText="1"/>
    </xf>
    <xf numFmtId="1" fontId="5" fillId="0" borderId="0" xfId="0" applyNumberFormat="1" applyFont="1" applyAlignment="1">
      <alignment horizontal="center" vertical="center" wrapText="1"/>
    </xf>
    <xf numFmtId="3"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164" fontId="5" fillId="0" borderId="0" xfId="0" applyNumberFormat="1" applyFont="1" applyAlignment="1">
      <alignment horizontal="center" vertical="center" wrapText="1"/>
    </xf>
    <xf numFmtId="165" fontId="5" fillId="0" borderId="7"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3" fontId="5" fillId="0" borderId="9" xfId="0" applyNumberFormat="1" applyFont="1" applyBorder="1" applyAlignment="1">
      <alignment horizontal="center" vertical="center" wrapText="1"/>
    </xf>
    <xf numFmtId="165" fontId="5" fillId="0" borderId="9" xfId="0" applyNumberFormat="1" applyFont="1" applyBorder="1" applyAlignment="1">
      <alignment horizontal="center" vertical="center" wrapText="1"/>
    </xf>
    <xf numFmtId="164" fontId="5" fillId="0" borderId="9" xfId="0" applyNumberFormat="1" applyFont="1" applyBorder="1" applyAlignment="1">
      <alignment horizontal="center" vertical="center" wrapText="1"/>
    </xf>
    <xf numFmtId="165" fontId="5" fillId="0" borderId="10" xfId="0" applyNumberFormat="1" applyFont="1" applyBorder="1" applyAlignment="1">
      <alignment horizontal="center" vertical="center" wrapText="1"/>
    </xf>
    <xf numFmtId="0" fontId="11" fillId="11" borderId="12" xfId="0" applyFont="1" applyFill="1" applyBorder="1" applyAlignment="1">
      <alignment horizontal="center" vertical="center" wrapText="1"/>
    </xf>
    <xf numFmtId="0" fontId="5" fillId="5" borderId="6" xfId="0" applyFont="1" applyFill="1" applyBorder="1" applyAlignment="1">
      <alignment vertical="center"/>
    </xf>
    <xf numFmtId="0" fontId="5" fillId="5" borderId="0" xfId="0" applyFont="1" applyFill="1" applyAlignment="1">
      <alignment vertical="center"/>
    </xf>
    <xf numFmtId="1" fontId="12" fillId="5" borderId="0" xfId="0" applyNumberFormat="1" applyFont="1" applyFill="1" applyAlignment="1">
      <alignment vertical="center"/>
    </xf>
    <xf numFmtId="0" fontId="12" fillId="5" borderId="0" xfId="0" applyFont="1" applyFill="1" applyAlignment="1">
      <alignment vertical="center"/>
    </xf>
    <xf numFmtId="167" fontId="12" fillId="5" borderId="0" xfId="0" applyNumberFormat="1" applyFont="1" applyFill="1" applyAlignment="1">
      <alignment vertical="center"/>
    </xf>
    <xf numFmtId="170" fontId="12" fillId="5" borderId="0" xfId="0" applyNumberFormat="1" applyFont="1" applyFill="1" applyAlignment="1">
      <alignment vertical="center"/>
    </xf>
    <xf numFmtId="10" fontId="12" fillId="5" borderId="0" xfId="0" applyNumberFormat="1" applyFont="1" applyFill="1" applyAlignment="1">
      <alignment vertical="center"/>
    </xf>
    <xf numFmtId="170" fontId="5" fillId="0" borderId="0" xfId="0" applyNumberFormat="1" applyFont="1" applyAlignment="1">
      <alignment vertical="center"/>
    </xf>
    <xf numFmtId="10" fontId="5" fillId="0" borderId="0" xfId="0" applyNumberFormat="1" applyFont="1" applyAlignment="1">
      <alignment vertical="center"/>
    </xf>
    <xf numFmtId="0" fontId="5" fillId="5" borderId="8" xfId="0" applyFont="1" applyFill="1" applyBorder="1" applyAlignment="1">
      <alignment vertical="center"/>
    </xf>
    <xf numFmtId="0" fontId="5" fillId="5" borderId="9" xfId="0" applyFont="1" applyFill="1" applyBorder="1" applyAlignment="1">
      <alignment vertical="center"/>
    </xf>
    <xf numFmtId="1" fontId="12" fillId="5" borderId="9" xfId="0" applyNumberFormat="1" applyFont="1" applyFill="1" applyBorder="1" applyAlignment="1">
      <alignment vertical="center"/>
    </xf>
    <xf numFmtId="0" fontId="12" fillId="5" borderId="9" xfId="0" applyFont="1" applyFill="1" applyBorder="1" applyAlignment="1">
      <alignment vertical="center"/>
    </xf>
    <xf numFmtId="167" fontId="12" fillId="5" borderId="9" xfId="0" applyNumberFormat="1" applyFont="1" applyFill="1" applyBorder="1" applyAlignment="1">
      <alignment vertical="center"/>
    </xf>
    <xf numFmtId="170" fontId="12" fillId="5" borderId="9" xfId="0" applyNumberFormat="1" applyFont="1" applyFill="1" applyBorder="1" applyAlignment="1">
      <alignment vertical="center"/>
    </xf>
    <xf numFmtId="10" fontId="12" fillId="5" borderId="9" xfId="0" applyNumberFormat="1" applyFont="1" applyFill="1" applyBorder="1" applyAlignment="1">
      <alignment vertical="center"/>
    </xf>
    <xf numFmtId="170" fontId="5" fillId="0" borderId="9" xfId="0" applyNumberFormat="1" applyFont="1" applyBorder="1" applyAlignment="1">
      <alignment vertical="center"/>
    </xf>
    <xf numFmtId="0" fontId="12" fillId="0" borderId="6" xfId="0" applyFont="1" applyBorder="1" applyAlignment="1">
      <alignment vertical="center"/>
    </xf>
    <xf numFmtId="0" fontId="12" fillId="0" borderId="7" xfId="0" applyFont="1" applyBorder="1" applyAlignment="1">
      <alignment vertical="center"/>
    </xf>
    <xf numFmtId="0" fontId="12" fillId="0" borderId="8" xfId="0"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1" fillId="11" borderId="11" xfId="0" applyFont="1" applyFill="1" applyBorder="1" applyAlignment="1">
      <alignment vertical="center"/>
    </xf>
    <xf numFmtId="0" fontId="11" fillId="11" borderId="8"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11" fillId="11" borderId="10" xfId="0" applyFont="1" applyFill="1" applyBorder="1" applyAlignment="1">
      <alignment horizontal="center" vertical="center" wrapText="1"/>
    </xf>
    <xf numFmtId="0" fontId="12" fillId="0" borderId="3" xfId="0" applyFont="1" applyBorder="1" applyAlignment="1">
      <alignment vertical="center"/>
    </xf>
    <xf numFmtId="168" fontId="12" fillId="0" borderId="4" xfId="0" applyNumberFormat="1" applyFont="1" applyBorder="1" applyAlignment="1">
      <alignment vertical="center"/>
    </xf>
    <xf numFmtId="170" fontId="12" fillId="0" borderId="4" xfId="0" applyNumberFormat="1" applyFont="1" applyBorder="1" applyAlignment="1">
      <alignment vertical="center"/>
    </xf>
    <xf numFmtId="10" fontId="12" fillId="0" borderId="4" xfId="0" applyNumberFormat="1" applyFont="1" applyBorder="1" applyAlignment="1">
      <alignment vertical="center"/>
    </xf>
    <xf numFmtId="170" fontId="5" fillId="0" borderId="4" xfId="0" applyNumberFormat="1" applyFont="1" applyBorder="1" applyAlignment="1">
      <alignment vertical="center"/>
    </xf>
    <xf numFmtId="10" fontId="5" fillId="0" borderId="4" xfId="0" applyNumberFormat="1" applyFont="1" applyBorder="1" applyAlignment="1">
      <alignment vertical="center"/>
    </xf>
    <xf numFmtId="167" fontId="5" fillId="0" borderId="4" xfId="0" applyNumberFormat="1" applyFont="1" applyBorder="1" applyAlignment="1">
      <alignment vertical="center"/>
    </xf>
    <xf numFmtId="170" fontId="12" fillId="0" borderId="0" xfId="0" applyNumberFormat="1" applyFont="1" applyAlignment="1">
      <alignment vertical="center"/>
    </xf>
    <xf numFmtId="10" fontId="12" fillId="0" borderId="0" xfId="0" applyNumberFormat="1" applyFont="1" applyAlignment="1">
      <alignment vertical="center"/>
    </xf>
    <xf numFmtId="170" fontId="12" fillId="0" borderId="9" xfId="0" applyNumberFormat="1" applyFont="1" applyBorder="1" applyAlignment="1">
      <alignment vertical="center"/>
    </xf>
    <xf numFmtId="10" fontId="12" fillId="0" borderId="9" xfId="0" applyNumberFormat="1" applyFont="1" applyBorder="1" applyAlignment="1">
      <alignment vertical="center"/>
    </xf>
    <xf numFmtId="175" fontId="5" fillId="0" borderId="6" xfId="0" applyNumberFormat="1" applyFont="1" applyBorder="1" applyAlignment="1">
      <alignment vertical="center"/>
    </xf>
    <xf numFmtId="175" fontId="5" fillId="0" borderId="8" xfId="0" applyNumberFormat="1" applyFont="1" applyBorder="1" applyAlignment="1">
      <alignment vertical="center"/>
    </xf>
    <xf numFmtId="175" fontId="5" fillId="0" borderId="3" xfId="0" applyNumberFormat="1" applyFont="1" applyBorder="1" applyAlignment="1">
      <alignment vertical="center"/>
    </xf>
    <xf numFmtId="175" fontId="5" fillId="0" borderId="4" xfId="0" applyNumberFormat="1" applyFont="1" applyBorder="1" applyAlignment="1">
      <alignment vertical="center"/>
    </xf>
    <xf numFmtId="175" fontId="5" fillId="0" borderId="5" xfId="0" applyNumberFormat="1" applyFont="1" applyBorder="1" applyAlignment="1">
      <alignment vertical="center"/>
    </xf>
    <xf numFmtId="0" fontId="7" fillId="11" borderId="3" xfId="0" applyFont="1" applyFill="1" applyBorder="1"/>
    <xf numFmtId="0" fontId="7" fillId="11" borderId="4" xfId="0" applyFont="1" applyFill="1" applyBorder="1" applyAlignment="1">
      <alignment wrapText="1"/>
    </xf>
    <xf numFmtId="0" fontId="7" fillId="11" borderId="4" xfId="0" applyFont="1" applyFill="1" applyBorder="1"/>
    <xf numFmtId="0" fontId="7" fillId="11" borderId="5" xfId="0" applyFont="1" applyFill="1" applyBorder="1"/>
    <xf numFmtId="0" fontId="7" fillId="0" borderId="0" xfId="0" applyFont="1" applyAlignment="1">
      <alignment wrapText="1"/>
    </xf>
    <xf numFmtId="0" fontId="4" fillId="0" borderId="0" xfId="0" applyFont="1" applyAlignment="1">
      <alignment wrapText="1"/>
    </xf>
    <xf numFmtId="0" fontId="6" fillId="0" borderId="0" xfId="0" applyFont="1"/>
    <xf numFmtId="0" fontId="4" fillId="0" borderId="0" xfId="0" applyFont="1"/>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0" fontId="4" fillId="0" borderId="10"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0" fontId="7" fillId="0" borderId="11" xfId="0" applyFont="1" applyBorder="1"/>
    <xf numFmtId="0" fontId="7" fillId="0" borderId="12" xfId="0" applyFont="1" applyBorder="1"/>
    <xf numFmtId="0" fontId="7" fillId="0" borderId="13" xfId="0" applyFont="1" applyBorder="1"/>
    <xf numFmtId="0" fontId="7" fillId="0" borderId="0" xfId="0" applyFont="1"/>
    <xf numFmtId="0" fontId="7" fillId="0" borderId="6" xfId="0" applyFont="1" applyBorder="1" applyAlignment="1">
      <alignment horizontal="center"/>
    </xf>
    <xf numFmtId="0" fontId="7" fillId="0" borderId="0" xfId="0" applyFont="1" applyAlignment="1">
      <alignment horizontal="center"/>
    </xf>
    <xf numFmtId="1" fontId="9" fillId="0" borderId="8" xfId="0" applyNumberFormat="1" applyFont="1" applyBorder="1" applyAlignment="1">
      <alignment horizontal="center"/>
    </xf>
    <xf numFmtId="0" fontId="10" fillId="0" borderId="9" xfId="0" applyFont="1" applyBorder="1" applyAlignment="1">
      <alignment horizontal="center"/>
    </xf>
    <xf numFmtId="177" fontId="9" fillId="0" borderId="9" xfId="0" applyNumberFormat="1" applyFont="1" applyBorder="1" applyAlignment="1">
      <alignment horizontal="center"/>
    </xf>
    <xf numFmtId="0" fontId="7" fillId="0" borderId="7" xfId="0" applyFont="1" applyBorder="1" applyAlignment="1">
      <alignment horizontal="center"/>
    </xf>
    <xf numFmtId="0" fontId="10" fillId="0" borderId="10"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178" fontId="9" fillId="0" borderId="6" xfId="0" applyNumberFormat="1" applyFont="1" applyBorder="1" applyAlignment="1">
      <alignment horizontal="center"/>
    </xf>
    <xf numFmtId="0" fontId="10" fillId="0" borderId="0" xfId="0" applyFont="1" applyAlignment="1">
      <alignment horizontal="center"/>
    </xf>
    <xf numFmtId="178" fontId="9" fillId="0" borderId="0" xfId="0" applyNumberFormat="1" applyFont="1" applyAlignment="1">
      <alignment horizontal="center"/>
    </xf>
    <xf numFmtId="0" fontId="7" fillId="0" borderId="5" xfId="0" applyFont="1" applyBorder="1" applyAlignment="1">
      <alignment horizontal="center"/>
    </xf>
    <xf numFmtId="177" fontId="9" fillId="0" borderId="0" xfId="0" applyNumberFormat="1" applyFont="1" applyAlignment="1">
      <alignment horizontal="center"/>
    </xf>
    <xf numFmtId="0" fontId="10" fillId="0" borderId="7" xfId="0" applyFont="1" applyBorder="1" applyAlignment="1">
      <alignment horizontal="center"/>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7" fillId="0" borderId="0" xfId="0" applyFont="1" applyAlignment="1">
      <alignment wrapText="1"/>
    </xf>
    <xf numFmtId="164" fontId="13" fillId="0" borderId="14" xfId="0" applyNumberFormat="1" applyFont="1" applyBorder="1" applyAlignment="1">
      <alignment horizontal="center" vertical="center" wrapText="1"/>
    </xf>
    <xf numFmtId="164" fontId="13" fillId="0" borderId="19" xfId="0" applyNumberFormat="1" applyFont="1" applyBorder="1" applyAlignment="1">
      <alignment horizontal="center" vertical="center" wrapText="1"/>
    </xf>
    <xf numFmtId="165" fontId="13" fillId="0" borderId="14" xfId="0" applyNumberFormat="1" applyFont="1" applyBorder="1" applyAlignment="1">
      <alignment horizontal="center" vertical="center" wrapText="1"/>
    </xf>
    <xf numFmtId="165" fontId="13" fillId="0" borderId="19" xfId="0" applyNumberFormat="1" applyFont="1" applyBorder="1" applyAlignment="1">
      <alignment horizontal="center" vertical="center" wrapText="1"/>
    </xf>
    <xf numFmtId="165" fontId="12" fillId="0" borderId="14" xfId="0" applyNumberFormat="1" applyFont="1" applyBorder="1" applyAlignment="1">
      <alignment horizontal="center" vertical="center" wrapText="1"/>
    </xf>
    <xf numFmtId="165" fontId="12" fillId="0" borderId="19" xfId="0" applyNumberFormat="1" applyFont="1" applyBorder="1" applyAlignment="1">
      <alignment horizontal="center" vertical="center" wrapText="1"/>
    </xf>
    <xf numFmtId="1" fontId="13" fillId="0" borderId="14" xfId="0" applyNumberFormat="1" applyFont="1" applyBorder="1" applyAlignment="1">
      <alignment horizontal="center" vertical="center" wrapText="1"/>
    </xf>
    <xf numFmtId="1" fontId="13" fillId="0" borderId="19" xfId="0" applyNumberFormat="1" applyFont="1" applyBorder="1" applyAlignment="1">
      <alignment horizontal="center" vertical="center" wrapText="1"/>
    </xf>
    <xf numFmtId="3" fontId="12" fillId="0" borderId="14" xfId="0" applyNumberFormat="1" applyFont="1" applyBorder="1" applyAlignment="1">
      <alignment horizontal="center" vertical="center" wrapText="1"/>
    </xf>
    <xf numFmtId="3" fontId="12" fillId="0" borderId="19" xfId="0" applyNumberFormat="1" applyFont="1" applyBorder="1" applyAlignment="1">
      <alignment horizontal="center" vertical="center" wrapText="1"/>
    </xf>
    <xf numFmtId="0" fontId="8" fillId="7" borderId="0" xfId="0" applyFont="1" applyFill="1" applyAlignment="1">
      <alignment horizontal="left" vertical="center"/>
    </xf>
    <xf numFmtId="0" fontId="19" fillId="0" borderId="0" xfId="0" applyFont="1" applyAlignment="1">
      <alignment vertical="center"/>
    </xf>
    <xf numFmtId="0" fontId="11" fillId="0" borderId="0" xfId="0" applyFont="1" applyAlignment="1">
      <alignment vertical="center"/>
    </xf>
    <xf numFmtId="0" fontId="11" fillId="0" borderId="0" xfId="0" applyFont="1" applyAlignment="1">
      <alignment vertical="center" wrapText="1"/>
    </xf>
    <xf numFmtId="0" fontId="17" fillId="0" borderId="0" xfId="0" applyFont="1" applyAlignment="1">
      <alignment vertical="center"/>
    </xf>
    <xf numFmtId="0" fontId="23" fillId="0" borderId="0" xfId="0" applyFont="1" applyAlignment="1">
      <alignment vertical="center" wrapText="1"/>
    </xf>
    <xf numFmtId="0" fontId="23" fillId="0" borderId="9" xfId="0" applyFont="1" applyBorder="1" applyAlignment="1">
      <alignment vertical="center" wrapText="1"/>
    </xf>
    <xf numFmtId="0" fontId="17" fillId="0" borderId="0" xfId="0" applyFont="1"/>
    <xf numFmtId="0" fontId="11" fillId="0" borderId="0" xfId="0" applyFont="1"/>
    <xf numFmtId="0" fontId="24" fillId="11" borderId="9" xfId="0" applyFont="1" applyFill="1" applyBorder="1" applyAlignment="1">
      <alignment vertical="center" wrapText="1"/>
    </xf>
    <xf numFmtId="0" fontId="17" fillId="0" borderId="0" xfId="0" applyFont="1" applyAlignment="1">
      <alignment vertical="center" wrapText="1"/>
    </xf>
    <xf numFmtId="0" fontId="17" fillId="0" borderId="0" xfId="0" applyFont="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11" fillId="0" borderId="0" xfId="0" applyFont="1" applyAlignment="1">
      <alignment horizontal="left" vertical="center"/>
    </xf>
    <xf numFmtId="0" fontId="16" fillId="0" borderId="0" xfId="0" applyFont="1" applyAlignment="1">
      <alignment vertical="center" wrapText="1"/>
    </xf>
  </cellXfs>
  <cellStyles count="7">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Normal 2" xfId="6" xr:uid="{00000000-0005-0000-0000-000006000000}"/>
    <cellStyle name="Percent" xfId="5" xr:uid="{00000000-0005-0000-0000-000005000000}"/>
  </cellStyles>
  <dxfs count="34">
    <dxf>
      <font>
        <b/>
        <color rgb="FFC00000"/>
      </font>
    </dxf>
    <dxf>
      <font>
        <b/>
        <color rgb="FFC00000"/>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color rgb="FF9C0006"/>
      </font>
      <fill>
        <patternFill patternType="solid">
          <bgColor rgb="FFFCE4D6"/>
        </patternFill>
      </fill>
    </dxf>
    <dxf>
      <font>
        <b/>
        <color rgb="FF9C0006"/>
      </font>
      <fill>
        <patternFill>
          <bgColor rgb="FFFCE4D6"/>
        </patternFill>
      </fill>
    </dxf>
    <dxf>
      <font>
        <b/>
        <color rgb="FF274E13"/>
      </font>
      <fill>
        <patternFill>
          <bgColor rgb="FFD9EAD3"/>
        </patternFill>
      </fill>
    </dxf>
    <dxf>
      <font>
        <b/>
        <color rgb="FF9C0006"/>
      </font>
      <fill>
        <patternFill>
          <bgColor rgb="FFF4CCCC"/>
        </patternFill>
      </fill>
    </dxf>
    <dxf>
      <fill>
        <patternFill>
          <bgColor rgb="FFC6EFCE"/>
        </patternFill>
      </fill>
    </dxf>
    <dxf>
      <fill>
        <patternFill>
          <bgColor rgb="FFFFEB9C"/>
        </patternFill>
      </fill>
    </dxf>
    <dxf>
      <fill>
        <patternFill>
          <bgColor rgb="FFFFC7CE"/>
        </patternFill>
      </fill>
    </dxf>
    <dxf>
      <font>
        <b/>
        <color rgb="FFC00000"/>
      </font>
    </dxf>
    <dxf>
      <font>
        <b/>
        <color rgb="FFC00000"/>
      </font>
    </dxf>
    <dxf>
      <font>
        <b/>
        <color rgb="FFC00000"/>
      </font>
    </dxf>
    <dxf>
      <font>
        <b/>
        <color rgb="FFC00000"/>
      </font>
    </dxf>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C00000"/>
      </font>
    </dxf>
    <dxf>
      <font>
        <b/>
        <color rgb="FF9C0006"/>
      </font>
      <fill>
        <patternFill>
          <bgColor rgb="FFFFC7CE"/>
        </patternFill>
      </fill>
    </dxf>
    <dxf>
      <font>
        <b/>
        <color rgb="FFC00000"/>
      </font>
    </dxf>
    <dxf>
      <font>
        <b/>
        <color rgb="FF9C0006"/>
      </font>
      <fill>
        <patternFill>
          <bgColor rgb="FFFFC7CE"/>
        </patternFill>
      </fill>
    </dxf>
    <dxf>
      <font>
        <b/>
        <color rgb="FF006100"/>
      </font>
      <fill>
        <patternFill>
          <bgColor rgb="FFC6EFCE"/>
        </patternFill>
      </fill>
    </dxf>
    <dxf>
      <font>
        <b/>
        <color rgb="FF9C0006"/>
      </font>
    </dxf>
    <dxf>
      <font>
        <b/>
        <color rgb="FF9C0006"/>
      </font>
    </dxf>
    <dxf>
      <font>
        <b/>
        <sz val="18"/>
        <color rgb="FFC00000"/>
      </font>
    </dxf>
    <dxf>
      <font>
        <b/>
        <color rgb="FF9C5700"/>
      </font>
      <fill>
        <patternFill>
          <bgColor rgb="FFFFEB9C"/>
        </patternFill>
      </fill>
    </dxf>
    <dxf>
      <font>
        <b/>
        <color rgb="FF9C5700"/>
      </font>
      <fill>
        <patternFill>
          <bgColor rgb="FFFFEB9C"/>
        </patternFill>
      </fill>
    </dxf>
    <dxf>
      <font>
        <b/>
        <sz val="18"/>
        <color rgb="FFC00000"/>
      </font>
    </dxf>
    <dxf>
      <font>
        <b/>
        <sz val="18"/>
        <color rgb="FFC00000"/>
      </font>
    </dxf>
    <dxf>
      <font>
        <b/>
        <sz val="18"/>
        <color rgb="FFC00000"/>
      </font>
    </dxf>
    <dxf>
      <font>
        <b/>
        <color rgb="FF9C0006"/>
      </font>
      <fill>
        <patternFill>
          <bgColor rgb="FFFFC7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2F2F2"/>
      <rgbColor rgb="FFFF00FF"/>
      <rgbColor rgb="FF00FFFF"/>
      <rgbColor rgb="FF9C0006"/>
      <rgbColor rgb="FF008000"/>
      <rgbColor rgb="FF000080"/>
      <rgbColor rgb="FF808000"/>
      <rgbColor rgb="FF800080"/>
      <rgbColor rgb="FF008080"/>
      <rgbColor rgb="FFBFBFBF"/>
      <rgbColor rgb="FF7F7F7F"/>
      <rgbColor rgb="FF9467BD"/>
      <rgbColor rgb="FFC0504D"/>
      <rgbColor rgb="FFFFF2CC"/>
      <rgbColor rgb="FFD9EAF7"/>
      <rgbColor rgb="FF660066"/>
      <rgbColor rgb="FFFF8080"/>
      <rgbColor rgb="FF1F77B4"/>
      <rgbColor rgb="FFD9D9D9"/>
      <rgbColor rgb="FF000080"/>
      <rgbColor rgb="FFFF00FF"/>
      <rgbColor rgb="FFEEF3F8"/>
      <rgbColor rgb="FF00FFFF"/>
      <rgbColor rgb="FF800080"/>
      <rgbColor rgb="FF800000"/>
      <rgbColor rgb="FF008080"/>
      <rgbColor rgb="FF0000FF"/>
      <rgbColor rgb="FF00CCFF"/>
      <rgbColor rgb="FFDDEBF7"/>
      <rgbColor rgb="FFC6EFCE"/>
      <rgbColor rgb="FFFFEB9C"/>
      <rgbColor rgb="FFD9EAD3"/>
      <rgbColor rgb="FFFFC7CE"/>
      <rgbColor rgb="FFFCE4D6"/>
      <rgbColor rgb="FFF4CCCC"/>
      <rgbColor rgb="FF3366FF"/>
      <rgbColor rgb="FF33CCCC"/>
      <rgbColor rgb="FF99CC00"/>
      <rgbColor rgb="FFFFCC00"/>
      <rgbColor rgb="FFFF9900"/>
      <rgbColor rgb="FFFF7F0E"/>
      <rgbColor rgb="FF595959"/>
      <rgbColor rgb="FF8B8B8B"/>
      <rgbColor rgb="FF17365D"/>
      <rgbColor rgb="FF2CA02C"/>
      <rgbColor rgb="FF006100"/>
      <rgbColor rgb="FF274E13"/>
      <rgbColor rgb="FF9C5700"/>
      <rgbColor rgb="FF993366"/>
      <rgbColor rgb="FF333399"/>
      <rgbColor rgb="FF193B5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975">
                <a:latin typeface="Microsoft JhengHei" panose="020B0604030504040204" pitchFamily="34" charset="-120"/>
                <a:ea typeface="Microsoft JhengHei" panose="020B0604030504040204" pitchFamily="34" charset="-120"/>
                <a:cs typeface="Arial"/>
              </a:rPr>
              <a:t>Annual and discounted profit (AED)</a:t>
            </a:r>
          </a:p>
        </c:rich>
      </c:tx>
      <c:overlay val="0"/>
    </c:title>
    <c:autoTitleDeleted val="0"/>
    <c:plotArea>
      <c:layout/>
      <c:lineChart>
        <c:grouping val="standard"/>
        <c:varyColors val="0"/>
        <c:ser>
          <c:idx val="0"/>
          <c:order val="0"/>
          <c:tx>
            <c:v>Annual profit</c:v>
          </c:tx>
          <c:spPr>
            <a:ln w="19050">
              <a:solidFill>
                <a:srgbClr val="365F7D"/>
              </a:solidFill>
              <a:prstDash val="solid"/>
            </a:ln>
          </c:spPr>
          <c:marker>
            <c:symbol val="none"/>
          </c:marker>
          <c:cat>
            <c:numRef>
              <c:f>'Results Summary'!$A$50:$A$89</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'Results Summary'!$B$50:$B$89</c:f>
              <c:numCache>
                <c:formatCode>#,##0.00;\(#,##0.00\);"–"</c:formatCode>
                <c:ptCount val="40"/>
                <c:pt idx="0">
                  <c:v>-712.31502652283802</c:v>
                </c:pt>
                <c:pt idx="1">
                  <c:v>228.4665735354105</c:v>
                </c:pt>
                <c:pt idx="2">
                  <c:v>194.8320626262333</c:v>
                </c:pt>
                <c:pt idx="3">
                  <c:v>168.01429259924046</c:v>
                </c:pt>
                <c:pt idx="4">
                  <c:v>145.95752562304367</c:v>
                </c:pt>
                <c:pt idx="5">
                  <c:v>127.26920340365106</c:v>
                </c:pt>
                <c:pt idx="6">
                  <c:v>110.97831410969967</c:v>
                </c:pt>
                <c:pt idx="7">
                  <c:v>96.389609564625786</c:v>
                </c:pt>
                <c:pt idx="8">
                  <c:v>82.992889824427778</c:v>
                </c:pt>
                <c:pt idx="9">
                  <c:v>70.404961752930262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0-082E-4C20-9829-B333EF191AF9}"/>
            </c:ext>
          </c:extLst>
        </c:ser>
        <c:ser>
          <c:idx val="1"/>
          <c:order val="1"/>
          <c:tx>
            <c:v>Discounted profit</c:v>
          </c:tx>
          <c:spPr>
            <a:ln w="19050">
              <a:solidFill>
                <a:srgbClr val="B5674D"/>
              </a:solidFill>
              <a:prstDash val="solid"/>
            </a:ln>
          </c:spPr>
          <c:marker>
            <c:symbol val="none"/>
          </c:marker>
          <c:cat>
            <c:numRef>
              <c:f>'Results Summary'!$A$50:$A$89</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'Results Summary'!$C$50:$C$89</c:f>
              <c:numCache>
                <c:formatCode>#,##0.00;\(#,##0.00\);"–"</c:formatCode>
                <c:ptCount val="40"/>
                <c:pt idx="0">
                  <c:v>-688.22707876602715</c:v>
                </c:pt>
                <c:pt idx="1">
                  <c:v>213.27599107135339</c:v>
                </c:pt>
                <c:pt idx="2">
                  <c:v>175.72735771598644</c:v>
                </c:pt>
                <c:pt idx="3">
                  <c:v>146.41474942788187</c:v>
                </c:pt>
                <c:pt idx="4">
                  <c:v>122.89232007566827</c:v>
                </c:pt>
                <c:pt idx="5">
                  <c:v>103.53357896940459</c:v>
                </c:pt>
                <c:pt idx="6">
                  <c:v>87.227951722153477</c:v>
                </c:pt>
                <c:pt idx="7">
                  <c:v>73.199383402549259</c:v>
                </c:pt>
                <c:pt idx="8">
                  <c:v>60.894453735702925</c:v>
                </c:pt>
                <c:pt idx="9">
                  <c:v>49.911401965169205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082E-4C20-9829-B333EF191AF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low"/>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72768"/>
        <c:crosses val="autoZero"/>
        <c:auto val="1"/>
        <c:lblAlgn val="ctr"/>
        <c:lblOffset val="100"/>
        <c:tickLblSkip val="3"/>
        <c:noMultiLvlLbl val="1"/>
      </c:catAx>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50112"/>
        <c:crosses val="autoZero"/>
        <c:crossBetween val="between"/>
      </c:valAx>
    </c:plotArea>
    <c:legend>
      <c:legendPos val="b"/>
      <c:overlay val="0"/>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975">
                <a:latin typeface="Microsoft JhengHei" panose="020B0604030504040204" pitchFamily="34" charset="-120"/>
                <a:ea typeface="Microsoft JhengHei" panose="020B0604030504040204" pitchFamily="34" charset="-120"/>
                <a:cs typeface="Arial"/>
              </a:rPr>
              <a:t>PVFP change (AED)</a:t>
            </a:r>
          </a:p>
        </c:rich>
      </c:tx>
      <c:overlay val="0"/>
    </c:title>
    <c:autoTitleDeleted val="0"/>
    <c:plotArea>
      <c:layout/>
      <c:barChart>
        <c:barDir val="col"/>
        <c:grouping val="clustered"/>
        <c:varyColors val="0"/>
        <c:ser>
          <c:idx val="0"/>
          <c:order val="0"/>
          <c:tx>
            <c:v>Lower assumption</c:v>
          </c:tx>
          <c:spPr>
            <a:solidFill>
              <a:srgbClr val="365F7D"/>
            </a:solidFill>
          </c:spPr>
          <c:invertIfNegative val="0"/>
          <c:cat>
            <c:strRef>
              <c:f>'Results Summary'!$E$50:$E$55</c:f>
              <c:strCache>
                <c:ptCount val="6"/>
                <c:pt idx="0">
                  <c:v>Expenses (±10%)</c:v>
                </c:pt>
                <c:pt idx="1">
                  <c:v>Commission (pp) (±5.0pp)</c:v>
                </c:pt>
                <c:pt idx="2">
                  <c:v>Lapse rates (±20%)</c:v>
                </c:pt>
                <c:pt idx="3">
                  <c:v>Discount rate (±100bp)</c:v>
                </c:pt>
                <c:pt idx="4">
                  <c:v>Mortality (qx) (±10%)</c:v>
                </c:pt>
                <c:pt idx="5">
                  <c:v>RI premium rate (±20%)</c:v>
                </c:pt>
              </c:strCache>
            </c:strRef>
          </c:cat>
          <c:val>
            <c:numRef>
              <c:f>'Results Summary'!$F$50:$F$55</c:f>
              <c:numCache>
                <c:formatCode>#,##0.00;\(#,##0.00\);"–"</c:formatCode>
                <c:ptCount val="6"/>
                <c:pt idx="0">
                  <c:v>236.51576911452185</c:v>
                </c:pt>
                <c:pt idx="1">
                  <c:v>164.81152771305324</c:v>
                </c:pt>
                <c:pt idx="2">
                  <c:v>80.76535776597575</c:v>
                </c:pt>
                <c:pt idx="3">
                  <c:v>43.47743381069813</c:v>
                </c:pt>
                <c:pt idx="4">
                  <c:v>34.201241867289355</c:v>
                </c:pt>
                <c:pt idx="5">
                  <c:v>0</c:v>
                </c:pt>
              </c:numCache>
            </c:numRef>
          </c:val>
          <c:extLst>
            <c:ext xmlns:c16="http://schemas.microsoft.com/office/drawing/2014/chart" uri="{C3380CC4-5D6E-409C-BE32-E72D297353CC}">
              <c16:uniqueId val="{00000000-3260-47B6-9625-FF0D652EBCC4}"/>
            </c:ext>
          </c:extLst>
        </c:ser>
        <c:ser>
          <c:idx val="1"/>
          <c:order val="1"/>
          <c:tx>
            <c:v>Higher assumption</c:v>
          </c:tx>
          <c:spPr>
            <a:solidFill>
              <a:srgbClr val="B5674D"/>
            </a:solidFill>
            <a:ln>
              <a:solidFill>
                <a:schemeClr val="accent2">
                  <a:lumMod val="75000"/>
                </a:schemeClr>
              </a:solidFill>
            </a:ln>
          </c:spPr>
          <c:invertIfNegative val="0"/>
          <c:cat>
            <c:strRef>
              <c:f>'Results Summary'!$E$50:$E$55</c:f>
              <c:strCache>
                <c:ptCount val="6"/>
                <c:pt idx="0">
                  <c:v>Expenses (±10%)</c:v>
                </c:pt>
                <c:pt idx="1">
                  <c:v>Commission (pp) (±5.0pp)</c:v>
                </c:pt>
                <c:pt idx="2">
                  <c:v>Lapse rates (±20%)</c:v>
                </c:pt>
                <c:pt idx="3">
                  <c:v>Discount rate (±100bp)</c:v>
                </c:pt>
                <c:pt idx="4">
                  <c:v>Mortality (qx) (±10%)</c:v>
                </c:pt>
                <c:pt idx="5">
                  <c:v>RI premium rate (±20%)</c:v>
                </c:pt>
              </c:strCache>
            </c:strRef>
          </c:cat>
          <c:val>
            <c:numRef>
              <c:f>'Results Summary'!$G$50:$G$55</c:f>
              <c:numCache>
                <c:formatCode>#,##0.00;\(#,##0.00\);"–"</c:formatCode>
                <c:ptCount val="6"/>
                <c:pt idx="0">
                  <c:v>-236.5157691145223</c:v>
                </c:pt>
                <c:pt idx="1">
                  <c:v>-164.81152771305324</c:v>
                </c:pt>
                <c:pt idx="2">
                  <c:v>-75.304112503421493</c:v>
                </c:pt>
                <c:pt idx="3">
                  <c:v>-40.291634818269358</c:v>
                </c:pt>
                <c:pt idx="4">
                  <c:v>-34.185704227978931</c:v>
                </c:pt>
                <c:pt idx="5">
                  <c:v>0</c:v>
                </c:pt>
              </c:numCache>
            </c:numRef>
          </c:val>
          <c:extLst>
            <c:ext xmlns:c16="http://schemas.microsoft.com/office/drawing/2014/chart" uri="{C3380CC4-5D6E-409C-BE32-E72D297353CC}">
              <c16:uniqueId val="{00000001-3260-47B6-9625-FF0D652EBCC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low"/>
        <c:txPr>
          <a:bodyPr anchorCtr="1"/>
          <a:lstStyle/>
          <a:p>
            <a:pPr>
              <a:defRPr sz="750">
                <a:latin typeface="Microsoft JhengHei" panose="020B0604030504040204" pitchFamily="34" charset="-120"/>
                <a:ea typeface="Microsoft JhengHei" panose="020B0604030504040204" pitchFamily="34" charset="-120"/>
                <a:cs typeface="Arial" panose="020B0604020202020204" pitchFamily="34" charset="0"/>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50112"/>
        <c:crosses val="autoZero"/>
        <c:crossBetween val="between"/>
      </c:valAx>
    </c:plotArea>
    <c:legend>
      <c:legendPos val="b"/>
      <c:overlay val="0"/>
      <c:txPr>
        <a:bodyPr anchorCtr="1"/>
        <a:lstStyle/>
        <a:p>
          <a:pPr>
            <a:defRPr sz="750">
              <a:latin typeface="Microsoft JhengHei" panose="020B0604030504040204" pitchFamily="34" charset="-120"/>
              <a:ea typeface="Microsoft JhengHei" panose="020B0604030504040204" pitchFamily="34" charset="-120"/>
              <a:cs typeface="Arial" panose="020B0604020202020204" pitchFamily="34" charset="0"/>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Portfolio NBM</c:v>
          </c:tx>
          <c:spPr>
            <a:solidFill>
              <a:srgbClr val="365F7D"/>
            </a:solidFill>
          </c:spPr>
          <c:invertIfNegative val="0"/>
          <c:dPt>
            <c:idx val="3"/>
            <c:invertIfNegative val="0"/>
            <c:bubble3D val="0"/>
            <c:spPr>
              <a:solidFill>
                <a:schemeClr val="accent2">
                  <a:lumMod val="75000"/>
                </a:schemeClr>
              </a:solidFill>
            </c:spPr>
            <c:extLst>
              <c:ext xmlns:c16="http://schemas.microsoft.com/office/drawing/2014/chart" uri="{C3380CC4-5D6E-409C-BE32-E72D297353CC}">
                <c16:uniqueId val="{00000000-EC7F-4D13-AC05-7FF66A2E2E6E}"/>
              </c:ext>
            </c:extLst>
          </c:dPt>
          <c:cat>
            <c:strRef>
              <c:f>'Results Summary'!$I$50:$I$54</c:f>
              <c:strCache>
                <c:ptCount val="5"/>
                <c:pt idx="0">
                  <c:v>20-29</c:v>
                </c:pt>
                <c:pt idx="1">
                  <c:v>30-39</c:v>
                </c:pt>
                <c:pt idx="2">
                  <c:v>40-49</c:v>
                </c:pt>
                <c:pt idx="3">
                  <c:v>50-59</c:v>
                </c:pt>
                <c:pt idx="4">
                  <c:v>60+</c:v>
                </c:pt>
              </c:strCache>
            </c:strRef>
          </c:cat>
          <c:val>
            <c:numRef>
              <c:f>'Results Summary'!$J$50:$J$54</c:f>
              <c:numCache>
                <c:formatCode>0.0%;\(0.0%\);"–"</c:formatCode>
                <c:ptCount val="5"/>
                <c:pt idx="0">
                  <c:v>0.23642094658921189</c:v>
                </c:pt>
                <c:pt idx="1">
                  <c:v>0.1195501002587365</c:v>
                </c:pt>
                <c:pt idx="2">
                  <c:v>5.3280308535218243E-2</c:v>
                </c:pt>
                <c:pt idx="3">
                  <c:v>-8.1048406850909319E-2</c:v>
                </c:pt>
                <c:pt idx="4">
                  <c:v>0.16100416882824267</c:v>
                </c:pt>
              </c:numCache>
            </c:numRef>
          </c:val>
          <c:extLst>
            <c:ext xmlns:c16="http://schemas.microsoft.com/office/drawing/2014/chart" uri="{C3380CC4-5D6E-409C-BE32-E72D297353CC}">
              <c16:uniqueId val="{00000000-BC16-4BE9-A60A-300D7B9AAA0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low"/>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quot;–&quot;" sourceLinked="0"/>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975" b="1">
                <a:latin typeface="Microsoft JhengHei" panose="020B0604030504040204" pitchFamily="34" charset="-120"/>
                <a:ea typeface="Microsoft JhengHei" panose="020B0604030504040204" pitchFamily="34" charset="-120"/>
                <a:cs typeface="Arial"/>
              </a:rPr>
              <a:t>Premium, net outgo and profit (AED)</a:t>
            </a:r>
          </a:p>
        </c:rich>
      </c:tx>
      <c:overlay val="0"/>
    </c:title>
    <c:autoTitleDeleted val="0"/>
    <c:plotArea>
      <c:layout/>
      <c:lineChart>
        <c:grouping val="standard"/>
        <c:varyColors val="0"/>
        <c:ser>
          <c:idx val="0"/>
          <c:order val="0"/>
          <c:tx>
            <c:v>Premium</c:v>
          </c:tx>
          <c:spPr>
            <a:ln w="19050">
              <a:solidFill>
                <a:srgbClr val="365F7D"/>
              </a:solidFill>
              <a:prstDash val="solid"/>
            </a:ln>
          </c:spPr>
          <c:marker>
            <c:symbol val="none"/>
          </c:marker>
          <c:cat>
            <c:numRef>
              <c:f>'Pricing Calculator'!$A$51:$A$90</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'Pricing Calculator'!$B$51:$B$90</c:f>
              <c:numCache>
                <c:formatCode>_ * #,##0.0000_ ;_ * \-#,##0.0000_ ;_ * "-"??_ ;_ @_ </c:formatCode>
                <c:ptCount val="40"/>
                <c:pt idx="0">
                  <c:v>562.44258371429942</c:v>
                </c:pt>
                <c:pt idx="1">
                  <c:v>494.74026301280907</c:v>
                </c:pt>
                <c:pt idx="2">
                  <c:v>444.07332380324601</c:v>
                </c:pt>
                <c:pt idx="3">
                  <c:v>405.37098969138793</c:v>
                </c:pt>
                <c:pt idx="4">
                  <c:v>375.29540289208734</c:v>
                </c:pt>
                <c:pt idx="5">
                  <c:v>351.58184259664324</c:v>
                </c:pt>
                <c:pt idx="6">
                  <c:v>332.6520984609262</c:v>
                </c:pt>
                <c:pt idx="7">
                  <c:v>317.37999864823809</c:v>
                </c:pt>
                <c:pt idx="8">
                  <c:v>304.944803697483</c:v>
                </c:pt>
                <c:pt idx="9">
                  <c:v>294.7369971598477</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0-E72B-4C71-AA59-A22C61297D43}"/>
            </c:ext>
          </c:extLst>
        </c:ser>
        <c:ser>
          <c:idx val="1"/>
          <c:order val="1"/>
          <c:tx>
            <c:v>Net outgo</c:v>
          </c:tx>
          <c:spPr>
            <a:ln w="19050">
              <a:solidFill>
                <a:srgbClr val="B5674D"/>
              </a:solidFill>
              <a:prstDash val="solid"/>
            </a:ln>
          </c:spPr>
          <c:marker>
            <c:symbol val="none"/>
          </c:marker>
          <c:cat>
            <c:numRef>
              <c:f>'Pricing Calculator'!$A$51:$A$90</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'Pricing Calculator'!$C$51:$C$90</c:f>
              <c:numCache>
                <c:formatCode>_ * #,##0.0000_ ;_ * \-#,##0.0000_ ;_ * "-"??_ ;_ @_ </c:formatCode>
                <c:ptCount val="40"/>
                <c:pt idx="0">
                  <c:v>1274.7576102371374</c:v>
                </c:pt>
                <c:pt idx="1">
                  <c:v>266.27368947739859</c:v>
                </c:pt>
                <c:pt idx="2">
                  <c:v>249.24126117701269</c:v>
                </c:pt>
                <c:pt idx="3">
                  <c:v>237.35669709214744</c:v>
                </c:pt>
                <c:pt idx="4">
                  <c:v>229.33787726904364</c:v>
                </c:pt>
                <c:pt idx="5">
                  <c:v>224.31263919299218</c:v>
                </c:pt>
                <c:pt idx="6">
                  <c:v>221.67378435122652</c:v>
                </c:pt>
                <c:pt idx="7">
                  <c:v>220.99038908361229</c:v>
                </c:pt>
                <c:pt idx="8">
                  <c:v>221.95191387305519</c:v>
                </c:pt>
                <c:pt idx="9">
                  <c:v>224.33203540691744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E72B-4C71-AA59-A22C61297D43}"/>
            </c:ext>
          </c:extLst>
        </c:ser>
        <c:ser>
          <c:idx val="2"/>
          <c:order val="2"/>
          <c:tx>
            <c:v>Profit</c:v>
          </c:tx>
          <c:spPr>
            <a:ln w="19050">
              <a:solidFill>
                <a:srgbClr val="6E8C70"/>
              </a:solidFill>
              <a:prstDash val="solid"/>
            </a:ln>
          </c:spPr>
          <c:marker>
            <c:symbol val="none"/>
          </c:marker>
          <c:cat>
            <c:numRef>
              <c:f>'Pricing Calculator'!$A$51:$A$90</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'Pricing Calculator'!$D$51:$D$90</c:f>
              <c:numCache>
                <c:formatCode>_ * #,##0.0000_ ;_ * \-#,##0.0000_ ;_ * "-"??_ ;_ @_ </c:formatCode>
                <c:ptCount val="40"/>
                <c:pt idx="0">
                  <c:v>-712.31502652283802</c:v>
                </c:pt>
                <c:pt idx="1">
                  <c:v>228.4665735354105</c:v>
                </c:pt>
                <c:pt idx="2">
                  <c:v>194.8320626262333</c:v>
                </c:pt>
                <c:pt idx="3">
                  <c:v>168.01429259924046</c:v>
                </c:pt>
                <c:pt idx="4">
                  <c:v>145.95752562304367</c:v>
                </c:pt>
                <c:pt idx="5">
                  <c:v>127.26920340365106</c:v>
                </c:pt>
                <c:pt idx="6">
                  <c:v>110.97831410969967</c:v>
                </c:pt>
                <c:pt idx="7">
                  <c:v>96.389609564625786</c:v>
                </c:pt>
                <c:pt idx="8">
                  <c:v>82.992889824427778</c:v>
                </c:pt>
                <c:pt idx="9">
                  <c:v>70.404961752930262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2-E72B-4C71-AA59-A22C61297D4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low"/>
        <c:txPr>
          <a:bodyPr anchorCtr="1"/>
          <a:lstStyle/>
          <a:p>
            <a:pPr>
              <a:defRPr sz="750">
                <a:latin typeface="Arial" panose="020B0604020202020204" pitchFamily="34" charset="0"/>
                <a:ea typeface="Arial"/>
                <a:cs typeface="Arial" panose="020B0604020202020204" pitchFamily="34" charset="0"/>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50112"/>
        <c:crosses val="autoZero"/>
        <c:crossBetween val="between"/>
      </c:valAx>
    </c:plotArea>
    <c:legend>
      <c:legendPos val="b"/>
      <c:overlay val="0"/>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975">
                <a:latin typeface="Microsoft JhengHei" panose="020B0604030504040204" pitchFamily="34" charset="-120"/>
                <a:ea typeface="Microsoft JhengHei" panose="020B0604030504040204" pitchFamily="34" charset="-120"/>
                <a:cs typeface="Arial" panose="020B0604020202020204" pitchFamily="34" charset="0"/>
              </a:rPr>
              <a:t>Illustrative annual mortality rates</a:t>
            </a:r>
          </a:p>
        </c:rich>
      </c:tx>
      <c:overlay val="0"/>
    </c:title>
    <c:autoTitleDeleted val="0"/>
    <c:plotArea>
      <c:layout/>
      <c:lineChart>
        <c:grouping val="standard"/>
        <c:varyColors val="0"/>
        <c:ser>
          <c:idx val="0"/>
          <c:order val="0"/>
          <c:tx>
            <c:v>Female Non-smoker</c:v>
          </c:tx>
          <c:spPr>
            <a:ln w="19050">
              <a:solidFill>
                <a:srgbClr val="365F7D"/>
              </a:solidFill>
              <a:prstDash val="solid"/>
            </a:ln>
          </c:spPr>
          <c:marker>
            <c:symbol val="none"/>
          </c:marker>
          <c:cat>
            <c:numRef>
              <c:f>Mortality!$A$4:$A$64</c:f>
              <c:numCache>
                <c:formatCode>General</c:formatCode>
                <c:ptCount val="6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numCache>
            </c:numRef>
          </c:cat>
          <c:val>
            <c:numRef>
              <c:f>Mortality!$B$4:$B$64</c:f>
              <c:numCache>
                <c:formatCode>0.0000%</c:formatCode>
                <c:ptCount val="61"/>
                <c:pt idx="0">
                  <c:v>1.7186832877483699E-4</c:v>
                </c:pt>
                <c:pt idx="1">
                  <c:v>1.86182737904689E-4</c:v>
                </c:pt>
                <c:pt idx="2">
                  <c:v>2.0168935219646599E-4</c:v>
                </c:pt>
                <c:pt idx="3">
                  <c:v>2.18487466922172E-4</c:v>
                </c:pt>
                <c:pt idx="4">
                  <c:v>2.36684647365849E-4</c:v>
                </c:pt>
                <c:pt idx="5">
                  <c:v>2.5639741760863198E-4</c:v>
                </c:pt>
                <c:pt idx="6">
                  <c:v>2.7775200668068702E-4</c:v>
                </c:pt>
                <c:pt idx="7">
                  <c:v>3.0088515685795699E-4</c:v>
                </c:pt>
                <c:pt idx="8">
                  <c:v>3.2594499927957602E-4</c:v>
                </c:pt>
                <c:pt idx="9">
                  <c:v>3.53092002492888E-4</c:v>
                </c:pt>
                <c:pt idx="10">
                  <c:v>3.8249999999999997E-4</c:v>
                </c:pt>
                <c:pt idx="11">
                  <c:v>4.1435730338567202E-4</c:v>
                </c:pt>
                <c:pt idx="12">
                  <c:v>4.4886790815436701E-4</c:v>
                </c:pt>
                <c:pt idx="13">
                  <c:v>4.8625279999793699E-4</c:v>
                </c:pt>
                <c:pt idx="14">
                  <c:v>5.2675136985850396E-4</c:v>
                </c:pt>
                <c:pt idx="15">
                  <c:v>5.7062294684778595E-4</c:v>
                </c:pt>
                <c:pt idx="16">
                  <c:v>6.1814845883878197E-4</c:v>
                </c:pt>
                <c:pt idx="17">
                  <c:v>6.6963223136325904E-4</c:v>
                </c:pt>
                <c:pt idx="18">
                  <c:v>7.2540393633414402E-4</c:v>
                </c:pt>
                <c:pt idx="19">
                  <c:v>7.8582070307128696E-4</c:v>
                </c:pt>
                <c:pt idx="20">
                  <c:v>8.5126940514836905E-4</c:v>
                </c:pt>
                <c:pt idx="21">
                  <c:v>9.2216913770458301E-4</c:v>
                </c:pt>
                <c:pt idx="22">
                  <c:v>9.98973901084343E-4</c:v>
                </c:pt>
                <c:pt idx="23">
                  <c:v>1.08217550798947E-3</c:v>
                </c:pt>
                <c:pt idx="24">
                  <c:v>1.1723067327595699E-3</c:v>
                </c:pt>
                <c:pt idx="25">
                  <c:v>1.2699447229467301E-3</c:v>
                </c:pt>
                <c:pt idx="26">
                  <c:v>1.37571469503025E-3</c:v>
                </c:pt>
                <c:pt idx="27">
                  <c:v>1.4902939379366699E-3</c:v>
                </c:pt>
                <c:pt idx="28">
                  <c:v>1.6144161500011799E-3</c:v>
                </c:pt>
                <c:pt idx="29">
                  <c:v>1.74887613714188E-3</c:v>
                </c:pt>
                <c:pt idx="30">
                  <c:v>1.89453490233113E-3</c:v>
                </c:pt>
                <c:pt idx="31">
                  <c:v>2.05232515895416E-3</c:v>
                </c:pt>
                <c:pt idx="32">
                  <c:v>2.22325730335899E-3</c:v>
                </c:pt>
                <c:pt idx="33">
                  <c:v>2.4084258848427E-3</c:v>
                </c:pt>
                <c:pt idx="34">
                  <c:v>2.6090166145037101E-3</c:v>
                </c:pt>
                <c:pt idx="35">
                  <c:v>2.8263139578409702E-3</c:v>
                </c:pt>
                <c:pt idx="36">
                  <c:v>3.0617093597183598E-3</c:v>
                </c:pt>
                <c:pt idx="37">
                  <c:v>3.31671015436227E-3</c:v>
                </c:pt>
                <c:pt idx="38">
                  <c:v>3.5929492174468702E-3</c:v>
                </c:pt>
                <c:pt idx="39">
                  <c:v>3.8921954220730499E-3</c:v>
                </c:pt>
                <c:pt idx="40">
                  <c:v>4.2163649655954103E-3</c:v>
                </c:pt>
                <c:pt idx="41">
                  <c:v>4.5675336398272801E-3</c:v>
                </c:pt>
                <c:pt idx="42">
                  <c:v>4.9479501231952296E-3</c:v>
                </c:pt>
                <c:pt idx="43">
                  <c:v>5.36005037995811E-3</c:v>
                </c:pt>
                <c:pt idx="44">
                  <c:v>5.8064732586948697E-3</c:v>
                </c:pt>
                <c:pt idx="45">
                  <c:v>6.2900773899446198E-3</c:v>
                </c:pt>
                <c:pt idx="46">
                  <c:v>6.8139594912016701E-3</c:v>
                </c:pt>
                <c:pt idx="47">
                  <c:v>7.3814741964798002E-3</c:v>
                </c:pt>
                <c:pt idx="48">
                  <c:v>7.9962555374229801E-3</c:v>
                </c:pt>
                <c:pt idx="49">
                  <c:v>8.6622402135145896E-3</c:v>
                </c:pt>
                <c:pt idx="50">
                  <c:v>9.3836928003943297E-3</c:v>
                </c:pt>
                <c:pt idx="51">
                  <c:v>1.0165233057701799E-2</c:v>
                </c:pt>
                <c:pt idx="52">
                  <c:v>1.1011865511310301E-2</c:v>
                </c:pt>
                <c:pt idx="53">
                  <c:v>1.19290114993784E-2</c:v>
                </c:pt>
                <c:pt idx="54">
                  <c:v>1.29225438874225E-2</c:v>
                </c:pt>
                <c:pt idx="55">
                  <c:v>1.3998824674706801E-2</c:v>
                </c:pt>
                <c:pt idx="56">
                  <c:v>1.5164745732759E-2</c:v>
                </c:pt>
                <c:pt idx="57">
                  <c:v>1.6427772936876899E-2</c:v>
                </c:pt>
                <c:pt idx="58">
                  <c:v>1.77959939732194E-2</c:v>
                </c:pt>
                <c:pt idx="59">
                  <c:v>1.92781701276101E-2</c:v>
                </c:pt>
                <c:pt idx="60">
                  <c:v>2.0883792387677701E-2</c:v>
                </c:pt>
              </c:numCache>
            </c:numRef>
          </c:val>
          <c:smooth val="0"/>
          <c:extLst>
            <c:ext xmlns:c16="http://schemas.microsoft.com/office/drawing/2014/chart" uri="{C3380CC4-5D6E-409C-BE32-E72D297353CC}">
              <c16:uniqueId val="{00000000-033F-420B-A521-DF8A9D4C98E4}"/>
            </c:ext>
          </c:extLst>
        </c:ser>
        <c:ser>
          <c:idx val="1"/>
          <c:order val="1"/>
          <c:tx>
            <c:v>Female Smoker</c:v>
          </c:tx>
          <c:spPr>
            <a:ln w="19050">
              <a:solidFill>
                <a:srgbClr val="B5674D"/>
              </a:solidFill>
              <a:prstDash val="solid"/>
            </a:ln>
          </c:spPr>
          <c:marker>
            <c:symbol val="none"/>
          </c:marker>
          <c:cat>
            <c:numRef>
              <c:f>Mortality!$A$4:$A$64</c:f>
              <c:numCache>
                <c:formatCode>General</c:formatCode>
                <c:ptCount val="6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numCache>
            </c:numRef>
          </c:cat>
          <c:val>
            <c:numRef>
              <c:f>Mortality!$C$4:$C$64</c:f>
              <c:numCache>
                <c:formatCode>0.0000%</c:formatCode>
                <c:ptCount val="61"/>
                <c:pt idx="0">
                  <c:v>2.8358274247848201E-4</c:v>
                </c:pt>
                <c:pt idx="1">
                  <c:v>3.0720151754273702E-4</c:v>
                </c:pt>
                <c:pt idx="2">
                  <c:v>3.32787431124169E-4</c:v>
                </c:pt>
                <c:pt idx="3">
                  <c:v>3.6050432042158297E-4</c:v>
                </c:pt>
                <c:pt idx="4">
                  <c:v>3.9052966815365098E-4</c:v>
                </c:pt>
                <c:pt idx="5">
                  <c:v>4.2305573905424302E-4</c:v>
                </c:pt>
                <c:pt idx="6">
                  <c:v>4.5829081102313302E-4</c:v>
                </c:pt>
                <c:pt idx="7">
                  <c:v>4.9646050881562895E-4</c:v>
                </c:pt>
                <c:pt idx="8">
                  <c:v>5.378092488113E-4</c:v>
                </c:pt>
                <c:pt idx="9">
                  <c:v>5.8260180411326499E-4</c:v>
                </c:pt>
                <c:pt idx="10">
                  <c:v>6.3112499999999996E-4</c:v>
                </c:pt>
                <c:pt idx="11">
                  <c:v>6.8368955058635799E-4</c:v>
                </c:pt>
                <c:pt idx="12">
                  <c:v>7.4063204845470603E-4</c:v>
                </c:pt>
                <c:pt idx="13">
                  <c:v>8.0231711999659695E-4</c:v>
                </c:pt>
                <c:pt idx="14">
                  <c:v>8.6913976026653105E-4</c:v>
                </c:pt>
                <c:pt idx="15">
                  <c:v>9.4152786229884696E-4</c:v>
                </c:pt>
                <c:pt idx="16">
                  <c:v>1.01994495708399E-3</c:v>
                </c:pt>
                <c:pt idx="17">
                  <c:v>1.1048931817493801E-3</c:v>
                </c:pt>
                <c:pt idx="18">
                  <c:v>1.19691649495134E-3</c:v>
                </c:pt>
                <c:pt idx="19">
                  <c:v>1.29660416006762E-3</c:v>
                </c:pt>
                <c:pt idx="20">
                  <c:v>1.4045945184948099E-3</c:v>
                </c:pt>
                <c:pt idx="21">
                  <c:v>1.52157907721256E-3</c:v>
                </c:pt>
                <c:pt idx="22">
                  <c:v>1.6483069367891701E-3</c:v>
                </c:pt>
                <c:pt idx="23">
                  <c:v>1.78558958818263E-3</c:v>
                </c:pt>
                <c:pt idx="24">
                  <c:v>1.9343061090533E-3</c:v>
                </c:pt>
                <c:pt idx="25">
                  <c:v>2.0954087928621002E-3</c:v>
                </c:pt>
                <c:pt idx="26">
                  <c:v>2.2699292467999099E-3</c:v>
                </c:pt>
                <c:pt idx="27">
                  <c:v>2.4589849975955001E-3</c:v>
                </c:pt>
                <c:pt idx="28">
                  <c:v>2.6637866475019501E-3</c:v>
                </c:pt>
                <c:pt idx="29">
                  <c:v>2.8856456262841002E-3</c:v>
                </c:pt>
                <c:pt idx="30">
                  <c:v>3.1259825888463699E-3</c:v>
                </c:pt>
                <c:pt idx="31">
                  <c:v>3.3863365122743599E-3</c:v>
                </c:pt>
                <c:pt idx="32">
                  <c:v>3.6683745505423299E-3</c:v>
                </c:pt>
                <c:pt idx="33">
                  <c:v>3.9739027099904498E-3</c:v>
                </c:pt>
                <c:pt idx="34">
                  <c:v>4.3048774139311198E-3</c:v>
                </c:pt>
                <c:pt idx="35">
                  <c:v>4.6634180304376098E-3</c:v>
                </c:pt>
                <c:pt idx="36">
                  <c:v>5.0518204435352904E-3</c:v>
                </c:pt>
                <c:pt idx="37">
                  <c:v>5.4725717546977503E-3</c:v>
                </c:pt>
                <c:pt idx="38">
                  <c:v>5.9283662087873303E-3</c:v>
                </c:pt>
                <c:pt idx="39">
                  <c:v>6.4221224464205296E-3</c:v>
                </c:pt>
                <c:pt idx="40">
                  <c:v>6.9570021932324304E-3</c:v>
                </c:pt>
                <c:pt idx="41">
                  <c:v>7.53643050571501E-3</c:v>
                </c:pt>
                <c:pt idx="42">
                  <c:v>8.1641177032721196E-3</c:v>
                </c:pt>
                <c:pt idx="43">
                  <c:v>8.8440831269308798E-3</c:v>
                </c:pt>
                <c:pt idx="44">
                  <c:v>9.5806808768465306E-3</c:v>
                </c:pt>
                <c:pt idx="45">
                  <c:v>1.0378627693408599E-2</c:v>
                </c:pt>
                <c:pt idx="46">
                  <c:v>1.12430331604828E-2</c:v>
                </c:pt>
                <c:pt idx="47">
                  <c:v>1.21794324241917E-2</c:v>
                </c:pt>
                <c:pt idx="48">
                  <c:v>1.3193821636747901E-2</c:v>
                </c:pt>
                <c:pt idx="49">
                  <c:v>1.42926963522991E-2</c:v>
                </c:pt>
                <c:pt idx="50">
                  <c:v>1.54830931206506E-2</c:v>
                </c:pt>
                <c:pt idx="51">
                  <c:v>1.6772634545207998E-2</c:v>
                </c:pt>
                <c:pt idx="52">
                  <c:v>1.8169578093662E-2</c:v>
                </c:pt>
                <c:pt idx="53">
                  <c:v>1.96828689739743E-2</c:v>
                </c:pt>
                <c:pt idx="54">
                  <c:v>2.1322197414247099E-2</c:v>
                </c:pt>
                <c:pt idx="55">
                  <c:v>2.30980607132663E-2</c:v>
                </c:pt>
                <c:pt idx="56">
                  <c:v>2.5021830459052399E-2</c:v>
                </c:pt>
                <c:pt idx="57">
                  <c:v>2.7105825345846799E-2</c:v>
                </c:pt>
                <c:pt idx="58">
                  <c:v>2.9363390055812E-2</c:v>
                </c:pt>
                <c:pt idx="59">
                  <c:v>3.18089807105566E-2</c:v>
                </c:pt>
                <c:pt idx="60">
                  <c:v>3.4458257439668197E-2</c:v>
                </c:pt>
              </c:numCache>
            </c:numRef>
          </c:val>
          <c:smooth val="0"/>
          <c:extLst>
            <c:ext xmlns:c16="http://schemas.microsoft.com/office/drawing/2014/chart" uri="{C3380CC4-5D6E-409C-BE32-E72D297353CC}">
              <c16:uniqueId val="{00000001-033F-420B-A521-DF8A9D4C98E4}"/>
            </c:ext>
          </c:extLst>
        </c:ser>
        <c:ser>
          <c:idx val="2"/>
          <c:order val="2"/>
          <c:tx>
            <c:v>Male Non-smoker</c:v>
          </c:tx>
          <c:spPr>
            <a:ln w="19050">
              <a:solidFill>
                <a:srgbClr val="6E8C70"/>
              </a:solidFill>
              <a:prstDash val="solid"/>
            </a:ln>
          </c:spPr>
          <c:marker>
            <c:symbol val="none"/>
          </c:marker>
          <c:cat>
            <c:numRef>
              <c:f>Mortality!$A$4:$A$64</c:f>
              <c:numCache>
                <c:formatCode>General</c:formatCode>
                <c:ptCount val="6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numCache>
            </c:numRef>
          </c:cat>
          <c:val>
            <c:numRef>
              <c:f>Mortality!$D$4:$D$64</c:f>
              <c:numCache>
                <c:formatCode>0.0000%</c:formatCode>
                <c:ptCount val="61"/>
                <c:pt idx="0">
                  <c:v>2.32527738930662E-4</c:v>
                </c:pt>
                <c:pt idx="1">
                  <c:v>2.5189429245928499E-4</c:v>
                </c:pt>
                <c:pt idx="2">
                  <c:v>2.7287382944227802E-4</c:v>
                </c:pt>
                <c:pt idx="3">
                  <c:v>2.9560069054176198E-4</c:v>
                </c:pt>
                <c:pt idx="4">
                  <c:v>3.20220405259678E-4</c:v>
                </c:pt>
                <c:pt idx="5">
                  <c:v>3.4689062382344302E-4</c:v>
                </c:pt>
                <c:pt idx="6">
                  <c:v>3.7578212668563498E-4</c:v>
                </c:pt>
                <c:pt idx="7">
                  <c:v>4.0707991810194101E-4</c:v>
                </c:pt>
                <c:pt idx="8">
                  <c:v>4.4098441079001399E-4</c:v>
                </c:pt>
                <c:pt idx="9">
                  <c:v>4.7771270925508401E-4</c:v>
                </c:pt>
                <c:pt idx="10">
                  <c:v>5.1749999999999995E-4</c:v>
                </c:pt>
                <c:pt idx="11">
                  <c:v>5.6060105752179102E-4</c:v>
                </c:pt>
                <c:pt idx="12">
                  <c:v>6.07291875738262E-4</c:v>
                </c:pt>
                <c:pt idx="13">
                  <c:v>6.5787143529132705E-4</c:v>
                </c:pt>
                <c:pt idx="14">
                  <c:v>7.1266361804385805E-4</c:v>
                </c:pt>
                <c:pt idx="15">
                  <c:v>7.7201928102935699E-4</c:v>
                </c:pt>
                <c:pt idx="16">
                  <c:v>8.3631850313482196E-4</c:v>
                </c:pt>
                <c:pt idx="17">
                  <c:v>9.0597301890323197E-4</c:v>
                </c:pt>
                <c:pt idx="18">
                  <c:v>9.8142885504031189E-4</c:v>
                </c:pt>
                <c:pt idx="19">
                  <c:v>1.06316918650821E-3</c:v>
                </c:pt>
                <c:pt idx="20">
                  <c:v>1.1517174304948501E-3</c:v>
                </c:pt>
                <c:pt idx="21">
                  <c:v>1.24764059807091E-3</c:v>
                </c:pt>
                <c:pt idx="22">
                  <c:v>1.3515529249964601E-3</c:v>
                </c:pt>
                <c:pt idx="23">
                  <c:v>1.4641198049269301E-3</c:v>
                </c:pt>
                <c:pt idx="24">
                  <c:v>1.58606205020413E-3</c:v>
                </c:pt>
                <c:pt idx="25">
                  <c:v>1.71816050751616E-3</c:v>
                </c:pt>
                <c:pt idx="26">
                  <c:v>1.8612610579820999E-3</c:v>
                </c:pt>
                <c:pt idx="27">
                  <c:v>2.0162800336790201E-3</c:v>
                </c:pt>
                <c:pt idx="28">
                  <c:v>2.1842100852957199E-3</c:v>
                </c:pt>
                <c:pt idx="29">
                  <c:v>2.3661265384860701E-3</c:v>
                </c:pt>
                <c:pt idx="30">
                  <c:v>2.5631942796244698E-3</c:v>
                </c:pt>
                <c:pt idx="31">
                  <c:v>2.7766752150556202E-3</c:v>
                </c:pt>
                <c:pt idx="32">
                  <c:v>3.0079363516033399E-3</c:v>
                </c:pt>
                <c:pt idx="33">
                  <c:v>3.2584585500813001E-3</c:v>
                </c:pt>
                <c:pt idx="34">
                  <c:v>3.5298460078579601E-3</c:v>
                </c:pt>
                <c:pt idx="35">
                  <c:v>3.8238365311966099E-3</c:v>
                </c:pt>
                <c:pt idx="36">
                  <c:v>4.1423126631483596E-3</c:v>
                </c:pt>
                <c:pt idx="37">
                  <c:v>4.4873137382548398E-3</c:v>
                </c:pt>
                <c:pt idx="38">
                  <c:v>4.8610489412516398E-3</c:v>
                </c:pt>
                <c:pt idx="39">
                  <c:v>5.2659114533929498E-3</c:v>
                </c:pt>
                <c:pt idx="40">
                  <c:v>5.7044937769820296E-3</c:v>
                </c:pt>
                <c:pt idx="41">
                  <c:v>6.1796043362369098E-3</c:v>
                </c:pt>
                <c:pt idx="42">
                  <c:v>6.6942854607935399E-3</c:v>
                </c:pt>
                <c:pt idx="43">
                  <c:v>7.2518328670021504E-3</c:v>
                </c:pt>
                <c:pt idx="44">
                  <c:v>7.8558167617636399E-3</c:v>
                </c:pt>
                <c:pt idx="45">
                  <c:v>8.5101047040427192E-3</c:v>
                </c:pt>
                <c:pt idx="46">
                  <c:v>9.2188863704493092E-3</c:v>
                </c:pt>
                <c:pt idx="47">
                  <c:v>9.9867003834726801E-3</c:v>
                </c:pt>
                <c:pt idx="48">
                  <c:v>1.08184633741605E-2</c:v>
                </c:pt>
                <c:pt idx="49">
                  <c:v>1.1719501465343301E-2</c:v>
                </c:pt>
                <c:pt idx="50">
                  <c:v>1.2695584377004099E-2</c:v>
                </c:pt>
                <c:pt idx="51">
                  <c:v>1.3752962372184801E-2</c:v>
                </c:pt>
                <c:pt idx="52">
                  <c:v>1.4898406280008099E-2</c:v>
                </c:pt>
                <c:pt idx="53">
                  <c:v>1.61392508521001E-2</c:v>
                </c:pt>
                <c:pt idx="54">
                  <c:v>1.7483441730042099E-2</c:v>
                </c:pt>
                <c:pt idx="55">
                  <c:v>1.8939586324603401E-2</c:v>
                </c:pt>
                <c:pt idx="56">
                  <c:v>2.0517008932556299E-2</c:v>
                </c:pt>
                <c:pt idx="57">
                  <c:v>2.22258104440099E-2</c:v>
                </c:pt>
                <c:pt idx="58">
                  <c:v>2.40769330225909E-2</c:v>
                </c:pt>
                <c:pt idx="59">
                  <c:v>2.60822301726489E-2</c:v>
                </c:pt>
                <c:pt idx="60">
                  <c:v>2.8254542642152099E-2</c:v>
                </c:pt>
              </c:numCache>
            </c:numRef>
          </c:val>
          <c:smooth val="0"/>
          <c:extLst>
            <c:ext xmlns:c16="http://schemas.microsoft.com/office/drawing/2014/chart" uri="{C3380CC4-5D6E-409C-BE32-E72D297353CC}">
              <c16:uniqueId val="{00000002-033F-420B-A521-DF8A9D4C98E4}"/>
            </c:ext>
          </c:extLst>
        </c:ser>
        <c:ser>
          <c:idx val="3"/>
          <c:order val="3"/>
          <c:tx>
            <c:v>Male Smoker</c:v>
          </c:tx>
          <c:spPr>
            <a:ln w="19050">
              <a:solidFill>
                <a:srgbClr val="8064A2"/>
              </a:solidFill>
              <a:prstDash val="solid"/>
            </a:ln>
          </c:spPr>
          <c:marker>
            <c:symbol val="none"/>
          </c:marker>
          <c:cat>
            <c:numRef>
              <c:f>Mortality!$A$4:$A$64</c:f>
              <c:numCache>
                <c:formatCode>General</c:formatCode>
                <c:ptCount val="61"/>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numCache>
            </c:numRef>
          </c:cat>
          <c:val>
            <c:numRef>
              <c:f>Mortality!$E$4:$E$64</c:f>
              <c:numCache>
                <c:formatCode>0.0000%</c:formatCode>
                <c:ptCount val="61"/>
                <c:pt idx="0">
                  <c:v>3.8367076923559299E-4</c:v>
                </c:pt>
                <c:pt idx="1">
                  <c:v>4.1562558255782103E-4</c:v>
                </c:pt>
                <c:pt idx="2">
                  <c:v>4.50241818579758E-4</c:v>
                </c:pt>
                <c:pt idx="3">
                  <c:v>4.8774113939390698E-4</c:v>
                </c:pt>
                <c:pt idx="4">
                  <c:v>5.2836366867846905E-4</c:v>
                </c:pt>
                <c:pt idx="5">
                  <c:v>5.7236952930868096E-4</c:v>
                </c:pt>
                <c:pt idx="6">
                  <c:v>6.2004050903129799E-4</c:v>
                </c:pt>
                <c:pt idx="7">
                  <c:v>6.7168186486820302E-4</c:v>
                </c:pt>
                <c:pt idx="8">
                  <c:v>7.2762427780352396E-4</c:v>
                </c:pt>
                <c:pt idx="9">
                  <c:v>7.8822597027088895E-4</c:v>
                </c:pt>
                <c:pt idx="10">
                  <c:v>8.5387500000000003E-4</c:v>
                </c:pt>
                <c:pt idx="11">
                  <c:v>9.2499174491095498E-4</c:v>
                </c:pt>
                <c:pt idx="12">
                  <c:v>1.0020315949681299E-3</c:v>
                </c:pt>
                <c:pt idx="13">
                  <c:v>1.08548786823069E-3</c:v>
                </c:pt>
                <c:pt idx="14">
                  <c:v>1.1758949697723701E-3</c:v>
                </c:pt>
                <c:pt idx="15">
                  <c:v>1.27383181369844E-3</c:v>
                </c:pt>
                <c:pt idx="16">
                  <c:v>1.3799255301724599E-3</c:v>
                </c:pt>
                <c:pt idx="17">
                  <c:v>1.49485548119033E-3</c:v>
                </c:pt>
                <c:pt idx="18">
                  <c:v>1.6193576108165201E-3</c:v>
                </c:pt>
                <c:pt idx="19">
                  <c:v>1.75422915773855E-3</c:v>
                </c:pt>
                <c:pt idx="20">
                  <c:v>1.90033376031651E-3</c:v>
                </c:pt>
                <c:pt idx="21">
                  <c:v>2.0586069868169998E-3</c:v>
                </c:pt>
                <c:pt idx="22">
                  <c:v>2.2300623262441598E-3</c:v>
                </c:pt>
                <c:pt idx="23">
                  <c:v>2.4157976781294401E-3</c:v>
                </c:pt>
                <c:pt idx="24">
                  <c:v>2.6170023828368102E-3</c:v>
                </c:pt>
                <c:pt idx="25">
                  <c:v>2.8349648374016699E-3</c:v>
                </c:pt>
                <c:pt idx="26">
                  <c:v>3.0710807456704702E-3</c:v>
                </c:pt>
                <c:pt idx="27">
                  <c:v>3.3268620555703902E-3</c:v>
                </c:pt>
                <c:pt idx="28">
                  <c:v>3.60394664073793E-3</c:v>
                </c:pt>
                <c:pt idx="29">
                  <c:v>3.9041087885020101E-3</c:v>
                </c:pt>
                <c:pt idx="30">
                  <c:v>4.2292705613803799E-3</c:v>
                </c:pt>
                <c:pt idx="31">
                  <c:v>4.5815141048417803E-3</c:v>
                </c:pt>
                <c:pt idx="32">
                  <c:v>4.9630949801455103E-3</c:v>
                </c:pt>
                <c:pt idx="33">
                  <c:v>5.37645660763414E-3</c:v>
                </c:pt>
                <c:pt idx="34">
                  <c:v>5.8242459129656402E-3</c:v>
                </c:pt>
                <c:pt idx="35">
                  <c:v>6.3093302764744104E-3</c:v>
                </c:pt>
                <c:pt idx="36">
                  <c:v>6.8348158941948E-3</c:v>
                </c:pt>
                <c:pt idx="37">
                  <c:v>7.4040676681204802E-3</c:v>
                </c:pt>
                <c:pt idx="38">
                  <c:v>8.0207307530652094E-3</c:v>
                </c:pt>
                <c:pt idx="39">
                  <c:v>8.6887538980983704E-3</c:v>
                </c:pt>
                <c:pt idx="40">
                  <c:v>9.4124147320203497E-3</c:v>
                </c:pt>
                <c:pt idx="41">
                  <c:v>1.01963471547909E-2</c:v>
                </c:pt>
                <c:pt idx="42">
                  <c:v>1.1045571010309301E-2</c:v>
                </c:pt>
                <c:pt idx="43">
                  <c:v>1.19655242305535E-2</c:v>
                </c:pt>
                <c:pt idx="44">
                  <c:v>1.2962097656909999E-2</c:v>
                </c:pt>
                <c:pt idx="45">
                  <c:v>1.4041672761670501E-2</c:v>
                </c:pt>
                <c:pt idx="46">
                  <c:v>1.52111625112414E-2</c:v>
                </c:pt>
                <c:pt idx="47">
                  <c:v>1.6478055632729902E-2</c:v>
                </c:pt>
                <c:pt idx="48">
                  <c:v>1.7850464567364801E-2</c:v>
                </c:pt>
                <c:pt idx="49">
                  <c:v>1.93371774178164E-2</c:v>
                </c:pt>
                <c:pt idx="50">
                  <c:v>2.0947714222056699E-2</c:v>
                </c:pt>
                <c:pt idx="51">
                  <c:v>2.2692387914104901E-2</c:v>
                </c:pt>
                <c:pt idx="52">
                  <c:v>2.4582370362013301E-2</c:v>
                </c:pt>
                <c:pt idx="53">
                  <c:v>2.6629763905965199E-2</c:v>
                </c:pt>
                <c:pt idx="54">
                  <c:v>2.88476788545695E-2</c:v>
                </c:pt>
                <c:pt idx="55">
                  <c:v>3.1250317435595497E-2</c:v>
                </c:pt>
                <c:pt idx="56">
                  <c:v>3.3853064738717902E-2</c:v>
                </c:pt>
                <c:pt idx="57">
                  <c:v>3.6672587232616301E-2</c:v>
                </c:pt>
                <c:pt idx="58">
                  <c:v>3.9726939487275001E-2</c:v>
                </c:pt>
                <c:pt idx="59">
                  <c:v>4.3035679784870703E-2</c:v>
                </c:pt>
                <c:pt idx="60">
                  <c:v>4.6619995359550997E-2</c:v>
                </c:pt>
              </c:numCache>
            </c:numRef>
          </c:val>
          <c:smooth val="0"/>
          <c:extLst>
            <c:ext xmlns:c16="http://schemas.microsoft.com/office/drawing/2014/chart" uri="{C3380CC4-5D6E-409C-BE32-E72D297353CC}">
              <c16:uniqueId val="{00000003-033F-420B-A521-DF8A9D4C98E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50112"/>
        <c:crosses val="autoZero"/>
        <c:crossBetween val="between"/>
      </c:valAx>
    </c:plotArea>
    <c:legend>
      <c:legendPos val="b"/>
      <c:overlay val="0"/>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975">
                <a:latin typeface="Microsoft JhengHei" panose="020B0604030504040204" pitchFamily="34" charset="-120"/>
                <a:ea typeface="Microsoft JhengHei" panose="020B0604030504040204" pitchFamily="34" charset="-120"/>
                <a:cs typeface="Microsoft Himalaya" panose="01010100010101010101" pitchFamily="2" charset="0"/>
              </a:rPr>
              <a:t>Policyholder account value (AED)</a:t>
            </a:r>
          </a:p>
        </c:rich>
      </c:tx>
      <c:overlay val="0"/>
    </c:title>
    <c:autoTitleDeleted val="0"/>
    <c:plotArea>
      <c:layout/>
      <c:lineChart>
        <c:grouping val="standard"/>
        <c:varyColors val="0"/>
        <c:ser>
          <c:idx val="0"/>
          <c:order val="0"/>
          <c:tx>
            <c:v>Closing Fund</c:v>
          </c:tx>
          <c:spPr>
            <a:ln w="19050">
              <a:solidFill>
                <a:srgbClr val="365F7D"/>
              </a:solidFill>
              <a:prstDash val="solid"/>
            </a:ln>
          </c:spPr>
          <c:marker>
            <c:symbol val="none"/>
          </c:marker>
          <c:cat>
            <c:numRef>
              <c:f>'Unit-Linked'!$F$4:$F$43</c:f>
              <c:numCache>
                <c:formatCode>General</c:formatCod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numCache>
            </c:numRef>
          </c:cat>
          <c:val>
            <c:numRef>
              <c:f>'Unit-Linked'!$L$4:$L$43</c:f>
              <c:numCache>
                <c:formatCode>#,##0.00;\(#,##0.00\);\–</c:formatCode>
                <c:ptCount val="40"/>
                <c:pt idx="0">
                  <c:v>10938.9375</c:v>
                </c:pt>
                <c:pt idx="1">
                  <c:v>22011.193300781251</c:v>
                </c:pt>
                <c:pt idx="2">
                  <c:v>33218.392219134519</c:v>
                </c:pt>
                <c:pt idx="3">
                  <c:v>44562.178874305224</c:v>
                </c:pt>
                <c:pt idx="4">
                  <c:v>56044.217929335813</c:v>
                </c:pt>
                <c:pt idx="5">
                  <c:v>67666.194335349588</c:v>
                </c:pt>
                <c:pt idx="6">
                  <c:v>79429.813578811663</c:v>
                </c:pt>
                <c:pt idx="7">
                  <c:v>91336.801931803435</c:v>
                </c:pt>
                <c:pt idx="8">
                  <c:v>103388.90670534728</c:v>
                </c:pt>
                <c:pt idx="9">
                  <c:v>115587.8965058187</c:v>
                </c:pt>
                <c:pt idx="10">
                  <c:v>127935.56149448338</c:v>
                </c:pt>
                <c:pt idx="11">
                  <c:v>140433.7136501974</c:v>
                </c:pt>
                <c:pt idx="12">
                  <c:v>153084.18703530918</c:v>
                </c:pt>
                <c:pt idx="13">
                  <c:v>165888.838064802</c:v>
                </c:pt>
                <c:pt idx="14">
                  <c:v>178849.54577871677</c:v>
                </c:pt>
                <c:pt idx="15">
                  <c:v>191968.2121178949</c:v>
                </c:pt>
                <c:pt idx="16">
                  <c:v>205246.76220308174</c:v>
                </c:pt>
                <c:pt idx="17">
                  <c:v>218687.1446174318</c:v>
                </c:pt>
                <c:pt idx="18">
                  <c:v>232291.33169245673</c:v>
                </c:pt>
                <c:pt idx="19">
                  <c:v>246061.31979745856</c:v>
                </c:pt>
                <c:pt idx="20">
                  <c:v>246061.31979745856</c:v>
                </c:pt>
                <c:pt idx="21">
                  <c:v>246061.31979745856</c:v>
                </c:pt>
                <c:pt idx="22">
                  <c:v>246061.31979745856</c:v>
                </c:pt>
                <c:pt idx="23">
                  <c:v>246061.31979745856</c:v>
                </c:pt>
                <c:pt idx="24">
                  <c:v>246061.31979745856</c:v>
                </c:pt>
                <c:pt idx="25">
                  <c:v>246061.31979745856</c:v>
                </c:pt>
                <c:pt idx="26">
                  <c:v>246061.31979745856</c:v>
                </c:pt>
                <c:pt idx="27">
                  <c:v>246061.31979745856</c:v>
                </c:pt>
                <c:pt idx="28">
                  <c:v>246061.31979745856</c:v>
                </c:pt>
                <c:pt idx="29">
                  <c:v>246061.31979745856</c:v>
                </c:pt>
                <c:pt idx="30">
                  <c:v>246061.31979745856</c:v>
                </c:pt>
                <c:pt idx="31">
                  <c:v>246061.31979745856</c:v>
                </c:pt>
                <c:pt idx="32">
                  <c:v>246061.31979745856</c:v>
                </c:pt>
                <c:pt idx="33">
                  <c:v>246061.31979745856</c:v>
                </c:pt>
                <c:pt idx="34">
                  <c:v>246061.31979745856</c:v>
                </c:pt>
                <c:pt idx="35">
                  <c:v>246061.31979745856</c:v>
                </c:pt>
                <c:pt idx="36">
                  <c:v>246061.31979745856</c:v>
                </c:pt>
                <c:pt idx="37">
                  <c:v>246061.31979745856</c:v>
                </c:pt>
                <c:pt idx="38">
                  <c:v>246061.31979745856</c:v>
                </c:pt>
                <c:pt idx="39">
                  <c:v>246061.31979745856</c:v>
                </c:pt>
              </c:numCache>
            </c:numRef>
          </c:val>
          <c:smooth val="0"/>
          <c:extLst>
            <c:ext xmlns:c16="http://schemas.microsoft.com/office/drawing/2014/chart" uri="{C3380CC4-5D6E-409C-BE32-E72D297353CC}">
              <c16:uniqueId val="{00000000-D44C-4BA8-BEA0-EE4036356FF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Microsoft JhengHei" panose="020B0604030504040204" pitchFamily="34" charset="-120"/>
                <a:ea typeface="Microsoft JhengHei" panose="020B0604030504040204" pitchFamily="34" charset="-120"/>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Arial" panose="020B0604020202020204" pitchFamily="34" charset="0"/>
                <a:ea typeface="Arial"/>
                <a:cs typeface="Arial" panose="020B0604020202020204" pitchFamily="34" charset="0"/>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0</xdr:colOff>
      <xdr:row>28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186765</xdr:colOff>
      <xdr:row>12</xdr:row>
      <xdr:rowOff>67235</xdr:rowOff>
    </xdr:from>
    <xdr:to>
      <xdr:col>13</xdr:col>
      <xdr:colOff>776941</xdr:colOff>
      <xdr:row>28</xdr:row>
      <xdr:rowOff>67235</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276411</xdr:rowOff>
    </xdr:from>
    <xdr:to>
      <xdr:col>5</xdr:col>
      <xdr:colOff>349250</xdr:colOff>
      <xdr:row>46</xdr:row>
      <xdr:rowOff>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17</xdr:row>
      <xdr:rowOff>0</xdr:rowOff>
    </xdr:from>
    <xdr:to>
      <xdr:col>10</xdr:col>
      <xdr:colOff>0</xdr:colOff>
      <xdr:row>34</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3</xdr:row>
      <xdr:rowOff>0</xdr:rowOff>
    </xdr:from>
    <xdr:to>
      <xdr:col>18</xdr:col>
      <xdr:colOff>317500</xdr:colOff>
      <xdr:row>28</xdr:row>
      <xdr:rowOff>6350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0</xdr:colOff>
      <xdr:row>3</xdr:row>
      <xdr:rowOff>0</xdr:rowOff>
    </xdr:from>
    <xdr:to>
      <xdr:col>26</xdr:col>
      <xdr:colOff>0</xdr:colOff>
      <xdr:row>21</xdr:row>
      <xdr:rowOff>0</xdr:rowOff>
    </xdr:to>
    <xdr:graphicFrame macro="">
      <xdr:nvGraphicFramePr>
        <xdr:cNvPr id="2" name="Chart">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5"/>
  <sheetViews>
    <sheetView zoomScale="85" workbookViewId="0">
      <selection activeCell="H15" sqref="H15"/>
    </sheetView>
  </sheetViews>
  <sheetFormatPr defaultColWidth="8.6328125" defaultRowHeight="13" x14ac:dyDescent="0.3"/>
  <cols>
    <col min="1" max="7" width="15" style="5" customWidth="1"/>
    <col min="8" max="16384" width="8.6328125" style="5"/>
  </cols>
  <sheetData>
    <row r="1" spans="1:7" ht="22" customHeight="1" x14ac:dyDescent="0.5">
      <c r="A1" s="430" t="s">
        <v>510</v>
      </c>
      <c r="B1" s="431"/>
      <c r="C1" s="431"/>
      <c r="D1" s="431"/>
      <c r="E1" s="431"/>
      <c r="F1" s="431"/>
      <c r="G1" s="431"/>
    </row>
    <row r="2" spans="1:7" ht="22" customHeight="1" x14ac:dyDescent="0.35">
      <c r="A2" s="11" t="s">
        <v>511</v>
      </c>
      <c r="B2" s="4"/>
      <c r="C2" s="4"/>
      <c r="D2" s="4"/>
      <c r="E2" s="4"/>
      <c r="F2" s="4"/>
      <c r="G2" s="4"/>
    </row>
    <row r="3" spans="1:7" ht="22" customHeight="1" x14ac:dyDescent="0.35">
      <c r="A3" s="4"/>
      <c r="B3" s="4"/>
      <c r="C3" s="4"/>
      <c r="D3" s="4"/>
      <c r="E3" s="4"/>
      <c r="F3" s="4"/>
      <c r="G3" s="4"/>
    </row>
    <row r="4" spans="1:7" ht="24" customHeight="1" x14ac:dyDescent="0.35">
      <c r="A4" s="428" t="s">
        <v>512</v>
      </c>
      <c r="B4" s="429"/>
      <c r="C4" s="429"/>
      <c r="D4" s="429"/>
      <c r="E4" s="429"/>
      <c r="F4" s="429"/>
      <c r="G4" s="429"/>
    </row>
    <row r="5" spans="1:7" ht="38" customHeight="1" x14ac:dyDescent="0.35">
      <c r="A5" s="429" t="s">
        <v>614</v>
      </c>
      <c r="B5" s="429"/>
      <c r="C5" s="429"/>
      <c r="D5" s="429"/>
      <c r="E5" s="429"/>
      <c r="F5" s="429"/>
      <c r="G5" s="429"/>
    </row>
    <row r="6" spans="1:7" ht="22" customHeight="1" x14ac:dyDescent="0.35">
      <c r="A6" s="4"/>
      <c r="B6" s="4"/>
      <c r="C6" s="4"/>
      <c r="D6" s="4"/>
      <c r="E6" s="4"/>
      <c r="F6" s="4"/>
      <c r="G6" s="4"/>
    </row>
    <row r="7" spans="1:7" ht="24" customHeight="1" x14ac:dyDescent="0.35">
      <c r="A7" s="428" t="s">
        <v>615</v>
      </c>
      <c r="B7" s="429"/>
      <c r="C7" s="429"/>
      <c r="D7" s="429"/>
      <c r="E7" s="429"/>
      <c r="F7" s="429"/>
      <c r="G7" s="429"/>
    </row>
    <row r="8" spans="1:7" ht="38" customHeight="1" x14ac:dyDescent="0.35">
      <c r="A8" s="429" t="s">
        <v>616</v>
      </c>
      <c r="B8" s="429"/>
      <c r="C8" s="429"/>
      <c r="D8" s="429"/>
      <c r="E8" s="429"/>
      <c r="F8" s="429"/>
      <c r="G8" s="429"/>
    </row>
    <row r="9" spans="1:7" ht="38" customHeight="1" x14ac:dyDescent="0.35">
      <c r="A9" s="429" t="s">
        <v>617</v>
      </c>
      <c r="B9" s="429"/>
      <c r="C9" s="429"/>
      <c r="D9" s="429"/>
      <c r="E9" s="429"/>
      <c r="F9" s="429"/>
      <c r="G9" s="429"/>
    </row>
    <row r="10" spans="1:7" ht="38" customHeight="1" x14ac:dyDescent="0.35">
      <c r="A10" s="429" t="s">
        <v>618</v>
      </c>
      <c r="B10" s="429"/>
      <c r="C10" s="429"/>
      <c r="D10" s="429"/>
      <c r="E10" s="429"/>
      <c r="F10" s="429"/>
      <c r="G10" s="429"/>
    </row>
    <row r="11" spans="1:7" ht="22" customHeight="1" x14ac:dyDescent="0.35">
      <c r="A11" s="4"/>
      <c r="B11" s="4"/>
      <c r="C11" s="4"/>
      <c r="D11" s="4"/>
      <c r="E11" s="4"/>
      <c r="F11" s="4"/>
      <c r="G11" s="4"/>
    </row>
    <row r="12" spans="1:7" ht="24" customHeight="1" x14ac:dyDescent="0.35">
      <c r="A12" s="428" t="s">
        <v>513</v>
      </c>
      <c r="B12" s="429"/>
      <c r="C12" s="429"/>
      <c r="D12" s="429"/>
      <c r="E12" s="429"/>
      <c r="F12" s="429"/>
      <c r="G12" s="429"/>
    </row>
    <row r="13" spans="1:7" ht="38" customHeight="1" x14ac:dyDescent="0.35">
      <c r="A13" s="429" t="s">
        <v>619</v>
      </c>
      <c r="B13" s="429"/>
      <c r="C13" s="429"/>
      <c r="D13" s="429"/>
      <c r="E13" s="429"/>
      <c r="F13" s="429"/>
      <c r="G13" s="429"/>
    </row>
    <row r="14" spans="1:7" ht="38" customHeight="1" x14ac:dyDescent="0.35">
      <c r="A14" s="429" t="s">
        <v>514</v>
      </c>
      <c r="B14" s="429"/>
      <c r="C14" s="429"/>
      <c r="D14" s="429"/>
      <c r="E14" s="429"/>
      <c r="F14" s="429"/>
      <c r="G14" s="429"/>
    </row>
    <row r="15" spans="1:7" ht="22" customHeight="1" x14ac:dyDescent="0.35">
      <c r="A15" s="4"/>
      <c r="B15" s="4"/>
      <c r="C15" s="4"/>
      <c r="D15" s="4"/>
      <c r="E15" s="4"/>
      <c r="F15" s="4"/>
      <c r="G15" s="4"/>
    </row>
    <row r="16" spans="1:7" ht="24" customHeight="1" x14ac:dyDescent="0.35">
      <c r="A16" s="428" t="s">
        <v>515</v>
      </c>
      <c r="B16" s="429"/>
      <c r="C16" s="429"/>
      <c r="D16" s="429"/>
      <c r="E16" s="429"/>
      <c r="F16" s="429"/>
      <c r="G16" s="429"/>
    </row>
    <row r="17" spans="1:7" ht="38" customHeight="1" x14ac:dyDescent="0.35">
      <c r="A17" s="429" t="s">
        <v>516</v>
      </c>
      <c r="B17" s="429"/>
      <c r="C17" s="429"/>
      <c r="D17" s="429"/>
      <c r="E17" s="429"/>
      <c r="F17" s="429"/>
      <c r="G17" s="429"/>
    </row>
    <row r="18" spans="1:7" ht="38" customHeight="1" x14ac:dyDescent="0.35">
      <c r="A18" s="429" t="s">
        <v>620</v>
      </c>
      <c r="B18" s="429"/>
      <c r="C18" s="429"/>
      <c r="D18" s="429"/>
      <c r="E18" s="429"/>
      <c r="F18" s="429"/>
      <c r="G18" s="429"/>
    </row>
    <row r="19" spans="1:7" ht="22" customHeight="1" x14ac:dyDescent="0.35">
      <c r="A19" s="4"/>
      <c r="B19" s="4"/>
      <c r="C19" s="4"/>
      <c r="D19" s="4"/>
      <c r="E19" s="4"/>
      <c r="F19" s="4"/>
      <c r="G19" s="4"/>
    </row>
    <row r="20" spans="1:7" ht="24" customHeight="1" x14ac:dyDescent="0.35">
      <c r="A20" s="428"/>
      <c r="B20" s="429"/>
      <c r="C20" s="429"/>
      <c r="D20" s="429"/>
      <c r="E20" s="429"/>
      <c r="F20" s="429"/>
      <c r="G20" s="429"/>
    </row>
    <row r="21" spans="1:7" ht="38" customHeight="1" x14ac:dyDescent="0.35">
      <c r="A21" s="429"/>
      <c r="B21" s="429"/>
      <c r="C21" s="429"/>
      <c r="D21" s="429"/>
      <c r="E21" s="429"/>
      <c r="F21" s="429"/>
      <c r="G21" s="429"/>
    </row>
    <row r="22" spans="1:7" ht="22" customHeight="1" x14ac:dyDescent="0.35">
      <c r="A22" s="4"/>
      <c r="B22" s="4"/>
      <c r="C22" s="4"/>
      <c r="D22" s="4"/>
      <c r="E22" s="4"/>
      <c r="F22" s="4"/>
      <c r="G22" s="4"/>
    </row>
    <row r="23" spans="1:7" ht="22" customHeight="1" x14ac:dyDescent="0.35">
      <c r="A23" s="4"/>
      <c r="B23" s="4"/>
      <c r="C23" s="4"/>
      <c r="D23" s="4"/>
      <c r="E23" s="4"/>
      <c r="F23" s="4"/>
      <c r="G23" s="4"/>
    </row>
    <row r="24" spans="1:7" ht="22" customHeight="1" x14ac:dyDescent="0.35">
      <c r="A24" s="4"/>
      <c r="B24" s="4"/>
      <c r="C24" s="4"/>
      <c r="D24" s="4"/>
      <c r="E24" s="4"/>
      <c r="F24" s="4"/>
      <c r="G24" s="4"/>
    </row>
    <row r="25" spans="1:7" ht="22" customHeight="1" x14ac:dyDescent="0.35">
      <c r="A25" s="4"/>
      <c r="B25" s="4"/>
      <c r="C25" s="4"/>
      <c r="D25" s="4"/>
      <c r="E25" s="4"/>
      <c r="F25" s="4"/>
      <c r="G25" s="4"/>
    </row>
    <row r="26" spans="1:7" ht="22" customHeight="1" x14ac:dyDescent="0.35">
      <c r="A26" s="4"/>
      <c r="B26" s="4"/>
      <c r="C26" s="4"/>
      <c r="D26" s="4"/>
      <c r="E26" s="4"/>
      <c r="F26" s="4"/>
      <c r="G26" s="4"/>
    </row>
    <row r="27" spans="1:7" ht="22" customHeight="1" x14ac:dyDescent="0.35">
      <c r="A27" s="4"/>
      <c r="B27" s="4"/>
      <c r="C27" s="4"/>
      <c r="D27" s="4"/>
      <c r="E27" s="4"/>
      <c r="F27" s="4"/>
      <c r="G27" s="4"/>
    </row>
    <row r="28" spans="1:7" ht="22" customHeight="1" x14ac:dyDescent="0.35">
      <c r="A28" s="4"/>
      <c r="B28" s="4"/>
      <c r="C28" s="4"/>
      <c r="D28" s="4"/>
      <c r="E28" s="4"/>
      <c r="F28" s="4"/>
      <c r="G28" s="4"/>
    </row>
    <row r="29" spans="1:7" ht="22" customHeight="1" x14ac:dyDescent="0.35">
      <c r="A29" s="4"/>
      <c r="B29" s="4"/>
      <c r="C29" s="4"/>
      <c r="D29" s="4"/>
      <c r="E29" s="4"/>
      <c r="F29" s="4"/>
      <c r="G29" s="4"/>
    </row>
    <row r="30" spans="1:7" ht="13.5" customHeight="1" x14ac:dyDescent="0.3"/>
    <row r="31" spans="1:7" ht="30" customHeight="1" x14ac:dyDescent="0.3"/>
    <row r="32" spans="1:7" ht="13.5" customHeight="1" x14ac:dyDescent="0.3"/>
    <row r="33" ht="30" customHeight="1" x14ac:dyDescent="0.3"/>
    <row r="34" ht="13.5" customHeight="1" x14ac:dyDescent="0.3"/>
    <row r="35" ht="30" customHeight="1" x14ac:dyDescent="0.3"/>
    <row r="36" ht="13.5" customHeight="1" x14ac:dyDescent="0.3"/>
    <row r="37" ht="30" customHeight="1" x14ac:dyDescent="0.3"/>
    <row r="38" ht="13.5" customHeight="1" x14ac:dyDescent="0.3"/>
    <row r="39" ht="30" customHeight="1" x14ac:dyDescent="0.3"/>
    <row r="44" ht="43.5" customHeight="1" x14ac:dyDescent="0.3"/>
    <row r="45" ht="43.5" customHeight="1" x14ac:dyDescent="0.3"/>
    <row r="46" ht="43.5" customHeight="1" x14ac:dyDescent="0.3"/>
    <row r="47" ht="43.5" customHeight="1" x14ac:dyDescent="0.3"/>
    <row r="48" ht="43.5" customHeight="1" x14ac:dyDescent="0.3"/>
    <row r="49" ht="43.5" customHeight="1" x14ac:dyDescent="0.3"/>
    <row r="50" ht="43.5" customHeight="1" x14ac:dyDescent="0.3"/>
    <row r="51" ht="43.5" customHeight="1" x14ac:dyDescent="0.3"/>
    <row r="52" ht="43.5" customHeight="1" x14ac:dyDescent="0.3"/>
    <row r="53" ht="43.5" customHeight="1" x14ac:dyDescent="0.3"/>
    <row r="54" ht="43.5" customHeight="1" x14ac:dyDescent="0.3"/>
    <row r="55" ht="43.5" customHeight="1" x14ac:dyDescent="0.3"/>
    <row r="56" ht="43.5" customHeight="1" x14ac:dyDescent="0.3"/>
    <row r="57" ht="43.5" customHeight="1" x14ac:dyDescent="0.3"/>
    <row r="58" ht="43.5" customHeight="1" x14ac:dyDescent="0.3"/>
    <row r="59" ht="43.5" customHeight="1" x14ac:dyDescent="0.3"/>
    <row r="60" ht="43.5" customHeight="1" x14ac:dyDescent="0.3"/>
    <row r="61" ht="43.5" customHeight="1" x14ac:dyDescent="0.3"/>
    <row r="62" ht="43.5" customHeight="1" x14ac:dyDescent="0.3"/>
    <row r="63" ht="43.5" customHeight="1" x14ac:dyDescent="0.3"/>
    <row r="64" ht="43.5" customHeight="1" x14ac:dyDescent="0.3"/>
    <row r="67" ht="15" customHeight="1" x14ac:dyDescent="0.3"/>
    <row r="68" ht="30" customHeight="1" x14ac:dyDescent="0.3"/>
    <row r="69" ht="30" customHeight="1" x14ac:dyDescent="0.3"/>
    <row r="70" ht="30" customHeight="1" x14ac:dyDescent="0.3"/>
    <row r="71" ht="30" customHeight="1" x14ac:dyDescent="0.3"/>
    <row r="72" ht="30" customHeight="1" x14ac:dyDescent="0.3"/>
    <row r="73" ht="30" customHeight="1" x14ac:dyDescent="0.3"/>
    <row r="74" ht="30" customHeight="1" x14ac:dyDescent="0.3"/>
    <row r="75" ht="30" customHeight="1" x14ac:dyDescent="0.3"/>
  </sheetData>
  <mergeCells count="15">
    <mergeCell ref="A1:G1"/>
    <mergeCell ref="A4:G4"/>
    <mergeCell ref="A5:G5"/>
    <mergeCell ref="A7:G7"/>
    <mergeCell ref="A8:G8"/>
    <mergeCell ref="A9:G9"/>
    <mergeCell ref="A10:G10"/>
    <mergeCell ref="A12:G12"/>
    <mergeCell ref="A13:G13"/>
    <mergeCell ref="A14:G14"/>
    <mergeCell ref="A16:G16"/>
    <mergeCell ref="A17:G17"/>
    <mergeCell ref="A18:G18"/>
    <mergeCell ref="A20:G20"/>
    <mergeCell ref="A21:G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9"/>
  <sheetViews>
    <sheetView zoomScale="50" zoomScaleNormal="50" workbookViewId="0">
      <selection activeCell="A49" sqref="A49:C49"/>
    </sheetView>
  </sheetViews>
  <sheetFormatPr defaultColWidth="8.6328125" defaultRowHeight="13" x14ac:dyDescent="0.3"/>
  <cols>
    <col min="1" max="1" width="12" style="5" customWidth="1"/>
    <col min="2" max="2" width="18.26953125" style="5" customWidth="1"/>
    <col min="3" max="3" width="17.6328125" style="5" bestFit="1" customWidth="1"/>
    <col min="4" max="4" width="12" style="5" customWidth="1"/>
    <col min="5" max="5" width="26.6328125" style="5" customWidth="1"/>
    <col min="6" max="12" width="12" style="5" customWidth="1"/>
    <col min="13" max="13" width="5" style="5" customWidth="1"/>
    <col min="14" max="15" width="14" style="5" customWidth="1"/>
    <col min="16" max="16384" width="8.6328125" style="5"/>
  </cols>
  <sheetData>
    <row r="1" spans="1:14" ht="22" customHeight="1" x14ac:dyDescent="0.5">
      <c r="A1" s="430" t="s">
        <v>517</v>
      </c>
      <c r="B1" s="431"/>
      <c r="C1" s="431"/>
      <c r="D1" s="431"/>
      <c r="E1" s="431"/>
      <c r="F1" s="431"/>
      <c r="G1" s="431"/>
      <c r="H1" s="431"/>
      <c r="I1" s="431"/>
      <c r="J1" s="431"/>
      <c r="K1" s="431"/>
      <c r="L1" s="431"/>
      <c r="M1" s="4"/>
      <c r="N1" s="4"/>
    </row>
    <row r="2" spans="1:14" ht="22" customHeight="1" x14ac:dyDescent="0.35">
      <c r="A2" s="443" t="s">
        <v>621</v>
      </c>
      <c r="B2" s="443"/>
      <c r="C2" s="443"/>
      <c r="D2" s="443"/>
      <c r="E2" s="443"/>
      <c r="F2" s="443"/>
      <c r="G2" s="443"/>
      <c r="H2" s="443"/>
      <c r="I2" s="443"/>
      <c r="J2" s="443"/>
      <c r="K2" s="443"/>
      <c r="L2" s="443"/>
      <c r="M2" s="4"/>
      <c r="N2" s="4"/>
    </row>
    <row r="3" spans="1:14" ht="22" customHeight="1" thickBot="1" x14ac:dyDescent="0.4">
      <c r="A3" s="4"/>
      <c r="B3" s="4"/>
      <c r="C3" s="4"/>
      <c r="D3" s="4"/>
      <c r="E3" s="4"/>
      <c r="F3" s="4"/>
      <c r="G3" s="4"/>
      <c r="H3" s="4"/>
      <c r="I3" s="4"/>
      <c r="J3" s="4"/>
      <c r="K3" s="4"/>
      <c r="L3" s="4"/>
      <c r="M3" s="4"/>
      <c r="N3" s="4"/>
    </row>
    <row r="4" spans="1:14" ht="22" customHeight="1" x14ac:dyDescent="0.35">
      <c r="A4" s="451" t="s">
        <v>622</v>
      </c>
      <c r="B4" s="452"/>
      <c r="C4" s="452"/>
      <c r="D4" s="452"/>
      <c r="E4" s="452" t="s">
        <v>623</v>
      </c>
      <c r="F4" s="452"/>
      <c r="G4" s="452"/>
      <c r="H4" s="452"/>
      <c r="I4" s="452" t="s">
        <v>518</v>
      </c>
      <c r="J4" s="452"/>
      <c r="K4" s="452"/>
      <c r="L4" s="456"/>
      <c r="M4" s="4"/>
      <c r="N4" s="4"/>
    </row>
    <row r="5" spans="1:14" ht="22" customHeight="1" x14ac:dyDescent="0.45">
      <c r="A5" s="453">
        <f>'Pricing Calculator'!E8</f>
        <v>546.06076088766929</v>
      </c>
      <c r="B5" s="454"/>
      <c r="C5" s="454"/>
      <c r="D5" s="454"/>
      <c r="E5" s="455">
        <f>'Profit Testing'!B7</f>
        <v>344.85010931984226</v>
      </c>
      <c r="F5" s="454"/>
      <c r="G5" s="454"/>
      <c r="H5" s="454"/>
      <c r="I5" s="457">
        <f>'Profit Testing'!B8</f>
        <v>0.1046195354490758</v>
      </c>
      <c r="J5" s="454"/>
      <c r="K5" s="454"/>
      <c r="L5" s="458"/>
      <c r="M5" s="4"/>
      <c r="N5" s="4"/>
    </row>
    <row r="6" spans="1:14" ht="22" customHeight="1" x14ac:dyDescent="0.35">
      <c r="A6" s="8"/>
      <c r="B6" s="9"/>
      <c r="C6" s="9"/>
      <c r="D6" s="9"/>
      <c r="E6" s="9"/>
      <c r="F6" s="9"/>
      <c r="G6" s="9"/>
      <c r="H6" s="9"/>
      <c r="I6" s="9"/>
      <c r="J6" s="9"/>
      <c r="K6" s="9"/>
      <c r="L6" s="10"/>
      <c r="M6" s="4"/>
      <c r="N6" s="4"/>
    </row>
    <row r="7" spans="1:14" ht="22" customHeight="1" x14ac:dyDescent="0.35">
      <c r="A7" s="444" t="s">
        <v>624</v>
      </c>
      <c r="B7" s="445"/>
      <c r="C7" s="445"/>
      <c r="D7" s="445"/>
      <c r="E7" s="445" t="s">
        <v>62</v>
      </c>
      <c r="F7" s="445"/>
      <c r="G7" s="445"/>
      <c r="H7" s="445"/>
      <c r="I7" s="445" t="s">
        <v>435</v>
      </c>
      <c r="J7" s="445"/>
      <c r="K7" s="445"/>
      <c r="L7" s="449"/>
      <c r="M7" s="4"/>
      <c r="N7" s="4"/>
    </row>
    <row r="8" spans="1:14" ht="22" customHeight="1" thickBot="1" x14ac:dyDescent="0.5">
      <c r="A8" s="446">
        <f>'Profit Testing'!B9</f>
        <v>6</v>
      </c>
      <c r="B8" s="447"/>
      <c r="C8" s="447"/>
      <c r="D8" s="447"/>
      <c r="E8" s="448">
        <f>'Portfolio Totals'!B14</f>
        <v>7.998801001757809E-2</v>
      </c>
      <c r="F8" s="447"/>
      <c r="G8" s="447"/>
      <c r="H8" s="447"/>
      <c r="I8" s="448">
        <f>'Experience Analysis'!B50</f>
        <v>1.2261365531301944</v>
      </c>
      <c r="J8" s="447"/>
      <c r="K8" s="447"/>
      <c r="L8" s="450"/>
      <c r="M8" s="4"/>
      <c r="N8" s="4"/>
    </row>
    <row r="9" spans="1:14" ht="22" customHeight="1" thickBot="1" x14ac:dyDescent="0.4">
      <c r="A9" s="4"/>
      <c r="B9" s="4"/>
      <c r="C9" s="4"/>
      <c r="D9" s="4"/>
      <c r="E9" s="4"/>
      <c r="F9" s="4"/>
      <c r="G9" s="4"/>
      <c r="H9" s="4"/>
      <c r="I9" s="4"/>
      <c r="J9" s="4"/>
      <c r="K9" s="4"/>
      <c r="L9" s="4"/>
      <c r="M9" s="4"/>
      <c r="N9" s="4"/>
    </row>
    <row r="10" spans="1:14" ht="22" customHeight="1" thickBot="1" x14ac:dyDescent="0.4">
      <c r="A10" s="440" t="str">
        <f>"Policies priced: "&amp;'Portfolio Totals'!B8&amp;"    Loss-making policies: "&amp;'Portfolio Totals'!B18&amp;"    Portfolio PVFP: AED "&amp;TEXT('Portfolio Totals'!B13,"#,##0")</f>
        <v>Policies priced: 169    Loss-making policies: 65    Portfolio PVFP: AED 2,56,267</v>
      </c>
      <c r="B10" s="441"/>
      <c r="C10" s="441"/>
      <c r="D10" s="441"/>
      <c r="E10" s="441"/>
      <c r="F10" s="441"/>
      <c r="G10" s="441"/>
      <c r="H10" s="441"/>
      <c r="I10" s="441"/>
      <c r="J10" s="441"/>
      <c r="K10" s="441"/>
      <c r="L10" s="442"/>
      <c r="M10" s="4"/>
      <c r="N10" s="4"/>
    </row>
    <row r="11" spans="1:14" ht="22" customHeight="1" x14ac:dyDescent="0.35">
      <c r="A11" s="4"/>
      <c r="B11" s="4"/>
      <c r="C11" s="4"/>
      <c r="D11" s="4"/>
      <c r="E11" s="4"/>
      <c r="F11" s="4"/>
      <c r="G11" s="4"/>
      <c r="H11" s="4"/>
      <c r="I11" s="4"/>
      <c r="J11" s="4"/>
      <c r="K11" s="4"/>
      <c r="L11" s="4"/>
      <c r="M11" s="4"/>
      <c r="N11" s="4"/>
    </row>
    <row r="12" spans="1:14" ht="22" customHeight="1" x14ac:dyDescent="0.35">
      <c r="A12" s="443" t="s">
        <v>625</v>
      </c>
      <c r="B12" s="443"/>
      <c r="C12" s="443"/>
      <c r="D12" s="443"/>
      <c r="E12" s="443"/>
      <c r="F12" s="443"/>
      <c r="G12" s="443" t="s">
        <v>626</v>
      </c>
      <c r="H12" s="443"/>
      <c r="I12" s="443"/>
      <c r="J12" s="443"/>
      <c r="K12" s="443"/>
      <c r="L12" s="443"/>
      <c r="M12" s="4"/>
      <c r="N12" s="4"/>
    </row>
    <row r="13" spans="1:14" ht="22" customHeight="1" x14ac:dyDescent="0.35">
      <c r="A13" s="4"/>
      <c r="B13" s="4"/>
      <c r="C13" s="4"/>
      <c r="D13" s="4"/>
      <c r="E13" s="4"/>
      <c r="F13" s="4"/>
      <c r="G13" s="4"/>
      <c r="H13" s="4"/>
      <c r="I13" s="4"/>
      <c r="J13" s="4"/>
      <c r="K13" s="4"/>
      <c r="L13" s="4"/>
      <c r="M13" s="4"/>
      <c r="N13" s="4"/>
    </row>
    <row r="14" spans="1:14" ht="22" customHeight="1" x14ac:dyDescent="0.35">
      <c r="A14" s="4"/>
      <c r="B14" s="4"/>
      <c r="C14" s="4"/>
      <c r="D14" s="4"/>
      <c r="E14" s="4"/>
      <c r="F14" s="4"/>
      <c r="G14" s="4"/>
      <c r="H14" s="4"/>
      <c r="I14" s="4"/>
      <c r="J14" s="4"/>
      <c r="K14" s="4"/>
      <c r="L14" s="4"/>
      <c r="M14" s="4"/>
      <c r="N14" s="4"/>
    </row>
    <row r="15" spans="1:14" ht="22" customHeight="1" x14ac:dyDescent="0.35">
      <c r="A15" s="4"/>
      <c r="B15" s="4"/>
      <c r="C15" s="4"/>
      <c r="D15" s="4"/>
      <c r="E15" s="4"/>
      <c r="F15" s="4"/>
      <c r="G15" s="4"/>
      <c r="H15" s="4"/>
      <c r="I15" s="4"/>
      <c r="J15" s="4"/>
      <c r="K15" s="4"/>
      <c r="L15" s="4"/>
      <c r="M15" s="4"/>
      <c r="N15" s="4"/>
    </row>
    <row r="16" spans="1:14" ht="22" customHeight="1" x14ac:dyDescent="0.35">
      <c r="A16" s="4"/>
      <c r="B16" s="4"/>
      <c r="C16" s="4"/>
      <c r="D16" s="4"/>
      <c r="E16" s="4"/>
      <c r="F16" s="4"/>
      <c r="G16" s="4"/>
      <c r="H16" s="4"/>
      <c r="I16" s="4"/>
      <c r="J16" s="4"/>
      <c r="K16" s="4"/>
      <c r="L16" s="4"/>
      <c r="M16" s="4"/>
      <c r="N16" s="4"/>
    </row>
    <row r="17" spans="1:14" ht="22" customHeight="1" x14ac:dyDescent="0.35">
      <c r="A17" s="4"/>
      <c r="B17" s="4"/>
      <c r="C17" s="4"/>
      <c r="D17" s="4"/>
      <c r="E17" s="4"/>
      <c r="F17" s="4"/>
      <c r="G17" s="4"/>
      <c r="H17" s="4"/>
      <c r="I17" s="4"/>
      <c r="J17" s="4"/>
      <c r="K17" s="4"/>
      <c r="L17" s="4"/>
      <c r="M17" s="4"/>
      <c r="N17" s="4"/>
    </row>
    <row r="18" spans="1:14" ht="22" customHeight="1" x14ac:dyDescent="0.35">
      <c r="A18" s="4"/>
      <c r="B18" s="4"/>
      <c r="C18" s="4"/>
      <c r="D18" s="4"/>
      <c r="E18" s="4"/>
      <c r="F18" s="4"/>
      <c r="G18" s="4"/>
      <c r="H18" s="4"/>
      <c r="I18" s="4"/>
      <c r="J18" s="4"/>
      <c r="K18" s="4"/>
      <c r="L18" s="4"/>
      <c r="M18" s="4"/>
      <c r="N18" s="4"/>
    </row>
    <row r="19" spans="1:14" ht="22" customHeight="1" x14ac:dyDescent="0.35">
      <c r="A19" s="4"/>
      <c r="B19" s="4"/>
      <c r="C19" s="4"/>
      <c r="D19" s="4"/>
      <c r="E19" s="4"/>
      <c r="F19" s="4"/>
      <c r="G19" s="4"/>
      <c r="H19" s="4"/>
      <c r="I19" s="4"/>
      <c r="J19" s="4"/>
      <c r="K19" s="4"/>
      <c r="L19" s="4"/>
      <c r="M19" s="4"/>
      <c r="N19" s="4"/>
    </row>
    <row r="20" spans="1:14" ht="22" customHeight="1" x14ac:dyDescent="0.35">
      <c r="A20" s="4"/>
      <c r="B20" s="4"/>
      <c r="C20" s="4"/>
      <c r="D20" s="4"/>
      <c r="E20" s="4"/>
      <c r="F20" s="4"/>
      <c r="G20" s="4"/>
      <c r="H20" s="4"/>
      <c r="I20" s="4"/>
      <c r="J20" s="4"/>
      <c r="K20" s="4"/>
      <c r="L20" s="4"/>
      <c r="M20" s="4"/>
      <c r="N20" s="4"/>
    </row>
    <row r="21" spans="1:14" ht="22" customHeight="1" x14ac:dyDescent="0.35">
      <c r="A21" s="4"/>
      <c r="B21" s="4"/>
      <c r="C21" s="4"/>
      <c r="D21" s="4"/>
      <c r="E21" s="4"/>
      <c r="F21" s="4"/>
      <c r="G21" s="4"/>
      <c r="H21" s="4"/>
      <c r="I21" s="4"/>
      <c r="J21" s="4"/>
      <c r="K21" s="4"/>
      <c r="L21" s="4"/>
      <c r="M21" s="4"/>
      <c r="N21" s="4"/>
    </row>
    <row r="22" spans="1:14" ht="22" customHeight="1" x14ac:dyDescent="0.35">
      <c r="A22" s="4"/>
      <c r="B22" s="4"/>
      <c r="C22" s="4"/>
      <c r="D22" s="4"/>
      <c r="E22" s="4"/>
      <c r="F22" s="4"/>
      <c r="G22" s="4"/>
      <c r="H22" s="4"/>
      <c r="I22" s="4"/>
      <c r="J22" s="4"/>
      <c r="K22" s="4"/>
      <c r="L22" s="4"/>
      <c r="M22" s="4"/>
      <c r="N22" s="4"/>
    </row>
    <row r="23" spans="1:14" ht="22" customHeight="1" x14ac:dyDescent="0.35">
      <c r="A23" s="4"/>
      <c r="B23" s="4"/>
      <c r="C23" s="4"/>
      <c r="D23" s="4"/>
      <c r="E23" s="4"/>
      <c r="F23" s="4"/>
      <c r="G23" s="4"/>
      <c r="H23" s="4"/>
      <c r="I23" s="4"/>
      <c r="J23" s="4"/>
      <c r="K23" s="4"/>
      <c r="L23" s="4"/>
      <c r="M23" s="4"/>
      <c r="N23" s="4"/>
    </row>
    <row r="24" spans="1:14" ht="22" customHeight="1" x14ac:dyDescent="0.35">
      <c r="A24" s="4"/>
      <c r="B24" s="4"/>
      <c r="C24" s="4"/>
      <c r="D24" s="4"/>
      <c r="E24" s="4"/>
      <c r="F24" s="4"/>
      <c r="G24" s="4"/>
      <c r="H24" s="4"/>
      <c r="I24" s="4"/>
      <c r="J24" s="4"/>
      <c r="K24" s="4"/>
      <c r="L24" s="4"/>
      <c r="M24" s="4"/>
      <c r="N24" s="4"/>
    </row>
    <row r="25" spans="1:14" ht="22" customHeight="1" x14ac:dyDescent="0.35">
      <c r="A25" s="4"/>
      <c r="B25" s="4"/>
      <c r="C25" s="4"/>
      <c r="D25" s="4"/>
      <c r="E25" s="4"/>
      <c r="F25" s="4"/>
      <c r="G25" s="4"/>
      <c r="H25" s="4"/>
      <c r="I25" s="4"/>
      <c r="J25" s="4"/>
      <c r="K25" s="4"/>
      <c r="L25" s="4"/>
      <c r="M25" s="4"/>
      <c r="N25" s="4"/>
    </row>
    <row r="26" spans="1:14" ht="22" customHeight="1" x14ac:dyDescent="0.35">
      <c r="A26" s="4"/>
      <c r="B26" s="4"/>
      <c r="C26" s="4"/>
      <c r="D26" s="4"/>
      <c r="E26" s="4"/>
      <c r="F26" s="4"/>
      <c r="G26" s="4"/>
      <c r="H26" s="4"/>
      <c r="I26" s="4"/>
      <c r="J26" s="4"/>
      <c r="K26" s="4"/>
      <c r="L26" s="4"/>
      <c r="M26" s="4"/>
      <c r="N26" s="4"/>
    </row>
    <row r="27" spans="1:14" ht="22" customHeight="1" x14ac:dyDescent="0.35">
      <c r="A27" s="4"/>
      <c r="B27" s="4"/>
      <c r="C27" s="4"/>
      <c r="D27" s="4"/>
      <c r="E27" s="4"/>
      <c r="F27" s="4"/>
      <c r="G27" s="4"/>
      <c r="H27" s="4"/>
      <c r="I27" s="4"/>
      <c r="J27" s="4"/>
      <c r="K27" s="4"/>
      <c r="L27" s="4"/>
      <c r="M27" s="4"/>
      <c r="N27" s="4"/>
    </row>
    <row r="28" spans="1:14" ht="22" customHeight="1" x14ac:dyDescent="0.35">
      <c r="A28" s="4"/>
      <c r="B28" s="4"/>
      <c r="C28" s="4"/>
      <c r="D28" s="4"/>
      <c r="E28" s="4"/>
      <c r="F28" s="4"/>
      <c r="G28" s="4"/>
      <c r="H28" s="4"/>
      <c r="I28" s="4"/>
      <c r="J28" s="4"/>
      <c r="K28" s="4"/>
      <c r="L28" s="4"/>
      <c r="M28" s="4"/>
      <c r="N28" s="4"/>
    </row>
    <row r="29" spans="1:14" ht="22" customHeight="1" x14ac:dyDescent="0.35">
      <c r="A29" s="4"/>
      <c r="B29" s="4"/>
      <c r="C29" s="4"/>
      <c r="D29" s="4"/>
      <c r="E29" s="4"/>
      <c r="F29" s="4"/>
      <c r="G29" s="4"/>
      <c r="H29" s="4"/>
      <c r="I29" s="4"/>
      <c r="J29" s="4"/>
      <c r="K29" s="4"/>
      <c r="L29" s="4"/>
      <c r="M29" s="4"/>
      <c r="N29" s="4"/>
    </row>
    <row r="30" spans="1:14" ht="22" customHeight="1" thickBot="1" x14ac:dyDescent="0.4">
      <c r="A30" s="431" t="s">
        <v>519</v>
      </c>
      <c r="B30" s="431"/>
      <c r="C30" s="431"/>
      <c r="D30" s="431"/>
      <c r="E30" s="431"/>
      <c r="F30" s="431"/>
      <c r="M30" s="4"/>
      <c r="N30" s="4"/>
    </row>
    <row r="31" spans="1:14" ht="22" customHeight="1" thickBot="1" x14ac:dyDescent="0.4">
      <c r="A31" s="4"/>
      <c r="B31" s="4"/>
      <c r="C31" s="4"/>
      <c r="D31" s="4"/>
      <c r="E31" s="4"/>
      <c r="F31" s="4"/>
      <c r="G31" s="440" t="s">
        <v>627</v>
      </c>
      <c r="H31" s="441"/>
      <c r="I31" s="441"/>
      <c r="J31" s="441"/>
      <c r="K31" s="441"/>
      <c r="L31" s="442"/>
      <c r="M31" s="4"/>
      <c r="N31" s="4"/>
    </row>
    <row r="32" spans="1:14" ht="22" customHeight="1" x14ac:dyDescent="0.35">
      <c r="A32" s="4"/>
      <c r="B32" s="4"/>
      <c r="C32" s="4"/>
      <c r="D32" s="4"/>
      <c r="E32" s="4"/>
      <c r="F32" s="4"/>
      <c r="G32" s="437" t="str">
        <f>"The portfolio contains "&amp;'Portfolio Totals'!B18&amp;" loss-making policies. Segment results help identify where to investigate premium adequacy."</f>
        <v>The portfolio contains 65 loss-making policies. Segment results help identify where to investigate premium adequacy.</v>
      </c>
      <c r="H32" s="438"/>
      <c r="I32" s="438"/>
      <c r="J32" s="438"/>
      <c r="K32" s="438"/>
      <c r="L32" s="439"/>
      <c r="M32" s="4"/>
      <c r="N32" s="4"/>
    </row>
    <row r="33" spans="1:14" ht="22" customHeight="1" x14ac:dyDescent="0.35">
      <c r="A33" s="4"/>
      <c r="B33" s="4"/>
      <c r="C33" s="4"/>
      <c r="D33" s="4"/>
      <c r="E33" s="4"/>
      <c r="F33" s="4"/>
      <c r="G33" s="432"/>
      <c r="H33" s="429"/>
      <c r="I33" s="429"/>
      <c r="J33" s="429"/>
      <c r="K33" s="429"/>
      <c r="L33" s="433"/>
      <c r="M33" s="4"/>
      <c r="N33" s="4"/>
    </row>
    <row r="34" spans="1:14" ht="22" customHeight="1" x14ac:dyDescent="0.35">
      <c r="A34" s="4"/>
      <c r="B34" s="4"/>
      <c r="C34" s="4"/>
      <c r="D34" s="4"/>
      <c r="E34" s="4"/>
      <c r="F34" s="4"/>
      <c r="G34" s="432"/>
      <c r="H34" s="429"/>
      <c r="I34" s="429"/>
      <c r="J34" s="429"/>
      <c r="K34" s="429"/>
      <c r="L34" s="433"/>
      <c r="M34" s="4"/>
      <c r="N34" s="4"/>
    </row>
    <row r="35" spans="1:14" ht="22" customHeight="1" x14ac:dyDescent="0.35">
      <c r="A35" s="4"/>
      <c r="B35" s="4"/>
      <c r="C35" s="4"/>
      <c r="D35" s="4"/>
      <c r="E35" s="4"/>
      <c r="F35" s="4"/>
      <c r="G35" s="432" t="str">
        <f>"Reinsurance changes policy PVFP by AED "&amp;TEXT(Reinsurance!B11,"#,##0;(#,##0)")&amp;". The flat ceded rate needs review alongside the reduction in retained claims."</f>
        <v>Reinsurance changes policy PVFP by AED 0. The flat ceded rate needs review alongside the reduction in retained claims.</v>
      </c>
      <c r="H35" s="429"/>
      <c r="I35" s="429"/>
      <c r="J35" s="429"/>
      <c r="K35" s="429"/>
      <c r="L35" s="433"/>
      <c r="M35" s="4"/>
      <c r="N35" s="4"/>
    </row>
    <row r="36" spans="1:14" ht="22" customHeight="1" x14ac:dyDescent="0.35">
      <c r="A36" s="4"/>
      <c r="B36" s="4"/>
      <c r="C36" s="4"/>
      <c r="D36" s="4"/>
      <c r="E36" s="4"/>
      <c r="F36" s="4"/>
      <c r="G36" s="432"/>
      <c r="H36" s="429"/>
      <c r="I36" s="429"/>
      <c r="J36" s="429"/>
      <c r="K36" s="429"/>
      <c r="L36" s="433"/>
      <c r="M36" s="4"/>
      <c r="N36" s="4"/>
    </row>
    <row r="37" spans="1:14" ht="22" customHeight="1" x14ac:dyDescent="0.35">
      <c r="A37" s="4"/>
      <c r="B37" s="4"/>
      <c r="C37" s="4"/>
      <c r="D37" s="4"/>
      <c r="E37" s="4"/>
      <c r="F37" s="4"/>
      <c r="G37" s="432"/>
      <c r="H37" s="429"/>
      <c r="I37" s="429"/>
      <c r="J37" s="429"/>
      <c r="K37" s="429"/>
      <c r="L37" s="433"/>
      <c r="M37" s="4"/>
      <c r="N37" s="4"/>
    </row>
    <row r="38" spans="1:14" ht="22" customHeight="1" x14ac:dyDescent="0.35">
      <c r="A38" s="4"/>
      <c r="B38" s="4"/>
      <c r="C38" s="4"/>
      <c r="D38" s="4"/>
      <c r="E38" s="4"/>
      <c r="F38" s="4"/>
      <c r="G38" s="432" t="str">
        <f>"Mortality A/E is "&amp;TEXT('Experience Analysis'!B50,"0.0%")&amp;" based on "&amp;'Experience Analysis'!B48&amp;" deaths. "&amp;'Assumption Review'!B24&amp;"."</f>
        <v>Mortality A/E is 122.6% based on 26 deaths. Low credibility: retain basis and monitor.</v>
      </c>
      <c r="H38" s="429"/>
      <c r="I38" s="429"/>
      <c r="J38" s="429"/>
      <c r="K38" s="429"/>
      <c r="L38" s="433"/>
      <c r="M38" s="4"/>
      <c r="N38" s="4"/>
    </row>
    <row r="39" spans="1:14" ht="22" customHeight="1" x14ac:dyDescent="0.35">
      <c r="A39" s="4"/>
      <c r="B39" s="4"/>
      <c r="C39" s="4"/>
      <c r="D39" s="4"/>
      <c r="E39" s="4"/>
      <c r="F39" s="4"/>
      <c r="G39" s="432"/>
      <c r="H39" s="429"/>
      <c r="I39" s="429"/>
      <c r="J39" s="429"/>
      <c r="K39" s="429"/>
      <c r="L39" s="433"/>
      <c r="M39" s="4"/>
      <c r="N39" s="4"/>
    </row>
    <row r="40" spans="1:14" ht="22" customHeight="1" x14ac:dyDescent="0.35">
      <c r="A40" s="4"/>
      <c r="B40" s="4"/>
      <c r="C40" s="4"/>
      <c r="D40" s="4"/>
      <c r="E40" s="4"/>
      <c r="F40" s="4"/>
      <c r="G40" s="432"/>
      <c r="H40" s="429"/>
      <c r="I40" s="429"/>
      <c r="J40" s="429"/>
      <c r="K40" s="429"/>
      <c r="L40" s="433"/>
      <c r="M40" s="4"/>
      <c r="N40" s="4"/>
    </row>
    <row r="41" spans="1:14" ht="22" customHeight="1" x14ac:dyDescent="0.35">
      <c r="A41" s="4"/>
      <c r="B41" s="4"/>
      <c r="C41" s="4"/>
      <c r="D41" s="4"/>
      <c r="E41" s="4"/>
      <c r="F41" s="4"/>
      <c r="G41" s="432" t="str">
        <f>"Gross GMM: initial CSM AED "&amp;TEXT('IFRS 17 GMM'!B8,"#,##0")&amp;"; loss component AED "&amp;TEXT('IFRS 17 GMM'!B9,"#,##0")&amp;". This differs from profitability after reinsurance."</f>
        <v>Gross GMM: initial CSM AED 256; loss component AED 0. This differs from profitability after reinsurance.</v>
      </c>
      <c r="H41" s="429"/>
      <c r="I41" s="429"/>
      <c r="J41" s="429"/>
      <c r="K41" s="429"/>
      <c r="L41" s="433"/>
      <c r="M41" s="4"/>
      <c r="N41" s="4"/>
    </row>
    <row r="42" spans="1:14" ht="22" customHeight="1" x14ac:dyDescent="0.35">
      <c r="A42" s="4"/>
      <c r="B42" s="4"/>
      <c r="C42" s="4"/>
      <c r="D42" s="4"/>
      <c r="E42" s="4"/>
      <c r="F42" s="4"/>
      <c r="G42" s="432"/>
      <c r="H42" s="429"/>
      <c r="I42" s="429"/>
      <c r="J42" s="429"/>
      <c r="K42" s="429"/>
      <c r="L42" s="433"/>
      <c r="M42" s="4"/>
      <c r="N42" s="4"/>
    </row>
    <row r="43" spans="1:14" ht="22" customHeight="1" x14ac:dyDescent="0.35">
      <c r="A43" s="4"/>
      <c r="B43" s="4"/>
      <c r="C43" s="4"/>
      <c r="D43" s="4"/>
      <c r="E43" s="4"/>
      <c r="F43" s="4"/>
      <c r="G43" s="432"/>
      <c r="H43" s="429"/>
      <c r="I43" s="429"/>
      <c r="J43" s="429"/>
      <c r="K43" s="429"/>
      <c r="L43" s="433"/>
      <c r="M43" s="4"/>
      <c r="N43" s="4"/>
    </row>
    <row r="44" spans="1:14" ht="22" customHeight="1" x14ac:dyDescent="0.35">
      <c r="A44" s="4"/>
      <c r="B44" s="4"/>
      <c r="C44" s="4"/>
      <c r="D44" s="4"/>
      <c r="E44" s="4"/>
      <c r="F44" s="4"/>
      <c r="G44" s="432" t="str">
        <f>"The policy is most sensitive to "&amp;Sensitivities!B38&amp;", "&amp;Sensitivities!B39&amp;" and "&amp;Sensitivities!B40&amp;" among the assumptions tested."</f>
        <v>The policy is most sensitive to Expenses (±10%), Commission (pp) (±5.0pp) and Lapse rates (±20%) among the assumptions tested.</v>
      </c>
      <c r="H44" s="429"/>
      <c r="I44" s="429"/>
      <c r="J44" s="429"/>
      <c r="K44" s="429"/>
      <c r="L44" s="433"/>
      <c r="M44" s="4"/>
      <c r="N44" s="4"/>
    </row>
    <row r="45" spans="1:14" ht="22" customHeight="1" x14ac:dyDescent="0.35">
      <c r="A45" s="4"/>
      <c r="B45" s="4"/>
      <c r="C45" s="4"/>
      <c r="D45" s="4"/>
      <c r="E45" s="4"/>
      <c r="F45" s="4"/>
      <c r="G45" s="432"/>
      <c r="H45" s="429"/>
      <c r="I45" s="429"/>
      <c r="J45" s="429"/>
      <c r="K45" s="429"/>
      <c r="L45" s="433"/>
      <c r="M45" s="4"/>
      <c r="N45" s="4"/>
    </row>
    <row r="46" spans="1:14" ht="22" customHeight="1" thickBot="1" x14ac:dyDescent="0.4">
      <c r="A46" s="4"/>
      <c r="B46" s="4"/>
      <c r="C46" s="4"/>
      <c r="D46" s="4"/>
      <c r="E46" s="4"/>
      <c r="F46" s="4"/>
      <c r="G46" s="434"/>
      <c r="H46" s="435"/>
      <c r="I46" s="435"/>
      <c r="J46" s="435"/>
      <c r="K46" s="435"/>
      <c r="L46" s="436"/>
      <c r="M46" s="4"/>
      <c r="N46" s="4"/>
    </row>
    <row r="47" spans="1:14" ht="22" customHeight="1" x14ac:dyDescent="0.35">
      <c r="A47" s="4"/>
      <c r="B47" s="4"/>
      <c r="C47" s="4"/>
      <c r="D47" s="4"/>
      <c r="E47" s="4"/>
      <c r="F47" s="4"/>
      <c r="G47" s="4"/>
      <c r="H47" s="4"/>
      <c r="I47" s="4"/>
      <c r="J47" s="4"/>
      <c r="K47" s="4"/>
      <c r="L47" s="4"/>
      <c r="M47" s="4"/>
      <c r="N47" s="4"/>
    </row>
    <row r="48" spans="1:14" ht="22" customHeight="1" thickBot="1" x14ac:dyDescent="0.4">
      <c r="A48" s="4"/>
      <c r="B48" s="4"/>
      <c r="C48" s="4"/>
      <c r="D48" s="4"/>
      <c r="E48" s="4"/>
      <c r="F48" s="4"/>
      <c r="G48" s="4"/>
      <c r="H48" s="4"/>
      <c r="I48" s="4"/>
      <c r="J48" s="4"/>
      <c r="K48" s="4"/>
      <c r="L48" s="4"/>
      <c r="M48" s="4"/>
      <c r="N48" s="4"/>
    </row>
    <row r="49" spans="1:14" ht="36.5" customHeight="1" x14ac:dyDescent="0.35">
      <c r="A49" s="424" t="s">
        <v>310</v>
      </c>
      <c r="B49" s="425" t="s">
        <v>520</v>
      </c>
      <c r="C49" s="427" t="s">
        <v>276</v>
      </c>
      <c r="D49" s="4"/>
      <c r="E49" s="424" t="s">
        <v>139</v>
      </c>
      <c r="F49" s="425" t="s">
        <v>521</v>
      </c>
      <c r="G49" s="426" t="s">
        <v>522</v>
      </c>
      <c r="H49" s="426"/>
      <c r="I49" s="426" t="s">
        <v>77</v>
      </c>
      <c r="J49" s="426" t="s">
        <v>62</v>
      </c>
      <c r="K49" s="427"/>
      <c r="L49" s="4"/>
      <c r="M49" s="4"/>
      <c r="N49" s="4"/>
    </row>
    <row r="50" spans="1:14" ht="22" customHeight="1" x14ac:dyDescent="0.35">
      <c r="A50" s="6">
        <f>Cashflows!A4</f>
        <v>1</v>
      </c>
      <c r="B50" s="12">
        <f>Cashflows!L4</f>
        <v>-712.31502652283802</v>
      </c>
      <c r="C50" s="13">
        <f>Cashflows!N4</f>
        <v>-688.22707876602715</v>
      </c>
      <c r="D50" s="4"/>
      <c r="E50" s="61" t="str">
        <f>Sensitivities!B38</f>
        <v>Expenses (±10%)</v>
      </c>
      <c r="F50" s="12">
        <f>Sensitivities!C38</f>
        <v>236.51576911452185</v>
      </c>
      <c r="G50" s="12">
        <f>Sensitivities!D38</f>
        <v>-236.5157691145223</v>
      </c>
      <c r="H50" s="4"/>
      <c r="I50" s="4" t="str">
        <f>'Portfolio Analysis'!A26</f>
        <v>20-29</v>
      </c>
      <c r="J50" s="19">
        <f>'Portfolio Analysis'!H26</f>
        <v>0.23642094658921189</v>
      </c>
      <c r="K50" s="7"/>
      <c r="L50" s="4"/>
      <c r="M50" s="4"/>
      <c r="N50" s="4"/>
    </row>
    <row r="51" spans="1:14" ht="22" customHeight="1" x14ac:dyDescent="0.35">
      <c r="A51" s="6">
        <f>Cashflows!A5</f>
        <v>2</v>
      </c>
      <c r="B51" s="12">
        <f>Cashflows!L5</f>
        <v>228.4665735354105</v>
      </c>
      <c r="C51" s="13">
        <f>Cashflows!N5</f>
        <v>213.27599107135339</v>
      </c>
      <c r="D51" s="4"/>
      <c r="E51" s="61" t="str">
        <f>Sensitivities!B39</f>
        <v>Commission (pp) (±5.0pp)</v>
      </c>
      <c r="F51" s="12">
        <f>Sensitivities!C39</f>
        <v>164.81152771305324</v>
      </c>
      <c r="G51" s="12">
        <f>Sensitivities!D39</f>
        <v>-164.81152771305324</v>
      </c>
      <c r="H51" s="4"/>
      <c r="I51" s="4" t="str">
        <f>'Portfolio Analysis'!A27</f>
        <v>30-39</v>
      </c>
      <c r="J51" s="19">
        <f>'Portfolio Analysis'!H27</f>
        <v>0.1195501002587365</v>
      </c>
      <c r="K51" s="7"/>
      <c r="L51" s="4"/>
      <c r="M51" s="4"/>
      <c r="N51" s="4"/>
    </row>
    <row r="52" spans="1:14" ht="22" customHeight="1" x14ac:dyDescent="0.35">
      <c r="A52" s="6">
        <f>Cashflows!A6</f>
        <v>3</v>
      </c>
      <c r="B52" s="12">
        <f>Cashflows!L6</f>
        <v>194.8320626262333</v>
      </c>
      <c r="C52" s="13">
        <f>Cashflows!N6</f>
        <v>175.72735771598644</v>
      </c>
      <c r="D52" s="4"/>
      <c r="E52" s="61" t="str">
        <f>Sensitivities!B40</f>
        <v>Lapse rates (±20%)</v>
      </c>
      <c r="F52" s="12">
        <f>Sensitivities!C40</f>
        <v>80.76535776597575</v>
      </c>
      <c r="G52" s="12">
        <f>Sensitivities!D40</f>
        <v>-75.304112503421493</v>
      </c>
      <c r="H52" s="4"/>
      <c r="I52" s="4" t="str">
        <f>'Portfolio Analysis'!A28</f>
        <v>40-49</v>
      </c>
      <c r="J52" s="19">
        <f>'Portfolio Analysis'!H28</f>
        <v>5.3280308535218243E-2</v>
      </c>
      <c r="K52" s="7"/>
      <c r="L52" s="4"/>
      <c r="M52" s="4"/>
      <c r="N52" s="4"/>
    </row>
    <row r="53" spans="1:14" ht="22" customHeight="1" x14ac:dyDescent="0.35">
      <c r="A53" s="6">
        <f>Cashflows!A7</f>
        <v>4</v>
      </c>
      <c r="B53" s="12">
        <f>Cashflows!L7</f>
        <v>168.01429259924046</v>
      </c>
      <c r="C53" s="13">
        <f>Cashflows!N7</f>
        <v>146.41474942788187</v>
      </c>
      <c r="D53" s="4"/>
      <c r="E53" s="61" t="str">
        <f>Sensitivities!B41</f>
        <v>Discount rate (±100bp)</v>
      </c>
      <c r="F53" s="12">
        <f>Sensitivities!C41</f>
        <v>43.47743381069813</v>
      </c>
      <c r="G53" s="12">
        <f>Sensitivities!D41</f>
        <v>-40.291634818269358</v>
      </c>
      <c r="H53" s="4"/>
      <c r="I53" s="4" t="str">
        <f>'Portfolio Analysis'!A29</f>
        <v>50-59</v>
      </c>
      <c r="J53" s="19">
        <f>'Portfolio Analysis'!H29</f>
        <v>-8.1048406850909319E-2</v>
      </c>
      <c r="K53" s="7"/>
      <c r="L53" s="4"/>
      <c r="M53" s="4"/>
      <c r="N53" s="4"/>
    </row>
    <row r="54" spans="1:14" ht="22" customHeight="1" x14ac:dyDescent="0.35">
      <c r="A54" s="6">
        <f>Cashflows!A8</f>
        <v>5</v>
      </c>
      <c r="B54" s="12">
        <f>Cashflows!L8</f>
        <v>145.95752562304367</v>
      </c>
      <c r="C54" s="13">
        <f>Cashflows!N8</f>
        <v>122.89232007566827</v>
      </c>
      <c r="D54" s="4"/>
      <c r="E54" s="61" t="str">
        <f>Sensitivities!B42</f>
        <v>Mortality (qx) (±10%)</v>
      </c>
      <c r="F54" s="12">
        <f>Sensitivities!C42</f>
        <v>34.201241867289355</v>
      </c>
      <c r="G54" s="12">
        <f>Sensitivities!D42</f>
        <v>-34.185704227978931</v>
      </c>
      <c r="H54" s="4"/>
      <c r="I54" s="4" t="str">
        <f>'Portfolio Analysis'!A30</f>
        <v>60+</v>
      </c>
      <c r="J54" s="19">
        <f>'Portfolio Analysis'!H30</f>
        <v>0.16100416882824267</v>
      </c>
      <c r="K54" s="7"/>
      <c r="L54" s="4"/>
      <c r="M54" s="4"/>
      <c r="N54" s="4"/>
    </row>
    <row r="55" spans="1:14" ht="22" customHeight="1" thickBot="1" x14ac:dyDescent="0.4">
      <c r="A55" s="6">
        <f>Cashflows!A9</f>
        <v>6</v>
      </c>
      <c r="B55" s="12">
        <f>Cashflows!L9</f>
        <v>127.26920340365106</v>
      </c>
      <c r="C55" s="13">
        <f>Cashflows!N9</f>
        <v>103.53357896940459</v>
      </c>
      <c r="D55" s="4"/>
      <c r="E55" s="62" t="str">
        <f>Sensitivities!B43</f>
        <v>RI premium rate (±20%)</v>
      </c>
      <c r="F55" s="20">
        <f>Sensitivities!C43</f>
        <v>0</v>
      </c>
      <c r="G55" s="20">
        <f>Sensitivities!D43</f>
        <v>0</v>
      </c>
      <c r="H55" s="21"/>
      <c r="I55" s="21"/>
      <c r="J55" s="21"/>
      <c r="K55" s="22"/>
      <c r="L55" s="4"/>
      <c r="M55" s="4"/>
      <c r="N55" s="4"/>
    </row>
    <row r="56" spans="1:14" ht="22" customHeight="1" x14ac:dyDescent="0.35">
      <c r="A56" s="6">
        <f>Cashflows!A10</f>
        <v>7</v>
      </c>
      <c r="B56" s="12">
        <f>Cashflows!L10</f>
        <v>110.97831410969967</v>
      </c>
      <c r="C56" s="13">
        <f>Cashflows!N10</f>
        <v>87.227951722153477</v>
      </c>
      <c r="D56" s="4"/>
      <c r="E56" s="4"/>
      <c r="F56" s="4"/>
      <c r="G56" s="4"/>
      <c r="H56" s="4"/>
      <c r="I56" s="4"/>
      <c r="J56" s="4"/>
      <c r="K56" s="4"/>
      <c r="L56" s="4"/>
      <c r="M56" s="4"/>
      <c r="N56" s="4"/>
    </row>
    <row r="57" spans="1:14" ht="22" customHeight="1" x14ac:dyDescent="0.35">
      <c r="A57" s="6">
        <f>Cashflows!A11</f>
        <v>8</v>
      </c>
      <c r="B57" s="12">
        <f>Cashflows!L11</f>
        <v>96.389609564625786</v>
      </c>
      <c r="C57" s="13">
        <f>Cashflows!N11</f>
        <v>73.199383402549259</v>
      </c>
      <c r="D57" s="4"/>
      <c r="E57" s="4"/>
      <c r="F57" s="4"/>
      <c r="G57" s="4"/>
      <c r="H57" s="4"/>
      <c r="I57" s="4"/>
      <c r="J57" s="4"/>
      <c r="K57" s="4"/>
      <c r="L57" s="4"/>
      <c r="M57" s="4"/>
      <c r="N57" s="4"/>
    </row>
    <row r="58" spans="1:14" ht="22" customHeight="1" x14ac:dyDescent="0.35">
      <c r="A58" s="6">
        <f>Cashflows!A12</f>
        <v>9</v>
      </c>
      <c r="B58" s="12">
        <f>Cashflows!L12</f>
        <v>82.992889824427778</v>
      </c>
      <c r="C58" s="13">
        <f>Cashflows!N12</f>
        <v>60.894453735702925</v>
      </c>
      <c r="D58" s="4"/>
      <c r="E58" s="4"/>
      <c r="F58" s="4"/>
      <c r="G58" s="4"/>
      <c r="H58" s="4"/>
      <c r="I58" s="4"/>
      <c r="J58" s="4"/>
      <c r="K58" s="4"/>
      <c r="L58" s="4"/>
      <c r="M58" s="4"/>
      <c r="N58" s="4"/>
    </row>
    <row r="59" spans="1:14" ht="22" customHeight="1" x14ac:dyDescent="0.35">
      <c r="A59" s="6">
        <f>Cashflows!A13</f>
        <v>10</v>
      </c>
      <c r="B59" s="12">
        <f>Cashflows!L13</f>
        <v>70.404961752930262</v>
      </c>
      <c r="C59" s="13">
        <f>Cashflows!N13</f>
        <v>49.911401965169205</v>
      </c>
      <c r="D59" s="4"/>
      <c r="E59" s="4"/>
      <c r="F59" s="4"/>
      <c r="G59" s="4"/>
      <c r="H59" s="4"/>
      <c r="I59" s="4"/>
      <c r="J59" s="4"/>
      <c r="K59" s="4"/>
      <c r="L59" s="4"/>
      <c r="M59" s="4"/>
      <c r="N59" s="4"/>
    </row>
    <row r="60" spans="1:14" ht="22" customHeight="1" x14ac:dyDescent="0.35">
      <c r="A60" s="6">
        <f>Cashflows!A14</f>
        <v>11</v>
      </c>
      <c r="B60" s="12">
        <f>Cashflows!L14</f>
        <v>0</v>
      </c>
      <c r="C60" s="13">
        <f>Cashflows!N14</f>
        <v>0</v>
      </c>
      <c r="D60" s="4"/>
      <c r="E60" s="4"/>
      <c r="F60" s="4"/>
      <c r="G60" s="4"/>
      <c r="H60" s="4"/>
      <c r="I60" s="4"/>
      <c r="J60" s="4"/>
      <c r="K60" s="4"/>
      <c r="L60" s="4"/>
      <c r="M60" s="4"/>
      <c r="N60" s="4"/>
    </row>
    <row r="61" spans="1:14" ht="22" customHeight="1" x14ac:dyDescent="0.35">
      <c r="A61" s="6">
        <f>Cashflows!A15</f>
        <v>12</v>
      </c>
      <c r="B61" s="12">
        <f>Cashflows!L15</f>
        <v>0</v>
      </c>
      <c r="C61" s="13">
        <f>Cashflows!N15</f>
        <v>0</v>
      </c>
      <c r="D61" s="4"/>
      <c r="E61" s="4"/>
      <c r="F61" s="4"/>
      <c r="G61" s="4"/>
      <c r="H61" s="4"/>
      <c r="I61" s="4"/>
      <c r="J61" s="4"/>
      <c r="K61" s="4"/>
      <c r="L61" s="4"/>
      <c r="M61" s="4"/>
      <c r="N61" s="4"/>
    </row>
    <row r="62" spans="1:14" ht="22" customHeight="1" x14ac:dyDescent="0.35">
      <c r="A62" s="6">
        <f>Cashflows!A16</f>
        <v>13</v>
      </c>
      <c r="B62" s="12">
        <f>Cashflows!L16</f>
        <v>0</v>
      </c>
      <c r="C62" s="13">
        <f>Cashflows!N16</f>
        <v>0</v>
      </c>
      <c r="D62" s="4"/>
      <c r="E62" s="4"/>
      <c r="F62" s="4"/>
      <c r="G62" s="4"/>
      <c r="H62" s="4"/>
      <c r="I62" s="4"/>
      <c r="J62" s="4"/>
      <c r="K62" s="4"/>
      <c r="L62" s="4"/>
      <c r="M62" s="4"/>
      <c r="N62" s="4"/>
    </row>
    <row r="63" spans="1:14" ht="22" customHeight="1" x14ac:dyDescent="0.35">
      <c r="A63" s="6">
        <f>Cashflows!A17</f>
        <v>14</v>
      </c>
      <c r="B63" s="12">
        <f>Cashflows!L17</f>
        <v>0</v>
      </c>
      <c r="C63" s="13">
        <f>Cashflows!N17</f>
        <v>0</v>
      </c>
      <c r="D63" s="4"/>
      <c r="E63" s="4"/>
      <c r="F63" s="4"/>
      <c r="G63" s="4"/>
      <c r="H63" s="4"/>
      <c r="I63" s="4"/>
      <c r="J63" s="4"/>
      <c r="K63" s="4"/>
      <c r="L63" s="4"/>
      <c r="M63" s="4"/>
      <c r="N63" s="4"/>
    </row>
    <row r="64" spans="1:14" ht="22" customHeight="1" x14ac:dyDescent="0.35">
      <c r="A64" s="6">
        <f>Cashflows!A18</f>
        <v>15</v>
      </c>
      <c r="B64" s="12">
        <f>Cashflows!L18</f>
        <v>0</v>
      </c>
      <c r="C64" s="13">
        <f>Cashflows!N18</f>
        <v>0</v>
      </c>
      <c r="D64" s="4"/>
      <c r="E64" s="4"/>
      <c r="F64" s="4"/>
      <c r="G64" s="4"/>
      <c r="H64" s="4"/>
      <c r="I64" s="4"/>
      <c r="J64" s="4"/>
      <c r="K64" s="4"/>
      <c r="L64" s="4"/>
      <c r="M64" s="4"/>
      <c r="N64" s="4"/>
    </row>
    <row r="65" spans="1:14" ht="22" customHeight="1" x14ac:dyDescent="0.35">
      <c r="A65" s="6">
        <f>Cashflows!A19</f>
        <v>16</v>
      </c>
      <c r="B65" s="12">
        <f>Cashflows!L19</f>
        <v>0</v>
      </c>
      <c r="C65" s="13">
        <f>Cashflows!N19</f>
        <v>0</v>
      </c>
      <c r="D65" s="4"/>
      <c r="E65" s="4"/>
      <c r="F65" s="4"/>
      <c r="G65" s="4"/>
      <c r="H65" s="4"/>
      <c r="I65" s="4"/>
      <c r="J65" s="4"/>
      <c r="K65" s="4"/>
      <c r="L65" s="4"/>
      <c r="M65" s="4"/>
      <c r="N65" s="4"/>
    </row>
    <row r="66" spans="1:14" ht="22" customHeight="1" x14ac:dyDescent="0.35">
      <c r="A66" s="6">
        <f>Cashflows!A20</f>
        <v>17</v>
      </c>
      <c r="B66" s="12">
        <f>Cashflows!L20</f>
        <v>0</v>
      </c>
      <c r="C66" s="13">
        <f>Cashflows!N20</f>
        <v>0</v>
      </c>
      <c r="D66" s="4"/>
      <c r="E66" s="4"/>
      <c r="F66" s="4"/>
      <c r="G66" s="4"/>
      <c r="H66" s="4"/>
      <c r="I66" s="4"/>
      <c r="J66" s="4"/>
      <c r="K66" s="4"/>
      <c r="L66" s="4"/>
      <c r="M66" s="4"/>
      <c r="N66" s="4"/>
    </row>
    <row r="67" spans="1:14" ht="22" customHeight="1" x14ac:dyDescent="0.35">
      <c r="A67" s="6">
        <f>Cashflows!A21</f>
        <v>18</v>
      </c>
      <c r="B67" s="12">
        <f>Cashflows!L21</f>
        <v>0</v>
      </c>
      <c r="C67" s="13">
        <f>Cashflows!N21</f>
        <v>0</v>
      </c>
      <c r="D67" s="4"/>
      <c r="E67" s="4"/>
      <c r="F67" s="4"/>
      <c r="G67" s="4"/>
      <c r="H67" s="4"/>
      <c r="I67" s="4"/>
      <c r="J67" s="4"/>
      <c r="K67" s="4"/>
      <c r="L67" s="4"/>
      <c r="M67" s="4"/>
      <c r="N67" s="4"/>
    </row>
    <row r="68" spans="1:14" ht="22" customHeight="1" x14ac:dyDescent="0.35">
      <c r="A68" s="6">
        <f>Cashflows!A22</f>
        <v>19</v>
      </c>
      <c r="B68" s="12">
        <f>Cashflows!L22</f>
        <v>0</v>
      </c>
      <c r="C68" s="13">
        <f>Cashflows!N22</f>
        <v>0</v>
      </c>
      <c r="D68" s="4"/>
      <c r="E68" s="4"/>
      <c r="F68" s="4"/>
      <c r="G68" s="4"/>
      <c r="H68" s="4"/>
      <c r="I68" s="4"/>
      <c r="J68" s="4"/>
      <c r="K68" s="4"/>
      <c r="L68" s="4"/>
      <c r="M68" s="4"/>
      <c r="N68" s="4"/>
    </row>
    <row r="69" spans="1:14" ht="22" customHeight="1" x14ac:dyDescent="0.35">
      <c r="A69" s="6">
        <f>Cashflows!A23</f>
        <v>20</v>
      </c>
      <c r="B69" s="12">
        <f>Cashflows!L23</f>
        <v>0</v>
      </c>
      <c r="C69" s="13">
        <f>Cashflows!N23</f>
        <v>0</v>
      </c>
      <c r="D69" s="4"/>
      <c r="E69" s="4"/>
      <c r="F69" s="4"/>
      <c r="G69" s="4"/>
      <c r="H69" s="4"/>
      <c r="I69" s="4"/>
      <c r="J69" s="4"/>
      <c r="K69" s="4"/>
      <c r="L69" s="4"/>
      <c r="M69" s="4"/>
      <c r="N69" s="4"/>
    </row>
    <row r="70" spans="1:14" ht="22" customHeight="1" x14ac:dyDescent="0.35">
      <c r="A70" s="6">
        <f>Cashflows!A24</f>
        <v>21</v>
      </c>
      <c r="B70" s="12">
        <f>Cashflows!L24</f>
        <v>0</v>
      </c>
      <c r="C70" s="13">
        <f>Cashflows!N24</f>
        <v>0</v>
      </c>
      <c r="D70" s="4"/>
      <c r="E70" s="4"/>
      <c r="F70" s="4"/>
      <c r="G70" s="4"/>
      <c r="H70" s="4"/>
      <c r="I70" s="4"/>
      <c r="J70" s="4"/>
      <c r="K70" s="4"/>
      <c r="L70" s="4"/>
      <c r="M70" s="4"/>
      <c r="N70" s="4"/>
    </row>
    <row r="71" spans="1:14" ht="22" customHeight="1" x14ac:dyDescent="0.35">
      <c r="A71" s="6">
        <f>Cashflows!A25</f>
        <v>22</v>
      </c>
      <c r="B71" s="12">
        <f>Cashflows!L25</f>
        <v>0</v>
      </c>
      <c r="C71" s="13">
        <f>Cashflows!N25</f>
        <v>0</v>
      </c>
      <c r="D71" s="4"/>
      <c r="E71" s="4"/>
      <c r="F71" s="4"/>
      <c r="G71" s="4"/>
      <c r="H71" s="4"/>
      <c r="I71" s="4"/>
      <c r="J71" s="4"/>
      <c r="K71" s="4"/>
      <c r="L71" s="4"/>
      <c r="M71" s="4"/>
      <c r="N71" s="4"/>
    </row>
    <row r="72" spans="1:14" ht="22" customHeight="1" x14ac:dyDescent="0.35">
      <c r="A72" s="6">
        <f>Cashflows!A26</f>
        <v>23</v>
      </c>
      <c r="B72" s="12">
        <f>Cashflows!L26</f>
        <v>0</v>
      </c>
      <c r="C72" s="13">
        <f>Cashflows!N26</f>
        <v>0</v>
      </c>
      <c r="D72" s="4"/>
      <c r="E72" s="4"/>
      <c r="F72" s="4"/>
      <c r="G72" s="4"/>
      <c r="H72" s="4"/>
      <c r="I72" s="4"/>
      <c r="J72" s="4"/>
      <c r="K72" s="4"/>
      <c r="L72" s="4"/>
      <c r="M72" s="4"/>
      <c r="N72" s="4"/>
    </row>
    <row r="73" spans="1:14" ht="22" customHeight="1" x14ac:dyDescent="0.35">
      <c r="A73" s="6">
        <f>Cashflows!A27</f>
        <v>24</v>
      </c>
      <c r="B73" s="12">
        <f>Cashflows!L27</f>
        <v>0</v>
      </c>
      <c r="C73" s="13">
        <f>Cashflows!N27</f>
        <v>0</v>
      </c>
      <c r="D73" s="4"/>
      <c r="E73" s="4"/>
      <c r="F73" s="4"/>
      <c r="G73" s="4"/>
      <c r="H73" s="4"/>
      <c r="I73" s="4"/>
      <c r="J73" s="4"/>
      <c r="K73" s="4"/>
      <c r="L73" s="4"/>
      <c r="M73" s="4"/>
      <c r="N73" s="4"/>
    </row>
    <row r="74" spans="1:14" ht="22" customHeight="1" x14ac:dyDescent="0.35">
      <c r="A74" s="6">
        <f>Cashflows!A28</f>
        <v>25</v>
      </c>
      <c r="B74" s="12">
        <f>Cashflows!L28</f>
        <v>0</v>
      </c>
      <c r="C74" s="13">
        <f>Cashflows!N28</f>
        <v>0</v>
      </c>
      <c r="D74" s="4"/>
      <c r="E74" s="4"/>
      <c r="F74" s="4"/>
      <c r="G74" s="4"/>
      <c r="H74" s="4"/>
      <c r="I74" s="4"/>
      <c r="J74" s="4"/>
      <c r="K74" s="4"/>
      <c r="L74" s="4"/>
      <c r="M74" s="4"/>
      <c r="N74" s="4"/>
    </row>
    <row r="75" spans="1:14" ht="22" customHeight="1" x14ac:dyDescent="0.35">
      <c r="A75" s="6">
        <f>Cashflows!A29</f>
        <v>26</v>
      </c>
      <c r="B75" s="12">
        <f>Cashflows!L29</f>
        <v>0</v>
      </c>
      <c r="C75" s="13">
        <f>Cashflows!N29</f>
        <v>0</v>
      </c>
      <c r="D75" s="4"/>
      <c r="E75" s="4"/>
      <c r="F75" s="4"/>
      <c r="G75" s="4"/>
      <c r="H75" s="4"/>
      <c r="I75" s="4"/>
      <c r="J75" s="4"/>
      <c r="K75" s="4"/>
      <c r="L75" s="4"/>
      <c r="M75" s="4"/>
      <c r="N75" s="4"/>
    </row>
    <row r="76" spans="1:14" ht="22" customHeight="1" x14ac:dyDescent="0.35">
      <c r="A76" s="6">
        <f>Cashflows!A30</f>
        <v>27</v>
      </c>
      <c r="B76" s="12">
        <f>Cashflows!L30</f>
        <v>0</v>
      </c>
      <c r="C76" s="13">
        <f>Cashflows!N30</f>
        <v>0</v>
      </c>
      <c r="D76" s="4"/>
      <c r="E76" s="4"/>
      <c r="F76" s="4"/>
      <c r="G76" s="4"/>
      <c r="H76" s="4"/>
      <c r="I76" s="4"/>
      <c r="J76" s="4"/>
      <c r="K76" s="4"/>
      <c r="L76" s="4"/>
      <c r="M76" s="4"/>
      <c r="N76" s="4"/>
    </row>
    <row r="77" spans="1:14" ht="22" customHeight="1" x14ac:dyDescent="0.35">
      <c r="A77" s="6">
        <f>Cashflows!A31</f>
        <v>28</v>
      </c>
      <c r="B77" s="12">
        <f>Cashflows!L31</f>
        <v>0</v>
      </c>
      <c r="C77" s="13">
        <f>Cashflows!N31</f>
        <v>0</v>
      </c>
      <c r="D77" s="4"/>
      <c r="E77" s="4"/>
      <c r="F77" s="4"/>
      <c r="G77" s="4"/>
      <c r="H77" s="4"/>
      <c r="I77" s="4"/>
      <c r="J77" s="4"/>
      <c r="K77" s="4"/>
      <c r="L77" s="4"/>
      <c r="M77" s="4"/>
      <c r="N77" s="4"/>
    </row>
    <row r="78" spans="1:14" ht="22" customHeight="1" x14ac:dyDescent="0.35">
      <c r="A78" s="6">
        <f>Cashflows!A32</f>
        <v>29</v>
      </c>
      <c r="B78" s="12">
        <f>Cashflows!L32</f>
        <v>0</v>
      </c>
      <c r="C78" s="13">
        <f>Cashflows!N32</f>
        <v>0</v>
      </c>
      <c r="D78" s="4"/>
      <c r="E78" s="4"/>
      <c r="F78" s="4"/>
      <c r="G78" s="4"/>
      <c r="H78" s="4"/>
      <c r="I78" s="4"/>
      <c r="J78" s="4"/>
      <c r="K78" s="4"/>
      <c r="L78" s="4"/>
      <c r="M78" s="4"/>
      <c r="N78" s="4"/>
    </row>
    <row r="79" spans="1:14" ht="22" customHeight="1" x14ac:dyDescent="0.35">
      <c r="A79" s="6">
        <f>Cashflows!A33</f>
        <v>30</v>
      </c>
      <c r="B79" s="12">
        <f>Cashflows!L33</f>
        <v>0</v>
      </c>
      <c r="C79" s="13">
        <f>Cashflows!N33</f>
        <v>0</v>
      </c>
      <c r="D79" s="4"/>
      <c r="E79" s="4"/>
      <c r="F79" s="4"/>
      <c r="G79" s="4"/>
      <c r="H79" s="4"/>
      <c r="I79" s="4"/>
      <c r="J79" s="4"/>
      <c r="K79" s="4"/>
      <c r="L79" s="4"/>
      <c r="M79" s="4"/>
      <c r="N79" s="4"/>
    </row>
    <row r="80" spans="1:14" ht="22" customHeight="1" x14ac:dyDescent="0.35">
      <c r="A80" s="6">
        <f>Cashflows!A34</f>
        <v>31</v>
      </c>
      <c r="B80" s="12">
        <f>Cashflows!L34</f>
        <v>0</v>
      </c>
      <c r="C80" s="13">
        <f>Cashflows!N34</f>
        <v>0</v>
      </c>
      <c r="D80" s="4"/>
      <c r="E80" s="4"/>
      <c r="F80" s="4"/>
      <c r="G80" s="4"/>
      <c r="H80" s="4"/>
      <c r="I80" s="4"/>
      <c r="J80" s="4"/>
      <c r="K80" s="4"/>
      <c r="L80" s="4"/>
      <c r="M80" s="4"/>
      <c r="N80" s="4"/>
    </row>
    <row r="81" spans="1:14" ht="22" customHeight="1" x14ac:dyDescent="0.35">
      <c r="A81" s="6">
        <f>Cashflows!A35</f>
        <v>32</v>
      </c>
      <c r="B81" s="12">
        <f>Cashflows!L35</f>
        <v>0</v>
      </c>
      <c r="C81" s="13">
        <f>Cashflows!N35</f>
        <v>0</v>
      </c>
      <c r="D81" s="4"/>
      <c r="E81" s="4"/>
      <c r="F81" s="4"/>
      <c r="G81" s="4"/>
      <c r="H81" s="4"/>
      <c r="I81" s="4"/>
      <c r="J81" s="4"/>
      <c r="K81" s="4"/>
      <c r="L81" s="4"/>
      <c r="M81" s="4"/>
      <c r="N81" s="4"/>
    </row>
    <row r="82" spans="1:14" ht="14.5" x14ac:dyDescent="0.35">
      <c r="A82" s="6">
        <f>Cashflows!A36</f>
        <v>33</v>
      </c>
      <c r="B82" s="14">
        <f>Cashflows!L36</f>
        <v>0</v>
      </c>
      <c r="C82" s="15">
        <f>Cashflows!N36</f>
        <v>0</v>
      </c>
    </row>
    <row r="83" spans="1:14" ht="14.5" x14ac:dyDescent="0.35">
      <c r="A83" s="6">
        <f>Cashflows!A37</f>
        <v>34</v>
      </c>
      <c r="B83" s="14">
        <f>Cashflows!L37</f>
        <v>0</v>
      </c>
      <c r="C83" s="15">
        <f>Cashflows!N37</f>
        <v>0</v>
      </c>
    </row>
    <row r="84" spans="1:14" ht="14.5" x14ac:dyDescent="0.35">
      <c r="A84" s="6">
        <f>Cashflows!A38</f>
        <v>35</v>
      </c>
      <c r="B84" s="14">
        <f>Cashflows!L38</f>
        <v>0</v>
      </c>
      <c r="C84" s="15">
        <f>Cashflows!N38</f>
        <v>0</v>
      </c>
    </row>
    <row r="85" spans="1:14" ht="14.5" x14ac:dyDescent="0.35">
      <c r="A85" s="6">
        <f>Cashflows!A39</f>
        <v>36</v>
      </c>
      <c r="B85" s="14">
        <f>Cashflows!L39</f>
        <v>0</v>
      </c>
      <c r="C85" s="15">
        <f>Cashflows!N39</f>
        <v>0</v>
      </c>
    </row>
    <row r="86" spans="1:14" ht="14.5" x14ac:dyDescent="0.35">
      <c r="A86" s="6">
        <f>Cashflows!A40</f>
        <v>37</v>
      </c>
      <c r="B86" s="14">
        <f>Cashflows!L40</f>
        <v>0</v>
      </c>
      <c r="C86" s="15">
        <f>Cashflows!N40</f>
        <v>0</v>
      </c>
    </row>
    <row r="87" spans="1:14" ht="14.5" x14ac:dyDescent="0.35">
      <c r="A87" s="6">
        <f>Cashflows!A41</f>
        <v>38</v>
      </c>
      <c r="B87" s="14">
        <f>Cashflows!L41</f>
        <v>0</v>
      </c>
      <c r="C87" s="15">
        <f>Cashflows!N41</f>
        <v>0</v>
      </c>
    </row>
    <row r="88" spans="1:14" ht="14.5" x14ac:dyDescent="0.35">
      <c r="A88" s="6">
        <f>Cashflows!A42</f>
        <v>39</v>
      </c>
      <c r="B88" s="14">
        <f>Cashflows!L42</f>
        <v>0</v>
      </c>
      <c r="C88" s="15">
        <f>Cashflows!N42</f>
        <v>0</v>
      </c>
    </row>
    <row r="89" spans="1:14" ht="15" thickBot="1" x14ac:dyDescent="0.4">
      <c r="A89" s="16">
        <f>Cashflows!A43</f>
        <v>40</v>
      </c>
      <c r="B89" s="17">
        <f>Cashflows!L43</f>
        <v>0</v>
      </c>
      <c r="C89" s="18">
        <f>Cashflows!N43</f>
        <v>0</v>
      </c>
    </row>
  </sheetData>
  <mergeCells count="24">
    <mergeCell ref="A1:L1"/>
    <mergeCell ref="A2:L2"/>
    <mergeCell ref="A4:D4"/>
    <mergeCell ref="A5:D5"/>
    <mergeCell ref="E4:H4"/>
    <mergeCell ref="E5:H5"/>
    <mergeCell ref="I4:L4"/>
    <mergeCell ref="I5:L5"/>
    <mergeCell ref="A7:D7"/>
    <mergeCell ref="A8:D8"/>
    <mergeCell ref="E7:H7"/>
    <mergeCell ref="E8:H8"/>
    <mergeCell ref="I7:L7"/>
    <mergeCell ref="I8:L8"/>
    <mergeCell ref="A10:L10"/>
    <mergeCell ref="A12:F12"/>
    <mergeCell ref="G12:L12"/>
    <mergeCell ref="A30:F30"/>
    <mergeCell ref="G31:L31"/>
    <mergeCell ref="G44:L46"/>
    <mergeCell ref="G32:L34"/>
    <mergeCell ref="G35:L37"/>
    <mergeCell ref="G38:L40"/>
    <mergeCell ref="G41:L43"/>
  </mergeCells>
  <conditionalFormatting sqref="A4">
    <cfRule type="cellIs" dxfId="33" priority="2" operator="equal">
      <formula>"PASS"</formula>
    </cfRule>
    <cfRule type="cellIs" dxfId="32" priority="3" operator="notEqual">
      <formula>"PASS"</formula>
    </cfRule>
  </conditionalFormatting>
  <conditionalFormatting sqref="A15">
    <cfRule type="cellIs" dxfId="31" priority="8" operator="lessThan">
      <formula>0</formula>
    </cfRule>
  </conditionalFormatting>
  <conditionalFormatting sqref="C9">
    <cfRule type="cellIs" dxfId="30" priority="6" operator="lessThan">
      <formula>0</formula>
    </cfRule>
  </conditionalFormatting>
  <conditionalFormatting sqref="C15">
    <cfRule type="cellIs" dxfId="29" priority="9" operator="lessThan">
      <formula>0</formula>
    </cfRule>
  </conditionalFormatting>
  <conditionalFormatting sqref="D4">
    <cfRule type="cellIs" dxfId="28" priority="5" operator="notEqual">
      <formula>"Base"</formula>
    </cfRule>
  </conditionalFormatting>
  <conditionalFormatting sqref="H4">
    <cfRule type="cellIs" dxfId="27" priority="4" operator="notEqual">
      <formula>"CURRENT"</formula>
    </cfRule>
  </conditionalFormatting>
  <conditionalFormatting sqref="I9">
    <cfRule type="cellIs" dxfId="26" priority="7" operator="lessThan">
      <formula>0</formula>
    </cfRule>
  </conditionalFormatting>
  <conditionalFormatting sqref="K9">
    <cfRule type="expression" dxfId="25" priority="10">
      <formula>LEFT(K9,4)="LOSS"</formula>
    </cfRule>
  </conditionalFormatting>
  <conditionalFormatting sqref="K15">
    <cfRule type="expression" dxfId="24" priority="11">
      <formula>K15="ONEROUS"</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C90"/>
  <sheetViews>
    <sheetView zoomScaleNormal="100" workbookViewId="0">
      <selection activeCell="B12" sqref="B12"/>
    </sheetView>
  </sheetViews>
  <sheetFormatPr defaultColWidth="8.6328125" defaultRowHeight="13" x14ac:dyDescent="0.3"/>
  <cols>
    <col min="1" max="1" width="34" style="5" customWidth="1"/>
    <col min="2" max="2" width="20" style="5" customWidth="1"/>
    <col min="3" max="3" width="13.453125" style="5" bestFit="1" customWidth="1"/>
    <col min="4" max="4" width="37.6328125" style="5" customWidth="1"/>
    <col min="5" max="5" width="20" style="5" customWidth="1"/>
    <col min="6" max="6" width="3" style="5" customWidth="1"/>
    <col min="7" max="7" width="34" style="5" customWidth="1"/>
    <col min="8" max="8" width="18" style="5" customWidth="1"/>
    <col min="9" max="9" width="12" style="5" customWidth="1"/>
    <col min="10" max="10" width="3" style="5" customWidth="1"/>
    <col min="11" max="11" width="22" style="5" customWidth="1"/>
    <col min="12" max="16384" width="8.6328125" style="5"/>
  </cols>
  <sheetData>
    <row r="1" spans="1:133" ht="23.5" customHeight="1" x14ac:dyDescent="0.3">
      <c r="A1" s="23" t="s">
        <v>523</v>
      </c>
      <c r="B1" s="24"/>
      <c r="C1" s="24"/>
      <c r="D1" s="24"/>
      <c r="E1" s="24"/>
      <c r="F1" s="24"/>
      <c r="G1" s="24"/>
      <c r="H1" s="24"/>
      <c r="I1" s="24"/>
      <c r="J1" s="24"/>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row>
    <row r="2" spans="1:133" ht="13.5" thickBot="1" x14ac:dyDescent="0.35">
      <c r="A2" s="45" t="s">
        <v>628</v>
      </c>
      <c r="B2" s="26"/>
      <c r="C2" s="26"/>
      <c r="D2" s="26"/>
      <c r="E2" s="26"/>
      <c r="F2" s="26"/>
      <c r="G2" s="26"/>
      <c r="H2" s="26"/>
      <c r="I2" s="26"/>
      <c r="J2" s="26"/>
      <c r="K2" s="26"/>
    </row>
    <row r="3" spans="1:133" ht="21.75" customHeight="1" thickBot="1" x14ac:dyDescent="0.35">
      <c r="C3" s="26"/>
      <c r="D3" s="50" t="s">
        <v>0</v>
      </c>
      <c r="E3" s="51" t="str">
        <f>'Premium Calculation'!B27</f>
        <v>VALID</v>
      </c>
      <c r="F3" s="26"/>
      <c r="G3" s="50" t="s">
        <v>1</v>
      </c>
      <c r="H3" s="51" t="str">
        <f>Sensitivities!C16</f>
        <v>Base</v>
      </c>
      <c r="I3" s="26"/>
      <c r="J3" s="26"/>
      <c r="K3" s="26"/>
    </row>
    <row r="4" spans="1:133" ht="13.5" thickBot="1" x14ac:dyDescent="0.35">
      <c r="A4" s="26"/>
      <c r="B4" s="26"/>
      <c r="C4" s="26"/>
      <c r="D4" s="26"/>
      <c r="E4" s="26"/>
      <c r="F4" s="26"/>
      <c r="G4" s="26"/>
      <c r="H4" s="26"/>
      <c r="I4" s="26"/>
      <c r="J4" s="26"/>
      <c r="K4" s="27"/>
    </row>
    <row r="5" spans="1:133" x14ac:dyDescent="0.3">
      <c r="A5" s="29" t="s">
        <v>2</v>
      </c>
      <c r="B5" s="30"/>
      <c r="C5" s="26"/>
      <c r="D5" s="29" t="s">
        <v>3</v>
      </c>
      <c r="E5" s="30"/>
      <c r="F5" s="26"/>
      <c r="G5" s="29" t="s">
        <v>631</v>
      </c>
      <c r="H5" s="43"/>
      <c r="I5" s="30"/>
      <c r="J5" s="26"/>
      <c r="K5" s="26"/>
    </row>
    <row r="6" spans="1:133" ht="27.75" customHeight="1" x14ac:dyDescent="0.3">
      <c r="A6" s="47" t="s">
        <v>4</v>
      </c>
      <c r="B6" s="32">
        <v>24</v>
      </c>
      <c r="C6" s="26"/>
      <c r="D6" s="47" t="s">
        <v>5</v>
      </c>
      <c r="E6" s="38">
        <f>'Premium Calculation'!B29</f>
        <v>562.44258371429942</v>
      </c>
      <c r="F6" s="26"/>
      <c r="G6" s="47" t="s">
        <v>6</v>
      </c>
      <c r="H6" s="462">
        <f>'Profit Testing'!B7</f>
        <v>344.85010931984226</v>
      </c>
      <c r="I6" s="463"/>
      <c r="J6" s="26"/>
      <c r="K6" s="26"/>
    </row>
    <row r="7" spans="1:133" x14ac:dyDescent="0.3">
      <c r="A7" s="47" t="s">
        <v>7</v>
      </c>
      <c r="B7" s="33" t="s">
        <v>8</v>
      </c>
      <c r="C7" s="26"/>
      <c r="D7" s="47" t="s">
        <v>9</v>
      </c>
      <c r="E7" s="38">
        <f>'Premium Calculation'!B21</f>
        <v>46.870215309524951</v>
      </c>
      <c r="F7" s="26"/>
      <c r="G7" s="47" t="s">
        <v>10</v>
      </c>
      <c r="H7" s="464">
        <f>'Profit Testing'!B8</f>
        <v>0.1046195354490758</v>
      </c>
      <c r="I7" s="465"/>
      <c r="J7" s="26"/>
      <c r="K7" s="26"/>
    </row>
    <row r="8" spans="1:133" x14ac:dyDescent="0.3">
      <c r="A8" s="47" t="s">
        <v>11</v>
      </c>
      <c r="B8" s="33" t="s">
        <v>104</v>
      </c>
      <c r="C8" s="26"/>
      <c r="D8" s="47" t="s">
        <v>13</v>
      </c>
      <c r="E8" s="39">
        <f>IFERROR('Premium Calculation'!B22/('Premium Calculation'!B23-'Premium Calculation'!B24-'Premium Calculation'!B25*'Premium Calculation'!B23),NA())</f>
        <v>546.06076088766929</v>
      </c>
      <c r="F8" s="26"/>
      <c r="G8" s="47" t="s">
        <v>14</v>
      </c>
      <c r="H8" s="466">
        <f>Assumptions!C16</f>
        <v>0.08</v>
      </c>
      <c r="I8" s="467"/>
      <c r="J8" s="26"/>
      <c r="K8" s="26"/>
    </row>
    <row r="9" spans="1:133" x14ac:dyDescent="0.3">
      <c r="A9" s="47" t="s">
        <v>15</v>
      </c>
      <c r="B9" s="33" t="s">
        <v>106</v>
      </c>
      <c r="C9" s="26"/>
      <c r="D9" s="47" t="s">
        <v>17</v>
      </c>
      <c r="E9" s="40">
        <f>IFERROR(E8*(1+Assumptions!C29)/12,NA())</f>
        <v>46.870215309524951</v>
      </c>
      <c r="F9" s="26"/>
      <c r="G9" s="47" t="s">
        <v>18</v>
      </c>
      <c r="H9" s="468">
        <f>'Profit Testing'!B9</f>
        <v>6</v>
      </c>
      <c r="I9" s="469"/>
      <c r="J9" s="26"/>
      <c r="K9" s="26"/>
    </row>
    <row r="10" spans="1:133" x14ac:dyDescent="0.3">
      <c r="A10" s="47" t="s">
        <v>19</v>
      </c>
      <c r="B10" s="34">
        <v>100000</v>
      </c>
      <c r="C10" s="26"/>
      <c r="D10" s="47" t="s">
        <v>20</v>
      </c>
      <c r="E10" s="41">
        <f>'Premium Calculation'!B20</f>
        <v>5.6244258371429945</v>
      </c>
      <c r="F10" s="26"/>
      <c r="G10" s="47" t="s">
        <v>21</v>
      </c>
      <c r="H10" s="470">
        <f>'Profit Testing'!B4</f>
        <v>3296.2305542610648</v>
      </c>
      <c r="I10" s="471"/>
      <c r="J10" s="26"/>
      <c r="K10" s="26"/>
    </row>
    <row r="11" spans="1:133" ht="13.5" thickBot="1" x14ac:dyDescent="0.35">
      <c r="A11" s="47" t="s">
        <v>22</v>
      </c>
      <c r="B11" s="32">
        <v>10</v>
      </c>
      <c r="C11" s="26"/>
      <c r="D11" s="63" t="s">
        <v>23</v>
      </c>
      <c r="E11" s="42" t="str">
        <f>IF(ISBLANK('Premium Calculation'!B28),"Solved to target NBM","Override in Term Life Pricing B28")</f>
        <v>Solved to target NBM</v>
      </c>
      <c r="F11" s="26"/>
      <c r="G11" s="63" t="s">
        <v>24</v>
      </c>
      <c r="H11" s="459" t="str">
        <f>IF('Profit Testing'!B7&lt;0,"Loss-making",IF('Profit Testing'!B8&gt;=Assumptions!C16-0.000001,"At or above target","Below target"))</f>
        <v>At or above target</v>
      </c>
      <c r="I11" s="460"/>
      <c r="J11" s="26"/>
      <c r="K11" s="26"/>
    </row>
    <row r="12" spans="1:133" x14ac:dyDescent="0.3">
      <c r="A12" s="47" t="s">
        <v>25</v>
      </c>
      <c r="B12" s="33" t="s">
        <v>114</v>
      </c>
      <c r="C12" s="26"/>
      <c r="D12" s="44" t="s">
        <v>630</v>
      </c>
      <c r="E12" s="26"/>
      <c r="F12" s="26"/>
      <c r="G12" s="26"/>
      <c r="H12" s="26"/>
      <c r="I12" s="26"/>
      <c r="J12" s="26"/>
      <c r="K12" s="26"/>
    </row>
    <row r="13" spans="1:133" x14ac:dyDescent="0.3">
      <c r="A13" s="47" t="s">
        <v>27</v>
      </c>
      <c r="B13" s="33" t="s">
        <v>28</v>
      </c>
      <c r="C13" s="26"/>
      <c r="D13" s="26"/>
      <c r="E13" s="26"/>
      <c r="F13" s="26"/>
      <c r="G13" s="26"/>
      <c r="H13" s="26"/>
      <c r="I13" s="26"/>
      <c r="J13" s="26"/>
      <c r="K13" s="26"/>
    </row>
    <row r="14" spans="1:133" x14ac:dyDescent="0.3">
      <c r="A14" s="47" t="s">
        <v>29</v>
      </c>
      <c r="B14" s="35">
        <f>'Premium Calculation'!B32</f>
        <v>0.2</v>
      </c>
      <c r="C14" s="26"/>
      <c r="D14" s="26"/>
      <c r="E14" s="26"/>
      <c r="F14" s="26"/>
      <c r="G14" s="26"/>
      <c r="H14" s="26"/>
      <c r="I14" s="26"/>
      <c r="J14" s="26"/>
      <c r="K14" s="26"/>
    </row>
    <row r="15" spans="1:133" ht="13.5" thickBot="1" x14ac:dyDescent="0.35">
      <c r="A15" s="63" t="s">
        <v>30</v>
      </c>
      <c r="B15" s="37">
        <f>81-B11</f>
        <v>71</v>
      </c>
      <c r="C15" s="26"/>
      <c r="D15" s="26"/>
      <c r="E15" s="26"/>
      <c r="F15" s="26"/>
      <c r="G15" s="26"/>
      <c r="H15" s="26"/>
      <c r="I15" s="26"/>
      <c r="J15" s="26"/>
      <c r="K15" s="26"/>
    </row>
    <row r="16" spans="1:133" x14ac:dyDescent="0.3">
      <c r="A16" s="44" t="s">
        <v>629</v>
      </c>
      <c r="B16" s="26"/>
      <c r="C16" s="26"/>
      <c r="D16" s="26"/>
      <c r="E16" s="26"/>
      <c r="F16" s="26"/>
      <c r="G16" s="26"/>
      <c r="H16" s="26"/>
      <c r="I16" s="26"/>
      <c r="J16" s="26"/>
      <c r="K16" s="26"/>
    </row>
    <row r="17" spans="1:11" ht="13.5" thickBot="1" x14ac:dyDescent="0.35">
      <c r="A17" s="26"/>
      <c r="B17" s="26"/>
      <c r="C17" s="26"/>
      <c r="D17" s="26"/>
      <c r="E17" s="26"/>
      <c r="F17" s="26"/>
      <c r="G17" s="26"/>
      <c r="H17" s="26"/>
      <c r="I17" s="26"/>
      <c r="J17" s="26"/>
      <c r="K17" s="26"/>
    </row>
    <row r="18" spans="1:11" x14ac:dyDescent="0.3">
      <c r="A18" s="29" t="s">
        <v>31</v>
      </c>
      <c r="B18" s="30"/>
      <c r="C18" s="26"/>
      <c r="J18" s="26"/>
      <c r="K18" s="26"/>
    </row>
    <row r="19" spans="1:11" x14ac:dyDescent="0.3">
      <c r="A19" s="31" t="s">
        <v>32</v>
      </c>
      <c r="B19" s="46">
        <f>Reinsurance!B4</f>
        <v>100000</v>
      </c>
      <c r="C19" s="26"/>
      <c r="J19" s="26"/>
      <c r="K19" s="26"/>
    </row>
    <row r="20" spans="1:11" x14ac:dyDescent="0.3">
      <c r="A20" s="31" t="s">
        <v>33</v>
      </c>
      <c r="B20" s="46">
        <f>Reinsurance!D4</f>
        <v>100000</v>
      </c>
      <c r="C20" s="26"/>
      <c r="J20" s="26"/>
      <c r="K20" s="26"/>
    </row>
    <row r="21" spans="1:11" x14ac:dyDescent="0.3">
      <c r="A21" s="31" t="s">
        <v>34</v>
      </c>
      <c r="B21" s="46">
        <f>Reinsurance!C4</f>
        <v>0</v>
      </c>
      <c r="C21" s="26"/>
      <c r="J21" s="26"/>
      <c r="K21" s="26"/>
    </row>
    <row r="22" spans="1:11" x14ac:dyDescent="0.3">
      <c r="A22" s="31" t="s">
        <v>35</v>
      </c>
      <c r="B22" s="35">
        <f>IF(B19=0,0,B21/B19)</f>
        <v>0</v>
      </c>
      <c r="C22" s="26"/>
      <c r="J22" s="26"/>
      <c r="K22" s="26"/>
    </row>
    <row r="23" spans="1:11" x14ac:dyDescent="0.3">
      <c r="A23" s="31" t="s">
        <v>36</v>
      </c>
      <c r="B23" s="46">
        <f>Reinsurance!B9</f>
        <v>0</v>
      </c>
      <c r="C23" s="26"/>
      <c r="J23" s="26"/>
      <c r="K23" s="26"/>
    </row>
    <row r="24" spans="1:11" x14ac:dyDescent="0.3">
      <c r="A24" s="31" t="s">
        <v>37</v>
      </c>
      <c r="B24" s="46">
        <f>Reinsurance!B10</f>
        <v>0</v>
      </c>
      <c r="C24" s="26"/>
      <c r="J24" s="26"/>
      <c r="K24" s="26"/>
    </row>
    <row r="25" spans="1:11" ht="15" customHeight="1" x14ac:dyDescent="0.3">
      <c r="A25" s="47" t="s">
        <v>38</v>
      </c>
      <c r="B25" s="48">
        <f>Reinsurance!B11</f>
        <v>0</v>
      </c>
      <c r="C25" s="26"/>
      <c r="J25" s="26"/>
      <c r="K25" s="26"/>
    </row>
    <row r="26" spans="1:11" ht="13.5" thickBot="1" x14ac:dyDescent="0.35">
      <c r="A26" s="36" t="s">
        <v>39</v>
      </c>
      <c r="B26" s="49">
        <f>Reinsurance!B12</f>
        <v>344.85010931984226</v>
      </c>
      <c r="C26" s="26"/>
      <c r="J26" s="26"/>
      <c r="K26" s="26"/>
    </row>
    <row r="27" spans="1:11" x14ac:dyDescent="0.3">
      <c r="A27" s="26"/>
      <c r="B27" s="26"/>
      <c r="C27" s="26"/>
      <c r="J27" s="26"/>
      <c r="K27" s="26"/>
    </row>
    <row r="28" spans="1:11" x14ac:dyDescent="0.3">
      <c r="A28" s="26"/>
      <c r="B28" s="26"/>
      <c r="C28" s="26"/>
      <c r="D28" s="26"/>
      <c r="E28" s="26"/>
      <c r="F28" s="26"/>
      <c r="G28" s="26"/>
      <c r="H28" s="26"/>
      <c r="I28" s="26"/>
      <c r="J28" s="26"/>
      <c r="K28" s="26"/>
    </row>
    <row r="29" spans="1:11" x14ac:dyDescent="0.3">
      <c r="A29" s="26"/>
      <c r="B29" s="26"/>
      <c r="C29" s="26"/>
      <c r="D29" s="26"/>
      <c r="E29" s="26"/>
      <c r="F29" s="26"/>
      <c r="G29" s="26"/>
      <c r="H29" s="26"/>
      <c r="I29" s="26"/>
      <c r="J29" s="26"/>
      <c r="K29" s="26"/>
    </row>
    <row r="30" spans="1:11" x14ac:dyDescent="0.3">
      <c r="A30" s="26"/>
      <c r="B30" s="26"/>
      <c r="C30" s="26"/>
      <c r="D30" s="26"/>
      <c r="E30" s="26"/>
      <c r="F30" s="26"/>
      <c r="G30" s="26"/>
      <c r="H30" s="26"/>
      <c r="I30" s="26"/>
      <c r="J30" s="26"/>
      <c r="K30" s="26"/>
    </row>
    <row r="31" spans="1:11" x14ac:dyDescent="0.3">
      <c r="E31" s="26"/>
      <c r="F31" s="26"/>
      <c r="G31" s="26"/>
      <c r="H31" s="26"/>
      <c r="I31" s="26"/>
      <c r="J31" s="26"/>
      <c r="K31" s="26"/>
    </row>
    <row r="32" spans="1:11" x14ac:dyDescent="0.3">
      <c r="E32" s="26"/>
      <c r="F32" s="26"/>
      <c r="G32" s="26"/>
      <c r="H32" s="26"/>
      <c r="I32" s="26"/>
      <c r="J32" s="26"/>
      <c r="K32" s="26"/>
    </row>
    <row r="33" spans="1:11" x14ac:dyDescent="0.3">
      <c r="E33" s="26"/>
      <c r="F33" s="26"/>
      <c r="G33" s="26"/>
      <c r="H33" s="26"/>
      <c r="I33" s="26"/>
      <c r="J33" s="26"/>
      <c r="K33" s="26"/>
    </row>
    <row r="34" spans="1:11" x14ac:dyDescent="0.3">
      <c r="E34" s="26"/>
      <c r="F34" s="26"/>
      <c r="G34" s="26"/>
      <c r="H34" s="26"/>
      <c r="I34" s="26"/>
      <c r="J34" s="26"/>
      <c r="K34" s="26"/>
    </row>
    <row r="35" spans="1:11" x14ac:dyDescent="0.3">
      <c r="E35" s="26"/>
      <c r="F35" s="26"/>
      <c r="G35" s="26"/>
      <c r="H35" s="26"/>
      <c r="I35" s="26"/>
      <c r="J35" s="26"/>
      <c r="K35" s="26"/>
    </row>
    <row r="36" spans="1:11" x14ac:dyDescent="0.3">
      <c r="A36" s="461" t="s">
        <v>632</v>
      </c>
      <c r="B36" s="461"/>
      <c r="C36" s="461"/>
      <c r="D36" s="461"/>
      <c r="E36" s="461"/>
      <c r="F36" s="461"/>
      <c r="G36" s="461"/>
      <c r="H36" s="461"/>
      <c r="I36" s="461"/>
      <c r="J36" s="26"/>
      <c r="K36" s="26"/>
    </row>
    <row r="37" spans="1:11" x14ac:dyDescent="0.3">
      <c r="A37" s="461"/>
      <c r="B37" s="461"/>
      <c r="C37" s="461"/>
      <c r="D37" s="461"/>
      <c r="E37" s="461"/>
      <c r="F37" s="461"/>
      <c r="G37" s="461"/>
      <c r="H37" s="461"/>
      <c r="I37" s="461"/>
      <c r="J37" s="26"/>
      <c r="K37" s="26"/>
    </row>
    <row r="38" spans="1:11" x14ac:dyDescent="0.3">
      <c r="E38" s="26"/>
      <c r="F38" s="26"/>
      <c r="G38" s="26"/>
      <c r="H38" s="26"/>
      <c r="I38" s="26"/>
      <c r="J38" s="26"/>
      <c r="K38" s="26"/>
    </row>
    <row r="39" spans="1:11" x14ac:dyDescent="0.3">
      <c r="E39" s="26"/>
      <c r="F39" s="26"/>
      <c r="G39" s="26"/>
      <c r="H39" s="26"/>
      <c r="I39" s="26"/>
      <c r="J39" s="26"/>
      <c r="K39" s="26"/>
    </row>
    <row r="40" spans="1:11" x14ac:dyDescent="0.3">
      <c r="E40" s="26"/>
      <c r="F40" s="26"/>
      <c r="G40" s="26"/>
      <c r="H40" s="26"/>
      <c r="I40" s="26"/>
      <c r="J40" s="26"/>
      <c r="K40" s="26"/>
    </row>
    <row r="41" spans="1:11" x14ac:dyDescent="0.3">
      <c r="E41" s="26"/>
      <c r="F41" s="26"/>
      <c r="G41" s="26"/>
      <c r="H41" s="26"/>
      <c r="I41" s="26"/>
      <c r="J41" s="26"/>
      <c r="K41" s="26"/>
    </row>
    <row r="42" spans="1:11" x14ac:dyDescent="0.3">
      <c r="E42" s="26"/>
      <c r="F42" s="26"/>
      <c r="G42" s="26"/>
      <c r="H42" s="26"/>
      <c r="I42" s="26"/>
      <c r="J42" s="26"/>
      <c r="K42" s="26"/>
    </row>
    <row r="43" spans="1:11" x14ac:dyDescent="0.3">
      <c r="E43" s="26"/>
      <c r="F43" s="26"/>
      <c r="G43" s="26"/>
      <c r="H43" s="26"/>
      <c r="I43" s="26"/>
      <c r="J43" s="26"/>
      <c r="K43" s="26"/>
    </row>
    <row r="44" spans="1:11" x14ac:dyDescent="0.3">
      <c r="E44" s="26"/>
      <c r="F44" s="26"/>
      <c r="G44" s="26"/>
      <c r="H44" s="26"/>
      <c r="I44" s="26"/>
      <c r="J44" s="26"/>
      <c r="K44" s="26"/>
    </row>
    <row r="45" spans="1:11" x14ac:dyDescent="0.3">
      <c r="E45" s="26"/>
      <c r="F45" s="26"/>
      <c r="G45" s="26"/>
      <c r="H45" s="26"/>
      <c r="I45" s="26"/>
      <c r="J45" s="26"/>
      <c r="K45" s="26"/>
    </row>
    <row r="46" spans="1:11" x14ac:dyDescent="0.3">
      <c r="E46" s="26"/>
      <c r="F46" s="26"/>
      <c r="G46" s="26"/>
      <c r="H46" s="26"/>
      <c r="I46" s="26"/>
      <c r="J46" s="26"/>
      <c r="K46" s="26"/>
    </row>
    <row r="47" spans="1:11" x14ac:dyDescent="0.3">
      <c r="E47" s="26"/>
      <c r="F47" s="26"/>
      <c r="G47" s="26"/>
      <c r="H47" s="26"/>
      <c r="I47" s="26"/>
      <c r="J47" s="26"/>
      <c r="K47" s="26"/>
    </row>
    <row r="48" spans="1:11" x14ac:dyDescent="0.3">
      <c r="E48" s="26"/>
      <c r="F48" s="26"/>
      <c r="G48" s="26"/>
      <c r="H48" s="26"/>
      <c r="I48" s="26"/>
      <c r="J48" s="26"/>
      <c r="K48" s="26"/>
    </row>
    <row r="49" spans="1:11" x14ac:dyDescent="0.3">
      <c r="E49" s="26"/>
      <c r="F49" s="26"/>
      <c r="G49" s="26"/>
      <c r="H49" s="26"/>
      <c r="I49" s="26"/>
      <c r="J49" s="26"/>
      <c r="K49" s="26"/>
    </row>
    <row r="50" spans="1:11" ht="13.5" hidden="1" thickBot="1" x14ac:dyDescent="0.35">
      <c r="A50" s="54" t="s">
        <v>310</v>
      </c>
      <c r="B50" s="55" t="s">
        <v>331</v>
      </c>
      <c r="C50" s="55" t="s">
        <v>524</v>
      </c>
      <c r="D50" s="56" t="s">
        <v>525</v>
      </c>
      <c r="E50" s="26"/>
      <c r="F50" s="26"/>
      <c r="G50" s="26"/>
      <c r="H50" s="26"/>
      <c r="I50" s="26"/>
      <c r="J50" s="26"/>
      <c r="K50" s="26"/>
    </row>
    <row r="51" spans="1:11" hidden="1" x14ac:dyDescent="0.3">
      <c r="A51" s="52">
        <f>Cashflows!A4</f>
        <v>1</v>
      </c>
      <c r="B51" s="57">
        <f>Cashflows!E4</f>
        <v>562.44258371429942</v>
      </c>
      <c r="C51" s="57">
        <f>Cashflows!H4+Cashflows!I4+Cashflows!J4+Cashflows!K4</f>
        <v>1274.7576102371374</v>
      </c>
      <c r="D51" s="58">
        <f>Cashflows!L4</f>
        <v>-712.31502652283802</v>
      </c>
      <c r="E51" s="26"/>
      <c r="F51" s="26"/>
      <c r="G51" s="26"/>
      <c r="H51" s="26"/>
      <c r="I51" s="26"/>
      <c r="J51" s="26"/>
      <c r="K51" s="26"/>
    </row>
    <row r="52" spans="1:11" hidden="1" x14ac:dyDescent="0.3">
      <c r="A52" s="52">
        <f>Cashflows!A5</f>
        <v>2</v>
      </c>
      <c r="B52" s="57">
        <f>Cashflows!E5</f>
        <v>494.74026301280907</v>
      </c>
      <c r="C52" s="57">
        <f>Cashflows!H5+Cashflows!I5+Cashflows!J5+Cashflows!K5</f>
        <v>266.27368947739859</v>
      </c>
      <c r="D52" s="58">
        <f>Cashflows!L5</f>
        <v>228.4665735354105</v>
      </c>
      <c r="E52" s="26"/>
      <c r="F52" s="26"/>
      <c r="G52" s="26"/>
      <c r="H52" s="26"/>
      <c r="I52" s="26"/>
      <c r="J52" s="26"/>
      <c r="K52" s="26"/>
    </row>
    <row r="53" spans="1:11" hidden="1" x14ac:dyDescent="0.3">
      <c r="A53" s="52">
        <f>Cashflows!A6</f>
        <v>3</v>
      </c>
      <c r="B53" s="57">
        <f>Cashflows!E6</f>
        <v>444.07332380324601</v>
      </c>
      <c r="C53" s="57">
        <f>Cashflows!H6+Cashflows!I6+Cashflows!J6+Cashflows!K6</f>
        <v>249.24126117701269</v>
      </c>
      <c r="D53" s="58">
        <f>Cashflows!L6</f>
        <v>194.8320626262333</v>
      </c>
      <c r="E53" s="26"/>
      <c r="F53" s="26"/>
      <c r="G53" s="26"/>
      <c r="H53" s="26"/>
      <c r="I53" s="26"/>
      <c r="J53" s="26"/>
      <c r="K53" s="26"/>
    </row>
    <row r="54" spans="1:11" hidden="1" x14ac:dyDescent="0.3">
      <c r="A54" s="52">
        <f>Cashflows!A7</f>
        <v>4</v>
      </c>
      <c r="B54" s="57">
        <f>Cashflows!E7</f>
        <v>405.37098969138793</v>
      </c>
      <c r="C54" s="57">
        <f>Cashflows!H7+Cashflows!I7+Cashflows!J7+Cashflows!K7</f>
        <v>237.35669709214744</v>
      </c>
      <c r="D54" s="58">
        <f>Cashflows!L7</f>
        <v>168.01429259924046</v>
      </c>
      <c r="E54" s="26"/>
      <c r="F54" s="26"/>
      <c r="G54" s="26"/>
      <c r="H54" s="26"/>
      <c r="I54" s="26"/>
      <c r="J54" s="26"/>
      <c r="K54" s="26"/>
    </row>
    <row r="55" spans="1:11" hidden="1" x14ac:dyDescent="0.3">
      <c r="A55" s="52">
        <f>Cashflows!A8</f>
        <v>5</v>
      </c>
      <c r="B55" s="57">
        <f>Cashflows!E8</f>
        <v>375.29540289208734</v>
      </c>
      <c r="C55" s="57">
        <f>Cashflows!H8+Cashflows!I8+Cashflows!J8+Cashflows!K8</f>
        <v>229.33787726904364</v>
      </c>
      <c r="D55" s="58">
        <f>Cashflows!L8</f>
        <v>145.95752562304367</v>
      </c>
      <c r="E55" s="26"/>
      <c r="F55" s="26"/>
      <c r="G55" s="26"/>
      <c r="H55" s="26"/>
      <c r="I55" s="26"/>
      <c r="J55" s="26"/>
      <c r="K55" s="26"/>
    </row>
    <row r="56" spans="1:11" hidden="1" x14ac:dyDescent="0.3">
      <c r="A56" s="52">
        <f>Cashflows!A9</f>
        <v>6</v>
      </c>
      <c r="B56" s="57">
        <f>Cashflows!E9</f>
        <v>351.58184259664324</v>
      </c>
      <c r="C56" s="57">
        <f>Cashflows!H9+Cashflows!I9+Cashflows!J9+Cashflows!K9</f>
        <v>224.31263919299218</v>
      </c>
      <c r="D56" s="58">
        <f>Cashflows!L9</f>
        <v>127.26920340365106</v>
      </c>
      <c r="E56" s="26"/>
      <c r="F56" s="26"/>
      <c r="G56" s="26"/>
      <c r="H56" s="26"/>
      <c r="I56" s="26"/>
      <c r="J56" s="26"/>
      <c r="K56" s="26"/>
    </row>
    <row r="57" spans="1:11" hidden="1" x14ac:dyDescent="0.3">
      <c r="A57" s="52">
        <f>Cashflows!A10</f>
        <v>7</v>
      </c>
      <c r="B57" s="57">
        <f>Cashflows!E10</f>
        <v>332.6520984609262</v>
      </c>
      <c r="C57" s="57">
        <f>Cashflows!H10+Cashflows!I10+Cashflows!J10+Cashflows!K10</f>
        <v>221.67378435122652</v>
      </c>
      <c r="D57" s="58">
        <f>Cashflows!L10</f>
        <v>110.97831410969967</v>
      </c>
      <c r="E57" s="26"/>
      <c r="F57" s="26"/>
      <c r="G57" s="26"/>
      <c r="H57" s="26"/>
      <c r="I57" s="26"/>
      <c r="J57" s="26"/>
      <c r="K57" s="26"/>
    </row>
    <row r="58" spans="1:11" hidden="1" x14ac:dyDescent="0.3">
      <c r="A58" s="52">
        <f>Cashflows!A11</f>
        <v>8</v>
      </c>
      <c r="B58" s="57">
        <f>Cashflows!E11</f>
        <v>317.37999864823809</v>
      </c>
      <c r="C58" s="57">
        <f>Cashflows!H11+Cashflows!I11+Cashflows!J11+Cashflows!K11</f>
        <v>220.99038908361229</v>
      </c>
      <c r="D58" s="58">
        <f>Cashflows!L11</f>
        <v>96.389609564625786</v>
      </c>
      <c r="E58" s="26"/>
      <c r="F58" s="26"/>
      <c r="G58" s="26"/>
      <c r="H58" s="26"/>
      <c r="I58" s="26"/>
      <c r="J58" s="26"/>
      <c r="K58" s="26"/>
    </row>
    <row r="59" spans="1:11" hidden="1" x14ac:dyDescent="0.3">
      <c r="A59" s="52">
        <f>Cashflows!A12</f>
        <v>9</v>
      </c>
      <c r="B59" s="57">
        <f>Cashflows!E12</f>
        <v>304.944803697483</v>
      </c>
      <c r="C59" s="57">
        <f>Cashflows!H12+Cashflows!I12+Cashflows!J12+Cashflows!K12</f>
        <v>221.95191387305519</v>
      </c>
      <c r="D59" s="58">
        <f>Cashflows!L12</f>
        <v>82.992889824427778</v>
      </c>
      <c r="E59" s="26"/>
      <c r="F59" s="26"/>
      <c r="G59" s="26"/>
      <c r="H59" s="26"/>
      <c r="I59" s="26"/>
      <c r="J59" s="26"/>
      <c r="K59" s="26"/>
    </row>
    <row r="60" spans="1:11" hidden="1" x14ac:dyDescent="0.3">
      <c r="A60" s="52">
        <f>Cashflows!A13</f>
        <v>10</v>
      </c>
      <c r="B60" s="57">
        <f>Cashflows!E13</f>
        <v>294.7369971598477</v>
      </c>
      <c r="C60" s="57">
        <f>Cashflows!H13+Cashflows!I13+Cashflows!J13+Cashflows!K13</f>
        <v>224.33203540691744</v>
      </c>
      <c r="D60" s="58">
        <f>Cashflows!L13</f>
        <v>70.404961752930262</v>
      </c>
      <c r="E60" s="26"/>
      <c r="F60" s="26"/>
      <c r="G60" s="26"/>
      <c r="H60" s="26"/>
      <c r="I60" s="26"/>
      <c r="J60" s="26"/>
      <c r="K60" s="26"/>
    </row>
    <row r="61" spans="1:11" hidden="1" x14ac:dyDescent="0.3">
      <c r="A61" s="52">
        <f>Cashflows!A14</f>
        <v>11</v>
      </c>
      <c r="B61" s="57">
        <f>Cashflows!E14</f>
        <v>0</v>
      </c>
      <c r="C61" s="57">
        <f>Cashflows!H14+Cashflows!I14+Cashflows!J14+Cashflows!K14</f>
        <v>0</v>
      </c>
      <c r="D61" s="58">
        <f>Cashflows!L14</f>
        <v>0</v>
      </c>
      <c r="E61" s="26"/>
      <c r="F61" s="26"/>
      <c r="G61" s="26"/>
      <c r="H61" s="26"/>
      <c r="I61" s="26"/>
      <c r="J61" s="26"/>
      <c r="K61" s="26"/>
    </row>
    <row r="62" spans="1:11" hidden="1" x14ac:dyDescent="0.3">
      <c r="A62" s="52">
        <f>Cashflows!A15</f>
        <v>12</v>
      </c>
      <c r="B62" s="57">
        <f>Cashflows!E15</f>
        <v>0</v>
      </c>
      <c r="C62" s="57">
        <f>Cashflows!H15+Cashflows!I15+Cashflows!J15+Cashflows!K15</f>
        <v>0</v>
      </c>
      <c r="D62" s="58">
        <f>Cashflows!L15</f>
        <v>0</v>
      </c>
      <c r="E62" s="26"/>
      <c r="F62" s="26"/>
      <c r="G62" s="26"/>
      <c r="H62" s="26"/>
      <c r="I62" s="26"/>
      <c r="J62" s="26"/>
      <c r="K62" s="26"/>
    </row>
    <row r="63" spans="1:11" hidden="1" x14ac:dyDescent="0.3">
      <c r="A63" s="52">
        <f>Cashflows!A16</f>
        <v>13</v>
      </c>
      <c r="B63" s="57">
        <f>Cashflows!E16</f>
        <v>0</v>
      </c>
      <c r="C63" s="57">
        <f>Cashflows!H16+Cashflows!I16+Cashflows!J16+Cashflows!K16</f>
        <v>0</v>
      </c>
      <c r="D63" s="58">
        <f>Cashflows!L16</f>
        <v>0</v>
      </c>
      <c r="E63" s="26"/>
      <c r="F63" s="26"/>
      <c r="G63" s="26"/>
      <c r="H63" s="26"/>
      <c r="I63" s="26"/>
      <c r="J63" s="26"/>
      <c r="K63" s="26"/>
    </row>
    <row r="64" spans="1:11" hidden="1" x14ac:dyDescent="0.3">
      <c r="A64" s="52">
        <f>Cashflows!A17</f>
        <v>14</v>
      </c>
      <c r="B64" s="57">
        <f>Cashflows!E17</f>
        <v>0</v>
      </c>
      <c r="C64" s="57">
        <f>Cashflows!H17+Cashflows!I17+Cashflows!J17+Cashflows!K17</f>
        <v>0</v>
      </c>
      <c r="D64" s="58">
        <f>Cashflows!L17</f>
        <v>0</v>
      </c>
      <c r="E64" s="26"/>
      <c r="F64" s="26"/>
      <c r="G64" s="26"/>
      <c r="H64" s="26"/>
      <c r="I64" s="26"/>
      <c r="J64" s="26"/>
      <c r="K64" s="26"/>
    </row>
    <row r="65" spans="1:11" hidden="1" x14ac:dyDescent="0.3">
      <c r="A65" s="52">
        <f>Cashflows!A18</f>
        <v>15</v>
      </c>
      <c r="B65" s="57">
        <f>Cashflows!E18</f>
        <v>0</v>
      </c>
      <c r="C65" s="57">
        <f>Cashflows!H18+Cashflows!I18+Cashflows!J18+Cashflows!K18</f>
        <v>0</v>
      </c>
      <c r="D65" s="58">
        <f>Cashflows!L18</f>
        <v>0</v>
      </c>
      <c r="E65" s="26"/>
      <c r="F65" s="26"/>
      <c r="G65" s="26"/>
      <c r="H65" s="26"/>
      <c r="I65" s="26"/>
      <c r="J65" s="26"/>
      <c r="K65" s="26"/>
    </row>
    <row r="66" spans="1:11" hidden="1" x14ac:dyDescent="0.3">
      <c r="A66" s="52">
        <f>Cashflows!A19</f>
        <v>16</v>
      </c>
      <c r="B66" s="57">
        <f>Cashflows!E19</f>
        <v>0</v>
      </c>
      <c r="C66" s="57">
        <f>Cashflows!H19+Cashflows!I19+Cashflows!J19+Cashflows!K19</f>
        <v>0</v>
      </c>
      <c r="D66" s="58">
        <f>Cashflows!L19</f>
        <v>0</v>
      </c>
      <c r="E66" s="26"/>
      <c r="F66" s="26"/>
      <c r="G66" s="26"/>
      <c r="H66" s="26"/>
      <c r="I66" s="26"/>
      <c r="J66" s="26"/>
      <c r="K66" s="26"/>
    </row>
    <row r="67" spans="1:11" hidden="1" x14ac:dyDescent="0.3">
      <c r="A67" s="52">
        <f>Cashflows!A20</f>
        <v>17</v>
      </c>
      <c r="B67" s="57">
        <f>Cashflows!E20</f>
        <v>0</v>
      </c>
      <c r="C67" s="57">
        <f>Cashflows!H20+Cashflows!I20+Cashflows!J20+Cashflows!K20</f>
        <v>0</v>
      </c>
      <c r="D67" s="58">
        <f>Cashflows!L20</f>
        <v>0</v>
      </c>
      <c r="E67" s="26"/>
      <c r="F67" s="26"/>
      <c r="G67" s="26"/>
      <c r="H67" s="26"/>
      <c r="I67" s="26"/>
      <c r="J67" s="26"/>
      <c r="K67" s="26"/>
    </row>
    <row r="68" spans="1:11" hidden="1" x14ac:dyDescent="0.3">
      <c r="A68" s="52">
        <f>Cashflows!A21</f>
        <v>18</v>
      </c>
      <c r="B68" s="57">
        <f>Cashflows!E21</f>
        <v>0</v>
      </c>
      <c r="C68" s="57">
        <f>Cashflows!H21+Cashflows!I21+Cashflows!J21+Cashflows!K21</f>
        <v>0</v>
      </c>
      <c r="D68" s="58">
        <f>Cashflows!L21</f>
        <v>0</v>
      </c>
      <c r="E68" s="26"/>
      <c r="F68" s="26"/>
      <c r="G68" s="26"/>
      <c r="H68" s="26"/>
      <c r="I68" s="26"/>
      <c r="J68" s="26"/>
      <c r="K68" s="26"/>
    </row>
    <row r="69" spans="1:11" hidden="1" x14ac:dyDescent="0.3">
      <c r="A69" s="52">
        <f>Cashflows!A22</f>
        <v>19</v>
      </c>
      <c r="B69" s="57">
        <f>Cashflows!E22</f>
        <v>0</v>
      </c>
      <c r="C69" s="57">
        <f>Cashflows!H22+Cashflows!I22+Cashflows!J22+Cashflows!K22</f>
        <v>0</v>
      </c>
      <c r="D69" s="58">
        <f>Cashflows!L22</f>
        <v>0</v>
      </c>
      <c r="E69" s="26"/>
      <c r="F69" s="26"/>
      <c r="G69" s="26"/>
      <c r="H69" s="26"/>
      <c r="I69" s="26"/>
      <c r="J69" s="26"/>
      <c r="K69" s="26"/>
    </row>
    <row r="70" spans="1:11" hidden="1" x14ac:dyDescent="0.3">
      <c r="A70" s="52">
        <f>Cashflows!A23</f>
        <v>20</v>
      </c>
      <c r="B70" s="57">
        <f>Cashflows!E23</f>
        <v>0</v>
      </c>
      <c r="C70" s="57">
        <f>Cashflows!H23+Cashflows!I23+Cashflows!J23+Cashflows!K23</f>
        <v>0</v>
      </c>
      <c r="D70" s="58">
        <f>Cashflows!L23</f>
        <v>0</v>
      </c>
      <c r="E70" s="26"/>
      <c r="F70" s="26"/>
      <c r="G70" s="26"/>
      <c r="H70" s="26"/>
      <c r="I70" s="26"/>
      <c r="J70" s="26"/>
      <c r="K70" s="26"/>
    </row>
    <row r="71" spans="1:11" hidden="1" x14ac:dyDescent="0.3">
      <c r="A71" s="52">
        <f>Cashflows!A24</f>
        <v>21</v>
      </c>
      <c r="B71" s="57">
        <f>Cashflows!E24</f>
        <v>0</v>
      </c>
      <c r="C71" s="57">
        <f>Cashflows!H24+Cashflows!I24+Cashflows!J24+Cashflows!K24</f>
        <v>0</v>
      </c>
      <c r="D71" s="58">
        <f>Cashflows!L24</f>
        <v>0</v>
      </c>
      <c r="E71" s="26"/>
      <c r="F71" s="26"/>
      <c r="G71" s="26"/>
      <c r="H71" s="26"/>
      <c r="I71" s="26"/>
      <c r="J71" s="26"/>
      <c r="K71" s="26"/>
    </row>
    <row r="72" spans="1:11" hidden="1" x14ac:dyDescent="0.3">
      <c r="A72" s="52">
        <f>Cashflows!A25</f>
        <v>22</v>
      </c>
      <c r="B72" s="57">
        <f>Cashflows!E25</f>
        <v>0</v>
      </c>
      <c r="C72" s="57">
        <f>Cashflows!H25+Cashflows!I25+Cashflows!J25+Cashflows!K25</f>
        <v>0</v>
      </c>
      <c r="D72" s="58">
        <f>Cashflows!L25</f>
        <v>0</v>
      </c>
    </row>
    <row r="73" spans="1:11" hidden="1" x14ac:dyDescent="0.3">
      <c r="A73" s="52">
        <f>Cashflows!A26</f>
        <v>23</v>
      </c>
      <c r="B73" s="57">
        <f>Cashflows!E26</f>
        <v>0</v>
      </c>
      <c r="C73" s="57">
        <f>Cashflows!H26+Cashflows!I26+Cashflows!J26+Cashflows!K26</f>
        <v>0</v>
      </c>
      <c r="D73" s="58">
        <f>Cashflows!L26</f>
        <v>0</v>
      </c>
    </row>
    <row r="74" spans="1:11" hidden="1" x14ac:dyDescent="0.3">
      <c r="A74" s="52">
        <f>Cashflows!A27</f>
        <v>24</v>
      </c>
      <c r="B74" s="57">
        <f>Cashflows!E27</f>
        <v>0</v>
      </c>
      <c r="C74" s="57">
        <f>Cashflows!H27+Cashflows!I27+Cashflows!J27+Cashflows!K27</f>
        <v>0</v>
      </c>
      <c r="D74" s="58">
        <f>Cashflows!L27</f>
        <v>0</v>
      </c>
    </row>
    <row r="75" spans="1:11" hidden="1" x14ac:dyDescent="0.3">
      <c r="A75" s="52">
        <f>Cashflows!A28</f>
        <v>25</v>
      </c>
      <c r="B75" s="57">
        <f>Cashflows!E28</f>
        <v>0</v>
      </c>
      <c r="C75" s="57">
        <f>Cashflows!H28+Cashflows!I28+Cashflows!J28+Cashflows!K28</f>
        <v>0</v>
      </c>
      <c r="D75" s="58">
        <f>Cashflows!L28</f>
        <v>0</v>
      </c>
    </row>
    <row r="76" spans="1:11" hidden="1" x14ac:dyDescent="0.3">
      <c r="A76" s="52">
        <f>Cashflows!A29</f>
        <v>26</v>
      </c>
      <c r="B76" s="57">
        <f>Cashflows!E29</f>
        <v>0</v>
      </c>
      <c r="C76" s="57">
        <f>Cashflows!H29+Cashflows!I29+Cashflows!J29+Cashflows!K29</f>
        <v>0</v>
      </c>
      <c r="D76" s="58">
        <f>Cashflows!L29</f>
        <v>0</v>
      </c>
    </row>
    <row r="77" spans="1:11" hidden="1" x14ac:dyDescent="0.3">
      <c r="A77" s="52">
        <f>Cashflows!A30</f>
        <v>27</v>
      </c>
      <c r="B77" s="57">
        <f>Cashflows!E30</f>
        <v>0</v>
      </c>
      <c r="C77" s="57">
        <f>Cashflows!H30+Cashflows!I30+Cashflows!J30+Cashflows!K30</f>
        <v>0</v>
      </c>
      <c r="D77" s="58">
        <f>Cashflows!L30</f>
        <v>0</v>
      </c>
    </row>
    <row r="78" spans="1:11" hidden="1" x14ac:dyDescent="0.3">
      <c r="A78" s="52">
        <f>Cashflows!A31</f>
        <v>28</v>
      </c>
      <c r="B78" s="57">
        <f>Cashflows!E31</f>
        <v>0</v>
      </c>
      <c r="C78" s="57">
        <f>Cashflows!H31+Cashflows!I31+Cashflows!J31+Cashflows!K31</f>
        <v>0</v>
      </c>
      <c r="D78" s="58">
        <f>Cashflows!L31</f>
        <v>0</v>
      </c>
    </row>
    <row r="79" spans="1:11" hidden="1" x14ac:dyDescent="0.3">
      <c r="A79" s="52">
        <f>Cashflows!A32</f>
        <v>29</v>
      </c>
      <c r="B79" s="57">
        <f>Cashflows!E32</f>
        <v>0</v>
      </c>
      <c r="C79" s="57">
        <f>Cashflows!H32+Cashflows!I32+Cashflows!J32+Cashflows!K32</f>
        <v>0</v>
      </c>
      <c r="D79" s="58">
        <f>Cashflows!L32</f>
        <v>0</v>
      </c>
    </row>
    <row r="80" spans="1:11" hidden="1" x14ac:dyDescent="0.3">
      <c r="A80" s="52">
        <f>Cashflows!A33</f>
        <v>30</v>
      </c>
      <c r="B80" s="57">
        <f>Cashflows!E33</f>
        <v>0</v>
      </c>
      <c r="C80" s="57">
        <f>Cashflows!H33+Cashflows!I33+Cashflows!J33+Cashflows!K33</f>
        <v>0</v>
      </c>
      <c r="D80" s="58">
        <f>Cashflows!L33</f>
        <v>0</v>
      </c>
    </row>
    <row r="81" spans="1:4" hidden="1" x14ac:dyDescent="0.3">
      <c r="A81" s="52">
        <f>Cashflows!A34</f>
        <v>31</v>
      </c>
      <c r="B81" s="57">
        <f>Cashflows!E34</f>
        <v>0</v>
      </c>
      <c r="C81" s="57">
        <f>Cashflows!H34+Cashflows!I34+Cashflows!J34+Cashflows!K34</f>
        <v>0</v>
      </c>
      <c r="D81" s="58">
        <f>Cashflows!L34</f>
        <v>0</v>
      </c>
    </row>
    <row r="82" spans="1:4" hidden="1" x14ac:dyDescent="0.3">
      <c r="A82" s="52">
        <f>Cashflows!A35</f>
        <v>32</v>
      </c>
      <c r="B82" s="57">
        <f>Cashflows!E35</f>
        <v>0</v>
      </c>
      <c r="C82" s="57">
        <f>Cashflows!H35+Cashflows!I35+Cashflows!J35+Cashflows!K35</f>
        <v>0</v>
      </c>
      <c r="D82" s="58">
        <f>Cashflows!L35</f>
        <v>0</v>
      </c>
    </row>
    <row r="83" spans="1:4" hidden="1" x14ac:dyDescent="0.3">
      <c r="A83" s="52">
        <f>Cashflows!A36</f>
        <v>33</v>
      </c>
      <c r="B83" s="57">
        <f>Cashflows!E36</f>
        <v>0</v>
      </c>
      <c r="C83" s="57">
        <f>Cashflows!H36+Cashflows!I36+Cashflows!J36+Cashflows!K36</f>
        <v>0</v>
      </c>
      <c r="D83" s="58">
        <f>Cashflows!L36</f>
        <v>0</v>
      </c>
    </row>
    <row r="84" spans="1:4" hidden="1" x14ac:dyDescent="0.3">
      <c r="A84" s="52">
        <f>Cashflows!A37</f>
        <v>34</v>
      </c>
      <c r="B84" s="57">
        <f>Cashflows!E37</f>
        <v>0</v>
      </c>
      <c r="C84" s="57">
        <f>Cashflows!H37+Cashflows!I37+Cashflows!J37+Cashflows!K37</f>
        <v>0</v>
      </c>
      <c r="D84" s="58">
        <f>Cashflows!L37</f>
        <v>0</v>
      </c>
    </row>
    <row r="85" spans="1:4" hidden="1" x14ac:dyDescent="0.3">
      <c r="A85" s="52">
        <f>Cashflows!A38</f>
        <v>35</v>
      </c>
      <c r="B85" s="57">
        <f>Cashflows!E38</f>
        <v>0</v>
      </c>
      <c r="C85" s="57">
        <f>Cashflows!H38+Cashflows!I38+Cashflows!J38+Cashflows!K38</f>
        <v>0</v>
      </c>
      <c r="D85" s="58">
        <f>Cashflows!L38</f>
        <v>0</v>
      </c>
    </row>
    <row r="86" spans="1:4" hidden="1" x14ac:dyDescent="0.3">
      <c r="A86" s="52">
        <f>Cashflows!A39</f>
        <v>36</v>
      </c>
      <c r="B86" s="57">
        <f>Cashflows!E39</f>
        <v>0</v>
      </c>
      <c r="C86" s="57">
        <f>Cashflows!H39+Cashflows!I39+Cashflows!J39+Cashflows!K39</f>
        <v>0</v>
      </c>
      <c r="D86" s="58">
        <f>Cashflows!L39</f>
        <v>0</v>
      </c>
    </row>
    <row r="87" spans="1:4" hidden="1" x14ac:dyDescent="0.3">
      <c r="A87" s="52">
        <f>Cashflows!A40</f>
        <v>37</v>
      </c>
      <c r="B87" s="57">
        <f>Cashflows!E40</f>
        <v>0</v>
      </c>
      <c r="C87" s="57">
        <f>Cashflows!H40+Cashflows!I40+Cashflows!J40+Cashflows!K40</f>
        <v>0</v>
      </c>
      <c r="D87" s="58">
        <f>Cashflows!L40</f>
        <v>0</v>
      </c>
    </row>
    <row r="88" spans="1:4" hidden="1" x14ac:dyDescent="0.3">
      <c r="A88" s="52">
        <f>Cashflows!A41</f>
        <v>38</v>
      </c>
      <c r="B88" s="57">
        <f>Cashflows!E41</f>
        <v>0</v>
      </c>
      <c r="C88" s="57">
        <f>Cashflows!H41+Cashflows!I41+Cashflows!J41+Cashflows!K41</f>
        <v>0</v>
      </c>
      <c r="D88" s="58">
        <f>Cashflows!L41</f>
        <v>0</v>
      </c>
    </row>
    <row r="89" spans="1:4" hidden="1" x14ac:dyDescent="0.3">
      <c r="A89" s="52">
        <f>Cashflows!A42</f>
        <v>39</v>
      </c>
      <c r="B89" s="57">
        <f>Cashflows!E42</f>
        <v>0</v>
      </c>
      <c r="C89" s="57">
        <f>Cashflows!H42+Cashflows!I42+Cashflows!J42+Cashflows!K42</f>
        <v>0</v>
      </c>
      <c r="D89" s="58">
        <f>Cashflows!L42</f>
        <v>0</v>
      </c>
    </row>
    <row r="90" spans="1:4" ht="13.5" hidden="1" thickBot="1" x14ac:dyDescent="0.35">
      <c r="A90" s="53">
        <f>Cashflows!A43</f>
        <v>40</v>
      </c>
      <c r="B90" s="59">
        <f>Cashflows!E43</f>
        <v>0</v>
      </c>
      <c r="C90" s="59">
        <f>Cashflows!H43+Cashflows!I43+Cashflows!J43+Cashflows!K43</f>
        <v>0</v>
      </c>
      <c r="D90" s="60">
        <f>Cashflows!L43</f>
        <v>0</v>
      </c>
    </row>
  </sheetData>
  <mergeCells count="7">
    <mergeCell ref="H11:I11"/>
    <mergeCell ref="A36:I37"/>
    <mergeCell ref="H6:I6"/>
    <mergeCell ref="H7:I7"/>
    <mergeCell ref="H8:I8"/>
    <mergeCell ref="H9:I9"/>
    <mergeCell ref="H10:I10"/>
  </mergeCells>
  <conditionalFormatting sqref="B3">
    <cfRule type="cellIs" dxfId="23" priority="2" operator="equal">
      <formula>"PASS"</formula>
    </cfRule>
    <cfRule type="cellIs" dxfId="22" priority="3" operator="notEqual">
      <formula>"PASS"</formula>
    </cfRule>
  </conditionalFormatting>
  <conditionalFormatting sqref="B25:B26">
    <cfRule type="cellIs" dxfId="21" priority="9" operator="lessThan">
      <formula>0</formula>
    </cfRule>
  </conditionalFormatting>
  <conditionalFormatting sqref="E3">
    <cfRule type="cellIs" dxfId="20" priority="4" operator="notEqual">
      <formula>"VALID"</formula>
    </cfRule>
  </conditionalFormatting>
  <conditionalFormatting sqref="H6">
    <cfRule type="cellIs" dxfId="19" priority="8" operator="lessThan">
      <formula>0</formula>
    </cfRule>
  </conditionalFormatting>
  <conditionalFormatting sqref="H11">
    <cfRule type="expression" dxfId="18" priority="5">
      <formula>LEFT(H11,4)="LOSS"</formula>
    </cfRule>
    <cfRule type="expression" dxfId="17" priority="6">
      <formula>ISNUMBER(SEARCH("MEETS",H11))</formula>
    </cfRule>
    <cfRule type="expression" dxfId="16" priority="7">
      <formula>ISNUMBER(SEARCH("BELOW",H11))</formula>
    </cfRule>
  </conditionalFormatting>
  <conditionalFormatting sqref="H20:H23">
    <cfRule type="cellIs" dxfId="15" priority="10" operator="lessThan">
      <formula>0</formula>
    </cfRule>
  </conditionalFormatting>
  <dataValidations count="8">
    <dataValidation type="whole" showInputMessage="1" showErrorMessage="1" errorTitle="Invalid input" error="Value outside the permitted range/list. See guidance below the inputs." promptTitle="Quote input" prompt="Editable input – drives Term Life Pricing, cash flows, reinsurance, profit test and IFRS 17." sqref="B6" xr:uid="{00000000-0002-0000-0200-000000000000}">
      <formula1>20</formula1>
      <formula2>80</formula2>
    </dataValidation>
    <dataValidation type="list" showInputMessage="1" showErrorMessage="1" errorTitle="Invalid input" error="Value outside the permitted range/list. See guidance below the inputs." promptTitle="Quote input" prompt="Editable input – drives Term Life Pricing, cash flows, reinsurance, profit test and IFRS 17." sqref="B7" xr:uid="{00000000-0002-0000-0200-000001000000}">
      <formula1>"Male,Female"</formula1>
      <formula2>0</formula2>
    </dataValidation>
    <dataValidation type="list" showInputMessage="1" showErrorMessage="1" errorTitle="Invalid input" error="Value outside the permitted range/list. See guidance below the inputs." promptTitle="Quote input" prompt="Editable input – drives Term Life Pricing, cash flows, reinsurance, profit test and IFRS 17." sqref="B8" xr:uid="{00000000-0002-0000-0200-000002000000}">
      <formula1>"Non-smoker,Smoker"</formula1>
      <formula2>0</formula2>
    </dataValidation>
    <dataValidation type="list" showInputMessage="1" showErrorMessage="1" errorTitle="Invalid input" error="Value outside the permitted range/list. See guidance below the inputs." promptTitle="Quote input" prompt="Editable input – drives Term Life Pricing, cash flows, reinsurance, profit test and IFRS 17." sqref="B9" xr:uid="{00000000-0002-0000-0200-000003000000}">
      <formula1>"Standard,Preferred,Rated"</formula1>
      <formula2>0</formula2>
    </dataValidation>
    <dataValidation type="decimal" showInputMessage="1" showErrorMessage="1" errorTitle="Invalid input" error="Value outside the permitted range/list. See guidance below the inputs." promptTitle="Quote input" prompt="Editable input – drives Term Life Pricing, cash flows, reinsurance, profit test and IFRS 17." sqref="B10" xr:uid="{00000000-0002-0000-0200-000004000000}">
      <formula1>1</formula1>
      <formula2>50000000</formula2>
    </dataValidation>
    <dataValidation type="whole" showInputMessage="1" showErrorMessage="1" errorTitle="Invalid input" error="Value outside the permitted range/list. See guidance below the inputs." promptTitle="Quote input" prompt="Editable input – drives Term Life Pricing, cash flows, reinsurance, profit test and IFRS 17." sqref="B11" xr:uid="{00000000-0002-0000-0200-000005000000}">
      <formula1>1</formula1>
      <formula2>40</formula2>
    </dataValidation>
    <dataValidation type="list" showInputMessage="1" showErrorMessage="1" errorTitle="Invalid input" error="Value outside the permitted range/list. See guidance below the inputs." promptTitle="Quote input" prompt="Editable input – drives Term Life Pricing, cash flows, reinsurance, profit test and IFRS 17." sqref="B12" xr:uid="{00000000-0002-0000-0200-000006000000}">
      <formula1>"Annual,Monthly"</formula1>
      <formula2>0</formula2>
    </dataValidation>
    <dataValidation type="list" showInputMessage="1" showErrorMessage="1" errorTitle="Invalid input" error="Value outside the permitted range/list. See guidance below the inputs." promptTitle="Quote input" prompt="Editable input – drives Term Life Pricing, cash flows, reinsurance, profit test and IFRS 17." sqref="B13" xr:uid="{00000000-0002-0000-0200-000007000000}">
      <formula1>"Direct,Broker,Bancassurance,Generic"</formula1>
      <formula2>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D60"/>
  <sheetViews>
    <sheetView zoomScaleNormal="100" workbookViewId="0">
      <selection activeCell="E1" sqref="E1"/>
    </sheetView>
  </sheetViews>
  <sheetFormatPr defaultColWidth="8.6328125" defaultRowHeight="13" x14ac:dyDescent="0.3"/>
  <cols>
    <col min="1" max="1" width="24" style="5" customWidth="1"/>
    <col min="2" max="2" width="44" style="5" customWidth="1"/>
    <col min="3" max="4" width="24" style="5" customWidth="1"/>
    <col min="5" max="5" width="42.1796875" style="5" customWidth="1"/>
    <col min="6" max="6" width="50" style="5" customWidth="1"/>
    <col min="7" max="16384" width="8.6328125" style="5"/>
  </cols>
  <sheetData>
    <row r="1" spans="1:134" ht="28" customHeight="1" x14ac:dyDescent="0.3">
      <c r="A1" s="81" t="s">
        <v>526</v>
      </c>
      <c r="B1" s="80"/>
      <c r="C1" s="80"/>
      <c r="D1" s="80"/>
      <c r="E1" s="80"/>
      <c r="F1" s="80"/>
      <c r="G1" s="23"/>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13.5" thickBot="1" x14ac:dyDescent="0.35">
      <c r="A2" s="64"/>
      <c r="B2" s="64"/>
      <c r="C2" s="64"/>
      <c r="D2" s="64"/>
      <c r="E2" s="64"/>
      <c r="F2" s="64"/>
      <c r="G2" s="64"/>
      <c r="H2" s="64"/>
      <c r="I2" s="64"/>
      <c r="J2" s="64"/>
      <c r="K2" s="64"/>
      <c r="L2" s="64"/>
      <c r="M2" s="64"/>
      <c r="N2" s="64"/>
      <c r="O2" s="64"/>
      <c r="P2" s="64"/>
      <c r="Q2" s="64"/>
      <c r="R2" s="64"/>
      <c r="S2" s="64"/>
      <c r="T2" s="64"/>
      <c r="U2" s="64"/>
      <c r="V2" s="64"/>
      <c r="W2" s="64"/>
      <c r="X2" s="64"/>
      <c r="Y2" s="64"/>
      <c r="Z2" s="64"/>
    </row>
    <row r="3" spans="1:134" ht="13.5" thickBot="1" x14ac:dyDescent="0.35">
      <c r="A3" s="82" t="s">
        <v>211</v>
      </c>
      <c r="B3" s="78" t="s">
        <v>212</v>
      </c>
      <c r="C3" s="78" t="s">
        <v>213</v>
      </c>
      <c r="D3" s="78" t="s">
        <v>214</v>
      </c>
      <c r="E3" s="79" t="s">
        <v>216</v>
      </c>
      <c r="G3" s="64"/>
      <c r="H3" s="64"/>
      <c r="I3" s="64"/>
      <c r="J3" s="64"/>
      <c r="K3" s="64"/>
      <c r="L3" s="64"/>
      <c r="M3" s="64"/>
      <c r="N3" s="64"/>
      <c r="O3" s="64"/>
      <c r="P3" s="64"/>
      <c r="Q3" s="64"/>
      <c r="R3" s="64"/>
      <c r="S3" s="64"/>
      <c r="T3" s="64"/>
      <c r="U3" s="64"/>
      <c r="V3" s="64"/>
      <c r="W3" s="64"/>
      <c r="X3" s="64"/>
      <c r="Y3" s="64"/>
      <c r="Z3" s="64"/>
    </row>
    <row r="4" spans="1:134" x14ac:dyDescent="0.3">
      <c r="A4" s="83" t="s">
        <v>217</v>
      </c>
      <c r="B4" s="64" t="s">
        <v>633</v>
      </c>
      <c r="C4" s="69" t="s">
        <v>218</v>
      </c>
      <c r="D4" s="64" t="s">
        <v>219</v>
      </c>
      <c r="E4" s="70" t="s">
        <v>220</v>
      </c>
      <c r="G4" s="64"/>
      <c r="H4" s="64"/>
      <c r="I4" s="64"/>
      <c r="J4" s="64"/>
      <c r="K4" s="64"/>
      <c r="L4" s="64"/>
      <c r="M4" s="64"/>
      <c r="N4" s="64"/>
      <c r="O4" s="64"/>
      <c r="P4" s="64"/>
      <c r="Q4" s="64"/>
      <c r="R4" s="64"/>
      <c r="S4" s="64"/>
      <c r="T4" s="64"/>
      <c r="U4" s="64"/>
      <c r="V4" s="64"/>
      <c r="W4" s="64"/>
      <c r="X4" s="64"/>
      <c r="Y4" s="64"/>
      <c r="Z4" s="64"/>
    </row>
    <row r="5" spans="1:134" x14ac:dyDescent="0.3">
      <c r="A5" s="83" t="s">
        <v>221</v>
      </c>
      <c r="B5" s="64" t="s">
        <v>222</v>
      </c>
      <c r="C5" s="71">
        <v>0.04</v>
      </c>
      <c r="D5" s="64" t="s">
        <v>223</v>
      </c>
      <c r="E5" s="70" t="s">
        <v>224</v>
      </c>
      <c r="G5" s="64"/>
      <c r="H5" s="64"/>
      <c r="I5" s="64"/>
      <c r="J5" s="64"/>
      <c r="K5" s="64"/>
      <c r="L5" s="64"/>
      <c r="M5" s="64"/>
      <c r="N5" s="64"/>
      <c r="O5" s="64"/>
      <c r="P5" s="64"/>
      <c r="Q5" s="64"/>
      <c r="R5" s="64"/>
      <c r="S5" s="64"/>
      <c r="T5" s="64"/>
      <c r="U5" s="64"/>
      <c r="V5" s="64"/>
      <c r="W5" s="64"/>
      <c r="X5" s="64"/>
      <c r="Y5" s="64"/>
      <c r="Z5" s="64"/>
    </row>
    <row r="6" spans="1:134" ht="26" x14ac:dyDescent="0.3">
      <c r="A6" s="83" t="s">
        <v>225</v>
      </c>
      <c r="B6" s="64" t="s">
        <v>634</v>
      </c>
      <c r="C6" s="71">
        <v>3.5000000000000003E-2</v>
      </c>
      <c r="D6" s="64" t="s">
        <v>223</v>
      </c>
      <c r="E6" s="70" t="s">
        <v>224</v>
      </c>
      <c r="G6" s="64"/>
      <c r="H6" s="64"/>
      <c r="I6" s="64"/>
      <c r="J6" s="64"/>
      <c r="K6" s="64"/>
      <c r="L6" s="64"/>
      <c r="M6" s="64"/>
      <c r="N6" s="64"/>
      <c r="O6" s="64"/>
      <c r="P6" s="64"/>
      <c r="Q6" s="64"/>
      <c r="R6" s="64"/>
      <c r="S6" s="64"/>
      <c r="T6" s="64"/>
      <c r="U6" s="64"/>
      <c r="V6" s="64"/>
      <c r="W6" s="64"/>
      <c r="X6" s="64"/>
      <c r="Y6" s="64"/>
      <c r="Z6" s="64"/>
    </row>
    <row r="7" spans="1:134" ht="26" x14ac:dyDescent="0.3">
      <c r="A7" s="83" t="s">
        <v>226</v>
      </c>
      <c r="B7" s="64" t="s">
        <v>635</v>
      </c>
      <c r="C7" s="71">
        <v>2.5000000000000001E-2</v>
      </c>
      <c r="D7" s="64" t="s">
        <v>223</v>
      </c>
      <c r="E7" s="70" t="s">
        <v>224</v>
      </c>
      <c r="G7" s="64"/>
      <c r="H7" s="64"/>
      <c r="I7" s="64"/>
      <c r="J7" s="64"/>
      <c r="K7" s="64"/>
      <c r="L7" s="64"/>
      <c r="M7" s="64"/>
      <c r="N7" s="64"/>
      <c r="O7" s="64"/>
      <c r="P7" s="64"/>
      <c r="Q7" s="64"/>
      <c r="R7" s="64"/>
      <c r="S7" s="64"/>
      <c r="T7" s="64"/>
      <c r="U7" s="64"/>
      <c r="V7" s="64"/>
      <c r="W7" s="64"/>
      <c r="X7" s="64"/>
      <c r="Y7" s="64"/>
      <c r="Z7" s="64"/>
    </row>
    <row r="8" spans="1:134" ht="26" x14ac:dyDescent="0.3">
      <c r="A8" s="83" t="s">
        <v>227</v>
      </c>
      <c r="B8" s="64" t="s">
        <v>636</v>
      </c>
      <c r="C8" s="71">
        <v>0.03</v>
      </c>
      <c r="D8" s="64" t="s">
        <v>223</v>
      </c>
      <c r="E8" s="70" t="s">
        <v>653</v>
      </c>
      <c r="G8" s="64"/>
      <c r="H8" s="64"/>
      <c r="I8" s="64"/>
      <c r="J8" s="64"/>
      <c r="K8" s="64"/>
      <c r="L8" s="64"/>
      <c r="M8" s="64"/>
      <c r="N8" s="64"/>
      <c r="O8" s="64"/>
      <c r="P8" s="64"/>
      <c r="Q8" s="64"/>
      <c r="R8" s="64"/>
      <c r="S8" s="64"/>
      <c r="T8" s="64"/>
      <c r="U8" s="64"/>
      <c r="V8" s="64"/>
      <c r="W8" s="64"/>
      <c r="X8" s="64"/>
      <c r="Y8" s="64"/>
      <c r="Z8" s="64"/>
    </row>
    <row r="9" spans="1:134" x14ac:dyDescent="0.3">
      <c r="A9" s="83" t="s">
        <v>228</v>
      </c>
      <c r="B9" s="64" t="s">
        <v>637</v>
      </c>
      <c r="C9" s="72">
        <v>900</v>
      </c>
      <c r="D9" s="64" t="s">
        <v>229</v>
      </c>
      <c r="E9" s="70" t="s">
        <v>230</v>
      </c>
      <c r="G9" s="64"/>
      <c r="H9" s="64"/>
      <c r="I9" s="64"/>
      <c r="J9" s="64"/>
      <c r="K9" s="64"/>
      <c r="L9" s="64"/>
      <c r="M9" s="64"/>
      <c r="N9" s="64"/>
      <c r="O9" s="64"/>
      <c r="P9" s="64"/>
      <c r="Q9" s="64"/>
      <c r="R9" s="64"/>
      <c r="S9" s="64"/>
      <c r="T9" s="64"/>
      <c r="U9" s="64"/>
      <c r="V9" s="64"/>
      <c r="W9" s="64"/>
      <c r="X9" s="64"/>
      <c r="Y9" s="64"/>
      <c r="Z9" s="64"/>
    </row>
    <row r="10" spans="1:134" x14ac:dyDescent="0.3">
      <c r="A10" s="83" t="s">
        <v>231</v>
      </c>
      <c r="B10" s="64" t="s">
        <v>638</v>
      </c>
      <c r="C10" s="72">
        <v>220</v>
      </c>
      <c r="D10" s="64" t="s">
        <v>232</v>
      </c>
      <c r="E10" s="70" t="s">
        <v>230</v>
      </c>
      <c r="G10" s="64"/>
      <c r="H10" s="64"/>
      <c r="I10" s="64"/>
      <c r="J10" s="64"/>
      <c r="K10" s="64"/>
      <c r="L10" s="64"/>
      <c r="M10" s="64"/>
      <c r="N10" s="64"/>
      <c r="O10" s="64"/>
      <c r="P10" s="64"/>
      <c r="Q10" s="64"/>
      <c r="R10" s="64"/>
      <c r="S10" s="64"/>
      <c r="T10" s="64"/>
      <c r="U10" s="64"/>
      <c r="V10" s="64"/>
      <c r="W10" s="64"/>
      <c r="X10" s="64"/>
      <c r="Y10" s="64"/>
      <c r="Z10" s="64"/>
    </row>
    <row r="11" spans="1:134" x14ac:dyDescent="0.3">
      <c r="A11" s="83" t="s">
        <v>233</v>
      </c>
      <c r="B11" s="64" t="s">
        <v>639</v>
      </c>
      <c r="C11" s="71">
        <v>0.2</v>
      </c>
      <c r="D11" s="64" t="s">
        <v>223</v>
      </c>
      <c r="E11" s="70" t="s">
        <v>230</v>
      </c>
      <c r="G11" s="64"/>
      <c r="H11" s="64"/>
      <c r="I11" s="64"/>
      <c r="J11" s="64"/>
      <c r="K11" s="64"/>
      <c r="L11" s="64"/>
      <c r="M11" s="64"/>
      <c r="N11" s="64"/>
      <c r="O11" s="64"/>
      <c r="P11" s="64"/>
      <c r="Q11" s="64"/>
      <c r="R11" s="64"/>
      <c r="S11" s="64"/>
      <c r="T11" s="64"/>
      <c r="U11" s="64"/>
      <c r="V11" s="64"/>
      <c r="W11" s="64"/>
      <c r="X11" s="64"/>
      <c r="Y11" s="64"/>
      <c r="Z11" s="64"/>
    </row>
    <row r="12" spans="1:134" x14ac:dyDescent="0.3">
      <c r="A12" s="83" t="s">
        <v>234</v>
      </c>
      <c r="B12" s="64" t="s">
        <v>640</v>
      </c>
      <c r="C12" s="71">
        <v>0.05</v>
      </c>
      <c r="D12" s="64" t="s">
        <v>223</v>
      </c>
      <c r="E12" s="70" t="s">
        <v>230</v>
      </c>
      <c r="G12" s="64"/>
      <c r="H12" s="64"/>
      <c r="I12" s="64"/>
      <c r="J12" s="64"/>
      <c r="K12" s="64"/>
      <c r="L12" s="64"/>
      <c r="M12" s="64"/>
      <c r="N12" s="64"/>
      <c r="O12" s="64"/>
      <c r="P12" s="64"/>
      <c r="Q12" s="64"/>
      <c r="R12" s="64"/>
      <c r="S12" s="64"/>
      <c r="T12" s="64"/>
      <c r="U12" s="64"/>
      <c r="V12" s="64"/>
      <c r="W12" s="64"/>
      <c r="X12" s="64"/>
      <c r="Y12" s="64"/>
      <c r="Z12" s="64"/>
    </row>
    <row r="13" spans="1:134" x14ac:dyDescent="0.3">
      <c r="A13" s="83" t="s">
        <v>235</v>
      </c>
      <c r="B13" s="64" t="s">
        <v>236</v>
      </c>
      <c r="C13" s="71">
        <v>0.12</v>
      </c>
      <c r="D13" s="64" t="s">
        <v>223</v>
      </c>
      <c r="E13" s="70" t="s">
        <v>655</v>
      </c>
      <c r="G13" s="64"/>
      <c r="H13" s="64"/>
      <c r="I13" s="64"/>
      <c r="J13" s="64"/>
      <c r="K13" s="64"/>
      <c r="L13" s="64"/>
      <c r="M13" s="64"/>
      <c r="N13" s="64"/>
      <c r="O13" s="64"/>
      <c r="P13" s="64"/>
      <c r="Q13" s="64"/>
      <c r="R13" s="64"/>
      <c r="S13" s="64"/>
      <c r="T13" s="64"/>
      <c r="U13" s="64"/>
      <c r="V13" s="64"/>
      <c r="W13" s="64"/>
      <c r="X13" s="64"/>
      <c r="Y13" s="64"/>
      <c r="Z13" s="64"/>
    </row>
    <row r="14" spans="1:134" x14ac:dyDescent="0.3">
      <c r="A14" s="83" t="s">
        <v>237</v>
      </c>
      <c r="B14" s="64" t="s">
        <v>238</v>
      </c>
      <c r="C14" s="72">
        <v>500000</v>
      </c>
      <c r="D14" s="64" t="s">
        <v>229</v>
      </c>
      <c r="E14" s="70" t="s">
        <v>230</v>
      </c>
      <c r="G14" s="64"/>
      <c r="H14" s="64"/>
      <c r="I14" s="64"/>
      <c r="J14" s="64"/>
      <c r="K14" s="64"/>
      <c r="L14" s="64"/>
      <c r="M14" s="64"/>
      <c r="N14" s="64"/>
      <c r="O14" s="64"/>
      <c r="P14" s="64"/>
      <c r="Q14" s="64"/>
      <c r="R14" s="64"/>
      <c r="S14" s="64"/>
      <c r="T14" s="64"/>
      <c r="U14" s="64"/>
      <c r="V14" s="64"/>
      <c r="W14" s="64"/>
      <c r="X14" s="64"/>
      <c r="Y14" s="64"/>
      <c r="Z14" s="64"/>
    </row>
    <row r="15" spans="1:134" x14ac:dyDescent="0.3">
      <c r="A15" s="83" t="s">
        <v>239</v>
      </c>
      <c r="B15" s="64" t="s">
        <v>641</v>
      </c>
      <c r="C15" s="71">
        <v>1.1000000000000001E-3</v>
      </c>
      <c r="D15" s="64" t="s">
        <v>240</v>
      </c>
      <c r="E15" s="70" t="s">
        <v>230</v>
      </c>
      <c r="G15" s="64"/>
      <c r="H15" s="64"/>
      <c r="I15" s="64"/>
      <c r="J15" s="64"/>
      <c r="K15" s="64"/>
      <c r="L15" s="64"/>
      <c r="M15" s="64"/>
      <c r="N15" s="64"/>
      <c r="O15" s="64"/>
      <c r="P15" s="64"/>
      <c r="Q15" s="64"/>
      <c r="R15" s="64"/>
      <c r="S15" s="64"/>
      <c r="T15" s="64"/>
      <c r="U15" s="64"/>
      <c r="V15" s="64"/>
      <c r="W15" s="64"/>
      <c r="X15" s="64"/>
      <c r="Y15" s="64"/>
      <c r="Z15" s="64"/>
    </row>
    <row r="16" spans="1:134" x14ac:dyDescent="0.3">
      <c r="A16" s="83" t="s">
        <v>241</v>
      </c>
      <c r="B16" s="64" t="s">
        <v>642</v>
      </c>
      <c r="C16" s="71">
        <v>0.08</v>
      </c>
      <c r="D16" s="64" t="s">
        <v>242</v>
      </c>
      <c r="E16" s="70" t="s">
        <v>230</v>
      </c>
      <c r="G16" s="64"/>
      <c r="H16" s="64"/>
      <c r="I16" s="64"/>
      <c r="J16" s="64"/>
      <c r="K16" s="64"/>
      <c r="L16" s="64"/>
      <c r="M16" s="64"/>
      <c r="N16" s="64"/>
      <c r="O16" s="64"/>
      <c r="P16" s="64"/>
      <c r="Q16" s="64"/>
      <c r="R16" s="64"/>
      <c r="S16" s="64"/>
      <c r="T16" s="64"/>
      <c r="U16" s="64"/>
      <c r="V16" s="64"/>
      <c r="W16" s="64"/>
      <c r="X16" s="64"/>
      <c r="Y16" s="64"/>
      <c r="Z16" s="64"/>
    </row>
    <row r="17" spans="1:26" ht="26" x14ac:dyDescent="0.3">
      <c r="A17" s="83" t="s">
        <v>243</v>
      </c>
      <c r="B17" s="64" t="s">
        <v>643</v>
      </c>
      <c r="C17" s="71">
        <v>0.95</v>
      </c>
      <c r="D17" s="64" t="s">
        <v>223</v>
      </c>
      <c r="E17" s="70" t="s">
        <v>230</v>
      </c>
      <c r="G17" s="64"/>
      <c r="H17" s="64"/>
      <c r="I17" s="64"/>
      <c r="J17" s="64"/>
      <c r="K17" s="64"/>
      <c r="L17" s="64"/>
      <c r="M17" s="64"/>
      <c r="N17" s="64"/>
      <c r="O17" s="64"/>
      <c r="P17" s="64"/>
      <c r="Q17" s="64"/>
      <c r="R17" s="64"/>
      <c r="S17" s="64"/>
      <c r="T17" s="64"/>
      <c r="U17" s="64"/>
      <c r="V17" s="64"/>
      <c r="W17" s="64"/>
      <c r="X17" s="64"/>
      <c r="Y17" s="64"/>
      <c r="Z17" s="64"/>
    </row>
    <row r="18" spans="1:26" x14ac:dyDescent="0.3">
      <c r="A18" s="83" t="s">
        <v>244</v>
      </c>
      <c r="B18" s="64" t="s">
        <v>245</v>
      </c>
      <c r="C18" s="71">
        <v>1.2500000000000001E-2</v>
      </c>
      <c r="D18" s="64" t="s">
        <v>246</v>
      </c>
      <c r="E18" s="70" t="s">
        <v>230</v>
      </c>
      <c r="G18" s="64"/>
      <c r="H18" s="64"/>
      <c r="I18" s="64"/>
      <c r="J18" s="64"/>
      <c r="K18" s="64"/>
      <c r="L18" s="64"/>
      <c r="M18" s="64"/>
      <c r="N18" s="64"/>
      <c r="O18" s="64"/>
      <c r="P18" s="64"/>
      <c r="Q18" s="64"/>
      <c r="R18" s="64"/>
      <c r="S18" s="64"/>
      <c r="T18" s="64"/>
      <c r="U18" s="64"/>
      <c r="V18" s="64"/>
      <c r="W18" s="64"/>
      <c r="X18" s="64"/>
      <c r="Y18" s="64"/>
      <c r="Z18" s="64"/>
    </row>
    <row r="19" spans="1:26" x14ac:dyDescent="0.3">
      <c r="A19" s="83" t="s">
        <v>247</v>
      </c>
      <c r="B19" s="64" t="s">
        <v>248</v>
      </c>
      <c r="C19" s="72">
        <v>600</v>
      </c>
      <c r="D19" s="64" t="s">
        <v>229</v>
      </c>
      <c r="E19" s="70" t="s">
        <v>230</v>
      </c>
      <c r="G19" s="64"/>
      <c r="H19" s="64"/>
      <c r="I19" s="64"/>
      <c r="J19" s="64"/>
      <c r="K19" s="64"/>
      <c r="L19" s="64"/>
      <c r="M19" s="64"/>
      <c r="N19" s="64"/>
      <c r="O19" s="64"/>
      <c r="P19" s="64"/>
      <c r="Q19" s="64"/>
      <c r="R19" s="64"/>
      <c r="S19" s="64"/>
      <c r="T19" s="64"/>
      <c r="U19" s="64"/>
      <c r="V19" s="64"/>
      <c r="W19" s="64"/>
      <c r="X19" s="64"/>
      <c r="Y19" s="64"/>
      <c r="Z19" s="64"/>
    </row>
    <row r="20" spans="1:26" x14ac:dyDescent="0.3">
      <c r="A20" s="83" t="s">
        <v>249</v>
      </c>
      <c r="B20" s="64" t="s">
        <v>644</v>
      </c>
      <c r="C20" s="71">
        <v>0.05</v>
      </c>
      <c r="D20" s="64" t="s">
        <v>250</v>
      </c>
      <c r="E20" s="70" t="s">
        <v>230</v>
      </c>
      <c r="G20" s="64"/>
      <c r="H20" s="64"/>
      <c r="I20" s="64"/>
      <c r="J20" s="64"/>
      <c r="K20" s="64"/>
      <c r="L20" s="64"/>
      <c r="M20" s="64"/>
      <c r="N20" s="64"/>
      <c r="O20" s="64"/>
      <c r="P20" s="64"/>
      <c r="Q20" s="64"/>
      <c r="R20" s="64"/>
      <c r="S20" s="64"/>
      <c r="T20" s="64"/>
      <c r="U20" s="64"/>
      <c r="V20" s="64"/>
      <c r="W20" s="64"/>
      <c r="X20" s="64"/>
      <c r="Y20" s="64"/>
      <c r="Z20" s="64"/>
    </row>
    <row r="21" spans="1:26" x14ac:dyDescent="0.3">
      <c r="A21" s="83" t="s">
        <v>251</v>
      </c>
      <c r="B21" s="64" t="s">
        <v>645</v>
      </c>
      <c r="C21" s="73">
        <v>1</v>
      </c>
      <c r="D21" s="64" t="s">
        <v>252</v>
      </c>
      <c r="E21" s="70" t="s">
        <v>654</v>
      </c>
      <c r="G21" s="64"/>
      <c r="H21" s="64"/>
      <c r="I21" s="64"/>
      <c r="J21" s="64"/>
      <c r="K21" s="64"/>
      <c r="L21" s="64"/>
      <c r="M21" s="64"/>
      <c r="N21" s="64"/>
      <c r="O21" s="64"/>
      <c r="P21" s="64"/>
      <c r="Q21" s="64"/>
      <c r="R21" s="64"/>
      <c r="S21" s="64"/>
      <c r="T21" s="64"/>
      <c r="U21" s="64"/>
      <c r="V21" s="64"/>
      <c r="W21" s="64"/>
      <c r="X21" s="64"/>
      <c r="Y21" s="64"/>
      <c r="Z21" s="64"/>
    </row>
    <row r="22" spans="1:26" x14ac:dyDescent="0.3">
      <c r="A22" s="83" t="s">
        <v>253</v>
      </c>
      <c r="B22" s="64" t="s">
        <v>646</v>
      </c>
      <c r="C22" s="73">
        <v>1</v>
      </c>
      <c r="D22" s="64" t="s">
        <v>252</v>
      </c>
      <c r="E22" s="70" t="s">
        <v>654</v>
      </c>
      <c r="G22" s="64"/>
      <c r="H22" s="64"/>
      <c r="I22" s="64"/>
      <c r="J22" s="64"/>
      <c r="K22" s="64"/>
      <c r="L22" s="64"/>
      <c r="M22" s="64"/>
      <c r="N22" s="64"/>
      <c r="O22" s="64"/>
      <c r="P22" s="64"/>
      <c r="Q22" s="64"/>
      <c r="R22" s="64"/>
      <c r="S22" s="64"/>
      <c r="T22" s="64"/>
      <c r="U22" s="64"/>
      <c r="V22" s="64"/>
      <c r="W22" s="64"/>
      <c r="X22" s="64"/>
      <c r="Y22" s="64"/>
      <c r="Z22" s="64"/>
    </row>
    <row r="23" spans="1:26" x14ac:dyDescent="0.3">
      <c r="A23" s="83" t="s">
        <v>254</v>
      </c>
      <c r="B23" s="64" t="s">
        <v>647</v>
      </c>
      <c r="C23" s="73">
        <v>1</v>
      </c>
      <c r="D23" s="64" t="s">
        <v>252</v>
      </c>
      <c r="E23" s="70" t="s">
        <v>654</v>
      </c>
      <c r="G23" s="64"/>
      <c r="H23" s="64"/>
      <c r="I23" s="64"/>
      <c r="J23" s="64"/>
      <c r="K23" s="64"/>
      <c r="L23" s="64"/>
      <c r="M23" s="64"/>
      <c r="N23" s="64"/>
      <c r="O23" s="64"/>
      <c r="P23" s="64"/>
      <c r="Q23" s="64"/>
      <c r="R23" s="64"/>
      <c r="S23" s="64"/>
      <c r="T23" s="64"/>
      <c r="U23" s="64"/>
      <c r="V23" s="64"/>
      <c r="W23" s="64"/>
      <c r="X23" s="64"/>
      <c r="Y23" s="64"/>
      <c r="Z23" s="64"/>
    </row>
    <row r="24" spans="1:26" x14ac:dyDescent="0.3">
      <c r="A24" s="83" t="s">
        <v>255</v>
      </c>
      <c r="B24" s="64" t="s">
        <v>648</v>
      </c>
      <c r="C24" s="71">
        <v>0</v>
      </c>
      <c r="D24" s="64" t="s">
        <v>256</v>
      </c>
      <c r="E24" s="70" t="s">
        <v>654</v>
      </c>
      <c r="G24" s="64"/>
      <c r="H24" s="64"/>
      <c r="I24" s="64"/>
      <c r="J24" s="64"/>
      <c r="K24" s="64"/>
      <c r="L24" s="64"/>
      <c r="M24" s="64"/>
      <c r="N24" s="64"/>
      <c r="O24" s="64"/>
      <c r="P24" s="64"/>
      <c r="Q24" s="64"/>
      <c r="R24" s="64"/>
      <c r="S24" s="64"/>
      <c r="T24" s="64"/>
      <c r="U24" s="64"/>
      <c r="V24" s="64"/>
      <c r="W24" s="64"/>
      <c r="X24" s="64"/>
      <c r="Y24" s="64"/>
      <c r="Z24" s="64"/>
    </row>
    <row r="25" spans="1:26" x14ac:dyDescent="0.3">
      <c r="A25" s="83" t="s">
        <v>257</v>
      </c>
      <c r="B25" s="64" t="s">
        <v>649</v>
      </c>
      <c r="C25" s="71">
        <v>0</v>
      </c>
      <c r="D25" s="64" t="s">
        <v>256</v>
      </c>
      <c r="E25" s="70" t="s">
        <v>654</v>
      </c>
      <c r="G25" s="64"/>
      <c r="H25" s="64"/>
      <c r="I25" s="64"/>
      <c r="J25" s="64"/>
      <c r="K25" s="64"/>
      <c r="L25" s="64"/>
      <c r="M25" s="64"/>
      <c r="N25" s="64"/>
      <c r="O25" s="64"/>
      <c r="P25" s="64"/>
      <c r="Q25" s="64"/>
      <c r="R25" s="64"/>
      <c r="S25" s="64"/>
      <c r="T25" s="64"/>
      <c r="U25" s="64"/>
      <c r="V25" s="64"/>
      <c r="W25" s="64"/>
      <c r="X25" s="64"/>
      <c r="Y25" s="64"/>
      <c r="Z25" s="64"/>
    </row>
    <row r="26" spans="1:26" x14ac:dyDescent="0.3">
      <c r="A26" s="83" t="s">
        <v>258</v>
      </c>
      <c r="B26" s="64" t="s">
        <v>650</v>
      </c>
      <c r="C26" s="71">
        <v>0</v>
      </c>
      <c r="D26" s="64" t="s">
        <v>256</v>
      </c>
      <c r="E26" s="70" t="s">
        <v>654</v>
      </c>
      <c r="G26" s="64"/>
      <c r="H26" s="64"/>
      <c r="I26" s="64"/>
      <c r="J26" s="64"/>
      <c r="K26" s="64"/>
      <c r="L26" s="64"/>
      <c r="M26" s="64"/>
      <c r="N26" s="64"/>
      <c r="O26" s="64"/>
      <c r="P26" s="64"/>
      <c r="Q26" s="64"/>
      <c r="R26" s="64"/>
      <c r="S26" s="64"/>
      <c r="T26" s="64"/>
      <c r="U26" s="64"/>
      <c r="V26" s="64"/>
      <c r="W26" s="64"/>
      <c r="X26" s="64"/>
      <c r="Y26" s="64"/>
      <c r="Z26" s="64"/>
    </row>
    <row r="27" spans="1:26" x14ac:dyDescent="0.3">
      <c r="A27" s="83" t="s">
        <v>259</v>
      </c>
      <c r="B27" s="64" t="s">
        <v>260</v>
      </c>
      <c r="C27" s="71">
        <v>0.02</v>
      </c>
      <c r="D27" s="64" t="s">
        <v>223</v>
      </c>
      <c r="E27" s="70" t="s">
        <v>654</v>
      </c>
      <c r="G27" s="64"/>
      <c r="H27" s="64"/>
      <c r="I27" s="64"/>
      <c r="J27" s="64"/>
      <c r="K27" s="64"/>
      <c r="L27" s="64"/>
      <c r="M27" s="64"/>
      <c r="N27" s="64"/>
      <c r="O27" s="64"/>
      <c r="P27" s="64"/>
      <c r="Q27" s="64"/>
      <c r="R27" s="64"/>
      <c r="S27" s="64"/>
      <c r="T27" s="64"/>
      <c r="U27" s="64"/>
      <c r="V27" s="64"/>
      <c r="W27" s="64"/>
      <c r="X27" s="64"/>
      <c r="Y27" s="64"/>
      <c r="Z27" s="64"/>
    </row>
    <row r="28" spans="1:26" ht="26" x14ac:dyDescent="0.3">
      <c r="A28" s="83" t="s">
        <v>261</v>
      </c>
      <c r="B28" s="64" t="s">
        <v>651</v>
      </c>
      <c r="C28" s="73">
        <v>0.85</v>
      </c>
      <c r="D28" s="64" t="s">
        <v>252</v>
      </c>
      <c r="E28" s="70" t="s">
        <v>654</v>
      </c>
      <c r="G28" s="64"/>
      <c r="H28" s="64"/>
      <c r="I28" s="64"/>
      <c r="J28" s="64"/>
      <c r="K28" s="64"/>
      <c r="L28" s="64"/>
      <c r="M28" s="64"/>
      <c r="N28" s="64"/>
      <c r="O28" s="64"/>
      <c r="P28" s="64"/>
      <c r="Q28" s="64"/>
      <c r="R28" s="64"/>
      <c r="S28" s="64"/>
      <c r="T28" s="64"/>
      <c r="U28" s="64"/>
      <c r="V28" s="64"/>
      <c r="W28" s="64"/>
      <c r="X28" s="64"/>
      <c r="Y28" s="64"/>
      <c r="Z28" s="64"/>
    </row>
    <row r="29" spans="1:26" x14ac:dyDescent="0.3">
      <c r="A29" s="83" t="s">
        <v>262</v>
      </c>
      <c r="B29" s="64" t="s">
        <v>652</v>
      </c>
      <c r="C29" s="71">
        <v>0.03</v>
      </c>
      <c r="D29" s="64" t="s">
        <v>223</v>
      </c>
      <c r="E29" s="70" t="s">
        <v>654</v>
      </c>
      <c r="G29" s="64"/>
      <c r="H29" s="64"/>
      <c r="I29" s="64"/>
      <c r="J29" s="64"/>
      <c r="K29" s="64"/>
      <c r="L29" s="64"/>
      <c r="M29" s="64"/>
      <c r="N29" s="64"/>
      <c r="O29" s="64"/>
      <c r="P29" s="64"/>
      <c r="Q29" s="64"/>
      <c r="R29" s="64"/>
      <c r="S29" s="64"/>
      <c r="T29" s="64"/>
      <c r="U29" s="64"/>
      <c r="V29" s="64"/>
      <c r="W29" s="64"/>
      <c r="X29" s="64"/>
      <c r="Y29" s="64"/>
      <c r="Z29" s="64"/>
    </row>
    <row r="30" spans="1:26" x14ac:dyDescent="0.3">
      <c r="A30" s="83" t="s">
        <v>263</v>
      </c>
      <c r="B30" s="64" t="s">
        <v>121</v>
      </c>
      <c r="C30" s="73">
        <v>0.8</v>
      </c>
      <c r="D30" s="64" t="s">
        <v>252</v>
      </c>
      <c r="E30" s="70" t="s">
        <v>654</v>
      </c>
      <c r="G30" s="64"/>
      <c r="H30" s="64"/>
      <c r="I30" s="64"/>
      <c r="J30" s="64"/>
      <c r="K30" s="64"/>
      <c r="L30" s="64"/>
      <c r="M30" s="64"/>
      <c r="N30" s="64"/>
      <c r="O30" s="64"/>
      <c r="P30" s="64"/>
      <c r="Q30" s="64"/>
      <c r="R30" s="64"/>
      <c r="S30" s="64"/>
      <c r="T30" s="64"/>
      <c r="U30" s="64"/>
      <c r="V30" s="64"/>
      <c r="W30" s="64"/>
      <c r="X30" s="64"/>
      <c r="Y30" s="64"/>
      <c r="Z30" s="64"/>
    </row>
    <row r="31" spans="1:26" x14ac:dyDescent="0.3">
      <c r="A31" s="83" t="s">
        <v>264</v>
      </c>
      <c r="B31" s="64" t="s">
        <v>121</v>
      </c>
      <c r="C31" s="73">
        <v>1.55</v>
      </c>
      <c r="D31" s="64" t="s">
        <v>252</v>
      </c>
      <c r="E31" s="70" t="s">
        <v>654</v>
      </c>
      <c r="G31" s="64"/>
      <c r="H31" s="64"/>
      <c r="I31" s="64"/>
      <c r="J31" s="64"/>
      <c r="K31" s="64"/>
      <c r="L31" s="64"/>
      <c r="M31" s="64"/>
      <c r="N31" s="64"/>
      <c r="O31" s="64"/>
      <c r="P31" s="64"/>
      <c r="Q31" s="64"/>
      <c r="R31" s="64"/>
      <c r="S31" s="64"/>
      <c r="T31" s="64"/>
      <c r="U31" s="64"/>
      <c r="V31" s="64"/>
      <c r="W31" s="64"/>
      <c r="X31" s="64"/>
      <c r="Y31" s="64"/>
      <c r="Z31" s="64"/>
    </row>
    <row r="32" spans="1:26" x14ac:dyDescent="0.3">
      <c r="A32" s="83" t="s">
        <v>265</v>
      </c>
      <c r="B32" s="64" t="s">
        <v>266</v>
      </c>
      <c r="C32" s="71">
        <v>0.1</v>
      </c>
      <c r="D32" s="64" t="s">
        <v>223</v>
      </c>
      <c r="E32" s="70" t="s">
        <v>527</v>
      </c>
      <c r="G32" s="64"/>
      <c r="H32" s="64"/>
      <c r="I32" s="64"/>
      <c r="J32" s="64"/>
      <c r="K32" s="64"/>
      <c r="L32" s="64"/>
      <c r="M32" s="64"/>
      <c r="N32" s="64"/>
      <c r="O32" s="64"/>
      <c r="P32" s="64"/>
      <c r="Q32" s="64"/>
      <c r="R32" s="64"/>
      <c r="S32" s="64"/>
      <c r="T32" s="64"/>
      <c r="U32" s="64"/>
      <c r="V32" s="64"/>
      <c r="W32" s="64"/>
      <c r="X32" s="64"/>
      <c r="Y32" s="64"/>
      <c r="Z32" s="64"/>
    </row>
    <row r="33" spans="1:26" x14ac:dyDescent="0.3">
      <c r="A33" s="83" t="s">
        <v>267</v>
      </c>
      <c r="B33" s="64" t="s">
        <v>268</v>
      </c>
      <c r="C33" s="71">
        <v>0.25</v>
      </c>
      <c r="D33" s="64" t="s">
        <v>223</v>
      </c>
      <c r="E33" s="70" t="s">
        <v>527</v>
      </c>
      <c r="G33" s="64"/>
      <c r="H33" s="64"/>
      <c r="I33" s="64"/>
      <c r="J33" s="64"/>
      <c r="K33" s="64"/>
      <c r="L33" s="64"/>
      <c r="M33" s="64"/>
      <c r="N33" s="64"/>
      <c r="O33" s="64"/>
      <c r="P33" s="64"/>
      <c r="Q33" s="64"/>
      <c r="R33" s="64"/>
      <c r="S33" s="64"/>
      <c r="T33" s="64"/>
      <c r="U33" s="64"/>
      <c r="V33" s="64"/>
      <c r="W33" s="64"/>
      <c r="X33" s="64"/>
      <c r="Y33" s="64"/>
      <c r="Z33" s="64"/>
    </row>
    <row r="34" spans="1:26" ht="13.5" thickBot="1" x14ac:dyDescent="0.35">
      <c r="A34" s="84" t="s">
        <v>269</v>
      </c>
      <c r="B34" s="74" t="s">
        <v>270</v>
      </c>
      <c r="C34" s="75">
        <v>0.2</v>
      </c>
      <c r="D34" s="74" t="s">
        <v>223</v>
      </c>
      <c r="E34" s="76" t="s">
        <v>527</v>
      </c>
      <c r="G34" s="64"/>
      <c r="H34" s="64"/>
      <c r="I34" s="64"/>
      <c r="J34" s="64"/>
      <c r="K34" s="64"/>
      <c r="L34" s="64"/>
      <c r="M34" s="64"/>
      <c r="N34" s="64"/>
      <c r="O34" s="64"/>
      <c r="P34" s="64"/>
      <c r="Q34" s="64"/>
      <c r="R34" s="64"/>
      <c r="S34" s="64"/>
      <c r="T34" s="64"/>
      <c r="U34" s="64"/>
      <c r="V34" s="64"/>
      <c r="W34" s="64"/>
      <c r="X34" s="64"/>
      <c r="Y34" s="64"/>
      <c r="Z34" s="64"/>
    </row>
    <row r="35" spans="1:26" x14ac:dyDescent="0.3">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spans="1:26" ht="13.5" thickBot="1" x14ac:dyDescent="0.3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ht="33.5" customHeight="1" x14ac:dyDescent="0.3">
      <c r="A37" s="85" t="s">
        <v>271</v>
      </c>
      <c r="B37" s="86" t="s">
        <v>272</v>
      </c>
      <c r="C37" s="86"/>
      <c r="D37" s="86"/>
      <c r="E37" s="86" t="s">
        <v>215</v>
      </c>
      <c r="F37" s="87" t="s">
        <v>207</v>
      </c>
      <c r="G37" s="64"/>
      <c r="H37" s="64"/>
      <c r="I37" s="64"/>
      <c r="J37" s="64"/>
      <c r="K37" s="64"/>
      <c r="L37" s="64"/>
      <c r="M37" s="64"/>
      <c r="N37" s="64"/>
      <c r="O37" s="64"/>
      <c r="P37" s="64"/>
      <c r="Q37" s="64"/>
      <c r="R37" s="64"/>
      <c r="S37" s="64"/>
      <c r="T37" s="64"/>
      <c r="U37" s="64"/>
      <c r="V37" s="64"/>
      <c r="W37" s="64"/>
      <c r="X37" s="64"/>
      <c r="Y37" s="64"/>
      <c r="Z37" s="64"/>
    </row>
    <row r="38" spans="1:26" ht="36" customHeight="1" x14ac:dyDescent="0.3">
      <c r="A38" s="83" t="s">
        <v>273</v>
      </c>
      <c r="B38" s="64" t="s">
        <v>274</v>
      </c>
      <c r="C38" s="64"/>
      <c r="D38" s="64"/>
      <c r="E38" s="64" t="s">
        <v>275</v>
      </c>
      <c r="F38" s="70"/>
      <c r="G38" s="64"/>
      <c r="H38" s="64"/>
      <c r="I38" s="64"/>
      <c r="J38" s="64"/>
      <c r="K38" s="64"/>
      <c r="L38" s="64"/>
      <c r="M38" s="64"/>
      <c r="N38" s="64"/>
      <c r="O38" s="64"/>
      <c r="P38" s="64"/>
      <c r="Q38" s="64"/>
      <c r="R38" s="64"/>
      <c r="S38" s="64"/>
      <c r="T38" s="64"/>
      <c r="U38" s="64"/>
      <c r="V38" s="64"/>
      <c r="W38" s="64"/>
      <c r="X38" s="64"/>
      <c r="Y38" s="64"/>
      <c r="Z38" s="64"/>
    </row>
    <row r="39" spans="1:26" ht="28" customHeight="1" x14ac:dyDescent="0.3">
      <c r="A39" s="83" t="s">
        <v>276</v>
      </c>
      <c r="B39" s="64" t="s">
        <v>277</v>
      </c>
      <c r="C39" s="64"/>
      <c r="D39" s="64"/>
      <c r="E39" s="64" t="s">
        <v>275</v>
      </c>
      <c r="F39" s="70"/>
      <c r="G39" s="64"/>
      <c r="H39" s="64"/>
      <c r="I39" s="64"/>
      <c r="J39" s="64"/>
      <c r="K39" s="64"/>
      <c r="L39" s="64"/>
      <c r="M39" s="64"/>
      <c r="N39" s="64"/>
      <c r="O39" s="64"/>
      <c r="P39" s="64"/>
      <c r="Q39" s="64"/>
      <c r="R39" s="64"/>
      <c r="S39" s="64"/>
      <c r="T39" s="64"/>
      <c r="U39" s="64"/>
      <c r="V39" s="64"/>
      <c r="W39" s="64"/>
      <c r="X39" s="64"/>
      <c r="Y39" s="64"/>
      <c r="Z39" s="64"/>
    </row>
    <row r="40" spans="1:26" ht="37.5" customHeight="1" thickBot="1" x14ac:dyDescent="0.35">
      <c r="A40" s="84" t="s">
        <v>278</v>
      </c>
      <c r="B40" s="74" t="s">
        <v>279</v>
      </c>
      <c r="C40" s="74"/>
      <c r="D40" s="74"/>
      <c r="E40" s="74" t="s">
        <v>280</v>
      </c>
      <c r="F40" s="76" t="s">
        <v>528</v>
      </c>
      <c r="G40" s="64"/>
      <c r="H40" s="64"/>
      <c r="I40" s="64"/>
      <c r="J40" s="64"/>
      <c r="K40" s="64"/>
      <c r="L40" s="64"/>
      <c r="M40" s="64"/>
      <c r="N40" s="64"/>
      <c r="O40" s="64"/>
      <c r="P40" s="64"/>
      <c r="Q40" s="64"/>
      <c r="R40" s="64"/>
      <c r="S40" s="64"/>
      <c r="T40" s="64"/>
      <c r="U40" s="64"/>
      <c r="V40" s="64"/>
      <c r="W40" s="64"/>
      <c r="X40" s="64"/>
      <c r="Y40" s="64"/>
      <c r="Z40" s="64"/>
    </row>
    <row r="41" spans="1:26" ht="16" customHeight="1" x14ac:dyDescent="0.3">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spans="1:26" x14ac:dyDescent="0.3">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x14ac:dyDescent="0.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x14ac:dyDescent="0.3">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x14ac:dyDescent="0.3">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spans="1:26" x14ac:dyDescent="0.3">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spans="1:26" x14ac:dyDescent="0.3">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spans="1:26" x14ac:dyDescent="0.3">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spans="1:26" x14ac:dyDescent="0.3">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spans="1:26" x14ac:dyDescent="0.3">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x14ac:dyDescent="0.3">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x14ac:dyDescent="0.3">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spans="1:26" x14ac:dyDescent="0.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spans="1:26" x14ac:dyDescent="0.3">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spans="1:26" x14ac:dyDescent="0.3">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spans="1:26" x14ac:dyDescent="0.3">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spans="1:26" x14ac:dyDescent="0.3">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x14ac:dyDescent="0.3">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spans="1:26" x14ac:dyDescent="0.3">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1:26" x14ac:dyDescent="0.3">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D67"/>
  <sheetViews>
    <sheetView zoomScaleNormal="100" workbookViewId="0">
      <selection activeCell="G4" sqref="G4"/>
    </sheetView>
  </sheetViews>
  <sheetFormatPr defaultColWidth="8.6328125" defaultRowHeight="13" x14ac:dyDescent="0.3"/>
  <cols>
    <col min="1" max="7" width="18" style="5" customWidth="1"/>
    <col min="8" max="16384" width="8.6328125" style="5"/>
  </cols>
  <sheetData>
    <row r="1" spans="1:134" ht="21.5" customHeight="1" x14ac:dyDescent="0.3">
      <c r="A1" s="472" t="s">
        <v>529</v>
      </c>
      <c r="B1" s="472"/>
      <c r="C1" s="472"/>
      <c r="D1" s="472"/>
      <c r="E1" s="472"/>
      <c r="F1" s="472"/>
      <c r="G1" s="472"/>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13.5" thickBot="1" x14ac:dyDescent="0.35">
      <c r="A2" s="64"/>
      <c r="B2" s="64"/>
      <c r="C2" s="64"/>
      <c r="D2" s="64"/>
      <c r="E2" s="64"/>
      <c r="F2" s="64"/>
      <c r="G2" s="64"/>
      <c r="H2" s="64"/>
      <c r="I2" s="64"/>
      <c r="J2" s="64"/>
      <c r="K2" s="64"/>
      <c r="L2" s="64"/>
      <c r="M2" s="64"/>
      <c r="N2" s="64"/>
      <c r="O2" s="64"/>
      <c r="P2" s="64"/>
      <c r="Q2" s="64"/>
      <c r="R2" s="64"/>
      <c r="S2" s="64"/>
      <c r="T2" s="64"/>
      <c r="U2" s="64"/>
      <c r="V2" s="64"/>
      <c r="W2" s="64"/>
      <c r="X2" s="64"/>
      <c r="Y2" s="64"/>
      <c r="Z2" s="64"/>
    </row>
    <row r="3" spans="1:134" ht="26.5" thickBot="1" x14ac:dyDescent="0.35">
      <c r="A3" s="77" t="s">
        <v>281</v>
      </c>
      <c r="B3" s="78" t="s">
        <v>282</v>
      </c>
      <c r="C3" s="78" t="s">
        <v>283</v>
      </c>
      <c r="D3" s="78" t="s">
        <v>284</v>
      </c>
      <c r="E3" s="78" t="s">
        <v>285</v>
      </c>
      <c r="F3" s="78" t="s">
        <v>286</v>
      </c>
      <c r="G3" s="79" t="s">
        <v>287</v>
      </c>
      <c r="H3" s="64"/>
      <c r="I3" s="64"/>
      <c r="J3" s="64"/>
      <c r="K3" s="64"/>
      <c r="L3" s="64"/>
      <c r="M3" s="64"/>
      <c r="N3" s="64"/>
      <c r="O3" s="64"/>
      <c r="P3" s="64"/>
      <c r="Q3" s="64"/>
      <c r="R3" s="64"/>
      <c r="S3" s="64"/>
      <c r="T3" s="64"/>
      <c r="U3" s="64"/>
      <c r="V3" s="64"/>
      <c r="W3" s="64"/>
      <c r="X3" s="64"/>
      <c r="Y3" s="64"/>
      <c r="Z3" s="64"/>
    </row>
    <row r="4" spans="1:134" x14ac:dyDescent="0.3">
      <c r="A4" s="68">
        <v>20</v>
      </c>
      <c r="B4" s="88">
        <v>1.7186832877483699E-4</v>
      </c>
      <c r="C4" s="88">
        <v>2.8358274247848201E-4</v>
      </c>
      <c r="D4" s="88">
        <v>2.32527738930662E-4</v>
      </c>
      <c r="E4" s="88">
        <v>3.8367076923559299E-4</v>
      </c>
      <c r="F4" s="89">
        <v>0.8</v>
      </c>
      <c r="G4" s="90">
        <v>1.55</v>
      </c>
      <c r="H4" s="64"/>
      <c r="I4" s="64"/>
      <c r="J4" s="64"/>
      <c r="K4" s="64"/>
      <c r="L4" s="64"/>
      <c r="M4" s="64"/>
      <c r="N4" s="64"/>
      <c r="O4" s="64"/>
      <c r="P4" s="64"/>
      <c r="Q4" s="64"/>
      <c r="R4" s="64"/>
      <c r="S4" s="64"/>
      <c r="T4" s="64"/>
      <c r="U4" s="64"/>
      <c r="V4" s="64"/>
      <c r="W4" s="64"/>
      <c r="X4" s="64"/>
      <c r="Y4" s="64"/>
      <c r="Z4" s="64"/>
    </row>
    <row r="5" spans="1:134" x14ac:dyDescent="0.3">
      <c r="A5" s="68">
        <v>21</v>
      </c>
      <c r="B5" s="88">
        <v>1.86182737904689E-4</v>
      </c>
      <c r="C5" s="88">
        <v>3.0720151754273702E-4</v>
      </c>
      <c r="D5" s="88">
        <v>2.5189429245928499E-4</v>
      </c>
      <c r="E5" s="88">
        <v>4.1562558255782103E-4</v>
      </c>
      <c r="F5" s="89">
        <v>0.8</v>
      </c>
      <c r="G5" s="90">
        <v>1.55</v>
      </c>
      <c r="H5" s="64"/>
      <c r="I5" s="64"/>
      <c r="J5" s="64"/>
      <c r="K5" s="64"/>
      <c r="L5" s="64"/>
      <c r="M5" s="64"/>
      <c r="N5" s="64"/>
      <c r="O5" s="64"/>
      <c r="P5" s="64"/>
      <c r="Q5" s="64"/>
      <c r="R5" s="64"/>
      <c r="S5" s="64"/>
      <c r="T5" s="64"/>
      <c r="U5" s="64"/>
      <c r="V5" s="64"/>
      <c r="W5" s="64"/>
      <c r="X5" s="64"/>
      <c r="Y5" s="64"/>
      <c r="Z5" s="64"/>
    </row>
    <row r="6" spans="1:134" x14ac:dyDescent="0.3">
      <c r="A6" s="68">
        <v>22</v>
      </c>
      <c r="B6" s="88">
        <v>2.0168935219646599E-4</v>
      </c>
      <c r="C6" s="88">
        <v>3.32787431124169E-4</v>
      </c>
      <c r="D6" s="88">
        <v>2.7287382944227802E-4</v>
      </c>
      <c r="E6" s="88">
        <v>4.50241818579758E-4</v>
      </c>
      <c r="F6" s="89">
        <v>0.8</v>
      </c>
      <c r="G6" s="90">
        <v>1.55</v>
      </c>
      <c r="H6" s="64"/>
      <c r="I6" s="64"/>
      <c r="J6" s="64"/>
      <c r="K6" s="64"/>
      <c r="L6" s="64"/>
      <c r="M6" s="64"/>
      <c r="N6" s="64"/>
      <c r="O6" s="64"/>
      <c r="P6" s="64"/>
      <c r="Q6" s="64"/>
      <c r="R6" s="64"/>
      <c r="S6" s="64"/>
      <c r="T6" s="64"/>
      <c r="U6" s="64"/>
      <c r="V6" s="64"/>
      <c r="W6" s="64"/>
      <c r="X6" s="64"/>
      <c r="Y6" s="64"/>
      <c r="Z6" s="64"/>
    </row>
    <row r="7" spans="1:134" x14ac:dyDescent="0.3">
      <c r="A7" s="68">
        <v>23</v>
      </c>
      <c r="B7" s="88">
        <v>2.18487466922172E-4</v>
      </c>
      <c r="C7" s="88">
        <v>3.6050432042158297E-4</v>
      </c>
      <c r="D7" s="88">
        <v>2.9560069054176198E-4</v>
      </c>
      <c r="E7" s="88">
        <v>4.8774113939390698E-4</v>
      </c>
      <c r="F7" s="89">
        <v>0.8</v>
      </c>
      <c r="G7" s="90">
        <v>1.55</v>
      </c>
      <c r="H7" s="64"/>
      <c r="I7" s="64"/>
      <c r="J7" s="64"/>
      <c r="K7" s="64"/>
      <c r="L7" s="64"/>
      <c r="M7" s="64"/>
      <c r="N7" s="64"/>
      <c r="O7" s="64"/>
      <c r="P7" s="64"/>
      <c r="Q7" s="64"/>
      <c r="R7" s="64"/>
      <c r="S7" s="64"/>
      <c r="T7" s="64"/>
      <c r="U7" s="64"/>
      <c r="V7" s="64"/>
      <c r="W7" s="64"/>
      <c r="X7" s="64"/>
      <c r="Y7" s="64"/>
      <c r="Z7" s="64"/>
    </row>
    <row r="8" spans="1:134" x14ac:dyDescent="0.3">
      <c r="A8" s="68">
        <v>24</v>
      </c>
      <c r="B8" s="88">
        <v>2.36684647365849E-4</v>
      </c>
      <c r="C8" s="88">
        <v>3.9052966815365098E-4</v>
      </c>
      <c r="D8" s="88">
        <v>3.20220405259678E-4</v>
      </c>
      <c r="E8" s="88">
        <v>5.2836366867846905E-4</v>
      </c>
      <c r="F8" s="89">
        <v>0.8</v>
      </c>
      <c r="G8" s="90">
        <v>1.55</v>
      </c>
      <c r="H8" s="64"/>
      <c r="I8" s="64"/>
      <c r="J8" s="64"/>
      <c r="K8" s="64"/>
      <c r="L8" s="64"/>
      <c r="M8" s="64"/>
      <c r="N8" s="64"/>
      <c r="O8" s="64"/>
      <c r="P8" s="64"/>
      <c r="Q8" s="64"/>
      <c r="R8" s="64"/>
      <c r="S8" s="64"/>
      <c r="T8" s="64"/>
      <c r="U8" s="64"/>
      <c r="V8" s="64"/>
      <c r="W8" s="64"/>
      <c r="X8" s="64"/>
      <c r="Y8" s="64"/>
      <c r="Z8" s="64"/>
    </row>
    <row r="9" spans="1:134" x14ac:dyDescent="0.3">
      <c r="A9" s="68">
        <v>25</v>
      </c>
      <c r="B9" s="88">
        <v>2.5639741760863198E-4</v>
      </c>
      <c r="C9" s="88">
        <v>4.2305573905424302E-4</v>
      </c>
      <c r="D9" s="88">
        <v>3.4689062382344302E-4</v>
      </c>
      <c r="E9" s="88">
        <v>5.7236952930868096E-4</v>
      </c>
      <c r="F9" s="89">
        <v>0.8</v>
      </c>
      <c r="G9" s="90">
        <v>1.55</v>
      </c>
      <c r="H9" s="64"/>
      <c r="I9" s="64"/>
      <c r="J9" s="64"/>
      <c r="K9" s="64"/>
      <c r="L9" s="64"/>
      <c r="M9" s="64"/>
      <c r="N9" s="64"/>
      <c r="O9" s="64"/>
      <c r="P9" s="64"/>
      <c r="Q9" s="64"/>
      <c r="R9" s="64"/>
      <c r="S9" s="64"/>
      <c r="T9" s="64"/>
      <c r="U9" s="64"/>
      <c r="V9" s="64"/>
      <c r="W9" s="64"/>
      <c r="X9" s="64"/>
      <c r="Y9" s="64"/>
      <c r="Z9" s="64"/>
    </row>
    <row r="10" spans="1:134" x14ac:dyDescent="0.3">
      <c r="A10" s="68">
        <v>26</v>
      </c>
      <c r="B10" s="88">
        <v>2.7775200668068702E-4</v>
      </c>
      <c r="C10" s="88">
        <v>4.5829081102313302E-4</v>
      </c>
      <c r="D10" s="88">
        <v>3.7578212668563498E-4</v>
      </c>
      <c r="E10" s="88">
        <v>6.2004050903129799E-4</v>
      </c>
      <c r="F10" s="89">
        <v>0.8</v>
      </c>
      <c r="G10" s="90">
        <v>1.55</v>
      </c>
      <c r="H10" s="64"/>
      <c r="I10" s="64"/>
      <c r="J10" s="64"/>
      <c r="K10" s="64"/>
      <c r="L10" s="64"/>
      <c r="M10" s="64"/>
      <c r="N10" s="64"/>
      <c r="O10" s="64"/>
      <c r="P10" s="64"/>
      <c r="Q10" s="64"/>
      <c r="R10" s="64"/>
      <c r="S10" s="64"/>
      <c r="T10" s="64"/>
      <c r="U10" s="64"/>
      <c r="V10" s="64"/>
      <c r="W10" s="64"/>
      <c r="X10" s="64"/>
      <c r="Y10" s="64"/>
      <c r="Z10" s="64"/>
    </row>
    <row r="11" spans="1:134" x14ac:dyDescent="0.3">
      <c r="A11" s="68">
        <v>27</v>
      </c>
      <c r="B11" s="88">
        <v>3.0088515685795699E-4</v>
      </c>
      <c r="C11" s="88">
        <v>4.9646050881562895E-4</v>
      </c>
      <c r="D11" s="88">
        <v>4.0707991810194101E-4</v>
      </c>
      <c r="E11" s="88">
        <v>6.7168186486820302E-4</v>
      </c>
      <c r="F11" s="89">
        <v>0.8</v>
      </c>
      <c r="G11" s="90">
        <v>1.55</v>
      </c>
      <c r="H11" s="64"/>
      <c r="I11" s="64"/>
      <c r="J11" s="64"/>
      <c r="K11" s="64"/>
      <c r="L11" s="64"/>
      <c r="M11" s="64"/>
      <c r="N11" s="64"/>
      <c r="O11" s="64"/>
      <c r="P11" s="64"/>
      <c r="Q11" s="64"/>
      <c r="R11" s="64"/>
      <c r="S11" s="64"/>
      <c r="T11" s="64"/>
      <c r="U11" s="64"/>
      <c r="V11" s="64"/>
      <c r="W11" s="64"/>
      <c r="X11" s="64"/>
      <c r="Y11" s="64"/>
      <c r="Z11" s="64"/>
    </row>
    <row r="12" spans="1:134" x14ac:dyDescent="0.3">
      <c r="A12" s="68">
        <v>28</v>
      </c>
      <c r="B12" s="88">
        <v>3.2594499927957602E-4</v>
      </c>
      <c r="C12" s="88">
        <v>5.378092488113E-4</v>
      </c>
      <c r="D12" s="88">
        <v>4.4098441079001399E-4</v>
      </c>
      <c r="E12" s="88">
        <v>7.2762427780352396E-4</v>
      </c>
      <c r="F12" s="89">
        <v>0.8</v>
      </c>
      <c r="G12" s="90">
        <v>1.55</v>
      </c>
      <c r="H12" s="64"/>
      <c r="I12" s="64"/>
      <c r="J12" s="64"/>
      <c r="K12" s="64"/>
      <c r="L12" s="64"/>
      <c r="M12" s="64"/>
      <c r="N12" s="64"/>
      <c r="O12" s="64"/>
      <c r="P12" s="64"/>
      <c r="Q12" s="64"/>
      <c r="R12" s="64"/>
      <c r="S12" s="64"/>
      <c r="T12" s="64"/>
      <c r="U12" s="64"/>
      <c r="V12" s="64"/>
      <c r="W12" s="64"/>
      <c r="X12" s="64"/>
      <c r="Y12" s="64"/>
      <c r="Z12" s="64"/>
    </row>
    <row r="13" spans="1:134" x14ac:dyDescent="0.3">
      <c r="A13" s="68">
        <v>29</v>
      </c>
      <c r="B13" s="88">
        <v>3.53092002492888E-4</v>
      </c>
      <c r="C13" s="88">
        <v>5.8260180411326499E-4</v>
      </c>
      <c r="D13" s="88">
        <v>4.7771270925508401E-4</v>
      </c>
      <c r="E13" s="88">
        <v>7.8822597027088895E-4</v>
      </c>
      <c r="F13" s="89">
        <v>0.8</v>
      </c>
      <c r="G13" s="90">
        <v>1.55</v>
      </c>
      <c r="H13" s="64"/>
      <c r="I13" s="64"/>
      <c r="J13" s="64"/>
      <c r="K13" s="64"/>
      <c r="L13" s="64"/>
      <c r="M13" s="64"/>
      <c r="N13" s="64"/>
      <c r="O13" s="64"/>
      <c r="P13" s="64"/>
      <c r="Q13" s="64"/>
      <c r="R13" s="64"/>
      <c r="S13" s="64"/>
      <c r="T13" s="64"/>
      <c r="U13" s="64"/>
      <c r="V13" s="64"/>
      <c r="W13" s="64"/>
      <c r="X13" s="64"/>
      <c r="Y13" s="64"/>
      <c r="Z13" s="64"/>
    </row>
    <row r="14" spans="1:134" x14ac:dyDescent="0.3">
      <c r="A14" s="68">
        <v>30</v>
      </c>
      <c r="B14" s="88">
        <v>3.8249999999999997E-4</v>
      </c>
      <c r="C14" s="88">
        <v>6.3112499999999996E-4</v>
      </c>
      <c r="D14" s="88">
        <v>5.1749999999999995E-4</v>
      </c>
      <c r="E14" s="88">
        <v>8.5387500000000003E-4</v>
      </c>
      <c r="F14" s="89">
        <v>0.8</v>
      </c>
      <c r="G14" s="90">
        <v>1.55</v>
      </c>
      <c r="H14" s="64"/>
      <c r="I14" s="64"/>
      <c r="J14" s="64"/>
      <c r="K14" s="64"/>
      <c r="L14" s="64"/>
      <c r="M14" s="64"/>
      <c r="N14" s="64"/>
      <c r="O14" s="64"/>
      <c r="P14" s="64"/>
      <c r="Q14" s="64"/>
      <c r="R14" s="64"/>
      <c r="S14" s="64"/>
      <c r="T14" s="64"/>
      <c r="U14" s="64"/>
      <c r="V14" s="64"/>
      <c r="W14" s="64"/>
      <c r="X14" s="64"/>
      <c r="Y14" s="64"/>
      <c r="Z14" s="64"/>
    </row>
    <row r="15" spans="1:134" x14ac:dyDescent="0.3">
      <c r="A15" s="68">
        <v>31</v>
      </c>
      <c r="B15" s="88">
        <v>4.1435730338567202E-4</v>
      </c>
      <c r="C15" s="88">
        <v>6.8368955058635799E-4</v>
      </c>
      <c r="D15" s="88">
        <v>5.6060105752179102E-4</v>
      </c>
      <c r="E15" s="88">
        <v>9.2499174491095498E-4</v>
      </c>
      <c r="F15" s="89">
        <v>0.8</v>
      </c>
      <c r="G15" s="90">
        <v>1.55</v>
      </c>
      <c r="H15" s="64"/>
      <c r="I15" s="64"/>
      <c r="J15" s="64"/>
      <c r="K15" s="64"/>
      <c r="L15" s="64"/>
      <c r="M15" s="64"/>
      <c r="N15" s="64"/>
      <c r="O15" s="64"/>
      <c r="P15" s="64"/>
      <c r="Q15" s="64"/>
      <c r="R15" s="64"/>
      <c r="S15" s="64"/>
      <c r="T15" s="64"/>
      <c r="U15" s="64"/>
      <c r="V15" s="64"/>
      <c r="W15" s="64"/>
      <c r="X15" s="64"/>
      <c r="Y15" s="64"/>
      <c r="Z15" s="64"/>
    </row>
    <row r="16" spans="1:134" x14ac:dyDescent="0.3">
      <c r="A16" s="68">
        <v>32</v>
      </c>
      <c r="B16" s="88">
        <v>4.4886790815436701E-4</v>
      </c>
      <c r="C16" s="88">
        <v>7.4063204845470603E-4</v>
      </c>
      <c r="D16" s="88">
        <v>6.07291875738262E-4</v>
      </c>
      <c r="E16" s="88">
        <v>1.0020315949681299E-3</v>
      </c>
      <c r="F16" s="89">
        <v>0.8</v>
      </c>
      <c r="G16" s="90">
        <v>1.55</v>
      </c>
      <c r="H16" s="64"/>
      <c r="I16" s="64"/>
      <c r="J16" s="64"/>
      <c r="K16" s="64"/>
      <c r="L16" s="64"/>
      <c r="M16" s="64"/>
      <c r="N16" s="64"/>
      <c r="O16" s="64"/>
      <c r="P16" s="64"/>
      <c r="Q16" s="64"/>
      <c r="R16" s="64"/>
      <c r="S16" s="64"/>
      <c r="T16" s="64"/>
      <c r="U16" s="64"/>
      <c r="V16" s="64"/>
      <c r="W16" s="64"/>
      <c r="X16" s="64"/>
      <c r="Y16" s="64"/>
      <c r="Z16" s="64"/>
    </row>
    <row r="17" spans="1:26" x14ac:dyDescent="0.3">
      <c r="A17" s="68">
        <v>33</v>
      </c>
      <c r="B17" s="88">
        <v>4.8625279999793699E-4</v>
      </c>
      <c r="C17" s="88">
        <v>8.0231711999659695E-4</v>
      </c>
      <c r="D17" s="88">
        <v>6.5787143529132705E-4</v>
      </c>
      <c r="E17" s="88">
        <v>1.08548786823069E-3</v>
      </c>
      <c r="F17" s="89">
        <v>0.8</v>
      </c>
      <c r="G17" s="90">
        <v>1.55</v>
      </c>
      <c r="H17" s="64"/>
      <c r="I17" s="64"/>
      <c r="J17" s="64"/>
      <c r="K17" s="64"/>
      <c r="L17" s="64"/>
      <c r="M17" s="64"/>
      <c r="N17" s="64"/>
      <c r="O17" s="64"/>
      <c r="P17" s="64"/>
      <c r="Q17" s="64"/>
      <c r="R17" s="64"/>
      <c r="S17" s="64"/>
      <c r="T17" s="64"/>
      <c r="U17" s="64"/>
      <c r="V17" s="64"/>
      <c r="W17" s="64"/>
      <c r="X17" s="64"/>
      <c r="Y17" s="64"/>
      <c r="Z17" s="64"/>
    </row>
    <row r="18" spans="1:26" x14ac:dyDescent="0.3">
      <c r="A18" s="68">
        <v>34</v>
      </c>
      <c r="B18" s="88">
        <v>5.2675136985850396E-4</v>
      </c>
      <c r="C18" s="88">
        <v>8.6913976026653105E-4</v>
      </c>
      <c r="D18" s="88">
        <v>7.1266361804385805E-4</v>
      </c>
      <c r="E18" s="88">
        <v>1.1758949697723701E-3</v>
      </c>
      <c r="F18" s="89">
        <v>0.8</v>
      </c>
      <c r="G18" s="90">
        <v>1.55</v>
      </c>
      <c r="H18" s="64"/>
      <c r="I18" s="64"/>
      <c r="J18" s="64"/>
      <c r="K18" s="64"/>
      <c r="L18" s="64"/>
      <c r="M18" s="64"/>
      <c r="N18" s="64"/>
      <c r="O18" s="64"/>
      <c r="P18" s="64"/>
      <c r="Q18" s="64"/>
      <c r="R18" s="64"/>
      <c r="S18" s="64"/>
      <c r="T18" s="64"/>
      <c r="U18" s="64"/>
      <c r="V18" s="64"/>
      <c r="W18" s="64"/>
      <c r="X18" s="64"/>
      <c r="Y18" s="64"/>
      <c r="Z18" s="64"/>
    </row>
    <row r="19" spans="1:26" x14ac:dyDescent="0.3">
      <c r="A19" s="68">
        <v>35</v>
      </c>
      <c r="B19" s="88">
        <v>5.7062294684778595E-4</v>
      </c>
      <c r="C19" s="88">
        <v>9.4152786229884696E-4</v>
      </c>
      <c r="D19" s="88">
        <v>7.7201928102935699E-4</v>
      </c>
      <c r="E19" s="88">
        <v>1.27383181369844E-3</v>
      </c>
      <c r="F19" s="89">
        <v>0.8</v>
      </c>
      <c r="G19" s="90">
        <v>1.55</v>
      </c>
      <c r="H19" s="64"/>
      <c r="I19" s="64"/>
      <c r="J19" s="64"/>
      <c r="K19" s="64"/>
      <c r="L19" s="64"/>
      <c r="M19" s="64"/>
      <c r="N19" s="64"/>
      <c r="O19" s="64"/>
      <c r="P19" s="64"/>
      <c r="Q19" s="64"/>
      <c r="R19" s="64"/>
      <c r="S19" s="64"/>
      <c r="T19" s="64"/>
      <c r="U19" s="64"/>
      <c r="V19" s="64"/>
      <c r="W19" s="64"/>
      <c r="X19" s="64"/>
      <c r="Y19" s="64"/>
      <c r="Z19" s="64"/>
    </row>
    <row r="20" spans="1:26" x14ac:dyDescent="0.3">
      <c r="A20" s="68">
        <v>36</v>
      </c>
      <c r="B20" s="88">
        <v>6.1814845883878197E-4</v>
      </c>
      <c r="C20" s="88">
        <v>1.01994495708399E-3</v>
      </c>
      <c r="D20" s="88">
        <v>8.3631850313482196E-4</v>
      </c>
      <c r="E20" s="88">
        <v>1.3799255301724599E-3</v>
      </c>
      <c r="F20" s="89">
        <v>0.8</v>
      </c>
      <c r="G20" s="90">
        <v>1.55</v>
      </c>
      <c r="H20" s="64"/>
      <c r="I20" s="64"/>
      <c r="J20" s="64"/>
      <c r="K20" s="64"/>
      <c r="L20" s="64"/>
      <c r="M20" s="64"/>
      <c r="N20" s="64"/>
      <c r="O20" s="64"/>
      <c r="P20" s="64"/>
      <c r="Q20" s="64"/>
      <c r="R20" s="64"/>
      <c r="S20" s="64"/>
      <c r="T20" s="64"/>
      <c r="U20" s="64"/>
      <c r="V20" s="64"/>
      <c r="W20" s="64"/>
      <c r="X20" s="64"/>
      <c r="Y20" s="64"/>
      <c r="Z20" s="64"/>
    </row>
    <row r="21" spans="1:26" x14ac:dyDescent="0.3">
      <c r="A21" s="68">
        <v>37</v>
      </c>
      <c r="B21" s="88">
        <v>6.6963223136325904E-4</v>
      </c>
      <c r="C21" s="88">
        <v>1.1048931817493801E-3</v>
      </c>
      <c r="D21" s="88">
        <v>9.0597301890323197E-4</v>
      </c>
      <c r="E21" s="88">
        <v>1.49485548119033E-3</v>
      </c>
      <c r="F21" s="89">
        <v>0.8</v>
      </c>
      <c r="G21" s="90">
        <v>1.55</v>
      </c>
      <c r="H21" s="64"/>
      <c r="I21" s="64"/>
      <c r="J21" s="64"/>
      <c r="K21" s="64"/>
      <c r="L21" s="64"/>
      <c r="M21" s="64"/>
      <c r="N21" s="64"/>
      <c r="O21" s="64"/>
      <c r="P21" s="64"/>
      <c r="Q21" s="64"/>
      <c r="R21" s="64"/>
      <c r="S21" s="64"/>
      <c r="T21" s="64"/>
      <c r="U21" s="64"/>
      <c r="V21" s="64"/>
      <c r="W21" s="64"/>
      <c r="X21" s="64"/>
      <c r="Y21" s="64"/>
      <c r="Z21" s="64"/>
    </row>
    <row r="22" spans="1:26" x14ac:dyDescent="0.3">
      <c r="A22" s="68">
        <v>38</v>
      </c>
      <c r="B22" s="88">
        <v>7.2540393633414402E-4</v>
      </c>
      <c r="C22" s="88">
        <v>1.19691649495134E-3</v>
      </c>
      <c r="D22" s="88">
        <v>9.8142885504031189E-4</v>
      </c>
      <c r="E22" s="88">
        <v>1.6193576108165201E-3</v>
      </c>
      <c r="F22" s="89">
        <v>0.8</v>
      </c>
      <c r="G22" s="90">
        <v>1.55</v>
      </c>
      <c r="H22" s="64"/>
      <c r="I22" s="64"/>
      <c r="J22" s="64"/>
      <c r="K22" s="64"/>
      <c r="L22" s="64"/>
      <c r="M22" s="64"/>
      <c r="N22" s="64"/>
      <c r="O22" s="64"/>
      <c r="P22" s="64"/>
      <c r="Q22" s="64"/>
      <c r="R22" s="64"/>
      <c r="S22" s="64"/>
      <c r="T22" s="64"/>
      <c r="U22" s="64"/>
      <c r="V22" s="64"/>
      <c r="W22" s="64"/>
      <c r="X22" s="64"/>
      <c r="Y22" s="64"/>
      <c r="Z22" s="64"/>
    </row>
    <row r="23" spans="1:26" x14ac:dyDescent="0.3">
      <c r="A23" s="68">
        <v>39</v>
      </c>
      <c r="B23" s="88">
        <v>7.8582070307128696E-4</v>
      </c>
      <c r="C23" s="88">
        <v>1.29660416006762E-3</v>
      </c>
      <c r="D23" s="88">
        <v>1.06316918650821E-3</v>
      </c>
      <c r="E23" s="88">
        <v>1.75422915773855E-3</v>
      </c>
      <c r="F23" s="89">
        <v>0.8</v>
      </c>
      <c r="G23" s="90">
        <v>1.55</v>
      </c>
      <c r="H23" s="64"/>
      <c r="I23" s="64"/>
      <c r="J23" s="64"/>
      <c r="K23" s="64"/>
      <c r="L23" s="64"/>
      <c r="M23" s="64"/>
      <c r="N23" s="64"/>
      <c r="O23" s="64"/>
      <c r="P23" s="64"/>
      <c r="Q23" s="64"/>
      <c r="R23" s="64"/>
      <c r="S23" s="64"/>
      <c r="T23" s="64"/>
      <c r="U23" s="64"/>
      <c r="V23" s="64"/>
      <c r="W23" s="64"/>
      <c r="X23" s="64"/>
      <c r="Y23" s="64"/>
      <c r="Z23" s="64"/>
    </row>
    <row r="24" spans="1:26" x14ac:dyDescent="0.3">
      <c r="A24" s="68">
        <v>40</v>
      </c>
      <c r="B24" s="88">
        <v>8.5126940514836905E-4</v>
      </c>
      <c r="C24" s="88">
        <v>1.4045945184948099E-3</v>
      </c>
      <c r="D24" s="88">
        <v>1.1517174304948501E-3</v>
      </c>
      <c r="E24" s="88">
        <v>1.90033376031651E-3</v>
      </c>
      <c r="F24" s="89">
        <v>0.8</v>
      </c>
      <c r="G24" s="90">
        <v>1.55</v>
      </c>
      <c r="H24" s="64"/>
      <c r="I24" s="64"/>
      <c r="J24" s="64"/>
      <c r="K24" s="64"/>
      <c r="L24" s="64"/>
      <c r="M24" s="64"/>
      <c r="N24" s="64"/>
      <c r="O24" s="64"/>
      <c r="P24" s="64"/>
      <c r="Q24" s="64"/>
      <c r="R24" s="64"/>
      <c r="S24" s="64"/>
      <c r="T24" s="64"/>
      <c r="U24" s="64"/>
      <c r="V24" s="64"/>
      <c r="W24" s="64"/>
      <c r="X24" s="64"/>
      <c r="Y24" s="64"/>
      <c r="Z24" s="64"/>
    </row>
    <row r="25" spans="1:26" x14ac:dyDescent="0.3">
      <c r="A25" s="68">
        <v>41</v>
      </c>
      <c r="B25" s="88">
        <v>9.2216913770458301E-4</v>
      </c>
      <c r="C25" s="88">
        <v>1.52157907721256E-3</v>
      </c>
      <c r="D25" s="88">
        <v>1.24764059807091E-3</v>
      </c>
      <c r="E25" s="88">
        <v>2.0586069868169998E-3</v>
      </c>
      <c r="F25" s="89">
        <v>0.8</v>
      </c>
      <c r="G25" s="90">
        <v>1.55</v>
      </c>
      <c r="H25" s="64"/>
      <c r="I25" s="64"/>
      <c r="J25" s="64"/>
      <c r="K25" s="64"/>
      <c r="L25" s="64"/>
      <c r="M25" s="64"/>
      <c r="N25" s="64"/>
      <c r="O25" s="64"/>
      <c r="P25" s="64"/>
      <c r="Q25" s="64"/>
      <c r="R25" s="64"/>
      <c r="S25" s="64"/>
      <c r="T25" s="64"/>
      <c r="U25" s="64"/>
      <c r="V25" s="64"/>
      <c r="W25" s="64"/>
      <c r="X25" s="64"/>
      <c r="Y25" s="64"/>
      <c r="Z25" s="64"/>
    </row>
    <row r="26" spans="1:26" x14ac:dyDescent="0.3">
      <c r="A26" s="68">
        <v>42</v>
      </c>
      <c r="B26" s="88">
        <v>9.98973901084343E-4</v>
      </c>
      <c r="C26" s="88">
        <v>1.6483069367891701E-3</v>
      </c>
      <c r="D26" s="88">
        <v>1.3515529249964601E-3</v>
      </c>
      <c r="E26" s="88">
        <v>2.2300623262441598E-3</v>
      </c>
      <c r="F26" s="89">
        <v>0.8</v>
      </c>
      <c r="G26" s="90">
        <v>1.55</v>
      </c>
      <c r="H26" s="64"/>
      <c r="I26" s="64"/>
      <c r="J26" s="64"/>
      <c r="K26" s="64"/>
      <c r="L26" s="64"/>
      <c r="M26" s="64"/>
      <c r="N26" s="64"/>
      <c r="O26" s="64"/>
      <c r="P26" s="64"/>
      <c r="Q26" s="64"/>
      <c r="R26" s="64"/>
      <c r="S26" s="64"/>
      <c r="T26" s="64"/>
      <c r="U26" s="64"/>
      <c r="V26" s="64"/>
      <c r="W26" s="64"/>
      <c r="X26" s="64"/>
      <c r="Y26" s="64"/>
      <c r="Z26" s="64"/>
    </row>
    <row r="27" spans="1:26" x14ac:dyDescent="0.3">
      <c r="A27" s="68">
        <v>43</v>
      </c>
      <c r="B27" s="88">
        <v>1.08217550798947E-3</v>
      </c>
      <c r="C27" s="88">
        <v>1.78558958818263E-3</v>
      </c>
      <c r="D27" s="88">
        <v>1.4641198049269301E-3</v>
      </c>
      <c r="E27" s="88">
        <v>2.4157976781294401E-3</v>
      </c>
      <c r="F27" s="89">
        <v>0.8</v>
      </c>
      <c r="G27" s="90">
        <v>1.55</v>
      </c>
      <c r="H27" s="64"/>
      <c r="I27" s="64"/>
      <c r="J27" s="64"/>
      <c r="K27" s="64"/>
      <c r="L27" s="64"/>
      <c r="M27" s="64"/>
      <c r="N27" s="64"/>
      <c r="O27" s="64"/>
      <c r="P27" s="64"/>
      <c r="Q27" s="64"/>
      <c r="R27" s="64"/>
      <c r="S27" s="64"/>
      <c r="T27" s="64"/>
      <c r="U27" s="64"/>
      <c r="V27" s="64"/>
      <c r="W27" s="64"/>
      <c r="X27" s="64"/>
      <c r="Y27" s="64"/>
      <c r="Z27" s="64"/>
    </row>
    <row r="28" spans="1:26" x14ac:dyDescent="0.3">
      <c r="A28" s="68">
        <v>44</v>
      </c>
      <c r="B28" s="88">
        <v>1.1723067327595699E-3</v>
      </c>
      <c r="C28" s="88">
        <v>1.9343061090533E-3</v>
      </c>
      <c r="D28" s="88">
        <v>1.58606205020413E-3</v>
      </c>
      <c r="E28" s="88">
        <v>2.6170023828368102E-3</v>
      </c>
      <c r="F28" s="89">
        <v>0.8</v>
      </c>
      <c r="G28" s="90">
        <v>1.55</v>
      </c>
      <c r="H28" s="64"/>
      <c r="I28" s="64"/>
      <c r="J28" s="64"/>
      <c r="K28" s="64"/>
      <c r="L28" s="64"/>
      <c r="M28" s="64"/>
      <c r="N28" s="64"/>
      <c r="O28" s="64"/>
      <c r="P28" s="64"/>
      <c r="Q28" s="64"/>
      <c r="R28" s="64"/>
      <c r="S28" s="64"/>
      <c r="T28" s="64"/>
      <c r="U28" s="64"/>
      <c r="V28" s="64"/>
      <c r="W28" s="64"/>
      <c r="X28" s="64"/>
      <c r="Y28" s="64"/>
      <c r="Z28" s="64"/>
    </row>
    <row r="29" spans="1:26" x14ac:dyDescent="0.3">
      <c r="A29" s="68">
        <v>45</v>
      </c>
      <c r="B29" s="88">
        <v>1.2699447229467301E-3</v>
      </c>
      <c r="C29" s="88">
        <v>2.0954087928621002E-3</v>
      </c>
      <c r="D29" s="88">
        <v>1.71816050751616E-3</v>
      </c>
      <c r="E29" s="88">
        <v>2.8349648374016699E-3</v>
      </c>
      <c r="F29" s="89">
        <v>0.8</v>
      </c>
      <c r="G29" s="90">
        <v>1.55</v>
      </c>
      <c r="H29" s="64"/>
      <c r="I29" s="64"/>
      <c r="J29" s="64"/>
      <c r="K29" s="64"/>
      <c r="L29" s="64"/>
      <c r="M29" s="64"/>
      <c r="N29" s="64"/>
      <c r="O29" s="64"/>
      <c r="P29" s="64"/>
      <c r="Q29" s="64"/>
      <c r="R29" s="64"/>
      <c r="S29" s="64"/>
      <c r="T29" s="64"/>
      <c r="U29" s="64"/>
      <c r="V29" s="64"/>
      <c r="W29" s="64"/>
      <c r="X29" s="64"/>
      <c r="Y29" s="64"/>
      <c r="Z29" s="64"/>
    </row>
    <row r="30" spans="1:26" x14ac:dyDescent="0.3">
      <c r="A30" s="68">
        <v>46</v>
      </c>
      <c r="B30" s="88">
        <v>1.37571469503025E-3</v>
      </c>
      <c r="C30" s="88">
        <v>2.2699292467999099E-3</v>
      </c>
      <c r="D30" s="88">
        <v>1.8612610579820999E-3</v>
      </c>
      <c r="E30" s="88">
        <v>3.0710807456704702E-3</v>
      </c>
      <c r="F30" s="89">
        <v>0.8</v>
      </c>
      <c r="G30" s="90">
        <v>1.55</v>
      </c>
      <c r="H30" s="64"/>
      <c r="I30" s="64"/>
      <c r="J30" s="64"/>
      <c r="K30" s="64"/>
      <c r="L30" s="64"/>
      <c r="M30" s="64"/>
      <c r="N30" s="64"/>
      <c r="O30" s="64"/>
      <c r="P30" s="64"/>
      <c r="Q30" s="64"/>
      <c r="R30" s="64"/>
      <c r="S30" s="64"/>
      <c r="T30" s="64"/>
      <c r="U30" s="64"/>
      <c r="V30" s="64"/>
      <c r="W30" s="64"/>
      <c r="X30" s="64"/>
      <c r="Y30" s="64"/>
      <c r="Z30" s="64"/>
    </row>
    <row r="31" spans="1:26" x14ac:dyDescent="0.3">
      <c r="A31" s="68">
        <v>47</v>
      </c>
      <c r="B31" s="88">
        <v>1.4902939379366699E-3</v>
      </c>
      <c r="C31" s="88">
        <v>2.4589849975955001E-3</v>
      </c>
      <c r="D31" s="88">
        <v>2.0162800336790201E-3</v>
      </c>
      <c r="E31" s="88">
        <v>3.3268620555703902E-3</v>
      </c>
      <c r="F31" s="89">
        <v>0.8</v>
      </c>
      <c r="G31" s="90">
        <v>1.55</v>
      </c>
      <c r="H31" s="64"/>
      <c r="I31" s="64"/>
      <c r="J31" s="64"/>
      <c r="K31" s="64"/>
      <c r="L31" s="64"/>
      <c r="M31" s="64"/>
      <c r="N31" s="64"/>
      <c r="O31" s="64"/>
      <c r="P31" s="64"/>
      <c r="Q31" s="64"/>
      <c r="R31" s="64"/>
      <c r="S31" s="64"/>
      <c r="T31" s="64"/>
      <c r="U31" s="64"/>
      <c r="V31" s="64"/>
      <c r="W31" s="64"/>
      <c r="X31" s="64"/>
      <c r="Y31" s="64"/>
      <c r="Z31" s="64"/>
    </row>
    <row r="32" spans="1:26" x14ac:dyDescent="0.3">
      <c r="A32" s="68">
        <v>48</v>
      </c>
      <c r="B32" s="88">
        <v>1.6144161500011799E-3</v>
      </c>
      <c r="C32" s="88">
        <v>2.6637866475019501E-3</v>
      </c>
      <c r="D32" s="88">
        <v>2.1842100852957199E-3</v>
      </c>
      <c r="E32" s="88">
        <v>3.60394664073793E-3</v>
      </c>
      <c r="F32" s="89">
        <v>0.8</v>
      </c>
      <c r="G32" s="90">
        <v>1.55</v>
      </c>
      <c r="H32" s="64"/>
      <c r="I32" s="64"/>
      <c r="J32" s="64"/>
      <c r="K32" s="64"/>
      <c r="L32" s="64"/>
      <c r="M32" s="64"/>
      <c r="N32" s="64"/>
      <c r="O32" s="64"/>
      <c r="P32" s="64"/>
      <c r="Q32" s="64"/>
      <c r="R32" s="64"/>
      <c r="S32" s="64"/>
      <c r="T32" s="64"/>
      <c r="U32" s="64"/>
      <c r="V32" s="64"/>
      <c r="W32" s="64"/>
      <c r="X32" s="64"/>
      <c r="Y32" s="64"/>
      <c r="Z32" s="64"/>
    </row>
    <row r="33" spans="1:26" x14ac:dyDescent="0.3">
      <c r="A33" s="68">
        <v>49</v>
      </c>
      <c r="B33" s="88">
        <v>1.74887613714188E-3</v>
      </c>
      <c r="C33" s="88">
        <v>2.8856456262841002E-3</v>
      </c>
      <c r="D33" s="88">
        <v>2.3661265384860701E-3</v>
      </c>
      <c r="E33" s="88">
        <v>3.9041087885020101E-3</v>
      </c>
      <c r="F33" s="89">
        <v>0.8</v>
      </c>
      <c r="G33" s="90">
        <v>1.55</v>
      </c>
      <c r="H33" s="64"/>
      <c r="I33" s="64"/>
      <c r="J33" s="64"/>
      <c r="K33" s="64"/>
      <c r="L33" s="64"/>
      <c r="M33" s="64"/>
      <c r="N33" s="64"/>
      <c r="O33" s="64"/>
      <c r="P33" s="64"/>
      <c r="Q33" s="64"/>
      <c r="R33" s="64"/>
      <c r="S33" s="64"/>
      <c r="T33" s="64"/>
      <c r="U33" s="64"/>
      <c r="V33" s="64"/>
      <c r="W33" s="64"/>
      <c r="X33" s="64"/>
      <c r="Y33" s="64"/>
      <c r="Z33" s="64"/>
    </row>
    <row r="34" spans="1:26" x14ac:dyDescent="0.3">
      <c r="A34" s="68">
        <v>50</v>
      </c>
      <c r="B34" s="88">
        <v>1.89453490233113E-3</v>
      </c>
      <c r="C34" s="88">
        <v>3.1259825888463699E-3</v>
      </c>
      <c r="D34" s="88">
        <v>2.5631942796244698E-3</v>
      </c>
      <c r="E34" s="88">
        <v>4.2292705613803799E-3</v>
      </c>
      <c r="F34" s="89">
        <v>0.8</v>
      </c>
      <c r="G34" s="90">
        <v>1.55</v>
      </c>
      <c r="H34" s="64"/>
      <c r="I34" s="64"/>
      <c r="J34" s="64"/>
      <c r="K34" s="64"/>
      <c r="L34" s="64"/>
      <c r="M34" s="64"/>
      <c r="N34" s="64"/>
      <c r="O34" s="64"/>
      <c r="P34" s="64"/>
      <c r="Q34" s="64"/>
      <c r="R34" s="64"/>
      <c r="S34" s="64"/>
      <c r="T34" s="64"/>
      <c r="U34" s="64"/>
      <c r="V34" s="64"/>
      <c r="W34" s="64"/>
      <c r="X34" s="64"/>
      <c r="Y34" s="64"/>
      <c r="Z34" s="64"/>
    </row>
    <row r="35" spans="1:26" x14ac:dyDescent="0.3">
      <c r="A35" s="68">
        <v>51</v>
      </c>
      <c r="B35" s="88">
        <v>2.05232515895416E-3</v>
      </c>
      <c r="C35" s="88">
        <v>3.3863365122743599E-3</v>
      </c>
      <c r="D35" s="88">
        <v>2.7766752150556202E-3</v>
      </c>
      <c r="E35" s="88">
        <v>4.5815141048417803E-3</v>
      </c>
      <c r="F35" s="89">
        <v>0.8</v>
      </c>
      <c r="G35" s="90">
        <v>1.55</v>
      </c>
      <c r="H35" s="64"/>
      <c r="I35" s="64"/>
      <c r="J35" s="64"/>
      <c r="K35" s="64"/>
      <c r="L35" s="64"/>
      <c r="M35" s="64"/>
      <c r="N35" s="64"/>
      <c r="O35" s="64"/>
      <c r="P35" s="64"/>
      <c r="Q35" s="64"/>
      <c r="R35" s="64"/>
      <c r="S35" s="64"/>
      <c r="T35" s="64"/>
      <c r="U35" s="64"/>
      <c r="V35" s="64"/>
      <c r="W35" s="64"/>
      <c r="X35" s="64"/>
      <c r="Y35" s="64"/>
      <c r="Z35" s="64"/>
    </row>
    <row r="36" spans="1:26" x14ac:dyDescent="0.3">
      <c r="A36" s="68">
        <v>52</v>
      </c>
      <c r="B36" s="88">
        <v>2.22325730335899E-3</v>
      </c>
      <c r="C36" s="88">
        <v>3.6683745505423299E-3</v>
      </c>
      <c r="D36" s="88">
        <v>3.0079363516033399E-3</v>
      </c>
      <c r="E36" s="88">
        <v>4.9630949801455103E-3</v>
      </c>
      <c r="F36" s="89">
        <v>0.8</v>
      </c>
      <c r="G36" s="90">
        <v>1.55</v>
      </c>
      <c r="H36" s="64"/>
      <c r="I36" s="64"/>
      <c r="J36" s="64"/>
      <c r="K36" s="64"/>
      <c r="L36" s="64"/>
      <c r="M36" s="64"/>
      <c r="N36" s="64"/>
      <c r="O36" s="64"/>
      <c r="P36" s="64"/>
      <c r="Q36" s="64"/>
      <c r="R36" s="64"/>
      <c r="S36" s="64"/>
      <c r="T36" s="64"/>
      <c r="U36" s="64"/>
      <c r="V36" s="64"/>
      <c r="W36" s="64"/>
      <c r="X36" s="64"/>
      <c r="Y36" s="64"/>
      <c r="Z36" s="64"/>
    </row>
    <row r="37" spans="1:26" x14ac:dyDescent="0.3">
      <c r="A37" s="68">
        <v>53</v>
      </c>
      <c r="B37" s="88">
        <v>2.4084258848427E-3</v>
      </c>
      <c r="C37" s="88">
        <v>3.9739027099904498E-3</v>
      </c>
      <c r="D37" s="88">
        <v>3.2584585500813001E-3</v>
      </c>
      <c r="E37" s="88">
        <v>5.37645660763414E-3</v>
      </c>
      <c r="F37" s="89">
        <v>0.8</v>
      </c>
      <c r="G37" s="90">
        <v>1.55</v>
      </c>
      <c r="H37" s="64"/>
      <c r="I37" s="64"/>
      <c r="J37" s="64"/>
      <c r="K37" s="64"/>
      <c r="L37" s="64"/>
      <c r="M37" s="64"/>
      <c r="N37" s="64"/>
      <c r="O37" s="64"/>
      <c r="P37" s="64"/>
      <c r="Q37" s="64"/>
      <c r="R37" s="64"/>
      <c r="S37" s="64"/>
      <c r="T37" s="64"/>
      <c r="U37" s="64"/>
      <c r="V37" s="64"/>
      <c r="W37" s="64"/>
      <c r="X37" s="64"/>
      <c r="Y37" s="64"/>
      <c r="Z37" s="64"/>
    </row>
    <row r="38" spans="1:26" x14ac:dyDescent="0.3">
      <c r="A38" s="68">
        <v>54</v>
      </c>
      <c r="B38" s="88">
        <v>2.6090166145037101E-3</v>
      </c>
      <c r="C38" s="88">
        <v>4.3048774139311198E-3</v>
      </c>
      <c r="D38" s="88">
        <v>3.5298460078579601E-3</v>
      </c>
      <c r="E38" s="88">
        <v>5.8242459129656402E-3</v>
      </c>
      <c r="F38" s="89">
        <v>0.8</v>
      </c>
      <c r="G38" s="90">
        <v>1.55</v>
      </c>
      <c r="H38" s="64"/>
      <c r="I38" s="64"/>
      <c r="J38" s="64"/>
      <c r="K38" s="64"/>
      <c r="L38" s="64"/>
      <c r="M38" s="64"/>
      <c r="N38" s="64"/>
      <c r="O38" s="64"/>
      <c r="P38" s="64"/>
      <c r="Q38" s="64"/>
      <c r="R38" s="64"/>
      <c r="S38" s="64"/>
      <c r="T38" s="64"/>
      <c r="U38" s="64"/>
      <c r="V38" s="64"/>
      <c r="W38" s="64"/>
      <c r="X38" s="64"/>
      <c r="Y38" s="64"/>
      <c r="Z38" s="64"/>
    </row>
    <row r="39" spans="1:26" x14ac:dyDescent="0.3">
      <c r="A39" s="68">
        <v>55</v>
      </c>
      <c r="B39" s="88">
        <v>2.8263139578409702E-3</v>
      </c>
      <c r="C39" s="88">
        <v>4.6634180304376098E-3</v>
      </c>
      <c r="D39" s="88">
        <v>3.8238365311966099E-3</v>
      </c>
      <c r="E39" s="88">
        <v>6.3093302764744104E-3</v>
      </c>
      <c r="F39" s="89">
        <v>0.8</v>
      </c>
      <c r="G39" s="90">
        <v>1.55</v>
      </c>
      <c r="H39" s="64"/>
      <c r="I39" s="64"/>
      <c r="J39" s="64"/>
      <c r="K39" s="64"/>
      <c r="L39" s="64"/>
      <c r="M39" s="64"/>
      <c r="N39" s="64"/>
      <c r="O39" s="64"/>
      <c r="P39" s="64"/>
      <c r="Q39" s="64"/>
      <c r="R39" s="64"/>
      <c r="S39" s="64"/>
      <c r="T39" s="64"/>
      <c r="U39" s="64"/>
      <c r="V39" s="64"/>
      <c r="W39" s="64"/>
      <c r="X39" s="64"/>
      <c r="Y39" s="64"/>
      <c r="Z39" s="64"/>
    </row>
    <row r="40" spans="1:26" x14ac:dyDescent="0.3">
      <c r="A40" s="68">
        <v>56</v>
      </c>
      <c r="B40" s="88">
        <v>3.0617093597183598E-3</v>
      </c>
      <c r="C40" s="88">
        <v>5.0518204435352904E-3</v>
      </c>
      <c r="D40" s="88">
        <v>4.1423126631483596E-3</v>
      </c>
      <c r="E40" s="88">
        <v>6.8348158941948E-3</v>
      </c>
      <c r="F40" s="89">
        <v>0.8</v>
      </c>
      <c r="G40" s="90">
        <v>1.55</v>
      </c>
      <c r="H40" s="64"/>
      <c r="I40" s="64"/>
      <c r="J40" s="64"/>
      <c r="K40" s="64"/>
      <c r="L40" s="64"/>
      <c r="M40" s="64"/>
      <c r="N40" s="64"/>
      <c r="O40" s="64"/>
      <c r="P40" s="64"/>
      <c r="Q40" s="64"/>
      <c r="R40" s="64"/>
      <c r="S40" s="64"/>
      <c r="T40" s="64"/>
      <c r="U40" s="64"/>
      <c r="V40" s="64"/>
      <c r="W40" s="64"/>
      <c r="X40" s="64"/>
      <c r="Y40" s="64"/>
      <c r="Z40" s="64"/>
    </row>
    <row r="41" spans="1:26" x14ac:dyDescent="0.3">
      <c r="A41" s="68">
        <v>57</v>
      </c>
      <c r="B41" s="88">
        <v>3.31671015436227E-3</v>
      </c>
      <c r="C41" s="88">
        <v>5.4725717546977503E-3</v>
      </c>
      <c r="D41" s="88">
        <v>4.4873137382548398E-3</v>
      </c>
      <c r="E41" s="88">
        <v>7.4040676681204802E-3</v>
      </c>
      <c r="F41" s="89">
        <v>0.8</v>
      </c>
      <c r="G41" s="90">
        <v>1.55</v>
      </c>
      <c r="H41" s="64"/>
      <c r="I41" s="64"/>
      <c r="J41" s="64"/>
      <c r="K41" s="64"/>
      <c r="L41" s="64"/>
      <c r="M41" s="64"/>
      <c r="N41" s="64"/>
      <c r="O41" s="64"/>
      <c r="P41" s="64"/>
      <c r="Q41" s="64"/>
      <c r="R41" s="64"/>
      <c r="S41" s="64"/>
      <c r="T41" s="64"/>
      <c r="U41" s="64"/>
      <c r="V41" s="64"/>
      <c r="W41" s="64"/>
      <c r="X41" s="64"/>
      <c r="Y41" s="64"/>
      <c r="Z41" s="64"/>
    </row>
    <row r="42" spans="1:26" x14ac:dyDescent="0.3">
      <c r="A42" s="68">
        <v>58</v>
      </c>
      <c r="B42" s="88">
        <v>3.5929492174468702E-3</v>
      </c>
      <c r="C42" s="88">
        <v>5.9283662087873303E-3</v>
      </c>
      <c r="D42" s="88">
        <v>4.8610489412516398E-3</v>
      </c>
      <c r="E42" s="88">
        <v>8.0207307530652094E-3</v>
      </c>
      <c r="F42" s="89">
        <v>0.8</v>
      </c>
      <c r="G42" s="90">
        <v>1.55</v>
      </c>
      <c r="H42" s="64"/>
      <c r="I42" s="64"/>
      <c r="J42" s="64"/>
      <c r="K42" s="64"/>
      <c r="L42" s="64"/>
      <c r="M42" s="64"/>
      <c r="N42" s="64"/>
      <c r="O42" s="64"/>
      <c r="P42" s="64"/>
      <c r="Q42" s="64"/>
      <c r="R42" s="64"/>
      <c r="S42" s="64"/>
      <c r="T42" s="64"/>
      <c r="U42" s="64"/>
      <c r="V42" s="64"/>
      <c r="W42" s="64"/>
      <c r="X42" s="64"/>
      <c r="Y42" s="64"/>
      <c r="Z42" s="64"/>
    </row>
    <row r="43" spans="1:26" x14ac:dyDescent="0.3">
      <c r="A43" s="68">
        <v>59</v>
      </c>
      <c r="B43" s="88">
        <v>3.8921954220730499E-3</v>
      </c>
      <c r="C43" s="88">
        <v>6.4221224464205296E-3</v>
      </c>
      <c r="D43" s="88">
        <v>5.2659114533929498E-3</v>
      </c>
      <c r="E43" s="88">
        <v>8.6887538980983704E-3</v>
      </c>
      <c r="F43" s="89">
        <v>0.8</v>
      </c>
      <c r="G43" s="90">
        <v>1.55</v>
      </c>
      <c r="H43" s="64"/>
      <c r="I43" s="64"/>
      <c r="J43" s="64"/>
      <c r="K43" s="64"/>
      <c r="L43" s="64"/>
      <c r="M43" s="64"/>
      <c r="N43" s="64"/>
      <c r="O43" s="64"/>
      <c r="P43" s="64"/>
      <c r="Q43" s="64"/>
      <c r="R43" s="64"/>
      <c r="S43" s="64"/>
      <c r="T43" s="64"/>
      <c r="U43" s="64"/>
      <c r="V43" s="64"/>
      <c r="W43" s="64"/>
      <c r="X43" s="64"/>
      <c r="Y43" s="64"/>
      <c r="Z43" s="64"/>
    </row>
    <row r="44" spans="1:26" x14ac:dyDescent="0.3">
      <c r="A44" s="68">
        <v>60</v>
      </c>
      <c r="B44" s="88">
        <v>4.2163649655954103E-3</v>
      </c>
      <c r="C44" s="88">
        <v>6.9570021932324304E-3</v>
      </c>
      <c r="D44" s="88">
        <v>5.7044937769820296E-3</v>
      </c>
      <c r="E44" s="88">
        <v>9.4124147320203497E-3</v>
      </c>
      <c r="F44" s="89">
        <v>0.8</v>
      </c>
      <c r="G44" s="90">
        <v>1.55</v>
      </c>
      <c r="H44" s="64"/>
      <c r="I44" s="64"/>
      <c r="J44" s="64"/>
      <c r="K44" s="64"/>
      <c r="L44" s="64"/>
      <c r="M44" s="64"/>
      <c r="N44" s="64"/>
      <c r="O44" s="64"/>
      <c r="P44" s="64"/>
      <c r="Q44" s="64"/>
      <c r="R44" s="64"/>
      <c r="S44" s="64"/>
      <c r="T44" s="64"/>
      <c r="U44" s="64"/>
      <c r="V44" s="64"/>
      <c r="W44" s="64"/>
      <c r="X44" s="64"/>
      <c r="Y44" s="64"/>
      <c r="Z44" s="64"/>
    </row>
    <row r="45" spans="1:26" x14ac:dyDescent="0.3">
      <c r="A45" s="68">
        <v>61</v>
      </c>
      <c r="B45" s="88">
        <v>4.5675336398272801E-3</v>
      </c>
      <c r="C45" s="88">
        <v>7.53643050571501E-3</v>
      </c>
      <c r="D45" s="88">
        <v>6.1796043362369098E-3</v>
      </c>
      <c r="E45" s="88">
        <v>1.01963471547909E-2</v>
      </c>
      <c r="F45" s="89">
        <v>0.8</v>
      </c>
      <c r="G45" s="90">
        <v>1.55</v>
      </c>
      <c r="H45" s="64"/>
      <c r="I45" s="64"/>
      <c r="J45" s="64"/>
      <c r="K45" s="64"/>
      <c r="L45" s="64"/>
      <c r="M45" s="64"/>
      <c r="N45" s="64"/>
      <c r="O45" s="64"/>
      <c r="P45" s="64"/>
      <c r="Q45" s="64"/>
      <c r="R45" s="64"/>
      <c r="S45" s="64"/>
      <c r="T45" s="64"/>
      <c r="U45" s="64"/>
      <c r="V45" s="64"/>
      <c r="W45" s="64"/>
      <c r="X45" s="64"/>
      <c r="Y45" s="64"/>
      <c r="Z45" s="64"/>
    </row>
    <row r="46" spans="1:26" x14ac:dyDescent="0.3">
      <c r="A46" s="68">
        <v>62</v>
      </c>
      <c r="B46" s="88">
        <v>4.9479501231952296E-3</v>
      </c>
      <c r="C46" s="88">
        <v>8.1641177032721196E-3</v>
      </c>
      <c r="D46" s="88">
        <v>6.6942854607935399E-3</v>
      </c>
      <c r="E46" s="88">
        <v>1.1045571010309301E-2</v>
      </c>
      <c r="F46" s="89">
        <v>0.8</v>
      </c>
      <c r="G46" s="90">
        <v>1.55</v>
      </c>
      <c r="H46" s="64"/>
      <c r="I46" s="64"/>
      <c r="J46" s="64"/>
      <c r="K46" s="64"/>
      <c r="L46" s="64"/>
      <c r="M46" s="64"/>
      <c r="N46" s="64"/>
      <c r="O46" s="64"/>
      <c r="P46" s="64"/>
      <c r="Q46" s="64"/>
      <c r="R46" s="64"/>
      <c r="S46" s="64"/>
      <c r="T46" s="64"/>
      <c r="U46" s="64"/>
      <c r="V46" s="64"/>
      <c r="W46" s="64"/>
      <c r="X46" s="64"/>
      <c r="Y46" s="64"/>
      <c r="Z46" s="64"/>
    </row>
    <row r="47" spans="1:26" x14ac:dyDescent="0.3">
      <c r="A47" s="68">
        <v>63</v>
      </c>
      <c r="B47" s="88">
        <v>5.36005037995811E-3</v>
      </c>
      <c r="C47" s="88">
        <v>8.8440831269308798E-3</v>
      </c>
      <c r="D47" s="88">
        <v>7.2518328670021504E-3</v>
      </c>
      <c r="E47" s="88">
        <v>1.19655242305535E-2</v>
      </c>
      <c r="F47" s="89">
        <v>0.8</v>
      </c>
      <c r="G47" s="90">
        <v>1.55</v>
      </c>
      <c r="H47" s="64"/>
      <c r="I47" s="64"/>
      <c r="J47" s="64"/>
      <c r="K47" s="64"/>
      <c r="L47" s="64"/>
      <c r="M47" s="64"/>
      <c r="N47" s="64"/>
      <c r="O47" s="64"/>
      <c r="P47" s="64"/>
      <c r="Q47" s="64"/>
      <c r="R47" s="64"/>
      <c r="S47" s="64"/>
      <c r="T47" s="64"/>
      <c r="U47" s="64"/>
      <c r="V47" s="64"/>
      <c r="W47" s="64"/>
      <c r="X47" s="64"/>
      <c r="Y47" s="64"/>
      <c r="Z47" s="64"/>
    </row>
    <row r="48" spans="1:26" x14ac:dyDescent="0.3">
      <c r="A48" s="68">
        <v>64</v>
      </c>
      <c r="B48" s="88">
        <v>5.8064732586948697E-3</v>
      </c>
      <c r="C48" s="88">
        <v>9.5806808768465306E-3</v>
      </c>
      <c r="D48" s="88">
        <v>7.8558167617636399E-3</v>
      </c>
      <c r="E48" s="88">
        <v>1.2962097656909999E-2</v>
      </c>
      <c r="F48" s="89">
        <v>0.8</v>
      </c>
      <c r="G48" s="90">
        <v>1.55</v>
      </c>
      <c r="H48" s="64"/>
      <c r="I48" s="64"/>
      <c r="J48" s="64"/>
      <c r="K48" s="64"/>
      <c r="L48" s="64"/>
      <c r="M48" s="64"/>
      <c r="N48" s="64"/>
      <c r="O48" s="64"/>
      <c r="P48" s="64"/>
      <c r="Q48" s="64"/>
      <c r="R48" s="64"/>
      <c r="S48" s="64"/>
      <c r="T48" s="64"/>
      <c r="U48" s="64"/>
      <c r="V48" s="64"/>
      <c r="W48" s="64"/>
      <c r="X48" s="64"/>
      <c r="Y48" s="64"/>
      <c r="Z48" s="64"/>
    </row>
    <row r="49" spans="1:26" x14ac:dyDescent="0.3">
      <c r="A49" s="68">
        <v>65</v>
      </c>
      <c r="B49" s="88">
        <v>6.2900773899446198E-3</v>
      </c>
      <c r="C49" s="88">
        <v>1.0378627693408599E-2</v>
      </c>
      <c r="D49" s="88">
        <v>8.5101047040427192E-3</v>
      </c>
      <c r="E49" s="88">
        <v>1.4041672761670501E-2</v>
      </c>
      <c r="F49" s="89">
        <v>0.8</v>
      </c>
      <c r="G49" s="90">
        <v>1.55</v>
      </c>
      <c r="H49" s="64"/>
      <c r="I49" s="64"/>
      <c r="J49" s="64"/>
      <c r="K49" s="64"/>
      <c r="L49" s="64"/>
      <c r="M49" s="64"/>
      <c r="N49" s="64"/>
      <c r="O49" s="64"/>
      <c r="P49" s="64"/>
      <c r="Q49" s="64"/>
      <c r="R49" s="64"/>
      <c r="S49" s="64"/>
      <c r="T49" s="64"/>
      <c r="U49" s="64"/>
      <c r="V49" s="64"/>
      <c r="W49" s="64"/>
      <c r="X49" s="64"/>
      <c r="Y49" s="64"/>
      <c r="Z49" s="64"/>
    </row>
    <row r="50" spans="1:26" x14ac:dyDescent="0.3">
      <c r="A50" s="68">
        <v>66</v>
      </c>
      <c r="B50" s="88">
        <v>6.8139594912016701E-3</v>
      </c>
      <c r="C50" s="88">
        <v>1.12430331604828E-2</v>
      </c>
      <c r="D50" s="88">
        <v>9.2188863704493092E-3</v>
      </c>
      <c r="E50" s="88">
        <v>1.52111625112414E-2</v>
      </c>
      <c r="F50" s="89">
        <v>0.8</v>
      </c>
      <c r="G50" s="90">
        <v>1.55</v>
      </c>
      <c r="H50" s="64"/>
      <c r="I50" s="64"/>
      <c r="J50" s="64"/>
      <c r="K50" s="64"/>
      <c r="L50" s="64"/>
      <c r="M50" s="64"/>
      <c r="N50" s="64"/>
      <c r="O50" s="64"/>
      <c r="P50" s="64"/>
      <c r="Q50" s="64"/>
      <c r="R50" s="64"/>
      <c r="S50" s="64"/>
      <c r="T50" s="64"/>
      <c r="U50" s="64"/>
      <c r="V50" s="64"/>
      <c r="W50" s="64"/>
      <c r="X50" s="64"/>
      <c r="Y50" s="64"/>
      <c r="Z50" s="64"/>
    </row>
    <row r="51" spans="1:26" x14ac:dyDescent="0.3">
      <c r="A51" s="68">
        <v>67</v>
      </c>
      <c r="B51" s="88">
        <v>7.3814741964798002E-3</v>
      </c>
      <c r="C51" s="88">
        <v>1.21794324241917E-2</v>
      </c>
      <c r="D51" s="88">
        <v>9.9867003834726801E-3</v>
      </c>
      <c r="E51" s="88">
        <v>1.6478055632729902E-2</v>
      </c>
      <c r="F51" s="89">
        <v>0.8</v>
      </c>
      <c r="G51" s="90">
        <v>1.55</v>
      </c>
      <c r="H51" s="64"/>
      <c r="I51" s="64"/>
      <c r="J51" s="64"/>
      <c r="K51" s="64"/>
      <c r="L51" s="64"/>
      <c r="M51" s="64"/>
      <c r="N51" s="64"/>
      <c r="O51" s="64"/>
      <c r="P51" s="64"/>
      <c r="Q51" s="64"/>
      <c r="R51" s="64"/>
      <c r="S51" s="64"/>
      <c r="T51" s="64"/>
      <c r="U51" s="64"/>
      <c r="V51" s="64"/>
      <c r="W51" s="64"/>
      <c r="X51" s="64"/>
      <c r="Y51" s="64"/>
      <c r="Z51" s="64"/>
    </row>
    <row r="52" spans="1:26" x14ac:dyDescent="0.3">
      <c r="A52" s="68">
        <v>68</v>
      </c>
      <c r="B52" s="88">
        <v>7.9962555374229801E-3</v>
      </c>
      <c r="C52" s="88">
        <v>1.3193821636747901E-2</v>
      </c>
      <c r="D52" s="88">
        <v>1.08184633741605E-2</v>
      </c>
      <c r="E52" s="88">
        <v>1.7850464567364801E-2</v>
      </c>
      <c r="F52" s="89">
        <v>0.8</v>
      </c>
      <c r="G52" s="90">
        <v>1.55</v>
      </c>
      <c r="H52" s="64"/>
      <c r="I52" s="64"/>
      <c r="J52" s="64"/>
      <c r="K52" s="64"/>
      <c r="L52" s="64"/>
      <c r="M52" s="64"/>
      <c r="N52" s="64"/>
      <c r="O52" s="64"/>
      <c r="P52" s="64"/>
      <c r="Q52" s="64"/>
      <c r="R52" s="64"/>
      <c r="S52" s="64"/>
      <c r="T52" s="64"/>
      <c r="U52" s="64"/>
      <c r="V52" s="64"/>
      <c r="W52" s="64"/>
      <c r="X52" s="64"/>
      <c r="Y52" s="64"/>
      <c r="Z52" s="64"/>
    </row>
    <row r="53" spans="1:26" x14ac:dyDescent="0.3">
      <c r="A53" s="68">
        <v>69</v>
      </c>
      <c r="B53" s="88">
        <v>8.6622402135145896E-3</v>
      </c>
      <c r="C53" s="88">
        <v>1.42926963522991E-2</v>
      </c>
      <c r="D53" s="88">
        <v>1.1719501465343301E-2</v>
      </c>
      <c r="E53" s="88">
        <v>1.93371774178164E-2</v>
      </c>
      <c r="F53" s="89">
        <v>0.8</v>
      </c>
      <c r="G53" s="90">
        <v>1.55</v>
      </c>
      <c r="H53" s="64"/>
      <c r="I53" s="64"/>
      <c r="J53" s="64"/>
      <c r="K53" s="64"/>
      <c r="L53" s="64"/>
      <c r="M53" s="64"/>
      <c r="N53" s="64"/>
      <c r="O53" s="64"/>
      <c r="P53" s="64"/>
      <c r="Q53" s="64"/>
      <c r="R53" s="64"/>
      <c r="S53" s="64"/>
      <c r="T53" s="64"/>
      <c r="U53" s="64"/>
      <c r="V53" s="64"/>
      <c r="W53" s="64"/>
      <c r="X53" s="64"/>
      <c r="Y53" s="64"/>
      <c r="Z53" s="64"/>
    </row>
    <row r="54" spans="1:26" x14ac:dyDescent="0.3">
      <c r="A54" s="68">
        <v>70</v>
      </c>
      <c r="B54" s="88">
        <v>9.3836928003943297E-3</v>
      </c>
      <c r="C54" s="88">
        <v>1.54830931206506E-2</v>
      </c>
      <c r="D54" s="88">
        <v>1.2695584377004099E-2</v>
      </c>
      <c r="E54" s="88">
        <v>2.0947714222056699E-2</v>
      </c>
      <c r="F54" s="89">
        <v>0.8</v>
      </c>
      <c r="G54" s="90">
        <v>1.55</v>
      </c>
      <c r="H54" s="64"/>
      <c r="I54" s="64"/>
      <c r="J54" s="64"/>
      <c r="K54" s="64"/>
      <c r="L54" s="64"/>
      <c r="M54" s="64"/>
      <c r="N54" s="64"/>
      <c r="O54" s="64"/>
      <c r="P54" s="64"/>
      <c r="Q54" s="64"/>
      <c r="R54" s="64"/>
      <c r="S54" s="64"/>
      <c r="T54" s="64"/>
      <c r="U54" s="64"/>
      <c r="V54" s="64"/>
      <c r="W54" s="64"/>
      <c r="X54" s="64"/>
      <c r="Y54" s="64"/>
      <c r="Z54" s="64"/>
    </row>
    <row r="55" spans="1:26" x14ac:dyDescent="0.3">
      <c r="A55" s="68">
        <v>71</v>
      </c>
      <c r="B55" s="88">
        <v>1.0165233057701799E-2</v>
      </c>
      <c r="C55" s="88">
        <v>1.6772634545207998E-2</v>
      </c>
      <c r="D55" s="88">
        <v>1.3752962372184801E-2</v>
      </c>
      <c r="E55" s="88">
        <v>2.2692387914104901E-2</v>
      </c>
      <c r="F55" s="89">
        <v>0.8</v>
      </c>
      <c r="G55" s="90">
        <v>1.55</v>
      </c>
      <c r="H55" s="64"/>
      <c r="I55" s="64"/>
      <c r="J55" s="64"/>
      <c r="K55" s="64"/>
      <c r="L55" s="64"/>
      <c r="M55" s="64"/>
      <c r="N55" s="64"/>
      <c r="O55" s="64"/>
      <c r="P55" s="64"/>
      <c r="Q55" s="64"/>
      <c r="R55" s="64"/>
      <c r="S55" s="64"/>
      <c r="T55" s="64"/>
      <c r="U55" s="64"/>
      <c r="V55" s="64"/>
      <c r="W55" s="64"/>
      <c r="X55" s="64"/>
      <c r="Y55" s="64"/>
      <c r="Z55" s="64"/>
    </row>
    <row r="56" spans="1:26" x14ac:dyDescent="0.3">
      <c r="A56" s="68">
        <v>72</v>
      </c>
      <c r="B56" s="88">
        <v>1.1011865511310301E-2</v>
      </c>
      <c r="C56" s="88">
        <v>1.8169578093662E-2</v>
      </c>
      <c r="D56" s="88">
        <v>1.4898406280008099E-2</v>
      </c>
      <c r="E56" s="88">
        <v>2.4582370362013301E-2</v>
      </c>
      <c r="F56" s="89">
        <v>0.8</v>
      </c>
      <c r="G56" s="90">
        <v>1.55</v>
      </c>
      <c r="H56" s="64"/>
      <c r="I56" s="64"/>
      <c r="J56" s="64"/>
      <c r="K56" s="64"/>
      <c r="L56" s="64"/>
      <c r="M56" s="64"/>
      <c r="N56" s="64"/>
      <c r="O56" s="64"/>
      <c r="P56" s="64"/>
      <c r="Q56" s="64"/>
      <c r="R56" s="64"/>
      <c r="S56" s="64"/>
      <c r="T56" s="64"/>
      <c r="U56" s="64"/>
      <c r="V56" s="64"/>
      <c r="W56" s="64"/>
      <c r="X56" s="64"/>
      <c r="Y56" s="64"/>
      <c r="Z56" s="64"/>
    </row>
    <row r="57" spans="1:26" x14ac:dyDescent="0.3">
      <c r="A57" s="68">
        <v>73</v>
      </c>
      <c r="B57" s="88">
        <v>1.19290114993784E-2</v>
      </c>
      <c r="C57" s="88">
        <v>1.96828689739743E-2</v>
      </c>
      <c r="D57" s="88">
        <v>1.61392508521001E-2</v>
      </c>
      <c r="E57" s="88">
        <v>2.6629763905965199E-2</v>
      </c>
      <c r="F57" s="89">
        <v>0.8</v>
      </c>
      <c r="G57" s="90">
        <v>1.55</v>
      </c>
      <c r="H57" s="64"/>
      <c r="I57" s="64"/>
      <c r="J57" s="64"/>
      <c r="K57" s="64"/>
      <c r="L57" s="64"/>
      <c r="M57" s="64"/>
      <c r="N57" s="64"/>
      <c r="O57" s="64"/>
      <c r="P57" s="64"/>
      <c r="Q57" s="64"/>
      <c r="R57" s="64"/>
      <c r="S57" s="64"/>
      <c r="T57" s="64"/>
      <c r="U57" s="64"/>
      <c r="V57" s="64"/>
      <c r="W57" s="64"/>
      <c r="X57" s="64"/>
      <c r="Y57" s="64"/>
      <c r="Z57" s="64"/>
    </row>
    <row r="58" spans="1:26" x14ac:dyDescent="0.3">
      <c r="A58" s="68">
        <v>74</v>
      </c>
      <c r="B58" s="88">
        <v>1.29225438874225E-2</v>
      </c>
      <c r="C58" s="88">
        <v>2.1322197414247099E-2</v>
      </c>
      <c r="D58" s="88">
        <v>1.7483441730042099E-2</v>
      </c>
      <c r="E58" s="88">
        <v>2.88476788545695E-2</v>
      </c>
      <c r="F58" s="89">
        <v>0.8</v>
      </c>
      <c r="G58" s="90">
        <v>1.55</v>
      </c>
      <c r="H58" s="64"/>
      <c r="I58" s="64"/>
      <c r="J58" s="64"/>
      <c r="K58" s="64"/>
      <c r="L58" s="64"/>
      <c r="M58" s="64"/>
      <c r="N58" s="64"/>
      <c r="O58" s="64"/>
      <c r="P58" s="64"/>
      <c r="Q58" s="64"/>
      <c r="R58" s="64"/>
      <c r="S58" s="64"/>
      <c r="T58" s="64"/>
      <c r="U58" s="64"/>
      <c r="V58" s="64"/>
      <c r="W58" s="64"/>
      <c r="X58" s="64"/>
      <c r="Y58" s="64"/>
      <c r="Z58" s="64"/>
    </row>
    <row r="59" spans="1:26" x14ac:dyDescent="0.3">
      <c r="A59" s="68">
        <v>75</v>
      </c>
      <c r="B59" s="88">
        <v>1.3998824674706801E-2</v>
      </c>
      <c r="C59" s="88">
        <v>2.30980607132663E-2</v>
      </c>
      <c r="D59" s="88">
        <v>1.8939586324603401E-2</v>
      </c>
      <c r="E59" s="88">
        <v>3.1250317435595497E-2</v>
      </c>
      <c r="F59" s="89">
        <v>0.8</v>
      </c>
      <c r="G59" s="90">
        <v>1.55</v>
      </c>
      <c r="H59" s="64"/>
      <c r="I59" s="64"/>
      <c r="J59" s="64"/>
      <c r="K59" s="64"/>
      <c r="L59" s="64"/>
      <c r="M59" s="64"/>
      <c r="N59" s="64"/>
      <c r="O59" s="64"/>
      <c r="P59" s="64"/>
      <c r="Q59" s="64"/>
      <c r="R59" s="64"/>
      <c r="S59" s="64"/>
      <c r="T59" s="64"/>
      <c r="U59" s="64"/>
      <c r="V59" s="64"/>
      <c r="W59" s="64"/>
      <c r="X59" s="64"/>
      <c r="Y59" s="64"/>
      <c r="Z59" s="64"/>
    </row>
    <row r="60" spans="1:26" x14ac:dyDescent="0.3">
      <c r="A60" s="68">
        <v>76</v>
      </c>
      <c r="B60" s="88">
        <v>1.5164745732759E-2</v>
      </c>
      <c r="C60" s="88">
        <v>2.5021830459052399E-2</v>
      </c>
      <c r="D60" s="88">
        <v>2.0517008932556299E-2</v>
      </c>
      <c r="E60" s="88">
        <v>3.3853064738717902E-2</v>
      </c>
      <c r="F60" s="89">
        <v>0.8</v>
      </c>
      <c r="G60" s="90">
        <v>1.55</v>
      </c>
      <c r="H60" s="64"/>
      <c r="I60" s="64"/>
      <c r="J60" s="64"/>
      <c r="K60" s="64"/>
      <c r="L60" s="64"/>
      <c r="M60" s="64"/>
      <c r="N60" s="64"/>
      <c r="O60" s="64"/>
      <c r="P60" s="64"/>
      <c r="Q60" s="64"/>
      <c r="R60" s="64"/>
      <c r="S60" s="64"/>
      <c r="T60" s="64"/>
      <c r="U60" s="64"/>
      <c r="V60" s="64"/>
      <c r="W60" s="64"/>
      <c r="X60" s="64"/>
      <c r="Y60" s="64"/>
      <c r="Z60" s="64"/>
    </row>
    <row r="61" spans="1:26" x14ac:dyDescent="0.3">
      <c r="A61" s="91">
        <v>77</v>
      </c>
      <c r="B61" s="92">
        <v>1.6427772936876899E-2</v>
      </c>
      <c r="C61" s="92">
        <v>2.7105825345846799E-2</v>
      </c>
      <c r="D61" s="92">
        <v>2.22258104440099E-2</v>
      </c>
      <c r="E61" s="92">
        <v>3.6672587232616301E-2</v>
      </c>
      <c r="F61" s="93">
        <v>0.8</v>
      </c>
      <c r="G61" s="94">
        <v>1.55</v>
      </c>
      <c r="H61" s="26"/>
      <c r="I61" s="26"/>
      <c r="J61" s="26"/>
      <c r="K61" s="26"/>
      <c r="L61" s="26"/>
      <c r="M61" s="26"/>
      <c r="N61" s="26"/>
      <c r="O61" s="26"/>
      <c r="P61" s="26"/>
      <c r="Q61" s="26"/>
      <c r="R61" s="26"/>
      <c r="S61" s="26"/>
      <c r="T61" s="26"/>
      <c r="U61" s="26"/>
      <c r="V61" s="26"/>
      <c r="W61" s="26"/>
      <c r="X61" s="26"/>
      <c r="Y61" s="26"/>
      <c r="Z61" s="26"/>
    </row>
    <row r="62" spans="1:26" x14ac:dyDescent="0.3">
      <c r="A62" s="91">
        <v>78</v>
      </c>
      <c r="B62" s="92">
        <v>1.77959939732194E-2</v>
      </c>
      <c r="C62" s="92">
        <v>2.9363390055812E-2</v>
      </c>
      <c r="D62" s="92">
        <v>2.40769330225909E-2</v>
      </c>
      <c r="E62" s="92">
        <v>3.9726939487275001E-2</v>
      </c>
      <c r="F62" s="93">
        <v>0.8</v>
      </c>
      <c r="G62" s="94">
        <v>1.55</v>
      </c>
      <c r="H62" s="26"/>
      <c r="I62" s="26"/>
      <c r="J62" s="26"/>
      <c r="K62" s="26"/>
      <c r="L62" s="26"/>
      <c r="M62" s="26"/>
      <c r="N62" s="26"/>
      <c r="O62" s="26"/>
      <c r="P62" s="26"/>
      <c r="Q62" s="26"/>
      <c r="R62" s="26"/>
      <c r="S62" s="26"/>
      <c r="T62" s="26"/>
      <c r="U62" s="26"/>
      <c r="V62" s="26"/>
      <c r="W62" s="26"/>
      <c r="X62" s="26"/>
      <c r="Y62" s="26"/>
      <c r="Z62" s="26"/>
    </row>
    <row r="63" spans="1:26" x14ac:dyDescent="0.3">
      <c r="A63" s="91">
        <v>79</v>
      </c>
      <c r="B63" s="92">
        <v>1.92781701276101E-2</v>
      </c>
      <c r="C63" s="92">
        <v>3.18089807105566E-2</v>
      </c>
      <c r="D63" s="92">
        <v>2.60822301726489E-2</v>
      </c>
      <c r="E63" s="92">
        <v>4.3035679784870703E-2</v>
      </c>
      <c r="F63" s="93">
        <v>0.8</v>
      </c>
      <c r="G63" s="94">
        <v>1.55</v>
      </c>
      <c r="H63" s="26"/>
      <c r="I63" s="26"/>
      <c r="J63" s="26"/>
      <c r="K63" s="26"/>
      <c r="L63" s="26"/>
      <c r="M63" s="26"/>
      <c r="N63" s="26"/>
      <c r="O63" s="26"/>
      <c r="P63" s="26"/>
      <c r="Q63" s="26"/>
      <c r="R63" s="26"/>
      <c r="S63" s="26"/>
      <c r="T63" s="26"/>
      <c r="U63" s="26"/>
      <c r="V63" s="26"/>
      <c r="W63" s="26"/>
      <c r="X63" s="26"/>
      <c r="Y63" s="26"/>
      <c r="Z63" s="26"/>
    </row>
    <row r="64" spans="1:26" ht="13.5" thickBot="1" x14ac:dyDescent="0.35">
      <c r="A64" s="95">
        <v>80</v>
      </c>
      <c r="B64" s="96">
        <v>2.0883792387677701E-2</v>
      </c>
      <c r="C64" s="96">
        <v>3.4458257439668197E-2</v>
      </c>
      <c r="D64" s="96">
        <v>2.8254542642152099E-2</v>
      </c>
      <c r="E64" s="96">
        <v>4.6619995359550997E-2</v>
      </c>
      <c r="F64" s="97">
        <v>0.8</v>
      </c>
      <c r="G64" s="98">
        <v>1.55</v>
      </c>
      <c r="H64" s="26"/>
      <c r="I64" s="26"/>
      <c r="J64" s="26"/>
      <c r="K64" s="26"/>
      <c r="L64" s="26"/>
      <c r="M64" s="26"/>
      <c r="N64" s="26"/>
      <c r="O64" s="26"/>
      <c r="P64" s="26"/>
      <c r="Q64" s="26"/>
      <c r="R64" s="26"/>
      <c r="S64" s="26"/>
      <c r="T64" s="26"/>
      <c r="U64" s="26"/>
      <c r="V64" s="26"/>
      <c r="W64" s="26"/>
      <c r="X64" s="26"/>
      <c r="Y64" s="26"/>
      <c r="Z64" s="26"/>
    </row>
    <row r="65" spans="1:26"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x14ac:dyDescent="0.3">
      <c r="A66" s="45" t="s">
        <v>656</v>
      </c>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x14ac:dyDescent="0.3">
      <c r="A67" s="473"/>
      <c r="B67" s="473"/>
      <c r="C67" s="473"/>
      <c r="D67" s="473"/>
      <c r="E67" s="473"/>
      <c r="F67" s="473"/>
      <c r="G67" s="473"/>
      <c r="H67" s="26"/>
      <c r="I67" s="26"/>
      <c r="J67" s="26"/>
      <c r="K67" s="26"/>
      <c r="L67" s="26"/>
      <c r="M67" s="26"/>
      <c r="N67" s="26"/>
      <c r="O67" s="26"/>
      <c r="P67" s="26"/>
      <c r="Q67" s="26"/>
      <c r="R67" s="26"/>
      <c r="S67" s="26"/>
      <c r="T67" s="26"/>
      <c r="U67" s="26"/>
      <c r="V67" s="26"/>
      <c r="W67" s="26"/>
      <c r="X67" s="26"/>
      <c r="Y67" s="26"/>
      <c r="Z67" s="26"/>
    </row>
  </sheetData>
  <mergeCells count="2">
    <mergeCell ref="A1:G1"/>
    <mergeCell ref="A67:G6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D60"/>
  <sheetViews>
    <sheetView topLeftCell="A3" zoomScaleNormal="100" workbookViewId="0">
      <selection activeCell="I31" sqref="I31"/>
    </sheetView>
  </sheetViews>
  <sheetFormatPr defaultColWidth="8.6328125" defaultRowHeight="13" x14ac:dyDescent="0.3"/>
  <cols>
    <col min="1" max="1" width="37" style="5" customWidth="1"/>
    <col min="2" max="3" width="18" style="5" customWidth="1"/>
    <col min="4" max="4" width="61" style="5" customWidth="1"/>
    <col min="5" max="16384" width="8.6328125" style="5"/>
  </cols>
  <sheetData>
    <row r="1" spans="1:134" ht="28" customHeight="1" x14ac:dyDescent="0.3">
      <c r="A1" s="472" t="s">
        <v>530</v>
      </c>
      <c r="B1" s="472"/>
      <c r="C1" s="472"/>
      <c r="D1" s="472"/>
      <c r="E1" s="23"/>
      <c r="F1" s="23"/>
      <c r="G1" s="23"/>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21.75" customHeight="1" thickBot="1" x14ac:dyDescent="0.35">
      <c r="A2" s="45" t="s">
        <v>657</v>
      </c>
      <c r="B2" s="26"/>
      <c r="C2" s="26"/>
      <c r="D2" s="26"/>
      <c r="E2" s="26"/>
      <c r="F2" s="26"/>
      <c r="G2" s="26"/>
      <c r="H2" s="26"/>
      <c r="I2" s="26"/>
      <c r="J2" s="26"/>
      <c r="K2" s="26"/>
      <c r="L2" s="26"/>
      <c r="M2" s="26"/>
      <c r="N2" s="26"/>
      <c r="O2" s="26"/>
      <c r="P2" s="26"/>
      <c r="Q2" s="26"/>
      <c r="R2" s="26"/>
      <c r="S2" s="26"/>
      <c r="T2" s="26"/>
      <c r="U2" s="26"/>
      <c r="V2" s="26"/>
      <c r="W2" s="26"/>
      <c r="X2" s="26"/>
      <c r="Y2" s="26"/>
      <c r="Z2" s="26"/>
    </row>
    <row r="3" spans="1:134" ht="39.75" customHeight="1" thickBot="1" x14ac:dyDescent="0.35">
      <c r="A3" s="77" t="s">
        <v>290</v>
      </c>
      <c r="B3" s="78" t="s">
        <v>41</v>
      </c>
      <c r="C3" s="78" t="s">
        <v>214</v>
      </c>
      <c r="D3" s="79" t="s">
        <v>272</v>
      </c>
      <c r="E3" s="26"/>
      <c r="F3" s="26"/>
      <c r="G3" s="26"/>
      <c r="H3" s="26"/>
      <c r="I3" s="26"/>
      <c r="J3" s="26"/>
      <c r="K3" s="26"/>
      <c r="L3" s="26"/>
      <c r="M3" s="26"/>
      <c r="N3" s="26"/>
      <c r="O3" s="26"/>
      <c r="P3" s="26"/>
      <c r="Q3" s="26"/>
      <c r="R3" s="26"/>
      <c r="S3" s="26"/>
      <c r="T3" s="26"/>
      <c r="U3" s="26"/>
      <c r="V3" s="26"/>
      <c r="W3" s="26"/>
      <c r="X3" s="26"/>
      <c r="Y3" s="26"/>
      <c r="Z3" s="26"/>
    </row>
    <row r="4" spans="1:134" ht="21.75" customHeight="1" x14ac:dyDescent="0.3">
      <c r="A4" s="91" t="s">
        <v>77</v>
      </c>
      <c r="B4" s="102">
        <f>'Pricing Calculator'!B6</f>
        <v>24</v>
      </c>
      <c r="C4" s="26" t="s">
        <v>291</v>
      </c>
      <c r="D4" s="103" t="s">
        <v>531</v>
      </c>
      <c r="E4" s="26"/>
      <c r="F4" s="26"/>
      <c r="G4" s="26"/>
      <c r="H4" s="26"/>
      <c r="I4" s="26"/>
      <c r="J4" s="26"/>
      <c r="K4" s="26"/>
      <c r="L4" s="26"/>
      <c r="M4" s="26"/>
      <c r="N4" s="26"/>
      <c r="O4" s="26"/>
      <c r="P4" s="26"/>
      <c r="Q4" s="26"/>
      <c r="R4" s="26"/>
      <c r="S4" s="26"/>
      <c r="T4" s="26"/>
      <c r="U4" s="26"/>
      <c r="V4" s="26"/>
      <c r="W4" s="26"/>
      <c r="X4" s="26"/>
      <c r="Y4" s="26"/>
      <c r="Z4" s="26"/>
    </row>
    <row r="5" spans="1:134" ht="21.75" customHeight="1" x14ac:dyDescent="0.3">
      <c r="A5" s="91" t="s">
        <v>7</v>
      </c>
      <c r="B5" s="100" t="str">
        <f>'Pricing Calculator'!B7</f>
        <v>Male</v>
      </c>
      <c r="C5" s="26"/>
      <c r="D5" s="103" t="s">
        <v>532</v>
      </c>
      <c r="E5" s="26"/>
      <c r="F5" s="26"/>
      <c r="G5" s="26"/>
      <c r="H5" s="26"/>
      <c r="I5" s="26"/>
      <c r="J5" s="26"/>
      <c r="K5" s="26"/>
      <c r="L5" s="26"/>
      <c r="M5" s="26"/>
      <c r="N5" s="26"/>
      <c r="O5" s="26"/>
      <c r="P5" s="26"/>
      <c r="Q5" s="26"/>
      <c r="R5" s="26"/>
      <c r="S5" s="26"/>
      <c r="T5" s="26"/>
      <c r="U5" s="26"/>
      <c r="V5" s="26"/>
      <c r="W5" s="26"/>
      <c r="X5" s="26"/>
      <c r="Y5" s="26"/>
      <c r="Z5" s="26"/>
    </row>
    <row r="6" spans="1:134" ht="21.75" customHeight="1" x14ac:dyDescent="0.3">
      <c r="A6" s="91" t="s">
        <v>292</v>
      </c>
      <c r="B6" s="100" t="str">
        <f>'Pricing Calculator'!B8</f>
        <v>Smoker</v>
      </c>
      <c r="C6" s="26"/>
      <c r="D6" s="103" t="s">
        <v>533</v>
      </c>
      <c r="E6" s="26"/>
      <c r="F6" s="26"/>
      <c r="G6" s="26"/>
      <c r="H6" s="26"/>
      <c r="I6" s="26"/>
      <c r="J6" s="26"/>
      <c r="K6" s="26"/>
      <c r="L6" s="26"/>
      <c r="M6" s="26"/>
      <c r="N6" s="26"/>
      <c r="O6" s="26"/>
      <c r="P6" s="26"/>
      <c r="Q6" s="26"/>
      <c r="R6" s="26"/>
      <c r="S6" s="26"/>
      <c r="T6" s="26"/>
      <c r="U6" s="26"/>
      <c r="V6" s="26"/>
      <c r="W6" s="26"/>
      <c r="X6" s="26"/>
      <c r="Y6" s="26"/>
      <c r="Z6" s="26"/>
    </row>
    <row r="7" spans="1:134" ht="21.75" customHeight="1" x14ac:dyDescent="0.3">
      <c r="A7" s="91" t="s">
        <v>658</v>
      </c>
      <c r="B7" s="100" t="str">
        <f>'Pricing Calculator'!B9</f>
        <v>Preferred</v>
      </c>
      <c r="C7" s="26"/>
      <c r="D7" s="103" t="s">
        <v>534</v>
      </c>
      <c r="E7" s="26"/>
      <c r="F7" s="26"/>
      <c r="G7" s="26"/>
      <c r="H7" s="26"/>
      <c r="I7" s="26"/>
      <c r="J7" s="26"/>
      <c r="K7" s="26"/>
      <c r="L7" s="26"/>
      <c r="M7" s="26"/>
      <c r="N7" s="26"/>
      <c r="O7" s="26"/>
      <c r="P7" s="26"/>
      <c r="Q7" s="26"/>
      <c r="R7" s="26"/>
      <c r="S7" s="26"/>
      <c r="T7" s="26"/>
      <c r="U7" s="26"/>
      <c r="V7" s="26"/>
      <c r="W7" s="26"/>
      <c r="X7" s="26"/>
      <c r="Y7" s="26"/>
      <c r="Z7" s="26"/>
    </row>
    <row r="8" spans="1:134" ht="21.75" customHeight="1" x14ac:dyDescent="0.3">
      <c r="A8" s="91" t="s">
        <v>294</v>
      </c>
      <c r="B8" s="102">
        <f>'Pricing Calculator'!B11</f>
        <v>10</v>
      </c>
      <c r="C8" s="26" t="s">
        <v>291</v>
      </c>
      <c r="D8" s="103" t="s">
        <v>535</v>
      </c>
      <c r="E8" s="26"/>
      <c r="F8" s="26"/>
      <c r="G8" s="26"/>
      <c r="H8" s="26"/>
      <c r="I8" s="26"/>
      <c r="J8" s="26"/>
      <c r="K8" s="26"/>
      <c r="L8" s="26"/>
      <c r="M8" s="26"/>
      <c r="N8" s="26"/>
      <c r="O8" s="26"/>
      <c r="P8" s="26"/>
      <c r="Q8" s="26"/>
      <c r="R8" s="26"/>
      <c r="S8" s="26"/>
      <c r="T8" s="26"/>
      <c r="U8" s="26"/>
      <c r="V8" s="26"/>
      <c r="W8" s="26"/>
      <c r="X8" s="26"/>
      <c r="Y8" s="26"/>
      <c r="Z8" s="26"/>
    </row>
    <row r="9" spans="1:134" ht="21.75" customHeight="1" x14ac:dyDescent="0.3">
      <c r="A9" s="91" t="s">
        <v>32</v>
      </c>
      <c r="B9" s="104">
        <f>'Pricing Calculator'!B10</f>
        <v>100000</v>
      </c>
      <c r="C9" s="26" t="s">
        <v>229</v>
      </c>
      <c r="D9" s="103" t="s">
        <v>536</v>
      </c>
      <c r="E9" s="26"/>
      <c r="F9" s="26"/>
      <c r="G9" s="26"/>
      <c r="H9" s="26"/>
      <c r="I9" s="26"/>
      <c r="J9" s="26"/>
      <c r="K9" s="26"/>
      <c r="L9" s="26"/>
      <c r="M9" s="26"/>
      <c r="N9" s="26"/>
      <c r="O9" s="26"/>
      <c r="P9" s="26"/>
      <c r="Q9" s="26"/>
      <c r="R9" s="26"/>
      <c r="S9" s="26"/>
      <c r="T9" s="26"/>
      <c r="U9" s="26"/>
      <c r="V9" s="26"/>
      <c r="W9" s="26"/>
      <c r="X9" s="26"/>
      <c r="Y9" s="26"/>
      <c r="Z9" s="26"/>
    </row>
    <row r="10" spans="1:134" ht="21.75" customHeight="1" x14ac:dyDescent="0.3">
      <c r="A10" s="91" t="s">
        <v>25</v>
      </c>
      <c r="B10" s="100" t="str">
        <f>'Pricing Calculator'!B12</f>
        <v>Monthly</v>
      </c>
      <c r="C10" s="26"/>
      <c r="D10" s="103" t="s">
        <v>537</v>
      </c>
      <c r="E10" s="26"/>
      <c r="F10" s="26"/>
      <c r="G10" s="26"/>
      <c r="H10" s="26"/>
      <c r="I10" s="26"/>
      <c r="J10" s="26"/>
      <c r="K10" s="26"/>
      <c r="L10" s="26"/>
      <c r="M10" s="26"/>
      <c r="N10" s="26"/>
      <c r="O10" s="26"/>
      <c r="P10" s="26"/>
      <c r="Q10" s="26"/>
      <c r="R10" s="26"/>
      <c r="S10" s="26"/>
      <c r="T10" s="26"/>
      <c r="U10" s="26"/>
      <c r="V10" s="26"/>
      <c r="W10" s="26"/>
      <c r="X10" s="26"/>
      <c r="Y10" s="26"/>
      <c r="Z10" s="26"/>
    </row>
    <row r="11" spans="1:134" ht="21.75" customHeight="1" x14ac:dyDescent="0.3">
      <c r="A11" s="91" t="s">
        <v>295</v>
      </c>
      <c r="B11" s="105" cm="1">
        <f t="array" ref="B11">_xlfn.XLOOKUP(B4,Mortality!$A$4:$A$64,
_xlfn.XLOOKUP(B5&amp;" "&amp;B6,Mortality!$B$3:$E$3,Mortality!$B$4:$E$64))</f>
        <v>5.2836366867846905E-4</v>
      </c>
      <c r="C11" s="26" t="s">
        <v>223</v>
      </c>
      <c r="D11" s="103" t="s">
        <v>659</v>
      </c>
      <c r="E11" s="26"/>
      <c r="F11" s="26"/>
      <c r="G11" s="26"/>
      <c r="H11" s="26"/>
      <c r="I11" s="26"/>
      <c r="J11" s="26"/>
      <c r="K11" s="26"/>
      <c r="L11" s="26"/>
      <c r="M11" s="26"/>
      <c r="N11" s="26"/>
      <c r="O11" s="26"/>
      <c r="P11" s="26"/>
      <c r="Q11" s="26"/>
      <c r="R11" s="26"/>
      <c r="S11" s="26"/>
      <c r="T11" s="26"/>
      <c r="U11" s="26"/>
      <c r="V11" s="26"/>
      <c r="W11" s="26"/>
      <c r="X11" s="26"/>
      <c r="Y11" s="26"/>
      <c r="Z11" s="26"/>
    </row>
    <row r="12" spans="1:134" ht="21.75" customHeight="1" x14ac:dyDescent="0.3">
      <c r="A12" s="91" t="s">
        <v>660</v>
      </c>
      <c r="B12" s="105">
        <f>B11*IF(B7="Preferred",Assumptions!C30,IF(B7="Rated",Assumptions!C31,1))*Assumptions!C21</f>
        <v>4.2269093494277525E-4</v>
      </c>
      <c r="C12" s="26" t="s">
        <v>223</v>
      </c>
      <c r="D12" s="103" t="s">
        <v>661</v>
      </c>
      <c r="E12" s="26"/>
      <c r="F12" s="26"/>
      <c r="G12" s="26"/>
      <c r="H12" s="26"/>
      <c r="I12" s="26"/>
      <c r="J12" s="26"/>
      <c r="K12" s="26"/>
      <c r="L12" s="26"/>
      <c r="M12" s="26"/>
      <c r="N12" s="26"/>
      <c r="O12" s="26"/>
      <c r="P12" s="26"/>
      <c r="Q12" s="26"/>
      <c r="R12" s="26"/>
      <c r="S12" s="26"/>
      <c r="T12" s="26"/>
      <c r="U12" s="26"/>
      <c r="V12" s="26"/>
      <c r="W12" s="26"/>
      <c r="X12" s="26"/>
      <c r="Y12" s="26"/>
      <c r="Z12" s="26"/>
    </row>
    <row r="13" spans="1:134" ht="21.75" customHeight="1" x14ac:dyDescent="0.3">
      <c r="A13" s="91" t="s">
        <v>296</v>
      </c>
      <c r="B13" s="101">
        <f>B9*B12</f>
        <v>42.269093494277527</v>
      </c>
      <c r="C13" s="26" t="s">
        <v>229</v>
      </c>
      <c r="D13" s="103" t="s">
        <v>662</v>
      </c>
      <c r="E13" s="26"/>
      <c r="F13" s="26"/>
      <c r="G13" s="26"/>
      <c r="H13" s="26"/>
      <c r="I13" s="26"/>
      <c r="J13" s="26"/>
      <c r="K13" s="26"/>
      <c r="L13" s="26"/>
      <c r="M13" s="26"/>
      <c r="N13" s="26"/>
      <c r="O13" s="26"/>
      <c r="P13" s="26"/>
      <c r="Q13" s="26"/>
      <c r="R13" s="26"/>
      <c r="S13" s="26"/>
      <c r="T13" s="26"/>
      <c r="U13" s="26"/>
      <c r="V13" s="26"/>
      <c r="W13" s="26"/>
      <c r="X13" s="26"/>
      <c r="Y13" s="26"/>
      <c r="Z13" s="26"/>
    </row>
    <row r="14" spans="1:134" ht="21.75" customHeight="1" x14ac:dyDescent="0.3">
      <c r="A14" s="91" t="s">
        <v>34</v>
      </c>
      <c r="B14" s="106">
        <f>MAX(B9-Assumptions!C14,0)</f>
        <v>0</v>
      </c>
      <c r="C14" s="26" t="s">
        <v>229</v>
      </c>
      <c r="D14" s="103" t="s">
        <v>73</v>
      </c>
      <c r="E14" s="26"/>
      <c r="F14" s="26"/>
      <c r="G14" s="26"/>
      <c r="H14" s="26"/>
      <c r="I14" s="26"/>
      <c r="J14" s="26"/>
      <c r="K14" s="26"/>
      <c r="L14" s="26"/>
      <c r="M14" s="26"/>
      <c r="N14" s="26"/>
      <c r="O14" s="26"/>
      <c r="P14" s="26"/>
      <c r="Q14" s="26"/>
      <c r="R14" s="26"/>
      <c r="S14" s="26"/>
      <c r="T14" s="26"/>
      <c r="U14" s="26"/>
      <c r="V14" s="26"/>
      <c r="W14" s="26"/>
      <c r="X14" s="26"/>
      <c r="Y14" s="26"/>
      <c r="Z14" s="26"/>
    </row>
    <row r="15" spans="1:134" ht="21.75" customHeight="1" x14ac:dyDescent="0.3">
      <c r="A15" s="91" t="s">
        <v>297</v>
      </c>
      <c r="B15" s="106">
        <f>B12*MIN(B9,Assumptions!C14)</f>
        <v>42.269093494277527</v>
      </c>
      <c r="C15" s="26" t="s">
        <v>229</v>
      </c>
      <c r="D15" s="103" t="s">
        <v>663</v>
      </c>
      <c r="E15" s="26"/>
      <c r="F15" s="26"/>
      <c r="G15" s="26"/>
      <c r="H15" s="26"/>
      <c r="I15" s="26"/>
      <c r="J15" s="26"/>
      <c r="K15" s="26"/>
      <c r="L15" s="26"/>
      <c r="M15" s="26"/>
      <c r="N15" s="26"/>
      <c r="O15" s="26"/>
      <c r="P15" s="26"/>
      <c r="Q15" s="26"/>
      <c r="R15" s="26"/>
      <c r="S15" s="26"/>
      <c r="T15" s="26"/>
      <c r="U15" s="26"/>
      <c r="V15" s="26"/>
      <c r="W15" s="26"/>
      <c r="X15" s="26"/>
      <c r="Y15" s="26"/>
      <c r="Z15" s="26"/>
    </row>
    <row r="16" spans="1:134" ht="21.75" customHeight="1" x14ac:dyDescent="0.3">
      <c r="A16" s="91" t="s">
        <v>664</v>
      </c>
      <c r="B16" s="106">
        <f>B14*Assumptions!C15</f>
        <v>0</v>
      </c>
      <c r="C16" s="26" t="s">
        <v>229</v>
      </c>
      <c r="D16" s="103" t="s">
        <v>665</v>
      </c>
      <c r="E16" s="26"/>
      <c r="F16" s="26"/>
      <c r="G16" s="26"/>
      <c r="H16" s="26"/>
      <c r="I16" s="26"/>
      <c r="J16" s="26"/>
      <c r="K16" s="26"/>
      <c r="L16" s="26"/>
      <c r="M16" s="26"/>
      <c r="N16" s="26"/>
      <c r="O16" s="26"/>
      <c r="P16" s="26"/>
      <c r="Q16" s="26"/>
      <c r="R16" s="26"/>
      <c r="S16" s="26"/>
      <c r="T16" s="26"/>
      <c r="U16" s="26"/>
      <c r="V16" s="26"/>
      <c r="W16" s="26"/>
      <c r="X16" s="26"/>
      <c r="Y16" s="26"/>
      <c r="Z16" s="26"/>
    </row>
    <row r="17" spans="1:26" ht="21.75" customHeight="1" x14ac:dyDescent="0.3">
      <c r="A17" s="91" t="s">
        <v>298</v>
      </c>
      <c r="B17" s="106">
        <f>(Assumptions!C9+Assumptions!C10)*Assumptions!C23</f>
        <v>1120</v>
      </c>
      <c r="C17" s="26" t="s">
        <v>229</v>
      </c>
      <c r="D17" s="103" t="s">
        <v>666</v>
      </c>
      <c r="E17" s="26"/>
      <c r="F17" s="26"/>
      <c r="G17" s="26"/>
      <c r="H17" s="26"/>
      <c r="I17" s="26"/>
      <c r="J17" s="26"/>
      <c r="K17" s="26"/>
      <c r="L17" s="26"/>
      <c r="M17" s="26"/>
      <c r="N17" s="26"/>
      <c r="O17" s="26"/>
      <c r="P17" s="26"/>
      <c r="Q17" s="26"/>
      <c r="R17" s="26"/>
      <c r="S17" s="26"/>
      <c r="T17" s="26"/>
      <c r="U17" s="26"/>
      <c r="V17" s="26"/>
      <c r="W17" s="26"/>
      <c r="X17" s="26"/>
      <c r="Y17" s="26"/>
      <c r="Z17" s="26"/>
    </row>
    <row r="18" spans="1:26" ht="21.75" customHeight="1" x14ac:dyDescent="0.3">
      <c r="A18" s="91" t="s">
        <v>299</v>
      </c>
      <c r="B18" s="106">
        <f>B29*(B32+Assumptions!C24)</f>
        <v>112.48851674285989</v>
      </c>
      <c r="C18" s="26" t="s">
        <v>229</v>
      </c>
      <c r="D18" s="103" t="s">
        <v>667</v>
      </c>
      <c r="E18" s="26"/>
      <c r="F18" s="26"/>
      <c r="G18" s="26"/>
      <c r="H18" s="26"/>
      <c r="I18" s="26"/>
      <c r="J18" s="26"/>
      <c r="K18" s="26"/>
      <c r="L18" s="26"/>
      <c r="M18" s="26"/>
      <c r="N18" s="26"/>
      <c r="O18" s="26"/>
      <c r="P18" s="26"/>
      <c r="Q18" s="26"/>
      <c r="R18" s="26"/>
      <c r="S18" s="26"/>
      <c r="T18" s="26"/>
      <c r="U18" s="26"/>
      <c r="V18" s="26"/>
      <c r="W18" s="26"/>
      <c r="X18" s="26"/>
      <c r="Y18" s="26"/>
      <c r="Z18" s="26"/>
    </row>
    <row r="19" spans="1:26" ht="21.75" customHeight="1" x14ac:dyDescent="0.3">
      <c r="A19" s="91" t="s">
        <v>375</v>
      </c>
      <c r="B19" s="106">
        <f>IF(B27="VALID",B22/(B23-B24-Assumptions!C16*B23)*IF(B10="Monthly",1+Assumptions!C29,1),NA())</f>
        <v>562.44258371429942</v>
      </c>
      <c r="C19" s="26" t="s">
        <v>229</v>
      </c>
      <c r="D19" s="103" t="s">
        <v>668</v>
      </c>
      <c r="E19" s="26"/>
      <c r="F19" s="26"/>
      <c r="G19" s="26"/>
      <c r="H19" s="26"/>
      <c r="I19" s="26"/>
      <c r="J19" s="26"/>
      <c r="K19" s="26"/>
      <c r="L19" s="26"/>
      <c r="M19" s="26"/>
      <c r="N19" s="26"/>
      <c r="O19" s="26"/>
      <c r="P19" s="26"/>
      <c r="Q19" s="26"/>
      <c r="R19" s="26"/>
      <c r="S19" s="26"/>
      <c r="T19" s="26"/>
      <c r="U19" s="26"/>
      <c r="V19" s="26"/>
      <c r="W19" s="26"/>
      <c r="X19" s="26"/>
      <c r="Y19" s="26"/>
      <c r="Z19" s="26"/>
    </row>
    <row r="20" spans="1:26" ht="21.75" customHeight="1" x14ac:dyDescent="0.3">
      <c r="A20" s="91" t="s">
        <v>20</v>
      </c>
      <c r="B20" s="101">
        <f>B29/B9*1000</f>
        <v>5.6244258371429945</v>
      </c>
      <c r="C20" s="26" t="s">
        <v>229</v>
      </c>
      <c r="D20" s="103" t="s">
        <v>669</v>
      </c>
      <c r="E20" s="26"/>
      <c r="F20" s="26"/>
      <c r="G20" s="26"/>
      <c r="H20" s="26"/>
      <c r="I20" s="26"/>
      <c r="J20" s="26"/>
      <c r="K20" s="26"/>
      <c r="L20" s="26"/>
      <c r="M20" s="26"/>
      <c r="N20" s="26"/>
      <c r="O20" s="26"/>
      <c r="P20" s="26"/>
      <c r="Q20" s="26"/>
      <c r="R20" s="26"/>
      <c r="S20" s="26"/>
      <c r="T20" s="26"/>
      <c r="U20" s="26"/>
      <c r="V20" s="26"/>
      <c r="W20" s="26"/>
      <c r="X20" s="26"/>
      <c r="Y20" s="26"/>
      <c r="Z20" s="26"/>
    </row>
    <row r="21" spans="1:26" ht="21.75" customHeight="1" x14ac:dyDescent="0.3">
      <c r="A21" s="91" t="s">
        <v>300</v>
      </c>
      <c r="B21" s="101">
        <f>B29/IF(B10="Monthly",12,1)</f>
        <v>46.870215309524951</v>
      </c>
      <c r="C21" s="26" t="s">
        <v>229</v>
      </c>
      <c r="D21" s="103" t="s">
        <v>670</v>
      </c>
      <c r="E21" s="26"/>
      <c r="F21" s="26"/>
      <c r="G21" s="26"/>
      <c r="H21" s="26"/>
      <c r="I21" s="26"/>
      <c r="J21" s="26"/>
      <c r="K21" s="26"/>
      <c r="L21" s="26"/>
      <c r="M21" s="26"/>
      <c r="N21" s="26"/>
      <c r="O21" s="26"/>
      <c r="P21" s="26"/>
      <c r="Q21" s="26"/>
      <c r="R21" s="26"/>
      <c r="S21" s="26"/>
      <c r="T21" s="26"/>
      <c r="U21" s="26"/>
      <c r="V21" s="26"/>
      <c r="W21" s="26"/>
      <c r="X21" s="26"/>
      <c r="Y21" s="26"/>
      <c r="Z21" s="26"/>
    </row>
    <row r="22" spans="1:26" ht="21.75" customHeight="1" x14ac:dyDescent="0.3">
      <c r="A22" s="91" t="s">
        <v>671</v>
      </c>
      <c r="B22" s="106">
        <f>SUM(Cashflows!Q4:Q43)</f>
        <v>2705.0554992985617</v>
      </c>
      <c r="C22" s="26" t="s">
        <v>229</v>
      </c>
      <c r="D22" s="103" t="s">
        <v>672</v>
      </c>
      <c r="E22" s="26"/>
      <c r="F22" s="26"/>
      <c r="G22" s="26"/>
      <c r="H22" s="26"/>
      <c r="I22" s="26"/>
      <c r="J22" s="26"/>
      <c r="K22" s="26"/>
      <c r="L22" s="26"/>
      <c r="M22" s="26"/>
      <c r="N22" s="26"/>
      <c r="O22" s="26"/>
      <c r="P22" s="26"/>
      <c r="Q22" s="26"/>
      <c r="R22" s="26"/>
      <c r="S22" s="26"/>
      <c r="T22" s="26"/>
      <c r="U22" s="26"/>
      <c r="V22" s="26"/>
      <c r="W22" s="26"/>
      <c r="X22" s="26"/>
      <c r="Y22" s="26"/>
      <c r="Z22" s="26"/>
    </row>
    <row r="23" spans="1:26" ht="21.75" customHeight="1" x14ac:dyDescent="0.3">
      <c r="A23" s="91" t="s">
        <v>302</v>
      </c>
      <c r="B23" s="106">
        <f>SUM(Cashflows!O4:O43)</f>
        <v>5.8605636374350922</v>
      </c>
      <c r="C23" s="26" t="s">
        <v>252</v>
      </c>
      <c r="D23" s="103" t="s">
        <v>673</v>
      </c>
      <c r="E23" s="26"/>
      <c r="F23" s="26"/>
      <c r="G23" s="26"/>
      <c r="H23" s="26"/>
      <c r="I23" s="26"/>
      <c r="J23" s="26"/>
      <c r="K23" s="26"/>
      <c r="L23" s="26"/>
      <c r="M23" s="26"/>
      <c r="N23" s="26"/>
      <c r="O23" s="26"/>
      <c r="P23" s="26"/>
      <c r="Q23" s="26"/>
      <c r="R23" s="26"/>
      <c r="S23" s="26"/>
      <c r="T23" s="26"/>
      <c r="U23" s="26"/>
      <c r="V23" s="26"/>
      <c r="W23" s="26"/>
      <c r="X23" s="26"/>
      <c r="Y23" s="26"/>
      <c r="Z23" s="26"/>
    </row>
    <row r="24" spans="1:26" ht="21.75" customHeight="1" x14ac:dyDescent="0.3">
      <c r="A24" s="91" t="s">
        <v>303</v>
      </c>
      <c r="B24" s="106">
        <f>SUM(Cashflows!P4:P43)</f>
        <v>0.4379557181036387</v>
      </c>
      <c r="C24" s="26" t="s">
        <v>252</v>
      </c>
      <c r="D24" s="103" t="s">
        <v>674</v>
      </c>
      <c r="E24" s="26"/>
      <c r="F24" s="26"/>
      <c r="G24" s="26"/>
      <c r="H24" s="26"/>
      <c r="I24" s="26"/>
      <c r="J24" s="26"/>
      <c r="K24" s="26"/>
      <c r="L24" s="26"/>
      <c r="M24" s="26"/>
      <c r="N24" s="26"/>
      <c r="O24" s="26"/>
      <c r="P24" s="26"/>
      <c r="Q24" s="26"/>
      <c r="R24" s="26"/>
      <c r="S24" s="26"/>
      <c r="T24" s="26"/>
      <c r="U24" s="26"/>
      <c r="V24" s="26"/>
      <c r="W24" s="26"/>
      <c r="X24" s="26"/>
      <c r="Y24" s="26"/>
      <c r="Z24" s="26"/>
    </row>
    <row r="25" spans="1:26" ht="21.75" customHeight="1" x14ac:dyDescent="0.3">
      <c r="A25" s="91" t="s">
        <v>14</v>
      </c>
      <c r="B25" s="107">
        <f>Assumptions!C16</f>
        <v>0.08</v>
      </c>
      <c r="C25" s="26" t="s">
        <v>223</v>
      </c>
      <c r="D25" s="103" t="s">
        <v>304</v>
      </c>
      <c r="E25" s="26"/>
      <c r="F25" s="26"/>
      <c r="G25" s="26"/>
      <c r="H25" s="26"/>
      <c r="I25" s="26"/>
      <c r="J25" s="26"/>
      <c r="K25" s="26"/>
      <c r="L25" s="26"/>
      <c r="M25" s="26"/>
      <c r="N25" s="26"/>
      <c r="O25" s="26"/>
      <c r="P25" s="26"/>
      <c r="Q25" s="26"/>
      <c r="R25" s="26"/>
      <c r="S25" s="26"/>
      <c r="T25" s="26"/>
      <c r="U25" s="26"/>
      <c r="V25" s="26"/>
      <c r="W25" s="26"/>
      <c r="X25" s="26"/>
      <c r="Y25" s="26"/>
      <c r="Z25" s="26"/>
    </row>
    <row r="26" spans="1:26" ht="21.75" customHeight="1" x14ac:dyDescent="0.3">
      <c r="A26" s="91" t="s">
        <v>305</v>
      </c>
      <c r="B26" s="106">
        <f>B19/IF(B10="Monthly",1+Assumptions!C29,1)*(B23-B24-B25*B23)-B22</f>
        <v>0</v>
      </c>
      <c r="C26" s="26" t="s">
        <v>229</v>
      </c>
      <c r="D26" s="103" t="s">
        <v>675</v>
      </c>
      <c r="E26" s="26"/>
      <c r="F26" s="26"/>
      <c r="G26" s="26"/>
      <c r="H26" s="26"/>
      <c r="I26" s="26"/>
      <c r="J26" s="26"/>
      <c r="K26" s="26"/>
      <c r="L26" s="26"/>
      <c r="M26" s="26"/>
      <c r="N26" s="26"/>
      <c r="O26" s="26"/>
      <c r="P26" s="26"/>
      <c r="Q26" s="26"/>
      <c r="R26" s="26"/>
      <c r="S26" s="26"/>
      <c r="T26" s="26"/>
      <c r="U26" s="26"/>
      <c r="V26" s="26"/>
      <c r="W26" s="26"/>
      <c r="X26" s="26"/>
      <c r="Y26" s="26"/>
      <c r="Z26" s="26"/>
    </row>
    <row r="27" spans="1:26" ht="21.75" customHeight="1" x14ac:dyDescent="0.3">
      <c r="A27" s="91" t="s">
        <v>0</v>
      </c>
      <c r="B27" s="100" t="str">
        <f>IFERROR(IF(AND(COUNT(B4,B8,B9)=3,COUNT(Assumptions!C5:C34)=30,Assumptions!C9&gt;=0,Assumptions!C10&gt;=0,Assumptions!C5&gt;-1,Assumptions!C27&gt;=0,Assumptions!C27&lt;=1,Assumptions!C28&gt;=0,Assumptions!C28&lt;=1,Assumptions!C29&gt;=0,Assumptions!C30&gt;0,Assumptions!C31&gt;0,B23-B24-Assumptions!C16*B23&gt;0,B4=INT(B4),B4&gt;=20,B8=INT(B8),B8&gt;=1,B8&lt;=40,B4+B8-1&lt;=80,B9&gt;0,OR(B5="Male",B5="Female"),OR(B6="Smoker",B6="Non-smoker"),OR(B7="Standard",B7="Preferred",B7="Rated"),OR(B10="Annual",B10="Monthly"),OR(B31="Direct",B31="Broker",B31="Bancassurance",B31="Generic"),Assumptions!C6+Assumptions!C25&gt;-1,Assumptions!C13&gt;=0,Assumptions!C13&lt;=1,Assumptions!C14&gt;=0,Assumptions!C15&gt;=0,Assumptions!C21&gt;=0,Assumptions!C22&gt;=0,Assumptions!C23&gt;=0,B32+Assumptions!C24&gt;=0,B32+Assumptions!C24&lt;1,Assumptions!C12+Assumptions!C24&gt;=0,Assumptions!C12+Assumptions!C24&lt;1,Assumptions!C16&gt;=0,Assumptions!C16&lt;1,OR(ISBLANK(B28),AND(ISNUMBER(B28),B28&gt;=0))),"VALID","INVALID INPUT"),"INVALID INPUT")</f>
        <v>VALID</v>
      </c>
      <c r="C27" s="26"/>
      <c r="D27" s="103" t="s">
        <v>676</v>
      </c>
      <c r="E27" s="26"/>
      <c r="F27" s="26"/>
      <c r="G27" s="26"/>
      <c r="H27" s="26"/>
      <c r="I27" s="26"/>
      <c r="J27" s="26"/>
      <c r="K27" s="26"/>
      <c r="L27" s="26"/>
      <c r="M27" s="26"/>
      <c r="N27" s="26"/>
      <c r="O27" s="26"/>
      <c r="P27" s="26"/>
      <c r="Q27" s="26"/>
      <c r="R27" s="26"/>
      <c r="S27" s="26"/>
      <c r="T27" s="26"/>
      <c r="U27" s="26"/>
      <c r="V27" s="26"/>
      <c r="W27" s="26"/>
      <c r="X27" s="26"/>
      <c r="Y27" s="26"/>
      <c r="Z27" s="26"/>
    </row>
    <row r="28" spans="1:26" ht="29" customHeight="1" x14ac:dyDescent="0.3">
      <c r="A28" s="91" t="s">
        <v>306</v>
      </c>
      <c r="B28" s="108"/>
      <c r="C28" s="26" t="s">
        <v>229</v>
      </c>
      <c r="D28" s="70" t="s">
        <v>677</v>
      </c>
      <c r="E28" s="26"/>
      <c r="F28" s="26"/>
      <c r="G28" s="26"/>
      <c r="H28" s="26"/>
      <c r="I28" s="26"/>
      <c r="J28" s="26"/>
      <c r="K28" s="26"/>
      <c r="L28" s="26"/>
      <c r="M28" s="26"/>
      <c r="N28" s="26"/>
      <c r="O28" s="26"/>
      <c r="P28" s="26"/>
      <c r="Q28" s="26"/>
      <c r="R28" s="26"/>
      <c r="S28" s="26"/>
      <c r="T28" s="26"/>
      <c r="U28" s="26"/>
      <c r="V28" s="26"/>
      <c r="W28" s="26"/>
      <c r="X28" s="26"/>
      <c r="Y28" s="26"/>
      <c r="Z28" s="26"/>
    </row>
    <row r="29" spans="1:26" ht="21.75" customHeight="1" thickBot="1" x14ac:dyDescent="0.35">
      <c r="A29" s="95" t="s">
        <v>307</v>
      </c>
      <c r="B29" s="109">
        <f>IF(ISBLANK(B28),B19,B28)</f>
        <v>562.44258371429942</v>
      </c>
      <c r="C29" s="110" t="s">
        <v>229</v>
      </c>
      <c r="D29" s="111" t="s">
        <v>678</v>
      </c>
      <c r="E29" s="26"/>
      <c r="F29" s="26"/>
      <c r="G29" s="26"/>
      <c r="H29" s="26"/>
      <c r="I29" s="26"/>
      <c r="J29" s="26"/>
      <c r="K29" s="26"/>
      <c r="L29" s="26"/>
      <c r="M29" s="26"/>
      <c r="N29" s="26"/>
      <c r="O29" s="26"/>
      <c r="P29" s="26"/>
      <c r="Q29" s="26"/>
      <c r="R29" s="26"/>
      <c r="S29" s="26"/>
      <c r="T29" s="26"/>
      <c r="U29" s="26"/>
      <c r="V29" s="26"/>
      <c r="W29" s="26"/>
      <c r="X29" s="26"/>
      <c r="Y29" s="26"/>
      <c r="Z29" s="26"/>
    </row>
    <row r="30" spans="1:26" ht="21.75" customHeight="1" thickBot="1" x14ac:dyDescent="0.3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21.75" customHeight="1" x14ac:dyDescent="0.3">
      <c r="A31" s="112" t="s">
        <v>27</v>
      </c>
      <c r="B31" s="113" t="str">
        <f>'Pricing Calculator'!B13</f>
        <v>Bancassurance</v>
      </c>
      <c r="C31" s="114"/>
      <c r="D31" s="115" t="s">
        <v>679</v>
      </c>
      <c r="E31" s="26"/>
      <c r="F31" s="26"/>
      <c r="G31" s="26"/>
      <c r="H31" s="26"/>
      <c r="I31" s="26"/>
      <c r="J31" s="26"/>
      <c r="K31" s="26"/>
      <c r="L31" s="26"/>
      <c r="M31" s="26"/>
      <c r="N31" s="26"/>
      <c r="O31" s="26"/>
      <c r="P31" s="26"/>
      <c r="Q31" s="26"/>
      <c r="R31" s="26"/>
      <c r="S31" s="26"/>
      <c r="T31" s="26"/>
      <c r="U31" s="26"/>
      <c r="V31" s="26"/>
      <c r="W31" s="26"/>
      <c r="X31" s="26"/>
      <c r="Y31" s="26"/>
      <c r="Z31" s="26"/>
    </row>
    <row r="32" spans="1:26" ht="21.75" customHeight="1" thickBot="1" x14ac:dyDescent="0.35">
      <c r="A32" s="95" t="s">
        <v>680</v>
      </c>
      <c r="B32" s="116">
        <f>IF(B31="Direct",Assumptions!C32,IF(B31="Broker",Assumptions!C33,IF(B31="Bancassurance",Assumptions!C34,Assumptions!C11)))</f>
        <v>0.2</v>
      </c>
      <c r="C32" s="110" t="s">
        <v>223</v>
      </c>
      <c r="D32" s="111" t="s">
        <v>681</v>
      </c>
      <c r="E32" s="26"/>
      <c r="F32" s="26"/>
      <c r="G32" s="26"/>
      <c r="H32" s="26"/>
      <c r="I32" s="26"/>
      <c r="J32" s="26"/>
      <c r="K32" s="26"/>
      <c r="L32" s="26"/>
      <c r="M32" s="26"/>
      <c r="N32" s="26"/>
      <c r="O32" s="26"/>
      <c r="P32" s="26"/>
      <c r="Q32" s="26"/>
      <c r="R32" s="26"/>
      <c r="S32" s="26"/>
      <c r="T32" s="26"/>
      <c r="U32" s="26"/>
      <c r="V32" s="26"/>
      <c r="W32" s="26"/>
      <c r="X32" s="26"/>
      <c r="Y32" s="26"/>
      <c r="Z32" s="26"/>
    </row>
    <row r="33" spans="1:26" ht="21.75" customHeight="1"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21.75" customHeight="1"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D60"/>
  <sheetViews>
    <sheetView zoomScaleNormal="100" workbookViewId="0">
      <selection activeCell="A2" sqref="A2"/>
    </sheetView>
  </sheetViews>
  <sheetFormatPr defaultColWidth="8.6328125" defaultRowHeight="12.5" x14ac:dyDescent="0.25"/>
  <cols>
    <col min="1" max="21" width="18" customWidth="1"/>
  </cols>
  <sheetData>
    <row r="1" spans="1:134" ht="28" customHeight="1" x14ac:dyDescent="0.25">
      <c r="A1" s="23" t="s">
        <v>682</v>
      </c>
      <c r="B1" s="23"/>
      <c r="C1" s="23"/>
      <c r="D1" s="23"/>
      <c r="E1" s="23"/>
      <c r="F1" s="23"/>
      <c r="G1" s="23"/>
      <c r="H1" s="23"/>
      <c r="I1" s="23"/>
      <c r="J1" s="23"/>
      <c r="K1" s="23"/>
      <c r="L1" s="23"/>
      <c r="M1" s="23"/>
      <c r="N1" s="23"/>
      <c r="O1" s="23"/>
      <c r="P1" s="23"/>
      <c r="Q1" s="23"/>
      <c r="R1" s="23"/>
      <c r="S1" s="23"/>
      <c r="T1" s="23"/>
      <c r="U1" s="23"/>
      <c r="V1" s="3"/>
      <c r="W1" s="3"/>
      <c r="X1" s="3"/>
      <c r="Y1" s="3"/>
      <c r="Z1" s="3"/>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row>
    <row r="2" spans="1:134" ht="21.75" customHeight="1" thickBot="1" x14ac:dyDescent="0.3">
      <c r="A2" s="27" t="s">
        <v>683</v>
      </c>
      <c r="B2" s="26"/>
      <c r="C2" s="26"/>
      <c r="D2" s="26"/>
      <c r="E2" s="26"/>
      <c r="F2" s="26"/>
      <c r="G2" s="26"/>
      <c r="H2" s="26"/>
      <c r="I2" s="26"/>
      <c r="J2" s="26"/>
      <c r="K2" s="26"/>
      <c r="L2" s="26"/>
      <c r="M2" s="26"/>
      <c r="N2" s="26"/>
      <c r="O2" s="26"/>
      <c r="P2" s="26"/>
      <c r="Q2" s="26"/>
      <c r="R2" s="26"/>
      <c r="S2" s="26"/>
      <c r="T2" s="26"/>
      <c r="U2" s="26"/>
      <c r="V2" s="1"/>
      <c r="W2" s="1"/>
      <c r="X2" s="1"/>
      <c r="Y2" s="1"/>
      <c r="Z2" s="1"/>
    </row>
    <row r="3" spans="1:134" ht="39.75" customHeight="1" thickBot="1" x14ac:dyDescent="0.3">
      <c r="A3" s="77" t="s">
        <v>310</v>
      </c>
      <c r="B3" s="78" t="s">
        <v>684</v>
      </c>
      <c r="C3" s="78" t="s">
        <v>330</v>
      </c>
      <c r="D3" s="78" t="s">
        <v>685</v>
      </c>
      <c r="E3" s="78" t="s">
        <v>331</v>
      </c>
      <c r="F3" s="78" t="s">
        <v>332</v>
      </c>
      <c r="G3" s="78" t="s">
        <v>333</v>
      </c>
      <c r="H3" s="78" t="s">
        <v>334</v>
      </c>
      <c r="I3" s="78" t="s">
        <v>149</v>
      </c>
      <c r="J3" s="78" t="s">
        <v>335</v>
      </c>
      <c r="K3" s="78" t="s">
        <v>686</v>
      </c>
      <c r="L3" s="78" t="s">
        <v>520</v>
      </c>
      <c r="M3" s="78" t="s">
        <v>336</v>
      </c>
      <c r="N3" s="78" t="s">
        <v>337</v>
      </c>
      <c r="O3" s="78" t="s">
        <v>687</v>
      </c>
      <c r="P3" s="78" t="s">
        <v>688</v>
      </c>
      <c r="Q3" s="78" t="s">
        <v>689</v>
      </c>
      <c r="R3" s="78" t="s">
        <v>690</v>
      </c>
      <c r="S3" s="78" t="s">
        <v>338</v>
      </c>
      <c r="T3" s="78" t="s">
        <v>339</v>
      </c>
      <c r="U3" s="79" t="s">
        <v>340</v>
      </c>
      <c r="V3" s="1"/>
      <c r="W3" s="1"/>
      <c r="X3" s="1"/>
      <c r="Y3" s="1"/>
      <c r="Z3" s="1"/>
    </row>
    <row r="4" spans="1:134" ht="21.75" customHeight="1" x14ac:dyDescent="0.25">
      <c r="A4" s="91">
        <v>1</v>
      </c>
      <c r="B4" s="117">
        <f>IF(A4&lt;='Premium Calculation'!$B$8,1,0)</f>
        <v>1</v>
      </c>
      <c r="C4" s="105" cm="1">
        <f t="array" ref="C4">IF(B4=0,0,_xlfn.XLOOKUP('Premium Calculation'!$B$4+A4-1,Mortality!$A$4:$A$64,_xlfn.XLOOKUP('Premium Calculation'!$B$5&amp;" "&amp;'Premium Calculation'!$B$6,Mortality!$B$3:$E$3,Mortality!$B$4:$E$64))*IF('Premium Calculation'!$B$7="Preferred",Assumptions!$C$30,IF('Premium Calculation'!$B$7="Rated",Assumptions!$C$31,1))*Assumptions!$C$21)</f>
        <v>4.2269093494277525E-4</v>
      </c>
      <c r="D4" s="105">
        <f>IF(B4=0,0,MIN(1,MAX(Assumptions!$C$27,Assumptions!$C$13*Assumptions!$C$28^(A4-1))*Assumptions!$C$22))</f>
        <v>0.12</v>
      </c>
      <c r="E4" s="106">
        <f>B4*'Premium Calculation'!$B$29</f>
        <v>562.44258371429942</v>
      </c>
      <c r="F4" s="106">
        <f>B4*C4*'Premium Calculation'!$B$9</f>
        <v>42.269093494277527</v>
      </c>
      <c r="G4" s="106">
        <f>B4*C4*'Premium Calculation'!$B$14</f>
        <v>0</v>
      </c>
      <c r="H4" s="101">
        <f t="shared" ref="H4:H43" si="0">F4-G4</f>
        <v>42.269093494277527</v>
      </c>
      <c r="I4" s="106">
        <f>B4*(Assumptions!$C$10*(1+Assumptions!$C$5)^(A4-1)+IF(A4=1,Assumptions!$C$9,0))*Assumptions!$C$23</f>
        <v>1120</v>
      </c>
      <c r="J4" s="106">
        <f>E4*(IF(A4=1,'Premium Calculation'!$B$32,Assumptions!$C$12)+Assumptions!$C$24)</f>
        <v>112.48851674285989</v>
      </c>
      <c r="K4" s="106">
        <f>B4*'Premium Calculation'!$B$14*Assumptions!$C$15</f>
        <v>0</v>
      </c>
      <c r="L4" s="101">
        <f t="shared" ref="L4:L43" si="1">E4-H4-I4-J4-K4</f>
        <v>-712.31502652283802</v>
      </c>
      <c r="M4" s="117">
        <f>(1+Assumptions!$C$6+Assumptions!$C$25)^(-A4)</f>
        <v>0.96618357487922713</v>
      </c>
      <c r="N4" s="101">
        <f t="shared" ref="N4:N43" si="2">L4*M4</f>
        <v>-688.22707876602715</v>
      </c>
      <c r="O4" s="118">
        <f t="shared" ref="O4:O43" si="3">B4*M4</f>
        <v>0.96618357487922713</v>
      </c>
      <c r="P4" s="117">
        <f>O4*(IF(A4=1,'Premium Calculation'!$B$32,Assumptions!$C$12)+Assumptions!$C$24)</f>
        <v>0.19323671497584544</v>
      </c>
      <c r="Q4" s="101">
        <f t="shared" ref="Q4:Q43" si="4">(H4+I4+K4)*M4</f>
        <v>1122.9653077239398</v>
      </c>
      <c r="R4" s="118">
        <f t="shared" ref="R4:R43" si="5">B4-S4-T4</f>
        <v>0.87962803197725037</v>
      </c>
      <c r="S4" s="118">
        <f t="shared" ref="S4:S43" si="6">B4*C4</f>
        <v>4.2269093494277525E-4</v>
      </c>
      <c r="T4" s="118">
        <f t="shared" ref="T4:T43" si="7">(B4-S4)*D4</f>
        <v>0.11994927708780687</v>
      </c>
      <c r="U4" s="119">
        <f t="shared" ref="U4:U43" si="8">B4-R4-S4-T4</f>
        <v>0</v>
      </c>
      <c r="V4" s="1"/>
      <c r="W4" s="1"/>
      <c r="X4" s="1"/>
      <c r="Y4" s="1"/>
      <c r="Z4" s="1"/>
    </row>
    <row r="5" spans="1:134" ht="21.75" customHeight="1" x14ac:dyDescent="0.25">
      <c r="A5" s="91">
        <v>2</v>
      </c>
      <c r="B5" s="117">
        <f>IF(A5&lt;='Premium Calculation'!$B$8,R4,0)</f>
        <v>0.87962803197725037</v>
      </c>
      <c r="C5" s="105" cm="1">
        <f t="array" ref="C5">IF(B5=0,0,_xlfn.XLOOKUP('Premium Calculation'!$B$4+A5-1,Mortality!$A$4:$A$64,_xlfn.XLOOKUP('Premium Calculation'!$B$5&amp;" "&amp;'Premium Calculation'!$B$6,Mortality!$B$3:$E$3,Mortality!$B$4:$E$64))*IF('Premium Calculation'!$B$7="Preferred",Assumptions!$C$30,IF('Premium Calculation'!$B$7="Rated",Assumptions!$C$31,1))*Assumptions!$C$21)</f>
        <v>4.5789562344694478E-4</v>
      </c>
      <c r="D5" s="105">
        <f>IF(B5=0,0,MIN(1,MAX(Assumptions!$C$27,Assumptions!$C$13*Assumptions!$C$28^(A5-1))*Assumptions!$C$22))</f>
        <v>0.10199999999999999</v>
      </c>
      <c r="E5" s="106">
        <f>B5*'Premium Calculation'!$B$29</f>
        <v>494.74026301280907</v>
      </c>
      <c r="F5" s="106">
        <f>B5*C5*'Premium Calculation'!$B$9</f>
        <v>40.277782610363211</v>
      </c>
      <c r="G5" s="106">
        <f>B5*C5*'Premium Calculation'!$B$14</f>
        <v>0</v>
      </c>
      <c r="H5" s="101">
        <f t="shared" si="0"/>
        <v>40.277782610363211</v>
      </c>
      <c r="I5" s="106">
        <f>B5*(Assumptions!$C$10*(1+Assumptions!$C$5)^(A5-1)+IF(A5=1,Assumptions!$C$9,0))*Assumptions!$C$23</f>
        <v>201.25889371639491</v>
      </c>
      <c r="J5" s="106">
        <f>E5*(IF(A5=1,'Premium Calculation'!$B$32,Assumptions!$C$12)+Assumptions!$C$24)</f>
        <v>24.737013150640454</v>
      </c>
      <c r="K5" s="106">
        <f>B5*'Premium Calculation'!$B$14*Assumptions!$C$15</f>
        <v>0</v>
      </c>
      <c r="L5" s="101">
        <f t="shared" si="1"/>
        <v>228.4665735354105</v>
      </c>
      <c r="M5" s="117">
        <f>(1+Assumptions!$C$6+Assumptions!$C$25)^(-A5)</f>
        <v>0.93351070036640305</v>
      </c>
      <c r="N5" s="101">
        <f t="shared" si="2"/>
        <v>213.27599107135339</v>
      </c>
      <c r="O5" s="118">
        <f t="shared" si="3"/>
        <v>0.82114218019300378</v>
      </c>
      <c r="P5" s="117">
        <f>O5*(IF(A5=1,'Premium Calculation'!$B$32,Assumptions!$C$12)+Assumptions!$C$24)</f>
        <v>4.1057109009650192E-2</v>
      </c>
      <c r="Q5" s="101">
        <f t="shared" si="4"/>
        <v>225.47707188196517</v>
      </c>
      <c r="R5" s="118">
        <f t="shared" si="5"/>
        <v>0.78954427822772977</v>
      </c>
      <c r="S5" s="118">
        <f t="shared" si="6"/>
        <v>4.0277782610363211E-4</v>
      </c>
      <c r="T5" s="118">
        <f t="shared" si="7"/>
        <v>8.9680975923416964E-2</v>
      </c>
      <c r="U5" s="119">
        <f t="shared" si="8"/>
        <v>0</v>
      </c>
      <c r="V5" s="1"/>
      <c r="W5" s="1"/>
      <c r="X5" s="1"/>
      <c r="Y5" s="1"/>
      <c r="Z5" s="1"/>
    </row>
    <row r="6" spans="1:134" ht="21.75" customHeight="1" x14ac:dyDescent="0.25">
      <c r="A6" s="91">
        <v>3</v>
      </c>
      <c r="B6" s="117">
        <f>IF(A6&lt;='Premium Calculation'!$B$8,R5,0)</f>
        <v>0.78954427822772977</v>
      </c>
      <c r="C6" s="105" cm="1">
        <f t="array" ref="C6">IF(B6=0,0,_xlfn.XLOOKUP('Premium Calculation'!$B$4+A6-1,Mortality!$A$4:$A$64,_xlfn.XLOOKUP('Premium Calculation'!$B$5&amp;" "&amp;'Premium Calculation'!$B$6,Mortality!$B$3:$E$3,Mortality!$B$4:$E$64))*IF('Premium Calculation'!$B$7="Preferred",Assumptions!$C$30,IF('Premium Calculation'!$B$7="Rated",Assumptions!$C$31,1))*Assumptions!$C$21)</f>
        <v>4.960324072250384E-4</v>
      </c>
      <c r="D6" s="105">
        <f>IF(B6=0,0,MIN(1,MAX(Assumptions!$C$27,Assumptions!$C$13*Assumptions!$C$28^(A6-1))*Assumptions!$C$22))</f>
        <v>8.6699999999999985E-2</v>
      </c>
      <c r="E6" s="106">
        <f>B6*'Premium Calculation'!$B$29</f>
        <v>444.07332380324601</v>
      </c>
      <c r="F6" s="106">
        <f>B6*C6*'Premium Calculation'!$B$9</f>
        <v>39.163954894005627</v>
      </c>
      <c r="G6" s="106">
        <f>B6*C6*'Premium Calculation'!$B$14</f>
        <v>0</v>
      </c>
      <c r="H6" s="101">
        <f t="shared" si="0"/>
        <v>39.163954894005627</v>
      </c>
      <c r="I6" s="106">
        <f>B6*(Assumptions!$C$10*(1+Assumptions!$C$5)^(A6-1)+IF(A6=1,Assumptions!$C$9,0))*Assumptions!$C$23</f>
        <v>187.87364009284477</v>
      </c>
      <c r="J6" s="106">
        <f>E6*(IF(A6=1,'Premium Calculation'!$B$32,Assumptions!$C$12)+Assumptions!$C$24)</f>
        <v>22.203666190162302</v>
      </c>
      <c r="K6" s="106">
        <f>B6*'Premium Calculation'!$B$14*Assumptions!$C$15</f>
        <v>0</v>
      </c>
      <c r="L6" s="101">
        <f t="shared" si="1"/>
        <v>194.8320626262333</v>
      </c>
      <c r="M6" s="117">
        <f>(1+Assumptions!$C$6+Assumptions!$C$25)^(-A6)</f>
        <v>0.90194270566802237</v>
      </c>
      <c r="N6" s="101">
        <f t="shared" si="2"/>
        <v>175.72735771598644</v>
      </c>
      <c r="O6" s="118">
        <f t="shared" si="3"/>
        <v>0.71212370254942448</v>
      </c>
      <c r="P6" s="117">
        <f>O6*(IF(A6=1,'Premium Calculation'!$B$32,Assumptions!$C$12)+Assumptions!$C$24)</f>
        <v>3.5606185127471227E-2</v>
      </c>
      <c r="Q6" s="101">
        <f t="shared" si="4"/>
        <v>204.77490271080049</v>
      </c>
      <c r="R6" s="118">
        <f t="shared" si="5"/>
        <v>0.72073310490533871</v>
      </c>
      <c r="S6" s="118">
        <f t="shared" si="6"/>
        <v>3.9163954894005628E-4</v>
      </c>
      <c r="T6" s="118">
        <f t="shared" si="7"/>
        <v>6.8419533773451058E-2</v>
      </c>
      <c r="U6" s="119">
        <f t="shared" si="8"/>
        <v>0</v>
      </c>
      <c r="V6" s="1"/>
      <c r="W6" s="1"/>
      <c r="X6" s="1"/>
      <c r="Y6" s="1"/>
      <c r="Z6" s="1"/>
    </row>
    <row r="7" spans="1:134" ht="21.75" customHeight="1" x14ac:dyDescent="0.25">
      <c r="A7" s="91">
        <v>4</v>
      </c>
      <c r="B7" s="117">
        <f>IF(A7&lt;='Premium Calculation'!$B$8,R6,0)</f>
        <v>0.72073310490533871</v>
      </c>
      <c r="C7" s="105" cm="1">
        <f t="array" ref="C7">IF(B7=0,0,_xlfn.XLOOKUP('Premium Calculation'!$B$4+A7-1,Mortality!$A$4:$A$64,_xlfn.XLOOKUP('Premium Calculation'!$B$5&amp;" "&amp;'Premium Calculation'!$B$6,Mortality!$B$3:$E$3,Mortality!$B$4:$E$64))*IF('Premium Calculation'!$B$7="Preferred",Assumptions!$C$30,IF('Premium Calculation'!$B$7="Rated",Assumptions!$C$31,1))*Assumptions!$C$21)</f>
        <v>5.3734549189456246E-4</v>
      </c>
      <c r="D7" s="105">
        <f>IF(B7=0,0,MIN(1,MAX(Assumptions!$C$27,Assumptions!$C$13*Assumptions!$C$28^(A7-1))*Assumptions!$C$22))</f>
        <v>7.3694999999999983E-2</v>
      </c>
      <c r="E7" s="106">
        <f>B7*'Premium Calculation'!$B$29</f>
        <v>405.37098969138793</v>
      </c>
      <c r="F7" s="106">
        <f>B7*C7*'Premium Calculation'!$B$9</f>
        <v>38.728268478005454</v>
      </c>
      <c r="G7" s="106">
        <f>B7*C7*'Premium Calculation'!$B$14</f>
        <v>0</v>
      </c>
      <c r="H7" s="101">
        <f t="shared" si="0"/>
        <v>38.728268478005454</v>
      </c>
      <c r="I7" s="106">
        <f>B7*(Assumptions!$C$10*(1+Assumptions!$C$5)^(A7-1)+IF(A7=1,Assumptions!$C$9,0))*Assumptions!$C$23</f>
        <v>178.35987912957259</v>
      </c>
      <c r="J7" s="106">
        <f>E7*(IF(A7=1,'Premium Calculation'!$B$32,Assumptions!$C$12)+Assumptions!$C$24)</f>
        <v>20.268549484569398</v>
      </c>
      <c r="K7" s="106">
        <f>B7*'Premium Calculation'!$B$14*Assumptions!$C$15</f>
        <v>0</v>
      </c>
      <c r="L7" s="101">
        <f t="shared" si="1"/>
        <v>168.01429259924046</v>
      </c>
      <c r="M7" s="117">
        <f>(1+Assumptions!$C$6+Assumptions!$C$25)^(-A7)</f>
        <v>0.87144222769857238</v>
      </c>
      <c r="N7" s="101">
        <f t="shared" si="2"/>
        <v>146.41474942788187</v>
      </c>
      <c r="O7" s="118">
        <f t="shared" si="3"/>
        <v>0.62807726251481721</v>
      </c>
      <c r="P7" s="117">
        <f>O7*(IF(A7=1,'Premium Calculation'!$B$32,Assumptions!$C$12)+Assumptions!$C$24)</f>
        <v>3.1403863125740859E-2</v>
      </c>
      <c r="Q7" s="101">
        <f t="shared" si="4"/>
        <v>189.17977895810432</v>
      </c>
      <c r="R7" s="118">
        <f t="shared" si="5"/>
        <v>0.66725993685201457</v>
      </c>
      <c r="S7" s="118">
        <f t="shared" si="6"/>
        <v>3.8728268478005452E-4</v>
      </c>
      <c r="T7" s="118">
        <f t="shared" si="7"/>
        <v>5.3085885368544056E-2</v>
      </c>
      <c r="U7" s="119">
        <f t="shared" si="8"/>
        <v>0</v>
      </c>
      <c r="V7" s="1"/>
      <c r="W7" s="1"/>
      <c r="X7" s="1"/>
      <c r="Y7" s="1"/>
      <c r="Z7" s="1"/>
    </row>
    <row r="8" spans="1:134" ht="21.75" customHeight="1" x14ac:dyDescent="0.25">
      <c r="A8" s="91">
        <v>5</v>
      </c>
      <c r="B8" s="117">
        <f>IF(A8&lt;='Premium Calculation'!$B$8,R7,0)</f>
        <v>0.66725993685201457</v>
      </c>
      <c r="C8" s="105" cm="1">
        <f t="array" ref="C8">IF(B8=0,0,_xlfn.XLOOKUP('Premium Calculation'!$B$4+A8-1,Mortality!$A$4:$A$64,_xlfn.XLOOKUP('Premium Calculation'!$B$5&amp;" "&amp;'Premium Calculation'!$B$6,Mortality!$B$3:$E$3,Mortality!$B$4:$E$64))*IF('Premium Calculation'!$B$7="Preferred",Assumptions!$C$30,IF('Premium Calculation'!$B$7="Rated",Assumptions!$C$31,1))*Assumptions!$C$21)</f>
        <v>5.8209942224281914E-4</v>
      </c>
      <c r="D8" s="105">
        <f>IF(B8=0,0,MIN(1,MAX(Assumptions!$C$27,Assumptions!$C$13*Assumptions!$C$28^(A8-1))*Assumptions!$C$22))</f>
        <v>6.2640749999999981E-2</v>
      </c>
      <c r="E8" s="106">
        <f>B8*'Premium Calculation'!$B$29</f>
        <v>375.29540289208734</v>
      </c>
      <c r="F8" s="106">
        <f>B8*C8*'Premium Calculation'!$B$9</f>
        <v>38.841162372733763</v>
      </c>
      <c r="G8" s="106">
        <f>B8*C8*'Premium Calculation'!$B$14</f>
        <v>0</v>
      </c>
      <c r="H8" s="101">
        <f t="shared" si="0"/>
        <v>38.841162372733763</v>
      </c>
      <c r="I8" s="106">
        <f>B8*(Assumptions!$C$10*(1+Assumptions!$C$5)^(A8-1)+IF(A8=1,Assumptions!$C$9,0))*Assumptions!$C$23</f>
        <v>171.73194475170553</v>
      </c>
      <c r="J8" s="106">
        <f>E8*(IF(A8=1,'Premium Calculation'!$B$32,Assumptions!$C$12)+Assumptions!$C$24)</f>
        <v>18.764770144604366</v>
      </c>
      <c r="K8" s="106">
        <f>B8*'Premium Calculation'!$B$14*Assumptions!$C$15</f>
        <v>0</v>
      </c>
      <c r="L8" s="101">
        <f t="shared" si="1"/>
        <v>145.95752562304367</v>
      </c>
      <c r="M8" s="117">
        <f>(1+Assumptions!$C$6+Assumptions!$C$25)^(-A8)</f>
        <v>0.84197316685852419</v>
      </c>
      <c r="N8" s="101">
        <f t="shared" si="2"/>
        <v>122.89232007566827</v>
      </c>
      <c r="O8" s="118">
        <f t="shared" si="3"/>
        <v>0.56181496214910953</v>
      </c>
      <c r="P8" s="117">
        <f>O8*(IF(A8=1,'Premium Calculation'!$B$32,Assumptions!$C$12)+Assumptions!$C$24)</f>
        <v>2.8090748107455477E-2</v>
      </c>
      <c r="Q8" s="101">
        <f t="shared" si="4"/>
        <v>177.29690586080341</v>
      </c>
      <c r="R8" s="118">
        <f t="shared" si="5"/>
        <v>0.62509819273434342</v>
      </c>
      <c r="S8" s="118">
        <f t="shared" si="6"/>
        <v>3.8841162372733765E-4</v>
      </c>
      <c r="T8" s="118">
        <f t="shared" si="7"/>
        <v>4.177333249394382E-2</v>
      </c>
      <c r="U8" s="119">
        <f t="shared" si="8"/>
        <v>0</v>
      </c>
      <c r="V8" s="1"/>
      <c r="W8" s="1"/>
      <c r="X8" s="1"/>
      <c r="Y8" s="1"/>
      <c r="Z8" s="1"/>
    </row>
    <row r="9" spans="1:134" ht="21.75" customHeight="1" x14ac:dyDescent="0.25">
      <c r="A9" s="91">
        <v>6</v>
      </c>
      <c r="B9" s="117">
        <f>IF(A9&lt;='Premium Calculation'!$B$8,R8,0)</f>
        <v>0.62509819273434342</v>
      </c>
      <c r="C9" s="105" cm="1">
        <f t="array" ref="C9">IF(B9=0,0,_xlfn.XLOOKUP('Premium Calculation'!$B$4+A9-1,Mortality!$A$4:$A$64,_xlfn.XLOOKUP('Premium Calculation'!$B$5&amp;" "&amp;'Premium Calculation'!$B$6,Mortality!$B$3:$E$3,Mortality!$B$4:$E$64))*IF('Premium Calculation'!$B$7="Preferred",Assumptions!$C$30,IF('Premium Calculation'!$B$7="Rated",Assumptions!$C$31,1))*Assumptions!$C$21)</f>
        <v>6.3058077621671118E-4</v>
      </c>
      <c r="D9" s="105">
        <f>IF(B9=0,0,MIN(1,MAX(Assumptions!$C$27,Assumptions!$C$13*Assumptions!$C$28^(A9-1))*Assumptions!$C$22))</f>
        <v>5.3244637499999983E-2</v>
      </c>
      <c r="E9" s="106">
        <f>B9*'Premium Calculation'!$B$29</f>
        <v>351.58184259664324</v>
      </c>
      <c r="F9" s="106">
        <f>B9*C9*'Premium Calculation'!$B$9</f>
        <v>39.417490358608561</v>
      </c>
      <c r="G9" s="106">
        <f>B9*C9*'Premium Calculation'!$B$14</f>
        <v>0</v>
      </c>
      <c r="H9" s="101">
        <f t="shared" si="0"/>
        <v>39.417490358608561</v>
      </c>
      <c r="I9" s="106">
        <f>B9*(Assumptions!$C$10*(1+Assumptions!$C$5)^(A9-1)+IF(A9=1,Assumptions!$C$9,0))*Assumptions!$C$23</f>
        <v>167.31605670455144</v>
      </c>
      <c r="J9" s="106">
        <f>E9*(IF(A9=1,'Premium Calculation'!$B$32,Assumptions!$C$12)+Assumptions!$C$24)</f>
        <v>17.579092129832162</v>
      </c>
      <c r="K9" s="106">
        <f>B9*'Premium Calculation'!$B$14*Assumptions!$C$15</f>
        <v>0</v>
      </c>
      <c r="L9" s="101">
        <f t="shared" si="1"/>
        <v>127.26920340365106</v>
      </c>
      <c r="M9" s="117">
        <f>(1+Assumptions!$C$6+Assumptions!$C$25)^(-A9)</f>
        <v>0.81350064430775282</v>
      </c>
      <c r="N9" s="101">
        <f t="shared" si="2"/>
        <v>103.53357896940459</v>
      </c>
      <c r="O9" s="118">
        <f t="shared" si="3"/>
        <v>0.50851778254500024</v>
      </c>
      <c r="P9" s="117">
        <f>O9*(IF(A9=1,'Premium Calculation'!$B$32,Assumptions!$C$12)+Assumptions!$C$24)</f>
        <v>2.5425889127250013E-2</v>
      </c>
      <c r="Q9" s="101">
        <f t="shared" si="4"/>
        <v>168.17787373590781</v>
      </c>
      <c r="R9" s="118">
        <f t="shared" si="5"/>
        <v>0.59144187885656518</v>
      </c>
      <c r="S9" s="118">
        <f t="shared" si="6"/>
        <v>3.9417490358608558E-4</v>
      </c>
      <c r="T9" s="118">
        <f t="shared" si="7"/>
        <v>3.3262138974192203E-2</v>
      </c>
      <c r="U9" s="119">
        <f t="shared" si="8"/>
        <v>-5.5511151231257827E-17</v>
      </c>
      <c r="V9" s="1"/>
      <c r="W9" s="1"/>
      <c r="X9" s="1"/>
      <c r="Y9" s="1"/>
      <c r="Z9" s="1"/>
    </row>
    <row r="10" spans="1:134" ht="21.75" customHeight="1" x14ac:dyDescent="0.25">
      <c r="A10" s="91">
        <v>7</v>
      </c>
      <c r="B10" s="117">
        <f>IF(A10&lt;='Premium Calculation'!$B$8,R9,0)</f>
        <v>0.59144187885656518</v>
      </c>
      <c r="C10" s="105" cm="1">
        <f t="array" ref="C10">IF(B10=0,0,_xlfn.XLOOKUP('Premium Calculation'!$B$4+A10-1,Mortality!$A$4:$A$64,_xlfn.XLOOKUP('Premium Calculation'!$B$5&amp;" "&amp;'Premium Calculation'!$B$6,Mortality!$B$3:$E$3,Mortality!$B$4:$E$64))*IF('Premium Calculation'!$B$7="Preferred",Assumptions!$C$30,IF('Premium Calculation'!$B$7="Rated",Assumptions!$C$31,1))*Assumptions!$C$21)</f>
        <v>6.8310000000000007E-4</v>
      </c>
      <c r="D10" s="105">
        <f>IF(B10=0,0,MIN(1,MAX(Assumptions!$C$27,Assumptions!$C$13*Assumptions!$C$28^(A10-1))*Assumptions!$C$22))</f>
        <v>4.5257941874999985E-2</v>
      </c>
      <c r="E10" s="106">
        <f>B10*'Premium Calculation'!$B$29</f>
        <v>332.6520984609262</v>
      </c>
      <c r="F10" s="106">
        <f>B10*C10*'Premium Calculation'!$B$9</f>
        <v>40.401394744691977</v>
      </c>
      <c r="G10" s="106">
        <f>B10*C10*'Premium Calculation'!$B$14</f>
        <v>0</v>
      </c>
      <c r="H10" s="101">
        <f t="shared" si="0"/>
        <v>40.401394744691977</v>
      </c>
      <c r="I10" s="106">
        <f>B10*(Assumptions!$C$10*(1+Assumptions!$C$5)^(A10-1)+IF(A10=1,Assumptions!$C$9,0))*Assumptions!$C$23</f>
        <v>164.63978468348824</v>
      </c>
      <c r="J10" s="106">
        <f>E10*(IF(A10=1,'Premium Calculation'!$B$32,Assumptions!$C$12)+Assumptions!$C$24)</f>
        <v>16.632604923046312</v>
      </c>
      <c r="K10" s="106">
        <f>B10*'Premium Calculation'!$B$14*Assumptions!$C$15</f>
        <v>0</v>
      </c>
      <c r="L10" s="101">
        <f t="shared" si="1"/>
        <v>110.97831410969967</v>
      </c>
      <c r="M10" s="117">
        <f>(1+Assumptions!$C$6+Assumptions!$C$25)^(-A10)</f>
        <v>0.78599096068381913</v>
      </c>
      <c r="N10" s="101">
        <f t="shared" si="2"/>
        <v>87.227951722153477</v>
      </c>
      <c r="O10" s="118">
        <f t="shared" si="3"/>
        <v>0.46486797055111462</v>
      </c>
      <c r="P10" s="117">
        <f>O10*(IF(A10=1,'Premium Calculation'!$B$32,Assumptions!$C$12)+Assumptions!$C$24)</f>
        <v>2.3243398527555734E-2</v>
      </c>
      <c r="Q10" s="101">
        <f t="shared" si="4"/>
        <v>161.16051359849871</v>
      </c>
      <c r="R10" s="118">
        <f t="shared" si="5"/>
        <v>0.56428870757313732</v>
      </c>
      <c r="S10" s="118">
        <f t="shared" si="6"/>
        <v>4.0401394744691974E-4</v>
      </c>
      <c r="T10" s="118">
        <f t="shared" si="7"/>
        <v>2.6749157335980968E-2</v>
      </c>
      <c r="U10" s="119">
        <f t="shared" si="8"/>
        <v>0</v>
      </c>
      <c r="V10" s="1"/>
      <c r="W10" s="1"/>
      <c r="X10" s="1"/>
      <c r="Y10" s="1"/>
      <c r="Z10" s="1"/>
    </row>
    <row r="11" spans="1:134" ht="21.75" customHeight="1" x14ac:dyDescent="0.25">
      <c r="A11" s="91">
        <v>8</v>
      </c>
      <c r="B11" s="117">
        <f>IF(A11&lt;='Premium Calculation'!$B$8,R10,0)</f>
        <v>0.56428870757313732</v>
      </c>
      <c r="C11" s="105" cm="1">
        <f t="array" ref="C11">IF(B11=0,0,_xlfn.XLOOKUP('Premium Calculation'!$B$4+A11-1,Mortality!$A$4:$A$64,_xlfn.XLOOKUP('Premium Calculation'!$B$5&amp;" "&amp;'Premium Calculation'!$B$6,Mortality!$B$3:$E$3,Mortality!$B$4:$E$64))*IF('Premium Calculation'!$B$7="Preferred",Assumptions!$C$30,IF('Premium Calculation'!$B$7="Rated",Assumptions!$C$31,1))*Assumptions!$C$21)</f>
        <v>7.3999339592876405E-4</v>
      </c>
      <c r="D11" s="105">
        <f>IF(B11=0,0,MIN(1,MAX(Assumptions!$C$27,Assumptions!$C$13*Assumptions!$C$28^(A11-1))*Assumptions!$C$22))</f>
        <v>3.8469250593749983E-2</v>
      </c>
      <c r="E11" s="106">
        <f>B11*'Premium Calculation'!$B$29</f>
        <v>317.37999864823809</v>
      </c>
      <c r="F11" s="106">
        <f>B11*C11*'Premium Calculation'!$B$9</f>
        <v>41.756991700129916</v>
      </c>
      <c r="G11" s="106">
        <f>B11*C11*'Premium Calculation'!$B$14</f>
        <v>0</v>
      </c>
      <c r="H11" s="101">
        <f t="shared" si="0"/>
        <v>41.756991700129916</v>
      </c>
      <c r="I11" s="106">
        <f>B11*(Assumptions!$C$10*(1+Assumptions!$C$5)^(A11-1)+IF(A11=1,Assumptions!$C$9,0))*Assumptions!$C$23</f>
        <v>163.36439745107049</v>
      </c>
      <c r="J11" s="106">
        <f>E11*(IF(A11=1,'Premium Calculation'!$B$32,Assumptions!$C$12)+Assumptions!$C$24)</f>
        <v>15.868999932411905</v>
      </c>
      <c r="K11" s="106">
        <f>B11*'Premium Calculation'!$B$14*Assumptions!$C$15</f>
        <v>0</v>
      </c>
      <c r="L11" s="101">
        <f t="shared" si="1"/>
        <v>96.389609564625786</v>
      </c>
      <c r="M11" s="117">
        <f>(1+Assumptions!$C$6+Assumptions!$C$25)^(-A11)</f>
        <v>0.75941155621625056</v>
      </c>
      <c r="N11" s="101">
        <f t="shared" si="2"/>
        <v>73.199383402549259</v>
      </c>
      <c r="O11" s="118">
        <f t="shared" si="3"/>
        <v>0.42852736557337295</v>
      </c>
      <c r="P11" s="117">
        <f>O11*(IF(A11=1,'Premium Calculation'!$B$32,Assumptions!$C$12)+Assumptions!$C$24)</f>
        <v>2.1426368278668648E-2</v>
      </c>
      <c r="Q11" s="101">
        <f t="shared" si="4"/>
        <v>155.77155334855223</v>
      </c>
      <c r="R11" s="118">
        <f t="shared" si="5"/>
        <v>0.54217943755905929</v>
      </c>
      <c r="S11" s="118">
        <f t="shared" si="6"/>
        <v>4.1756991700129918E-4</v>
      </c>
      <c r="T11" s="118">
        <f t="shared" si="7"/>
        <v>2.1691700097076789E-2</v>
      </c>
      <c r="U11" s="119">
        <f t="shared" si="8"/>
        <v>-5.8980598183211441E-17</v>
      </c>
      <c r="V11" s="1"/>
      <c r="W11" s="1"/>
      <c r="X11" s="1"/>
      <c r="Y11" s="1"/>
      <c r="Z11" s="1"/>
    </row>
    <row r="12" spans="1:134" ht="21.75" customHeight="1" x14ac:dyDescent="0.25">
      <c r="A12" s="91">
        <v>9</v>
      </c>
      <c r="B12" s="117">
        <f>IF(A12&lt;='Premium Calculation'!$B$8,R11,0)</f>
        <v>0.54217943755905929</v>
      </c>
      <c r="C12" s="105" cm="1">
        <f t="array" ref="C12">IF(B12=0,0,_xlfn.XLOOKUP('Premium Calculation'!$B$4+A12-1,Mortality!$A$4:$A$64,_xlfn.XLOOKUP('Premium Calculation'!$B$5&amp;" "&amp;'Premium Calculation'!$B$6,Mortality!$B$3:$E$3,Mortality!$B$4:$E$64))*IF('Premium Calculation'!$B$7="Preferred",Assumptions!$C$30,IF('Premium Calculation'!$B$7="Rated",Assumptions!$C$31,1))*Assumptions!$C$21)</f>
        <v>8.0162527597450392E-4</v>
      </c>
      <c r="D12" s="105">
        <f>IF(B12=0,0,MIN(1,MAX(Assumptions!$C$27,Assumptions!$C$13*Assumptions!$C$28^(A12-1))*Assumptions!$C$22))</f>
        <v>3.2698863004687488E-2</v>
      </c>
      <c r="E12" s="106">
        <f>B12*'Premium Calculation'!$B$29</f>
        <v>304.944803697483</v>
      </c>
      <c r="F12" s="106">
        <f>B12*C12*'Premium Calculation'!$B$9</f>
        <v>43.462474126098222</v>
      </c>
      <c r="G12" s="106">
        <f>B12*C12*'Premium Calculation'!$B$14</f>
        <v>0</v>
      </c>
      <c r="H12" s="101">
        <f t="shared" si="0"/>
        <v>43.462474126098222</v>
      </c>
      <c r="I12" s="106">
        <f>B12*(Assumptions!$C$10*(1+Assumptions!$C$5)^(A12-1)+IF(A12=1,Assumptions!$C$9,0))*Assumptions!$C$23</f>
        <v>163.24219956208282</v>
      </c>
      <c r="J12" s="106">
        <f>E12*(IF(A12=1,'Premium Calculation'!$B$32,Assumptions!$C$12)+Assumptions!$C$24)</f>
        <v>15.247240184874151</v>
      </c>
      <c r="K12" s="106">
        <f>B12*'Premium Calculation'!$B$14*Assumptions!$C$15</f>
        <v>0</v>
      </c>
      <c r="L12" s="101">
        <f t="shared" si="1"/>
        <v>82.992889824427778</v>
      </c>
      <c r="M12" s="117">
        <f>(1+Assumptions!$C$6+Assumptions!$C$25)^(-A12)</f>
        <v>0.73373097218961414</v>
      </c>
      <c r="N12" s="101">
        <f t="shared" si="2"/>
        <v>60.894453735702925</v>
      </c>
      <c r="O12" s="118">
        <f t="shared" si="3"/>
        <v>0.39781384582142676</v>
      </c>
      <c r="P12" s="117">
        <f>O12*(IF(A12=1,'Premium Calculation'!$B$32,Assumptions!$C$12)+Assumptions!$C$24)</f>
        <v>1.9890692291071339E-2</v>
      </c>
      <c r="Q12" s="101">
        <f t="shared" si="4"/>
        <v>151.66562118136602</v>
      </c>
      <c r="R12" s="118">
        <f t="shared" si="5"/>
        <v>0.52403037339996905</v>
      </c>
      <c r="S12" s="118">
        <f t="shared" si="6"/>
        <v>4.3462474126098222E-4</v>
      </c>
      <c r="T12" s="118">
        <f t="shared" si="7"/>
        <v>1.7714439417829252E-2</v>
      </c>
      <c r="U12" s="119">
        <f t="shared" si="8"/>
        <v>0</v>
      </c>
      <c r="V12" s="1"/>
      <c r="W12" s="1"/>
      <c r="X12" s="1"/>
      <c r="Y12" s="1"/>
      <c r="Z12" s="1"/>
    </row>
    <row r="13" spans="1:134" ht="21.75" customHeight="1" x14ac:dyDescent="0.25">
      <c r="A13" s="91">
        <v>10</v>
      </c>
      <c r="B13" s="117">
        <f>IF(A13&lt;='Premium Calculation'!$B$8,R12,0)</f>
        <v>0.52403037339996905</v>
      </c>
      <c r="C13" s="105" cm="1">
        <f t="array" ref="C13">IF(B13=0,0,_xlfn.XLOOKUP('Premium Calculation'!$B$4+A13-1,Mortality!$A$4:$A$64,_xlfn.XLOOKUP('Premium Calculation'!$B$5&amp;" "&amp;'Premium Calculation'!$B$6,Mortality!$B$3:$E$3,Mortality!$B$4:$E$64))*IF('Premium Calculation'!$B$7="Preferred",Assumptions!$C$30,IF('Premium Calculation'!$B$7="Rated",Assumptions!$C$31,1))*Assumptions!$C$21)</f>
        <v>8.6839029458455209E-4</v>
      </c>
      <c r="D13" s="105">
        <f>IF(B13=0,0,MIN(1,MAX(Assumptions!$C$27,Assumptions!$C$13*Assumptions!$C$28^(A13-1))*Assumptions!$C$22))</f>
        <v>2.7794033553984365E-2</v>
      </c>
      <c r="E13" s="106">
        <f>B13*'Premium Calculation'!$B$29</f>
        <v>294.7369971598477</v>
      </c>
      <c r="F13" s="106">
        <f>B13*C13*'Premium Calculation'!$B$9</f>
        <v>45.506289032805192</v>
      </c>
      <c r="G13" s="106">
        <f>B13*C13*'Premium Calculation'!$B$14</f>
        <v>0</v>
      </c>
      <c r="H13" s="101">
        <f t="shared" si="0"/>
        <v>45.506289032805192</v>
      </c>
      <c r="I13" s="106">
        <f>B13*(Assumptions!$C$10*(1+Assumptions!$C$5)^(A13-1)+IF(A13=1,Assumptions!$C$9,0))*Assumptions!$C$23</f>
        <v>164.08889651611986</v>
      </c>
      <c r="J13" s="106">
        <f>E13*(IF(A13=1,'Premium Calculation'!$B$32,Assumptions!$C$12)+Assumptions!$C$24)</f>
        <v>14.736849857992386</v>
      </c>
      <c r="K13" s="106">
        <f>B13*'Premium Calculation'!$B$14*Assumptions!$C$15</f>
        <v>0</v>
      </c>
      <c r="L13" s="101">
        <f t="shared" si="1"/>
        <v>70.404961752930262</v>
      </c>
      <c r="M13" s="117">
        <f>(1+Assumptions!$C$6+Assumptions!$C$25)^(-A13)</f>
        <v>0.70891881370977217</v>
      </c>
      <c r="N13" s="101">
        <f t="shared" si="2"/>
        <v>49.911401965169205</v>
      </c>
      <c r="O13" s="118">
        <f t="shared" si="3"/>
        <v>0.37149499065859498</v>
      </c>
      <c r="P13" s="117">
        <f>O13*(IF(A13=1,'Premium Calculation'!$B$32,Assumptions!$C$12)+Assumptions!$C$24)</f>
        <v>1.857474953292975E-2</v>
      </c>
      <c r="Q13" s="101">
        <f t="shared" si="4"/>
        <v>148.58597029862352</v>
      </c>
      <c r="R13" s="118">
        <f t="shared" si="5"/>
        <v>0.50902304076129823</v>
      </c>
      <c r="S13" s="118">
        <f t="shared" si="6"/>
        <v>4.5506289032805195E-4</v>
      </c>
      <c r="T13" s="118">
        <f t="shared" si="7"/>
        <v>1.4552269748342745E-2</v>
      </c>
      <c r="U13" s="119">
        <f t="shared" si="8"/>
        <v>2.6020852139652106E-17</v>
      </c>
      <c r="V13" s="1"/>
      <c r="W13" s="1"/>
      <c r="X13" s="1"/>
      <c r="Y13" s="1"/>
      <c r="Z13" s="1"/>
    </row>
    <row r="14" spans="1:134" ht="21.75" customHeight="1" x14ac:dyDescent="0.25">
      <c r="A14" s="91">
        <v>11</v>
      </c>
      <c r="B14" s="117">
        <f>IF(A14&lt;='Premium Calculation'!$B$8,R13,0)</f>
        <v>0</v>
      </c>
      <c r="C14" s="105" cm="1">
        <f t="array" ref="C14">IF(B14=0,0,_xlfn.XLOOKUP('Premium Calculation'!$B$4+A14-1,Mortality!$A$4:$A$64,_xlfn.XLOOKUP('Premium Calculation'!$B$5&amp;" "&amp;'Premium Calculation'!$B$6,Mortality!$B$3:$E$3,Mortality!$B$4:$E$64))*IF('Premium Calculation'!$B$7="Preferred",Assumptions!$C$30,IF('Premium Calculation'!$B$7="Rated",Assumptions!$C$31,1))*Assumptions!$C$21)</f>
        <v>0</v>
      </c>
      <c r="D14" s="105">
        <f>IF(B14=0,0,MIN(1,MAX(Assumptions!$C$27,Assumptions!$C$13*Assumptions!$C$28^(A14-1))*Assumptions!$C$22))</f>
        <v>0</v>
      </c>
      <c r="E14" s="106">
        <f>B14*'Premium Calculation'!$B$29</f>
        <v>0</v>
      </c>
      <c r="F14" s="106">
        <f>B14*C14*'Premium Calculation'!$B$9</f>
        <v>0</v>
      </c>
      <c r="G14" s="106">
        <f>B14*C14*'Premium Calculation'!$B$14</f>
        <v>0</v>
      </c>
      <c r="H14" s="101">
        <f t="shared" si="0"/>
        <v>0</v>
      </c>
      <c r="I14" s="106">
        <f>B14*(Assumptions!$C$10*(1+Assumptions!$C$5)^(A14-1)+IF(A14=1,Assumptions!$C$9,0))*Assumptions!$C$23</f>
        <v>0</v>
      </c>
      <c r="J14" s="106">
        <f>E14*(IF(A14=1,'Premium Calculation'!$B$32,Assumptions!$C$12)+Assumptions!$C$24)</f>
        <v>0</v>
      </c>
      <c r="K14" s="106">
        <f>B14*'Premium Calculation'!$B$14*Assumptions!$C$15</f>
        <v>0</v>
      </c>
      <c r="L14" s="101">
        <f t="shared" si="1"/>
        <v>0</v>
      </c>
      <c r="M14" s="117">
        <f>(1+Assumptions!$C$6+Assumptions!$C$25)^(-A14)</f>
        <v>0.68494571372924851</v>
      </c>
      <c r="N14" s="101">
        <f t="shared" si="2"/>
        <v>0</v>
      </c>
      <c r="O14" s="118">
        <f t="shared" si="3"/>
        <v>0</v>
      </c>
      <c r="P14" s="117">
        <f>O14*(IF(A14=1,'Premium Calculation'!$B$32,Assumptions!$C$12)+Assumptions!$C$24)</f>
        <v>0</v>
      </c>
      <c r="Q14" s="101">
        <f t="shared" si="4"/>
        <v>0</v>
      </c>
      <c r="R14" s="118">
        <f t="shared" si="5"/>
        <v>0</v>
      </c>
      <c r="S14" s="118">
        <f t="shared" si="6"/>
        <v>0</v>
      </c>
      <c r="T14" s="118">
        <f t="shared" si="7"/>
        <v>0</v>
      </c>
      <c r="U14" s="119">
        <f t="shared" si="8"/>
        <v>0</v>
      </c>
      <c r="V14" s="1"/>
      <c r="W14" s="1"/>
      <c r="X14" s="1"/>
      <c r="Y14" s="1"/>
      <c r="Z14" s="1"/>
    </row>
    <row r="15" spans="1:134" ht="21.75" customHeight="1" x14ac:dyDescent="0.25">
      <c r="A15" s="91">
        <v>12</v>
      </c>
      <c r="B15" s="117">
        <f>IF(A15&lt;='Premium Calculation'!$B$8,R14,0)</f>
        <v>0</v>
      </c>
      <c r="C15" s="105" cm="1">
        <f t="array" ref="C15">IF(B15=0,0,_xlfn.XLOOKUP('Premium Calculation'!$B$4+A15-1,Mortality!$A$4:$A$64,_xlfn.XLOOKUP('Premium Calculation'!$B$5&amp;" "&amp;'Premium Calculation'!$B$6,Mortality!$B$3:$E$3,Mortality!$B$4:$E$64))*IF('Premium Calculation'!$B$7="Preferred",Assumptions!$C$30,IF('Premium Calculation'!$B$7="Rated",Assumptions!$C$31,1))*Assumptions!$C$21)</f>
        <v>0</v>
      </c>
      <c r="D15" s="105">
        <f>IF(B15=0,0,MIN(1,MAX(Assumptions!$C$27,Assumptions!$C$13*Assumptions!$C$28^(A15-1))*Assumptions!$C$22))</f>
        <v>0</v>
      </c>
      <c r="E15" s="106">
        <f>B15*'Premium Calculation'!$B$29</f>
        <v>0</v>
      </c>
      <c r="F15" s="106">
        <f>B15*C15*'Premium Calculation'!$B$9</f>
        <v>0</v>
      </c>
      <c r="G15" s="106">
        <f>B15*C15*'Premium Calculation'!$B$14</f>
        <v>0</v>
      </c>
      <c r="H15" s="101">
        <f t="shared" si="0"/>
        <v>0</v>
      </c>
      <c r="I15" s="106">
        <f>B15*(Assumptions!$C$10*(1+Assumptions!$C$5)^(A15-1)+IF(A15=1,Assumptions!$C$9,0))*Assumptions!$C$23</f>
        <v>0</v>
      </c>
      <c r="J15" s="106">
        <f>E15*(IF(A15=1,'Premium Calculation'!$B$32,Assumptions!$C$12)+Assumptions!$C$24)</f>
        <v>0</v>
      </c>
      <c r="K15" s="106">
        <f>B15*'Premium Calculation'!$B$14*Assumptions!$C$15</f>
        <v>0</v>
      </c>
      <c r="L15" s="101">
        <f t="shared" si="1"/>
        <v>0</v>
      </c>
      <c r="M15" s="117">
        <f>(1+Assumptions!$C$6+Assumptions!$C$25)^(-A15)</f>
        <v>0.66178329828912896</v>
      </c>
      <c r="N15" s="101">
        <f t="shared" si="2"/>
        <v>0</v>
      </c>
      <c r="O15" s="118">
        <f t="shared" si="3"/>
        <v>0</v>
      </c>
      <c r="P15" s="117">
        <f>O15*(IF(A15=1,'Premium Calculation'!$B$32,Assumptions!$C$12)+Assumptions!$C$24)</f>
        <v>0</v>
      </c>
      <c r="Q15" s="101">
        <f t="shared" si="4"/>
        <v>0</v>
      </c>
      <c r="R15" s="118">
        <f t="shared" si="5"/>
        <v>0</v>
      </c>
      <c r="S15" s="118">
        <f t="shared" si="6"/>
        <v>0</v>
      </c>
      <c r="T15" s="118">
        <f t="shared" si="7"/>
        <v>0</v>
      </c>
      <c r="U15" s="119">
        <f t="shared" si="8"/>
        <v>0</v>
      </c>
      <c r="V15" s="1"/>
      <c r="W15" s="1"/>
      <c r="X15" s="1"/>
      <c r="Y15" s="1"/>
      <c r="Z15" s="1"/>
    </row>
    <row r="16" spans="1:134" ht="21.75" customHeight="1" x14ac:dyDescent="0.25">
      <c r="A16" s="91">
        <v>13</v>
      </c>
      <c r="B16" s="117">
        <f>IF(A16&lt;='Premium Calculation'!$B$8,R15,0)</f>
        <v>0</v>
      </c>
      <c r="C16" s="105" cm="1">
        <f t="array" ref="C16">IF(B16=0,0,_xlfn.XLOOKUP('Premium Calculation'!$B$4+A16-1,Mortality!$A$4:$A$64,_xlfn.XLOOKUP('Premium Calculation'!$B$5&amp;" "&amp;'Premium Calculation'!$B$6,Mortality!$B$3:$E$3,Mortality!$B$4:$E$64))*IF('Premium Calculation'!$B$7="Preferred",Assumptions!$C$30,IF('Premium Calculation'!$B$7="Rated",Assumptions!$C$31,1))*Assumptions!$C$21)</f>
        <v>0</v>
      </c>
      <c r="D16" s="105">
        <f>IF(B16=0,0,MIN(1,MAX(Assumptions!$C$27,Assumptions!$C$13*Assumptions!$C$28^(A16-1))*Assumptions!$C$22))</f>
        <v>0</v>
      </c>
      <c r="E16" s="106">
        <f>B16*'Premium Calculation'!$B$29</f>
        <v>0</v>
      </c>
      <c r="F16" s="106">
        <f>B16*C16*'Premium Calculation'!$B$9</f>
        <v>0</v>
      </c>
      <c r="G16" s="106">
        <f>B16*C16*'Premium Calculation'!$B$14</f>
        <v>0</v>
      </c>
      <c r="H16" s="101">
        <f t="shared" si="0"/>
        <v>0</v>
      </c>
      <c r="I16" s="106">
        <f>B16*(Assumptions!$C$10*(1+Assumptions!$C$5)^(A16-1)+IF(A16=1,Assumptions!$C$9,0))*Assumptions!$C$23</f>
        <v>0</v>
      </c>
      <c r="J16" s="106">
        <f>E16*(IF(A16=1,'Premium Calculation'!$B$32,Assumptions!$C$12)+Assumptions!$C$24)</f>
        <v>0</v>
      </c>
      <c r="K16" s="106">
        <f>B16*'Premium Calculation'!$B$14*Assumptions!$C$15</f>
        <v>0</v>
      </c>
      <c r="L16" s="101">
        <f t="shared" si="1"/>
        <v>0</v>
      </c>
      <c r="M16" s="117">
        <f>(1+Assumptions!$C$6+Assumptions!$C$25)^(-A16)</f>
        <v>0.63940415293635666</v>
      </c>
      <c r="N16" s="101">
        <f t="shared" si="2"/>
        <v>0</v>
      </c>
      <c r="O16" s="118">
        <f t="shared" si="3"/>
        <v>0</v>
      </c>
      <c r="P16" s="117">
        <f>O16*(IF(A16=1,'Premium Calculation'!$B$32,Assumptions!$C$12)+Assumptions!$C$24)</f>
        <v>0</v>
      </c>
      <c r="Q16" s="101">
        <f t="shared" si="4"/>
        <v>0</v>
      </c>
      <c r="R16" s="118">
        <f t="shared" si="5"/>
        <v>0</v>
      </c>
      <c r="S16" s="118">
        <f t="shared" si="6"/>
        <v>0</v>
      </c>
      <c r="T16" s="118">
        <f t="shared" si="7"/>
        <v>0</v>
      </c>
      <c r="U16" s="119">
        <f t="shared" si="8"/>
        <v>0</v>
      </c>
      <c r="V16" s="1"/>
      <c r="W16" s="1"/>
      <c r="X16" s="1"/>
      <c r="Y16" s="1"/>
      <c r="Z16" s="1"/>
    </row>
    <row r="17" spans="1:26" ht="21.75" customHeight="1" x14ac:dyDescent="0.25">
      <c r="A17" s="91">
        <v>14</v>
      </c>
      <c r="B17" s="117">
        <f>IF(A17&lt;='Premium Calculation'!$B$8,R16,0)</f>
        <v>0</v>
      </c>
      <c r="C17" s="105" cm="1">
        <f t="array" ref="C17">IF(B17=0,0,_xlfn.XLOOKUP('Premium Calculation'!$B$4+A17-1,Mortality!$A$4:$A$64,_xlfn.XLOOKUP('Premium Calculation'!$B$5&amp;" "&amp;'Premium Calculation'!$B$6,Mortality!$B$3:$E$3,Mortality!$B$4:$E$64))*IF('Premium Calculation'!$B$7="Preferred",Assumptions!$C$30,IF('Premium Calculation'!$B$7="Rated",Assumptions!$C$31,1))*Assumptions!$C$21)</f>
        <v>0</v>
      </c>
      <c r="D17" s="105">
        <f>IF(B17=0,0,MIN(1,MAX(Assumptions!$C$27,Assumptions!$C$13*Assumptions!$C$28^(A17-1))*Assumptions!$C$22))</f>
        <v>0</v>
      </c>
      <c r="E17" s="106">
        <f>B17*'Premium Calculation'!$B$29</f>
        <v>0</v>
      </c>
      <c r="F17" s="106">
        <f>B17*C17*'Premium Calculation'!$B$9</f>
        <v>0</v>
      </c>
      <c r="G17" s="106">
        <f>B17*C17*'Premium Calculation'!$B$14</f>
        <v>0</v>
      </c>
      <c r="H17" s="101">
        <f t="shared" si="0"/>
        <v>0</v>
      </c>
      <c r="I17" s="106">
        <f>B17*(Assumptions!$C$10*(1+Assumptions!$C$5)^(A17-1)+IF(A17=1,Assumptions!$C$9,0))*Assumptions!$C$23</f>
        <v>0</v>
      </c>
      <c r="J17" s="106">
        <f>E17*(IF(A17=1,'Premium Calculation'!$B$32,Assumptions!$C$12)+Assumptions!$C$24)</f>
        <v>0</v>
      </c>
      <c r="K17" s="106">
        <f>B17*'Premium Calculation'!$B$14*Assumptions!$C$15</f>
        <v>0</v>
      </c>
      <c r="L17" s="101">
        <f t="shared" si="1"/>
        <v>0</v>
      </c>
      <c r="M17" s="117">
        <f>(1+Assumptions!$C$6+Assumptions!$C$25)^(-A17)</f>
        <v>0.61778179027667302</v>
      </c>
      <c r="N17" s="101">
        <f t="shared" si="2"/>
        <v>0</v>
      </c>
      <c r="O17" s="118">
        <f t="shared" si="3"/>
        <v>0</v>
      </c>
      <c r="P17" s="117">
        <f>O17*(IF(A17=1,'Premium Calculation'!$B$32,Assumptions!$C$12)+Assumptions!$C$24)</f>
        <v>0</v>
      </c>
      <c r="Q17" s="101">
        <f t="shared" si="4"/>
        <v>0</v>
      </c>
      <c r="R17" s="118">
        <f t="shared" si="5"/>
        <v>0</v>
      </c>
      <c r="S17" s="118">
        <f t="shared" si="6"/>
        <v>0</v>
      </c>
      <c r="T17" s="118">
        <f t="shared" si="7"/>
        <v>0</v>
      </c>
      <c r="U17" s="119">
        <f t="shared" si="8"/>
        <v>0</v>
      </c>
      <c r="V17" s="1"/>
      <c r="W17" s="1"/>
      <c r="X17" s="1"/>
      <c r="Y17" s="1"/>
      <c r="Z17" s="1"/>
    </row>
    <row r="18" spans="1:26" ht="21.75" customHeight="1" x14ac:dyDescent="0.25">
      <c r="A18" s="91">
        <v>15</v>
      </c>
      <c r="B18" s="117">
        <f>IF(A18&lt;='Premium Calculation'!$B$8,R17,0)</f>
        <v>0</v>
      </c>
      <c r="C18" s="105" cm="1">
        <f t="array" ref="C18">IF(B18=0,0,_xlfn.XLOOKUP('Premium Calculation'!$B$4+A18-1,Mortality!$A$4:$A$64,_xlfn.XLOOKUP('Premium Calculation'!$B$5&amp;" "&amp;'Premium Calculation'!$B$6,Mortality!$B$3:$E$3,Mortality!$B$4:$E$64))*IF('Premium Calculation'!$B$7="Preferred",Assumptions!$C$30,IF('Premium Calculation'!$B$7="Rated",Assumptions!$C$31,1))*Assumptions!$C$21)</f>
        <v>0</v>
      </c>
      <c r="D18" s="105">
        <f>IF(B18=0,0,MIN(1,MAX(Assumptions!$C$27,Assumptions!$C$13*Assumptions!$C$28^(A18-1))*Assumptions!$C$22))</f>
        <v>0</v>
      </c>
      <c r="E18" s="106">
        <f>B18*'Premium Calculation'!$B$29</f>
        <v>0</v>
      </c>
      <c r="F18" s="106">
        <f>B18*C18*'Premium Calculation'!$B$9</f>
        <v>0</v>
      </c>
      <c r="G18" s="106">
        <f>B18*C18*'Premium Calculation'!$B$14</f>
        <v>0</v>
      </c>
      <c r="H18" s="101">
        <f t="shared" si="0"/>
        <v>0</v>
      </c>
      <c r="I18" s="106">
        <f>B18*(Assumptions!$C$10*(1+Assumptions!$C$5)^(A18-1)+IF(A18=1,Assumptions!$C$9,0))*Assumptions!$C$23</f>
        <v>0</v>
      </c>
      <c r="J18" s="106">
        <f>E18*(IF(A18=1,'Premium Calculation'!$B$32,Assumptions!$C$12)+Assumptions!$C$24)</f>
        <v>0</v>
      </c>
      <c r="K18" s="106">
        <f>B18*'Premium Calculation'!$B$14*Assumptions!$C$15</f>
        <v>0</v>
      </c>
      <c r="L18" s="101">
        <f t="shared" si="1"/>
        <v>0</v>
      </c>
      <c r="M18" s="117">
        <f>(1+Assumptions!$C$6+Assumptions!$C$25)^(-A18)</f>
        <v>0.59689061862480497</v>
      </c>
      <c r="N18" s="101">
        <f t="shared" si="2"/>
        <v>0</v>
      </c>
      <c r="O18" s="118">
        <f t="shared" si="3"/>
        <v>0</v>
      </c>
      <c r="P18" s="117">
        <f>O18*(IF(A18=1,'Premium Calculation'!$B$32,Assumptions!$C$12)+Assumptions!$C$24)</f>
        <v>0</v>
      </c>
      <c r="Q18" s="101">
        <f t="shared" si="4"/>
        <v>0</v>
      </c>
      <c r="R18" s="118">
        <f t="shared" si="5"/>
        <v>0</v>
      </c>
      <c r="S18" s="118">
        <f t="shared" si="6"/>
        <v>0</v>
      </c>
      <c r="T18" s="118">
        <f t="shared" si="7"/>
        <v>0</v>
      </c>
      <c r="U18" s="119">
        <f t="shared" si="8"/>
        <v>0</v>
      </c>
      <c r="V18" s="1"/>
      <c r="W18" s="1"/>
      <c r="X18" s="1"/>
      <c r="Y18" s="1"/>
      <c r="Z18" s="1"/>
    </row>
    <row r="19" spans="1:26" ht="21.75" customHeight="1" x14ac:dyDescent="0.25">
      <c r="A19" s="91">
        <v>16</v>
      </c>
      <c r="B19" s="117">
        <f>IF(A19&lt;='Premium Calculation'!$B$8,R18,0)</f>
        <v>0</v>
      </c>
      <c r="C19" s="105" cm="1">
        <f t="array" ref="C19">IF(B19=0,0,_xlfn.XLOOKUP('Premium Calculation'!$B$4+A19-1,Mortality!$A$4:$A$64,_xlfn.XLOOKUP('Premium Calculation'!$B$5&amp;" "&amp;'Premium Calculation'!$B$6,Mortality!$B$3:$E$3,Mortality!$B$4:$E$64))*IF('Premium Calculation'!$B$7="Preferred",Assumptions!$C$30,IF('Premium Calculation'!$B$7="Rated",Assumptions!$C$31,1))*Assumptions!$C$21)</f>
        <v>0</v>
      </c>
      <c r="D19" s="105">
        <f>IF(B19=0,0,MIN(1,MAX(Assumptions!$C$27,Assumptions!$C$13*Assumptions!$C$28^(A19-1))*Assumptions!$C$22))</f>
        <v>0</v>
      </c>
      <c r="E19" s="106">
        <f>B19*'Premium Calculation'!$B$29</f>
        <v>0</v>
      </c>
      <c r="F19" s="106">
        <f>B19*C19*'Premium Calculation'!$B$9</f>
        <v>0</v>
      </c>
      <c r="G19" s="106">
        <f>B19*C19*'Premium Calculation'!$B$14</f>
        <v>0</v>
      </c>
      <c r="H19" s="101">
        <f t="shared" si="0"/>
        <v>0</v>
      </c>
      <c r="I19" s="106">
        <f>B19*(Assumptions!$C$10*(1+Assumptions!$C$5)^(A19-1)+IF(A19=1,Assumptions!$C$9,0))*Assumptions!$C$23</f>
        <v>0</v>
      </c>
      <c r="J19" s="106">
        <f>E19*(IF(A19=1,'Premium Calculation'!$B$32,Assumptions!$C$12)+Assumptions!$C$24)</f>
        <v>0</v>
      </c>
      <c r="K19" s="106">
        <f>B19*'Premium Calculation'!$B$14*Assumptions!$C$15</f>
        <v>0</v>
      </c>
      <c r="L19" s="101">
        <f t="shared" si="1"/>
        <v>0</v>
      </c>
      <c r="M19" s="117">
        <f>(1+Assumptions!$C$6+Assumptions!$C$25)^(-A19)</f>
        <v>0.57670591171478747</v>
      </c>
      <c r="N19" s="101">
        <f t="shared" si="2"/>
        <v>0</v>
      </c>
      <c r="O19" s="118">
        <f t="shared" si="3"/>
        <v>0</v>
      </c>
      <c r="P19" s="117">
        <f>O19*(IF(A19=1,'Premium Calculation'!$B$32,Assumptions!$C$12)+Assumptions!$C$24)</f>
        <v>0</v>
      </c>
      <c r="Q19" s="101">
        <f t="shared" si="4"/>
        <v>0</v>
      </c>
      <c r="R19" s="118">
        <f t="shared" si="5"/>
        <v>0</v>
      </c>
      <c r="S19" s="118">
        <f t="shared" si="6"/>
        <v>0</v>
      </c>
      <c r="T19" s="118">
        <f t="shared" si="7"/>
        <v>0</v>
      </c>
      <c r="U19" s="119">
        <f t="shared" si="8"/>
        <v>0</v>
      </c>
      <c r="V19" s="1"/>
      <c r="W19" s="1"/>
      <c r="X19" s="1"/>
      <c r="Y19" s="1"/>
      <c r="Z19" s="1"/>
    </row>
    <row r="20" spans="1:26" ht="21.75" customHeight="1" x14ac:dyDescent="0.25">
      <c r="A20" s="91">
        <v>17</v>
      </c>
      <c r="B20" s="117">
        <f>IF(A20&lt;='Premium Calculation'!$B$8,R19,0)</f>
        <v>0</v>
      </c>
      <c r="C20" s="105" cm="1">
        <f t="array" ref="C20">IF(B20=0,0,_xlfn.XLOOKUP('Premium Calculation'!$B$4+A20-1,Mortality!$A$4:$A$64,_xlfn.XLOOKUP('Premium Calculation'!$B$5&amp;" "&amp;'Premium Calculation'!$B$6,Mortality!$B$3:$E$3,Mortality!$B$4:$E$64))*IF('Premium Calculation'!$B$7="Preferred",Assumptions!$C$30,IF('Premium Calculation'!$B$7="Rated",Assumptions!$C$31,1))*Assumptions!$C$21)</f>
        <v>0</v>
      </c>
      <c r="D20" s="105">
        <f>IF(B20=0,0,MIN(1,MAX(Assumptions!$C$27,Assumptions!$C$13*Assumptions!$C$28^(A20-1))*Assumptions!$C$22))</f>
        <v>0</v>
      </c>
      <c r="E20" s="106">
        <f>B20*'Premium Calculation'!$B$29</f>
        <v>0</v>
      </c>
      <c r="F20" s="106">
        <f>B20*C20*'Premium Calculation'!$B$9</f>
        <v>0</v>
      </c>
      <c r="G20" s="106">
        <f>B20*C20*'Premium Calculation'!$B$14</f>
        <v>0</v>
      </c>
      <c r="H20" s="101">
        <f t="shared" si="0"/>
        <v>0</v>
      </c>
      <c r="I20" s="106">
        <f>B20*(Assumptions!$C$10*(1+Assumptions!$C$5)^(A20-1)+IF(A20=1,Assumptions!$C$9,0))*Assumptions!$C$23</f>
        <v>0</v>
      </c>
      <c r="J20" s="106">
        <f>E20*(IF(A20=1,'Premium Calculation'!$B$32,Assumptions!$C$12)+Assumptions!$C$24)</f>
        <v>0</v>
      </c>
      <c r="K20" s="106">
        <f>B20*'Premium Calculation'!$B$14*Assumptions!$C$15</f>
        <v>0</v>
      </c>
      <c r="L20" s="101">
        <f t="shared" si="1"/>
        <v>0</v>
      </c>
      <c r="M20" s="117">
        <f>(1+Assumptions!$C$6+Assumptions!$C$25)^(-A20)</f>
        <v>0.55720377943457733</v>
      </c>
      <c r="N20" s="101">
        <f t="shared" si="2"/>
        <v>0</v>
      </c>
      <c r="O20" s="118">
        <f t="shared" si="3"/>
        <v>0</v>
      </c>
      <c r="P20" s="117">
        <f>O20*(IF(A20=1,'Premium Calculation'!$B$32,Assumptions!$C$12)+Assumptions!$C$24)</f>
        <v>0</v>
      </c>
      <c r="Q20" s="101">
        <f t="shared" si="4"/>
        <v>0</v>
      </c>
      <c r="R20" s="118">
        <f t="shared" si="5"/>
        <v>0</v>
      </c>
      <c r="S20" s="118">
        <f t="shared" si="6"/>
        <v>0</v>
      </c>
      <c r="T20" s="118">
        <f t="shared" si="7"/>
        <v>0</v>
      </c>
      <c r="U20" s="119">
        <f t="shared" si="8"/>
        <v>0</v>
      </c>
      <c r="V20" s="1"/>
      <c r="W20" s="1"/>
      <c r="X20" s="1"/>
      <c r="Y20" s="1"/>
      <c r="Z20" s="1"/>
    </row>
    <row r="21" spans="1:26" ht="21.75" customHeight="1" x14ac:dyDescent="0.25">
      <c r="A21" s="91">
        <v>18</v>
      </c>
      <c r="B21" s="117">
        <f>IF(A21&lt;='Premium Calculation'!$B$8,R20,0)</f>
        <v>0</v>
      </c>
      <c r="C21" s="105" cm="1">
        <f t="array" ref="C21">IF(B21=0,0,_xlfn.XLOOKUP('Premium Calculation'!$B$4+A21-1,Mortality!$A$4:$A$64,_xlfn.XLOOKUP('Premium Calculation'!$B$5&amp;" "&amp;'Premium Calculation'!$B$6,Mortality!$B$3:$E$3,Mortality!$B$4:$E$64))*IF('Premium Calculation'!$B$7="Preferred",Assumptions!$C$30,IF('Premium Calculation'!$B$7="Rated",Assumptions!$C$31,1))*Assumptions!$C$21)</f>
        <v>0</v>
      </c>
      <c r="D21" s="105">
        <f>IF(B21=0,0,MIN(1,MAX(Assumptions!$C$27,Assumptions!$C$13*Assumptions!$C$28^(A21-1))*Assumptions!$C$22))</f>
        <v>0</v>
      </c>
      <c r="E21" s="106">
        <f>B21*'Premium Calculation'!$B$29</f>
        <v>0</v>
      </c>
      <c r="F21" s="106">
        <f>B21*C21*'Premium Calculation'!$B$9</f>
        <v>0</v>
      </c>
      <c r="G21" s="106">
        <f>B21*C21*'Premium Calculation'!$B$14</f>
        <v>0</v>
      </c>
      <c r="H21" s="101">
        <f t="shared" si="0"/>
        <v>0</v>
      </c>
      <c r="I21" s="106">
        <f>B21*(Assumptions!$C$10*(1+Assumptions!$C$5)^(A21-1)+IF(A21=1,Assumptions!$C$9,0))*Assumptions!$C$23</f>
        <v>0</v>
      </c>
      <c r="J21" s="106">
        <f>E21*(IF(A21=1,'Premium Calculation'!$B$32,Assumptions!$C$12)+Assumptions!$C$24)</f>
        <v>0</v>
      </c>
      <c r="K21" s="106">
        <f>B21*'Premium Calculation'!$B$14*Assumptions!$C$15</f>
        <v>0</v>
      </c>
      <c r="L21" s="101">
        <f t="shared" si="1"/>
        <v>0</v>
      </c>
      <c r="M21" s="117">
        <f>(1+Assumptions!$C$6+Assumptions!$C$25)^(-A21)</f>
        <v>0.53836113955031628</v>
      </c>
      <c r="N21" s="101">
        <f t="shared" si="2"/>
        <v>0</v>
      </c>
      <c r="O21" s="118">
        <f t="shared" si="3"/>
        <v>0</v>
      </c>
      <c r="P21" s="117">
        <f>O21*(IF(A21=1,'Premium Calculation'!$B$32,Assumptions!$C$12)+Assumptions!$C$24)</f>
        <v>0</v>
      </c>
      <c r="Q21" s="101">
        <f t="shared" si="4"/>
        <v>0</v>
      </c>
      <c r="R21" s="118">
        <f t="shared" si="5"/>
        <v>0</v>
      </c>
      <c r="S21" s="118">
        <f t="shared" si="6"/>
        <v>0</v>
      </c>
      <c r="T21" s="118">
        <f t="shared" si="7"/>
        <v>0</v>
      </c>
      <c r="U21" s="119">
        <f t="shared" si="8"/>
        <v>0</v>
      </c>
      <c r="V21" s="1"/>
      <c r="W21" s="1"/>
      <c r="X21" s="1"/>
      <c r="Y21" s="1"/>
      <c r="Z21" s="1"/>
    </row>
    <row r="22" spans="1:26" ht="21.75" customHeight="1" x14ac:dyDescent="0.25">
      <c r="A22" s="91">
        <v>19</v>
      </c>
      <c r="B22" s="117">
        <f>IF(A22&lt;='Premium Calculation'!$B$8,R21,0)</f>
        <v>0</v>
      </c>
      <c r="C22" s="105" cm="1">
        <f t="array" ref="C22">IF(B22=0,0,_xlfn.XLOOKUP('Premium Calculation'!$B$4+A22-1,Mortality!$A$4:$A$64,_xlfn.XLOOKUP('Premium Calculation'!$B$5&amp;" "&amp;'Premium Calculation'!$B$6,Mortality!$B$3:$E$3,Mortality!$B$4:$E$64))*IF('Premium Calculation'!$B$7="Preferred",Assumptions!$C$30,IF('Premium Calculation'!$B$7="Rated",Assumptions!$C$31,1))*Assumptions!$C$21)</f>
        <v>0</v>
      </c>
      <c r="D22" s="105">
        <f>IF(B22=0,0,MIN(1,MAX(Assumptions!$C$27,Assumptions!$C$13*Assumptions!$C$28^(A22-1))*Assumptions!$C$22))</f>
        <v>0</v>
      </c>
      <c r="E22" s="106">
        <f>B22*'Premium Calculation'!$B$29</f>
        <v>0</v>
      </c>
      <c r="F22" s="106">
        <f>B22*C22*'Premium Calculation'!$B$9</f>
        <v>0</v>
      </c>
      <c r="G22" s="106">
        <f>B22*C22*'Premium Calculation'!$B$14</f>
        <v>0</v>
      </c>
      <c r="H22" s="101">
        <f t="shared" si="0"/>
        <v>0</v>
      </c>
      <c r="I22" s="106">
        <f>B22*(Assumptions!$C$10*(1+Assumptions!$C$5)^(A22-1)+IF(A22=1,Assumptions!$C$9,0))*Assumptions!$C$23</f>
        <v>0</v>
      </c>
      <c r="J22" s="106">
        <f>E22*(IF(A22=1,'Premium Calculation'!$B$32,Assumptions!$C$12)+Assumptions!$C$24)</f>
        <v>0</v>
      </c>
      <c r="K22" s="106">
        <f>B22*'Premium Calculation'!$B$14*Assumptions!$C$15</f>
        <v>0</v>
      </c>
      <c r="L22" s="101">
        <f t="shared" si="1"/>
        <v>0</v>
      </c>
      <c r="M22" s="117">
        <f>(1+Assumptions!$C$6+Assumptions!$C$25)^(-A22)</f>
        <v>0.52015569038677911</v>
      </c>
      <c r="N22" s="101">
        <f t="shared" si="2"/>
        <v>0</v>
      </c>
      <c r="O22" s="118">
        <f t="shared" si="3"/>
        <v>0</v>
      </c>
      <c r="P22" s="117">
        <f>O22*(IF(A22=1,'Premium Calculation'!$B$32,Assumptions!$C$12)+Assumptions!$C$24)</f>
        <v>0</v>
      </c>
      <c r="Q22" s="101">
        <f t="shared" si="4"/>
        <v>0</v>
      </c>
      <c r="R22" s="118">
        <f t="shared" si="5"/>
        <v>0</v>
      </c>
      <c r="S22" s="118">
        <f t="shared" si="6"/>
        <v>0</v>
      </c>
      <c r="T22" s="118">
        <f t="shared" si="7"/>
        <v>0</v>
      </c>
      <c r="U22" s="119">
        <f t="shared" si="8"/>
        <v>0</v>
      </c>
      <c r="V22" s="1"/>
      <c r="W22" s="1"/>
      <c r="X22" s="1"/>
      <c r="Y22" s="1"/>
      <c r="Z22" s="1"/>
    </row>
    <row r="23" spans="1:26" ht="21.75" customHeight="1" x14ac:dyDescent="0.25">
      <c r="A23" s="91">
        <v>20</v>
      </c>
      <c r="B23" s="117">
        <f>IF(A23&lt;='Premium Calculation'!$B$8,R22,0)</f>
        <v>0</v>
      </c>
      <c r="C23" s="105" cm="1">
        <f t="array" ref="C23">IF(B23=0,0,_xlfn.XLOOKUP('Premium Calculation'!$B$4+A23-1,Mortality!$A$4:$A$64,_xlfn.XLOOKUP('Premium Calculation'!$B$5&amp;" "&amp;'Premium Calculation'!$B$6,Mortality!$B$3:$E$3,Mortality!$B$4:$E$64))*IF('Premium Calculation'!$B$7="Preferred",Assumptions!$C$30,IF('Premium Calculation'!$B$7="Rated",Assumptions!$C$31,1))*Assumptions!$C$21)</f>
        <v>0</v>
      </c>
      <c r="D23" s="105">
        <f>IF(B23=0,0,MIN(1,MAX(Assumptions!$C$27,Assumptions!$C$13*Assumptions!$C$28^(A23-1))*Assumptions!$C$22))</f>
        <v>0</v>
      </c>
      <c r="E23" s="106">
        <f>B23*'Premium Calculation'!$B$29</f>
        <v>0</v>
      </c>
      <c r="F23" s="106">
        <f>B23*C23*'Premium Calculation'!$B$9</f>
        <v>0</v>
      </c>
      <c r="G23" s="106">
        <f>B23*C23*'Premium Calculation'!$B$14</f>
        <v>0</v>
      </c>
      <c r="H23" s="101">
        <f t="shared" si="0"/>
        <v>0</v>
      </c>
      <c r="I23" s="106">
        <f>B23*(Assumptions!$C$10*(1+Assumptions!$C$5)^(A23-1)+IF(A23=1,Assumptions!$C$9,0))*Assumptions!$C$23</f>
        <v>0</v>
      </c>
      <c r="J23" s="106">
        <f>E23*(IF(A23=1,'Premium Calculation'!$B$32,Assumptions!$C$12)+Assumptions!$C$24)</f>
        <v>0</v>
      </c>
      <c r="K23" s="106">
        <f>B23*'Premium Calculation'!$B$14*Assumptions!$C$15</f>
        <v>0</v>
      </c>
      <c r="L23" s="101">
        <f t="shared" si="1"/>
        <v>0</v>
      </c>
      <c r="M23" s="117">
        <f>(1+Assumptions!$C$6+Assumptions!$C$25)^(-A23)</f>
        <v>0.50256588443167061</v>
      </c>
      <c r="N23" s="101">
        <f t="shared" si="2"/>
        <v>0</v>
      </c>
      <c r="O23" s="118">
        <f t="shared" si="3"/>
        <v>0</v>
      </c>
      <c r="P23" s="117">
        <f>O23*(IF(A23=1,'Premium Calculation'!$B$32,Assumptions!$C$12)+Assumptions!$C$24)</f>
        <v>0</v>
      </c>
      <c r="Q23" s="101">
        <f t="shared" si="4"/>
        <v>0</v>
      </c>
      <c r="R23" s="118">
        <f t="shared" si="5"/>
        <v>0</v>
      </c>
      <c r="S23" s="118">
        <f t="shared" si="6"/>
        <v>0</v>
      </c>
      <c r="T23" s="118">
        <f t="shared" si="7"/>
        <v>0</v>
      </c>
      <c r="U23" s="119">
        <f t="shared" si="8"/>
        <v>0</v>
      </c>
      <c r="V23" s="1"/>
      <c r="W23" s="1"/>
      <c r="X23" s="1"/>
      <c r="Y23" s="1"/>
      <c r="Z23" s="1"/>
    </row>
    <row r="24" spans="1:26" ht="21.75" customHeight="1" x14ac:dyDescent="0.25">
      <c r="A24" s="91">
        <v>21</v>
      </c>
      <c r="B24" s="117">
        <f>IF(A24&lt;='Premium Calculation'!$B$8,R23,0)</f>
        <v>0</v>
      </c>
      <c r="C24" s="105" cm="1">
        <f t="array" ref="C24">IF(B24=0,0,_xlfn.XLOOKUP('Premium Calculation'!$B$4+A24-1,Mortality!$A$4:$A$64,_xlfn.XLOOKUP('Premium Calculation'!$B$5&amp;" "&amp;'Premium Calculation'!$B$6,Mortality!$B$3:$E$3,Mortality!$B$4:$E$64))*IF('Premium Calculation'!$B$7="Preferred",Assumptions!$C$30,IF('Premium Calculation'!$B$7="Rated",Assumptions!$C$31,1))*Assumptions!$C$21)</f>
        <v>0</v>
      </c>
      <c r="D24" s="105">
        <f>IF(B24=0,0,MIN(1,MAX(Assumptions!$C$27,Assumptions!$C$13*Assumptions!$C$28^(A24-1))*Assumptions!$C$22))</f>
        <v>0</v>
      </c>
      <c r="E24" s="106">
        <f>B24*'Premium Calculation'!$B$29</f>
        <v>0</v>
      </c>
      <c r="F24" s="106">
        <f>B24*C24*'Premium Calculation'!$B$9</f>
        <v>0</v>
      </c>
      <c r="G24" s="106">
        <f>B24*C24*'Premium Calculation'!$B$14</f>
        <v>0</v>
      </c>
      <c r="H24" s="101">
        <f t="shared" si="0"/>
        <v>0</v>
      </c>
      <c r="I24" s="106">
        <f>B24*(Assumptions!$C$10*(1+Assumptions!$C$5)^(A24-1)+IF(A24=1,Assumptions!$C$9,0))*Assumptions!$C$23</f>
        <v>0</v>
      </c>
      <c r="J24" s="106">
        <f>E24*(IF(A24=1,'Premium Calculation'!$B$32,Assumptions!$C$12)+Assumptions!$C$24)</f>
        <v>0</v>
      </c>
      <c r="K24" s="106">
        <f>B24*'Premium Calculation'!$B$14*Assumptions!$C$15</f>
        <v>0</v>
      </c>
      <c r="L24" s="101">
        <f t="shared" si="1"/>
        <v>0</v>
      </c>
      <c r="M24" s="117">
        <f>(1+Assumptions!$C$6+Assumptions!$C$25)^(-A24)</f>
        <v>0.48557090283253213</v>
      </c>
      <c r="N24" s="101">
        <f t="shared" si="2"/>
        <v>0</v>
      </c>
      <c r="O24" s="118">
        <f t="shared" si="3"/>
        <v>0</v>
      </c>
      <c r="P24" s="117">
        <f>O24*(IF(A24=1,'Premium Calculation'!$B$32,Assumptions!$C$12)+Assumptions!$C$24)</f>
        <v>0</v>
      </c>
      <c r="Q24" s="101">
        <f t="shared" si="4"/>
        <v>0</v>
      </c>
      <c r="R24" s="118">
        <f t="shared" si="5"/>
        <v>0</v>
      </c>
      <c r="S24" s="118">
        <f t="shared" si="6"/>
        <v>0</v>
      </c>
      <c r="T24" s="118">
        <f t="shared" si="7"/>
        <v>0</v>
      </c>
      <c r="U24" s="119">
        <f t="shared" si="8"/>
        <v>0</v>
      </c>
      <c r="V24" s="1"/>
      <c r="W24" s="1"/>
      <c r="X24" s="1"/>
      <c r="Y24" s="1"/>
      <c r="Z24" s="1"/>
    </row>
    <row r="25" spans="1:26" ht="21.75" customHeight="1" x14ac:dyDescent="0.25">
      <c r="A25" s="91">
        <v>22</v>
      </c>
      <c r="B25" s="117">
        <f>IF(A25&lt;='Premium Calculation'!$B$8,R24,0)</f>
        <v>0</v>
      </c>
      <c r="C25" s="105" cm="1">
        <f t="array" ref="C25">IF(B25=0,0,_xlfn.XLOOKUP('Premium Calculation'!$B$4+A25-1,Mortality!$A$4:$A$64,_xlfn.XLOOKUP('Premium Calculation'!$B$5&amp;" "&amp;'Premium Calculation'!$B$6,Mortality!$B$3:$E$3,Mortality!$B$4:$E$64))*IF('Premium Calculation'!$B$7="Preferred",Assumptions!$C$30,IF('Premium Calculation'!$B$7="Rated",Assumptions!$C$31,1))*Assumptions!$C$21)</f>
        <v>0</v>
      </c>
      <c r="D25" s="105">
        <f>IF(B25=0,0,MIN(1,MAX(Assumptions!$C$27,Assumptions!$C$13*Assumptions!$C$28^(A25-1))*Assumptions!$C$22))</f>
        <v>0</v>
      </c>
      <c r="E25" s="106">
        <f>B25*'Premium Calculation'!$B$29</f>
        <v>0</v>
      </c>
      <c r="F25" s="106">
        <f>B25*C25*'Premium Calculation'!$B$9</f>
        <v>0</v>
      </c>
      <c r="G25" s="106">
        <f>B25*C25*'Premium Calculation'!$B$14</f>
        <v>0</v>
      </c>
      <c r="H25" s="101">
        <f t="shared" si="0"/>
        <v>0</v>
      </c>
      <c r="I25" s="106">
        <f>B25*(Assumptions!$C$10*(1+Assumptions!$C$5)^(A25-1)+IF(A25=1,Assumptions!$C$9,0))*Assumptions!$C$23</f>
        <v>0</v>
      </c>
      <c r="J25" s="106">
        <f>E25*(IF(A25=1,'Premium Calculation'!$B$32,Assumptions!$C$12)+Assumptions!$C$24)</f>
        <v>0</v>
      </c>
      <c r="K25" s="106">
        <f>B25*'Premium Calculation'!$B$14*Assumptions!$C$15</f>
        <v>0</v>
      </c>
      <c r="L25" s="101">
        <f t="shared" si="1"/>
        <v>0</v>
      </c>
      <c r="M25" s="117">
        <f>(1+Assumptions!$C$6+Assumptions!$C$25)^(-A25)</f>
        <v>0.46915063075606966</v>
      </c>
      <c r="N25" s="101">
        <f t="shared" si="2"/>
        <v>0</v>
      </c>
      <c r="O25" s="118">
        <f t="shared" si="3"/>
        <v>0</v>
      </c>
      <c r="P25" s="117">
        <f>O25*(IF(A25=1,'Premium Calculation'!$B$32,Assumptions!$C$12)+Assumptions!$C$24)</f>
        <v>0</v>
      </c>
      <c r="Q25" s="101">
        <f t="shared" si="4"/>
        <v>0</v>
      </c>
      <c r="R25" s="118">
        <f t="shared" si="5"/>
        <v>0</v>
      </c>
      <c r="S25" s="118">
        <f t="shared" si="6"/>
        <v>0</v>
      </c>
      <c r="T25" s="118">
        <f t="shared" si="7"/>
        <v>0</v>
      </c>
      <c r="U25" s="119">
        <f t="shared" si="8"/>
        <v>0</v>
      </c>
      <c r="V25" s="1"/>
      <c r="W25" s="1"/>
      <c r="X25" s="1"/>
      <c r="Y25" s="1"/>
      <c r="Z25" s="1"/>
    </row>
    <row r="26" spans="1:26" ht="21.75" customHeight="1" x14ac:dyDescent="0.25">
      <c r="A26" s="91">
        <v>23</v>
      </c>
      <c r="B26" s="117">
        <f>IF(A26&lt;='Premium Calculation'!$B$8,R25,0)</f>
        <v>0</v>
      </c>
      <c r="C26" s="105" cm="1">
        <f t="array" ref="C26">IF(B26=0,0,_xlfn.XLOOKUP('Premium Calculation'!$B$4+A26-1,Mortality!$A$4:$A$64,_xlfn.XLOOKUP('Premium Calculation'!$B$5&amp;" "&amp;'Premium Calculation'!$B$6,Mortality!$B$3:$E$3,Mortality!$B$4:$E$64))*IF('Premium Calculation'!$B$7="Preferred",Assumptions!$C$30,IF('Premium Calculation'!$B$7="Rated",Assumptions!$C$31,1))*Assumptions!$C$21)</f>
        <v>0</v>
      </c>
      <c r="D26" s="105">
        <f>IF(B26=0,0,MIN(1,MAX(Assumptions!$C$27,Assumptions!$C$13*Assumptions!$C$28^(A26-1))*Assumptions!$C$22))</f>
        <v>0</v>
      </c>
      <c r="E26" s="106">
        <f>B26*'Premium Calculation'!$B$29</f>
        <v>0</v>
      </c>
      <c r="F26" s="106">
        <f>B26*C26*'Premium Calculation'!$B$9</f>
        <v>0</v>
      </c>
      <c r="G26" s="106">
        <f>B26*C26*'Premium Calculation'!$B$14</f>
        <v>0</v>
      </c>
      <c r="H26" s="101">
        <f t="shared" si="0"/>
        <v>0</v>
      </c>
      <c r="I26" s="106">
        <f>B26*(Assumptions!$C$10*(1+Assumptions!$C$5)^(A26-1)+IF(A26=1,Assumptions!$C$9,0))*Assumptions!$C$23</f>
        <v>0</v>
      </c>
      <c r="J26" s="106">
        <f>E26*(IF(A26=1,'Premium Calculation'!$B$32,Assumptions!$C$12)+Assumptions!$C$24)</f>
        <v>0</v>
      </c>
      <c r="K26" s="106">
        <f>B26*'Premium Calculation'!$B$14*Assumptions!$C$15</f>
        <v>0</v>
      </c>
      <c r="L26" s="101">
        <f t="shared" si="1"/>
        <v>0</v>
      </c>
      <c r="M26" s="117">
        <f>(1+Assumptions!$C$6+Assumptions!$C$25)^(-A26)</f>
        <v>0.45328563358074364</v>
      </c>
      <c r="N26" s="101">
        <f t="shared" si="2"/>
        <v>0</v>
      </c>
      <c r="O26" s="118">
        <f t="shared" si="3"/>
        <v>0</v>
      </c>
      <c r="P26" s="117">
        <f>O26*(IF(A26=1,'Premium Calculation'!$B$32,Assumptions!$C$12)+Assumptions!$C$24)</f>
        <v>0</v>
      </c>
      <c r="Q26" s="101">
        <f t="shared" si="4"/>
        <v>0</v>
      </c>
      <c r="R26" s="118">
        <f t="shared" si="5"/>
        <v>0</v>
      </c>
      <c r="S26" s="118">
        <f t="shared" si="6"/>
        <v>0</v>
      </c>
      <c r="T26" s="118">
        <f t="shared" si="7"/>
        <v>0</v>
      </c>
      <c r="U26" s="119">
        <f t="shared" si="8"/>
        <v>0</v>
      </c>
      <c r="V26" s="1"/>
      <c r="W26" s="1"/>
      <c r="X26" s="1"/>
      <c r="Y26" s="1"/>
      <c r="Z26" s="1"/>
    </row>
    <row r="27" spans="1:26" ht="21.75" customHeight="1" x14ac:dyDescent="0.25">
      <c r="A27" s="91">
        <v>24</v>
      </c>
      <c r="B27" s="117">
        <f>IF(A27&lt;='Premium Calculation'!$B$8,R26,0)</f>
        <v>0</v>
      </c>
      <c r="C27" s="105" cm="1">
        <f t="array" ref="C27">IF(B27=0,0,_xlfn.XLOOKUP('Premium Calculation'!$B$4+A27-1,Mortality!$A$4:$A$64,_xlfn.XLOOKUP('Premium Calculation'!$B$5&amp;" "&amp;'Premium Calculation'!$B$6,Mortality!$B$3:$E$3,Mortality!$B$4:$E$64))*IF('Premium Calculation'!$B$7="Preferred",Assumptions!$C$30,IF('Premium Calculation'!$B$7="Rated",Assumptions!$C$31,1))*Assumptions!$C$21)</f>
        <v>0</v>
      </c>
      <c r="D27" s="105">
        <f>IF(B27=0,0,MIN(1,MAX(Assumptions!$C$27,Assumptions!$C$13*Assumptions!$C$28^(A27-1))*Assumptions!$C$22))</f>
        <v>0</v>
      </c>
      <c r="E27" s="106">
        <f>B27*'Premium Calculation'!$B$29</f>
        <v>0</v>
      </c>
      <c r="F27" s="106">
        <f>B27*C27*'Premium Calculation'!$B$9</f>
        <v>0</v>
      </c>
      <c r="G27" s="106">
        <f>B27*C27*'Premium Calculation'!$B$14</f>
        <v>0</v>
      </c>
      <c r="H27" s="101">
        <f t="shared" si="0"/>
        <v>0</v>
      </c>
      <c r="I27" s="106">
        <f>B27*(Assumptions!$C$10*(1+Assumptions!$C$5)^(A27-1)+IF(A27=1,Assumptions!$C$9,0))*Assumptions!$C$23</f>
        <v>0</v>
      </c>
      <c r="J27" s="106">
        <f>E27*(IF(A27=1,'Premium Calculation'!$B$32,Assumptions!$C$12)+Assumptions!$C$24)</f>
        <v>0</v>
      </c>
      <c r="K27" s="106">
        <f>B27*'Premium Calculation'!$B$14*Assumptions!$C$15</f>
        <v>0</v>
      </c>
      <c r="L27" s="101">
        <f t="shared" si="1"/>
        <v>0</v>
      </c>
      <c r="M27" s="117">
        <f>(1+Assumptions!$C$6+Assumptions!$C$25)^(-A27)</f>
        <v>0.43795713389443841</v>
      </c>
      <c r="N27" s="101">
        <f t="shared" si="2"/>
        <v>0</v>
      </c>
      <c r="O27" s="118">
        <f t="shared" si="3"/>
        <v>0</v>
      </c>
      <c r="P27" s="117">
        <f>O27*(IF(A27=1,'Premium Calculation'!$B$32,Assumptions!$C$12)+Assumptions!$C$24)</f>
        <v>0</v>
      </c>
      <c r="Q27" s="101">
        <f t="shared" si="4"/>
        <v>0</v>
      </c>
      <c r="R27" s="118">
        <f t="shared" si="5"/>
        <v>0</v>
      </c>
      <c r="S27" s="118">
        <f t="shared" si="6"/>
        <v>0</v>
      </c>
      <c r="T27" s="118">
        <f t="shared" si="7"/>
        <v>0</v>
      </c>
      <c r="U27" s="119">
        <f t="shared" si="8"/>
        <v>0</v>
      </c>
      <c r="V27" s="1"/>
      <c r="W27" s="1"/>
      <c r="X27" s="1"/>
      <c r="Y27" s="1"/>
      <c r="Z27" s="1"/>
    </row>
    <row r="28" spans="1:26" ht="21.75" customHeight="1" x14ac:dyDescent="0.25">
      <c r="A28" s="91">
        <v>25</v>
      </c>
      <c r="B28" s="117">
        <f>IF(A28&lt;='Premium Calculation'!$B$8,R27,0)</f>
        <v>0</v>
      </c>
      <c r="C28" s="105" cm="1">
        <f t="array" ref="C28">IF(B28=0,0,_xlfn.XLOOKUP('Premium Calculation'!$B$4+A28-1,Mortality!$A$4:$A$64,_xlfn.XLOOKUP('Premium Calculation'!$B$5&amp;" "&amp;'Premium Calculation'!$B$6,Mortality!$B$3:$E$3,Mortality!$B$4:$E$64))*IF('Premium Calculation'!$B$7="Preferred",Assumptions!$C$30,IF('Premium Calculation'!$B$7="Rated",Assumptions!$C$31,1))*Assumptions!$C$21)</f>
        <v>0</v>
      </c>
      <c r="D28" s="105">
        <f>IF(B28=0,0,MIN(1,MAX(Assumptions!$C$27,Assumptions!$C$13*Assumptions!$C$28^(A28-1))*Assumptions!$C$22))</f>
        <v>0</v>
      </c>
      <c r="E28" s="106">
        <f>B28*'Premium Calculation'!$B$29</f>
        <v>0</v>
      </c>
      <c r="F28" s="106">
        <f>B28*C28*'Premium Calculation'!$B$9</f>
        <v>0</v>
      </c>
      <c r="G28" s="106">
        <f>B28*C28*'Premium Calculation'!$B$14</f>
        <v>0</v>
      </c>
      <c r="H28" s="101">
        <f t="shared" si="0"/>
        <v>0</v>
      </c>
      <c r="I28" s="106">
        <f>B28*(Assumptions!$C$10*(1+Assumptions!$C$5)^(A28-1)+IF(A28=1,Assumptions!$C$9,0))*Assumptions!$C$23</f>
        <v>0</v>
      </c>
      <c r="J28" s="106">
        <f>E28*(IF(A28=1,'Premium Calculation'!$B$32,Assumptions!$C$12)+Assumptions!$C$24)</f>
        <v>0</v>
      </c>
      <c r="K28" s="106">
        <f>B28*'Premium Calculation'!$B$14*Assumptions!$C$15</f>
        <v>0</v>
      </c>
      <c r="L28" s="101">
        <f t="shared" si="1"/>
        <v>0</v>
      </c>
      <c r="M28" s="117">
        <f>(1+Assumptions!$C$6+Assumptions!$C$25)^(-A28)</f>
        <v>0.42314698926998884</v>
      </c>
      <c r="N28" s="101">
        <f t="shared" si="2"/>
        <v>0</v>
      </c>
      <c r="O28" s="118">
        <f t="shared" si="3"/>
        <v>0</v>
      </c>
      <c r="P28" s="117">
        <f>O28*(IF(A28=1,'Premium Calculation'!$B$32,Assumptions!$C$12)+Assumptions!$C$24)</f>
        <v>0</v>
      </c>
      <c r="Q28" s="101">
        <f t="shared" si="4"/>
        <v>0</v>
      </c>
      <c r="R28" s="118">
        <f t="shared" si="5"/>
        <v>0</v>
      </c>
      <c r="S28" s="118">
        <f t="shared" si="6"/>
        <v>0</v>
      </c>
      <c r="T28" s="118">
        <f t="shared" si="7"/>
        <v>0</v>
      </c>
      <c r="U28" s="119">
        <f t="shared" si="8"/>
        <v>0</v>
      </c>
      <c r="V28" s="1"/>
      <c r="W28" s="1"/>
      <c r="X28" s="1"/>
      <c r="Y28" s="1"/>
      <c r="Z28" s="1"/>
    </row>
    <row r="29" spans="1:26" ht="21.75" customHeight="1" x14ac:dyDescent="0.25">
      <c r="A29" s="91">
        <v>26</v>
      </c>
      <c r="B29" s="117">
        <f>IF(A29&lt;='Premium Calculation'!$B$8,R28,0)</f>
        <v>0</v>
      </c>
      <c r="C29" s="105" cm="1">
        <f t="array" ref="C29">IF(B29=0,0,_xlfn.XLOOKUP('Premium Calculation'!$B$4+A29-1,Mortality!$A$4:$A$64,_xlfn.XLOOKUP('Premium Calculation'!$B$5&amp;" "&amp;'Premium Calculation'!$B$6,Mortality!$B$3:$E$3,Mortality!$B$4:$E$64))*IF('Premium Calculation'!$B$7="Preferred",Assumptions!$C$30,IF('Premium Calculation'!$B$7="Rated",Assumptions!$C$31,1))*Assumptions!$C$21)</f>
        <v>0</v>
      </c>
      <c r="D29" s="105">
        <f>IF(B29=0,0,MIN(1,MAX(Assumptions!$C$27,Assumptions!$C$13*Assumptions!$C$28^(A29-1))*Assumptions!$C$22))</f>
        <v>0</v>
      </c>
      <c r="E29" s="106">
        <f>B29*'Premium Calculation'!$B$29</f>
        <v>0</v>
      </c>
      <c r="F29" s="106">
        <f>B29*C29*'Premium Calculation'!$B$9</f>
        <v>0</v>
      </c>
      <c r="G29" s="106">
        <f>B29*C29*'Premium Calculation'!$B$14</f>
        <v>0</v>
      </c>
      <c r="H29" s="101">
        <f t="shared" si="0"/>
        <v>0</v>
      </c>
      <c r="I29" s="106">
        <f>B29*(Assumptions!$C$10*(1+Assumptions!$C$5)^(A29-1)+IF(A29=1,Assumptions!$C$9,0))*Assumptions!$C$23</f>
        <v>0</v>
      </c>
      <c r="J29" s="106">
        <f>E29*(IF(A29=1,'Premium Calculation'!$B$32,Assumptions!$C$12)+Assumptions!$C$24)</f>
        <v>0</v>
      </c>
      <c r="K29" s="106">
        <f>B29*'Premium Calculation'!$B$14*Assumptions!$C$15</f>
        <v>0</v>
      </c>
      <c r="L29" s="101">
        <f t="shared" si="1"/>
        <v>0</v>
      </c>
      <c r="M29" s="117">
        <f>(1+Assumptions!$C$6+Assumptions!$C$25)^(-A29)</f>
        <v>0.40883767079225974</v>
      </c>
      <c r="N29" s="101">
        <f t="shared" si="2"/>
        <v>0</v>
      </c>
      <c r="O29" s="118">
        <f t="shared" si="3"/>
        <v>0</v>
      </c>
      <c r="P29" s="117">
        <f>O29*(IF(A29=1,'Premium Calculation'!$B$32,Assumptions!$C$12)+Assumptions!$C$24)</f>
        <v>0</v>
      </c>
      <c r="Q29" s="101">
        <f t="shared" si="4"/>
        <v>0</v>
      </c>
      <c r="R29" s="118">
        <f t="shared" si="5"/>
        <v>0</v>
      </c>
      <c r="S29" s="118">
        <f t="shared" si="6"/>
        <v>0</v>
      </c>
      <c r="T29" s="118">
        <f t="shared" si="7"/>
        <v>0</v>
      </c>
      <c r="U29" s="119">
        <f t="shared" si="8"/>
        <v>0</v>
      </c>
      <c r="V29" s="1"/>
      <c r="W29" s="1"/>
      <c r="X29" s="1"/>
      <c r="Y29" s="1"/>
      <c r="Z29" s="1"/>
    </row>
    <row r="30" spans="1:26" ht="21.75" customHeight="1" x14ac:dyDescent="0.25">
      <c r="A30" s="91">
        <v>27</v>
      </c>
      <c r="B30" s="117">
        <f>IF(A30&lt;='Premium Calculation'!$B$8,R29,0)</f>
        <v>0</v>
      </c>
      <c r="C30" s="105" cm="1">
        <f t="array" ref="C30">IF(B30=0,0,_xlfn.XLOOKUP('Premium Calculation'!$B$4+A30-1,Mortality!$A$4:$A$64,_xlfn.XLOOKUP('Premium Calculation'!$B$5&amp;" "&amp;'Premium Calculation'!$B$6,Mortality!$B$3:$E$3,Mortality!$B$4:$E$64))*IF('Premium Calculation'!$B$7="Preferred",Assumptions!$C$30,IF('Premium Calculation'!$B$7="Rated",Assumptions!$C$31,1))*Assumptions!$C$21)</f>
        <v>0</v>
      </c>
      <c r="D30" s="105">
        <f>IF(B30=0,0,MIN(1,MAX(Assumptions!$C$27,Assumptions!$C$13*Assumptions!$C$28^(A30-1))*Assumptions!$C$22))</f>
        <v>0</v>
      </c>
      <c r="E30" s="106">
        <f>B30*'Premium Calculation'!$B$29</f>
        <v>0</v>
      </c>
      <c r="F30" s="106">
        <f>B30*C30*'Premium Calculation'!$B$9</f>
        <v>0</v>
      </c>
      <c r="G30" s="106">
        <f>B30*C30*'Premium Calculation'!$B$14</f>
        <v>0</v>
      </c>
      <c r="H30" s="101">
        <f t="shared" si="0"/>
        <v>0</v>
      </c>
      <c r="I30" s="106">
        <f>B30*(Assumptions!$C$10*(1+Assumptions!$C$5)^(A30-1)+IF(A30=1,Assumptions!$C$9,0))*Assumptions!$C$23</f>
        <v>0</v>
      </c>
      <c r="J30" s="106">
        <f>E30*(IF(A30=1,'Premium Calculation'!$B$32,Assumptions!$C$12)+Assumptions!$C$24)</f>
        <v>0</v>
      </c>
      <c r="K30" s="106">
        <f>B30*'Premium Calculation'!$B$14*Assumptions!$C$15</f>
        <v>0</v>
      </c>
      <c r="L30" s="101">
        <f t="shared" si="1"/>
        <v>0</v>
      </c>
      <c r="M30" s="117">
        <f>(1+Assumptions!$C$6+Assumptions!$C$25)^(-A30)</f>
        <v>0.39501224231136206</v>
      </c>
      <c r="N30" s="101">
        <f t="shared" si="2"/>
        <v>0</v>
      </c>
      <c r="O30" s="118">
        <f t="shared" si="3"/>
        <v>0</v>
      </c>
      <c r="P30" s="117">
        <f>O30*(IF(A30=1,'Premium Calculation'!$B$32,Assumptions!$C$12)+Assumptions!$C$24)</f>
        <v>0</v>
      </c>
      <c r="Q30" s="101">
        <f t="shared" si="4"/>
        <v>0</v>
      </c>
      <c r="R30" s="118">
        <f t="shared" si="5"/>
        <v>0</v>
      </c>
      <c r="S30" s="118">
        <f t="shared" si="6"/>
        <v>0</v>
      </c>
      <c r="T30" s="118">
        <f t="shared" si="7"/>
        <v>0</v>
      </c>
      <c r="U30" s="119">
        <f t="shared" si="8"/>
        <v>0</v>
      </c>
      <c r="V30" s="1"/>
      <c r="W30" s="1"/>
      <c r="X30" s="1"/>
      <c r="Y30" s="1"/>
      <c r="Z30" s="1"/>
    </row>
    <row r="31" spans="1:26" ht="21.75" customHeight="1" x14ac:dyDescent="0.25">
      <c r="A31" s="91">
        <v>28</v>
      </c>
      <c r="B31" s="117">
        <f>IF(A31&lt;='Premium Calculation'!$B$8,R30,0)</f>
        <v>0</v>
      </c>
      <c r="C31" s="105" cm="1">
        <f t="array" ref="C31">IF(B31=0,0,_xlfn.XLOOKUP('Premium Calculation'!$B$4+A31-1,Mortality!$A$4:$A$64,_xlfn.XLOOKUP('Premium Calculation'!$B$5&amp;" "&amp;'Premium Calculation'!$B$6,Mortality!$B$3:$E$3,Mortality!$B$4:$E$64))*IF('Premium Calculation'!$B$7="Preferred",Assumptions!$C$30,IF('Premium Calculation'!$B$7="Rated",Assumptions!$C$31,1))*Assumptions!$C$21)</f>
        <v>0</v>
      </c>
      <c r="D31" s="105">
        <f>IF(B31=0,0,MIN(1,MAX(Assumptions!$C$27,Assumptions!$C$13*Assumptions!$C$28^(A31-1))*Assumptions!$C$22))</f>
        <v>0</v>
      </c>
      <c r="E31" s="106">
        <f>B31*'Premium Calculation'!$B$29</f>
        <v>0</v>
      </c>
      <c r="F31" s="106">
        <f>B31*C31*'Premium Calculation'!$B$9</f>
        <v>0</v>
      </c>
      <c r="G31" s="106">
        <f>B31*C31*'Premium Calculation'!$B$14</f>
        <v>0</v>
      </c>
      <c r="H31" s="101">
        <f t="shared" si="0"/>
        <v>0</v>
      </c>
      <c r="I31" s="106">
        <f>B31*(Assumptions!$C$10*(1+Assumptions!$C$5)^(A31-1)+IF(A31=1,Assumptions!$C$9,0))*Assumptions!$C$23</f>
        <v>0</v>
      </c>
      <c r="J31" s="106">
        <f>E31*(IF(A31=1,'Premium Calculation'!$B$32,Assumptions!$C$12)+Assumptions!$C$24)</f>
        <v>0</v>
      </c>
      <c r="K31" s="106">
        <f>B31*'Premium Calculation'!$B$14*Assumptions!$C$15</f>
        <v>0</v>
      </c>
      <c r="L31" s="101">
        <f t="shared" si="1"/>
        <v>0</v>
      </c>
      <c r="M31" s="117">
        <f>(1+Assumptions!$C$6+Assumptions!$C$25)^(-A31)</f>
        <v>0.38165434039745127</v>
      </c>
      <c r="N31" s="101">
        <f t="shared" si="2"/>
        <v>0</v>
      </c>
      <c r="O31" s="118">
        <f t="shared" si="3"/>
        <v>0</v>
      </c>
      <c r="P31" s="117">
        <f>O31*(IF(A31=1,'Premium Calculation'!$B$32,Assumptions!$C$12)+Assumptions!$C$24)</f>
        <v>0</v>
      </c>
      <c r="Q31" s="101">
        <f t="shared" si="4"/>
        <v>0</v>
      </c>
      <c r="R31" s="118">
        <f t="shared" si="5"/>
        <v>0</v>
      </c>
      <c r="S31" s="118">
        <f t="shared" si="6"/>
        <v>0</v>
      </c>
      <c r="T31" s="118">
        <f t="shared" si="7"/>
        <v>0</v>
      </c>
      <c r="U31" s="119">
        <f t="shared" si="8"/>
        <v>0</v>
      </c>
      <c r="V31" s="1"/>
      <c r="W31" s="1"/>
      <c r="X31" s="1"/>
      <c r="Y31" s="1"/>
      <c r="Z31" s="1"/>
    </row>
    <row r="32" spans="1:26" ht="21.75" customHeight="1" x14ac:dyDescent="0.25">
      <c r="A32" s="91">
        <v>29</v>
      </c>
      <c r="B32" s="117">
        <f>IF(A32&lt;='Premium Calculation'!$B$8,R31,0)</f>
        <v>0</v>
      </c>
      <c r="C32" s="105" cm="1">
        <f t="array" ref="C32">IF(B32=0,0,_xlfn.XLOOKUP('Premium Calculation'!$B$4+A32-1,Mortality!$A$4:$A$64,_xlfn.XLOOKUP('Premium Calculation'!$B$5&amp;" "&amp;'Premium Calculation'!$B$6,Mortality!$B$3:$E$3,Mortality!$B$4:$E$64))*IF('Premium Calculation'!$B$7="Preferred",Assumptions!$C$30,IF('Premium Calculation'!$B$7="Rated",Assumptions!$C$31,1))*Assumptions!$C$21)</f>
        <v>0</v>
      </c>
      <c r="D32" s="105">
        <f>IF(B32=0,0,MIN(1,MAX(Assumptions!$C$27,Assumptions!$C$13*Assumptions!$C$28^(A32-1))*Assumptions!$C$22))</f>
        <v>0</v>
      </c>
      <c r="E32" s="106">
        <f>B32*'Premium Calculation'!$B$29</f>
        <v>0</v>
      </c>
      <c r="F32" s="106">
        <f>B32*C32*'Premium Calculation'!$B$9</f>
        <v>0</v>
      </c>
      <c r="G32" s="106">
        <f>B32*C32*'Premium Calculation'!$B$14</f>
        <v>0</v>
      </c>
      <c r="H32" s="101">
        <f t="shared" si="0"/>
        <v>0</v>
      </c>
      <c r="I32" s="106">
        <f>B32*(Assumptions!$C$10*(1+Assumptions!$C$5)^(A32-1)+IF(A32=1,Assumptions!$C$9,0))*Assumptions!$C$23</f>
        <v>0</v>
      </c>
      <c r="J32" s="106">
        <f>E32*(IF(A32=1,'Premium Calculation'!$B$32,Assumptions!$C$12)+Assumptions!$C$24)</f>
        <v>0</v>
      </c>
      <c r="K32" s="106">
        <f>B32*'Premium Calculation'!$B$14*Assumptions!$C$15</f>
        <v>0</v>
      </c>
      <c r="L32" s="101">
        <f t="shared" si="1"/>
        <v>0</v>
      </c>
      <c r="M32" s="117">
        <f>(1+Assumptions!$C$6+Assumptions!$C$25)^(-A32)</f>
        <v>0.36874815497338298</v>
      </c>
      <c r="N32" s="101">
        <f t="shared" si="2"/>
        <v>0</v>
      </c>
      <c r="O32" s="118">
        <f t="shared" si="3"/>
        <v>0</v>
      </c>
      <c r="P32" s="117">
        <f>O32*(IF(A32=1,'Premium Calculation'!$B$32,Assumptions!$C$12)+Assumptions!$C$24)</f>
        <v>0</v>
      </c>
      <c r="Q32" s="101">
        <f t="shared" si="4"/>
        <v>0</v>
      </c>
      <c r="R32" s="118">
        <f t="shared" si="5"/>
        <v>0</v>
      </c>
      <c r="S32" s="118">
        <f t="shared" si="6"/>
        <v>0</v>
      </c>
      <c r="T32" s="118">
        <f t="shared" si="7"/>
        <v>0</v>
      </c>
      <c r="U32" s="119">
        <f t="shared" si="8"/>
        <v>0</v>
      </c>
      <c r="V32" s="1"/>
      <c r="W32" s="1"/>
      <c r="X32" s="1"/>
      <c r="Y32" s="1"/>
      <c r="Z32" s="1"/>
    </row>
    <row r="33" spans="1:26" ht="21.75" customHeight="1" x14ac:dyDescent="0.25">
      <c r="A33" s="91">
        <v>30</v>
      </c>
      <c r="B33" s="117">
        <f>IF(A33&lt;='Premium Calculation'!$B$8,R32,0)</f>
        <v>0</v>
      </c>
      <c r="C33" s="105" cm="1">
        <f t="array" ref="C33">IF(B33=0,0,_xlfn.XLOOKUP('Premium Calculation'!$B$4+A33-1,Mortality!$A$4:$A$64,_xlfn.XLOOKUP('Premium Calculation'!$B$5&amp;" "&amp;'Premium Calculation'!$B$6,Mortality!$B$3:$E$3,Mortality!$B$4:$E$64))*IF('Premium Calculation'!$B$7="Preferred",Assumptions!$C$30,IF('Premium Calculation'!$B$7="Rated",Assumptions!$C$31,1))*Assumptions!$C$21)</f>
        <v>0</v>
      </c>
      <c r="D33" s="105">
        <f>IF(B33=0,0,MIN(1,MAX(Assumptions!$C$27,Assumptions!$C$13*Assumptions!$C$28^(A33-1))*Assumptions!$C$22))</f>
        <v>0</v>
      </c>
      <c r="E33" s="106">
        <f>B33*'Premium Calculation'!$B$29</f>
        <v>0</v>
      </c>
      <c r="F33" s="106">
        <f>B33*C33*'Premium Calculation'!$B$9</f>
        <v>0</v>
      </c>
      <c r="G33" s="106">
        <f>B33*C33*'Premium Calculation'!$B$14</f>
        <v>0</v>
      </c>
      <c r="H33" s="101">
        <f t="shared" si="0"/>
        <v>0</v>
      </c>
      <c r="I33" s="106">
        <f>B33*(Assumptions!$C$10*(1+Assumptions!$C$5)^(A33-1)+IF(A33=1,Assumptions!$C$9,0))*Assumptions!$C$23</f>
        <v>0</v>
      </c>
      <c r="J33" s="106">
        <f>E33*(IF(A33=1,'Premium Calculation'!$B$32,Assumptions!$C$12)+Assumptions!$C$24)</f>
        <v>0</v>
      </c>
      <c r="K33" s="106">
        <f>B33*'Premium Calculation'!$B$14*Assumptions!$C$15</f>
        <v>0</v>
      </c>
      <c r="L33" s="101">
        <f t="shared" si="1"/>
        <v>0</v>
      </c>
      <c r="M33" s="117">
        <f>(1+Assumptions!$C$6+Assumptions!$C$25)^(-A33)</f>
        <v>0.35627841060230236</v>
      </c>
      <c r="N33" s="101">
        <f t="shared" si="2"/>
        <v>0</v>
      </c>
      <c r="O33" s="118">
        <f t="shared" si="3"/>
        <v>0</v>
      </c>
      <c r="P33" s="117">
        <f>O33*(IF(A33=1,'Premium Calculation'!$B$32,Assumptions!$C$12)+Assumptions!$C$24)</f>
        <v>0</v>
      </c>
      <c r="Q33" s="101">
        <f t="shared" si="4"/>
        <v>0</v>
      </c>
      <c r="R33" s="118">
        <f t="shared" si="5"/>
        <v>0</v>
      </c>
      <c r="S33" s="118">
        <f t="shared" si="6"/>
        <v>0</v>
      </c>
      <c r="T33" s="118">
        <f t="shared" si="7"/>
        <v>0</v>
      </c>
      <c r="U33" s="119">
        <f t="shared" si="8"/>
        <v>0</v>
      </c>
      <c r="V33" s="1"/>
      <c r="W33" s="1"/>
      <c r="X33" s="1"/>
      <c r="Y33" s="1"/>
      <c r="Z33" s="1"/>
    </row>
    <row r="34" spans="1:26" ht="21.75" customHeight="1" x14ac:dyDescent="0.25">
      <c r="A34" s="91">
        <v>31</v>
      </c>
      <c r="B34" s="117">
        <f>IF(A34&lt;='Premium Calculation'!$B$8,R33,0)</f>
        <v>0</v>
      </c>
      <c r="C34" s="105" cm="1">
        <f t="array" ref="C34">IF(B34=0,0,_xlfn.XLOOKUP('Premium Calculation'!$B$4+A34-1,Mortality!$A$4:$A$64,_xlfn.XLOOKUP('Premium Calculation'!$B$5&amp;" "&amp;'Premium Calculation'!$B$6,Mortality!$B$3:$E$3,Mortality!$B$4:$E$64))*IF('Premium Calculation'!$B$7="Preferred",Assumptions!$C$30,IF('Premium Calculation'!$B$7="Rated",Assumptions!$C$31,1))*Assumptions!$C$21)</f>
        <v>0</v>
      </c>
      <c r="D34" s="105">
        <f>IF(B34=0,0,MIN(1,MAX(Assumptions!$C$27,Assumptions!$C$13*Assumptions!$C$28^(A34-1))*Assumptions!$C$22))</f>
        <v>0</v>
      </c>
      <c r="E34" s="106">
        <f>B34*'Premium Calculation'!$B$29</f>
        <v>0</v>
      </c>
      <c r="F34" s="106">
        <f>B34*C34*'Premium Calculation'!$B$9</f>
        <v>0</v>
      </c>
      <c r="G34" s="106">
        <f>B34*C34*'Premium Calculation'!$B$14</f>
        <v>0</v>
      </c>
      <c r="H34" s="101">
        <f t="shared" si="0"/>
        <v>0</v>
      </c>
      <c r="I34" s="106">
        <f>B34*(Assumptions!$C$10*(1+Assumptions!$C$5)^(A34-1)+IF(A34=1,Assumptions!$C$9,0))*Assumptions!$C$23</f>
        <v>0</v>
      </c>
      <c r="J34" s="106">
        <f>E34*(IF(A34=1,'Premium Calculation'!$B$32,Assumptions!$C$12)+Assumptions!$C$24)</f>
        <v>0</v>
      </c>
      <c r="K34" s="106">
        <f>B34*'Premium Calculation'!$B$14*Assumptions!$C$15</f>
        <v>0</v>
      </c>
      <c r="L34" s="101">
        <f t="shared" si="1"/>
        <v>0</v>
      </c>
      <c r="M34" s="117">
        <f>(1+Assumptions!$C$6+Assumptions!$C$25)^(-A34)</f>
        <v>0.34423034840802164</v>
      </c>
      <c r="N34" s="101">
        <f t="shared" si="2"/>
        <v>0</v>
      </c>
      <c r="O34" s="118">
        <f t="shared" si="3"/>
        <v>0</v>
      </c>
      <c r="P34" s="117">
        <f>O34*(IF(A34=1,'Premium Calculation'!$B$32,Assumptions!$C$12)+Assumptions!$C$24)</f>
        <v>0</v>
      </c>
      <c r="Q34" s="101">
        <f t="shared" si="4"/>
        <v>0</v>
      </c>
      <c r="R34" s="118">
        <f t="shared" si="5"/>
        <v>0</v>
      </c>
      <c r="S34" s="118">
        <f t="shared" si="6"/>
        <v>0</v>
      </c>
      <c r="T34" s="118">
        <f t="shared" si="7"/>
        <v>0</v>
      </c>
      <c r="U34" s="119">
        <f t="shared" si="8"/>
        <v>0</v>
      </c>
      <c r="V34" s="1"/>
      <c r="W34" s="1"/>
      <c r="X34" s="1"/>
      <c r="Y34" s="1"/>
      <c r="Z34" s="1"/>
    </row>
    <row r="35" spans="1:26" ht="21.75" customHeight="1" x14ac:dyDescent="0.25">
      <c r="A35" s="91">
        <v>32</v>
      </c>
      <c r="B35" s="117">
        <f>IF(A35&lt;='Premium Calculation'!$B$8,R34,0)</f>
        <v>0</v>
      </c>
      <c r="C35" s="105" cm="1">
        <f t="array" ref="C35">IF(B35=0,0,_xlfn.XLOOKUP('Premium Calculation'!$B$4+A35-1,Mortality!$A$4:$A$64,_xlfn.XLOOKUP('Premium Calculation'!$B$5&amp;" "&amp;'Premium Calculation'!$B$6,Mortality!$B$3:$E$3,Mortality!$B$4:$E$64))*IF('Premium Calculation'!$B$7="Preferred",Assumptions!$C$30,IF('Premium Calculation'!$B$7="Rated",Assumptions!$C$31,1))*Assumptions!$C$21)</f>
        <v>0</v>
      </c>
      <c r="D35" s="105">
        <f>IF(B35=0,0,MIN(1,MAX(Assumptions!$C$27,Assumptions!$C$13*Assumptions!$C$28^(A35-1))*Assumptions!$C$22))</f>
        <v>0</v>
      </c>
      <c r="E35" s="106">
        <f>B35*'Premium Calculation'!$B$29</f>
        <v>0</v>
      </c>
      <c r="F35" s="106">
        <f>B35*C35*'Premium Calculation'!$B$9</f>
        <v>0</v>
      </c>
      <c r="G35" s="106">
        <f>B35*C35*'Premium Calculation'!$B$14</f>
        <v>0</v>
      </c>
      <c r="H35" s="101">
        <f t="shared" si="0"/>
        <v>0</v>
      </c>
      <c r="I35" s="106">
        <f>B35*(Assumptions!$C$10*(1+Assumptions!$C$5)^(A35-1)+IF(A35=1,Assumptions!$C$9,0))*Assumptions!$C$23</f>
        <v>0</v>
      </c>
      <c r="J35" s="106">
        <f>E35*(IF(A35=1,'Premium Calculation'!$B$32,Assumptions!$C$12)+Assumptions!$C$24)</f>
        <v>0</v>
      </c>
      <c r="K35" s="106">
        <f>B35*'Premium Calculation'!$B$14*Assumptions!$C$15</f>
        <v>0</v>
      </c>
      <c r="L35" s="101">
        <f t="shared" si="1"/>
        <v>0</v>
      </c>
      <c r="M35" s="117">
        <f>(1+Assumptions!$C$6+Assumptions!$C$25)^(-A35)</f>
        <v>0.33258970860678427</v>
      </c>
      <c r="N35" s="101">
        <f t="shared" si="2"/>
        <v>0</v>
      </c>
      <c r="O35" s="118">
        <f t="shared" si="3"/>
        <v>0</v>
      </c>
      <c r="P35" s="117">
        <f>O35*(IF(A35=1,'Premium Calculation'!$B$32,Assumptions!$C$12)+Assumptions!$C$24)</f>
        <v>0</v>
      </c>
      <c r="Q35" s="101">
        <f t="shared" si="4"/>
        <v>0</v>
      </c>
      <c r="R35" s="118">
        <f t="shared" si="5"/>
        <v>0</v>
      </c>
      <c r="S35" s="118">
        <f t="shared" si="6"/>
        <v>0</v>
      </c>
      <c r="T35" s="118">
        <f t="shared" si="7"/>
        <v>0</v>
      </c>
      <c r="U35" s="119">
        <f t="shared" si="8"/>
        <v>0</v>
      </c>
      <c r="V35" s="1"/>
      <c r="W35" s="1"/>
      <c r="X35" s="1"/>
      <c r="Y35" s="1"/>
      <c r="Z35" s="1"/>
    </row>
    <row r="36" spans="1:26" ht="21.75" customHeight="1" x14ac:dyDescent="0.25">
      <c r="A36" s="91">
        <v>33</v>
      </c>
      <c r="B36" s="117">
        <f>IF(A36&lt;='Premium Calculation'!$B$8,R35,0)</f>
        <v>0</v>
      </c>
      <c r="C36" s="105" cm="1">
        <f t="array" ref="C36">IF(B36=0,0,_xlfn.XLOOKUP('Premium Calculation'!$B$4+A36-1,Mortality!$A$4:$A$64,_xlfn.XLOOKUP('Premium Calculation'!$B$5&amp;" "&amp;'Premium Calculation'!$B$6,Mortality!$B$3:$E$3,Mortality!$B$4:$E$64))*IF('Premium Calculation'!$B$7="Preferred",Assumptions!$C$30,IF('Premium Calculation'!$B$7="Rated",Assumptions!$C$31,1))*Assumptions!$C$21)</f>
        <v>0</v>
      </c>
      <c r="D36" s="105">
        <f>IF(B36=0,0,MIN(1,MAX(Assumptions!$C$27,Assumptions!$C$13*Assumptions!$C$28^(A36-1))*Assumptions!$C$22))</f>
        <v>0</v>
      </c>
      <c r="E36" s="106">
        <f>B36*'Premium Calculation'!$B$29</f>
        <v>0</v>
      </c>
      <c r="F36" s="106">
        <f>B36*C36*'Premium Calculation'!$B$9</f>
        <v>0</v>
      </c>
      <c r="G36" s="106">
        <f>B36*C36*'Premium Calculation'!$B$14</f>
        <v>0</v>
      </c>
      <c r="H36" s="101">
        <f t="shared" si="0"/>
        <v>0</v>
      </c>
      <c r="I36" s="106">
        <f>B36*(Assumptions!$C$10*(1+Assumptions!$C$5)^(A36-1)+IF(A36=1,Assumptions!$C$9,0))*Assumptions!$C$23</f>
        <v>0</v>
      </c>
      <c r="J36" s="106">
        <f>E36*(IF(A36=1,'Premium Calculation'!$B$32,Assumptions!$C$12)+Assumptions!$C$24)</f>
        <v>0</v>
      </c>
      <c r="K36" s="106">
        <f>B36*'Premium Calculation'!$B$14*Assumptions!$C$15</f>
        <v>0</v>
      </c>
      <c r="L36" s="101">
        <f t="shared" si="1"/>
        <v>0</v>
      </c>
      <c r="M36" s="117">
        <f>(1+Assumptions!$C$6+Assumptions!$C$25)^(-A36)</f>
        <v>0.32134271362974326</v>
      </c>
      <c r="N36" s="101">
        <f t="shared" si="2"/>
        <v>0</v>
      </c>
      <c r="O36" s="118">
        <f t="shared" si="3"/>
        <v>0</v>
      </c>
      <c r="P36" s="117">
        <f>O36*(IF(A36=1,'Premium Calculation'!$B$32,Assumptions!$C$12)+Assumptions!$C$24)</f>
        <v>0</v>
      </c>
      <c r="Q36" s="101">
        <f t="shared" si="4"/>
        <v>0</v>
      </c>
      <c r="R36" s="118">
        <f t="shared" si="5"/>
        <v>0</v>
      </c>
      <c r="S36" s="118">
        <f t="shared" si="6"/>
        <v>0</v>
      </c>
      <c r="T36" s="118">
        <f t="shared" si="7"/>
        <v>0</v>
      </c>
      <c r="U36" s="119">
        <f t="shared" si="8"/>
        <v>0</v>
      </c>
      <c r="V36" s="1"/>
      <c r="W36" s="1"/>
      <c r="X36" s="1"/>
      <c r="Y36" s="1"/>
      <c r="Z36" s="1"/>
    </row>
    <row r="37" spans="1:26" ht="21.75" customHeight="1" x14ac:dyDescent="0.25">
      <c r="A37" s="91">
        <v>34</v>
      </c>
      <c r="B37" s="117">
        <f>IF(A37&lt;='Premium Calculation'!$B$8,R36,0)</f>
        <v>0</v>
      </c>
      <c r="C37" s="105" cm="1">
        <f t="array" ref="C37">IF(B37=0,0,_xlfn.XLOOKUP('Premium Calculation'!$B$4+A37-1,Mortality!$A$4:$A$64,_xlfn.XLOOKUP('Premium Calculation'!$B$5&amp;" "&amp;'Premium Calculation'!$B$6,Mortality!$B$3:$E$3,Mortality!$B$4:$E$64))*IF('Premium Calculation'!$B$7="Preferred",Assumptions!$C$30,IF('Premium Calculation'!$B$7="Rated",Assumptions!$C$31,1))*Assumptions!$C$21)</f>
        <v>0</v>
      </c>
      <c r="D37" s="105">
        <f>IF(B37=0,0,MIN(1,MAX(Assumptions!$C$27,Assumptions!$C$13*Assumptions!$C$28^(A37-1))*Assumptions!$C$22))</f>
        <v>0</v>
      </c>
      <c r="E37" s="106">
        <f>B37*'Premium Calculation'!$B$29</f>
        <v>0</v>
      </c>
      <c r="F37" s="106">
        <f>B37*C37*'Premium Calculation'!$B$9</f>
        <v>0</v>
      </c>
      <c r="G37" s="106">
        <f>B37*C37*'Premium Calculation'!$B$14</f>
        <v>0</v>
      </c>
      <c r="H37" s="101">
        <f t="shared" si="0"/>
        <v>0</v>
      </c>
      <c r="I37" s="106">
        <f>B37*(Assumptions!$C$10*(1+Assumptions!$C$5)^(A37-1)+IF(A37=1,Assumptions!$C$9,0))*Assumptions!$C$23</f>
        <v>0</v>
      </c>
      <c r="J37" s="106">
        <f>E37*(IF(A37=1,'Premium Calculation'!$B$32,Assumptions!$C$12)+Assumptions!$C$24)</f>
        <v>0</v>
      </c>
      <c r="K37" s="106">
        <f>B37*'Premium Calculation'!$B$14*Assumptions!$C$15</f>
        <v>0</v>
      </c>
      <c r="L37" s="101">
        <f t="shared" si="1"/>
        <v>0</v>
      </c>
      <c r="M37" s="117">
        <f>(1+Assumptions!$C$6+Assumptions!$C$25)^(-A37)</f>
        <v>0.3104760518161771</v>
      </c>
      <c r="N37" s="101">
        <f t="shared" si="2"/>
        <v>0</v>
      </c>
      <c r="O37" s="118">
        <f t="shared" si="3"/>
        <v>0</v>
      </c>
      <c r="P37" s="117">
        <f>O37*(IF(A37=1,'Premium Calculation'!$B$32,Assumptions!$C$12)+Assumptions!$C$24)</f>
        <v>0</v>
      </c>
      <c r="Q37" s="101">
        <f t="shared" si="4"/>
        <v>0</v>
      </c>
      <c r="R37" s="118">
        <f t="shared" si="5"/>
        <v>0</v>
      </c>
      <c r="S37" s="118">
        <f t="shared" si="6"/>
        <v>0</v>
      </c>
      <c r="T37" s="118">
        <f t="shared" si="7"/>
        <v>0</v>
      </c>
      <c r="U37" s="119">
        <f t="shared" si="8"/>
        <v>0</v>
      </c>
      <c r="V37" s="1"/>
      <c r="W37" s="1"/>
      <c r="X37" s="1"/>
      <c r="Y37" s="1"/>
      <c r="Z37" s="1"/>
    </row>
    <row r="38" spans="1:26" ht="21.75" customHeight="1" x14ac:dyDescent="0.25">
      <c r="A38" s="91">
        <v>35</v>
      </c>
      <c r="B38" s="117">
        <f>IF(A38&lt;='Premium Calculation'!$B$8,R37,0)</f>
        <v>0</v>
      </c>
      <c r="C38" s="105" cm="1">
        <f t="array" ref="C38">IF(B38=0,0,_xlfn.XLOOKUP('Premium Calculation'!$B$4+A38-1,Mortality!$A$4:$A$64,_xlfn.XLOOKUP('Premium Calculation'!$B$5&amp;" "&amp;'Premium Calculation'!$B$6,Mortality!$B$3:$E$3,Mortality!$B$4:$E$64))*IF('Premium Calculation'!$B$7="Preferred",Assumptions!$C$30,IF('Premium Calculation'!$B$7="Rated",Assumptions!$C$31,1))*Assumptions!$C$21)</f>
        <v>0</v>
      </c>
      <c r="D38" s="105">
        <f>IF(B38=0,0,MIN(1,MAX(Assumptions!$C$27,Assumptions!$C$13*Assumptions!$C$28^(A38-1))*Assumptions!$C$22))</f>
        <v>0</v>
      </c>
      <c r="E38" s="106">
        <f>B38*'Premium Calculation'!$B$29</f>
        <v>0</v>
      </c>
      <c r="F38" s="106">
        <f>B38*C38*'Premium Calculation'!$B$9</f>
        <v>0</v>
      </c>
      <c r="G38" s="106">
        <f>B38*C38*'Premium Calculation'!$B$14</f>
        <v>0</v>
      </c>
      <c r="H38" s="101">
        <f t="shared" si="0"/>
        <v>0</v>
      </c>
      <c r="I38" s="106">
        <f>B38*(Assumptions!$C$10*(1+Assumptions!$C$5)^(A38-1)+IF(A38=1,Assumptions!$C$9,0))*Assumptions!$C$23</f>
        <v>0</v>
      </c>
      <c r="J38" s="106">
        <f>E38*(IF(A38=1,'Premium Calculation'!$B$32,Assumptions!$C$12)+Assumptions!$C$24)</f>
        <v>0</v>
      </c>
      <c r="K38" s="106">
        <f>B38*'Premium Calculation'!$B$14*Assumptions!$C$15</f>
        <v>0</v>
      </c>
      <c r="L38" s="101">
        <f t="shared" si="1"/>
        <v>0</v>
      </c>
      <c r="M38" s="117">
        <f>(1+Assumptions!$C$6+Assumptions!$C$25)^(-A38)</f>
        <v>0.29997686165814214</v>
      </c>
      <c r="N38" s="101">
        <f t="shared" si="2"/>
        <v>0</v>
      </c>
      <c r="O38" s="118">
        <f t="shared" si="3"/>
        <v>0</v>
      </c>
      <c r="P38" s="117">
        <f>O38*(IF(A38=1,'Premium Calculation'!$B$32,Assumptions!$C$12)+Assumptions!$C$24)</f>
        <v>0</v>
      </c>
      <c r="Q38" s="101">
        <f t="shared" si="4"/>
        <v>0</v>
      </c>
      <c r="R38" s="118">
        <f t="shared" si="5"/>
        <v>0</v>
      </c>
      <c r="S38" s="118">
        <f t="shared" si="6"/>
        <v>0</v>
      </c>
      <c r="T38" s="118">
        <f t="shared" si="7"/>
        <v>0</v>
      </c>
      <c r="U38" s="119">
        <f t="shared" si="8"/>
        <v>0</v>
      </c>
      <c r="V38" s="1"/>
      <c r="W38" s="1"/>
      <c r="X38" s="1"/>
      <c r="Y38" s="1"/>
      <c r="Z38" s="1"/>
    </row>
    <row r="39" spans="1:26" ht="21.75" customHeight="1" x14ac:dyDescent="0.25">
      <c r="A39" s="91">
        <v>36</v>
      </c>
      <c r="B39" s="117">
        <f>IF(A39&lt;='Premium Calculation'!$B$8,R38,0)</f>
        <v>0</v>
      </c>
      <c r="C39" s="105" cm="1">
        <f t="array" ref="C39">IF(B39=0,0,_xlfn.XLOOKUP('Premium Calculation'!$B$4+A39-1,Mortality!$A$4:$A$64,_xlfn.XLOOKUP('Premium Calculation'!$B$5&amp;" "&amp;'Premium Calculation'!$B$6,Mortality!$B$3:$E$3,Mortality!$B$4:$E$64))*IF('Premium Calculation'!$B$7="Preferred",Assumptions!$C$30,IF('Premium Calculation'!$B$7="Rated",Assumptions!$C$31,1))*Assumptions!$C$21)</f>
        <v>0</v>
      </c>
      <c r="D39" s="105">
        <f>IF(B39=0,0,MIN(1,MAX(Assumptions!$C$27,Assumptions!$C$13*Assumptions!$C$28^(A39-1))*Assumptions!$C$22))</f>
        <v>0</v>
      </c>
      <c r="E39" s="106">
        <f>B39*'Premium Calculation'!$B$29</f>
        <v>0</v>
      </c>
      <c r="F39" s="106">
        <f>B39*C39*'Premium Calculation'!$B$9</f>
        <v>0</v>
      </c>
      <c r="G39" s="106">
        <f>B39*C39*'Premium Calculation'!$B$14</f>
        <v>0</v>
      </c>
      <c r="H39" s="101">
        <f t="shared" si="0"/>
        <v>0</v>
      </c>
      <c r="I39" s="106">
        <f>B39*(Assumptions!$C$10*(1+Assumptions!$C$5)^(A39-1)+IF(A39=1,Assumptions!$C$9,0))*Assumptions!$C$23</f>
        <v>0</v>
      </c>
      <c r="J39" s="106">
        <f>E39*(IF(A39=1,'Premium Calculation'!$B$32,Assumptions!$C$12)+Assumptions!$C$24)</f>
        <v>0</v>
      </c>
      <c r="K39" s="106">
        <f>B39*'Premium Calculation'!$B$14*Assumptions!$C$15</f>
        <v>0</v>
      </c>
      <c r="L39" s="101">
        <f t="shared" si="1"/>
        <v>0</v>
      </c>
      <c r="M39" s="117">
        <f>(1+Assumptions!$C$6+Assumptions!$C$25)^(-A39)</f>
        <v>0.28983271657791515</v>
      </c>
      <c r="N39" s="101">
        <f t="shared" si="2"/>
        <v>0</v>
      </c>
      <c r="O39" s="118">
        <f t="shared" si="3"/>
        <v>0</v>
      </c>
      <c r="P39" s="117">
        <f>O39*(IF(A39=1,'Premium Calculation'!$B$32,Assumptions!$C$12)+Assumptions!$C$24)</f>
        <v>0</v>
      </c>
      <c r="Q39" s="101">
        <f t="shared" si="4"/>
        <v>0</v>
      </c>
      <c r="R39" s="118">
        <f t="shared" si="5"/>
        <v>0</v>
      </c>
      <c r="S39" s="118">
        <f t="shared" si="6"/>
        <v>0</v>
      </c>
      <c r="T39" s="118">
        <f t="shared" si="7"/>
        <v>0</v>
      </c>
      <c r="U39" s="119">
        <f t="shared" si="8"/>
        <v>0</v>
      </c>
      <c r="V39" s="1"/>
      <c r="W39" s="1"/>
      <c r="X39" s="1"/>
      <c r="Y39" s="1"/>
      <c r="Z39" s="1"/>
    </row>
    <row r="40" spans="1:26" ht="21.75" customHeight="1" x14ac:dyDescent="0.25">
      <c r="A40" s="91">
        <v>37</v>
      </c>
      <c r="B40" s="117">
        <f>IF(A40&lt;='Premium Calculation'!$B$8,R39,0)</f>
        <v>0</v>
      </c>
      <c r="C40" s="105" cm="1">
        <f t="array" ref="C40">IF(B40=0,0,_xlfn.XLOOKUP('Premium Calculation'!$B$4+A40-1,Mortality!$A$4:$A$64,_xlfn.XLOOKUP('Premium Calculation'!$B$5&amp;" "&amp;'Premium Calculation'!$B$6,Mortality!$B$3:$E$3,Mortality!$B$4:$E$64))*IF('Premium Calculation'!$B$7="Preferred",Assumptions!$C$30,IF('Premium Calculation'!$B$7="Rated",Assumptions!$C$31,1))*Assumptions!$C$21)</f>
        <v>0</v>
      </c>
      <c r="D40" s="105">
        <f>IF(B40=0,0,MIN(1,MAX(Assumptions!$C$27,Assumptions!$C$13*Assumptions!$C$28^(A40-1))*Assumptions!$C$22))</f>
        <v>0</v>
      </c>
      <c r="E40" s="106">
        <f>B40*'Premium Calculation'!$B$29</f>
        <v>0</v>
      </c>
      <c r="F40" s="106">
        <f>B40*C40*'Premium Calculation'!$B$9</f>
        <v>0</v>
      </c>
      <c r="G40" s="106">
        <f>B40*C40*'Premium Calculation'!$B$14</f>
        <v>0</v>
      </c>
      <c r="H40" s="101">
        <f t="shared" si="0"/>
        <v>0</v>
      </c>
      <c r="I40" s="106">
        <f>B40*(Assumptions!$C$10*(1+Assumptions!$C$5)^(A40-1)+IF(A40=1,Assumptions!$C$9,0))*Assumptions!$C$23</f>
        <v>0</v>
      </c>
      <c r="J40" s="106">
        <f>E40*(IF(A40=1,'Premium Calculation'!$B$32,Assumptions!$C$12)+Assumptions!$C$24)</f>
        <v>0</v>
      </c>
      <c r="K40" s="106">
        <f>B40*'Premium Calculation'!$B$14*Assumptions!$C$15</f>
        <v>0</v>
      </c>
      <c r="L40" s="101">
        <f t="shared" si="1"/>
        <v>0</v>
      </c>
      <c r="M40" s="117">
        <f>(1+Assumptions!$C$6+Assumptions!$C$25)^(-A40)</f>
        <v>0.28003161022020789</v>
      </c>
      <c r="N40" s="101">
        <f t="shared" si="2"/>
        <v>0</v>
      </c>
      <c r="O40" s="118">
        <f t="shared" si="3"/>
        <v>0</v>
      </c>
      <c r="P40" s="117">
        <f>O40*(IF(A40=1,'Premium Calculation'!$B$32,Assumptions!$C$12)+Assumptions!$C$24)</f>
        <v>0</v>
      </c>
      <c r="Q40" s="101">
        <f t="shared" si="4"/>
        <v>0</v>
      </c>
      <c r="R40" s="118">
        <f t="shared" si="5"/>
        <v>0</v>
      </c>
      <c r="S40" s="118">
        <f t="shared" si="6"/>
        <v>0</v>
      </c>
      <c r="T40" s="118">
        <f t="shared" si="7"/>
        <v>0</v>
      </c>
      <c r="U40" s="119">
        <f t="shared" si="8"/>
        <v>0</v>
      </c>
      <c r="V40" s="1"/>
      <c r="W40" s="1"/>
      <c r="X40" s="1"/>
      <c r="Y40" s="1"/>
      <c r="Z40" s="1"/>
    </row>
    <row r="41" spans="1:26" ht="21.75" customHeight="1" x14ac:dyDescent="0.25">
      <c r="A41" s="91">
        <v>38</v>
      </c>
      <c r="B41" s="117">
        <f>IF(A41&lt;='Premium Calculation'!$B$8,R40,0)</f>
        <v>0</v>
      </c>
      <c r="C41" s="105" cm="1">
        <f t="array" ref="C41">IF(B41=0,0,_xlfn.XLOOKUP('Premium Calculation'!$B$4+A41-1,Mortality!$A$4:$A$64,_xlfn.XLOOKUP('Premium Calculation'!$B$5&amp;" "&amp;'Premium Calculation'!$B$6,Mortality!$B$3:$E$3,Mortality!$B$4:$E$64))*IF('Premium Calculation'!$B$7="Preferred",Assumptions!$C$30,IF('Premium Calculation'!$B$7="Rated",Assumptions!$C$31,1))*Assumptions!$C$21)</f>
        <v>0</v>
      </c>
      <c r="D41" s="105">
        <f>IF(B41=0,0,MIN(1,MAX(Assumptions!$C$27,Assumptions!$C$13*Assumptions!$C$28^(A41-1))*Assumptions!$C$22))</f>
        <v>0</v>
      </c>
      <c r="E41" s="106">
        <f>B41*'Premium Calculation'!$B$29</f>
        <v>0</v>
      </c>
      <c r="F41" s="106">
        <f>B41*C41*'Premium Calculation'!$B$9</f>
        <v>0</v>
      </c>
      <c r="G41" s="106">
        <f>B41*C41*'Premium Calculation'!$B$14</f>
        <v>0</v>
      </c>
      <c r="H41" s="101">
        <f t="shared" si="0"/>
        <v>0</v>
      </c>
      <c r="I41" s="106">
        <f>B41*(Assumptions!$C$10*(1+Assumptions!$C$5)^(A41-1)+IF(A41=1,Assumptions!$C$9,0))*Assumptions!$C$23</f>
        <v>0</v>
      </c>
      <c r="J41" s="106">
        <f>E41*(IF(A41=1,'Premium Calculation'!$B$32,Assumptions!$C$12)+Assumptions!$C$24)</f>
        <v>0</v>
      </c>
      <c r="K41" s="106">
        <f>B41*'Premium Calculation'!$B$14*Assumptions!$C$15</f>
        <v>0</v>
      </c>
      <c r="L41" s="101">
        <f t="shared" si="1"/>
        <v>0</v>
      </c>
      <c r="M41" s="117">
        <f>(1+Assumptions!$C$6+Assumptions!$C$25)^(-A41)</f>
        <v>0.27056194224174673</v>
      </c>
      <c r="N41" s="101">
        <f t="shared" si="2"/>
        <v>0</v>
      </c>
      <c r="O41" s="118">
        <f t="shared" si="3"/>
        <v>0</v>
      </c>
      <c r="P41" s="117">
        <f>O41*(IF(A41=1,'Premium Calculation'!$B$32,Assumptions!$C$12)+Assumptions!$C$24)</f>
        <v>0</v>
      </c>
      <c r="Q41" s="101">
        <f t="shared" si="4"/>
        <v>0</v>
      </c>
      <c r="R41" s="118">
        <f t="shared" si="5"/>
        <v>0</v>
      </c>
      <c r="S41" s="118">
        <f t="shared" si="6"/>
        <v>0</v>
      </c>
      <c r="T41" s="118">
        <f t="shared" si="7"/>
        <v>0</v>
      </c>
      <c r="U41" s="119">
        <f t="shared" si="8"/>
        <v>0</v>
      </c>
      <c r="V41" s="1"/>
      <c r="W41" s="1"/>
      <c r="X41" s="1"/>
      <c r="Y41" s="1"/>
      <c r="Z41" s="1"/>
    </row>
    <row r="42" spans="1:26" ht="21.75" customHeight="1" x14ac:dyDescent="0.25">
      <c r="A42" s="91">
        <v>39</v>
      </c>
      <c r="B42" s="117">
        <f>IF(A42&lt;='Premium Calculation'!$B$8,R41,0)</f>
        <v>0</v>
      </c>
      <c r="C42" s="105" cm="1">
        <f t="array" ref="C42">IF(B42=0,0,_xlfn.XLOOKUP('Premium Calculation'!$B$4+A42-1,Mortality!$A$4:$A$64,_xlfn.XLOOKUP('Premium Calculation'!$B$5&amp;" "&amp;'Premium Calculation'!$B$6,Mortality!$B$3:$E$3,Mortality!$B$4:$E$64))*IF('Premium Calculation'!$B$7="Preferred",Assumptions!$C$30,IF('Premium Calculation'!$B$7="Rated",Assumptions!$C$31,1))*Assumptions!$C$21)</f>
        <v>0</v>
      </c>
      <c r="D42" s="105">
        <f>IF(B42=0,0,MIN(1,MAX(Assumptions!$C$27,Assumptions!$C$13*Assumptions!$C$28^(A42-1))*Assumptions!$C$22))</f>
        <v>0</v>
      </c>
      <c r="E42" s="106">
        <f>B42*'Premium Calculation'!$B$29</f>
        <v>0</v>
      </c>
      <c r="F42" s="106">
        <f>B42*C42*'Premium Calculation'!$B$9</f>
        <v>0</v>
      </c>
      <c r="G42" s="106">
        <f>B42*C42*'Premium Calculation'!$B$14</f>
        <v>0</v>
      </c>
      <c r="H42" s="101">
        <f t="shared" si="0"/>
        <v>0</v>
      </c>
      <c r="I42" s="106">
        <f>B42*(Assumptions!$C$10*(1+Assumptions!$C$5)^(A42-1)+IF(A42=1,Assumptions!$C$9,0))*Assumptions!$C$23</f>
        <v>0</v>
      </c>
      <c r="J42" s="106">
        <f>E42*(IF(A42=1,'Premium Calculation'!$B$32,Assumptions!$C$12)+Assumptions!$C$24)</f>
        <v>0</v>
      </c>
      <c r="K42" s="106">
        <f>B42*'Premium Calculation'!$B$14*Assumptions!$C$15</f>
        <v>0</v>
      </c>
      <c r="L42" s="101">
        <f t="shared" si="1"/>
        <v>0</v>
      </c>
      <c r="M42" s="117">
        <f>(1+Assumptions!$C$6+Assumptions!$C$25)^(-A42)</f>
        <v>0.26141250458139786</v>
      </c>
      <c r="N42" s="101">
        <f t="shared" si="2"/>
        <v>0</v>
      </c>
      <c r="O42" s="118">
        <f t="shared" si="3"/>
        <v>0</v>
      </c>
      <c r="P42" s="117">
        <f>O42*(IF(A42=1,'Premium Calculation'!$B$32,Assumptions!$C$12)+Assumptions!$C$24)</f>
        <v>0</v>
      </c>
      <c r="Q42" s="101">
        <f t="shared" si="4"/>
        <v>0</v>
      </c>
      <c r="R42" s="118">
        <f t="shared" si="5"/>
        <v>0</v>
      </c>
      <c r="S42" s="118">
        <f t="shared" si="6"/>
        <v>0</v>
      </c>
      <c r="T42" s="118">
        <f t="shared" si="7"/>
        <v>0</v>
      </c>
      <c r="U42" s="119">
        <f t="shared" si="8"/>
        <v>0</v>
      </c>
      <c r="V42" s="1"/>
      <c r="W42" s="1"/>
      <c r="X42" s="1"/>
      <c r="Y42" s="1"/>
      <c r="Z42" s="1"/>
    </row>
    <row r="43" spans="1:26" ht="21.75" customHeight="1" thickBot="1" x14ac:dyDescent="0.3">
      <c r="A43" s="95">
        <v>40</v>
      </c>
      <c r="B43" s="120">
        <f>IF(A43&lt;='Premium Calculation'!$B$8,R42,0)</f>
        <v>0</v>
      </c>
      <c r="C43" s="121" cm="1">
        <f t="array" ref="C43">IF(B43=0,0,_xlfn.XLOOKUP('Premium Calculation'!$B$4+A43-1,Mortality!$A$4:$A$64,_xlfn.XLOOKUP('Premium Calculation'!$B$5&amp;" "&amp;'Premium Calculation'!$B$6,Mortality!$B$3:$E$3,Mortality!$B$4:$E$64))*IF('Premium Calculation'!$B$7="Preferred",Assumptions!$C$30,IF('Premium Calculation'!$B$7="Rated",Assumptions!$C$31,1))*Assumptions!$C$21)</f>
        <v>0</v>
      </c>
      <c r="D43" s="121">
        <f>IF(B43=0,0,MIN(1,MAX(Assumptions!$C$27,Assumptions!$C$13*Assumptions!$C$28^(A43-1))*Assumptions!$C$22))</f>
        <v>0</v>
      </c>
      <c r="E43" s="122">
        <f>B43*'Premium Calculation'!$B$29</f>
        <v>0</v>
      </c>
      <c r="F43" s="122">
        <f>B43*C43*'Premium Calculation'!$B$9</f>
        <v>0</v>
      </c>
      <c r="G43" s="122">
        <f>B43*C43*'Premium Calculation'!$B$14</f>
        <v>0</v>
      </c>
      <c r="H43" s="109">
        <f t="shared" si="0"/>
        <v>0</v>
      </c>
      <c r="I43" s="122">
        <f>B43*(Assumptions!$C$10*(1+Assumptions!$C$5)^(A43-1)+IF(A43=1,Assumptions!$C$9,0))*Assumptions!$C$23</f>
        <v>0</v>
      </c>
      <c r="J43" s="122">
        <f>E43*(IF(A43=1,'Premium Calculation'!$B$32,Assumptions!$C$12)+Assumptions!$C$24)</f>
        <v>0</v>
      </c>
      <c r="K43" s="122">
        <f>B43*'Premium Calculation'!$B$14*Assumptions!$C$15</f>
        <v>0</v>
      </c>
      <c r="L43" s="109">
        <f t="shared" si="1"/>
        <v>0</v>
      </c>
      <c r="M43" s="120">
        <f>(1+Assumptions!$C$6+Assumptions!$C$25)^(-A43)</f>
        <v>0.25257246819458734</v>
      </c>
      <c r="N43" s="109">
        <f t="shared" si="2"/>
        <v>0</v>
      </c>
      <c r="O43" s="123">
        <f t="shared" si="3"/>
        <v>0</v>
      </c>
      <c r="P43" s="120">
        <f>O43*(IF(A43=1,'Premium Calculation'!$B$32,Assumptions!$C$12)+Assumptions!$C$24)</f>
        <v>0</v>
      </c>
      <c r="Q43" s="109">
        <f t="shared" si="4"/>
        <v>0</v>
      </c>
      <c r="R43" s="123">
        <f t="shared" si="5"/>
        <v>0</v>
      </c>
      <c r="S43" s="123">
        <f t="shared" si="6"/>
        <v>0</v>
      </c>
      <c r="T43" s="123">
        <f t="shared" si="7"/>
        <v>0</v>
      </c>
      <c r="U43" s="124">
        <f t="shared" si="8"/>
        <v>0</v>
      </c>
      <c r="V43" s="1"/>
      <c r="W43" s="1"/>
      <c r="X43" s="1"/>
      <c r="Y43" s="1"/>
      <c r="Z43" s="1"/>
    </row>
    <row r="44" spans="1:26" ht="21.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1.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1.75" customHeight="1" x14ac:dyDescent="0.25">
      <c r="A46" s="474" t="s">
        <v>691</v>
      </c>
      <c r="B46" s="474"/>
      <c r="C46" s="474"/>
      <c r="D46" s="474"/>
      <c r="E46" s="474"/>
      <c r="F46" s="474"/>
      <c r="G46" s="474"/>
      <c r="H46" s="474"/>
      <c r="I46" s="474"/>
      <c r="J46" s="474"/>
      <c r="K46" s="474"/>
      <c r="L46" s="474"/>
      <c r="M46" s="474"/>
      <c r="N46" s="474"/>
      <c r="O46" s="474"/>
      <c r="P46" s="474"/>
      <c r="Q46" s="474"/>
      <c r="R46" s="474"/>
      <c r="S46" s="474"/>
      <c r="T46" s="474"/>
      <c r="U46" s="474"/>
      <c r="V46" s="1"/>
      <c r="W46" s="1"/>
      <c r="X46" s="1"/>
      <c r="Y46" s="1"/>
      <c r="Z46" s="1"/>
    </row>
    <row r="47" spans="1:26" ht="21.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1">
    <mergeCell ref="A46:U4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D60"/>
  <sheetViews>
    <sheetView zoomScaleNormal="100" workbookViewId="0">
      <selection activeCell="A15" sqref="A15:H15"/>
    </sheetView>
  </sheetViews>
  <sheetFormatPr defaultColWidth="8.6328125" defaultRowHeight="13" x14ac:dyDescent="0.3"/>
  <cols>
    <col min="1" max="6" width="22" style="5" customWidth="1"/>
    <col min="7" max="16384" width="8.6328125" style="5"/>
  </cols>
  <sheetData>
    <row r="1" spans="1:134" ht="28" customHeight="1" x14ac:dyDescent="0.3">
      <c r="A1" s="472" t="s">
        <v>538</v>
      </c>
      <c r="B1" s="472"/>
      <c r="C1" s="472"/>
      <c r="D1" s="472"/>
      <c r="E1" s="472"/>
      <c r="F1" s="472"/>
      <c r="G1" s="23"/>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13.5" thickBot="1" x14ac:dyDescent="0.35">
      <c r="A2" s="64"/>
      <c r="B2" s="64"/>
      <c r="C2" s="64"/>
      <c r="D2" s="64"/>
      <c r="E2" s="64"/>
      <c r="F2" s="64"/>
      <c r="G2" s="64"/>
      <c r="H2" s="64"/>
      <c r="I2" s="64"/>
      <c r="J2" s="64"/>
      <c r="K2" s="64"/>
      <c r="L2" s="64"/>
      <c r="M2" s="64"/>
      <c r="N2" s="64"/>
      <c r="O2" s="64"/>
      <c r="P2" s="64"/>
      <c r="Q2" s="64"/>
      <c r="R2" s="64"/>
      <c r="S2" s="64"/>
      <c r="T2" s="64"/>
      <c r="U2" s="64"/>
      <c r="V2" s="64"/>
      <c r="W2" s="64"/>
      <c r="X2" s="64"/>
      <c r="Y2" s="64"/>
      <c r="Z2" s="64"/>
    </row>
    <row r="3" spans="1:134" ht="13.5" thickBot="1" x14ac:dyDescent="0.35">
      <c r="A3" s="77" t="s">
        <v>202</v>
      </c>
      <c r="B3" s="78" t="s">
        <v>341</v>
      </c>
      <c r="C3" s="78" t="s">
        <v>342</v>
      </c>
      <c r="D3" s="78" t="s">
        <v>343</v>
      </c>
      <c r="E3" s="78" t="s">
        <v>214</v>
      </c>
      <c r="F3" s="79" t="s">
        <v>309</v>
      </c>
      <c r="G3" s="64"/>
      <c r="H3" s="64"/>
      <c r="I3" s="64"/>
      <c r="J3" s="64"/>
      <c r="K3" s="64"/>
      <c r="L3" s="64"/>
      <c r="M3" s="64"/>
      <c r="N3" s="64"/>
      <c r="O3" s="64"/>
      <c r="P3" s="64"/>
      <c r="Q3" s="64"/>
      <c r="R3" s="64"/>
      <c r="S3" s="64"/>
      <c r="T3" s="64"/>
      <c r="U3" s="64"/>
      <c r="V3" s="64"/>
      <c r="W3" s="64"/>
      <c r="X3" s="64"/>
      <c r="Y3" s="64"/>
      <c r="Z3" s="64"/>
    </row>
    <row r="4" spans="1:134" ht="26" x14ac:dyDescent="0.3">
      <c r="A4" s="83" t="s">
        <v>32</v>
      </c>
      <c r="B4" s="125">
        <f>'Premium Calculation'!B9</f>
        <v>100000</v>
      </c>
      <c r="C4" s="125">
        <f>'Premium Calculation'!B14</f>
        <v>0</v>
      </c>
      <c r="D4" s="126">
        <f>B4-C4</f>
        <v>100000</v>
      </c>
      <c r="E4" s="64" t="s">
        <v>229</v>
      </c>
      <c r="F4" s="70" t="s">
        <v>692</v>
      </c>
      <c r="G4" s="64"/>
      <c r="H4" s="64"/>
      <c r="I4" s="64"/>
      <c r="J4" s="64"/>
      <c r="K4" s="64"/>
      <c r="L4" s="64"/>
      <c r="M4" s="64"/>
      <c r="N4" s="64"/>
      <c r="O4" s="64"/>
      <c r="P4" s="64"/>
      <c r="Q4" s="64"/>
      <c r="R4" s="64"/>
      <c r="S4" s="64"/>
      <c r="T4" s="64"/>
      <c r="U4" s="64"/>
      <c r="V4" s="64"/>
      <c r="W4" s="64"/>
      <c r="X4" s="64"/>
      <c r="Y4" s="64"/>
      <c r="Z4" s="64"/>
    </row>
    <row r="5" spans="1:134" ht="26" x14ac:dyDescent="0.3">
      <c r="A5" s="83" t="s">
        <v>344</v>
      </c>
      <c r="B5" s="125">
        <f>Cashflows!F4</f>
        <v>42.269093494277527</v>
      </c>
      <c r="C5" s="125">
        <f>Cashflows!G4</f>
        <v>0</v>
      </c>
      <c r="D5" s="125">
        <f>Cashflows!H4</f>
        <v>42.269093494277527</v>
      </c>
      <c r="E5" s="64" t="s">
        <v>229</v>
      </c>
      <c r="F5" s="70" t="s">
        <v>693</v>
      </c>
      <c r="G5" s="64"/>
      <c r="H5" s="64"/>
      <c r="I5" s="64"/>
      <c r="J5" s="64"/>
      <c r="K5" s="64"/>
      <c r="L5" s="64"/>
      <c r="M5" s="64"/>
      <c r="N5" s="64"/>
      <c r="O5" s="64"/>
      <c r="P5" s="64"/>
      <c r="Q5" s="64"/>
      <c r="R5" s="64"/>
      <c r="S5" s="64"/>
      <c r="T5" s="64"/>
      <c r="U5" s="64"/>
      <c r="V5" s="64"/>
      <c r="W5" s="64"/>
      <c r="X5" s="64"/>
      <c r="Y5" s="64"/>
      <c r="Z5" s="64"/>
    </row>
    <row r="6" spans="1:134" ht="26" x14ac:dyDescent="0.3">
      <c r="A6" s="83" t="s">
        <v>664</v>
      </c>
      <c r="B6" s="127" t="s">
        <v>345</v>
      </c>
      <c r="C6" s="125">
        <f>Cashflows!K4</f>
        <v>0</v>
      </c>
      <c r="D6" s="126">
        <f>-C6</f>
        <v>0</v>
      </c>
      <c r="E6" s="64" t="s">
        <v>229</v>
      </c>
      <c r="F6" s="70" t="s">
        <v>346</v>
      </c>
      <c r="G6" s="64"/>
      <c r="H6" s="64"/>
      <c r="I6" s="64"/>
      <c r="J6" s="64"/>
      <c r="K6" s="64"/>
      <c r="L6" s="64"/>
      <c r="M6" s="64"/>
      <c r="N6" s="64"/>
      <c r="O6" s="64"/>
      <c r="P6" s="64"/>
      <c r="Q6" s="64"/>
      <c r="R6" s="64"/>
      <c r="S6" s="64"/>
      <c r="T6" s="64"/>
      <c r="U6" s="64"/>
      <c r="V6" s="64"/>
      <c r="W6" s="64"/>
      <c r="X6" s="64"/>
      <c r="Y6" s="64"/>
      <c r="Z6" s="64"/>
    </row>
    <row r="7" spans="1:134" ht="26" x14ac:dyDescent="0.3">
      <c r="A7" s="83" t="s">
        <v>694</v>
      </c>
      <c r="B7" s="125">
        <f>Cashflows!F4</f>
        <v>42.269093494277527</v>
      </c>
      <c r="C7" s="125">
        <f>Cashflows!G4-Cashflows!K4</f>
        <v>0</v>
      </c>
      <c r="D7" s="126">
        <f>B7-C7</f>
        <v>42.269093494277527</v>
      </c>
      <c r="E7" s="64" t="s">
        <v>229</v>
      </c>
      <c r="F7" s="70" t="s">
        <v>695</v>
      </c>
      <c r="G7" s="64"/>
      <c r="H7" s="64"/>
      <c r="I7" s="64"/>
      <c r="J7" s="64"/>
      <c r="K7" s="64"/>
      <c r="L7" s="64"/>
      <c r="M7" s="64"/>
      <c r="N7" s="64"/>
      <c r="O7" s="64"/>
      <c r="P7" s="64"/>
      <c r="Q7" s="64"/>
      <c r="R7" s="64"/>
      <c r="S7" s="64"/>
      <c r="T7" s="64"/>
      <c r="U7" s="64"/>
      <c r="V7" s="64"/>
      <c r="W7" s="64"/>
      <c r="X7" s="64"/>
      <c r="Y7" s="64"/>
      <c r="Z7" s="64"/>
    </row>
    <row r="8" spans="1:134" x14ac:dyDescent="0.3">
      <c r="A8" s="83"/>
      <c r="B8" s="127"/>
      <c r="C8" s="127"/>
      <c r="D8" s="127"/>
      <c r="E8" s="64"/>
      <c r="F8" s="70"/>
      <c r="G8" s="64"/>
      <c r="H8" s="64"/>
      <c r="I8" s="64"/>
      <c r="J8" s="64"/>
      <c r="K8" s="64"/>
      <c r="L8" s="64"/>
      <c r="M8" s="64"/>
      <c r="N8" s="64"/>
      <c r="O8" s="64"/>
      <c r="P8" s="64"/>
      <c r="Q8" s="64"/>
      <c r="R8" s="64"/>
      <c r="S8" s="64"/>
      <c r="T8" s="64"/>
      <c r="U8" s="64"/>
      <c r="V8" s="64"/>
      <c r="W8" s="64"/>
      <c r="X8" s="64"/>
      <c r="Y8" s="64"/>
      <c r="Z8" s="64"/>
    </row>
    <row r="9" spans="1:134" ht="26" x14ac:dyDescent="0.3">
      <c r="A9" s="83" t="s">
        <v>696</v>
      </c>
      <c r="B9" s="125">
        <f>SUMPRODUCT(Cashflows!G4:G43,Cashflows!M4:M43)</f>
        <v>0</v>
      </c>
      <c r="C9" s="127"/>
      <c r="D9" s="127"/>
      <c r="E9" s="64"/>
      <c r="F9" s="70"/>
      <c r="G9" s="64"/>
      <c r="H9" s="64"/>
      <c r="I9" s="64"/>
      <c r="J9" s="64"/>
      <c r="K9" s="64"/>
      <c r="L9" s="64"/>
      <c r="M9" s="64"/>
      <c r="N9" s="64"/>
      <c r="O9" s="64"/>
      <c r="P9" s="64"/>
      <c r="Q9" s="64"/>
      <c r="R9" s="64"/>
      <c r="S9" s="64"/>
      <c r="T9" s="64"/>
      <c r="U9" s="64"/>
      <c r="V9" s="64"/>
      <c r="W9" s="64"/>
      <c r="X9" s="64"/>
      <c r="Y9" s="64"/>
      <c r="Z9" s="64"/>
    </row>
    <row r="10" spans="1:134" ht="26" x14ac:dyDescent="0.3">
      <c r="A10" s="83" t="s">
        <v>697</v>
      </c>
      <c r="B10" s="125">
        <f>SUMPRODUCT(Cashflows!K4:K43,Cashflows!M4:M43)</f>
        <v>0</v>
      </c>
      <c r="C10" s="127"/>
      <c r="D10" s="127"/>
      <c r="E10" s="64"/>
      <c r="F10" s="70"/>
      <c r="G10" s="64"/>
      <c r="H10" s="64"/>
      <c r="I10" s="64"/>
      <c r="J10" s="64"/>
      <c r="K10" s="64"/>
      <c r="L10" s="64"/>
      <c r="M10" s="64"/>
      <c r="N10" s="64"/>
      <c r="O10" s="64"/>
      <c r="P10" s="64"/>
      <c r="Q10" s="64"/>
      <c r="R10" s="64"/>
      <c r="S10" s="64"/>
      <c r="T10" s="64"/>
      <c r="U10" s="64"/>
      <c r="V10" s="64"/>
      <c r="W10" s="64"/>
      <c r="X10" s="64"/>
      <c r="Y10" s="64"/>
      <c r="Z10" s="64"/>
    </row>
    <row r="11" spans="1:134" ht="26" x14ac:dyDescent="0.3">
      <c r="A11" s="83" t="s">
        <v>38</v>
      </c>
      <c r="B11" s="126">
        <f>B9-B10</f>
        <v>0</v>
      </c>
      <c r="C11" s="127"/>
      <c r="D11" s="127"/>
      <c r="E11" s="64"/>
      <c r="F11" s="70"/>
      <c r="G11" s="64"/>
      <c r="H11" s="64"/>
      <c r="I11" s="64"/>
      <c r="J11" s="64"/>
      <c r="K11" s="64"/>
      <c r="L11" s="64"/>
      <c r="M11" s="64"/>
      <c r="N11" s="64"/>
      <c r="O11" s="64"/>
      <c r="P11" s="64"/>
      <c r="Q11" s="64"/>
      <c r="R11" s="64"/>
      <c r="S11" s="64"/>
      <c r="T11" s="64"/>
      <c r="U11" s="64"/>
      <c r="V11" s="64"/>
      <c r="W11" s="64"/>
      <c r="X11" s="64"/>
      <c r="Y11" s="64"/>
      <c r="Z11" s="64"/>
    </row>
    <row r="12" spans="1:134" ht="26.5" thickBot="1" x14ac:dyDescent="0.35">
      <c r="A12" s="84" t="s">
        <v>39</v>
      </c>
      <c r="B12" s="128">
        <f>'Profit Testing'!B7-B11</f>
        <v>344.85010931984226</v>
      </c>
      <c r="C12" s="129"/>
      <c r="D12" s="129"/>
      <c r="E12" s="74"/>
      <c r="F12" s="76"/>
      <c r="G12" s="64"/>
      <c r="H12" s="64"/>
      <c r="I12" s="64"/>
      <c r="J12" s="64"/>
      <c r="K12" s="64"/>
      <c r="L12" s="64"/>
      <c r="M12" s="64"/>
      <c r="N12" s="64"/>
      <c r="O12" s="64"/>
      <c r="P12" s="64"/>
      <c r="Q12" s="64"/>
      <c r="R12" s="64"/>
      <c r="S12" s="64"/>
      <c r="T12" s="64"/>
      <c r="U12" s="64"/>
      <c r="V12" s="64"/>
      <c r="W12" s="64"/>
      <c r="X12" s="64"/>
      <c r="Y12" s="64"/>
      <c r="Z12" s="64"/>
    </row>
    <row r="13" spans="1:134" x14ac:dyDescent="0.3">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spans="1:134" x14ac:dyDescent="0.3">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spans="1:134" ht="15" customHeight="1" x14ac:dyDescent="0.3">
      <c r="A15" s="475" t="s">
        <v>698</v>
      </c>
      <c r="B15" s="475"/>
      <c r="C15" s="475"/>
      <c r="D15" s="475"/>
      <c r="E15" s="475"/>
      <c r="F15" s="475"/>
      <c r="G15" s="475"/>
      <c r="H15" s="475"/>
      <c r="I15" s="64"/>
      <c r="J15" s="64"/>
      <c r="K15" s="64"/>
      <c r="L15" s="64"/>
      <c r="M15" s="64"/>
      <c r="N15" s="64"/>
      <c r="O15" s="64"/>
      <c r="P15" s="64"/>
      <c r="Q15" s="64"/>
      <c r="R15" s="64"/>
      <c r="S15" s="64"/>
      <c r="T15" s="64"/>
      <c r="U15" s="64"/>
      <c r="V15" s="64"/>
      <c r="W15" s="64"/>
      <c r="X15" s="64"/>
      <c r="Y15" s="64"/>
      <c r="Z15" s="64"/>
    </row>
    <row r="16" spans="1:134" x14ac:dyDescent="0.3">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spans="1:26" x14ac:dyDescent="0.3">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spans="1:26" x14ac:dyDescent="0.3">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x14ac:dyDescent="0.3">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x14ac:dyDescent="0.3">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spans="1:26" x14ac:dyDescent="0.3">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spans="1:26" x14ac:dyDescent="0.3">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spans="1:26" x14ac:dyDescent="0.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spans="1:26" x14ac:dyDescent="0.3">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spans="1:26" x14ac:dyDescent="0.3">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spans="1:26" x14ac:dyDescent="0.3">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spans="1:26" x14ac:dyDescent="0.3">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spans="1:26" x14ac:dyDescent="0.3">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spans="1:26" x14ac:dyDescent="0.3">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spans="1:26" x14ac:dyDescent="0.3">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spans="1:26" x14ac:dyDescent="0.3">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spans="1:26" x14ac:dyDescent="0.3">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spans="1:26" x14ac:dyDescent="0.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spans="1:26" x14ac:dyDescent="0.3">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spans="1:26" x14ac:dyDescent="0.3">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spans="1:26" x14ac:dyDescent="0.3">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x14ac:dyDescent="0.3">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spans="1:26" x14ac:dyDescent="0.3">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spans="1:26" x14ac:dyDescent="0.3">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spans="1:26" x14ac:dyDescent="0.3">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spans="1:26" x14ac:dyDescent="0.3">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spans="1:26" x14ac:dyDescent="0.3">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x14ac:dyDescent="0.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x14ac:dyDescent="0.3">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x14ac:dyDescent="0.3">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spans="1:26" x14ac:dyDescent="0.3">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spans="1:26" x14ac:dyDescent="0.3">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spans="1:26" x14ac:dyDescent="0.3">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spans="1:26" x14ac:dyDescent="0.3">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spans="1:26" x14ac:dyDescent="0.3">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x14ac:dyDescent="0.3">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x14ac:dyDescent="0.3">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spans="1:26" x14ac:dyDescent="0.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spans="1:26" x14ac:dyDescent="0.3">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spans="1:26" x14ac:dyDescent="0.3">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spans="1:26" x14ac:dyDescent="0.3">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spans="1:26" x14ac:dyDescent="0.3">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x14ac:dyDescent="0.3">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spans="1:26" x14ac:dyDescent="0.3">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1:26" x14ac:dyDescent="0.3">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sheetData>
  <mergeCells count="2">
    <mergeCell ref="A1:F1"/>
    <mergeCell ref="A15:H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D72"/>
  <sheetViews>
    <sheetView zoomScaleNormal="100" workbookViewId="0">
      <selection activeCell="C23" sqref="C23"/>
    </sheetView>
  </sheetViews>
  <sheetFormatPr defaultColWidth="8.6328125" defaultRowHeight="13" x14ac:dyDescent="0.3"/>
  <cols>
    <col min="1" max="1" width="32" style="5" customWidth="1"/>
    <col min="2" max="3" width="18" style="5" customWidth="1"/>
    <col min="4" max="4" width="43" style="5" customWidth="1"/>
    <col min="5" max="6" width="18" style="5" customWidth="1"/>
    <col min="7" max="7" width="27" style="5" customWidth="1"/>
    <col min="8" max="8" width="20" style="5" customWidth="1"/>
    <col min="9" max="16384" width="8.6328125" style="5"/>
  </cols>
  <sheetData>
    <row r="1" spans="1:134" ht="28" customHeight="1" x14ac:dyDescent="0.3">
      <c r="A1" s="472" t="s">
        <v>539</v>
      </c>
      <c r="B1" s="472"/>
      <c r="C1" s="472"/>
      <c r="D1" s="472"/>
      <c r="E1" s="472"/>
      <c r="F1" s="472"/>
      <c r="G1" s="472"/>
      <c r="H1" s="472"/>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21.75" customHeight="1" thickBo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row>
    <row r="3" spans="1:134" ht="30" customHeight="1" thickBot="1" x14ac:dyDescent="0.35">
      <c r="A3" s="77" t="s">
        <v>202</v>
      </c>
      <c r="B3" s="78" t="s">
        <v>41</v>
      </c>
      <c r="C3" s="78" t="s">
        <v>214</v>
      </c>
      <c r="D3" s="79" t="s">
        <v>42</v>
      </c>
      <c r="E3" s="26"/>
      <c r="F3" s="65" t="s">
        <v>310</v>
      </c>
      <c r="G3" s="66" t="s">
        <v>540</v>
      </c>
      <c r="H3" s="67" t="s">
        <v>706</v>
      </c>
      <c r="I3" s="26"/>
      <c r="J3" s="26"/>
      <c r="K3" s="26"/>
      <c r="L3" s="26"/>
      <c r="M3" s="26"/>
      <c r="N3" s="26"/>
      <c r="O3" s="26"/>
      <c r="P3" s="26"/>
      <c r="Q3" s="26"/>
      <c r="R3" s="26"/>
      <c r="S3" s="26"/>
      <c r="T3" s="26"/>
      <c r="U3" s="26"/>
      <c r="V3" s="26"/>
      <c r="W3" s="26"/>
      <c r="X3" s="26"/>
      <c r="Y3" s="26"/>
      <c r="Z3" s="26"/>
    </row>
    <row r="4" spans="1:134" ht="21.75" customHeight="1" x14ac:dyDescent="0.3">
      <c r="A4" s="139" t="s">
        <v>46</v>
      </c>
      <c r="B4" s="134">
        <f>SUMPRODUCT(Cashflows!E4:E43,Cashflows!M4:M43)</f>
        <v>3296.2305542610648</v>
      </c>
      <c r="C4" s="114" t="s">
        <v>229</v>
      </c>
      <c r="D4" s="115" t="s">
        <v>699</v>
      </c>
      <c r="E4" s="26"/>
      <c r="F4" s="112">
        <v>1</v>
      </c>
      <c r="G4" s="134">
        <f>SUM(Cashflows!$N$4:N4)</f>
        <v>-688.22707876602715</v>
      </c>
      <c r="H4" s="136" t="str">
        <f>IF(AND(F4&lt;='Premium Calculation'!$B$8,G4&gt;=0),"Yes","No")</f>
        <v>No</v>
      </c>
      <c r="I4" s="26"/>
      <c r="J4" s="26"/>
      <c r="K4" s="26"/>
      <c r="L4" s="26"/>
      <c r="M4" s="26"/>
      <c r="N4" s="26"/>
      <c r="O4" s="26"/>
      <c r="P4" s="26"/>
      <c r="Q4" s="26"/>
      <c r="R4" s="26"/>
      <c r="S4" s="26"/>
      <c r="T4" s="26"/>
      <c r="U4" s="26"/>
      <c r="V4" s="26"/>
      <c r="W4" s="26"/>
      <c r="X4" s="26"/>
      <c r="Y4" s="26"/>
      <c r="Z4" s="26"/>
    </row>
    <row r="5" spans="1:134" ht="21.75" customHeight="1" x14ac:dyDescent="0.3">
      <c r="A5" s="140" t="s">
        <v>347</v>
      </c>
      <c r="B5" s="106">
        <f>SUMPRODUCT(Cashflows!H4:H43,Cashflows!M4:M43)</f>
        <v>339.89780815334166</v>
      </c>
      <c r="C5" s="26" t="s">
        <v>229</v>
      </c>
      <c r="D5" s="103" t="s">
        <v>700</v>
      </c>
      <c r="E5" s="26"/>
      <c r="F5" s="91">
        <v>2</v>
      </c>
      <c r="G5" s="106">
        <f>SUM(Cashflows!$N$4:N5)</f>
        <v>-474.95108769467379</v>
      </c>
      <c r="H5" s="137" t="str">
        <f>IF(AND(F5&lt;='Premium Calculation'!$B$8,G5&gt;=0),"Yes","No")</f>
        <v>No</v>
      </c>
      <c r="I5" s="26"/>
      <c r="J5" s="26"/>
      <c r="K5" s="26"/>
      <c r="L5" s="26"/>
      <c r="M5" s="26"/>
      <c r="N5" s="26"/>
      <c r="O5" s="26"/>
      <c r="P5" s="26"/>
      <c r="Q5" s="26"/>
      <c r="R5" s="26"/>
      <c r="S5" s="26"/>
      <c r="T5" s="26"/>
      <c r="U5" s="26"/>
      <c r="V5" s="26"/>
      <c r="W5" s="26"/>
      <c r="X5" s="26"/>
      <c r="Y5" s="26"/>
      <c r="Z5" s="26"/>
    </row>
    <row r="6" spans="1:134" ht="21.75" customHeight="1" x14ac:dyDescent="0.3">
      <c r="A6" s="140" t="s">
        <v>348</v>
      </c>
      <c r="B6" s="106">
        <f>SUMPRODUCT(Cashflows!I4:I43,Cashflows!M4:M43)+SUMPRODUCT(Cashflows!J4:J43,Cashflows!M4:M43)+SUMPRODUCT(Cashflows!K4:K43,Cashflows!M4:M43)</f>
        <v>2611.4826367878823</v>
      </c>
      <c r="C6" s="26" t="s">
        <v>229</v>
      </c>
      <c r="D6" s="103" t="s">
        <v>701</v>
      </c>
      <c r="E6" s="26"/>
      <c r="F6" s="91">
        <v>3</v>
      </c>
      <c r="G6" s="106">
        <f>SUM(Cashflows!$N$4:N6)</f>
        <v>-299.22372997868735</v>
      </c>
      <c r="H6" s="137" t="str">
        <f>IF(AND(F6&lt;='Premium Calculation'!$B$8,G6&gt;=0),"Yes","No")</f>
        <v>No</v>
      </c>
      <c r="I6" s="26"/>
      <c r="J6" s="26"/>
      <c r="K6" s="26"/>
      <c r="L6" s="26"/>
      <c r="M6" s="26"/>
      <c r="N6" s="26"/>
      <c r="O6" s="26"/>
      <c r="P6" s="26"/>
      <c r="Q6" s="26"/>
      <c r="R6" s="26"/>
      <c r="S6" s="26"/>
      <c r="T6" s="26"/>
      <c r="U6" s="26"/>
      <c r="V6" s="26"/>
      <c r="W6" s="26"/>
      <c r="X6" s="26"/>
      <c r="Y6" s="26"/>
      <c r="Z6" s="26"/>
    </row>
    <row r="7" spans="1:134" ht="28" customHeight="1" x14ac:dyDescent="0.3">
      <c r="A7" s="140" t="s">
        <v>47</v>
      </c>
      <c r="B7" s="106">
        <f>SUM(Cashflows!N4:N43)</f>
        <v>344.85010931984226</v>
      </c>
      <c r="C7" s="26" t="s">
        <v>229</v>
      </c>
      <c r="D7" s="70" t="s">
        <v>702</v>
      </c>
      <c r="E7" s="26"/>
      <c r="F7" s="91">
        <v>4</v>
      </c>
      <c r="G7" s="106">
        <f>SUM(Cashflows!$N$4:N7)</f>
        <v>-152.80898055080547</v>
      </c>
      <c r="H7" s="137" t="str">
        <f>IF(AND(F7&lt;='Premium Calculation'!$B$8,G7&gt;=0),"Yes","No")</f>
        <v>No</v>
      </c>
      <c r="I7" s="26"/>
      <c r="J7" s="26"/>
      <c r="K7" s="26"/>
      <c r="L7" s="26"/>
      <c r="M7" s="26"/>
      <c r="N7" s="26"/>
      <c r="O7" s="26"/>
      <c r="P7" s="26"/>
      <c r="Q7" s="26"/>
      <c r="R7" s="26"/>
      <c r="S7" s="26"/>
      <c r="T7" s="26"/>
      <c r="U7" s="26"/>
      <c r="V7" s="26"/>
      <c r="W7" s="26"/>
      <c r="X7" s="26"/>
      <c r="Y7" s="26"/>
      <c r="Z7" s="26"/>
    </row>
    <row r="8" spans="1:134" ht="21.75" customHeight="1" x14ac:dyDescent="0.3">
      <c r="A8" s="140" t="s">
        <v>84</v>
      </c>
      <c r="B8" s="130">
        <f>IF(B4=0,"n.a.",B7/B4)</f>
        <v>0.1046195354490758</v>
      </c>
      <c r="C8" s="26" t="s">
        <v>223</v>
      </c>
      <c r="D8" s="103" t="s">
        <v>304</v>
      </c>
      <c r="E8" s="26"/>
      <c r="F8" s="91">
        <v>5</v>
      </c>
      <c r="G8" s="106">
        <f>SUM(Cashflows!$N$4:N8)</f>
        <v>-29.916660475137206</v>
      </c>
      <c r="H8" s="137" t="str">
        <f>IF(AND(F8&lt;='Premium Calculation'!$B$8,G8&gt;=0),"Yes","No")</f>
        <v>No</v>
      </c>
      <c r="I8" s="26"/>
      <c r="J8" s="26"/>
      <c r="K8" s="26"/>
      <c r="L8" s="26"/>
      <c r="M8" s="26"/>
      <c r="N8" s="26"/>
      <c r="O8" s="26"/>
      <c r="P8" s="26"/>
      <c r="Q8" s="26"/>
      <c r="R8" s="26"/>
      <c r="S8" s="26"/>
      <c r="T8" s="26"/>
      <c r="U8" s="26"/>
      <c r="V8" s="26"/>
      <c r="W8" s="26"/>
      <c r="X8" s="26"/>
      <c r="Y8" s="26"/>
      <c r="Z8" s="26"/>
    </row>
    <row r="9" spans="1:134" ht="21.75" customHeight="1" x14ac:dyDescent="0.3">
      <c r="A9" s="140" t="s">
        <v>18</v>
      </c>
      <c r="B9" s="135">
        <f>IF(COUNTIF(H4:H43,"Yes")=0,"Not reached",_xlfn.XLOOKUP("Yes",H4:H43,F4:F43))</f>
        <v>6</v>
      </c>
      <c r="C9" s="26"/>
      <c r="D9" s="103" t="s">
        <v>541</v>
      </c>
      <c r="E9" s="26"/>
      <c r="F9" s="91">
        <v>6</v>
      </c>
      <c r="G9" s="106">
        <f>SUM(Cashflows!$N$4:N9)</f>
        <v>73.616918494267381</v>
      </c>
      <c r="H9" s="137" t="str">
        <f>IF(AND(F9&lt;='Premium Calculation'!$B$8,G9&gt;=0),"Yes","No")</f>
        <v>Yes</v>
      </c>
      <c r="I9" s="26"/>
      <c r="J9" s="26"/>
      <c r="K9" s="26"/>
      <c r="L9" s="26"/>
      <c r="M9" s="26"/>
      <c r="N9" s="26"/>
      <c r="O9" s="26"/>
      <c r="P9" s="26"/>
      <c r="Q9" s="26"/>
      <c r="R9" s="26"/>
      <c r="S9" s="26"/>
      <c r="T9" s="26"/>
      <c r="U9" s="26"/>
      <c r="V9" s="26"/>
      <c r="W9" s="26"/>
      <c r="X9" s="26"/>
      <c r="Y9" s="26"/>
      <c r="Z9" s="26"/>
    </row>
    <row r="10" spans="1:134" ht="21.75" customHeight="1" x14ac:dyDescent="0.3">
      <c r="A10" s="140" t="s">
        <v>349</v>
      </c>
      <c r="B10" s="101" t="str">
        <f>IF(B7&gt;=0,"Non-negative","Loss-making")</f>
        <v>Non-negative</v>
      </c>
      <c r="C10" s="26"/>
      <c r="D10" s="103" t="s">
        <v>703</v>
      </c>
      <c r="E10" s="26"/>
      <c r="F10" s="91">
        <v>7</v>
      </c>
      <c r="G10" s="106">
        <f>SUM(Cashflows!$N$4:N10)</f>
        <v>160.84487021642087</v>
      </c>
      <c r="H10" s="137" t="str">
        <f>IF(AND(F10&lt;='Premium Calculation'!$B$8,G10&gt;=0),"Yes","No")</f>
        <v>Yes</v>
      </c>
      <c r="I10" s="26"/>
      <c r="J10" s="26"/>
      <c r="K10" s="26"/>
      <c r="L10" s="26"/>
      <c r="M10" s="26"/>
      <c r="N10" s="26"/>
      <c r="O10" s="26"/>
      <c r="P10" s="26"/>
      <c r="Q10" s="26"/>
      <c r="R10" s="26"/>
      <c r="S10" s="26"/>
      <c r="T10" s="26"/>
      <c r="U10" s="26"/>
      <c r="V10" s="26"/>
      <c r="W10" s="26"/>
      <c r="X10" s="26"/>
      <c r="Y10" s="26"/>
      <c r="Z10" s="26"/>
    </row>
    <row r="11" spans="1:134" ht="21.75" customHeight="1" thickBot="1" x14ac:dyDescent="0.35">
      <c r="A11" s="141" t="s">
        <v>704</v>
      </c>
      <c r="B11" s="109">
        <f>B4-B5-B6-B7</f>
        <v>-1.1937117960769683E-12</v>
      </c>
      <c r="C11" s="110" t="s">
        <v>229</v>
      </c>
      <c r="D11" s="111" t="s">
        <v>705</v>
      </c>
      <c r="E11" s="26"/>
      <c r="F11" s="91">
        <v>8</v>
      </c>
      <c r="G11" s="106">
        <f>SUM(Cashflows!$N$4:N11)</f>
        <v>234.04425361897012</v>
      </c>
      <c r="H11" s="137" t="str">
        <f>IF(AND(F11&lt;='Premium Calculation'!$B$8,G11&gt;=0),"Yes","No")</f>
        <v>Yes</v>
      </c>
      <c r="I11" s="26"/>
      <c r="J11" s="26"/>
      <c r="K11" s="26"/>
      <c r="L11" s="26"/>
      <c r="M11" s="26"/>
      <c r="N11" s="26"/>
      <c r="O11" s="26"/>
      <c r="P11" s="26"/>
      <c r="Q11" s="26"/>
      <c r="R11" s="26"/>
      <c r="S11" s="26"/>
      <c r="T11" s="26"/>
      <c r="U11" s="26"/>
      <c r="V11" s="26"/>
      <c r="W11" s="26"/>
      <c r="X11" s="26"/>
      <c r="Y11" s="26"/>
      <c r="Z11" s="26"/>
    </row>
    <row r="12" spans="1:134" ht="21.75" customHeight="1" x14ac:dyDescent="0.3">
      <c r="A12" s="26"/>
      <c r="B12" s="26"/>
      <c r="C12" s="26"/>
      <c r="D12" s="26"/>
      <c r="E12" s="26"/>
      <c r="F12" s="91">
        <v>9</v>
      </c>
      <c r="G12" s="106">
        <f>SUM(Cashflows!$N$4:N12)</f>
        <v>294.93870735467306</v>
      </c>
      <c r="H12" s="137" t="str">
        <f>IF(AND(F12&lt;='Premium Calculation'!$B$8,G12&gt;=0),"Yes","No")</f>
        <v>Yes</v>
      </c>
      <c r="I12" s="26"/>
      <c r="J12" s="26"/>
      <c r="K12" s="26"/>
      <c r="L12" s="26"/>
      <c r="M12" s="26"/>
      <c r="N12" s="26"/>
      <c r="O12" s="26"/>
      <c r="P12" s="26"/>
      <c r="Q12" s="26"/>
      <c r="R12" s="26"/>
      <c r="S12" s="26"/>
      <c r="T12" s="26"/>
      <c r="U12" s="26"/>
      <c r="V12" s="26"/>
      <c r="W12" s="26"/>
      <c r="X12" s="26"/>
      <c r="Y12" s="26"/>
      <c r="Z12" s="26"/>
    </row>
    <row r="13" spans="1:134" ht="21.75" customHeight="1" x14ac:dyDescent="0.3">
      <c r="A13" s="26"/>
      <c r="B13" s="26"/>
      <c r="C13" s="26"/>
      <c r="D13" s="26"/>
      <c r="E13" s="26"/>
      <c r="F13" s="91">
        <v>10</v>
      </c>
      <c r="G13" s="106">
        <f>SUM(Cashflows!$N$4:N13)</f>
        <v>344.85010931984226</v>
      </c>
      <c r="H13" s="137" t="str">
        <f>IF(AND(F13&lt;='Premium Calculation'!$B$8,G13&gt;=0),"Yes","No")</f>
        <v>Yes</v>
      </c>
      <c r="I13" s="26"/>
      <c r="J13" s="26"/>
      <c r="K13" s="26"/>
      <c r="L13" s="26"/>
      <c r="M13" s="26"/>
      <c r="N13" s="26"/>
      <c r="O13" s="26"/>
      <c r="P13" s="26"/>
      <c r="Q13" s="26"/>
      <c r="R13" s="26"/>
      <c r="S13" s="26"/>
      <c r="T13" s="26"/>
      <c r="U13" s="26"/>
      <c r="V13" s="26"/>
      <c r="W13" s="26"/>
      <c r="X13" s="26"/>
      <c r="Y13" s="26"/>
      <c r="Z13" s="26"/>
    </row>
    <row r="14" spans="1:134" ht="21.75" customHeight="1" x14ac:dyDescent="0.3">
      <c r="A14" s="476" t="s">
        <v>707</v>
      </c>
      <c r="B14" s="474"/>
      <c r="C14" s="474"/>
      <c r="D14" s="474"/>
      <c r="E14" s="474"/>
      <c r="F14" s="91">
        <v>11</v>
      </c>
      <c r="G14" s="106">
        <f>SUM(Cashflows!$N$4:N14)</f>
        <v>344.85010931984226</v>
      </c>
      <c r="H14" s="137" t="str">
        <f>IF(AND(F14&lt;='Premium Calculation'!$B$8,G14&gt;=0),"Yes","No")</f>
        <v>No</v>
      </c>
      <c r="I14" s="26"/>
      <c r="J14" s="26"/>
      <c r="K14" s="26"/>
      <c r="L14" s="26"/>
      <c r="M14" s="26"/>
      <c r="N14" s="26"/>
      <c r="O14" s="26"/>
      <c r="P14" s="26"/>
      <c r="Q14" s="26"/>
      <c r="R14" s="26"/>
      <c r="S14" s="26"/>
      <c r="T14" s="26"/>
      <c r="U14" s="26"/>
      <c r="V14" s="26"/>
      <c r="W14" s="26"/>
      <c r="X14" s="26"/>
      <c r="Y14" s="26"/>
      <c r="Z14" s="26"/>
    </row>
    <row r="15" spans="1:134" ht="21.75" customHeight="1" x14ac:dyDescent="0.3">
      <c r="A15" s="26"/>
      <c r="B15" s="26"/>
      <c r="C15" s="26"/>
      <c r="D15" s="26"/>
      <c r="E15" s="26"/>
      <c r="F15" s="91">
        <v>12</v>
      </c>
      <c r="G15" s="106">
        <f>SUM(Cashflows!$N$4:N15)</f>
        <v>344.85010931984226</v>
      </c>
      <c r="H15" s="137" t="str">
        <f>IF(AND(F15&lt;='Premium Calculation'!$B$8,G15&gt;=0),"Yes","No")</f>
        <v>No</v>
      </c>
      <c r="I15" s="26"/>
      <c r="J15" s="26"/>
      <c r="K15" s="26"/>
      <c r="L15" s="26"/>
      <c r="M15" s="26"/>
      <c r="N15" s="26"/>
      <c r="O15" s="26"/>
      <c r="P15" s="26"/>
      <c r="Q15" s="26"/>
      <c r="R15" s="26"/>
      <c r="S15" s="26"/>
      <c r="T15" s="26"/>
      <c r="U15" s="26"/>
      <c r="V15" s="26"/>
      <c r="W15" s="26"/>
      <c r="X15" s="26"/>
      <c r="Y15" s="26"/>
      <c r="Z15" s="26"/>
    </row>
    <row r="16" spans="1:134" ht="21.75" customHeight="1" x14ac:dyDescent="0.3">
      <c r="A16" s="476" t="s">
        <v>708</v>
      </c>
      <c r="B16" s="474"/>
      <c r="C16" s="474"/>
      <c r="D16" s="474"/>
      <c r="E16" s="474"/>
      <c r="F16" s="91">
        <v>13</v>
      </c>
      <c r="G16" s="106">
        <f>SUM(Cashflows!$N$4:N16)</f>
        <v>344.85010931984226</v>
      </c>
      <c r="H16" s="137" t="str">
        <f>IF(AND(F16&lt;='Premium Calculation'!$B$8,G16&gt;=0),"Yes","No")</f>
        <v>No</v>
      </c>
      <c r="I16" s="26"/>
      <c r="J16" s="26"/>
      <c r="K16" s="26"/>
      <c r="L16" s="26"/>
      <c r="M16" s="26"/>
      <c r="N16" s="26"/>
      <c r="O16" s="26"/>
      <c r="P16" s="26"/>
      <c r="Q16" s="26"/>
      <c r="R16" s="26"/>
      <c r="S16" s="26"/>
      <c r="T16" s="26"/>
      <c r="U16" s="26"/>
      <c r="V16" s="26"/>
      <c r="W16" s="26"/>
      <c r="X16" s="26"/>
      <c r="Y16" s="26"/>
      <c r="Z16" s="26"/>
    </row>
    <row r="17" spans="1:26" ht="21.75" customHeight="1" x14ac:dyDescent="0.3">
      <c r="A17" s="26"/>
      <c r="B17" s="26"/>
      <c r="C17" s="26"/>
      <c r="D17" s="26"/>
      <c r="E17" s="26"/>
      <c r="F17" s="91">
        <v>14</v>
      </c>
      <c r="G17" s="106">
        <f>SUM(Cashflows!$N$4:N17)</f>
        <v>344.85010931984226</v>
      </c>
      <c r="H17" s="137" t="str">
        <f>IF(AND(F17&lt;='Premium Calculation'!$B$8,G17&gt;=0),"Yes","No")</f>
        <v>No</v>
      </c>
      <c r="I17" s="26"/>
      <c r="J17" s="26"/>
      <c r="K17" s="26"/>
      <c r="L17" s="26"/>
      <c r="M17" s="26"/>
      <c r="N17" s="26"/>
      <c r="O17" s="26"/>
      <c r="P17" s="26"/>
      <c r="Q17" s="26"/>
      <c r="R17" s="26"/>
      <c r="S17" s="26"/>
      <c r="T17" s="26"/>
      <c r="U17" s="26"/>
      <c r="V17" s="26"/>
      <c r="W17" s="26"/>
      <c r="X17" s="26"/>
      <c r="Y17" s="26"/>
      <c r="Z17" s="26"/>
    </row>
    <row r="18" spans="1:26" ht="21.75" customHeight="1" x14ac:dyDescent="0.3">
      <c r="A18" s="476" t="s">
        <v>542</v>
      </c>
      <c r="B18" s="474"/>
      <c r="C18" s="474"/>
      <c r="D18" s="474"/>
      <c r="E18" s="474"/>
      <c r="F18" s="91">
        <v>15</v>
      </c>
      <c r="G18" s="106">
        <f>SUM(Cashflows!$N$4:N18)</f>
        <v>344.85010931984226</v>
      </c>
      <c r="H18" s="137" t="str">
        <f>IF(AND(F18&lt;='Premium Calculation'!$B$8,G18&gt;=0),"Yes","No")</f>
        <v>No</v>
      </c>
      <c r="I18" s="26"/>
      <c r="J18" s="26"/>
      <c r="K18" s="26"/>
      <c r="L18" s="26"/>
      <c r="M18" s="26"/>
      <c r="N18" s="26"/>
      <c r="O18" s="26"/>
      <c r="P18" s="26"/>
      <c r="Q18" s="26"/>
      <c r="R18" s="26"/>
      <c r="S18" s="26"/>
      <c r="T18" s="26"/>
      <c r="U18" s="26"/>
      <c r="V18" s="26"/>
      <c r="W18" s="26"/>
      <c r="X18" s="26"/>
      <c r="Y18" s="26"/>
      <c r="Z18" s="26"/>
    </row>
    <row r="19" spans="1:26" ht="21.75" customHeight="1" x14ac:dyDescent="0.3">
      <c r="A19" s="26"/>
      <c r="B19" s="26"/>
      <c r="C19" s="26"/>
      <c r="D19" s="26"/>
      <c r="E19" s="26"/>
      <c r="F19" s="91">
        <v>16</v>
      </c>
      <c r="G19" s="106">
        <f>SUM(Cashflows!$N$4:N19)</f>
        <v>344.85010931984226</v>
      </c>
      <c r="H19" s="137" t="str">
        <f>IF(AND(F19&lt;='Premium Calculation'!$B$8,G19&gt;=0),"Yes","No")</f>
        <v>No</v>
      </c>
      <c r="I19" s="26"/>
      <c r="J19" s="26"/>
      <c r="K19" s="26"/>
      <c r="L19" s="26"/>
      <c r="M19" s="26"/>
      <c r="N19" s="26"/>
      <c r="O19" s="26"/>
      <c r="P19" s="26"/>
      <c r="Q19" s="26"/>
      <c r="R19" s="26"/>
      <c r="S19" s="26"/>
      <c r="T19" s="26"/>
      <c r="U19" s="26"/>
      <c r="V19" s="26"/>
      <c r="W19" s="26"/>
      <c r="X19" s="26"/>
      <c r="Y19" s="26"/>
      <c r="Z19" s="26"/>
    </row>
    <row r="20" spans="1:26" ht="21.75" customHeight="1" x14ac:dyDescent="0.3">
      <c r="A20" s="26"/>
      <c r="B20" s="26"/>
      <c r="C20" s="26"/>
      <c r="D20" s="26"/>
      <c r="E20" s="26"/>
      <c r="F20" s="91">
        <v>17</v>
      </c>
      <c r="G20" s="106">
        <f>SUM(Cashflows!$N$4:N20)</f>
        <v>344.85010931984226</v>
      </c>
      <c r="H20" s="137" t="str">
        <f>IF(AND(F20&lt;='Premium Calculation'!$B$8,G20&gt;=0),"Yes","No")</f>
        <v>No</v>
      </c>
      <c r="I20" s="26"/>
      <c r="J20" s="26"/>
      <c r="K20" s="26"/>
      <c r="L20" s="26"/>
      <c r="M20" s="26"/>
      <c r="N20" s="26"/>
      <c r="O20" s="26"/>
      <c r="P20" s="26"/>
      <c r="Q20" s="26"/>
      <c r="R20" s="26"/>
      <c r="S20" s="26"/>
      <c r="T20" s="26"/>
      <c r="U20" s="26"/>
      <c r="V20" s="26"/>
      <c r="W20" s="26"/>
      <c r="X20" s="26"/>
      <c r="Y20" s="26"/>
      <c r="Z20" s="26"/>
    </row>
    <row r="21" spans="1:26" ht="21.75" customHeight="1" x14ac:dyDescent="0.3">
      <c r="A21" s="26"/>
      <c r="B21" s="26"/>
      <c r="C21" s="26"/>
      <c r="D21" s="26"/>
      <c r="E21" s="26"/>
      <c r="F21" s="91">
        <v>18</v>
      </c>
      <c r="G21" s="106">
        <f>SUM(Cashflows!$N$4:N21)</f>
        <v>344.85010931984226</v>
      </c>
      <c r="H21" s="137" t="str">
        <f>IF(AND(F21&lt;='Premium Calculation'!$B$8,G21&gt;=0),"Yes","No")</f>
        <v>No</v>
      </c>
      <c r="I21" s="26"/>
      <c r="J21" s="26"/>
      <c r="K21" s="26"/>
      <c r="L21" s="26"/>
      <c r="M21" s="26"/>
      <c r="N21" s="26"/>
      <c r="O21" s="26"/>
      <c r="P21" s="26"/>
      <c r="Q21" s="26"/>
      <c r="R21" s="26"/>
      <c r="S21" s="26"/>
      <c r="T21" s="26"/>
      <c r="U21" s="26"/>
      <c r="V21" s="26"/>
      <c r="W21" s="26"/>
      <c r="X21" s="26"/>
      <c r="Y21" s="26"/>
      <c r="Z21" s="26"/>
    </row>
    <row r="22" spans="1:26" ht="21.75" customHeight="1" x14ac:dyDescent="0.3">
      <c r="A22" s="26"/>
      <c r="B22" s="26"/>
      <c r="C22" s="26"/>
      <c r="D22" s="26"/>
      <c r="E22" s="26"/>
      <c r="F22" s="91">
        <v>19</v>
      </c>
      <c r="G22" s="106">
        <f>SUM(Cashflows!$N$4:N22)</f>
        <v>344.85010931984226</v>
      </c>
      <c r="H22" s="137" t="str">
        <f>IF(AND(F22&lt;='Premium Calculation'!$B$8,G22&gt;=0),"Yes","No")</f>
        <v>No</v>
      </c>
      <c r="I22" s="26"/>
      <c r="J22" s="26"/>
      <c r="K22" s="26"/>
      <c r="L22" s="26"/>
      <c r="M22" s="26"/>
      <c r="N22" s="26"/>
      <c r="O22" s="26"/>
      <c r="P22" s="26"/>
      <c r="Q22" s="26"/>
      <c r="R22" s="26"/>
      <c r="S22" s="26"/>
      <c r="T22" s="26"/>
      <c r="U22" s="26"/>
      <c r="V22" s="26"/>
      <c r="W22" s="26"/>
      <c r="X22" s="26"/>
      <c r="Y22" s="26"/>
      <c r="Z22" s="26"/>
    </row>
    <row r="23" spans="1:26" ht="21.75" customHeight="1" x14ac:dyDescent="0.3">
      <c r="A23" s="26"/>
      <c r="B23" s="26"/>
      <c r="C23" s="26"/>
      <c r="D23" s="26"/>
      <c r="E23" s="26"/>
      <c r="F23" s="91">
        <v>20</v>
      </c>
      <c r="G23" s="106">
        <f>SUM(Cashflows!$N$4:N23)</f>
        <v>344.85010931984226</v>
      </c>
      <c r="H23" s="137" t="str">
        <f>IF(AND(F23&lt;='Premium Calculation'!$B$8,G23&gt;=0),"Yes","No")</f>
        <v>No</v>
      </c>
      <c r="I23" s="26"/>
      <c r="J23" s="26"/>
      <c r="K23" s="26"/>
      <c r="L23" s="26"/>
      <c r="M23" s="26"/>
      <c r="N23" s="26"/>
      <c r="O23" s="26"/>
      <c r="P23" s="26"/>
      <c r="Q23" s="26"/>
      <c r="R23" s="26"/>
      <c r="S23" s="26"/>
      <c r="T23" s="26"/>
      <c r="U23" s="26"/>
      <c r="V23" s="26"/>
      <c r="W23" s="26"/>
      <c r="X23" s="26"/>
      <c r="Y23" s="26"/>
      <c r="Z23" s="26"/>
    </row>
    <row r="24" spans="1:26" ht="21.75" customHeight="1" x14ac:dyDescent="0.3">
      <c r="A24" s="26"/>
      <c r="B24" s="26"/>
      <c r="C24" s="26"/>
      <c r="D24" s="26"/>
      <c r="E24" s="26"/>
      <c r="F24" s="91">
        <v>21</v>
      </c>
      <c r="G24" s="106">
        <f>SUM(Cashflows!$N$4:N24)</f>
        <v>344.85010931984226</v>
      </c>
      <c r="H24" s="137" t="str">
        <f>IF(AND(F24&lt;='Premium Calculation'!$B$8,G24&gt;=0),"Yes","No")</f>
        <v>No</v>
      </c>
      <c r="I24" s="26"/>
      <c r="J24" s="26"/>
      <c r="K24" s="26"/>
      <c r="L24" s="26"/>
      <c r="M24" s="26"/>
      <c r="N24" s="26"/>
      <c r="O24" s="26"/>
      <c r="P24" s="26"/>
      <c r="Q24" s="26"/>
      <c r="R24" s="26"/>
      <c r="S24" s="26"/>
      <c r="T24" s="26"/>
      <c r="U24" s="26"/>
      <c r="V24" s="26"/>
      <c r="W24" s="26"/>
      <c r="X24" s="26"/>
      <c r="Y24" s="26"/>
      <c r="Z24" s="26"/>
    </row>
    <row r="25" spans="1:26" ht="21.75" customHeight="1" x14ac:dyDescent="0.3">
      <c r="A25" s="26"/>
      <c r="B25" s="26"/>
      <c r="C25" s="26"/>
      <c r="D25" s="26"/>
      <c r="E25" s="26"/>
      <c r="F25" s="91">
        <v>22</v>
      </c>
      <c r="G25" s="106">
        <f>SUM(Cashflows!$N$4:N25)</f>
        <v>344.85010931984226</v>
      </c>
      <c r="H25" s="137" t="str">
        <f>IF(AND(F25&lt;='Premium Calculation'!$B$8,G25&gt;=0),"Yes","No")</f>
        <v>No</v>
      </c>
      <c r="I25" s="26"/>
      <c r="J25" s="26"/>
      <c r="K25" s="26"/>
      <c r="L25" s="26"/>
      <c r="M25" s="26"/>
      <c r="N25" s="26"/>
      <c r="O25" s="26"/>
      <c r="P25" s="26"/>
      <c r="Q25" s="26"/>
      <c r="R25" s="26"/>
      <c r="S25" s="26"/>
      <c r="T25" s="26"/>
      <c r="U25" s="26"/>
      <c r="V25" s="26"/>
      <c r="W25" s="26"/>
      <c r="X25" s="26"/>
      <c r="Y25" s="26"/>
      <c r="Z25" s="26"/>
    </row>
    <row r="26" spans="1:26" ht="21.75" customHeight="1" x14ac:dyDescent="0.3">
      <c r="A26" s="26"/>
      <c r="B26" s="26"/>
      <c r="C26" s="26"/>
      <c r="D26" s="26"/>
      <c r="E26" s="26"/>
      <c r="F26" s="91">
        <v>23</v>
      </c>
      <c r="G26" s="106">
        <f>SUM(Cashflows!$N$4:N26)</f>
        <v>344.85010931984226</v>
      </c>
      <c r="H26" s="137" t="str">
        <f>IF(AND(F26&lt;='Premium Calculation'!$B$8,G26&gt;=0),"Yes","No")</f>
        <v>No</v>
      </c>
      <c r="I26" s="26"/>
      <c r="J26" s="26"/>
      <c r="K26" s="26"/>
      <c r="L26" s="26"/>
      <c r="M26" s="26"/>
      <c r="N26" s="26"/>
      <c r="O26" s="26"/>
      <c r="P26" s="26"/>
      <c r="Q26" s="26"/>
      <c r="R26" s="26"/>
      <c r="S26" s="26"/>
      <c r="T26" s="26"/>
      <c r="U26" s="26"/>
      <c r="V26" s="26"/>
      <c r="W26" s="26"/>
      <c r="X26" s="26"/>
      <c r="Y26" s="26"/>
      <c r="Z26" s="26"/>
    </row>
    <row r="27" spans="1:26" ht="21.75" customHeight="1" x14ac:dyDescent="0.3">
      <c r="A27" s="26"/>
      <c r="B27" s="26"/>
      <c r="C27" s="26"/>
      <c r="D27" s="26"/>
      <c r="E27" s="26"/>
      <c r="F27" s="91">
        <v>24</v>
      </c>
      <c r="G27" s="106">
        <f>SUM(Cashflows!$N$4:N27)</f>
        <v>344.85010931984226</v>
      </c>
      <c r="H27" s="137" t="str">
        <f>IF(AND(F27&lt;='Premium Calculation'!$B$8,G27&gt;=0),"Yes","No")</f>
        <v>No</v>
      </c>
      <c r="I27" s="26"/>
      <c r="J27" s="26"/>
      <c r="K27" s="26"/>
      <c r="L27" s="26"/>
      <c r="M27" s="26"/>
      <c r="N27" s="26"/>
      <c r="O27" s="26"/>
      <c r="P27" s="26"/>
      <c r="Q27" s="26"/>
      <c r="R27" s="26"/>
      <c r="S27" s="26"/>
      <c r="T27" s="26"/>
      <c r="U27" s="26"/>
      <c r="V27" s="26"/>
      <c r="W27" s="26"/>
      <c r="X27" s="26"/>
      <c r="Y27" s="26"/>
      <c r="Z27" s="26"/>
    </row>
    <row r="28" spans="1:26" ht="21.75" customHeight="1" x14ac:dyDescent="0.3">
      <c r="A28" s="26"/>
      <c r="B28" s="26"/>
      <c r="C28" s="26"/>
      <c r="D28" s="26"/>
      <c r="E28" s="26"/>
      <c r="F28" s="91">
        <v>25</v>
      </c>
      <c r="G28" s="106">
        <f>SUM(Cashflows!$N$4:N28)</f>
        <v>344.85010931984226</v>
      </c>
      <c r="H28" s="137" t="str">
        <f>IF(AND(F28&lt;='Premium Calculation'!$B$8,G28&gt;=0),"Yes","No")</f>
        <v>No</v>
      </c>
      <c r="I28" s="26"/>
      <c r="J28" s="26"/>
      <c r="K28" s="26"/>
      <c r="L28" s="26"/>
      <c r="M28" s="26"/>
      <c r="N28" s="26"/>
      <c r="O28" s="26"/>
      <c r="P28" s="26"/>
      <c r="Q28" s="26"/>
      <c r="R28" s="26"/>
      <c r="S28" s="26"/>
      <c r="T28" s="26"/>
      <c r="U28" s="26"/>
      <c r="V28" s="26"/>
      <c r="W28" s="26"/>
      <c r="X28" s="26"/>
      <c r="Y28" s="26"/>
      <c r="Z28" s="26"/>
    </row>
    <row r="29" spans="1:26" ht="21.75" customHeight="1" x14ac:dyDescent="0.3">
      <c r="A29" s="26"/>
      <c r="B29" s="26"/>
      <c r="C29" s="26"/>
      <c r="D29" s="26"/>
      <c r="E29" s="26"/>
      <c r="F29" s="91">
        <v>26</v>
      </c>
      <c r="G29" s="106">
        <f>SUM(Cashflows!$N$4:N29)</f>
        <v>344.85010931984226</v>
      </c>
      <c r="H29" s="137" t="str">
        <f>IF(AND(F29&lt;='Premium Calculation'!$B$8,G29&gt;=0),"Yes","No")</f>
        <v>No</v>
      </c>
      <c r="I29" s="26"/>
      <c r="J29" s="26"/>
      <c r="K29" s="26"/>
      <c r="L29" s="26"/>
      <c r="M29" s="26"/>
      <c r="N29" s="26"/>
      <c r="O29" s="26"/>
      <c r="P29" s="26"/>
      <c r="Q29" s="26"/>
      <c r="R29" s="26"/>
      <c r="S29" s="26"/>
      <c r="T29" s="26"/>
      <c r="U29" s="26"/>
      <c r="V29" s="26"/>
      <c r="W29" s="26"/>
      <c r="X29" s="26"/>
      <c r="Y29" s="26"/>
      <c r="Z29" s="26"/>
    </row>
    <row r="30" spans="1:26" ht="21.75" customHeight="1" x14ac:dyDescent="0.3">
      <c r="A30" s="26"/>
      <c r="B30" s="26"/>
      <c r="C30" s="26"/>
      <c r="D30" s="26"/>
      <c r="E30" s="26"/>
      <c r="F30" s="91">
        <v>27</v>
      </c>
      <c r="G30" s="106">
        <f>SUM(Cashflows!$N$4:N30)</f>
        <v>344.85010931984226</v>
      </c>
      <c r="H30" s="137" t="str">
        <f>IF(AND(F30&lt;='Premium Calculation'!$B$8,G30&gt;=0),"Yes","No")</f>
        <v>No</v>
      </c>
      <c r="I30" s="26"/>
      <c r="J30" s="26"/>
      <c r="K30" s="26"/>
      <c r="L30" s="26"/>
      <c r="M30" s="26"/>
      <c r="N30" s="26"/>
      <c r="O30" s="26"/>
      <c r="P30" s="26"/>
      <c r="Q30" s="26"/>
      <c r="R30" s="26"/>
      <c r="S30" s="26"/>
      <c r="T30" s="26"/>
      <c r="U30" s="26"/>
      <c r="V30" s="26"/>
      <c r="W30" s="26"/>
      <c r="X30" s="26"/>
      <c r="Y30" s="26"/>
      <c r="Z30" s="26"/>
    </row>
    <row r="31" spans="1:26" ht="21.75" customHeight="1" x14ac:dyDescent="0.3">
      <c r="A31" s="26"/>
      <c r="B31" s="26"/>
      <c r="C31" s="26"/>
      <c r="D31" s="26"/>
      <c r="E31" s="26"/>
      <c r="F31" s="91">
        <v>28</v>
      </c>
      <c r="G31" s="106">
        <f>SUM(Cashflows!$N$4:N31)</f>
        <v>344.85010931984226</v>
      </c>
      <c r="H31" s="137" t="str">
        <f>IF(AND(F31&lt;='Premium Calculation'!$B$8,G31&gt;=0),"Yes","No")</f>
        <v>No</v>
      </c>
      <c r="I31" s="26"/>
      <c r="J31" s="26"/>
      <c r="K31" s="26"/>
      <c r="L31" s="26"/>
      <c r="M31" s="26"/>
      <c r="N31" s="26"/>
      <c r="O31" s="26"/>
      <c r="P31" s="26"/>
      <c r="Q31" s="26"/>
      <c r="R31" s="26"/>
      <c r="S31" s="26"/>
      <c r="T31" s="26"/>
      <c r="U31" s="26"/>
      <c r="V31" s="26"/>
      <c r="W31" s="26"/>
      <c r="X31" s="26"/>
      <c r="Y31" s="26"/>
      <c r="Z31" s="26"/>
    </row>
    <row r="32" spans="1:26" ht="21.75" customHeight="1" x14ac:dyDescent="0.3">
      <c r="A32" s="26"/>
      <c r="B32" s="26"/>
      <c r="C32" s="26"/>
      <c r="D32" s="26"/>
      <c r="E32" s="26"/>
      <c r="F32" s="91">
        <v>29</v>
      </c>
      <c r="G32" s="106">
        <f>SUM(Cashflows!$N$4:N32)</f>
        <v>344.85010931984226</v>
      </c>
      <c r="H32" s="137" t="str">
        <f>IF(AND(F32&lt;='Premium Calculation'!$B$8,G32&gt;=0),"Yes","No")</f>
        <v>No</v>
      </c>
      <c r="I32" s="26"/>
      <c r="J32" s="26"/>
      <c r="K32" s="26"/>
      <c r="L32" s="26"/>
      <c r="M32" s="26"/>
      <c r="N32" s="26"/>
      <c r="O32" s="26"/>
      <c r="P32" s="26"/>
      <c r="Q32" s="26"/>
      <c r="R32" s="26"/>
      <c r="S32" s="26"/>
      <c r="T32" s="26"/>
      <c r="U32" s="26"/>
      <c r="V32" s="26"/>
      <c r="W32" s="26"/>
      <c r="X32" s="26"/>
      <c r="Y32" s="26"/>
      <c r="Z32" s="26"/>
    </row>
    <row r="33" spans="1:26" ht="21.75" customHeight="1" x14ac:dyDescent="0.3">
      <c r="A33" s="26"/>
      <c r="B33" s="26"/>
      <c r="C33" s="26"/>
      <c r="D33" s="26"/>
      <c r="E33" s="26"/>
      <c r="F33" s="91">
        <v>30</v>
      </c>
      <c r="G33" s="106">
        <f>SUM(Cashflows!$N$4:N33)</f>
        <v>344.85010931984226</v>
      </c>
      <c r="H33" s="137" t="str">
        <f>IF(AND(F33&lt;='Premium Calculation'!$B$8,G33&gt;=0),"Yes","No")</f>
        <v>No</v>
      </c>
      <c r="I33" s="26"/>
      <c r="J33" s="26"/>
      <c r="K33" s="26"/>
      <c r="L33" s="26"/>
      <c r="M33" s="26"/>
      <c r="N33" s="26"/>
      <c r="O33" s="26"/>
      <c r="P33" s="26"/>
      <c r="Q33" s="26"/>
      <c r="R33" s="26"/>
      <c r="S33" s="26"/>
      <c r="T33" s="26"/>
      <c r="U33" s="26"/>
      <c r="V33" s="26"/>
      <c r="W33" s="26"/>
      <c r="X33" s="26"/>
      <c r="Y33" s="26"/>
      <c r="Z33" s="26"/>
    </row>
    <row r="34" spans="1:26" ht="21.75" customHeight="1" x14ac:dyDescent="0.3">
      <c r="A34" s="26"/>
      <c r="B34" s="26"/>
      <c r="C34" s="26"/>
      <c r="D34" s="26"/>
      <c r="E34" s="26"/>
      <c r="F34" s="91">
        <v>31</v>
      </c>
      <c r="G34" s="106">
        <f>SUM(Cashflows!$N$4:N34)</f>
        <v>344.85010931984226</v>
      </c>
      <c r="H34" s="137" t="str">
        <f>IF(AND(F34&lt;='Premium Calculation'!$B$8,G34&gt;=0),"Yes","No")</f>
        <v>No</v>
      </c>
      <c r="I34" s="26"/>
      <c r="J34" s="26"/>
      <c r="K34" s="26"/>
      <c r="L34" s="26"/>
      <c r="M34" s="26"/>
      <c r="N34" s="26"/>
      <c r="O34" s="26"/>
      <c r="P34" s="26"/>
      <c r="Q34" s="26"/>
      <c r="R34" s="26"/>
      <c r="S34" s="26"/>
      <c r="T34" s="26"/>
      <c r="U34" s="26"/>
      <c r="V34" s="26"/>
      <c r="W34" s="26"/>
      <c r="X34" s="26"/>
      <c r="Y34" s="26"/>
      <c r="Z34" s="26"/>
    </row>
    <row r="35" spans="1:26" ht="21.75" customHeight="1" x14ac:dyDescent="0.3">
      <c r="A35" s="26"/>
      <c r="B35" s="26"/>
      <c r="C35" s="26"/>
      <c r="D35" s="26"/>
      <c r="E35" s="26"/>
      <c r="F35" s="91">
        <v>32</v>
      </c>
      <c r="G35" s="106">
        <f>SUM(Cashflows!$N$4:N35)</f>
        <v>344.85010931984226</v>
      </c>
      <c r="H35" s="137" t="str">
        <f>IF(AND(F35&lt;='Premium Calculation'!$B$8,G35&gt;=0),"Yes","No")</f>
        <v>No</v>
      </c>
      <c r="I35" s="26"/>
      <c r="J35" s="26"/>
      <c r="K35" s="26"/>
      <c r="L35" s="26"/>
      <c r="M35" s="26"/>
      <c r="N35" s="26"/>
      <c r="O35" s="26"/>
      <c r="P35" s="26"/>
      <c r="Q35" s="26"/>
      <c r="R35" s="26"/>
      <c r="S35" s="26"/>
      <c r="T35" s="26"/>
      <c r="U35" s="26"/>
      <c r="V35" s="26"/>
      <c r="W35" s="26"/>
      <c r="X35" s="26"/>
      <c r="Y35" s="26"/>
      <c r="Z35" s="26"/>
    </row>
    <row r="36" spans="1:26" ht="21.75" customHeight="1" x14ac:dyDescent="0.3">
      <c r="A36" s="26"/>
      <c r="B36" s="26"/>
      <c r="C36" s="26"/>
      <c r="D36" s="26"/>
      <c r="E36" s="26"/>
      <c r="F36" s="91">
        <v>33</v>
      </c>
      <c r="G36" s="106">
        <f>SUM(Cashflows!$N$4:N36)</f>
        <v>344.85010931984226</v>
      </c>
      <c r="H36" s="137" t="str">
        <f>IF(AND(F36&lt;='Premium Calculation'!$B$8,G36&gt;=0),"Yes","No")</f>
        <v>No</v>
      </c>
      <c r="I36" s="26"/>
      <c r="J36" s="26"/>
      <c r="K36" s="26"/>
      <c r="L36" s="26"/>
      <c r="M36" s="26"/>
      <c r="N36" s="26"/>
      <c r="O36" s="26"/>
      <c r="P36" s="26"/>
      <c r="Q36" s="26"/>
      <c r="R36" s="26"/>
      <c r="S36" s="26"/>
      <c r="T36" s="26"/>
      <c r="U36" s="26"/>
      <c r="V36" s="26"/>
      <c r="W36" s="26"/>
      <c r="X36" s="26"/>
      <c r="Y36" s="26"/>
      <c r="Z36" s="26"/>
    </row>
    <row r="37" spans="1:26" ht="21.75" customHeight="1" x14ac:dyDescent="0.3">
      <c r="A37" s="26"/>
      <c r="B37" s="26"/>
      <c r="C37" s="26"/>
      <c r="D37" s="26"/>
      <c r="E37" s="26"/>
      <c r="F37" s="91">
        <v>34</v>
      </c>
      <c r="G37" s="106">
        <f>SUM(Cashflows!$N$4:N37)</f>
        <v>344.85010931984226</v>
      </c>
      <c r="H37" s="137" t="str">
        <f>IF(AND(F37&lt;='Premium Calculation'!$B$8,G37&gt;=0),"Yes","No")</f>
        <v>No</v>
      </c>
      <c r="I37" s="26"/>
      <c r="J37" s="26"/>
      <c r="K37" s="26"/>
      <c r="L37" s="26"/>
      <c r="M37" s="26"/>
      <c r="N37" s="26"/>
      <c r="O37" s="26"/>
      <c r="P37" s="26"/>
      <c r="Q37" s="26"/>
      <c r="R37" s="26"/>
      <c r="S37" s="26"/>
      <c r="T37" s="26"/>
      <c r="U37" s="26"/>
      <c r="V37" s="26"/>
      <c r="W37" s="26"/>
      <c r="X37" s="26"/>
      <c r="Y37" s="26"/>
      <c r="Z37" s="26"/>
    </row>
    <row r="38" spans="1:26" ht="21.75" customHeight="1" x14ac:dyDescent="0.3">
      <c r="A38" s="26"/>
      <c r="B38" s="26"/>
      <c r="C38" s="26"/>
      <c r="D38" s="26"/>
      <c r="E38" s="26"/>
      <c r="F38" s="91">
        <v>35</v>
      </c>
      <c r="G38" s="106">
        <f>SUM(Cashflows!$N$4:N38)</f>
        <v>344.85010931984226</v>
      </c>
      <c r="H38" s="137" t="str">
        <f>IF(AND(F38&lt;='Premium Calculation'!$B$8,G38&gt;=0),"Yes","No")</f>
        <v>No</v>
      </c>
      <c r="I38" s="26"/>
      <c r="J38" s="26"/>
      <c r="K38" s="26"/>
      <c r="L38" s="26"/>
      <c r="M38" s="26"/>
      <c r="N38" s="26"/>
      <c r="O38" s="26"/>
      <c r="P38" s="26"/>
      <c r="Q38" s="26"/>
      <c r="R38" s="26"/>
      <c r="S38" s="26"/>
      <c r="T38" s="26"/>
      <c r="U38" s="26"/>
      <c r="V38" s="26"/>
      <c r="W38" s="26"/>
      <c r="X38" s="26"/>
      <c r="Y38" s="26"/>
      <c r="Z38" s="26"/>
    </row>
    <row r="39" spans="1:26" ht="21.75" customHeight="1" x14ac:dyDescent="0.3">
      <c r="A39" s="26"/>
      <c r="B39" s="26"/>
      <c r="C39" s="26"/>
      <c r="D39" s="26"/>
      <c r="E39" s="26"/>
      <c r="F39" s="91">
        <v>36</v>
      </c>
      <c r="G39" s="106">
        <f>SUM(Cashflows!$N$4:N39)</f>
        <v>344.85010931984226</v>
      </c>
      <c r="H39" s="137" t="str">
        <f>IF(AND(F39&lt;='Premium Calculation'!$B$8,G39&gt;=0),"Yes","No")</f>
        <v>No</v>
      </c>
      <c r="I39" s="26"/>
      <c r="J39" s="26"/>
      <c r="K39" s="26"/>
      <c r="L39" s="26"/>
      <c r="M39" s="26"/>
      <c r="N39" s="26"/>
      <c r="O39" s="26"/>
      <c r="P39" s="26"/>
      <c r="Q39" s="26"/>
      <c r="R39" s="26"/>
      <c r="S39" s="26"/>
      <c r="T39" s="26"/>
      <c r="U39" s="26"/>
      <c r="V39" s="26"/>
      <c r="W39" s="26"/>
      <c r="X39" s="26"/>
      <c r="Y39" s="26"/>
      <c r="Z39" s="26"/>
    </row>
    <row r="40" spans="1:26" ht="21.75" customHeight="1" x14ac:dyDescent="0.3">
      <c r="A40" s="26"/>
      <c r="B40" s="26"/>
      <c r="C40" s="26"/>
      <c r="D40" s="26"/>
      <c r="E40" s="26"/>
      <c r="F40" s="91">
        <v>37</v>
      </c>
      <c r="G40" s="106">
        <f>SUM(Cashflows!$N$4:N40)</f>
        <v>344.85010931984226</v>
      </c>
      <c r="H40" s="137" t="str">
        <f>IF(AND(F40&lt;='Premium Calculation'!$B$8,G40&gt;=0),"Yes","No")</f>
        <v>No</v>
      </c>
      <c r="I40" s="26"/>
      <c r="J40" s="26"/>
      <c r="K40" s="26"/>
      <c r="L40" s="26"/>
      <c r="M40" s="26"/>
      <c r="N40" s="26"/>
      <c r="O40" s="26"/>
      <c r="P40" s="26"/>
      <c r="Q40" s="26"/>
      <c r="R40" s="26"/>
      <c r="S40" s="26"/>
      <c r="T40" s="26"/>
      <c r="U40" s="26"/>
      <c r="V40" s="26"/>
      <c r="W40" s="26"/>
      <c r="X40" s="26"/>
      <c r="Y40" s="26"/>
      <c r="Z40" s="26"/>
    </row>
    <row r="41" spans="1:26" ht="21.75" customHeight="1" x14ac:dyDescent="0.3">
      <c r="A41" s="26"/>
      <c r="B41" s="26"/>
      <c r="C41" s="26"/>
      <c r="D41" s="26"/>
      <c r="E41" s="26"/>
      <c r="F41" s="91">
        <v>38</v>
      </c>
      <c r="G41" s="106">
        <f>SUM(Cashflows!$N$4:N41)</f>
        <v>344.85010931984226</v>
      </c>
      <c r="H41" s="137" t="str">
        <f>IF(AND(F41&lt;='Premium Calculation'!$B$8,G41&gt;=0),"Yes","No")</f>
        <v>No</v>
      </c>
      <c r="I41" s="26"/>
      <c r="J41" s="26"/>
      <c r="K41" s="26"/>
      <c r="L41" s="26"/>
      <c r="M41" s="26"/>
      <c r="N41" s="26"/>
      <c r="O41" s="26"/>
      <c r="P41" s="26"/>
      <c r="Q41" s="26"/>
      <c r="R41" s="26"/>
      <c r="S41" s="26"/>
      <c r="T41" s="26"/>
      <c r="U41" s="26"/>
      <c r="V41" s="26"/>
      <c r="W41" s="26"/>
      <c r="X41" s="26"/>
      <c r="Y41" s="26"/>
      <c r="Z41" s="26"/>
    </row>
    <row r="42" spans="1:26" ht="21.75" customHeight="1" x14ac:dyDescent="0.3">
      <c r="A42" s="26"/>
      <c r="B42" s="26"/>
      <c r="C42" s="26"/>
      <c r="D42" s="26"/>
      <c r="E42" s="26"/>
      <c r="F42" s="91">
        <v>39</v>
      </c>
      <c r="G42" s="106">
        <f>SUM(Cashflows!$N$4:N42)</f>
        <v>344.85010931984226</v>
      </c>
      <c r="H42" s="137" t="str">
        <f>IF(AND(F42&lt;='Premium Calculation'!$B$8,G42&gt;=0),"Yes","No")</f>
        <v>No</v>
      </c>
      <c r="I42" s="26"/>
      <c r="J42" s="26"/>
      <c r="K42" s="26"/>
      <c r="L42" s="26"/>
      <c r="M42" s="26"/>
      <c r="N42" s="26"/>
      <c r="O42" s="26"/>
      <c r="P42" s="26"/>
      <c r="Q42" s="26"/>
      <c r="R42" s="26"/>
      <c r="S42" s="26"/>
      <c r="T42" s="26"/>
      <c r="U42" s="26"/>
      <c r="V42" s="26"/>
      <c r="W42" s="26"/>
      <c r="X42" s="26"/>
      <c r="Y42" s="26"/>
      <c r="Z42" s="26"/>
    </row>
    <row r="43" spans="1:26" ht="21.75" customHeight="1" thickBot="1" x14ac:dyDescent="0.35">
      <c r="A43" s="26"/>
      <c r="B43" s="26"/>
      <c r="C43" s="26"/>
      <c r="D43" s="26"/>
      <c r="E43" s="26"/>
      <c r="F43" s="95">
        <v>40</v>
      </c>
      <c r="G43" s="122">
        <f>SUM(Cashflows!$N$4:N43)</f>
        <v>344.85010931984226</v>
      </c>
      <c r="H43" s="138" t="str">
        <f>IF(AND(F43&lt;='Premium Calculation'!$B$8,G43&gt;=0),"Yes","No")</f>
        <v>No</v>
      </c>
      <c r="I43" s="26"/>
      <c r="J43" s="26"/>
      <c r="K43" s="26"/>
      <c r="L43" s="26"/>
      <c r="M43" s="26"/>
      <c r="N43" s="26"/>
      <c r="O43" s="26"/>
      <c r="P43" s="26"/>
      <c r="Q43" s="26"/>
      <c r="R43" s="26"/>
      <c r="S43" s="26"/>
      <c r="T43" s="26"/>
      <c r="U43" s="26"/>
      <c r="V43" s="26"/>
      <c r="W43" s="26"/>
      <c r="X43" s="26"/>
      <c r="Y43" s="26"/>
      <c r="Z43" s="26"/>
    </row>
    <row r="44" spans="1:26" ht="21.75" customHeight="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21.75" customHeight="1" x14ac:dyDescent="0.3">
      <c r="A45" s="28"/>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21.75" customHeight="1"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21.75" customHeight="1" x14ac:dyDescent="0.3">
      <c r="A47" s="473"/>
      <c r="B47" s="473"/>
      <c r="C47" s="473"/>
      <c r="D47" s="473"/>
      <c r="E47" s="473"/>
      <c r="F47" s="473"/>
      <c r="G47" s="473"/>
      <c r="H47" s="473"/>
      <c r="I47" s="26"/>
      <c r="J47" s="26"/>
      <c r="K47" s="26"/>
      <c r="L47" s="26"/>
      <c r="M47" s="26"/>
      <c r="N47" s="26"/>
      <c r="O47" s="26"/>
      <c r="P47" s="26"/>
      <c r="Q47" s="26"/>
      <c r="R47" s="26"/>
      <c r="S47" s="26"/>
      <c r="T47" s="26"/>
      <c r="U47" s="26"/>
      <c r="V47" s="26"/>
      <c r="W47" s="26"/>
      <c r="X47" s="26"/>
      <c r="Y47" s="26"/>
      <c r="Z47" s="26"/>
    </row>
    <row r="48" spans="1:26" x14ac:dyDescent="0.3">
      <c r="A48" s="26"/>
      <c r="B48" s="100"/>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39.75" customHeight="1" x14ac:dyDescent="0.3">
      <c r="A50" s="99"/>
      <c r="B50" s="99"/>
      <c r="C50" s="99"/>
      <c r="D50" s="99"/>
      <c r="E50" s="99"/>
      <c r="F50" s="99"/>
      <c r="G50" s="99"/>
      <c r="H50" s="26"/>
      <c r="I50" s="26"/>
      <c r="J50" s="26"/>
      <c r="K50" s="26"/>
      <c r="L50" s="26"/>
      <c r="M50" s="26"/>
      <c r="N50" s="26"/>
      <c r="O50" s="26"/>
      <c r="P50" s="26"/>
      <c r="Q50" s="26"/>
      <c r="R50" s="26"/>
      <c r="S50" s="26"/>
      <c r="T50" s="26"/>
      <c r="U50" s="26"/>
      <c r="V50" s="26"/>
      <c r="W50" s="26"/>
      <c r="X50" s="26"/>
      <c r="Y50" s="26"/>
      <c r="Z50" s="26"/>
    </row>
    <row r="51" spans="1:26" x14ac:dyDescent="0.3">
      <c r="A51" s="26"/>
      <c r="B51" s="26"/>
      <c r="C51" s="131"/>
      <c r="D51" s="131"/>
      <c r="E51" s="131"/>
      <c r="F51" s="132"/>
      <c r="G51" s="132"/>
      <c r="H51" s="26"/>
      <c r="I51" s="26"/>
      <c r="J51" s="26"/>
      <c r="K51" s="26"/>
      <c r="L51" s="26"/>
      <c r="M51" s="26"/>
      <c r="N51" s="26"/>
      <c r="O51" s="26"/>
      <c r="P51" s="26"/>
      <c r="Q51" s="26"/>
      <c r="R51" s="26"/>
      <c r="S51" s="26"/>
      <c r="T51" s="26"/>
      <c r="U51" s="26"/>
      <c r="V51" s="26"/>
      <c r="W51" s="26"/>
      <c r="X51" s="26"/>
      <c r="Y51" s="26"/>
      <c r="Z51" s="26"/>
    </row>
    <row r="52" spans="1:26" x14ac:dyDescent="0.3">
      <c r="A52" s="26"/>
      <c r="B52" s="26"/>
      <c r="C52" s="131"/>
      <c r="D52" s="131"/>
      <c r="E52" s="131"/>
      <c r="F52" s="132"/>
      <c r="G52" s="132"/>
      <c r="H52" s="26"/>
      <c r="I52" s="26"/>
      <c r="J52" s="26"/>
      <c r="K52" s="26"/>
      <c r="L52" s="26"/>
      <c r="M52" s="26"/>
      <c r="N52" s="26"/>
      <c r="O52" s="26"/>
      <c r="P52" s="26"/>
      <c r="Q52" s="26"/>
      <c r="R52" s="26"/>
      <c r="S52" s="26"/>
      <c r="T52" s="26"/>
      <c r="U52" s="26"/>
      <c r="V52" s="26"/>
      <c r="W52" s="26"/>
      <c r="X52" s="26"/>
      <c r="Y52" s="26"/>
      <c r="Z52" s="26"/>
    </row>
    <row r="53" spans="1:26" x14ac:dyDescent="0.3">
      <c r="A53" s="26"/>
      <c r="B53" s="26"/>
      <c r="C53" s="131"/>
      <c r="D53" s="131"/>
      <c r="E53" s="131"/>
      <c r="F53" s="132"/>
      <c r="G53" s="132"/>
      <c r="H53" s="26"/>
      <c r="I53" s="26"/>
      <c r="J53" s="26"/>
      <c r="K53" s="26"/>
      <c r="L53" s="26"/>
      <c r="M53" s="26"/>
      <c r="N53" s="26"/>
      <c r="O53" s="26"/>
      <c r="P53" s="26"/>
      <c r="Q53" s="26"/>
      <c r="R53" s="26"/>
      <c r="S53" s="26"/>
      <c r="T53" s="26"/>
      <c r="U53" s="26"/>
      <c r="V53" s="26"/>
      <c r="W53" s="26"/>
      <c r="X53" s="26"/>
      <c r="Y53" s="26"/>
      <c r="Z53" s="26"/>
    </row>
    <row r="54" spans="1:26" x14ac:dyDescent="0.3">
      <c r="A54" s="26"/>
      <c r="B54" s="26"/>
      <c r="C54" s="131"/>
      <c r="D54" s="131"/>
      <c r="E54" s="131"/>
      <c r="F54" s="132"/>
      <c r="G54" s="132"/>
      <c r="H54" s="26"/>
      <c r="I54" s="26"/>
      <c r="J54" s="26"/>
      <c r="K54" s="26"/>
      <c r="L54" s="26"/>
      <c r="M54" s="26"/>
      <c r="N54" s="26"/>
      <c r="O54" s="26"/>
      <c r="P54" s="26"/>
      <c r="Q54" s="26"/>
      <c r="R54" s="26"/>
      <c r="S54" s="26"/>
      <c r="T54" s="26"/>
      <c r="U54" s="26"/>
      <c r="V54" s="26"/>
      <c r="W54" s="26"/>
      <c r="X54" s="26"/>
      <c r="Y54" s="26"/>
      <c r="Z54" s="26"/>
    </row>
    <row r="55" spans="1:26" x14ac:dyDescent="0.3">
      <c r="A55" s="26"/>
      <c r="B55" s="26"/>
      <c r="C55" s="131"/>
      <c r="D55" s="131"/>
      <c r="E55" s="131"/>
      <c r="F55" s="132"/>
      <c r="G55" s="132"/>
      <c r="H55" s="26"/>
      <c r="I55" s="26"/>
      <c r="J55" s="26"/>
      <c r="K55" s="26"/>
      <c r="L55" s="26"/>
      <c r="M55" s="26"/>
      <c r="N55" s="26"/>
      <c r="O55" s="26"/>
      <c r="P55" s="26"/>
      <c r="Q55" s="26"/>
      <c r="R55" s="26"/>
      <c r="S55" s="26"/>
      <c r="T55" s="26"/>
      <c r="U55" s="26"/>
      <c r="V55" s="26"/>
      <c r="W55" s="26"/>
      <c r="X55" s="26"/>
      <c r="Y55" s="26"/>
      <c r="Z55" s="26"/>
    </row>
    <row r="56" spans="1:26" x14ac:dyDescent="0.3">
      <c r="A56" s="26"/>
      <c r="B56" s="26"/>
      <c r="C56" s="131"/>
      <c r="D56" s="131"/>
      <c r="E56" s="131"/>
      <c r="F56" s="132"/>
      <c r="G56" s="132"/>
      <c r="H56" s="26"/>
      <c r="I56" s="26"/>
      <c r="J56" s="26"/>
      <c r="K56" s="26"/>
      <c r="L56" s="26"/>
      <c r="M56" s="26"/>
      <c r="N56" s="26"/>
      <c r="O56" s="26"/>
      <c r="P56" s="26"/>
      <c r="Q56" s="26"/>
      <c r="R56" s="26"/>
      <c r="S56" s="26"/>
      <c r="T56" s="26"/>
      <c r="U56" s="26"/>
      <c r="V56" s="26"/>
      <c r="W56" s="26"/>
      <c r="X56" s="26"/>
      <c r="Y56" s="26"/>
      <c r="Z56" s="26"/>
    </row>
    <row r="57" spans="1:26" x14ac:dyDescent="0.3">
      <c r="A57" s="26"/>
      <c r="B57" s="26"/>
      <c r="C57" s="131"/>
      <c r="D57" s="131"/>
      <c r="E57" s="131"/>
      <c r="F57" s="132"/>
      <c r="G57" s="132"/>
      <c r="H57" s="26"/>
      <c r="I57" s="26"/>
      <c r="J57" s="26"/>
      <c r="K57" s="26"/>
      <c r="L57" s="26"/>
      <c r="M57" s="26"/>
      <c r="N57" s="26"/>
      <c r="O57" s="26"/>
      <c r="P57" s="26"/>
      <c r="Q57" s="26"/>
      <c r="R57" s="26"/>
      <c r="S57" s="26"/>
      <c r="T57" s="26"/>
      <c r="U57" s="26"/>
      <c r="V57" s="26"/>
      <c r="W57" s="26"/>
      <c r="X57" s="26"/>
      <c r="Y57" s="26"/>
      <c r="Z57" s="26"/>
    </row>
    <row r="58" spans="1:26" x14ac:dyDescent="0.3">
      <c r="A58" s="26"/>
      <c r="B58" s="26"/>
      <c r="C58" s="131"/>
      <c r="D58" s="131"/>
      <c r="E58" s="131"/>
      <c r="F58" s="132"/>
      <c r="G58" s="132"/>
      <c r="H58" s="26"/>
      <c r="I58" s="26"/>
      <c r="J58" s="26"/>
      <c r="K58" s="26"/>
      <c r="L58" s="26"/>
      <c r="M58" s="26"/>
      <c r="N58" s="26"/>
      <c r="O58" s="26"/>
      <c r="P58" s="26"/>
      <c r="Q58" s="26"/>
      <c r="R58" s="26"/>
      <c r="S58" s="26"/>
      <c r="T58" s="26"/>
      <c r="U58" s="26"/>
      <c r="V58" s="26"/>
      <c r="W58" s="26"/>
      <c r="X58" s="26"/>
      <c r="Y58" s="26"/>
      <c r="Z58" s="26"/>
    </row>
    <row r="59" spans="1:26" x14ac:dyDescent="0.3">
      <c r="A59" s="26"/>
      <c r="B59" s="26"/>
      <c r="C59" s="131"/>
      <c r="D59" s="131"/>
      <c r="E59" s="131"/>
      <c r="F59" s="132"/>
      <c r="G59" s="132"/>
      <c r="H59" s="26"/>
      <c r="I59" s="26"/>
      <c r="J59" s="26"/>
      <c r="K59" s="26"/>
      <c r="L59" s="26"/>
      <c r="M59" s="26"/>
      <c r="N59" s="26"/>
      <c r="O59" s="26"/>
      <c r="P59" s="26"/>
      <c r="Q59" s="26"/>
      <c r="R59" s="26"/>
      <c r="S59" s="26"/>
      <c r="T59" s="26"/>
      <c r="U59" s="26"/>
      <c r="V59" s="26"/>
      <c r="W59" s="26"/>
      <c r="X59" s="26"/>
      <c r="Y59" s="26"/>
      <c r="Z59" s="26"/>
    </row>
    <row r="60" spans="1:26"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39.75" customHeight="1" x14ac:dyDescent="0.3">
      <c r="A63" s="99"/>
      <c r="B63" s="99"/>
      <c r="C63" s="99"/>
      <c r="D63" s="99"/>
      <c r="E63" s="26"/>
      <c r="F63" s="26"/>
      <c r="G63" s="26"/>
      <c r="H63" s="26"/>
      <c r="I63" s="26"/>
      <c r="J63" s="26"/>
      <c r="K63" s="26"/>
      <c r="L63" s="26"/>
      <c r="M63" s="26"/>
      <c r="N63" s="26"/>
      <c r="O63" s="26"/>
      <c r="P63" s="26"/>
      <c r="Q63" s="26"/>
      <c r="R63" s="26"/>
      <c r="S63" s="26"/>
      <c r="T63" s="26"/>
      <c r="U63" s="26"/>
      <c r="V63" s="26"/>
      <c r="W63" s="26"/>
      <c r="X63" s="26"/>
      <c r="Y63" s="26"/>
      <c r="Z63" s="26"/>
    </row>
    <row r="64" spans="1:26" x14ac:dyDescent="0.3">
      <c r="A64" s="26"/>
      <c r="B64" s="101"/>
      <c r="C64" s="130"/>
      <c r="D64" s="133"/>
      <c r="E64" s="26"/>
      <c r="F64" s="26"/>
      <c r="G64" s="26"/>
      <c r="H64" s="26"/>
      <c r="I64" s="26"/>
      <c r="J64" s="26"/>
      <c r="K64" s="26"/>
      <c r="L64" s="26"/>
      <c r="M64" s="26"/>
      <c r="N64" s="26"/>
      <c r="O64" s="26"/>
      <c r="P64" s="26"/>
      <c r="Q64" s="26"/>
      <c r="R64" s="26"/>
      <c r="S64" s="26"/>
      <c r="T64" s="26"/>
      <c r="U64" s="26"/>
      <c r="V64" s="26"/>
      <c r="W64" s="26"/>
      <c r="X64" s="26"/>
      <c r="Y64" s="26"/>
      <c r="Z64" s="26"/>
    </row>
    <row r="65" spans="1:26" x14ac:dyDescent="0.3">
      <c r="A65" s="26"/>
      <c r="B65" s="101"/>
      <c r="C65" s="130"/>
      <c r="D65" s="133"/>
      <c r="E65" s="26"/>
      <c r="F65" s="26"/>
      <c r="G65" s="26"/>
      <c r="H65" s="26"/>
      <c r="I65" s="26"/>
      <c r="J65" s="26"/>
      <c r="K65" s="26"/>
      <c r="L65" s="26"/>
      <c r="M65" s="26"/>
      <c r="N65" s="26"/>
      <c r="O65" s="26"/>
      <c r="P65" s="26"/>
      <c r="Q65" s="26"/>
      <c r="R65" s="26"/>
      <c r="S65" s="26"/>
      <c r="T65" s="26"/>
      <c r="U65" s="26"/>
      <c r="V65" s="26"/>
      <c r="W65" s="26"/>
      <c r="X65" s="26"/>
      <c r="Y65" s="26"/>
      <c r="Z65" s="26"/>
    </row>
    <row r="66" spans="1:26" x14ac:dyDescent="0.3">
      <c r="A66" s="26"/>
      <c r="B66" s="101"/>
      <c r="C66" s="130"/>
      <c r="D66" s="133"/>
      <c r="E66" s="26"/>
      <c r="F66" s="26"/>
      <c r="G66" s="26"/>
      <c r="H66" s="26"/>
      <c r="I66" s="26"/>
      <c r="J66" s="26"/>
      <c r="K66" s="26"/>
      <c r="L66" s="26"/>
      <c r="M66" s="26"/>
      <c r="N66" s="26"/>
      <c r="O66" s="26"/>
      <c r="P66" s="26"/>
      <c r="Q66" s="26"/>
      <c r="R66" s="26"/>
      <c r="S66" s="26"/>
      <c r="T66" s="26"/>
      <c r="U66" s="26"/>
      <c r="V66" s="26"/>
      <c r="W66" s="26"/>
      <c r="X66" s="26"/>
      <c r="Y66" s="26"/>
      <c r="Z66" s="26"/>
    </row>
    <row r="67" spans="1:26"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39.75" customHeight="1" x14ac:dyDescent="0.3">
      <c r="A69" s="99"/>
      <c r="B69" s="99"/>
      <c r="C69" s="99"/>
      <c r="D69" s="99"/>
      <c r="E69" s="26"/>
      <c r="F69" s="26"/>
      <c r="G69" s="26"/>
      <c r="H69" s="26"/>
      <c r="I69" s="26"/>
      <c r="J69" s="26"/>
      <c r="K69" s="26"/>
      <c r="L69" s="26"/>
      <c r="M69" s="26"/>
      <c r="N69" s="26"/>
      <c r="O69" s="26"/>
      <c r="P69" s="26"/>
      <c r="Q69" s="26"/>
      <c r="R69" s="26"/>
      <c r="S69" s="26"/>
      <c r="T69" s="26"/>
      <c r="U69" s="26"/>
      <c r="V69" s="26"/>
      <c r="W69" s="26"/>
      <c r="X69" s="26"/>
      <c r="Y69" s="26"/>
      <c r="Z69" s="26"/>
    </row>
    <row r="70" spans="1:26" x14ac:dyDescent="0.3">
      <c r="A70" s="26"/>
      <c r="B70" s="101"/>
      <c r="C70" s="130"/>
      <c r="D70" s="133"/>
      <c r="E70" s="26"/>
      <c r="F70" s="26"/>
      <c r="G70" s="26"/>
      <c r="H70" s="26"/>
      <c r="I70" s="26"/>
      <c r="J70" s="26"/>
      <c r="K70" s="26"/>
      <c r="L70" s="26"/>
      <c r="M70" s="26"/>
      <c r="N70" s="26"/>
      <c r="O70" s="26"/>
      <c r="P70" s="26"/>
      <c r="Q70" s="26"/>
      <c r="R70" s="26"/>
      <c r="S70" s="26"/>
      <c r="T70" s="26"/>
      <c r="U70" s="26"/>
      <c r="V70" s="26"/>
      <c r="W70" s="26"/>
      <c r="X70" s="26"/>
      <c r="Y70" s="26"/>
      <c r="Z70" s="26"/>
    </row>
    <row r="71" spans="1:26" x14ac:dyDescent="0.3">
      <c r="A71" s="26"/>
      <c r="B71" s="101"/>
      <c r="C71" s="130"/>
      <c r="D71" s="133"/>
      <c r="E71" s="26"/>
      <c r="F71" s="26"/>
      <c r="G71" s="26"/>
      <c r="H71" s="26"/>
      <c r="I71" s="26"/>
      <c r="J71" s="26"/>
      <c r="K71" s="26"/>
      <c r="L71" s="26"/>
      <c r="M71" s="26"/>
      <c r="N71" s="26"/>
      <c r="O71" s="26"/>
      <c r="P71" s="26"/>
      <c r="Q71" s="26"/>
      <c r="R71" s="26"/>
      <c r="S71" s="26"/>
      <c r="T71" s="26"/>
      <c r="U71" s="26"/>
      <c r="V71" s="26"/>
      <c r="W71" s="26"/>
      <c r="X71" s="26"/>
      <c r="Y71" s="26"/>
      <c r="Z71" s="26"/>
    </row>
    <row r="72" spans="1:26" x14ac:dyDescent="0.3">
      <c r="A72" s="26"/>
      <c r="B72" s="101"/>
      <c r="C72" s="130"/>
      <c r="D72" s="133"/>
      <c r="E72" s="26"/>
      <c r="F72" s="26"/>
      <c r="G72" s="26"/>
      <c r="H72" s="26"/>
      <c r="I72" s="26"/>
      <c r="J72" s="26"/>
      <c r="K72" s="26"/>
      <c r="L72" s="26"/>
      <c r="M72" s="26"/>
      <c r="N72" s="26"/>
      <c r="O72" s="26"/>
      <c r="P72" s="26"/>
      <c r="Q72" s="26"/>
      <c r="R72" s="26"/>
      <c r="S72" s="26"/>
      <c r="T72" s="26"/>
      <c r="U72" s="26"/>
      <c r="V72" s="26"/>
      <c r="W72" s="26"/>
      <c r="X72" s="26"/>
      <c r="Y72" s="26"/>
      <c r="Z72" s="26"/>
    </row>
  </sheetData>
  <mergeCells count="5">
    <mergeCell ref="A1:H1"/>
    <mergeCell ref="A47:H47"/>
    <mergeCell ref="A14:E14"/>
    <mergeCell ref="A16:E16"/>
    <mergeCell ref="A18:E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C90"/>
  <sheetViews>
    <sheetView zoomScaleNormal="100" workbookViewId="0">
      <selection activeCell="A81" sqref="A81"/>
    </sheetView>
  </sheetViews>
  <sheetFormatPr defaultColWidth="8.6328125" defaultRowHeight="13" x14ac:dyDescent="0.3"/>
  <cols>
    <col min="1" max="1" width="22" style="5" customWidth="1"/>
    <col min="2" max="2" width="10" style="5" customWidth="1"/>
    <col min="3" max="4" width="15" style="5" customWidth="1"/>
    <col min="5" max="5" width="12" style="5" customWidth="1"/>
    <col min="6" max="6" width="15" style="5" customWidth="1"/>
    <col min="7" max="7" width="14" style="5" customWidth="1"/>
    <col min="8" max="8" width="10" style="5" customWidth="1"/>
    <col min="9" max="9" width="11" style="5" customWidth="1"/>
    <col min="10" max="11" width="12" style="5" customWidth="1"/>
    <col min="12" max="12" width="22" style="5" customWidth="1"/>
    <col min="13" max="16384" width="8.6328125" style="5"/>
  </cols>
  <sheetData>
    <row r="1" spans="1:133" ht="28" customHeight="1" x14ac:dyDescent="0.45">
      <c r="A1" s="23" t="s">
        <v>543</v>
      </c>
      <c r="B1" s="23"/>
      <c r="C1" s="23"/>
      <c r="D1" s="23"/>
      <c r="E1" s="23"/>
      <c r="F1" s="23"/>
      <c r="G1" s="23"/>
      <c r="H1" s="23"/>
      <c r="I1" s="23"/>
      <c r="J1" s="23"/>
      <c r="K1" s="23"/>
      <c r="L1" s="23"/>
      <c r="M1" s="23"/>
      <c r="N1" s="143"/>
      <c r="O1" s="143"/>
      <c r="P1" s="143"/>
      <c r="Q1" s="143"/>
      <c r="R1" s="143"/>
      <c r="S1" s="143"/>
      <c r="T1" s="143"/>
      <c r="U1" s="143"/>
      <c r="V1" s="143"/>
      <c r="W1" s="143"/>
      <c r="X1" s="143"/>
      <c r="Y1" s="143"/>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row>
    <row r="2" spans="1:133" ht="15" customHeight="1" x14ac:dyDescent="0.3">
      <c r="A2" s="479" t="s">
        <v>709</v>
      </c>
      <c r="B2" s="480"/>
      <c r="C2" s="480"/>
      <c r="D2" s="480"/>
      <c r="E2" s="480"/>
      <c r="F2" s="480"/>
      <c r="G2" s="480"/>
      <c r="H2" s="480"/>
      <c r="I2" s="480"/>
      <c r="J2" s="480"/>
      <c r="K2" s="480"/>
      <c r="L2" s="480"/>
      <c r="M2" s="26"/>
    </row>
    <row r="3" spans="1:133" ht="15" customHeight="1" x14ac:dyDescent="0.3">
      <c r="A3" s="479" t="s">
        <v>710</v>
      </c>
      <c r="B3" s="480"/>
      <c r="C3" s="480"/>
      <c r="D3" s="480"/>
      <c r="E3" s="480"/>
      <c r="F3" s="480"/>
      <c r="G3" s="480"/>
      <c r="H3" s="480"/>
      <c r="I3" s="480"/>
      <c r="J3" s="480"/>
      <c r="K3" s="480"/>
      <c r="L3" s="480"/>
      <c r="M3" s="26"/>
    </row>
    <row r="4" spans="1:133" ht="13.5" thickBot="1" x14ac:dyDescent="0.35">
      <c r="A4" s="26"/>
      <c r="B4" s="26"/>
      <c r="C4" s="26"/>
      <c r="D4" s="26"/>
      <c r="E4" s="26"/>
      <c r="F4" s="26"/>
      <c r="G4" s="26"/>
      <c r="H4" s="26"/>
      <c r="I4" s="26"/>
      <c r="J4" s="26"/>
      <c r="K4" s="26"/>
      <c r="L4" s="26"/>
      <c r="M4" s="26"/>
    </row>
    <row r="5" spans="1:133" ht="13.5" thickBot="1" x14ac:dyDescent="0.35">
      <c r="A5" s="164" t="s">
        <v>711</v>
      </c>
      <c r="B5" s="165"/>
      <c r="C5" s="165"/>
      <c r="D5" s="165"/>
      <c r="E5" s="165"/>
      <c r="F5" s="165"/>
      <c r="G5" s="165"/>
      <c r="H5" s="165"/>
      <c r="I5" s="166"/>
      <c r="J5" s="150"/>
      <c r="K5" s="150"/>
      <c r="L5" s="150"/>
      <c r="M5" s="26"/>
    </row>
    <row r="6" spans="1:133" ht="39.5" thickBot="1" x14ac:dyDescent="0.35">
      <c r="A6" s="161" t="s">
        <v>712</v>
      </c>
      <c r="B6" s="162"/>
      <c r="C6" s="162" t="s">
        <v>713</v>
      </c>
      <c r="D6" s="162"/>
      <c r="E6" s="162" t="s">
        <v>84</v>
      </c>
      <c r="F6" s="162" t="s">
        <v>714</v>
      </c>
      <c r="G6" s="162"/>
      <c r="H6" s="162" t="s">
        <v>84</v>
      </c>
      <c r="I6" s="163" t="s">
        <v>66</v>
      </c>
      <c r="J6" s="26"/>
      <c r="K6" s="26"/>
      <c r="L6" s="26"/>
      <c r="M6" s="26"/>
    </row>
    <row r="7" spans="1:133" x14ac:dyDescent="0.3">
      <c r="A7" s="157" t="s">
        <v>80</v>
      </c>
      <c r="B7" s="155"/>
      <c r="C7" s="158" t="str">
        <f>_xlfn.XLOOKUP(MIN($H$19:$H$21),$H$19:$H$21,$A$19:$A$21)</f>
        <v>Direct</v>
      </c>
      <c r="D7" s="155"/>
      <c r="E7" s="159">
        <f>MIN($H$19:$H$21)</f>
        <v>2.7449464304419736E-2</v>
      </c>
      <c r="F7" s="158" t="str">
        <f>_xlfn.XLOOKUP(MAX($H$19:$H$21),$H$19:$H$21,$A$19:$A$21)</f>
        <v>Bancassurance</v>
      </c>
      <c r="G7" s="155"/>
      <c r="H7" s="159">
        <f>MAX($H$19:$H$21)</f>
        <v>0.11053528754850303</v>
      </c>
      <c r="I7" s="160" t="str">
        <f>_xlfn.XLOOKUP(MIN($H$19:$H$21),$H$19:$H$21,$I$19:$I$21)&amp;" of "&amp;_xlfn.XLOOKUP(MIN($H$19:$H$21),$H$19:$H$21,$B$19:$B$21)</f>
        <v>20 of 52</v>
      </c>
      <c r="J7" s="26"/>
      <c r="K7" s="26"/>
      <c r="L7" s="26"/>
      <c r="M7" s="26"/>
    </row>
    <row r="8" spans="1:133" x14ac:dyDescent="0.3">
      <c r="A8" s="47" t="s">
        <v>85</v>
      </c>
      <c r="B8" s="155"/>
      <c r="C8" s="144" t="str">
        <f>_xlfn.XLOOKUP(MIN($H$26:$H$30),$H$26:$H$30,$A$26:$A$30)</f>
        <v>50-59</v>
      </c>
      <c r="D8" s="155"/>
      <c r="E8" s="145">
        <f>MIN($H$26:$H$30)</f>
        <v>-8.1048406850909319E-2</v>
      </c>
      <c r="F8" s="144" t="str">
        <f>_xlfn.XLOOKUP(MAX($H$26:$H$30),$H$26:$H$30,$A$26:$A$30)</f>
        <v>20-29</v>
      </c>
      <c r="G8" s="155"/>
      <c r="H8" s="145">
        <f>MAX($H$26:$H$30)</f>
        <v>0.23642094658921189</v>
      </c>
      <c r="I8" s="151" t="str">
        <f>_xlfn.XLOOKUP(MIN($H$26:$H$30),$H$26:$H$30,$I$26:$I$30)&amp;" of "&amp;_xlfn.XLOOKUP(MIN($H$26:$H$30),$H$26:$H$30,$B$26:$B$30)</f>
        <v>25 of 32</v>
      </c>
      <c r="J8" s="26"/>
      <c r="K8" s="26"/>
      <c r="L8" s="26"/>
      <c r="M8" s="26"/>
    </row>
    <row r="9" spans="1:133" x14ac:dyDescent="0.3">
      <c r="A9" s="47" t="s">
        <v>7</v>
      </c>
      <c r="B9" s="155"/>
      <c r="C9" s="144" t="str">
        <f>_xlfn.XLOOKUP(MIN($H$35:$H$36),$H$35:$H$36,$A$35:$A$36)</f>
        <v>Male</v>
      </c>
      <c r="D9" s="155"/>
      <c r="E9" s="145">
        <f>MIN($H$35:$H$36)</f>
        <v>6.7523528514754294E-2</v>
      </c>
      <c r="F9" s="144" t="str">
        <f>_xlfn.XLOOKUP(MAX($H$35:$H$36),$H$35:$H$36,$A$35:$A$36)</f>
        <v>Female</v>
      </c>
      <c r="G9" s="155"/>
      <c r="H9" s="145">
        <f>MAX($H$35:$H$36)</f>
        <v>0.10244139170992023</v>
      </c>
      <c r="I9" s="151" t="str">
        <f>_xlfn.XLOOKUP(MIN($H$35:$H$36),$H$35:$H$36,$I$35:$I$36)&amp;" of "&amp;_xlfn.XLOOKUP(MIN($H$35:$H$36),$H$35:$H$36,$B$35:$B$36)</f>
        <v>41 of 108</v>
      </c>
      <c r="J9" s="26"/>
      <c r="K9" s="26"/>
      <c r="L9" s="26"/>
      <c r="M9" s="26"/>
    </row>
    <row r="10" spans="1:133" x14ac:dyDescent="0.3">
      <c r="A10" s="47" t="s">
        <v>11</v>
      </c>
      <c r="B10" s="155"/>
      <c r="C10" s="144" t="str">
        <f>_xlfn.XLOOKUP(MIN($H$41:$H$42),$H$41:$H$42,$A$41:$A$42)</f>
        <v>Smoker</v>
      </c>
      <c r="D10" s="155"/>
      <c r="E10" s="145">
        <f>MIN($H$41:$H$42)</f>
        <v>5.9364413100940323E-2</v>
      </c>
      <c r="F10" s="144" t="str">
        <f>_xlfn.XLOOKUP(MAX($H$41:$H$42),$H$41:$H$42,$A$41:$A$42)</f>
        <v>Non-smoker</v>
      </c>
      <c r="G10" s="155"/>
      <c r="H10" s="145">
        <f>MAX($H$41:$H$42)</f>
        <v>8.7001003770130675E-2</v>
      </c>
      <c r="I10" s="151" t="str">
        <f>_xlfn.XLOOKUP(MIN($H$41:$H$42),$H$41:$H$42,$I$41:$I$42)&amp;" of "&amp;_xlfn.XLOOKUP(MIN($H$41:$H$42),$H$41:$H$42,$B$41:$B$42)</f>
        <v>16 of 33</v>
      </c>
      <c r="J10" s="26"/>
      <c r="K10" s="26"/>
      <c r="L10" s="26"/>
      <c r="M10" s="26"/>
    </row>
    <row r="11" spans="1:133" x14ac:dyDescent="0.3">
      <c r="A11" s="47" t="s">
        <v>86</v>
      </c>
      <c r="B11" s="155"/>
      <c r="C11" s="144" t="str">
        <f>_xlfn.XLOOKUP(MIN($H$47:$H$49),$H$47:$H$49,$A$47:$A$49)</f>
        <v>Rated</v>
      </c>
      <c r="D11" s="155"/>
      <c r="E11" s="145">
        <f>MIN($H$47:$H$49)</f>
        <v>8.3845364962480684E-3</v>
      </c>
      <c r="F11" s="144" t="str">
        <f>_xlfn.XLOOKUP(MAX($H$47:$H$49),$H$47:$H$49,$A$47:$A$49)</f>
        <v>Standard</v>
      </c>
      <c r="G11" s="155"/>
      <c r="H11" s="145">
        <f>MAX($H$47:$H$49)</f>
        <v>9.2842910260835812E-2</v>
      </c>
      <c r="I11" s="151" t="str">
        <f>_xlfn.XLOOKUP(MIN($H$47:$H$49),$H$47:$H$49,$I$47:$I$49)&amp;" of "&amp;_xlfn.XLOOKUP(MIN($H$47:$H$49),$H$47:$H$49,$B$47:$B$49)</f>
        <v>9 of 19</v>
      </c>
      <c r="J11" s="26"/>
      <c r="K11" s="26"/>
      <c r="L11" s="26"/>
      <c r="M11" s="26"/>
    </row>
    <row r="12" spans="1:133" x14ac:dyDescent="0.3">
      <c r="A12" s="47" t="s">
        <v>87</v>
      </c>
      <c r="B12" s="155"/>
      <c r="C12" s="144" t="str">
        <f>_xlfn.XLOOKUP(MIN($H$54:$H$57),$H$54:$H$57,$A$54:$A$57)</f>
        <v>250k-500k</v>
      </c>
      <c r="D12" s="155"/>
      <c r="E12" s="145">
        <f>MIN($H$54:$H$57)</f>
        <v>-9.8554250024512235E-2</v>
      </c>
      <c r="F12" s="144" t="str">
        <f>_xlfn.XLOOKUP(MAX($H$54:$H$57),$H$54:$H$57,$A$54:$A$57)</f>
        <v>Over 1m</v>
      </c>
      <c r="G12" s="155"/>
      <c r="H12" s="145">
        <f>MAX($H$54:$H$57)</f>
        <v>0.26567299711748815</v>
      </c>
      <c r="I12" s="151" t="str">
        <f>_xlfn.XLOOKUP(MIN($H$54:$H$57),$H$54:$H$57,$I$54:$I$57)&amp;" of "&amp;_xlfn.XLOOKUP(MIN($H$54:$H$57),$H$54:$H$57,$B$54:$B$57)</f>
        <v>35 of 61</v>
      </c>
      <c r="J12" s="26"/>
      <c r="K12" s="26"/>
      <c r="L12" s="26"/>
      <c r="M12" s="26"/>
    </row>
    <row r="13" spans="1:133" x14ac:dyDescent="0.3">
      <c r="A13" s="47" t="s">
        <v>25</v>
      </c>
      <c r="B13" s="155"/>
      <c r="C13" s="144" t="str">
        <f>_xlfn.XLOOKUP(MIN($H$62:$H$63),$H$62:$H$63,$A$62:$A$63)</f>
        <v>Monthly</v>
      </c>
      <c r="D13" s="155"/>
      <c r="E13" s="145">
        <f>MIN($H$62:$H$63)</f>
        <v>6.5369441042763113E-2</v>
      </c>
      <c r="F13" s="144" t="str">
        <f>_xlfn.XLOOKUP(MAX($H$62:$H$63),$H$62:$H$63,$A$62:$A$63)</f>
        <v>Annual</v>
      </c>
      <c r="G13" s="155"/>
      <c r="H13" s="145">
        <f>MAX($H$62:$H$63)</f>
        <v>9.6804275027801562E-2</v>
      </c>
      <c r="I13" s="151" t="str">
        <f>_xlfn.XLOOKUP(MIN($H$62:$H$63),$H$62:$H$63,$I$62:$I$63)&amp;" of "&amp;_xlfn.XLOOKUP(MIN($H$62:$H$63),$H$62:$H$63,$B$62:$B$63)</f>
        <v>38 of 93</v>
      </c>
      <c r="J13" s="26"/>
      <c r="K13" s="26"/>
      <c r="L13" s="26"/>
      <c r="M13" s="26"/>
    </row>
    <row r="14" spans="1:133" ht="13.5" thickBot="1" x14ac:dyDescent="0.35">
      <c r="A14" s="63" t="s">
        <v>22</v>
      </c>
      <c r="B14" s="156"/>
      <c r="C14" s="152">
        <f>_xlfn.XLOOKUP(MIN($H$68:$H$71),$H$68:$H$71,$A$68:$A$71)</f>
        <v>25</v>
      </c>
      <c r="D14" s="156"/>
      <c r="E14" s="153">
        <f>MIN($H$68:$H$71)</f>
        <v>-6.1358488711951091E-2</v>
      </c>
      <c r="F14" s="152">
        <f>_xlfn.XLOOKUP(MAX($H$68:$H$71),$H$68:$H$71,$A$68:$A$71)</f>
        <v>10</v>
      </c>
      <c r="G14" s="156"/>
      <c r="H14" s="153">
        <f>MAX($H$68:$H$71)</f>
        <v>0.1838517013464768</v>
      </c>
      <c r="I14" s="154" t="str">
        <f>_xlfn.XLOOKUP(MIN($H$68:$H$71),$H$68:$H$71,$I$68:$I$71)&amp;" of "&amp;_xlfn.XLOOKUP(MIN($H$68:$H$71),$H$68:$H$71,$B$68:$B$71)</f>
        <v>14 of 22</v>
      </c>
      <c r="J14" s="26"/>
      <c r="K14" s="26"/>
      <c r="L14" s="26"/>
      <c r="M14" s="26"/>
    </row>
    <row r="15" spans="1:133" x14ac:dyDescent="0.3">
      <c r="A15" s="26"/>
      <c r="B15" s="26"/>
      <c r="C15" s="26"/>
      <c r="D15" s="26"/>
      <c r="E15" s="26"/>
      <c r="F15" s="26"/>
      <c r="G15" s="26"/>
      <c r="H15" s="26"/>
      <c r="I15" s="26"/>
      <c r="J15" s="26"/>
      <c r="K15" s="26"/>
      <c r="L15" s="26"/>
      <c r="M15" s="26"/>
    </row>
    <row r="16" spans="1:133" ht="13.5" thickBot="1" x14ac:dyDescent="0.35">
      <c r="A16" s="26"/>
      <c r="B16" s="26"/>
      <c r="C16" s="26"/>
      <c r="D16" s="26"/>
      <c r="E16" s="26"/>
      <c r="F16" s="26"/>
      <c r="G16" s="26"/>
      <c r="H16" s="26"/>
      <c r="I16" s="26"/>
      <c r="J16" s="26"/>
      <c r="K16" s="26"/>
      <c r="L16" s="26"/>
      <c r="M16" s="26"/>
    </row>
    <row r="17" spans="1:13" ht="13.5" thickBot="1" x14ac:dyDescent="0.35">
      <c r="A17" s="164" t="s">
        <v>88</v>
      </c>
      <c r="B17" s="165"/>
      <c r="C17" s="165"/>
      <c r="D17" s="165"/>
      <c r="E17" s="165"/>
      <c r="F17" s="165"/>
      <c r="G17" s="165"/>
      <c r="H17" s="165"/>
      <c r="I17" s="165"/>
      <c r="J17" s="165"/>
      <c r="K17" s="165"/>
      <c r="L17" s="166"/>
      <c r="M17" s="26"/>
    </row>
    <row r="18" spans="1:13" ht="26.5" thickBot="1" x14ac:dyDescent="0.35">
      <c r="A18" s="176" t="s">
        <v>80</v>
      </c>
      <c r="B18" s="177" t="s">
        <v>44</v>
      </c>
      <c r="C18" s="177" t="s">
        <v>45</v>
      </c>
      <c r="D18" s="177" t="s">
        <v>82</v>
      </c>
      <c r="E18" s="177" t="s">
        <v>83</v>
      </c>
      <c r="F18" s="177" t="s">
        <v>46</v>
      </c>
      <c r="G18" s="177" t="s">
        <v>47</v>
      </c>
      <c r="H18" s="177" t="s">
        <v>84</v>
      </c>
      <c r="I18" s="177" t="s">
        <v>89</v>
      </c>
      <c r="J18" s="177" t="s">
        <v>90</v>
      </c>
      <c r="K18" s="177" t="s">
        <v>91</v>
      </c>
      <c r="L18" s="178" t="s">
        <v>137</v>
      </c>
      <c r="M18" s="26"/>
    </row>
    <row r="19" spans="1:13" x14ac:dyDescent="0.3">
      <c r="A19" s="157" t="s">
        <v>93</v>
      </c>
      <c r="B19" s="173">
        <f>COUNTIFS('Policy Calculations'!$K$30:$K$279,$A19,'Policy Calculations'!$T$30:$T$279,1)</f>
        <v>52</v>
      </c>
      <c r="C19" s="174">
        <f>SUMIFS('Policy Calculations'!$M$30:$M$279,'Policy Calculations'!$K$30:$K$279,$A19,'Policy Calculations'!$T$30:$T$279,1)</f>
        <v>104688.09999999999</v>
      </c>
      <c r="D19" s="174">
        <f>SUMIFS('Policy Calculations'!$AF$30:$AF$279,'Policy Calculations'!$K$30:$K$279,$A19,'Policy Calculations'!$T$30:$T$279,1)</f>
        <v>112641.42905316124</v>
      </c>
      <c r="E19" s="159">
        <f>IF(D19=0,"",C19/D19)</f>
        <v>0.92939250575906962</v>
      </c>
      <c r="F19" s="174">
        <f>SUMIFS('Policy Calculations'!$AH$30:$AH$279,'Policy Calculations'!$K$30:$K$279,$A19,'Policy Calculations'!$T$30:$T$279,1)</f>
        <v>804459.55994758219</v>
      </c>
      <c r="G19" s="174">
        <f>SUMIFS('Policy Calculations'!$AI$30:$AI$279,'Policy Calculations'!$K$30:$K$279,$A19,'Policy Calculations'!$T$30:$T$279,1)</f>
        <v>22081.983975130366</v>
      </c>
      <c r="H19" s="159">
        <f>IF(F19=0,"",G19/F19)</f>
        <v>2.7449464304419736E-2</v>
      </c>
      <c r="I19" s="173">
        <f>COUNTIFS('Policy Calculations'!$K$30:$K$279,$A19,'Policy Calculations'!$AR$30:$AR$279,"Loss-making")</f>
        <v>20</v>
      </c>
      <c r="J19" s="175">
        <f>IF(B19=0,"",I19/B19)</f>
        <v>0.38461538461538464</v>
      </c>
      <c r="K19" s="175">
        <f>IF('Portfolio Totals'!$B$13=0,"",G19/'Portfolio Totals'!$B$13)</f>
        <v>8.6167796351295303E-2</v>
      </c>
      <c r="L19" s="160" t="str">
        <f>IF(B19=0,"No policies",IF(G19&lt;0,"Loss-making segment",IF(H19&lt;Assumptions!$C$16-0.00001,"Below target","At or above target")))</f>
        <v>Below target</v>
      </c>
      <c r="M19" s="26"/>
    </row>
    <row r="20" spans="1:13" x14ac:dyDescent="0.3">
      <c r="A20" s="47" t="s">
        <v>94</v>
      </c>
      <c r="B20" s="146">
        <f>COUNTIFS('Policy Calculations'!$K$30:$K$279,$A20,'Policy Calculations'!$T$30:$T$279,1)</f>
        <v>52</v>
      </c>
      <c r="C20" s="147">
        <f>SUMIFS('Policy Calculations'!$M$30:$M$279,'Policy Calculations'!$K$30:$K$279,$A20,'Policy Calculations'!$T$30:$T$279,1)</f>
        <v>137646.31000000003</v>
      </c>
      <c r="D20" s="147">
        <f>SUMIFS('Policy Calculations'!$AF$30:$AF$279,'Policy Calculations'!$K$30:$K$279,$A20,'Policy Calculations'!$T$30:$T$279,1)</f>
        <v>138784.97616733835</v>
      </c>
      <c r="E20" s="145">
        <f>IF(D20=0,"",C20/D20)</f>
        <v>0.99179546519527162</v>
      </c>
      <c r="F20" s="147">
        <f>SUMIFS('Policy Calculations'!$AH$30:$AH$279,'Policy Calculations'!$K$30:$K$279,$A20,'Policy Calculations'!$T$30:$T$279,1)</f>
        <v>1043157.6038144177</v>
      </c>
      <c r="G20" s="147">
        <f>SUMIFS('Policy Calculations'!$AI$30:$AI$279,'Policy Calculations'!$K$30:$K$279,$A20,'Policy Calculations'!$T$30:$T$279,1)</f>
        <v>84276.908496200311</v>
      </c>
      <c r="H20" s="145">
        <f>IF(F20=0,"",G20/F20)</f>
        <v>8.079019717445643E-2</v>
      </c>
      <c r="I20" s="146">
        <f>COUNTIFS('Policy Calculations'!$K$30:$K$279,$A20,'Policy Calculations'!$AR$30:$AR$279,"Loss-making")</f>
        <v>23</v>
      </c>
      <c r="J20" s="148">
        <f>IF(B20=0,"",I20/B20)</f>
        <v>0.44230769230769229</v>
      </c>
      <c r="K20" s="148">
        <f>IF('Portfolio Totals'!$B$13=0,"",G20/'Portfolio Totals'!$B$13)</f>
        <v>0.3288633619422987</v>
      </c>
      <c r="L20" s="151" t="str">
        <f>IF(B20=0,"No policies",IF(G20&lt;0,"Loss-making segment",IF(H20&lt;Assumptions!$C$16-0.00001,"Below target","At or above target")))</f>
        <v>At or above target</v>
      </c>
      <c r="M20" s="26"/>
    </row>
    <row r="21" spans="1:13" x14ac:dyDescent="0.3">
      <c r="A21" s="47" t="s">
        <v>28</v>
      </c>
      <c r="B21" s="146">
        <f>COUNTIFS('Policy Calculations'!$K$30:$K$279,$A21,'Policy Calculations'!$T$30:$T$279,1)</f>
        <v>65</v>
      </c>
      <c r="C21" s="147">
        <f>SUMIFS('Policy Calculations'!$M$30:$M$279,'Policy Calculations'!$K$30:$K$279,$A21,'Policy Calculations'!$T$30:$T$279,1)</f>
        <v>187546.49000000002</v>
      </c>
      <c r="D21" s="147">
        <f>SUMIFS('Policy Calculations'!$AF$30:$AF$279,'Policy Calculations'!$K$30:$K$279,$A21,'Policy Calculations'!$T$30:$T$279,1)</f>
        <v>180931.69243639079</v>
      </c>
      <c r="E21" s="145">
        <f>IF(D21=0,"",C21/D21)</f>
        <v>1.0365596401301267</v>
      </c>
      <c r="F21" s="147">
        <f>SUMIFS('Policy Calculations'!$AH$30:$AH$279,'Policy Calculations'!$K$30:$K$279,$A21,'Policy Calculations'!$T$30:$T$279,1)</f>
        <v>1356203.5991709232</v>
      </c>
      <c r="G21" s="147">
        <f>SUMIFS('Policy Calculations'!$AI$30:$AI$279,'Policy Calculations'!$K$30:$K$279,$A21,'Policy Calculations'!$T$30:$T$279,1)</f>
        <v>149908.35480867274</v>
      </c>
      <c r="H21" s="145">
        <f>IF(F21=0,"",G21/F21)</f>
        <v>0.11053528754850303</v>
      </c>
      <c r="I21" s="146">
        <f>COUNTIFS('Policy Calculations'!$K$30:$K$279,$A21,'Policy Calculations'!$AR$30:$AR$279,"Loss-making")</f>
        <v>22</v>
      </c>
      <c r="J21" s="148">
        <f>IF(B21=0,"",I21/B21)</f>
        <v>0.33846153846153848</v>
      </c>
      <c r="K21" s="148">
        <f>IF('Portfolio Totals'!$B$13=0,"",G21/'Portfolio Totals'!$B$13)</f>
        <v>0.58496884170640617</v>
      </c>
      <c r="L21" s="151" t="str">
        <f>IF(B21=0,"No policies",IF(G21&lt;0,"Loss-making segment",IF(H21&lt;Assumptions!$C$16-0.00001,"Below target","At or above target")))</f>
        <v>At or above target</v>
      </c>
      <c r="M21" s="26"/>
    </row>
    <row r="22" spans="1:13" ht="13.5" thickBot="1" x14ac:dyDescent="0.35">
      <c r="A22" s="63" t="s">
        <v>58</v>
      </c>
      <c r="B22" s="167">
        <f>SUM(B19:B21)</f>
        <v>169</v>
      </c>
      <c r="C22" s="168">
        <f>SUM(C19:C21)</f>
        <v>429880.9</v>
      </c>
      <c r="D22" s="168">
        <f>SUM(D19:D21)</f>
        <v>432358.0976568904</v>
      </c>
      <c r="E22" s="169">
        <f>IF(D22=0,"",C22/D22)</f>
        <v>0.99427049552138558</v>
      </c>
      <c r="F22" s="168">
        <f>SUM(F19:F21)</f>
        <v>3203820.7629329232</v>
      </c>
      <c r="G22" s="168">
        <f>SUM(G19:G21)</f>
        <v>256267.24728000342</v>
      </c>
      <c r="H22" s="169">
        <f>IF(F22=0,"",G22/F22)</f>
        <v>7.9988010017578118E-2</v>
      </c>
      <c r="I22" s="167">
        <f>SUM(I19:I21)</f>
        <v>65</v>
      </c>
      <c r="J22" s="170">
        <f>IF(B22=0,"",I22/B22)</f>
        <v>0.38461538461538464</v>
      </c>
      <c r="K22" s="171">
        <f>G22-'Portfolio Totals'!$B$13</f>
        <v>0</v>
      </c>
      <c r="L22" s="172" t="str">
        <f>IF(ABS(K22)&lt;0.01,"Reconciles to portfolio","CHECK")</f>
        <v>Reconciles to portfolio</v>
      </c>
      <c r="M22" s="26"/>
    </row>
    <row r="23" spans="1:13" ht="13.5" thickBot="1" x14ac:dyDescent="0.35">
      <c r="A23" s="26"/>
      <c r="B23" s="26"/>
      <c r="C23" s="26"/>
      <c r="D23" s="26"/>
      <c r="E23" s="26"/>
      <c r="F23" s="26"/>
      <c r="G23" s="26"/>
      <c r="H23" s="26"/>
      <c r="I23" s="26"/>
      <c r="J23" s="26"/>
      <c r="K23" s="26"/>
      <c r="L23" s="26"/>
      <c r="M23" s="26"/>
    </row>
    <row r="24" spans="1:13" ht="13.5" thickBot="1" x14ac:dyDescent="0.35">
      <c r="A24" s="164" t="s">
        <v>95</v>
      </c>
      <c r="B24" s="165"/>
      <c r="C24" s="165"/>
      <c r="D24" s="165"/>
      <c r="E24" s="165"/>
      <c r="F24" s="165"/>
      <c r="G24" s="165"/>
      <c r="H24" s="165"/>
      <c r="I24" s="165"/>
      <c r="J24" s="165"/>
      <c r="K24" s="165"/>
      <c r="L24" s="166"/>
      <c r="M24" s="26"/>
    </row>
    <row r="25" spans="1:13" ht="26.5" thickBot="1" x14ac:dyDescent="0.35">
      <c r="A25" s="176" t="s">
        <v>85</v>
      </c>
      <c r="B25" s="177" t="s">
        <v>44</v>
      </c>
      <c r="C25" s="177" t="s">
        <v>45</v>
      </c>
      <c r="D25" s="177" t="s">
        <v>82</v>
      </c>
      <c r="E25" s="177" t="s">
        <v>83</v>
      </c>
      <c r="F25" s="177" t="s">
        <v>46</v>
      </c>
      <c r="G25" s="177" t="s">
        <v>47</v>
      </c>
      <c r="H25" s="177" t="s">
        <v>84</v>
      </c>
      <c r="I25" s="177" t="s">
        <v>89</v>
      </c>
      <c r="J25" s="177" t="s">
        <v>90</v>
      </c>
      <c r="K25" s="177" t="s">
        <v>91</v>
      </c>
      <c r="L25" s="178" t="s">
        <v>92</v>
      </c>
      <c r="M25" s="26"/>
    </row>
    <row r="26" spans="1:13" x14ac:dyDescent="0.3">
      <c r="A26" s="157" t="s">
        <v>96</v>
      </c>
      <c r="B26" s="173">
        <f>COUNTIFS('Policy Calculations'!$AP$30:$AP$279,$A26,'Policy Calculations'!$T$30:$T$279,1)</f>
        <v>34</v>
      </c>
      <c r="C26" s="174">
        <f>SUMIFS('Policy Calculations'!$M$30:$M$279,'Policy Calculations'!$AP$30:$AP$279,$A26,'Policy Calculations'!$T$30:$T$279,1)</f>
        <v>47484.160000000003</v>
      </c>
      <c r="D26" s="174">
        <f>SUMIFS('Policy Calculations'!$AF$30:$AF$279,'Policy Calculations'!$AP$30:$AP$279,$A26,'Policy Calculations'!$T$30:$T$279,1)</f>
        <v>38941.75220155876</v>
      </c>
      <c r="E26" s="159">
        <f t="shared" ref="E26:E31" si="0">IF(D26=0,"",C26/D26)</f>
        <v>1.2193637244217097</v>
      </c>
      <c r="F26" s="174">
        <f>SUMIFS('Policy Calculations'!$AH$30:$AH$279,'Policy Calculations'!$AP$30:$AP$279,$A26,'Policy Calculations'!$T$30:$T$279,1)</f>
        <v>372230.05932817893</v>
      </c>
      <c r="G26" s="174">
        <f>SUMIFS('Policy Calculations'!$AI$30:$AI$279,'Policy Calculations'!$AP$30:$AP$279,$A26,'Policy Calculations'!$T$30:$T$279,1)</f>
        <v>88002.982975326566</v>
      </c>
      <c r="H26" s="159">
        <f t="shared" ref="H26:H31" si="1">IF(F26=0,"",G26/F26)</f>
        <v>0.23642094658921189</v>
      </c>
      <c r="I26" s="173">
        <f>COUNTIFS('Policy Calculations'!$AP$30:$AP$279,$A26,'Policy Calculations'!$AR$30:$AR$279,"Loss-making")</f>
        <v>5</v>
      </c>
      <c r="J26" s="175">
        <f t="shared" ref="J26:J31" si="2">IF(B26=0,"",I26/B26)</f>
        <v>0.14705882352941177</v>
      </c>
      <c r="K26" s="175">
        <f>IF('Portfolio Totals'!$B$13=0,"",G26/'Portfolio Totals'!$B$13)</f>
        <v>0.34340316177499081</v>
      </c>
      <c r="L26" s="160" t="str">
        <f>IF(B26=0,"No policies",IF(G26&lt;0,"Loss-making segment",IF(H26&lt;Assumptions!$C$16-0.00001,"Below target","At or above target")))</f>
        <v>At or above target</v>
      </c>
      <c r="M26" s="26"/>
    </row>
    <row r="27" spans="1:13" x14ac:dyDescent="0.3">
      <c r="A27" s="47" t="s">
        <v>97</v>
      </c>
      <c r="B27" s="146">
        <f>COUNTIFS('Policy Calculations'!$AP$30:$AP$279,$A27,'Policy Calculations'!$T$30:$T$279,1)</f>
        <v>46</v>
      </c>
      <c r="C27" s="147">
        <f>SUMIFS('Policy Calculations'!$M$30:$M$279,'Policy Calculations'!$AP$30:$AP$279,$A27,'Policy Calculations'!$T$30:$T$279,1)</f>
        <v>77395.169999999984</v>
      </c>
      <c r="D27" s="147">
        <f>SUMIFS('Policy Calculations'!$AF$30:$AF$279,'Policy Calculations'!$AP$30:$AP$279,$A27,'Policy Calculations'!$T$30:$T$279,1)</f>
        <v>74741.95681404791</v>
      </c>
      <c r="E27" s="145">
        <f t="shared" si="0"/>
        <v>1.0354983104409892</v>
      </c>
      <c r="F27" s="147">
        <f>SUMIFS('Policy Calculations'!$AH$30:$AH$279,'Policy Calculations'!$AP$30:$AP$279,$A27,'Policy Calculations'!$T$30:$T$279,1)</f>
        <v>618458.74724724493</v>
      </c>
      <c r="G27" s="147">
        <f>SUMIFS('Policy Calculations'!$AI$30:$AI$279,'Policy Calculations'!$AP$30:$AP$279,$A27,'Policy Calculations'!$T$30:$T$279,1)</f>
        <v>73936.805239300709</v>
      </c>
      <c r="H27" s="145">
        <f t="shared" si="1"/>
        <v>0.1195501002587365</v>
      </c>
      <c r="I27" s="146">
        <f>COUNTIFS('Policy Calculations'!$AP$30:$AP$279,$A27,'Policy Calculations'!$AR$30:$AR$279,"Loss-making")</f>
        <v>9</v>
      </c>
      <c r="J27" s="148">
        <f t="shared" si="2"/>
        <v>0.19565217391304349</v>
      </c>
      <c r="K27" s="148">
        <f>IF('Portfolio Totals'!$B$13=0,"",G27/'Portfolio Totals'!$B$13)</f>
        <v>0.28851445521836699</v>
      </c>
      <c r="L27" s="151" t="str">
        <f>IF(B27=0,"No policies",IF(G27&lt;0,"Loss-making segment",IF(H27&lt;Assumptions!$C$16-0.00001,"Below target","At or above target")))</f>
        <v>At or above target</v>
      </c>
      <c r="M27" s="26"/>
    </row>
    <row r="28" spans="1:13" x14ac:dyDescent="0.3">
      <c r="A28" s="47" t="s">
        <v>98</v>
      </c>
      <c r="B28" s="146">
        <f>COUNTIFS('Policy Calculations'!$AP$30:$AP$279,$A28,'Policy Calculations'!$T$30:$T$279,1)</f>
        <v>41</v>
      </c>
      <c r="C28" s="147">
        <f>SUMIFS('Policy Calculations'!$M$30:$M$279,'Policy Calculations'!$AP$30:$AP$279,$A28,'Policy Calculations'!$T$30:$T$279,1)</f>
        <v>94532.209999999977</v>
      </c>
      <c r="D28" s="147">
        <f>SUMIFS('Policy Calculations'!$AF$30:$AF$279,'Policy Calculations'!$AP$30:$AP$279,$A28,'Policy Calculations'!$T$30:$T$279,1)</f>
        <v>97935.198519748636</v>
      </c>
      <c r="E28" s="145">
        <f t="shared" si="0"/>
        <v>0.96525265102656177</v>
      </c>
      <c r="F28" s="147">
        <f>SUMIFS('Policy Calculations'!$AH$30:$AH$279,'Policy Calculations'!$AP$30:$AP$279,$A28,'Policy Calculations'!$T$30:$T$279,1)</f>
        <v>717786.44501305989</v>
      </c>
      <c r="G28" s="147">
        <f>SUMIFS('Policy Calculations'!$AI$30:$AI$279,'Policy Calculations'!$AP$30:$AP$279,$A28,'Policy Calculations'!$T$30:$T$279,1)</f>
        <v>38243.883252693297</v>
      </c>
      <c r="H28" s="145">
        <f t="shared" si="1"/>
        <v>5.3280308535218243E-2</v>
      </c>
      <c r="I28" s="146">
        <f>COUNTIFS('Policy Calculations'!$AP$30:$AP$279,$A28,'Policy Calculations'!$AR$30:$AR$279,"Loss-making")</f>
        <v>17</v>
      </c>
      <c r="J28" s="148">
        <f t="shared" si="2"/>
        <v>0.41463414634146339</v>
      </c>
      <c r="K28" s="148">
        <f>IF('Portfolio Totals'!$B$13=0,"",G28/'Portfolio Totals'!$B$13)</f>
        <v>0.14923437801205697</v>
      </c>
      <c r="L28" s="151" t="str">
        <f>IF(B28=0,"No policies",IF(G28&lt;0,"Loss-making segment",IF(H28&lt;Assumptions!$C$16-0.00001,"Below target","At or above target")))</f>
        <v>Below target</v>
      </c>
      <c r="M28" s="26"/>
    </row>
    <row r="29" spans="1:13" x14ac:dyDescent="0.3">
      <c r="A29" s="47" t="s">
        <v>99</v>
      </c>
      <c r="B29" s="146">
        <f>COUNTIFS('Policy Calculations'!$AP$30:$AP$279,$A29,'Policy Calculations'!$T$30:$T$279,1)</f>
        <v>32</v>
      </c>
      <c r="C29" s="147">
        <f>SUMIFS('Policy Calculations'!$M$30:$M$279,'Policy Calculations'!$AP$30:$AP$279,$A29,'Policy Calculations'!$T$30:$T$279,1)</f>
        <v>99499.529999999984</v>
      </c>
      <c r="D29" s="147">
        <f>SUMIFS('Policy Calculations'!$AF$30:$AF$279,'Policy Calculations'!$AP$30:$AP$279,$A29,'Policy Calculations'!$T$30:$T$279,1)</f>
        <v>119144.88446335358</v>
      </c>
      <c r="E29" s="145">
        <f t="shared" si="0"/>
        <v>0.83511373944555645</v>
      </c>
      <c r="F29" s="147">
        <f>SUMIFS('Policy Calculations'!$AH$30:$AH$279,'Policy Calculations'!$AP$30:$AP$279,$A29,'Policy Calculations'!$T$30:$T$279,1)</f>
        <v>762946.99543772673</v>
      </c>
      <c r="G29" s="147">
        <f>SUMIFS('Policy Calculations'!$AI$30:$AI$279,'Policy Calculations'!$AP$30:$AP$279,$A29,'Policy Calculations'!$T$30:$T$279,1)</f>
        <v>-61835.638491915735</v>
      </c>
      <c r="H29" s="145">
        <f t="shared" si="1"/>
        <v>-8.1048406850909319E-2</v>
      </c>
      <c r="I29" s="146">
        <f>COUNTIFS('Policy Calculations'!$AP$30:$AP$279,$A29,'Policy Calculations'!$AR$30:$AR$279,"Loss-making")</f>
        <v>25</v>
      </c>
      <c r="J29" s="148">
        <f t="shared" si="2"/>
        <v>0.78125</v>
      </c>
      <c r="K29" s="148">
        <f>IF('Portfolio Totals'!$B$13=0,"",G29/'Portfolio Totals'!$B$13)</f>
        <v>-0.24129356813339758</v>
      </c>
      <c r="L29" s="151" t="str">
        <f>IF(B29=0,"No policies",IF(G29&lt;0,"Loss-making segment",IF(H29&lt;Assumptions!$C$16-0.00001,"Below target","At or above target")))</f>
        <v>Loss-making segment</v>
      </c>
      <c r="M29" s="26"/>
    </row>
    <row r="30" spans="1:13" x14ac:dyDescent="0.3">
      <c r="A30" s="47" t="s">
        <v>100</v>
      </c>
      <c r="B30" s="146">
        <f>COUNTIFS('Policy Calculations'!$AP$30:$AP$279,$A30,'Policy Calculations'!$T$30:$T$279,1)</f>
        <v>16</v>
      </c>
      <c r="C30" s="147">
        <f>SUMIFS('Policy Calculations'!$M$30:$M$279,'Policy Calculations'!$AP$30:$AP$279,$A30,'Policy Calculations'!$T$30:$T$279,1)</f>
        <v>110969.83000000002</v>
      </c>
      <c r="D30" s="147">
        <f>SUMIFS('Policy Calculations'!$AF$30:$AF$279,'Policy Calculations'!$AP$30:$AP$279,$A30,'Policy Calculations'!$T$30:$T$279,1)</f>
        <v>101594.30565818143</v>
      </c>
      <c r="E30" s="145">
        <f t="shared" si="0"/>
        <v>1.0922839551004262</v>
      </c>
      <c r="F30" s="147">
        <f>SUMIFS('Policy Calculations'!$AH$30:$AH$279,'Policy Calculations'!$AP$30:$AP$279,$A30,'Policy Calculations'!$T$30:$T$279,1)</f>
        <v>732398.51590671216</v>
      </c>
      <c r="G30" s="147">
        <f>SUMIFS('Policy Calculations'!$AI$30:$AI$279,'Policy Calculations'!$AP$30:$AP$279,$A30,'Policy Calculations'!$T$30:$T$279,1)</f>
        <v>117919.21430459866</v>
      </c>
      <c r="H30" s="145">
        <f t="shared" si="1"/>
        <v>0.16100416882824267</v>
      </c>
      <c r="I30" s="146">
        <f>COUNTIFS('Policy Calculations'!$AP$30:$AP$279,$A30,'Policy Calculations'!$AR$30:$AR$279,"Loss-making")</f>
        <v>9</v>
      </c>
      <c r="J30" s="148">
        <f t="shared" si="2"/>
        <v>0.5625</v>
      </c>
      <c r="K30" s="148">
        <f>IF('Portfolio Totals'!$B$13=0,"",G30/'Portfolio Totals'!$B$13)</f>
        <v>0.46014157312798337</v>
      </c>
      <c r="L30" s="151" t="str">
        <f>IF(B30=0,"No policies",IF(G30&lt;0,"Loss-making segment",IF(H30&lt;Assumptions!$C$16-0.00001,"Below target","At or above target")))</f>
        <v>At or above target</v>
      </c>
      <c r="M30" s="26"/>
    </row>
    <row r="31" spans="1:13" ht="13.5" thickBot="1" x14ac:dyDescent="0.35">
      <c r="A31" s="63" t="s">
        <v>58</v>
      </c>
      <c r="B31" s="167">
        <f>SUM(B26:B30)</f>
        <v>169</v>
      </c>
      <c r="C31" s="168">
        <f>SUM(C26:C30)</f>
        <v>429880.89999999997</v>
      </c>
      <c r="D31" s="168">
        <f>SUM(D26:D30)</f>
        <v>432358.09765689028</v>
      </c>
      <c r="E31" s="169">
        <f t="shared" si="0"/>
        <v>0.99427049552138569</v>
      </c>
      <c r="F31" s="168">
        <f>SUM(F26:F30)</f>
        <v>3203820.7629329227</v>
      </c>
      <c r="G31" s="168">
        <f>SUM(G26:G30)</f>
        <v>256267.2472800035</v>
      </c>
      <c r="H31" s="169">
        <f t="shared" si="1"/>
        <v>7.9988010017578159E-2</v>
      </c>
      <c r="I31" s="167">
        <f>SUM(I26:I30)</f>
        <v>65</v>
      </c>
      <c r="J31" s="170">
        <f t="shared" si="2"/>
        <v>0.38461538461538464</v>
      </c>
      <c r="K31" s="171">
        <f>G31-'Portfolio Totals'!$B$13</f>
        <v>0</v>
      </c>
      <c r="L31" s="172"/>
      <c r="M31" s="26"/>
    </row>
    <row r="32" spans="1:13" ht="13.5" thickBot="1" x14ac:dyDescent="0.35">
      <c r="A32" s="26"/>
      <c r="B32" s="26"/>
      <c r="C32" s="26"/>
      <c r="D32" s="26"/>
      <c r="E32" s="26"/>
      <c r="F32" s="26"/>
      <c r="G32" s="26"/>
      <c r="H32" s="26"/>
      <c r="I32" s="26"/>
      <c r="J32" s="26"/>
      <c r="K32" s="26"/>
      <c r="L32" s="26"/>
      <c r="M32" s="26"/>
    </row>
    <row r="33" spans="1:13" ht="13.5" thickBot="1" x14ac:dyDescent="0.35">
      <c r="A33" s="164" t="s">
        <v>101</v>
      </c>
      <c r="B33" s="165"/>
      <c r="C33" s="165"/>
      <c r="D33" s="165"/>
      <c r="E33" s="165"/>
      <c r="F33" s="165"/>
      <c r="G33" s="165"/>
      <c r="H33" s="165"/>
      <c r="I33" s="165"/>
      <c r="J33" s="165"/>
      <c r="K33" s="165"/>
      <c r="L33" s="166"/>
      <c r="M33" s="26"/>
    </row>
    <row r="34" spans="1:13" ht="26.5" thickBot="1" x14ac:dyDescent="0.35">
      <c r="A34" s="176" t="s">
        <v>7</v>
      </c>
      <c r="B34" s="177" t="s">
        <v>44</v>
      </c>
      <c r="C34" s="177" t="s">
        <v>45</v>
      </c>
      <c r="D34" s="177" t="s">
        <v>82</v>
      </c>
      <c r="E34" s="177" t="s">
        <v>83</v>
      </c>
      <c r="F34" s="177" t="s">
        <v>46</v>
      </c>
      <c r="G34" s="177" t="s">
        <v>47</v>
      </c>
      <c r="H34" s="177" t="s">
        <v>84</v>
      </c>
      <c r="I34" s="177" t="s">
        <v>89</v>
      </c>
      <c r="J34" s="177" t="s">
        <v>90</v>
      </c>
      <c r="K34" s="177" t="s">
        <v>91</v>
      </c>
      <c r="L34" s="178" t="s">
        <v>92</v>
      </c>
      <c r="M34" s="26"/>
    </row>
    <row r="35" spans="1:13" x14ac:dyDescent="0.3">
      <c r="A35" s="157" t="s">
        <v>8</v>
      </c>
      <c r="B35" s="173">
        <f>COUNTIFS('Policy Calculations'!$E$30:$E$279,$A35,'Policy Calculations'!$T$30:$T$279,1)</f>
        <v>108</v>
      </c>
      <c r="C35" s="174">
        <f>SUMIFS('Policy Calculations'!$M$30:$M$279,'Policy Calculations'!$E$30:$E$279,$A35,'Policy Calculations'!$T$30:$T$279,1)</f>
        <v>278179.02999999991</v>
      </c>
      <c r="D35" s="174">
        <f>SUMIFS('Policy Calculations'!$AF$30:$AF$279,'Policy Calculations'!$E$30:$E$279,$A35,'Policy Calculations'!$T$30:$T$279,1)</f>
        <v>285398.52069289691</v>
      </c>
      <c r="E35" s="159">
        <f>IF(D35=0,"",C35/D35)</f>
        <v>0.97470382581041637</v>
      </c>
      <c r="F35" s="174">
        <f>SUMIFS('Policy Calculations'!$AH$30:$AH$279,'Policy Calculations'!$E$30:$E$279,$A35,'Policy Calculations'!$T$30:$T$279,1)</f>
        <v>2060166.4558311964</v>
      </c>
      <c r="G35" s="174">
        <f>SUMIFS('Policy Calculations'!$AI$30:$AI$279,'Policy Calculations'!$E$30:$E$279,$A35,'Policy Calculations'!$T$30:$T$279,1)</f>
        <v>139109.70842545808</v>
      </c>
      <c r="H35" s="159">
        <f>IF(F35=0,"",G35/F35)</f>
        <v>6.7523528514754294E-2</v>
      </c>
      <c r="I35" s="173">
        <f>COUNTIFS('Policy Calculations'!$E$30:$E$279,$A35,'Policy Calculations'!$AR$30:$AR$279,"Loss-making")</f>
        <v>41</v>
      </c>
      <c r="J35" s="175">
        <f>IF(B35=0,"",I35/B35)</f>
        <v>0.37962962962962965</v>
      </c>
      <c r="K35" s="175">
        <f>IF('Portfolio Totals'!$B$13=0,"",G35/'Portfolio Totals'!$B$13)</f>
        <v>0.54283061882451056</v>
      </c>
      <c r="L35" s="160" t="str">
        <f>IF(B35=0,"No policies",IF(G35&lt;0,"Loss-making segment",IF(H35&lt;Assumptions!$C$16-0.00001,"Below target","At or above target")))</f>
        <v>Below target</v>
      </c>
      <c r="M35" s="26"/>
    </row>
    <row r="36" spans="1:13" x14ac:dyDescent="0.3">
      <c r="A36" s="47" t="s">
        <v>102</v>
      </c>
      <c r="B36" s="146">
        <f>COUNTIFS('Policy Calculations'!$E$30:$E$279,$A36,'Policy Calculations'!$T$30:$T$279,1)</f>
        <v>61</v>
      </c>
      <c r="C36" s="147">
        <f>SUMIFS('Policy Calculations'!$M$30:$M$279,'Policy Calculations'!$E$30:$E$279,$A36,'Policy Calculations'!$T$30:$T$279,1)</f>
        <v>151701.87000000002</v>
      </c>
      <c r="D36" s="147">
        <f>SUMIFS('Policy Calculations'!$AF$30:$AF$279,'Policy Calculations'!$E$30:$E$279,$A36,'Policy Calculations'!$T$30:$T$279,1)</f>
        <v>146959.57696399343</v>
      </c>
      <c r="E36" s="145">
        <f>IF(D36=0,"",C36/D36)</f>
        <v>1.032269370489332</v>
      </c>
      <c r="F36" s="147">
        <f>SUMIFS('Policy Calculations'!$AH$30:$AH$279,'Policy Calculations'!$E$30:$E$279,$A36,'Policy Calculations'!$T$30:$T$279,1)</f>
        <v>1143654.3071017261</v>
      </c>
      <c r="G36" s="147">
        <f>SUMIFS('Policy Calculations'!$AI$30:$AI$279,'Policy Calculations'!$E$30:$E$279,$A36,'Policy Calculations'!$T$30:$T$279,1)</f>
        <v>117157.53885454532</v>
      </c>
      <c r="H36" s="145">
        <f>IF(F36=0,"",G36/F36)</f>
        <v>0.10244139170992023</v>
      </c>
      <c r="I36" s="146">
        <f>COUNTIFS('Policy Calculations'!$E$30:$E$279,$A36,'Policy Calculations'!$AR$30:$AR$279,"Loss-making")</f>
        <v>24</v>
      </c>
      <c r="J36" s="148">
        <f>IF(B36=0,"",I36/B36)</f>
        <v>0.39344262295081966</v>
      </c>
      <c r="K36" s="148">
        <f>IF('Portfolio Totals'!$B$13=0,"",G36/'Portfolio Totals'!$B$13)</f>
        <v>0.45716938117548966</v>
      </c>
      <c r="L36" s="151" t="str">
        <f>IF(B36=0,"No policies",IF(G36&lt;0,"Loss-making segment",IF(H36&lt;Assumptions!$C$16-0.00001,"Below target","At or above target")))</f>
        <v>At or above target</v>
      </c>
      <c r="M36" s="26"/>
    </row>
    <row r="37" spans="1:13" ht="13.5" thickBot="1" x14ac:dyDescent="0.35">
      <c r="A37" s="63" t="s">
        <v>58</v>
      </c>
      <c r="B37" s="167">
        <f>SUM(B35:B36)</f>
        <v>169</v>
      </c>
      <c r="C37" s="168">
        <f>SUM(C35:C36)</f>
        <v>429880.89999999991</v>
      </c>
      <c r="D37" s="168">
        <f>SUM(D35:D36)</f>
        <v>432358.09765689034</v>
      </c>
      <c r="E37" s="169">
        <f>IF(D37=0,"",C37/D37)</f>
        <v>0.99427049552138547</v>
      </c>
      <c r="F37" s="168">
        <f>SUM(F35:F36)</f>
        <v>3203820.7629329227</v>
      </c>
      <c r="G37" s="168">
        <f>SUM(G35:G36)</f>
        <v>256267.24728000339</v>
      </c>
      <c r="H37" s="169">
        <f>IF(F37=0,"",G37/F37)</f>
        <v>7.9988010017578118E-2</v>
      </c>
      <c r="I37" s="167">
        <f>SUM(I35:I36)</f>
        <v>65</v>
      </c>
      <c r="J37" s="170">
        <f>IF(B37=0,"",I37/B37)</f>
        <v>0.38461538461538464</v>
      </c>
      <c r="K37" s="171">
        <f>G37-'Portfolio Totals'!$B$13</f>
        <v>0</v>
      </c>
      <c r="L37" s="172"/>
      <c r="M37" s="26"/>
    </row>
    <row r="38" spans="1:13" ht="13.5" thickBot="1" x14ac:dyDescent="0.35">
      <c r="A38" s="26"/>
      <c r="B38" s="26"/>
      <c r="C38" s="26"/>
      <c r="D38" s="26"/>
      <c r="E38" s="26"/>
      <c r="F38" s="26"/>
      <c r="G38" s="26"/>
      <c r="H38" s="26"/>
      <c r="I38" s="26"/>
      <c r="J38" s="26"/>
      <c r="K38" s="26"/>
      <c r="L38" s="26"/>
      <c r="M38" s="26"/>
    </row>
    <row r="39" spans="1:13" ht="13.5" thickBot="1" x14ac:dyDescent="0.35">
      <c r="A39" s="164" t="s">
        <v>103</v>
      </c>
      <c r="B39" s="165"/>
      <c r="C39" s="165"/>
      <c r="D39" s="165"/>
      <c r="E39" s="165"/>
      <c r="F39" s="165"/>
      <c r="G39" s="165"/>
      <c r="H39" s="165"/>
      <c r="I39" s="165"/>
      <c r="J39" s="165"/>
      <c r="K39" s="165"/>
      <c r="L39" s="166"/>
      <c r="M39" s="26"/>
    </row>
    <row r="40" spans="1:13" ht="26.5" thickBot="1" x14ac:dyDescent="0.35">
      <c r="A40" s="176" t="s">
        <v>11</v>
      </c>
      <c r="B40" s="177" t="s">
        <v>44</v>
      </c>
      <c r="C40" s="177" t="s">
        <v>45</v>
      </c>
      <c r="D40" s="177" t="s">
        <v>82</v>
      </c>
      <c r="E40" s="177" t="s">
        <v>83</v>
      </c>
      <c r="F40" s="177" t="s">
        <v>46</v>
      </c>
      <c r="G40" s="177" t="s">
        <v>47</v>
      </c>
      <c r="H40" s="177" t="s">
        <v>84</v>
      </c>
      <c r="I40" s="177" t="s">
        <v>89</v>
      </c>
      <c r="J40" s="177" t="s">
        <v>90</v>
      </c>
      <c r="K40" s="177" t="s">
        <v>91</v>
      </c>
      <c r="L40" s="178" t="s">
        <v>92</v>
      </c>
      <c r="M40" s="26"/>
    </row>
    <row r="41" spans="1:13" x14ac:dyDescent="0.3">
      <c r="A41" s="157" t="s">
        <v>12</v>
      </c>
      <c r="B41" s="173">
        <f>COUNTIFS('Policy Calculations'!$F$30:$F$279,$A41,'Policy Calculations'!$T$30:$T$279,1)</f>
        <v>136</v>
      </c>
      <c r="C41" s="174">
        <f>SUMIFS('Policy Calculations'!$M$30:$M$279,'Policy Calculations'!$F$30:$F$279,$A41,'Policy Calculations'!$T$30:$T$279,1)</f>
        <v>317068.96000000002</v>
      </c>
      <c r="D41" s="174">
        <f>SUMIFS('Policy Calculations'!$AF$30:$AF$279,'Policy Calculations'!$F$30:$F$279,$A41,'Policy Calculations'!$T$30:$T$279,1)</f>
        <v>315769.1981310554</v>
      </c>
      <c r="E41" s="159">
        <f>IF(D41=0,"",C41/D41)</f>
        <v>1.004116176867907</v>
      </c>
      <c r="F41" s="174">
        <f>SUMIFS('Policy Calculations'!$AH$30:$AH$279,'Policy Calculations'!$F$30:$F$279,$A41,'Policy Calculations'!$T$30:$T$279,1)</f>
        <v>2390827.030685232</v>
      </c>
      <c r="G41" s="174">
        <f>SUMIFS('Policy Calculations'!$AI$30:$AI$279,'Policy Calculations'!$F$30:$F$279,$A41,'Policy Calculations'!$T$30:$T$279,1)</f>
        <v>208004.3515103762</v>
      </c>
      <c r="H41" s="159">
        <f>IF(F41=0,"",G41/F41)</f>
        <v>8.7001003770130675E-2</v>
      </c>
      <c r="I41" s="173">
        <f>COUNTIFS('Policy Calculations'!$F$30:$F$279,$A41,'Policy Calculations'!$AR$30:$AR$279,"Loss-making")</f>
        <v>49</v>
      </c>
      <c r="J41" s="175">
        <f>IF(B41=0,"",I41/B41)</f>
        <v>0.36029411764705882</v>
      </c>
      <c r="K41" s="175">
        <f>IF('Portfolio Totals'!$B$13=0,"",G41/'Portfolio Totals'!$B$13)</f>
        <v>0.81166966796621487</v>
      </c>
      <c r="L41" s="160" t="str">
        <f>IF(B41=0,"No policies",IF(G41&lt;0,"Loss-making segment",IF(H41&lt;Assumptions!$C$16-0.00001,"Below target","At or above target")))</f>
        <v>At or above target</v>
      </c>
      <c r="M41" s="26"/>
    </row>
    <row r="42" spans="1:13" x14ac:dyDescent="0.3">
      <c r="A42" s="47" t="s">
        <v>104</v>
      </c>
      <c r="B42" s="146">
        <f>COUNTIFS('Policy Calculations'!$F$30:$F$279,$A42,'Policy Calculations'!$T$30:$T$279,1)</f>
        <v>33</v>
      </c>
      <c r="C42" s="147">
        <f>SUMIFS('Policy Calculations'!$M$30:$M$279,'Policy Calculations'!$F$30:$F$279,$A42,'Policy Calculations'!$T$30:$T$279,1)</f>
        <v>112811.93999999999</v>
      </c>
      <c r="D42" s="147">
        <f>SUMIFS('Policy Calculations'!$AF$30:$AF$279,'Policy Calculations'!$F$30:$F$279,$A42,'Policy Calculations'!$T$30:$T$279,1)</f>
        <v>116588.89952583505</v>
      </c>
      <c r="E42" s="145">
        <f>IF(D42=0,"",C42/D42)</f>
        <v>0.96760446713884529</v>
      </c>
      <c r="F42" s="147">
        <f>SUMIFS('Policy Calculations'!$AH$30:$AH$279,'Policy Calculations'!$F$30:$F$279,$A42,'Policy Calculations'!$T$30:$T$279,1)</f>
        <v>812993.73224769102</v>
      </c>
      <c r="G42" s="147">
        <f>SUMIFS('Policy Calculations'!$AI$30:$AI$279,'Policy Calculations'!$F$30:$F$279,$A42,'Policy Calculations'!$T$30:$T$279,1)</f>
        <v>48262.895769627197</v>
      </c>
      <c r="H42" s="145">
        <f>IF(F42=0,"",G42/F42)</f>
        <v>5.9364413100940323E-2</v>
      </c>
      <c r="I42" s="146">
        <f>COUNTIFS('Policy Calculations'!$F$30:$F$279,$A42,'Policy Calculations'!$AR$30:$AR$279,"Loss-making")</f>
        <v>16</v>
      </c>
      <c r="J42" s="148">
        <f>IF(B42=0,"",I42/B42)</f>
        <v>0.48484848484848486</v>
      </c>
      <c r="K42" s="148">
        <f>IF('Portfolio Totals'!$B$13=0,"",G42/'Portfolio Totals'!$B$13)</f>
        <v>0.1883303320337853</v>
      </c>
      <c r="L42" s="151" t="str">
        <f>IF(B42=0,"No policies",IF(G42&lt;0,"Loss-making segment",IF(H42&lt;Assumptions!$C$16-0.00001,"Below target","At or above target")))</f>
        <v>Below target</v>
      </c>
      <c r="M42" s="26"/>
    </row>
    <row r="43" spans="1:13" ht="13.5" thickBot="1" x14ac:dyDescent="0.35">
      <c r="A43" s="63" t="s">
        <v>58</v>
      </c>
      <c r="B43" s="167">
        <f>SUM(B41:B42)</f>
        <v>169</v>
      </c>
      <c r="C43" s="168">
        <f>SUM(C41:C42)</f>
        <v>429880.9</v>
      </c>
      <c r="D43" s="168">
        <f>SUM(D41:D42)</f>
        <v>432358.09765689046</v>
      </c>
      <c r="E43" s="169">
        <f>IF(D43=0,"",C43/D43)</f>
        <v>0.99427049552138547</v>
      </c>
      <c r="F43" s="168">
        <f>SUM(F41:F42)</f>
        <v>3203820.7629329232</v>
      </c>
      <c r="G43" s="168">
        <f>SUM(G41:G42)</f>
        <v>256267.24728000339</v>
      </c>
      <c r="H43" s="169">
        <f>IF(F43=0,"",G43/F43)</f>
        <v>7.9988010017578104E-2</v>
      </c>
      <c r="I43" s="167">
        <f>SUM(I41:I42)</f>
        <v>65</v>
      </c>
      <c r="J43" s="170">
        <f>IF(B43=0,"",I43/B43)</f>
        <v>0.38461538461538464</v>
      </c>
      <c r="K43" s="171">
        <f>G43-'Portfolio Totals'!$B$13</f>
        <v>0</v>
      </c>
      <c r="L43" s="172"/>
      <c r="M43" s="26"/>
    </row>
    <row r="44" spans="1:13" ht="13.5" thickBot="1" x14ac:dyDescent="0.35">
      <c r="A44" s="26"/>
      <c r="B44" s="26"/>
      <c r="C44" s="26"/>
      <c r="D44" s="26"/>
      <c r="E44" s="26"/>
      <c r="F44" s="26"/>
      <c r="G44" s="26"/>
      <c r="H44" s="26"/>
      <c r="I44" s="26"/>
      <c r="J44" s="26"/>
      <c r="K44" s="26"/>
      <c r="L44" s="26"/>
      <c r="M44" s="26"/>
    </row>
    <row r="45" spans="1:13" ht="13.5" thickBot="1" x14ac:dyDescent="0.35">
      <c r="A45" s="164" t="s">
        <v>105</v>
      </c>
      <c r="B45" s="165"/>
      <c r="C45" s="165"/>
      <c r="D45" s="165"/>
      <c r="E45" s="165"/>
      <c r="F45" s="165"/>
      <c r="G45" s="165"/>
      <c r="H45" s="165"/>
      <c r="I45" s="165"/>
      <c r="J45" s="165"/>
      <c r="K45" s="165"/>
      <c r="L45" s="166"/>
      <c r="M45" s="26"/>
    </row>
    <row r="46" spans="1:13" ht="26.5" thickBot="1" x14ac:dyDescent="0.35">
      <c r="A46" s="176" t="s">
        <v>86</v>
      </c>
      <c r="B46" s="177" t="s">
        <v>44</v>
      </c>
      <c r="C46" s="177" t="s">
        <v>45</v>
      </c>
      <c r="D46" s="177" t="s">
        <v>82</v>
      </c>
      <c r="E46" s="177" t="s">
        <v>83</v>
      </c>
      <c r="F46" s="177" t="s">
        <v>46</v>
      </c>
      <c r="G46" s="177" t="s">
        <v>47</v>
      </c>
      <c r="H46" s="177" t="s">
        <v>84</v>
      </c>
      <c r="I46" s="177" t="s">
        <v>89</v>
      </c>
      <c r="J46" s="177" t="s">
        <v>90</v>
      </c>
      <c r="K46" s="177" t="s">
        <v>91</v>
      </c>
      <c r="L46" s="178" t="s">
        <v>92</v>
      </c>
      <c r="M46" s="26"/>
    </row>
    <row r="47" spans="1:13" x14ac:dyDescent="0.3">
      <c r="A47" s="157" t="s">
        <v>106</v>
      </c>
      <c r="B47" s="173">
        <f>COUNTIFS('Policy Calculations'!$G$30:$G$279,$A47,'Policy Calculations'!$T$30:$T$279,1)</f>
        <v>25</v>
      </c>
      <c r="C47" s="174">
        <f>SUMIFS('Policy Calculations'!$M$30:$M$279,'Policy Calculations'!$G$30:$G$279,$A47,'Policy Calculations'!$T$30:$T$279,1)</f>
        <v>65974.289999999994</v>
      </c>
      <c r="D47" s="174">
        <f>SUMIFS('Policy Calculations'!$AF$30:$AF$279,'Policy Calculations'!$G$30:$G$279,$A47,'Policy Calculations'!$T$30:$T$279,1)</f>
        <v>66860.246213549297</v>
      </c>
      <c r="E47" s="159">
        <f>IF(D47=0,"",C47/D47)</f>
        <v>0.9867491332484839</v>
      </c>
      <c r="F47" s="174">
        <f>SUMIFS('Policy Calculations'!$AH$30:$AH$279,'Policy Calculations'!$G$30:$G$279,$A47,'Policy Calculations'!$T$30:$T$279,1)</f>
        <v>495995.03467237804</v>
      </c>
      <c r="G47" s="174">
        <f>SUMIFS('Policy Calculations'!$AI$30:$AI$279,'Policy Calculations'!$G$30:$G$279,$A47,'Policy Calculations'!$T$30:$T$279,1)</f>
        <v>33521.553853482372</v>
      </c>
      <c r="H47" s="159">
        <f>IF(F47=0,"",G47/F47)</f>
        <v>6.758445450088936E-2</v>
      </c>
      <c r="I47" s="173">
        <f>COUNTIFS('Policy Calculations'!$G$30:$G$279,$A47,'Policy Calculations'!$AR$30:$AR$279,"Loss-making")</f>
        <v>11</v>
      </c>
      <c r="J47" s="175">
        <f>IF(B47=0,"",I47/B47)</f>
        <v>0.44</v>
      </c>
      <c r="K47" s="175">
        <f>IF('Portfolio Totals'!$B$13=0,"",G47/'Portfolio Totals'!$B$13)</f>
        <v>0.13080701575904458</v>
      </c>
      <c r="L47" s="160" t="str">
        <f>IF(B47=0,"No policies",IF(G47&lt;0,"Loss-making segment",IF(H47&lt;Assumptions!$C$16-0.00001,"Below target","At or above target")))</f>
        <v>Below target</v>
      </c>
      <c r="M47" s="26"/>
    </row>
    <row r="48" spans="1:13" x14ac:dyDescent="0.3">
      <c r="A48" s="47" t="s">
        <v>16</v>
      </c>
      <c r="B48" s="146">
        <f>COUNTIFS('Policy Calculations'!$G$30:$G$279,$A48,'Policy Calculations'!$T$30:$T$279,1)</f>
        <v>125</v>
      </c>
      <c r="C48" s="147">
        <f>SUMIFS('Policy Calculations'!$M$30:$M$279,'Policy Calculations'!$G$30:$G$279,$A48,'Policy Calculations'!$T$30:$T$279,1)</f>
        <v>319155.25000000006</v>
      </c>
      <c r="D48" s="147">
        <f>SUMIFS('Policy Calculations'!$AF$30:$AF$279,'Policy Calculations'!$G$30:$G$279,$A48,'Policy Calculations'!$T$30:$T$279,1)</f>
        <v>316249.82457875693</v>
      </c>
      <c r="E48" s="145">
        <f>IF(D48=0,"",C48/D48)</f>
        <v>1.0091871210525196</v>
      </c>
      <c r="F48" s="147">
        <f>SUMIFS('Policy Calculations'!$AH$30:$AH$279,'Policy Calculations'!$G$30:$G$279,$A48,'Policy Calculations'!$T$30:$T$279,1)</f>
        <v>2368525.7111393241</v>
      </c>
      <c r="G48" s="147">
        <f>SUMIFS('Policy Calculations'!$AI$30:$AI$279,'Policy Calculations'!$G$30:$G$279,$A48,'Policy Calculations'!$T$30:$T$279,1)</f>
        <v>219900.82004979061</v>
      </c>
      <c r="H48" s="145">
        <f>IF(F48=0,"",G48/F48)</f>
        <v>9.2842910260835812E-2</v>
      </c>
      <c r="I48" s="146">
        <f>COUNTIFS('Policy Calculations'!$G$30:$G$279,$A48,'Policy Calculations'!$AR$30:$AR$279,"Loss-making")</f>
        <v>45</v>
      </c>
      <c r="J48" s="148">
        <f>IF(B48=0,"",I48/B48)</f>
        <v>0.36</v>
      </c>
      <c r="K48" s="148">
        <f>IF('Portfolio Totals'!$B$13=0,"",G48/'Portfolio Totals'!$B$13)</f>
        <v>0.85809178653845697</v>
      </c>
      <c r="L48" s="151" t="str">
        <f>IF(B48=0,"No policies",IF(G48&lt;0,"Loss-making segment",IF(H48&lt;Assumptions!$C$16-0.00001,"Below target","At or above target")))</f>
        <v>At or above target</v>
      </c>
      <c r="M48" s="26"/>
    </row>
    <row r="49" spans="1:13" x14ac:dyDescent="0.3">
      <c r="A49" s="47" t="s">
        <v>107</v>
      </c>
      <c r="B49" s="146">
        <f>COUNTIFS('Policy Calculations'!$G$30:$G$279,$A49,'Policy Calculations'!$T$30:$T$279,1)</f>
        <v>19</v>
      </c>
      <c r="C49" s="147">
        <f>SUMIFS('Policy Calculations'!$M$30:$M$279,'Policy Calculations'!$G$30:$G$279,$A49,'Policy Calculations'!$T$30:$T$279,1)</f>
        <v>44751.359999999993</v>
      </c>
      <c r="D49" s="147">
        <f>SUMIFS('Policy Calculations'!$AF$30:$AF$279,'Policy Calculations'!$G$30:$G$279,$A49,'Policy Calculations'!$T$30:$T$279,1)</f>
        <v>49248.026864584266</v>
      </c>
      <c r="E49" s="145">
        <f>IF(D49=0,"",C49/D49)</f>
        <v>0.90869346142641172</v>
      </c>
      <c r="F49" s="147">
        <f>SUMIFS('Policy Calculations'!$AH$30:$AH$279,'Policy Calculations'!$G$30:$G$279,$A49,'Policy Calculations'!$T$30:$T$279,1)</f>
        <v>339300.01712122158</v>
      </c>
      <c r="G49" s="147">
        <f>SUMIFS('Policy Calculations'!$AI$30:$AI$279,'Policy Calculations'!$G$30:$G$279,$A49,'Policy Calculations'!$T$30:$T$279,1)</f>
        <v>2844.8733767304766</v>
      </c>
      <c r="H49" s="145">
        <f>IF(F49=0,"",G49/F49)</f>
        <v>8.3845364962480684E-3</v>
      </c>
      <c r="I49" s="146">
        <f>COUNTIFS('Policy Calculations'!$G$30:$G$279,$A49,'Policy Calculations'!$AR$30:$AR$279,"Loss-making")</f>
        <v>9</v>
      </c>
      <c r="J49" s="148">
        <f>IF(B49=0,"",I49/B49)</f>
        <v>0.47368421052631576</v>
      </c>
      <c r="K49" s="148">
        <f>IF('Portfolio Totals'!$B$13=0,"",G49/'Portfolio Totals'!$B$13)</f>
        <v>1.1101197702498844E-2</v>
      </c>
      <c r="L49" s="151" t="str">
        <f>IF(B49=0,"No policies",IF(G49&lt;0,"Loss-making segment",IF(H49&lt;Assumptions!$C$16-0.00001,"Below target","At or above target")))</f>
        <v>Below target</v>
      </c>
      <c r="M49" s="26"/>
    </row>
    <row r="50" spans="1:13" ht="13.5" thickBot="1" x14ac:dyDescent="0.35">
      <c r="A50" s="63" t="s">
        <v>58</v>
      </c>
      <c r="B50" s="167">
        <f>SUM(B47:B49)</f>
        <v>169</v>
      </c>
      <c r="C50" s="168">
        <f>SUM(C47:C49)</f>
        <v>429880.9</v>
      </c>
      <c r="D50" s="168">
        <f>SUM(D47:D49)</f>
        <v>432358.09765689046</v>
      </c>
      <c r="E50" s="169">
        <f>IF(D50=0,"",C50/D50)</f>
        <v>0.99427049552138547</v>
      </c>
      <c r="F50" s="168">
        <f>SUM(F47:F49)</f>
        <v>3203820.7629329236</v>
      </c>
      <c r="G50" s="168">
        <f>SUM(G47:G49)</f>
        <v>256267.24728000344</v>
      </c>
      <c r="H50" s="169">
        <f>IF(F50=0,"",G50/F50)</f>
        <v>7.9988010017578118E-2</v>
      </c>
      <c r="I50" s="167">
        <f>SUM(I47:I49)</f>
        <v>65</v>
      </c>
      <c r="J50" s="170">
        <f>IF(B50=0,"",I50/B50)</f>
        <v>0.38461538461538464</v>
      </c>
      <c r="K50" s="171">
        <f>G50-'Portfolio Totals'!$B$13</f>
        <v>0</v>
      </c>
      <c r="L50" s="172"/>
      <c r="M50" s="26"/>
    </row>
    <row r="51" spans="1:13" ht="13.5" thickBot="1" x14ac:dyDescent="0.35">
      <c r="A51" s="26"/>
      <c r="B51" s="26"/>
      <c r="C51" s="26"/>
      <c r="D51" s="26"/>
      <c r="E51" s="26"/>
      <c r="F51" s="26"/>
      <c r="G51" s="26"/>
      <c r="H51" s="26"/>
      <c r="I51" s="26"/>
      <c r="J51" s="26"/>
      <c r="K51" s="26"/>
      <c r="L51" s="26"/>
      <c r="M51" s="26"/>
    </row>
    <row r="52" spans="1:13" ht="13.5" thickBot="1" x14ac:dyDescent="0.35">
      <c r="A52" s="164" t="s">
        <v>108</v>
      </c>
      <c r="B52" s="165"/>
      <c r="C52" s="165"/>
      <c r="D52" s="165"/>
      <c r="E52" s="165"/>
      <c r="F52" s="165"/>
      <c r="G52" s="165"/>
      <c r="H52" s="165"/>
      <c r="I52" s="165"/>
      <c r="J52" s="165"/>
      <c r="K52" s="165"/>
      <c r="L52" s="166"/>
      <c r="M52" s="26"/>
    </row>
    <row r="53" spans="1:13" ht="26.5" thickBot="1" x14ac:dyDescent="0.35">
      <c r="A53" s="176" t="s">
        <v>87</v>
      </c>
      <c r="B53" s="177" t="s">
        <v>44</v>
      </c>
      <c r="C53" s="177" t="s">
        <v>45</v>
      </c>
      <c r="D53" s="177" t="s">
        <v>82</v>
      </c>
      <c r="E53" s="177" t="s">
        <v>83</v>
      </c>
      <c r="F53" s="177" t="s">
        <v>46</v>
      </c>
      <c r="G53" s="177" t="s">
        <v>47</v>
      </c>
      <c r="H53" s="177" t="s">
        <v>84</v>
      </c>
      <c r="I53" s="177" t="s">
        <v>89</v>
      </c>
      <c r="J53" s="177" t="s">
        <v>90</v>
      </c>
      <c r="K53" s="177" t="s">
        <v>91</v>
      </c>
      <c r="L53" s="178" t="s">
        <v>92</v>
      </c>
      <c r="M53" s="26"/>
    </row>
    <row r="54" spans="1:13" x14ac:dyDescent="0.3">
      <c r="A54" s="157" t="s">
        <v>109</v>
      </c>
      <c r="B54" s="173">
        <f>COUNTIFS('Policy Calculations'!$AQ$30:$AQ$279,$A54,'Policy Calculations'!$T$30:$T$279,1)</f>
        <v>54</v>
      </c>
      <c r="C54" s="174">
        <f>SUMIFS('Policy Calculations'!$M$30:$M$279,'Policy Calculations'!$AQ$30:$AQ$279,$A54,'Policy Calculations'!$T$30:$T$279,1)</f>
        <v>76839.99000000002</v>
      </c>
      <c r="D54" s="174">
        <f>SUMIFS('Policy Calculations'!$AF$30:$AF$279,'Policy Calculations'!$AQ$30:$AQ$279,$A54,'Policy Calculations'!$T$30:$T$279,1)</f>
        <v>82962.689853450327</v>
      </c>
      <c r="E54" s="159">
        <f>IF(D54=0,"",C54/D54)</f>
        <v>0.92619935703307399</v>
      </c>
      <c r="F54" s="174">
        <f>SUMIFS('Policy Calculations'!$AH$30:$AH$279,'Policy Calculations'!$AQ$30:$AQ$279,$A54,'Policy Calculations'!$T$30:$T$279,1)</f>
        <v>598613.07283576787</v>
      </c>
      <c r="G54" s="174">
        <f>SUMIFS('Policy Calculations'!$AI$30:$AI$279,'Policy Calculations'!$AQ$30:$AQ$279,$A54,'Policy Calculations'!$T$30:$T$279,1)</f>
        <v>14963.024014015333</v>
      </c>
      <c r="H54" s="159">
        <f>IF(F54=0,"",G54/F54)</f>
        <v>2.4996153096243028E-2</v>
      </c>
      <c r="I54" s="173">
        <f>COUNTIFS('Policy Calculations'!$AQ$30:$AQ$279,$A54,'Policy Calculations'!$AR$30:$AR$279,"Loss-making")</f>
        <v>22</v>
      </c>
      <c r="J54" s="175">
        <f>IF(B54=0,"",I54/B54)</f>
        <v>0.40740740740740738</v>
      </c>
      <c r="K54" s="175">
        <f>IF('Portfolio Totals'!$B$13=0,"",G54/'Portfolio Totals'!$B$13)</f>
        <v>5.8388358921522249E-2</v>
      </c>
      <c r="L54" s="160" t="str">
        <f>IF(B54=0,"No policies",IF(G54&lt;0,"Loss-making segment",IF(H54&lt;Assumptions!$C$16-0.00001,"Below target","At or above target")))</f>
        <v>Below target</v>
      </c>
      <c r="M54" s="26"/>
    </row>
    <row r="55" spans="1:13" x14ac:dyDescent="0.3">
      <c r="A55" s="47" t="s">
        <v>110</v>
      </c>
      <c r="B55" s="146">
        <f>COUNTIFS('Policy Calculations'!$AQ$30:$AQ$279,$A55,'Policy Calculations'!$T$30:$T$279,1)</f>
        <v>61</v>
      </c>
      <c r="C55" s="147">
        <f>SUMIFS('Policy Calculations'!$M$30:$M$279,'Policy Calculations'!$AQ$30:$AQ$279,$A55,'Policy Calculations'!$T$30:$T$279,1)</f>
        <v>121647.56999999999</v>
      </c>
      <c r="D55" s="147">
        <f>SUMIFS('Policy Calculations'!$AF$30:$AF$279,'Policy Calculations'!$AQ$30:$AQ$279,$A55,'Policy Calculations'!$T$30:$T$279,1)</f>
        <v>148969.24122635784</v>
      </c>
      <c r="E55" s="145">
        <f>IF(D55=0,"",C55/D55)</f>
        <v>0.81659521790244782</v>
      </c>
      <c r="F55" s="147">
        <f>SUMIFS('Policy Calculations'!$AH$30:$AH$279,'Policy Calculations'!$AQ$30:$AQ$279,$A55,'Policy Calculations'!$T$30:$T$279,1)</f>
        <v>886955.00091838522</v>
      </c>
      <c r="G55" s="147">
        <f>SUMIFS('Policy Calculations'!$AI$30:$AI$279,'Policy Calculations'!$AQ$30:$AQ$279,$A55,'Policy Calculations'!$T$30:$T$279,1)</f>
        <v>-87413.184921002015</v>
      </c>
      <c r="H55" s="145">
        <f>IF(F55=0,"",G55/F55)</f>
        <v>-9.8554250024512235E-2</v>
      </c>
      <c r="I55" s="146">
        <f>COUNTIFS('Policy Calculations'!$AQ$30:$AQ$279,$A55,'Policy Calculations'!$AR$30:$AR$279,"Loss-making")</f>
        <v>35</v>
      </c>
      <c r="J55" s="148">
        <f>IF(B55=0,"",I55/B55)</f>
        <v>0.57377049180327866</v>
      </c>
      <c r="K55" s="148">
        <f>IF('Portfolio Totals'!$B$13=0,"",G55/'Portfolio Totals'!$B$13)</f>
        <v>-0.34110166573683293</v>
      </c>
      <c r="L55" s="151" t="str">
        <f>IF(B55=0,"No policies",IF(G55&lt;0,"Loss-making segment",IF(H55&lt;Assumptions!$C$16-0.00001,"Below target","At or above target")))</f>
        <v>Loss-making segment</v>
      </c>
      <c r="M55" s="26"/>
    </row>
    <row r="56" spans="1:13" x14ac:dyDescent="0.3">
      <c r="A56" s="47" t="s">
        <v>111</v>
      </c>
      <c r="B56" s="146">
        <f>COUNTIFS('Policy Calculations'!$AQ$30:$AQ$279,$A56,'Policy Calculations'!$T$30:$T$279,1)</f>
        <v>38</v>
      </c>
      <c r="C56" s="147">
        <f>SUMIFS('Policy Calculations'!$M$30:$M$279,'Policy Calculations'!$AQ$30:$AQ$279,$A56,'Policy Calculations'!$T$30:$T$279,1)</f>
        <v>151723.21</v>
      </c>
      <c r="D56" s="147">
        <f>SUMIFS('Policy Calculations'!$AF$30:$AF$279,'Policy Calculations'!$AQ$30:$AQ$279,$A56,'Policy Calculations'!$T$30:$T$279,1)</f>
        <v>138990.58438447048</v>
      </c>
      <c r="E56" s="145">
        <f>IF(D56=0,"",C56/D56)</f>
        <v>1.0916078284864894</v>
      </c>
      <c r="F56" s="147">
        <f>SUMIFS('Policy Calculations'!$AH$30:$AH$279,'Policy Calculations'!$AQ$30:$AQ$279,$A56,'Policy Calculations'!$T$30:$T$279,1)</f>
        <v>1135047.4157523352</v>
      </c>
      <c r="G56" s="147">
        <f>SUMIFS('Policy Calculations'!$AI$30:$AI$279,'Policy Calculations'!$AQ$30:$AQ$279,$A56,'Policy Calculations'!$T$30:$T$279,1)</f>
        <v>173775.51526106501</v>
      </c>
      <c r="H56" s="145">
        <f>IF(F56=0,"",G56/F56)</f>
        <v>0.1530997849511711</v>
      </c>
      <c r="I56" s="146">
        <f>COUNTIFS('Policy Calculations'!$AQ$30:$AQ$279,$A56,'Policy Calculations'!$AR$30:$AR$279,"Loss-making")</f>
        <v>5</v>
      </c>
      <c r="J56" s="148">
        <f>IF(B56=0,"",I56/B56)</f>
        <v>0.13157894736842105</v>
      </c>
      <c r="K56" s="148">
        <f>IF('Portfolio Totals'!$B$13=0,"",G56/'Portfolio Totals'!$B$13)</f>
        <v>0.67810271154625534</v>
      </c>
      <c r="L56" s="151" t="str">
        <f>IF(B56=0,"No policies",IF(G56&lt;0,"Loss-making segment",IF(H56&lt;Assumptions!$C$16-0.00001,"Below target","At or above target")))</f>
        <v>At or above target</v>
      </c>
      <c r="M56" s="26"/>
    </row>
    <row r="57" spans="1:13" x14ac:dyDescent="0.3">
      <c r="A57" s="47" t="s">
        <v>112</v>
      </c>
      <c r="B57" s="146">
        <f>COUNTIFS('Policy Calculations'!$AQ$30:$AQ$279,$A57,'Policy Calculations'!$T$30:$T$279,1)</f>
        <v>16</v>
      </c>
      <c r="C57" s="147">
        <f>SUMIFS('Policy Calculations'!$M$30:$M$279,'Policy Calculations'!$AQ$30:$AQ$279,$A57,'Policy Calculations'!$T$30:$T$279,1)</f>
        <v>79670.12999999999</v>
      </c>
      <c r="D57" s="147">
        <f>SUMIFS('Policy Calculations'!$AF$30:$AF$279,'Policy Calculations'!$AQ$30:$AQ$279,$A57,'Policy Calculations'!$T$30:$T$279,1)</f>
        <v>61435.582192611699</v>
      </c>
      <c r="E57" s="145">
        <f>IF(D57=0,"",C57/D57)</f>
        <v>1.2968076016634738</v>
      </c>
      <c r="F57" s="147">
        <f>SUMIFS('Policy Calculations'!$AH$30:$AH$279,'Policy Calculations'!$AQ$30:$AQ$279,$A57,'Policy Calculations'!$T$30:$T$279,1)</f>
        <v>583205.27342643484</v>
      </c>
      <c r="G57" s="147">
        <f>SUMIFS('Policy Calculations'!$AI$30:$AI$279,'Policy Calculations'!$AQ$30:$AQ$279,$A57,'Policy Calculations'!$T$30:$T$279,1)</f>
        <v>154941.89292592512</v>
      </c>
      <c r="H57" s="145">
        <f>IF(F57=0,"",G57/F57)</f>
        <v>0.26567299711748815</v>
      </c>
      <c r="I57" s="146">
        <f>COUNTIFS('Policy Calculations'!$AQ$30:$AQ$279,$A57,'Policy Calculations'!$AR$30:$AR$279,"Loss-making")</f>
        <v>3</v>
      </c>
      <c r="J57" s="148">
        <f>IF(B57=0,"",I57/B57)</f>
        <v>0.1875</v>
      </c>
      <c r="K57" s="148">
        <f>IF('Portfolio Totals'!$B$13=0,"",G57/'Portfolio Totals'!$B$13)</f>
        <v>0.6046105952690557</v>
      </c>
      <c r="L57" s="151" t="str">
        <f>IF(B57=0,"No policies",IF(G57&lt;0,"Loss-making segment",IF(H57&lt;Assumptions!$C$16-0.00001,"Below target","At or above target")))</f>
        <v>At or above target</v>
      </c>
      <c r="M57" s="26"/>
    </row>
    <row r="58" spans="1:13" ht="13.5" thickBot="1" x14ac:dyDescent="0.35">
      <c r="A58" s="63" t="s">
        <v>58</v>
      </c>
      <c r="B58" s="167">
        <f>SUM(B54:B57)</f>
        <v>169</v>
      </c>
      <c r="C58" s="168">
        <f>SUM(C54:C57)</f>
        <v>429880.9</v>
      </c>
      <c r="D58" s="168">
        <f>SUM(D54:D57)</f>
        <v>432358.09765689034</v>
      </c>
      <c r="E58" s="169">
        <f>IF(D58=0,"",C58/D58)</f>
        <v>0.99427049552138569</v>
      </c>
      <c r="F58" s="168">
        <f>SUM(F54:F57)</f>
        <v>3203820.7629329236</v>
      </c>
      <c r="G58" s="168">
        <f>SUM(G54:G57)</f>
        <v>256267.24728000344</v>
      </c>
      <c r="H58" s="169">
        <f>IF(F58=0,"",G58/F58)</f>
        <v>7.9988010017578118E-2</v>
      </c>
      <c r="I58" s="167">
        <f>SUM(I54:I57)</f>
        <v>65</v>
      </c>
      <c r="J58" s="170">
        <f>IF(B58=0,"",I58/B58)</f>
        <v>0.38461538461538464</v>
      </c>
      <c r="K58" s="171">
        <f>G58-'Portfolio Totals'!$B$13</f>
        <v>0</v>
      </c>
      <c r="L58" s="172"/>
      <c r="M58" s="26"/>
    </row>
    <row r="59" spans="1:13" ht="13.5" thickBot="1" x14ac:dyDescent="0.35">
      <c r="A59" s="26"/>
      <c r="B59" s="26"/>
      <c r="C59" s="26"/>
      <c r="D59" s="26"/>
      <c r="E59" s="26"/>
      <c r="F59" s="26"/>
      <c r="G59" s="26"/>
      <c r="H59" s="26"/>
      <c r="I59" s="26"/>
      <c r="J59" s="26"/>
      <c r="K59" s="26"/>
      <c r="L59" s="26"/>
      <c r="M59" s="26"/>
    </row>
    <row r="60" spans="1:13" ht="13.5" thickBot="1" x14ac:dyDescent="0.35">
      <c r="A60" s="164" t="s">
        <v>113</v>
      </c>
      <c r="B60" s="165"/>
      <c r="C60" s="165"/>
      <c r="D60" s="165"/>
      <c r="E60" s="165"/>
      <c r="F60" s="165"/>
      <c r="G60" s="165"/>
      <c r="H60" s="165"/>
      <c r="I60" s="165"/>
      <c r="J60" s="165"/>
      <c r="K60" s="165"/>
      <c r="L60" s="166"/>
      <c r="M60" s="26"/>
    </row>
    <row r="61" spans="1:13" ht="26.5" thickBot="1" x14ac:dyDescent="0.35">
      <c r="A61" s="176" t="s">
        <v>25</v>
      </c>
      <c r="B61" s="177" t="s">
        <v>44</v>
      </c>
      <c r="C61" s="177" t="s">
        <v>45</v>
      </c>
      <c r="D61" s="177" t="s">
        <v>82</v>
      </c>
      <c r="E61" s="177" t="s">
        <v>83</v>
      </c>
      <c r="F61" s="177" t="s">
        <v>46</v>
      </c>
      <c r="G61" s="177" t="s">
        <v>47</v>
      </c>
      <c r="H61" s="177" t="s">
        <v>84</v>
      </c>
      <c r="I61" s="177" t="s">
        <v>89</v>
      </c>
      <c r="J61" s="177" t="s">
        <v>90</v>
      </c>
      <c r="K61" s="177" t="s">
        <v>91</v>
      </c>
      <c r="L61" s="178" t="s">
        <v>92</v>
      </c>
      <c r="M61" s="26"/>
    </row>
    <row r="62" spans="1:13" x14ac:dyDescent="0.3">
      <c r="A62" s="157" t="s">
        <v>26</v>
      </c>
      <c r="B62" s="173">
        <f>COUNTIFS('Policy Calculations'!$J$30:$J$279,$A62,'Policy Calculations'!$T$30:$T$279,1)</f>
        <v>76</v>
      </c>
      <c r="C62" s="174">
        <f>SUMIFS('Policy Calculations'!$M$30:$M$279,'Policy Calculations'!$J$30:$J$279,$A62,'Policy Calculations'!$T$30:$T$279,1)</f>
        <v>189700.67</v>
      </c>
      <c r="D62" s="174">
        <f>SUMIFS('Policy Calculations'!$AF$30:$AF$279,'Policy Calculations'!$J$30:$J$279,$A62,'Policy Calculations'!$T$30:$T$279,1)</f>
        <v>185248.75895495919</v>
      </c>
      <c r="E62" s="159">
        <f>IF(D62=0,"",C62/D62)</f>
        <v>1.0240320694732603</v>
      </c>
      <c r="F62" s="174">
        <f>SUMIFS('Policy Calculations'!$AH$30:$AH$279,'Policy Calculations'!$J$30:$J$279,$A62,'Policy Calculations'!$T$30:$T$279,1)</f>
        <v>1489916.4038267517</v>
      </c>
      <c r="G62" s="174">
        <f>SUMIFS('Policy Calculations'!$AI$30:$AI$279,'Policy Calculations'!$J$30:$J$279,$A62,'Policy Calculations'!$T$30:$T$279,1)</f>
        <v>144230.27732447794</v>
      </c>
      <c r="H62" s="159">
        <f>IF(F62=0,"",G62/F62)</f>
        <v>9.6804275027801562E-2</v>
      </c>
      <c r="I62" s="173">
        <f>COUNTIFS('Policy Calculations'!$J$30:$J$279,$A62,'Policy Calculations'!$AR$30:$AR$279,"Loss-making")</f>
        <v>27</v>
      </c>
      <c r="J62" s="175">
        <f>IF(B62=0,"",I62/B62)</f>
        <v>0.35526315789473684</v>
      </c>
      <c r="K62" s="175">
        <f>IF('Portfolio Totals'!$B$13=0,"",G62/'Portfolio Totals'!$B$13)</f>
        <v>0.56281198184834247</v>
      </c>
      <c r="L62" s="160" t="str">
        <f>IF(B62=0,"No policies",IF(G62&lt;0,"Loss-making segment",IF(H62&lt;Assumptions!$C$16-0.00001,"Below target","At or above target")))</f>
        <v>At or above target</v>
      </c>
      <c r="M62" s="26"/>
    </row>
    <row r="63" spans="1:13" x14ac:dyDescent="0.3">
      <c r="A63" s="47" t="s">
        <v>114</v>
      </c>
      <c r="B63" s="146">
        <f>COUNTIFS('Policy Calculations'!$J$30:$J$279,$A63,'Policy Calculations'!$T$30:$T$279,1)</f>
        <v>93</v>
      </c>
      <c r="C63" s="147">
        <f>SUMIFS('Policy Calculations'!$M$30:$M$279,'Policy Calculations'!$J$30:$J$279,$A63,'Policy Calculations'!$T$30:$T$279,1)</f>
        <v>240180.22999999995</v>
      </c>
      <c r="D63" s="147">
        <f>SUMIFS('Policy Calculations'!$AF$30:$AF$279,'Policy Calculations'!$J$30:$J$279,$A63,'Policy Calculations'!$T$30:$T$279,1)</f>
        <v>247109.33870193121</v>
      </c>
      <c r="E63" s="145">
        <f>IF(D63=0,"",C63/D63)</f>
        <v>0.97195934100131565</v>
      </c>
      <c r="F63" s="147">
        <f>SUMIFS('Policy Calculations'!$AH$30:$AH$279,'Policy Calculations'!$J$30:$J$279,$A63,'Policy Calculations'!$T$30:$T$279,1)</f>
        <v>1713904.3591061709</v>
      </c>
      <c r="G63" s="147">
        <f>SUMIFS('Policy Calculations'!$AI$30:$AI$279,'Policy Calculations'!$J$30:$J$279,$A63,'Policy Calculations'!$T$30:$T$279,1)</f>
        <v>112036.96995552554</v>
      </c>
      <c r="H63" s="145">
        <f>IF(F63=0,"",G63/F63)</f>
        <v>6.5369441042763113E-2</v>
      </c>
      <c r="I63" s="146">
        <f>COUNTIFS('Policy Calculations'!$J$30:$J$279,$A63,'Policy Calculations'!$AR$30:$AR$279,"Loss-making")</f>
        <v>38</v>
      </c>
      <c r="J63" s="148">
        <f>IF(B63=0,"",I63/B63)</f>
        <v>0.40860215053763443</v>
      </c>
      <c r="K63" s="148">
        <f>IF('Portfolio Totals'!$B$13=0,"",G63/'Portfolio Totals'!$B$13)</f>
        <v>0.43718801815165798</v>
      </c>
      <c r="L63" s="151" t="str">
        <f>IF(B63=0,"No policies",IF(G63&lt;0,"Loss-making segment",IF(H63&lt;Assumptions!$C$16-0.00001,"Below target","At or above target")))</f>
        <v>Below target</v>
      </c>
      <c r="M63" s="26"/>
    </row>
    <row r="64" spans="1:13" ht="13.5" thickBot="1" x14ac:dyDescent="0.35">
      <c r="A64" s="63" t="s">
        <v>58</v>
      </c>
      <c r="B64" s="167">
        <f>SUM(B62:B63)</f>
        <v>169</v>
      </c>
      <c r="C64" s="168">
        <f>SUM(C62:C63)</f>
        <v>429880.89999999997</v>
      </c>
      <c r="D64" s="168">
        <f>SUM(D62:D63)</f>
        <v>432358.0976568904</v>
      </c>
      <c r="E64" s="169">
        <f>IF(D64=0,"",C64/D64)</f>
        <v>0.99427049552138547</v>
      </c>
      <c r="F64" s="168">
        <f>SUM(F62:F63)</f>
        <v>3203820.7629329227</v>
      </c>
      <c r="G64" s="168">
        <f>SUM(G62:G63)</f>
        <v>256267.24728000347</v>
      </c>
      <c r="H64" s="169">
        <f>IF(F64=0,"",G64/F64)</f>
        <v>7.9988010017578146E-2</v>
      </c>
      <c r="I64" s="167">
        <f>SUM(I62:I63)</f>
        <v>65</v>
      </c>
      <c r="J64" s="170">
        <f>IF(B64=0,"",I64/B64)</f>
        <v>0.38461538461538464</v>
      </c>
      <c r="K64" s="171">
        <f>G64-'Portfolio Totals'!$B$13</f>
        <v>0</v>
      </c>
      <c r="L64" s="172"/>
      <c r="M64" s="26"/>
    </row>
    <row r="65" spans="1:13" ht="13.5" thickBot="1" x14ac:dyDescent="0.35">
      <c r="A65" s="26"/>
      <c r="B65" s="26"/>
      <c r="C65" s="26"/>
      <c r="D65" s="26"/>
      <c r="E65" s="26"/>
      <c r="F65" s="26"/>
      <c r="G65" s="26"/>
      <c r="H65" s="26"/>
      <c r="I65" s="26"/>
      <c r="J65" s="26"/>
      <c r="K65" s="26"/>
      <c r="L65" s="26"/>
      <c r="M65" s="26"/>
    </row>
    <row r="66" spans="1:13" ht="13.5" thickBot="1" x14ac:dyDescent="0.35">
      <c r="A66" s="164" t="s">
        <v>115</v>
      </c>
      <c r="B66" s="165"/>
      <c r="C66" s="165"/>
      <c r="D66" s="165"/>
      <c r="E66" s="165"/>
      <c r="F66" s="165"/>
      <c r="G66" s="165"/>
      <c r="H66" s="165"/>
      <c r="I66" s="165"/>
      <c r="J66" s="165"/>
      <c r="K66" s="165"/>
      <c r="L66" s="166"/>
      <c r="M66" s="26"/>
    </row>
    <row r="67" spans="1:13" ht="26.5" thickBot="1" x14ac:dyDescent="0.35">
      <c r="A67" s="176" t="s">
        <v>22</v>
      </c>
      <c r="B67" s="177" t="s">
        <v>44</v>
      </c>
      <c r="C67" s="177" t="s">
        <v>45</v>
      </c>
      <c r="D67" s="177" t="s">
        <v>82</v>
      </c>
      <c r="E67" s="177" t="s">
        <v>83</v>
      </c>
      <c r="F67" s="177" t="s">
        <v>46</v>
      </c>
      <c r="G67" s="177" t="s">
        <v>47</v>
      </c>
      <c r="H67" s="177" t="s">
        <v>84</v>
      </c>
      <c r="I67" s="177" t="s">
        <v>89</v>
      </c>
      <c r="J67" s="177" t="s">
        <v>90</v>
      </c>
      <c r="K67" s="177" t="s">
        <v>91</v>
      </c>
      <c r="L67" s="178" t="s">
        <v>92</v>
      </c>
      <c r="M67" s="26"/>
    </row>
    <row r="68" spans="1:13" x14ac:dyDescent="0.3">
      <c r="A68" s="157">
        <v>10</v>
      </c>
      <c r="B68" s="173">
        <f>COUNTIFS('Policy Calculations'!$H$30:$H$279,$A68,'Policy Calculations'!$T$30:$T$279,1)</f>
        <v>28</v>
      </c>
      <c r="C68" s="174">
        <f>SUMIFS('Policy Calculations'!$M$30:$M$279,'Policy Calculations'!$H$30:$H$279,$A68,'Policy Calculations'!$T$30:$T$279,1)</f>
        <v>87192.83</v>
      </c>
      <c r="D68" s="174">
        <f>SUMIFS('Policy Calculations'!$AF$30:$AF$279,'Policy Calculations'!$H$30:$H$279,$A68,'Policy Calculations'!$T$30:$T$279,1)</f>
        <v>78382.41060805798</v>
      </c>
      <c r="E68" s="159">
        <f>IF(D68=0,"",C68/D68)</f>
        <v>1.1124030164879399</v>
      </c>
      <c r="F68" s="174">
        <f>SUMIFS('Policy Calculations'!$AH$30:$AH$279,'Policy Calculations'!$H$30:$H$279,$A68,'Policy Calculations'!$T$30:$T$279,1)</f>
        <v>501431.46902325994</v>
      </c>
      <c r="G68" s="174">
        <f>SUMIFS('Policy Calculations'!$AI$30:$AI$279,'Policy Calculations'!$H$30:$H$279,$A68,'Policy Calculations'!$T$30:$T$279,1)</f>
        <v>92189.028688589518</v>
      </c>
      <c r="H68" s="159">
        <f>IF(F68=0,"",G68/F68)</f>
        <v>0.1838517013464768</v>
      </c>
      <c r="I68" s="173">
        <f>COUNTIFS('Policy Calculations'!$H$30:$H$279,$A68,'Policy Calculations'!$AR$30:$AR$279,"Loss-making")</f>
        <v>9</v>
      </c>
      <c r="J68" s="175">
        <f>IF(B68=0,"",I68/B68)</f>
        <v>0.32142857142857145</v>
      </c>
      <c r="K68" s="175">
        <f>IF('Portfolio Totals'!$B$13=0,"",G68/'Portfolio Totals'!$B$13)</f>
        <v>0.35973785049426044</v>
      </c>
      <c r="L68" s="160" t="str">
        <f>IF(B68=0,"No policies",IF(G68&lt;0,"Loss-making segment",IF(H68&lt;Assumptions!$C$16-0.00001,"Below target","At or above target")))</f>
        <v>At or above target</v>
      </c>
      <c r="M68" s="26"/>
    </row>
    <row r="69" spans="1:13" x14ac:dyDescent="0.3">
      <c r="A69" s="47">
        <v>15</v>
      </c>
      <c r="B69" s="146">
        <f>COUNTIFS('Policy Calculations'!$H$30:$H$279,$A69,'Policy Calculations'!$T$30:$T$279,1)</f>
        <v>63</v>
      </c>
      <c r="C69" s="147">
        <f>SUMIFS('Policy Calculations'!$M$30:$M$279,'Policy Calculations'!$H$30:$H$279,$A69,'Policy Calculations'!$T$30:$T$279,1)</f>
        <v>176877.17999999996</v>
      </c>
      <c r="D69" s="147">
        <f>SUMIFS('Policy Calculations'!$AF$30:$AF$279,'Policy Calculations'!$H$30:$H$279,$A69,'Policy Calculations'!$T$30:$T$279,1)</f>
        <v>172543.97302158599</v>
      </c>
      <c r="E69" s="145">
        <f>IF(D69=0,"",C69/D69)</f>
        <v>1.0251136385845936</v>
      </c>
      <c r="F69" s="147">
        <f>SUMIFS('Policy Calculations'!$AH$30:$AH$279,'Policy Calculations'!$H$30:$H$279,$A69,'Policy Calculations'!$T$30:$T$279,1)</f>
        <v>1279523.6147834465</v>
      </c>
      <c r="G69" s="147">
        <f>SUMIFS('Policy Calculations'!$AI$30:$AI$279,'Policy Calculations'!$H$30:$H$279,$A69,'Policy Calculations'!$T$30:$T$279,1)</f>
        <v>148509.86069536177</v>
      </c>
      <c r="H69" s="145">
        <f>IF(F69=0,"",G69/F69)</f>
        <v>0.11606652583781846</v>
      </c>
      <c r="I69" s="146">
        <f>COUNTIFS('Policy Calculations'!$H$30:$H$279,$A69,'Policy Calculations'!$AR$30:$AR$279,"Loss-making")</f>
        <v>24</v>
      </c>
      <c r="J69" s="148">
        <f>IF(B69=0,"",I69/B69)</f>
        <v>0.38095238095238093</v>
      </c>
      <c r="K69" s="148">
        <f>IF('Portfolio Totals'!$B$13=0,"",G69/'Portfolio Totals'!$B$13)</f>
        <v>0.57951167100607504</v>
      </c>
      <c r="L69" s="151" t="str">
        <f>IF(B69=0,"No policies",IF(G69&lt;0,"Loss-making segment",IF(H69&lt;Assumptions!$C$16-0.00001,"Below target","At or above target")))</f>
        <v>At or above target</v>
      </c>
      <c r="M69" s="26"/>
    </row>
    <row r="70" spans="1:13" x14ac:dyDescent="0.3">
      <c r="A70" s="47">
        <v>20</v>
      </c>
      <c r="B70" s="146">
        <f>COUNTIFS('Policy Calculations'!$H$30:$H$279,$A70,'Policy Calculations'!$T$30:$T$279,1)</f>
        <v>56</v>
      </c>
      <c r="C70" s="147">
        <f>SUMIFS('Policy Calculations'!$M$30:$M$279,'Policy Calculations'!$H$30:$H$279,$A70,'Policy Calculations'!$T$30:$T$279,1)</f>
        <v>134296.95999999999</v>
      </c>
      <c r="D70" s="147">
        <f>SUMIFS('Policy Calculations'!$AF$30:$AF$279,'Policy Calculations'!$H$30:$H$279,$A70,'Policy Calculations'!$T$30:$T$279,1)</f>
        <v>143950.65439042309</v>
      </c>
      <c r="E70" s="145">
        <f>IF(D70=0,"",C70/D70)</f>
        <v>0.93293747478048727</v>
      </c>
      <c r="F70" s="147">
        <f>SUMIFS('Policy Calculations'!$AH$30:$AH$279,'Policy Calculations'!$H$30:$H$279,$A70,'Policy Calculations'!$T$30:$T$279,1)</f>
        <v>1127538.6658730775</v>
      </c>
      <c r="G70" s="147">
        <f>SUMIFS('Policy Calculations'!$AI$30:$AI$279,'Policy Calculations'!$H$30:$H$279,$A70,'Policy Calculations'!$T$30:$T$279,1)</f>
        <v>33689.177105079129</v>
      </c>
      <c r="H70" s="145">
        <f>IF(F70=0,"",G70/F70)</f>
        <v>2.9878511597642529E-2</v>
      </c>
      <c r="I70" s="146">
        <f>COUNTIFS('Policy Calculations'!$H$30:$H$279,$A70,'Policy Calculations'!$AR$30:$AR$279,"Loss-making")</f>
        <v>18</v>
      </c>
      <c r="J70" s="148">
        <f>IF(B70=0,"",I70/B70)</f>
        <v>0.32142857142857145</v>
      </c>
      <c r="K70" s="148">
        <f>IF('Portfolio Totals'!$B$13=0,"",G70/'Portfolio Totals'!$B$13)</f>
        <v>0.13146111125261972</v>
      </c>
      <c r="L70" s="151" t="str">
        <f>IF(B70=0,"No policies",IF(G70&lt;0,"Loss-making segment",IF(H70&lt;Assumptions!$C$16-0.00001,"Below target","At or above target")))</f>
        <v>Below target</v>
      </c>
      <c r="M70" s="26"/>
    </row>
    <row r="71" spans="1:13" x14ac:dyDescent="0.3">
      <c r="A71" s="47">
        <v>25</v>
      </c>
      <c r="B71" s="146">
        <f>COUNTIFS('Policy Calculations'!$H$30:$H$279,$A71,'Policy Calculations'!$T$30:$T$279,1)</f>
        <v>22</v>
      </c>
      <c r="C71" s="147">
        <f>SUMIFS('Policy Calculations'!$M$30:$M$279,'Policy Calculations'!$H$30:$H$279,$A71,'Policy Calculations'!$T$30:$T$279,1)</f>
        <v>31513.93</v>
      </c>
      <c r="D71" s="147">
        <f>SUMIFS('Policy Calculations'!$AF$30:$AF$279,'Policy Calculations'!$H$30:$H$279,$A71,'Policy Calculations'!$T$30:$T$279,1)</f>
        <v>37481.059636823353</v>
      </c>
      <c r="E71" s="145">
        <f>IF(D71=0,"",C71/D71)</f>
        <v>0.84079613290972888</v>
      </c>
      <c r="F71" s="147">
        <f>SUMIFS('Policy Calculations'!$AH$30:$AH$279,'Policy Calculations'!$H$30:$H$279,$A71,'Policy Calculations'!$T$30:$T$279,1)</f>
        <v>295327.0132531391</v>
      </c>
      <c r="G71" s="147">
        <f>SUMIFS('Policy Calculations'!$AI$30:$AI$279,'Policy Calculations'!$H$30:$H$279,$A71,'Policy Calculations'!$T$30:$T$279,1)</f>
        <v>-18120.819209026966</v>
      </c>
      <c r="H71" s="145">
        <f>IF(F71=0,"",G71/F71)</f>
        <v>-6.1358488711951091E-2</v>
      </c>
      <c r="I71" s="146">
        <f>COUNTIFS('Policy Calculations'!$H$30:$H$279,$A71,'Policy Calculations'!$AR$30:$AR$279,"Loss-making")</f>
        <v>14</v>
      </c>
      <c r="J71" s="148">
        <f>IF(B71=0,"",I71/B71)</f>
        <v>0.63636363636363635</v>
      </c>
      <c r="K71" s="148">
        <f>IF('Portfolio Totals'!$B$13=0,"",G71/'Portfolio Totals'!$B$13)</f>
        <v>-7.0710632752954777E-2</v>
      </c>
      <c r="L71" s="151" t="str">
        <f>IF(B71=0,"No policies",IF(G71&lt;0,"Loss-making segment",IF(H71&lt;Assumptions!$C$16-0.00001,"Below target","At or above target")))</f>
        <v>Loss-making segment</v>
      </c>
      <c r="M71" s="26"/>
    </row>
    <row r="72" spans="1:13" ht="13.5" thickBot="1" x14ac:dyDescent="0.35">
      <c r="A72" s="63" t="s">
        <v>58</v>
      </c>
      <c r="B72" s="167">
        <f>SUM(B68:B71)</f>
        <v>169</v>
      </c>
      <c r="C72" s="168">
        <f>SUM(C68:C71)</f>
        <v>429880.89999999997</v>
      </c>
      <c r="D72" s="168">
        <f>SUM(D68:D71)</f>
        <v>432358.0976568904</v>
      </c>
      <c r="E72" s="169">
        <f>IF(D72=0,"",C72/D72)</f>
        <v>0.99427049552138547</v>
      </c>
      <c r="F72" s="168">
        <f>SUM(F68:F71)</f>
        <v>3203820.7629329236</v>
      </c>
      <c r="G72" s="168">
        <f>SUM(G68:G71)</f>
        <v>256267.24728000347</v>
      </c>
      <c r="H72" s="169">
        <f>IF(F72=0,"",G72/F72)</f>
        <v>7.9988010017578118E-2</v>
      </c>
      <c r="I72" s="167">
        <f>SUM(I68:I71)</f>
        <v>65</v>
      </c>
      <c r="J72" s="170">
        <f>IF(B72=0,"",I72/B72)</f>
        <v>0.38461538461538464</v>
      </c>
      <c r="K72" s="171">
        <f>G72-'Portfolio Totals'!$B$13</f>
        <v>0</v>
      </c>
      <c r="L72" s="172"/>
      <c r="M72" s="26"/>
    </row>
    <row r="73" spans="1:13" x14ac:dyDescent="0.3">
      <c r="A73" s="26"/>
      <c r="B73" s="26"/>
      <c r="C73" s="26"/>
      <c r="D73" s="26"/>
      <c r="E73" s="26"/>
      <c r="F73" s="26"/>
      <c r="G73" s="26"/>
      <c r="H73" s="26"/>
      <c r="I73" s="26"/>
      <c r="J73" s="26"/>
      <c r="K73" s="26"/>
      <c r="L73" s="26"/>
      <c r="M73" s="26"/>
    </row>
    <row r="74" spans="1:13" x14ac:dyDescent="0.3">
      <c r="A74" s="26"/>
      <c r="B74" s="26"/>
      <c r="C74" s="26"/>
      <c r="D74" s="26"/>
      <c r="E74" s="26"/>
      <c r="F74" s="26"/>
      <c r="G74" s="26"/>
      <c r="H74" s="26"/>
      <c r="I74" s="26"/>
      <c r="J74" s="26"/>
      <c r="K74" s="26"/>
      <c r="L74" s="26"/>
      <c r="M74" s="26"/>
    </row>
    <row r="75" spans="1:13" x14ac:dyDescent="0.3">
      <c r="A75" s="26"/>
      <c r="B75" s="26"/>
      <c r="C75" s="26"/>
      <c r="D75" s="26"/>
      <c r="E75" s="26"/>
      <c r="F75" s="26"/>
      <c r="G75" s="26"/>
      <c r="H75" s="26"/>
      <c r="I75" s="26"/>
      <c r="J75" s="26"/>
      <c r="K75" s="26"/>
      <c r="L75" s="26"/>
      <c r="M75" s="26"/>
    </row>
    <row r="76" spans="1:13" x14ac:dyDescent="0.3">
      <c r="A76" s="26"/>
      <c r="B76" s="26"/>
      <c r="C76" s="26"/>
      <c r="D76" s="26"/>
      <c r="E76" s="26"/>
      <c r="F76" s="26"/>
      <c r="G76" s="26"/>
      <c r="H76" s="26"/>
      <c r="I76" s="26"/>
      <c r="J76" s="26"/>
      <c r="K76" s="26"/>
      <c r="L76" s="26"/>
      <c r="M76" s="26"/>
    </row>
    <row r="77" spans="1:13" ht="13.5" thickBot="1" x14ac:dyDescent="0.35">
      <c r="A77" s="26"/>
      <c r="B77" s="26"/>
      <c r="C77" s="26"/>
      <c r="D77" s="26"/>
      <c r="E77" s="26"/>
      <c r="F77" s="26"/>
      <c r="G77" s="26"/>
      <c r="H77" s="26"/>
      <c r="I77" s="26"/>
      <c r="J77" s="26"/>
      <c r="K77" s="26"/>
      <c r="L77" s="26"/>
      <c r="M77" s="26"/>
    </row>
    <row r="78" spans="1:13" ht="13.5" thickBot="1" x14ac:dyDescent="0.35">
      <c r="A78" s="192" t="s">
        <v>715</v>
      </c>
      <c r="B78" s="193"/>
      <c r="C78" s="193"/>
      <c r="D78" s="193"/>
      <c r="E78" s="193"/>
      <c r="F78" s="193"/>
      <c r="G78" s="193"/>
      <c r="H78" s="193"/>
      <c r="I78" s="193"/>
      <c r="J78" s="193"/>
      <c r="K78" s="193"/>
      <c r="L78" s="193"/>
      <c r="M78" s="194"/>
    </row>
    <row r="79" spans="1:13" ht="36" customHeight="1" thickBot="1" x14ac:dyDescent="0.35">
      <c r="A79" s="189" t="s">
        <v>76</v>
      </c>
      <c r="B79" s="190" t="s">
        <v>77</v>
      </c>
      <c r="C79" s="481" t="s">
        <v>78</v>
      </c>
      <c r="D79" s="481"/>
      <c r="E79" s="190" t="s">
        <v>79</v>
      </c>
      <c r="F79" s="190" t="s">
        <v>32</v>
      </c>
      <c r="G79" s="190" t="s">
        <v>80</v>
      </c>
      <c r="H79" s="190" t="s">
        <v>81</v>
      </c>
      <c r="I79" s="190" t="s">
        <v>45</v>
      </c>
      <c r="J79" s="190" t="s">
        <v>82</v>
      </c>
      <c r="K79" s="190" t="s">
        <v>83</v>
      </c>
      <c r="L79" s="190" t="s">
        <v>47</v>
      </c>
      <c r="M79" s="191" t="s">
        <v>84</v>
      </c>
    </row>
    <row r="80" spans="1:13" ht="30" customHeight="1" x14ac:dyDescent="0.3">
      <c r="A80" s="179" t="str">
        <f>IFERROR("1.  "&amp;INDEX('Policy Calculations'!$A$30:$A$279,MATCH(SMALL('Policy Calculations'!$AS$30:$AS$279,1),'Policy Calculations'!$AS$30:$AS$279,0)),"")</f>
        <v>1.  POL100246</v>
      </c>
      <c r="B80" s="180">
        <f>IFERROR(INDEX('Policy Calculations'!$D$30:$D$279,MATCH(SMALL('Policy Calculations'!$AS$30:$AS$279,1),'Policy Calculations'!$AS$30:$AS$279,0)),"")</f>
        <v>59</v>
      </c>
      <c r="C80" s="477" t="str">
        <f>IFERROR(INDEX('Policy Calculations'!$E$30:$E$279,MATCH(SMALL('Policy Calculations'!$AS$30:$AS$279,1),'Policy Calculations'!$AS$30:$AS$279,0))&amp;" · "&amp;INDEX('Policy Calculations'!$F$30:$F$279,MATCH(SMALL('Policy Calculations'!$AS$30:$AS$279,1),'Policy Calculations'!$AS$30:$AS$279,0))&amp;" · "&amp;INDEX('Policy Calculations'!$G$30:$G$279,MATCH(SMALL('Policy Calculations'!$AS$30:$AS$279,1),'Policy Calculations'!$AS$30:$AS$279,0)),"")</f>
        <v>Male · Non-smoker · Standard</v>
      </c>
      <c r="D80" s="477"/>
      <c r="E80" s="180">
        <f>IFERROR(INDEX('Policy Calculations'!$H$30:$H$279,MATCH(SMALL('Policy Calculations'!$AS$30:$AS$279,1),'Policy Calculations'!$AS$30:$AS$279,0)),"")</f>
        <v>20</v>
      </c>
      <c r="F80" s="181">
        <f>IFERROR(INDEX('Policy Calculations'!$I$30:$I$279,MATCH(SMALL('Policy Calculations'!$AS$30:$AS$279,1),'Policy Calculations'!$AS$30:$AS$279,0)),"")</f>
        <v>500000</v>
      </c>
      <c r="G80" s="180" t="str">
        <f>IFERROR(INDEX('Policy Calculations'!$K$30:$K$279,MATCH(SMALL('Policy Calculations'!$AS$30:$AS$279,1),'Policy Calculations'!$AS$30:$AS$279,0)),"")</f>
        <v>Bancassurance</v>
      </c>
      <c r="H80" s="180" t="str">
        <f>IFERROR(INDEX('Policy Calculations'!$J$30:$J$279,MATCH(SMALL('Policy Calculations'!$AS$30:$AS$279,1),'Policy Calculations'!$AS$30:$AS$279,0)),"")</f>
        <v>Monthly</v>
      </c>
      <c r="I80" s="181">
        <f>IFERROR(INDEX('Policy Calculations'!$M$30:$M$279,MATCH(SMALL('Policy Calculations'!$AS$30:$AS$279,1),'Policy Calculations'!$AS$30:$AS$279,0)),"")</f>
        <v>3861.89</v>
      </c>
      <c r="J80" s="181">
        <f>IFERROR(INDEX('Policy Calculations'!$AF$30:$AF$279,MATCH(SMALL('Policy Calculations'!$AS$30:$AS$279,1),'Policy Calculations'!$AS$30:$AS$279,0)),"")</f>
        <v>6488.4778731607348</v>
      </c>
      <c r="K80" s="182">
        <f>IFERROR(INDEX('Policy Calculations'!$AK$30:$AK$279,MATCH(SMALL('Policy Calculations'!$AS$30:$AS$279,1),'Policy Calculations'!$AS$30:$AS$279,0)),"")</f>
        <v>0.59519198115393368</v>
      </c>
      <c r="L80" s="181">
        <f>IFERROR(INDEX('Policy Calculations'!$AI$30:$AI$279,MATCH(SMALL('Policy Calculations'!$AS$30:$AS$279,1),'Policy Calculations'!$AS$30:$AS$279,0)),"")</f>
        <v>-14415.996152683314</v>
      </c>
      <c r="M80" s="183">
        <f>IFERROR(INDEX('Policy Calculations'!$AJ$30:$AJ$279,MATCH(SMALL('Policy Calculations'!$AS$30:$AS$279,1),'Policy Calculations'!$AS$30:$AS$279,0)),"")</f>
        <v>-0.45791742716760547</v>
      </c>
    </row>
    <row r="81" spans="1:13" ht="30" customHeight="1" x14ac:dyDescent="0.3">
      <c r="A81" s="179" t="str">
        <f>IFERROR("2.  "&amp;INDEX('Policy Calculations'!$A$30:$A$279,MATCH(SMALL('Policy Calculations'!$AS$30:$AS$279,2),'Policy Calculations'!$AS$30:$AS$279,0)),"")</f>
        <v>2.  POL100189</v>
      </c>
      <c r="B81" s="180">
        <f>IFERROR(INDEX('Policy Calculations'!$D$30:$D$279,MATCH(SMALL('Policy Calculations'!$AS$30:$AS$279,2),'Policy Calculations'!$AS$30:$AS$279,0)),"")</f>
        <v>58</v>
      </c>
      <c r="C81" s="477" t="str">
        <f>IFERROR(INDEX('Policy Calculations'!$E$30:$E$279,MATCH(SMALL('Policy Calculations'!$AS$30:$AS$279,2),'Policy Calculations'!$AS$30:$AS$279,0))&amp;" · "&amp;INDEX('Policy Calculations'!$F$30:$F$279,MATCH(SMALL('Policy Calculations'!$AS$30:$AS$279,2),'Policy Calculations'!$AS$30:$AS$279,0))&amp;" · "&amp;INDEX('Policy Calculations'!$G$30:$G$279,MATCH(SMALL('Policy Calculations'!$AS$30:$AS$279,2),'Policy Calculations'!$AS$30:$AS$279,0)),"")</f>
        <v>Male · Non-smoker · Standard</v>
      </c>
      <c r="D81" s="477"/>
      <c r="E81" s="180">
        <f>IFERROR(INDEX('Policy Calculations'!$H$30:$H$279,MATCH(SMALL('Policy Calculations'!$AS$30:$AS$279,2),'Policy Calculations'!$AS$30:$AS$279,0)),"")</f>
        <v>20</v>
      </c>
      <c r="F81" s="181">
        <f>IFERROR(INDEX('Policy Calculations'!$I$30:$I$279,MATCH(SMALL('Policy Calculations'!$AS$30:$AS$279,2),'Policy Calculations'!$AS$30:$AS$279,0)),"")</f>
        <v>500000</v>
      </c>
      <c r="G81" s="180" t="str">
        <f>IFERROR(INDEX('Policy Calculations'!$K$30:$K$279,MATCH(SMALL('Policy Calculations'!$AS$30:$AS$279,2),'Policy Calculations'!$AS$30:$AS$279,0)),"")</f>
        <v>Bancassurance</v>
      </c>
      <c r="H81" s="180" t="str">
        <f>IFERROR(INDEX('Policy Calculations'!$J$30:$J$279,MATCH(SMALL('Policy Calculations'!$AS$30:$AS$279,2),'Policy Calculations'!$AS$30:$AS$279,0)),"")</f>
        <v>Monthly</v>
      </c>
      <c r="I81" s="181">
        <f>IFERROR(INDEX('Policy Calculations'!$M$30:$M$279,MATCH(SMALL('Policy Calculations'!$AS$30:$AS$279,2),'Policy Calculations'!$AS$30:$AS$279,0)),"")</f>
        <v>3623.02</v>
      </c>
      <c r="J81" s="181">
        <f>IFERROR(INDEX('Policy Calculations'!$AF$30:$AF$279,MATCH(SMALL('Policy Calculations'!$AS$30:$AS$279,2),'Policy Calculations'!$AS$30:$AS$279,0)),"")</f>
        <v>6038.631625405571</v>
      </c>
      <c r="K81" s="182">
        <f>IFERROR(INDEX('Policy Calculations'!$AK$30:$AK$279,MATCH(SMALL('Policy Calculations'!$AS$30:$AS$279,2),'Policy Calculations'!$AS$30:$AS$279,0)),"")</f>
        <v>0.59997367363117937</v>
      </c>
      <c r="L81" s="181">
        <f>IFERROR(INDEX('Policy Calculations'!$AI$30:$AI$279,MATCH(SMALL('Policy Calculations'!$AS$30:$AS$279,2),'Policy Calculations'!$AS$30:$AS$279,0)),"")</f>
        <v>-13256.260871793133</v>
      </c>
      <c r="M81" s="183">
        <f>IFERROR(INDEX('Policy Calculations'!$AJ$30:$AJ$279,MATCH(SMALL('Policy Calculations'!$AS$30:$AS$279,2),'Policy Calculations'!$AS$30:$AS$279,0)),"")</f>
        <v>-0.44688611889174645</v>
      </c>
    </row>
    <row r="82" spans="1:13" ht="30" customHeight="1" x14ac:dyDescent="0.3">
      <c r="A82" s="179" t="str">
        <f>IFERROR("3.  "&amp;INDEX('Policy Calculations'!$A$30:$A$279,MATCH(SMALL('Policy Calculations'!$AS$30:$AS$279,3),'Policy Calculations'!$AS$30:$AS$279,0)),"")</f>
        <v>3.  POL100066</v>
      </c>
      <c r="B82" s="180">
        <f>IFERROR(INDEX('Policy Calculations'!$D$30:$D$279,MATCH(SMALL('Policy Calculations'!$AS$30:$AS$279,3),'Policy Calculations'!$AS$30:$AS$279,0)),"")</f>
        <v>54</v>
      </c>
      <c r="C82" s="477" t="str">
        <f>IFERROR(INDEX('Policy Calculations'!$E$30:$E$279,MATCH(SMALL('Policy Calculations'!$AS$30:$AS$279,3),'Policy Calculations'!$AS$30:$AS$279,0))&amp;" · "&amp;INDEX('Policy Calculations'!$F$30:$F$279,MATCH(SMALL('Policy Calculations'!$AS$30:$AS$279,3),'Policy Calculations'!$AS$30:$AS$279,0))&amp;" · "&amp;INDEX('Policy Calculations'!$G$30:$G$279,MATCH(SMALL('Policy Calculations'!$AS$30:$AS$279,3),'Policy Calculations'!$AS$30:$AS$279,0)),"")</f>
        <v>Female · Smoker · Standard</v>
      </c>
      <c r="D82" s="477"/>
      <c r="E82" s="180">
        <f>IFERROR(INDEX('Policy Calculations'!$H$30:$H$279,MATCH(SMALL('Policy Calculations'!$AS$30:$AS$279,3),'Policy Calculations'!$AS$30:$AS$279,0)),"")</f>
        <v>20</v>
      </c>
      <c r="F82" s="181">
        <f>IFERROR(INDEX('Policy Calculations'!$I$30:$I$279,MATCH(SMALL('Policy Calculations'!$AS$30:$AS$279,3),'Policy Calculations'!$AS$30:$AS$279,0)),"")</f>
        <v>500000</v>
      </c>
      <c r="G82" s="180" t="str">
        <f>IFERROR(INDEX('Policy Calculations'!$K$30:$K$279,MATCH(SMALL('Policy Calculations'!$AS$30:$AS$279,3),'Policy Calculations'!$AS$30:$AS$279,0)),"")</f>
        <v>Direct</v>
      </c>
      <c r="H82" s="180" t="str">
        <f>IFERROR(INDEX('Policy Calculations'!$J$30:$J$279,MATCH(SMALL('Policy Calculations'!$AS$30:$AS$279,3),'Policy Calculations'!$AS$30:$AS$279,0)),"")</f>
        <v>Annual</v>
      </c>
      <c r="I82" s="181">
        <f>IFERROR(INDEX('Policy Calculations'!$M$30:$M$279,MATCH(SMALL('Policy Calculations'!$AS$30:$AS$279,3),'Policy Calculations'!$AS$30:$AS$279,0)),"")</f>
        <v>3294.88</v>
      </c>
      <c r="J82" s="181">
        <f>IFERROR(INDEX('Policy Calculations'!$AF$30:$AF$279,MATCH(SMALL('Policy Calculations'!$AS$30:$AS$279,3),'Policy Calculations'!$AS$30:$AS$279,0)),"")</f>
        <v>5188.2634310664662</v>
      </c>
      <c r="K82" s="182">
        <f>IFERROR(INDEX('Policy Calculations'!$AK$30:$AK$279,MATCH(SMALL('Policy Calculations'!$AS$30:$AS$279,3),'Policy Calculations'!$AS$30:$AS$279,0)),"")</f>
        <v>0.63506412960274949</v>
      </c>
      <c r="L82" s="181">
        <f>IFERROR(INDEX('Policy Calculations'!$AI$30:$AI$279,MATCH(SMALL('Policy Calculations'!$AS$30:$AS$279,3),'Policy Calculations'!$AS$30:$AS$279,0)),"")</f>
        <v>-11305.72199276938</v>
      </c>
      <c r="M82" s="183">
        <f>IFERROR(INDEX('Policy Calculations'!$AJ$30:$AJ$279,MATCH(SMALL('Policy Calculations'!$AS$30:$AS$279,3),'Policy Calculations'!$AS$30:$AS$279,0)),"")</f>
        <v>-0.41657016906471195</v>
      </c>
    </row>
    <row r="83" spans="1:13" ht="30" customHeight="1" x14ac:dyDescent="0.3">
      <c r="A83" s="179" t="str">
        <f>IFERROR("4.  "&amp;INDEX('Policy Calculations'!$A$30:$A$279,MATCH(SMALL('Policy Calculations'!$AS$30:$AS$279,4),'Policy Calculations'!$AS$30:$AS$279,0)),"")</f>
        <v>4.  POL100148</v>
      </c>
      <c r="B83" s="180">
        <f>IFERROR(INDEX('Policy Calculations'!$D$30:$D$279,MATCH(SMALL('Policy Calculations'!$AS$30:$AS$279,4),'Policy Calculations'!$AS$30:$AS$279,0)),"")</f>
        <v>54</v>
      </c>
      <c r="C83" s="477" t="str">
        <f>IFERROR(INDEX('Policy Calculations'!$E$30:$E$279,MATCH(SMALL('Policy Calculations'!$AS$30:$AS$279,4),'Policy Calculations'!$AS$30:$AS$279,0))&amp;" · "&amp;INDEX('Policy Calculations'!$F$30:$F$279,MATCH(SMALL('Policy Calculations'!$AS$30:$AS$279,4),'Policy Calculations'!$AS$30:$AS$279,0))&amp;" · "&amp;INDEX('Policy Calculations'!$G$30:$G$279,MATCH(SMALL('Policy Calculations'!$AS$30:$AS$279,4),'Policy Calculations'!$AS$30:$AS$279,0)),"")</f>
        <v>Female · Smoker · Preferred</v>
      </c>
      <c r="D83" s="477"/>
      <c r="E83" s="180">
        <f>IFERROR(INDEX('Policy Calculations'!$H$30:$H$279,MATCH(SMALL('Policy Calculations'!$AS$30:$AS$279,4),'Policy Calculations'!$AS$30:$AS$279,0)),"")</f>
        <v>20</v>
      </c>
      <c r="F83" s="181">
        <f>IFERROR(INDEX('Policy Calculations'!$I$30:$I$279,MATCH(SMALL('Policy Calculations'!$AS$30:$AS$279,4),'Policy Calculations'!$AS$30:$AS$279,0)),"")</f>
        <v>500000</v>
      </c>
      <c r="G83" s="180" t="str">
        <f>IFERROR(INDEX('Policy Calculations'!$K$30:$K$279,MATCH(SMALL('Policy Calculations'!$AS$30:$AS$279,4),'Policy Calculations'!$AS$30:$AS$279,0)),"")</f>
        <v>Direct</v>
      </c>
      <c r="H83" s="180" t="str">
        <f>IFERROR(INDEX('Policy Calculations'!$J$30:$J$279,MATCH(SMALL('Policy Calculations'!$AS$30:$AS$279,4),'Policy Calculations'!$AS$30:$AS$279,0)),"")</f>
        <v>Monthly</v>
      </c>
      <c r="I83" s="181">
        <f>IFERROR(INDEX('Policy Calculations'!$M$30:$M$279,MATCH(SMALL('Policy Calculations'!$AS$30:$AS$279,4),'Policy Calculations'!$AS$30:$AS$279,0)),"")</f>
        <v>2786.9</v>
      </c>
      <c r="J83" s="181">
        <f>IFERROR(INDEX('Policy Calculations'!$AF$30:$AF$279,MATCH(SMALL('Policy Calculations'!$AS$30:$AS$279,4),'Policy Calculations'!$AS$30:$AS$279,0)),"")</f>
        <v>4388.593033795024</v>
      </c>
      <c r="K83" s="182">
        <f>IFERROR(INDEX('Policy Calculations'!$AK$30:$AK$279,MATCH(SMALL('Policy Calculations'!$AS$30:$AS$279,4),'Policy Calculations'!$AS$30:$AS$279,0)),"")</f>
        <v>0.63503268098432808</v>
      </c>
      <c r="L83" s="181">
        <f>IFERROR(INDEX('Policy Calculations'!$AI$30:$AI$279,MATCH(SMALL('Policy Calculations'!$AS$30:$AS$279,4),'Policy Calculations'!$AS$30:$AS$279,0)),"")</f>
        <v>-8736.7734559064847</v>
      </c>
      <c r="M83" s="183">
        <f>IFERROR(INDEX('Policy Calculations'!$AJ$30:$AJ$279,MATCH(SMALL('Policy Calculations'!$AS$30:$AS$279,4),'Policy Calculations'!$AS$30:$AS$279,0)),"")</f>
        <v>-0.37703240526298271</v>
      </c>
    </row>
    <row r="84" spans="1:13" ht="30" customHeight="1" x14ac:dyDescent="0.3">
      <c r="A84" s="179" t="str">
        <f>IFERROR("5.  "&amp;INDEX('Policy Calculations'!$A$30:$A$279,MATCH(SMALL('Policy Calculations'!$AS$30:$AS$279,5),'Policy Calculations'!$AS$30:$AS$279,0)),"")</f>
        <v>5.  POL100194</v>
      </c>
      <c r="B84" s="180">
        <f>IFERROR(INDEX('Policy Calculations'!$D$30:$D$279,MATCH(SMALL('Policy Calculations'!$AS$30:$AS$279,5),'Policy Calculations'!$AS$30:$AS$279,0)),"")</f>
        <v>53</v>
      </c>
      <c r="C84" s="477" t="str">
        <f>IFERROR(INDEX('Policy Calculations'!$E$30:$E$279,MATCH(SMALL('Policy Calculations'!$AS$30:$AS$279,5),'Policy Calculations'!$AS$30:$AS$279,0))&amp;" · "&amp;INDEX('Policy Calculations'!$F$30:$F$279,MATCH(SMALL('Policy Calculations'!$AS$30:$AS$279,5),'Policy Calculations'!$AS$30:$AS$279,0))&amp;" · "&amp;INDEX('Policy Calculations'!$G$30:$G$279,MATCH(SMALL('Policy Calculations'!$AS$30:$AS$279,5),'Policy Calculations'!$AS$30:$AS$279,0)),"")</f>
        <v>Male · Non-smoker · Standard</v>
      </c>
      <c r="D84" s="477"/>
      <c r="E84" s="180">
        <f>IFERROR(INDEX('Policy Calculations'!$H$30:$H$279,MATCH(SMALL('Policy Calculations'!$AS$30:$AS$279,5),'Policy Calculations'!$AS$30:$AS$279,0)),"")</f>
        <v>20</v>
      </c>
      <c r="F84" s="181">
        <f>IFERROR(INDEX('Policy Calculations'!$I$30:$I$279,MATCH(SMALL('Policy Calculations'!$AS$30:$AS$279,5),'Policy Calculations'!$AS$30:$AS$279,0)),"")</f>
        <v>500000</v>
      </c>
      <c r="G84" s="180" t="str">
        <f>IFERROR(INDEX('Policy Calculations'!$K$30:$K$279,MATCH(SMALL('Policy Calculations'!$AS$30:$AS$279,5),'Policy Calculations'!$AS$30:$AS$279,0)),"")</f>
        <v>Broker</v>
      </c>
      <c r="H84" s="180" t="str">
        <f>IFERROR(INDEX('Policy Calculations'!$J$30:$J$279,MATCH(SMALL('Policy Calculations'!$AS$30:$AS$279,5),'Policy Calculations'!$AS$30:$AS$279,0)),"")</f>
        <v>Annual</v>
      </c>
      <c r="I84" s="181">
        <f>IFERROR(INDEX('Policy Calculations'!$M$30:$M$279,MATCH(SMALL('Policy Calculations'!$AS$30:$AS$279,5),'Policy Calculations'!$AS$30:$AS$279,0)),"")</f>
        <v>2677.49</v>
      </c>
      <c r="J84" s="181">
        <f>IFERROR(INDEX('Policy Calculations'!$AF$30:$AF$279,MATCH(SMALL('Policy Calculations'!$AS$30:$AS$279,5),'Policy Calculations'!$AS$30:$AS$279,0)),"")</f>
        <v>4143.2212122743731</v>
      </c>
      <c r="K84" s="182">
        <f>IFERROR(INDEX('Policy Calculations'!$AK$30:$AK$279,MATCH(SMALL('Policy Calculations'!$AS$30:$AS$279,5),'Policy Calculations'!$AS$30:$AS$279,0)),"")</f>
        <v>0.64623389937951747</v>
      </c>
      <c r="L84" s="181">
        <f>IFERROR(INDEX('Policy Calculations'!$AI$30:$AI$279,MATCH(SMALL('Policy Calculations'!$AS$30:$AS$279,5),'Policy Calculations'!$AS$30:$AS$279,0)),"")</f>
        <v>-8556.6107231892784</v>
      </c>
      <c r="M84" s="183">
        <f>IFERROR(INDEX('Policy Calculations'!$AJ$30:$AJ$279,MATCH(SMALL('Policy Calculations'!$AS$30:$AS$279,5),'Policy Calculations'!$AS$30:$AS$279,0)),"")</f>
        <v>-0.38356535183266555</v>
      </c>
    </row>
    <row r="85" spans="1:13" ht="30" customHeight="1" x14ac:dyDescent="0.3">
      <c r="A85" s="179" t="str">
        <f>IFERROR("6.  "&amp;INDEX('Policy Calculations'!$A$30:$A$279,MATCH(SMALL('Policy Calculations'!$AS$30:$AS$279,6),'Policy Calculations'!$AS$30:$AS$279,0)),"")</f>
        <v>6.  POL100120</v>
      </c>
      <c r="B85" s="180">
        <f>IFERROR(INDEX('Policy Calculations'!$D$30:$D$279,MATCH(SMALL('Policy Calculations'!$AS$30:$AS$279,6),'Policy Calculations'!$AS$30:$AS$279,0)),"")</f>
        <v>49</v>
      </c>
      <c r="C85" s="477" t="str">
        <f>IFERROR(INDEX('Policy Calculations'!$E$30:$E$279,MATCH(SMALL('Policy Calculations'!$AS$30:$AS$279,6),'Policy Calculations'!$AS$30:$AS$279,0))&amp;" · "&amp;INDEX('Policy Calculations'!$F$30:$F$279,MATCH(SMALL('Policy Calculations'!$AS$30:$AS$279,6),'Policy Calculations'!$AS$30:$AS$279,0))&amp;" · "&amp;INDEX('Policy Calculations'!$G$30:$G$279,MATCH(SMALL('Policy Calculations'!$AS$30:$AS$279,6),'Policy Calculations'!$AS$30:$AS$279,0)),"")</f>
        <v>Male · Non-smoker · Rated</v>
      </c>
      <c r="D85" s="477"/>
      <c r="E85" s="180">
        <f>IFERROR(INDEX('Policy Calculations'!$H$30:$H$279,MATCH(SMALL('Policy Calculations'!$AS$30:$AS$279,6),'Policy Calculations'!$AS$30:$AS$279,0)),"")</f>
        <v>25</v>
      </c>
      <c r="F85" s="181">
        <f>IFERROR(INDEX('Policy Calculations'!$I$30:$I$279,MATCH(SMALL('Policy Calculations'!$AS$30:$AS$279,6),'Policy Calculations'!$AS$30:$AS$279,0)),"")</f>
        <v>250000</v>
      </c>
      <c r="G85" s="180" t="str">
        <f>IFERROR(INDEX('Policy Calculations'!$K$30:$K$279,MATCH(SMALL('Policy Calculations'!$AS$30:$AS$279,6),'Policy Calculations'!$AS$30:$AS$279,0)),"")</f>
        <v>Broker</v>
      </c>
      <c r="H85" s="180" t="str">
        <f>IFERROR(INDEX('Policy Calculations'!$J$30:$J$279,MATCH(SMALL('Policy Calculations'!$AS$30:$AS$279,6),'Policy Calculations'!$AS$30:$AS$279,0)),"")</f>
        <v>Monthly</v>
      </c>
      <c r="I85" s="181">
        <f>IFERROR(INDEX('Policy Calculations'!$M$30:$M$279,MATCH(SMALL('Policy Calculations'!$AS$30:$AS$279,6),'Policy Calculations'!$AS$30:$AS$279,0)),"")</f>
        <v>1699.41</v>
      </c>
      <c r="J85" s="181">
        <f>IFERROR(INDEX('Policy Calculations'!$AF$30:$AF$279,MATCH(SMALL('Policy Calculations'!$AS$30:$AS$279,6),'Policy Calculations'!$AS$30:$AS$279,0)),"")</f>
        <v>2966.6807991899532</v>
      </c>
      <c r="K85" s="182">
        <f>IFERROR(INDEX('Policy Calculations'!$AK$30:$AK$279,MATCH(SMALL('Policy Calculations'!$AS$30:$AS$279,6),'Policy Calculations'!$AS$30:$AS$279,0)),"")</f>
        <v>0.57283210261920359</v>
      </c>
      <c r="L85" s="181">
        <f>IFERROR(INDEX('Policy Calculations'!$AI$30:$AI$279,MATCH(SMALL('Policy Calculations'!$AS$30:$AS$279,6),'Policy Calculations'!$AS$30:$AS$279,0)),"")</f>
        <v>-7821.7159067615012</v>
      </c>
      <c r="M85" s="183">
        <f>IFERROR(INDEX('Policy Calculations'!$AJ$30:$AJ$279,MATCH(SMALL('Policy Calculations'!$AS$30:$AS$279,6),'Policy Calculations'!$AS$30:$AS$279,0)),"")</f>
        <v>-0.50966496277022733</v>
      </c>
    </row>
    <row r="86" spans="1:13" ht="30" customHeight="1" x14ac:dyDescent="0.3">
      <c r="A86" s="179" t="str">
        <f>IFERROR("7.  "&amp;INDEX('Policy Calculations'!$A$30:$A$279,MATCH(SMALL('Policy Calculations'!$AS$30:$AS$279,7),'Policy Calculations'!$AS$30:$AS$279,0)),"")</f>
        <v>7.  POL100044</v>
      </c>
      <c r="B86" s="180">
        <f>IFERROR(INDEX('Policy Calculations'!$D$30:$D$279,MATCH(SMALL('Policy Calculations'!$AS$30:$AS$279,7),'Policy Calculations'!$AS$30:$AS$279,0)),"")</f>
        <v>59</v>
      </c>
      <c r="C86" s="477" t="str">
        <f>IFERROR(INDEX('Policy Calculations'!$E$30:$E$279,MATCH(SMALL('Policy Calculations'!$AS$30:$AS$279,7),'Policy Calculations'!$AS$30:$AS$279,0))&amp;" · "&amp;INDEX('Policy Calculations'!$F$30:$F$279,MATCH(SMALL('Policy Calculations'!$AS$30:$AS$279,7),'Policy Calculations'!$AS$30:$AS$279,0))&amp;" · "&amp;INDEX('Policy Calculations'!$G$30:$G$279,MATCH(SMALL('Policy Calculations'!$AS$30:$AS$279,7),'Policy Calculations'!$AS$30:$AS$279,0)),"")</f>
        <v>Male · Non-smoker · Standard</v>
      </c>
      <c r="D86" s="477"/>
      <c r="E86" s="180">
        <f>IFERROR(INDEX('Policy Calculations'!$H$30:$H$279,MATCH(SMALL('Policy Calculations'!$AS$30:$AS$279,7),'Policy Calculations'!$AS$30:$AS$279,0)),"")</f>
        <v>20</v>
      </c>
      <c r="F86" s="181">
        <f>IFERROR(INDEX('Policy Calculations'!$I$30:$I$279,MATCH(SMALL('Policy Calculations'!$AS$30:$AS$279,7),'Policy Calculations'!$AS$30:$AS$279,0)),"")</f>
        <v>250000</v>
      </c>
      <c r="G86" s="180" t="str">
        <f>IFERROR(INDEX('Policy Calculations'!$K$30:$K$279,MATCH(SMALL('Policy Calculations'!$AS$30:$AS$279,7),'Policy Calculations'!$AS$30:$AS$279,0)),"")</f>
        <v>Broker</v>
      </c>
      <c r="H86" s="180" t="str">
        <f>IFERROR(INDEX('Policy Calculations'!$J$30:$J$279,MATCH(SMALL('Policy Calculations'!$AS$30:$AS$279,7),'Policy Calculations'!$AS$30:$AS$279,0)),"")</f>
        <v>Annual</v>
      </c>
      <c r="I86" s="181">
        <f>IFERROR(INDEX('Policy Calculations'!$M$30:$M$279,MATCH(SMALL('Policy Calculations'!$AS$30:$AS$279,7),'Policy Calculations'!$AS$30:$AS$279,0)),"")</f>
        <v>2170.94</v>
      </c>
      <c r="J86" s="181">
        <f>IFERROR(INDEX('Policy Calculations'!$AF$30:$AF$279,MATCH(SMALL('Policy Calculations'!$AS$30:$AS$279,7),'Policy Calculations'!$AS$30:$AS$279,0)),"")</f>
        <v>3407.5964662119245</v>
      </c>
      <c r="K86" s="182">
        <f>IFERROR(INDEX('Policy Calculations'!$AK$30:$AK$279,MATCH(SMALL('Policy Calculations'!$AS$30:$AS$279,7),'Policy Calculations'!$AS$30:$AS$279,0)),"")</f>
        <v>0.63708834702876038</v>
      </c>
      <c r="L86" s="181">
        <f>IFERROR(INDEX('Policy Calculations'!$AI$30:$AI$279,MATCH(SMALL('Policy Calculations'!$AS$30:$AS$279,7),'Policy Calculations'!$AS$30:$AS$279,0)),"")</f>
        <v>-7115.7852808022872</v>
      </c>
      <c r="M86" s="183">
        <f>IFERROR(INDEX('Policy Calculations'!$AJ$30:$AJ$279,MATCH(SMALL('Policy Calculations'!$AS$30:$AS$279,7),'Policy Calculations'!$AS$30:$AS$279,0)),"")</f>
        <v>-0.40208458885441439</v>
      </c>
    </row>
    <row r="87" spans="1:13" ht="30" customHeight="1" x14ac:dyDescent="0.3">
      <c r="A87" s="179" t="str">
        <f>IFERROR("8.  "&amp;INDEX('Policy Calculations'!$A$30:$A$279,MATCH(SMALL('Policy Calculations'!$AS$30:$AS$279,8),'Policy Calculations'!$AS$30:$AS$279,0)),"")</f>
        <v>8.  POL100162</v>
      </c>
      <c r="B87" s="180">
        <f>IFERROR(INDEX('Policy Calculations'!$D$30:$D$279,MATCH(SMALL('Policy Calculations'!$AS$30:$AS$279,8),'Policy Calculations'!$AS$30:$AS$279,0)),"")</f>
        <v>47</v>
      </c>
      <c r="C87" s="477" t="str">
        <f>IFERROR(INDEX('Policy Calculations'!$E$30:$E$279,MATCH(SMALL('Policy Calculations'!$AS$30:$AS$279,8),'Policy Calculations'!$AS$30:$AS$279,0))&amp;" · "&amp;INDEX('Policy Calculations'!$F$30:$F$279,MATCH(SMALL('Policy Calculations'!$AS$30:$AS$279,8),'Policy Calculations'!$AS$30:$AS$279,0))&amp;" · "&amp;INDEX('Policy Calculations'!$G$30:$G$279,MATCH(SMALL('Policy Calculations'!$AS$30:$AS$279,8),'Policy Calculations'!$AS$30:$AS$279,0)),"")</f>
        <v>Male · Smoker · Standard</v>
      </c>
      <c r="D87" s="477"/>
      <c r="E87" s="180">
        <f>IFERROR(INDEX('Policy Calculations'!$H$30:$H$279,MATCH(SMALL('Policy Calculations'!$AS$30:$AS$279,8),'Policy Calculations'!$AS$30:$AS$279,0)),"")</f>
        <v>25</v>
      </c>
      <c r="F87" s="181">
        <f>IFERROR(INDEX('Policy Calculations'!$I$30:$I$279,MATCH(SMALL('Policy Calculations'!$AS$30:$AS$279,8),'Policy Calculations'!$AS$30:$AS$279,0)),"")</f>
        <v>250000</v>
      </c>
      <c r="G87" s="180" t="str">
        <f>IFERROR(INDEX('Policy Calculations'!$K$30:$K$279,MATCH(SMALL('Policy Calculations'!$AS$30:$AS$279,8),'Policy Calculations'!$AS$30:$AS$279,0)),"")</f>
        <v>Bancassurance</v>
      </c>
      <c r="H87" s="180" t="str">
        <f>IFERROR(INDEX('Policy Calculations'!$J$30:$J$279,MATCH(SMALL('Policy Calculations'!$AS$30:$AS$279,8),'Policy Calculations'!$AS$30:$AS$279,0)),"")</f>
        <v>Monthly</v>
      </c>
      <c r="I87" s="181">
        <f>IFERROR(INDEX('Policy Calculations'!$M$30:$M$279,MATCH(SMALL('Policy Calculations'!$AS$30:$AS$279,8),'Policy Calculations'!$AS$30:$AS$279,0)),"")</f>
        <v>1598.92</v>
      </c>
      <c r="J87" s="181">
        <f>IFERROR(INDEX('Policy Calculations'!$AF$30:$AF$279,MATCH(SMALL('Policy Calculations'!$AS$30:$AS$279,8),'Policy Calculations'!$AS$30:$AS$279,0)),"")</f>
        <v>2728.0580589507981</v>
      </c>
      <c r="K87" s="182">
        <f>IFERROR(INDEX('Policy Calculations'!$AK$30:$AK$279,MATCH(SMALL('Policy Calculations'!$AS$30:$AS$279,8),'Policy Calculations'!$AS$30:$AS$279,0)),"")</f>
        <v>0.58610189572539351</v>
      </c>
      <c r="L87" s="181">
        <f>IFERROR(INDEX('Policy Calculations'!$AI$30:$AI$279,MATCH(SMALL('Policy Calculations'!$AS$30:$AS$279,8),'Policy Calculations'!$AS$30:$AS$279,0)),"")</f>
        <v>-6975.6167258215246</v>
      </c>
      <c r="M87" s="183">
        <f>IFERROR(INDEX('Policy Calculations'!$AJ$30:$AJ$279,MATCH(SMALL('Policy Calculations'!$AS$30:$AS$279,8),'Policy Calculations'!$AS$30:$AS$279,0)),"")</f>
        <v>-0.48066645562453142</v>
      </c>
    </row>
    <row r="88" spans="1:13" ht="30" customHeight="1" x14ac:dyDescent="0.3">
      <c r="A88" s="179" t="str">
        <f>IFERROR("9.  "&amp;INDEX('Policy Calculations'!$A$30:$A$279,MATCH(SMALL('Policy Calculations'!$AS$30:$AS$279,9),'Policy Calculations'!$AS$30:$AS$279,0)),"")</f>
        <v>9.  POL100024</v>
      </c>
      <c r="B88" s="180">
        <f>IFERROR(INDEX('Policy Calculations'!$D$30:$D$279,MATCH(SMALL('Policy Calculations'!$AS$30:$AS$279,9),'Policy Calculations'!$AS$30:$AS$279,0)),"")</f>
        <v>53</v>
      </c>
      <c r="C88" s="477" t="str">
        <f>IFERROR(INDEX('Policy Calculations'!$E$30:$E$279,MATCH(SMALL('Policy Calculations'!$AS$30:$AS$279,9),'Policy Calculations'!$AS$30:$AS$279,0))&amp;" · "&amp;INDEX('Policy Calculations'!$F$30:$F$279,MATCH(SMALL('Policy Calculations'!$AS$30:$AS$279,9),'Policy Calculations'!$AS$30:$AS$279,0))&amp;" · "&amp;INDEX('Policy Calculations'!$G$30:$G$279,MATCH(SMALL('Policy Calculations'!$AS$30:$AS$279,9),'Policy Calculations'!$AS$30:$AS$279,0)),"")</f>
        <v>Male · Non-smoker · Rated</v>
      </c>
      <c r="D88" s="477"/>
      <c r="E88" s="180">
        <f>IFERROR(INDEX('Policy Calculations'!$H$30:$H$279,MATCH(SMALL('Policy Calculations'!$AS$30:$AS$279,9),'Policy Calculations'!$AS$30:$AS$279,0)),"")</f>
        <v>20</v>
      </c>
      <c r="F88" s="181">
        <f>IFERROR(INDEX('Policy Calculations'!$I$30:$I$279,MATCH(SMALL('Policy Calculations'!$AS$30:$AS$279,9),'Policy Calculations'!$AS$30:$AS$279,0)),"")</f>
        <v>250000</v>
      </c>
      <c r="G88" s="180" t="str">
        <f>IFERROR(INDEX('Policy Calculations'!$K$30:$K$279,MATCH(SMALL('Policy Calculations'!$AS$30:$AS$279,9),'Policy Calculations'!$AS$30:$AS$279,0)),"")</f>
        <v>Broker</v>
      </c>
      <c r="H88" s="180" t="str">
        <f>IFERROR(INDEX('Policy Calculations'!$J$30:$J$279,MATCH(SMALL('Policy Calculations'!$AS$30:$AS$279,9),'Policy Calculations'!$AS$30:$AS$279,0)),"")</f>
        <v>Annual</v>
      </c>
      <c r="I88" s="181">
        <f>IFERROR(INDEX('Policy Calculations'!$M$30:$M$279,MATCH(SMALL('Policy Calculations'!$AS$30:$AS$279,9),'Policy Calculations'!$AS$30:$AS$279,0)),"")</f>
        <v>2107.4299999999998</v>
      </c>
      <c r="J88" s="181">
        <f>IFERROR(INDEX('Policy Calculations'!$AF$30:$AF$279,MATCH(SMALL('Policy Calculations'!$AS$30:$AS$279,9),'Policy Calculations'!$AS$30:$AS$279,0)),"")</f>
        <v>3290.660290050746</v>
      </c>
      <c r="K88" s="182">
        <f>IFERROR(INDEX('Policy Calculations'!$AK$30:$AK$279,MATCH(SMALL('Policy Calculations'!$AS$30:$AS$279,9),'Policy Calculations'!$AS$30:$AS$279,0)),"")</f>
        <v>0.64042769968440005</v>
      </c>
      <c r="L88" s="181">
        <f>IFERROR(INDEX('Policy Calculations'!$AI$30:$AI$279,MATCH(SMALL('Policy Calculations'!$AS$30:$AS$279,9),'Policy Calculations'!$AS$30:$AS$279,0)),"")</f>
        <v>-6804.9152228220664</v>
      </c>
      <c r="M88" s="183">
        <f>IFERROR(INDEX('Policy Calculations'!$AJ$30:$AJ$279,MATCH(SMALL('Policy Calculations'!$AS$30:$AS$279,9),'Policy Calculations'!$AS$30:$AS$279,0)),"")</f>
        <v>-0.39518890910648091</v>
      </c>
    </row>
    <row r="89" spans="1:13" ht="30" customHeight="1" thickBot="1" x14ac:dyDescent="0.35">
      <c r="A89" s="184" t="str">
        <f>IFERROR("10.  "&amp;INDEX('Policy Calculations'!$A$30:$A$279,MATCH(SMALL('Policy Calculations'!$AS$30:$AS$279,10),'Policy Calculations'!$AS$30:$AS$279,0)),"")</f>
        <v>10.  POL100013</v>
      </c>
      <c r="B89" s="185">
        <f>IFERROR(INDEX('Policy Calculations'!$D$30:$D$279,MATCH(SMALL('Policy Calculations'!$AS$30:$AS$279,10),'Policy Calculations'!$AS$30:$AS$279,0)),"")</f>
        <v>63</v>
      </c>
      <c r="C89" s="478" t="str">
        <f>IFERROR(INDEX('Policy Calculations'!$E$30:$E$279,MATCH(SMALL('Policy Calculations'!$AS$30:$AS$279,10),'Policy Calculations'!$AS$30:$AS$279,0))&amp;" · "&amp;INDEX('Policy Calculations'!$F$30:$F$279,MATCH(SMALL('Policy Calculations'!$AS$30:$AS$279,10),'Policy Calculations'!$AS$30:$AS$279,0))&amp;" · "&amp;INDEX('Policy Calculations'!$G$30:$G$279,MATCH(SMALL('Policy Calculations'!$AS$30:$AS$279,10),'Policy Calculations'!$AS$30:$AS$279,0)),"")</f>
        <v>Female · Non-smoker · Preferred</v>
      </c>
      <c r="D89" s="478"/>
      <c r="E89" s="185">
        <f>IFERROR(INDEX('Policy Calculations'!$H$30:$H$279,MATCH(SMALL('Policy Calculations'!$AS$30:$AS$279,10),'Policy Calculations'!$AS$30:$AS$279,0)),"")</f>
        <v>15</v>
      </c>
      <c r="F89" s="186">
        <f>IFERROR(INDEX('Policy Calculations'!$I$30:$I$279,MATCH(SMALL('Policy Calculations'!$AS$30:$AS$279,10),'Policy Calculations'!$AS$30:$AS$279,0)),"")</f>
        <v>500000</v>
      </c>
      <c r="G89" s="185" t="str">
        <f>IFERROR(INDEX('Policy Calculations'!$K$30:$K$279,MATCH(SMALL('Policy Calculations'!$AS$30:$AS$279,10),'Policy Calculations'!$AS$30:$AS$279,0)),"")</f>
        <v>Broker</v>
      </c>
      <c r="H89" s="185" t="str">
        <f>IFERROR(INDEX('Policy Calculations'!$J$30:$J$279,MATCH(SMALL('Policy Calculations'!$AS$30:$AS$279,10),'Policy Calculations'!$AS$30:$AS$279,0)),"")</f>
        <v>Monthly</v>
      </c>
      <c r="I89" s="186">
        <f>IFERROR(INDEX('Policy Calculations'!$M$30:$M$279,MATCH(SMALL('Policy Calculations'!$AS$30:$AS$279,10),'Policy Calculations'!$AS$30:$AS$279,0)),"")</f>
        <v>3284.94</v>
      </c>
      <c r="J89" s="186">
        <f>IFERROR(INDEX('Policy Calculations'!$AF$30:$AF$279,MATCH(SMALL('Policy Calculations'!$AS$30:$AS$279,10),'Policy Calculations'!$AS$30:$AS$279,0)),"")</f>
        <v>4711.8228176679022</v>
      </c>
      <c r="K89" s="187">
        <f>IFERROR(INDEX('Policy Calculations'!$AK$30:$AK$279,MATCH(SMALL('Policy Calculations'!$AS$30:$AS$279,10),'Policy Calculations'!$AS$30:$AS$279,0)),"")</f>
        <v>0.69716967872443636</v>
      </c>
      <c r="L89" s="186">
        <f>IFERROR(INDEX('Policy Calculations'!$AI$30:$AI$279,MATCH(SMALL('Policy Calculations'!$AS$30:$AS$279,10),'Policy Calculations'!$AS$30:$AS$279,0)),"")</f>
        <v>-5944.1265982568038</v>
      </c>
      <c r="M89" s="188">
        <f>IFERROR(INDEX('Policy Calculations'!$AJ$30:$AJ$279,MATCH(SMALL('Policy Calculations'!$AS$30:$AS$279,10),'Policy Calculations'!$AS$30:$AS$279,0)),"")</f>
        <v>-0.25103165195050642</v>
      </c>
    </row>
    <row r="90" spans="1:13" x14ac:dyDescent="0.3">
      <c r="A90" s="26"/>
      <c r="B90" s="26"/>
      <c r="C90" s="26"/>
      <c r="D90" s="26"/>
      <c r="E90" s="26"/>
      <c r="F90" s="26"/>
      <c r="G90" s="26"/>
      <c r="H90" s="26"/>
      <c r="I90" s="26"/>
      <c r="J90" s="26"/>
      <c r="K90" s="26"/>
      <c r="L90" s="26"/>
      <c r="M90" s="26"/>
    </row>
  </sheetData>
  <mergeCells count="13">
    <mergeCell ref="A2:L2"/>
    <mergeCell ref="A3:L3"/>
    <mergeCell ref="C79:D79"/>
    <mergeCell ref="C80:D80"/>
    <mergeCell ref="C81:D81"/>
    <mergeCell ref="C87:D87"/>
    <mergeCell ref="C88:D88"/>
    <mergeCell ref="C89:D89"/>
    <mergeCell ref="C82:D82"/>
    <mergeCell ref="C83:D83"/>
    <mergeCell ref="C84:D84"/>
    <mergeCell ref="C85:D85"/>
    <mergeCell ref="C86:D86"/>
  </mergeCells>
  <conditionalFormatting sqref="E7:E14">
    <cfRule type="cellIs" dxfId="14" priority="5" operator="lessThan">
      <formula>0</formula>
    </cfRule>
  </conditionalFormatting>
  <conditionalFormatting sqref="E19:E74">
    <cfRule type="cellIs" dxfId="13" priority="4" operator="lessThan">
      <formula>0</formula>
    </cfRule>
  </conditionalFormatting>
  <conditionalFormatting sqref="G19:H74">
    <cfRule type="cellIs" dxfId="12" priority="2" operator="lessThan">
      <formula>0</formula>
    </cfRule>
  </conditionalFormatting>
  <conditionalFormatting sqref="L19:L74">
    <cfRule type="expression" dxfId="11" priority="6">
      <formula>LEFT(L19,4)="Loss"</formula>
    </cfRule>
    <cfRule type="expression" dxfId="10" priority="7">
      <formula>LEFT(L19,5)="Below"</formula>
    </cfRule>
    <cfRule type="expression" dxfId="9" priority="8">
      <formula>LEFT(L19,2)="At"</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D61"/>
  <sheetViews>
    <sheetView topLeftCell="A33" zoomScaleNormal="100" workbookViewId="0">
      <selection activeCell="E50" sqref="E50"/>
    </sheetView>
  </sheetViews>
  <sheetFormatPr defaultColWidth="8.6328125" defaultRowHeight="13" x14ac:dyDescent="0.3"/>
  <cols>
    <col min="1" max="1" width="39" style="5" customWidth="1"/>
    <col min="2" max="2" width="20" style="5" customWidth="1"/>
    <col min="3" max="3" width="62" style="5" customWidth="1"/>
    <col min="4" max="7" width="20" style="5" customWidth="1"/>
    <col min="8" max="8" width="22" style="5" customWidth="1"/>
    <col min="9" max="13" width="17" style="5" customWidth="1"/>
    <col min="14" max="16384" width="8.6328125" style="5"/>
  </cols>
  <sheetData>
    <row r="1" spans="1:134" ht="28" customHeight="1" x14ac:dyDescent="0.3">
      <c r="A1" s="472" t="s">
        <v>545</v>
      </c>
      <c r="B1" s="472"/>
      <c r="C1" s="472"/>
      <c r="D1" s="472"/>
      <c r="E1" s="472"/>
      <c r="F1" s="472"/>
      <c r="G1" s="472"/>
      <c r="H1" s="472"/>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28" customHeight="1" x14ac:dyDescent="0.3">
      <c r="A2" s="475" t="s">
        <v>716</v>
      </c>
      <c r="B2" s="475"/>
      <c r="C2" s="475"/>
      <c r="D2" s="475"/>
      <c r="E2" s="475"/>
      <c r="F2" s="475"/>
      <c r="G2" s="475"/>
      <c r="H2" s="475"/>
      <c r="I2" s="23"/>
      <c r="J2" s="23"/>
      <c r="K2" s="23"/>
      <c r="L2" s="23"/>
      <c r="M2" s="23"/>
      <c r="N2" s="23"/>
      <c r="O2" s="23"/>
      <c r="P2" s="23"/>
      <c r="Q2" s="23"/>
      <c r="R2" s="23"/>
      <c r="S2" s="23"/>
      <c r="T2" s="23"/>
      <c r="U2" s="23"/>
      <c r="V2" s="23"/>
      <c r="W2" s="23"/>
      <c r="X2" s="23"/>
      <c r="Y2" s="23"/>
      <c r="Z2" s="23"/>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row>
    <row r="3" spans="1:134" ht="13.5" thickBot="1" x14ac:dyDescent="0.35">
      <c r="A3" s="64"/>
      <c r="B3" s="64"/>
      <c r="C3" s="64"/>
      <c r="D3" s="64"/>
      <c r="E3" s="64"/>
      <c r="F3" s="64"/>
      <c r="G3" s="64"/>
      <c r="H3" s="64"/>
      <c r="I3" s="64"/>
      <c r="J3" s="64"/>
      <c r="K3" s="64"/>
      <c r="L3" s="64"/>
      <c r="M3" s="64"/>
      <c r="N3" s="64"/>
      <c r="O3" s="64"/>
      <c r="P3" s="64"/>
      <c r="Q3" s="64"/>
      <c r="R3" s="64"/>
      <c r="S3" s="64"/>
      <c r="T3" s="64"/>
      <c r="U3" s="64"/>
      <c r="V3" s="64"/>
      <c r="W3" s="64"/>
      <c r="X3" s="64"/>
      <c r="Y3" s="64"/>
      <c r="Z3" s="64"/>
    </row>
    <row r="4" spans="1:134" ht="32" customHeight="1" thickBot="1" x14ac:dyDescent="0.35">
      <c r="A4" s="77" t="s">
        <v>7</v>
      </c>
      <c r="B4" s="78" t="s">
        <v>427</v>
      </c>
      <c r="C4" s="78" t="s">
        <v>428</v>
      </c>
      <c r="D4" s="78" t="s">
        <v>429</v>
      </c>
      <c r="E4" s="78" t="s">
        <v>430</v>
      </c>
      <c r="F4" s="79" t="s">
        <v>191</v>
      </c>
      <c r="G4" s="64"/>
      <c r="H4" s="77" t="s">
        <v>717</v>
      </c>
      <c r="I4" s="78" t="s">
        <v>44</v>
      </c>
      <c r="J4" s="78" t="s">
        <v>428</v>
      </c>
      <c r="K4" s="78" t="s">
        <v>429</v>
      </c>
      <c r="L4" s="78" t="s">
        <v>430</v>
      </c>
      <c r="M4" s="79" t="s">
        <v>191</v>
      </c>
      <c r="N4" s="64"/>
      <c r="O4" s="64"/>
      <c r="P4" s="64"/>
      <c r="Q4" s="64"/>
      <c r="R4" s="64"/>
      <c r="S4" s="64"/>
      <c r="T4" s="64"/>
      <c r="U4" s="64"/>
      <c r="V4" s="64"/>
      <c r="W4" s="64"/>
      <c r="X4" s="64"/>
      <c r="Y4" s="64"/>
      <c r="Z4" s="64"/>
    </row>
    <row r="5" spans="1:134" x14ac:dyDescent="0.3">
      <c r="A5" s="68" t="s">
        <v>102</v>
      </c>
      <c r="B5" s="64" t="s">
        <v>106</v>
      </c>
      <c r="C5" s="64">
        <v>585.2337</v>
      </c>
      <c r="D5" s="64">
        <v>1</v>
      </c>
      <c r="E5" s="64">
        <v>0.82954300000000003</v>
      </c>
      <c r="F5" s="196">
        <f t="shared" ref="F5:F10" si="0">D5/E5</f>
        <v>1.2054830189634533</v>
      </c>
      <c r="G5" s="64"/>
      <c r="H5" s="68" t="s">
        <v>546</v>
      </c>
      <c r="I5" s="199">
        <f>COUNTIFS('Policy Data'!$C$4:$C$253,"&lt;30")</f>
        <v>48</v>
      </c>
      <c r="J5" s="200">
        <f>SUMIFS('Policy Data'!$L$4:$L$253,'Policy Data'!$C$4:$C$253,"&lt;30")</f>
        <v>37.319500000000019</v>
      </c>
      <c r="K5" s="200">
        <f>SUMIFS('Policy Data'!$O$4:$O$253,'Policy Data'!$C$4:$C$253,"&lt;30")</f>
        <v>0</v>
      </c>
      <c r="L5" s="200">
        <f>SUMIFS('Policy Data'!$N$4:$N$253,'Policy Data'!$C$4:$C$253,"&lt;30")</f>
        <v>1.3764000000000004E-2</v>
      </c>
      <c r="M5" s="201">
        <f t="shared" ref="M5:M12" si="1">IF(L5=0,"n.a.",K5/L5)</f>
        <v>0</v>
      </c>
      <c r="N5" s="64"/>
      <c r="O5" s="64"/>
      <c r="P5" s="64"/>
      <c r="Q5" s="64"/>
      <c r="R5" s="64"/>
      <c r="S5" s="64"/>
      <c r="T5" s="64"/>
      <c r="U5" s="64"/>
      <c r="V5" s="64"/>
      <c r="W5" s="64"/>
      <c r="X5" s="64"/>
      <c r="Y5" s="64"/>
      <c r="Z5" s="64"/>
    </row>
    <row r="6" spans="1:134" x14ac:dyDescent="0.3">
      <c r="A6" s="68" t="s">
        <v>102</v>
      </c>
      <c r="B6" s="64" t="s">
        <v>107</v>
      </c>
      <c r="C6" s="64">
        <v>300.58440000000002</v>
      </c>
      <c r="D6" s="64">
        <v>1</v>
      </c>
      <c r="E6" s="64">
        <v>0.91143300000000005</v>
      </c>
      <c r="F6" s="196">
        <f t="shared" si="0"/>
        <v>1.0971733522924889</v>
      </c>
      <c r="G6" s="64"/>
      <c r="H6" s="68" t="s">
        <v>547</v>
      </c>
      <c r="I6" s="199">
        <f>COUNTIFS('Policy Data'!$C$4:$C$253,"&gt;=30",'Policy Data'!$C$4:$C$253,"&lt;40")</f>
        <v>62</v>
      </c>
      <c r="J6" s="200">
        <f>SUMIFS('Policy Data'!$L$4:$L$253,'Policy Data'!$C$4:$C$253,"&gt;=30",'Policy Data'!$C$4:$C$253,"&lt;40")</f>
        <v>46.028499999999994</v>
      </c>
      <c r="K6" s="200">
        <f>SUMIFS('Policy Data'!$O$4:$O$253,'Policy Data'!$C$4:$C$253,"&gt;=30",'Policy Data'!$C$4:$C$253,"&lt;40")</f>
        <v>0</v>
      </c>
      <c r="L6" s="200">
        <f>SUMIFS('Policy Data'!$N$4:$N$253,'Policy Data'!$C$4:$C$253,"&gt;=30",'Policy Data'!$C$4:$C$253,"&lt;40")</f>
        <v>3.7479000000000005E-2</v>
      </c>
      <c r="M6" s="201">
        <f t="shared" si="1"/>
        <v>0</v>
      </c>
      <c r="N6" s="64"/>
      <c r="O6" s="64"/>
      <c r="P6" s="64"/>
      <c r="Q6" s="64"/>
      <c r="R6" s="64"/>
      <c r="S6" s="64"/>
      <c r="T6" s="64"/>
      <c r="U6" s="64"/>
      <c r="V6" s="64"/>
      <c r="W6" s="64"/>
      <c r="X6" s="64"/>
      <c r="Y6" s="64"/>
      <c r="Z6" s="64"/>
    </row>
    <row r="7" spans="1:134" x14ac:dyDescent="0.3">
      <c r="A7" s="68" t="s">
        <v>102</v>
      </c>
      <c r="B7" s="64" t="s">
        <v>16</v>
      </c>
      <c r="C7" s="64">
        <v>2921.1237000000001</v>
      </c>
      <c r="D7" s="64">
        <v>6</v>
      </c>
      <c r="E7" s="64">
        <v>5.6256769999999996</v>
      </c>
      <c r="F7" s="196">
        <f t="shared" si="0"/>
        <v>1.0665383028567053</v>
      </c>
      <c r="G7" s="64"/>
      <c r="H7" s="68" t="s">
        <v>548</v>
      </c>
      <c r="I7" s="199">
        <f>COUNTIFS('Policy Data'!$C$4:$C$253,"&gt;=40",'Policy Data'!$C$4:$C$253,"&lt;50")</f>
        <v>56</v>
      </c>
      <c r="J7" s="200">
        <f>SUMIFS('Policy Data'!$L$4:$L$253,'Policy Data'!$C$4:$C$253,"&gt;=40",'Policy Data'!$C$4:$C$253,"&lt;50")</f>
        <v>41.897499999999994</v>
      </c>
      <c r="K7" s="200">
        <f>SUMIFS('Policy Data'!$O$4:$O$253,'Policy Data'!$C$4:$C$253,"&gt;=40",'Policy Data'!$C$4:$C$253,"&lt;50")</f>
        <v>0</v>
      </c>
      <c r="L7" s="200">
        <f>SUMIFS('Policy Data'!$N$4:$N$253,'Policy Data'!$C$4:$C$253,"&gt;=40",'Policy Data'!$C$4:$C$253,"&lt;50")</f>
        <v>7.3998999999999981E-2</v>
      </c>
      <c r="M7" s="201">
        <f t="shared" si="1"/>
        <v>0</v>
      </c>
      <c r="N7" s="64"/>
      <c r="O7" s="64"/>
      <c r="P7" s="64"/>
      <c r="Q7" s="64"/>
      <c r="R7" s="64"/>
      <c r="S7" s="64"/>
      <c r="T7" s="64"/>
      <c r="U7" s="64"/>
      <c r="V7" s="64"/>
      <c r="W7" s="64"/>
      <c r="X7" s="64"/>
      <c r="Y7" s="64"/>
      <c r="Z7" s="64"/>
    </row>
    <row r="8" spans="1:134" x14ac:dyDescent="0.3">
      <c r="A8" s="68" t="s">
        <v>8</v>
      </c>
      <c r="B8" s="64" t="s">
        <v>106</v>
      </c>
      <c r="C8" s="64">
        <v>843.01490000000001</v>
      </c>
      <c r="D8" s="64">
        <v>3</v>
      </c>
      <c r="E8" s="64">
        <v>1.762499</v>
      </c>
      <c r="F8" s="196">
        <f t="shared" si="0"/>
        <v>1.7021286253212058</v>
      </c>
      <c r="G8" s="64"/>
      <c r="H8" s="68" t="s">
        <v>549</v>
      </c>
      <c r="I8" s="199">
        <f>COUNTIFS('Policy Data'!$C$4:$C$253,"&gt;=50")</f>
        <v>84</v>
      </c>
      <c r="J8" s="200">
        <f>SUMIFS('Policy Data'!$L$4:$L$253,'Policy Data'!$C$4:$C$253,"&gt;=50")</f>
        <v>63.638799999999996</v>
      </c>
      <c r="K8" s="200">
        <f>SUMIFS('Policy Data'!$O$4:$O$253,'Policy Data'!$C$4:$C$253,"&gt;=50")</f>
        <v>0</v>
      </c>
      <c r="L8" s="200">
        <f>SUMIFS('Policy Data'!$N$4:$N$253,'Policy Data'!$C$4:$C$253,"&gt;=50")</f>
        <v>0.32257000000000002</v>
      </c>
      <c r="M8" s="201">
        <f t="shared" si="1"/>
        <v>0</v>
      </c>
      <c r="N8" s="64"/>
      <c r="O8" s="64"/>
      <c r="P8" s="64"/>
      <c r="Q8" s="64"/>
      <c r="R8" s="64"/>
      <c r="S8" s="64"/>
      <c r="T8" s="64"/>
      <c r="U8" s="64"/>
      <c r="V8" s="64"/>
      <c r="W8" s="64"/>
      <c r="X8" s="64"/>
      <c r="Y8" s="64"/>
      <c r="Z8" s="64"/>
    </row>
    <row r="9" spans="1:134" x14ac:dyDescent="0.3">
      <c r="A9" s="68" t="s">
        <v>8</v>
      </c>
      <c r="B9" s="64" t="s">
        <v>107</v>
      </c>
      <c r="C9" s="64">
        <v>389.4984</v>
      </c>
      <c r="D9" s="64">
        <v>2</v>
      </c>
      <c r="E9" s="64">
        <v>1.574031</v>
      </c>
      <c r="F9" s="196">
        <f t="shared" si="0"/>
        <v>1.2706230055189511</v>
      </c>
      <c r="G9" s="64"/>
      <c r="H9" s="68" t="s">
        <v>12</v>
      </c>
      <c r="I9" s="199">
        <f>COUNTIFS('Policy Data'!$E$4:$E$253,"Non-smoker")</f>
        <v>203</v>
      </c>
      <c r="J9" s="200">
        <f>SUMIFS('Policy Data'!$L$4:$L$253,'Policy Data'!$E$4:$E$253,"Non-smoker")</f>
        <v>153.6036</v>
      </c>
      <c r="K9" s="200">
        <f>SUMIFS('Policy Data'!$O$4:$O$253,'Policy Data'!$E$4:$E$253,"Non-smoker")</f>
        <v>0</v>
      </c>
      <c r="L9" s="200">
        <f>SUMIFS('Policy Data'!$N$4:$N$253,'Policy Data'!$E$4:$E$253,"Non-smoker")</f>
        <v>0.31418299999999982</v>
      </c>
      <c r="M9" s="201">
        <f t="shared" si="1"/>
        <v>0</v>
      </c>
      <c r="N9" s="64"/>
      <c r="O9" s="64"/>
      <c r="P9" s="64"/>
      <c r="Q9" s="64"/>
      <c r="R9" s="64"/>
      <c r="S9" s="64"/>
      <c r="T9" s="64"/>
      <c r="U9" s="64"/>
      <c r="V9" s="64"/>
      <c r="W9" s="64"/>
      <c r="X9" s="64"/>
      <c r="Y9" s="64"/>
      <c r="Z9" s="64"/>
    </row>
    <row r="10" spans="1:134" ht="13.5" thickBot="1" x14ac:dyDescent="0.35">
      <c r="A10" s="197" t="s">
        <v>8</v>
      </c>
      <c r="B10" s="74" t="s">
        <v>16</v>
      </c>
      <c r="C10" s="74">
        <v>3987.3533000000002</v>
      </c>
      <c r="D10" s="74">
        <v>13</v>
      </c>
      <c r="E10" s="74">
        <v>10.501633</v>
      </c>
      <c r="F10" s="198">
        <f t="shared" si="0"/>
        <v>1.2379027147492205</v>
      </c>
      <c r="G10" s="64"/>
      <c r="H10" s="68" t="s">
        <v>104</v>
      </c>
      <c r="I10" s="199">
        <f>COUNTIFS('Policy Data'!$E$4:$E$253,"Smoker")</f>
        <v>47</v>
      </c>
      <c r="J10" s="200">
        <f>SUMIFS('Policy Data'!$L$4:$L$253,'Policy Data'!$E$4:$E$253,"Smoker")</f>
        <v>35.280699999999989</v>
      </c>
      <c r="K10" s="200">
        <f>SUMIFS('Policy Data'!$O$4:$O$253,'Policy Data'!$E$4:$E$253,"Smoker")</f>
        <v>0</v>
      </c>
      <c r="L10" s="200">
        <f>SUMIFS('Policy Data'!$N$4:$N$253,'Policy Data'!$E$4:$E$253,"Smoker")</f>
        <v>0.133629</v>
      </c>
      <c r="M10" s="201">
        <f t="shared" si="1"/>
        <v>0</v>
      </c>
      <c r="N10" s="64"/>
      <c r="O10" s="64"/>
      <c r="P10" s="64"/>
      <c r="Q10" s="64"/>
      <c r="R10" s="64"/>
      <c r="S10" s="64"/>
      <c r="T10" s="64"/>
      <c r="U10" s="64"/>
      <c r="V10" s="64"/>
      <c r="W10" s="64"/>
      <c r="X10" s="64"/>
      <c r="Y10" s="64"/>
      <c r="Z10" s="64"/>
    </row>
    <row r="11" spans="1:134" x14ac:dyDescent="0.3">
      <c r="A11" s="64"/>
      <c r="B11" s="64"/>
      <c r="C11" s="64"/>
      <c r="D11" s="64"/>
      <c r="E11" s="64"/>
      <c r="F11" s="64"/>
      <c r="G11" s="64"/>
      <c r="H11" s="68" t="s">
        <v>550</v>
      </c>
      <c r="I11" s="199">
        <f>COUNTIFS('Policy Data'!$K$4:$K$253,"&lt;=2")</f>
        <v>72</v>
      </c>
      <c r="J11" s="200">
        <f>SUMIFS('Policy Data'!$L$4:$L$253,'Policy Data'!$K$4:$K$253,"&lt;=2")</f>
        <v>52.470300000000009</v>
      </c>
      <c r="K11" s="200">
        <f>SUMIFS('Policy Data'!$O$4:$O$253,'Policy Data'!$K$4:$K$253,"&lt;=2")</f>
        <v>0</v>
      </c>
      <c r="L11" s="200">
        <f>SUMIFS('Policy Data'!$N$4:$N$253,'Policy Data'!$K$4:$K$253,"&lt;=2")</f>
        <v>0.12204700000000002</v>
      </c>
      <c r="M11" s="201">
        <f t="shared" si="1"/>
        <v>0</v>
      </c>
      <c r="N11" s="64"/>
      <c r="O11" s="64"/>
      <c r="P11" s="64"/>
      <c r="Q11" s="64"/>
      <c r="R11" s="64"/>
      <c r="S11" s="64"/>
      <c r="T11" s="64"/>
      <c r="U11" s="64"/>
      <c r="V11" s="64"/>
      <c r="W11" s="64"/>
      <c r="X11" s="64"/>
      <c r="Y11" s="64"/>
      <c r="Z11" s="64"/>
    </row>
    <row r="12" spans="1:134" ht="13.5" thickBot="1" x14ac:dyDescent="0.35">
      <c r="A12" s="64"/>
      <c r="B12" s="64"/>
      <c r="C12" s="64"/>
      <c r="D12" s="64"/>
      <c r="E12" s="64"/>
      <c r="F12" s="64"/>
      <c r="G12" s="64"/>
      <c r="H12" s="197" t="s">
        <v>551</v>
      </c>
      <c r="I12" s="202">
        <f>COUNTIFS('Policy Data'!$K$4:$K$253,"&gt;=3")</f>
        <v>178</v>
      </c>
      <c r="J12" s="203">
        <f>SUMIFS('Policy Data'!$L$4:$L$253,'Policy Data'!$K$4:$K$253,"&gt;=3")</f>
        <v>136.41399999999993</v>
      </c>
      <c r="K12" s="203">
        <f>SUMIFS('Policy Data'!$O$4:$O$253,'Policy Data'!$K$4:$K$253,"&gt;=3")</f>
        <v>0</v>
      </c>
      <c r="L12" s="203">
        <f>SUMIFS('Policy Data'!$N$4:$N$253,'Policy Data'!$K$4:$K$253,"&gt;=3")</f>
        <v>0.32576499999999992</v>
      </c>
      <c r="M12" s="204">
        <f t="shared" si="1"/>
        <v>0</v>
      </c>
      <c r="N12" s="64"/>
      <c r="O12" s="64"/>
      <c r="P12" s="64"/>
      <c r="Q12" s="64"/>
      <c r="R12" s="64"/>
      <c r="S12" s="64"/>
      <c r="T12" s="64"/>
      <c r="U12" s="64"/>
      <c r="V12" s="64"/>
      <c r="W12" s="64"/>
      <c r="X12" s="64"/>
      <c r="Y12" s="64"/>
      <c r="Z12" s="64"/>
    </row>
    <row r="13" spans="1:134" ht="13.5" thickBot="1" x14ac:dyDescent="0.35">
      <c r="A13" s="77" t="s">
        <v>184</v>
      </c>
      <c r="B13" s="78" t="s">
        <v>356</v>
      </c>
      <c r="C13" s="78" t="s">
        <v>25</v>
      </c>
      <c r="D13" s="78" t="s">
        <v>428</v>
      </c>
      <c r="E13" s="79" t="s">
        <v>431</v>
      </c>
      <c r="F13" s="64"/>
      <c r="G13" s="64"/>
      <c r="H13" s="64"/>
      <c r="I13" s="64"/>
      <c r="J13" s="64"/>
      <c r="K13" s="64"/>
      <c r="L13" s="64"/>
      <c r="M13" s="64"/>
      <c r="N13" s="64"/>
      <c r="O13" s="64"/>
      <c r="P13" s="64"/>
      <c r="Q13" s="64"/>
      <c r="R13" s="64"/>
      <c r="S13" s="64"/>
      <c r="T13" s="64"/>
      <c r="U13" s="64"/>
      <c r="V13" s="64"/>
      <c r="W13" s="64"/>
      <c r="X13" s="64"/>
      <c r="Y13" s="64"/>
      <c r="Z13" s="64"/>
    </row>
    <row r="14" spans="1:134" x14ac:dyDescent="0.3">
      <c r="A14" s="68">
        <v>1</v>
      </c>
      <c r="B14" s="64" t="s">
        <v>288</v>
      </c>
      <c r="C14" s="64" t="s">
        <v>26</v>
      </c>
      <c r="D14" s="64">
        <v>296.48759999999999</v>
      </c>
      <c r="E14" s="205">
        <v>0.124794426478544</v>
      </c>
      <c r="F14" s="64"/>
      <c r="G14" s="64"/>
      <c r="H14" s="64"/>
      <c r="I14" s="64"/>
      <c r="J14" s="64"/>
      <c r="K14" s="64"/>
      <c r="L14" s="64"/>
      <c r="M14" s="64"/>
      <c r="N14" s="64"/>
      <c r="O14" s="64"/>
      <c r="P14" s="64"/>
      <c r="Q14" s="64"/>
      <c r="R14" s="64"/>
      <c r="S14" s="64"/>
      <c r="T14" s="64"/>
      <c r="U14" s="64"/>
      <c r="V14" s="64"/>
      <c r="W14" s="64"/>
      <c r="X14" s="64"/>
      <c r="Y14" s="64"/>
      <c r="Z14" s="64"/>
    </row>
    <row r="15" spans="1:134" x14ac:dyDescent="0.3">
      <c r="A15" s="68">
        <v>1</v>
      </c>
      <c r="B15" s="64" t="s">
        <v>288</v>
      </c>
      <c r="C15" s="64" t="s">
        <v>114</v>
      </c>
      <c r="D15" s="64">
        <v>607.41570000000002</v>
      </c>
      <c r="E15" s="205">
        <v>0.17615613162452001</v>
      </c>
      <c r="F15" s="64"/>
      <c r="G15" s="64"/>
      <c r="H15" s="482" t="s">
        <v>718</v>
      </c>
      <c r="I15" s="475"/>
      <c r="J15" s="475"/>
      <c r="K15" s="475"/>
      <c r="L15" s="475"/>
      <c r="M15" s="475"/>
      <c r="N15" s="64"/>
      <c r="O15" s="64"/>
      <c r="P15" s="64"/>
      <c r="Q15" s="64"/>
      <c r="R15" s="64"/>
      <c r="S15" s="64"/>
      <c r="T15" s="64"/>
      <c r="U15" s="64"/>
      <c r="V15" s="64"/>
      <c r="W15" s="64"/>
      <c r="X15" s="64"/>
      <c r="Y15" s="64"/>
      <c r="Z15" s="64"/>
    </row>
    <row r="16" spans="1:134" x14ac:dyDescent="0.3">
      <c r="A16" s="68">
        <v>1</v>
      </c>
      <c r="B16" s="64" t="s">
        <v>289</v>
      </c>
      <c r="C16" s="64" t="s">
        <v>26</v>
      </c>
      <c r="D16" s="64">
        <v>148.61510000000001</v>
      </c>
      <c r="E16" s="205">
        <v>8.7474287606037301E-2</v>
      </c>
      <c r="F16" s="64"/>
      <c r="G16" s="64"/>
      <c r="H16" s="475"/>
      <c r="I16" s="475"/>
      <c r="J16" s="475"/>
      <c r="K16" s="475"/>
      <c r="L16" s="475"/>
      <c r="M16" s="475"/>
      <c r="N16" s="64"/>
      <c r="O16" s="64"/>
      <c r="P16" s="64"/>
      <c r="Q16" s="64"/>
      <c r="R16" s="64"/>
      <c r="S16" s="64"/>
      <c r="T16" s="64"/>
      <c r="U16" s="64"/>
      <c r="V16" s="64"/>
      <c r="W16" s="64"/>
      <c r="X16" s="64"/>
      <c r="Y16" s="64"/>
      <c r="Z16" s="64"/>
    </row>
    <row r="17" spans="1:26" x14ac:dyDescent="0.3">
      <c r="A17" s="68">
        <v>1</v>
      </c>
      <c r="B17" s="64" t="s">
        <v>289</v>
      </c>
      <c r="C17" s="64" t="s">
        <v>114</v>
      </c>
      <c r="D17" s="64">
        <v>231.38759999999999</v>
      </c>
      <c r="E17" s="205">
        <v>0.17287011058501001</v>
      </c>
      <c r="F17" s="64"/>
      <c r="G17" s="64"/>
      <c r="H17" s="64"/>
      <c r="I17" s="64"/>
      <c r="J17" s="64"/>
      <c r="K17" s="64"/>
      <c r="L17" s="64"/>
      <c r="M17" s="64"/>
      <c r="N17" s="64"/>
      <c r="O17" s="64"/>
      <c r="P17" s="64"/>
      <c r="Q17" s="64"/>
      <c r="R17" s="64"/>
      <c r="S17" s="64"/>
      <c r="T17" s="64"/>
      <c r="U17" s="64"/>
      <c r="V17" s="64"/>
      <c r="W17" s="64"/>
      <c r="X17" s="64"/>
      <c r="Y17" s="64"/>
      <c r="Z17" s="64"/>
    </row>
    <row r="18" spans="1:26" x14ac:dyDescent="0.3">
      <c r="A18" s="68">
        <v>2</v>
      </c>
      <c r="B18" s="64" t="s">
        <v>288</v>
      </c>
      <c r="C18" s="64" t="s">
        <v>26</v>
      </c>
      <c r="D18" s="64">
        <v>353.33620000000002</v>
      </c>
      <c r="E18" s="205">
        <v>0.101885965830843</v>
      </c>
      <c r="F18" s="64"/>
      <c r="G18" s="64"/>
      <c r="H18" s="64"/>
      <c r="I18" s="64"/>
      <c r="J18" s="64"/>
      <c r="K18" s="64"/>
      <c r="L18" s="64"/>
      <c r="M18" s="64"/>
      <c r="N18" s="64"/>
      <c r="O18" s="64"/>
      <c r="P18" s="64"/>
      <c r="Q18" s="64"/>
      <c r="R18" s="64"/>
      <c r="S18" s="64"/>
      <c r="T18" s="64"/>
      <c r="U18" s="64"/>
      <c r="V18" s="64"/>
      <c r="W18" s="64"/>
      <c r="X18" s="64"/>
      <c r="Y18" s="64"/>
      <c r="Z18" s="64"/>
    </row>
    <row r="19" spans="1:26" x14ac:dyDescent="0.3">
      <c r="A19" s="68">
        <v>2</v>
      </c>
      <c r="B19" s="64" t="s">
        <v>288</v>
      </c>
      <c r="C19" s="64" t="s">
        <v>114</v>
      </c>
      <c r="D19" s="64">
        <v>581.6789</v>
      </c>
      <c r="E19" s="205">
        <v>0.149567054950764</v>
      </c>
      <c r="F19" s="64"/>
      <c r="G19" s="64"/>
      <c r="H19" s="64"/>
      <c r="I19" s="64"/>
      <c r="J19" s="64"/>
      <c r="K19" s="64"/>
      <c r="L19" s="64"/>
      <c r="M19" s="64"/>
      <c r="N19" s="64"/>
      <c r="O19" s="64"/>
      <c r="P19" s="64"/>
      <c r="Q19" s="64"/>
      <c r="R19" s="64"/>
      <c r="S19" s="64"/>
      <c r="T19" s="64"/>
      <c r="U19" s="64"/>
      <c r="V19" s="64"/>
      <c r="W19" s="64"/>
      <c r="X19" s="64"/>
      <c r="Y19" s="64"/>
      <c r="Z19" s="64"/>
    </row>
    <row r="20" spans="1:26" x14ac:dyDescent="0.3">
      <c r="A20" s="68">
        <v>2</v>
      </c>
      <c r="B20" s="64" t="s">
        <v>289</v>
      </c>
      <c r="C20" s="64" t="s">
        <v>26</v>
      </c>
      <c r="D20" s="64">
        <v>135.73689999999999</v>
      </c>
      <c r="E20" s="205">
        <v>0.11050790168333</v>
      </c>
      <c r="F20" s="64"/>
      <c r="G20" s="64"/>
      <c r="H20" s="64"/>
      <c r="I20" s="64"/>
      <c r="J20" s="64"/>
      <c r="K20" s="64"/>
      <c r="L20" s="64"/>
      <c r="M20" s="64"/>
      <c r="N20" s="64"/>
      <c r="O20" s="64"/>
      <c r="P20" s="64"/>
      <c r="Q20" s="64"/>
      <c r="R20" s="64"/>
      <c r="S20" s="64"/>
      <c r="T20" s="64"/>
      <c r="U20" s="64"/>
      <c r="V20" s="64"/>
      <c r="W20" s="64"/>
      <c r="X20" s="64"/>
      <c r="Y20" s="64"/>
      <c r="Z20" s="64"/>
    </row>
    <row r="21" spans="1:26" x14ac:dyDescent="0.3">
      <c r="A21" s="68">
        <v>2</v>
      </c>
      <c r="B21" s="64" t="s">
        <v>289</v>
      </c>
      <c r="C21" s="64" t="s">
        <v>114</v>
      </c>
      <c r="D21" s="64">
        <v>232.4196</v>
      </c>
      <c r="E21" s="205">
        <v>0.103261514949686</v>
      </c>
      <c r="F21" s="64"/>
      <c r="G21" s="64"/>
      <c r="H21" s="64"/>
      <c r="I21" s="64"/>
      <c r="J21" s="64"/>
      <c r="K21" s="64"/>
      <c r="L21" s="64"/>
      <c r="M21" s="64"/>
      <c r="N21" s="64"/>
      <c r="O21" s="64"/>
      <c r="P21" s="64"/>
      <c r="Q21" s="64"/>
      <c r="R21" s="64"/>
      <c r="S21" s="64"/>
      <c r="T21" s="64"/>
      <c r="U21" s="64"/>
      <c r="V21" s="64"/>
      <c r="W21" s="64"/>
      <c r="X21" s="64"/>
      <c r="Y21" s="64"/>
      <c r="Z21" s="64"/>
    </row>
    <row r="22" spans="1:26" x14ac:dyDescent="0.3">
      <c r="A22" s="68">
        <v>3</v>
      </c>
      <c r="B22" s="64" t="s">
        <v>288</v>
      </c>
      <c r="C22" s="64" t="s">
        <v>26</v>
      </c>
      <c r="D22" s="64">
        <v>327.43720000000002</v>
      </c>
      <c r="E22" s="205">
        <v>8.8566601473503898E-2</v>
      </c>
      <c r="F22" s="64"/>
      <c r="G22" s="64"/>
      <c r="H22" s="64"/>
      <c r="I22" s="64"/>
      <c r="J22" s="64"/>
      <c r="K22" s="64"/>
      <c r="L22" s="64"/>
      <c r="M22" s="64"/>
      <c r="N22" s="64"/>
      <c r="O22" s="64"/>
      <c r="P22" s="64"/>
      <c r="Q22" s="64"/>
      <c r="R22" s="64"/>
      <c r="S22" s="64"/>
      <c r="T22" s="64"/>
      <c r="U22" s="64"/>
      <c r="V22" s="64"/>
      <c r="W22" s="64"/>
      <c r="X22" s="64"/>
      <c r="Y22" s="64"/>
      <c r="Z22" s="64"/>
    </row>
    <row r="23" spans="1:26" x14ac:dyDescent="0.3">
      <c r="A23" s="68">
        <v>3</v>
      </c>
      <c r="B23" s="64" t="s">
        <v>288</v>
      </c>
      <c r="C23" s="64" t="s">
        <v>114</v>
      </c>
      <c r="D23" s="64">
        <v>593.29430000000002</v>
      </c>
      <c r="E23" s="205">
        <v>0.112928777505531</v>
      </c>
      <c r="F23" s="64"/>
      <c r="G23" s="64"/>
      <c r="H23" s="64"/>
      <c r="I23" s="64"/>
      <c r="J23" s="64"/>
      <c r="K23" s="64"/>
      <c r="L23" s="64"/>
      <c r="M23" s="64"/>
      <c r="N23" s="64"/>
      <c r="O23" s="64"/>
      <c r="P23" s="64"/>
      <c r="Q23" s="64"/>
      <c r="R23" s="64"/>
      <c r="S23" s="64"/>
      <c r="T23" s="64"/>
      <c r="U23" s="64"/>
      <c r="V23" s="64"/>
      <c r="W23" s="64"/>
      <c r="X23" s="64"/>
      <c r="Y23" s="64"/>
      <c r="Z23" s="64"/>
    </row>
    <row r="24" spans="1:26" x14ac:dyDescent="0.3">
      <c r="A24" s="68">
        <v>3</v>
      </c>
      <c r="B24" s="64" t="s">
        <v>289</v>
      </c>
      <c r="C24" s="64" t="s">
        <v>26</v>
      </c>
      <c r="D24" s="64">
        <v>110.6022</v>
      </c>
      <c r="E24" s="205">
        <v>4.52070573641392E-2</v>
      </c>
      <c r="F24" s="64"/>
      <c r="G24" s="64"/>
      <c r="H24" s="64"/>
      <c r="I24" s="64"/>
      <c r="J24" s="64"/>
      <c r="K24" s="64"/>
      <c r="L24" s="64"/>
      <c r="M24" s="64"/>
      <c r="N24" s="64"/>
      <c r="O24" s="64"/>
      <c r="P24" s="64"/>
      <c r="Q24" s="64"/>
      <c r="R24" s="64"/>
      <c r="S24" s="64"/>
      <c r="T24" s="64"/>
      <c r="U24" s="64"/>
      <c r="V24" s="64"/>
      <c r="W24" s="64"/>
      <c r="X24" s="64"/>
      <c r="Y24" s="64"/>
      <c r="Z24" s="64"/>
    </row>
    <row r="25" spans="1:26" x14ac:dyDescent="0.3">
      <c r="A25" s="68">
        <v>3</v>
      </c>
      <c r="B25" s="64" t="s">
        <v>289</v>
      </c>
      <c r="C25" s="64" t="s">
        <v>114</v>
      </c>
      <c r="D25" s="64">
        <v>212.97120000000001</v>
      </c>
      <c r="E25" s="205">
        <v>0.12677770515449999</v>
      </c>
      <c r="F25" s="64"/>
      <c r="G25" s="64"/>
      <c r="H25" s="64"/>
      <c r="I25" s="64"/>
      <c r="J25" s="64"/>
      <c r="K25" s="64"/>
      <c r="L25" s="64"/>
      <c r="M25" s="64"/>
      <c r="N25" s="64"/>
      <c r="O25" s="64"/>
      <c r="P25" s="64"/>
      <c r="Q25" s="64"/>
      <c r="R25" s="64"/>
      <c r="S25" s="64"/>
      <c r="T25" s="64"/>
      <c r="U25" s="64"/>
      <c r="V25" s="64"/>
      <c r="W25" s="64"/>
      <c r="X25" s="64"/>
      <c r="Y25" s="64"/>
      <c r="Z25" s="64"/>
    </row>
    <row r="26" spans="1:26" x14ac:dyDescent="0.3">
      <c r="A26" s="68">
        <v>4</v>
      </c>
      <c r="B26" s="64" t="s">
        <v>288</v>
      </c>
      <c r="C26" s="64" t="s">
        <v>26</v>
      </c>
      <c r="D26" s="64">
        <v>324.74439999999998</v>
      </c>
      <c r="E26" s="205">
        <v>7.6983621580541506E-2</v>
      </c>
      <c r="F26" s="64"/>
      <c r="G26" s="64"/>
      <c r="H26" s="64"/>
      <c r="I26" s="64"/>
      <c r="J26" s="64"/>
      <c r="K26" s="64"/>
      <c r="L26" s="64"/>
      <c r="M26" s="64"/>
      <c r="N26" s="64"/>
      <c r="O26" s="64"/>
      <c r="P26" s="64"/>
      <c r="Q26" s="64"/>
      <c r="R26" s="64"/>
      <c r="S26" s="64"/>
      <c r="T26" s="64"/>
      <c r="U26" s="64"/>
      <c r="V26" s="64"/>
      <c r="W26" s="64"/>
      <c r="X26" s="64"/>
      <c r="Y26" s="64"/>
      <c r="Z26" s="64"/>
    </row>
    <row r="27" spans="1:26" x14ac:dyDescent="0.3">
      <c r="A27" s="68">
        <v>4</v>
      </c>
      <c r="B27" s="64" t="s">
        <v>288</v>
      </c>
      <c r="C27" s="64" t="s">
        <v>114</v>
      </c>
      <c r="D27" s="64">
        <v>602.62779999999998</v>
      </c>
      <c r="E27" s="205">
        <v>0.10122334216907999</v>
      </c>
      <c r="F27" s="64"/>
      <c r="G27" s="64"/>
      <c r="H27" s="64"/>
      <c r="I27" s="64"/>
      <c r="J27" s="64"/>
      <c r="K27" s="64"/>
      <c r="L27" s="64"/>
      <c r="M27" s="64"/>
      <c r="N27" s="64"/>
      <c r="O27" s="64"/>
      <c r="P27" s="64"/>
      <c r="Q27" s="64"/>
      <c r="R27" s="64"/>
      <c r="S27" s="64"/>
      <c r="T27" s="64"/>
      <c r="U27" s="64"/>
      <c r="V27" s="64"/>
      <c r="W27" s="64"/>
      <c r="X27" s="64"/>
      <c r="Y27" s="64"/>
      <c r="Z27" s="64"/>
    </row>
    <row r="28" spans="1:26" x14ac:dyDescent="0.3">
      <c r="A28" s="68">
        <v>4</v>
      </c>
      <c r="B28" s="64" t="s">
        <v>289</v>
      </c>
      <c r="C28" s="64" t="s">
        <v>26</v>
      </c>
      <c r="D28" s="64">
        <v>127.2907</v>
      </c>
      <c r="E28" s="205">
        <v>3.9280167364937099E-2</v>
      </c>
      <c r="F28" s="64"/>
      <c r="G28" s="64"/>
      <c r="H28" s="64"/>
      <c r="I28" s="64"/>
      <c r="J28" s="64"/>
      <c r="K28" s="64"/>
      <c r="L28" s="64"/>
      <c r="M28" s="64"/>
      <c r="N28" s="64"/>
      <c r="O28" s="64"/>
      <c r="P28" s="64"/>
      <c r="Q28" s="64"/>
      <c r="R28" s="64"/>
      <c r="S28" s="64"/>
      <c r="T28" s="64"/>
      <c r="U28" s="64"/>
      <c r="V28" s="64"/>
      <c r="W28" s="64"/>
      <c r="X28" s="64"/>
      <c r="Y28" s="64"/>
      <c r="Z28" s="64"/>
    </row>
    <row r="29" spans="1:26" x14ac:dyDescent="0.3">
      <c r="A29" s="68">
        <v>4</v>
      </c>
      <c r="B29" s="64" t="s">
        <v>289</v>
      </c>
      <c r="C29" s="64" t="s">
        <v>114</v>
      </c>
      <c r="D29" s="64">
        <v>215.01660000000001</v>
      </c>
      <c r="E29" s="205">
        <v>7.4412859286213301E-2</v>
      </c>
      <c r="F29" s="64"/>
      <c r="G29" s="64"/>
      <c r="H29" s="64"/>
      <c r="I29" s="64"/>
      <c r="J29" s="64"/>
      <c r="K29" s="64"/>
      <c r="L29" s="64"/>
      <c r="M29" s="64"/>
      <c r="N29" s="64"/>
      <c r="O29" s="64"/>
      <c r="P29" s="64"/>
      <c r="Q29" s="64"/>
      <c r="R29" s="64"/>
      <c r="S29" s="64"/>
      <c r="T29" s="64"/>
      <c r="U29" s="64"/>
      <c r="V29" s="64"/>
      <c r="W29" s="64"/>
      <c r="X29" s="64"/>
      <c r="Y29" s="64"/>
      <c r="Z29" s="64"/>
    </row>
    <row r="30" spans="1:26" x14ac:dyDescent="0.3">
      <c r="A30" s="68">
        <v>5</v>
      </c>
      <c r="B30" s="64" t="s">
        <v>288</v>
      </c>
      <c r="C30" s="64" t="s">
        <v>26</v>
      </c>
      <c r="D30" s="64">
        <v>352.97179999999997</v>
      </c>
      <c r="E30" s="205">
        <v>3.9663225220825001E-2</v>
      </c>
      <c r="F30" s="64"/>
      <c r="G30" s="64"/>
      <c r="H30" s="64"/>
      <c r="I30" s="64"/>
      <c r="J30" s="64"/>
      <c r="K30" s="64"/>
      <c r="L30" s="64"/>
      <c r="M30" s="64"/>
      <c r="N30" s="64"/>
      <c r="O30" s="64"/>
      <c r="P30" s="64"/>
      <c r="Q30" s="64"/>
      <c r="R30" s="64"/>
      <c r="S30" s="64"/>
      <c r="T30" s="64"/>
      <c r="U30" s="64"/>
      <c r="V30" s="64"/>
      <c r="W30" s="64"/>
      <c r="X30" s="64"/>
      <c r="Y30" s="64"/>
      <c r="Z30" s="64"/>
    </row>
    <row r="31" spans="1:26" x14ac:dyDescent="0.3">
      <c r="A31" s="68">
        <v>5</v>
      </c>
      <c r="B31" s="64" t="s">
        <v>288</v>
      </c>
      <c r="C31" s="64" t="s">
        <v>114</v>
      </c>
      <c r="D31" s="64">
        <v>634.67250000000001</v>
      </c>
      <c r="E31" s="205">
        <v>7.8780788516912295E-2</v>
      </c>
      <c r="F31" s="64"/>
      <c r="G31" s="64"/>
      <c r="H31" s="64"/>
      <c r="I31" s="64"/>
      <c r="J31" s="64"/>
      <c r="K31" s="64"/>
      <c r="L31" s="64"/>
      <c r="M31" s="64"/>
      <c r="N31" s="64"/>
      <c r="O31" s="64"/>
      <c r="P31" s="64"/>
      <c r="Q31" s="64"/>
      <c r="R31" s="64"/>
      <c r="S31" s="64"/>
      <c r="T31" s="64"/>
      <c r="U31" s="64"/>
      <c r="V31" s="64"/>
      <c r="W31" s="64"/>
      <c r="X31" s="64"/>
      <c r="Y31" s="64"/>
      <c r="Z31" s="64"/>
    </row>
    <row r="32" spans="1:26" x14ac:dyDescent="0.3">
      <c r="A32" s="68">
        <v>5</v>
      </c>
      <c r="B32" s="64" t="s">
        <v>289</v>
      </c>
      <c r="C32" s="64" t="s">
        <v>26</v>
      </c>
      <c r="D32" s="64">
        <v>129.66290000000001</v>
      </c>
      <c r="E32" s="205">
        <v>6.1698450366296002E-2</v>
      </c>
      <c r="F32" s="64"/>
      <c r="G32" s="64"/>
      <c r="H32" s="64"/>
      <c r="I32" s="64"/>
      <c r="J32" s="64"/>
      <c r="K32" s="64"/>
      <c r="L32" s="64"/>
      <c r="M32" s="64"/>
      <c r="N32" s="64"/>
      <c r="O32" s="64"/>
      <c r="P32" s="64"/>
      <c r="Q32" s="64"/>
      <c r="R32" s="64"/>
      <c r="S32" s="64"/>
      <c r="T32" s="64"/>
      <c r="U32" s="64"/>
      <c r="V32" s="64"/>
      <c r="W32" s="64"/>
      <c r="X32" s="64"/>
      <c r="Y32" s="64"/>
      <c r="Z32" s="64"/>
    </row>
    <row r="33" spans="1:26" x14ac:dyDescent="0.3">
      <c r="A33" s="68">
        <v>5</v>
      </c>
      <c r="B33" s="64" t="s">
        <v>289</v>
      </c>
      <c r="C33" s="64" t="s">
        <v>114</v>
      </c>
      <c r="D33" s="64">
        <v>216.54910000000001</v>
      </c>
      <c r="E33" s="205">
        <v>9.6975697428435398E-2</v>
      </c>
      <c r="F33" s="64"/>
      <c r="G33" s="64"/>
      <c r="H33" s="64"/>
      <c r="I33" s="64"/>
      <c r="J33" s="64"/>
      <c r="K33" s="64"/>
      <c r="L33" s="64"/>
      <c r="M33" s="64"/>
      <c r="N33" s="64"/>
      <c r="O33" s="64"/>
      <c r="P33" s="64"/>
      <c r="Q33" s="64"/>
      <c r="R33" s="64"/>
      <c r="S33" s="64"/>
      <c r="T33" s="64"/>
      <c r="U33" s="64"/>
      <c r="V33" s="64"/>
      <c r="W33" s="64"/>
      <c r="X33" s="64"/>
      <c r="Y33" s="64"/>
      <c r="Z33" s="64"/>
    </row>
    <row r="34" spans="1:26" x14ac:dyDescent="0.3">
      <c r="A34" s="68">
        <v>6</v>
      </c>
      <c r="B34" s="64" t="s">
        <v>288</v>
      </c>
      <c r="C34" s="64" t="s">
        <v>26</v>
      </c>
      <c r="D34" s="64">
        <v>342.7011</v>
      </c>
      <c r="E34" s="205">
        <v>3.7933931347171101E-2</v>
      </c>
      <c r="F34" s="64"/>
      <c r="G34" s="64"/>
      <c r="H34" s="64"/>
      <c r="I34" s="64"/>
      <c r="J34" s="64"/>
      <c r="K34" s="64"/>
      <c r="L34" s="64"/>
      <c r="M34" s="64"/>
      <c r="N34" s="64"/>
      <c r="O34" s="64"/>
      <c r="P34" s="64"/>
      <c r="Q34" s="64"/>
      <c r="R34" s="64"/>
      <c r="S34" s="64"/>
      <c r="T34" s="64"/>
      <c r="U34" s="64"/>
      <c r="V34" s="64"/>
      <c r="W34" s="64"/>
      <c r="X34" s="64"/>
      <c r="Y34" s="64"/>
      <c r="Z34" s="64"/>
    </row>
    <row r="35" spans="1:26" x14ac:dyDescent="0.3">
      <c r="A35" s="68">
        <v>6</v>
      </c>
      <c r="B35" s="64" t="s">
        <v>288</v>
      </c>
      <c r="C35" s="64" t="s">
        <v>114</v>
      </c>
      <c r="D35" s="64">
        <v>617.14229999999998</v>
      </c>
      <c r="E35" s="205">
        <v>4.6990783162975502E-2</v>
      </c>
      <c r="F35" s="64"/>
      <c r="G35" s="64"/>
      <c r="H35" s="64"/>
      <c r="I35" s="64"/>
      <c r="J35" s="64"/>
      <c r="K35" s="64"/>
      <c r="L35" s="64"/>
      <c r="M35" s="64"/>
      <c r="N35" s="64"/>
      <c r="O35" s="64"/>
      <c r="P35" s="64"/>
      <c r="Q35" s="64"/>
      <c r="R35" s="64"/>
      <c r="S35" s="64"/>
      <c r="T35" s="64"/>
      <c r="U35" s="64"/>
      <c r="V35" s="64"/>
      <c r="W35" s="64"/>
      <c r="X35" s="64"/>
      <c r="Y35" s="64"/>
      <c r="Z35" s="64"/>
    </row>
    <row r="36" spans="1:26" x14ac:dyDescent="0.3">
      <c r="A36" s="68">
        <v>6</v>
      </c>
      <c r="B36" s="64" t="s">
        <v>289</v>
      </c>
      <c r="C36" s="64" t="s">
        <v>26</v>
      </c>
      <c r="D36" s="64">
        <v>127.5346</v>
      </c>
      <c r="E36" s="205">
        <v>5.4887065941320999E-2</v>
      </c>
      <c r="F36" s="64"/>
      <c r="G36" s="64"/>
      <c r="H36" s="64"/>
      <c r="I36" s="64"/>
      <c r="J36" s="64"/>
      <c r="K36" s="64"/>
      <c r="L36" s="64"/>
      <c r="M36" s="64"/>
      <c r="N36" s="64"/>
      <c r="O36" s="64"/>
      <c r="P36" s="64"/>
      <c r="Q36" s="64"/>
      <c r="R36" s="64"/>
      <c r="S36" s="64"/>
      <c r="T36" s="64"/>
      <c r="U36" s="64"/>
      <c r="V36" s="64"/>
      <c r="W36" s="64"/>
      <c r="X36" s="64"/>
      <c r="Y36" s="64"/>
      <c r="Z36" s="64"/>
    </row>
    <row r="37" spans="1:26" x14ac:dyDescent="0.3">
      <c r="A37" s="68">
        <v>6</v>
      </c>
      <c r="B37" s="64" t="s">
        <v>289</v>
      </c>
      <c r="C37" s="64" t="s">
        <v>114</v>
      </c>
      <c r="D37" s="64">
        <v>244.5967</v>
      </c>
      <c r="E37" s="205">
        <v>4.4971988583656301E-2</v>
      </c>
      <c r="F37" s="64"/>
      <c r="G37" s="64"/>
      <c r="H37" s="64"/>
      <c r="I37" s="64"/>
      <c r="J37" s="64"/>
      <c r="K37" s="64"/>
      <c r="L37" s="64"/>
      <c r="M37" s="64"/>
      <c r="N37" s="64"/>
      <c r="O37" s="64"/>
      <c r="P37" s="64"/>
      <c r="Q37" s="64"/>
      <c r="R37" s="64"/>
      <c r="S37" s="64"/>
      <c r="T37" s="64"/>
      <c r="U37" s="64"/>
      <c r="V37" s="64"/>
      <c r="W37" s="64"/>
      <c r="X37" s="64"/>
      <c r="Y37" s="64"/>
      <c r="Z37" s="64"/>
    </row>
    <row r="38" spans="1:26" x14ac:dyDescent="0.3">
      <c r="A38" s="68">
        <v>7</v>
      </c>
      <c r="B38" s="64" t="s">
        <v>288</v>
      </c>
      <c r="C38" s="64" t="s">
        <v>26</v>
      </c>
      <c r="D38" s="64">
        <v>300.44080000000002</v>
      </c>
      <c r="E38" s="205">
        <v>4.3269755639047697E-2</v>
      </c>
      <c r="F38" s="64"/>
      <c r="G38" s="64"/>
      <c r="H38" s="64"/>
      <c r="I38" s="64"/>
      <c r="J38" s="64"/>
      <c r="K38" s="64"/>
      <c r="L38" s="64"/>
      <c r="M38" s="64"/>
      <c r="N38" s="64"/>
      <c r="O38" s="64"/>
      <c r="P38" s="64"/>
      <c r="Q38" s="64"/>
      <c r="R38" s="64"/>
      <c r="S38" s="64"/>
      <c r="T38" s="64"/>
      <c r="U38" s="64"/>
      <c r="V38" s="64"/>
      <c r="W38" s="64"/>
      <c r="X38" s="64"/>
      <c r="Y38" s="64"/>
      <c r="Z38" s="64"/>
    </row>
    <row r="39" spans="1:26" x14ac:dyDescent="0.3">
      <c r="A39" s="68">
        <v>7</v>
      </c>
      <c r="B39" s="64" t="s">
        <v>288</v>
      </c>
      <c r="C39" s="64" t="s">
        <v>114</v>
      </c>
      <c r="D39" s="64">
        <v>599.50109999999995</v>
      </c>
      <c r="E39" s="205">
        <v>5.3377716904939802E-2</v>
      </c>
      <c r="F39" s="64"/>
      <c r="G39" s="64"/>
      <c r="H39" s="64"/>
      <c r="I39" s="64"/>
      <c r="J39" s="64"/>
      <c r="K39" s="64"/>
      <c r="L39" s="64"/>
      <c r="M39" s="64"/>
      <c r="N39" s="64"/>
      <c r="O39" s="64"/>
      <c r="P39" s="64"/>
      <c r="Q39" s="64"/>
      <c r="R39" s="64"/>
      <c r="S39" s="64"/>
      <c r="T39" s="64"/>
      <c r="U39" s="64"/>
      <c r="V39" s="64"/>
      <c r="W39" s="64"/>
      <c r="X39" s="64"/>
      <c r="Y39" s="64"/>
      <c r="Z39" s="64"/>
    </row>
    <row r="40" spans="1:26" x14ac:dyDescent="0.3">
      <c r="A40" s="68">
        <v>7</v>
      </c>
      <c r="B40" s="64" t="s">
        <v>289</v>
      </c>
      <c r="C40" s="64" t="s">
        <v>26</v>
      </c>
      <c r="D40" s="64">
        <v>126.27889999999999</v>
      </c>
      <c r="E40" s="205">
        <v>2.3756938015772999E-2</v>
      </c>
      <c r="F40" s="64"/>
      <c r="G40" s="64"/>
      <c r="H40" s="64"/>
      <c r="I40" s="64"/>
      <c r="J40" s="64"/>
      <c r="K40" s="64"/>
      <c r="L40" s="64"/>
      <c r="M40" s="64"/>
      <c r="N40" s="64"/>
      <c r="O40" s="64"/>
      <c r="P40" s="64"/>
      <c r="Q40" s="64"/>
      <c r="R40" s="64"/>
      <c r="S40" s="64"/>
      <c r="T40" s="64"/>
      <c r="U40" s="64"/>
      <c r="V40" s="64"/>
      <c r="W40" s="64"/>
      <c r="X40" s="64"/>
      <c r="Y40" s="64"/>
      <c r="Z40" s="64"/>
    </row>
    <row r="41" spans="1:26" ht="13.5" thickBot="1" x14ac:dyDescent="0.35">
      <c r="A41" s="197">
        <v>7</v>
      </c>
      <c r="B41" s="74" t="s">
        <v>289</v>
      </c>
      <c r="C41" s="74" t="s">
        <v>114</v>
      </c>
      <c r="D41" s="74">
        <v>233.69460000000001</v>
      </c>
      <c r="E41" s="206">
        <v>3.4232712266351002E-2</v>
      </c>
      <c r="F41" s="64"/>
      <c r="G41" s="64"/>
      <c r="H41" s="64"/>
      <c r="I41" s="64"/>
      <c r="J41" s="64"/>
      <c r="K41" s="64"/>
      <c r="L41" s="64"/>
      <c r="M41" s="64"/>
      <c r="N41" s="64"/>
      <c r="O41" s="64"/>
      <c r="P41" s="64"/>
      <c r="Q41" s="64"/>
      <c r="R41" s="64"/>
      <c r="S41" s="64"/>
      <c r="T41" s="64"/>
      <c r="U41" s="64"/>
      <c r="V41" s="64"/>
      <c r="W41" s="64"/>
      <c r="X41" s="64"/>
      <c r="Y41" s="64"/>
      <c r="Z41" s="64"/>
    </row>
    <row r="42" spans="1:26" x14ac:dyDescent="0.3">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x14ac:dyDescent="0.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ht="13.5" thickBot="1" x14ac:dyDescent="0.3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ht="39.75" customHeight="1" thickBot="1" x14ac:dyDescent="0.35">
      <c r="A45" s="77" t="s">
        <v>552</v>
      </c>
      <c r="B45" s="78" t="s">
        <v>41</v>
      </c>
      <c r="C45" s="79" t="s">
        <v>42</v>
      </c>
      <c r="D45" s="142"/>
      <c r="E45" s="142"/>
      <c r="F45" s="142"/>
      <c r="G45" s="64"/>
      <c r="H45" s="64"/>
      <c r="I45" s="64"/>
      <c r="J45" s="64"/>
      <c r="K45" s="64"/>
      <c r="L45" s="64"/>
      <c r="M45" s="64"/>
      <c r="N45" s="64"/>
      <c r="O45" s="64"/>
      <c r="P45" s="64"/>
      <c r="Q45" s="64"/>
      <c r="R45" s="64"/>
      <c r="S45" s="64"/>
      <c r="T45" s="64"/>
      <c r="U45" s="64"/>
      <c r="V45" s="64"/>
      <c r="W45" s="64"/>
      <c r="X45" s="64"/>
      <c r="Y45" s="64"/>
      <c r="Z45" s="64"/>
    </row>
    <row r="46" spans="1:26" x14ac:dyDescent="0.3">
      <c r="A46" s="83" t="s">
        <v>44</v>
      </c>
      <c r="B46" s="195">
        <v>12000</v>
      </c>
      <c r="C46" s="70" t="s">
        <v>719</v>
      </c>
      <c r="D46" s="64"/>
      <c r="E46" s="64"/>
      <c r="F46" s="64"/>
      <c r="G46" s="64"/>
      <c r="H46" s="64"/>
      <c r="I46" s="64"/>
      <c r="J46" s="64"/>
      <c r="K46" s="64"/>
      <c r="L46" s="64"/>
      <c r="M46" s="64"/>
      <c r="N46" s="64"/>
      <c r="O46" s="64"/>
      <c r="P46" s="64"/>
      <c r="Q46" s="64"/>
      <c r="R46" s="64"/>
      <c r="S46" s="64"/>
      <c r="T46" s="64"/>
      <c r="U46" s="64"/>
      <c r="V46" s="64"/>
      <c r="W46" s="64"/>
      <c r="X46" s="64"/>
      <c r="Y46" s="64"/>
      <c r="Z46" s="64"/>
    </row>
    <row r="47" spans="1:26" x14ac:dyDescent="0.3">
      <c r="A47" s="83" t="s">
        <v>428</v>
      </c>
      <c r="B47" s="207">
        <v>9026.8083999999999</v>
      </c>
      <c r="C47" s="70" t="s">
        <v>432</v>
      </c>
      <c r="D47" s="64"/>
      <c r="E47" s="64"/>
      <c r="F47" s="64"/>
      <c r="G47" s="64"/>
      <c r="H47" s="64"/>
      <c r="I47" s="64"/>
      <c r="J47" s="64"/>
      <c r="K47" s="64"/>
      <c r="L47" s="64"/>
      <c r="M47" s="64"/>
      <c r="N47" s="64"/>
      <c r="O47" s="64"/>
      <c r="P47" s="64"/>
      <c r="Q47" s="64"/>
      <c r="R47" s="64"/>
      <c r="S47" s="64"/>
      <c r="T47" s="64"/>
      <c r="U47" s="64"/>
      <c r="V47" s="64"/>
      <c r="W47" s="64"/>
      <c r="X47" s="64"/>
      <c r="Y47" s="64"/>
      <c r="Z47" s="64"/>
    </row>
    <row r="48" spans="1:26" x14ac:dyDescent="0.3">
      <c r="A48" s="83" t="s">
        <v>429</v>
      </c>
      <c r="B48" s="195">
        <v>26</v>
      </c>
      <c r="C48" s="70" t="s">
        <v>433</v>
      </c>
      <c r="D48" s="64"/>
      <c r="E48" s="64"/>
      <c r="F48" s="64"/>
      <c r="G48" s="64"/>
      <c r="H48" s="64"/>
      <c r="I48" s="64"/>
      <c r="J48" s="64"/>
      <c r="K48" s="64"/>
      <c r="L48" s="64"/>
      <c r="M48" s="64"/>
      <c r="N48" s="64"/>
      <c r="O48" s="64"/>
      <c r="P48" s="64"/>
      <c r="Q48" s="64"/>
      <c r="R48" s="64"/>
      <c r="S48" s="64"/>
      <c r="T48" s="64"/>
      <c r="U48" s="64"/>
      <c r="V48" s="64"/>
      <c r="W48" s="64"/>
      <c r="X48" s="64"/>
      <c r="Y48" s="64"/>
      <c r="Z48" s="64"/>
    </row>
    <row r="49" spans="1:26" x14ac:dyDescent="0.3">
      <c r="A49" s="83" t="s">
        <v>430</v>
      </c>
      <c r="B49" s="200">
        <v>21.204816000000001</v>
      </c>
      <c r="C49" s="70" t="s">
        <v>434</v>
      </c>
      <c r="D49" s="64"/>
      <c r="E49" s="64"/>
      <c r="F49" s="64"/>
      <c r="G49" s="64"/>
      <c r="H49" s="64"/>
      <c r="I49" s="64"/>
      <c r="J49" s="64"/>
      <c r="K49" s="64"/>
      <c r="L49" s="64"/>
      <c r="M49" s="64"/>
      <c r="N49" s="64"/>
      <c r="O49" s="64"/>
      <c r="P49" s="64"/>
      <c r="Q49" s="64"/>
      <c r="R49" s="64"/>
      <c r="S49" s="64"/>
      <c r="T49" s="64"/>
      <c r="U49" s="64"/>
      <c r="V49" s="64"/>
      <c r="W49" s="64"/>
      <c r="X49" s="64"/>
      <c r="Y49" s="64"/>
      <c r="Z49" s="64"/>
    </row>
    <row r="50" spans="1:26" x14ac:dyDescent="0.3">
      <c r="A50" s="83" t="s">
        <v>435</v>
      </c>
      <c r="B50" s="208">
        <f>B48/B49</f>
        <v>1.2261365531301944</v>
      </c>
      <c r="C50" s="70" t="s">
        <v>436</v>
      </c>
      <c r="D50" s="64"/>
      <c r="E50" s="64"/>
      <c r="F50" s="64"/>
      <c r="G50" s="64"/>
      <c r="H50" s="64"/>
      <c r="I50" s="64"/>
      <c r="J50" s="64"/>
      <c r="K50" s="64"/>
      <c r="L50" s="64"/>
      <c r="M50" s="64"/>
      <c r="N50" s="64"/>
      <c r="O50" s="64"/>
      <c r="P50" s="64"/>
      <c r="Q50" s="64"/>
      <c r="R50" s="64"/>
      <c r="S50" s="64"/>
      <c r="T50" s="64"/>
      <c r="U50" s="64"/>
      <c r="V50" s="64"/>
      <c r="W50" s="64"/>
      <c r="X50" s="64"/>
      <c r="Y50" s="64"/>
      <c r="Z50" s="64"/>
    </row>
    <row r="51" spans="1:26" x14ac:dyDescent="0.3">
      <c r="A51" s="83" t="s">
        <v>339</v>
      </c>
      <c r="B51" s="195">
        <v>803</v>
      </c>
      <c r="C51" s="70" t="s">
        <v>433</v>
      </c>
      <c r="D51" s="64"/>
      <c r="E51" s="64"/>
      <c r="F51" s="64"/>
      <c r="G51" s="64"/>
      <c r="H51" s="64"/>
      <c r="I51" s="64"/>
      <c r="J51" s="64"/>
      <c r="K51" s="64"/>
      <c r="L51" s="64"/>
      <c r="M51" s="64"/>
      <c r="N51" s="64"/>
      <c r="O51" s="64"/>
      <c r="P51" s="64"/>
      <c r="Q51" s="64"/>
      <c r="R51" s="64"/>
      <c r="S51" s="64"/>
      <c r="T51" s="64"/>
      <c r="U51" s="64"/>
      <c r="V51" s="64"/>
      <c r="W51" s="64"/>
      <c r="X51" s="64"/>
      <c r="Y51" s="64"/>
      <c r="Z51" s="64"/>
    </row>
    <row r="52" spans="1:26" x14ac:dyDescent="0.3">
      <c r="A52" s="83" t="s">
        <v>437</v>
      </c>
      <c r="B52" s="208">
        <f>B51/B47</f>
        <v>8.8957244290241058E-2</v>
      </c>
      <c r="C52" s="70" t="s">
        <v>438</v>
      </c>
      <c r="D52" s="64"/>
      <c r="E52" s="64"/>
      <c r="F52" s="64"/>
      <c r="G52" s="64"/>
      <c r="H52" s="64"/>
      <c r="I52" s="64"/>
      <c r="J52" s="64"/>
      <c r="K52" s="64"/>
      <c r="L52" s="64"/>
      <c r="M52" s="64"/>
      <c r="N52" s="64"/>
      <c r="O52" s="64"/>
      <c r="P52" s="64"/>
      <c r="Q52" s="64"/>
      <c r="R52" s="64"/>
      <c r="S52" s="64"/>
      <c r="T52" s="64"/>
      <c r="U52" s="64"/>
      <c r="V52" s="64"/>
      <c r="W52" s="64"/>
      <c r="X52" s="64"/>
      <c r="Y52" s="64"/>
      <c r="Z52" s="64"/>
    </row>
    <row r="53" spans="1:26" x14ac:dyDescent="0.3">
      <c r="A53" s="83" t="s">
        <v>439</v>
      </c>
      <c r="B53" s="208">
        <f>EXP(-B52)</f>
        <v>0.91488468928247402</v>
      </c>
      <c r="C53" s="70" t="s">
        <v>440</v>
      </c>
      <c r="D53" s="64"/>
      <c r="E53" s="64"/>
      <c r="F53" s="64"/>
      <c r="G53" s="64"/>
      <c r="H53" s="64"/>
      <c r="I53" s="64"/>
      <c r="J53" s="64"/>
      <c r="K53" s="64"/>
      <c r="L53" s="64"/>
      <c r="M53" s="64"/>
      <c r="N53" s="64"/>
      <c r="O53" s="64"/>
      <c r="P53" s="64"/>
      <c r="Q53" s="64"/>
      <c r="R53" s="64"/>
      <c r="S53" s="64"/>
      <c r="T53" s="64"/>
      <c r="U53" s="64"/>
      <c r="V53" s="64"/>
      <c r="W53" s="64"/>
      <c r="X53" s="64"/>
      <c r="Y53" s="64"/>
      <c r="Z53" s="64"/>
    </row>
    <row r="54" spans="1:26" ht="26.5" thickBot="1" x14ac:dyDescent="0.35">
      <c r="A54" s="84" t="s">
        <v>441</v>
      </c>
      <c r="B54" s="209">
        <v>3</v>
      </c>
      <c r="C54" s="76" t="s">
        <v>720</v>
      </c>
      <c r="D54" s="64"/>
      <c r="E54" s="64"/>
      <c r="F54" s="64"/>
      <c r="G54" s="64"/>
      <c r="H54" s="64"/>
      <c r="I54" s="64"/>
      <c r="J54" s="64"/>
      <c r="K54" s="64"/>
      <c r="L54" s="64"/>
      <c r="M54" s="64"/>
      <c r="N54" s="64"/>
      <c r="O54" s="64"/>
      <c r="P54" s="64"/>
      <c r="Q54" s="64"/>
      <c r="R54" s="64"/>
      <c r="S54" s="64"/>
      <c r="T54" s="64"/>
      <c r="U54" s="64"/>
      <c r="V54" s="64"/>
      <c r="W54" s="64"/>
      <c r="X54" s="64"/>
      <c r="Y54" s="64"/>
      <c r="Z54" s="64"/>
    </row>
    <row r="55" spans="1:26" x14ac:dyDescent="0.3">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spans="1:26" ht="91" customHeight="1" x14ac:dyDescent="0.3">
      <c r="A56" s="483" t="s">
        <v>721</v>
      </c>
      <c r="B56" s="483"/>
      <c r="C56" s="483"/>
      <c r="D56" s="64"/>
      <c r="E56" s="64"/>
      <c r="F56" s="64"/>
      <c r="G56" s="64"/>
      <c r="H56" s="64"/>
      <c r="I56" s="64"/>
      <c r="J56" s="64"/>
      <c r="K56" s="64"/>
      <c r="L56" s="64"/>
      <c r="M56" s="64"/>
      <c r="N56" s="64"/>
      <c r="O56" s="64"/>
      <c r="P56" s="64"/>
      <c r="Q56" s="64"/>
      <c r="R56" s="64"/>
      <c r="S56" s="64"/>
      <c r="T56" s="64"/>
      <c r="U56" s="64"/>
      <c r="V56" s="64"/>
      <c r="W56" s="64"/>
      <c r="X56" s="64"/>
      <c r="Y56" s="64"/>
      <c r="Z56" s="64"/>
    </row>
    <row r="57" spans="1:26" x14ac:dyDescent="0.3">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x14ac:dyDescent="0.3">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spans="1:26" x14ac:dyDescent="0.3">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1:26" x14ac:dyDescent="0.3">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spans="1:26" x14ac:dyDescent="0.3">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sheetData>
  <mergeCells count="4">
    <mergeCell ref="A1:H1"/>
    <mergeCell ref="H15:M16"/>
    <mergeCell ref="A2:H2"/>
    <mergeCell ref="A56:C5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D64"/>
  <sheetViews>
    <sheetView topLeftCell="A36" zoomScaleNormal="100" workbookViewId="0">
      <selection activeCell="B55" sqref="B55"/>
    </sheetView>
  </sheetViews>
  <sheetFormatPr defaultColWidth="8.6328125" defaultRowHeight="13" x14ac:dyDescent="0.3"/>
  <cols>
    <col min="1" max="1" width="46.08984375" style="5" customWidth="1"/>
    <col min="2" max="2" width="16" style="5" customWidth="1"/>
    <col min="3" max="3" width="29.453125" style="5" customWidth="1"/>
    <col min="4" max="5" width="16" style="5" customWidth="1"/>
    <col min="6" max="6" width="18.7265625" style="5" bestFit="1" customWidth="1"/>
    <col min="7" max="10" width="16" style="5" customWidth="1"/>
    <col min="11" max="16384" width="8.6328125" style="5"/>
  </cols>
  <sheetData>
    <row r="1" spans="1:134" ht="28" customHeight="1" x14ac:dyDescent="0.45">
      <c r="A1" s="23" t="s">
        <v>553</v>
      </c>
      <c r="B1" s="23"/>
      <c r="C1" s="23"/>
      <c r="D1" s="23"/>
      <c r="E1" s="23"/>
      <c r="F1" s="23"/>
      <c r="G1" s="23"/>
      <c r="H1" s="23"/>
      <c r="I1" s="23"/>
      <c r="J1" s="23"/>
      <c r="K1" s="143"/>
      <c r="L1" s="143"/>
      <c r="M1" s="143"/>
      <c r="N1" s="143"/>
      <c r="O1" s="143"/>
      <c r="P1" s="143"/>
      <c r="Q1" s="143"/>
      <c r="R1" s="143"/>
      <c r="S1" s="143"/>
      <c r="T1" s="143"/>
      <c r="U1" s="143"/>
      <c r="V1" s="143"/>
      <c r="W1" s="143"/>
      <c r="X1" s="143"/>
      <c r="Y1" s="143"/>
      <c r="Z1" s="14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22" customHeight="1" x14ac:dyDescent="0.3">
      <c r="A2" s="476" t="s">
        <v>722</v>
      </c>
      <c r="B2" s="476"/>
      <c r="C2" s="476"/>
      <c r="D2" s="476"/>
      <c r="E2" s="476"/>
      <c r="F2" s="476"/>
      <c r="G2" s="476"/>
      <c r="H2" s="476"/>
      <c r="I2" s="476"/>
      <c r="J2" s="476"/>
    </row>
    <row r="3" spans="1:134" ht="13" customHeight="1" thickBot="1" x14ac:dyDescent="0.35">
      <c r="A3" s="26"/>
      <c r="B3" s="26"/>
      <c r="C3" s="26"/>
      <c r="D3" s="26"/>
      <c r="E3" s="26"/>
      <c r="F3" s="26"/>
      <c r="G3" s="26"/>
      <c r="H3" s="26"/>
      <c r="I3" s="26"/>
      <c r="J3" s="26"/>
    </row>
    <row r="4" spans="1:134" ht="13.5" thickBot="1" x14ac:dyDescent="0.35">
      <c r="A4" s="238" t="s">
        <v>157</v>
      </c>
      <c r="B4" s="239"/>
      <c r="C4" s="240"/>
      <c r="D4" s="26"/>
      <c r="E4" s="26"/>
      <c r="F4" s="26"/>
      <c r="G4" s="26"/>
      <c r="H4" s="26"/>
      <c r="I4" s="26"/>
      <c r="J4" s="26"/>
    </row>
    <row r="5" spans="1:134" ht="26" x14ac:dyDescent="0.3">
      <c r="A5" s="232" t="s">
        <v>723</v>
      </c>
      <c r="B5" s="237">
        <f>(NORMSINV(0.5+B6/2)/B7)^2</f>
        <v>1082.2173816381642</v>
      </c>
      <c r="C5" s="222" t="s">
        <v>725</v>
      </c>
      <c r="D5" s="26"/>
      <c r="E5" s="26"/>
      <c r="F5" s="26"/>
      <c r="G5" s="26"/>
      <c r="H5" s="26"/>
      <c r="I5" s="26"/>
      <c r="J5" s="26"/>
    </row>
    <row r="6" spans="1:134" x14ac:dyDescent="0.3">
      <c r="A6" s="232" t="s">
        <v>158</v>
      </c>
      <c r="B6" s="234">
        <v>0.9</v>
      </c>
      <c r="C6" s="103"/>
      <c r="D6" s="26"/>
      <c r="E6" s="26"/>
      <c r="F6" s="26"/>
      <c r="G6" s="26"/>
      <c r="H6" s="26"/>
      <c r="I6" s="26"/>
      <c r="J6" s="26"/>
    </row>
    <row r="7" spans="1:134" x14ac:dyDescent="0.3">
      <c r="A7" s="232" t="s">
        <v>159</v>
      </c>
      <c r="B7" s="234">
        <v>0.05</v>
      </c>
      <c r="C7" s="103"/>
      <c r="D7" s="26"/>
      <c r="E7" s="26"/>
      <c r="F7" s="26"/>
      <c r="G7" s="26"/>
      <c r="H7" s="26"/>
      <c r="I7" s="26"/>
      <c r="J7" s="26"/>
    </row>
    <row r="8" spans="1:134" ht="13.5" thickBot="1" x14ac:dyDescent="0.35">
      <c r="A8" s="233" t="s">
        <v>724</v>
      </c>
      <c r="B8" s="235">
        <v>1</v>
      </c>
      <c r="C8" s="111"/>
      <c r="D8" s="26"/>
      <c r="E8" s="26"/>
      <c r="F8" s="26"/>
      <c r="G8" s="26"/>
      <c r="H8" s="26"/>
      <c r="I8" s="26"/>
      <c r="J8" s="26"/>
    </row>
    <row r="9" spans="1:134" ht="13.5" thickBot="1" x14ac:dyDescent="0.35">
      <c r="A9" s="26"/>
      <c r="B9" s="221"/>
      <c r="C9" s="26"/>
      <c r="D9" s="26"/>
      <c r="E9" s="26"/>
      <c r="F9" s="26"/>
      <c r="G9" s="26"/>
      <c r="H9" s="26"/>
      <c r="I9" s="26"/>
      <c r="J9" s="26"/>
    </row>
    <row r="10" spans="1:134" ht="17.5" customHeight="1" thickBot="1" x14ac:dyDescent="0.35">
      <c r="A10" s="164" t="s">
        <v>160</v>
      </c>
      <c r="B10" s="165"/>
      <c r="C10" s="166"/>
      <c r="D10" s="26"/>
      <c r="E10" s="26"/>
      <c r="F10" s="26"/>
      <c r="G10" s="26"/>
      <c r="H10" s="26"/>
      <c r="I10" s="26"/>
      <c r="J10" s="26"/>
    </row>
    <row r="11" spans="1:134" x14ac:dyDescent="0.3">
      <c r="A11" s="232" t="s">
        <v>726</v>
      </c>
      <c r="B11" s="225">
        <f>'Experience Analysis'!B48</f>
        <v>26</v>
      </c>
      <c r="C11" s="223" t="s">
        <v>161</v>
      </c>
      <c r="D11" s="26"/>
      <c r="E11" s="26"/>
      <c r="F11" s="26"/>
      <c r="G11" s="26"/>
      <c r="H11" s="26"/>
      <c r="I11" s="26"/>
      <c r="J11" s="26"/>
    </row>
    <row r="12" spans="1:134" x14ac:dyDescent="0.3">
      <c r="A12" s="232" t="s">
        <v>727</v>
      </c>
      <c r="B12" s="226">
        <f>'Experience Analysis'!B49</f>
        <v>21.204816000000001</v>
      </c>
      <c r="C12" s="223" t="s">
        <v>162</v>
      </c>
      <c r="D12" s="26"/>
      <c r="E12" s="26"/>
      <c r="F12" s="26"/>
      <c r="G12" s="26"/>
      <c r="H12" s="26"/>
      <c r="I12" s="26"/>
      <c r="J12" s="26"/>
    </row>
    <row r="13" spans="1:134" ht="26" x14ac:dyDescent="0.3">
      <c r="A13" s="232" t="s">
        <v>163</v>
      </c>
      <c r="B13" s="227">
        <f>B11/B12</f>
        <v>1.2261365531301944</v>
      </c>
      <c r="C13" s="222" t="s">
        <v>164</v>
      </c>
      <c r="D13" s="26"/>
      <c r="E13" s="26"/>
      <c r="F13" s="26"/>
      <c r="G13" s="26"/>
      <c r="H13" s="26"/>
      <c r="I13" s="26"/>
      <c r="J13" s="26"/>
    </row>
    <row r="14" spans="1:134" ht="26" x14ac:dyDescent="0.3">
      <c r="A14" s="232" t="s">
        <v>165</v>
      </c>
      <c r="B14" s="227">
        <f>MAX(0,(B11-1.96*SQRT(B11))/B12)</f>
        <v>0.75482483570515979</v>
      </c>
      <c r="C14" s="222" t="s">
        <v>166</v>
      </c>
      <c r="D14" s="26"/>
      <c r="E14" s="26"/>
      <c r="F14" s="26"/>
      <c r="G14" s="26"/>
      <c r="H14" s="26"/>
      <c r="I14" s="26"/>
      <c r="J14" s="26"/>
    </row>
    <row r="15" spans="1:134" ht="39" x14ac:dyDescent="0.3">
      <c r="A15" s="232" t="s">
        <v>167</v>
      </c>
      <c r="B15" s="227">
        <f>(B11+1.96*SQRT(B11))/B12</f>
        <v>1.6974482705552292</v>
      </c>
      <c r="C15" s="222" t="s">
        <v>168</v>
      </c>
      <c r="D15" s="26"/>
      <c r="E15" s="26"/>
      <c r="F15" s="26"/>
      <c r="G15" s="26"/>
      <c r="H15" s="26"/>
      <c r="I15" s="26"/>
      <c r="J15" s="26"/>
    </row>
    <row r="16" spans="1:134" x14ac:dyDescent="0.3">
      <c r="A16" s="232" t="s">
        <v>169</v>
      </c>
      <c r="B16" s="228">
        <f>SUM('Policy Calculations'!$EA$30:$EA$279)</f>
        <v>0.44781199999999977</v>
      </c>
      <c r="C16" s="222" t="s">
        <v>170</v>
      </c>
      <c r="D16" s="26"/>
      <c r="E16" s="26"/>
      <c r="F16" s="26"/>
      <c r="G16" s="26"/>
      <c r="H16" s="26"/>
      <c r="I16" s="26"/>
      <c r="J16" s="26"/>
    </row>
    <row r="17" spans="1:10" ht="26" x14ac:dyDescent="0.3">
      <c r="A17" s="232" t="s">
        <v>171</v>
      </c>
      <c r="B17" s="228">
        <f>SUM('Policy Calculations'!$EB$30:$EB$279)</f>
        <v>0.58083935254157393</v>
      </c>
      <c r="C17" s="222" t="s">
        <v>554</v>
      </c>
      <c r="D17" s="26"/>
      <c r="E17" s="26"/>
      <c r="F17" s="26"/>
      <c r="G17" s="26"/>
      <c r="H17" s="26"/>
      <c r="I17" s="26"/>
      <c r="J17" s="26"/>
    </row>
    <row r="18" spans="1:10" ht="26" x14ac:dyDescent="0.3">
      <c r="A18" s="232" t="s">
        <v>172</v>
      </c>
      <c r="B18" s="227">
        <f>B16/B17</f>
        <v>0.77097393287922478</v>
      </c>
      <c r="C18" s="222" t="s">
        <v>173</v>
      </c>
      <c r="D18" s="26"/>
      <c r="E18" s="26"/>
      <c r="F18" s="26"/>
      <c r="G18" s="26"/>
      <c r="H18" s="26"/>
      <c r="I18" s="26"/>
      <c r="J18" s="26"/>
    </row>
    <row r="19" spans="1:10" ht="26" x14ac:dyDescent="0.3">
      <c r="A19" s="232" t="s">
        <v>174</v>
      </c>
      <c r="B19" s="227">
        <f>B13*B18</f>
        <v>0.94531932061376256</v>
      </c>
      <c r="C19" s="222" t="s">
        <v>175</v>
      </c>
      <c r="D19" s="26"/>
      <c r="E19" s="26"/>
      <c r="F19" s="26"/>
      <c r="G19" s="26"/>
      <c r="H19" s="26"/>
      <c r="I19" s="26"/>
      <c r="J19" s="26"/>
    </row>
    <row r="20" spans="1:10" ht="26" x14ac:dyDescent="0.3">
      <c r="A20" s="232" t="s">
        <v>176</v>
      </c>
      <c r="B20" s="227">
        <f>MIN(1,SQRT(B11/B5))</f>
        <v>0.15499918746700805</v>
      </c>
      <c r="C20" s="222" t="s">
        <v>177</v>
      </c>
      <c r="D20" s="26"/>
      <c r="E20" s="26"/>
      <c r="F20" s="26"/>
      <c r="G20" s="26"/>
      <c r="H20" s="26"/>
      <c r="I20" s="26"/>
      <c r="J20" s="26"/>
    </row>
    <row r="21" spans="1:10" x14ac:dyDescent="0.3">
      <c r="A21" s="232" t="s">
        <v>178</v>
      </c>
      <c r="B21" s="227">
        <f>B20*B19+(1-B20)*B8</f>
        <v>0.99152453912498928</v>
      </c>
      <c r="C21" s="222" t="s">
        <v>179</v>
      </c>
      <c r="D21" s="26"/>
      <c r="E21" s="26"/>
      <c r="F21" s="26"/>
      <c r="G21" s="26"/>
      <c r="H21" s="26"/>
      <c r="I21" s="26"/>
      <c r="J21" s="26"/>
    </row>
    <row r="22" spans="1:10" ht="39" x14ac:dyDescent="0.3">
      <c r="A22" s="232" t="s">
        <v>555</v>
      </c>
      <c r="B22" s="229">
        <f>IF(ISNUMBER(B23),B23,ROUND(B21,3))</f>
        <v>0.99199999999999999</v>
      </c>
      <c r="C22" s="222" t="s">
        <v>180</v>
      </c>
      <c r="D22" s="26"/>
      <c r="E22" s="26"/>
      <c r="F22" s="26"/>
      <c r="G22" s="26"/>
      <c r="H22" s="26"/>
      <c r="I22" s="26"/>
      <c r="J22" s="26"/>
    </row>
    <row r="23" spans="1:10" ht="26" x14ac:dyDescent="0.3">
      <c r="A23" s="232" t="s">
        <v>181</v>
      </c>
      <c r="B23" s="230"/>
      <c r="C23" s="222" t="s">
        <v>182</v>
      </c>
      <c r="D23" s="26"/>
      <c r="E23" s="26"/>
      <c r="F23" s="26"/>
      <c r="G23" s="26"/>
      <c r="H23" s="26"/>
      <c r="I23" s="26"/>
      <c r="J23" s="26"/>
    </row>
    <row r="24" spans="1:10" ht="13" customHeight="1" thickBot="1" x14ac:dyDescent="0.35">
      <c r="A24" s="233" t="s">
        <v>183</v>
      </c>
      <c r="B24" s="484" t="str">
        <f>IF(B20&lt;0.5,"Low credibility: retain basis and monitor",IF(ABS(B22-1)&lt;0.025,"Retain current basis","Investigate before changing basis"))</f>
        <v>Low credibility: retain basis and monitor</v>
      </c>
      <c r="C24" s="485"/>
      <c r="D24" s="64"/>
      <c r="E24" s="64"/>
      <c r="F24" s="64"/>
      <c r="G24" s="64"/>
      <c r="H24" s="64"/>
      <c r="I24" s="64"/>
      <c r="J24" s="64"/>
    </row>
    <row r="25" spans="1:10" x14ac:dyDescent="0.3">
      <c r="A25" s="26"/>
      <c r="B25" s="64"/>
      <c r="C25" s="64"/>
      <c r="D25" s="64"/>
      <c r="E25" s="64"/>
      <c r="F25" s="64"/>
      <c r="G25" s="64"/>
      <c r="H25" s="64"/>
      <c r="I25" s="64"/>
      <c r="J25" s="64"/>
    </row>
    <row r="26" spans="1:10" ht="13.5" thickBot="1" x14ac:dyDescent="0.35">
      <c r="A26" s="26"/>
      <c r="B26" s="64"/>
      <c r="C26" s="64"/>
      <c r="D26" s="64"/>
      <c r="E26" s="64"/>
      <c r="F26" s="64"/>
      <c r="G26" s="64"/>
      <c r="H26" s="64"/>
      <c r="I26" s="64"/>
      <c r="J26" s="64"/>
    </row>
    <row r="27" spans="1:10" ht="16" customHeight="1" thickBot="1" x14ac:dyDescent="0.35">
      <c r="A27" s="164" t="s">
        <v>728</v>
      </c>
      <c r="B27" s="165"/>
      <c r="C27" s="165"/>
      <c r="D27" s="165"/>
      <c r="E27" s="165"/>
      <c r="F27" s="165"/>
      <c r="G27" s="165"/>
      <c r="H27" s="165"/>
      <c r="I27" s="165"/>
      <c r="J27" s="166"/>
    </row>
    <row r="28" spans="1:10" ht="26.5" thickBot="1" x14ac:dyDescent="0.35">
      <c r="A28" s="176" t="s">
        <v>184</v>
      </c>
      <c r="B28" s="177" t="s">
        <v>185</v>
      </c>
      <c r="C28" s="177" t="s">
        <v>186</v>
      </c>
      <c r="D28" s="177" t="s">
        <v>187</v>
      </c>
      <c r="E28" s="177" t="s">
        <v>188</v>
      </c>
      <c r="F28" s="177" t="s">
        <v>189</v>
      </c>
      <c r="G28" s="177" t="s">
        <v>190</v>
      </c>
      <c r="H28" s="177" t="s">
        <v>191</v>
      </c>
      <c r="I28" s="177" t="s">
        <v>192</v>
      </c>
      <c r="J28" s="178" t="s">
        <v>193</v>
      </c>
    </row>
    <row r="29" spans="1:10" x14ac:dyDescent="0.3">
      <c r="A29" s="245">
        <v>1</v>
      </c>
      <c r="B29" s="246">
        <f>SUMIFS('Experience Analysis'!$D$14:$D$41,'Experience Analysis'!$A$14:$A$41,$A29,'Experience Analysis'!$B$14:$B$41,"Term Life",'Experience Analysis'!$C$14:$C$41,"Annual")</f>
        <v>296.48759999999999</v>
      </c>
      <c r="C29" s="246">
        <f>SUMIFS('Experience Analysis'!$D$14:$D$41,'Experience Analysis'!$A$14:$A$41,$A29,'Experience Analysis'!$B$14:$B$41,"Term Life",'Experience Analysis'!$C$14:$C$41,"Monthly")</f>
        <v>607.41570000000002</v>
      </c>
      <c r="D29" s="247">
        <f t="shared" ref="D29:D35" si="0">B29+C29</f>
        <v>903.90329999999994</v>
      </c>
      <c r="E29" s="247">
        <f t="shared" ref="E29:E35" si="1">I29+J29</f>
        <v>143.99999999999991</v>
      </c>
      <c r="F29" s="248">
        <f>MIN(1,MAX(Assumptions!$C$27,Assumptions!$C$13*Assumptions!$C$28^(A29-1)))</f>
        <v>0.12</v>
      </c>
      <c r="G29" s="247">
        <f t="shared" ref="G29:G35" si="2">D29*F29</f>
        <v>108.46839599999998</v>
      </c>
      <c r="H29" s="249">
        <f t="shared" ref="H29:H35" si="3">IF(G29=0,"",E29/G29)</f>
        <v>1.3275756377922279</v>
      </c>
      <c r="I29" s="246">
        <f>SUMPRODUCT(('Experience Analysis'!$A$14:$A$41=$A29)*('Experience Analysis'!$B$14:$B$41="Term Life")*('Experience Analysis'!$C$14:$C$41="Annual")*'Experience Analysis'!$D$14:$D$41*'Experience Analysis'!$E$14:$E$41)</f>
        <v>36.999999999999957</v>
      </c>
      <c r="J29" s="250">
        <f>SUMPRODUCT(('Experience Analysis'!$A$14:$A$41=$A29)*('Experience Analysis'!$B$14:$B$41="Term Life")*('Experience Analysis'!$C$14:$C$41="Monthly")*'Experience Analysis'!$D$14:$D$41*'Experience Analysis'!$E$14:$E$41)</f>
        <v>106.99999999999996</v>
      </c>
    </row>
    <row r="30" spans="1:10" x14ac:dyDescent="0.3">
      <c r="A30" s="31">
        <v>2</v>
      </c>
      <c r="B30" s="214">
        <f>SUMIFS('Experience Analysis'!$D$14:$D$41,'Experience Analysis'!$A$14:$A$41,$A30,'Experience Analysis'!$B$14:$B$41,"Term Life",'Experience Analysis'!$C$14:$C$41,"Annual")</f>
        <v>353.33620000000002</v>
      </c>
      <c r="C30" s="214">
        <f>SUMIFS('Experience Analysis'!$D$14:$D$41,'Experience Analysis'!$A$14:$A$41,$A30,'Experience Analysis'!$B$14:$B$41,"Term Life",'Experience Analysis'!$C$14:$C$41,"Monthly")</f>
        <v>581.6789</v>
      </c>
      <c r="D30" s="211">
        <f t="shared" si="0"/>
        <v>935.01510000000007</v>
      </c>
      <c r="E30" s="211">
        <f t="shared" si="1"/>
        <v>122.99999999999986</v>
      </c>
      <c r="F30" s="215">
        <f>MIN(1,MAX(Assumptions!$C$27,Assumptions!$C$13*Assumptions!$C$28^(A30-1)))</f>
        <v>0.10199999999999999</v>
      </c>
      <c r="G30" s="211">
        <f t="shared" si="2"/>
        <v>95.371540199999998</v>
      </c>
      <c r="H30" s="212">
        <f t="shared" si="3"/>
        <v>1.2896929182653576</v>
      </c>
      <c r="I30" s="214">
        <f>SUMPRODUCT(('Experience Analysis'!$A$14:$A$41=$A30)*('Experience Analysis'!$B$14:$B$41="Term Life")*('Experience Analysis'!$C$14:$C$41="Annual")*'Experience Analysis'!$D$14:$D$41*'Experience Analysis'!$E$14:$E$41)</f>
        <v>35.999999999999908</v>
      </c>
      <c r="J30" s="241">
        <f>SUMPRODUCT(('Experience Analysis'!$A$14:$A$41=$A30)*('Experience Analysis'!$B$14:$B$41="Term Life")*('Experience Analysis'!$C$14:$C$41="Monthly")*'Experience Analysis'!$D$14:$D$41*'Experience Analysis'!$E$14:$E$41)</f>
        <v>86.999999999999957</v>
      </c>
    </row>
    <row r="31" spans="1:10" x14ac:dyDescent="0.3">
      <c r="A31" s="31">
        <v>3</v>
      </c>
      <c r="B31" s="214">
        <f>SUMIFS('Experience Analysis'!$D$14:$D$41,'Experience Analysis'!$A$14:$A$41,$A31,'Experience Analysis'!$B$14:$B$41,"Term Life",'Experience Analysis'!$C$14:$C$41,"Annual")</f>
        <v>327.43720000000002</v>
      </c>
      <c r="C31" s="214">
        <f>SUMIFS('Experience Analysis'!$D$14:$D$41,'Experience Analysis'!$A$14:$A$41,$A31,'Experience Analysis'!$B$14:$B$41,"Term Life",'Experience Analysis'!$C$14:$C$41,"Monthly")</f>
        <v>593.29430000000002</v>
      </c>
      <c r="D31" s="211">
        <f t="shared" si="0"/>
        <v>920.7315000000001</v>
      </c>
      <c r="E31" s="211">
        <f t="shared" si="1"/>
        <v>95.999999999999744</v>
      </c>
      <c r="F31" s="215">
        <f>MIN(1,MAX(Assumptions!$C$27,Assumptions!$C$13*Assumptions!$C$28^(A31-1)))</f>
        <v>8.6699999999999985E-2</v>
      </c>
      <c r="G31" s="211">
        <f t="shared" si="2"/>
        <v>79.827421049999998</v>
      </c>
      <c r="H31" s="212">
        <f t="shared" si="3"/>
        <v>1.2025942807280474</v>
      </c>
      <c r="I31" s="214">
        <f>SUMPRODUCT(('Experience Analysis'!$A$14:$A$41=$A31)*('Experience Analysis'!$B$14:$B$41="Term Life")*('Experience Analysis'!$C$14:$C$41="Annual")*'Experience Analysis'!$D$14:$D$41*'Experience Analysis'!$E$14:$E$41)</f>
        <v>28.999999999999993</v>
      </c>
      <c r="J31" s="241">
        <f>SUMPRODUCT(('Experience Analysis'!$A$14:$A$41=$A31)*('Experience Analysis'!$B$14:$B$41="Term Life")*('Experience Analysis'!$C$14:$C$41="Monthly")*'Experience Analysis'!$D$14:$D$41*'Experience Analysis'!$E$14:$E$41)</f>
        <v>66.999999999999758</v>
      </c>
    </row>
    <row r="32" spans="1:10" x14ac:dyDescent="0.3">
      <c r="A32" s="31">
        <v>4</v>
      </c>
      <c r="B32" s="214">
        <f>SUMIFS('Experience Analysis'!$D$14:$D$41,'Experience Analysis'!$A$14:$A$41,$A32,'Experience Analysis'!$B$14:$B$41,"Term Life",'Experience Analysis'!$C$14:$C$41,"Annual")</f>
        <v>324.74439999999998</v>
      </c>
      <c r="C32" s="214">
        <f>SUMIFS('Experience Analysis'!$D$14:$D$41,'Experience Analysis'!$A$14:$A$41,$A32,'Experience Analysis'!$B$14:$B$41,"Term Life",'Experience Analysis'!$C$14:$C$41,"Monthly")</f>
        <v>602.62779999999998</v>
      </c>
      <c r="D32" s="211">
        <f t="shared" si="0"/>
        <v>927.37220000000002</v>
      </c>
      <c r="E32" s="211">
        <f t="shared" si="1"/>
        <v>85.999999999999901</v>
      </c>
      <c r="F32" s="215">
        <f>MIN(1,MAX(Assumptions!$C$27,Assumptions!$C$13*Assumptions!$C$28^(A32-1)))</f>
        <v>7.3694999999999983E-2</v>
      </c>
      <c r="G32" s="211">
        <f t="shared" si="2"/>
        <v>68.342694278999986</v>
      </c>
      <c r="H32" s="212">
        <f t="shared" si="3"/>
        <v>1.2583642027473529</v>
      </c>
      <c r="I32" s="214">
        <f>SUMPRODUCT(('Experience Analysis'!$A$14:$A$41=$A32)*('Experience Analysis'!$B$14:$B$41="Term Life")*('Experience Analysis'!$C$14:$C$41="Annual")*'Experience Analysis'!$D$14:$D$41*'Experience Analysis'!$E$14:$E$41)</f>
        <v>25.000000000000004</v>
      </c>
      <c r="J32" s="241">
        <f>SUMPRODUCT(('Experience Analysis'!$A$14:$A$41=$A32)*('Experience Analysis'!$B$14:$B$41="Term Life")*('Experience Analysis'!$C$14:$C$41="Monthly")*'Experience Analysis'!$D$14:$D$41*'Experience Analysis'!$E$14:$E$41)</f>
        <v>60.999999999999901</v>
      </c>
    </row>
    <row r="33" spans="1:10" x14ac:dyDescent="0.3">
      <c r="A33" s="31">
        <v>5</v>
      </c>
      <c r="B33" s="214">
        <f>SUMIFS('Experience Analysis'!$D$14:$D$41,'Experience Analysis'!$A$14:$A$41,$A33,'Experience Analysis'!$B$14:$B$41,"Term Life",'Experience Analysis'!$C$14:$C$41,"Annual")</f>
        <v>352.97179999999997</v>
      </c>
      <c r="C33" s="214">
        <f>SUMIFS('Experience Analysis'!$D$14:$D$41,'Experience Analysis'!$A$14:$A$41,$A33,'Experience Analysis'!$B$14:$B$41,"Term Life",'Experience Analysis'!$C$14:$C$41,"Monthly")</f>
        <v>634.67250000000001</v>
      </c>
      <c r="D33" s="211">
        <f t="shared" si="0"/>
        <v>987.64429999999993</v>
      </c>
      <c r="E33" s="211">
        <f t="shared" si="1"/>
        <v>64.000000000000014</v>
      </c>
      <c r="F33" s="215">
        <f>MIN(1,MAX(Assumptions!$C$27,Assumptions!$C$13*Assumptions!$C$28^(A33-1)))</f>
        <v>6.2640749999999981E-2</v>
      </c>
      <c r="G33" s="211">
        <f t="shared" si="2"/>
        <v>61.866779685224977</v>
      </c>
      <c r="H33" s="212">
        <f t="shared" si="3"/>
        <v>1.034480868822149</v>
      </c>
      <c r="I33" s="214">
        <f>SUMPRODUCT(('Experience Analysis'!$A$14:$A$41=$A33)*('Experience Analysis'!$B$14:$B$41="Term Life")*('Experience Analysis'!$C$14:$C$41="Annual")*'Experience Analysis'!$D$14:$D$41*'Experience Analysis'!$E$14:$E$41)</f>
        <v>13.999999999999996</v>
      </c>
      <c r="J33" s="241">
        <f>SUMPRODUCT(('Experience Analysis'!$A$14:$A$41=$A33)*('Experience Analysis'!$B$14:$B$41="Term Life")*('Experience Analysis'!$C$14:$C$41="Monthly")*'Experience Analysis'!$D$14:$D$41*'Experience Analysis'!$E$14:$E$41)</f>
        <v>50.000000000000021</v>
      </c>
    </row>
    <row r="34" spans="1:10" x14ac:dyDescent="0.3">
      <c r="A34" s="31">
        <v>6</v>
      </c>
      <c r="B34" s="214">
        <f>SUMIFS('Experience Analysis'!$D$14:$D$41,'Experience Analysis'!$A$14:$A$41,$A34,'Experience Analysis'!$B$14:$B$41,"Term Life",'Experience Analysis'!$C$14:$C$41,"Annual")</f>
        <v>342.7011</v>
      </c>
      <c r="C34" s="214">
        <f>SUMIFS('Experience Analysis'!$D$14:$D$41,'Experience Analysis'!$A$14:$A$41,$A34,'Experience Analysis'!$B$14:$B$41,"Term Life",'Experience Analysis'!$C$14:$C$41,"Monthly")</f>
        <v>617.14229999999998</v>
      </c>
      <c r="D34" s="211">
        <f t="shared" si="0"/>
        <v>959.84339999999997</v>
      </c>
      <c r="E34" s="211">
        <f t="shared" si="1"/>
        <v>41.999999999999993</v>
      </c>
      <c r="F34" s="215">
        <f>MIN(1,MAX(Assumptions!$C$27,Assumptions!$C$13*Assumptions!$C$28^(A34-1)))</f>
        <v>5.3244637499999983E-2</v>
      </c>
      <c r="G34" s="211">
        <f t="shared" si="2"/>
        <v>51.106513889767484</v>
      </c>
      <c r="H34" s="212">
        <f t="shared" si="3"/>
        <v>0.82181304893130669</v>
      </c>
      <c r="I34" s="214">
        <f>SUMPRODUCT(('Experience Analysis'!$A$14:$A$41=$A34)*('Experience Analysis'!$B$14:$B$41="Term Life")*('Experience Analysis'!$C$14:$C$41="Annual")*'Experience Analysis'!$D$14:$D$41*'Experience Analysis'!$E$14:$E$41)</f>
        <v>13.000000000000018</v>
      </c>
      <c r="J34" s="241">
        <f>SUMPRODUCT(('Experience Analysis'!$A$14:$A$41=$A34)*('Experience Analysis'!$B$14:$B$41="Term Life")*('Experience Analysis'!$C$14:$C$41="Monthly")*'Experience Analysis'!$D$14:$D$41*'Experience Analysis'!$E$14:$E$41)</f>
        <v>28.999999999999975</v>
      </c>
    </row>
    <row r="35" spans="1:10" x14ac:dyDescent="0.3">
      <c r="A35" s="31">
        <v>7</v>
      </c>
      <c r="B35" s="214">
        <f>SUMIFS('Experience Analysis'!$D$14:$D$41,'Experience Analysis'!$A$14:$A$41,$A35,'Experience Analysis'!$B$14:$B$41,"Term Life",'Experience Analysis'!$C$14:$C$41,"Annual")</f>
        <v>300.44080000000002</v>
      </c>
      <c r="C35" s="214">
        <f>SUMIFS('Experience Analysis'!$D$14:$D$41,'Experience Analysis'!$A$14:$A$41,$A35,'Experience Analysis'!$B$14:$B$41,"Term Life",'Experience Analysis'!$C$14:$C$41,"Monthly")</f>
        <v>599.50109999999995</v>
      </c>
      <c r="D35" s="211">
        <f t="shared" si="0"/>
        <v>899.94190000000003</v>
      </c>
      <c r="E35" s="211">
        <f t="shared" si="1"/>
        <v>45.000000000000007</v>
      </c>
      <c r="F35" s="215">
        <f>MIN(1,MAX(Assumptions!$C$27,Assumptions!$C$13*Assumptions!$C$28^(A35-1)))</f>
        <v>4.5257941874999985E-2</v>
      </c>
      <c r="G35" s="211">
        <f t="shared" si="2"/>
        <v>40.729518201077049</v>
      </c>
      <c r="H35" s="212">
        <f t="shared" si="3"/>
        <v>1.1048497990533566</v>
      </c>
      <c r="I35" s="214">
        <f>SUMPRODUCT(('Experience Analysis'!$A$14:$A$41=$A35)*('Experience Analysis'!$B$14:$B$41="Term Life")*('Experience Analysis'!$C$14:$C$41="Annual")*'Experience Analysis'!$D$14:$D$41*'Experience Analysis'!$E$14:$E$41)</f>
        <v>13.000000000000002</v>
      </c>
      <c r="J35" s="241">
        <f>SUMPRODUCT(('Experience Analysis'!$A$14:$A$41=$A35)*('Experience Analysis'!$B$14:$B$41="Term Life")*('Experience Analysis'!$C$14:$C$41="Monthly")*'Experience Analysis'!$D$14:$D$41*'Experience Analysis'!$E$14:$E$41)</f>
        <v>32.000000000000007</v>
      </c>
    </row>
    <row r="36" spans="1:10" ht="13.5" thickBot="1" x14ac:dyDescent="0.35">
      <c r="A36" s="63" t="s">
        <v>58</v>
      </c>
      <c r="B36" s="242">
        <f>SUM(B29:B35)</f>
        <v>2298.1190999999999</v>
      </c>
      <c r="C36" s="242">
        <f>SUM(C29:C35)</f>
        <v>4236.3325999999997</v>
      </c>
      <c r="D36" s="242">
        <f>SUM(D29:D35)</f>
        <v>6534.4516999999996</v>
      </c>
      <c r="E36" s="242">
        <f>SUM(E29:E35)</f>
        <v>599.99999999999943</v>
      </c>
      <c r="F36" s="110"/>
      <c r="G36" s="242">
        <f>SUM(G29:G35)</f>
        <v>505.7128633050695</v>
      </c>
      <c r="H36" s="243">
        <f>E36/G36</f>
        <v>1.1864440150458493</v>
      </c>
      <c r="I36" s="242">
        <f>SUM(I29:I35)</f>
        <v>166.99999999999989</v>
      </c>
      <c r="J36" s="244">
        <f>SUM(J29:J35)</f>
        <v>432.99999999999955</v>
      </c>
    </row>
    <row r="37" spans="1:10" ht="13.5" thickBot="1" x14ac:dyDescent="0.35">
      <c r="A37" s="26"/>
      <c r="B37" s="26"/>
      <c r="C37" s="26"/>
      <c r="D37" s="26"/>
      <c r="E37" s="26"/>
      <c r="F37" s="26"/>
      <c r="G37" s="26"/>
      <c r="H37" s="26"/>
      <c r="I37" s="26"/>
      <c r="J37" s="26"/>
    </row>
    <row r="38" spans="1:10" x14ac:dyDescent="0.3">
      <c r="A38" s="236" t="s">
        <v>194</v>
      </c>
      <c r="B38" s="253">
        <f>E36</f>
        <v>599.99999999999943</v>
      </c>
      <c r="C38" s="252"/>
      <c r="D38" s="26"/>
      <c r="E38" s="26"/>
      <c r="F38" s="26"/>
      <c r="G38" s="26"/>
      <c r="H38" s="26"/>
      <c r="I38" s="26"/>
      <c r="J38" s="26"/>
    </row>
    <row r="39" spans="1:10" ht="26" x14ac:dyDescent="0.3">
      <c r="A39" s="232" t="s">
        <v>729</v>
      </c>
      <c r="B39" s="227">
        <f>H36</f>
        <v>1.1864440150458493</v>
      </c>
      <c r="C39" s="222" t="s">
        <v>195</v>
      </c>
      <c r="D39" s="26"/>
      <c r="E39" s="26"/>
      <c r="F39" s="26"/>
      <c r="G39" s="26"/>
      <c r="H39" s="26"/>
      <c r="I39" s="26"/>
      <c r="J39" s="26"/>
    </row>
    <row r="40" spans="1:10" x14ac:dyDescent="0.3">
      <c r="A40" s="232" t="s">
        <v>196</v>
      </c>
      <c r="B40" s="227">
        <f>I36/SUMPRODUCT(B29:B35,F29:F35)</f>
        <v>0.9387592025704401</v>
      </c>
      <c r="C40" s="222" t="s">
        <v>197</v>
      </c>
      <c r="D40" s="26"/>
      <c r="E40" s="26"/>
      <c r="F40" s="26"/>
      <c r="G40" s="26"/>
      <c r="H40" s="26"/>
      <c r="I40" s="26"/>
      <c r="J40" s="26"/>
    </row>
    <row r="41" spans="1:10" ht="39" x14ac:dyDescent="0.3">
      <c r="A41" s="232" t="s">
        <v>198</v>
      </c>
      <c r="B41" s="227">
        <f>J36/SUMPRODUCT(C29:C35,F29:F35)</f>
        <v>1.3208529760000118</v>
      </c>
      <c r="C41" s="222" t="s">
        <v>199</v>
      </c>
      <c r="D41" s="26"/>
      <c r="E41" s="26"/>
      <c r="F41" s="26"/>
      <c r="G41" s="26"/>
      <c r="H41" s="26"/>
      <c r="I41" s="26"/>
      <c r="J41" s="26"/>
    </row>
    <row r="42" spans="1:10" ht="26" x14ac:dyDescent="0.3">
      <c r="A42" s="232" t="s">
        <v>176</v>
      </c>
      <c r="B42" s="227">
        <f>MIN(1,SQRT(B38/B5))</f>
        <v>0.74459201191141755</v>
      </c>
      <c r="C42" s="222" t="s">
        <v>200</v>
      </c>
      <c r="D42" s="26"/>
      <c r="E42" s="26"/>
      <c r="F42" s="26"/>
      <c r="G42" s="26"/>
      <c r="H42" s="26"/>
      <c r="I42" s="26"/>
      <c r="J42" s="26"/>
    </row>
    <row r="43" spans="1:10" x14ac:dyDescent="0.3">
      <c r="A43" s="232" t="s">
        <v>178</v>
      </c>
      <c r="B43" s="227">
        <f>B42*B39+(1-B42)*B8</f>
        <v>1.1388247242718315</v>
      </c>
      <c r="C43" s="223"/>
      <c r="D43" s="26"/>
      <c r="E43" s="26"/>
      <c r="F43" s="26"/>
      <c r="G43" s="26"/>
      <c r="H43" s="26"/>
      <c r="I43" s="26"/>
      <c r="J43" s="26"/>
    </row>
    <row r="44" spans="1:10" ht="26" x14ac:dyDescent="0.3">
      <c r="A44" s="232" t="s">
        <v>181</v>
      </c>
      <c r="B44" s="230"/>
      <c r="C44" s="222" t="s">
        <v>182</v>
      </c>
      <c r="D44" s="26"/>
      <c r="E44" s="26"/>
      <c r="F44" s="26"/>
      <c r="G44" s="26"/>
      <c r="H44" s="26"/>
      <c r="I44" s="26"/>
      <c r="J44" s="26"/>
    </row>
    <row r="45" spans="1:10" ht="39" x14ac:dyDescent="0.3">
      <c r="A45" s="232" t="s">
        <v>556</v>
      </c>
      <c r="B45" s="229">
        <f>IF(ISNUMBER(B44),B44,ROUND(B43,3))</f>
        <v>1.139</v>
      </c>
      <c r="C45" s="222" t="s">
        <v>201</v>
      </c>
      <c r="D45" s="26"/>
      <c r="E45" s="26"/>
      <c r="F45" s="26"/>
      <c r="G45" s="26"/>
      <c r="H45" s="26"/>
      <c r="I45" s="26"/>
      <c r="J45" s="26"/>
    </row>
    <row r="46" spans="1:10" ht="25.5" customHeight="1" thickBot="1" x14ac:dyDescent="0.35">
      <c r="A46" s="233" t="s">
        <v>183</v>
      </c>
      <c r="B46" s="484" t="str">
        <f>IF(ABS(B45-1)&lt;0.025,"Retain current lapse basis",IF(B45&gt;1,"Experience lapses exceed basis – consider higher lapse assumption (and frequency split)","Experience lapses below basis – consider lower lapse assumption"))</f>
        <v>Experience lapses exceed basis – consider higher lapse assumption (and frequency split)</v>
      </c>
      <c r="C46" s="485"/>
      <c r="D46" s="64"/>
      <c r="E46" s="64"/>
      <c r="F46" s="64"/>
      <c r="G46" s="64"/>
      <c r="H46" s="64"/>
      <c r="I46" s="64"/>
      <c r="J46" s="64"/>
    </row>
    <row r="47" spans="1:10" ht="13.5" thickBot="1" x14ac:dyDescent="0.35">
      <c r="A47" s="26"/>
      <c r="B47" s="64"/>
      <c r="C47" s="64"/>
      <c r="D47" s="64"/>
      <c r="E47" s="64"/>
      <c r="F47" s="64"/>
      <c r="G47" s="64"/>
      <c r="H47" s="64"/>
      <c r="I47" s="64"/>
      <c r="J47" s="64"/>
    </row>
    <row r="48" spans="1:10" ht="19" customHeight="1" thickBot="1" x14ac:dyDescent="0.35">
      <c r="A48" s="231" t="s">
        <v>557</v>
      </c>
      <c r="B48" s="165"/>
      <c r="C48" s="165"/>
      <c r="D48" s="165"/>
      <c r="E48" s="165"/>
      <c r="F48" s="166"/>
      <c r="G48" s="26"/>
      <c r="H48" s="26"/>
      <c r="I48" s="26"/>
      <c r="J48" s="26"/>
    </row>
    <row r="49" spans="1:10" ht="13.5" thickBot="1" x14ac:dyDescent="0.35">
      <c r="A49" s="264" t="s">
        <v>202</v>
      </c>
      <c r="B49" s="260" t="s">
        <v>203</v>
      </c>
      <c r="C49" s="177" t="s">
        <v>204</v>
      </c>
      <c r="D49" s="177" t="s">
        <v>205</v>
      </c>
      <c r="E49" s="177" t="s">
        <v>206</v>
      </c>
      <c r="F49" s="178" t="s">
        <v>207</v>
      </c>
      <c r="G49" s="26"/>
      <c r="H49" s="26"/>
      <c r="I49" s="26"/>
      <c r="J49" s="26"/>
    </row>
    <row r="50" spans="1:10" x14ac:dyDescent="0.3">
      <c r="A50" s="265" t="s">
        <v>208</v>
      </c>
      <c r="B50" s="261">
        <f>'Policy Calculations'!AI23</f>
        <v>344.85010931984334</v>
      </c>
      <c r="C50" s="258">
        <f>'Policy Calculations'!AI24</f>
        <v>294.54702521419176</v>
      </c>
      <c r="D50" s="174">
        <f>C50-B50</f>
        <v>-50.303084105651578</v>
      </c>
      <c r="E50" s="159">
        <f>IF(B50=0,"",D50/ABS(B50))</f>
        <v>-0.14586941614971685</v>
      </c>
      <c r="F50" s="259" t="s">
        <v>558</v>
      </c>
      <c r="G50" s="26"/>
      <c r="H50" s="26"/>
      <c r="I50" s="26"/>
      <c r="J50" s="26"/>
    </row>
    <row r="51" spans="1:10" x14ac:dyDescent="0.3">
      <c r="A51" s="266" t="s">
        <v>209</v>
      </c>
      <c r="B51" s="262">
        <f>'Policy Calculations'!AJ23</f>
        <v>0.1046195354490761</v>
      </c>
      <c r="C51" s="217">
        <f>'Policy Calculations'!AJ24</f>
        <v>9.3697552101159307E-2</v>
      </c>
      <c r="D51" s="145">
        <f>C51-B51</f>
        <v>-1.0921983347916789E-2</v>
      </c>
      <c r="E51" s="145">
        <f>IF(B51=0,"",D51/ABS(B51))</f>
        <v>-0.10439716923836945</v>
      </c>
      <c r="F51" s="255" t="s">
        <v>558</v>
      </c>
      <c r="G51" s="26"/>
      <c r="H51" s="26"/>
      <c r="I51" s="26"/>
      <c r="J51" s="26"/>
    </row>
    <row r="52" spans="1:10" ht="13.5" thickBot="1" x14ac:dyDescent="0.35">
      <c r="A52" s="267" t="s">
        <v>210</v>
      </c>
      <c r="B52" s="263">
        <f>'Policy Calculations'!AF23</f>
        <v>562.44258371429919</v>
      </c>
      <c r="C52" s="256">
        <f>'Policy Calculations'!AF24</f>
        <v>569.91473418721682</v>
      </c>
      <c r="D52" s="257">
        <f>C52-B52</f>
        <v>7.4721504729176331</v>
      </c>
      <c r="E52" s="153">
        <f>IF(B52=0,"",D52/ABS(B52))</f>
        <v>1.3285179126325221E-2</v>
      </c>
      <c r="F52" s="172" t="s">
        <v>558</v>
      </c>
      <c r="G52" s="26"/>
      <c r="H52" s="26"/>
      <c r="I52" s="26"/>
      <c r="J52" s="26"/>
    </row>
    <row r="53" spans="1:10" x14ac:dyDescent="0.3">
      <c r="A53" s="158"/>
      <c r="B53" s="174"/>
      <c r="C53" s="174"/>
      <c r="D53" s="174"/>
      <c r="E53" s="159"/>
      <c r="F53" s="254"/>
      <c r="G53" s="26"/>
      <c r="H53" s="26"/>
      <c r="I53" s="26"/>
      <c r="J53" s="26"/>
    </row>
    <row r="54" spans="1:10" x14ac:dyDescent="0.3">
      <c r="A54" s="144"/>
      <c r="B54" s="145"/>
      <c r="C54" s="145"/>
      <c r="D54" s="145"/>
      <c r="E54" s="145"/>
      <c r="F54" s="149"/>
      <c r="G54" s="26"/>
      <c r="H54" s="26"/>
      <c r="I54" s="26"/>
      <c r="J54" s="26"/>
    </row>
    <row r="55" spans="1:10" x14ac:dyDescent="0.3">
      <c r="A55" s="144"/>
      <c r="B55" s="146"/>
      <c r="C55" s="146"/>
      <c r="D55" s="146"/>
      <c r="E55" s="145"/>
      <c r="F55" s="149"/>
      <c r="G55" s="26"/>
      <c r="H55" s="26"/>
      <c r="I55" s="26"/>
      <c r="J55" s="26"/>
    </row>
    <row r="56" spans="1:10" x14ac:dyDescent="0.3">
      <c r="A56" s="26"/>
      <c r="B56" s="26"/>
      <c r="C56" s="26"/>
      <c r="D56" s="26"/>
      <c r="E56" s="26"/>
      <c r="F56" s="26"/>
      <c r="G56" s="26"/>
      <c r="H56" s="26"/>
      <c r="I56" s="26"/>
      <c r="J56" s="26"/>
    </row>
    <row r="57" spans="1:10" x14ac:dyDescent="0.3">
      <c r="A57" s="27"/>
      <c r="B57" s="27"/>
      <c r="C57" s="27"/>
      <c r="D57" s="27"/>
      <c r="E57" s="26"/>
      <c r="F57" s="26"/>
      <c r="G57" s="26"/>
      <c r="H57" s="26"/>
      <c r="I57" s="26"/>
      <c r="J57" s="26"/>
    </row>
    <row r="58" spans="1:10" x14ac:dyDescent="0.3">
      <c r="A58" s="26"/>
      <c r="B58" s="219"/>
      <c r="C58" s="219"/>
      <c r="D58" s="26"/>
      <c r="E58" s="26"/>
      <c r="F58" s="26"/>
      <c r="G58" s="26"/>
      <c r="H58" s="26"/>
      <c r="I58" s="26"/>
      <c r="J58" s="26"/>
    </row>
    <row r="59" spans="1:10" x14ac:dyDescent="0.3">
      <c r="A59" s="26"/>
      <c r="B59" s="219"/>
      <c r="C59" s="219"/>
      <c r="D59" s="26"/>
      <c r="E59" s="26"/>
      <c r="F59" s="26"/>
      <c r="G59" s="26"/>
      <c r="H59" s="26"/>
      <c r="I59" s="26"/>
      <c r="J59" s="26"/>
    </row>
    <row r="60" spans="1:10" x14ac:dyDescent="0.3">
      <c r="A60" s="26"/>
      <c r="B60" s="219"/>
      <c r="C60" s="219"/>
      <c r="D60" s="26"/>
      <c r="E60" s="26"/>
      <c r="F60" s="26"/>
      <c r="G60" s="26"/>
      <c r="H60" s="26"/>
      <c r="I60" s="26"/>
      <c r="J60" s="26"/>
    </row>
    <row r="61" spans="1:10" x14ac:dyDescent="0.3">
      <c r="A61" s="26"/>
      <c r="B61" s="219"/>
      <c r="C61" s="219"/>
      <c r="D61" s="26"/>
      <c r="E61" s="26"/>
      <c r="F61" s="26"/>
      <c r="G61" s="26"/>
      <c r="H61" s="26"/>
      <c r="I61" s="26"/>
      <c r="J61" s="26"/>
    </row>
    <row r="62" spans="1:10" x14ac:dyDescent="0.3">
      <c r="A62" s="27"/>
      <c r="B62" s="210"/>
      <c r="C62" s="28"/>
      <c r="D62" s="28"/>
      <c r="E62" s="26"/>
      <c r="F62" s="26"/>
      <c r="G62" s="26"/>
      <c r="H62" s="26"/>
      <c r="I62" s="26"/>
      <c r="J62" s="26"/>
    </row>
    <row r="63" spans="1:10" x14ac:dyDescent="0.3">
      <c r="A63" s="26"/>
      <c r="B63" s="26"/>
      <c r="C63" s="26"/>
      <c r="D63" s="26"/>
      <c r="E63" s="26"/>
      <c r="F63" s="26"/>
      <c r="G63" s="26"/>
      <c r="H63" s="26"/>
      <c r="I63" s="26"/>
      <c r="J63" s="26"/>
    </row>
    <row r="64" spans="1:10" x14ac:dyDescent="0.3">
      <c r="A64" s="28"/>
      <c r="B64" s="26"/>
      <c r="C64" s="26"/>
      <c r="D64" s="26"/>
      <c r="E64" s="26"/>
      <c r="F64" s="26"/>
      <c r="G64" s="26"/>
      <c r="H64" s="26"/>
      <c r="I64" s="26"/>
      <c r="J64" s="26"/>
    </row>
  </sheetData>
  <mergeCells count="3">
    <mergeCell ref="A2:J2"/>
    <mergeCell ref="B24:C24"/>
    <mergeCell ref="B46:C4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D65"/>
  <sheetViews>
    <sheetView topLeftCell="A20" workbookViewId="0">
      <selection activeCell="H43" sqref="H43"/>
    </sheetView>
  </sheetViews>
  <sheetFormatPr defaultRowHeight="13" x14ac:dyDescent="0.3"/>
  <cols>
    <col min="1" max="1" width="14.26953125" style="5" customWidth="1"/>
    <col min="2" max="2" width="23.54296875" style="5" bestFit="1" customWidth="1"/>
    <col min="3" max="4" width="8.7265625" style="5"/>
    <col min="5" max="5" width="12.6328125" style="5" customWidth="1"/>
    <col min="6" max="6" width="8.7265625" style="5"/>
    <col min="7" max="7" width="14.6328125" style="5" customWidth="1"/>
    <col min="8" max="8" width="13.90625" style="5" customWidth="1"/>
    <col min="9" max="9" width="8.7265625" style="5"/>
    <col min="10" max="10" width="20" style="5" customWidth="1"/>
    <col min="11" max="16384" width="8.7265625" style="5"/>
  </cols>
  <sheetData>
    <row r="1" spans="1:134" ht="20.5" x14ac:dyDescent="0.45">
      <c r="A1" s="23" t="s">
        <v>559</v>
      </c>
      <c r="B1" s="23"/>
      <c r="C1" s="23"/>
      <c r="D1" s="23"/>
      <c r="E1" s="23"/>
      <c r="F1" s="23"/>
      <c r="G1" s="23"/>
      <c r="H1" s="23"/>
      <c r="I1" s="23"/>
      <c r="J1" s="23"/>
      <c r="K1" s="143"/>
      <c r="L1" s="143"/>
      <c r="M1" s="143"/>
      <c r="N1" s="143"/>
      <c r="O1" s="143"/>
      <c r="P1" s="143"/>
      <c r="Q1" s="143"/>
      <c r="R1" s="143"/>
      <c r="S1" s="143"/>
      <c r="T1" s="143"/>
      <c r="U1" s="143"/>
      <c r="V1" s="143"/>
      <c r="W1" s="143"/>
      <c r="X1" s="143"/>
      <c r="Y1" s="143"/>
      <c r="Z1" s="14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x14ac:dyDescent="0.3">
      <c r="A2" s="45" t="s">
        <v>730</v>
      </c>
      <c r="B2" s="220"/>
      <c r="C2" s="220"/>
      <c r="D2" s="220"/>
      <c r="E2" s="220"/>
      <c r="F2" s="220"/>
      <c r="G2" s="220"/>
      <c r="H2" s="220"/>
      <c r="I2" s="220"/>
      <c r="J2" s="220"/>
    </row>
    <row r="3" spans="1:134" x14ac:dyDescent="0.3">
      <c r="A3" s="45" t="s">
        <v>731</v>
      </c>
      <c r="B3" s="220"/>
      <c r="C3" s="220"/>
      <c r="D3" s="220"/>
      <c r="E3" s="220"/>
      <c r="F3" s="220"/>
      <c r="G3" s="220"/>
      <c r="H3" s="220"/>
      <c r="I3" s="220"/>
      <c r="J3" s="220"/>
    </row>
    <row r="4" spans="1:134" x14ac:dyDescent="0.3">
      <c r="A4" s="26"/>
      <c r="B4" s="26"/>
      <c r="C4" s="26"/>
      <c r="D4" s="26"/>
      <c r="E4" s="26"/>
      <c r="F4" s="26"/>
      <c r="G4" s="26"/>
      <c r="H4" s="26"/>
      <c r="I4" s="26"/>
      <c r="J4" s="26"/>
    </row>
    <row r="5" spans="1:134" x14ac:dyDescent="0.3">
      <c r="A5" s="26"/>
      <c r="B5" s="26"/>
      <c r="C5" s="26"/>
      <c r="D5" s="26"/>
      <c r="E5" s="26"/>
      <c r="F5" s="26"/>
      <c r="G5" s="26"/>
      <c r="H5" s="26"/>
      <c r="I5" s="26"/>
      <c r="J5" s="26"/>
    </row>
    <row r="6" spans="1:134" ht="13.5" thickBot="1" x14ac:dyDescent="0.35">
      <c r="A6" s="26"/>
      <c r="B6" s="26"/>
      <c r="C6" s="26"/>
      <c r="D6" s="26"/>
      <c r="E6" s="26"/>
      <c r="F6" s="26"/>
      <c r="G6" s="26"/>
      <c r="H6" s="26"/>
      <c r="I6" s="26"/>
      <c r="J6" s="26"/>
    </row>
    <row r="7" spans="1:134" ht="19" customHeight="1" thickBot="1" x14ac:dyDescent="0.35">
      <c r="A7" s="290" t="s">
        <v>116</v>
      </c>
      <c r="B7" s="286" t="s">
        <v>526</v>
      </c>
      <c r="C7" s="162" t="s">
        <v>117</v>
      </c>
      <c r="D7" s="162" t="s">
        <v>118</v>
      </c>
      <c r="E7" s="162" t="s">
        <v>119</v>
      </c>
      <c r="F7" s="162" t="s">
        <v>120</v>
      </c>
      <c r="G7" s="162" t="s">
        <v>732</v>
      </c>
      <c r="H7" s="163" t="s">
        <v>733</v>
      </c>
      <c r="I7" s="294"/>
      <c r="J7" s="294"/>
    </row>
    <row r="8" spans="1:134" ht="26" x14ac:dyDescent="0.3">
      <c r="A8" s="291" t="s">
        <v>121</v>
      </c>
      <c r="B8" s="287" t="s">
        <v>122</v>
      </c>
      <c r="C8" s="283">
        <v>1</v>
      </c>
      <c r="D8" s="283">
        <v>0.95</v>
      </c>
      <c r="E8" s="283">
        <v>1.1000000000000001</v>
      </c>
      <c r="F8" s="283">
        <v>1.1499999999999999</v>
      </c>
      <c r="G8" s="284">
        <f>Assumptions!C21</f>
        <v>1</v>
      </c>
      <c r="H8" s="295" t="str">
        <f t="shared" ref="H8:H13" si="0">IF(ABS(G8-C8)&lt;0.0000001,"Yes","No")</f>
        <v>Yes</v>
      </c>
      <c r="I8" s="26"/>
      <c r="J8" s="64"/>
    </row>
    <row r="9" spans="1:134" ht="26" x14ac:dyDescent="0.3">
      <c r="A9" s="292" t="s">
        <v>123</v>
      </c>
      <c r="B9" s="288" t="s">
        <v>124</v>
      </c>
      <c r="C9" s="268">
        <v>1</v>
      </c>
      <c r="D9" s="268">
        <v>0.9</v>
      </c>
      <c r="E9" s="268">
        <v>1.2</v>
      </c>
      <c r="F9" s="268">
        <v>1.5</v>
      </c>
      <c r="G9" s="213">
        <f>Assumptions!C22</f>
        <v>1</v>
      </c>
      <c r="H9" s="296" t="str">
        <f t="shared" si="0"/>
        <v>Yes</v>
      </c>
      <c r="I9" s="26"/>
      <c r="J9" s="64"/>
    </row>
    <row r="10" spans="1:134" ht="26" x14ac:dyDescent="0.3">
      <c r="A10" s="292" t="s">
        <v>125</v>
      </c>
      <c r="B10" s="288" t="s">
        <v>126</v>
      </c>
      <c r="C10" s="268">
        <v>1</v>
      </c>
      <c r="D10" s="268">
        <v>0.95</v>
      </c>
      <c r="E10" s="268">
        <v>1.1000000000000001</v>
      </c>
      <c r="F10" s="268">
        <v>1</v>
      </c>
      <c r="G10" s="213">
        <f>Assumptions!C23</f>
        <v>1</v>
      </c>
      <c r="H10" s="296" t="str">
        <f t="shared" si="0"/>
        <v>Yes</v>
      </c>
      <c r="I10" s="26"/>
      <c r="J10" s="64"/>
    </row>
    <row r="11" spans="1:134" ht="26" x14ac:dyDescent="0.3">
      <c r="A11" s="292" t="s">
        <v>127</v>
      </c>
      <c r="B11" s="288" t="s">
        <v>128</v>
      </c>
      <c r="C11" s="269">
        <v>0</v>
      </c>
      <c r="D11" s="269">
        <v>0</v>
      </c>
      <c r="E11" s="269">
        <v>0.02</v>
      </c>
      <c r="F11" s="269">
        <v>0</v>
      </c>
      <c r="G11" s="215">
        <f>Assumptions!C24</f>
        <v>0</v>
      </c>
      <c r="H11" s="296" t="str">
        <f t="shared" si="0"/>
        <v>Yes</v>
      </c>
      <c r="I11" s="26"/>
      <c r="J11" s="64"/>
    </row>
    <row r="12" spans="1:134" ht="26" x14ac:dyDescent="0.3">
      <c r="A12" s="292" t="s">
        <v>129</v>
      </c>
      <c r="B12" s="288" t="s">
        <v>130</v>
      </c>
      <c r="C12" s="269">
        <v>0</v>
      </c>
      <c r="D12" s="269">
        <v>5.0000000000000001E-3</v>
      </c>
      <c r="E12" s="269">
        <v>-5.0000000000000001E-3</v>
      </c>
      <c r="F12" s="269">
        <v>0</v>
      </c>
      <c r="G12" s="215">
        <f>Assumptions!C25</f>
        <v>0</v>
      </c>
      <c r="H12" s="296" t="str">
        <f t="shared" si="0"/>
        <v>Yes</v>
      </c>
      <c r="I12" s="26"/>
      <c r="J12" s="64"/>
    </row>
    <row r="13" spans="1:134" ht="26.5" thickBot="1" x14ac:dyDescent="0.35">
      <c r="A13" s="293" t="s">
        <v>131</v>
      </c>
      <c r="B13" s="289" t="s">
        <v>132</v>
      </c>
      <c r="C13" s="281">
        <v>0</v>
      </c>
      <c r="D13" s="281">
        <v>0.01</v>
      </c>
      <c r="E13" s="281">
        <v>-0.01</v>
      </c>
      <c r="F13" s="281">
        <v>-0.02</v>
      </c>
      <c r="G13" s="282">
        <f>Assumptions!C26</f>
        <v>0</v>
      </c>
      <c r="H13" s="297" t="str">
        <f t="shared" si="0"/>
        <v>Yes</v>
      </c>
      <c r="I13" s="26"/>
      <c r="J13" s="64"/>
    </row>
    <row r="14" spans="1:134" x14ac:dyDescent="0.3">
      <c r="A14" s="26"/>
      <c r="B14" s="26"/>
      <c r="C14" s="26"/>
      <c r="D14" s="26"/>
      <c r="E14" s="26"/>
      <c r="F14" s="26"/>
      <c r="G14" s="26"/>
      <c r="H14" s="26"/>
      <c r="I14" s="26"/>
      <c r="J14" s="26"/>
    </row>
    <row r="15" spans="1:134" x14ac:dyDescent="0.3">
      <c r="A15" s="27"/>
      <c r="B15" s="26"/>
      <c r="D15" s="26"/>
      <c r="E15" s="26"/>
      <c r="F15" s="26"/>
      <c r="G15" s="26"/>
      <c r="H15" s="26"/>
      <c r="I15" s="26"/>
      <c r="J15" s="26"/>
    </row>
    <row r="16" spans="1:134" x14ac:dyDescent="0.3">
      <c r="A16" s="27" t="s">
        <v>560</v>
      </c>
      <c r="B16" s="26"/>
      <c r="C16" s="270" t="str">
        <f>IF(AND(ABS(G8-C8)&lt;0.0000001,ABS(G9-C9)&lt;0.0000001,ABS(G10-C10)&lt;0.0000001,ABS(G11-C11)&lt;0.0000001,ABS(G12-C12)&lt;0.0000001,ABS(G13-C13)&lt;0.0000001),"Base",IF(AND(ABS(G8-D8)&lt;0.0000001,ABS(G9-D9)&lt;0.0000001,ABS(G10-D10)&lt;0.0000001,ABS(G11-D11)&lt;0.0000001,ABS(G12-D12)&lt;0.0000001,ABS(G13-D13)&lt;0.0000001),"Upside",IF(AND(ABS(G8-E8)&lt;0.0000001,ABS(G9-E9)&lt;0.0000001,ABS(G10-E10)&lt;0.0000001,ABS(G11-E11)&lt;0.0000001,ABS(G12-E12)&lt;0.0000001,ABS(G13-E13)&lt;0.0000001),"Downside",IF(AND(ABS(G8-F8)&lt;0.0000001,ABS(G9-F9)&lt;0.0000001,ABS(G10-F10)&lt;0.0000001,ABS(G11-F11)&lt;0.0000001,ABS(G12-F12)&lt;0.0000001,ABS(G13-F13)&lt;0.0000001),"Custom","Manual inputs"))))</f>
        <v>Base</v>
      </c>
      <c r="D16" s="28"/>
      <c r="E16" s="26"/>
      <c r="F16" s="26"/>
      <c r="G16" s="26"/>
      <c r="H16" s="26"/>
      <c r="I16" s="26"/>
      <c r="J16" s="26"/>
    </row>
    <row r="17" spans="1:10" ht="13.5" thickBot="1" x14ac:dyDescent="0.35">
      <c r="A17" s="26"/>
      <c r="B17" s="26"/>
      <c r="C17" s="26"/>
      <c r="D17" s="26"/>
      <c r="E17" s="26"/>
      <c r="F17" s="26"/>
      <c r="G17" s="26"/>
      <c r="H17" s="26"/>
      <c r="I17" s="26"/>
      <c r="J17" s="26"/>
    </row>
    <row r="18" spans="1:10" ht="13.5" thickBot="1" x14ac:dyDescent="0.35">
      <c r="A18" s="164" t="s">
        <v>734</v>
      </c>
      <c r="B18" s="165"/>
      <c r="C18" s="165"/>
      <c r="D18" s="165"/>
      <c r="E18" s="165"/>
      <c r="F18" s="165"/>
      <c r="G18" s="165"/>
      <c r="H18" s="165"/>
      <c r="I18" s="165"/>
      <c r="J18" s="166"/>
    </row>
    <row r="19" spans="1:10" ht="52.5" thickBot="1" x14ac:dyDescent="0.35">
      <c r="A19" s="176" t="s">
        <v>133</v>
      </c>
      <c r="B19" s="177" t="s">
        <v>6</v>
      </c>
      <c r="C19" s="177" t="s">
        <v>134</v>
      </c>
      <c r="D19" s="177" t="s">
        <v>84</v>
      </c>
      <c r="E19" s="177" t="s">
        <v>135</v>
      </c>
      <c r="F19" s="177" t="s">
        <v>136</v>
      </c>
      <c r="G19" s="177" t="s">
        <v>137</v>
      </c>
      <c r="H19" s="177" t="s">
        <v>46</v>
      </c>
      <c r="I19" s="177" t="s">
        <v>138</v>
      </c>
      <c r="J19" s="178" t="s">
        <v>309</v>
      </c>
    </row>
    <row r="20" spans="1:10" ht="91" customHeight="1" x14ac:dyDescent="0.3">
      <c r="A20" s="307" t="s">
        <v>117</v>
      </c>
      <c r="B20" s="261">
        <f>'Policy Calculations'!AI7</f>
        <v>344.85010931984334</v>
      </c>
      <c r="C20" s="174">
        <f>B20-$B$20</f>
        <v>0</v>
      </c>
      <c r="D20" s="302">
        <f>'Policy Calculations'!AJ7</f>
        <v>0.1046195354490761</v>
      </c>
      <c r="E20" s="303">
        <f>'Policy Calculations'!AF7</f>
        <v>562.44258371429919</v>
      </c>
      <c r="F20" s="159">
        <f>IF(ISNUMBER(E20),E20/$E$20-1,"n.a.")</f>
        <v>0</v>
      </c>
      <c r="G20" s="304" t="str">
        <f>'Policy Calculations'!AR7</f>
        <v>At/above target</v>
      </c>
      <c r="H20" s="258">
        <f>'Policy Calculations'!AH7</f>
        <v>3296.2305542610661</v>
      </c>
      <c r="I20" s="258">
        <f>'Policy Calculations'!AN7</f>
        <v>0</v>
      </c>
      <c r="J20" s="222"/>
    </row>
    <row r="21" spans="1:10" ht="25" customHeight="1" x14ac:dyDescent="0.3">
      <c r="A21" s="266" t="s">
        <v>118</v>
      </c>
      <c r="B21" s="305">
        <f>'Policy Calculations'!AI8</f>
        <v>499.21954313161223</v>
      </c>
      <c r="C21" s="147">
        <f>B21-$B$20</f>
        <v>154.36943381176889</v>
      </c>
      <c r="D21" s="217">
        <f>'Policy Calculations'!AJ8</f>
        <v>0.1496607779246438</v>
      </c>
      <c r="E21" s="218">
        <f>'Policy Calculations'!AF8</f>
        <v>531.59619886475048</v>
      </c>
      <c r="F21" s="145">
        <f>IF(ISNUMBER(E21),E21/$E$20-1,"n.a.")</f>
        <v>-5.4843615584444394E-2</v>
      </c>
      <c r="G21" s="271" t="str">
        <f>'Policy Calculations'!AR8</f>
        <v>At/above target</v>
      </c>
      <c r="H21" s="216">
        <f>'Policy Calculations'!AH8</f>
        <v>3335.6738489156851</v>
      </c>
      <c r="I21" s="216">
        <f>'Policy Calculations'!AN8</f>
        <v>0</v>
      </c>
      <c r="J21" s="103"/>
    </row>
    <row r="22" spans="1:10" ht="107.5" customHeight="1" x14ac:dyDescent="0.3">
      <c r="A22" s="266" t="s">
        <v>119</v>
      </c>
      <c r="B22" s="305">
        <f>'Policy Calculations'!AI9</f>
        <v>-36.334589222549766</v>
      </c>
      <c r="C22" s="147">
        <f>B22-$B$20</f>
        <v>-381.18469854239311</v>
      </c>
      <c r="D22" s="217">
        <f>'Policy Calculations'!AJ9</f>
        <v>-1.1547275116251103E-2</v>
      </c>
      <c r="E22" s="218">
        <f>'Policy Calculations'!AF9</f>
        <v>643.68089313520341</v>
      </c>
      <c r="F22" s="145">
        <f>IF(ISNUMBER(E22),E22/$E$20-1,"n.a.")</f>
        <v>0.14443840451129564</v>
      </c>
      <c r="G22" s="271" t="str">
        <f>'Policy Calculations'!AR9</f>
        <v>Loss-making</v>
      </c>
      <c r="H22" s="216">
        <f>'Policy Calculations'!AH9</f>
        <v>3146.5942273614091</v>
      </c>
      <c r="I22" s="216">
        <f>'Policy Calculations'!AN9</f>
        <v>0</v>
      </c>
      <c r="J22" s="222" t="s">
        <v>735</v>
      </c>
    </row>
    <row r="23" spans="1:10" ht="13.5" thickBot="1" x14ac:dyDescent="0.35">
      <c r="A23" s="267" t="s">
        <v>120</v>
      </c>
      <c r="B23" s="306">
        <f>'Policy Calculations'!AI10</f>
        <v>123.87827341342836</v>
      </c>
      <c r="C23" s="299">
        <f>B23-$B$20</f>
        <v>-220.97183590641498</v>
      </c>
      <c r="D23" s="300">
        <f>'Policy Calculations'!AJ10</f>
        <v>4.4523629779425658E-2</v>
      </c>
      <c r="E23" s="256">
        <f>'Policy Calculations'!AF10</f>
        <v>603.76209994517774</v>
      </c>
      <c r="F23" s="153">
        <f>IF(ISNUMBER(E23),E23/$E$20-1,"n.a.")</f>
        <v>7.3464416506320962E-2</v>
      </c>
      <c r="G23" s="301" t="str">
        <f>'Policy Calculations'!AR10</f>
        <v>Below target</v>
      </c>
      <c r="H23" s="298">
        <f>'Policy Calculations'!AH10</f>
        <v>2782.3040041239501</v>
      </c>
      <c r="I23" s="298">
        <f>'Policy Calculations'!AN10</f>
        <v>0</v>
      </c>
      <c r="J23" s="111"/>
    </row>
    <row r="24" spans="1:10" ht="13.5" thickBot="1" x14ac:dyDescent="0.35">
      <c r="A24" s="27"/>
      <c r="B24" s="279"/>
      <c r="C24" s="276"/>
      <c r="D24" s="280"/>
      <c r="E24" s="106"/>
      <c r="F24" s="277"/>
      <c r="G24" s="100"/>
      <c r="H24" s="279"/>
      <c r="I24" s="279"/>
      <c r="J24" s="26"/>
    </row>
    <row r="25" spans="1:10" ht="13.5" thickBot="1" x14ac:dyDescent="0.35">
      <c r="A25" s="164" t="s">
        <v>736</v>
      </c>
      <c r="B25" s="165"/>
      <c r="C25" s="165"/>
      <c r="D25" s="165"/>
      <c r="E25" s="165"/>
      <c r="F25" s="165"/>
      <c r="G25" s="165"/>
      <c r="H25" s="165"/>
      <c r="I25" s="165"/>
      <c r="J25" s="166"/>
    </row>
    <row r="26" spans="1:10" ht="39.5" thickBot="1" x14ac:dyDescent="0.35">
      <c r="A26" s="176" t="s">
        <v>139</v>
      </c>
      <c r="B26" s="177" t="s">
        <v>140</v>
      </c>
      <c r="C26" s="177" t="s">
        <v>141</v>
      </c>
      <c r="D26" s="177" t="s">
        <v>561</v>
      </c>
      <c r="E26" s="177" t="s">
        <v>142</v>
      </c>
      <c r="F26" s="177" t="s">
        <v>143</v>
      </c>
      <c r="G26" s="177" t="s">
        <v>144</v>
      </c>
      <c r="H26" s="177" t="s">
        <v>145</v>
      </c>
      <c r="I26" s="177" t="s">
        <v>737</v>
      </c>
      <c r="J26" s="178" t="s">
        <v>146</v>
      </c>
    </row>
    <row r="27" spans="1:10" x14ac:dyDescent="0.3">
      <c r="A27" s="245" t="s">
        <v>147</v>
      </c>
      <c r="B27" s="285" t="str">
        <f>"±"&amp;TEXT(C27,"0%")</f>
        <v>±10%</v>
      </c>
      <c r="C27" s="309">
        <v>0.1</v>
      </c>
      <c r="D27" s="310">
        <f>'Policy Calculations'!AJ12</f>
        <v>9.4266193461645525E-2</v>
      </c>
      <c r="E27" s="258">
        <f>'Policy Calculations'!AI11</f>
        <v>379.0513511871327</v>
      </c>
      <c r="F27" s="258">
        <f>'Policy Calculations'!AI12</f>
        <v>310.66440509186441</v>
      </c>
      <c r="G27" s="174">
        <f>E27-'Policy Calculations'!$AI$6</f>
        <v>34.201241867289355</v>
      </c>
      <c r="H27" s="174">
        <f>F27-'Policy Calculations'!$AI$6</f>
        <v>-34.185704227978931</v>
      </c>
      <c r="I27" s="174">
        <f t="shared" ref="I27:I32" si="1">ABS(H27-G27)+ROW()/1000000000</f>
        <v>68.386946122268284</v>
      </c>
      <c r="J27" s="160" t="str">
        <f>TEXT('Policy Calculations'!AJ11,"0.0%")&amp;" / "&amp;TEXT('Policy Calculations'!AJ12,"0.0%")</f>
        <v>11.5% / 9.4%</v>
      </c>
    </row>
    <row r="28" spans="1:10" x14ac:dyDescent="0.3">
      <c r="A28" s="31" t="s">
        <v>148</v>
      </c>
      <c r="B28" s="251" t="str">
        <f>"±"&amp;TEXT(C28,"0%")</f>
        <v>±20%</v>
      </c>
      <c r="C28" s="269">
        <v>0.2</v>
      </c>
      <c r="D28" s="272">
        <f>'Policy Calculations'!AJ14</f>
        <v>8.7541527233312363E-2</v>
      </c>
      <c r="E28" s="216">
        <f>'Policy Calculations'!AI13</f>
        <v>425.61546708581909</v>
      </c>
      <c r="F28" s="216">
        <f>'Policy Calculations'!AI14</f>
        <v>269.54599681642185</v>
      </c>
      <c r="G28" s="147">
        <f>E28-'Policy Calculations'!$AI$6</f>
        <v>80.76535776597575</v>
      </c>
      <c r="H28" s="147">
        <f>F28-'Policy Calculations'!$AI$6</f>
        <v>-75.304112503421493</v>
      </c>
      <c r="I28" s="147">
        <f t="shared" si="1"/>
        <v>156.06947029739723</v>
      </c>
      <c r="J28" s="151" t="str">
        <f>TEXT('Policy Calculations'!AJ13,"0.0%")&amp;" / "&amp;TEXT('Policy Calculations'!AJ14,"0.0%")</f>
        <v>12.1% / 8.8%</v>
      </c>
    </row>
    <row r="29" spans="1:10" x14ac:dyDescent="0.3">
      <c r="A29" s="31" t="s">
        <v>149</v>
      </c>
      <c r="B29" s="251" t="str">
        <f>"±"&amp;TEXT(C29,"0%")</f>
        <v>±10%</v>
      </c>
      <c r="C29" s="269">
        <v>0.1</v>
      </c>
      <c r="D29" s="272">
        <f>'Policy Calculations'!AJ16</f>
        <v>3.2866129483957451E-2</v>
      </c>
      <c r="E29" s="216">
        <f>'Policy Calculations'!AI15</f>
        <v>581.36587843436519</v>
      </c>
      <c r="F29" s="216">
        <f>'Policy Calculations'!AI16</f>
        <v>108.33434020532104</v>
      </c>
      <c r="G29" s="147">
        <f>E29-'Policy Calculations'!$AI$6</f>
        <v>236.51576911452185</v>
      </c>
      <c r="H29" s="147">
        <f>F29-'Policy Calculations'!$AI$6</f>
        <v>-236.5157691145223</v>
      </c>
      <c r="I29" s="147">
        <f t="shared" si="1"/>
        <v>473.03153825804412</v>
      </c>
      <c r="J29" s="151" t="str">
        <f>TEXT('Policy Calculations'!AJ15,"0.0%")&amp;" / "&amp;TEXT('Policy Calculations'!AJ16,"0.0%")</f>
        <v>17.6% / 3.3%</v>
      </c>
    </row>
    <row r="30" spans="1:10" x14ac:dyDescent="0.3">
      <c r="A30" s="31" t="s">
        <v>150</v>
      </c>
      <c r="B30" s="251" t="str">
        <f>"±"&amp;TEXT(C30*100,"0.0")&amp;"pp"</f>
        <v>±5.0pp</v>
      </c>
      <c r="C30" s="269">
        <v>0.05</v>
      </c>
      <c r="D30" s="272">
        <f>'Policy Calculations'!AJ18</f>
        <v>5.4619535449076113E-2</v>
      </c>
      <c r="E30" s="216">
        <f>'Policy Calculations'!AI17</f>
        <v>509.66163703289658</v>
      </c>
      <c r="F30" s="216">
        <f>'Policy Calculations'!AI18</f>
        <v>180.0385816067901</v>
      </c>
      <c r="G30" s="147">
        <f>E30-'Policy Calculations'!$AI$6</f>
        <v>164.81152771305324</v>
      </c>
      <c r="H30" s="147">
        <f>F30-'Policy Calculations'!$AI$6</f>
        <v>-164.81152771305324</v>
      </c>
      <c r="I30" s="147">
        <f t="shared" si="1"/>
        <v>329.6230554561065</v>
      </c>
      <c r="J30" s="151" t="str">
        <f>TEXT('Policy Calculations'!AJ17,"0.0%")&amp;" / "&amp;TEXT('Policy Calculations'!AJ18,"0.0%")</f>
        <v>15.5% / 5.5%</v>
      </c>
    </row>
    <row r="31" spans="1:10" x14ac:dyDescent="0.3">
      <c r="A31" s="31" t="s">
        <v>151</v>
      </c>
      <c r="B31" s="251" t="str">
        <f>"±"&amp;TEXT(C31*10000,"0")&amp;"bp"</f>
        <v>±100bp</v>
      </c>
      <c r="C31" s="269">
        <v>0.01</v>
      </c>
      <c r="D31" s="272">
        <f>'Policy Calculations'!AJ20</f>
        <v>9.656013212102571E-2</v>
      </c>
      <c r="E31" s="216">
        <f>'Policy Calculations'!AI19</f>
        <v>388.32754313054147</v>
      </c>
      <c r="F31" s="216">
        <f>'Policy Calculations'!AI20</f>
        <v>304.55847450157398</v>
      </c>
      <c r="G31" s="147">
        <f>E31-'Policy Calculations'!$AI$6</f>
        <v>43.47743381069813</v>
      </c>
      <c r="H31" s="147">
        <f>F31-'Policy Calculations'!$AI$6</f>
        <v>-40.291634818269358</v>
      </c>
      <c r="I31" s="147">
        <f t="shared" si="1"/>
        <v>83.769068659967488</v>
      </c>
      <c r="J31" s="151" t="str">
        <f>TEXT('Policy Calculations'!AJ19,"0.0%")&amp;" / "&amp;TEXT('Policy Calculations'!AJ20,"0.0%")</f>
        <v>11.3% / 9.7%</v>
      </c>
    </row>
    <row r="32" spans="1:10" x14ac:dyDescent="0.3">
      <c r="A32" s="31" t="s">
        <v>152</v>
      </c>
      <c r="B32" s="251" t="str">
        <f>"±"&amp;TEXT(C32,"0%")</f>
        <v>±20%</v>
      </c>
      <c r="C32" s="269">
        <v>0.2</v>
      </c>
      <c r="D32" s="273">
        <f>'Policy Calculations'!AJ22</f>
        <v>0.1046195354490761</v>
      </c>
      <c r="E32" s="216">
        <f>'Policy Calculations'!AI21</f>
        <v>344.85010931984334</v>
      </c>
      <c r="F32" s="216">
        <f>'Policy Calculations'!AI22</f>
        <v>344.85010931984334</v>
      </c>
      <c r="G32" s="147">
        <f>E32-'Policy Calculations'!$AI$6</f>
        <v>0</v>
      </c>
      <c r="H32" s="147">
        <f>F32-'Policy Calculations'!$AI$6</f>
        <v>0</v>
      </c>
      <c r="I32" s="147">
        <f t="shared" si="1"/>
        <v>3.2000000000000002E-8</v>
      </c>
      <c r="J32" s="151" t="str">
        <f>TEXT('Policy Calculations'!AJ21,"0.0%")&amp;" / "&amp;TEXT('Policy Calculations'!AJ22,"0.0%")</f>
        <v>10.5% / 10.5%</v>
      </c>
    </row>
    <row r="33" spans="1:10" ht="13.5" thickBot="1" x14ac:dyDescent="0.35">
      <c r="A33" s="141" t="s">
        <v>738</v>
      </c>
      <c r="B33" s="110"/>
      <c r="C33" s="110"/>
      <c r="D33" s="110"/>
      <c r="E33" s="308">
        <f>'Policy Calculations'!AI6</f>
        <v>344.85010931984334</v>
      </c>
      <c r="F33" s="110"/>
      <c r="G33" s="110"/>
      <c r="H33" s="110"/>
      <c r="I33" s="110"/>
      <c r="J33" s="111"/>
    </row>
    <row r="34" spans="1:10" x14ac:dyDescent="0.3">
      <c r="A34" s="220"/>
      <c r="B34" s="26"/>
      <c r="C34" s="26"/>
      <c r="D34" s="26"/>
      <c r="E34" s="26"/>
      <c r="F34" s="26"/>
      <c r="G34" s="26"/>
      <c r="H34" s="26"/>
      <c r="I34" s="26"/>
      <c r="J34" s="26"/>
    </row>
    <row r="35" spans="1:10" ht="13.5" thickBot="1" x14ac:dyDescent="0.35">
      <c r="A35" s="26"/>
      <c r="B35" s="26"/>
      <c r="C35" s="26"/>
      <c r="D35" s="26"/>
      <c r="E35" s="26"/>
      <c r="F35" s="26"/>
      <c r="G35" s="26"/>
      <c r="H35" s="26"/>
      <c r="I35" s="26"/>
      <c r="J35" s="26"/>
    </row>
    <row r="36" spans="1:10" ht="13.5" thickBot="1" x14ac:dyDescent="0.35">
      <c r="A36" s="164" t="s">
        <v>739</v>
      </c>
      <c r="B36" s="165"/>
      <c r="C36" s="165"/>
      <c r="D36" s="165"/>
      <c r="E36" s="166"/>
      <c r="F36" s="26"/>
      <c r="G36" s="26"/>
      <c r="H36" s="26"/>
      <c r="I36" s="26"/>
      <c r="J36" s="26"/>
    </row>
    <row r="37" spans="1:10" ht="39.5" thickBot="1" x14ac:dyDescent="0.35">
      <c r="A37" s="176" t="s">
        <v>153</v>
      </c>
      <c r="B37" s="177" t="s">
        <v>139</v>
      </c>
      <c r="C37" s="177" t="s">
        <v>154</v>
      </c>
      <c r="D37" s="177" t="s">
        <v>155</v>
      </c>
      <c r="E37" s="178" t="s">
        <v>156</v>
      </c>
      <c r="F37" s="26"/>
      <c r="G37" s="26"/>
      <c r="H37" s="26"/>
      <c r="I37" s="26"/>
      <c r="J37" s="26"/>
    </row>
    <row r="38" spans="1:10" x14ac:dyDescent="0.3">
      <c r="A38" s="245">
        <v>1</v>
      </c>
      <c r="B38" s="158" t="str">
        <f t="shared" ref="B38:B43" si="2">INDEX($A$27:$A$32,MATCH(E38,$I$27:$I$32,0))&amp;" ("&amp;INDEX($B$27:$B$32,MATCH(E38,$I$27:$I$32,0))&amp;")"</f>
        <v>Expenses (±10%)</v>
      </c>
      <c r="C38" s="174">
        <f t="shared" ref="C38:C43" si="3">INDEX($G$27:$G$32,MATCH(E38,$I$27:$I$32,0))</f>
        <v>236.51576911452185</v>
      </c>
      <c r="D38" s="174">
        <f t="shared" ref="D38:D43" si="4">INDEX($H$27:$H$32,MATCH(E38,$I$27:$I$32,0))</f>
        <v>-236.5157691145223</v>
      </c>
      <c r="E38" s="313">
        <f t="shared" ref="E38:E43" si="5">LARGE($I$27:$I$32,A38)</f>
        <v>473.03153825804412</v>
      </c>
      <c r="F38" s="26"/>
      <c r="G38" s="26"/>
      <c r="H38" s="26"/>
      <c r="I38" s="26"/>
      <c r="J38" s="26"/>
    </row>
    <row r="39" spans="1:10" x14ac:dyDescent="0.3">
      <c r="A39" s="31">
        <v>2</v>
      </c>
      <c r="B39" s="144" t="str">
        <f t="shared" si="2"/>
        <v>Commission (pp) (±5.0pp)</v>
      </c>
      <c r="C39" s="147">
        <f t="shared" si="3"/>
        <v>164.81152771305324</v>
      </c>
      <c r="D39" s="147">
        <f t="shared" si="4"/>
        <v>-164.81152771305324</v>
      </c>
      <c r="E39" s="311">
        <f t="shared" si="5"/>
        <v>329.6230554561065</v>
      </c>
      <c r="F39" s="26"/>
      <c r="G39" s="26"/>
      <c r="H39" s="26"/>
      <c r="I39" s="26"/>
      <c r="J39" s="26"/>
    </row>
    <row r="40" spans="1:10" x14ac:dyDescent="0.3">
      <c r="A40" s="31">
        <v>3</v>
      </c>
      <c r="B40" s="144" t="str">
        <f t="shared" si="2"/>
        <v>Lapse rates (±20%)</v>
      </c>
      <c r="C40" s="147">
        <f t="shared" si="3"/>
        <v>80.76535776597575</v>
      </c>
      <c r="D40" s="147">
        <f t="shared" si="4"/>
        <v>-75.304112503421493</v>
      </c>
      <c r="E40" s="311">
        <f t="shared" si="5"/>
        <v>156.06947029739723</v>
      </c>
      <c r="F40" s="26"/>
      <c r="G40" s="26"/>
      <c r="H40" s="26"/>
      <c r="I40" s="26"/>
      <c r="J40" s="26"/>
    </row>
    <row r="41" spans="1:10" x14ac:dyDescent="0.3">
      <c r="A41" s="31">
        <v>4</v>
      </c>
      <c r="B41" s="144" t="str">
        <f t="shared" si="2"/>
        <v>Discount rate (±100bp)</v>
      </c>
      <c r="C41" s="147">
        <f t="shared" si="3"/>
        <v>43.47743381069813</v>
      </c>
      <c r="D41" s="147">
        <f t="shared" si="4"/>
        <v>-40.291634818269358</v>
      </c>
      <c r="E41" s="311">
        <f t="shared" si="5"/>
        <v>83.769068659967488</v>
      </c>
      <c r="F41" s="26"/>
      <c r="G41" s="26"/>
      <c r="H41" s="26"/>
      <c r="I41" s="26"/>
      <c r="J41" s="26"/>
    </row>
    <row r="42" spans="1:10" x14ac:dyDescent="0.3">
      <c r="A42" s="31">
        <v>5</v>
      </c>
      <c r="B42" s="144" t="str">
        <f t="shared" si="2"/>
        <v>Mortality (qx) (±10%)</v>
      </c>
      <c r="C42" s="147">
        <f t="shared" si="3"/>
        <v>34.201241867289355</v>
      </c>
      <c r="D42" s="147">
        <f t="shared" si="4"/>
        <v>-34.185704227978931</v>
      </c>
      <c r="E42" s="311">
        <f t="shared" si="5"/>
        <v>68.386946122268284</v>
      </c>
      <c r="F42" s="26"/>
      <c r="G42" s="26"/>
      <c r="H42" s="26"/>
      <c r="I42" s="26"/>
      <c r="J42" s="26"/>
    </row>
    <row r="43" spans="1:10" ht="13.5" thickBot="1" x14ac:dyDescent="0.35">
      <c r="A43" s="36">
        <v>6</v>
      </c>
      <c r="B43" s="152" t="str">
        <f t="shared" si="2"/>
        <v>RI premium rate (±20%)</v>
      </c>
      <c r="C43" s="299">
        <f t="shared" si="3"/>
        <v>0</v>
      </c>
      <c r="D43" s="299">
        <f t="shared" si="4"/>
        <v>0</v>
      </c>
      <c r="E43" s="312">
        <f t="shared" si="5"/>
        <v>3.2000000000000002E-8</v>
      </c>
      <c r="F43" s="26"/>
      <c r="G43" s="26"/>
      <c r="H43" s="26"/>
      <c r="I43" s="26"/>
      <c r="J43" s="26"/>
    </row>
    <row r="44" spans="1:10" x14ac:dyDescent="0.3">
      <c r="A44" s="26"/>
      <c r="B44" s="26"/>
      <c r="C44" s="26"/>
      <c r="D44" s="26"/>
      <c r="E44" s="26"/>
      <c r="F44" s="26"/>
      <c r="G44" s="26"/>
      <c r="H44" s="26"/>
      <c r="I44" s="26"/>
      <c r="J44" s="26"/>
    </row>
    <row r="45" spans="1:10" x14ac:dyDescent="0.3">
      <c r="A45" s="26"/>
      <c r="B45" s="26"/>
      <c r="C45" s="26"/>
      <c r="D45" s="26"/>
      <c r="E45" s="26"/>
      <c r="F45" s="26"/>
      <c r="G45" s="26"/>
      <c r="H45" s="26"/>
      <c r="I45" s="26"/>
      <c r="J45" s="26"/>
    </row>
    <row r="46" spans="1:10" x14ac:dyDescent="0.3">
      <c r="A46" s="26"/>
      <c r="B46" s="26"/>
      <c r="C46" s="26"/>
      <c r="D46" s="26"/>
      <c r="E46" s="26"/>
      <c r="F46" s="26"/>
      <c r="G46" s="26"/>
      <c r="H46" s="26"/>
      <c r="I46" s="26"/>
      <c r="J46" s="26"/>
    </row>
    <row r="47" spans="1:10" x14ac:dyDescent="0.3">
      <c r="A47" s="26"/>
      <c r="B47" s="26"/>
      <c r="C47" s="26"/>
      <c r="D47" s="26"/>
      <c r="E47" s="26"/>
      <c r="F47" s="26"/>
      <c r="G47" s="26"/>
      <c r="H47" s="26"/>
      <c r="I47" s="26"/>
      <c r="J47" s="26"/>
    </row>
    <row r="48" spans="1:10" x14ac:dyDescent="0.3">
      <c r="A48" s="26"/>
      <c r="B48" s="26"/>
      <c r="C48" s="26"/>
      <c r="D48" s="26"/>
      <c r="E48" s="26"/>
      <c r="F48" s="26"/>
      <c r="G48" s="26"/>
      <c r="H48" s="26"/>
      <c r="I48" s="26"/>
      <c r="J48" s="26"/>
    </row>
    <row r="49" spans="1:10" x14ac:dyDescent="0.3">
      <c r="A49" s="26"/>
      <c r="B49" s="26"/>
      <c r="C49" s="26"/>
      <c r="D49" s="26"/>
      <c r="E49" s="26"/>
      <c r="F49" s="26"/>
      <c r="G49" s="26"/>
      <c r="H49" s="26"/>
      <c r="I49" s="26"/>
      <c r="J49" s="26"/>
    </row>
    <row r="50" spans="1:10" x14ac:dyDescent="0.3">
      <c r="A50" s="26"/>
      <c r="B50" s="26"/>
      <c r="C50" s="26"/>
      <c r="D50" s="26"/>
      <c r="E50" s="26"/>
      <c r="F50" s="26"/>
      <c r="G50" s="26"/>
      <c r="H50" s="26"/>
      <c r="I50" s="26"/>
      <c r="J50" s="26"/>
    </row>
    <row r="51" spans="1:10" x14ac:dyDescent="0.3">
      <c r="A51" s="26"/>
      <c r="B51" s="26"/>
      <c r="C51" s="26"/>
      <c r="D51" s="26"/>
      <c r="E51" s="26"/>
      <c r="F51" s="26"/>
      <c r="G51" s="26"/>
      <c r="H51" s="26"/>
      <c r="I51" s="26"/>
      <c r="J51" s="26"/>
    </row>
    <row r="52" spans="1:10" x14ac:dyDescent="0.3">
      <c r="A52" s="210"/>
      <c r="B52" s="26"/>
      <c r="C52" s="26"/>
      <c r="D52" s="26"/>
      <c r="E52" s="26"/>
      <c r="F52" s="26"/>
      <c r="G52" s="26"/>
      <c r="H52" s="26"/>
      <c r="I52" s="26"/>
      <c r="J52" s="26"/>
    </row>
    <row r="53" spans="1:10" x14ac:dyDescent="0.3">
      <c r="A53" s="275"/>
      <c r="B53" s="275"/>
      <c r="C53" s="275"/>
      <c r="D53" s="275"/>
      <c r="E53" s="275"/>
      <c r="F53" s="275"/>
      <c r="G53" s="275"/>
      <c r="H53" s="26"/>
      <c r="I53" s="26"/>
      <c r="J53" s="26"/>
    </row>
    <row r="54" spans="1:10" x14ac:dyDescent="0.3">
      <c r="A54" s="27"/>
      <c r="B54" s="276"/>
      <c r="C54" s="277"/>
      <c r="D54" s="278"/>
      <c r="E54" s="276"/>
      <c r="F54" s="276"/>
      <c r="G54" s="276"/>
      <c r="H54" s="26"/>
      <c r="I54" s="26"/>
      <c r="J54" s="26"/>
    </row>
    <row r="55" spans="1:10" x14ac:dyDescent="0.3">
      <c r="A55" s="27"/>
      <c r="B55" s="276"/>
      <c r="C55" s="277"/>
      <c r="D55" s="278"/>
      <c r="E55" s="276"/>
      <c r="F55" s="276"/>
      <c r="G55" s="276"/>
      <c r="H55" s="26"/>
      <c r="I55" s="26"/>
      <c r="J55" s="26"/>
    </row>
    <row r="56" spans="1:10" x14ac:dyDescent="0.3">
      <c r="A56" s="27"/>
      <c r="B56" s="276"/>
      <c r="C56" s="277"/>
      <c r="D56" s="278"/>
      <c r="E56" s="276"/>
      <c r="F56" s="276"/>
      <c r="G56" s="276"/>
      <c r="H56" s="26"/>
      <c r="I56" s="26"/>
      <c r="J56" s="26"/>
    </row>
    <row r="57" spans="1:10" x14ac:dyDescent="0.3">
      <c r="A57" s="27"/>
      <c r="B57" s="276"/>
      <c r="C57" s="277"/>
      <c r="D57" s="278"/>
      <c r="E57" s="276"/>
      <c r="F57" s="276"/>
      <c r="G57" s="276"/>
      <c r="H57" s="26"/>
      <c r="I57" s="26"/>
      <c r="J57" s="26"/>
    </row>
    <row r="58" spans="1:10" x14ac:dyDescent="0.3">
      <c r="A58" s="26"/>
      <c r="B58" s="26"/>
      <c r="C58" s="26"/>
      <c r="D58" s="26"/>
      <c r="E58" s="26"/>
      <c r="F58" s="26"/>
      <c r="G58" s="26"/>
      <c r="H58" s="26"/>
      <c r="I58" s="26"/>
      <c r="J58" s="26"/>
    </row>
    <row r="59" spans="1:10" x14ac:dyDescent="0.3">
      <c r="A59" s="27"/>
      <c r="B59" s="27"/>
      <c r="C59" s="27"/>
      <c r="D59" s="27"/>
      <c r="E59" s="26"/>
      <c r="F59" s="26"/>
      <c r="G59" s="26"/>
      <c r="H59" s="26"/>
      <c r="I59" s="26"/>
      <c r="J59" s="26"/>
    </row>
    <row r="60" spans="1:10" x14ac:dyDescent="0.3">
      <c r="A60" s="26"/>
      <c r="B60" s="274"/>
      <c r="C60" s="219"/>
      <c r="D60" s="26"/>
      <c r="E60" s="26"/>
      <c r="F60" s="26"/>
      <c r="G60" s="26"/>
      <c r="H60" s="26"/>
      <c r="I60" s="26"/>
      <c r="J60" s="26"/>
    </row>
    <row r="61" spans="1:10" x14ac:dyDescent="0.3">
      <c r="A61" s="26"/>
      <c r="B61" s="274"/>
      <c r="C61" s="219"/>
      <c r="D61" s="26"/>
      <c r="E61" s="26"/>
      <c r="F61" s="26"/>
      <c r="G61" s="26"/>
      <c r="H61" s="26"/>
      <c r="I61" s="26"/>
      <c r="J61" s="26"/>
    </row>
    <row r="62" spans="1:10" x14ac:dyDescent="0.3">
      <c r="A62" s="26"/>
      <c r="B62" s="274"/>
      <c r="C62" s="219"/>
      <c r="D62" s="26"/>
      <c r="E62" s="26"/>
      <c r="F62" s="26"/>
      <c r="G62" s="26"/>
      <c r="H62" s="26"/>
      <c r="I62" s="26"/>
      <c r="J62" s="26"/>
    </row>
    <row r="63" spans="1:10" x14ac:dyDescent="0.3">
      <c r="A63" s="26"/>
      <c r="B63" s="274"/>
      <c r="C63" s="219"/>
      <c r="D63" s="26"/>
      <c r="E63" s="26"/>
      <c r="F63" s="26"/>
      <c r="G63" s="26"/>
      <c r="H63" s="26"/>
      <c r="I63" s="26"/>
      <c r="J63" s="26"/>
    </row>
    <row r="64" spans="1:10" x14ac:dyDescent="0.3">
      <c r="A64" s="26"/>
      <c r="B64" s="274"/>
      <c r="C64" s="219"/>
      <c r="D64" s="26"/>
      <c r="E64" s="26"/>
      <c r="F64" s="26"/>
      <c r="G64" s="26"/>
      <c r="H64" s="26"/>
      <c r="I64" s="26"/>
      <c r="J64" s="26"/>
    </row>
    <row r="65" spans="1:10" x14ac:dyDescent="0.3">
      <c r="A65" s="27"/>
      <c r="B65" s="210"/>
      <c r="C65" s="28"/>
      <c r="D65" s="28"/>
      <c r="E65" s="26"/>
      <c r="F65" s="26"/>
      <c r="G65" s="26"/>
      <c r="H65" s="26"/>
      <c r="I65" s="26"/>
      <c r="J65" s="2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D60"/>
  <sheetViews>
    <sheetView topLeftCell="A14" zoomScaleNormal="100" workbookViewId="0">
      <selection activeCell="A28" sqref="A28"/>
    </sheetView>
  </sheetViews>
  <sheetFormatPr defaultColWidth="8.6328125" defaultRowHeight="13" x14ac:dyDescent="0.3"/>
  <cols>
    <col min="1" max="1" width="34" style="5" customWidth="1"/>
    <col min="2" max="3" width="18" style="5" customWidth="1"/>
    <col min="4" max="4" width="59" style="5" customWidth="1"/>
    <col min="5" max="21" width="18" style="5" customWidth="1"/>
    <col min="22" max="16384" width="8.6328125" style="5"/>
  </cols>
  <sheetData>
    <row r="1" spans="1:134" ht="28" customHeight="1" x14ac:dyDescent="0.3">
      <c r="A1" s="472" t="s">
        <v>562</v>
      </c>
      <c r="B1" s="472"/>
      <c r="C1" s="472"/>
      <c r="D1" s="472"/>
      <c r="E1" s="23"/>
      <c r="F1" s="23"/>
      <c r="G1" s="23"/>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21.75" customHeight="1" thickBo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row>
    <row r="3" spans="1:134" ht="39.75" customHeight="1" thickBot="1" x14ac:dyDescent="0.35">
      <c r="A3" s="318" t="s">
        <v>202</v>
      </c>
      <c r="B3" s="316" t="s">
        <v>41</v>
      </c>
      <c r="C3" s="316" t="s">
        <v>214</v>
      </c>
      <c r="D3" s="317" t="s">
        <v>442</v>
      </c>
      <c r="E3" s="26"/>
      <c r="F3" s="318" t="s">
        <v>310</v>
      </c>
      <c r="G3" s="316" t="s">
        <v>443</v>
      </c>
      <c r="H3" s="316" t="s">
        <v>444</v>
      </c>
      <c r="I3" s="316" t="s">
        <v>445</v>
      </c>
      <c r="J3" s="316" t="s">
        <v>446</v>
      </c>
      <c r="K3" s="316" t="s">
        <v>447</v>
      </c>
      <c r="L3" s="316" t="s">
        <v>448</v>
      </c>
      <c r="M3" s="316" t="s">
        <v>449</v>
      </c>
      <c r="N3" s="316" t="s">
        <v>450</v>
      </c>
      <c r="O3" s="316" t="s">
        <v>451</v>
      </c>
      <c r="P3" s="316" t="s">
        <v>452</v>
      </c>
      <c r="Q3" s="316" t="s">
        <v>453</v>
      </c>
      <c r="R3" s="316" t="s">
        <v>454</v>
      </c>
      <c r="S3" s="316" t="s">
        <v>455</v>
      </c>
      <c r="T3" s="316" t="s">
        <v>456</v>
      </c>
      <c r="U3" s="317" t="s">
        <v>457</v>
      </c>
      <c r="V3" s="26"/>
      <c r="W3" s="26"/>
      <c r="X3" s="26"/>
      <c r="Y3" s="26"/>
      <c r="Z3" s="26"/>
    </row>
    <row r="4" spans="1:134" ht="21.75" customHeight="1" x14ac:dyDescent="0.3">
      <c r="A4" s="236" t="s">
        <v>458</v>
      </c>
      <c r="B4" s="134">
        <f>'Profit Testing'!B4</f>
        <v>3296.2305542610648</v>
      </c>
      <c r="C4" s="114" t="s">
        <v>229</v>
      </c>
      <c r="D4" s="115" t="s">
        <v>459</v>
      </c>
      <c r="E4" s="26"/>
      <c r="F4" s="319">
        <v>1</v>
      </c>
      <c r="G4" s="101">
        <f>$B$8</f>
        <v>256.30869597160427</v>
      </c>
      <c r="H4" s="106">
        <f>G4*(Assumptions!$C$6+Assumptions!$C$25)</f>
        <v>8.9708043590061504</v>
      </c>
      <c r="I4" s="131">
        <v>0</v>
      </c>
      <c r="J4" s="101">
        <f t="shared" ref="J4:J43" si="0">MAX(0,G4+H4+I4)</f>
        <v>265.2795003306104</v>
      </c>
      <c r="K4" s="106">
        <f>Cashflows!B4*'Premium Calculation'!$B$9</f>
        <v>100000</v>
      </c>
      <c r="L4" s="101">
        <f>IF(SUM(K4:$K$43)=0,0,J4*K4/SUM(K4:$K$43))</f>
        <v>38.42289459521426</v>
      </c>
      <c r="M4" s="101">
        <f t="shared" ref="M4:M43" si="1">J4-L4</f>
        <v>226.85660573539616</v>
      </c>
      <c r="N4" s="101">
        <f>$B$5-$B$4</f>
        <v>-344.85010931984107</v>
      </c>
      <c r="O4" s="106">
        <f>Cashflows!F4+Cashflows!I4+Cashflows!J4</f>
        <v>1274.7576102371374</v>
      </c>
      <c r="P4" s="101">
        <f t="shared" ref="P4:P43" si="2">$B$6*IF(SUM($K$4:$K$43)=0,0,K4/SUM($K$4:$K$43))</f>
        <v>12.824275483596571</v>
      </c>
      <c r="Q4" s="106">
        <f>N4*(1+Assumptions!$C$6+Assumptions!$C$25)+Cashflows!E4-O4</f>
        <v>-1069.2348896688736</v>
      </c>
      <c r="R4" s="101">
        <f>$B$6-P4</f>
        <v>75.717137864640137</v>
      </c>
      <c r="S4" s="101">
        <f t="shared" ref="S4:S43" si="3">Q4+R4+M4</f>
        <v>-766.6611460688373</v>
      </c>
      <c r="T4" s="106">
        <f>$B$15+Cashflows!E4-O4+N4*(Assumptions!$C$6+Assumptions!$C$25)+H4+I4-L4-P4+U4-S4</f>
        <v>0</v>
      </c>
      <c r="U4" s="119">
        <f t="shared" ref="U4:U43" si="4">MAX(0,-(G4+H4+I4))</f>
        <v>0</v>
      </c>
      <c r="V4" s="26"/>
      <c r="W4" s="26"/>
      <c r="X4" s="26"/>
      <c r="Y4" s="26"/>
      <c r="Z4" s="26"/>
    </row>
    <row r="5" spans="1:134" ht="21.75" customHeight="1" x14ac:dyDescent="0.3">
      <c r="A5" s="232" t="s">
        <v>460</v>
      </c>
      <c r="B5" s="106">
        <f>SUMPRODUCT(Cashflows!F4:F43,Cashflows!M4:M43)+SUMPRODUCT(Cashflows!I4:I43,Cashflows!M4:M43)+SUMPRODUCT(Cashflows!J4:J43,Cashflows!M4:M43)</f>
        <v>2951.3804449412237</v>
      </c>
      <c r="C5" s="26" t="s">
        <v>229</v>
      </c>
      <c r="D5" s="103" t="s">
        <v>740</v>
      </c>
      <c r="E5" s="26"/>
      <c r="F5" s="319">
        <v>2</v>
      </c>
      <c r="G5" s="101">
        <f t="shared" ref="G5:G43" si="5">M4</f>
        <v>226.85660573539616</v>
      </c>
      <c r="H5" s="106">
        <f>G5*(Assumptions!$C$6+Assumptions!$C$25)</f>
        <v>7.9399812007388659</v>
      </c>
      <c r="I5" s="131">
        <v>0</v>
      </c>
      <c r="J5" s="101">
        <f t="shared" si="0"/>
        <v>234.79658693613501</v>
      </c>
      <c r="K5" s="106">
        <f>Cashflows!B5*'Premium Calculation'!$B$9</f>
        <v>87962.803197725036</v>
      </c>
      <c r="L5" s="101">
        <f>IF(SUM(K5:$K$43)=0,0,J5*K5/SUM(K5:$K$43))</f>
        <v>34.980780086105668</v>
      </c>
      <c r="M5" s="101">
        <f t="shared" si="1"/>
        <v>199.81580685002933</v>
      </c>
      <c r="N5" s="101">
        <f t="shared" ref="N5:N43" si="6">Q4</f>
        <v>-1069.2348896688736</v>
      </c>
      <c r="O5" s="106">
        <f>Cashflows!F5+Cashflows!I5+Cashflows!J5</f>
        <v>266.27368947739859</v>
      </c>
      <c r="P5" s="101">
        <f t="shared" si="2"/>
        <v>11.280592205170155</v>
      </c>
      <c r="Q5" s="106">
        <f>N5*(1+Assumptions!$C$6+Assumptions!$C$25)+Cashflows!E5-O5</f>
        <v>-878.19153727187381</v>
      </c>
      <c r="R5" s="101">
        <f t="shared" ref="R5:R43" si="7">R4-P5</f>
        <v>64.436545659469985</v>
      </c>
      <c r="S5" s="101">
        <f t="shared" si="3"/>
        <v>-613.93918476237445</v>
      </c>
      <c r="T5" s="106">
        <f>S4+Cashflows!E5-O5+N5*(Assumptions!$C$6+Assumptions!$C$25)+H5+I5-L5-P5+U5-S5</f>
        <v>0</v>
      </c>
      <c r="U5" s="119">
        <f t="shared" si="4"/>
        <v>0</v>
      </c>
      <c r="V5" s="26"/>
      <c r="W5" s="26"/>
      <c r="X5" s="26"/>
      <c r="Y5" s="26"/>
      <c r="Z5" s="26"/>
    </row>
    <row r="6" spans="1:134" ht="21.75" customHeight="1" x14ac:dyDescent="0.3">
      <c r="A6" s="232" t="s">
        <v>461</v>
      </c>
      <c r="B6" s="106">
        <f>B5*Assumptions!C8</f>
        <v>88.541413348236702</v>
      </c>
      <c r="C6" s="26" t="s">
        <v>229</v>
      </c>
      <c r="D6" s="103" t="s">
        <v>741</v>
      </c>
      <c r="E6" s="26"/>
      <c r="F6" s="319">
        <v>3</v>
      </c>
      <c r="G6" s="101">
        <f t="shared" si="5"/>
        <v>199.81580685002933</v>
      </c>
      <c r="H6" s="106">
        <f>G6*(Assumptions!$C$6+Assumptions!$C$25)</f>
        <v>6.9935532397510274</v>
      </c>
      <c r="I6" s="131">
        <v>0</v>
      </c>
      <c r="J6" s="101">
        <f t="shared" si="0"/>
        <v>206.80936008978037</v>
      </c>
      <c r="K6" s="106">
        <f>Cashflows!B6*'Premium Calculation'!$B$9</f>
        <v>78954.427822772981</v>
      </c>
      <c r="L6" s="101">
        <f>IF(SUM(K6:$K$43)=0,0,J6*K6/SUM(K6:$K$43))</f>
        <v>32.497299247551723</v>
      </c>
      <c r="M6" s="101">
        <f t="shared" si="1"/>
        <v>174.31206084222865</v>
      </c>
      <c r="N6" s="101">
        <f t="shared" si="6"/>
        <v>-878.19153727187381</v>
      </c>
      <c r="O6" s="106">
        <f>Cashflows!F6+Cashflows!I6+Cashflows!J6</f>
        <v>249.24126117701269</v>
      </c>
      <c r="P6" s="101">
        <f t="shared" si="2"/>
        <v>10.125333330489827</v>
      </c>
      <c r="Q6" s="106">
        <f>N6*(1+Assumptions!$C$6+Assumptions!$C$25)+Cashflows!E6-O6</f>
        <v>-714.096178450156</v>
      </c>
      <c r="R6" s="101">
        <f t="shared" si="7"/>
        <v>54.311212328980162</v>
      </c>
      <c r="S6" s="101">
        <f t="shared" si="3"/>
        <v>-485.47290527894711</v>
      </c>
      <c r="T6" s="106">
        <f>S5+Cashflows!E6-O6+N6*(Assumptions!$C$6+Assumptions!$C$25)+H6+I6-L6-P6+U6-S6</f>
        <v>0</v>
      </c>
      <c r="U6" s="119">
        <f t="shared" si="4"/>
        <v>0</v>
      </c>
      <c r="V6" s="26"/>
      <c r="W6" s="26"/>
      <c r="X6" s="26"/>
      <c r="Y6" s="26"/>
      <c r="Z6" s="26"/>
    </row>
    <row r="7" spans="1:134" ht="21.75" customHeight="1" x14ac:dyDescent="0.3">
      <c r="A7" s="232" t="s">
        <v>462</v>
      </c>
      <c r="B7" s="101">
        <f>B5+B6-B4</f>
        <v>-256.30869597160427</v>
      </c>
      <c r="C7" s="26" t="s">
        <v>229</v>
      </c>
      <c r="D7" s="103" t="s">
        <v>742</v>
      </c>
      <c r="E7" s="26"/>
      <c r="F7" s="319">
        <v>4</v>
      </c>
      <c r="G7" s="101">
        <f t="shared" si="5"/>
        <v>174.31206084222865</v>
      </c>
      <c r="H7" s="106">
        <f>G7*(Assumptions!$C$6+Assumptions!$C$25)</f>
        <v>6.1009221294780032</v>
      </c>
      <c r="I7" s="131">
        <v>0</v>
      </c>
      <c r="J7" s="101">
        <f t="shared" si="0"/>
        <v>180.41298297170664</v>
      </c>
      <c r="K7" s="106">
        <f>Cashflows!B7*'Premium Calculation'!$B$9</f>
        <v>72073.31049053387</v>
      </c>
      <c r="L7" s="101">
        <f>IF(SUM(K7:$K$43)=0,0,J7*K7/SUM(K7:$K$43))</f>
        <v>30.703338412775146</v>
      </c>
      <c r="M7" s="101">
        <f t="shared" si="1"/>
        <v>149.7096445589315</v>
      </c>
      <c r="N7" s="101">
        <f t="shared" si="6"/>
        <v>-714.096178450156</v>
      </c>
      <c r="O7" s="106">
        <f>Cashflows!F7+Cashflows!I7+Cashflows!J7</f>
        <v>237.35669709214744</v>
      </c>
      <c r="P7" s="101">
        <f t="shared" si="2"/>
        <v>9.2428798874539719</v>
      </c>
      <c r="Q7" s="106">
        <f>N7*(1+Assumptions!$C$6+Assumptions!$C$25)+Cashflows!E7-O7</f>
        <v>-571.07525209667097</v>
      </c>
      <c r="R7" s="101">
        <f t="shared" si="7"/>
        <v>45.068332441526188</v>
      </c>
      <c r="S7" s="101">
        <f t="shared" si="3"/>
        <v>-376.2972750962133</v>
      </c>
      <c r="T7" s="106">
        <f>S6+Cashflows!E7-O7+N7*(Assumptions!$C$6+Assumptions!$C$25)+H7+I7-L7-P7+U7-S7</f>
        <v>0</v>
      </c>
      <c r="U7" s="119">
        <f t="shared" si="4"/>
        <v>0</v>
      </c>
      <c r="V7" s="26"/>
      <c r="W7" s="26"/>
      <c r="X7" s="26"/>
      <c r="Y7" s="26"/>
      <c r="Z7" s="26"/>
    </row>
    <row r="8" spans="1:134" ht="21.75" customHeight="1" x14ac:dyDescent="0.3">
      <c r="A8" s="232" t="s">
        <v>463</v>
      </c>
      <c r="B8" s="101">
        <f>MAX(-B7,0)</f>
        <v>256.30869597160427</v>
      </c>
      <c r="C8" s="26" t="s">
        <v>229</v>
      </c>
      <c r="D8" s="103" t="s">
        <v>743</v>
      </c>
      <c r="E8" s="26"/>
      <c r="F8" s="319">
        <v>5</v>
      </c>
      <c r="G8" s="101">
        <f t="shared" si="5"/>
        <v>149.7096445589315</v>
      </c>
      <c r="H8" s="106">
        <f>G8*(Assumptions!$C$6+Assumptions!$C$25)</f>
        <v>5.239837559562603</v>
      </c>
      <c r="I8" s="131">
        <v>0</v>
      </c>
      <c r="J8" s="101">
        <f t="shared" si="0"/>
        <v>154.9494821184941</v>
      </c>
      <c r="K8" s="106">
        <f>Cashflows!B8*'Premium Calculation'!$B$9</f>
        <v>66725.993685201451</v>
      </c>
      <c r="L8" s="101">
        <f>IF(SUM(K8:$K$43)=0,0,J8*K8/SUM(K8:$K$43))</f>
        <v>29.420261500275107</v>
      </c>
      <c r="M8" s="101">
        <f t="shared" si="1"/>
        <v>125.529220618219</v>
      </c>
      <c r="N8" s="101">
        <f t="shared" si="6"/>
        <v>-571.07525209667097</v>
      </c>
      <c r="O8" s="106">
        <f>Cashflows!F8+Cashflows!I8+Cashflows!J8</f>
        <v>229.33787726904364</v>
      </c>
      <c r="P8" s="101">
        <f t="shared" si="2"/>
        <v>8.5571252493574868</v>
      </c>
      <c r="Q8" s="106">
        <f>N8*(1+Assumptions!$C$6+Assumptions!$C$25)+Cashflows!E8-O8</f>
        <v>-445.10536029701075</v>
      </c>
      <c r="R8" s="101">
        <f t="shared" si="7"/>
        <v>36.511207192168698</v>
      </c>
      <c r="S8" s="101">
        <f t="shared" si="3"/>
        <v>-283.06493248662309</v>
      </c>
      <c r="T8" s="106">
        <f>S7+Cashflows!E8-O8+N8*(Assumptions!$C$6+Assumptions!$C$25)+H8+I8-L8-P8+U8-S8</f>
        <v>0</v>
      </c>
      <c r="U8" s="119">
        <f t="shared" si="4"/>
        <v>0</v>
      </c>
      <c r="V8" s="26"/>
      <c r="W8" s="26"/>
      <c r="X8" s="26"/>
      <c r="Y8" s="26"/>
      <c r="Z8" s="26"/>
    </row>
    <row r="9" spans="1:134" ht="21.75" customHeight="1" x14ac:dyDescent="0.3">
      <c r="A9" s="232" t="s">
        <v>464</v>
      </c>
      <c r="B9" s="101">
        <f>MAX(B7,0)</f>
        <v>0</v>
      </c>
      <c r="C9" s="26" t="s">
        <v>229</v>
      </c>
      <c r="D9" s="103" t="s">
        <v>744</v>
      </c>
      <c r="E9" s="26"/>
      <c r="F9" s="319">
        <v>6</v>
      </c>
      <c r="G9" s="101">
        <f t="shared" si="5"/>
        <v>125.529220618219</v>
      </c>
      <c r="H9" s="106">
        <f>G9*(Assumptions!$C$6+Assumptions!$C$25)</f>
        <v>4.3935227216376651</v>
      </c>
      <c r="I9" s="131">
        <v>0</v>
      </c>
      <c r="J9" s="101">
        <f t="shared" si="0"/>
        <v>129.92274333985665</v>
      </c>
      <c r="K9" s="106">
        <f>Cashflows!B9*'Premium Calculation'!$B$9</f>
        <v>62509.819273434339</v>
      </c>
      <c r="L9" s="101">
        <f>IF(SUM(K9:$K$43)=0,0,J9*K9/SUM(K9:$K$43))</f>
        <v>28.525947044968412</v>
      </c>
      <c r="M9" s="101">
        <f t="shared" si="1"/>
        <v>101.39679629488825</v>
      </c>
      <c r="N9" s="101">
        <f t="shared" si="6"/>
        <v>-445.10536029701075</v>
      </c>
      <c r="O9" s="106">
        <f>Cashflows!F9+Cashflows!I9+Cashflows!J9</f>
        <v>224.31263919299218</v>
      </c>
      <c r="P9" s="101">
        <f t="shared" si="2"/>
        <v>8.0164314279235658</v>
      </c>
      <c r="Q9" s="106">
        <f>N9*(1+Assumptions!$C$6+Assumptions!$C$25)+Cashflows!E9-O9</f>
        <v>-333.41484450375503</v>
      </c>
      <c r="R9" s="101">
        <f t="shared" si="7"/>
        <v>28.494775764245134</v>
      </c>
      <c r="S9" s="101">
        <f t="shared" si="3"/>
        <v>-203.52327244462168</v>
      </c>
      <c r="T9" s="106">
        <f>S8+Cashflows!E9-O9+N9*(Assumptions!$C$6+Assumptions!$C$25)+H9+I9-L9-P9+U9-S9</f>
        <v>0</v>
      </c>
      <c r="U9" s="119">
        <f t="shared" si="4"/>
        <v>0</v>
      </c>
      <c r="V9" s="26"/>
      <c r="W9" s="26"/>
      <c r="X9" s="26"/>
      <c r="Y9" s="26"/>
      <c r="Z9" s="26"/>
    </row>
    <row r="10" spans="1:134" ht="21.75" customHeight="1" x14ac:dyDescent="0.3">
      <c r="A10" s="232" t="s">
        <v>465</v>
      </c>
      <c r="B10" s="101" t="str">
        <f>IF(B9&gt;0,"YES","NO")</f>
        <v>NO</v>
      </c>
      <c r="C10" s="26"/>
      <c r="D10" s="103" t="s">
        <v>745</v>
      </c>
      <c r="E10" s="26"/>
      <c r="F10" s="319">
        <v>7</v>
      </c>
      <c r="G10" s="101">
        <f t="shared" si="5"/>
        <v>101.39679629488825</v>
      </c>
      <c r="H10" s="106">
        <f>G10*(Assumptions!$C$6+Assumptions!$C$25)</f>
        <v>3.5488878703210891</v>
      </c>
      <c r="I10" s="131">
        <v>0</v>
      </c>
      <c r="J10" s="101">
        <f t="shared" si="0"/>
        <v>104.94568416520934</v>
      </c>
      <c r="K10" s="106">
        <f>Cashflows!B10*'Premium Calculation'!$B$9</f>
        <v>59144.187885656516</v>
      </c>
      <c r="L10" s="101">
        <f>IF(SUM(K10:$K$43)=0,0,J10*K10/SUM(K10:$K$43))</f>
        <v>27.934715392682971</v>
      </c>
      <c r="M10" s="101">
        <f t="shared" si="1"/>
        <v>77.010968772526368</v>
      </c>
      <c r="N10" s="101">
        <f t="shared" si="6"/>
        <v>-333.41484450375503</v>
      </c>
      <c r="O10" s="106">
        <f>Cashflows!F10+Cashflows!I10+Cashflows!J10</f>
        <v>221.67378435122652</v>
      </c>
      <c r="P10" s="101">
        <f t="shared" si="2"/>
        <v>7.5848135869925422</v>
      </c>
      <c r="Q10" s="106">
        <f>N10*(1+Assumptions!$C$6+Assumptions!$C$25)+Cashflows!E10-O10</f>
        <v>-234.10604995168677</v>
      </c>
      <c r="R10" s="101">
        <f t="shared" si="7"/>
        <v>20.909962177252591</v>
      </c>
      <c r="S10" s="101">
        <f t="shared" si="3"/>
        <v>-136.18511900190782</v>
      </c>
      <c r="T10" s="106">
        <f>S9+Cashflows!E10-O10+N10*(Assumptions!$C$6+Assumptions!$C$25)+H10+I10-L10-P10+U10-S10</f>
        <v>0</v>
      </c>
      <c r="U10" s="119">
        <f t="shared" si="4"/>
        <v>0</v>
      </c>
      <c r="V10" s="26"/>
      <c r="W10" s="26"/>
      <c r="X10" s="26"/>
      <c r="Y10" s="26"/>
      <c r="Z10" s="26"/>
    </row>
    <row r="11" spans="1:134" ht="21.75" customHeight="1" x14ac:dyDescent="0.3">
      <c r="A11" s="232" t="s">
        <v>466</v>
      </c>
      <c r="B11" s="101">
        <f>O4+L4+P4</f>
        <v>1326.0047803159482</v>
      </c>
      <c r="C11" s="26" t="s">
        <v>229</v>
      </c>
      <c r="D11" s="103" t="s">
        <v>746</v>
      </c>
      <c r="E11" s="26"/>
      <c r="F11" s="319">
        <v>8</v>
      </c>
      <c r="G11" s="101">
        <f t="shared" si="5"/>
        <v>77.010968772526368</v>
      </c>
      <c r="H11" s="106">
        <f>G11*(Assumptions!$C$6+Assumptions!$C$25)</f>
        <v>2.6953839070384231</v>
      </c>
      <c r="I11" s="131">
        <v>0</v>
      </c>
      <c r="J11" s="101">
        <f t="shared" si="0"/>
        <v>79.706352679564787</v>
      </c>
      <c r="K11" s="106">
        <f>Cashflows!B11*'Premium Calculation'!$B$9</f>
        <v>56428.870757313729</v>
      </c>
      <c r="L11" s="101">
        <f>IF(SUM(K11:$K$43)=0,0,J11*K11/SUM(K11:$K$43))</f>
        <v>27.585057102296897</v>
      </c>
      <c r="M11" s="101">
        <f t="shared" si="1"/>
        <v>52.121295577267887</v>
      </c>
      <c r="N11" s="101">
        <f t="shared" si="6"/>
        <v>-234.10604995168677</v>
      </c>
      <c r="O11" s="106">
        <f>Cashflows!F11+Cashflows!I11+Cashflows!J11</f>
        <v>220.99038908361229</v>
      </c>
      <c r="P11" s="101">
        <f t="shared" si="2"/>
        <v>7.2365938382005801</v>
      </c>
      <c r="Q11" s="106">
        <f>N11*(1+Assumptions!$C$6+Assumptions!$C$25)+Cashflows!E11-O11</f>
        <v>-145.91015213537</v>
      </c>
      <c r="R11" s="101">
        <f t="shared" si="7"/>
        <v>13.673368339052011</v>
      </c>
      <c r="S11" s="101">
        <f t="shared" si="3"/>
        <v>-80.115488219050093</v>
      </c>
      <c r="T11" s="106">
        <f>S10+Cashflows!E11-O11+N11*(Assumptions!$C$6+Assumptions!$C$25)+H11+I11-L11-P11+U11-S11</f>
        <v>0</v>
      </c>
      <c r="U11" s="119">
        <f t="shared" si="4"/>
        <v>0</v>
      </c>
      <c r="V11" s="26"/>
      <c r="W11" s="26"/>
      <c r="X11" s="26"/>
      <c r="Y11" s="26"/>
      <c r="Z11" s="26"/>
    </row>
    <row r="12" spans="1:134" ht="21.75" customHeight="1" x14ac:dyDescent="0.3">
      <c r="A12" s="232" t="s">
        <v>467</v>
      </c>
      <c r="B12" s="101">
        <f>O4</f>
        <v>1274.7576102371374</v>
      </c>
      <c r="C12" s="26" t="s">
        <v>229</v>
      </c>
      <c r="D12" s="103" t="s">
        <v>747</v>
      </c>
      <c r="E12" s="26"/>
      <c r="F12" s="319">
        <v>9</v>
      </c>
      <c r="G12" s="101">
        <f t="shared" si="5"/>
        <v>52.121295577267887</v>
      </c>
      <c r="H12" s="106">
        <f>G12*(Assumptions!$C$6+Assumptions!$C$25)</f>
        <v>1.8242453452043763</v>
      </c>
      <c r="I12" s="131">
        <v>0</v>
      </c>
      <c r="J12" s="101">
        <f t="shared" si="0"/>
        <v>53.945540922472262</v>
      </c>
      <c r="K12" s="106">
        <f>Cashflows!B12*'Premium Calculation'!$B$9</f>
        <v>54217.94375590593</v>
      </c>
      <c r="L12" s="101">
        <f>IF(SUM(K12:$K$43)=0,0,J12*K12/SUM(K12:$K$43))</f>
        <v>27.431901991088658</v>
      </c>
      <c r="M12" s="101">
        <f t="shared" si="1"/>
        <v>26.513638931383603</v>
      </c>
      <c r="N12" s="101">
        <f t="shared" si="6"/>
        <v>-145.91015213537</v>
      </c>
      <c r="O12" s="106">
        <f>Cashflows!F12+Cashflows!I12+Cashflows!J12</f>
        <v>221.95191387305519</v>
      </c>
      <c r="P12" s="101">
        <f t="shared" si="2"/>
        <v>6.9530584687988224</v>
      </c>
      <c r="Q12" s="106">
        <f>N12*(1+Assumptions!$C$6+Assumptions!$C$25)+Cashflows!E12-O12</f>
        <v>-68.024117635680142</v>
      </c>
      <c r="R12" s="101">
        <f t="shared" si="7"/>
        <v>6.7203098702531889</v>
      </c>
      <c r="S12" s="101">
        <f t="shared" si="3"/>
        <v>-34.790168834043349</v>
      </c>
      <c r="T12" s="106">
        <f>S11+Cashflows!E12-O12+N12*(Assumptions!$C$6+Assumptions!$C$25)+H12+I12-L12-P12+U12-S12</f>
        <v>0</v>
      </c>
      <c r="U12" s="119">
        <f t="shared" si="4"/>
        <v>0</v>
      </c>
      <c r="V12" s="26"/>
      <c r="W12" s="26"/>
      <c r="X12" s="26"/>
      <c r="Y12" s="26"/>
      <c r="Z12" s="26"/>
    </row>
    <row r="13" spans="1:134" ht="21.75" customHeight="1" x14ac:dyDescent="0.3">
      <c r="A13" s="232" t="s">
        <v>468</v>
      </c>
      <c r="B13" s="101">
        <f>B11-B12</f>
        <v>51.247170078810768</v>
      </c>
      <c r="C13" s="26" t="s">
        <v>229</v>
      </c>
      <c r="D13" s="103" t="s">
        <v>748</v>
      </c>
      <c r="E13" s="26"/>
      <c r="F13" s="319">
        <v>10</v>
      </c>
      <c r="G13" s="101">
        <f t="shared" si="5"/>
        <v>26.513638931383603</v>
      </c>
      <c r="H13" s="106">
        <f>G13*(Assumptions!$C$6+Assumptions!$C$25)</f>
        <v>0.92797736259842623</v>
      </c>
      <c r="I13" s="131">
        <v>0</v>
      </c>
      <c r="J13" s="101">
        <f t="shared" si="0"/>
        <v>27.44161629398203</v>
      </c>
      <c r="K13" s="106">
        <f>Cashflows!B13*'Premium Calculation'!$B$9</f>
        <v>52403.037339996903</v>
      </c>
      <c r="L13" s="101">
        <f>IF(SUM(K13:$K$43)=0,0,J13*K13/SUM(K13:$K$43))</f>
        <v>27.44161629398203</v>
      </c>
      <c r="M13" s="101">
        <f t="shared" si="1"/>
        <v>0</v>
      </c>
      <c r="N13" s="101">
        <f t="shared" si="6"/>
        <v>-68.024117635680142</v>
      </c>
      <c r="O13" s="106">
        <f>Cashflows!F13+Cashflows!I13+Cashflows!J13</f>
        <v>224.33203540691744</v>
      </c>
      <c r="P13" s="101">
        <f t="shared" si="2"/>
        <v>6.7203098702531801</v>
      </c>
      <c r="Q13" s="106">
        <f>N13*(1+Assumptions!$C$6+Assumptions!$C$25)+Cashflows!E13-O13</f>
        <v>1.3073986337985843E-12</v>
      </c>
      <c r="R13" s="101">
        <f t="shared" si="7"/>
        <v>8.8817841970012523E-15</v>
      </c>
      <c r="S13" s="101">
        <f t="shared" si="3"/>
        <v>1.3162804179955856E-12</v>
      </c>
      <c r="T13" s="106">
        <f>S12+Cashflows!E13-O13+N13*(Assumptions!$C$6+Assumptions!$C$25)+H13+I13-L13-P13+U13-S13</f>
        <v>0</v>
      </c>
      <c r="U13" s="119">
        <f t="shared" si="4"/>
        <v>0</v>
      </c>
      <c r="V13" s="26"/>
      <c r="W13" s="26"/>
      <c r="X13" s="26"/>
      <c r="Y13" s="26"/>
      <c r="Z13" s="26"/>
    </row>
    <row r="14" spans="1:134" ht="21.75" customHeight="1" x14ac:dyDescent="0.3">
      <c r="A14" s="232" t="s">
        <v>469</v>
      </c>
      <c r="B14" s="106">
        <f>N4*(Assumptions!C6+Assumptions!C25)+H4</f>
        <v>-3.0989494671882873</v>
      </c>
      <c r="C14" s="26" t="s">
        <v>229</v>
      </c>
      <c r="D14" s="103" t="s">
        <v>749</v>
      </c>
      <c r="E14" s="26"/>
      <c r="F14" s="319">
        <v>11</v>
      </c>
      <c r="G14" s="101">
        <f t="shared" si="5"/>
        <v>0</v>
      </c>
      <c r="H14" s="106">
        <f>G14*(Assumptions!$C$6+Assumptions!$C$25)</f>
        <v>0</v>
      </c>
      <c r="I14" s="131">
        <v>0</v>
      </c>
      <c r="J14" s="101">
        <f t="shared" si="0"/>
        <v>0</v>
      </c>
      <c r="K14" s="106">
        <f>Cashflows!B14*'Premium Calculation'!$B$9</f>
        <v>0</v>
      </c>
      <c r="L14" s="101">
        <f>IF(SUM(K14:$K$43)=0,0,J14*K14/SUM(K14:$K$43))</f>
        <v>0</v>
      </c>
      <c r="M14" s="101">
        <f t="shared" si="1"/>
        <v>0</v>
      </c>
      <c r="N14" s="101">
        <f t="shared" si="6"/>
        <v>1.3073986337985843E-12</v>
      </c>
      <c r="O14" s="106">
        <f>Cashflows!F14+Cashflows!I14+Cashflows!J14</f>
        <v>0</v>
      </c>
      <c r="P14" s="101">
        <f t="shared" si="2"/>
        <v>0</v>
      </c>
      <c r="Q14" s="106">
        <f>N14*(1+Assumptions!$C$6+Assumptions!$C$25)+Cashflows!E14-O14</f>
        <v>1.3531575859815348E-12</v>
      </c>
      <c r="R14" s="101">
        <f t="shared" si="7"/>
        <v>8.8817841970012523E-15</v>
      </c>
      <c r="S14" s="101">
        <f t="shared" si="3"/>
        <v>1.362039370178536E-12</v>
      </c>
      <c r="T14" s="106">
        <f>S13+Cashflows!E14-O14+N14*(Assumptions!$C$6+Assumptions!$C$25)+H14+I14-L14-P14+U14-S14</f>
        <v>0</v>
      </c>
      <c r="U14" s="119">
        <f t="shared" si="4"/>
        <v>0</v>
      </c>
      <c r="V14" s="26"/>
      <c r="W14" s="26"/>
      <c r="X14" s="26"/>
      <c r="Y14" s="26"/>
      <c r="Z14" s="26"/>
    </row>
    <row r="15" spans="1:134" ht="21.75" customHeight="1" x14ac:dyDescent="0.3">
      <c r="A15" s="232" t="s">
        <v>470</v>
      </c>
      <c r="B15" s="101">
        <f>B7+B8</f>
        <v>0</v>
      </c>
      <c r="C15" s="26" t="s">
        <v>229</v>
      </c>
      <c r="D15" s="103" t="s">
        <v>471</v>
      </c>
      <c r="E15" s="26"/>
      <c r="F15" s="319">
        <v>12</v>
      </c>
      <c r="G15" s="101">
        <f t="shared" si="5"/>
        <v>0</v>
      </c>
      <c r="H15" s="106">
        <f>G15*(Assumptions!$C$6+Assumptions!$C$25)</f>
        <v>0</v>
      </c>
      <c r="I15" s="131">
        <v>0</v>
      </c>
      <c r="J15" s="101">
        <f t="shared" si="0"/>
        <v>0</v>
      </c>
      <c r="K15" s="106">
        <f>Cashflows!B15*'Premium Calculation'!$B$9</f>
        <v>0</v>
      </c>
      <c r="L15" s="101">
        <f>IF(SUM(K15:$K$43)=0,0,J15*K15/SUM(K15:$K$43))</f>
        <v>0</v>
      </c>
      <c r="M15" s="101">
        <f t="shared" si="1"/>
        <v>0</v>
      </c>
      <c r="N15" s="101">
        <f t="shared" si="6"/>
        <v>1.3531575859815348E-12</v>
      </c>
      <c r="O15" s="106">
        <f>Cashflows!F15+Cashflows!I15+Cashflows!J15</f>
        <v>0</v>
      </c>
      <c r="P15" s="101">
        <f t="shared" si="2"/>
        <v>0</v>
      </c>
      <c r="Q15" s="106">
        <f>N15*(1+Assumptions!$C$6+Assumptions!$C$25)+Cashflows!E15-O15</f>
        <v>1.4005181014908883E-12</v>
      </c>
      <c r="R15" s="101">
        <f t="shared" si="7"/>
        <v>8.8817841970012523E-15</v>
      </c>
      <c r="S15" s="101">
        <f t="shared" si="3"/>
        <v>1.4093998856878896E-12</v>
      </c>
      <c r="T15" s="106">
        <f>S14+Cashflows!E15-O15+N15*(Assumptions!$C$6+Assumptions!$C$25)+H15+I15-L15-P15+U15-S15</f>
        <v>0</v>
      </c>
      <c r="U15" s="119">
        <f t="shared" si="4"/>
        <v>0</v>
      </c>
      <c r="V15" s="26"/>
      <c r="W15" s="26"/>
      <c r="X15" s="26"/>
      <c r="Y15" s="26"/>
      <c r="Z15" s="26"/>
    </row>
    <row r="16" spans="1:134" ht="21.75" customHeight="1" x14ac:dyDescent="0.3">
      <c r="A16" s="232" t="s">
        <v>472</v>
      </c>
      <c r="B16" s="101">
        <f>Q4+R4+M4</f>
        <v>-766.6611460688373</v>
      </c>
      <c r="C16" s="26" t="s">
        <v>229</v>
      </c>
      <c r="D16" s="103" t="s">
        <v>750</v>
      </c>
      <c r="E16" s="26"/>
      <c r="F16" s="319">
        <v>13</v>
      </c>
      <c r="G16" s="101">
        <f t="shared" si="5"/>
        <v>0</v>
      </c>
      <c r="H16" s="106">
        <f>G16*(Assumptions!$C$6+Assumptions!$C$25)</f>
        <v>0</v>
      </c>
      <c r="I16" s="131">
        <v>0</v>
      </c>
      <c r="J16" s="101">
        <f t="shared" si="0"/>
        <v>0</v>
      </c>
      <c r="K16" s="106">
        <f>Cashflows!B16*'Premium Calculation'!$B$9</f>
        <v>0</v>
      </c>
      <c r="L16" s="101">
        <f>IF(SUM(K16:$K$43)=0,0,J16*K16/SUM(K16:$K$43))</f>
        <v>0</v>
      </c>
      <c r="M16" s="101">
        <f t="shared" si="1"/>
        <v>0</v>
      </c>
      <c r="N16" s="101">
        <f t="shared" si="6"/>
        <v>1.4005181014908883E-12</v>
      </c>
      <c r="O16" s="106">
        <f>Cashflows!F16+Cashflows!I16+Cashflows!J16</f>
        <v>0</v>
      </c>
      <c r="P16" s="101">
        <f t="shared" si="2"/>
        <v>0</v>
      </c>
      <c r="Q16" s="106">
        <f>N16*(1+Assumptions!$C$6+Assumptions!$C$25)+Cashflows!E16-O16</f>
        <v>1.4495362350430694E-12</v>
      </c>
      <c r="R16" s="101">
        <f t="shared" si="7"/>
        <v>8.8817841970012523E-15</v>
      </c>
      <c r="S16" s="101">
        <f t="shared" si="3"/>
        <v>1.4584180192400706E-12</v>
      </c>
      <c r="T16" s="106">
        <f>S15+Cashflows!E16-O16+N16*(Assumptions!$C$6+Assumptions!$C$25)+H16+I16-L16-P16+U16-S16</f>
        <v>0</v>
      </c>
      <c r="U16" s="119">
        <f t="shared" si="4"/>
        <v>0</v>
      </c>
      <c r="V16" s="26"/>
      <c r="W16" s="26"/>
      <c r="X16" s="26"/>
      <c r="Y16" s="26"/>
      <c r="Z16" s="26"/>
    </row>
    <row r="17" spans="1:26" ht="21.75" customHeight="1" x14ac:dyDescent="0.3">
      <c r="A17" s="232" t="s">
        <v>473</v>
      </c>
      <c r="B17" s="131">
        <v>0</v>
      </c>
      <c r="C17" s="26" t="s">
        <v>229</v>
      </c>
      <c r="D17" s="103" t="s">
        <v>751</v>
      </c>
      <c r="E17" s="26"/>
      <c r="F17" s="319">
        <v>14</v>
      </c>
      <c r="G17" s="101">
        <f t="shared" si="5"/>
        <v>0</v>
      </c>
      <c r="H17" s="106">
        <f>G17*(Assumptions!$C$6+Assumptions!$C$25)</f>
        <v>0</v>
      </c>
      <c r="I17" s="131">
        <v>0</v>
      </c>
      <c r="J17" s="101">
        <f t="shared" si="0"/>
        <v>0</v>
      </c>
      <c r="K17" s="106">
        <f>Cashflows!B17*'Premium Calculation'!$B$9</f>
        <v>0</v>
      </c>
      <c r="L17" s="101">
        <f>IF(SUM(K17:$K$43)=0,0,J17*K17/SUM(K17:$K$43))</f>
        <v>0</v>
      </c>
      <c r="M17" s="101">
        <f t="shared" si="1"/>
        <v>0</v>
      </c>
      <c r="N17" s="101">
        <f t="shared" si="6"/>
        <v>1.4495362350430694E-12</v>
      </c>
      <c r="O17" s="106">
        <f>Cashflows!F17+Cashflows!I17+Cashflows!J17</f>
        <v>0</v>
      </c>
      <c r="P17" s="101">
        <f t="shared" si="2"/>
        <v>0</v>
      </c>
      <c r="Q17" s="106">
        <f>N17*(1+Assumptions!$C$6+Assumptions!$C$25)+Cashflows!E17-O17</f>
        <v>1.5002700032695766E-12</v>
      </c>
      <c r="R17" s="101">
        <f t="shared" si="7"/>
        <v>8.8817841970012523E-15</v>
      </c>
      <c r="S17" s="101">
        <f t="shared" si="3"/>
        <v>1.5091517874665779E-12</v>
      </c>
      <c r="T17" s="106">
        <f>S16+Cashflows!E17-O17+N17*(Assumptions!$C$6+Assumptions!$C$25)+H17+I17-L17-P17+U17-S17</f>
        <v>0</v>
      </c>
      <c r="U17" s="119">
        <f t="shared" si="4"/>
        <v>0</v>
      </c>
      <c r="V17" s="26"/>
      <c r="W17" s="26"/>
      <c r="X17" s="26"/>
      <c r="Y17" s="26"/>
      <c r="Z17" s="26"/>
    </row>
    <row r="18" spans="1:26" ht="21.75" customHeight="1" x14ac:dyDescent="0.3">
      <c r="A18" s="232" t="s">
        <v>474</v>
      </c>
      <c r="B18" s="106">
        <f>B15+Cashflows!E4-O4+B14+I4+U4-L4-P4-B16</f>
        <v>0</v>
      </c>
      <c r="C18" s="26" t="s">
        <v>229</v>
      </c>
      <c r="D18" s="103"/>
      <c r="E18" s="26"/>
      <c r="F18" s="319">
        <v>15</v>
      </c>
      <c r="G18" s="101">
        <f t="shared" si="5"/>
        <v>0</v>
      </c>
      <c r="H18" s="106">
        <f>G18*(Assumptions!$C$6+Assumptions!$C$25)</f>
        <v>0</v>
      </c>
      <c r="I18" s="131">
        <v>0</v>
      </c>
      <c r="J18" s="101">
        <f t="shared" si="0"/>
        <v>0</v>
      </c>
      <c r="K18" s="106">
        <f>Cashflows!B18*'Premium Calculation'!$B$9</f>
        <v>0</v>
      </c>
      <c r="L18" s="101">
        <f>IF(SUM(K18:$K$43)=0,0,J18*K18/SUM(K18:$K$43))</f>
        <v>0</v>
      </c>
      <c r="M18" s="101">
        <f t="shared" si="1"/>
        <v>0</v>
      </c>
      <c r="N18" s="101">
        <f t="shared" si="6"/>
        <v>1.5002700032695766E-12</v>
      </c>
      <c r="O18" s="106">
        <f>Cashflows!F18+Cashflows!I18+Cashflows!J18</f>
        <v>0</v>
      </c>
      <c r="P18" s="101">
        <f t="shared" si="2"/>
        <v>0</v>
      </c>
      <c r="Q18" s="106">
        <f>N18*(1+Assumptions!$C$6+Assumptions!$C$25)+Cashflows!E18-O18</f>
        <v>1.5527794533840117E-12</v>
      </c>
      <c r="R18" s="101">
        <f t="shared" si="7"/>
        <v>8.8817841970012523E-15</v>
      </c>
      <c r="S18" s="101">
        <f t="shared" si="3"/>
        <v>1.5616612375810129E-12</v>
      </c>
      <c r="T18" s="106">
        <f>S17+Cashflows!E18-O18+N18*(Assumptions!$C$6+Assumptions!$C$25)+H18+I18-L18-P18+U18-S18</f>
        <v>0</v>
      </c>
      <c r="U18" s="119">
        <f t="shared" si="4"/>
        <v>0</v>
      </c>
      <c r="V18" s="26"/>
      <c r="W18" s="26"/>
      <c r="X18" s="26"/>
      <c r="Y18" s="26"/>
      <c r="Z18" s="26"/>
    </row>
    <row r="19" spans="1:26" ht="21.75" customHeight="1" thickBot="1" x14ac:dyDescent="0.35">
      <c r="A19" s="233" t="s">
        <v>475</v>
      </c>
      <c r="B19" s="109">
        <f>B8+SUM(H4:H43)+SUM(I4:I43)-SUM(L4:L43)-M43</f>
        <v>1.1368683772161603E-13</v>
      </c>
      <c r="C19" s="110" t="s">
        <v>229</v>
      </c>
      <c r="D19" s="111" t="s">
        <v>752</v>
      </c>
      <c r="E19" s="26"/>
      <c r="F19" s="319">
        <v>16</v>
      </c>
      <c r="G19" s="101">
        <f t="shared" si="5"/>
        <v>0</v>
      </c>
      <c r="H19" s="106">
        <f>G19*(Assumptions!$C$6+Assumptions!$C$25)</f>
        <v>0</v>
      </c>
      <c r="I19" s="131">
        <v>0</v>
      </c>
      <c r="J19" s="101">
        <f t="shared" si="0"/>
        <v>0</v>
      </c>
      <c r="K19" s="106">
        <f>Cashflows!B19*'Premium Calculation'!$B$9</f>
        <v>0</v>
      </c>
      <c r="L19" s="101">
        <f>IF(SUM(K19:$K$43)=0,0,J19*K19/SUM(K19:$K$43))</f>
        <v>0</v>
      </c>
      <c r="M19" s="101">
        <f t="shared" si="1"/>
        <v>0</v>
      </c>
      <c r="N19" s="101">
        <f t="shared" si="6"/>
        <v>1.5527794533840117E-12</v>
      </c>
      <c r="O19" s="106">
        <f>Cashflows!F19+Cashflows!I19+Cashflows!J19</f>
        <v>0</v>
      </c>
      <c r="P19" s="101">
        <f t="shared" si="2"/>
        <v>0</v>
      </c>
      <c r="Q19" s="106">
        <f>N19*(1+Assumptions!$C$6+Assumptions!$C$25)+Cashflows!E19-O19</f>
        <v>1.6071267342524519E-12</v>
      </c>
      <c r="R19" s="101">
        <f t="shared" si="7"/>
        <v>8.8817841970012523E-15</v>
      </c>
      <c r="S19" s="101">
        <f t="shared" si="3"/>
        <v>1.6160085184494532E-12</v>
      </c>
      <c r="T19" s="106">
        <f>S18+Cashflows!E19-O19+N19*(Assumptions!$C$6+Assumptions!$C$25)+H19+I19-L19-P19+U19-S19</f>
        <v>0</v>
      </c>
      <c r="U19" s="119">
        <f t="shared" si="4"/>
        <v>0</v>
      </c>
      <c r="V19" s="26"/>
      <c r="W19" s="26"/>
      <c r="X19" s="26"/>
      <c r="Y19" s="26"/>
      <c r="Z19" s="26"/>
    </row>
    <row r="20" spans="1:26" ht="21.75" customHeight="1" x14ac:dyDescent="0.3">
      <c r="A20" s="26"/>
      <c r="B20" s="131"/>
      <c r="C20" s="26"/>
      <c r="D20" s="26"/>
      <c r="E20" s="26"/>
      <c r="F20" s="319">
        <v>17</v>
      </c>
      <c r="G20" s="101">
        <f t="shared" si="5"/>
        <v>0</v>
      </c>
      <c r="H20" s="106">
        <f>G20*(Assumptions!$C$6+Assumptions!$C$25)</f>
        <v>0</v>
      </c>
      <c r="I20" s="131">
        <v>0</v>
      </c>
      <c r="J20" s="101">
        <f t="shared" si="0"/>
        <v>0</v>
      </c>
      <c r="K20" s="106">
        <f>Cashflows!B20*'Premium Calculation'!$B$9</f>
        <v>0</v>
      </c>
      <c r="L20" s="101">
        <f>IF(SUM(K20:$K$43)=0,0,J20*K20/SUM(K20:$K$43))</f>
        <v>0</v>
      </c>
      <c r="M20" s="101">
        <f t="shared" si="1"/>
        <v>0</v>
      </c>
      <c r="N20" s="101">
        <f t="shared" si="6"/>
        <v>1.6071267342524519E-12</v>
      </c>
      <c r="O20" s="106">
        <f>Cashflows!F20+Cashflows!I20+Cashflows!J20</f>
        <v>0</v>
      </c>
      <c r="P20" s="101">
        <f t="shared" si="2"/>
        <v>0</v>
      </c>
      <c r="Q20" s="106">
        <f>N20*(1+Assumptions!$C$6+Assumptions!$C$25)+Cashflows!E20-O20</f>
        <v>1.6633761699512875E-12</v>
      </c>
      <c r="R20" s="101">
        <f t="shared" si="7"/>
        <v>8.8817841970012523E-15</v>
      </c>
      <c r="S20" s="101">
        <f t="shared" si="3"/>
        <v>1.6722579541482888E-12</v>
      </c>
      <c r="T20" s="106">
        <f>S19+Cashflows!E20-O20+N20*(Assumptions!$C$6+Assumptions!$C$25)+H20+I20-L20-P20+U20-S20</f>
        <v>0</v>
      </c>
      <c r="U20" s="119">
        <f t="shared" si="4"/>
        <v>0</v>
      </c>
      <c r="V20" s="26"/>
      <c r="W20" s="26"/>
      <c r="X20" s="26"/>
      <c r="Y20" s="26"/>
      <c r="Z20" s="26"/>
    </row>
    <row r="21" spans="1:26" ht="21.75" customHeight="1" x14ac:dyDescent="0.3">
      <c r="A21" s="26"/>
      <c r="B21" s="131"/>
      <c r="C21" s="26"/>
      <c r="D21" s="26"/>
      <c r="E21" s="26"/>
      <c r="F21" s="319">
        <v>18</v>
      </c>
      <c r="G21" s="101">
        <f t="shared" si="5"/>
        <v>0</v>
      </c>
      <c r="H21" s="106">
        <f>G21*(Assumptions!$C$6+Assumptions!$C$25)</f>
        <v>0</v>
      </c>
      <c r="I21" s="131">
        <v>0</v>
      </c>
      <c r="J21" s="101">
        <f t="shared" si="0"/>
        <v>0</v>
      </c>
      <c r="K21" s="106">
        <f>Cashflows!B21*'Premium Calculation'!$B$9</f>
        <v>0</v>
      </c>
      <c r="L21" s="101">
        <f>IF(SUM(K21:$K$43)=0,0,J21*K21/SUM(K21:$K$43))</f>
        <v>0</v>
      </c>
      <c r="M21" s="101">
        <f t="shared" si="1"/>
        <v>0</v>
      </c>
      <c r="N21" s="101">
        <f t="shared" si="6"/>
        <v>1.6633761699512875E-12</v>
      </c>
      <c r="O21" s="106">
        <f>Cashflows!F21+Cashflows!I21+Cashflows!J21</f>
        <v>0</v>
      </c>
      <c r="P21" s="101">
        <f t="shared" si="2"/>
        <v>0</v>
      </c>
      <c r="Q21" s="106">
        <f>N21*(1+Assumptions!$C$6+Assumptions!$C$25)+Cashflows!E21-O21</f>
        <v>1.7215943358995824E-12</v>
      </c>
      <c r="R21" s="101">
        <f t="shared" si="7"/>
        <v>8.8817841970012523E-15</v>
      </c>
      <c r="S21" s="101">
        <f t="shared" si="3"/>
        <v>1.7304761200965837E-12</v>
      </c>
      <c r="T21" s="106">
        <f>S20+Cashflows!E21-O21+N21*(Assumptions!$C$6+Assumptions!$C$25)+H21+I21-L21-P21+U21-S21</f>
        <v>0</v>
      </c>
      <c r="U21" s="119">
        <f t="shared" si="4"/>
        <v>0</v>
      </c>
      <c r="V21" s="26"/>
      <c r="W21" s="26"/>
      <c r="X21" s="26"/>
      <c r="Y21" s="26"/>
      <c r="Z21" s="26"/>
    </row>
    <row r="22" spans="1:26" ht="21.75" customHeight="1" x14ac:dyDescent="0.3">
      <c r="A22" s="27" t="s">
        <v>753</v>
      </c>
      <c r="B22" s="131"/>
      <c r="C22" s="26"/>
      <c r="D22" s="26"/>
      <c r="E22" s="26"/>
      <c r="F22" s="319">
        <v>19</v>
      </c>
      <c r="G22" s="101">
        <f>M21</f>
        <v>0</v>
      </c>
      <c r="H22" s="106">
        <f>G22*(Assumptions!$C$6+Assumptions!$C$25)</f>
        <v>0</v>
      </c>
      <c r="I22" s="131">
        <v>0</v>
      </c>
      <c r="J22" s="101">
        <f t="shared" si="0"/>
        <v>0</v>
      </c>
      <c r="K22" s="106">
        <f>Cashflows!B22*'Premium Calculation'!$B$9</f>
        <v>0</v>
      </c>
      <c r="L22" s="101">
        <f>IF(SUM(K22:$K$43)=0,0,J22*K22/SUM(K22:$K$43))</f>
        <v>0</v>
      </c>
      <c r="M22" s="101">
        <f t="shared" si="1"/>
        <v>0</v>
      </c>
      <c r="N22" s="101">
        <f>Q21</f>
        <v>1.7215943358995824E-12</v>
      </c>
      <c r="O22" s="106">
        <f>Cashflows!F22+Cashflows!I22+Cashflows!J22</f>
        <v>0</v>
      </c>
      <c r="P22" s="101">
        <f t="shared" si="2"/>
        <v>0</v>
      </c>
      <c r="Q22" s="106">
        <f>N22*(1+Assumptions!$C$6+Assumptions!$C$25)+Cashflows!E22-O22</f>
        <v>1.7818501376560677E-12</v>
      </c>
      <c r="R22" s="101">
        <f>R21-P22</f>
        <v>8.8817841970012523E-15</v>
      </c>
      <c r="S22" s="101">
        <f t="shared" si="3"/>
        <v>1.790731921853069E-12</v>
      </c>
      <c r="T22" s="106">
        <f>S21+Cashflows!E22-O22+N22*(Assumptions!$C$6+Assumptions!$C$25)+H22+I22-L22-P22+U22-S22</f>
        <v>0</v>
      </c>
      <c r="U22" s="119">
        <f t="shared" si="4"/>
        <v>0</v>
      </c>
      <c r="V22" s="26"/>
      <c r="W22" s="26"/>
      <c r="X22" s="26"/>
      <c r="Y22" s="26"/>
      <c r="Z22" s="26"/>
    </row>
    <row r="23" spans="1:26" ht="21.75" customHeight="1" x14ac:dyDescent="0.3">
      <c r="A23" s="26"/>
      <c r="B23" s="26"/>
      <c r="C23" s="26"/>
      <c r="D23" s="26"/>
      <c r="E23" s="26"/>
      <c r="F23" s="319">
        <v>20</v>
      </c>
      <c r="G23" s="101">
        <f t="shared" si="5"/>
        <v>0</v>
      </c>
      <c r="H23" s="106">
        <f>G23*(Assumptions!$C$6+Assumptions!$C$25)</f>
        <v>0</v>
      </c>
      <c r="I23" s="131">
        <v>0</v>
      </c>
      <c r="J23" s="101">
        <f t="shared" si="0"/>
        <v>0</v>
      </c>
      <c r="K23" s="106">
        <f>Cashflows!B23*'Premium Calculation'!$B$9</f>
        <v>0</v>
      </c>
      <c r="L23" s="101">
        <f>IF(SUM(K23:$K$43)=0,0,J23*K23/SUM(K23:$K$43))</f>
        <v>0</v>
      </c>
      <c r="M23" s="101">
        <f t="shared" si="1"/>
        <v>0</v>
      </c>
      <c r="N23" s="101">
        <f t="shared" si="6"/>
        <v>1.7818501376560677E-12</v>
      </c>
      <c r="O23" s="106">
        <f>Cashflows!F23+Cashflows!I23+Cashflows!J23</f>
        <v>0</v>
      </c>
      <c r="P23" s="101">
        <f t="shared" si="2"/>
        <v>0</v>
      </c>
      <c r="Q23" s="106">
        <f>N23*(1+Assumptions!$C$6+Assumptions!$C$25)+Cashflows!E23-O23</f>
        <v>1.84421489247403E-12</v>
      </c>
      <c r="R23" s="101">
        <f t="shared" si="7"/>
        <v>8.8817841970012523E-15</v>
      </c>
      <c r="S23" s="101">
        <f t="shared" si="3"/>
        <v>1.8530966766710312E-12</v>
      </c>
      <c r="T23" s="106">
        <f>S22+Cashflows!E23-O23+N23*(Assumptions!$C$6+Assumptions!$C$25)+H23+I23-L23-P23+U23-S23</f>
        <v>0</v>
      </c>
      <c r="U23" s="119">
        <f t="shared" si="4"/>
        <v>0</v>
      </c>
      <c r="V23" s="26"/>
      <c r="W23" s="26"/>
      <c r="X23" s="26"/>
      <c r="Y23" s="26"/>
      <c r="Z23" s="26"/>
    </row>
    <row r="24" spans="1:26" ht="21.75" customHeight="1" x14ac:dyDescent="0.3">
      <c r="A24" s="26"/>
      <c r="B24" s="26"/>
      <c r="C24" s="26"/>
      <c r="D24" s="26"/>
      <c r="E24" s="26"/>
      <c r="F24" s="319">
        <v>21</v>
      </c>
      <c r="G24" s="101">
        <f t="shared" si="5"/>
        <v>0</v>
      </c>
      <c r="H24" s="106">
        <f>G24*(Assumptions!$C$6+Assumptions!$C$25)</f>
        <v>0</v>
      </c>
      <c r="I24" s="131">
        <v>0</v>
      </c>
      <c r="J24" s="101">
        <f t="shared" si="0"/>
        <v>0</v>
      </c>
      <c r="K24" s="106">
        <f>Cashflows!B24*'Premium Calculation'!$B$9</f>
        <v>0</v>
      </c>
      <c r="L24" s="101">
        <f>IF(SUM(K24:$K$43)=0,0,J24*K24/SUM(K24:$K$43))</f>
        <v>0</v>
      </c>
      <c r="M24" s="101">
        <f t="shared" si="1"/>
        <v>0</v>
      </c>
      <c r="N24" s="101">
        <f t="shared" si="6"/>
        <v>1.84421489247403E-12</v>
      </c>
      <c r="O24" s="106">
        <f>Cashflows!F24+Cashflows!I24+Cashflows!J24</f>
        <v>0</v>
      </c>
      <c r="P24" s="101">
        <f t="shared" si="2"/>
        <v>0</v>
      </c>
      <c r="Q24" s="106">
        <f>N24*(1+Assumptions!$C$6+Assumptions!$C$25)+Cashflows!E24-O24</f>
        <v>1.9087624137106211E-12</v>
      </c>
      <c r="R24" s="101">
        <f t="shared" si="7"/>
        <v>8.8817841970012523E-15</v>
      </c>
      <c r="S24" s="101">
        <f t="shared" si="3"/>
        <v>1.9176441979076223E-12</v>
      </c>
      <c r="T24" s="106">
        <f>S23+Cashflows!E24-O24+N24*(Assumptions!$C$6+Assumptions!$C$25)+H24+I24-L24-P24+U24-S24</f>
        <v>0</v>
      </c>
      <c r="U24" s="119">
        <f t="shared" si="4"/>
        <v>0</v>
      </c>
      <c r="V24" s="26"/>
      <c r="W24" s="26"/>
      <c r="X24" s="26"/>
      <c r="Y24" s="26"/>
      <c r="Z24" s="26"/>
    </row>
    <row r="25" spans="1:26" ht="21.75" customHeight="1" x14ac:dyDescent="0.3">
      <c r="A25" s="26"/>
      <c r="B25" s="26"/>
      <c r="C25" s="26"/>
      <c r="D25" s="26"/>
      <c r="E25" s="26"/>
      <c r="F25" s="319">
        <v>22</v>
      </c>
      <c r="G25" s="101">
        <f t="shared" si="5"/>
        <v>0</v>
      </c>
      <c r="H25" s="106">
        <f>G25*(Assumptions!$C$6+Assumptions!$C$25)</f>
        <v>0</v>
      </c>
      <c r="I25" s="131">
        <v>0</v>
      </c>
      <c r="J25" s="101">
        <f t="shared" si="0"/>
        <v>0</v>
      </c>
      <c r="K25" s="106">
        <f>Cashflows!B25*'Premium Calculation'!$B$9</f>
        <v>0</v>
      </c>
      <c r="L25" s="101">
        <f>IF(SUM(K25:$K$43)=0,0,J25*K25/SUM(K25:$K$43))</f>
        <v>0</v>
      </c>
      <c r="M25" s="101">
        <f t="shared" si="1"/>
        <v>0</v>
      </c>
      <c r="N25" s="101">
        <f t="shared" si="6"/>
        <v>1.9087624137106211E-12</v>
      </c>
      <c r="O25" s="106">
        <f>Cashflows!F25+Cashflows!I25+Cashflows!J25</f>
        <v>0</v>
      </c>
      <c r="P25" s="101">
        <f t="shared" si="2"/>
        <v>0</v>
      </c>
      <c r="Q25" s="106">
        <f>N25*(1+Assumptions!$C$6+Assumptions!$C$25)+Cashflows!E25-O25</f>
        <v>1.9755690981904924E-12</v>
      </c>
      <c r="R25" s="101">
        <f t="shared" si="7"/>
        <v>8.8817841970012523E-15</v>
      </c>
      <c r="S25" s="101">
        <f t="shared" si="3"/>
        <v>1.9844508823874937E-12</v>
      </c>
      <c r="T25" s="106">
        <f>S24+Cashflows!E25-O25+N25*(Assumptions!$C$6+Assumptions!$C$25)+H25+I25-L25-P25+U25-S25</f>
        <v>0</v>
      </c>
      <c r="U25" s="119">
        <f t="shared" si="4"/>
        <v>0</v>
      </c>
      <c r="V25" s="26"/>
      <c r="W25" s="26"/>
      <c r="X25" s="26"/>
      <c r="Y25" s="26"/>
      <c r="Z25" s="26"/>
    </row>
    <row r="26" spans="1:26" ht="21.75" customHeight="1" x14ac:dyDescent="0.3">
      <c r="A26" s="26"/>
      <c r="B26" s="26"/>
      <c r="C26" s="26"/>
      <c r="D26" s="26"/>
      <c r="E26" s="26"/>
      <c r="F26" s="319">
        <v>23</v>
      </c>
      <c r="G26" s="101">
        <f t="shared" si="5"/>
        <v>0</v>
      </c>
      <c r="H26" s="106">
        <f>G26*(Assumptions!$C$6+Assumptions!$C$25)</f>
        <v>0</v>
      </c>
      <c r="I26" s="131">
        <v>0</v>
      </c>
      <c r="J26" s="101">
        <f t="shared" si="0"/>
        <v>0</v>
      </c>
      <c r="K26" s="106">
        <f>Cashflows!B26*'Premium Calculation'!$B$9</f>
        <v>0</v>
      </c>
      <c r="L26" s="101">
        <f>IF(SUM(K26:$K$43)=0,0,J26*K26/SUM(K26:$K$43))</f>
        <v>0</v>
      </c>
      <c r="M26" s="101">
        <f t="shared" si="1"/>
        <v>0</v>
      </c>
      <c r="N26" s="101">
        <f t="shared" si="6"/>
        <v>1.9755690981904924E-12</v>
      </c>
      <c r="O26" s="106">
        <f>Cashflows!F26+Cashflows!I26+Cashflows!J26</f>
        <v>0</v>
      </c>
      <c r="P26" s="101">
        <f t="shared" si="2"/>
        <v>0</v>
      </c>
      <c r="Q26" s="106">
        <f>N26*(1+Assumptions!$C$6+Assumptions!$C$25)+Cashflows!E26-O26</f>
        <v>2.0447140166271595E-12</v>
      </c>
      <c r="R26" s="101">
        <f t="shared" si="7"/>
        <v>8.8817841970012523E-15</v>
      </c>
      <c r="S26" s="101">
        <f t="shared" si="3"/>
        <v>2.0535958008241607E-12</v>
      </c>
      <c r="T26" s="106">
        <f>S25+Cashflows!E26-O26+N26*(Assumptions!$C$6+Assumptions!$C$25)+H26+I26-L26-P26+U26-S26</f>
        <v>0</v>
      </c>
      <c r="U26" s="119">
        <f t="shared" si="4"/>
        <v>0</v>
      </c>
      <c r="V26" s="26"/>
      <c r="W26" s="26"/>
      <c r="X26" s="26"/>
      <c r="Y26" s="26"/>
      <c r="Z26" s="26"/>
    </row>
    <row r="27" spans="1:26" ht="21.75" customHeight="1" x14ac:dyDescent="0.3">
      <c r="A27" s="26"/>
      <c r="B27" s="26"/>
      <c r="C27" s="26"/>
      <c r="D27" s="26"/>
      <c r="E27" s="26"/>
      <c r="F27" s="319">
        <v>24</v>
      </c>
      <c r="G27" s="101">
        <f t="shared" si="5"/>
        <v>0</v>
      </c>
      <c r="H27" s="106">
        <f>G27*(Assumptions!$C$6+Assumptions!$C$25)</f>
        <v>0</v>
      </c>
      <c r="I27" s="131">
        <v>0</v>
      </c>
      <c r="J27" s="101">
        <f t="shared" si="0"/>
        <v>0</v>
      </c>
      <c r="K27" s="106">
        <f>Cashflows!B27*'Premium Calculation'!$B$9</f>
        <v>0</v>
      </c>
      <c r="L27" s="101">
        <f>IF(SUM(K27:$K$43)=0,0,J27*K27/SUM(K27:$K$43))</f>
        <v>0</v>
      </c>
      <c r="M27" s="101">
        <f t="shared" si="1"/>
        <v>0</v>
      </c>
      <c r="N27" s="101">
        <f t="shared" si="6"/>
        <v>2.0447140166271595E-12</v>
      </c>
      <c r="O27" s="106">
        <f>Cashflows!F27+Cashflows!I27+Cashflows!J27</f>
        <v>0</v>
      </c>
      <c r="P27" s="101">
        <f t="shared" si="2"/>
        <v>0</v>
      </c>
      <c r="Q27" s="106">
        <f>N27*(1+Assumptions!$C$6+Assumptions!$C$25)+Cashflows!E27-O27</f>
        <v>2.1162790072091098E-12</v>
      </c>
      <c r="R27" s="101">
        <f t="shared" si="7"/>
        <v>8.8817841970012523E-15</v>
      </c>
      <c r="S27" s="101">
        <f t="shared" si="3"/>
        <v>2.1251607914061111E-12</v>
      </c>
      <c r="T27" s="106">
        <f>S26+Cashflows!E27-O27+N27*(Assumptions!$C$6+Assumptions!$C$25)+H27+I27-L27-P27+U27-S27</f>
        <v>0</v>
      </c>
      <c r="U27" s="119">
        <f t="shared" si="4"/>
        <v>0</v>
      </c>
      <c r="V27" s="26"/>
      <c r="W27" s="26"/>
      <c r="X27" s="26"/>
      <c r="Y27" s="26"/>
      <c r="Z27" s="26"/>
    </row>
    <row r="28" spans="1:26" ht="21.75" customHeight="1" x14ac:dyDescent="0.3">
      <c r="A28" s="26"/>
      <c r="B28" s="26"/>
      <c r="C28" s="26"/>
      <c r="D28" s="26"/>
      <c r="E28" s="26"/>
      <c r="F28" s="319">
        <v>25</v>
      </c>
      <c r="G28" s="101">
        <f t="shared" si="5"/>
        <v>0</v>
      </c>
      <c r="H28" s="106">
        <f>G28*(Assumptions!$C$6+Assumptions!$C$25)</f>
        <v>0</v>
      </c>
      <c r="I28" s="131">
        <v>0</v>
      </c>
      <c r="J28" s="101">
        <f t="shared" si="0"/>
        <v>0</v>
      </c>
      <c r="K28" s="106">
        <f>Cashflows!B28*'Premium Calculation'!$B$9</f>
        <v>0</v>
      </c>
      <c r="L28" s="101">
        <f>IF(SUM(K28:$K$43)=0,0,J28*K28/SUM(K28:$K$43))</f>
        <v>0</v>
      </c>
      <c r="M28" s="101">
        <f t="shared" si="1"/>
        <v>0</v>
      </c>
      <c r="N28" s="101">
        <f t="shared" si="6"/>
        <v>2.1162790072091098E-12</v>
      </c>
      <c r="O28" s="106">
        <f>Cashflows!F28+Cashflows!I28+Cashflows!J28</f>
        <v>0</v>
      </c>
      <c r="P28" s="101">
        <f t="shared" si="2"/>
        <v>0</v>
      </c>
      <c r="Q28" s="106">
        <f>N28*(1+Assumptions!$C$6+Assumptions!$C$25)+Cashflows!E28-O28</f>
        <v>2.1903487724614287E-12</v>
      </c>
      <c r="R28" s="101">
        <f t="shared" si="7"/>
        <v>8.8817841970012523E-15</v>
      </c>
      <c r="S28" s="101">
        <f t="shared" si="3"/>
        <v>2.1992305566584299E-12</v>
      </c>
      <c r="T28" s="106">
        <f>S27+Cashflows!E28-O28+N28*(Assumptions!$C$6+Assumptions!$C$25)+H28+I28-L28-P28+U28-S28</f>
        <v>0</v>
      </c>
      <c r="U28" s="119">
        <f t="shared" si="4"/>
        <v>0</v>
      </c>
      <c r="V28" s="26"/>
      <c r="W28" s="26"/>
      <c r="X28" s="26"/>
      <c r="Y28" s="26"/>
      <c r="Z28" s="26"/>
    </row>
    <row r="29" spans="1:26" ht="21.75" customHeight="1" x14ac:dyDescent="0.3">
      <c r="A29" s="26"/>
      <c r="B29" s="26"/>
      <c r="C29" s="26"/>
      <c r="D29" s="26"/>
      <c r="E29" s="26"/>
      <c r="F29" s="319">
        <v>26</v>
      </c>
      <c r="G29" s="101">
        <f t="shared" si="5"/>
        <v>0</v>
      </c>
      <c r="H29" s="106">
        <f>G29*(Assumptions!$C$6+Assumptions!$C$25)</f>
        <v>0</v>
      </c>
      <c r="I29" s="131">
        <v>0</v>
      </c>
      <c r="J29" s="101">
        <f t="shared" si="0"/>
        <v>0</v>
      </c>
      <c r="K29" s="106">
        <f>Cashflows!B29*'Premium Calculation'!$B$9</f>
        <v>0</v>
      </c>
      <c r="L29" s="101">
        <f>IF(SUM(K29:$K$43)=0,0,J29*K29/SUM(K29:$K$43))</f>
        <v>0</v>
      </c>
      <c r="M29" s="101">
        <f t="shared" si="1"/>
        <v>0</v>
      </c>
      <c r="N29" s="101">
        <f t="shared" si="6"/>
        <v>2.1903487724614287E-12</v>
      </c>
      <c r="O29" s="106">
        <f>Cashflows!F29+Cashflows!I29+Cashflows!J29</f>
        <v>0</v>
      </c>
      <c r="P29" s="101">
        <f t="shared" si="2"/>
        <v>0</v>
      </c>
      <c r="Q29" s="106">
        <f>N29*(1+Assumptions!$C$6+Assumptions!$C$25)+Cashflows!E29-O29</f>
        <v>2.2670109794975787E-12</v>
      </c>
      <c r="R29" s="101">
        <f t="shared" si="7"/>
        <v>8.8817841970012523E-15</v>
      </c>
      <c r="S29" s="101">
        <f t="shared" si="3"/>
        <v>2.27589276369458E-12</v>
      </c>
      <c r="T29" s="106">
        <f>S28+Cashflows!E29-O29+N29*(Assumptions!$C$6+Assumptions!$C$25)+H29+I29-L29-P29+U29-S29</f>
        <v>0</v>
      </c>
      <c r="U29" s="119">
        <f t="shared" si="4"/>
        <v>0</v>
      </c>
      <c r="V29" s="26"/>
      <c r="W29" s="26"/>
      <c r="X29" s="26"/>
      <c r="Y29" s="26"/>
      <c r="Z29" s="26"/>
    </row>
    <row r="30" spans="1:26" ht="21.75" customHeight="1" x14ac:dyDescent="0.3">
      <c r="A30" s="26"/>
      <c r="B30" s="26"/>
      <c r="C30" s="26"/>
      <c r="D30" s="26"/>
      <c r="E30" s="26"/>
      <c r="F30" s="319">
        <v>27</v>
      </c>
      <c r="G30" s="101">
        <f t="shared" si="5"/>
        <v>0</v>
      </c>
      <c r="H30" s="106">
        <f>G30*(Assumptions!$C$6+Assumptions!$C$25)</f>
        <v>0</v>
      </c>
      <c r="I30" s="131">
        <v>0</v>
      </c>
      <c r="J30" s="101">
        <f t="shared" si="0"/>
        <v>0</v>
      </c>
      <c r="K30" s="106">
        <f>Cashflows!B30*'Premium Calculation'!$B$9</f>
        <v>0</v>
      </c>
      <c r="L30" s="101">
        <f>IF(SUM(K30:$K$43)=0,0,J30*K30/SUM(K30:$K$43))</f>
        <v>0</v>
      </c>
      <c r="M30" s="101">
        <f t="shared" si="1"/>
        <v>0</v>
      </c>
      <c r="N30" s="101">
        <f t="shared" si="6"/>
        <v>2.2670109794975787E-12</v>
      </c>
      <c r="O30" s="106">
        <f>Cashflows!F30+Cashflows!I30+Cashflows!J30</f>
        <v>0</v>
      </c>
      <c r="P30" s="101">
        <f t="shared" si="2"/>
        <v>0</v>
      </c>
      <c r="Q30" s="106">
        <f>N30*(1+Assumptions!$C$6+Assumptions!$C$25)+Cashflows!E30-O30</f>
        <v>2.3463563637799938E-12</v>
      </c>
      <c r="R30" s="101">
        <f t="shared" si="7"/>
        <v>8.8817841970012523E-15</v>
      </c>
      <c r="S30" s="101">
        <f t="shared" si="3"/>
        <v>2.355238147976995E-12</v>
      </c>
      <c r="T30" s="106">
        <f>S29+Cashflows!E30-O30+N30*(Assumptions!$C$6+Assumptions!$C$25)+H30+I30-L30-P30+U30-S30</f>
        <v>0</v>
      </c>
      <c r="U30" s="119">
        <f t="shared" si="4"/>
        <v>0</v>
      </c>
      <c r="V30" s="26"/>
      <c r="W30" s="26"/>
      <c r="X30" s="26"/>
      <c r="Y30" s="26"/>
      <c r="Z30" s="26"/>
    </row>
    <row r="31" spans="1:26" ht="21.75" customHeight="1" x14ac:dyDescent="0.3">
      <c r="A31" s="26"/>
      <c r="B31" s="26"/>
      <c r="C31" s="26"/>
      <c r="D31" s="26"/>
      <c r="E31" s="26"/>
      <c r="F31" s="319">
        <v>28</v>
      </c>
      <c r="G31" s="101">
        <f t="shared" si="5"/>
        <v>0</v>
      </c>
      <c r="H31" s="106">
        <f>G31*(Assumptions!$C$6+Assumptions!$C$25)</f>
        <v>0</v>
      </c>
      <c r="I31" s="131">
        <v>0</v>
      </c>
      <c r="J31" s="101">
        <f t="shared" si="0"/>
        <v>0</v>
      </c>
      <c r="K31" s="106">
        <f>Cashflows!B31*'Premium Calculation'!$B$9</f>
        <v>0</v>
      </c>
      <c r="L31" s="101">
        <f>IF(SUM(K31:$K$43)=0,0,J31*K31/SUM(K31:$K$43))</f>
        <v>0</v>
      </c>
      <c r="M31" s="101">
        <f t="shared" si="1"/>
        <v>0</v>
      </c>
      <c r="N31" s="101">
        <f t="shared" si="6"/>
        <v>2.3463563637799938E-12</v>
      </c>
      <c r="O31" s="106">
        <f>Cashflows!F31+Cashflows!I31+Cashflows!J31</f>
        <v>0</v>
      </c>
      <c r="P31" s="101">
        <f t="shared" si="2"/>
        <v>0</v>
      </c>
      <c r="Q31" s="106">
        <f>N31*(1+Assumptions!$C$6+Assumptions!$C$25)+Cashflows!E31-O31</f>
        <v>2.4284788365122933E-12</v>
      </c>
      <c r="R31" s="101">
        <f t="shared" si="7"/>
        <v>8.8817841970012523E-15</v>
      </c>
      <c r="S31" s="101">
        <f t="shared" si="3"/>
        <v>2.4373606207092946E-12</v>
      </c>
      <c r="T31" s="106">
        <f>S30+Cashflows!E31-O31+N31*(Assumptions!$C$6+Assumptions!$C$25)+H31+I31-L31-P31+U31-S31</f>
        <v>0</v>
      </c>
      <c r="U31" s="119">
        <f t="shared" si="4"/>
        <v>0</v>
      </c>
      <c r="V31" s="26"/>
      <c r="W31" s="26"/>
      <c r="X31" s="26"/>
      <c r="Y31" s="26"/>
      <c r="Z31" s="26"/>
    </row>
    <row r="32" spans="1:26" ht="21.75" customHeight="1" x14ac:dyDescent="0.3">
      <c r="A32" s="26"/>
      <c r="B32" s="26"/>
      <c r="C32" s="26"/>
      <c r="D32" s="26"/>
      <c r="E32" s="26"/>
      <c r="F32" s="319">
        <v>29</v>
      </c>
      <c r="G32" s="101">
        <f t="shared" si="5"/>
        <v>0</v>
      </c>
      <c r="H32" s="106">
        <f>G32*(Assumptions!$C$6+Assumptions!$C$25)</f>
        <v>0</v>
      </c>
      <c r="I32" s="131">
        <v>0</v>
      </c>
      <c r="J32" s="101">
        <f t="shared" si="0"/>
        <v>0</v>
      </c>
      <c r="K32" s="106">
        <f>Cashflows!B32*'Premium Calculation'!$B$9</f>
        <v>0</v>
      </c>
      <c r="L32" s="101">
        <f>IF(SUM(K32:$K$43)=0,0,J32*K32/SUM(K32:$K$43))</f>
        <v>0</v>
      </c>
      <c r="M32" s="101">
        <f t="shared" si="1"/>
        <v>0</v>
      </c>
      <c r="N32" s="101">
        <f t="shared" si="6"/>
        <v>2.4284788365122933E-12</v>
      </c>
      <c r="O32" s="106">
        <f>Cashflows!F32+Cashflows!I32+Cashflows!J32</f>
        <v>0</v>
      </c>
      <c r="P32" s="101">
        <f t="shared" si="2"/>
        <v>0</v>
      </c>
      <c r="Q32" s="106">
        <f>N32*(1+Assumptions!$C$6+Assumptions!$C$25)+Cashflows!E32-O32</f>
        <v>2.5134755957902236E-12</v>
      </c>
      <c r="R32" s="101">
        <f t="shared" si="7"/>
        <v>8.8817841970012523E-15</v>
      </c>
      <c r="S32" s="101">
        <f t="shared" si="3"/>
        <v>2.5223573799872249E-12</v>
      </c>
      <c r="T32" s="106">
        <f>S31+Cashflows!E32-O32+N32*(Assumptions!$C$6+Assumptions!$C$25)+H32+I32-L32-P32+U32-S32</f>
        <v>0</v>
      </c>
      <c r="U32" s="119">
        <f t="shared" si="4"/>
        <v>0</v>
      </c>
      <c r="V32" s="26"/>
      <c r="W32" s="26"/>
      <c r="X32" s="26"/>
      <c r="Y32" s="26"/>
      <c r="Z32" s="26"/>
    </row>
    <row r="33" spans="1:26" ht="21.75" customHeight="1" x14ac:dyDescent="0.3">
      <c r="A33" s="26"/>
      <c r="B33" s="26"/>
      <c r="C33" s="26"/>
      <c r="D33" s="26"/>
      <c r="E33" s="26"/>
      <c r="F33" s="319">
        <v>30</v>
      </c>
      <c r="G33" s="101">
        <f t="shared" si="5"/>
        <v>0</v>
      </c>
      <c r="H33" s="106">
        <f>G33*(Assumptions!$C$6+Assumptions!$C$25)</f>
        <v>0</v>
      </c>
      <c r="I33" s="131">
        <v>0</v>
      </c>
      <c r="J33" s="101">
        <f t="shared" si="0"/>
        <v>0</v>
      </c>
      <c r="K33" s="106">
        <f>Cashflows!B33*'Premium Calculation'!$B$9</f>
        <v>0</v>
      </c>
      <c r="L33" s="101">
        <f>IF(SUM(K33:$K$43)=0,0,J33*K33/SUM(K33:$K$43))</f>
        <v>0</v>
      </c>
      <c r="M33" s="101">
        <f t="shared" si="1"/>
        <v>0</v>
      </c>
      <c r="N33" s="101">
        <f t="shared" si="6"/>
        <v>2.5134755957902236E-12</v>
      </c>
      <c r="O33" s="106">
        <f>Cashflows!F33+Cashflows!I33+Cashflows!J33</f>
        <v>0</v>
      </c>
      <c r="P33" s="101">
        <f t="shared" si="2"/>
        <v>0</v>
      </c>
      <c r="Q33" s="106">
        <f>N33*(1+Assumptions!$C$6+Assumptions!$C$25)+Cashflows!E33-O33</f>
        <v>2.6014472416428812E-12</v>
      </c>
      <c r="R33" s="101">
        <f t="shared" si="7"/>
        <v>8.8817841970012523E-15</v>
      </c>
      <c r="S33" s="101">
        <f t="shared" si="3"/>
        <v>2.6103290258398824E-12</v>
      </c>
      <c r="T33" s="106">
        <f>S32+Cashflows!E33-O33+N33*(Assumptions!$C$6+Assumptions!$C$25)+H33+I33-L33-P33+U33-S33</f>
        <v>0</v>
      </c>
      <c r="U33" s="119">
        <f t="shared" si="4"/>
        <v>0</v>
      </c>
      <c r="V33" s="26"/>
      <c r="W33" s="26"/>
      <c r="X33" s="26"/>
      <c r="Y33" s="26"/>
      <c r="Z33" s="26"/>
    </row>
    <row r="34" spans="1:26" ht="21.75" customHeight="1" x14ac:dyDescent="0.3">
      <c r="A34" s="26"/>
      <c r="B34" s="26"/>
      <c r="C34" s="26"/>
      <c r="D34" s="26"/>
      <c r="E34" s="26"/>
      <c r="F34" s="319">
        <v>31</v>
      </c>
      <c r="G34" s="101">
        <f t="shared" si="5"/>
        <v>0</v>
      </c>
      <c r="H34" s="106">
        <f>G34*(Assumptions!$C$6+Assumptions!$C$25)</f>
        <v>0</v>
      </c>
      <c r="I34" s="131">
        <v>0</v>
      </c>
      <c r="J34" s="101">
        <f t="shared" si="0"/>
        <v>0</v>
      </c>
      <c r="K34" s="106">
        <f>Cashflows!B34*'Premium Calculation'!$B$9</f>
        <v>0</v>
      </c>
      <c r="L34" s="101">
        <f>IF(SUM(K34:$K$43)=0,0,J34*K34/SUM(K34:$K$43))</f>
        <v>0</v>
      </c>
      <c r="M34" s="101">
        <f t="shared" si="1"/>
        <v>0</v>
      </c>
      <c r="N34" s="101">
        <f t="shared" si="6"/>
        <v>2.6014472416428812E-12</v>
      </c>
      <c r="O34" s="106">
        <f>Cashflows!F34+Cashflows!I34+Cashflows!J34</f>
        <v>0</v>
      </c>
      <c r="P34" s="101">
        <f t="shared" si="2"/>
        <v>0</v>
      </c>
      <c r="Q34" s="106">
        <f>N34*(1+Assumptions!$C$6+Assumptions!$C$25)+Cashflows!E34-O34</f>
        <v>2.6924978951003819E-12</v>
      </c>
      <c r="R34" s="101">
        <f t="shared" si="7"/>
        <v>8.8817841970012523E-15</v>
      </c>
      <c r="S34" s="101">
        <f t="shared" si="3"/>
        <v>2.7013796792973832E-12</v>
      </c>
      <c r="T34" s="106">
        <f>S33+Cashflows!E34-O34+N34*(Assumptions!$C$6+Assumptions!$C$25)+H34+I34-L34-P34+U34-S34</f>
        <v>0</v>
      </c>
      <c r="U34" s="119">
        <f t="shared" si="4"/>
        <v>0</v>
      </c>
      <c r="V34" s="26"/>
      <c r="W34" s="26"/>
      <c r="X34" s="26"/>
      <c r="Y34" s="26"/>
      <c r="Z34" s="26"/>
    </row>
    <row r="35" spans="1:26" ht="21.75" customHeight="1" x14ac:dyDescent="0.3">
      <c r="A35" s="26"/>
      <c r="B35" s="26"/>
      <c r="C35" s="26"/>
      <c r="D35" s="26"/>
      <c r="E35" s="26"/>
      <c r="F35" s="319">
        <v>32</v>
      </c>
      <c r="G35" s="101">
        <f t="shared" si="5"/>
        <v>0</v>
      </c>
      <c r="H35" s="106">
        <f>G35*(Assumptions!$C$6+Assumptions!$C$25)</f>
        <v>0</v>
      </c>
      <c r="I35" s="131">
        <v>0</v>
      </c>
      <c r="J35" s="101">
        <f t="shared" si="0"/>
        <v>0</v>
      </c>
      <c r="K35" s="106">
        <f>Cashflows!B35*'Premium Calculation'!$B$9</f>
        <v>0</v>
      </c>
      <c r="L35" s="101">
        <f>IF(SUM(K35:$K$43)=0,0,J35*K35/SUM(K35:$K$43))</f>
        <v>0</v>
      </c>
      <c r="M35" s="101">
        <f t="shared" si="1"/>
        <v>0</v>
      </c>
      <c r="N35" s="101">
        <f t="shared" si="6"/>
        <v>2.6924978951003819E-12</v>
      </c>
      <c r="O35" s="106">
        <f>Cashflows!F35+Cashflows!I35+Cashflows!J35</f>
        <v>0</v>
      </c>
      <c r="P35" s="101">
        <f t="shared" si="2"/>
        <v>0</v>
      </c>
      <c r="Q35" s="106">
        <f>N35*(1+Assumptions!$C$6+Assumptions!$C$25)+Cashflows!E35-O35</f>
        <v>2.7867353214288949E-12</v>
      </c>
      <c r="R35" s="101">
        <f t="shared" si="7"/>
        <v>8.8817841970012523E-15</v>
      </c>
      <c r="S35" s="101">
        <f t="shared" si="3"/>
        <v>2.7956171056258962E-12</v>
      </c>
      <c r="T35" s="106">
        <f>S34+Cashflows!E35-O35+N35*(Assumptions!$C$6+Assumptions!$C$25)+H35+I35-L35-P35+U35-S35</f>
        <v>0</v>
      </c>
      <c r="U35" s="119">
        <f t="shared" si="4"/>
        <v>0</v>
      </c>
      <c r="V35" s="26"/>
      <c r="W35" s="26"/>
      <c r="X35" s="26"/>
      <c r="Y35" s="26"/>
      <c r="Z35" s="26"/>
    </row>
    <row r="36" spans="1:26" ht="21.75" customHeight="1" x14ac:dyDescent="0.3">
      <c r="A36" s="26"/>
      <c r="B36" s="26"/>
      <c r="C36" s="26"/>
      <c r="D36" s="26"/>
      <c r="E36" s="26"/>
      <c r="F36" s="319">
        <v>33</v>
      </c>
      <c r="G36" s="101">
        <f t="shared" si="5"/>
        <v>0</v>
      </c>
      <c r="H36" s="106">
        <f>G36*(Assumptions!$C$6+Assumptions!$C$25)</f>
        <v>0</v>
      </c>
      <c r="I36" s="131">
        <v>0</v>
      </c>
      <c r="J36" s="101">
        <f t="shared" si="0"/>
        <v>0</v>
      </c>
      <c r="K36" s="106">
        <f>Cashflows!B36*'Premium Calculation'!$B$9</f>
        <v>0</v>
      </c>
      <c r="L36" s="101">
        <f>IF(SUM(K36:$K$43)=0,0,J36*K36/SUM(K36:$K$43))</f>
        <v>0</v>
      </c>
      <c r="M36" s="101">
        <f t="shared" si="1"/>
        <v>0</v>
      </c>
      <c r="N36" s="101">
        <f t="shared" si="6"/>
        <v>2.7867353214288949E-12</v>
      </c>
      <c r="O36" s="106">
        <f>Cashflows!F36+Cashflows!I36+Cashflows!J36</f>
        <v>0</v>
      </c>
      <c r="P36" s="101">
        <f t="shared" si="2"/>
        <v>0</v>
      </c>
      <c r="Q36" s="106">
        <f>N36*(1+Assumptions!$C$6+Assumptions!$C$25)+Cashflows!E36-O36</f>
        <v>2.8842710576789058E-12</v>
      </c>
      <c r="R36" s="101">
        <f t="shared" si="7"/>
        <v>8.8817841970012523E-15</v>
      </c>
      <c r="S36" s="101">
        <f t="shared" si="3"/>
        <v>2.8931528418759071E-12</v>
      </c>
      <c r="T36" s="106">
        <f>S35+Cashflows!E36-O36+N36*(Assumptions!$C$6+Assumptions!$C$25)+H36+I36-L36-P36+U36-S36</f>
        <v>0</v>
      </c>
      <c r="U36" s="119">
        <f t="shared" si="4"/>
        <v>0</v>
      </c>
      <c r="V36" s="26"/>
      <c r="W36" s="26"/>
      <c r="X36" s="26"/>
      <c r="Y36" s="26"/>
      <c r="Z36" s="26"/>
    </row>
    <row r="37" spans="1:26" ht="21.75" customHeight="1" x14ac:dyDescent="0.3">
      <c r="A37" s="26"/>
      <c r="B37" s="26"/>
      <c r="C37" s="26"/>
      <c r="D37" s="26"/>
      <c r="E37" s="26"/>
      <c r="F37" s="319">
        <v>34</v>
      </c>
      <c r="G37" s="101">
        <f t="shared" si="5"/>
        <v>0</v>
      </c>
      <c r="H37" s="106">
        <f>G37*(Assumptions!$C$6+Assumptions!$C$25)</f>
        <v>0</v>
      </c>
      <c r="I37" s="131">
        <v>0</v>
      </c>
      <c r="J37" s="101">
        <f t="shared" si="0"/>
        <v>0</v>
      </c>
      <c r="K37" s="106">
        <f>Cashflows!B37*'Premium Calculation'!$B$9</f>
        <v>0</v>
      </c>
      <c r="L37" s="101">
        <f>IF(SUM(K37:$K$43)=0,0,J37*K37/SUM(K37:$K$43))</f>
        <v>0</v>
      </c>
      <c r="M37" s="101">
        <f t="shared" si="1"/>
        <v>0</v>
      </c>
      <c r="N37" s="101">
        <f t="shared" si="6"/>
        <v>2.8842710576789058E-12</v>
      </c>
      <c r="O37" s="106">
        <f>Cashflows!F37+Cashflows!I37+Cashflows!J37</f>
        <v>0</v>
      </c>
      <c r="P37" s="101">
        <f t="shared" si="2"/>
        <v>0</v>
      </c>
      <c r="Q37" s="106">
        <f>N37*(1+Assumptions!$C$6+Assumptions!$C$25)+Cashflows!E37-O37</f>
        <v>2.9852205446976673E-12</v>
      </c>
      <c r="R37" s="101">
        <f t="shared" si="7"/>
        <v>8.8817841970012523E-15</v>
      </c>
      <c r="S37" s="101">
        <f t="shared" si="3"/>
        <v>2.9941023288946685E-12</v>
      </c>
      <c r="T37" s="106">
        <f>S36+Cashflows!E37-O37+N37*(Assumptions!$C$6+Assumptions!$C$25)+H37+I37-L37-P37+U37-S37</f>
        <v>0</v>
      </c>
      <c r="U37" s="119">
        <f t="shared" si="4"/>
        <v>0</v>
      </c>
      <c r="V37" s="26"/>
      <c r="W37" s="26"/>
      <c r="X37" s="26"/>
      <c r="Y37" s="26"/>
      <c r="Z37" s="26"/>
    </row>
    <row r="38" spans="1:26" ht="21.75" customHeight="1" x14ac:dyDescent="0.3">
      <c r="A38" s="26"/>
      <c r="B38" s="26"/>
      <c r="C38" s="26"/>
      <c r="D38" s="26"/>
      <c r="E38" s="26"/>
      <c r="F38" s="319">
        <v>35</v>
      </c>
      <c r="G38" s="101">
        <f t="shared" si="5"/>
        <v>0</v>
      </c>
      <c r="H38" s="106">
        <f>G38*(Assumptions!$C$6+Assumptions!$C$25)</f>
        <v>0</v>
      </c>
      <c r="I38" s="131">
        <v>0</v>
      </c>
      <c r="J38" s="101">
        <f t="shared" si="0"/>
        <v>0</v>
      </c>
      <c r="K38" s="106">
        <f>Cashflows!B38*'Premium Calculation'!$B$9</f>
        <v>0</v>
      </c>
      <c r="L38" s="101">
        <f>IF(SUM(K38:$K$43)=0,0,J38*K38/SUM(K38:$K$43))</f>
        <v>0</v>
      </c>
      <c r="M38" s="101">
        <f t="shared" si="1"/>
        <v>0</v>
      </c>
      <c r="N38" s="101">
        <f t="shared" si="6"/>
        <v>2.9852205446976673E-12</v>
      </c>
      <c r="O38" s="106">
        <f>Cashflows!F38+Cashflows!I38+Cashflows!J38</f>
        <v>0</v>
      </c>
      <c r="P38" s="101">
        <f t="shared" si="2"/>
        <v>0</v>
      </c>
      <c r="Q38" s="106">
        <f>N38*(1+Assumptions!$C$6+Assumptions!$C$25)+Cashflows!E38-O38</f>
        <v>3.0897032637620853E-12</v>
      </c>
      <c r="R38" s="101">
        <f t="shared" si="7"/>
        <v>8.8817841970012523E-15</v>
      </c>
      <c r="S38" s="101">
        <f t="shared" si="3"/>
        <v>3.0985850479590865E-12</v>
      </c>
      <c r="T38" s="106">
        <f>S37+Cashflows!E38-O38+N38*(Assumptions!$C$6+Assumptions!$C$25)+H38+I38-L38-P38+U38-S38</f>
        <v>0</v>
      </c>
      <c r="U38" s="119">
        <f t="shared" si="4"/>
        <v>0</v>
      </c>
      <c r="V38" s="26"/>
      <c r="W38" s="26"/>
      <c r="X38" s="26"/>
      <c r="Y38" s="26"/>
      <c r="Z38" s="26"/>
    </row>
    <row r="39" spans="1:26" ht="21.75" customHeight="1" x14ac:dyDescent="0.3">
      <c r="A39" s="26"/>
      <c r="B39" s="26"/>
      <c r="C39" s="26"/>
      <c r="D39" s="26"/>
      <c r="E39" s="26"/>
      <c r="F39" s="319">
        <v>36</v>
      </c>
      <c r="G39" s="101">
        <f t="shared" si="5"/>
        <v>0</v>
      </c>
      <c r="H39" s="106">
        <f>G39*(Assumptions!$C$6+Assumptions!$C$25)</f>
        <v>0</v>
      </c>
      <c r="I39" s="131">
        <v>0</v>
      </c>
      <c r="J39" s="101">
        <f t="shared" si="0"/>
        <v>0</v>
      </c>
      <c r="K39" s="106">
        <f>Cashflows!B39*'Premium Calculation'!$B$9</f>
        <v>0</v>
      </c>
      <c r="L39" s="101">
        <f>IF(SUM(K39:$K$43)=0,0,J39*K39/SUM(K39:$K$43))</f>
        <v>0</v>
      </c>
      <c r="M39" s="101">
        <f t="shared" si="1"/>
        <v>0</v>
      </c>
      <c r="N39" s="101">
        <f t="shared" si="6"/>
        <v>3.0897032637620853E-12</v>
      </c>
      <c r="O39" s="106">
        <f>Cashflows!F39+Cashflows!I39+Cashflows!J39</f>
        <v>0</v>
      </c>
      <c r="P39" s="101">
        <f t="shared" si="2"/>
        <v>0</v>
      </c>
      <c r="Q39" s="106">
        <f>N39*(1+Assumptions!$C$6+Assumptions!$C$25)+Cashflows!E39-O39</f>
        <v>3.1978428779937582E-12</v>
      </c>
      <c r="R39" s="101">
        <f t="shared" si="7"/>
        <v>8.8817841970012523E-15</v>
      </c>
      <c r="S39" s="101">
        <f t="shared" si="3"/>
        <v>3.2067246621907594E-12</v>
      </c>
      <c r="T39" s="106">
        <f>S38+Cashflows!E39-O39+N39*(Assumptions!$C$6+Assumptions!$C$25)+H39+I39-L39-P39+U39-S39</f>
        <v>0</v>
      </c>
      <c r="U39" s="119">
        <f t="shared" si="4"/>
        <v>0</v>
      </c>
      <c r="V39" s="26"/>
      <c r="W39" s="26"/>
      <c r="X39" s="26"/>
      <c r="Y39" s="26"/>
      <c r="Z39" s="26"/>
    </row>
    <row r="40" spans="1:26" ht="21.75" customHeight="1" x14ac:dyDescent="0.3">
      <c r="A40" s="26"/>
      <c r="B40" s="26"/>
      <c r="C40" s="26"/>
      <c r="D40" s="26"/>
      <c r="E40" s="26"/>
      <c r="F40" s="319">
        <v>37</v>
      </c>
      <c r="G40" s="101">
        <f t="shared" si="5"/>
        <v>0</v>
      </c>
      <c r="H40" s="106">
        <f>G40*(Assumptions!$C$6+Assumptions!$C$25)</f>
        <v>0</v>
      </c>
      <c r="I40" s="131">
        <v>0</v>
      </c>
      <c r="J40" s="101">
        <f t="shared" si="0"/>
        <v>0</v>
      </c>
      <c r="K40" s="106">
        <f>Cashflows!B40*'Premium Calculation'!$B$9</f>
        <v>0</v>
      </c>
      <c r="L40" s="101">
        <f>IF(SUM(K40:$K$43)=0,0,J40*K40/SUM(K40:$K$43))</f>
        <v>0</v>
      </c>
      <c r="M40" s="101">
        <f t="shared" si="1"/>
        <v>0</v>
      </c>
      <c r="N40" s="101">
        <f t="shared" si="6"/>
        <v>3.1978428779937582E-12</v>
      </c>
      <c r="O40" s="106">
        <f>Cashflows!F40+Cashflows!I40+Cashflows!J40</f>
        <v>0</v>
      </c>
      <c r="P40" s="101">
        <f t="shared" si="2"/>
        <v>0</v>
      </c>
      <c r="Q40" s="106">
        <f>N40*(1+Assumptions!$C$6+Assumptions!$C$25)+Cashflows!E40-O40</f>
        <v>3.3097673787235394E-12</v>
      </c>
      <c r="R40" s="101">
        <f t="shared" si="7"/>
        <v>8.8817841970012523E-15</v>
      </c>
      <c r="S40" s="101">
        <f t="shared" si="3"/>
        <v>3.3186491629205407E-12</v>
      </c>
      <c r="T40" s="106">
        <f>S39+Cashflows!E40-O40+N40*(Assumptions!$C$6+Assumptions!$C$25)+H40+I40-L40-P40+U40-S40</f>
        <v>0</v>
      </c>
      <c r="U40" s="119">
        <f t="shared" si="4"/>
        <v>0</v>
      </c>
      <c r="V40" s="26"/>
      <c r="W40" s="26"/>
      <c r="X40" s="26"/>
      <c r="Y40" s="26"/>
      <c r="Z40" s="26"/>
    </row>
    <row r="41" spans="1:26" ht="21.75" customHeight="1" x14ac:dyDescent="0.3">
      <c r="A41" s="26"/>
      <c r="B41" s="26"/>
      <c r="C41" s="26"/>
      <c r="D41" s="26"/>
      <c r="E41" s="26"/>
      <c r="F41" s="319">
        <v>38</v>
      </c>
      <c r="G41" s="101">
        <f t="shared" si="5"/>
        <v>0</v>
      </c>
      <c r="H41" s="106">
        <f>G41*(Assumptions!$C$6+Assumptions!$C$25)</f>
        <v>0</v>
      </c>
      <c r="I41" s="131">
        <v>0</v>
      </c>
      <c r="J41" s="101">
        <f t="shared" si="0"/>
        <v>0</v>
      </c>
      <c r="K41" s="106">
        <f>Cashflows!B41*'Premium Calculation'!$B$9</f>
        <v>0</v>
      </c>
      <c r="L41" s="101">
        <f>IF(SUM(K41:$K$43)=0,0,J41*K41/SUM(K41:$K$43))</f>
        <v>0</v>
      </c>
      <c r="M41" s="101">
        <f t="shared" si="1"/>
        <v>0</v>
      </c>
      <c r="N41" s="101">
        <f t="shared" si="6"/>
        <v>3.3097673787235394E-12</v>
      </c>
      <c r="O41" s="106">
        <f>Cashflows!F41+Cashflows!I41+Cashflows!J41</f>
        <v>0</v>
      </c>
      <c r="P41" s="101">
        <f t="shared" si="2"/>
        <v>0</v>
      </c>
      <c r="Q41" s="106">
        <f>N41*(1+Assumptions!$C$6+Assumptions!$C$25)+Cashflows!E41-O41</f>
        <v>3.4256092369788632E-12</v>
      </c>
      <c r="R41" s="101">
        <f t="shared" si="7"/>
        <v>8.8817841970012523E-15</v>
      </c>
      <c r="S41" s="101">
        <f t="shared" si="3"/>
        <v>3.4344910211758645E-12</v>
      </c>
      <c r="T41" s="106">
        <f>S40+Cashflows!E41-O41+N41*(Assumptions!$C$6+Assumptions!$C$25)+H41+I41-L41-P41+U41-S41</f>
        <v>0</v>
      </c>
      <c r="U41" s="119">
        <f t="shared" si="4"/>
        <v>0</v>
      </c>
      <c r="V41" s="26"/>
      <c r="W41" s="26"/>
      <c r="X41" s="26"/>
      <c r="Y41" s="26"/>
      <c r="Z41" s="26"/>
    </row>
    <row r="42" spans="1:26" ht="21.75" customHeight="1" x14ac:dyDescent="0.3">
      <c r="A42" s="26"/>
      <c r="B42" s="26"/>
      <c r="C42" s="26"/>
      <c r="D42" s="26"/>
      <c r="E42" s="26"/>
      <c r="F42" s="319">
        <v>39</v>
      </c>
      <c r="G42" s="101">
        <f t="shared" si="5"/>
        <v>0</v>
      </c>
      <c r="H42" s="106">
        <f>G42*(Assumptions!$C$6+Assumptions!$C$25)</f>
        <v>0</v>
      </c>
      <c r="I42" s="131">
        <v>0</v>
      </c>
      <c r="J42" s="101">
        <f t="shared" si="0"/>
        <v>0</v>
      </c>
      <c r="K42" s="106">
        <f>Cashflows!B42*'Premium Calculation'!$B$9</f>
        <v>0</v>
      </c>
      <c r="L42" s="101">
        <f>IF(SUM(K42:$K$43)=0,0,J42*K42/SUM(K42:$K$43))</f>
        <v>0</v>
      </c>
      <c r="M42" s="101">
        <f t="shared" si="1"/>
        <v>0</v>
      </c>
      <c r="N42" s="101">
        <f t="shared" si="6"/>
        <v>3.4256092369788632E-12</v>
      </c>
      <c r="O42" s="106">
        <f>Cashflows!F42+Cashflows!I42+Cashflows!J42</f>
        <v>0</v>
      </c>
      <c r="P42" s="101">
        <f t="shared" si="2"/>
        <v>0</v>
      </c>
      <c r="Q42" s="106">
        <f>N42*(1+Assumptions!$C$6+Assumptions!$C$25)+Cashflows!E42-O42</f>
        <v>3.5455055602731233E-12</v>
      </c>
      <c r="R42" s="101">
        <f t="shared" si="7"/>
        <v>8.8817841970012523E-15</v>
      </c>
      <c r="S42" s="101">
        <f t="shared" si="3"/>
        <v>3.5543873444701246E-12</v>
      </c>
      <c r="T42" s="106">
        <f>S41+Cashflows!E42-O42+N42*(Assumptions!$C$6+Assumptions!$C$25)+H42+I42-L42-P42+U42-S42</f>
        <v>0</v>
      </c>
      <c r="U42" s="119">
        <f t="shared" si="4"/>
        <v>0</v>
      </c>
      <c r="V42" s="26"/>
      <c r="W42" s="26"/>
      <c r="X42" s="26"/>
      <c r="Y42" s="26"/>
      <c r="Z42" s="26"/>
    </row>
    <row r="43" spans="1:26" ht="21.75" customHeight="1" thickBot="1" x14ac:dyDescent="0.35">
      <c r="A43" s="26"/>
      <c r="B43" s="26"/>
      <c r="C43" s="26"/>
      <c r="D43" s="26"/>
      <c r="E43" s="26"/>
      <c r="F43" s="320">
        <v>40</v>
      </c>
      <c r="G43" s="109">
        <f t="shared" si="5"/>
        <v>0</v>
      </c>
      <c r="H43" s="122">
        <f>G43*(Assumptions!$C$6+Assumptions!$C$25)</f>
        <v>0</v>
      </c>
      <c r="I43" s="321">
        <v>0</v>
      </c>
      <c r="J43" s="109">
        <f t="shared" si="0"/>
        <v>0</v>
      </c>
      <c r="K43" s="122">
        <f>Cashflows!B43*'Premium Calculation'!$B$9</f>
        <v>0</v>
      </c>
      <c r="L43" s="109">
        <f>IF(SUM(K43:$K$43)=0,0,J43*K43/SUM(K43:$K$43))</f>
        <v>0</v>
      </c>
      <c r="M43" s="109">
        <f t="shared" si="1"/>
        <v>0</v>
      </c>
      <c r="N43" s="109">
        <f t="shared" si="6"/>
        <v>3.5455055602731233E-12</v>
      </c>
      <c r="O43" s="122">
        <f>Cashflows!F43+Cashflows!I43+Cashflows!J43</f>
        <v>0</v>
      </c>
      <c r="P43" s="109">
        <f t="shared" si="2"/>
        <v>0</v>
      </c>
      <c r="Q43" s="122">
        <f>N43*(1+Assumptions!$C$6+Assumptions!$C$25)+Cashflows!E43-O43</f>
        <v>3.6695982548826826E-12</v>
      </c>
      <c r="R43" s="109">
        <f t="shared" si="7"/>
        <v>8.8817841970012523E-15</v>
      </c>
      <c r="S43" s="109">
        <f t="shared" si="3"/>
        <v>3.6784800390796839E-12</v>
      </c>
      <c r="T43" s="122">
        <f>S42+Cashflows!E43-O43+N43*(Assumptions!$C$6+Assumptions!$C$25)+H43+I43-L43-P43+U43-S43</f>
        <v>0</v>
      </c>
      <c r="U43" s="124">
        <f t="shared" si="4"/>
        <v>0</v>
      </c>
      <c r="V43" s="26"/>
      <c r="W43" s="26"/>
      <c r="X43" s="26"/>
      <c r="Y43" s="26"/>
      <c r="Z43" s="26"/>
    </row>
    <row r="44" spans="1:26" ht="21.75" customHeight="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21.75" customHeight="1"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21.75" customHeight="1" x14ac:dyDescent="0.3">
      <c r="A46" s="476"/>
      <c r="B46" s="474"/>
      <c r="C46" s="474"/>
      <c r="D46" s="474"/>
      <c r="E46" s="474"/>
      <c r="F46" s="474"/>
      <c r="G46" s="474"/>
      <c r="H46" s="474"/>
      <c r="I46" s="474"/>
      <c r="J46" s="474"/>
      <c r="K46" s="474"/>
      <c r="L46" s="474"/>
      <c r="M46" s="474"/>
      <c r="N46" s="474"/>
      <c r="O46" s="474"/>
      <c r="P46" s="474"/>
      <c r="Q46" s="474"/>
      <c r="R46" s="474"/>
      <c r="S46" s="474"/>
      <c r="T46" s="474"/>
      <c r="U46" s="474"/>
      <c r="V46" s="26"/>
      <c r="W46" s="26"/>
      <c r="X46" s="26"/>
      <c r="Y46" s="26"/>
      <c r="Z46" s="26"/>
    </row>
    <row r="47" spans="1:26" ht="21.75" customHeight="1"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sheetData>
  <mergeCells count="2">
    <mergeCell ref="A1:D1"/>
    <mergeCell ref="A46:U4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D60"/>
  <sheetViews>
    <sheetView zoomScaleNormal="100" workbookViewId="0">
      <selection activeCell="A46" sqref="A46:O46"/>
    </sheetView>
  </sheetViews>
  <sheetFormatPr defaultColWidth="8.6328125" defaultRowHeight="13" x14ac:dyDescent="0.3"/>
  <cols>
    <col min="1" max="1" width="31" style="5" customWidth="1"/>
    <col min="2" max="3" width="18" style="5" customWidth="1"/>
    <col min="4" max="4" width="48" style="5" customWidth="1"/>
    <col min="5" max="12" width="18" style="5" customWidth="1"/>
    <col min="13" max="15" width="20" style="5" customWidth="1"/>
    <col min="16" max="16384" width="8.6328125" style="5"/>
  </cols>
  <sheetData>
    <row r="1" spans="1:134" ht="28" customHeight="1" x14ac:dyDescent="0.3">
      <c r="A1" s="472" t="s">
        <v>289</v>
      </c>
      <c r="B1" s="472"/>
      <c r="C1" s="472"/>
      <c r="D1" s="472"/>
      <c r="E1" s="472"/>
      <c r="F1" s="472"/>
      <c r="G1" s="472"/>
      <c r="H1" s="472"/>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13.5" thickBot="1" x14ac:dyDescent="0.35">
      <c r="A2" s="64"/>
      <c r="B2" s="64"/>
      <c r="C2" s="64"/>
      <c r="D2" s="64"/>
      <c r="E2" s="64"/>
      <c r="F2" s="64"/>
      <c r="G2" s="64"/>
      <c r="H2" s="64"/>
      <c r="I2" s="64"/>
      <c r="J2" s="64"/>
      <c r="K2" s="64"/>
      <c r="L2" s="64"/>
      <c r="M2" s="64"/>
      <c r="N2" s="64"/>
      <c r="O2" s="64"/>
      <c r="P2" s="64"/>
      <c r="Q2" s="64"/>
      <c r="R2" s="64"/>
      <c r="S2" s="64"/>
      <c r="T2" s="64"/>
      <c r="U2" s="64"/>
      <c r="V2" s="64"/>
      <c r="W2" s="64"/>
      <c r="X2" s="64"/>
      <c r="Y2" s="64"/>
      <c r="Z2" s="64"/>
    </row>
    <row r="3" spans="1:134" ht="39.75" customHeight="1" thickBot="1" x14ac:dyDescent="0.35">
      <c r="A3" s="82" t="s">
        <v>754</v>
      </c>
      <c r="B3" s="78" t="s">
        <v>41</v>
      </c>
      <c r="C3" s="78" t="s">
        <v>214</v>
      </c>
      <c r="D3" s="79" t="s">
        <v>207</v>
      </c>
      <c r="E3" s="64"/>
      <c r="F3" s="77" t="s">
        <v>310</v>
      </c>
      <c r="G3" s="78" t="s">
        <v>311</v>
      </c>
      <c r="H3" s="78" t="s">
        <v>312</v>
      </c>
      <c r="I3" s="78" t="s">
        <v>313</v>
      </c>
      <c r="J3" s="78" t="s">
        <v>314</v>
      </c>
      <c r="K3" s="78" t="s">
        <v>315</v>
      </c>
      <c r="L3" s="78" t="s">
        <v>316</v>
      </c>
      <c r="M3" s="330" t="s">
        <v>317</v>
      </c>
      <c r="N3" s="330" t="s">
        <v>318</v>
      </c>
      <c r="O3" s="331" t="s">
        <v>319</v>
      </c>
      <c r="P3" s="64"/>
      <c r="Q3" s="64"/>
      <c r="R3" s="64"/>
      <c r="S3" s="64"/>
      <c r="T3" s="64"/>
      <c r="U3" s="64"/>
      <c r="V3" s="64"/>
      <c r="W3" s="64"/>
      <c r="X3" s="64"/>
      <c r="Y3" s="64"/>
      <c r="Z3" s="64"/>
    </row>
    <row r="4" spans="1:134" x14ac:dyDescent="0.3">
      <c r="A4" s="327" t="s">
        <v>320</v>
      </c>
      <c r="B4" s="322">
        <v>12000</v>
      </c>
      <c r="C4" s="64" t="s">
        <v>229</v>
      </c>
      <c r="D4" s="70" t="s">
        <v>308</v>
      </c>
      <c r="E4" s="64"/>
      <c r="F4" s="68">
        <v>1</v>
      </c>
      <c r="G4" s="126">
        <f>$B$11</f>
        <v>0</v>
      </c>
      <c r="H4" s="126">
        <f t="shared" ref="H4:H43" si="0">IF(F4&lt;=$B$5,$B$4*$B$7,0)</f>
        <v>11400</v>
      </c>
      <c r="I4" s="126">
        <f t="shared" ref="I4:I43" si="1">IF(F4&lt;=$B$5,(G4+H4)*$B$6,0)</f>
        <v>285</v>
      </c>
      <c r="J4" s="126">
        <f t="shared" ref="J4:J43" si="2">IF(F4&lt;=$B$5,(G4+H4+I4)*$B$8,0)</f>
        <v>146.0625</v>
      </c>
      <c r="K4" s="126">
        <f t="shared" ref="K4:K43" si="3">IF(F4&lt;=$B$5,MIN($B$9,MAX(0,G4+H4+I4-J4)),0)</f>
        <v>600</v>
      </c>
      <c r="L4" s="126">
        <f t="shared" ref="L4:L43" si="4">G4+H4+I4-J4-K4</f>
        <v>10938.9375</v>
      </c>
      <c r="M4" s="101">
        <f t="shared" ref="M4:M43" si="5">IF(F4&lt;=$B$5,L4*(1+$B$10),0)</f>
        <v>11485.884375</v>
      </c>
      <c r="N4" s="101">
        <f t="shared" ref="N4:N43" si="6">IF(F4&lt;=$B$5,L4,0)</f>
        <v>10938.9375</v>
      </c>
      <c r="O4" s="119">
        <f t="shared" ref="O4:O43" si="7">G4+H4+I4-J4-K4-L4</f>
        <v>0</v>
      </c>
      <c r="P4" s="64"/>
      <c r="Q4" s="64"/>
      <c r="R4" s="64"/>
      <c r="S4" s="64"/>
      <c r="T4" s="64"/>
      <c r="U4" s="64"/>
      <c r="V4" s="64"/>
      <c r="W4" s="64"/>
      <c r="X4" s="64"/>
      <c r="Y4" s="64"/>
      <c r="Z4" s="64"/>
    </row>
    <row r="5" spans="1:134" x14ac:dyDescent="0.3">
      <c r="A5" s="327" t="s">
        <v>321</v>
      </c>
      <c r="B5" s="323">
        <v>20</v>
      </c>
      <c r="C5" s="64" t="s">
        <v>291</v>
      </c>
      <c r="D5" s="70" t="s">
        <v>308</v>
      </c>
      <c r="E5" s="64"/>
      <c r="F5" s="68">
        <v>2</v>
      </c>
      <c r="G5" s="126">
        <f t="shared" ref="G5:G43" si="8">L4</f>
        <v>10938.9375</v>
      </c>
      <c r="H5" s="126">
        <f t="shared" si="0"/>
        <v>11400</v>
      </c>
      <c r="I5" s="126">
        <f t="shared" si="1"/>
        <v>558.47343750000005</v>
      </c>
      <c r="J5" s="126">
        <f t="shared" si="2"/>
        <v>286.21763671875004</v>
      </c>
      <c r="K5" s="126">
        <f t="shared" si="3"/>
        <v>600</v>
      </c>
      <c r="L5" s="126">
        <f t="shared" si="4"/>
        <v>22011.193300781251</v>
      </c>
      <c r="M5" s="101">
        <f t="shared" si="5"/>
        <v>23111.752965820317</v>
      </c>
      <c r="N5" s="101">
        <f t="shared" si="6"/>
        <v>22011.193300781251</v>
      </c>
      <c r="O5" s="119">
        <f t="shared" si="7"/>
        <v>0</v>
      </c>
      <c r="P5" s="64"/>
      <c r="Q5" s="64"/>
      <c r="R5" s="64"/>
      <c r="S5" s="64"/>
      <c r="T5" s="64"/>
      <c r="U5" s="64"/>
      <c r="V5" s="64"/>
      <c r="W5" s="64"/>
      <c r="X5" s="64"/>
      <c r="Y5" s="64"/>
      <c r="Z5" s="64"/>
    </row>
    <row r="6" spans="1:134" x14ac:dyDescent="0.3">
      <c r="A6" s="327" t="s">
        <v>322</v>
      </c>
      <c r="B6" s="324">
        <f>Assumptions!C7+Assumptions!C26</f>
        <v>2.5000000000000001E-2</v>
      </c>
      <c r="C6" s="64" t="s">
        <v>223</v>
      </c>
      <c r="D6" s="70" t="s">
        <v>755</v>
      </c>
      <c r="E6" s="64"/>
      <c r="F6" s="68">
        <v>3</v>
      </c>
      <c r="G6" s="126">
        <f t="shared" si="8"/>
        <v>22011.193300781251</v>
      </c>
      <c r="H6" s="126">
        <f t="shared" si="0"/>
        <v>11400</v>
      </c>
      <c r="I6" s="126">
        <f t="shared" si="1"/>
        <v>835.27983251953128</v>
      </c>
      <c r="J6" s="126">
        <f t="shared" si="2"/>
        <v>428.08091416625979</v>
      </c>
      <c r="K6" s="126">
        <f t="shared" si="3"/>
        <v>600</v>
      </c>
      <c r="L6" s="126">
        <f t="shared" si="4"/>
        <v>33218.392219134519</v>
      </c>
      <c r="M6" s="101">
        <f t="shared" si="5"/>
        <v>34879.311830091247</v>
      </c>
      <c r="N6" s="101">
        <f t="shared" si="6"/>
        <v>33218.392219134519</v>
      </c>
      <c r="O6" s="119">
        <f t="shared" si="7"/>
        <v>0</v>
      </c>
      <c r="P6" s="64"/>
      <c r="Q6" s="64"/>
      <c r="R6" s="64"/>
      <c r="S6" s="64"/>
      <c r="T6" s="64"/>
      <c r="U6" s="64"/>
      <c r="V6" s="64"/>
      <c r="W6" s="64"/>
      <c r="X6" s="64"/>
      <c r="Y6" s="64"/>
      <c r="Z6" s="64"/>
    </row>
    <row r="7" spans="1:134" x14ac:dyDescent="0.3">
      <c r="A7" s="327" t="s">
        <v>323</v>
      </c>
      <c r="B7" s="325">
        <f>Assumptions!$C$17</f>
        <v>0.95</v>
      </c>
      <c r="C7" s="64" t="s">
        <v>223</v>
      </c>
      <c r="D7" s="70" t="s">
        <v>756</v>
      </c>
      <c r="E7" s="64"/>
      <c r="F7" s="68">
        <v>4</v>
      </c>
      <c r="G7" s="126">
        <f t="shared" si="8"/>
        <v>33218.392219134519</v>
      </c>
      <c r="H7" s="126">
        <f t="shared" si="0"/>
        <v>11400</v>
      </c>
      <c r="I7" s="126">
        <f t="shared" si="1"/>
        <v>1115.459805478363</v>
      </c>
      <c r="J7" s="126">
        <f t="shared" si="2"/>
        <v>571.6731503076611</v>
      </c>
      <c r="K7" s="126">
        <f t="shared" si="3"/>
        <v>600</v>
      </c>
      <c r="L7" s="126">
        <f t="shared" si="4"/>
        <v>44562.178874305224</v>
      </c>
      <c r="M7" s="101">
        <f t="shared" si="5"/>
        <v>46790.287818020486</v>
      </c>
      <c r="N7" s="101">
        <f t="shared" si="6"/>
        <v>44562.178874305224</v>
      </c>
      <c r="O7" s="119">
        <f t="shared" si="7"/>
        <v>0</v>
      </c>
      <c r="P7" s="64"/>
      <c r="Q7" s="64"/>
      <c r="R7" s="64"/>
      <c r="S7" s="64"/>
      <c r="T7" s="64"/>
      <c r="U7" s="64"/>
      <c r="V7" s="64"/>
      <c r="W7" s="64"/>
      <c r="X7" s="64"/>
      <c r="Y7" s="64"/>
      <c r="Z7" s="64"/>
    </row>
    <row r="8" spans="1:134" x14ac:dyDescent="0.3">
      <c r="A8" s="327" t="s">
        <v>324</v>
      </c>
      <c r="B8" s="326">
        <f>Assumptions!$C$18</f>
        <v>1.2500000000000001E-2</v>
      </c>
      <c r="C8" s="64" t="s">
        <v>325</v>
      </c>
      <c r="D8" s="70" t="s">
        <v>756</v>
      </c>
      <c r="E8" s="64"/>
      <c r="F8" s="68">
        <v>5</v>
      </c>
      <c r="G8" s="126">
        <f t="shared" si="8"/>
        <v>44562.178874305224</v>
      </c>
      <c r="H8" s="126">
        <f t="shared" si="0"/>
        <v>11400</v>
      </c>
      <c r="I8" s="126">
        <f t="shared" si="1"/>
        <v>1399.0544718576307</v>
      </c>
      <c r="J8" s="126">
        <f t="shared" si="2"/>
        <v>717.01541682703566</v>
      </c>
      <c r="K8" s="126">
        <f t="shared" si="3"/>
        <v>600</v>
      </c>
      <c r="L8" s="126">
        <f t="shared" si="4"/>
        <v>56044.217929335813</v>
      </c>
      <c r="M8" s="101">
        <f t="shared" si="5"/>
        <v>58846.428825802606</v>
      </c>
      <c r="N8" s="101">
        <f t="shared" si="6"/>
        <v>56044.217929335813</v>
      </c>
      <c r="O8" s="119">
        <f t="shared" si="7"/>
        <v>0</v>
      </c>
      <c r="P8" s="64"/>
      <c r="Q8" s="64"/>
      <c r="R8" s="64"/>
      <c r="S8" s="64"/>
      <c r="T8" s="64"/>
      <c r="U8" s="64"/>
      <c r="V8" s="64"/>
      <c r="W8" s="64"/>
      <c r="X8" s="64"/>
      <c r="Y8" s="64"/>
      <c r="Z8" s="64"/>
    </row>
    <row r="9" spans="1:134" x14ac:dyDescent="0.3">
      <c r="A9" s="327" t="s">
        <v>326</v>
      </c>
      <c r="B9" s="125">
        <f>Assumptions!$C$19</f>
        <v>600</v>
      </c>
      <c r="C9" s="64" t="s">
        <v>232</v>
      </c>
      <c r="D9" s="70" t="s">
        <v>756</v>
      </c>
      <c r="E9" s="64"/>
      <c r="F9" s="68">
        <v>6</v>
      </c>
      <c r="G9" s="126">
        <f t="shared" si="8"/>
        <v>56044.217929335813</v>
      </c>
      <c r="H9" s="126">
        <f t="shared" si="0"/>
        <v>11400</v>
      </c>
      <c r="I9" s="126">
        <f t="shared" si="1"/>
        <v>1686.1054482333952</v>
      </c>
      <c r="J9" s="126">
        <f t="shared" si="2"/>
        <v>864.12904221961514</v>
      </c>
      <c r="K9" s="126">
        <f t="shared" si="3"/>
        <v>600</v>
      </c>
      <c r="L9" s="126">
        <f t="shared" si="4"/>
        <v>67666.194335349588</v>
      </c>
      <c r="M9" s="101">
        <f t="shared" si="5"/>
        <v>71049.504052117074</v>
      </c>
      <c r="N9" s="101">
        <f t="shared" si="6"/>
        <v>67666.194335349588</v>
      </c>
      <c r="O9" s="119">
        <f t="shared" si="7"/>
        <v>0</v>
      </c>
      <c r="P9" s="64"/>
      <c r="Q9" s="64"/>
      <c r="R9" s="64"/>
      <c r="S9" s="64"/>
      <c r="T9" s="64"/>
      <c r="U9" s="64"/>
      <c r="V9" s="64"/>
      <c r="W9" s="64"/>
      <c r="X9" s="64"/>
      <c r="Y9" s="64"/>
      <c r="Z9" s="64"/>
    </row>
    <row r="10" spans="1:134" x14ac:dyDescent="0.3">
      <c r="A10" s="327" t="s">
        <v>327</v>
      </c>
      <c r="B10" s="325">
        <f>Assumptions!$C$20</f>
        <v>0.05</v>
      </c>
      <c r="C10" s="64" t="s">
        <v>328</v>
      </c>
      <c r="D10" s="70" t="s">
        <v>756</v>
      </c>
      <c r="E10" s="64"/>
      <c r="F10" s="68">
        <v>7</v>
      </c>
      <c r="G10" s="126">
        <f t="shared" si="8"/>
        <v>67666.194335349588</v>
      </c>
      <c r="H10" s="126">
        <f t="shared" si="0"/>
        <v>11400</v>
      </c>
      <c r="I10" s="126">
        <f t="shared" si="1"/>
        <v>1976.6548583837398</v>
      </c>
      <c r="J10" s="126">
        <f t="shared" si="2"/>
        <v>1013.0356149216667</v>
      </c>
      <c r="K10" s="126">
        <f t="shared" si="3"/>
        <v>600</v>
      </c>
      <c r="L10" s="126">
        <f t="shared" si="4"/>
        <v>79429.813578811663</v>
      </c>
      <c r="M10" s="101">
        <f t="shared" si="5"/>
        <v>83401.304257752243</v>
      </c>
      <c r="N10" s="101">
        <f t="shared" si="6"/>
        <v>79429.813578811663</v>
      </c>
      <c r="O10" s="119">
        <f t="shared" si="7"/>
        <v>0</v>
      </c>
      <c r="P10" s="64"/>
      <c r="Q10" s="64"/>
      <c r="R10" s="64"/>
      <c r="S10" s="64"/>
      <c r="T10" s="64"/>
      <c r="U10" s="64"/>
      <c r="V10" s="64"/>
      <c r="W10" s="64"/>
      <c r="X10" s="64"/>
      <c r="Y10" s="64"/>
      <c r="Z10" s="64"/>
    </row>
    <row r="11" spans="1:134" ht="13.5" thickBot="1" x14ac:dyDescent="0.35">
      <c r="A11" s="328" t="s">
        <v>329</v>
      </c>
      <c r="B11" s="129">
        <v>0</v>
      </c>
      <c r="C11" s="74" t="s">
        <v>229</v>
      </c>
      <c r="D11" s="76" t="s">
        <v>757</v>
      </c>
      <c r="E11" s="64"/>
      <c r="F11" s="68">
        <v>8</v>
      </c>
      <c r="G11" s="126">
        <f t="shared" si="8"/>
        <v>79429.813578811663</v>
      </c>
      <c r="H11" s="126">
        <f t="shared" si="0"/>
        <v>11400</v>
      </c>
      <c r="I11" s="126">
        <f t="shared" si="1"/>
        <v>2270.7453394702916</v>
      </c>
      <c r="J11" s="126">
        <f t="shared" si="2"/>
        <v>1163.7569864785244</v>
      </c>
      <c r="K11" s="126">
        <f t="shared" si="3"/>
        <v>600</v>
      </c>
      <c r="L11" s="126">
        <f t="shared" si="4"/>
        <v>91336.801931803435</v>
      </c>
      <c r="M11" s="101">
        <f t="shared" si="5"/>
        <v>95903.642028393617</v>
      </c>
      <c r="N11" s="101">
        <f t="shared" si="6"/>
        <v>91336.801931803435</v>
      </c>
      <c r="O11" s="119">
        <f t="shared" si="7"/>
        <v>0</v>
      </c>
      <c r="P11" s="64"/>
      <c r="Q11" s="64"/>
      <c r="R11" s="64"/>
      <c r="S11" s="64"/>
      <c r="T11" s="64"/>
      <c r="U11" s="64"/>
      <c r="V11" s="64"/>
      <c r="W11" s="64"/>
      <c r="X11" s="64"/>
      <c r="Y11" s="64"/>
      <c r="Z11" s="64"/>
    </row>
    <row r="12" spans="1:134" x14ac:dyDescent="0.3">
      <c r="A12" s="64"/>
      <c r="B12" s="127"/>
      <c r="C12" s="64"/>
      <c r="D12" s="64"/>
      <c r="E12" s="64"/>
      <c r="F12" s="68">
        <v>9</v>
      </c>
      <c r="G12" s="126">
        <f t="shared" si="8"/>
        <v>91336.801931803435</v>
      </c>
      <c r="H12" s="126">
        <f t="shared" si="0"/>
        <v>11400</v>
      </c>
      <c r="I12" s="126">
        <f t="shared" si="1"/>
        <v>2568.420048295086</v>
      </c>
      <c r="J12" s="126">
        <f t="shared" si="2"/>
        <v>1316.3152747512315</v>
      </c>
      <c r="K12" s="126">
        <f t="shared" si="3"/>
        <v>600</v>
      </c>
      <c r="L12" s="126">
        <f t="shared" si="4"/>
        <v>103388.90670534728</v>
      </c>
      <c r="M12" s="101">
        <f t="shared" si="5"/>
        <v>108558.35204061466</v>
      </c>
      <c r="N12" s="101">
        <f t="shared" si="6"/>
        <v>103388.90670534728</v>
      </c>
      <c r="O12" s="119">
        <f t="shared" si="7"/>
        <v>0</v>
      </c>
      <c r="P12" s="64"/>
      <c r="Q12" s="64"/>
      <c r="R12" s="64"/>
      <c r="S12" s="64"/>
      <c r="T12" s="64"/>
      <c r="U12" s="64"/>
      <c r="V12" s="64"/>
      <c r="W12" s="64"/>
      <c r="X12" s="64"/>
      <c r="Y12" s="64"/>
      <c r="Z12" s="64"/>
    </row>
    <row r="13" spans="1:134" x14ac:dyDescent="0.3">
      <c r="A13" s="64" t="s">
        <v>758</v>
      </c>
      <c r="B13" s="126" cm="1">
        <f t="array" ref="B13">INDEX(L4:L43,B5)</f>
        <v>246061.31979745856</v>
      </c>
      <c r="C13" s="64"/>
      <c r="D13" s="64"/>
      <c r="E13" s="64"/>
      <c r="F13" s="68">
        <v>10</v>
      </c>
      <c r="G13" s="126">
        <f t="shared" si="8"/>
        <v>103388.90670534728</v>
      </c>
      <c r="H13" s="126">
        <f t="shared" si="0"/>
        <v>11400</v>
      </c>
      <c r="I13" s="126">
        <f t="shared" si="1"/>
        <v>2869.7226676336822</v>
      </c>
      <c r="J13" s="126">
        <f t="shared" si="2"/>
        <v>1470.7328671622622</v>
      </c>
      <c r="K13" s="126">
        <f t="shared" si="3"/>
        <v>600</v>
      </c>
      <c r="L13" s="126">
        <f t="shared" si="4"/>
        <v>115587.8965058187</v>
      </c>
      <c r="M13" s="101">
        <f t="shared" si="5"/>
        <v>121367.29133110965</v>
      </c>
      <c r="N13" s="101">
        <f t="shared" si="6"/>
        <v>115587.8965058187</v>
      </c>
      <c r="O13" s="119">
        <f t="shared" si="7"/>
        <v>0</v>
      </c>
      <c r="P13" s="64"/>
      <c r="Q13" s="64"/>
      <c r="R13" s="64"/>
      <c r="S13" s="64"/>
      <c r="T13" s="64"/>
      <c r="U13" s="64"/>
      <c r="V13" s="64"/>
      <c r="W13" s="64"/>
      <c r="X13" s="64"/>
      <c r="Y13" s="64"/>
      <c r="Z13" s="64"/>
    </row>
    <row r="14" spans="1:134" x14ac:dyDescent="0.3">
      <c r="A14" s="64" t="s">
        <v>0</v>
      </c>
      <c r="B14" s="314" t="str">
        <f>IF(AND(COUNT(B4:B11)=8,B4&gt;=0,B5&gt;=1,B5&lt;=40,B5=INT(B5),B6&gt;-1,B7&gt;=0,B7&lt;=1,B8&gt;=0,B8&lt;=1,B9&gt;=0,B10&gt;=0,B11&gt;=0),"VALID","INVALID INPUT")</f>
        <v>VALID</v>
      </c>
      <c r="C14" s="64"/>
      <c r="D14" s="64"/>
      <c r="E14" s="64"/>
      <c r="F14" s="68">
        <v>11</v>
      </c>
      <c r="G14" s="126">
        <f t="shared" si="8"/>
        <v>115587.8965058187</v>
      </c>
      <c r="H14" s="126">
        <f t="shared" si="0"/>
        <v>11400</v>
      </c>
      <c r="I14" s="126">
        <f t="shared" si="1"/>
        <v>3174.6974126454679</v>
      </c>
      <c r="J14" s="126">
        <f t="shared" si="2"/>
        <v>1627.0324239808024</v>
      </c>
      <c r="K14" s="126">
        <f t="shared" si="3"/>
        <v>600</v>
      </c>
      <c r="L14" s="126">
        <f t="shared" si="4"/>
        <v>127935.56149448338</v>
      </c>
      <c r="M14" s="101">
        <f t="shared" si="5"/>
        <v>134332.33956920754</v>
      </c>
      <c r="N14" s="101">
        <f t="shared" si="6"/>
        <v>127935.56149448338</v>
      </c>
      <c r="O14" s="119">
        <f t="shared" si="7"/>
        <v>0</v>
      </c>
      <c r="P14" s="64"/>
      <c r="Q14" s="64"/>
      <c r="R14" s="64"/>
      <c r="S14" s="64"/>
      <c r="T14" s="64"/>
      <c r="U14" s="64"/>
      <c r="V14" s="64"/>
      <c r="W14" s="64"/>
      <c r="X14" s="64"/>
      <c r="Y14" s="64"/>
      <c r="Z14" s="64"/>
    </row>
    <row r="15" spans="1:134" x14ac:dyDescent="0.3">
      <c r="A15" s="64"/>
      <c r="B15" s="64"/>
      <c r="C15" s="64"/>
      <c r="D15" s="64"/>
      <c r="E15" s="64"/>
      <c r="F15" s="68">
        <v>12</v>
      </c>
      <c r="G15" s="126">
        <f t="shared" si="8"/>
        <v>127935.56149448338</v>
      </c>
      <c r="H15" s="126">
        <f t="shared" si="0"/>
        <v>11400</v>
      </c>
      <c r="I15" s="126">
        <f t="shared" si="1"/>
        <v>3483.3890373620848</v>
      </c>
      <c r="J15" s="126">
        <f t="shared" si="2"/>
        <v>1785.2368816480684</v>
      </c>
      <c r="K15" s="126">
        <f t="shared" si="3"/>
        <v>600</v>
      </c>
      <c r="L15" s="126">
        <f t="shared" si="4"/>
        <v>140433.7136501974</v>
      </c>
      <c r="M15" s="101">
        <f t="shared" si="5"/>
        <v>147455.39933270728</v>
      </c>
      <c r="N15" s="101">
        <f t="shared" si="6"/>
        <v>140433.7136501974</v>
      </c>
      <c r="O15" s="119">
        <f t="shared" si="7"/>
        <v>0</v>
      </c>
      <c r="P15" s="64"/>
      <c r="Q15" s="64"/>
      <c r="R15" s="64"/>
      <c r="S15" s="64"/>
      <c r="T15" s="64"/>
      <c r="U15" s="64"/>
      <c r="V15" s="64"/>
      <c r="W15" s="64"/>
      <c r="X15" s="64"/>
      <c r="Y15" s="64"/>
      <c r="Z15" s="64"/>
    </row>
    <row r="16" spans="1:134" x14ac:dyDescent="0.3">
      <c r="A16" s="64"/>
      <c r="B16" s="64"/>
      <c r="C16" s="64"/>
      <c r="D16" s="64"/>
      <c r="E16" s="64"/>
      <c r="F16" s="68">
        <v>13</v>
      </c>
      <c r="G16" s="126">
        <f t="shared" si="8"/>
        <v>140433.7136501974</v>
      </c>
      <c r="H16" s="126">
        <f t="shared" si="0"/>
        <v>11400</v>
      </c>
      <c r="I16" s="126">
        <f t="shared" si="1"/>
        <v>3795.8428412549351</v>
      </c>
      <c r="J16" s="126">
        <f t="shared" si="2"/>
        <v>1945.3694561431541</v>
      </c>
      <c r="K16" s="126">
        <f t="shared" si="3"/>
        <v>600</v>
      </c>
      <c r="L16" s="126">
        <f t="shared" si="4"/>
        <v>153084.18703530918</v>
      </c>
      <c r="M16" s="101">
        <f t="shared" si="5"/>
        <v>160738.39638707464</v>
      </c>
      <c r="N16" s="101">
        <f t="shared" si="6"/>
        <v>153084.18703530918</v>
      </c>
      <c r="O16" s="119">
        <f t="shared" si="7"/>
        <v>0</v>
      </c>
      <c r="P16" s="64"/>
      <c r="Q16" s="64"/>
      <c r="R16" s="64"/>
      <c r="S16" s="64"/>
      <c r="T16" s="64"/>
      <c r="U16" s="64"/>
      <c r="V16" s="64"/>
      <c r="W16" s="64"/>
      <c r="X16" s="64"/>
      <c r="Y16" s="64"/>
      <c r="Z16" s="64"/>
    </row>
    <row r="17" spans="1:26" ht="18" customHeight="1" x14ac:dyDescent="0.3">
      <c r="A17" s="486" t="s">
        <v>759</v>
      </c>
      <c r="B17" s="486"/>
      <c r="C17" s="486"/>
      <c r="D17" s="486"/>
      <c r="E17" s="64"/>
      <c r="F17" s="68">
        <v>14</v>
      </c>
      <c r="G17" s="126">
        <f t="shared" si="8"/>
        <v>153084.18703530918</v>
      </c>
      <c r="H17" s="126">
        <f t="shared" si="0"/>
        <v>11400</v>
      </c>
      <c r="I17" s="126">
        <f t="shared" si="1"/>
        <v>4112.1046758827297</v>
      </c>
      <c r="J17" s="126">
        <f t="shared" si="2"/>
        <v>2107.4536463898989</v>
      </c>
      <c r="K17" s="126">
        <f t="shared" si="3"/>
        <v>600</v>
      </c>
      <c r="L17" s="126">
        <f t="shared" si="4"/>
        <v>165888.838064802</v>
      </c>
      <c r="M17" s="101">
        <f t="shared" si="5"/>
        <v>174183.2799680421</v>
      </c>
      <c r="N17" s="101">
        <f t="shared" si="6"/>
        <v>165888.838064802</v>
      </c>
      <c r="O17" s="119">
        <f t="shared" si="7"/>
        <v>0</v>
      </c>
      <c r="P17" s="64"/>
      <c r="Q17" s="64"/>
      <c r="R17" s="64"/>
      <c r="S17" s="64"/>
      <c r="T17" s="64"/>
      <c r="U17" s="64"/>
      <c r="V17" s="64"/>
      <c r="W17" s="64"/>
      <c r="X17" s="64"/>
      <c r="Y17" s="64"/>
      <c r="Z17" s="64"/>
    </row>
    <row r="18" spans="1:26" x14ac:dyDescent="0.3">
      <c r="A18" s="64"/>
      <c r="B18" s="64"/>
      <c r="C18" s="64"/>
      <c r="D18" s="64"/>
      <c r="E18" s="64"/>
      <c r="F18" s="68">
        <v>15</v>
      </c>
      <c r="G18" s="126">
        <f t="shared" si="8"/>
        <v>165888.838064802</v>
      </c>
      <c r="H18" s="126">
        <f t="shared" si="0"/>
        <v>11400</v>
      </c>
      <c r="I18" s="126">
        <f t="shared" si="1"/>
        <v>4432.2209516200501</v>
      </c>
      <c r="J18" s="126">
        <f t="shared" si="2"/>
        <v>2271.5132377052755</v>
      </c>
      <c r="K18" s="126">
        <f t="shared" si="3"/>
        <v>600</v>
      </c>
      <c r="L18" s="126">
        <f t="shared" si="4"/>
        <v>178849.54577871677</v>
      </c>
      <c r="M18" s="101">
        <f t="shared" si="5"/>
        <v>187792.02306765263</v>
      </c>
      <c r="N18" s="101">
        <f t="shared" si="6"/>
        <v>178849.54577871677</v>
      </c>
      <c r="O18" s="119">
        <f t="shared" si="7"/>
        <v>0</v>
      </c>
      <c r="P18" s="64"/>
      <c r="Q18" s="64"/>
      <c r="R18" s="64"/>
      <c r="S18" s="64"/>
      <c r="T18" s="64"/>
      <c r="U18" s="64"/>
      <c r="V18" s="64"/>
      <c r="W18" s="64"/>
      <c r="X18" s="64"/>
      <c r="Y18" s="64"/>
      <c r="Z18" s="64"/>
    </row>
    <row r="19" spans="1:26" x14ac:dyDescent="0.3">
      <c r="A19" s="64"/>
      <c r="B19" s="64"/>
      <c r="C19" s="64"/>
      <c r="D19" s="64"/>
      <c r="E19" s="64"/>
      <c r="F19" s="68">
        <v>16</v>
      </c>
      <c r="G19" s="126">
        <f t="shared" si="8"/>
        <v>178849.54577871677</v>
      </c>
      <c r="H19" s="126">
        <f t="shared" si="0"/>
        <v>11400</v>
      </c>
      <c r="I19" s="126">
        <f t="shared" si="1"/>
        <v>4756.2386444679196</v>
      </c>
      <c r="J19" s="126">
        <f t="shared" si="2"/>
        <v>2437.5723052898088</v>
      </c>
      <c r="K19" s="126">
        <f t="shared" si="3"/>
        <v>600</v>
      </c>
      <c r="L19" s="126">
        <f t="shared" si="4"/>
        <v>191968.2121178949</v>
      </c>
      <c r="M19" s="101">
        <f t="shared" si="5"/>
        <v>201566.62272378965</v>
      </c>
      <c r="N19" s="101">
        <f t="shared" si="6"/>
        <v>191968.2121178949</v>
      </c>
      <c r="O19" s="119">
        <f t="shared" si="7"/>
        <v>0</v>
      </c>
      <c r="P19" s="64"/>
      <c r="Q19" s="64"/>
      <c r="R19" s="64"/>
      <c r="S19" s="64"/>
      <c r="T19" s="64"/>
      <c r="U19" s="64"/>
      <c r="V19" s="64"/>
      <c r="W19" s="64"/>
      <c r="X19" s="64"/>
      <c r="Y19" s="64"/>
      <c r="Z19" s="64"/>
    </row>
    <row r="20" spans="1:26" x14ac:dyDescent="0.3">
      <c r="A20" s="64"/>
      <c r="B20" s="64"/>
      <c r="C20" s="64"/>
      <c r="D20" s="64"/>
      <c r="E20" s="64"/>
      <c r="F20" s="68">
        <v>17</v>
      </c>
      <c r="G20" s="126">
        <f t="shared" si="8"/>
        <v>191968.2121178949</v>
      </c>
      <c r="H20" s="126">
        <f t="shared" si="0"/>
        <v>11400</v>
      </c>
      <c r="I20" s="126">
        <f t="shared" si="1"/>
        <v>5084.2053029473727</v>
      </c>
      <c r="J20" s="126">
        <f t="shared" si="2"/>
        <v>2605.6552177605286</v>
      </c>
      <c r="K20" s="126">
        <f t="shared" si="3"/>
        <v>600</v>
      </c>
      <c r="L20" s="126">
        <f t="shared" si="4"/>
        <v>205246.76220308174</v>
      </c>
      <c r="M20" s="101">
        <f t="shared" si="5"/>
        <v>215509.10031323583</v>
      </c>
      <c r="N20" s="101">
        <f t="shared" si="6"/>
        <v>205246.76220308174</v>
      </c>
      <c r="O20" s="119">
        <f t="shared" si="7"/>
        <v>0</v>
      </c>
      <c r="P20" s="64"/>
      <c r="Q20" s="64"/>
      <c r="R20" s="64"/>
      <c r="S20" s="64"/>
      <c r="T20" s="64"/>
      <c r="U20" s="64"/>
      <c r="V20" s="64"/>
      <c r="W20" s="64"/>
      <c r="X20" s="64"/>
      <c r="Y20" s="64"/>
      <c r="Z20" s="64"/>
    </row>
    <row r="21" spans="1:26" x14ac:dyDescent="0.3">
      <c r="A21" s="64"/>
      <c r="B21" s="64"/>
      <c r="C21" s="64"/>
      <c r="D21" s="64"/>
      <c r="E21" s="64"/>
      <c r="F21" s="68">
        <v>18</v>
      </c>
      <c r="G21" s="126">
        <f t="shared" si="8"/>
        <v>205246.76220308174</v>
      </c>
      <c r="H21" s="126">
        <f t="shared" si="0"/>
        <v>11400</v>
      </c>
      <c r="I21" s="126">
        <f t="shared" si="1"/>
        <v>5416.1690550770436</v>
      </c>
      <c r="J21" s="126">
        <f t="shared" si="2"/>
        <v>2775.7866407269848</v>
      </c>
      <c r="K21" s="126">
        <f t="shared" si="3"/>
        <v>600</v>
      </c>
      <c r="L21" s="126">
        <f t="shared" si="4"/>
        <v>218687.1446174318</v>
      </c>
      <c r="M21" s="101">
        <f t="shared" si="5"/>
        <v>229621.50184830339</v>
      </c>
      <c r="N21" s="101">
        <f t="shared" si="6"/>
        <v>218687.1446174318</v>
      </c>
      <c r="O21" s="119">
        <f t="shared" si="7"/>
        <v>0</v>
      </c>
      <c r="P21" s="64"/>
      <c r="Q21" s="64"/>
      <c r="R21" s="64"/>
      <c r="S21" s="64"/>
      <c r="T21" s="64"/>
      <c r="U21" s="64"/>
      <c r="V21" s="64"/>
      <c r="W21" s="64"/>
      <c r="X21" s="64"/>
      <c r="Y21" s="64"/>
      <c r="Z21" s="64"/>
    </row>
    <row r="22" spans="1:26" x14ac:dyDescent="0.3">
      <c r="A22" s="64"/>
      <c r="B22" s="64"/>
      <c r="C22" s="64"/>
      <c r="D22" s="64"/>
      <c r="E22" s="64"/>
      <c r="F22" s="68">
        <v>19</v>
      </c>
      <c r="G22" s="126">
        <f t="shared" si="8"/>
        <v>218687.1446174318</v>
      </c>
      <c r="H22" s="126">
        <f t="shared" si="0"/>
        <v>11400</v>
      </c>
      <c r="I22" s="126">
        <f t="shared" si="1"/>
        <v>5752.1786154357951</v>
      </c>
      <c r="J22" s="126">
        <f t="shared" si="2"/>
        <v>2947.9915404108451</v>
      </c>
      <c r="K22" s="126">
        <f t="shared" si="3"/>
        <v>600</v>
      </c>
      <c r="L22" s="126">
        <f t="shared" si="4"/>
        <v>232291.33169245673</v>
      </c>
      <c r="M22" s="101">
        <f t="shared" si="5"/>
        <v>243905.89827707957</v>
      </c>
      <c r="N22" s="101">
        <f t="shared" si="6"/>
        <v>232291.33169245673</v>
      </c>
      <c r="O22" s="119">
        <f t="shared" si="7"/>
        <v>0</v>
      </c>
      <c r="P22" s="64"/>
      <c r="Q22" s="64"/>
      <c r="R22" s="64"/>
      <c r="S22" s="64"/>
      <c r="T22" s="64"/>
      <c r="U22" s="64"/>
      <c r="V22" s="64"/>
      <c r="W22" s="64"/>
      <c r="X22" s="64"/>
      <c r="Y22" s="64"/>
      <c r="Z22" s="64"/>
    </row>
    <row r="23" spans="1:26" x14ac:dyDescent="0.3">
      <c r="A23" s="64"/>
      <c r="B23" s="64"/>
      <c r="C23" s="64"/>
      <c r="D23" s="64"/>
      <c r="E23" s="64"/>
      <c r="F23" s="68">
        <v>20</v>
      </c>
      <c r="G23" s="126">
        <f t="shared" si="8"/>
        <v>232291.33169245673</v>
      </c>
      <c r="H23" s="126">
        <f t="shared" si="0"/>
        <v>11400</v>
      </c>
      <c r="I23" s="126">
        <f t="shared" si="1"/>
        <v>6092.2832923114183</v>
      </c>
      <c r="J23" s="126">
        <f t="shared" si="2"/>
        <v>3122.2951873096022</v>
      </c>
      <c r="K23" s="126">
        <f t="shared" si="3"/>
        <v>600</v>
      </c>
      <c r="L23" s="126">
        <f t="shared" si="4"/>
        <v>246061.31979745856</v>
      </c>
      <c r="M23" s="101">
        <f t="shared" si="5"/>
        <v>258364.3857873315</v>
      </c>
      <c r="N23" s="101">
        <f t="shared" si="6"/>
        <v>246061.31979745856</v>
      </c>
      <c r="O23" s="119">
        <f t="shared" si="7"/>
        <v>0</v>
      </c>
      <c r="P23" s="64"/>
      <c r="Q23" s="64"/>
      <c r="R23" s="64"/>
      <c r="S23" s="64"/>
      <c r="T23" s="64"/>
      <c r="U23" s="64"/>
      <c r="V23" s="64"/>
      <c r="W23" s="64"/>
      <c r="X23" s="64"/>
      <c r="Y23" s="64"/>
      <c r="Z23" s="64"/>
    </row>
    <row r="24" spans="1:26" x14ac:dyDescent="0.3">
      <c r="A24" s="64"/>
      <c r="B24" s="64"/>
      <c r="C24" s="64"/>
      <c r="D24" s="64"/>
      <c r="E24" s="64"/>
      <c r="F24" s="68">
        <v>21</v>
      </c>
      <c r="G24" s="126">
        <f t="shared" si="8"/>
        <v>246061.31979745856</v>
      </c>
      <c r="H24" s="126">
        <f t="shared" si="0"/>
        <v>0</v>
      </c>
      <c r="I24" s="126">
        <f t="shared" si="1"/>
        <v>0</v>
      </c>
      <c r="J24" s="126">
        <f t="shared" si="2"/>
        <v>0</v>
      </c>
      <c r="K24" s="126">
        <f t="shared" si="3"/>
        <v>0</v>
      </c>
      <c r="L24" s="126">
        <f t="shared" si="4"/>
        <v>246061.31979745856</v>
      </c>
      <c r="M24" s="101">
        <f t="shared" si="5"/>
        <v>0</v>
      </c>
      <c r="N24" s="101">
        <f t="shared" si="6"/>
        <v>0</v>
      </c>
      <c r="O24" s="119">
        <f t="shared" si="7"/>
        <v>0</v>
      </c>
      <c r="P24" s="64"/>
      <c r="Q24" s="64"/>
      <c r="R24" s="64"/>
      <c r="S24" s="64"/>
      <c r="T24" s="64"/>
      <c r="U24" s="64"/>
      <c r="V24" s="64"/>
      <c r="W24" s="64"/>
      <c r="X24" s="64"/>
      <c r="Y24" s="64"/>
      <c r="Z24" s="64"/>
    </row>
    <row r="25" spans="1:26" x14ac:dyDescent="0.3">
      <c r="A25" s="64"/>
      <c r="B25" s="64"/>
      <c r="C25" s="64"/>
      <c r="D25" s="64"/>
      <c r="E25" s="64"/>
      <c r="F25" s="68">
        <v>22</v>
      </c>
      <c r="G25" s="126">
        <f t="shared" si="8"/>
        <v>246061.31979745856</v>
      </c>
      <c r="H25" s="126">
        <f t="shared" si="0"/>
        <v>0</v>
      </c>
      <c r="I25" s="126">
        <f t="shared" si="1"/>
        <v>0</v>
      </c>
      <c r="J25" s="126">
        <f t="shared" si="2"/>
        <v>0</v>
      </c>
      <c r="K25" s="126">
        <f t="shared" si="3"/>
        <v>0</v>
      </c>
      <c r="L25" s="126">
        <f t="shared" si="4"/>
        <v>246061.31979745856</v>
      </c>
      <c r="M25" s="101">
        <f t="shared" si="5"/>
        <v>0</v>
      </c>
      <c r="N25" s="101">
        <f t="shared" si="6"/>
        <v>0</v>
      </c>
      <c r="O25" s="119">
        <f t="shared" si="7"/>
        <v>0</v>
      </c>
      <c r="P25" s="64"/>
      <c r="Q25" s="64"/>
      <c r="R25" s="64"/>
      <c r="S25" s="64"/>
      <c r="T25" s="64"/>
      <c r="U25" s="64"/>
      <c r="V25" s="64"/>
      <c r="W25" s="64"/>
      <c r="X25" s="64"/>
      <c r="Y25" s="64"/>
      <c r="Z25" s="64"/>
    </row>
    <row r="26" spans="1:26" x14ac:dyDescent="0.3">
      <c r="A26" s="64"/>
      <c r="B26" s="64"/>
      <c r="C26" s="64"/>
      <c r="D26" s="64"/>
      <c r="E26" s="64"/>
      <c r="F26" s="68">
        <v>23</v>
      </c>
      <c r="G26" s="126">
        <f t="shared" si="8"/>
        <v>246061.31979745856</v>
      </c>
      <c r="H26" s="126">
        <f t="shared" si="0"/>
        <v>0</v>
      </c>
      <c r="I26" s="126">
        <f t="shared" si="1"/>
        <v>0</v>
      </c>
      <c r="J26" s="126">
        <f t="shared" si="2"/>
        <v>0</v>
      </c>
      <c r="K26" s="126">
        <f t="shared" si="3"/>
        <v>0</v>
      </c>
      <c r="L26" s="126">
        <f t="shared" si="4"/>
        <v>246061.31979745856</v>
      </c>
      <c r="M26" s="101">
        <f t="shared" si="5"/>
        <v>0</v>
      </c>
      <c r="N26" s="101">
        <f t="shared" si="6"/>
        <v>0</v>
      </c>
      <c r="O26" s="119">
        <f t="shared" si="7"/>
        <v>0</v>
      </c>
      <c r="P26" s="64"/>
      <c r="Q26" s="64"/>
      <c r="R26" s="64"/>
      <c r="S26" s="64"/>
      <c r="T26" s="64"/>
      <c r="U26" s="64"/>
      <c r="V26" s="64"/>
      <c r="W26" s="64"/>
      <c r="X26" s="64"/>
      <c r="Y26" s="64"/>
      <c r="Z26" s="64"/>
    </row>
    <row r="27" spans="1:26" x14ac:dyDescent="0.3">
      <c r="A27" s="64"/>
      <c r="B27" s="64"/>
      <c r="C27" s="64"/>
      <c r="D27" s="64"/>
      <c r="E27" s="64"/>
      <c r="F27" s="68">
        <v>24</v>
      </c>
      <c r="G27" s="126">
        <f t="shared" si="8"/>
        <v>246061.31979745856</v>
      </c>
      <c r="H27" s="126">
        <f t="shared" si="0"/>
        <v>0</v>
      </c>
      <c r="I27" s="126">
        <f t="shared" si="1"/>
        <v>0</v>
      </c>
      <c r="J27" s="126">
        <f t="shared" si="2"/>
        <v>0</v>
      </c>
      <c r="K27" s="126">
        <f t="shared" si="3"/>
        <v>0</v>
      </c>
      <c r="L27" s="126">
        <f t="shared" si="4"/>
        <v>246061.31979745856</v>
      </c>
      <c r="M27" s="101">
        <f t="shared" si="5"/>
        <v>0</v>
      </c>
      <c r="N27" s="101">
        <f t="shared" si="6"/>
        <v>0</v>
      </c>
      <c r="O27" s="119">
        <f t="shared" si="7"/>
        <v>0</v>
      </c>
      <c r="P27" s="64"/>
      <c r="Q27" s="64"/>
      <c r="R27" s="64"/>
      <c r="S27" s="64"/>
      <c r="T27" s="64"/>
      <c r="U27" s="64"/>
      <c r="V27" s="64"/>
      <c r="W27" s="64"/>
      <c r="X27" s="64"/>
      <c r="Y27" s="64"/>
      <c r="Z27" s="64"/>
    </row>
    <row r="28" spans="1:26" x14ac:dyDescent="0.3">
      <c r="A28" s="64"/>
      <c r="B28" s="64"/>
      <c r="C28" s="64"/>
      <c r="D28" s="64"/>
      <c r="E28" s="64"/>
      <c r="F28" s="68">
        <v>25</v>
      </c>
      <c r="G28" s="126">
        <f t="shared" si="8"/>
        <v>246061.31979745856</v>
      </c>
      <c r="H28" s="126">
        <f t="shared" si="0"/>
        <v>0</v>
      </c>
      <c r="I28" s="126">
        <f t="shared" si="1"/>
        <v>0</v>
      </c>
      <c r="J28" s="126">
        <f t="shared" si="2"/>
        <v>0</v>
      </c>
      <c r="K28" s="126">
        <f t="shared" si="3"/>
        <v>0</v>
      </c>
      <c r="L28" s="126">
        <f t="shared" si="4"/>
        <v>246061.31979745856</v>
      </c>
      <c r="M28" s="101">
        <f t="shared" si="5"/>
        <v>0</v>
      </c>
      <c r="N28" s="101">
        <f t="shared" si="6"/>
        <v>0</v>
      </c>
      <c r="O28" s="119">
        <f t="shared" si="7"/>
        <v>0</v>
      </c>
      <c r="P28" s="64"/>
      <c r="Q28" s="64"/>
      <c r="R28" s="64"/>
      <c r="S28" s="64"/>
      <c r="T28" s="64"/>
      <c r="U28" s="64"/>
      <c r="V28" s="64"/>
      <c r="W28" s="64"/>
      <c r="X28" s="64"/>
      <c r="Y28" s="64"/>
      <c r="Z28" s="64"/>
    </row>
    <row r="29" spans="1:26" x14ac:dyDescent="0.3">
      <c r="A29" s="64"/>
      <c r="B29" s="64"/>
      <c r="C29" s="64"/>
      <c r="D29" s="64"/>
      <c r="E29" s="64"/>
      <c r="F29" s="68">
        <v>26</v>
      </c>
      <c r="G29" s="126">
        <f t="shared" si="8"/>
        <v>246061.31979745856</v>
      </c>
      <c r="H29" s="126">
        <f t="shared" si="0"/>
        <v>0</v>
      </c>
      <c r="I29" s="126">
        <f t="shared" si="1"/>
        <v>0</v>
      </c>
      <c r="J29" s="126">
        <f t="shared" si="2"/>
        <v>0</v>
      </c>
      <c r="K29" s="126">
        <f t="shared" si="3"/>
        <v>0</v>
      </c>
      <c r="L29" s="126">
        <f t="shared" si="4"/>
        <v>246061.31979745856</v>
      </c>
      <c r="M29" s="101">
        <f t="shared" si="5"/>
        <v>0</v>
      </c>
      <c r="N29" s="101">
        <f t="shared" si="6"/>
        <v>0</v>
      </c>
      <c r="O29" s="119">
        <f t="shared" si="7"/>
        <v>0</v>
      </c>
      <c r="P29" s="64"/>
      <c r="Q29" s="64"/>
      <c r="R29" s="64"/>
      <c r="S29" s="64"/>
      <c r="T29" s="64"/>
      <c r="U29" s="64"/>
      <c r="V29" s="64"/>
      <c r="W29" s="64"/>
      <c r="X29" s="64"/>
      <c r="Y29" s="64"/>
      <c r="Z29" s="64"/>
    </row>
    <row r="30" spans="1:26" x14ac:dyDescent="0.3">
      <c r="A30" s="64"/>
      <c r="B30" s="64"/>
      <c r="C30" s="64"/>
      <c r="D30" s="64"/>
      <c r="E30" s="64"/>
      <c r="F30" s="68">
        <v>27</v>
      </c>
      <c r="G30" s="126">
        <f t="shared" si="8"/>
        <v>246061.31979745856</v>
      </c>
      <c r="H30" s="126">
        <f t="shared" si="0"/>
        <v>0</v>
      </c>
      <c r="I30" s="126">
        <f t="shared" si="1"/>
        <v>0</v>
      </c>
      <c r="J30" s="126">
        <f t="shared" si="2"/>
        <v>0</v>
      </c>
      <c r="K30" s="126">
        <f t="shared" si="3"/>
        <v>0</v>
      </c>
      <c r="L30" s="126">
        <f t="shared" si="4"/>
        <v>246061.31979745856</v>
      </c>
      <c r="M30" s="101">
        <f t="shared" si="5"/>
        <v>0</v>
      </c>
      <c r="N30" s="101">
        <f t="shared" si="6"/>
        <v>0</v>
      </c>
      <c r="O30" s="119">
        <f t="shared" si="7"/>
        <v>0</v>
      </c>
      <c r="P30" s="64"/>
      <c r="Q30" s="64"/>
      <c r="R30" s="64"/>
      <c r="S30" s="64"/>
      <c r="T30" s="64"/>
      <c r="U30" s="64"/>
      <c r="V30" s="64"/>
      <c r="W30" s="64"/>
      <c r="X30" s="64"/>
      <c r="Y30" s="64"/>
      <c r="Z30" s="64"/>
    </row>
    <row r="31" spans="1:26" x14ac:dyDescent="0.3">
      <c r="A31" s="64"/>
      <c r="B31" s="64"/>
      <c r="C31" s="64"/>
      <c r="D31" s="64"/>
      <c r="E31" s="64"/>
      <c r="F31" s="68">
        <v>28</v>
      </c>
      <c r="G31" s="126">
        <f t="shared" si="8"/>
        <v>246061.31979745856</v>
      </c>
      <c r="H31" s="126">
        <f t="shared" si="0"/>
        <v>0</v>
      </c>
      <c r="I31" s="126">
        <f t="shared" si="1"/>
        <v>0</v>
      </c>
      <c r="J31" s="126">
        <f t="shared" si="2"/>
        <v>0</v>
      </c>
      <c r="K31" s="126">
        <f t="shared" si="3"/>
        <v>0</v>
      </c>
      <c r="L31" s="126">
        <f t="shared" si="4"/>
        <v>246061.31979745856</v>
      </c>
      <c r="M31" s="101">
        <f t="shared" si="5"/>
        <v>0</v>
      </c>
      <c r="N31" s="101">
        <f t="shared" si="6"/>
        <v>0</v>
      </c>
      <c r="O31" s="119">
        <f t="shared" si="7"/>
        <v>0</v>
      </c>
      <c r="P31" s="64"/>
      <c r="Q31" s="64"/>
      <c r="R31" s="64"/>
      <c r="S31" s="64"/>
      <c r="T31" s="64"/>
      <c r="U31" s="64"/>
      <c r="V31" s="64"/>
      <c r="W31" s="64"/>
      <c r="X31" s="64"/>
      <c r="Y31" s="64"/>
      <c r="Z31" s="64"/>
    </row>
    <row r="32" spans="1:26" x14ac:dyDescent="0.3">
      <c r="A32" s="64"/>
      <c r="B32" s="64"/>
      <c r="C32" s="64"/>
      <c r="D32" s="64"/>
      <c r="E32" s="64"/>
      <c r="F32" s="68">
        <v>29</v>
      </c>
      <c r="G32" s="126">
        <f t="shared" si="8"/>
        <v>246061.31979745856</v>
      </c>
      <c r="H32" s="126">
        <f t="shared" si="0"/>
        <v>0</v>
      </c>
      <c r="I32" s="126">
        <f t="shared" si="1"/>
        <v>0</v>
      </c>
      <c r="J32" s="126">
        <f t="shared" si="2"/>
        <v>0</v>
      </c>
      <c r="K32" s="126">
        <f t="shared" si="3"/>
        <v>0</v>
      </c>
      <c r="L32" s="126">
        <f t="shared" si="4"/>
        <v>246061.31979745856</v>
      </c>
      <c r="M32" s="101">
        <f t="shared" si="5"/>
        <v>0</v>
      </c>
      <c r="N32" s="101">
        <f t="shared" si="6"/>
        <v>0</v>
      </c>
      <c r="O32" s="119">
        <f t="shared" si="7"/>
        <v>0</v>
      </c>
      <c r="P32" s="64"/>
      <c r="Q32" s="64"/>
      <c r="R32" s="64"/>
      <c r="S32" s="64"/>
      <c r="T32" s="64"/>
      <c r="U32" s="64"/>
      <c r="V32" s="64"/>
      <c r="W32" s="64"/>
      <c r="X32" s="64"/>
      <c r="Y32" s="64"/>
      <c r="Z32" s="64"/>
    </row>
    <row r="33" spans="1:26" x14ac:dyDescent="0.3">
      <c r="A33" s="64"/>
      <c r="B33" s="64"/>
      <c r="C33" s="64"/>
      <c r="D33" s="64"/>
      <c r="E33" s="64"/>
      <c r="F33" s="68">
        <v>30</v>
      </c>
      <c r="G33" s="126">
        <f t="shared" si="8"/>
        <v>246061.31979745856</v>
      </c>
      <c r="H33" s="126">
        <f t="shared" si="0"/>
        <v>0</v>
      </c>
      <c r="I33" s="126">
        <f t="shared" si="1"/>
        <v>0</v>
      </c>
      <c r="J33" s="126">
        <f t="shared" si="2"/>
        <v>0</v>
      </c>
      <c r="K33" s="126">
        <f t="shared" si="3"/>
        <v>0</v>
      </c>
      <c r="L33" s="126">
        <f t="shared" si="4"/>
        <v>246061.31979745856</v>
      </c>
      <c r="M33" s="101">
        <f t="shared" si="5"/>
        <v>0</v>
      </c>
      <c r="N33" s="101">
        <f t="shared" si="6"/>
        <v>0</v>
      </c>
      <c r="O33" s="119">
        <f t="shared" si="7"/>
        <v>0</v>
      </c>
      <c r="P33" s="64"/>
      <c r="Q33" s="64"/>
      <c r="R33" s="64"/>
      <c r="S33" s="64"/>
      <c r="T33" s="64"/>
      <c r="U33" s="64"/>
      <c r="V33" s="64"/>
      <c r="W33" s="64"/>
      <c r="X33" s="64"/>
      <c r="Y33" s="64"/>
      <c r="Z33" s="64"/>
    </row>
    <row r="34" spans="1:26" x14ac:dyDescent="0.3">
      <c r="A34" s="64"/>
      <c r="B34" s="64"/>
      <c r="C34" s="64"/>
      <c r="D34" s="64"/>
      <c r="E34" s="64"/>
      <c r="F34" s="68">
        <v>31</v>
      </c>
      <c r="G34" s="126">
        <f t="shared" si="8"/>
        <v>246061.31979745856</v>
      </c>
      <c r="H34" s="126">
        <f t="shared" si="0"/>
        <v>0</v>
      </c>
      <c r="I34" s="126">
        <f t="shared" si="1"/>
        <v>0</v>
      </c>
      <c r="J34" s="126">
        <f t="shared" si="2"/>
        <v>0</v>
      </c>
      <c r="K34" s="126">
        <f t="shared" si="3"/>
        <v>0</v>
      </c>
      <c r="L34" s="126">
        <f t="shared" si="4"/>
        <v>246061.31979745856</v>
      </c>
      <c r="M34" s="101">
        <f t="shared" si="5"/>
        <v>0</v>
      </c>
      <c r="N34" s="101">
        <f t="shared" si="6"/>
        <v>0</v>
      </c>
      <c r="O34" s="119">
        <f t="shared" si="7"/>
        <v>0</v>
      </c>
      <c r="P34" s="64"/>
      <c r="Q34" s="64"/>
      <c r="R34" s="64"/>
      <c r="S34" s="64"/>
      <c r="T34" s="64"/>
      <c r="U34" s="64"/>
      <c r="V34" s="64"/>
      <c r="W34" s="64"/>
      <c r="X34" s="64"/>
      <c r="Y34" s="64"/>
      <c r="Z34" s="64"/>
    </row>
    <row r="35" spans="1:26" x14ac:dyDescent="0.3">
      <c r="A35" s="64"/>
      <c r="B35" s="64"/>
      <c r="C35" s="64"/>
      <c r="D35" s="64"/>
      <c r="E35" s="64"/>
      <c r="F35" s="68">
        <v>32</v>
      </c>
      <c r="G35" s="126">
        <f t="shared" si="8"/>
        <v>246061.31979745856</v>
      </c>
      <c r="H35" s="126">
        <f t="shared" si="0"/>
        <v>0</v>
      </c>
      <c r="I35" s="126">
        <f t="shared" si="1"/>
        <v>0</v>
      </c>
      <c r="J35" s="126">
        <f t="shared" si="2"/>
        <v>0</v>
      </c>
      <c r="K35" s="126">
        <f t="shared" si="3"/>
        <v>0</v>
      </c>
      <c r="L35" s="126">
        <f t="shared" si="4"/>
        <v>246061.31979745856</v>
      </c>
      <c r="M35" s="101">
        <f t="shared" si="5"/>
        <v>0</v>
      </c>
      <c r="N35" s="101">
        <f t="shared" si="6"/>
        <v>0</v>
      </c>
      <c r="O35" s="119">
        <f t="shared" si="7"/>
        <v>0</v>
      </c>
      <c r="P35" s="64"/>
      <c r="Q35" s="64"/>
      <c r="R35" s="64"/>
      <c r="S35" s="64"/>
      <c r="T35" s="64"/>
      <c r="U35" s="64"/>
      <c r="V35" s="64"/>
      <c r="W35" s="64"/>
      <c r="X35" s="64"/>
      <c r="Y35" s="64"/>
      <c r="Z35" s="64"/>
    </row>
    <row r="36" spans="1:26" x14ac:dyDescent="0.3">
      <c r="A36" s="64"/>
      <c r="B36" s="64"/>
      <c r="C36" s="64"/>
      <c r="D36" s="64"/>
      <c r="E36" s="64"/>
      <c r="F36" s="68">
        <v>33</v>
      </c>
      <c r="G36" s="126">
        <f t="shared" si="8"/>
        <v>246061.31979745856</v>
      </c>
      <c r="H36" s="126">
        <f t="shared" si="0"/>
        <v>0</v>
      </c>
      <c r="I36" s="126">
        <f t="shared" si="1"/>
        <v>0</v>
      </c>
      <c r="J36" s="126">
        <f t="shared" si="2"/>
        <v>0</v>
      </c>
      <c r="K36" s="126">
        <f t="shared" si="3"/>
        <v>0</v>
      </c>
      <c r="L36" s="126">
        <f t="shared" si="4"/>
        <v>246061.31979745856</v>
      </c>
      <c r="M36" s="101">
        <f t="shared" si="5"/>
        <v>0</v>
      </c>
      <c r="N36" s="101">
        <f t="shared" si="6"/>
        <v>0</v>
      </c>
      <c r="O36" s="119">
        <f t="shared" si="7"/>
        <v>0</v>
      </c>
      <c r="P36" s="64"/>
      <c r="Q36" s="64"/>
      <c r="R36" s="64"/>
      <c r="S36" s="64"/>
      <c r="T36" s="64"/>
      <c r="U36" s="64"/>
      <c r="V36" s="64"/>
      <c r="W36" s="64"/>
      <c r="X36" s="64"/>
      <c r="Y36" s="64"/>
      <c r="Z36" s="64"/>
    </row>
    <row r="37" spans="1:26" x14ac:dyDescent="0.3">
      <c r="A37" s="64"/>
      <c r="B37" s="64"/>
      <c r="C37" s="64"/>
      <c r="D37" s="64"/>
      <c r="E37" s="64"/>
      <c r="F37" s="68">
        <v>34</v>
      </c>
      <c r="G37" s="126">
        <f t="shared" si="8"/>
        <v>246061.31979745856</v>
      </c>
      <c r="H37" s="126">
        <f t="shared" si="0"/>
        <v>0</v>
      </c>
      <c r="I37" s="126">
        <f t="shared" si="1"/>
        <v>0</v>
      </c>
      <c r="J37" s="126">
        <f t="shared" si="2"/>
        <v>0</v>
      </c>
      <c r="K37" s="126">
        <f t="shared" si="3"/>
        <v>0</v>
      </c>
      <c r="L37" s="126">
        <f t="shared" si="4"/>
        <v>246061.31979745856</v>
      </c>
      <c r="M37" s="101">
        <f t="shared" si="5"/>
        <v>0</v>
      </c>
      <c r="N37" s="101">
        <f t="shared" si="6"/>
        <v>0</v>
      </c>
      <c r="O37" s="119">
        <f t="shared" si="7"/>
        <v>0</v>
      </c>
      <c r="P37" s="64"/>
      <c r="Q37" s="64"/>
      <c r="R37" s="64"/>
      <c r="S37" s="64"/>
      <c r="T37" s="64"/>
      <c r="U37" s="64"/>
      <c r="V37" s="64"/>
      <c r="W37" s="64"/>
      <c r="X37" s="64"/>
      <c r="Y37" s="64"/>
      <c r="Z37" s="64"/>
    </row>
    <row r="38" spans="1:26" x14ac:dyDescent="0.3">
      <c r="A38" s="64"/>
      <c r="B38" s="64"/>
      <c r="C38" s="64"/>
      <c r="D38" s="64"/>
      <c r="E38" s="64"/>
      <c r="F38" s="68">
        <v>35</v>
      </c>
      <c r="G38" s="126">
        <f t="shared" si="8"/>
        <v>246061.31979745856</v>
      </c>
      <c r="H38" s="126">
        <f t="shared" si="0"/>
        <v>0</v>
      </c>
      <c r="I38" s="126">
        <f t="shared" si="1"/>
        <v>0</v>
      </c>
      <c r="J38" s="126">
        <f t="shared" si="2"/>
        <v>0</v>
      </c>
      <c r="K38" s="126">
        <f t="shared" si="3"/>
        <v>0</v>
      </c>
      <c r="L38" s="126">
        <f t="shared" si="4"/>
        <v>246061.31979745856</v>
      </c>
      <c r="M38" s="101">
        <f t="shared" si="5"/>
        <v>0</v>
      </c>
      <c r="N38" s="101">
        <f t="shared" si="6"/>
        <v>0</v>
      </c>
      <c r="O38" s="119">
        <f t="shared" si="7"/>
        <v>0</v>
      </c>
      <c r="P38" s="64"/>
      <c r="Q38" s="64"/>
      <c r="R38" s="64"/>
      <c r="S38" s="64"/>
      <c r="T38" s="64"/>
      <c r="U38" s="64"/>
      <c r="V38" s="64"/>
      <c r="W38" s="64"/>
      <c r="X38" s="64"/>
      <c r="Y38" s="64"/>
      <c r="Z38" s="64"/>
    </row>
    <row r="39" spans="1:26" x14ac:dyDescent="0.3">
      <c r="A39" s="64"/>
      <c r="B39" s="64"/>
      <c r="C39" s="64"/>
      <c r="D39" s="64"/>
      <c r="E39" s="64"/>
      <c r="F39" s="68">
        <v>36</v>
      </c>
      <c r="G39" s="126">
        <f t="shared" si="8"/>
        <v>246061.31979745856</v>
      </c>
      <c r="H39" s="126">
        <f t="shared" si="0"/>
        <v>0</v>
      </c>
      <c r="I39" s="126">
        <f t="shared" si="1"/>
        <v>0</v>
      </c>
      <c r="J39" s="126">
        <f t="shared" si="2"/>
        <v>0</v>
      </c>
      <c r="K39" s="126">
        <f t="shared" si="3"/>
        <v>0</v>
      </c>
      <c r="L39" s="126">
        <f t="shared" si="4"/>
        <v>246061.31979745856</v>
      </c>
      <c r="M39" s="101">
        <f t="shared" si="5"/>
        <v>0</v>
      </c>
      <c r="N39" s="101">
        <f t="shared" si="6"/>
        <v>0</v>
      </c>
      <c r="O39" s="119">
        <f t="shared" si="7"/>
        <v>0</v>
      </c>
      <c r="P39" s="64"/>
      <c r="Q39" s="64"/>
      <c r="R39" s="64"/>
      <c r="S39" s="64"/>
      <c r="T39" s="64"/>
      <c r="U39" s="64"/>
      <c r="V39" s="64"/>
      <c r="W39" s="64"/>
      <c r="X39" s="64"/>
      <c r="Y39" s="64"/>
      <c r="Z39" s="64"/>
    </row>
    <row r="40" spans="1:26" x14ac:dyDescent="0.3">
      <c r="A40" s="64"/>
      <c r="B40" s="64"/>
      <c r="C40" s="64"/>
      <c r="D40" s="64"/>
      <c r="E40" s="64"/>
      <c r="F40" s="68">
        <v>37</v>
      </c>
      <c r="G40" s="126">
        <f t="shared" si="8"/>
        <v>246061.31979745856</v>
      </c>
      <c r="H40" s="126">
        <f t="shared" si="0"/>
        <v>0</v>
      </c>
      <c r="I40" s="126">
        <f t="shared" si="1"/>
        <v>0</v>
      </c>
      <c r="J40" s="126">
        <f t="shared" si="2"/>
        <v>0</v>
      </c>
      <c r="K40" s="126">
        <f t="shared" si="3"/>
        <v>0</v>
      </c>
      <c r="L40" s="126">
        <f t="shared" si="4"/>
        <v>246061.31979745856</v>
      </c>
      <c r="M40" s="101">
        <f t="shared" si="5"/>
        <v>0</v>
      </c>
      <c r="N40" s="101">
        <f t="shared" si="6"/>
        <v>0</v>
      </c>
      <c r="O40" s="119">
        <f t="shared" si="7"/>
        <v>0</v>
      </c>
      <c r="P40" s="64"/>
      <c r="Q40" s="64"/>
      <c r="R40" s="64"/>
      <c r="S40" s="64"/>
      <c r="T40" s="64"/>
      <c r="U40" s="64"/>
      <c r="V40" s="64"/>
      <c r="W40" s="64"/>
      <c r="X40" s="64"/>
      <c r="Y40" s="64"/>
      <c r="Z40" s="64"/>
    </row>
    <row r="41" spans="1:26" x14ac:dyDescent="0.3">
      <c r="A41" s="64"/>
      <c r="B41" s="64"/>
      <c r="C41" s="64"/>
      <c r="D41" s="64"/>
      <c r="E41" s="64"/>
      <c r="F41" s="68">
        <v>38</v>
      </c>
      <c r="G41" s="126">
        <f t="shared" si="8"/>
        <v>246061.31979745856</v>
      </c>
      <c r="H41" s="126">
        <f t="shared" si="0"/>
        <v>0</v>
      </c>
      <c r="I41" s="126">
        <f t="shared" si="1"/>
        <v>0</v>
      </c>
      <c r="J41" s="126">
        <f t="shared" si="2"/>
        <v>0</v>
      </c>
      <c r="K41" s="126">
        <f t="shared" si="3"/>
        <v>0</v>
      </c>
      <c r="L41" s="126">
        <f t="shared" si="4"/>
        <v>246061.31979745856</v>
      </c>
      <c r="M41" s="101">
        <f t="shared" si="5"/>
        <v>0</v>
      </c>
      <c r="N41" s="101">
        <f t="shared" si="6"/>
        <v>0</v>
      </c>
      <c r="O41" s="119">
        <f t="shared" si="7"/>
        <v>0</v>
      </c>
      <c r="P41" s="64"/>
      <c r="Q41" s="64"/>
      <c r="R41" s="64"/>
      <c r="S41" s="64"/>
      <c r="T41" s="64"/>
      <c r="U41" s="64"/>
      <c r="V41" s="64"/>
      <c r="W41" s="64"/>
      <c r="X41" s="64"/>
      <c r="Y41" s="64"/>
      <c r="Z41" s="64"/>
    </row>
    <row r="42" spans="1:26" x14ac:dyDescent="0.3">
      <c r="A42" s="64"/>
      <c r="B42" s="64"/>
      <c r="C42" s="64"/>
      <c r="D42" s="64"/>
      <c r="E42" s="64"/>
      <c r="F42" s="68">
        <v>39</v>
      </c>
      <c r="G42" s="126">
        <f t="shared" si="8"/>
        <v>246061.31979745856</v>
      </c>
      <c r="H42" s="126">
        <f t="shared" si="0"/>
        <v>0</v>
      </c>
      <c r="I42" s="126">
        <f t="shared" si="1"/>
        <v>0</v>
      </c>
      <c r="J42" s="126">
        <f t="shared" si="2"/>
        <v>0</v>
      </c>
      <c r="K42" s="126">
        <f t="shared" si="3"/>
        <v>0</v>
      </c>
      <c r="L42" s="126">
        <f t="shared" si="4"/>
        <v>246061.31979745856</v>
      </c>
      <c r="M42" s="101">
        <f t="shared" si="5"/>
        <v>0</v>
      </c>
      <c r="N42" s="101">
        <f t="shared" si="6"/>
        <v>0</v>
      </c>
      <c r="O42" s="119">
        <f t="shared" si="7"/>
        <v>0</v>
      </c>
      <c r="P42" s="64"/>
      <c r="Q42" s="64"/>
      <c r="R42" s="64"/>
      <c r="S42" s="64"/>
      <c r="T42" s="64"/>
      <c r="U42" s="64"/>
      <c r="V42" s="64"/>
      <c r="W42" s="64"/>
      <c r="X42" s="64"/>
      <c r="Y42" s="64"/>
      <c r="Z42" s="64"/>
    </row>
    <row r="43" spans="1:26" ht="13.5" thickBot="1" x14ac:dyDescent="0.35">
      <c r="A43" s="64"/>
      <c r="B43" s="64"/>
      <c r="C43" s="64"/>
      <c r="D43" s="64"/>
      <c r="E43" s="64"/>
      <c r="F43" s="197">
        <v>40</v>
      </c>
      <c r="G43" s="329">
        <f t="shared" si="8"/>
        <v>246061.31979745856</v>
      </c>
      <c r="H43" s="329">
        <f t="shared" si="0"/>
        <v>0</v>
      </c>
      <c r="I43" s="329">
        <f t="shared" si="1"/>
        <v>0</v>
      </c>
      <c r="J43" s="329">
        <f t="shared" si="2"/>
        <v>0</v>
      </c>
      <c r="K43" s="329">
        <f t="shared" si="3"/>
        <v>0</v>
      </c>
      <c r="L43" s="329">
        <f t="shared" si="4"/>
        <v>246061.31979745856</v>
      </c>
      <c r="M43" s="109">
        <f t="shared" si="5"/>
        <v>0</v>
      </c>
      <c r="N43" s="109">
        <f t="shared" si="6"/>
        <v>0</v>
      </c>
      <c r="O43" s="124">
        <f t="shared" si="7"/>
        <v>0</v>
      </c>
      <c r="P43" s="64"/>
      <c r="Q43" s="64"/>
      <c r="R43" s="64"/>
      <c r="S43" s="64"/>
      <c r="T43" s="64"/>
      <c r="U43" s="64"/>
      <c r="V43" s="64"/>
      <c r="W43" s="64"/>
      <c r="X43" s="64"/>
      <c r="Y43" s="64"/>
      <c r="Z43" s="64"/>
    </row>
    <row r="44" spans="1:26" x14ac:dyDescent="0.3">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spans="1:26" x14ac:dyDescent="0.3">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spans="1:26" ht="15" customHeight="1" x14ac:dyDescent="0.3">
      <c r="A46" s="475"/>
      <c r="B46" s="475"/>
      <c r="C46" s="475"/>
      <c r="D46" s="475"/>
      <c r="E46" s="475"/>
      <c r="F46" s="475"/>
      <c r="G46" s="475"/>
      <c r="H46" s="475"/>
      <c r="I46" s="475"/>
      <c r="J46" s="475"/>
      <c r="K46" s="475"/>
      <c r="L46" s="475"/>
      <c r="M46" s="475"/>
      <c r="N46" s="475"/>
      <c r="O46" s="475"/>
      <c r="P46" s="64"/>
      <c r="Q46" s="64"/>
      <c r="R46" s="64"/>
      <c r="S46" s="64"/>
      <c r="T46" s="64"/>
      <c r="U46" s="64"/>
      <c r="V46" s="64"/>
      <c r="W46" s="64"/>
      <c r="X46" s="64"/>
      <c r="Y46" s="64"/>
      <c r="Z46" s="64"/>
    </row>
    <row r="47" spans="1:26" x14ac:dyDescent="0.3">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spans="1:26" x14ac:dyDescent="0.3">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spans="1:26" x14ac:dyDescent="0.3">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spans="1:26" x14ac:dyDescent="0.3">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x14ac:dyDescent="0.3">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x14ac:dyDescent="0.3">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spans="1:26" x14ac:dyDescent="0.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spans="1:26" x14ac:dyDescent="0.3">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spans="1:26" x14ac:dyDescent="0.3">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spans="1:26" x14ac:dyDescent="0.3">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spans="1:26" x14ac:dyDescent="0.3">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x14ac:dyDescent="0.3">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spans="1:26" x14ac:dyDescent="0.3">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spans="1:26" x14ac:dyDescent="0.3">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sheetData>
  <mergeCells count="3">
    <mergeCell ref="A1:H1"/>
    <mergeCell ref="A46:O46"/>
    <mergeCell ref="A17:D1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D66"/>
  <sheetViews>
    <sheetView zoomScaleNormal="100" workbookViewId="0">
      <selection activeCell="C73" sqref="C73"/>
    </sheetView>
  </sheetViews>
  <sheetFormatPr defaultColWidth="8.6328125" defaultRowHeight="13" x14ac:dyDescent="0.3"/>
  <cols>
    <col min="1" max="3" width="24" style="5" customWidth="1"/>
    <col min="4" max="4" width="63" style="5" customWidth="1"/>
    <col min="5" max="9" width="24" style="5" customWidth="1"/>
    <col min="10" max="16384" width="8.6328125" style="5"/>
  </cols>
  <sheetData>
    <row r="1" spans="1:134" ht="28" customHeight="1" x14ac:dyDescent="0.3">
      <c r="A1" s="472" t="s">
        <v>760</v>
      </c>
      <c r="B1" s="472"/>
      <c r="C1" s="472"/>
      <c r="D1" s="472"/>
      <c r="E1" s="472"/>
      <c r="F1" s="472"/>
      <c r="G1" s="472"/>
      <c r="H1" s="472"/>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13.5" thickBot="1" x14ac:dyDescent="0.35">
      <c r="A2" s="64"/>
      <c r="B2" s="64"/>
      <c r="C2" s="64"/>
      <c r="D2" s="64"/>
      <c r="E2" s="64"/>
      <c r="F2" s="64"/>
      <c r="G2" s="64"/>
      <c r="H2" s="64"/>
      <c r="I2" s="64"/>
      <c r="J2" s="64"/>
      <c r="K2" s="64"/>
      <c r="L2" s="64"/>
      <c r="M2" s="64"/>
      <c r="N2" s="64"/>
      <c r="O2" s="64"/>
      <c r="P2" s="64"/>
      <c r="Q2" s="64"/>
      <c r="R2" s="64"/>
      <c r="S2" s="64"/>
      <c r="T2" s="64"/>
      <c r="U2" s="64"/>
      <c r="V2" s="64"/>
      <c r="W2" s="64"/>
      <c r="X2" s="64"/>
      <c r="Y2" s="64"/>
      <c r="Z2" s="64"/>
    </row>
    <row r="3" spans="1:134" ht="13.5" thickBot="1" x14ac:dyDescent="0.35">
      <c r="A3" s="77" t="s">
        <v>761</v>
      </c>
      <c r="B3" s="78" t="s">
        <v>92</v>
      </c>
      <c r="C3" s="79" t="s">
        <v>476</v>
      </c>
      <c r="D3" s="142"/>
      <c r="E3" s="64"/>
      <c r="F3" s="77" t="s">
        <v>478</v>
      </c>
      <c r="G3" s="78" t="s">
        <v>479</v>
      </c>
      <c r="H3" s="78" t="s">
        <v>480</v>
      </c>
      <c r="I3" s="79" t="s">
        <v>309</v>
      </c>
      <c r="J3" s="64"/>
      <c r="K3" s="64"/>
      <c r="L3" s="64"/>
      <c r="M3" s="64"/>
      <c r="N3" s="64"/>
      <c r="O3" s="64"/>
      <c r="P3" s="64"/>
      <c r="Q3" s="64"/>
      <c r="R3" s="64"/>
      <c r="S3" s="64"/>
      <c r="T3" s="64"/>
      <c r="U3" s="64"/>
      <c r="V3" s="64"/>
      <c r="W3" s="64"/>
      <c r="X3" s="64"/>
      <c r="Y3" s="64"/>
      <c r="Z3" s="64"/>
    </row>
    <row r="4" spans="1:134" ht="39" x14ac:dyDescent="0.3">
      <c r="A4" s="83" t="s">
        <v>481</v>
      </c>
      <c r="B4" s="64" t="s">
        <v>482</v>
      </c>
      <c r="C4" s="70" t="s">
        <v>483</v>
      </c>
      <c r="D4" s="64"/>
      <c r="E4" s="64"/>
      <c r="F4" s="68" t="s">
        <v>485</v>
      </c>
      <c r="G4" s="64" t="s">
        <v>486</v>
      </c>
      <c r="H4" s="64" t="s">
        <v>487</v>
      </c>
      <c r="I4" s="70" t="s">
        <v>769</v>
      </c>
      <c r="J4" s="64"/>
      <c r="K4" s="64"/>
      <c r="L4" s="64"/>
      <c r="M4" s="64"/>
      <c r="N4" s="64"/>
      <c r="O4" s="64"/>
      <c r="P4" s="64"/>
      <c r="Q4" s="64"/>
      <c r="R4" s="64"/>
      <c r="S4" s="64"/>
      <c r="T4" s="64"/>
      <c r="U4" s="64"/>
      <c r="V4" s="64"/>
      <c r="W4" s="64"/>
      <c r="X4" s="64"/>
      <c r="Y4" s="64"/>
      <c r="Z4" s="64"/>
    </row>
    <row r="5" spans="1:134" ht="39" x14ac:dyDescent="0.3">
      <c r="A5" s="83" t="s">
        <v>488</v>
      </c>
      <c r="B5" s="64" t="s">
        <v>482</v>
      </c>
      <c r="C5" s="70" t="s">
        <v>489</v>
      </c>
      <c r="D5" s="64"/>
      <c r="E5" s="64"/>
      <c r="F5" s="68" t="s">
        <v>490</v>
      </c>
      <c r="G5" s="64" t="s">
        <v>491</v>
      </c>
      <c r="H5" s="64" t="s">
        <v>492</v>
      </c>
      <c r="I5" s="70" t="s">
        <v>770</v>
      </c>
      <c r="J5" s="64"/>
      <c r="K5" s="64"/>
      <c r="L5" s="64"/>
      <c r="M5" s="64"/>
      <c r="N5" s="64"/>
      <c r="O5" s="64"/>
      <c r="P5" s="64"/>
      <c r="Q5" s="64"/>
      <c r="R5" s="64"/>
      <c r="S5" s="64"/>
      <c r="T5" s="64"/>
      <c r="U5" s="64"/>
      <c r="V5" s="64"/>
      <c r="W5" s="64"/>
      <c r="X5" s="64"/>
      <c r="Y5" s="64"/>
      <c r="Z5" s="64"/>
    </row>
    <row r="6" spans="1:134" ht="26.5" thickBot="1" x14ac:dyDescent="0.35">
      <c r="A6" s="84" t="s">
        <v>493</v>
      </c>
      <c r="B6" s="74" t="s">
        <v>482</v>
      </c>
      <c r="C6" s="76" t="s">
        <v>494</v>
      </c>
      <c r="D6" s="64"/>
      <c r="E6" s="64"/>
      <c r="F6" s="68" t="s">
        <v>495</v>
      </c>
      <c r="G6" s="64" t="s">
        <v>496</v>
      </c>
      <c r="H6" s="64" t="s">
        <v>497</v>
      </c>
      <c r="I6" s="70" t="s">
        <v>771</v>
      </c>
      <c r="J6" s="64"/>
      <c r="K6" s="64"/>
      <c r="L6" s="64"/>
      <c r="M6" s="64"/>
      <c r="N6" s="64"/>
      <c r="O6" s="64"/>
      <c r="P6" s="64"/>
      <c r="Q6" s="64"/>
      <c r="R6" s="64"/>
      <c r="S6" s="64"/>
      <c r="T6" s="64"/>
      <c r="U6" s="64"/>
      <c r="V6" s="64"/>
      <c r="W6" s="64"/>
      <c r="X6" s="64"/>
      <c r="Y6" s="64"/>
      <c r="Z6" s="64"/>
    </row>
    <row r="7" spans="1:134" ht="26.5" thickBot="1" x14ac:dyDescent="0.35">
      <c r="A7" s="64"/>
      <c r="B7" s="64"/>
      <c r="C7" s="64"/>
      <c r="D7" s="64"/>
      <c r="E7" s="64"/>
      <c r="F7" s="68" t="s">
        <v>498</v>
      </c>
      <c r="G7" s="64" t="s">
        <v>499</v>
      </c>
      <c r="H7" s="64" t="s">
        <v>500</v>
      </c>
      <c r="I7" s="70" t="s">
        <v>772</v>
      </c>
      <c r="J7" s="64"/>
      <c r="K7" s="64"/>
      <c r="L7" s="64"/>
      <c r="M7" s="64"/>
      <c r="N7" s="64"/>
      <c r="O7" s="64"/>
      <c r="P7" s="64"/>
      <c r="Q7" s="64"/>
      <c r="R7" s="64"/>
      <c r="S7" s="64"/>
      <c r="T7" s="64"/>
      <c r="U7" s="64"/>
      <c r="V7" s="64"/>
      <c r="W7" s="64"/>
      <c r="X7" s="64"/>
      <c r="Y7" s="64"/>
      <c r="Z7" s="64"/>
    </row>
    <row r="8" spans="1:134" ht="26.5" thickBot="1" x14ac:dyDescent="0.35">
      <c r="A8" s="82" t="s">
        <v>202</v>
      </c>
      <c r="B8" s="78" t="s">
        <v>41</v>
      </c>
      <c r="C8" s="78" t="s">
        <v>214</v>
      </c>
      <c r="D8" s="79" t="s">
        <v>309</v>
      </c>
      <c r="E8" s="64"/>
      <c r="F8" s="197" t="s">
        <v>501</v>
      </c>
      <c r="G8" s="74" t="s">
        <v>502</v>
      </c>
      <c r="H8" s="74" t="s">
        <v>503</v>
      </c>
      <c r="I8" s="76" t="s">
        <v>773</v>
      </c>
      <c r="J8" s="64"/>
      <c r="K8" s="64"/>
      <c r="L8" s="64"/>
      <c r="M8" s="64"/>
      <c r="N8" s="64"/>
      <c r="O8" s="64"/>
      <c r="P8" s="64"/>
      <c r="Q8" s="64"/>
      <c r="R8" s="64"/>
      <c r="S8" s="64"/>
      <c r="T8" s="64"/>
      <c r="U8" s="64"/>
      <c r="V8" s="64"/>
      <c r="W8" s="64"/>
      <c r="X8" s="64"/>
      <c r="Y8" s="64"/>
      <c r="Z8" s="64"/>
    </row>
    <row r="9" spans="1:134" ht="26" x14ac:dyDescent="0.3">
      <c r="A9" s="327" t="s">
        <v>504</v>
      </c>
      <c r="B9" s="125">
        <f>'Unit-Linked'!L4</f>
        <v>10938.9375</v>
      </c>
      <c r="C9" s="64" t="s">
        <v>229</v>
      </c>
      <c r="D9" s="70" t="s">
        <v>505</v>
      </c>
      <c r="E9" s="64"/>
      <c r="F9" s="64"/>
      <c r="G9" s="64"/>
      <c r="H9" s="64"/>
      <c r="I9" s="64"/>
      <c r="J9" s="64"/>
      <c r="K9" s="64"/>
      <c r="L9" s="64"/>
      <c r="M9" s="64"/>
      <c r="N9" s="64"/>
      <c r="O9" s="64"/>
      <c r="P9" s="64"/>
      <c r="Q9" s="64"/>
      <c r="R9" s="64"/>
      <c r="S9" s="64"/>
      <c r="T9" s="64"/>
      <c r="U9" s="64"/>
      <c r="V9" s="64"/>
      <c r="W9" s="64"/>
      <c r="X9" s="64"/>
      <c r="Y9" s="64"/>
      <c r="Z9" s="64"/>
    </row>
    <row r="10" spans="1:134" ht="26" x14ac:dyDescent="0.3">
      <c r="A10" s="327" t="s">
        <v>563</v>
      </c>
      <c r="B10" s="125">
        <f>'Unit-Linked'!J4+'Unit-Linked'!K4</f>
        <v>746.0625</v>
      </c>
      <c r="C10" s="64" t="s">
        <v>229</v>
      </c>
      <c r="D10" s="70" t="s">
        <v>762</v>
      </c>
      <c r="E10" s="64"/>
      <c r="F10" s="64"/>
      <c r="G10" s="64"/>
      <c r="H10" s="64"/>
      <c r="I10" s="64"/>
      <c r="J10" s="64"/>
      <c r="K10" s="64"/>
      <c r="L10" s="64"/>
      <c r="M10" s="64"/>
      <c r="N10" s="64"/>
      <c r="O10" s="64"/>
      <c r="P10" s="64"/>
      <c r="Q10" s="64"/>
      <c r="R10" s="64"/>
      <c r="S10" s="64"/>
      <c r="T10" s="64"/>
      <c r="U10" s="64"/>
      <c r="V10" s="64"/>
      <c r="W10" s="64"/>
      <c r="X10" s="64"/>
      <c r="Y10" s="64"/>
      <c r="Z10" s="64"/>
    </row>
    <row r="11" spans="1:134" x14ac:dyDescent="0.3">
      <c r="A11" s="327" t="s">
        <v>317</v>
      </c>
      <c r="B11" s="125">
        <f>B9*(1+Assumptions!$C$20)</f>
        <v>11485.884375</v>
      </c>
      <c r="C11" s="64" t="s">
        <v>229</v>
      </c>
      <c r="D11" s="70" t="s">
        <v>506</v>
      </c>
      <c r="E11" s="64"/>
      <c r="F11" s="64"/>
      <c r="G11" s="64"/>
      <c r="H11" s="64"/>
      <c r="I11" s="64"/>
      <c r="J11" s="64"/>
      <c r="K11" s="64"/>
      <c r="L11" s="64"/>
      <c r="M11" s="64"/>
      <c r="N11" s="64"/>
      <c r="O11" s="64"/>
      <c r="P11" s="64"/>
      <c r="Q11" s="64"/>
      <c r="R11" s="64"/>
      <c r="S11" s="64"/>
      <c r="T11" s="64"/>
      <c r="U11" s="64"/>
      <c r="V11" s="64"/>
      <c r="W11" s="64"/>
      <c r="X11" s="64"/>
      <c r="Y11" s="64"/>
      <c r="Z11" s="64"/>
    </row>
    <row r="12" spans="1:134" x14ac:dyDescent="0.3">
      <c r="A12" s="327" t="s">
        <v>443</v>
      </c>
      <c r="B12" s="339">
        <v>5000</v>
      </c>
      <c r="C12" s="64" t="s">
        <v>229</v>
      </c>
      <c r="D12" s="70" t="s">
        <v>484</v>
      </c>
      <c r="E12" s="64"/>
      <c r="F12" s="64"/>
      <c r="G12" s="64"/>
      <c r="H12" s="64"/>
      <c r="I12" s="64"/>
      <c r="J12" s="64"/>
      <c r="K12" s="64"/>
      <c r="L12" s="64"/>
      <c r="M12" s="64"/>
      <c r="N12" s="64"/>
      <c r="O12" s="64"/>
      <c r="P12" s="64"/>
      <c r="Q12" s="64"/>
      <c r="R12" s="64"/>
      <c r="S12" s="64"/>
      <c r="T12" s="64"/>
      <c r="U12" s="64"/>
      <c r="V12" s="64"/>
      <c r="W12" s="64"/>
      <c r="X12" s="64"/>
      <c r="Y12" s="64"/>
      <c r="Z12" s="64"/>
    </row>
    <row r="13" spans="1:134" ht="26" x14ac:dyDescent="0.3">
      <c r="A13" s="327" t="s">
        <v>507</v>
      </c>
      <c r="B13" s="125">
        <f>('Unit-Linked'!B11+'Unit-Linked'!B4*'Unit-Linked'!B7)*Assumptions!C26*'Unit-Linked'!B8</f>
        <v>0</v>
      </c>
      <c r="C13" s="64" t="s">
        <v>229</v>
      </c>
      <c r="D13" s="70" t="s">
        <v>763</v>
      </c>
      <c r="E13" s="64"/>
      <c r="F13" s="64"/>
      <c r="G13" s="64"/>
      <c r="H13" s="64"/>
      <c r="I13" s="64"/>
      <c r="J13" s="64"/>
      <c r="K13" s="64"/>
      <c r="L13" s="64"/>
      <c r="M13" s="64"/>
      <c r="N13" s="64"/>
      <c r="O13" s="64"/>
      <c r="P13" s="64"/>
      <c r="Q13" s="64"/>
      <c r="R13" s="64"/>
      <c r="S13" s="64"/>
      <c r="T13" s="64"/>
      <c r="U13" s="64"/>
      <c r="V13" s="64"/>
      <c r="W13" s="64"/>
      <c r="X13" s="64"/>
      <c r="Y13" s="64"/>
      <c r="Z13" s="64"/>
    </row>
    <row r="14" spans="1:134" ht="26" x14ac:dyDescent="0.3">
      <c r="A14" s="327" t="s">
        <v>508</v>
      </c>
      <c r="B14" s="126">
        <f>MAX(0,B12+B13)</f>
        <v>5000</v>
      </c>
      <c r="C14" s="64" t="s">
        <v>229</v>
      </c>
      <c r="D14" s="70" t="s">
        <v>764</v>
      </c>
      <c r="E14" s="64"/>
      <c r="F14" s="64"/>
      <c r="G14" s="64"/>
      <c r="H14" s="64"/>
      <c r="I14" s="64"/>
      <c r="J14" s="64"/>
      <c r="K14" s="64"/>
      <c r="L14" s="64"/>
      <c r="M14" s="64"/>
      <c r="N14" s="64"/>
      <c r="O14" s="64"/>
      <c r="P14" s="64"/>
      <c r="Q14" s="64"/>
      <c r="R14" s="64"/>
      <c r="S14" s="64"/>
      <c r="T14" s="64"/>
      <c r="U14" s="64"/>
      <c r="V14" s="64"/>
      <c r="W14" s="64"/>
      <c r="X14" s="64"/>
      <c r="Y14" s="64"/>
      <c r="Z14" s="64"/>
    </row>
    <row r="15" spans="1:134" x14ac:dyDescent="0.3">
      <c r="A15" s="327" t="s">
        <v>448</v>
      </c>
      <c r="B15" s="125">
        <f>B14/'Unit-Linked'!B5</f>
        <v>250</v>
      </c>
      <c r="C15" s="64" t="s">
        <v>229</v>
      </c>
      <c r="D15" s="70" t="s">
        <v>765</v>
      </c>
      <c r="E15" s="64"/>
      <c r="F15" s="64"/>
      <c r="G15" s="64"/>
      <c r="H15" s="64"/>
      <c r="I15" s="64"/>
      <c r="J15" s="64"/>
      <c r="K15" s="64"/>
      <c r="L15" s="64"/>
      <c r="M15" s="64"/>
      <c r="N15" s="64"/>
      <c r="O15" s="64"/>
      <c r="P15" s="64"/>
      <c r="Q15" s="64"/>
      <c r="R15" s="64"/>
      <c r="S15" s="64"/>
      <c r="T15" s="64"/>
      <c r="U15" s="64"/>
      <c r="V15" s="64"/>
      <c r="W15" s="64"/>
      <c r="X15" s="64"/>
      <c r="Y15" s="64"/>
      <c r="Z15" s="64"/>
    </row>
    <row r="16" spans="1:134" x14ac:dyDescent="0.3">
      <c r="A16" s="327" t="s">
        <v>449</v>
      </c>
      <c r="B16" s="126">
        <f>B14-B15</f>
        <v>4750</v>
      </c>
      <c r="C16" s="64" t="s">
        <v>229</v>
      </c>
      <c r="D16" s="70" t="s">
        <v>766</v>
      </c>
      <c r="E16" s="64"/>
      <c r="F16" s="64"/>
      <c r="G16" s="64"/>
      <c r="H16" s="64"/>
      <c r="I16" s="64"/>
      <c r="J16" s="64"/>
      <c r="K16" s="64"/>
      <c r="L16" s="64"/>
      <c r="M16" s="64"/>
      <c r="N16" s="64"/>
      <c r="O16" s="64"/>
      <c r="P16" s="64"/>
      <c r="Q16" s="64"/>
      <c r="R16" s="64"/>
      <c r="S16" s="64"/>
      <c r="T16" s="64"/>
      <c r="U16" s="64"/>
      <c r="V16" s="64"/>
      <c r="W16" s="64"/>
      <c r="X16" s="64"/>
      <c r="Y16" s="64"/>
      <c r="Z16" s="64"/>
    </row>
    <row r="17" spans="1:26" x14ac:dyDescent="0.3">
      <c r="A17" s="327" t="s">
        <v>509</v>
      </c>
      <c r="B17" s="126">
        <f>B12+B13+MAX(0,-(B12+B13))-B15-B16</f>
        <v>0</v>
      </c>
      <c r="C17" s="64" t="s">
        <v>229</v>
      </c>
      <c r="D17" s="70"/>
      <c r="E17" s="64"/>
      <c r="F17" s="64"/>
      <c r="G17" s="64"/>
      <c r="H17" s="64"/>
      <c r="I17" s="64"/>
      <c r="J17" s="64"/>
      <c r="K17" s="64"/>
      <c r="L17" s="64"/>
      <c r="M17" s="64"/>
      <c r="N17" s="64"/>
      <c r="O17" s="64"/>
      <c r="P17" s="64"/>
      <c r="Q17" s="64"/>
      <c r="R17" s="64"/>
      <c r="S17" s="64"/>
      <c r="T17" s="64"/>
      <c r="U17" s="64"/>
      <c r="V17" s="64"/>
      <c r="W17" s="64"/>
      <c r="X17" s="64"/>
      <c r="Y17" s="64"/>
      <c r="Z17" s="64"/>
    </row>
    <row r="18" spans="1:26" ht="13.5" thickBot="1" x14ac:dyDescent="0.35">
      <c r="A18" s="328" t="s">
        <v>318</v>
      </c>
      <c r="B18" s="128">
        <f>'Unit-Linked'!N4</f>
        <v>10938.9375</v>
      </c>
      <c r="C18" s="74" t="s">
        <v>229</v>
      </c>
      <c r="D18" s="76" t="s">
        <v>767</v>
      </c>
      <c r="E18" s="64"/>
      <c r="F18" s="64"/>
      <c r="G18" s="64"/>
      <c r="H18" s="64"/>
      <c r="I18" s="64"/>
      <c r="J18" s="64"/>
      <c r="K18" s="64"/>
      <c r="L18" s="64"/>
      <c r="M18" s="64"/>
      <c r="N18" s="64"/>
      <c r="O18" s="64"/>
      <c r="P18" s="64"/>
      <c r="Q18" s="64"/>
      <c r="R18" s="64"/>
      <c r="S18" s="64"/>
      <c r="T18" s="64"/>
      <c r="U18" s="64"/>
      <c r="V18" s="64"/>
      <c r="W18" s="64"/>
      <c r="X18" s="64"/>
      <c r="Y18" s="64"/>
      <c r="Z18" s="64"/>
    </row>
    <row r="19" spans="1:26" x14ac:dyDescent="0.3">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x14ac:dyDescent="0.3">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spans="1:26" ht="13.5" thickBot="1" x14ac:dyDescent="0.35">
      <c r="A21" s="340" t="s">
        <v>768</v>
      </c>
      <c r="B21" s="340"/>
      <c r="C21" s="340"/>
      <c r="D21" s="340"/>
      <c r="E21" s="340"/>
      <c r="F21" s="340"/>
      <c r="G21" s="340"/>
      <c r="H21" s="340"/>
      <c r="I21" s="340"/>
      <c r="J21" s="64"/>
      <c r="K21" s="64"/>
      <c r="L21" s="64"/>
      <c r="M21" s="64"/>
      <c r="N21" s="64"/>
      <c r="O21" s="64"/>
      <c r="P21" s="64"/>
      <c r="Q21" s="64"/>
      <c r="R21" s="64"/>
      <c r="S21" s="64"/>
      <c r="T21" s="64"/>
      <c r="U21" s="64"/>
      <c r="V21" s="64"/>
      <c r="W21" s="64"/>
      <c r="X21" s="64"/>
      <c r="Y21" s="64"/>
      <c r="Z21" s="64"/>
    </row>
    <row r="22" spans="1:26" ht="32" customHeight="1" thickBot="1" x14ac:dyDescent="0.35">
      <c r="A22" s="315" t="s">
        <v>310</v>
      </c>
      <c r="B22" s="316" t="s">
        <v>443</v>
      </c>
      <c r="C22" s="316" t="s">
        <v>564</v>
      </c>
      <c r="D22" s="316" t="s">
        <v>565</v>
      </c>
      <c r="E22" s="316" t="s">
        <v>566</v>
      </c>
      <c r="F22" s="316" t="s">
        <v>567</v>
      </c>
      <c r="G22" s="316" t="s">
        <v>448</v>
      </c>
      <c r="H22" s="316" t="s">
        <v>449</v>
      </c>
      <c r="I22" s="317" t="s">
        <v>568</v>
      </c>
      <c r="J22" s="64"/>
      <c r="K22" s="64"/>
      <c r="L22" s="64"/>
      <c r="M22" s="64"/>
      <c r="N22" s="64"/>
      <c r="O22" s="64"/>
      <c r="P22" s="64"/>
      <c r="Q22" s="64"/>
      <c r="R22" s="64"/>
      <c r="S22" s="64"/>
      <c r="T22" s="64"/>
      <c r="U22" s="64"/>
      <c r="V22" s="64"/>
      <c r="W22" s="64"/>
      <c r="X22" s="64"/>
      <c r="Y22" s="64"/>
      <c r="Z22" s="64"/>
    </row>
    <row r="23" spans="1:26" x14ac:dyDescent="0.3">
      <c r="A23" s="68">
        <v>1</v>
      </c>
      <c r="B23" s="332">
        <f>$B$12</f>
        <v>5000</v>
      </c>
      <c r="C23" s="332">
        <f>$B$13</f>
        <v>0</v>
      </c>
      <c r="D23" s="332">
        <f t="shared" ref="D23:D62" si="0">MAX(0,-(B23+C23))</f>
        <v>0</v>
      </c>
      <c r="E23" s="332">
        <f t="shared" ref="E23:E62" si="1">B23+C23+D23</f>
        <v>5000</v>
      </c>
      <c r="F23" s="199">
        <f>IF(A23&lt;='Unit-Linked'!$B$5,1,0)</f>
        <v>1</v>
      </c>
      <c r="G23" s="332">
        <f>IF(SUM(F23:$F$62)=0,0,E23*F23/SUM(F23:$F$62))</f>
        <v>250</v>
      </c>
      <c r="H23" s="332">
        <f t="shared" ref="H23:H62" si="2">E23-G23</f>
        <v>4750</v>
      </c>
      <c r="I23" s="333">
        <f t="shared" ref="I23:I62" si="3">B23+C23+D23-G23-H23</f>
        <v>0</v>
      </c>
      <c r="J23" s="64"/>
      <c r="K23" s="64"/>
      <c r="L23" s="64"/>
      <c r="M23" s="64"/>
      <c r="N23" s="64"/>
      <c r="O23" s="64"/>
      <c r="P23" s="64"/>
      <c r="Q23" s="64"/>
      <c r="R23" s="64"/>
      <c r="S23" s="64"/>
      <c r="T23" s="64"/>
      <c r="U23" s="64"/>
      <c r="V23" s="64"/>
      <c r="W23" s="64"/>
      <c r="X23" s="64"/>
      <c r="Y23" s="64"/>
      <c r="Z23" s="64"/>
    </row>
    <row r="24" spans="1:26" x14ac:dyDescent="0.3">
      <c r="A24" s="68">
        <v>2</v>
      </c>
      <c r="B24" s="332">
        <f t="shared" ref="B24:B62" si="4">H23</f>
        <v>4750</v>
      </c>
      <c r="C24" s="332">
        <f>0</f>
        <v>0</v>
      </c>
      <c r="D24" s="332">
        <f t="shared" si="0"/>
        <v>0</v>
      </c>
      <c r="E24" s="332">
        <f t="shared" si="1"/>
        <v>4750</v>
      </c>
      <c r="F24" s="199">
        <f>IF(A24&lt;='Unit-Linked'!$B$5,1,0)</f>
        <v>1</v>
      </c>
      <c r="G24" s="332">
        <f>IF(SUM(F24:$F$62)=0,0,E24*F24/SUM(F24:$F$62))</f>
        <v>250</v>
      </c>
      <c r="H24" s="332">
        <f t="shared" si="2"/>
        <v>4500</v>
      </c>
      <c r="I24" s="333">
        <f t="shared" si="3"/>
        <v>0</v>
      </c>
      <c r="J24" s="64"/>
      <c r="K24" s="64"/>
      <c r="L24" s="64"/>
      <c r="M24" s="64"/>
      <c r="N24" s="64"/>
      <c r="O24" s="64"/>
      <c r="P24" s="64"/>
      <c r="Q24" s="64"/>
      <c r="R24" s="64"/>
      <c r="S24" s="64"/>
      <c r="T24" s="64"/>
      <c r="U24" s="64"/>
      <c r="V24" s="64"/>
      <c r="W24" s="64"/>
      <c r="X24" s="64"/>
      <c r="Y24" s="64"/>
      <c r="Z24" s="64"/>
    </row>
    <row r="25" spans="1:26" x14ac:dyDescent="0.3">
      <c r="A25" s="68">
        <v>3</v>
      </c>
      <c r="B25" s="332">
        <f t="shared" si="4"/>
        <v>4500</v>
      </c>
      <c r="C25" s="332">
        <f>0</f>
        <v>0</v>
      </c>
      <c r="D25" s="332">
        <f t="shared" si="0"/>
        <v>0</v>
      </c>
      <c r="E25" s="332">
        <f t="shared" si="1"/>
        <v>4500</v>
      </c>
      <c r="F25" s="199">
        <f>IF(A25&lt;='Unit-Linked'!$B$5,1,0)</f>
        <v>1</v>
      </c>
      <c r="G25" s="332">
        <f>IF(SUM(F25:$F$62)=0,0,E25*F25/SUM(F25:$F$62))</f>
        <v>250</v>
      </c>
      <c r="H25" s="332">
        <f t="shared" si="2"/>
        <v>4250</v>
      </c>
      <c r="I25" s="333">
        <f t="shared" si="3"/>
        <v>0</v>
      </c>
      <c r="J25" s="64"/>
      <c r="K25" s="64"/>
      <c r="L25" s="64"/>
      <c r="M25" s="64"/>
      <c r="N25" s="64"/>
      <c r="O25" s="64"/>
      <c r="P25" s="64"/>
      <c r="Q25" s="64"/>
      <c r="R25" s="64"/>
      <c r="S25" s="64"/>
      <c r="T25" s="64"/>
      <c r="U25" s="64"/>
      <c r="V25" s="64"/>
      <c r="W25" s="64"/>
      <c r="X25" s="64"/>
      <c r="Y25" s="64"/>
      <c r="Z25" s="64"/>
    </row>
    <row r="26" spans="1:26" x14ac:dyDescent="0.3">
      <c r="A26" s="68">
        <v>4</v>
      </c>
      <c r="B26" s="332">
        <f t="shared" si="4"/>
        <v>4250</v>
      </c>
      <c r="C26" s="332">
        <f>0</f>
        <v>0</v>
      </c>
      <c r="D26" s="332">
        <f t="shared" si="0"/>
        <v>0</v>
      </c>
      <c r="E26" s="332">
        <f t="shared" si="1"/>
        <v>4250</v>
      </c>
      <c r="F26" s="199">
        <f>IF(A26&lt;='Unit-Linked'!$B$5,1,0)</f>
        <v>1</v>
      </c>
      <c r="G26" s="332">
        <f>IF(SUM(F26:$F$62)=0,0,E26*F26/SUM(F26:$F$62))</f>
        <v>250</v>
      </c>
      <c r="H26" s="332">
        <f t="shared" si="2"/>
        <v>4000</v>
      </c>
      <c r="I26" s="333">
        <f t="shared" si="3"/>
        <v>0</v>
      </c>
      <c r="J26" s="64"/>
      <c r="K26" s="64"/>
      <c r="L26" s="64"/>
      <c r="M26" s="64"/>
      <c r="N26" s="64"/>
      <c r="O26" s="64"/>
      <c r="P26" s="64"/>
      <c r="Q26" s="64"/>
      <c r="R26" s="64"/>
      <c r="S26" s="64"/>
      <c r="T26" s="64"/>
      <c r="U26" s="64"/>
      <c r="V26" s="64"/>
      <c r="W26" s="64"/>
      <c r="X26" s="64"/>
      <c r="Y26" s="64"/>
      <c r="Z26" s="64"/>
    </row>
    <row r="27" spans="1:26" x14ac:dyDescent="0.3">
      <c r="A27" s="68">
        <v>5</v>
      </c>
      <c r="B27" s="332">
        <f t="shared" si="4"/>
        <v>4000</v>
      </c>
      <c r="C27" s="332">
        <f>0</f>
        <v>0</v>
      </c>
      <c r="D27" s="332">
        <f t="shared" si="0"/>
        <v>0</v>
      </c>
      <c r="E27" s="332">
        <f t="shared" si="1"/>
        <v>4000</v>
      </c>
      <c r="F27" s="199">
        <f>IF(A27&lt;='Unit-Linked'!$B$5,1,0)</f>
        <v>1</v>
      </c>
      <c r="G27" s="332">
        <f>IF(SUM(F27:$F$62)=0,0,E27*F27/SUM(F27:$F$62))</f>
        <v>250</v>
      </c>
      <c r="H27" s="332">
        <f t="shared" si="2"/>
        <v>3750</v>
      </c>
      <c r="I27" s="333">
        <f t="shared" si="3"/>
        <v>0</v>
      </c>
      <c r="J27" s="64"/>
      <c r="K27" s="64"/>
      <c r="L27" s="64"/>
      <c r="M27" s="64"/>
      <c r="N27" s="64"/>
      <c r="O27" s="64"/>
      <c r="P27" s="64"/>
      <c r="Q27" s="64"/>
      <c r="R27" s="64"/>
      <c r="S27" s="64"/>
      <c r="T27" s="64"/>
      <c r="U27" s="64"/>
      <c r="V27" s="64"/>
      <c r="W27" s="64"/>
      <c r="X27" s="64"/>
      <c r="Y27" s="64"/>
      <c r="Z27" s="64"/>
    </row>
    <row r="28" spans="1:26" x14ac:dyDescent="0.3">
      <c r="A28" s="68">
        <v>6</v>
      </c>
      <c r="B28" s="332">
        <f t="shared" si="4"/>
        <v>3750</v>
      </c>
      <c r="C28" s="332">
        <f>0</f>
        <v>0</v>
      </c>
      <c r="D28" s="332">
        <f t="shared" si="0"/>
        <v>0</v>
      </c>
      <c r="E28" s="332">
        <f t="shared" si="1"/>
        <v>3750</v>
      </c>
      <c r="F28" s="199">
        <f>IF(A28&lt;='Unit-Linked'!$B$5,1,0)</f>
        <v>1</v>
      </c>
      <c r="G28" s="332">
        <f>IF(SUM(F28:$F$62)=0,0,E28*F28/SUM(F28:$F$62))</f>
        <v>250</v>
      </c>
      <c r="H28" s="332">
        <f t="shared" si="2"/>
        <v>3500</v>
      </c>
      <c r="I28" s="333">
        <f t="shared" si="3"/>
        <v>0</v>
      </c>
      <c r="J28" s="64"/>
      <c r="K28" s="64"/>
      <c r="L28" s="64"/>
      <c r="M28" s="64"/>
      <c r="N28" s="64"/>
      <c r="O28" s="64"/>
      <c r="P28" s="64"/>
      <c r="Q28" s="64"/>
      <c r="R28" s="64"/>
      <c r="S28" s="64"/>
      <c r="T28" s="64"/>
      <c r="U28" s="64"/>
      <c r="V28" s="64"/>
      <c r="W28" s="64"/>
      <c r="X28" s="64"/>
      <c r="Y28" s="64"/>
      <c r="Z28" s="64"/>
    </row>
    <row r="29" spans="1:26" x14ac:dyDescent="0.3">
      <c r="A29" s="68">
        <v>7</v>
      </c>
      <c r="B29" s="332">
        <f t="shared" si="4"/>
        <v>3500</v>
      </c>
      <c r="C29" s="332">
        <f>0</f>
        <v>0</v>
      </c>
      <c r="D29" s="332">
        <f t="shared" si="0"/>
        <v>0</v>
      </c>
      <c r="E29" s="332">
        <f t="shared" si="1"/>
        <v>3500</v>
      </c>
      <c r="F29" s="199">
        <f>IF(A29&lt;='Unit-Linked'!$B$5,1,0)</f>
        <v>1</v>
      </c>
      <c r="G29" s="332">
        <f>IF(SUM(F29:$F$62)=0,0,E29*F29/SUM(F29:$F$62))</f>
        <v>250</v>
      </c>
      <c r="H29" s="332">
        <f t="shared" si="2"/>
        <v>3250</v>
      </c>
      <c r="I29" s="333">
        <f t="shared" si="3"/>
        <v>0</v>
      </c>
      <c r="J29" s="64"/>
      <c r="K29" s="64"/>
      <c r="L29" s="64"/>
      <c r="M29" s="64"/>
      <c r="N29" s="64"/>
      <c r="O29" s="64"/>
      <c r="P29" s="64"/>
      <c r="Q29" s="64"/>
      <c r="R29" s="64"/>
      <c r="S29" s="64"/>
      <c r="T29" s="64"/>
      <c r="U29" s="64"/>
      <c r="V29" s="64"/>
      <c r="W29" s="64"/>
      <c r="X29" s="64"/>
      <c r="Y29" s="64"/>
      <c r="Z29" s="64"/>
    </row>
    <row r="30" spans="1:26" x14ac:dyDescent="0.3">
      <c r="A30" s="68">
        <v>8</v>
      </c>
      <c r="B30" s="332">
        <f t="shared" si="4"/>
        <v>3250</v>
      </c>
      <c r="C30" s="332">
        <f>0</f>
        <v>0</v>
      </c>
      <c r="D30" s="332">
        <f t="shared" si="0"/>
        <v>0</v>
      </c>
      <c r="E30" s="332">
        <f t="shared" si="1"/>
        <v>3250</v>
      </c>
      <c r="F30" s="199">
        <f>IF(A30&lt;='Unit-Linked'!$B$5,1,0)</f>
        <v>1</v>
      </c>
      <c r="G30" s="332">
        <f>IF(SUM(F30:$F$62)=0,0,E30*F30/SUM(F30:$F$62))</f>
        <v>250</v>
      </c>
      <c r="H30" s="332">
        <f t="shared" si="2"/>
        <v>3000</v>
      </c>
      <c r="I30" s="333">
        <f t="shared" si="3"/>
        <v>0</v>
      </c>
      <c r="J30" s="64"/>
      <c r="K30" s="64"/>
      <c r="L30" s="64"/>
      <c r="M30" s="64"/>
      <c r="N30" s="64"/>
      <c r="O30" s="64"/>
      <c r="P30" s="64"/>
      <c r="Q30" s="64"/>
      <c r="R30" s="64"/>
      <c r="S30" s="64"/>
      <c r="T30" s="64"/>
      <c r="U30" s="64"/>
      <c r="V30" s="64"/>
      <c r="W30" s="64"/>
      <c r="X30" s="64"/>
      <c r="Y30" s="64"/>
      <c r="Z30" s="64"/>
    </row>
    <row r="31" spans="1:26" x14ac:dyDescent="0.3">
      <c r="A31" s="68">
        <v>9</v>
      </c>
      <c r="B31" s="332">
        <f t="shared" si="4"/>
        <v>3000</v>
      </c>
      <c r="C31" s="332">
        <f>0</f>
        <v>0</v>
      </c>
      <c r="D31" s="332">
        <f t="shared" si="0"/>
        <v>0</v>
      </c>
      <c r="E31" s="332">
        <f t="shared" si="1"/>
        <v>3000</v>
      </c>
      <c r="F31" s="199">
        <f>IF(A31&lt;='Unit-Linked'!$B$5,1,0)</f>
        <v>1</v>
      </c>
      <c r="G31" s="332">
        <f>IF(SUM(F31:$F$62)=0,0,E31*F31/SUM(F31:$F$62))</f>
        <v>250</v>
      </c>
      <c r="H31" s="332">
        <f t="shared" si="2"/>
        <v>2750</v>
      </c>
      <c r="I31" s="333">
        <f t="shared" si="3"/>
        <v>0</v>
      </c>
      <c r="J31" s="64"/>
      <c r="K31" s="64"/>
      <c r="L31" s="64"/>
      <c r="M31" s="64"/>
      <c r="N31" s="64"/>
      <c r="O31" s="64"/>
      <c r="P31" s="64"/>
      <c r="Q31" s="64"/>
      <c r="R31" s="64"/>
      <c r="S31" s="64"/>
      <c r="T31" s="64"/>
      <c r="U31" s="64"/>
      <c r="V31" s="64"/>
      <c r="W31" s="64"/>
      <c r="X31" s="64"/>
      <c r="Y31" s="64"/>
      <c r="Z31" s="64"/>
    </row>
    <row r="32" spans="1:26" x14ac:dyDescent="0.3">
      <c r="A32" s="68">
        <v>10</v>
      </c>
      <c r="B32" s="332">
        <f t="shared" si="4"/>
        <v>2750</v>
      </c>
      <c r="C32" s="332">
        <f>0</f>
        <v>0</v>
      </c>
      <c r="D32" s="332">
        <f t="shared" si="0"/>
        <v>0</v>
      </c>
      <c r="E32" s="332">
        <f t="shared" si="1"/>
        <v>2750</v>
      </c>
      <c r="F32" s="199">
        <f>IF(A32&lt;='Unit-Linked'!$B$5,1,0)</f>
        <v>1</v>
      </c>
      <c r="G32" s="332">
        <f>IF(SUM(F32:$F$62)=0,0,E32*F32/SUM(F32:$F$62))</f>
        <v>250</v>
      </c>
      <c r="H32" s="332">
        <f t="shared" si="2"/>
        <v>2500</v>
      </c>
      <c r="I32" s="333">
        <f t="shared" si="3"/>
        <v>0</v>
      </c>
      <c r="J32" s="64"/>
      <c r="K32" s="64"/>
      <c r="L32" s="64"/>
      <c r="M32" s="64"/>
      <c r="N32" s="64"/>
      <c r="O32" s="64"/>
      <c r="P32" s="64"/>
      <c r="Q32" s="64"/>
      <c r="R32" s="64"/>
      <c r="S32" s="64"/>
      <c r="T32" s="64"/>
      <c r="U32" s="64"/>
      <c r="V32" s="64"/>
      <c r="W32" s="64"/>
      <c r="X32" s="64"/>
      <c r="Y32" s="64"/>
      <c r="Z32" s="64"/>
    </row>
    <row r="33" spans="1:26" x14ac:dyDescent="0.3">
      <c r="A33" s="68">
        <v>11</v>
      </c>
      <c r="B33" s="332">
        <f t="shared" si="4"/>
        <v>2500</v>
      </c>
      <c r="C33" s="332">
        <f>0</f>
        <v>0</v>
      </c>
      <c r="D33" s="332">
        <f t="shared" si="0"/>
        <v>0</v>
      </c>
      <c r="E33" s="332">
        <f t="shared" si="1"/>
        <v>2500</v>
      </c>
      <c r="F33" s="199">
        <f>IF(A33&lt;='Unit-Linked'!$B$5,1,0)</f>
        <v>1</v>
      </c>
      <c r="G33" s="332">
        <f>IF(SUM(F33:$F$62)=0,0,E33*F33/SUM(F33:$F$62))</f>
        <v>250</v>
      </c>
      <c r="H33" s="332">
        <f t="shared" si="2"/>
        <v>2250</v>
      </c>
      <c r="I33" s="333">
        <f t="shared" si="3"/>
        <v>0</v>
      </c>
      <c r="J33" s="64"/>
      <c r="K33" s="64"/>
      <c r="L33" s="64"/>
      <c r="M33" s="64"/>
      <c r="N33" s="64"/>
      <c r="O33" s="64"/>
      <c r="P33" s="64"/>
      <c r="Q33" s="64"/>
      <c r="R33" s="64"/>
      <c r="S33" s="64"/>
      <c r="T33" s="64"/>
      <c r="U33" s="64"/>
      <c r="V33" s="64"/>
      <c r="W33" s="64"/>
      <c r="X33" s="64"/>
      <c r="Y33" s="64"/>
      <c r="Z33" s="64"/>
    </row>
    <row r="34" spans="1:26" x14ac:dyDescent="0.3">
      <c r="A34" s="68">
        <v>12</v>
      </c>
      <c r="B34" s="332">
        <f t="shared" si="4"/>
        <v>2250</v>
      </c>
      <c r="C34" s="332">
        <f>0</f>
        <v>0</v>
      </c>
      <c r="D34" s="332">
        <f t="shared" si="0"/>
        <v>0</v>
      </c>
      <c r="E34" s="332">
        <f t="shared" si="1"/>
        <v>2250</v>
      </c>
      <c r="F34" s="199">
        <f>IF(A34&lt;='Unit-Linked'!$B$5,1,0)</f>
        <v>1</v>
      </c>
      <c r="G34" s="332">
        <f>IF(SUM(F34:$F$62)=0,0,E34*F34/SUM(F34:$F$62))</f>
        <v>250</v>
      </c>
      <c r="H34" s="332">
        <f t="shared" si="2"/>
        <v>2000</v>
      </c>
      <c r="I34" s="333">
        <f t="shared" si="3"/>
        <v>0</v>
      </c>
      <c r="J34" s="64"/>
      <c r="K34" s="64"/>
      <c r="L34" s="64"/>
      <c r="M34" s="64"/>
      <c r="N34" s="64"/>
      <c r="O34" s="64"/>
      <c r="P34" s="64"/>
      <c r="Q34" s="64"/>
      <c r="R34" s="64"/>
      <c r="S34" s="64"/>
      <c r="T34" s="64"/>
      <c r="U34" s="64"/>
      <c r="V34" s="64"/>
      <c r="W34" s="64"/>
      <c r="X34" s="64"/>
      <c r="Y34" s="64"/>
      <c r="Z34" s="64"/>
    </row>
    <row r="35" spans="1:26" x14ac:dyDescent="0.3">
      <c r="A35" s="68">
        <v>13</v>
      </c>
      <c r="B35" s="332">
        <f t="shared" si="4"/>
        <v>2000</v>
      </c>
      <c r="C35" s="332">
        <f>0</f>
        <v>0</v>
      </c>
      <c r="D35" s="332">
        <f t="shared" si="0"/>
        <v>0</v>
      </c>
      <c r="E35" s="332">
        <f t="shared" si="1"/>
        <v>2000</v>
      </c>
      <c r="F35" s="199">
        <f>IF(A35&lt;='Unit-Linked'!$B$5,1,0)</f>
        <v>1</v>
      </c>
      <c r="G35" s="332">
        <f>IF(SUM(F35:$F$62)=0,0,E35*F35/SUM(F35:$F$62))</f>
        <v>250</v>
      </c>
      <c r="H35" s="332">
        <f t="shared" si="2"/>
        <v>1750</v>
      </c>
      <c r="I35" s="333">
        <f t="shared" si="3"/>
        <v>0</v>
      </c>
      <c r="J35" s="64"/>
      <c r="K35" s="64"/>
      <c r="L35" s="64"/>
      <c r="M35" s="64"/>
      <c r="N35" s="64"/>
      <c r="O35" s="64"/>
      <c r="P35" s="64"/>
      <c r="Q35" s="64"/>
      <c r="R35" s="64"/>
      <c r="S35" s="64"/>
      <c r="T35" s="64"/>
      <c r="U35" s="64"/>
      <c r="V35" s="64"/>
      <c r="W35" s="64"/>
      <c r="X35" s="64"/>
      <c r="Y35" s="64"/>
      <c r="Z35" s="64"/>
    </row>
    <row r="36" spans="1:26" x14ac:dyDescent="0.3">
      <c r="A36" s="68">
        <v>14</v>
      </c>
      <c r="B36" s="332">
        <f t="shared" si="4"/>
        <v>1750</v>
      </c>
      <c r="C36" s="332">
        <f>0</f>
        <v>0</v>
      </c>
      <c r="D36" s="332">
        <f t="shared" si="0"/>
        <v>0</v>
      </c>
      <c r="E36" s="332">
        <f t="shared" si="1"/>
        <v>1750</v>
      </c>
      <c r="F36" s="199">
        <f>IF(A36&lt;='Unit-Linked'!$B$5,1,0)</f>
        <v>1</v>
      </c>
      <c r="G36" s="332">
        <f>IF(SUM(F36:$F$62)=0,0,E36*F36/SUM(F36:$F$62))</f>
        <v>250</v>
      </c>
      <c r="H36" s="332">
        <f t="shared" si="2"/>
        <v>1500</v>
      </c>
      <c r="I36" s="333">
        <f t="shared" si="3"/>
        <v>0</v>
      </c>
      <c r="J36" s="64"/>
      <c r="K36" s="64"/>
      <c r="L36" s="64"/>
      <c r="M36" s="64"/>
      <c r="N36" s="64"/>
      <c r="O36" s="64"/>
      <c r="P36" s="64"/>
      <c r="Q36" s="64"/>
      <c r="R36" s="64"/>
      <c r="S36" s="64"/>
      <c r="T36" s="64"/>
      <c r="U36" s="64"/>
      <c r="V36" s="64"/>
      <c r="W36" s="64"/>
      <c r="X36" s="64"/>
      <c r="Y36" s="64"/>
      <c r="Z36" s="64"/>
    </row>
    <row r="37" spans="1:26" x14ac:dyDescent="0.3">
      <c r="A37" s="68">
        <v>15</v>
      </c>
      <c r="B37" s="332">
        <f t="shared" si="4"/>
        <v>1500</v>
      </c>
      <c r="C37" s="332">
        <f>0</f>
        <v>0</v>
      </c>
      <c r="D37" s="332">
        <f t="shared" si="0"/>
        <v>0</v>
      </c>
      <c r="E37" s="332">
        <f t="shared" si="1"/>
        <v>1500</v>
      </c>
      <c r="F37" s="199">
        <f>IF(A37&lt;='Unit-Linked'!$B$5,1,0)</f>
        <v>1</v>
      </c>
      <c r="G37" s="332">
        <f>IF(SUM(F37:$F$62)=0,0,E37*F37/SUM(F37:$F$62))</f>
        <v>250</v>
      </c>
      <c r="H37" s="332">
        <f t="shared" si="2"/>
        <v>1250</v>
      </c>
      <c r="I37" s="333">
        <f t="shared" si="3"/>
        <v>0</v>
      </c>
      <c r="J37" s="64"/>
      <c r="K37" s="64"/>
      <c r="L37" s="64"/>
      <c r="M37" s="64"/>
      <c r="N37" s="64"/>
      <c r="O37" s="64"/>
      <c r="P37" s="64"/>
      <c r="Q37" s="64"/>
      <c r="R37" s="64"/>
      <c r="S37" s="64"/>
      <c r="T37" s="64"/>
      <c r="U37" s="64"/>
      <c r="V37" s="64"/>
      <c r="W37" s="64"/>
      <c r="X37" s="64"/>
      <c r="Y37" s="64"/>
      <c r="Z37" s="64"/>
    </row>
    <row r="38" spans="1:26" x14ac:dyDescent="0.3">
      <c r="A38" s="68">
        <v>16</v>
      </c>
      <c r="B38" s="332">
        <f t="shared" si="4"/>
        <v>1250</v>
      </c>
      <c r="C38" s="332">
        <f>0</f>
        <v>0</v>
      </c>
      <c r="D38" s="332">
        <f t="shared" si="0"/>
        <v>0</v>
      </c>
      <c r="E38" s="332">
        <f t="shared" si="1"/>
        <v>1250</v>
      </c>
      <c r="F38" s="199">
        <f>IF(A38&lt;='Unit-Linked'!$B$5,1,0)</f>
        <v>1</v>
      </c>
      <c r="G38" s="332">
        <f>IF(SUM(F38:$F$62)=0,0,E38*F38/SUM(F38:$F$62))</f>
        <v>250</v>
      </c>
      <c r="H38" s="332">
        <f t="shared" si="2"/>
        <v>1000</v>
      </c>
      <c r="I38" s="333">
        <f t="shared" si="3"/>
        <v>0</v>
      </c>
      <c r="J38" s="64"/>
      <c r="K38" s="64"/>
      <c r="L38" s="64"/>
      <c r="M38" s="64"/>
      <c r="N38" s="64"/>
      <c r="O38" s="64"/>
      <c r="P38" s="64"/>
      <c r="Q38" s="64"/>
      <c r="R38" s="64"/>
      <c r="S38" s="64"/>
      <c r="T38" s="64"/>
      <c r="U38" s="64"/>
      <c r="V38" s="64"/>
      <c r="W38" s="64"/>
      <c r="X38" s="64"/>
      <c r="Y38" s="64"/>
      <c r="Z38" s="64"/>
    </row>
    <row r="39" spans="1:26" x14ac:dyDescent="0.3">
      <c r="A39" s="68">
        <v>17</v>
      </c>
      <c r="B39" s="332">
        <f t="shared" si="4"/>
        <v>1000</v>
      </c>
      <c r="C39" s="332">
        <f>0</f>
        <v>0</v>
      </c>
      <c r="D39" s="332">
        <f t="shared" si="0"/>
        <v>0</v>
      </c>
      <c r="E39" s="332">
        <f t="shared" si="1"/>
        <v>1000</v>
      </c>
      <c r="F39" s="199">
        <f>IF(A39&lt;='Unit-Linked'!$B$5,1,0)</f>
        <v>1</v>
      </c>
      <c r="G39" s="332">
        <f>IF(SUM(F39:$F$62)=0,0,E39*F39/SUM(F39:$F$62))</f>
        <v>250</v>
      </c>
      <c r="H39" s="332">
        <f t="shared" si="2"/>
        <v>750</v>
      </c>
      <c r="I39" s="333">
        <f t="shared" si="3"/>
        <v>0</v>
      </c>
      <c r="J39" s="64"/>
      <c r="K39" s="64"/>
      <c r="L39" s="64"/>
      <c r="M39" s="64"/>
      <c r="N39" s="64"/>
      <c r="O39" s="64"/>
      <c r="P39" s="64"/>
      <c r="Q39" s="64"/>
      <c r="R39" s="64"/>
      <c r="S39" s="64"/>
      <c r="T39" s="64"/>
      <c r="U39" s="64"/>
      <c r="V39" s="64"/>
      <c r="W39" s="64"/>
      <c r="X39" s="64"/>
      <c r="Y39" s="64"/>
      <c r="Z39" s="64"/>
    </row>
    <row r="40" spans="1:26" x14ac:dyDescent="0.3">
      <c r="A40" s="68">
        <v>18</v>
      </c>
      <c r="B40" s="332">
        <f t="shared" si="4"/>
        <v>750</v>
      </c>
      <c r="C40" s="332">
        <f>0</f>
        <v>0</v>
      </c>
      <c r="D40" s="332">
        <f t="shared" si="0"/>
        <v>0</v>
      </c>
      <c r="E40" s="332">
        <f t="shared" si="1"/>
        <v>750</v>
      </c>
      <c r="F40" s="199">
        <f>IF(A40&lt;='Unit-Linked'!$B$5,1,0)</f>
        <v>1</v>
      </c>
      <c r="G40" s="332">
        <f>IF(SUM(F40:$F$62)=0,0,E40*F40/SUM(F40:$F$62))</f>
        <v>250</v>
      </c>
      <c r="H40" s="332">
        <f t="shared" si="2"/>
        <v>500</v>
      </c>
      <c r="I40" s="333">
        <f t="shared" si="3"/>
        <v>0</v>
      </c>
      <c r="J40" s="64"/>
      <c r="K40" s="64"/>
      <c r="L40" s="64"/>
      <c r="M40" s="64"/>
      <c r="N40" s="64"/>
      <c r="O40" s="64"/>
      <c r="P40" s="64"/>
      <c r="Q40" s="64"/>
      <c r="R40" s="64"/>
      <c r="S40" s="64"/>
      <c r="T40" s="64"/>
      <c r="U40" s="64"/>
      <c r="V40" s="64"/>
      <c r="W40" s="64"/>
      <c r="X40" s="64"/>
      <c r="Y40" s="64"/>
      <c r="Z40" s="64"/>
    </row>
    <row r="41" spans="1:26" x14ac:dyDescent="0.3">
      <c r="A41" s="68">
        <v>19</v>
      </c>
      <c r="B41" s="332">
        <f t="shared" si="4"/>
        <v>500</v>
      </c>
      <c r="C41" s="332">
        <f>0</f>
        <v>0</v>
      </c>
      <c r="D41" s="332">
        <f t="shared" si="0"/>
        <v>0</v>
      </c>
      <c r="E41" s="332">
        <f t="shared" si="1"/>
        <v>500</v>
      </c>
      <c r="F41" s="199">
        <f>IF(A41&lt;='Unit-Linked'!$B$5,1,0)</f>
        <v>1</v>
      </c>
      <c r="G41" s="332">
        <f>IF(SUM(F41:$F$62)=0,0,E41*F41/SUM(F41:$F$62))</f>
        <v>250</v>
      </c>
      <c r="H41" s="332">
        <f t="shared" si="2"/>
        <v>250</v>
      </c>
      <c r="I41" s="333">
        <f t="shared" si="3"/>
        <v>0</v>
      </c>
      <c r="J41" s="64"/>
      <c r="K41" s="64"/>
      <c r="L41" s="64"/>
      <c r="M41" s="64"/>
      <c r="N41" s="64"/>
      <c r="O41" s="64"/>
      <c r="P41" s="64"/>
      <c r="Q41" s="64"/>
      <c r="R41" s="64"/>
      <c r="S41" s="64"/>
      <c r="T41" s="64"/>
      <c r="U41" s="64"/>
      <c r="V41" s="64"/>
      <c r="W41" s="64"/>
      <c r="X41" s="64"/>
      <c r="Y41" s="64"/>
      <c r="Z41" s="64"/>
    </row>
    <row r="42" spans="1:26" x14ac:dyDescent="0.3">
      <c r="A42" s="68">
        <v>20</v>
      </c>
      <c r="B42" s="332">
        <f t="shared" si="4"/>
        <v>250</v>
      </c>
      <c r="C42" s="332">
        <f>0</f>
        <v>0</v>
      </c>
      <c r="D42" s="332">
        <f t="shared" si="0"/>
        <v>0</v>
      </c>
      <c r="E42" s="332">
        <f t="shared" si="1"/>
        <v>250</v>
      </c>
      <c r="F42" s="199">
        <f>IF(A42&lt;='Unit-Linked'!$B$5,1,0)</f>
        <v>1</v>
      </c>
      <c r="G42" s="332">
        <f>IF(SUM(F42:$F$62)=0,0,E42*F42/SUM(F42:$F$62))</f>
        <v>250</v>
      </c>
      <c r="H42" s="332">
        <f t="shared" si="2"/>
        <v>0</v>
      </c>
      <c r="I42" s="333">
        <f t="shared" si="3"/>
        <v>0</v>
      </c>
      <c r="J42" s="64"/>
      <c r="K42" s="64"/>
      <c r="L42" s="64"/>
      <c r="M42" s="64"/>
      <c r="N42" s="64"/>
      <c r="O42" s="64"/>
      <c r="P42" s="64"/>
      <c r="Q42" s="64"/>
      <c r="R42" s="64"/>
      <c r="S42" s="64"/>
      <c r="T42" s="64"/>
      <c r="U42" s="64"/>
      <c r="V42" s="64"/>
      <c r="W42" s="64"/>
      <c r="X42" s="64"/>
      <c r="Y42" s="64"/>
      <c r="Z42" s="64"/>
    </row>
    <row r="43" spans="1:26" x14ac:dyDescent="0.3">
      <c r="A43" s="68">
        <v>21</v>
      </c>
      <c r="B43" s="332">
        <f t="shared" si="4"/>
        <v>0</v>
      </c>
      <c r="C43" s="332">
        <f>0</f>
        <v>0</v>
      </c>
      <c r="D43" s="332">
        <f t="shared" si="0"/>
        <v>0</v>
      </c>
      <c r="E43" s="332">
        <f t="shared" si="1"/>
        <v>0</v>
      </c>
      <c r="F43" s="199">
        <f>IF(A43&lt;='Unit-Linked'!$B$5,1,0)</f>
        <v>0</v>
      </c>
      <c r="G43" s="332">
        <f>IF(SUM(F43:$F$62)=0,0,E43*F43/SUM(F43:$F$62))</f>
        <v>0</v>
      </c>
      <c r="H43" s="332">
        <f t="shared" si="2"/>
        <v>0</v>
      </c>
      <c r="I43" s="333">
        <f t="shared" si="3"/>
        <v>0</v>
      </c>
      <c r="J43" s="64"/>
      <c r="K43" s="64"/>
      <c r="L43" s="64"/>
      <c r="M43" s="64"/>
      <c r="N43" s="64"/>
      <c r="O43" s="64"/>
      <c r="P43" s="64"/>
      <c r="Q43" s="64"/>
      <c r="R43" s="64"/>
      <c r="S43" s="64"/>
      <c r="T43" s="64"/>
      <c r="U43" s="64"/>
      <c r="V43" s="64"/>
      <c r="W43" s="64"/>
      <c r="X43" s="64"/>
      <c r="Y43" s="64"/>
      <c r="Z43" s="64"/>
    </row>
    <row r="44" spans="1:26" x14ac:dyDescent="0.3">
      <c r="A44" s="68">
        <v>22</v>
      </c>
      <c r="B44" s="332">
        <f t="shared" si="4"/>
        <v>0</v>
      </c>
      <c r="C44" s="332">
        <f>0</f>
        <v>0</v>
      </c>
      <c r="D44" s="332">
        <f t="shared" si="0"/>
        <v>0</v>
      </c>
      <c r="E44" s="332">
        <f t="shared" si="1"/>
        <v>0</v>
      </c>
      <c r="F44" s="199">
        <f>IF(A44&lt;='Unit-Linked'!$B$5,1,0)</f>
        <v>0</v>
      </c>
      <c r="G44" s="332">
        <f>IF(SUM(F44:$F$62)=0,0,E44*F44/SUM(F44:$F$62))</f>
        <v>0</v>
      </c>
      <c r="H44" s="332">
        <f t="shared" si="2"/>
        <v>0</v>
      </c>
      <c r="I44" s="333">
        <f t="shared" si="3"/>
        <v>0</v>
      </c>
      <c r="J44" s="64"/>
      <c r="K44" s="64"/>
      <c r="L44" s="64"/>
      <c r="M44" s="64"/>
      <c r="N44" s="64"/>
      <c r="O44" s="64"/>
      <c r="P44" s="64"/>
      <c r="Q44" s="64"/>
      <c r="R44" s="64"/>
      <c r="S44" s="64"/>
      <c r="T44" s="64"/>
      <c r="U44" s="64"/>
      <c r="V44" s="64"/>
      <c r="W44" s="64"/>
      <c r="X44" s="64"/>
      <c r="Y44" s="64"/>
      <c r="Z44" s="64"/>
    </row>
    <row r="45" spans="1:26" x14ac:dyDescent="0.3">
      <c r="A45" s="68">
        <v>23</v>
      </c>
      <c r="B45" s="332">
        <f t="shared" si="4"/>
        <v>0</v>
      </c>
      <c r="C45" s="332">
        <f>0</f>
        <v>0</v>
      </c>
      <c r="D45" s="332">
        <f t="shared" si="0"/>
        <v>0</v>
      </c>
      <c r="E45" s="332">
        <f t="shared" si="1"/>
        <v>0</v>
      </c>
      <c r="F45" s="199">
        <f>IF(A45&lt;='Unit-Linked'!$B$5,1,0)</f>
        <v>0</v>
      </c>
      <c r="G45" s="332">
        <f>IF(SUM(F45:$F$62)=0,0,E45*F45/SUM(F45:$F$62))</f>
        <v>0</v>
      </c>
      <c r="H45" s="332">
        <f t="shared" si="2"/>
        <v>0</v>
      </c>
      <c r="I45" s="333">
        <f t="shared" si="3"/>
        <v>0</v>
      </c>
      <c r="J45" s="64"/>
      <c r="K45" s="64"/>
      <c r="L45" s="64"/>
      <c r="M45" s="64"/>
      <c r="N45" s="64"/>
      <c r="O45" s="64"/>
      <c r="P45" s="64"/>
      <c r="Q45" s="64"/>
      <c r="R45" s="64"/>
      <c r="S45" s="64"/>
      <c r="T45" s="64"/>
      <c r="U45" s="64"/>
      <c r="V45" s="64"/>
      <c r="W45" s="64"/>
      <c r="X45" s="64"/>
      <c r="Y45" s="64"/>
      <c r="Z45" s="64"/>
    </row>
    <row r="46" spans="1:26" x14ac:dyDescent="0.3">
      <c r="A46" s="68">
        <v>24</v>
      </c>
      <c r="B46" s="332">
        <f t="shared" si="4"/>
        <v>0</v>
      </c>
      <c r="C46" s="332">
        <f>0</f>
        <v>0</v>
      </c>
      <c r="D46" s="332">
        <f t="shared" si="0"/>
        <v>0</v>
      </c>
      <c r="E46" s="332">
        <f t="shared" si="1"/>
        <v>0</v>
      </c>
      <c r="F46" s="199">
        <f>IF(A46&lt;='Unit-Linked'!$B$5,1,0)</f>
        <v>0</v>
      </c>
      <c r="G46" s="332">
        <f>IF(SUM(F46:$F$62)=0,0,E46*F46/SUM(F46:$F$62))</f>
        <v>0</v>
      </c>
      <c r="H46" s="332">
        <f t="shared" si="2"/>
        <v>0</v>
      </c>
      <c r="I46" s="333">
        <f t="shared" si="3"/>
        <v>0</v>
      </c>
      <c r="J46" s="64"/>
      <c r="K46" s="64"/>
      <c r="L46" s="64"/>
      <c r="M46" s="64"/>
      <c r="N46" s="64"/>
      <c r="O46" s="64"/>
      <c r="P46" s="64"/>
      <c r="Q46" s="64"/>
      <c r="R46" s="64"/>
      <c r="S46" s="64"/>
      <c r="T46" s="64"/>
      <c r="U46" s="64"/>
      <c r="V46" s="64"/>
      <c r="W46" s="64"/>
      <c r="X46" s="64"/>
      <c r="Y46" s="64"/>
      <c r="Z46" s="64"/>
    </row>
    <row r="47" spans="1:26" x14ac:dyDescent="0.3">
      <c r="A47" s="68">
        <v>25</v>
      </c>
      <c r="B47" s="332">
        <f t="shared" si="4"/>
        <v>0</v>
      </c>
      <c r="C47" s="332">
        <f>0</f>
        <v>0</v>
      </c>
      <c r="D47" s="332">
        <f t="shared" si="0"/>
        <v>0</v>
      </c>
      <c r="E47" s="332">
        <f t="shared" si="1"/>
        <v>0</v>
      </c>
      <c r="F47" s="199">
        <f>IF(A47&lt;='Unit-Linked'!$B$5,1,0)</f>
        <v>0</v>
      </c>
      <c r="G47" s="332">
        <f>IF(SUM(F47:$F$62)=0,0,E47*F47/SUM(F47:$F$62))</f>
        <v>0</v>
      </c>
      <c r="H47" s="332">
        <f t="shared" si="2"/>
        <v>0</v>
      </c>
      <c r="I47" s="333">
        <f t="shared" si="3"/>
        <v>0</v>
      </c>
      <c r="J47" s="64"/>
      <c r="K47" s="64"/>
      <c r="L47" s="64"/>
      <c r="M47" s="64"/>
      <c r="N47" s="64"/>
      <c r="O47" s="64"/>
      <c r="P47" s="64"/>
      <c r="Q47" s="64"/>
      <c r="R47" s="64"/>
      <c r="S47" s="64"/>
      <c r="T47" s="64"/>
      <c r="U47" s="64"/>
      <c r="V47" s="64"/>
      <c r="W47" s="64"/>
      <c r="X47" s="64"/>
      <c r="Y47" s="64"/>
      <c r="Z47" s="64"/>
    </row>
    <row r="48" spans="1:26" x14ac:dyDescent="0.3">
      <c r="A48" s="68">
        <v>26</v>
      </c>
      <c r="B48" s="332">
        <f t="shared" si="4"/>
        <v>0</v>
      </c>
      <c r="C48" s="332">
        <f>0</f>
        <v>0</v>
      </c>
      <c r="D48" s="332">
        <f t="shared" si="0"/>
        <v>0</v>
      </c>
      <c r="E48" s="332">
        <f t="shared" si="1"/>
        <v>0</v>
      </c>
      <c r="F48" s="199">
        <f>IF(A48&lt;='Unit-Linked'!$B$5,1,0)</f>
        <v>0</v>
      </c>
      <c r="G48" s="332">
        <f>IF(SUM(F48:$F$62)=0,0,E48*F48/SUM(F48:$F$62))</f>
        <v>0</v>
      </c>
      <c r="H48" s="332">
        <f t="shared" si="2"/>
        <v>0</v>
      </c>
      <c r="I48" s="333">
        <f t="shared" si="3"/>
        <v>0</v>
      </c>
      <c r="J48" s="64"/>
      <c r="K48" s="64"/>
      <c r="L48" s="64"/>
      <c r="M48" s="64"/>
      <c r="N48" s="64"/>
      <c r="O48" s="64"/>
      <c r="P48" s="64"/>
      <c r="Q48" s="64"/>
      <c r="R48" s="64"/>
      <c r="S48" s="64"/>
      <c r="T48" s="64"/>
      <c r="U48" s="64"/>
      <c r="V48" s="64"/>
      <c r="W48" s="64"/>
      <c r="X48" s="64"/>
      <c r="Y48" s="64"/>
      <c r="Z48" s="64"/>
    </row>
    <row r="49" spans="1:26" x14ac:dyDescent="0.3">
      <c r="A49" s="68">
        <v>27</v>
      </c>
      <c r="B49" s="332">
        <f t="shared" si="4"/>
        <v>0</v>
      </c>
      <c r="C49" s="332">
        <f>0</f>
        <v>0</v>
      </c>
      <c r="D49" s="332">
        <f t="shared" si="0"/>
        <v>0</v>
      </c>
      <c r="E49" s="332">
        <f t="shared" si="1"/>
        <v>0</v>
      </c>
      <c r="F49" s="199">
        <f>IF(A49&lt;='Unit-Linked'!$B$5,1,0)</f>
        <v>0</v>
      </c>
      <c r="G49" s="332">
        <f>IF(SUM(F49:$F$62)=0,0,E49*F49/SUM(F49:$F$62))</f>
        <v>0</v>
      </c>
      <c r="H49" s="332">
        <f t="shared" si="2"/>
        <v>0</v>
      </c>
      <c r="I49" s="333">
        <f t="shared" si="3"/>
        <v>0</v>
      </c>
      <c r="J49" s="64"/>
      <c r="K49" s="64"/>
      <c r="L49" s="64"/>
      <c r="M49" s="64"/>
      <c r="N49" s="64"/>
      <c r="O49" s="64"/>
      <c r="P49" s="64"/>
      <c r="Q49" s="64"/>
      <c r="R49" s="64"/>
      <c r="S49" s="64"/>
      <c r="T49" s="64"/>
      <c r="U49" s="64"/>
      <c r="V49" s="64"/>
      <c r="W49" s="64"/>
      <c r="X49" s="64"/>
      <c r="Y49" s="64"/>
      <c r="Z49" s="64"/>
    </row>
    <row r="50" spans="1:26" x14ac:dyDescent="0.3">
      <c r="A50" s="68">
        <v>28</v>
      </c>
      <c r="B50" s="332">
        <f t="shared" si="4"/>
        <v>0</v>
      </c>
      <c r="C50" s="332">
        <f>0</f>
        <v>0</v>
      </c>
      <c r="D50" s="332">
        <f t="shared" si="0"/>
        <v>0</v>
      </c>
      <c r="E50" s="332">
        <f t="shared" si="1"/>
        <v>0</v>
      </c>
      <c r="F50" s="199">
        <f>IF(A50&lt;='Unit-Linked'!$B$5,1,0)</f>
        <v>0</v>
      </c>
      <c r="G50" s="332">
        <f>IF(SUM(F50:$F$62)=0,0,E50*F50/SUM(F50:$F$62))</f>
        <v>0</v>
      </c>
      <c r="H50" s="332">
        <f t="shared" si="2"/>
        <v>0</v>
      </c>
      <c r="I50" s="333">
        <f t="shared" si="3"/>
        <v>0</v>
      </c>
      <c r="J50" s="64"/>
      <c r="K50" s="64"/>
      <c r="L50" s="64"/>
      <c r="M50" s="64"/>
      <c r="N50" s="64"/>
      <c r="O50" s="64"/>
      <c r="P50" s="64"/>
      <c r="Q50" s="64"/>
      <c r="R50" s="64"/>
      <c r="S50" s="64"/>
      <c r="T50" s="64"/>
      <c r="U50" s="64"/>
      <c r="V50" s="64"/>
      <c r="W50" s="64"/>
      <c r="X50" s="64"/>
      <c r="Y50" s="64"/>
      <c r="Z50" s="64"/>
    </row>
    <row r="51" spans="1:26" x14ac:dyDescent="0.3">
      <c r="A51" s="68">
        <v>29</v>
      </c>
      <c r="B51" s="332">
        <f t="shared" si="4"/>
        <v>0</v>
      </c>
      <c r="C51" s="332">
        <f>0</f>
        <v>0</v>
      </c>
      <c r="D51" s="332">
        <f t="shared" si="0"/>
        <v>0</v>
      </c>
      <c r="E51" s="332">
        <f t="shared" si="1"/>
        <v>0</v>
      </c>
      <c r="F51" s="199">
        <f>IF(A51&lt;='Unit-Linked'!$B$5,1,0)</f>
        <v>0</v>
      </c>
      <c r="G51" s="332">
        <f>IF(SUM(F51:$F$62)=0,0,E51*F51/SUM(F51:$F$62))</f>
        <v>0</v>
      </c>
      <c r="H51" s="332">
        <f t="shared" si="2"/>
        <v>0</v>
      </c>
      <c r="I51" s="333">
        <f t="shared" si="3"/>
        <v>0</v>
      </c>
      <c r="J51" s="64"/>
      <c r="K51" s="64"/>
      <c r="L51" s="64"/>
      <c r="M51" s="64"/>
      <c r="N51" s="64"/>
      <c r="O51" s="64"/>
      <c r="P51" s="64"/>
      <c r="Q51" s="64"/>
      <c r="R51" s="64"/>
      <c r="S51" s="64"/>
      <c r="T51" s="64"/>
      <c r="U51" s="64"/>
      <c r="V51" s="64"/>
      <c r="W51" s="64"/>
      <c r="X51" s="64"/>
      <c r="Y51" s="64"/>
      <c r="Z51" s="64"/>
    </row>
    <row r="52" spans="1:26" x14ac:dyDescent="0.3">
      <c r="A52" s="68">
        <v>30</v>
      </c>
      <c r="B52" s="332">
        <f t="shared" si="4"/>
        <v>0</v>
      </c>
      <c r="C52" s="332">
        <f>0</f>
        <v>0</v>
      </c>
      <c r="D52" s="332">
        <f t="shared" si="0"/>
        <v>0</v>
      </c>
      <c r="E52" s="332">
        <f t="shared" si="1"/>
        <v>0</v>
      </c>
      <c r="F52" s="199">
        <f>IF(A52&lt;='Unit-Linked'!$B$5,1,0)</f>
        <v>0</v>
      </c>
      <c r="G52" s="332">
        <f>IF(SUM(F52:$F$62)=0,0,E52*F52/SUM(F52:$F$62))</f>
        <v>0</v>
      </c>
      <c r="H52" s="332">
        <f t="shared" si="2"/>
        <v>0</v>
      </c>
      <c r="I52" s="333">
        <f t="shared" si="3"/>
        <v>0</v>
      </c>
      <c r="J52" s="64"/>
      <c r="K52" s="64"/>
      <c r="L52" s="64"/>
      <c r="M52" s="64"/>
      <c r="N52" s="64"/>
      <c r="O52" s="64"/>
      <c r="P52" s="64"/>
      <c r="Q52" s="64"/>
      <c r="R52" s="64"/>
      <c r="S52" s="64"/>
      <c r="T52" s="64"/>
      <c r="U52" s="64"/>
      <c r="V52" s="64"/>
      <c r="W52" s="64"/>
      <c r="X52" s="64"/>
      <c r="Y52" s="64"/>
      <c r="Z52" s="64"/>
    </row>
    <row r="53" spans="1:26" x14ac:dyDescent="0.3">
      <c r="A53" s="68">
        <v>31</v>
      </c>
      <c r="B53" s="332">
        <f t="shared" si="4"/>
        <v>0</v>
      </c>
      <c r="C53" s="332">
        <f>0</f>
        <v>0</v>
      </c>
      <c r="D53" s="332">
        <f t="shared" si="0"/>
        <v>0</v>
      </c>
      <c r="E53" s="332">
        <f t="shared" si="1"/>
        <v>0</v>
      </c>
      <c r="F53" s="199">
        <f>IF(A53&lt;='Unit-Linked'!$B$5,1,0)</f>
        <v>0</v>
      </c>
      <c r="G53" s="332">
        <f>IF(SUM(F53:$F$62)=0,0,E53*F53/SUM(F53:$F$62))</f>
        <v>0</v>
      </c>
      <c r="H53" s="332">
        <f t="shared" si="2"/>
        <v>0</v>
      </c>
      <c r="I53" s="333">
        <f t="shared" si="3"/>
        <v>0</v>
      </c>
      <c r="J53" s="64"/>
      <c r="K53" s="64"/>
      <c r="L53" s="64"/>
      <c r="M53" s="64"/>
      <c r="N53" s="64"/>
      <c r="O53" s="64"/>
      <c r="P53" s="64"/>
      <c r="Q53" s="64"/>
      <c r="R53" s="64"/>
      <c r="S53" s="64"/>
      <c r="T53" s="64"/>
      <c r="U53" s="64"/>
      <c r="V53" s="64"/>
      <c r="W53" s="64"/>
      <c r="X53" s="64"/>
      <c r="Y53" s="64"/>
      <c r="Z53" s="64"/>
    </row>
    <row r="54" spans="1:26" x14ac:dyDescent="0.3">
      <c r="A54" s="68">
        <v>32</v>
      </c>
      <c r="B54" s="332">
        <f t="shared" si="4"/>
        <v>0</v>
      </c>
      <c r="C54" s="332">
        <f>0</f>
        <v>0</v>
      </c>
      <c r="D54" s="332">
        <f t="shared" si="0"/>
        <v>0</v>
      </c>
      <c r="E54" s="332">
        <f t="shared" si="1"/>
        <v>0</v>
      </c>
      <c r="F54" s="199">
        <f>IF(A54&lt;='Unit-Linked'!$B$5,1,0)</f>
        <v>0</v>
      </c>
      <c r="G54" s="332">
        <f>IF(SUM(F54:$F$62)=0,0,E54*F54/SUM(F54:$F$62))</f>
        <v>0</v>
      </c>
      <c r="H54" s="332">
        <f t="shared" si="2"/>
        <v>0</v>
      </c>
      <c r="I54" s="333">
        <f t="shared" si="3"/>
        <v>0</v>
      </c>
      <c r="J54" s="64"/>
      <c r="K54" s="64"/>
      <c r="L54" s="64"/>
      <c r="M54" s="64"/>
      <c r="N54" s="64"/>
      <c r="O54" s="64"/>
      <c r="P54" s="64"/>
      <c r="Q54" s="64"/>
      <c r="R54" s="64"/>
      <c r="S54" s="64"/>
      <c r="T54" s="64"/>
      <c r="U54" s="64"/>
      <c r="V54" s="64"/>
      <c r="W54" s="64"/>
      <c r="X54" s="64"/>
      <c r="Y54" s="64"/>
      <c r="Z54" s="64"/>
    </row>
    <row r="55" spans="1:26" x14ac:dyDescent="0.3">
      <c r="A55" s="68">
        <v>33</v>
      </c>
      <c r="B55" s="332">
        <f t="shared" si="4"/>
        <v>0</v>
      </c>
      <c r="C55" s="332">
        <f>0</f>
        <v>0</v>
      </c>
      <c r="D55" s="332">
        <f t="shared" si="0"/>
        <v>0</v>
      </c>
      <c r="E55" s="332">
        <f t="shared" si="1"/>
        <v>0</v>
      </c>
      <c r="F55" s="199">
        <f>IF(A55&lt;='Unit-Linked'!$B$5,1,0)</f>
        <v>0</v>
      </c>
      <c r="G55" s="332">
        <f>IF(SUM(F55:$F$62)=0,0,E55*F55/SUM(F55:$F$62))</f>
        <v>0</v>
      </c>
      <c r="H55" s="332">
        <f t="shared" si="2"/>
        <v>0</v>
      </c>
      <c r="I55" s="333">
        <f t="shared" si="3"/>
        <v>0</v>
      </c>
      <c r="J55" s="64"/>
      <c r="K55" s="64"/>
      <c r="L55" s="64"/>
      <c r="M55" s="64"/>
      <c r="N55" s="64"/>
      <c r="O55" s="64"/>
      <c r="P55" s="64"/>
      <c r="Q55" s="64"/>
      <c r="R55" s="64"/>
      <c r="S55" s="64"/>
      <c r="T55" s="64"/>
      <c r="U55" s="64"/>
      <c r="V55" s="64"/>
      <c r="W55" s="64"/>
      <c r="X55" s="64"/>
      <c r="Y55" s="64"/>
      <c r="Z55" s="64"/>
    </row>
    <row r="56" spans="1:26" x14ac:dyDescent="0.3">
      <c r="A56" s="68">
        <v>34</v>
      </c>
      <c r="B56" s="332">
        <f t="shared" si="4"/>
        <v>0</v>
      </c>
      <c r="C56" s="332">
        <f>0</f>
        <v>0</v>
      </c>
      <c r="D56" s="332">
        <f t="shared" si="0"/>
        <v>0</v>
      </c>
      <c r="E56" s="332">
        <f t="shared" si="1"/>
        <v>0</v>
      </c>
      <c r="F56" s="199">
        <f>IF(A56&lt;='Unit-Linked'!$B$5,1,0)</f>
        <v>0</v>
      </c>
      <c r="G56" s="332">
        <f>IF(SUM(F56:$F$62)=0,0,E56*F56/SUM(F56:$F$62))</f>
        <v>0</v>
      </c>
      <c r="H56" s="332">
        <f t="shared" si="2"/>
        <v>0</v>
      </c>
      <c r="I56" s="333">
        <f t="shared" si="3"/>
        <v>0</v>
      </c>
      <c r="J56" s="64"/>
      <c r="K56" s="64"/>
      <c r="L56" s="64"/>
      <c r="M56" s="64"/>
      <c r="N56" s="64"/>
      <c r="O56" s="64"/>
      <c r="P56" s="64"/>
      <c r="Q56" s="64"/>
      <c r="R56" s="64"/>
      <c r="S56" s="64"/>
      <c r="T56" s="64"/>
      <c r="U56" s="64"/>
      <c r="V56" s="64"/>
      <c r="W56" s="64"/>
      <c r="X56" s="64"/>
      <c r="Y56" s="64"/>
      <c r="Z56" s="64"/>
    </row>
    <row r="57" spans="1:26" x14ac:dyDescent="0.3">
      <c r="A57" s="68">
        <v>35</v>
      </c>
      <c r="B57" s="332">
        <f t="shared" si="4"/>
        <v>0</v>
      </c>
      <c r="C57" s="332">
        <f>0</f>
        <v>0</v>
      </c>
      <c r="D57" s="332">
        <f t="shared" si="0"/>
        <v>0</v>
      </c>
      <c r="E57" s="332">
        <f t="shared" si="1"/>
        <v>0</v>
      </c>
      <c r="F57" s="199">
        <f>IF(A57&lt;='Unit-Linked'!$B$5,1,0)</f>
        <v>0</v>
      </c>
      <c r="G57" s="332">
        <f>IF(SUM(F57:$F$62)=0,0,E57*F57/SUM(F57:$F$62))</f>
        <v>0</v>
      </c>
      <c r="H57" s="332">
        <f t="shared" si="2"/>
        <v>0</v>
      </c>
      <c r="I57" s="333">
        <f t="shared" si="3"/>
        <v>0</v>
      </c>
      <c r="J57" s="64"/>
      <c r="K57" s="64"/>
      <c r="L57" s="64"/>
      <c r="M57" s="64"/>
      <c r="N57" s="64"/>
      <c r="O57" s="64"/>
      <c r="P57" s="64"/>
      <c r="Q57" s="64"/>
      <c r="R57" s="64"/>
      <c r="S57" s="64"/>
      <c r="T57" s="64"/>
      <c r="U57" s="64"/>
      <c r="V57" s="64"/>
      <c r="W57" s="64"/>
      <c r="X57" s="64"/>
      <c r="Y57" s="64"/>
      <c r="Z57" s="64"/>
    </row>
    <row r="58" spans="1:26" x14ac:dyDescent="0.3">
      <c r="A58" s="68">
        <v>36</v>
      </c>
      <c r="B58" s="332">
        <f t="shared" si="4"/>
        <v>0</v>
      </c>
      <c r="C58" s="332">
        <f>0</f>
        <v>0</v>
      </c>
      <c r="D58" s="332">
        <f t="shared" si="0"/>
        <v>0</v>
      </c>
      <c r="E58" s="332">
        <f t="shared" si="1"/>
        <v>0</v>
      </c>
      <c r="F58" s="199">
        <f>IF(A58&lt;='Unit-Linked'!$B$5,1,0)</f>
        <v>0</v>
      </c>
      <c r="G58" s="332">
        <f>IF(SUM(F58:$F$62)=0,0,E58*F58/SUM(F58:$F$62))</f>
        <v>0</v>
      </c>
      <c r="H58" s="332">
        <f t="shared" si="2"/>
        <v>0</v>
      </c>
      <c r="I58" s="333">
        <f t="shared" si="3"/>
        <v>0</v>
      </c>
      <c r="J58" s="64"/>
      <c r="K58" s="64"/>
      <c r="L58" s="64"/>
      <c r="M58" s="64"/>
      <c r="N58" s="64"/>
      <c r="O58" s="64"/>
      <c r="P58" s="64"/>
      <c r="Q58" s="64"/>
      <c r="R58" s="64"/>
      <c r="S58" s="64"/>
      <c r="T58" s="64"/>
      <c r="U58" s="64"/>
      <c r="V58" s="64"/>
      <c r="W58" s="64"/>
      <c r="X58" s="64"/>
      <c r="Y58" s="64"/>
      <c r="Z58" s="64"/>
    </row>
    <row r="59" spans="1:26" x14ac:dyDescent="0.3">
      <c r="A59" s="68">
        <v>37</v>
      </c>
      <c r="B59" s="332">
        <f t="shared" si="4"/>
        <v>0</v>
      </c>
      <c r="C59" s="332">
        <f>0</f>
        <v>0</v>
      </c>
      <c r="D59" s="332">
        <f t="shared" si="0"/>
        <v>0</v>
      </c>
      <c r="E59" s="332">
        <f t="shared" si="1"/>
        <v>0</v>
      </c>
      <c r="F59" s="199">
        <f>IF(A59&lt;='Unit-Linked'!$B$5,1,0)</f>
        <v>0</v>
      </c>
      <c r="G59" s="332">
        <f>IF(SUM(F59:$F$62)=0,0,E59*F59/SUM(F59:$F$62))</f>
        <v>0</v>
      </c>
      <c r="H59" s="332">
        <f t="shared" si="2"/>
        <v>0</v>
      </c>
      <c r="I59" s="333">
        <f t="shared" si="3"/>
        <v>0</v>
      </c>
      <c r="J59" s="64"/>
      <c r="K59" s="64"/>
      <c r="L59" s="64"/>
      <c r="M59" s="64"/>
      <c r="N59" s="64"/>
      <c r="O59" s="64"/>
      <c r="P59" s="64"/>
      <c r="Q59" s="64"/>
      <c r="R59" s="64"/>
      <c r="S59" s="64"/>
      <c r="T59" s="64"/>
      <c r="U59" s="64"/>
      <c r="V59" s="64"/>
      <c r="W59" s="64"/>
      <c r="X59" s="64"/>
      <c r="Y59" s="64"/>
      <c r="Z59" s="64"/>
    </row>
    <row r="60" spans="1:26" x14ac:dyDescent="0.3">
      <c r="A60" s="68">
        <v>38</v>
      </c>
      <c r="B60" s="332">
        <f t="shared" si="4"/>
        <v>0</v>
      </c>
      <c r="C60" s="332">
        <f>0</f>
        <v>0</v>
      </c>
      <c r="D60" s="332">
        <f t="shared" si="0"/>
        <v>0</v>
      </c>
      <c r="E60" s="332">
        <f t="shared" si="1"/>
        <v>0</v>
      </c>
      <c r="F60" s="199">
        <f>IF(A60&lt;='Unit-Linked'!$B$5,1,0)</f>
        <v>0</v>
      </c>
      <c r="G60" s="332">
        <f>IF(SUM(F60:$F$62)=0,0,E60*F60/SUM(F60:$F$62))</f>
        <v>0</v>
      </c>
      <c r="H60" s="332">
        <f t="shared" si="2"/>
        <v>0</v>
      </c>
      <c r="I60" s="333">
        <f t="shared" si="3"/>
        <v>0</v>
      </c>
      <c r="J60" s="64"/>
      <c r="K60" s="64"/>
      <c r="L60" s="64"/>
      <c r="M60" s="64"/>
      <c r="N60" s="64"/>
      <c r="O60" s="64"/>
      <c r="P60" s="64"/>
      <c r="Q60" s="64"/>
      <c r="R60" s="64"/>
      <c r="S60" s="64"/>
      <c r="T60" s="64"/>
      <c r="U60" s="64"/>
      <c r="V60" s="64"/>
      <c r="W60" s="64"/>
      <c r="X60" s="64"/>
      <c r="Y60" s="64"/>
      <c r="Z60" s="64"/>
    </row>
    <row r="61" spans="1:26" x14ac:dyDescent="0.3">
      <c r="A61" s="91">
        <v>39</v>
      </c>
      <c r="B61" s="334">
        <f t="shared" si="4"/>
        <v>0</v>
      </c>
      <c r="C61" s="334">
        <f>0</f>
        <v>0</v>
      </c>
      <c r="D61" s="334">
        <f t="shared" si="0"/>
        <v>0</v>
      </c>
      <c r="E61" s="334">
        <f t="shared" si="1"/>
        <v>0</v>
      </c>
      <c r="F61" s="278">
        <f>IF(A61&lt;='Unit-Linked'!$B$5,1,0)</f>
        <v>0</v>
      </c>
      <c r="G61" s="334">
        <f>IF(SUM(F61:$F$62)=0,0,E61*F61/SUM(F61:$F$62))</f>
        <v>0</v>
      </c>
      <c r="H61" s="334">
        <f t="shared" si="2"/>
        <v>0</v>
      </c>
      <c r="I61" s="335">
        <f t="shared" si="3"/>
        <v>0</v>
      </c>
      <c r="J61" s="26"/>
      <c r="K61" s="26"/>
      <c r="L61" s="26"/>
      <c r="M61" s="26"/>
      <c r="N61" s="26"/>
      <c r="O61" s="26"/>
      <c r="P61" s="26"/>
      <c r="Q61" s="26"/>
      <c r="R61" s="26"/>
      <c r="S61" s="26"/>
      <c r="T61" s="26"/>
      <c r="U61" s="26"/>
      <c r="V61" s="26"/>
      <c r="W61" s="26"/>
      <c r="X61" s="26"/>
      <c r="Y61" s="26"/>
      <c r="Z61" s="26"/>
    </row>
    <row r="62" spans="1:26" ht="13.5" thickBot="1" x14ac:dyDescent="0.35">
      <c r="A62" s="95">
        <v>40</v>
      </c>
      <c r="B62" s="336">
        <f t="shared" si="4"/>
        <v>0</v>
      </c>
      <c r="C62" s="336">
        <f>0</f>
        <v>0</v>
      </c>
      <c r="D62" s="336">
        <f t="shared" si="0"/>
        <v>0</v>
      </c>
      <c r="E62" s="336">
        <f t="shared" si="1"/>
        <v>0</v>
      </c>
      <c r="F62" s="337">
        <f>IF(A62&lt;='Unit-Linked'!$B$5,1,0)</f>
        <v>0</v>
      </c>
      <c r="G62" s="336">
        <f>IF(SUM(F62:$F$62)=0,0,E62*F62/SUM(F62:$F$62))</f>
        <v>0</v>
      </c>
      <c r="H62" s="336">
        <f t="shared" si="2"/>
        <v>0</v>
      </c>
      <c r="I62" s="338">
        <f t="shared" si="3"/>
        <v>0</v>
      </c>
      <c r="J62" s="26"/>
      <c r="K62" s="26"/>
      <c r="L62" s="26"/>
      <c r="M62" s="26"/>
      <c r="N62" s="26"/>
      <c r="O62" s="26"/>
      <c r="P62" s="26"/>
      <c r="Q62" s="26"/>
      <c r="R62" s="26"/>
      <c r="S62" s="26"/>
      <c r="T62" s="26"/>
      <c r="U62" s="26"/>
      <c r="V62" s="26"/>
      <c r="W62" s="26"/>
      <c r="X62" s="26"/>
      <c r="Y62" s="26"/>
      <c r="Z62" s="26"/>
    </row>
    <row r="63" spans="1:26"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x14ac:dyDescent="0.3">
      <c r="A65" s="476" t="s">
        <v>774</v>
      </c>
      <c r="B65" s="474"/>
      <c r="C65" s="474"/>
      <c r="D65" s="474"/>
      <c r="E65" s="474"/>
      <c r="F65" s="474"/>
      <c r="G65" s="474"/>
      <c r="H65" s="474"/>
      <c r="I65" s="474"/>
      <c r="J65" s="26"/>
      <c r="K65" s="26"/>
      <c r="L65" s="26"/>
      <c r="M65" s="26"/>
      <c r="N65" s="26"/>
      <c r="O65" s="26"/>
      <c r="P65" s="26"/>
      <c r="Q65" s="26"/>
      <c r="R65" s="26"/>
      <c r="S65" s="26"/>
      <c r="T65" s="26"/>
      <c r="U65" s="26"/>
      <c r="V65" s="26"/>
      <c r="W65" s="26"/>
      <c r="X65" s="26"/>
      <c r="Y65" s="26"/>
      <c r="Z65" s="26"/>
    </row>
    <row r="66" spans="1:26" x14ac:dyDescent="0.3">
      <c r="A66" s="476" t="s">
        <v>775</v>
      </c>
      <c r="B66" s="474"/>
      <c r="C66" s="474"/>
      <c r="D66" s="474"/>
      <c r="E66" s="474"/>
      <c r="F66" s="474"/>
      <c r="G66" s="474"/>
      <c r="H66" s="474"/>
      <c r="I66" s="474"/>
      <c r="J66" s="26"/>
      <c r="K66" s="26"/>
      <c r="L66" s="26"/>
      <c r="M66" s="26"/>
      <c r="N66" s="26"/>
      <c r="O66" s="26"/>
      <c r="P66" s="26"/>
      <c r="Q66" s="26"/>
      <c r="R66" s="26"/>
      <c r="S66" s="26"/>
      <c r="T66" s="26"/>
      <c r="U66" s="26"/>
      <c r="V66" s="26"/>
      <c r="W66" s="26"/>
      <c r="X66" s="26"/>
      <c r="Y66" s="26"/>
      <c r="Z66" s="26"/>
    </row>
  </sheetData>
  <mergeCells count="3">
    <mergeCell ref="A1:H1"/>
    <mergeCell ref="A65:I65"/>
    <mergeCell ref="A66:I6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D253"/>
  <sheetViews>
    <sheetView zoomScaleNormal="100" workbookViewId="0">
      <selection activeCell="A4" sqref="A4"/>
    </sheetView>
  </sheetViews>
  <sheetFormatPr defaultColWidth="8.6328125" defaultRowHeight="13" x14ac:dyDescent="0.3"/>
  <cols>
    <col min="1" max="8" width="16" style="5" customWidth="1"/>
    <col min="9" max="9" width="24" style="5" customWidth="1"/>
    <col min="10" max="18" width="16" style="5" customWidth="1"/>
    <col min="19" max="16384" width="8.6328125" style="5"/>
  </cols>
  <sheetData>
    <row r="1" spans="1:134" ht="28" customHeight="1" x14ac:dyDescent="0.3">
      <c r="A1" s="23" t="s">
        <v>569</v>
      </c>
      <c r="B1" s="23"/>
      <c r="C1" s="23"/>
      <c r="D1" s="23"/>
      <c r="E1" s="23"/>
      <c r="F1" s="23"/>
      <c r="G1" s="23"/>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13.5" thickBot="1" x14ac:dyDescent="0.35">
      <c r="A2" s="64"/>
      <c r="B2" s="64"/>
      <c r="C2" s="64"/>
      <c r="D2" s="64"/>
      <c r="E2" s="64"/>
      <c r="F2" s="64"/>
      <c r="G2" s="64"/>
      <c r="H2" s="64"/>
      <c r="I2" s="64"/>
      <c r="J2" s="64"/>
      <c r="K2" s="64"/>
      <c r="L2" s="64"/>
      <c r="M2" s="64"/>
      <c r="N2" s="64"/>
      <c r="O2" s="64"/>
      <c r="P2" s="64"/>
      <c r="Q2" s="64"/>
      <c r="R2" s="64"/>
      <c r="S2" s="64"/>
      <c r="T2" s="64"/>
      <c r="U2" s="64"/>
      <c r="V2" s="64"/>
      <c r="W2" s="64"/>
      <c r="X2" s="64"/>
      <c r="Y2" s="64"/>
      <c r="Z2" s="64"/>
    </row>
    <row r="3" spans="1:134" ht="34" customHeight="1" x14ac:dyDescent="0.3">
      <c r="A3" s="342" t="s">
        <v>570</v>
      </c>
      <c r="B3" s="343" t="s">
        <v>356</v>
      </c>
      <c r="C3" s="343" t="s">
        <v>77</v>
      </c>
      <c r="D3" s="343" t="s">
        <v>7</v>
      </c>
      <c r="E3" s="343" t="s">
        <v>11</v>
      </c>
      <c r="F3" s="343" t="s">
        <v>293</v>
      </c>
      <c r="G3" s="343" t="s">
        <v>571</v>
      </c>
      <c r="H3" s="343" t="s">
        <v>19</v>
      </c>
      <c r="I3" s="343" t="s">
        <v>25</v>
      </c>
      <c r="J3" s="343" t="s">
        <v>80</v>
      </c>
      <c r="K3" s="343" t="s">
        <v>184</v>
      </c>
      <c r="L3" s="343" t="s">
        <v>572</v>
      </c>
      <c r="M3" s="343" t="s">
        <v>776</v>
      </c>
      <c r="N3" s="343" t="s">
        <v>430</v>
      </c>
      <c r="O3" s="343" t="s">
        <v>573</v>
      </c>
      <c r="P3" s="343" t="s">
        <v>777</v>
      </c>
      <c r="Q3" s="343" t="s">
        <v>574</v>
      </c>
      <c r="R3" s="344" t="s">
        <v>575</v>
      </c>
      <c r="S3" s="64"/>
      <c r="T3" s="64"/>
      <c r="U3" s="64"/>
      <c r="V3" s="64"/>
      <c r="W3" s="64"/>
      <c r="X3" s="64"/>
      <c r="Y3" s="64"/>
      <c r="Z3" s="64"/>
    </row>
    <row r="4" spans="1:134" x14ac:dyDescent="0.3">
      <c r="A4" s="68" t="s">
        <v>778</v>
      </c>
      <c r="B4" s="64" t="s">
        <v>288</v>
      </c>
      <c r="C4" s="64">
        <v>55</v>
      </c>
      <c r="D4" s="64" t="s">
        <v>8</v>
      </c>
      <c r="E4" s="64" t="s">
        <v>12</v>
      </c>
      <c r="F4" s="64" t="s">
        <v>16</v>
      </c>
      <c r="G4" s="64">
        <v>20</v>
      </c>
      <c r="H4" s="195">
        <v>250000</v>
      </c>
      <c r="I4" s="64" t="s">
        <v>114</v>
      </c>
      <c r="J4" s="64" t="s">
        <v>94</v>
      </c>
      <c r="K4" s="64">
        <v>6</v>
      </c>
      <c r="L4" s="64">
        <v>0.92669999999999997</v>
      </c>
      <c r="M4" s="64">
        <v>3.8238399999999998E-3</v>
      </c>
      <c r="N4" s="64">
        <v>3.5439999999999998E-3</v>
      </c>
      <c r="O4" s="64">
        <v>0</v>
      </c>
      <c r="P4" s="64">
        <v>5.9650000000000002E-2</v>
      </c>
      <c r="Q4" s="64">
        <v>0</v>
      </c>
      <c r="R4" s="70">
        <v>1745.53</v>
      </c>
      <c r="S4" s="64"/>
      <c r="T4" s="64"/>
      <c r="U4" s="64"/>
      <c r="V4" s="64"/>
      <c r="W4" s="64"/>
      <c r="X4" s="64"/>
      <c r="Y4" s="64"/>
      <c r="Z4" s="64"/>
    </row>
    <row r="5" spans="1:134" x14ac:dyDescent="0.3">
      <c r="A5" s="68" t="s">
        <v>779</v>
      </c>
      <c r="B5" s="64" t="s">
        <v>288</v>
      </c>
      <c r="C5" s="64">
        <v>43</v>
      </c>
      <c r="D5" s="64" t="s">
        <v>8</v>
      </c>
      <c r="E5" s="64" t="s">
        <v>12</v>
      </c>
      <c r="F5" s="64" t="s">
        <v>16</v>
      </c>
      <c r="G5" s="64">
        <v>15</v>
      </c>
      <c r="H5" s="195">
        <v>250000</v>
      </c>
      <c r="I5" s="64" t="s">
        <v>114</v>
      </c>
      <c r="J5" s="64" t="s">
        <v>28</v>
      </c>
      <c r="K5" s="64">
        <v>5</v>
      </c>
      <c r="L5" s="64">
        <v>0.63770000000000004</v>
      </c>
      <c r="M5" s="64">
        <v>1.46412E-3</v>
      </c>
      <c r="N5" s="64">
        <v>9.3400000000000004E-4</v>
      </c>
      <c r="O5" s="64">
        <v>0</v>
      </c>
      <c r="P5" s="64">
        <v>7.4329000000000006E-2</v>
      </c>
      <c r="Q5" s="64">
        <v>0</v>
      </c>
      <c r="R5" s="70">
        <v>1200</v>
      </c>
      <c r="S5" s="64"/>
      <c r="T5" s="64"/>
      <c r="U5" s="64"/>
      <c r="V5" s="64"/>
      <c r="W5" s="64"/>
      <c r="X5" s="64"/>
      <c r="Y5" s="64"/>
      <c r="Z5" s="64"/>
    </row>
    <row r="6" spans="1:134" x14ac:dyDescent="0.3">
      <c r="A6" s="68" t="s">
        <v>780</v>
      </c>
      <c r="B6" s="64" t="s">
        <v>288</v>
      </c>
      <c r="C6" s="64">
        <v>32</v>
      </c>
      <c r="D6" s="64" t="s">
        <v>8</v>
      </c>
      <c r="E6" s="64" t="s">
        <v>12</v>
      </c>
      <c r="F6" s="64" t="s">
        <v>16</v>
      </c>
      <c r="G6" s="64">
        <v>20</v>
      </c>
      <c r="H6" s="195">
        <v>2000000</v>
      </c>
      <c r="I6" s="64" t="s">
        <v>26</v>
      </c>
      <c r="J6" s="64" t="s">
        <v>94</v>
      </c>
      <c r="K6" s="64">
        <v>6</v>
      </c>
      <c r="L6" s="64">
        <v>0.62060000000000004</v>
      </c>
      <c r="M6" s="64">
        <v>6.0729000000000002E-4</v>
      </c>
      <c r="N6" s="64">
        <v>3.77E-4</v>
      </c>
      <c r="O6" s="64">
        <v>0</v>
      </c>
      <c r="P6" s="64">
        <v>4.6868E-2</v>
      </c>
      <c r="Q6" s="64">
        <v>0</v>
      </c>
      <c r="R6" s="70">
        <v>3013.21</v>
      </c>
      <c r="S6" s="64"/>
      <c r="T6" s="64"/>
      <c r="U6" s="64"/>
      <c r="V6" s="64"/>
      <c r="W6" s="64"/>
      <c r="X6" s="64"/>
      <c r="Y6" s="64"/>
      <c r="Z6" s="64"/>
    </row>
    <row r="7" spans="1:134" x14ac:dyDescent="0.3">
      <c r="A7" s="68" t="s">
        <v>781</v>
      </c>
      <c r="B7" s="64" t="s">
        <v>288</v>
      </c>
      <c r="C7" s="64">
        <v>38</v>
      </c>
      <c r="D7" s="64" t="s">
        <v>8</v>
      </c>
      <c r="E7" s="64" t="s">
        <v>12</v>
      </c>
      <c r="F7" s="64" t="s">
        <v>16</v>
      </c>
      <c r="G7" s="64">
        <v>10</v>
      </c>
      <c r="H7" s="195">
        <v>500000</v>
      </c>
      <c r="I7" s="64" t="s">
        <v>26</v>
      </c>
      <c r="J7" s="64" t="s">
        <v>94</v>
      </c>
      <c r="K7" s="64">
        <v>5</v>
      </c>
      <c r="L7" s="64">
        <v>0.51739999999999997</v>
      </c>
      <c r="M7" s="64">
        <v>9.8142999999999993E-4</v>
      </c>
      <c r="N7" s="64">
        <v>5.0799999999999999E-4</v>
      </c>
      <c r="O7" s="64">
        <v>0</v>
      </c>
      <c r="P7" s="64">
        <v>5.8401000000000002E-2</v>
      </c>
      <c r="Q7" s="64">
        <v>0</v>
      </c>
      <c r="R7" s="70">
        <v>1334.04</v>
      </c>
      <c r="S7" s="64"/>
      <c r="T7" s="64"/>
      <c r="U7" s="64"/>
      <c r="V7" s="64"/>
      <c r="W7" s="64"/>
      <c r="X7" s="64"/>
      <c r="Y7" s="64"/>
      <c r="Z7" s="64"/>
    </row>
    <row r="8" spans="1:134" x14ac:dyDescent="0.3">
      <c r="A8" s="68" t="s">
        <v>782</v>
      </c>
      <c r="B8" s="64" t="s">
        <v>288</v>
      </c>
      <c r="C8" s="64">
        <v>50</v>
      </c>
      <c r="D8" s="64" t="s">
        <v>8</v>
      </c>
      <c r="E8" s="64" t="s">
        <v>12</v>
      </c>
      <c r="F8" s="64" t="s">
        <v>16</v>
      </c>
      <c r="G8" s="64">
        <v>20</v>
      </c>
      <c r="H8" s="195">
        <v>1000000</v>
      </c>
      <c r="I8" s="64" t="s">
        <v>26</v>
      </c>
      <c r="J8" s="64" t="s">
        <v>94</v>
      </c>
      <c r="K8" s="64">
        <v>4</v>
      </c>
      <c r="L8" s="64">
        <v>0.81640000000000001</v>
      </c>
      <c r="M8" s="64">
        <v>2.5631899999999999E-3</v>
      </c>
      <c r="N8" s="64">
        <v>2.0929999999999998E-3</v>
      </c>
      <c r="O8" s="64">
        <v>0</v>
      </c>
      <c r="P8" s="64">
        <v>7.2773000000000004E-2</v>
      </c>
      <c r="Q8" s="64">
        <v>0</v>
      </c>
      <c r="R8" s="70">
        <v>4054.57</v>
      </c>
      <c r="S8" s="64"/>
      <c r="T8" s="64"/>
      <c r="U8" s="64"/>
      <c r="V8" s="64"/>
      <c r="W8" s="64"/>
      <c r="X8" s="64"/>
      <c r="Y8" s="64"/>
      <c r="Z8" s="64"/>
    </row>
    <row r="9" spans="1:134" x14ac:dyDescent="0.3">
      <c r="A9" s="68" t="s">
        <v>783</v>
      </c>
      <c r="B9" s="64" t="s">
        <v>289</v>
      </c>
      <c r="C9" s="64">
        <v>27</v>
      </c>
      <c r="D9" s="64" t="s">
        <v>8</v>
      </c>
      <c r="E9" s="64" t="s">
        <v>104</v>
      </c>
      <c r="F9" s="64" t="s">
        <v>16</v>
      </c>
      <c r="G9" s="64">
        <v>25</v>
      </c>
      <c r="H9" s="195">
        <v>250000</v>
      </c>
      <c r="I9" s="64" t="s">
        <v>26</v>
      </c>
      <c r="J9" s="64" t="s">
        <v>94</v>
      </c>
      <c r="K9" s="64">
        <v>3</v>
      </c>
      <c r="L9" s="64">
        <v>0.95109999999999995</v>
      </c>
      <c r="M9" s="64">
        <v>6.7168000000000002E-4</v>
      </c>
      <c r="N9" s="64">
        <v>6.3900000000000003E-4</v>
      </c>
      <c r="O9" s="64">
        <v>0</v>
      </c>
      <c r="P9" s="64">
        <v>8.1612000000000004E-2</v>
      </c>
      <c r="Q9" s="64">
        <v>0</v>
      </c>
      <c r="R9" s="70">
        <v>7429</v>
      </c>
      <c r="S9" s="64"/>
      <c r="T9" s="64"/>
      <c r="U9" s="64"/>
      <c r="V9" s="64"/>
      <c r="W9" s="64"/>
      <c r="X9" s="64"/>
      <c r="Y9" s="64"/>
      <c r="Z9" s="64"/>
    </row>
    <row r="10" spans="1:134" x14ac:dyDescent="0.3">
      <c r="A10" s="68" t="s">
        <v>784</v>
      </c>
      <c r="B10" s="64" t="s">
        <v>288</v>
      </c>
      <c r="C10" s="64">
        <v>46</v>
      </c>
      <c r="D10" s="64" t="s">
        <v>102</v>
      </c>
      <c r="E10" s="64" t="s">
        <v>12</v>
      </c>
      <c r="F10" s="64" t="s">
        <v>16</v>
      </c>
      <c r="G10" s="64">
        <v>10</v>
      </c>
      <c r="H10" s="195">
        <v>2000000</v>
      </c>
      <c r="I10" s="64" t="s">
        <v>114</v>
      </c>
      <c r="J10" s="64" t="s">
        <v>28</v>
      </c>
      <c r="K10" s="64">
        <v>1</v>
      </c>
      <c r="L10" s="64">
        <v>0.60629999999999995</v>
      </c>
      <c r="M10" s="64">
        <v>1.37571E-3</v>
      </c>
      <c r="N10" s="64">
        <v>8.34E-4</v>
      </c>
      <c r="O10" s="64">
        <v>0</v>
      </c>
      <c r="P10" s="64">
        <v>0.1792</v>
      </c>
      <c r="Q10" s="64">
        <v>0</v>
      </c>
      <c r="R10" s="70">
        <v>4826.6899999999996</v>
      </c>
      <c r="S10" s="64"/>
      <c r="T10" s="64"/>
      <c r="U10" s="64"/>
      <c r="V10" s="64"/>
      <c r="W10" s="64"/>
      <c r="X10" s="64"/>
      <c r="Y10" s="64"/>
      <c r="Z10" s="64"/>
    </row>
    <row r="11" spans="1:134" x14ac:dyDescent="0.3">
      <c r="A11" s="68" t="s">
        <v>785</v>
      </c>
      <c r="B11" s="64" t="s">
        <v>289</v>
      </c>
      <c r="C11" s="64">
        <v>57</v>
      </c>
      <c r="D11" s="64" t="s">
        <v>8</v>
      </c>
      <c r="E11" s="64" t="s">
        <v>12</v>
      </c>
      <c r="F11" s="64" t="s">
        <v>106</v>
      </c>
      <c r="G11" s="64">
        <v>15</v>
      </c>
      <c r="H11" s="195">
        <v>500000</v>
      </c>
      <c r="I11" s="64" t="s">
        <v>114</v>
      </c>
      <c r="J11" s="64" t="s">
        <v>94</v>
      </c>
      <c r="K11" s="64">
        <v>5</v>
      </c>
      <c r="L11" s="64">
        <v>0.94179999999999997</v>
      </c>
      <c r="M11" s="64">
        <v>3.5898499999999999E-3</v>
      </c>
      <c r="N11" s="64">
        <v>3.3809999999999999E-3</v>
      </c>
      <c r="O11" s="64">
        <v>0</v>
      </c>
      <c r="P11" s="64">
        <v>6.6895999999999997E-2</v>
      </c>
      <c r="Q11" s="64">
        <v>0</v>
      </c>
      <c r="R11" s="70">
        <v>12562.62</v>
      </c>
      <c r="S11" s="64"/>
      <c r="T11" s="64"/>
      <c r="U11" s="64"/>
      <c r="V11" s="64"/>
      <c r="W11" s="64"/>
      <c r="X11" s="64"/>
      <c r="Y11" s="64"/>
      <c r="Z11" s="64"/>
    </row>
    <row r="12" spans="1:134" x14ac:dyDescent="0.3">
      <c r="A12" s="68" t="s">
        <v>786</v>
      </c>
      <c r="B12" s="64" t="s">
        <v>288</v>
      </c>
      <c r="C12" s="64">
        <v>54</v>
      </c>
      <c r="D12" s="64" t="s">
        <v>8</v>
      </c>
      <c r="E12" s="64" t="s">
        <v>12</v>
      </c>
      <c r="F12" s="64" t="s">
        <v>106</v>
      </c>
      <c r="G12" s="64">
        <v>25</v>
      </c>
      <c r="H12" s="195">
        <v>250000</v>
      </c>
      <c r="I12" s="64" t="s">
        <v>114</v>
      </c>
      <c r="J12" s="64" t="s">
        <v>28</v>
      </c>
      <c r="K12" s="64">
        <v>4</v>
      </c>
      <c r="L12" s="64">
        <v>0.65700000000000003</v>
      </c>
      <c r="M12" s="64">
        <v>2.82388E-3</v>
      </c>
      <c r="N12" s="64">
        <v>1.8550000000000001E-3</v>
      </c>
      <c r="O12" s="64">
        <v>0</v>
      </c>
      <c r="P12" s="64">
        <v>9.2619999999999994E-2</v>
      </c>
      <c r="Q12" s="64">
        <v>1</v>
      </c>
      <c r="R12" s="70">
        <v>1450.54</v>
      </c>
      <c r="S12" s="64"/>
      <c r="T12" s="64"/>
      <c r="U12" s="64"/>
      <c r="V12" s="64"/>
      <c r="W12" s="64"/>
      <c r="X12" s="64"/>
      <c r="Y12" s="64"/>
      <c r="Z12" s="64"/>
    </row>
    <row r="13" spans="1:134" x14ac:dyDescent="0.3">
      <c r="A13" s="68" t="s">
        <v>787</v>
      </c>
      <c r="B13" s="64" t="s">
        <v>288</v>
      </c>
      <c r="C13" s="64">
        <v>30</v>
      </c>
      <c r="D13" s="64" t="s">
        <v>8</v>
      </c>
      <c r="E13" s="64" t="s">
        <v>104</v>
      </c>
      <c r="F13" s="64" t="s">
        <v>16</v>
      </c>
      <c r="G13" s="64">
        <v>10</v>
      </c>
      <c r="H13" s="195">
        <v>250000</v>
      </c>
      <c r="I13" s="64" t="s">
        <v>26</v>
      </c>
      <c r="J13" s="64" t="s">
        <v>93</v>
      </c>
      <c r="K13" s="64">
        <v>7</v>
      </c>
      <c r="L13" s="64">
        <v>0.78239999999999998</v>
      </c>
      <c r="M13" s="64">
        <v>8.5386999999999995E-4</v>
      </c>
      <c r="N13" s="64">
        <v>6.6799999999999997E-4</v>
      </c>
      <c r="O13" s="64">
        <v>0</v>
      </c>
      <c r="P13" s="64">
        <v>3.7613000000000001E-2</v>
      </c>
      <c r="Q13" s="64">
        <v>0</v>
      </c>
      <c r="R13" s="70">
        <v>1200</v>
      </c>
      <c r="S13" s="64"/>
      <c r="T13" s="64"/>
      <c r="U13" s="64"/>
      <c r="V13" s="64"/>
      <c r="W13" s="64"/>
      <c r="X13" s="64"/>
      <c r="Y13" s="64"/>
      <c r="Z13" s="64"/>
    </row>
    <row r="14" spans="1:134" x14ac:dyDescent="0.3">
      <c r="A14" s="68" t="s">
        <v>788</v>
      </c>
      <c r="B14" s="64" t="s">
        <v>288</v>
      </c>
      <c r="C14" s="64">
        <v>28</v>
      </c>
      <c r="D14" s="64" t="s">
        <v>102</v>
      </c>
      <c r="E14" s="64" t="s">
        <v>12</v>
      </c>
      <c r="F14" s="64" t="s">
        <v>106</v>
      </c>
      <c r="G14" s="64">
        <v>10</v>
      </c>
      <c r="H14" s="195">
        <v>500000</v>
      </c>
      <c r="I14" s="64" t="s">
        <v>114</v>
      </c>
      <c r="J14" s="64" t="s">
        <v>28</v>
      </c>
      <c r="K14" s="64">
        <v>1</v>
      </c>
      <c r="L14" s="64">
        <v>0.93049999999999999</v>
      </c>
      <c r="M14" s="64">
        <v>2.6076000000000002E-4</v>
      </c>
      <c r="N14" s="64">
        <v>2.43E-4</v>
      </c>
      <c r="O14" s="64">
        <v>0</v>
      </c>
      <c r="P14" s="64">
        <v>0.1792</v>
      </c>
      <c r="Q14" s="64">
        <v>0</v>
      </c>
      <c r="R14" s="70">
        <v>1200</v>
      </c>
      <c r="S14" s="64"/>
      <c r="T14" s="64"/>
      <c r="U14" s="64"/>
      <c r="V14" s="64"/>
      <c r="W14" s="64"/>
      <c r="X14" s="64"/>
      <c r="Y14" s="64"/>
      <c r="Z14" s="64"/>
    </row>
    <row r="15" spans="1:134" x14ac:dyDescent="0.3">
      <c r="A15" s="68" t="s">
        <v>789</v>
      </c>
      <c r="B15" s="64" t="s">
        <v>288</v>
      </c>
      <c r="C15" s="64">
        <v>46</v>
      </c>
      <c r="D15" s="64" t="s">
        <v>8</v>
      </c>
      <c r="E15" s="64" t="s">
        <v>12</v>
      </c>
      <c r="F15" s="64" t="s">
        <v>16</v>
      </c>
      <c r="G15" s="64">
        <v>15</v>
      </c>
      <c r="H15" s="195">
        <v>500000</v>
      </c>
      <c r="I15" s="64" t="s">
        <v>26</v>
      </c>
      <c r="J15" s="64" t="s">
        <v>28</v>
      </c>
      <c r="K15" s="64">
        <v>7</v>
      </c>
      <c r="L15" s="64">
        <v>0.98219999999999996</v>
      </c>
      <c r="M15" s="64">
        <v>1.86126E-3</v>
      </c>
      <c r="N15" s="64">
        <v>1.828E-3</v>
      </c>
      <c r="O15" s="64">
        <v>0</v>
      </c>
      <c r="P15" s="64">
        <v>3.7613000000000001E-2</v>
      </c>
      <c r="Q15" s="64">
        <v>0</v>
      </c>
      <c r="R15" s="70">
        <v>1853.14</v>
      </c>
      <c r="S15" s="64"/>
      <c r="T15" s="64"/>
      <c r="U15" s="64"/>
      <c r="V15" s="64"/>
      <c r="W15" s="64"/>
      <c r="X15" s="64"/>
      <c r="Y15" s="64"/>
      <c r="Z15" s="64"/>
    </row>
    <row r="16" spans="1:134" x14ac:dyDescent="0.3">
      <c r="A16" s="68" t="s">
        <v>790</v>
      </c>
      <c r="B16" s="64" t="s">
        <v>288</v>
      </c>
      <c r="C16" s="64">
        <v>61</v>
      </c>
      <c r="D16" s="64" t="s">
        <v>8</v>
      </c>
      <c r="E16" s="64" t="s">
        <v>104</v>
      </c>
      <c r="F16" s="64" t="s">
        <v>16</v>
      </c>
      <c r="G16" s="64">
        <v>10</v>
      </c>
      <c r="H16" s="195">
        <v>500000</v>
      </c>
      <c r="I16" s="64" t="s">
        <v>114</v>
      </c>
      <c r="J16" s="64" t="s">
        <v>93</v>
      </c>
      <c r="K16" s="64">
        <v>1</v>
      </c>
      <c r="L16" s="64">
        <v>0.86329999999999996</v>
      </c>
      <c r="M16" s="64">
        <v>1.019635E-2</v>
      </c>
      <c r="N16" s="64">
        <v>8.8020000000000008E-3</v>
      </c>
      <c r="O16" s="64">
        <v>0</v>
      </c>
      <c r="P16" s="64">
        <v>0.1792</v>
      </c>
      <c r="Q16" s="64">
        <v>0</v>
      </c>
      <c r="R16" s="70">
        <v>6770.84</v>
      </c>
      <c r="S16" s="64"/>
      <c r="T16" s="64"/>
      <c r="U16" s="64"/>
      <c r="V16" s="64"/>
      <c r="W16" s="64"/>
      <c r="X16" s="64"/>
      <c r="Y16" s="64"/>
      <c r="Z16" s="64"/>
    </row>
    <row r="17" spans="1:26" x14ac:dyDescent="0.3">
      <c r="A17" s="68" t="s">
        <v>791</v>
      </c>
      <c r="B17" s="64" t="s">
        <v>288</v>
      </c>
      <c r="C17" s="64">
        <v>63</v>
      </c>
      <c r="D17" s="64" t="s">
        <v>102</v>
      </c>
      <c r="E17" s="64" t="s">
        <v>12</v>
      </c>
      <c r="F17" s="64" t="s">
        <v>106</v>
      </c>
      <c r="G17" s="64">
        <v>15</v>
      </c>
      <c r="H17" s="195">
        <v>500000</v>
      </c>
      <c r="I17" s="64" t="s">
        <v>114</v>
      </c>
      <c r="J17" s="64" t="s">
        <v>94</v>
      </c>
      <c r="K17" s="64">
        <v>5</v>
      </c>
      <c r="L17" s="64">
        <v>0.76249999999999996</v>
      </c>
      <c r="M17" s="64">
        <v>4.2880399999999999E-3</v>
      </c>
      <c r="N17" s="64">
        <v>3.2699999999999999E-3</v>
      </c>
      <c r="O17" s="64">
        <v>0</v>
      </c>
      <c r="P17" s="64">
        <v>7.4329000000000006E-2</v>
      </c>
      <c r="Q17" s="64">
        <v>0</v>
      </c>
      <c r="R17" s="70">
        <v>3284.94</v>
      </c>
      <c r="S17" s="64"/>
      <c r="T17" s="64"/>
      <c r="U17" s="64"/>
      <c r="V17" s="64"/>
      <c r="W17" s="64"/>
      <c r="X17" s="64"/>
      <c r="Y17" s="64"/>
      <c r="Z17" s="64"/>
    </row>
    <row r="18" spans="1:26" x14ac:dyDescent="0.3">
      <c r="A18" s="68" t="s">
        <v>792</v>
      </c>
      <c r="B18" s="64" t="s">
        <v>288</v>
      </c>
      <c r="C18" s="64">
        <v>44</v>
      </c>
      <c r="D18" s="64" t="s">
        <v>8</v>
      </c>
      <c r="E18" s="64" t="s">
        <v>12</v>
      </c>
      <c r="F18" s="64" t="s">
        <v>107</v>
      </c>
      <c r="G18" s="64">
        <v>15</v>
      </c>
      <c r="H18" s="195">
        <v>500000</v>
      </c>
      <c r="I18" s="64" t="s">
        <v>114</v>
      </c>
      <c r="J18" s="64" t="s">
        <v>93</v>
      </c>
      <c r="K18" s="64">
        <v>3</v>
      </c>
      <c r="L18" s="64">
        <v>0.82030000000000003</v>
      </c>
      <c r="M18" s="64">
        <v>2.4583999999999999E-3</v>
      </c>
      <c r="N18" s="64">
        <v>2.0170000000000001E-3</v>
      </c>
      <c r="O18" s="64">
        <v>0</v>
      </c>
      <c r="P18" s="64">
        <v>0.115411</v>
      </c>
      <c r="Q18" s="64">
        <v>0</v>
      </c>
      <c r="R18" s="70">
        <v>2205.4499999999998</v>
      </c>
      <c r="S18" s="64"/>
      <c r="T18" s="64"/>
      <c r="U18" s="64"/>
      <c r="V18" s="64"/>
      <c r="W18" s="64"/>
      <c r="X18" s="64"/>
      <c r="Y18" s="64"/>
      <c r="Z18" s="64"/>
    </row>
    <row r="19" spans="1:26" x14ac:dyDescent="0.3">
      <c r="A19" s="68" t="s">
        <v>793</v>
      </c>
      <c r="B19" s="64" t="s">
        <v>288</v>
      </c>
      <c r="C19" s="64">
        <v>24</v>
      </c>
      <c r="D19" s="64" t="s">
        <v>8</v>
      </c>
      <c r="E19" s="64" t="s">
        <v>12</v>
      </c>
      <c r="F19" s="64" t="s">
        <v>16</v>
      </c>
      <c r="G19" s="64">
        <v>20</v>
      </c>
      <c r="H19" s="195">
        <v>500000</v>
      </c>
      <c r="I19" s="64" t="s">
        <v>26</v>
      </c>
      <c r="J19" s="64" t="s">
        <v>93</v>
      </c>
      <c r="K19" s="64">
        <v>3</v>
      </c>
      <c r="L19" s="64">
        <v>0.69299999999999995</v>
      </c>
      <c r="M19" s="64">
        <v>3.2022000000000002E-4</v>
      </c>
      <c r="N19" s="64">
        <v>2.22E-4</v>
      </c>
      <c r="O19" s="64">
        <v>0</v>
      </c>
      <c r="P19" s="64">
        <v>9.0679999999999997E-2</v>
      </c>
      <c r="Q19" s="64">
        <v>0</v>
      </c>
      <c r="R19" s="70">
        <v>1200</v>
      </c>
      <c r="S19" s="64"/>
      <c r="T19" s="64"/>
      <c r="U19" s="64"/>
      <c r="V19" s="64"/>
      <c r="W19" s="64"/>
      <c r="X19" s="64"/>
      <c r="Y19" s="64"/>
      <c r="Z19" s="64"/>
    </row>
    <row r="20" spans="1:26" x14ac:dyDescent="0.3">
      <c r="A20" s="68" t="s">
        <v>794</v>
      </c>
      <c r="B20" s="64" t="s">
        <v>288</v>
      </c>
      <c r="C20" s="64">
        <v>29</v>
      </c>
      <c r="D20" s="64" t="s">
        <v>8</v>
      </c>
      <c r="E20" s="64" t="s">
        <v>12</v>
      </c>
      <c r="F20" s="64" t="s">
        <v>16</v>
      </c>
      <c r="G20" s="64">
        <v>10</v>
      </c>
      <c r="H20" s="195">
        <v>500000</v>
      </c>
      <c r="I20" s="64" t="s">
        <v>26</v>
      </c>
      <c r="J20" s="64" t="s">
        <v>28</v>
      </c>
      <c r="K20" s="64">
        <v>3</v>
      </c>
      <c r="L20" s="64">
        <v>0.51870000000000005</v>
      </c>
      <c r="M20" s="64">
        <v>4.7771000000000001E-4</v>
      </c>
      <c r="N20" s="64">
        <v>2.4800000000000001E-4</v>
      </c>
      <c r="O20" s="64">
        <v>0</v>
      </c>
      <c r="P20" s="64">
        <v>9.0679999999999997E-2</v>
      </c>
      <c r="Q20" s="64">
        <v>0</v>
      </c>
      <c r="R20" s="70">
        <v>1200</v>
      </c>
      <c r="S20" s="64"/>
      <c r="T20" s="64"/>
      <c r="U20" s="64"/>
      <c r="V20" s="64"/>
      <c r="W20" s="64"/>
      <c r="X20" s="64"/>
      <c r="Y20" s="64"/>
      <c r="Z20" s="64"/>
    </row>
    <row r="21" spans="1:26" x14ac:dyDescent="0.3">
      <c r="A21" s="68" t="s">
        <v>795</v>
      </c>
      <c r="B21" s="64" t="s">
        <v>289</v>
      </c>
      <c r="C21" s="64">
        <v>53</v>
      </c>
      <c r="D21" s="64" t="s">
        <v>102</v>
      </c>
      <c r="E21" s="64" t="s">
        <v>104</v>
      </c>
      <c r="F21" s="64" t="s">
        <v>107</v>
      </c>
      <c r="G21" s="64">
        <v>20</v>
      </c>
      <c r="H21" s="195">
        <v>2000000</v>
      </c>
      <c r="I21" s="64" t="s">
        <v>114</v>
      </c>
      <c r="J21" s="64" t="s">
        <v>93</v>
      </c>
      <c r="K21" s="64">
        <v>2</v>
      </c>
      <c r="L21" s="64">
        <v>0.61939999999999995</v>
      </c>
      <c r="M21" s="64">
        <v>6.1595499999999997E-3</v>
      </c>
      <c r="N21" s="64">
        <v>3.8149999999999998E-3</v>
      </c>
      <c r="O21" s="64">
        <v>0</v>
      </c>
      <c r="P21" s="64">
        <v>0.12942999999999999</v>
      </c>
      <c r="Q21" s="64">
        <v>0</v>
      </c>
      <c r="R21" s="70">
        <v>9029.19</v>
      </c>
      <c r="S21" s="64"/>
      <c r="T21" s="64"/>
      <c r="U21" s="64"/>
      <c r="V21" s="64"/>
      <c r="W21" s="64"/>
      <c r="X21" s="64"/>
      <c r="Y21" s="64"/>
      <c r="Z21" s="64"/>
    </row>
    <row r="22" spans="1:26" x14ac:dyDescent="0.3">
      <c r="A22" s="68" t="s">
        <v>796</v>
      </c>
      <c r="B22" s="64" t="s">
        <v>288</v>
      </c>
      <c r="C22" s="64">
        <v>29</v>
      </c>
      <c r="D22" s="64" t="s">
        <v>8</v>
      </c>
      <c r="E22" s="64" t="s">
        <v>12</v>
      </c>
      <c r="F22" s="64" t="s">
        <v>107</v>
      </c>
      <c r="G22" s="64">
        <v>15</v>
      </c>
      <c r="H22" s="195">
        <v>250000</v>
      </c>
      <c r="I22" s="64" t="s">
        <v>114</v>
      </c>
      <c r="J22" s="64" t="s">
        <v>93</v>
      </c>
      <c r="K22" s="64">
        <v>5</v>
      </c>
      <c r="L22" s="64">
        <v>0.93559999999999999</v>
      </c>
      <c r="M22" s="64">
        <v>7.4045000000000003E-4</v>
      </c>
      <c r="N22" s="64">
        <v>6.9300000000000004E-4</v>
      </c>
      <c r="O22" s="64">
        <v>0</v>
      </c>
      <c r="P22" s="64">
        <v>7.4329000000000006E-2</v>
      </c>
      <c r="Q22" s="64">
        <v>0</v>
      </c>
      <c r="R22" s="70">
        <v>1200</v>
      </c>
      <c r="S22" s="64"/>
      <c r="T22" s="64"/>
      <c r="U22" s="64"/>
      <c r="V22" s="64"/>
      <c r="W22" s="64"/>
      <c r="X22" s="64"/>
      <c r="Y22" s="64"/>
      <c r="Z22" s="64"/>
    </row>
    <row r="23" spans="1:26" x14ac:dyDescent="0.3">
      <c r="A23" s="68" t="s">
        <v>797</v>
      </c>
      <c r="B23" s="64" t="s">
        <v>288</v>
      </c>
      <c r="C23" s="64">
        <v>24</v>
      </c>
      <c r="D23" s="64" t="s">
        <v>102</v>
      </c>
      <c r="E23" s="64" t="s">
        <v>104</v>
      </c>
      <c r="F23" s="64" t="s">
        <v>16</v>
      </c>
      <c r="G23" s="64">
        <v>10</v>
      </c>
      <c r="H23" s="195">
        <v>500000</v>
      </c>
      <c r="I23" s="64" t="s">
        <v>114</v>
      </c>
      <c r="J23" s="64" t="s">
        <v>28</v>
      </c>
      <c r="K23" s="64">
        <v>2</v>
      </c>
      <c r="L23" s="64">
        <v>0.95709999999999995</v>
      </c>
      <c r="M23" s="64">
        <v>3.9052999999999999E-4</v>
      </c>
      <c r="N23" s="64">
        <v>3.7399999999999998E-4</v>
      </c>
      <c r="O23" s="64">
        <v>0</v>
      </c>
      <c r="P23" s="64">
        <v>0.14381099999999999</v>
      </c>
      <c r="Q23" s="64">
        <v>0</v>
      </c>
      <c r="R23" s="70">
        <v>1200</v>
      </c>
      <c r="S23" s="64"/>
      <c r="T23" s="64"/>
      <c r="U23" s="64"/>
      <c r="V23" s="64"/>
      <c r="W23" s="64"/>
      <c r="X23" s="64"/>
      <c r="Y23" s="64"/>
      <c r="Z23" s="64"/>
    </row>
    <row r="24" spans="1:26" x14ac:dyDescent="0.3">
      <c r="A24" s="68" t="s">
        <v>798</v>
      </c>
      <c r="B24" s="64" t="s">
        <v>288</v>
      </c>
      <c r="C24" s="64">
        <v>62</v>
      </c>
      <c r="D24" s="64" t="s">
        <v>102</v>
      </c>
      <c r="E24" s="64" t="s">
        <v>12</v>
      </c>
      <c r="F24" s="64" t="s">
        <v>16</v>
      </c>
      <c r="G24" s="64">
        <v>25</v>
      </c>
      <c r="H24" s="195">
        <v>250000</v>
      </c>
      <c r="I24" s="64" t="s">
        <v>114</v>
      </c>
      <c r="J24" s="64" t="s">
        <v>94</v>
      </c>
      <c r="K24" s="64">
        <v>4</v>
      </c>
      <c r="L24" s="64">
        <v>0.9758</v>
      </c>
      <c r="M24" s="64">
        <v>4.9479499999999996E-3</v>
      </c>
      <c r="N24" s="64">
        <v>4.8279999999999998E-3</v>
      </c>
      <c r="O24" s="64">
        <v>0</v>
      </c>
      <c r="P24" s="64">
        <v>9.2619999999999994E-2</v>
      </c>
      <c r="Q24" s="64">
        <v>0</v>
      </c>
      <c r="R24" s="70">
        <v>2077.15</v>
      </c>
      <c r="S24" s="64"/>
      <c r="T24" s="64"/>
      <c r="U24" s="64"/>
      <c r="V24" s="64"/>
      <c r="W24" s="64"/>
      <c r="X24" s="64"/>
      <c r="Y24" s="64"/>
      <c r="Z24" s="64"/>
    </row>
    <row r="25" spans="1:26" x14ac:dyDescent="0.3">
      <c r="A25" s="68" t="s">
        <v>799</v>
      </c>
      <c r="B25" s="64" t="s">
        <v>289</v>
      </c>
      <c r="C25" s="64">
        <v>32</v>
      </c>
      <c r="D25" s="64" t="s">
        <v>102</v>
      </c>
      <c r="E25" s="64" t="s">
        <v>12</v>
      </c>
      <c r="F25" s="64" t="s">
        <v>16</v>
      </c>
      <c r="G25" s="64">
        <v>20</v>
      </c>
      <c r="H25" s="195">
        <v>500000</v>
      </c>
      <c r="I25" s="64" t="s">
        <v>26</v>
      </c>
      <c r="J25" s="64" t="s">
        <v>28</v>
      </c>
      <c r="K25" s="64">
        <v>6</v>
      </c>
      <c r="L25" s="64">
        <v>0.85399999999999998</v>
      </c>
      <c r="M25" s="64">
        <v>4.4886999999999998E-4</v>
      </c>
      <c r="N25" s="64">
        <v>3.8299999999999999E-4</v>
      </c>
      <c r="O25" s="64">
        <v>0</v>
      </c>
      <c r="P25" s="64">
        <v>4.2181000000000003E-2</v>
      </c>
      <c r="Q25" s="64">
        <v>0</v>
      </c>
      <c r="R25" s="70">
        <v>9486.61</v>
      </c>
      <c r="S25" s="64"/>
      <c r="T25" s="64"/>
      <c r="U25" s="64"/>
      <c r="V25" s="64"/>
      <c r="W25" s="64"/>
      <c r="X25" s="64"/>
      <c r="Y25" s="64"/>
      <c r="Z25" s="64"/>
    </row>
    <row r="26" spans="1:26" x14ac:dyDescent="0.3">
      <c r="A26" s="68" t="s">
        <v>800</v>
      </c>
      <c r="B26" s="64" t="s">
        <v>288</v>
      </c>
      <c r="C26" s="64">
        <v>30</v>
      </c>
      <c r="D26" s="64" t="s">
        <v>102</v>
      </c>
      <c r="E26" s="64" t="s">
        <v>12</v>
      </c>
      <c r="F26" s="64" t="s">
        <v>16</v>
      </c>
      <c r="G26" s="64">
        <v>15</v>
      </c>
      <c r="H26" s="195">
        <v>500000</v>
      </c>
      <c r="I26" s="64" t="s">
        <v>114</v>
      </c>
      <c r="J26" s="64" t="s">
        <v>28</v>
      </c>
      <c r="K26" s="64">
        <v>4</v>
      </c>
      <c r="L26" s="64">
        <v>0.95989999999999998</v>
      </c>
      <c r="M26" s="64">
        <v>3.8249999999999997E-4</v>
      </c>
      <c r="N26" s="64">
        <v>3.6699999999999998E-4</v>
      </c>
      <c r="O26" s="64">
        <v>0</v>
      </c>
      <c r="P26" s="64">
        <v>9.2619999999999994E-2</v>
      </c>
      <c r="Q26" s="64">
        <v>0</v>
      </c>
      <c r="R26" s="70">
        <v>1200</v>
      </c>
      <c r="S26" s="64"/>
      <c r="T26" s="64"/>
      <c r="U26" s="64"/>
      <c r="V26" s="64"/>
      <c r="W26" s="64"/>
      <c r="X26" s="64"/>
      <c r="Y26" s="64"/>
      <c r="Z26" s="64"/>
    </row>
    <row r="27" spans="1:26" x14ac:dyDescent="0.3">
      <c r="A27" s="68" t="s">
        <v>801</v>
      </c>
      <c r="B27" s="64" t="s">
        <v>288</v>
      </c>
      <c r="C27" s="64">
        <v>38</v>
      </c>
      <c r="D27" s="64" t="s">
        <v>102</v>
      </c>
      <c r="E27" s="64" t="s">
        <v>12</v>
      </c>
      <c r="F27" s="64" t="s">
        <v>16</v>
      </c>
      <c r="G27" s="64">
        <v>20</v>
      </c>
      <c r="H27" s="195">
        <v>250000</v>
      </c>
      <c r="I27" s="64" t="s">
        <v>26</v>
      </c>
      <c r="J27" s="64" t="s">
        <v>93</v>
      </c>
      <c r="K27" s="64">
        <v>6</v>
      </c>
      <c r="L27" s="64">
        <v>0.7802</v>
      </c>
      <c r="M27" s="64">
        <v>7.2539999999999996E-4</v>
      </c>
      <c r="N27" s="64">
        <v>5.6599999999999999E-4</v>
      </c>
      <c r="O27" s="64">
        <v>0</v>
      </c>
      <c r="P27" s="64">
        <v>4.6868E-2</v>
      </c>
      <c r="Q27" s="64">
        <v>0</v>
      </c>
      <c r="R27" s="70">
        <v>1200</v>
      </c>
      <c r="S27" s="64"/>
      <c r="T27" s="64"/>
      <c r="U27" s="64"/>
      <c r="V27" s="64"/>
      <c r="W27" s="64"/>
      <c r="X27" s="64"/>
      <c r="Y27" s="64"/>
      <c r="Z27" s="64"/>
    </row>
    <row r="28" spans="1:26" x14ac:dyDescent="0.3">
      <c r="A28" s="68" t="s">
        <v>802</v>
      </c>
      <c r="B28" s="64" t="s">
        <v>288</v>
      </c>
      <c r="C28" s="64">
        <v>53</v>
      </c>
      <c r="D28" s="64" t="s">
        <v>8</v>
      </c>
      <c r="E28" s="64" t="s">
        <v>12</v>
      </c>
      <c r="F28" s="64" t="s">
        <v>107</v>
      </c>
      <c r="G28" s="64">
        <v>20</v>
      </c>
      <c r="H28" s="195">
        <v>250000</v>
      </c>
      <c r="I28" s="64" t="s">
        <v>26</v>
      </c>
      <c r="J28" s="64" t="s">
        <v>94</v>
      </c>
      <c r="K28" s="64">
        <v>6</v>
      </c>
      <c r="L28" s="64">
        <v>0.751</v>
      </c>
      <c r="M28" s="64">
        <v>5.0506099999999996E-3</v>
      </c>
      <c r="N28" s="64">
        <v>3.7929999999999999E-3</v>
      </c>
      <c r="O28" s="64">
        <v>0</v>
      </c>
      <c r="P28" s="64">
        <v>4.6868E-2</v>
      </c>
      <c r="Q28" s="64">
        <v>0</v>
      </c>
      <c r="R28" s="70">
        <v>2107.4299999999998</v>
      </c>
      <c r="S28" s="64"/>
      <c r="T28" s="64"/>
      <c r="U28" s="64"/>
      <c r="V28" s="64"/>
      <c r="W28" s="64"/>
      <c r="X28" s="64"/>
      <c r="Y28" s="64"/>
      <c r="Z28" s="64"/>
    </row>
    <row r="29" spans="1:26" x14ac:dyDescent="0.3">
      <c r="A29" s="68" t="s">
        <v>803</v>
      </c>
      <c r="B29" s="64" t="s">
        <v>288</v>
      </c>
      <c r="C29" s="64">
        <v>53</v>
      </c>
      <c r="D29" s="64" t="s">
        <v>8</v>
      </c>
      <c r="E29" s="64" t="s">
        <v>12</v>
      </c>
      <c r="F29" s="64" t="s">
        <v>16</v>
      </c>
      <c r="G29" s="64">
        <v>15</v>
      </c>
      <c r="H29" s="195">
        <v>500000</v>
      </c>
      <c r="I29" s="64" t="s">
        <v>26</v>
      </c>
      <c r="J29" s="64" t="s">
        <v>93</v>
      </c>
      <c r="K29" s="64">
        <v>1</v>
      </c>
      <c r="L29" s="64">
        <v>0.74139999999999995</v>
      </c>
      <c r="M29" s="64">
        <v>3.2584599999999999E-3</v>
      </c>
      <c r="N29" s="64">
        <v>2.4160000000000002E-3</v>
      </c>
      <c r="O29" s="64">
        <v>0</v>
      </c>
      <c r="P29" s="64">
        <v>0.14080000000000001</v>
      </c>
      <c r="Q29" s="64">
        <v>0</v>
      </c>
      <c r="R29" s="70">
        <v>2677.49</v>
      </c>
      <c r="S29" s="64"/>
      <c r="T29" s="64"/>
      <c r="U29" s="64"/>
      <c r="V29" s="64"/>
      <c r="W29" s="64"/>
      <c r="X29" s="64"/>
      <c r="Y29" s="64"/>
      <c r="Z29" s="64"/>
    </row>
    <row r="30" spans="1:26" x14ac:dyDescent="0.3">
      <c r="A30" s="68" t="s">
        <v>804</v>
      </c>
      <c r="B30" s="64" t="s">
        <v>288</v>
      </c>
      <c r="C30" s="64">
        <v>37</v>
      </c>
      <c r="D30" s="64" t="s">
        <v>8</v>
      </c>
      <c r="E30" s="64" t="s">
        <v>12</v>
      </c>
      <c r="F30" s="64" t="s">
        <v>16</v>
      </c>
      <c r="G30" s="64">
        <v>15</v>
      </c>
      <c r="H30" s="195">
        <v>500000</v>
      </c>
      <c r="I30" s="64" t="s">
        <v>114</v>
      </c>
      <c r="J30" s="64" t="s">
        <v>93</v>
      </c>
      <c r="K30" s="64">
        <v>4</v>
      </c>
      <c r="L30" s="64">
        <v>0.95330000000000004</v>
      </c>
      <c r="M30" s="64">
        <v>9.0596999999999997E-4</v>
      </c>
      <c r="N30" s="64">
        <v>8.6399999999999997E-4</v>
      </c>
      <c r="O30" s="64">
        <v>0</v>
      </c>
      <c r="P30" s="64">
        <v>9.2619999999999994E-2</v>
      </c>
      <c r="Q30" s="64">
        <v>0</v>
      </c>
      <c r="R30" s="70">
        <v>1289.52</v>
      </c>
      <c r="S30" s="64"/>
      <c r="T30" s="64"/>
      <c r="U30" s="64"/>
      <c r="V30" s="64"/>
      <c r="W30" s="64"/>
      <c r="X30" s="64"/>
      <c r="Y30" s="64"/>
      <c r="Z30" s="64"/>
    </row>
    <row r="31" spans="1:26" x14ac:dyDescent="0.3">
      <c r="A31" s="68" t="s">
        <v>805</v>
      </c>
      <c r="B31" s="64" t="s">
        <v>288</v>
      </c>
      <c r="C31" s="64">
        <v>46</v>
      </c>
      <c r="D31" s="64" t="s">
        <v>8</v>
      </c>
      <c r="E31" s="64" t="s">
        <v>12</v>
      </c>
      <c r="F31" s="64" t="s">
        <v>16</v>
      </c>
      <c r="G31" s="64">
        <v>15</v>
      </c>
      <c r="H31" s="195">
        <v>1000000</v>
      </c>
      <c r="I31" s="64" t="s">
        <v>26</v>
      </c>
      <c r="J31" s="64" t="s">
        <v>93</v>
      </c>
      <c r="K31" s="64">
        <v>2</v>
      </c>
      <c r="L31" s="64">
        <v>0.87219999999999998</v>
      </c>
      <c r="M31" s="64">
        <v>1.86126E-3</v>
      </c>
      <c r="N31" s="64">
        <v>1.6230000000000001E-3</v>
      </c>
      <c r="O31" s="64">
        <v>0</v>
      </c>
      <c r="P31" s="64">
        <v>0.112995</v>
      </c>
      <c r="Q31" s="64">
        <v>0</v>
      </c>
      <c r="R31" s="70">
        <v>3226.29</v>
      </c>
      <c r="S31" s="64"/>
      <c r="T31" s="64"/>
      <c r="U31" s="64"/>
      <c r="V31" s="64"/>
      <c r="W31" s="64"/>
      <c r="X31" s="64"/>
      <c r="Y31" s="64"/>
      <c r="Z31" s="64"/>
    </row>
    <row r="32" spans="1:26" x14ac:dyDescent="0.3">
      <c r="A32" s="68" t="s">
        <v>806</v>
      </c>
      <c r="B32" s="64" t="s">
        <v>288</v>
      </c>
      <c r="C32" s="64">
        <v>35</v>
      </c>
      <c r="D32" s="64" t="s">
        <v>8</v>
      </c>
      <c r="E32" s="64" t="s">
        <v>12</v>
      </c>
      <c r="F32" s="64" t="s">
        <v>16</v>
      </c>
      <c r="G32" s="64">
        <v>20</v>
      </c>
      <c r="H32" s="195">
        <v>250000</v>
      </c>
      <c r="I32" s="64" t="s">
        <v>26</v>
      </c>
      <c r="J32" s="64" t="s">
        <v>28</v>
      </c>
      <c r="K32" s="64">
        <v>4</v>
      </c>
      <c r="L32" s="64">
        <v>0.52769999999999995</v>
      </c>
      <c r="M32" s="64">
        <v>7.7202E-4</v>
      </c>
      <c r="N32" s="64">
        <v>4.0700000000000003E-4</v>
      </c>
      <c r="O32" s="64">
        <v>0</v>
      </c>
      <c r="P32" s="64">
        <v>7.2773000000000004E-2</v>
      </c>
      <c r="Q32" s="64">
        <v>0</v>
      </c>
      <c r="R32" s="70">
        <v>1200</v>
      </c>
      <c r="S32" s="64"/>
      <c r="T32" s="64"/>
      <c r="U32" s="64"/>
      <c r="V32" s="64"/>
      <c r="W32" s="64"/>
      <c r="X32" s="64"/>
      <c r="Y32" s="64"/>
      <c r="Z32" s="64"/>
    </row>
    <row r="33" spans="1:26" x14ac:dyDescent="0.3">
      <c r="A33" s="68" t="s">
        <v>807</v>
      </c>
      <c r="B33" s="64" t="s">
        <v>288</v>
      </c>
      <c r="C33" s="64">
        <v>52</v>
      </c>
      <c r="D33" s="64" t="s">
        <v>8</v>
      </c>
      <c r="E33" s="64" t="s">
        <v>12</v>
      </c>
      <c r="F33" s="64" t="s">
        <v>16</v>
      </c>
      <c r="G33" s="64">
        <v>15</v>
      </c>
      <c r="H33" s="195">
        <v>250000</v>
      </c>
      <c r="I33" s="64" t="s">
        <v>114</v>
      </c>
      <c r="J33" s="64" t="s">
        <v>28</v>
      </c>
      <c r="K33" s="64">
        <v>2</v>
      </c>
      <c r="L33" s="64">
        <v>0.87239999999999995</v>
      </c>
      <c r="M33" s="64">
        <v>3.0079400000000002E-3</v>
      </c>
      <c r="N33" s="64">
        <v>2.624E-3</v>
      </c>
      <c r="O33" s="64">
        <v>0</v>
      </c>
      <c r="P33" s="64">
        <v>0.14381099999999999</v>
      </c>
      <c r="Q33" s="64">
        <v>0</v>
      </c>
      <c r="R33" s="70">
        <v>1504.84</v>
      </c>
      <c r="S33" s="64"/>
      <c r="T33" s="64"/>
      <c r="U33" s="64"/>
      <c r="V33" s="64"/>
      <c r="W33" s="64"/>
      <c r="X33" s="64"/>
      <c r="Y33" s="64"/>
      <c r="Z33" s="64"/>
    </row>
    <row r="34" spans="1:26" x14ac:dyDescent="0.3">
      <c r="A34" s="68" t="s">
        <v>808</v>
      </c>
      <c r="B34" s="64" t="s">
        <v>288</v>
      </c>
      <c r="C34" s="64">
        <v>43</v>
      </c>
      <c r="D34" s="64" t="s">
        <v>8</v>
      </c>
      <c r="E34" s="64" t="s">
        <v>12</v>
      </c>
      <c r="F34" s="64" t="s">
        <v>16</v>
      </c>
      <c r="G34" s="64">
        <v>15</v>
      </c>
      <c r="H34" s="195">
        <v>250000</v>
      </c>
      <c r="I34" s="64" t="s">
        <v>26</v>
      </c>
      <c r="J34" s="64" t="s">
        <v>93</v>
      </c>
      <c r="K34" s="64">
        <v>7</v>
      </c>
      <c r="L34" s="64">
        <v>0.83979999999999999</v>
      </c>
      <c r="M34" s="64">
        <v>1.46412E-3</v>
      </c>
      <c r="N34" s="64">
        <v>1.23E-3</v>
      </c>
      <c r="O34" s="64">
        <v>0</v>
      </c>
      <c r="P34" s="64">
        <v>3.7613000000000001E-2</v>
      </c>
      <c r="Q34" s="64">
        <v>0</v>
      </c>
      <c r="R34" s="70">
        <v>1200</v>
      </c>
      <c r="S34" s="64"/>
      <c r="T34" s="64"/>
      <c r="U34" s="64"/>
      <c r="V34" s="64"/>
      <c r="W34" s="64"/>
      <c r="X34" s="64"/>
      <c r="Y34" s="64"/>
      <c r="Z34" s="64"/>
    </row>
    <row r="35" spans="1:26" x14ac:dyDescent="0.3">
      <c r="A35" s="68" t="s">
        <v>809</v>
      </c>
      <c r="B35" s="64" t="s">
        <v>288</v>
      </c>
      <c r="C35" s="64">
        <v>53</v>
      </c>
      <c r="D35" s="64" t="s">
        <v>102</v>
      </c>
      <c r="E35" s="64" t="s">
        <v>12</v>
      </c>
      <c r="F35" s="64" t="s">
        <v>16</v>
      </c>
      <c r="G35" s="64">
        <v>20</v>
      </c>
      <c r="H35" s="195">
        <v>250000</v>
      </c>
      <c r="I35" s="64" t="s">
        <v>114</v>
      </c>
      <c r="J35" s="64" t="s">
        <v>28</v>
      </c>
      <c r="K35" s="64">
        <v>2</v>
      </c>
      <c r="L35" s="64">
        <v>0.6129</v>
      </c>
      <c r="M35" s="64">
        <v>2.40843E-3</v>
      </c>
      <c r="N35" s="64">
        <v>1.4760000000000001E-3</v>
      </c>
      <c r="O35" s="64">
        <v>0</v>
      </c>
      <c r="P35" s="64">
        <v>0.14381099999999999</v>
      </c>
      <c r="Q35" s="64">
        <v>0</v>
      </c>
      <c r="R35" s="70">
        <v>1327.99</v>
      </c>
      <c r="S35" s="64"/>
      <c r="T35" s="64"/>
      <c r="U35" s="64"/>
      <c r="V35" s="64"/>
      <c r="W35" s="64"/>
      <c r="X35" s="64"/>
      <c r="Y35" s="64"/>
      <c r="Z35" s="64"/>
    </row>
    <row r="36" spans="1:26" x14ac:dyDescent="0.3">
      <c r="A36" s="68" t="s">
        <v>810</v>
      </c>
      <c r="B36" s="64" t="s">
        <v>288</v>
      </c>
      <c r="C36" s="64">
        <v>64</v>
      </c>
      <c r="D36" s="64" t="s">
        <v>8</v>
      </c>
      <c r="E36" s="64" t="s">
        <v>104</v>
      </c>
      <c r="F36" s="64" t="s">
        <v>16</v>
      </c>
      <c r="G36" s="64">
        <v>25</v>
      </c>
      <c r="H36" s="195">
        <v>250000</v>
      </c>
      <c r="I36" s="64" t="s">
        <v>114</v>
      </c>
      <c r="J36" s="64" t="s">
        <v>93</v>
      </c>
      <c r="K36" s="64">
        <v>4</v>
      </c>
      <c r="L36" s="64">
        <v>0.86019999999999996</v>
      </c>
      <c r="M36" s="64">
        <v>1.2962100000000001E-2</v>
      </c>
      <c r="N36" s="64">
        <v>1.115E-2</v>
      </c>
      <c r="O36" s="64">
        <v>0</v>
      </c>
      <c r="P36" s="64">
        <v>9.2619999999999994E-2</v>
      </c>
      <c r="Q36" s="64">
        <v>0</v>
      </c>
      <c r="R36" s="70">
        <v>4441.32</v>
      </c>
      <c r="S36" s="64"/>
      <c r="T36" s="64"/>
      <c r="U36" s="64"/>
      <c r="V36" s="64"/>
      <c r="W36" s="64"/>
      <c r="X36" s="64"/>
      <c r="Y36" s="64"/>
      <c r="Z36" s="64"/>
    </row>
    <row r="37" spans="1:26" x14ac:dyDescent="0.3">
      <c r="A37" s="68" t="s">
        <v>811</v>
      </c>
      <c r="B37" s="64" t="s">
        <v>289</v>
      </c>
      <c r="C37" s="64">
        <v>46</v>
      </c>
      <c r="D37" s="64" t="s">
        <v>8</v>
      </c>
      <c r="E37" s="64" t="s">
        <v>12</v>
      </c>
      <c r="F37" s="64" t="s">
        <v>16</v>
      </c>
      <c r="G37" s="64">
        <v>15</v>
      </c>
      <c r="H37" s="195">
        <v>250000</v>
      </c>
      <c r="I37" s="64" t="s">
        <v>114</v>
      </c>
      <c r="J37" s="64" t="s">
        <v>28</v>
      </c>
      <c r="K37" s="64">
        <v>1</v>
      </c>
      <c r="L37" s="64">
        <v>0.88219999999999998</v>
      </c>
      <c r="M37" s="64">
        <v>1.86126E-3</v>
      </c>
      <c r="N37" s="64">
        <v>1.642E-3</v>
      </c>
      <c r="O37" s="64">
        <v>0</v>
      </c>
      <c r="P37" s="64">
        <v>0.16128000000000001</v>
      </c>
      <c r="Q37" s="64">
        <v>0</v>
      </c>
      <c r="R37" s="70">
        <v>12954.3</v>
      </c>
      <c r="S37" s="64"/>
      <c r="T37" s="64"/>
      <c r="U37" s="64"/>
      <c r="V37" s="64"/>
      <c r="W37" s="64"/>
      <c r="X37" s="64"/>
      <c r="Y37" s="64"/>
      <c r="Z37" s="64"/>
    </row>
    <row r="38" spans="1:26" x14ac:dyDescent="0.3">
      <c r="A38" s="68" t="s">
        <v>812</v>
      </c>
      <c r="B38" s="64" t="s">
        <v>289</v>
      </c>
      <c r="C38" s="64">
        <v>57</v>
      </c>
      <c r="D38" s="64" t="s">
        <v>8</v>
      </c>
      <c r="E38" s="64" t="s">
        <v>12</v>
      </c>
      <c r="F38" s="64" t="s">
        <v>16</v>
      </c>
      <c r="G38" s="64">
        <v>25</v>
      </c>
      <c r="H38" s="195">
        <v>1000000</v>
      </c>
      <c r="I38" s="64" t="s">
        <v>114</v>
      </c>
      <c r="J38" s="64" t="s">
        <v>28</v>
      </c>
      <c r="K38" s="64">
        <v>1</v>
      </c>
      <c r="L38" s="64">
        <v>0.75670000000000004</v>
      </c>
      <c r="M38" s="64">
        <v>4.4873100000000004E-3</v>
      </c>
      <c r="N38" s="64">
        <v>3.395E-3</v>
      </c>
      <c r="O38" s="64">
        <v>0</v>
      </c>
      <c r="P38" s="64">
        <v>0.16128000000000001</v>
      </c>
      <c r="Q38" s="64">
        <v>0</v>
      </c>
      <c r="R38" s="70">
        <v>9428.6200000000008</v>
      </c>
      <c r="S38" s="64"/>
      <c r="T38" s="64"/>
      <c r="U38" s="64"/>
      <c r="V38" s="64"/>
      <c r="W38" s="64"/>
      <c r="X38" s="64"/>
      <c r="Y38" s="64"/>
      <c r="Z38" s="64"/>
    </row>
    <row r="39" spans="1:26" x14ac:dyDescent="0.3">
      <c r="A39" s="68" t="s">
        <v>813</v>
      </c>
      <c r="B39" s="64" t="s">
        <v>288</v>
      </c>
      <c r="C39" s="64">
        <v>52</v>
      </c>
      <c r="D39" s="64" t="s">
        <v>8</v>
      </c>
      <c r="E39" s="64" t="s">
        <v>12</v>
      </c>
      <c r="F39" s="64" t="s">
        <v>16</v>
      </c>
      <c r="G39" s="64">
        <v>10</v>
      </c>
      <c r="H39" s="195">
        <v>1000000</v>
      </c>
      <c r="I39" s="64" t="s">
        <v>114</v>
      </c>
      <c r="J39" s="64" t="s">
        <v>28</v>
      </c>
      <c r="K39" s="64">
        <v>3</v>
      </c>
      <c r="L39" s="64">
        <v>0.87980000000000003</v>
      </c>
      <c r="M39" s="64">
        <v>3.0079400000000002E-3</v>
      </c>
      <c r="N39" s="64">
        <v>2.6459999999999999E-3</v>
      </c>
      <c r="O39" s="64">
        <v>0</v>
      </c>
      <c r="P39" s="64">
        <v>0.115411</v>
      </c>
      <c r="Q39" s="64">
        <v>0</v>
      </c>
      <c r="R39" s="70">
        <v>4579.3599999999997</v>
      </c>
      <c r="S39" s="64"/>
      <c r="T39" s="64"/>
      <c r="U39" s="64"/>
      <c r="V39" s="64"/>
      <c r="W39" s="64"/>
      <c r="X39" s="64"/>
      <c r="Y39" s="64"/>
      <c r="Z39" s="64"/>
    </row>
    <row r="40" spans="1:26" x14ac:dyDescent="0.3">
      <c r="A40" s="68" t="s">
        <v>814</v>
      </c>
      <c r="B40" s="64" t="s">
        <v>289</v>
      </c>
      <c r="C40" s="64">
        <v>41</v>
      </c>
      <c r="D40" s="64" t="s">
        <v>102</v>
      </c>
      <c r="E40" s="64" t="s">
        <v>12</v>
      </c>
      <c r="F40" s="64" t="s">
        <v>16</v>
      </c>
      <c r="G40" s="64">
        <v>20</v>
      </c>
      <c r="H40" s="195">
        <v>1000000</v>
      </c>
      <c r="I40" s="64" t="s">
        <v>114</v>
      </c>
      <c r="J40" s="64" t="s">
        <v>94</v>
      </c>
      <c r="K40" s="64">
        <v>6</v>
      </c>
      <c r="L40" s="64">
        <v>0.62939999999999996</v>
      </c>
      <c r="M40" s="64">
        <v>9.2217000000000004E-4</v>
      </c>
      <c r="N40" s="64">
        <v>5.8E-4</v>
      </c>
      <c r="O40" s="64">
        <v>0</v>
      </c>
      <c r="P40" s="64">
        <v>5.3684999999999997E-2</v>
      </c>
      <c r="Q40" s="64">
        <v>0</v>
      </c>
      <c r="R40" s="70">
        <v>10396.6</v>
      </c>
      <c r="S40" s="64"/>
      <c r="T40" s="64"/>
      <c r="U40" s="64"/>
      <c r="V40" s="64"/>
      <c r="W40" s="64"/>
      <c r="X40" s="64"/>
      <c r="Y40" s="64"/>
      <c r="Z40" s="64"/>
    </row>
    <row r="41" spans="1:26" x14ac:dyDescent="0.3">
      <c r="A41" s="68" t="s">
        <v>815</v>
      </c>
      <c r="B41" s="64" t="s">
        <v>288</v>
      </c>
      <c r="C41" s="64">
        <v>49</v>
      </c>
      <c r="D41" s="64" t="s">
        <v>102</v>
      </c>
      <c r="E41" s="64" t="s">
        <v>12</v>
      </c>
      <c r="F41" s="64" t="s">
        <v>106</v>
      </c>
      <c r="G41" s="64">
        <v>25</v>
      </c>
      <c r="H41" s="195">
        <v>500000</v>
      </c>
      <c r="I41" s="64" t="s">
        <v>114</v>
      </c>
      <c r="J41" s="64" t="s">
        <v>94</v>
      </c>
      <c r="K41" s="64">
        <v>1</v>
      </c>
      <c r="L41" s="64">
        <v>0.86270000000000002</v>
      </c>
      <c r="M41" s="64">
        <v>1.3990999999999999E-3</v>
      </c>
      <c r="N41" s="64">
        <v>1.207E-3</v>
      </c>
      <c r="O41" s="64">
        <v>0</v>
      </c>
      <c r="P41" s="64">
        <v>0.1792</v>
      </c>
      <c r="Q41" s="64">
        <v>0</v>
      </c>
      <c r="R41" s="70">
        <v>1580.47</v>
      </c>
      <c r="S41" s="64"/>
      <c r="T41" s="64"/>
      <c r="U41" s="64"/>
      <c r="V41" s="64"/>
      <c r="W41" s="64"/>
      <c r="X41" s="64"/>
      <c r="Y41" s="64"/>
      <c r="Z41" s="64"/>
    </row>
    <row r="42" spans="1:26" x14ac:dyDescent="0.3">
      <c r="A42" s="68" t="s">
        <v>816</v>
      </c>
      <c r="B42" s="64" t="s">
        <v>289</v>
      </c>
      <c r="C42" s="64">
        <v>62</v>
      </c>
      <c r="D42" s="64" t="s">
        <v>8</v>
      </c>
      <c r="E42" s="64" t="s">
        <v>104</v>
      </c>
      <c r="F42" s="64" t="s">
        <v>16</v>
      </c>
      <c r="G42" s="64">
        <v>25</v>
      </c>
      <c r="H42" s="195">
        <v>250000</v>
      </c>
      <c r="I42" s="64" t="s">
        <v>114</v>
      </c>
      <c r="J42" s="64" t="s">
        <v>28</v>
      </c>
      <c r="K42" s="64">
        <v>1</v>
      </c>
      <c r="L42" s="64">
        <v>0.52049999999999996</v>
      </c>
      <c r="M42" s="64">
        <v>1.1045569999999999E-2</v>
      </c>
      <c r="N42" s="64">
        <v>5.7489999999999998E-3</v>
      </c>
      <c r="O42" s="64">
        <v>0</v>
      </c>
      <c r="P42" s="64">
        <v>0.16128000000000001</v>
      </c>
      <c r="Q42" s="64">
        <v>0</v>
      </c>
      <c r="R42" s="70">
        <v>15977.12</v>
      </c>
      <c r="S42" s="64"/>
      <c r="T42" s="64"/>
      <c r="U42" s="64"/>
      <c r="V42" s="64"/>
      <c r="W42" s="64"/>
      <c r="X42" s="64"/>
      <c r="Y42" s="64"/>
      <c r="Z42" s="64"/>
    </row>
    <row r="43" spans="1:26" x14ac:dyDescent="0.3">
      <c r="A43" s="68" t="s">
        <v>817</v>
      </c>
      <c r="B43" s="64" t="s">
        <v>289</v>
      </c>
      <c r="C43" s="64">
        <v>50</v>
      </c>
      <c r="D43" s="64" t="s">
        <v>8</v>
      </c>
      <c r="E43" s="64" t="s">
        <v>12</v>
      </c>
      <c r="F43" s="64" t="s">
        <v>16</v>
      </c>
      <c r="G43" s="64">
        <v>15</v>
      </c>
      <c r="H43" s="195">
        <v>1000000</v>
      </c>
      <c r="I43" s="64" t="s">
        <v>26</v>
      </c>
      <c r="J43" s="64" t="s">
        <v>94</v>
      </c>
      <c r="K43" s="64">
        <v>7</v>
      </c>
      <c r="L43" s="64">
        <v>0.81159999999999999</v>
      </c>
      <c r="M43" s="64">
        <v>2.5631899999999999E-3</v>
      </c>
      <c r="N43" s="64">
        <v>2.0799999999999998E-3</v>
      </c>
      <c r="O43" s="64">
        <v>0</v>
      </c>
      <c r="P43" s="64">
        <v>3.3850999999999999E-2</v>
      </c>
      <c r="Q43" s="64">
        <v>0</v>
      </c>
      <c r="R43" s="70">
        <v>13912.8</v>
      </c>
      <c r="S43" s="64"/>
      <c r="T43" s="64"/>
      <c r="U43" s="64"/>
      <c r="V43" s="64"/>
      <c r="W43" s="64"/>
      <c r="X43" s="64"/>
      <c r="Y43" s="64"/>
      <c r="Z43" s="64"/>
    </row>
    <row r="44" spans="1:26" x14ac:dyDescent="0.3">
      <c r="A44" s="68" t="s">
        <v>818</v>
      </c>
      <c r="B44" s="64" t="s">
        <v>289</v>
      </c>
      <c r="C44" s="64">
        <v>28</v>
      </c>
      <c r="D44" s="64" t="s">
        <v>102</v>
      </c>
      <c r="E44" s="64" t="s">
        <v>12</v>
      </c>
      <c r="F44" s="64" t="s">
        <v>16</v>
      </c>
      <c r="G44" s="64">
        <v>15</v>
      </c>
      <c r="H44" s="195">
        <v>250000</v>
      </c>
      <c r="I44" s="64" t="s">
        <v>26</v>
      </c>
      <c r="J44" s="64" t="s">
        <v>94</v>
      </c>
      <c r="K44" s="64">
        <v>4</v>
      </c>
      <c r="L44" s="64">
        <v>0.87670000000000003</v>
      </c>
      <c r="M44" s="64">
        <v>3.2593999999999999E-4</v>
      </c>
      <c r="N44" s="64">
        <v>2.8600000000000001E-4</v>
      </c>
      <c r="O44" s="64">
        <v>0</v>
      </c>
      <c r="P44" s="64">
        <v>6.5494999999999998E-2</v>
      </c>
      <c r="Q44" s="64">
        <v>1</v>
      </c>
      <c r="R44" s="70">
        <v>11891.22</v>
      </c>
      <c r="S44" s="64"/>
      <c r="T44" s="64"/>
      <c r="U44" s="64"/>
      <c r="V44" s="64"/>
      <c r="W44" s="64"/>
      <c r="X44" s="64"/>
      <c r="Y44" s="64"/>
      <c r="Z44" s="64"/>
    </row>
    <row r="45" spans="1:26" x14ac:dyDescent="0.3">
      <c r="A45" s="68" t="s">
        <v>819</v>
      </c>
      <c r="B45" s="64" t="s">
        <v>289</v>
      </c>
      <c r="C45" s="64">
        <v>32</v>
      </c>
      <c r="D45" s="64" t="s">
        <v>8</v>
      </c>
      <c r="E45" s="64" t="s">
        <v>12</v>
      </c>
      <c r="F45" s="64" t="s">
        <v>16</v>
      </c>
      <c r="G45" s="64">
        <v>20</v>
      </c>
      <c r="H45" s="195">
        <v>500000</v>
      </c>
      <c r="I45" s="64" t="s">
        <v>26</v>
      </c>
      <c r="J45" s="64" t="s">
        <v>93</v>
      </c>
      <c r="K45" s="64">
        <v>7</v>
      </c>
      <c r="L45" s="64">
        <v>0.7077</v>
      </c>
      <c r="M45" s="64">
        <v>6.0729000000000002E-4</v>
      </c>
      <c r="N45" s="64">
        <v>4.2999999999999999E-4</v>
      </c>
      <c r="O45" s="64">
        <v>0</v>
      </c>
      <c r="P45" s="64">
        <v>3.3850999999999999E-2</v>
      </c>
      <c r="Q45" s="64">
        <v>0</v>
      </c>
      <c r="R45" s="70">
        <v>13520.04</v>
      </c>
      <c r="S45" s="64"/>
      <c r="T45" s="64"/>
      <c r="U45" s="64"/>
      <c r="V45" s="64"/>
      <c r="W45" s="64"/>
      <c r="X45" s="64"/>
      <c r="Y45" s="64"/>
      <c r="Z45" s="64"/>
    </row>
    <row r="46" spans="1:26" x14ac:dyDescent="0.3">
      <c r="A46" s="68" t="s">
        <v>820</v>
      </c>
      <c r="B46" s="64" t="s">
        <v>289</v>
      </c>
      <c r="C46" s="64">
        <v>22</v>
      </c>
      <c r="D46" s="64" t="s">
        <v>102</v>
      </c>
      <c r="E46" s="64" t="s">
        <v>12</v>
      </c>
      <c r="F46" s="64" t="s">
        <v>16</v>
      </c>
      <c r="G46" s="64">
        <v>15</v>
      </c>
      <c r="H46" s="195">
        <v>250000</v>
      </c>
      <c r="I46" s="64" t="s">
        <v>114</v>
      </c>
      <c r="J46" s="64" t="s">
        <v>94</v>
      </c>
      <c r="K46" s="64">
        <v>5</v>
      </c>
      <c r="L46" s="64">
        <v>0.91379999999999995</v>
      </c>
      <c r="M46" s="64">
        <v>2.0169E-4</v>
      </c>
      <c r="N46" s="64">
        <v>1.84E-4</v>
      </c>
      <c r="O46" s="64">
        <v>0</v>
      </c>
      <c r="P46" s="64">
        <v>6.6895999999999997E-2</v>
      </c>
      <c r="Q46" s="64">
        <v>0</v>
      </c>
      <c r="R46" s="70">
        <v>9845.56</v>
      </c>
      <c r="S46" s="64"/>
      <c r="T46" s="64"/>
      <c r="U46" s="64"/>
      <c r="V46" s="64"/>
      <c r="W46" s="64"/>
      <c r="X46" s="64"/>
      <c r="Y46" s="64"/>
      <c r="Z46" s="64"/>
    </row>
    <row r="47" spans="1:26" x14ac:dyDescent="0.3">
      <c r="A47" s="68" t="s">
        <v>821</v>
      </c>
      <c r="B47" s="64" t="s">
        <v>289</v>
      </c>
      <c r="C47" s="64">
        <v>29</v>
      </c>
      <c r="D47" s="64" t="s">
        <v>8</v>
      </c>
      <c r="E47" s="64" t="s">
        <v>12</v>
      </c>
      <c r="F47" s="64" t="s">
        <v>107</v>
      </c>
      <c r="G47" s="64">
        <v>15</v>
      </c>
      <c r="H47" s="195">
        <v>250000</v>
      </c>
      <c r="I47" s="64" t="s">
        <v>114</v>
      </c>
      <c r="J47" s="64" t="s">
        <v>28</v>
      </c>
      <c r="K47" s="64">
        <v>6</v>
      </c>
      <c r="L47" s="64">
        <v>0.60599999999999998</v>
      </c>
      <c r="M47" s="64">
        <v>7.4045000000000003E-4</v>
      </c>
      <c r="N47" s="64">
        <v>4.4900000000000002E-4</v>
      </c>
      <c r="O47" s="64">
        <v>0</v>
      </c>
      <c r="P47" s="64">
        <v>5.3684999999999997E-2</v>
      </c>
      <c r="Q47" s="64">
        <v>0</v>
      </c>
      <c r="R47" s="70">
        <v>9711.93</v>
      </c>
      <c r="S47" s="64"/>
      <c r="T47" s="64"/>
      <c r="U47" s="64"/>
      <c r="V47" s="64"/>
      <c r="W47" s="64"/>
      <c r="X47" s="64"/>
      <c r="Y47" s="64"/>
      <c r="Z47" s="64"/>
    </row>
    <row r="48" spans="1:26" x14ac:dyDescent="0.3">
      <c r="A48" s="68" t="s">
        <v>822</v>
      </c>
      <c r="B48" s="64" t="s">
        <v>288</v>
      </c>
      <c r="C48" s="64">
        <v>59</v>
      </c>
      <c r="D48" s="64" t="s">
        <v>8</v>
      </c>
      <c r="E48" s="64" t="s">
        <v>12</v>
      </c>
      <c r="F48" s="64" t="s">
        <v>16</v>
      </c>
      <c r="G48" s="64">
        <v>20</v>
      </c>
      <c r="H48" s="195">
        <v>250000</v>
      </c>
      <c r="I48" s="64" t="s">
        <v>26</v>
      </c>
      <c r="J48" s="64" t="s">
        <v>94</v>
      </c>
      <c r="K48" s="64">
        <v>5</v>
      </c>
      <c r="L48" s="64">
        <v>0.72440000000000004</v>
      </c>
      <c r="M48" s="64">
        <v>5.2659100000000004E-3</v>
      </c>
      <c r="N48" s="64">
        <v>3.8149999999999998E-3</v>
      </c>
      <c r="O48" s="64">
        <v>0</v>
      </c>
      <c r="P48" s="64">
        <v>5.8401000000000002E-2</v>
      </c>
      <c r="Q48" s="64">
        <v>0</v>
      </c>
      <c r="R48" s="70">
        <v>2170.94</v>
      </c>
      <c r="S48" s="64"/>
      <c r="T48" s="64"/>
      <c r="U48" s="64"/>
      <c r="V48" s="64"/>
      <c r="W48" s="64"/>
      <c r="X48" s="64"/>
      <c r="Y48" s="64"/>
      <c r="Z48" s="64"/>
    </row>
    <row r="49" spans="1:26" x14ac:dyDescent="0.3">
      <c r="A49" s="68" t="s">
        <v>823</v>
      </c>
      <c r="B49" s="64" t="s">
        <v>288</v>
      </c>
      <c r="C49" s="64">
        <v>58</v>
      </c>
      <c r="D49" s="64" t="s">
        <v>102</v>
      </c>
      <c r="E49" s="64" t="s">
        <v>12</v>
      </c>
      <c r="F49" s="64" t="s">
        <v>16</v>
      </c>
      <c r="G49" s="64">
        <v>10</v>
      </c>
      <c r="H49" s="195">
        <v>250000</v>
      </c>
      <c r="I49" s="64" t="s">
        <v>114</v>
      </c>
      <c r="J49" s="64" t="s">
        <v>94</v>
      </c>
      <c r="K49" s="64">
        <v>1</v>
      </c>
      <c r="L49" s="64">
        <v>0.87170000000000003</v>
      </c>
      <c r="M49" s="64">
        <v>3.5929500000000001E-3</v>
      </c>
      <c r="N49" s="64">
        <v>3.1319999999999998E-3</v>
      </c>
      <c r="O49" s="64">
        <v>0</v>
      </c>
      <c r="P49" s="64">
        <v>0.1792</v>
      </c>
      <c r="Q49" s="64">
        <v>0</v>
      </c>
      <c r="R49" s="70">
        <v>1677.42</v>
      </c>
      <c r="S49" s="64"/>
      <c r="T49" s="64"/>
      <c r="U49" s="64"/>
      <c r="V49" s="64"/>
      <c r="W49" s="64"/>
      <c r="X49" s="64"/>
      <c r="Y49" s="64"/>
      <c r="Z49" s="64"/>
    </row>
    <row r="50" spans="1:26" x14ac:dyDescent="0.3">
      <c r="A50" s="68" t="s">
        <v>824</v>
      </c>
      <c r="B50" s="64" t="s">
        <v>288</v>
      </c>
      <c r="C50" s="64">
        <v>28</v>
      </c>
      <c r="D50" s="64" t="s">
        <v>8</v>
      </c>
      <c r="E50" s="64" t="s">
        <v>12</v>
      </c>
      <c r="F50" s="64" t="s">
        <v>16</v>
      </c>
      <c r="G50" s="64">
        <v>15</v>
      </c>
      <c r="H50" s="195">
        <v>500000</v>
      </c>
      <c r="I50" s="64" t="s">
        <v>26</v>
      </c>
      <c r="J50" s="64" t="s">
        <v>28</v>
      </c>
      <c r="K50" s="64">
        <v>7</v>
      </c>
      <c r="L50" s="64">
        <v>0.70540000000000003</v>
      </c>
      <c r="M50" s="64">
        <v>4.4098E-4</v>
      </c>
      <c r="N50" s="64">
        <v>3.1100000000000002E-4</v>
      </c>
      <c r="O50" s="64">
        <v>0</v>
      </c>
      <c r="P50" s="64">
        <v>3.7613000000000001E-2</v>
      </c>
      <c r="Q50" s="64">
        <v>0</v>
      </c>
      <c r="R50" s="70">
        <v>1200</v>
      </c>
      <c r="S50" s="64"/>
      <c r="T50" s="64"/>
      <c r="U50" s="64"/>
      <c r="V50" s="64"/>
      <c r="W50" s="64"/>
      <c r="X50" s="64"/>
      <c r="Y50" s="64"/>
      <c r="Z50" s="64"/>
    </row>
    <row r="51" spans="1:26" x14ac:dyDescent="0.3">
      <c r="A51" s="68" t="s">
        <v>825</v>
      </c>
      <c r="B51" s="64" t="s">
        <v>289</v>
      </c>
      <c r="C51" s="64">
        <v>50</v>
      </c>
      <c r="D51" s="64" t="s">
        <v>8</v>
      </c>
      <c r="E51" s="64" t="s">
        <v>12</v>
      </c>
      <c r="F51" s="64" t="s">
        <v>16</v>
      </c>
      <c r="G51" s="64">
        <v>15</v>
      </c>
      <c r="H51" s="195">
        <v>500000</v>
      </c>
      <c r="I51" s="64" t="s">
        <v>114</v>
      </c>
      <c r="J51" s="64" t="s">
        <v>94</v>
      </c>
      <c r="K51" s="64">
        <v>1</v>
      </c>
      <c r="L51" s="64">
        <v>0.52980000000000005</v>
      </c>
      <c r="M51" s="64">
        <v>2.5631899999999999E-3</v>
      </c>
      <c r="N51" s="64">
        <v>1.358E-3</v>
      </c>
      <c r="O51" s="64">
        <v>0</v>
      </c>
      <c r="P51" s="64">
        <v>0.16128000000000001</v>
      </c>
      <c r="Q51" s="64">
        <v>0</v>
      </c>
      <c r="R51" s="70">
        <v>11702.21</v>
      </c>
      <c r="S51" s="64"/>
      <c r="T51" s="64"/>
      <c r="U51" s="64"/>
      <c r="V51" s="64"/>
      <c r="W51" s="64"/>
      <c r="X51" s="64"/>
      <c r="Y51" s="64"/>
      <c r="Z51" s="64"/>
    </row>
    <row r="52" spans="1:26" x14ac:dyDescent="0.3">
      <c r="A52" s="68" t="s">
        <v>826</v>
      </c>
      <c r="B52" s="64" t="s">
        <v>288</v>
      </c>
      <c r="C52" s="64">
        <v>38</v>
      </c>
      <c r="D52" s="64" t="s">
        <v>102</v>
      </c>
      <c r="E52" s="64" t="s">
        <v>12</v>
      </c>
      <c r="F52" s="64" t="s">
        <v>16</v>
      </c>
      <c r="G52" s="64">
        <v>20</v>
      </c>
      <c r="H52" s="195">
        <v>1000000</v>
      </c>
      <c r="I52" s="64" t="s">
        <v>114</v>
      </c>
      <c r="J52" s="64" t="s">
        <v>28</v>
      </c>
      <c r="K52" s="64">
        <v>4</v>
      </c>
      <c r="L52" s="64">
        <v>0.99490000000000001</v>
      </c>
      <c r="M52" s="64">
        <v>7.2539999999999996E-4</v>
      </c>
      <c r="N52" s="64">
        <v>7.2199999999999999E-4</v>
      </c>
      <c r="O52" s="64">
        <v>0</v>
      </c>
      <c r="P52" s="64">
        <v>9.2619999999999994E-2</v>
      </c>
      <c r="Q52" s="64">
        <v>0</v>
      </c>
      <c r="R52" s="70">
        <v>1885.98</v>
      </c>
      <c r="S52" s="64"/>
      <c r="T52" s="64"/>
      <c r="U52" s="64"/>
      <c r="V52" s="64"/>
      <c r="W52" s="64"/>
      <c r="X52" s="64"/>
      <c r="Y52" s="64"/>
      <c r="Z52" s="64"/>
    </row>
    <row r="53" spans="1:26" x14ac:dyDescent="0.3">
      <c r="A53" s="68" t="s">
        <v>827</v>
      </c>
      <c r="B53" s="64" t="s">
        <v>288</v>
      </c>
      <c r="C53" s="64">
        <v>29</v>
      </c>
      <c r="D53" s="64" t="s">
        <v>102</v>
      </c>
      <c r="E53" s="64" t="s">
        <v>12</v>
      </c>
      <c r="F53" s="64" t="s">
        <v>16</v>
      </c>
      <c r="G53" s="64">
        <v>25</v>
      </c>
      <c r="H53" s="195">
        <v>250000</v>
      </c>
      <c r="I53" s="64" t="s">
        <v>26</v>
      </c>
      <c r="J53" s="64" t="s">
        <v>94</v>
      </c>
      <c r="K53" s="64">
        <v>7</v>
      </c>
      <c r="L53" s="64">
        <v>0.87860000000000005</v>
      </c>
      <c r="M53" s="64">
        <v>3.5309000000000002E-4</v>
      </c>
      <c r="N53" s="64">
        <v>3.1E-4</v>
      </c>
      <c r="O53" s="64">
        <v>0</v>
      </c>
      <c r="P53" s="64">
        <v>3.7613000000000001E-2</v>
      </c>
      <c r="Q53" s="64">
        <v>0</v>
      </c>
      <c r="R53" s="70">
        <v>1200</v>
      </c>
      <c r="S53" s="64"/>
      <c r="T53" s="64"/>
      <c r="U53" s="64"/>
      <c r="V53" s="64"/>
      <c r="W53" s="64"/>
      <c r="X53" s="64"/>
      <c r="Y53" s="64"/>
      <c r="Z53" s="64"/>
    </row>
    <row r="54" spans="1:26" x14ac:dyDescent="0.3">
      <c r="A54" s="68" t="s">
        <v>828</v>
      </c>
      <c r="B54" s="64" t="s">
        <v>288</v>
      </c>
      <c r="C54" s="64">
        <v>23</v>
      </c>
      <c r="D54" s="64" t="s">
        <v>8</v>
      </c>
      <c r="E54" s="64" t="s">
        <v>12</v>
      </c>
      <c r="F54" s="64" t="s">
        <v>16</v>
      </c>
      <c r="G54" s="64">
        <v>15</v>
      </c>
      <c r="H54" s="195">
        <v>250000</v>
      </c>
      <c r="I54" s="64" t="s">
        <v>26</v>
      </c>
      <c r="J54" s="64" t="s">
        <v>94</v>
      </c>
      <c r="K54" s="64">
        <v>6</v>
      </c>
      <c r="L54" s="64">
        <v>0.64019999999999999</v>
      </c>
      <c r="M54" s="64">
        <v>2.9559999999999998E-4</v>
      </c>
      <c r="N54" s="64">
        <v>1.8900000000000001E-4</v>
      </c>
      <c r="O54" s="64">
        <v>0</v>
      </c>
      <c r="P54" s="64">
        <v>4.6868E-2</v>
      </c>
      <c r="Q54" s="64">
        <v>0</v>
      </c>
      <c r="R54" s="70">
        <v>1200</v>
      </c>
      <c r="S54" s="64"/>
      <c r="T54" s="64"/>
      <c r="U54" s="64"/>
      <c r="V54" s="64"/>
      <c r="W54" s="64"/>
      <c r="X54" s="64"/>
      <c r="Y54" s="64"/>
      <c r="Z54" s="64"/>
    </row>
    <row r="55" spans="1:26" x14ac:dyDescent="0.3">
      <c r="A55" s="68" t="s">
        <v>829</v>
      </c>
      <c r="B55" s="64" t="s">
        <v>288</v>
      </c>
      <c r="C55" s="64">
        <v>48</v>
      </c>
      <c r="D55" s="64" t="s">
        <v>8</v>
      </c>
      <c r="E55" s="64" t="s">
        <v>104</v>
      </c>
      <c r="F55" s="64" t="s">
        <v>107</v>
      </c>
      <c r="G55" s="64">
        <v>15</v>
      </c>
      <c r="H55" s="195">
        <v>1000000</v>
      </c>
      <c r="I55" s="64" t="s">
        <v>114</v>
      </c>
      <c r="J55" s="64" t="s">
        <v>28</v>
      </c>
      <c r="K55" s="64">
        <v>4</v>
      </c>
      <c r="L55" s="64">
        <v>0.72550000000000003</v>
      </c>
      <c r="M55" s="64">
        <v>5.58612E-3</v>
      </c>
      <c r="N55" s="64">
        <v>4.0530000000000002E-3</v>
      </c>
      <c r="O55" s="64">
        <v>0</v>
      </c>
      <c r="P55" s="64">
        <v>9.2619999999999994E-2</v>
      </c>
      <c r="Q55" s="64">
        <v>0</v>
      </c>
      <c r="R55" s="70">
        <v>7621.62</v>
      </c>
      <c r="S55" s="64"/>
      <c r="T55" s="64"/>
      <c r="U55" s="64"/>
      <c r="V55" s="64"/>
      <c r="W55" s="64"/>
      <c r="X55" s="64"/>
      <c r="Y55" s="64"/>
      <c r="Z55" s="64"/>
    </row>
    <row r="56" spans="1:26" x14ac:dyDescent="0.3">
      <c r="A56" s="68" t="s">
        <v>830</v>
      </c>
      <c r="B56" s="64" t="s">
        <v>288</v>
      </c>
      <c r="C56" s="64">
        <v>50</v>
      </c>
      <c r="D56" s="64" t="s">
        <v>102</v>
      </c>
      <c r="E56" s="64" t="s">
        <v>12</v>
      </c>
      <c r="F56" s="64" t="s">
        <v>16</v>
      </c>
      <c r="G56" s="64">
        <v>20</v>
      </c>
      <c r="H56" s="195">
        <v>1000000</v>
      </c>
      <c r="I56" s="64" t="s">
        <v>26</v>
      </c>
      <c r="J56" s="64" t="s">
        <v>28</v>
      </c>
      <c r="K56" s="64">
        <v>2</v>
      </c>
      <c r="L56" s="64">
        <v>0.97889999999999999</v>
      </c>
      <c r="M56" s="64">
        <v>1.89453E-3</v>
      </c>
      <c r="N56" s="64">
        <v>1.854E-3</v>
      </c>
      <c r="O56" s="64">
        <v>0</v>
      </c>
      <c r="P56" s="64">
        <v>0.112995</v>
      </c>
      <c r="Q56" s="64">
        <v>0</v>
      </c>
      <c r="R56" s="70">
        <v>3265.55</v>
      </c>
      <c r="S56" s="64"/>
      <c r="T56" s="64"/>
      <c r="U56" s="64"/>
      <c r="V56" s="64"/>
      <c r="W56" s="64"/>
      <c r="X56" s="64"/>
      <c r="Y56" s="64"/>
      <c r="Z56" s="64"/>
    </row>
    <row r="57" spans="1:26" x14ac:dyDescent="0.3">
      <c r="A57" s="68" t="s">
        <v>831</v>
      </c>
      <c r="B57" s="64" t="s">
        <v>288</v>
      </c>
      <c r="C57" s="64">
        <v>37</v>
      </c>
      <c r="D57" s="64" t="s">
        <v>102</v>
      </c>
      <c r="E57" s="64" t="s">
        <v>12</v>
      </c>
      <c r="F57" s="64" t="s">
        <v>16</v>
      </c>
      <c r="G57" s="64">
        <v>20</v>
      </c>
      <c r="H57" s="195">
        <v>250000</v>
      </c>
      <c r="I57" s="64" t="s">
        <v>26</v>
      </c>
      <c r="J57" s="64" t="s">
        <v>94</v>
      </c>
      <c r="K57" s="64">
        <v>2</v>
      </c>
      <c r="L57" s="64">
        <v>0.81379999999999997</v>
      </c>
      <c r="M57" s="64">
        <v>6.6963000000000005E-4</v>
      </c>
      <c r="N57" s="64">
        <v>5.4500000000000002E-4</v>
      </c>
      <c r="O57" s="64">
        <v>0</v>
      </c>
      <c r="P57" s="64">
        <v>0.112995</v>
      </c>
      <c r="Q57" s="64">
        <v>0</v>
      </c>
      <c r="R57" s="70">
        <v>1200</v>
      </c>
      <c r="S57" s="64"/>
      <c r="T57" s="64"/>
      <c r="U57" s="64"/>
      <c r="V57" s="64"/>
      <c r="W57" s="64"/>
      <c r="X57" s="64"/>
      <c r="Y57" s="64"/>
      <c r="Z57" s="64"/>
    </row>
    <row r="58" spans="1:26" x14ac:dyDescent="0.3">
      <c r="A58" s="68" t="s">
        <v>832</v>
      </c>
      <c r="B58" s="64" t="s">
        <v>288</v>
      </c>
      <c r="C58" s="64">
        <v>53</v>
      </c>
      <c r="D58" s="64" t="s">
        <v>8</v>
      </c>
      <c r="E58" s="64" t="s">
        <v>12</v>
      </c>
      <c r="F58" s="64" t="s">
        <v>16</v>
      </c>
      <c r="G58" s="64">
        <v>20</v>
      </c>
      <c r="H58" s="195">
        <v>1000000</v>
      </c>
      <c r="I58" s="64" t="s">
        <v>26</v>
      </c>
      <c r="J58" s="64" t="s">
        <v>28</v>
      </c>
      <c r="K58" s="64">
        <v>1</v>
      </c>
      <c r="L58" s="64">
        <v>0.55579999999999996</v>
      </c>
      <c r="M58" s="64">
        <v>3.2584599999999999E-3</v>
      </c>
      <c r="N58" s="64">
        <v>1.8109999999999999E-3</v>
      </c>
      <c r="O58" s="64">
        <v>0</v>
      </c>
      <c r="P58" s="64">
        <v>0.14080000000000001</v>
      </c>
      <c r="Q58" s="64">
        <v>0</v>
      </c>
      <c r="R58" s="70">
        <v>4874.9799999999996</v>
      </c>
      <c r="S58" s="64"/>
      <c r="T58" s="64"/>
      <c r="U58" s="64"/>
      <c r="V58" s="64"/>
      <c r="W58" s="64"/>
      <c r="X58" s="64"/>
      <c r="Y58" s="64"/>
      <c r="Z58" s="64"/>
    </row>
    <row r="59" spans="1:26" x14ac:dyDescent="0.3">
      <c r="A59" s="68" t="s">
        <v>833</v>
      </c>
      <c r="B59" s="64" t="s">
        <v>288</v>
      </c>
      <c r="C59" s="64">
        <v>51</v>
      </c>
      <c r="D59" s="64" t="s">
        <v>8</v>
      </c>
      <c r="E59" s="64" t="s">
        <v>12</v>
      </c>
      <c r="F59" s="64" t="s">
        <v>16</v>
      </c>
      <c r="G59" s="64">
        <v>10</v>
      </c>
      <c r="H59" s="195">
        <v>500000</v>
      </c>
      <c r="I59" s="64" t="s">
        <v>114</v>
      </c>
      <c r="J59" s="64" t="s">
        <v>93</v>
      </c>
      <c r="K59" s="64">
        <v>4</v>
      </c>
      <c r="L59" s="64">
        <v>0.62290000000000001</v>
      </c>
      <c r="M59" s="64">
        <v>2.7766800000000001E-3</v>
      </c>
      <c r="N59" s="64">
        <v>1.73E-3</v>
      </c>
      <c r="O59" s="64">
        <v>0</v>
      </c>
      <c r="P59" s="64">
        <v>9.2619999999999994E-2</v>
      </c>
      <c r="Q59" s="64">
        <v>0</v>
      </c>
      <c r="R59" s="70">
        <v>2393.2399999999998</v>
      </c>
      <c r="S59" s="64"/>
      <c r="T59" s="64"/>
      <c r="U59" s="64"/>
      <c r="V59" s="64"/>
      <c r="W59" s="64"/>
      <c r="X59" s="64"/>
      <c r="Y59" s="64"/>
      <c r="Z59" s="64"/>
    </row>
    <row r="60" spans="1:26" x14ac:dyDescent="0.3">
      <c r="A60" s="68" t="s">
        <v>834</v>
      </c>
      <c r="B60" s="64" t="s">
        <v>288</v>
      </c>
      <c r="C60" s="64">
        <v>60</v>
      </c>
      <c r="D60" s="64" t="s">
        <v>102</v>
      </c>
      <c r="E60" s="64" t="s">
        <v>12</v>
      </c>
      <c r="F60" s="64" t="s">
        <v>16</v>
      </c>
      <c r="G60" s="64">
        <v>15</v>
      </c>
      <c r="H60" s="195">
        <v>500000</v>
      </c>
      <c r="I60" s="64" t="s">
        <v>114</v>
      </c>
      <c r="J60" s="64" t="s">
        <v>28</v>
      </c>
      <c r="K60" s="64">
        <v>6</v>
      </c>
      <c r="L60" s="64">
        <v>0.71760000000000002</v>
      </c>
      <c r="M60" s="64">
        <v>4.2163599999999997E-3</v>
      </c>
      <c r="N60" s="64">
        <v>3.026E-3</v>
      </c>
      <c r="O60" s="64">
        <v>0</v>
      </c>
      <c r="P60" s="64">
        <v>5.9650000000000002E-2</v>
      </c>
      <c r="Q60" s="64">
        <v>0</v>
      </c>
      <c r="R60" s="70">
        <v>3242.66</v>
      </c>
      <c r="S60" s="64"/>
      <c r="T60" s="64"/>
      <c r="U60" s="64"/>
      <c r="V60" s="64"/>
      <c r="W60" s="64"/>
      <c r="X60" s="64"/>
      <c r="Y60" s="64"/>
      <c r="Z60" s="64"/>
    </row>
    <row r="61" spans="1:26" x14ac:dyDescent="0.3">
      <c r="A61" s="91" t="s">
        <v>835</v>
      </c>
      <c r="B61" s="26" t="s">
        <v>288</v>
      </c>
      <c r="C61" s="26">
        <v>60</v>
      </c>
      <c r="D61" s="26" t="s">
        <v>8</v>
      </c>
      <c r="E61" s="26" t="s">
        <v>104</v>
      </c>
      <c r="F61" s="26" t="s">
        <v>16</v>
      </c>
      <c r="G61" s="26">
        <v>10</v>
      </c>
      <c r="H61" s="341">
        <v>500000</v>
      </c>
      <c r="I61" s="26" t="s">
        <v>114</v>
      </c>
      <c r="J61" s="26" t="s">
        <v>28</v>
      </c>
      <c r="K61" s="26">
        <v>5</v>
      </c>
      <c r="L61" s="26">
        <v>0.76359999999999995</v>
      </c>
      <c r="M61" s="26">
        <v>9.4124099999999995E-3</v>
      </c>
      <c r="N61" s="26">
        <v>7.1869999999999998E-3</v>
      </c>
      <c r="O61" s="26">
        <v>0</v>
      </c>
      <c r="P61" s="26">
        <v>7.4329000000000006E-2</v>
      </c>
      <c r="Q61" s="26">
        <v>0</v>
      </c>
      <c r="R61" s="103">
        <v>6308.32</v>
      </c>
      <c r="S61" s="26"/>
      <c r="T61" s="26"/>
      <c r="U61" s="26"/>
      <c r="V61" s="26"/>
      <c r="W61" s="26"/>
      <c r="X61" s="26"/>
      <c r="Y61" s="26"/>
      <c r="Z61" s="26"/>
    </row>
    <row r="62" spans="1:26" x14ac:dyDescent="0.3">
      <c r="A62" s="91" t="s">
        <v>836</v>
      </c>
      <c r="B62" s="26" t="s">
        <v>288</v>
      </c>
      <c r="C62" s="26">
        <v>27</v>
      </c>
      <c r="D62" s="26" t="s">
        <v>8</v>
      </c>
      <c r="E62" s="26" t="s">
        <v>104</v>
      </c>
      <c r="F62" s="26" t="s">
        <v>16</v>
      </c>
      <c r="G62" s="26">
        <v>10</v>
      </c>
      <c r="H62" s="341">
        <v>500000</v>
      </c>
      <c r="I62" s="26" t="s">
        <v>26</v>
      </c>
      <c r="J62" s="26" t="s">
        <v>28</v>
      </c>
      <c r="K62" s="26">
        <v>2</v>
      </c>
      <c r="L62" s="26">
        <v>0.81079999999999997</v>
      </c>
      <c r="M62" s="26">
        <v>6.7168000000000002E-4</v>
      </c>
      <c r="N62" s="26">
        <v>5.4500000000000002E-4</v>
      </c>
      <c r="O62" s="26">
        <v>0</v>
      </c>
      <c r="P62" s="26">
        <v>0.112995</v>
      </c>
      <c r="Q62" s="26">
        <v>1</v>
      </c>
      <c r="R62" s="103">
        <v>1200</v>
      </c>
      <c r="S62" s="26"/>
      <c r="T62" s="26"/>
      <c r="U62" s="26"/>
      <c r="V62" s="26"/>
      <c r="W62" s="26"/>
      <c r="X62" s="26"/>
      <c r="Y62" s="26"/>
      <c r="Z62" s="26"/>
    </row>
    <row r="63" spans="1:26" x14ac:dyDescent="0.3">
      <c r="A63" s="91" t="s">
        <v>837</v>
      </c>
      <c r="B63" s="26" t="s">
        <v>288</v>
      </c>
      <c r="C63" s="26">
        <v>35</v>
      </c>
      <c r="D63" s="26" t="s">
        <v>8</v>
      </c>
      <c r="E63" s="26" t="s">
        <v>12</v>
      </c>
      <c r="F63" s="26" t="s">
        <v>16</v>
      </c>
      <c r="G63" s="26">
        <v>25</v>
      </c>
      <c r="H63" s="341">
        <v>250000</v>
      </c>
      <c r="I63" s="26" t="s">
        <v>26</v>
      </c>
      <c r="J63" s="26" t="s">
        <v>93</v>
      </c>
      <c r="K63" s="26">
        <v>2</v>
      </c>
      <c r="L63" s="26">
        <v>0.56950000000000001</v>
      </c>
      <c r="M63" s="26">
        <v>7.7202E-4</v>
      </c>
      <c r="N63" s="26">
        <v>4.4000000000000002E-4</v>
      </c>
      <c r="O63" s="26">
        <v>0</v>
      </c>
      <c r="P63" s="26">
        <v>0.112995</v>
      </c>
      <c r="Q63" s="26">
        <v>0</v>
      </c>
      <c r="R63" s="103">
        <v>1200</v>
      </c>
      <c r="S63" s="26"/>
      <c r="T63" s="26"/>
      <c r="U63" s="26"/>
      <c r="V63" s="26"/>
      <c r="W63" s="26"/>
      <c r="X63" s="26"/>
      <c r="Y63" s="26"/>
      <c r="Z63" s="26"/>
    </row>
    <row r="64" spans="1:26" x14ac:dyDescent="0.3">
      <c r="A64" s="91" t="s">
        <v>838</v>
      </c>
      <c r="B64" s="26" t="s">
        <v>288</v>
      </c>
      <c r="C64" s="26">
        <v>39</v>
      </c>
      <c r="D64" s="26" t="s">
        <v>8</v>
      </c>
      <c r="E64" s="26" t="s">
        <v>104</v>
      </c>
      <c r="F64" s="26" t="s">
        <v>16</v>
      </c>
      <c r="G64" s="26">
        <v>15</v>
      </c>
      <c r="H64" s="341">
        <v>500000</v>
      </c>
      <c r="I64" s="26" t="s">
        <v>114</v>
      </c>
      <c r="J64" s="26" t="s">
        <v>94</v>
      </c>
      <c r="K64" s="26">
        <v>7</v>
      </c>
      <c r="L64" s="26">
        <v>0.97219999999999995</v>
      </c>
      <c r="M64" s="26">
        <v>1.7542300000000001E-3</v>
      </c>
      <c r="N64" s="26">
        <v>1.7049999999999999E-3</v>
      </c>
      <c r="O64" s="26">
        <v>0</v>
      </c>
      <c r="P64" s="26">
        <v>4.7870999999999997E-2</v>
      </c>
      <c r="Q64" s="26">
        <v>0</v>
      </c>
      <c r="R64" s="103">
        <v>1790</v>
      </c>
      <c r="S64" s="26"/>
      <c r="T64" s="26"/>
      <c r="U64" s="26"/>
      <c r="V64" s="26"/>
      <c r="W64" s="26"/>
      <c r="X64" s="26"/>
      <c r="Y64" s="26"/>
      <c r="Z64" s="26"/>
    </row>
    <row r="65" spans="1:26" x14ac:dyDescent="0.3">
      <c r="A65" s="91" t="s">
        <v>839</v>
      </c>
      <c r="B65" s="26" t="s">
        <v>288</v>
      </c>
      <c r="C65" s="26">
        <v>33</v>
      </c>
      <c r="D65" s="26" t="s">
        <v>8</v>
      </c>
      <c r="E65" s="26" t="s">
        <v>12</v>
      </c>
      <c r="F65" s="26" t="s">
        <v>16</v>
      </c>
      <c r="G65" s="26">
        <v>15</v>
      </c>
      <c r="H65" s="341">
        <v>250000</v>
      </c>
      <c r="I65" s="26" t="s">
        <v>114</v>
      </c>
      <c r="J65" s="26" t="s">
        <v>28</v>
      </c>
      <c r="K65" s="26">
        <v>3</v>
      </c>
      <c r="L65" s="26">
        <v>0.94399999999999995</v>
      </c>
      <c r="M65" s="26">
        <v>6.5786999999999996E-4</v>
      </c>
      <c r="N65" s="26">
        <v>6.2100000000000002E-4</v>
      </c>
      <c r="O65" s="26">
        <v>0</v>
      </c>
      <c r="P65" s="26">
        <v>0.115411</v>
      </c>
      <c r="Q65" s="26">
        <v>0</v>
      </c>
      <c r="R65" s="103">
        <v>1200</v>
      </c>
      <c r="S65" s="26"/>
      <c r="T65" s="26"/>
      <c r="U65" s="26"/>
      <c r="V65" s="26"/>
      <c r="W65" s="26"/>
      <c r="X65" s="26"/>
      <c r="Y65" s="26"/>
      <c r="Z65" s="26"/>
    </row>
    <row r="66" spans="1:26" x14ac:dyDescent="0.3">
      <c r="A66" s="91" t="s">
        <v>840</v>
      </c>
      <c r="B66" s="26" t="s">
        <v>289</v>
      </c>
      <c r="C66" s="26">
        <v>49</v>
      </c>
      <c r="D66" s="26" t="s">
        <v>102</v>
      </c>
      <c r="E66" s="26" t="s">
        <v>12</v>
      </c>
      <c r="F66" s="26" t="s">
        <v>106</v>
      </c>
      <c r="G66" s="26">
        <v>15</v>
      </c>
      <c r="H66" s="341">
        <v>500000</v>
      </c>
      <c r="I66" s="26" t="s">
        <v>114</v>
      </c>
      <c r="J66" s="26" t="s">
        <v>28</v>
      </c>
      <c r="K66" s="26">
        <v>3</v>
      </c>
      <c r="L66" s="26">
        <v>0.65349999999999997</v>
      </c>
      <c r="M66" s="26">
        <v>1.3990999999999999E-3</v>
      </c>
      <c r="N66" s="26">
        <v>9.1399999999999999E-4</v>
      </c>
      <c r="O66" s="26">
        <v>0</v>
      </c>
      <c r="P66" s="26">
        <v>0.10387</v>
      </c>
      <c r="Q66" s="26">
        <v>0</v>
      </c>
      <c r="R66" s="103">
        <v>13215.57</v>
      </c>
      <c r="S66" s="26"/>
      <c r="T66" s="26"/>
      <c r="U66" s="26"/>
      <c r="V66" s="26"/>
      <c r="W66" s="26"/>
      <c r="X66" s="26"/>
      <c r="Y66" s="26"/>
      <c r="Z66" s="26"/>
    </row>
    <row r="67" spans="1:26" x14ac:dyDescent="0.3">
      <c r="A67" s="91" t="s">
        <v>841</v>
      </c>
      <c r="B67" s="26" t="s">
        <v>288</v>
      </c>
      <c r="C67" s="26">
        <v>60</v>
      </c>
      <c r="D67" s="26" t="s">
        <v>102</v>
      </c>
      <c r="E67" s="26" t="s">
        <v>12</v>
      </c>
      <c r="F67" s="26" t="s">
        <v>106</v>
      </c>
      <c r="G67" s="26">
        <v>25</v>
      </c>
      <c r="H67" s="341">
        <v>500000</v>
      </c>
      <c r="I67" s="26" t="s">
        <v>26</v>
      </c>
      <c r="J67" s="26" t="s">
        <v>94</v>
      </c>
      <c r="K67" s="26">
        <v>2</v>
      </c>
      <c r="L67" s="26">
        <v>0.92169999999999996</v>
      </c>
      <c r="M67" s="26">
        <v>3.37309E-3</v>
      </c>
      <c r="N67" s="26">
        <v>3.1089999999999998E-3</v>
      </c>
      <c r="O67" s="26">
        <v>0</v>
      </c>
      <c r="P67" s="26">
        <v>0.112995</v>
      </c>
      <c r="Q67" s="26">
        <v>0</v>
      </c>
      <c r="R67" s="103">
        <v>2745.12</v>
      </c>
      <c r="S67" s="26"/>
      <c r="T67" s="26"/>
      <c r="U67" s="26"/>
      <c r="V67" s="26"/>
      <c r="W67" s="26"/>
      <c r="X67" s="26"/>
      <c r="Y67" s="26"/>
      <c r="Z67" s="26"/>
    </row>
    <row r="68" spans="1:26" x14ac:dyDescent="0.3">
      <c r="A68" s="91" t="s">
        <v>842</v>
      </c>
      <c r="B68" s="26" t="s">
        <v>288</v>
      </c>
      <c r="C68" s="26">
        <v>63</v>
      </c>
      <c r="D68" s="26" t="s">
        <v>102</v>
      </c>
      <c r="E68" s="26" t="s">
        <v>104</v>
      </c>
      <c r="F68" s="26" t="s">
        <v>16</v>
      </c>
      <c r="G68" s="26">
        <v>15</v>
      </c>
      <c r="H68" s="341">
        <v>1000000</v>
      </c>
      <c r="I68" s="26" t="s">
        <v>114</v>
      </c>
      <c r="J68" s="26" t="s">
        <v>94</v>
      </c>
      <c r="K68" s="26">
        <v>5</v>
      </c>
      <c r="L68" s="26">
        <v>0.95109999999999995</v>
      </c>
      <c r="M68" s="26">
        <v>8.8440800000000007E-3</v>
      </c>
      <c r="N68" s="26">
        <v>8.4119999999999993E-3</v>
      </c>
      <c r="O68" s="26">
        <v>0</v>
      </c>
      <c r="P68" s="26">
        <v>7.4329000000000006E-2</v>
      </c>
      <c r="Q68" s="26">
        <v>0</v>
      </c>
      <c r="R68" s="103">
        <v>11466.02</v>
      </c>
      <c r="S68" s="26"/>
      <c r="T68" s="26"/>
      <c r="U68" s="26"/>
      <c r="V68" s="26"/>
      <c r="W68" s="26"/>
      <c r="X68" s="26"/>
      <c r="Y68" s="26"/>
      <c r="Z68" s="26"/>
    </row>
    <row r="69" spans="1:26" x14ac:dyDescent="0.3">
      <c r="A69" s="91" t="s">
        <v>843</v>
      </c>
      <c r="B69" s="26" t="s">
        <v>289</v>
      </c>
      <c r="C69" s="26">
        <v>32</v>
      </c>
      <c r="D69" s="26" t="s">
        <v>8</v>
      </c>
      <c r="E69" s="26" t="s">
        <v>104</v>
      </c>
      <c r="F69" s="26" t="s">
        <v>16</v>
      </c>
      <c r="G69" s="26">
        <v>20</v>
      </c>
      <c r="H69" s="341">
        <v>1000000</v>
      </c>
      <c r="I69" s="26" t="s">
        <v>114</v>
      </c>
      <c r="J69" s="26" t="s">
        <v>93</v>
      </c>
      <c r="K69" s="26">
        <v>1</v>
      </c>
      <c r="L69" s="26">
        <v>0.52780000000000005</v>
      </c>
      <c r="M69" s="26">
        <v>1.0020300000000001E-3</v>
      </c>
      <c r="N69" s="26">
        <v>5.2899999999999996E-4</v>
      </c>
      <c r="O69" s="26">
        <v>0</v>
      </c>
      <c r="P69" s="26">
        <v>0.16128000000000001</v>
      </c>
      <c r="Q69" s="26">
        <v>0</v>
      </c>
      <c r="R69" s="103">
        <v>17341.89</v>
      </c>
      <c r="S69" s="26"/>
      <c r="T69" s="26"/>
      <c r="U69" s="26"/>
      <c r="V69" s="26"/>
      <c r="W69" s="26"/>
      <c r="X69" s="26"/>
      <c r="Y69" s="26"/>
      <c r="Z69" s="26"/>
    </row>
    <row r="70" spans="1:26" x14ac:dyDescent="0.3">
      <c r="A70" s="91" t="s">
        <v>844</v>
      </c>
      <c r="B70" s="26" t="s">
        <v>288</v>
      </c>
      <c r="C70" s="26">
        <v>54</v>
      </c>
      <c r="D70" s="26" t="s">
        <v>102</v>
      </c>
      <c r="E70" s="26" t="s">
        <v>104</v>
      </c>
      <c r="F70" s="26" t="s">
        <v>16</v>
      </c>
      <c r="G70" s="26">
        <v>20</v>
      </c>
      <c r="H70" s="341">
        <v>500000</v>
      </c>
      <c r="I70" s="26" t="s">
        <v>26</v>
      </c>
      <c r="J70" s="26" t="s">
        <v>93</v>
      </c>
      <c r="K70" s="26">
        <v>1</v>
      </c>
      <c r="L70" s="26">
        <v>0.55730000000000002</v>
      </c>
      <c r="M70" s="26">
        <v>4.3048799999999996E-3</v>
      </c>
      <c r="N70" s="26">
        <v>2.3990000000000001E-3</v>
      </c>
      <c r="O70" s="26">
        <v>0</v>
      </c>
      <c r="P70" s="26">
        <v>0.14080000000000001</v>
      </c>
      <c r="Q70" s="26">
        <v>0</v>
      </c>
      <c r="R70" s="103">
        <v>3294.88</v>
      </c>
      <c r="S70" s="26"/>
      <c r="T70" s="26"/>
      <c r="U70" s="26"/>
      <c r="V70" s="26"/>
      <c r="W70" s="26"/>
      <c r="X70" s="26"/>
      <c r="Y70" s="26"/>
      <c r="Z70" s="26"/>
    </row>
    <row r="71" spans="1:26" x14ac:dyDescent="0.3">
      <c r="A71" s="91" t="s">
        <v>845</v>
      </c>
      <c r="B71" s="26" t="s">
        <v>288</v>
      </c>
      <c r="C71" s="26">
        <v>45</v>
      </c>
      <c r="D71" s="26" t="s">
        <v>102</v>
      </c>
      <c r="E71" s="26" t="s">
        <v>12</v>
      </c>
      <c r="F71" s="26" t="s">
        <v>16</v>
      </c>
      <c r="G71" s="26">
        <v>20</v>
      </c>
      <c r="H71" s="341">
        <v>250000</v>
      </c>
      <c r="I71" s="26" t="s">
        <v>26</v>
      </c>
      <c r="J71" s="26" t="s">
        <v>93</v>
      </c>
      <c r="K71" s="26">
        <v>6</v>
      </c>
      <c r="L71" s="26">
        <v>0.99129999999999996</v>
      </c>
      <c r="M71" s="26">
        <v>1.26994E-3</v>
      </c>
      <c r="N71" s="26">
        <v>1.2589999999999999E-3</v>
      </c>
      <c r="O71" s="26">
        <v>0</v>
      </c>
      <c r="P71" s="26">
        <v>4.6868E-2</v>
      </c>
      <c r="Q71" s="26">
        <v>0</v>
      </c>
      <c r="R71" s="103">
        <v>1200</v>
      </c>
      <c r="S71" s="26"/>
      <c r="T71" s="26"/>
      <c r="U71" s="26"/>
      <c r="V71" s="26"/>
      <c r="W71" s="26"/>
      <c r="X71" s="26"/>
      <c r="Y71" s="26"/>
      <c r="Z71" s="26"/>
    </row>
    <row r="72" spans="1:26" x14ac:dyDescent="0.3">
      <c r="A72" s="91" t="s">
        <v>846</v>
      </c>
      <c r="B72" s="26" t="s">
        <v>288</v>
      </c>
      <c r="C72" s="26">
        <v>62</v>
      </c>
      <c r="D72" s="26" t="s">
        <v>8</v>
      </c>
      <c r="E72" s="26" t="s">
        <v>12</v>
      </c>
      <c r="F72" s="26" t="s">
        <v>106</v>
      </c>
      <c r="G72" s="26">
        <v>10</v>
      </c>
      <c r="H72" s="341">
        <v>500000</v>
      </c>
      <c r="I72" s="26" t="s">
        <v>26</v>
      </c>
      <c r="J72" s="26" t="s">
        <v>94</v>
      </c>
      <c r="K72" s="26">
        <v>7</v>
      </c>
      <c r="L72" s="26">
        <v>0.93459999999999999</v>
      </c>
      <c r="M72" s="26">
        <v>5.3554300000000004E-3</v>
      </c>
      <c r="N72" s="26">
        <v>5.0049999999999999E-3</v>
      </c>
      <c r="O72" s="26">
        <v>0</v>
      </c>
      <c r="P72" s="26">
        <v>3.7613000000000001E-2</v>
      </c>
      <c r="Q72" s="26">
        <v>0</v>
      </c>
      <c r="R72" s="103">
        <v>3914.7</v>
      </c>
      <c r="S72" s="26"/>
      <c r="T72" s="26"/>
      <c r="U72" s="26"/>
      <c r="V72" s="26"/>
      <c r="W72" s="26"/>
      <c r="X72" s="26"/>
      <c r="Y72" s="26"/>
      <c r="Z72" s="26"/>
    </row>
    <row r="73" spans="1:26" x14ac:dyDescent="0.3">
      <c r="A73" s="91" t="s">
        <v>847</v>
      </c>
      <c r="B73" s="26" t="s">
        <v>288</v>
      </c>
      <c r="C73" s="26">
        <v>43</v>
      </c>
      <c r="D73" s="26" t="s">
        <v>102</v>
      </c>
      <c r="E73" s="26" t="s">
        <v>12</v>
      </c>
      <c r="F73" s="26" t="s">
        <v>107</v>
      </c>
      <c r="G73" s="26">
        <v>15</v>
      </c>
      <c r="H73" s="341">
        <v>1000000</v>
      </c>
      <c r="I73" s="26" t="s">
        <v>26</v>
      </c>
      <c r="J73" s="26" t="s">
        <v>93</v>
      </c>
      <c r="K73" s="26">
        <v>7</v>
      </c>
      <c r="L73" s="26">
        <v>0.75309999999999999</v>
      </c>
      <c r="M73" s="26">
        <v>1.6773700000000001E-3</v>
      </c>
      <c r="N73" s="26">
        <v>1.263E-3</v>
      </c>
      <c r="O73" s="26">
        <v>0</v>
      </c>
      <c r="P73" s="26">
        <v>3.7613000000000001E-2</v>
      </c>
      <c r="Q73" s="26">
        <v>0</v>
      </c>
      <c r="R73" s="103">
        <v>3009.3</v>
      </c>
      <c r="S73" s="26"/>
      <c r="T73" s="26"/>
      <c r="U73" s="26"/>
      <c r="V73" s="26"/>
      <c r="W73" s="26"/>
      <c r="X73" s="26"/>
      <c r="Y73" s="26"/>
      <c r="Z73" s="26"/>
    </row>
    <row r="74" spans="1:26" x14ac:dyDescent="0.3">
      <c r="A74" s="91" t="s">
        <v>848</v>
      </c>
      <c r="B74" s="26" t="s">
        <v>289</v>
      </c>
      <c r="C74" s="26">
        <v>31</v>
      </c>
      <c r="D74" s="26" t="s">
        <v>8</v>
      </c>
      <c r="E74" s="26" t="s">
        <v>12</v>
      </c>
      <c r="F74" s="26" t="s">
        <v>16</v>
      </c>
      <c r="G74" s="26">
        <v>25</v>
      </c>
      <c r="H74" s="341">
        <v>1000000</v>
      </c>
      <c r="I74" s="26" t="s">
        <v>114</v>
      </c>
      <c r="J74" s="26" t="s">
        <v>28</v>
      </c>
      <c r="K74" s="26">
        <v>5</v>
      </c>
      <c r="L74" s="26">
        <v>0.57320000000000004</v>
      </c>
      <c r="M74" s="26">
        <v>5.6059999999999997E-4</v>
      </c>
      <c r="N74" s="26">
        <v>3.21E-4</v>
      </c>
      <c r="O74" s="26">
        <v>0</v>
      </c>
      <c r="P74" s="26">
        <v>6.6895999999999997E-2</v>
      </c>
      <c r="Q74" s="26">
        <v>0</v>
      </c>
      <c r="R74" s="103">
        <v>13862.96</v>
      </c>
      <c r="S74" s="26"/>
      <c r="T74" s="26"/>
      <c r="U74" s="26"/>
      <c r="V74" s="26"/>
      <c r="W74" s="26"/>
      <c r="X74" s="26"/>
      <c r="Y74" s="26"/>
      <c r="Z74" s="26"/>
    </row>
    <row r="75" spans="1:26" x14ac:dyDescent="0.3">
      <c r="A75" s="91" t="s">
        <v>849</v>
      </c>
      <c r="B75" s="26" t="s">
        <v>288</v>
      </c>
      <c r="C75" s="26">
        <v>22</v>
      </c>
      <c r="D75" s="26" t="s">
        <v>8</v>
      </c>
      <c r="E75" s="26" t="s">
        <v>104</v>
      </c>
      <c r="F75" s="26" t="s">
        <v>16</v>
      </c>
      <c r="G75" s="26">
        <v>25</v>
      </c>
      <c r="H75" s="341">
        <v>1000000</v>
      </c>
      <c r="I75" s="26" t="s">
        <v>26</v>
      </c>
      <c r="J75" s="26" t="s">
        <v>93</v>
      </c>
      <c r="K75" s="26">
        <v>7</v>
      </c>
      <c r="L75" s="26">
        <v>0.6956</v>
      </c>
      <c r="M75" s="26">
        <v>4.5024000000000003E-4</v>
      </c>
      <c r="N75" s="26">
        <v>3.1300000000000002E-4</v>
      </c>
      <c r="O75" s="26">
        <v>0</v>
      </c>
      <c r="P75" s="26">
        <v>3.7613000000000001E-2</v>
      </c>
      <c r="Q75" s="26">
        <v>0</v>
      </c>
      <c r="R75" s="103">
        <v>1561.29</v>
      </c>
      <c r="S75" s="26"/>
      <c r="T75" s="26"/>
      <c r="U75" s="26"/>
      <c r="V75" s="26"/>
      <c r="W75" s="26"/>
      <c r="X75" s="26"/>
      <c r="Y75" s="26"/>
      <c r="Z75" s="26"/>
    </row>
    <row r="76" spans="1:26" x14ac:dyDescent="0.3">
      <c r="A76" s="91" t="s">
        <v>850</v>
      </c>
      <c r="B76" s="26" t="s">
        <v>288</v>
      </c>
      <c r="C76" s="26">
        <v>49</v>
      </c>
      <c r="D76" s="26" t="s">
        <v>8</v>
      </c>
      <c r="E76" s="26" t="s">
        <v>12</v>
      </c>
      <c r="F76" s="26" t="s">
        <v>16</v>
      </c>
      <c r="G76" s="26">
        <v>15</v>
      </c>
      <c r="H76" s="341">
        <v>250000</v>
      </c>
      <c r="I76" s="26" t="s">
        <v>26</v>
      </c>
      <c r="J76" s="26" t="s">
        <v>93</v>
      </c>
      <c r="K76" s="26">
        <v>2</v>
      </c>
      <c r="L76" s="26">
        <v>0.63770000000000004</v>
      </c>
      <c r="M76" s="26">
        <v>2.3661300000000001E-3</v>
      </c>
      <c r="N76" s="26">
        <v>1.5089999999999999E-3</v>
      </c>
      <c r="O76" s="26">
        <v>0</v>
      </c>
      <c r="P76" s="26">
        <v>0.112995</v>
      </c>
      <c r="Q76" s="26">
        <v>0</v>
      </c>
      <c r="R76" s="103">
        <v>1315.51</v>
      </c>
      <c r="S76" s="26"/>
      <c r="T76" s="26"/>
      <c r="U76" s="26"/>
      <c r="V76" s="26"/>
      <c r="W76" s="26"/>
      <c r="X76" s="26"/>
      <c r="Y76" s="26"/>
      <c r="Z76" s="26"/>
    </row>
    <row r="77" spans="1:26" x14ac:dyDescent="0.3">
      <c r="A77" s="91" t="s">
        <v>851</v>
      </c>
      <c r="B77" s="26" t="s">
        <v>288</v>
      </c>
      <c r="C77" s="26">
        <v>49</v>
      </c>
      <c r="D77" s="26" t="s">
        <v>102</v>
      </c>
      <c r="E77" s="26" t="s">
        <v>12</v>
      </c>
      <c r="F77" s="26" t="s">
        <v>107</v>
      </c>
      <c r="G77" s="26">
        <v>15</v>
      </c>
      <c r="H77" s="341">
        <v>250000</v>
      </c>
      <c r="I77" s="26" t="s">
        <v>114</v>
      </c>
      <c r="J77" s="26" t="s">
        <v>94</v>
      </c>
      <c r="K77" s="26">
        <v>5</v>
      </c>
      <c r="L77" s="26">
        <v>0.56399999999999995</v>
      </c>
      <c r="M77" s="26">
        <v>2.71076E-3</v>
      </c>
      <c r="N77" s="26">
        <v>1.529E-3</v>
      </c>
      <c r="O77" s="26">
        <v>0</v>
      </c>
      <c r="P77" s="26">
        <v>7.4329000000000006E-2</v>
      </c>
      <c r="Q77" s="26">
        <v>0</v>
      </c>
      <c r="R77" s="103">
        <v>1417.17</v>
      </c>
      <c r="S77" s="26"/>
      <c r="T77" s="26"/>
      <c r="U77" s="26"/>
      <c r="V77" s="26"/>
      <c r="W77" s="26"/>
      <c r="X77" s="26"/>
      <c r="Y77" s="26"/>
      <c r="Z77" s="26"/>
    </row>
    <row r="78" spans="1:26" x14ac:dyDescent="0.3">
      <c r="A78" s="91" t="s">
        <v>852</v>
      </c>
      <c r="B78" s="26" t="s">
        <v>288</v>
      </c>
      <c r="C78" s="26">
        <v>31</v>
      </c>
      <c r="D78" s="26" t="s">
        <v>8</v>
      </c>
      <c r="E78" s="26" t="s">
        <v>12</v>
      </c>
      <c r="F78" s="26" t="s">
        <v>106</v>
      </c>
      <c r="G78" s="26">
        <v>20</v>
      </c>
      <c r="H78" s="341">
        <v>1000000</v>
      </c>
      <c r="I78" s="26" t="s">
        <v>26</v>
      </c>
      <c r="J78" s="26" t="s">
        <v>93</v>
      </c>
      <c r="K78" s="26">
        <v>3</v>
      </c>
      <c r="L78" s="26">
        <v>0.99180000000000001</v>
      </c>
      <c r="M78" s="26">
        <v>4.4848000000000002E-4</v>
      </c>
      <c r="N78" s="26">
        <v>4.4499999999999997E-4</v>
      </c>
      <c r="O78" s="26">
        <v>0</v>
      </c>
      <c r="P78" s="26">
        <v>9.0679999999999997E-2</v>
      </c>
      <c r="Q78" s="26">
        <v>0</v>
      </c>
      <c r="R78" s="103">
        <v>1559.21</v>
      </c>
      <c r="S78" s="26"/>
      <c r="T78" s="26"/>
      <c r="U78" s="26"/>
      <c r="V78" s="26"/>
      <c r="W78" s="26"/>
      <c r="X78" s="26"/>
      <c r="Y78" s="26"/>
      <c r="Z78" s="26"/>
    </row>
    <row r="79" spans="1:26" x14ac:dyDescent="0.3">
      <c r="A79" s="91" t="s">
        <v>853</v>
      </c>
      <c r="B79" s="26" t="s">
        <v>289</v>
      </c>
      <c r="C79" s="26">
        <v>34</v>
      </c>
      <c r="D79" s="26" t="s">
        <v>8</v>
      </c>
      <c r="E79" s="26" t="s">
        <v>12</v>
      </c>
      <c r="F79" s="26" t="s">
        <v>16</v>
      </c>
      <c r="G79" s="26">
        <v>25</v>
      </c>
      <c r="H79" s="341">
        <v>1000000</v>
      </c>
      <c r="I79" s="26" t="s">
        <v>114</v>
      </c>
      <c r="J79" s="26" t="s">
        <v>94</v>
      </c>
      <c r="K79" s="26">
        <v>7</v>
      </c>
      <c r="L79" s="26">
        <v>0.54059999999999997</v>
      </c>
      <c r="M79" s="26">
        <v>7.1266000000000005E-4</v>
      </c>
      <c r="N79" s="26">
        <v>3.8499999999999998E-4</v>
      </c>
      <c r="O79" s="26">
        <v>0</v>
      </c>
      <c r="P79" s="26">
        <v>4.3083999999999997E-2</v>
      </c>
      <c r="Q79" s="26">
        <v>0</v>
      </c>
      <c r="R79" s="103">
        <v>6863.68</v>
      </c>
      <c r="S79" s="26"/>
      <c r="T79" s="26"/>
      <c r="U79" s="26"/>
      <c r="V79" s="26"/>
      <c r="W79" s="26"/>
      <c r="X79" s="26"/>
      <c r="Y79" s="26"/>
      <c r="Z79" s="26"/>
    </row>
    <row r="80" spans="1:26" x14ac:dyDescent="0.3">
      <c r="A80" s="91" t="s">
        <v>854</v>
      </c>
      <c r="B80" s="26" t="s">
        <v>288</v>
      </c>
      <c r="C80" s="26">
        <v>34</v>
      </c>
      <c r="D80" s="26" t="s">
        <v>8</v>
      </c>
      <c r="E80" s="26" t="s">
        <v>12</v>
      </c>
      <c r="F80" s="26" t="s">
        <v>16</v>
      </c>
      <c r="G80" s="26">
        <v>10</v>
      </c>
      <c r="H80" s="341">
        <v>500000</v>
      </c>
      <c r="I80" s="26" t="s">
        <v>114</v>
      </c>
      <c r="J80" s="26" t="s">
        <v>93</v>
      </c>
      <c r="K80" s="26">
        <v>7</v>
      </c>
      <c r="L80" s="26">
        <v>0.67169999999999996</v>
      </c>
      <c r="M80" s="26">
        <v>7.1266000000000005E-4</v>
      </c>
      <c r="N80" s="26">
        <v>4.7899999999999999E-4</v>
      </c>
      <c r="O80" s="26">
        <v>0</v>
      </c>
      <c r="P80" s="26">
        <v>4.7870999999999997E-2</v>
      </c>
      <c r="Q80" s="26">
        <v>0</v>
      </c>
      <c r="R80" s="103">
        <v>1200</v>
      </c>
      <c r="S80" s="26"/>
      <c r="T80" s="26"/>
      <c r="U80" s="26"/>
      <c r="V80" s="26"/>
      <c r="W80" s="26"/>
      <c r="X80" s="26"/>
      <c r="Y80" s="26"/>
      <c r="Z80" s="26"/>
    </row>
    <row r="81" spans="1:26" x14ac:dyDescent="0.3">
      <c r="A81" s="91" t="s">
        <v>855</v>
      </c>
      <c r="B81" s="26" t="s">
        <v>289</v>
      </c>
      <c r="C81" s="26">
        <v>46</v>
      </c>
      <c r="D81" s="26" t="s">
        <v>102</v>
      </c>
      <c r="E81" s="26" t="s">
        <v>104</v>
      </c>
      <c r="F81" s="26" t="s">
        <v>106</v>
      </c>
      <c r="G81" s="26">
        <v>20</v>
      </c>
      <c r="H81" s="341">
        <v>500000</v>
      </c>
      <c r="I81" s="26" t="s">
        <v>114</v>
      </c>
      <c r="J81" s="26" t="s">
        <v>28</v>
      </c>
      <c r="K81" s="26">
        <v>3</v>
      </c>
      <c r="L81" s="26">
        <v>0.74829999999999997</v>
      </c>
      <c r="M81" s="26">
        <v>1.81594E-3</v>
      </c>
      <c r="N81" s="26">
        <v>1.359E-3</v>
      </c>
      <c r="O81" s="26">
        <v>0</v>
      </c>
      <c r="P81" s="26">
        <v>0.10387</v>
      </c>
      <c r="Q81" s="26">
        <v>0</v>
      </c>
      <c r="R81" s="103">
        <v>12658.29</v>
      </c>
      <c r="S81" s="26"/>
      <c r="T81" s="26"/>
      <c r="U81" s="26"/>
      <c r="V81" s="26"/>
      <c r="W81" s="26"/>
      <c r="X81" s="26"/>
      <c r="Y81" s="26"/>
      <c r="Z81" s="26"/>
    </row>
    <row r="82" spans="1:26" x14ac:dyDescent="0.3">
      <c r="A82" s="91" t="s">
        <v>856</v>
      </c>
      <c r="B82" s="26" t="s">
        <v>288</v>
      </c>
      <c r="C82" s="26">
        <v>25</v>
      </c>
      <c r="D82" s="26" t="s">
        <v>102</v>
      </c>
      <c r="E82" s="26" t="s">
        <v>104</v>
      </c>
      <c r="F82" s="26" t="s">
        <v>16</v>
      </c>
      <c r="G82" s="26">
        <v>25</v>
      </c>
      <c r="H82" s="341">
        <v>1000000</v>
      </c>
      <c r="I82" s="26" t="s">
        <v>26</v>
      </c>
      <c r="J82" s="26" t="s">
        <v>93</v>
      </c>
      <c r="K82" s="26">
        <v>5</v>
      </c>
      <c r="L82" s="26">
        <v>0.71709999999999996</v>
      </c>
      <c r="M82" s="26">
        <v>4.2306000000000001E-4</v>
      </c>
      <c r="N82" s="26">
        <v>3.0299999999999999E-4</v>
      </c>
      <c r="O82" s="26">
        <v>0</v>
      </c>
      <c r="P82" s="26">
        <v>5.8401000000000002E-2</v>
      </c>
      <c r="Q82" s="26">
        <v>0</v>
      </c>
      <c r="R82" s="103">
        <v>1529.21</v>
      </c>
      <c r="S82" s="26"/>
      <c r="T82" s="26"/>
      <c r="U82" s="26"/>
      <c r="V82" s="26"/>
      <c r="W82" s="26"/>
      <c r="X82" s="26"/>
      <c r="Y82" s="26"/>
      <c r="Z82" s="26"/>
    </row>
    <row r="83" spans="1:26" x14ac:dyDescent="0.3">
      <c r="A83" s="91" t="s">
        <v>857</v>
      </c>
      <c r="B83" s="26" t="s">
        <v>288</v>
      </c>
      <c r="C83" s="26">
        <v>65</v>
      </c>
      <c r="D83" s="26" t="s">
        <v>8</v>
      </c>
      <c r="E83" s="26" t="s">
        <v>104</v>
      </c>
      <c r="F83" s="26" t="s">
        <v>106</v>
      </c>
      <c r="G83" s="26">
        <v>20</v>
      </c>
      <c r="H83" s="341">
        <v>1000000</v>
      </c>
      <c r="I83" s="26" t="s">
        <v>26</v>
      </c>
      <c r="J83" s="26" t="s">
        <v>93</v>
      </c>
      <c r="K83" s="26">
        <v>7</v>
      </c>
      <c r="L83" s="26">
        <v>0.99829999999999997</v>
      </c>
      <c r="M83" s="26">
        <v>1.123334E-2</v>
      </c>
      <c r="N83" s="26">
        <v>1.1214E-2</v>
      </c>
      <c r="O83" s="26">
        <v>0</v>
      </c>
      <c r="P83" s="26">
        <v>3.7613000000000001E-2</v>
      </c>
      <c r="Q83" s="26">
        <v>0</v>
      </c>
      <c r="R83" s="103">
        <v>14285.34</v>
      </c>
      <c r="S83" s="26"/>
      <c r="T83" s="26"/>
      <c r="U83" s="26"/>
      <c r="V83" s="26"/>
      <c r="W83" s="26"/>
      <c r="X83" s="26"/>
      <c r="Y83" s="26"/>
      <c r="Z83" s="26"/>
    </row>
    <row r="84" spans="1:26" x14ac:dyDescent="0.3">
      <c r="A84" s="91" t="s">
        <v>858</v>
      </c>
      <c r="B84" s="26" t="s">
        <v>288</v>
      </c>
      <c r="C84" s="26">
        <v>61</v>
      </c>
      <c r="D84" s="26" t="s">
        <v>8</v>
      </c>
      <c r="E84" s="26" t="s">
        <v>12</v>
      </c>
      <c r="F84" s="26" t="s">
        <v>106</v>
      </c>
      <c r="G84" s="26">
        <v>20</v>
      </c>
      <c r="H84" s="341">
        <v>1000000</v>
      </c>
      <c r="I84" s="26" t="s">
        <v>26</v>
      </c>
      <c r="J84" s="26" t="s">
        <v>93</v>
      </c>
      <c r="K84" s="26">
        <v>3</v>
      </c>
      <c r="L84" s="26">
        <v>0.59619999999999995</v>
      </c>
      <c r="M84" s="26">
        <v>4.9436799999999998E-3</v>
      </c>
      <c r="N84" s="26">
        <v>2.9480000000000001E-3</v>
      </c>
      <c r="O84" s="26">
        <v>0</v>
      </c>
      <c r="P84" s="26">
        <v>9.0679999999999997E-2</v>
      </c>
      <c r="Q84" s="26">
        <v>0</v>
      </c>
      <c r="R84" s="103">
        <v>6863.55</v>
      </c>
      <c r="S84" s="26"/>
      <c r="T84" s="26"/>
      <c r="U84" s="26"/>
      <c r="V84" s="26"/>
      <c r="W84" s="26"/>
      <c r="X84" s="26"/>
      <c r="Y84" s="26"/>
      <c r="Z84" s="26"/>
    </row>
    <row r="85" spans="1:26" x14ac:dyDescent="0.3">
      <c r="A85" s="91" t="s">
        <v>859</v>
      </c>
      <c r="B85" s="26" t="s">
        <v>288</v>
      </c>
      <c r="C85" s="26">
        <v>52</v>
      </c>
      <c r="D85" s="26" t="s">
        <v>102</v>
      </c>
      <c r="E85" s="26" t="s">
        <v>12</v>
      </c>
      <c r="F85" s="26" t="s">
        <v>16</v>
      </c>
      <c r="G85" s="26">
        <v>25</v>
      </c>
      <c r="H85" s="341">
        <v>250000</v>
      </c>
      <c r="I85" s="26" t="s">
        <v>26</v>
      </c>
      <c r="J85" s="26" t="s">
        <v>94</v>
      </c>
      <c r="K85" s="26">
        <v>5</v>
      </c>
      <c r="L85" s="26">
        <v>0.70169999999999999</v>
      </c>
      <c r="M85" s="26">
        <v>2.2232599999999999E-3</v>
      </c>
      <c r="N85" s="26">
        <v>1.56E-3</v>
      </c>
      <c r="O85" s="26">
        <v>0</v>
      </c>
      <c r="P85" s="26">
        <v>5.8401000000000002E-2</v>
      </c>
      <c r="Q85" s="26">
        <v>0</v>
      </c>
      <c r="R85" s="103">
        <v>1273.3599999999999</v>
      </c>
      <c r="S85" s="26"/>
      <c r="T85" s="26"/>
      <c r="U85" s="26"/>
      <c r="V85" s="26"/>
      <c r="W85" s="26"/>
      <c r="X85" s="26"/>
      <c r="Y85" s="26"/>
      <c r="Z85" s="26"/>
    </row>
    <row r="86" spans="1:26" x14ac:dyDescent="0.3">
      <c r="A86" s="91" t="s">
        <v>860</v>
      </c>
      <c r="B86" s="26" t="s">
        <v>288</v>
      </c>
      <c r="C86" s="26">
        <v>42</v>
      </c>
      <c r="D86" s="26" t="s">
        <v>8</v>
      </c>
      <c r="E86" s="26" t="s">
        <v>12</v>
      </c>
      <c r="F86" s="26" t="s">
        <v>16</v>
      </c>
      <c r="G86" s="26">
        <v>20</v>
      </c>
      <c r="H86" s="341">
        <v>2000000</v>
      </c>
      <c r="I86" s="26" t="s">
        <v>26</v>
      </c>
      <c r="J86" s="26" t="s">
        <v>94</v>
      </c>
      <c r="K86" s="26">
        <v>2</v>
      </c>
      <c r="L86" s="26">
        <v>0.93149999999999999</v>
      </c>
      <c r="M86" s="26">
        <v>1.35155E-3</v>
      </c>
      <c r="N86" s="26">
        <v>1.2589999999999999E-3</v>
      </c>
      <c r="O86" s="26">
        <v>0</v>
      </c>
      <c r="P86" s="26">
        <v>0.112995</v>
      </c>
      <c r="Q86" s="26">
        <v>0</v>
      </c>
      <c r="R86" s="103">
        <v>4769.66</v>
      </c>
      <c r="S86" s="26"/>
      <c r="T86" s="26"/>
      <c r="U86" s="26"/>
      <c r="V86" s="26"/>
      <c r="W86" s="26"/>
      <c r="X86" s="26"/>
      <c r="Y86" s="26"/>
      <c r="Z86" s="26"/>
    </row>
    <row r="87" spans="1:26" x14ac:dyDescent="0.3">
      <c r="A87" s="91" t="s">
        <v>861</v>
      </c>
      <c r="B87" s="26" t="s">
        <v>288</v>
      </c>
      <c r="C87" s="26">
        <v>35</v>
      </c>
      <c r="D87" s="26" t="s">
        <v>102</v>
      </c>
      <c r="E87" s="26" t="s">
        <v>104</v>
      </c>
      <c r="F87" s="26" t="s">
        <v>16</v>
      </c>
      <c r="G87" s="26">
        <v>20</v>
      </c>
      <c r="H87" s="341">
        <v>2000000</v>
      </c>
      <c r="I87" s="26" t="s">
        <v>26</v>
      </c>
      <c r="J87" s="26" t="s">
        <v>94</v>
      </c>
      <c r="K87" s="26">
        <v>3</v>
      </c>
      <c r="L87" s="26">
        <v>0.80100000000000005</v>
      </c>
      <c r="M87" s="26">
        <v>9.4152999999999999E-4</v>
      </c>
      <c r="N87" s="26">
        <v>7.54E-4</v>
      </c>
      <c r="O87" s="26">
        <v>0</v>
      </c>
      <c r="P87" s="26">
        <v>9.0679999999999997E-2</v>
      </c>
      <c r="Q87" s="26">
        <v>0</v>
      </c>
      <c r="R87" s="103">
        <v>3802.01</v>
      </c>
      <c r="S87" s="26"/>
      <c r="T87" s="26"/>
      <c r="U87" s="26"/>
      <c r="V87" s="26"/>
      <c r="W87" s="26"/>
      <c r="X87" s="26"/>
      <c r="Y87" s="26"/>
      <c r="Z87" s="26"/>
    </row>
    <row r="88" spans="1:26" x14ac:dyDescent="0.3">
      <c r="A88" s="91" t="s">
        <v>862</v>
      </c>
      <c r="B88" s="26" t="s">
        <v>288</v>
      </c>
      <c r="C88" s="26">
        <v>29</v>
      </c>
      <c r="D88" s="26" t="s">
        <v>8</v>
      </c>
      <c r="E88" s="26" t="s">
        <v>12</v>
      </c>
      <c r="F88" s="26" t="s">
        <v>16</v>
      </c>
      <c r="G88" s="26">
        <v>20</v>
      </c>
      <c r="H88" s="341">
        <v>1000000</v>
      </c>
      <c r="I88" s="26" t="s">
        <v>114</v>
      </c>
      <c r="J88" s="26" t="s">
        <v>94</v>
      </c>
      <c r="K88" s="26">
        <v>2</v>
      </c>
      <c r="L88" s="26">
        <v>0.57530000000000003</v>
      </c>
      <c r="M88" s="26">
        <v>4.7771000000000001E-4</v>
      </c>
      <c r="N88" s="26">
        <v>2.7500000000000002E-4</v>
      </c>
      <c r="O88" s="26">
        <v>0</v>
      </c>
      <c r="P88" s="26">
        <v>0.14381099999999999</v>
      </c>
      <c r="Q88" s="26">
        <v>0</v>
      </c>
      <c r="R88" s="103">
        <v>1593.7</v>
      </c>
      <c r="S88" s="26"/>
      <c r="T88" s="26"/>
      <c r="U88" s="26"/>
      <c r="V88" s="26"/>
      <c r="W88" s="26"/>
      <c r="X88" s="26"/>
      <c r="Y88" s="26"/>
      <c r="Z88" s="26"/>
    </row>
    <row r="89" spans="1:26" x14ac:dyDescent="0.3">
      <c r="A89" s="91" t="s">
        <v>863</v>
      </c>
      <c r="B89" s="26" t="s">
        <v>288</v>
      </c>
      <c r="C89" s="26">
        <v>37</v>
      </c>
      <c r="D89" s="26" t="s">
        <v>8</v>
      </c>
      <c r="E89" s="26" t="s">
        <v>12</v>
      </c>
      <c r="F89" s="26" t="s">
        <v>16</v>
      </c>
      <c r="G89" s="26">
        <v>15</v>
      </c>
      <c r="H89" s="341">
        <v>2000000</v>
      </c>
      <c r="I89" s="26" t="s">
        <v>114</v>
      </c>
      <c r="J89" s="26" t="s">
        <v>93</v>
      </c>
      <c r="K89" s="26">
        <v>7</v>
      </c>
      <c r="L89" s="26">
        <v>0.8014</v>
      </c>
      <c r="M89" s="26">
        <v>9.0596999999999997E-4</v>
      </c>
      <c r="N89" s="26">
        <v>7.2599999999999997E-4</v>
      </c>
      <c r="O89" s="26">
        <v>0</v>
      </c>
      <c r="P89" s="26">
        <v>4.7870999999999997E-2</v>
      </c>
      <c r="Q89" s="26">
        <v>0</v>
      </c>
      <c r="R89" s="103">
        <v>3718.1</v>
      </c>
      <c r="S89" s="26"/>
      <c r="T89" s="26"/>
      <c r="U89" s="26"/>
      <c r="V89" s="26"/>
      <c r="W89" s="26"/>
      <c r="X89" s="26"/>
      <c r="Y89" s="26"/>
      <c r="Z89" s="26"/>
    </row>
    <row r="90" spans="1:26" x14ac:dyDescent="0.3">
      <c r="A90" s="91" t="s">
        <v>864</v>
      </c>
      <c r="B90" s="26" t="s">
        <v>289</v>
      </c>
      <c r="C90" s="26">
        <v>32</v>
      </c>
      <c r="D90" s="26" t="s">
        <v>8</v>
      </c>
      <c r="E90" s="26" t="s">
        <v>12</v>
      </c>
      <c r="F90" s="26" t="s">
        <v>16</v>
      </c>
      <c r="G90" s="26">
        <v>15</v>
      </c>
      <c r="H90" s="341">
        <v>500000</v>
      </c>
      <c r="I90" s="26" t="s">
        <v>26</v>
      </c>
      <c r="J90" s="26" t="s">
        <v>93</v>
      </c>
      <c r="K90" s="26">
        <v>6</v>
      </c>
      <c r="L90" s="26">
        <v>0.94099999999999995</v>
      </c>
      <c r="M90" s="26">
        <v>6.0729000000000002E-4</v>
      </c>
      <c r="N90" s="26">
        <v>5.71E-4</v>
      </c>
      <c r="O90" s="26">
        <v>0</v>
      </c>
      <c r="P90" s="26">
        <v>4.2181000000000003E-2</v>
      </c>
      <c r="Q90" s="26">
        <v>0</v>
      </c>
      <c r="R90" s="103">
        <v>14003.41</v>
      </c>
      <c r="S90" s="26"/>
      <c r="T90" s="26"/>
      <c r="U90" s="26"/>
      <c r="V90" s="26"/>
      <c r="W90" s="26"/>
      <c r="X90" s="26"/>
      <c r="Y90" s="26"/>
      <c r="Z90" s="26"/>
    </row>
    <row r="91" spans="1:26" x14ac:dyDescent="0.3">
      <c r="A91" s="91" t="s">
        <v>865</v>
      </c>
      <c r="B91" s="26" t="s">
        <v>288</v>
      </c>
      <c r="C91" s="26">
        <v>63</v>
      </c>
      <c r="D91" s="26" t="s">
        <v>8</v>
      </c>
      <c r="E91" s="26" t="s">
        <v>12</v>
      </c>
      <c r="F91" s="26" t="s">
        <v>16</v>
      </c>
      <c r="G91" s="26">
        <v>20</v>
      </c>
      <c r="H91" s="341">
        <v>1000000</v>
      </c>
      <c r="I91" s="26" t="s">
        <v>114</v>
      </c>
      <c r="J91" s="26" t="s">
        <v>93</v>
      </c>
      <c r="K91" s="26">
        <v>5</v>
      </c>
      <c r="L91" s="26">
        <v>0.93110000000000004</v>
      </c>
      <c r="M91" s="26">
        <v>7.2518299999999999E-3</v>
      </c>
      <c r="N91" s="26">
        <v>6.7520000000000002E-3</v>
      </c>
      <c r="O91" s="26">
        <v>0</v>
      </c>
      <c r="P91" s="26">
        <v>7.4329000000000006E-2</v>
      </c>
      <c r="Q91" s="26">
        <v>0</v>
      </c>
      <c r="R91" s="103">
        <v>9587.16</v>
      </c>
      <c r="S91" s="26"/>
      <c r="T91" s="26"/>
      <c r="U91" s="26"/>
      <c r="V91" s="26"/>
      <c r="W91" s="26"/>
      <c r="X91" s="26"/>
      <c r="Y91" s="26"/>
      <c r="Z91" s="26"/>
    </row>
    <row r="92" spans="1:26" x14ac:dyDescent="0.3">
      <c r="A92" s="91" t="s">
        <v>866</v>
      </c>
      <c r="B92" s="26" t="s">
        <v>288</v>
      </c>
      <c r="C92" s="26">
        <v>28</v>
      </c>
      <c r="D92" s="26" t="s">
        <v>8</v>
      </c>
      <c r="E92" s="26" t="s">
        <v>12</v>
      </c>
      <c r="F92" s="26" t="s">
        <v>16</v>
      </c>
      <c r="G92" s="26">
        <v>25</v>
      </c>
      <c r="H92" s="341">
        <v>1000000</v>
      </c>
      <c r="I92" s="26" t="s">
        <v>26</v>
      </c>
      <c r="J92" s="26" t="s">
        <v>93</v>
      </c>
      <c r="K92" s="26">
        <v>3</v>
      </c>
      <c r="L92" s="26">
        <v>0.76219999999999999</v>
      </c>
      <c r="M92" s="26">
        <v>4.4098E-4</v>
      </c>
      <c r="N92" s="26">
        <v>3.3599999999999998E-4</v>
      </c>
      <c r="O92" s="26">
        <v>0</v>
      </c>
      <c r="P92" s="26">
        <v>9.0679999999999997E-2</v>
      </c>
      <c r="Q92" s="26">
        <v>0</v>
      </c>
      <c r="R92" s="103">
        <v>1550.36</v>
      </c>
      <c r="S92" s="26"/>
      <c r="T92" s="26"/>
      <c r="U92" s="26"/>
      <c r="V92" s="26"/>
      <c r="W92" s="26"/>
      <c r="X92" s="26"/>
      <c r="Y92" s="26"/>
      <c r="Z92" s="26"/>
    </row>
    <row r="93" spans="1:26" x14ac:dyDescent="0.3">
      <c r="A93" s="91" t="s">
        <v>867</v>
      </c>
      <c r="B93" s="26" t="s">
        <v>288</v>
      </c>
      <c r="C93" s="26">
        <v>44</v>
      </c>
      <c r="D93" s="26" t="s">
        <v>8</v>
      </c>
      <c r="E93" s="26" t="s">
        <v>104</v>
      </c>
      <c r="F93" s="26" t="s">
        <v>106</v>
      </c>
      <c r="G93" s="26">
        <v>15</v>
      </c>
      <c r="H93" s="341">
        <v>500000</v>
      </c>
      <c r="I93" s="26" t="s">
        <v>114</v>
      </c>
      <c r="J93" s="26" t="s">
        <v>93</v>
      </c>
      <c r="K93" s="26">
        <v>5</v>
      </c>
      <c r="L93" s="26">
        <v>0.51029999999999998</v>
      </c>
      <c r="M93" s="26">
        <v>2.0936000000000001E-3</v>
      </c>
      <c r="N93" s="26">
        <v>1.0679999999999999E-3</v>
      </c>
      <c r="O93" s="26">
        <v>0</v>
      </c>
      <c r="P93" s="26">
        <v>7.4329000000000006E-2</v>
      </c>
      <c r="Q93" s="26">
        <v>0</v>
      </c>
      <c r="R93" s="103">
        <v>1990.23</v>
      </c>
      <c r="S93" s="26"/>
      <c r="T93" s="26"/>
      <c r="U93" s="26"/>
      <c r="V93" s="26"/>
      <c r="W93" s="26"/>
      <c r="X93" s="26"/>
      <c r="Y93" s="26"/>
      <c r="Z93" s="26"/>
    </row>
    <row r="94" spans="1:26" x14ac:dyDescent="0.3">
      <c r="A94" s="91" t="s">
        <v>868</v>
      </c>
      <c r="B94" s="26" t="s">
        <v>288</v>
      </c>
      <c r="C94" s="26">
        <v>61</v>
      </c>
      <c r="D94" s="26" t="s">
        <v>102</v>
      </c>
      <c r="E94" s="26" t="s">
        <v>12</v>
      </c>
      <c r="F94" s="26" t="s">
        <v>16</v>
      </c>
      <c r="G94" s="26">
        <v>15</v>
      </c>
      <c r="H94" s="341">
        <v>2000000</v>
      </c>
      <c r="I94" s="26" t="s">
        <v>26</v>
      </c>
      <c r="J94" s="26" t="s">
        <v>94</v>
      </c>
      <c r="K94" s="26">
        <v>2</v>
      </c>
      <c r="L94" s="26">
        <v>0.93330000000000002</v>
      </c>
      <c r="M94" s="26">
        <v>4.5675300000000002E-3</v>
      </c>
      <c r="N94" s="26">
        <v>4.2630000000000003E-3</v>
      </c>
      <c r="O94" s="26">
        <v>0</v>
      </c>
      <c r="P94" s="26">
        <v>0.112995</v>
      </c>
      <c r="Q94" s="26">
        <v>0</v>
      </c>
      <c r="R94" s="103">
        <v>12359.38</v>
      </c>
      <c r="S94" s="26"/>
      <c r="T94" s="26"/>
      <c r="U94" s="26"/>
      <c r="V94" s="26"/>
      <c r="W94" s="26"/>
      <c r="X94" s="26"/>
      <c r="Y94" s="26"/>
      <c r="Z94" s="26"/>
    </row>
    <row r="95" spans="1:26" x14ac:dyDescent="0.3">
      <c r="A95" s="91" t="s">
        <v>869</v>
      </c>
      <c r="B95" s="26" t="s">
        <v>289</v>
      </c>
      <c r="C95" s="26">
        <v>33</v>
      </c>
      <c r="D95" s="26" t="s">
        <v>102</v>
      </c>
      <c r="E95" s="26" t="s">
        <v>12</v>
      </c>
      <c r="F95" s="26" t="s">
        <v>106</v>
      </c>
      <c r="G95" s="26">
        <v>20</v>
      </c>
      <c r="H95" s="341">
        <v>500000</v>
      </c>
      <c r="I95" s="26" t="s">
        <v>114</v>
      </c>
      <c r="J95" s="26" t="s">
        <v>94</v>
      </c>
      <c r="K95" s="26">
        <v>7</v>
      </c>
      <c r="L95" s="26">
        <v>0.76319999999999999</v>
      </c>
      <c r="M95" s="26">
        <v>3.8900000000000002E-4</v>
      </c>
      <c r="N95" s="26">
        <v>2.9700000000000001E-4</v>
      </c>
      <c r="O95" s="26">
        <v>0</v>
      </c>
      <c r="P95" s="26">
        <v>4.3083999999999997E-2</v>
      </c>
      <c r="Q95" s="26">
        <v>0</v>
      </c>
      <c r="R95" s="103">
        <v>12114.62</v>
      </c>
      <c r="S95" s="26"/>
      <c r="T95" s="26"/>
      <c r="U95" s="26"/>
      <c r="V95" s="26"/>
      <c r="W95" s="26"/>
      <c r="X95" s="26"/>
      <c r="Y95" s="26"/>
      <c r="Z95" s="26"/>
    </row>
    <row r="96" spans="1:26" x14ac:dyDescent="0.3">
      <c r="A96" s="91" t="s">
        <v>870</v>
      </c>
      <c r="B96" s="26" t="s">
        <v>288</v>
      </c>
      <c r="C96" s="26">
        <v>23</v>
      </c>
      <c r="D96" s="26" t="s">
        <v>102</v>
      </c>
      <c r="E96" s="26" t="s">
        <v>104</v>
      </c>
      <c r="F96" s="26" t="s">
        <v>16</v>
      </c>
      <c r="G96" s="26">
        <v>20</v>
      </c>
      <c r="H96" s="341">
        <v>500000</v>
      </c>
      <c r="I96" s="26" t="s">
        <v>26</v>
      </c>
      <c r="J96" s="26" t="s">
        <v>93</v>
      </c>
      <c r="K96" s="26">
        <v>5</v>
      </c>
      <c r="L96" s="26">
        <v>0.81759999999999999</v>
      </c>
      <c r="M96" s="26">
        <v>3.6049999999999998E-4</v>
      </c>
      <c r="N96" s="26">
        <v>2.9500000000000001E-4</v>
      </c>
      <c r="O96" s="26">
        <v>0</v>
      </c>
      <c r="P96" s="26">
        <v>5.8401000000000002E-2</v>
      </c>
      <c r="Q96" s="26">
        <v>0</v>
      </c>
      <c r="R96" s="103">
        <v>1200</v>
      </c>
      <c r="S96" s="26"/>
      <c r="T96" s="26"/>
      <c r="U96" s="26"/>
      <c r="V96" s="26"/>
      <c r="W96" s="26"/>
      <c r="X96" s="26"/>
      <c r="Y96" s="26"/>
      <c r="Z96" s="26"/>
    </row>
    <row r="97" spans="1:26" x14ac:dyDescent="0.3">
      <c r="A97" s="91" t="s">
        <v>871</v>
      </c>
      <c r="B97" s="26" t="s">
        <v>288</v>
      </c>
      <c r="C97" s="26">
        <v>47</v>
      </c>
      <c r="D97" s="26" t="s">
        <v>8</v>
      </c>
      <c r="E97" s="26" t="s">
        <v>12</v>
      </c>
      <c r="F97" s="26" t="s">
        <v>16</v>
      </c>
      <c r="G97" s="26">
        <v>10</v>
      </c>
      <c r="H97" s="341">
        <v>500000</v>
      </c>
      <c r="I97" s="26" t="s">
        <v>114</v>
      </c>
      <c r="J97" s="26" t="s">
        <v>28</v>
      </c>
      <c r="K97" s="26">
        <v>5</v>
      </c>
      <c r="L97" s="26">
        <v>0.75109999999999999</v>
      </c>
      <c r="M97" s="26">
        <v>2.0162800000000001E-3</v>
      </c>
      <c r="N97" s="26">
        <v>1.5139999999999999E-3</v>
      </c>
      <c r="O97" s="26">
        <v>0</v>
      </c>
      <c r="P97" s="26">
        <v>7.4329000000000006E-2</v>
      </c>
      <c r="Q97" s="26">
        <v>0</v>
      </c>
      <c r="R97" s="103">
        <v>1944.61</v>
      </c>
      <c r="S97" s="26"/>
      <c r="T97" s="26"/>
      <c r="U97" s="26"/>
      <c r="V97" s="26"/>
      <c r="W97" s="26"/>
      <c r="X97" s="26"/>
      <c r="Y97" s="26"/>
      <c r="Z97" s="26"/>
    </row>
    <row r="98" spans="1:26" x14ac:dyDescent="0.3">
      <c r="A98" s="91" t="s">
        <v>872</v>
      </c>
      <c r="B98" s="26" t="s">
        <v>288</v>
      </c>
      <c r="C98" s="26">
        <v>60</v>
      </c>
      <c r="D98" s="26" t="s">
        <v>102</v>
      </c>
      <c r="E98" s="26" t="s">
        <v>12</v>
      </c>
      <c r="F98" s="26" t="s">
        <v>16</v>
      </c>
      <c r="G98" s="26">
        <v>15</v>
      </c>
      <c r="H98" s="341">
        <v>500000</v>
      </c>
      <c r="I98" s="26" t="s">
        <v>26</v>
      </c>
      <c r="J98" s="26" t="s">
        <v>28</v>
      </c>
      <c r="K98" s="26">
        <v>5</v>
      </c>
      <c r="L98" s="26">
        <v>0.7772</v>
      </c>
      <c r="M98" s="26">
        <v>4.2163599999999997E-3</v>
      </c>
      <c r="N98" s="26">
        <v>3.277E-3</v>
      </c>
      <c r="O98" s="26">
        <v>0</v>
      </c>
      <c r="P98" s="26">
        <v>5.8401000000000002E-2</v>
      </c>
      <c r="Q98" s="26">
        <v>0</v>
      </c>
      <c r="R98" s="103">
        <v>3242.66</v>
      </c>
      <c r="S98" s="26"/>
      <c r="T98" s="26"/>
      <c r="U98" s="26"/>
      <c r="V98" s="26"/>
      <c r="W98" s="26"/>
      <c r="X98" s="26"/>
      <c r="Y98" s="26"/>
      <c r="Z98" s="26"/>
    </row>
    <row r="99" spans="1:26" x14ac:dyDescent="0.3">
      <c r="A99" s="91" t="s">
        <v>873</v>
      </c>
      <c r="B99" s="26" t="s">
        <v>288</v>
      </c>
      <c r="C99" s="26">
        <v>41</v>
      </c>
      <c r="D99" s="26" t="s">
        <v>8</v>
      </c>
      <c r="E99" s="26" t="s">
        <v>104</v>
      </c>
      <c r="F99" s="26" t="s">
        <v>106</v>
      </c>
      <c r="G99" s="26">
        <v>20</v>
      </c>
      <c r="H99" s="341">
        <v>1000000</v>
      </c>
      <c r="I99" s="26" t="s">
        <v>26</v>
      </c>
      <c r="J99" s="26" t="s">
        <v>28</v>
      </c>
      <c r="K99" s="26">
        <v>3</v>
      </c>
      <c r="L99" s="26">
        <v>0.90139999999999998</v>
      </c>
      <c r="M99" s="26">
        <v>1.64689E-3</v>
      </c>
      <c r="N99" s="26">
        <v>1.4840000000000001E-3</v>
      </c>
      <c r="O99" s="26">
        <v>0</v>
      </c>
      <c r="P99" s="26">
        <v>9.0679999999999997E-2</v>
      </c>
      <c r="Q99" s="26">
        <v>0</v>
      </c>
      <c r="R99" s="103">
        <v>2973.32</v>
      </c>
      <c r="S99" s="26"/>
      <c r="T99" s="26"/>
      <c r="U99" s="26"/>
      <c r="V99" s="26"/>
      <c r="W99" s="26"/>
      <c r="X99" s="26"/>
      <c r="Y99" s="26"/>
      <c r="Z99" s="26"/>
    </row>
    <row r="100" spans="1:26" x14ac:dyDescent="0.3">
      <c r="A100" s="91" t="s">
        <v>874</v>
      </c>
      <c r="B100" s="26" t="s">
        <v>289</v>
      </c>
      <c r="C100" s="26">
        <v>45</v>
      </c>
      <c r="D100" s="26" t="s">
        <v>102</v>
      </c>
      <c r="E100" s="26" t="s">
        <v>12</v>
      </c>
      <c r="F100" s="26" t="s">
        <v>16</v>
      </c>
      <c r="G100" s="26">
        <v>20</v>
      </c>
      <c r="H100" s="341">
        <v>500000</v>
      </c>
      <c r="I100" s="26" t="s">
        <v>26</v>
      </c>
      <c r="J100" s="26" t="s">
        <v>94</v>
      </c>
      <c r="K100" s="26">
        <v>1</v>
      </c>
      <c r="L100" s="26">
        <v>0.53449999999999998</v>
      </c>
      <c r="M100" s="26">
        <v>1.26994E-3</v>
      </c>
      <c r="N100" s="26">
        <v>6.7900000000000002E-4</v>
      </c>
      <c r="O100" s="26">
        <v>0</v>
      </c>
      <c r="P100" s="26">
        <v>0.12672</v>
      </c>
      <c r="Q100" s="26">
        <v>0</v>
      </c>
      <c r="R100" s="103">
        <v>16168.5</v>
      </c>
      <c r="S100" s="26"/>
      <c r="T100" s="26"/>
      <c r="U100" s="26"/>
      <c r="V100" s="26"/>
      <c r="W100" s="26"/>
      <c r="X100" s="26"/>
      <c r="Y100" s="26"/>
      <c r="Z100" s="26"/>
    </row>
    <row r="101" spans="1:26" x14ac:dyDescent="0.3">
      <c r="A101" s="91" t="s">
        <v>875</v>
      </c>
      <c r="B101" s="26" t="s">
        <v>288</v>
      </c>
      <c r="C101" s="26">
        <v>31</v>
      </c>
      <c r="D101" s="26" t="s">
        <v>8</v>
      </c>
      <c r="E101" s="26" t="s">
        <v>12</v>
      </c>
      <c r="F101" s="26" t="s">
        <v>16</v>
      </c>
      <c r="G101" s="26">
        <v>15</v>
      </c>
      <c r="H101" s="341">
        <v>250000</v>
      </c>
      <c r="I101" s="26" t="s">
        <v>114</v>
      </c>
      <c r="J101" s="26" t="s">
        <v>94</v>
      </c>
      <c r="K101" s="26">
        <v>5</v>
      </c>
      <c r="L101" s="26">
        <v>0.75160000000000005</v>
      </c>
      <c r="M101" s="26">
        <v>5.6059999999999997E-4</v>
      </c>
      <c r="N101" s="26">
        <v>4.2099999999999999E-4</v>
      </c>
      <c r="O101" s="26">
        <v>0</v>
      </c>
      <c r="P101" s="26">
        <v>7.4329000000000006E-2</v>
      </c>
      <c r="Q101" s="26">
        <v>0</v>
      </c>
      <c r="R101" s="103">
        <v>1200</v>
      </c>
      <c r="S101" s="26"/>
      <c r="T101" s="26"/>
      <c r="U101" s="26"/>
      <c r="V101" s="26"/>
      <c r="W101" s="26"/>
      <c r="X101" s="26"/>
      <c r="Y101" s="26"/>
      <c r="Z101" s="26"/>
    </row>
    <row r="102" spans="1:26" x14ac:dyDescent="0.3">
      <c r="A102" s="91" t="s">
        <v>876</v>
      </c>
      <c r="B102" s="26" t="s">
        <v>288</v>
      </c>
      <c r="C102" s="26">
        <v>64</v>
      </c>
      <c r="D102" s="26" t="s">
        <v>8</v>
      </c>
      <c r="E102" s="26" t="s">
        <v>12</v>
      </c>
      <c r="F102" s="26" t="s">
        <v>16</v>
      </c>
      <c r="G102" s="26">
        <v>15</v>
      </c>
      <c r="H102" s="341">
        <v>1000000</v>
      </c>
      <c r="I102" s="26" t="s">
        <v>114</v>
      </c>
      <c r="J102" s="26" t="s">
        <v>94</v>
      </c>
      <c r="K102" s="26">
        <v>6</v>
      </c>
      <c r="L102" s="26">
        <v>0.83740000000000003</v>
      </c>
      <c r="M102" s="26">
        <v>7.8558199999999995E-3</v>
      </c>
      <c r="N102" s="26">
        <v>6.5779999999999996E-3</v>
      </c>
      <c r="O102" s="26">
        <v>0</v>
      </c>
      <c r="P102" s="26">
        <v>5.9650000000000002E-2</v>
      </c>
      <c r="Q102" s="26">
        <v>0</v>
      </c>
      <c r="R102" s="103">
        <v>10299.86</v>
      </c>
      <c r="S102" s="26"/>
      <c r="T102" s="26"/>
      <c r="U102" s="26"/>
      <c r="V102" s="26"/>
      <c r="W102" s="26"/>
      <c r="X102" s="26"/>
      <c r="Y102" s="26"/>
      <c r="Z102" s="26"/>
    </row>
    <row r="103" spans="1:26" x14ac:dyDescent="0.3">
      <c r="A103" s="91" t="s">
        <v>877</v>
      </c>
      <c r="B103" s="26" t="s">
        <v>288</v>
      </c>
      <c r="C103" s="26">
        <v>64</v>
      </c>
      <c r="D103" s="26" t="s">
        <v>8</v>
      </c>
      <c r="E103" s="26" t="s">
        <v>12</v>
      </c>
      <c r="F103" s="26" t="s">
        <v>16</v>
      </c>
      <c r="G103" s="26">
        <v>15</v>
      </c>
      <c r="H103" s="341">
        <v>250000</v>
      </c>
      <c r="I103" s="26" t="s">
        <v>26</v>
      </c>
      <c r="J103" s="26" t="s">
        <v>93</v>
      </c>
      <c r="K103" s="26">
        <v>7</v>
      </c>
      <c r="L103" s="26">
        <v>0.65510000000000002</v>
      </c>
      <c r="M103" s="26">
        <v>7.8558199999999995E-3</v>
      </c>
      <c r="N103" s="26">
        <v>5.1469999999999997E-3</v>
      </c>
      <c r="O103" s="26">
        <v>0</v>
      </c>
      <c r="P103" s="26">
        <v>3.7613000000000001E-2</v>
      </c>
      <c r="Q103" s="26">
        <v>0</v>
      </c>
      <c r="R103" s="103">
        <v>2934.97</v>
      </c>
      <c r="S103" s="26"/>
      <c r="T103" s="26"/>
      <c r="U103" s="26"/>
      <c r="V103" s="26"/>
      <c r="W103" s="26"/>
      <c r="X103" s="26"/>
      <c r="Y103" s="26"/>
      <c r="Z103" s="26"/>
    </row>
    <row r="104" spans="1:26" x14ac:dyDescent="0.3">
      <c r="A104" s="91" t="s">
        <v>878</v>
      </c>
      <c r="B104" s="26" t="s">
        <v>289</v>
      </c>
      <c r="C104" s="26">
        <v>62</v>
      </c>
      <c r="D104" s="26" t="s">
        <v>8</v>
      </c>
      <c r="E104" s="26" t="s">
        <v>12</v>
      </c>
      <c r="F104" s="26" t="s">
        <v>16</v>
      </c>
      <c r="G104" s="26">
        <v>10</v>
      </c>
      <c r="H104" s="341">
        <v>1000000</v>
      </c>
      <c r="I104" s="26" t="s">
        <v>114</v>
      </c>
      <c r="J104" s="26" t="s">
        <v>94</v>
      </c>
      <c r="K104" s="26">
        <v>4</v>
      </c>
      <c r="L104" s="26">
        <v>0.64249999999999996</v>
      </c>
      <c r="M104" s="26">
        <v>6.6942900000000003E-3</v>
      </c>
      <c r="N104" s="26">
        <v>4.3010000000000001E-3</v>
      </c>
      <c r="O104" s="26">
        <v>0</v>
      </c>
      <c r="P104" s="26">
        <v>8.3358000000000002E-2</v>
      </c>
      <c r="Q104" s="26">
        <v>0</v>
      </c>
      <c r="R104" s="103">
        <v>13219.65</v>
      </c>
      <c r="S104" s="26"/>
      <c r="T104" s="26"/>
      <c r="U104" s="26"/>
      <c r="V104" s="26"/>
      <c r="W104" s="26"/>
      <c r="X104" s="26"/>
      <c r="Y104" s="26"/>
      <c r="Z104" s="26"/>
    </row>
    <row r="105" spans="1:26" x14ac:dyDescent="0.3">
      <c r="A105" s="91" t="s">
        <v>879</v>
      </c>
      <c r="B105" s="26" t="s">
        <v>288</v>
      </c>
      <c r="C105" s="26">
        <v>52</v>
      </c>
      <c r="D105" s="26" t="s">
        <v>102</v>
      </c>
      <c r="E105" s="26" t="s">
        <v>104</v>
      </c>
      <c r="F105" s="26" t="s">
        <v>16</v>
      </c>
      <c r="G105" s="26">
        <v>15</v>
      </c>
      <c r="H105" s="341">
        <v>250000</v>
      </c>
      <c r="I105" s="26" t="s">
        <v>26</v>
      </c>
      <c r="J105" s="26" t="s">
        <v>28</v>
      </c>
      <c r="K105" s="26">
        <v>2</v>
      </c>
      <c r="L105" s="26">
        <v>0.75739999999999996</v>
      </c>
      <c r="M105" s="26">
        <v>3.6683699999999998E-3</v>
      </c>
      <c r="N105" s="26">
        <v>2.7789999999999998E-3</v>
      </c>
      <c r="O105" s="26">
        <v>0</v>
      </c>
      <c r="P105" s="26">
        <v>0.112995</v>
      </c>
      <c r="Q105" s="26">
        <v>0</v>
      </c>
      <c r="R105" s="103">
        <v>1699.67</v>
      </c>
      <c r="S105" s="26"/>
      <c r="T105" s="26"/>
      <c r="U105" s="26"/>
      <c r="V105" s="26"/>
      <c r="W105" s="26"/>
      <c r="X105" s="26"/>
      <c r="Y105" s="26"/>
      <c r="Z105" s="26"/>
    </row>
    <row r="106" spans="1:26" x14ac:dyDescent="0.3">
      <c r="A106" s="91" t="s">
        <v>880</v>
      </c>
      <c r="B106" s="26" t="s">
        <v>288</v>
      </c>
      <c r="C106" s="26">
        <v>48</v>
      </c>
      <c r="D106" s="26" t="s">
        <v>8</v>
      </c>
      <c r="E106" s="26" t="s">
        <v>104</v>
      </c>
      <c r="F106" s="26" t="s">
        <v>107</v>
      </c>
      <c r="G106" s="26">
        <v>15</v>
      </c>
      <c r="H106" s="341">
        <v>250000</v>
      </c>
      <c r="I106" s="26" t="s">
        <v>114</v>
      </c>
      <c r="J106" s="26" t="s">
        <v>28</v>
      </c>
      <c r="K106" s="26">
        <v>5</v>
      </c>
      <c r="L106" s="26">
        <v>0.7319</v>
      </c>
      <c r="M106" s="26">
        <v>5.58612E-3</v>
      </c>
      <c r="N106" s="26">
        <v>4.0889999999999998E-3</v>
      </c>
      <c r="O106" s="26">
        <v>0</v>
      </c>
      <c r="P106" s="26">
        <v>7.4329000000000006E-2</v>
      </c>
      <c r="Q106" s="26">
        <v>0</v>
      </c>
      <c r="R106" s="103">
        <v>2265.4</v>
      </c>
      <c r="S106" s="26"/>
      <c r="T106" s="26"/>
      <c r="U106" s="26"/>
      <c r="V106" s="26"/>
      <c r="W106" s="26"/>
      <c r="X106" s="26"/>
      <c r="Y106" s="26"/>
      <c r="Z106" s="26"/>
    </row>
    <row r="107" spans="1:26" x14ac:dyDescent="0.3">
      <c r="A107" s="91" t="s">
        <v>881</v>
      </c>
      <c r="B107" s="26" t="s">
        <v>288</v>
      </c>
      <c r="C107" s="26">
        <v>40</v>
      </c>
      <c r="D107" s="26" t="s">
        <v>102</v>
      </c>
      <c r="E107" s="26" t="s">
        <v>104</v>
      </c>
      <c r="F107" s="26" t="s">
        <v>16</v>
      </c>
      <c r="G107" s="26">
        <v>20</v>
      </c>
      <c r="H107" s="341">
        <v>500000</v>
      </c>
      <c r="I107" s="26" t="s">
        <v>26</v>
      </c>
      <c r="J107" s="26" t="s">
        <v>94</v>
      </c>
      <c r="K107" s="26">
        <v>5</v>
      </c>
      <c r="L107" s="26">
        <v>0.67379999999999995</v>
      </c>
      <c r="M107" s="26">
        <v>1.40459E-3</v>
      </c>
      <c r="N107" s="26">
        <v>9.4600000000000001E-4</v>
      </c>
      <c r="O107" s="26">
        <v>0</v>
      </c>
      <c r="P107" s="26">
        <v>5.8401000000000002E-2</v>
      </c>
      <c r="Q107" s="26">
        <v>0</v>
      </c>
      <c r="R107" s="103">
        <v>1583.71</v>
      </c>
      <c r="S107" s="26"/>
      <c r="T107" s="26"/>
      <c r="U107" s="26"/>
      <c r="V107" s="26"/>
      <c r="W107" s="26"/>
      <c r="X107" s="26"/>
      <c r="Y107" s="26"/>
      <c r="Z107" s="26"/>
    </row>
    <row r="108" spans="1:26" x14ac:dyDescent="0.3">
      <c r="A108" s="91" t="s">
        <v>882</v>
      </c>
      <c r="B108" s="26" t="s">
        <v>288</v>
      </c>
      <c r="C108" s="26">
        <v>39</v>
      </c>
      <c r="D108" s="26" t="s">
        <v>8</v>
      </c>
      <c r="E108" s="26" t="s">
        <v>12</v>
      </c>
      <c r="F108" s="26" t="s">
        <v>16</v>
      </c>
      <c r="G108" s="26">
        <v>25</v>
      </c>
      <c r="H108" s="341">
        <v>250000</v>
      </c>
      <c r="I108" s="26" t="s">
        <v>114</v>
      </c>
      <c r="J108" s="26" t="s">
        <v>93</v>
      </c>
      <c r="K108" s="26">
        <v>5</v>
      </c>
      <c r="L108" s="26">
        <v>0.98780000000000001</v>
      </c>
      <c r="M108" s="26">
        <v>1.06317E-3</v>
      </c>
      <c r="N108" s="26">
        <v>1.0499999999999999E-3</v>
      </c>
      <c r="O108" s="26">
        <v>0</v>
      </c>
      <c r="P108" s="26">
        <v>7.4329000000000006E-2</v>
      </c>
      <c r="Q108" s="26">
        <v>1</v>
      </c>
      <c r="R108" s="103">
        <v>1200</v>
      </c>
      <c r="S108" s="26"/>
      <c r="T108" s="26"/>
      <c r="U108" s="26"/>
      <c r="V108" s="26"/>
      <c r="W108" s="26"/>
      <c r="X108" s="26"/>
      <c r="Y108" s="26"/>
      <c r="Z108" s="26"/>
    </row>
    <row r="109" spans="1:26" x14ac:dyDescent="0.3">
      <c r="A109" s="91" t="s">
        <v>883</v>
      </c>
      <c r="B109" s="26" t="s">
        <v>288</v>
      </c>
      <c r="C109" s="26">
        <v>48</v>
      </c>
      <c r="D109" s="26" t="s">
        <v>8</v>
      </c>
      <c r="E109" s="26" t="s">
        <v>12</v>
      </c>
      <c r="F109" s="26" t="s">
        <v>16</v>
      </c>
      <c r="G109" s="26">
        <v>10</v>
      </c>
      <c r="H109" s="341">
        <v>500000</v>
      </c>
      <c r="I109" s="26" t="s">
        <v>114</v>
      </c>
      <c r="J109" s="26" t="s">
        <v>28</v>
      </c>
      <c r="K109" s="26">
        <v>7</v>
      </c>
      <c r="L109" s="26">
        <v>0.68310000000000004</v>
      </c>
      <c r="M109" s="26">
        <v>2.1842099999999998E-3</v>
      </c>
      <c r="N109" s="26">
        <v>1.4920000000000001E-3</v>
      </c>
      <c r="O109" s="26">
        <v>0</v>
      </c>
      <c r="P109" s="26">
        <v>4.7870999999999997E-2</v>
      </c>
      <c r="Q109" s="26">
        <v>0</v>
      </c>
      <c r="R109" s="103">
        <v>2043.68</v>
      </c>
      <c r="S109" s="26"/>
      <c r="T109" s="26"/>
      <c r="U109" s="26"/>
      <c r="V109" s="26"/>
      <c r="W109" s="26"/>
      <c r="X109" s="26"/>
      <c r="Y109" s="26"/>
      <c r="Z109" s="26"/>
    </row>
    <row r="110" spans="1:26" x14ac:dyDescent="0.3">
      <c r="A110" s="91" t="s">
        <v>884</v>
      </c>
      <c r="B110" s="26" t="s">
        <v>289</v>
      </c>
      <c r="C110" s="26">
        <v>60</v>
      </c>
      <c r="D110" s="26" t="s">
        <v>102</v>
      </c>
      <c r="E110" s="26" t="s">
        <v>12</v>
      </c>
      <c r="F110" s="26" t="s">
        <v>16</v>
      </c>
      <c r="G110" s="26">
        <v>20</v>
      </c>
      <c r="H110" s="341">
        <v>2000000</v>
      </c>
      <c r="I110" s="26" t="s">
        <v>114</v>
      </c>
      <c r="J110" s="26" t="s">
        <v>94</v>
      </c>
      <c r="K110" s="26">
        <v>6</v>
      </c>
      <c r="L110" s="26">
        <v>0.53049999999999997</v>
      </c>
      <c r="M110" s="26">
        <v>4.2163599999999997E-3</v>
      </c>
      <c r="N110" s="26">
        <v>2.2369999999999998E-3</v>
      </c>
      <c r="O110" s="26">
        <v>0</v>
      </c>
      <c r="P110" s="26">
        <v>5.3684999999999997E-2</v>
      </c>
      <c r="Q110" s="26">
        <v>0</v>
      </c>
      <c r="R110" s="103">
        <v>10011.66</v>
      </c>
      <c r="S110" s="26"/>
      <c r="T110" s="26"/>
      <c r="U110" s="26"/>
      <c r="V110" s="26"/>
      <c r="W110" s="26"/>
      <c r="X110" s="26"/>
      <c r="Y110" s="26"/>
      <c r="Z110" s="26"/>
    </row>
    <row r="111" spans="1:26" x14ac:dyDescent="0.3">
      <c r="A111" s="91" t="s">
        <v>885</v>
      </c>
      <c r="B111" s="26" t="s">
        <v>288</v>
      </c>
      <c r="C111" s="26">
        <v>64</v>
      </c>
      <c r="D111" s="26" t="s">
        <v>8</v>
      </c>
      <c r="E111" s="26" t="s">
        <v>12</v>
      </c>
      <c r="F111" s="26" t="s">
        <v>16</v>
      </c>
      <c r="G111" s="26">
        <v>15</v>
      </c>
      <c r="H111" s="341">
        <v>1000000</v>
      </c>
      <c r="I111" s="26" t="s">
        <v>26</v>
      </c>
      <c r="J111" s="26" t="s">
        <v>28</v>
      </c>
      <c r="K111" s="26">
        <v>7</v>
      </c>
      <c r="L111" s="26">
        <v>0.52439999999999998</v>
      </c>
      <c r="M111" s="26">
        <v>7.8558199999999995E-3</v>
      </c>
      <c r="N111" s="26">
        <v>4.1200000000000004E-3</v>
      </c>
      <c r="O111" s="26">
        <v>0</v>
      </c>
      <c r="P111" s="26">
        <v>3.7613000000000001E-2</v>
      </c>
      <c r="Q111" s="26">
        <v>0</v>
      </c>
      <c r="R111" s="103">
        <v>10299.86</v>
      </c>
      <c r="S111" s="26"/>
      <c r="T111" s="26"/>
      <c r="U111" s="26"/>
      <c r="V111" s="26"/>
      <c r="W111" s="26"/>
      <c r="X111" s="26"/>
      <c r="Y111" s="26"/>
      <c r="Z111" s="26"/>
    </row>
    <row r="112" spans="1:26" x14ac:dyDescent="0.3">
      <c r="A112" s="91" t="s">
        <v>886</v>
      </c>
      <c r="B112" s="26" t="s">
        <v>289</v>
      </c>
      <c r="C112" s="26">
        <v>57</v>
      </c>
      <c r="D112" s="26" t="s">
        <v>102</v>
      </c>
      <c r="E112" s="26" t="s">
        <v>12</v>
      </c>
      <c r="F112" s="26" t="s">
        <v>16</v>
      </c>
      <c r="G112" s="26">
        <v>10</v>
      </c>
      <c r="H112" s="341">
        <v>1000000</v>
      </c>
      <c r="I112" s="26" t="s">
        <v>26</v>
      </c>
      <c r="J112" s="26" t="s">
        <v>28</v>
      </c>
      <c r="K112" s="26">
        <v>2</v>
      </c>
      <c r="L112" s="26">
        <v>0.58299999999999996</v>
      </c>
      <c r="M112" s="26">
        <v>3.3167100000000001E-3</v>
      </c>
      <c r="N112" s="26">
        <v>1.934E-3</v>
      </c>
      <c r="O112" s="26">
        <v>0</v>
      </c>
      <c r="P112" s="26">
        <v>0.10169499999999999</v>
      </c>
      <c r="Q112" s="26">
        <v>0</v>
      </c>
      <c r="R112" s="103">
        <v>11036.88</v>
      </c>
      <c r="S112" s="26"/>
      <c r="T112" s="26"/>
      <c r="U112" s="26"/>
      <c r="V112" s="26"/>
      <c r="W112" s="26"/>
      <c r="X112" s="26"/>
      <c r="Y112" s="26"/>
      <c r="Z112" s="26"/>
    </row>
    <row r="113" spans="1:26" x14ac:dyDescent="0.3">
      <c r="A113" s="91" t="s">
        <v>887</v>
      </c>
      <c r="B113" s="26" t="s">
        <v>288</v>
      </c>
      <c r="C113" s="26">
        <v>33</v>
      </c>
      <c r="D113" s="26" t="s">
        <v>102</v>
      </c>
      <c r="E113" s="26" t="s">
        <v>12</v>
      </c>
      <c r="F113" s="26" t="s">
        <v>107</v>
      </c>
      <c r="G113" s="26">
        <v>15</v>
      </c>
      <c r="H113" s="341">
        <v>1000000</v>
      </c>
      <c r="I113" s="26" t="s">
        <v>26</v>
      </c>
      <c r="J113" s="26" t="s">
        <v>93</v>
      </c>
      <c r="K113" s="26">
        <v>1</v>
      </c>
      <c r="L113" s="26">
        <v>0.69969999999999999</v>
      </c>
      <c r="M113" s="26">
        <v>7.5369E-4</v>
      </c>
      <c r="N113" s="26">
        <v>5.2700000000000002E-4</v>
      </c>
      <c r="O113" s="26">
        <v>0</v>
      </c>
      <c r="P113" s="26">
        <v>0.14080000000000001</v>
      </c>
      <c r="Q113" s="26">
        <v>0</v>
      </c>
      <c r="R113" s="103">
        <v>1919.36</v>
      </c>
      <c r="S113" s="26"/>
      <c r="T113" s="26"/>
      <c r="U113" s="26"/>
      <c r="V113" s="26"/>
      <c r="W113" s="26"/>
      <c r="X113" s="26"/>
      <c r="Y113" s="26"/>
      <c r="Z113" s="26"/>
    </row>
    <row r="114" spans="1:26" x14ac:dyDescent="0.3">
      <c r="A114" s="91" t="s">
        <v>888</v>
      </c>
      <c r="B114" s="26" t="s">
        <v>288</v>
      </c>
      <c r="C114" s="26">
        <v>39</v>
      </c>
      <c r="D114" s="26" t="s">
        <v>8</v>
      </c>
      <c r="E114" s="26" t="s">
        <v>12</v>
      </c>
      <c r="F114" s="26" t="s">
        <v>16</v>
      </c>
      <c r="G114" s="26">
        <v>15</v>
      </c>
      <c r="H114" s="341">
        <v>500000</v>
      </c>
      <c r="I114" s="26" t="s">
        <v>114</v>
      </c>
      <c r="J114" s="26" t="s">
        <v>28</v>
      </c>
      <c r="K114" s="26">
        <v>7</v>
      </c>
      <c r="L114" s="26">
        <v>0.53859999999999997</v>
      </c>
      <c r="M114" s="26">
        <v>1.06317E-3</v>
      </c>
      <c r="N114" s="26">
        <v>5.7300000000000005E-4</v>
      </c>
      <c r="O114" s="26">
        <v>0</v>
      </c>
      <c r="P114" s="26">
        <v>4.7870999999999997E-2</v>
      </c>
      <c r="Q114" s="26">
        <v>0</v>
      </c>
      <c r="R114" s="103">
        <v>1382.27</v>
      </c>
      <c r="S114" s="26"/>
      <c r="T114" s="26"/>
      <c r="U114" s="26"/>
      <c r="V114" s="26"/>
      <c r="W114" s="26"/>
      <c r="X114" s="26"/>
      <c r="Y114" s="26"/>
      <c r="Z114" s="26"/>
    </row>
    <row r="115" spans="1:26" x14ac:dyDescent="0.3">
      <c r="A115" s="91" t="s">
        <v>889</v>
      </c>
      <c r="B115" s="26" t="s">
        <v>289</v>
      </c>
      <c r="C115" s="26">
        <v>33</v>
      </c>
      <c r="D115" s="26" t="s">
        <v>102</v>
      </c>
      <c r="E115" s="26" t="s">
        <v>12</v>
      </c>
      <c r="F115" s="26" t="s">
        <v>16</v>
      </c>
      <c r="G115" s="26">
        <v>10</v>
      </c>
      <c r="H115" s="341">
        <v>2000000</v>
      </c>
      <c r="I115" s="26" t="s">
        <v>114</v>
      </c>
      <c r="J115" s="26" t="s">
        <v>94</v>
      </c>
      <c r="K115" s="26">
        <v>2</v>
      </c>
      <c r="L115" s="26">
        <v>0.51570000000000005</v>
      </c>
      <c r="M115" s="26">
        <v>4.8624999999999997E-4</v>
      </c>
      <c r="N115" s="26">
        <v>2.5099999999999998E-4</v>
      </c>
      <c r="O115" s="26">
        <v>0</v>
      </c>
      <c r="P115" s="26">
        <v>0.12942999999999999</v>
      </c>
      <c r="Q115" s="26">
        <v>0</v>
      </c>
      <c r="R115" s="103">
        <v>11125.84</v>
      </c>
      <c r="S115" s="26"/>
      <c r="T115" s="26"/>
      <c r="U115" s="26"/>
      <c r="V115" s="26"/>
      <c r="W115" s="26"/>
      <c r="X115" s="26"/>
      <c r="Y115" s="26"/>
      <c r="Z115" s="26"/>
    </row>
    <row r="116" spans="1:26" x14ac:dyDescent="0.3">
      <c r="A116" s="91" t="s">
        <v>890</v>
      </c>
      <c r="B116" s="26" t="s">
        <v>288</v>
      </c>
      <c r="C116" s="26">
        <v>41</v>
      </c>
      <c r="D116" s="26" t="s">
        <v>102</v>
      </c>
      <c r="E116" s="26" t="s">
        <v>12</v>
      </c>
      <c r="F116" s="26" t="s">
        <v>16</v>
      </c>
      <c r="G116" s="26">
        <v>15</v>
      </c>
      <c r="H116" s="341">
        <v>1000000</v>
      </c>
      <c r="I116" s="26" t="s">
        <v>114</v>
      </c>
      <c r="J116" s="26" t="s">
        <v>28</v>
      </c>
      <c r="K116" s="26">
        <v>7</v>
      </c>
      <c r="L116" s="26">
        <v>0.8891</v>
      </c>
      <c r="M116" s="26">
        <v>9.2217000000000004E-4</v>
      </c>
      <c r="N116" s="26">
        <v>8.1999999999999998E-4</v>
      </c>
      <c r="O116" s="26">
        <v>0</v>
      </c>
      <c r="P116" s="26">
        <v>4.7870999999999997E-2</v>
      </c>
      <c r="Q116" s="26">
        <v>0</v>
      </c>
      <c r="R116" s="103">
        <v>2118.16</v>
      </c>
      <c r="S116" s="26"/>
      <c r="T116" s="26"/>
      <c r="U116" s="26"/>
      <c r="V116" s="26"/>
      <c r="W116" s="26"/>
      <c r="X116" s="26"/>
      <c r="Y116" s="26"/>
      <c r="Z116" s="26"/>
    </row>
    <row r="117" spans="1:26" x14ac:dyDescent="0.3">
      <c r="A117" s="91" t="s">
        <v>891</v>
      </c>
      <c r="B117" s="26" t="s">
        <v>288</v>
      </c>
      <c r="C117" s="26">
        <v>32</v>
      </c>
      <c r="D117" s="26" t="s">
        <v>8</v>
      </c>
      <c r="E117" s="26" t="s">
        <v>104</v>
      </c>
      <c r="F117" s="26" t="s">
        <v>16</v>
      </c>
      <c r="G117" s="26">
        <v>25</v>
      </c>
      <c r="H117" s="341">
        <v>1000000</v>
      </c>
      <c r="I117" s="26" t="s">
        <v>114</v>
      </c>
      <c r="J117" s="26" t="s">
        <v>28</v>
      </c>
      <c r="K117" s="26">
        <v>7</v>
      </c>
      <c r="L117" s="26">
        <v>0.99480000000000002</v>
      </c>
      <c r="M117" s="26">
        <v>1.0020300000000001E-3</v>
      </c>
      <c r="N117" s="26">
        <v>9.9700000000000006E-4</v>
      </c>
      <c r="O117" s="26">
        <v>0</v>
      </c>
      <c r="P117" s="26">
        <v>4.7870999999999997E-2</v>
      </c>
      <c r="Q117" s="26">
        <v>0</v>
      </c>
      <c r="R117" s="103">
        <v>2212.4</v>
      </c>
      <c r="S117" s="26"/>
      <c r="T117" s="26"/>
      <c r="U117" s="26"/>
      <c r="V117" s="26"/>
      <c r="W117" s="26"/>
      <c r="X117" s="26"/>
      <c r="Y117" s="26"/>
      <c r="Z117" s="26"/>
    </row>
    <row r="118" spans="1:26" x14ac:dyDescent="0.3">
      <c r="A118" s="91" t="s">
        <v>892</v>
      </c>
      <c r="B118" s="26" t="s">
        <v>289</v>
      </c>
      <c r="C118" s="26">
        <v>57</v>
      </c>
      <c r="D118" s="26" t="s">
        <v>102</v>
      </c>
      <c r="E118" s="26" t="s">
        <v>12</v>
      </c>
      <c r="F118" s="26" t="s">
        <v>16</v>
      </c>
      <c r="G118" s="26">
        <v>15</v>
      </c>
      <c r="H118" s="341">
        <v>2000000</v>
      </c>
      <c r="I118" s="26" t="s">
        <v>114</v>
      </c>
      <c r="J118" s="26" t="s">
        <v>94</v>
      </c>
      <c r="K118" s="26">
        <v>2</v>
      </c>
      <c r="L118" s="26">
        <v>0.82899999999999996</v>
      </c>
      <c r="M118" s="26">
        <v>3.3167100000000001E-3</v>
      </c>
      <c r="N118" s="26">
        <v>2.7490000000000001E-3</v>
      </c>
      <c r="O118" s="26">
        <v>0</v>
      </c>
      <c r="P118" s="26">
        <v>0.12942999999999999</v>
      </c>
      <c r="Q118" s="26">
        <v>0</v>
      </c>
      <c r="R118" s="103">
        <v>11589.15</v>
      </c>
      <c r="S118" s="26"/>
      <c r="T118" s="26"/>
      <c r="U118" s="26"/>
      <c r="V118" s="26"/>
      <c r="W118" s="26"/>
      <c r="X118" s="26"/>
      <c r="Y118" s="26"/>
      <c r="Z118" s="26"/>
    </row>
    <row r="119" spans="1:26" x14ac:dyDescent="0.3">
      <c r="A119" s="91" t="s">
        <v>893</v>
      </c>
      <c r="B119" s="26" t="s">
        <v>288</v>
      </c>
      <c r="C119" s="26">
        <v>62</v>
      </c>
      <c r="D119" s="26" t="s">
        <v>8</v>
      </c>
      <c r="E119" s="26" t="s">
        <v>104</v>
      </c>
      <c r="F119" s="26" t="s">
        <v>106</v>
      </c>
      <c r="G119" s="26">
        <v>10</v>
      </c>
      <c r="H119" s="341">
        <v>1000000</v>
      </c>
      <c r="I119" s="26" t="s">
        <v>114</v>
      </c>
      <c r="J119" s="26" t="s">
        <v>28</v>
      </c>
      <c r="K119" s="26">
        <v>4</v>
      </c>
      <c r="L119" s="26">
        <v>0.87539999999999996</v>
      </c>
      <c r="M119" s="26">
        <v>8.8364600000000008E-3</v>
      </c>
      <c r="N119" s="26">
        <v>7.7359999999999998E-3</v>
      </c>
      <c r="O119" s="26">
        <v>0</v>
      </c>
      <c r="P119" s="26">
        <v>9.2619999999999994E-2</v>
      </c>
      <c r="Q119" s="26">
        <v>0</v>
      </c>
      <c r="R119" s="103">
        <v>11457.02</v>
      </c>
      <c r="S119" s="26"/>
      <c r="T119" s="26"/>
      <c r="U119" s="26"/>
      <c r="V119" s="26"/>
      <c r="W119" s="26"/>
      <c r="X119" s="26"/>
      <c r="Y119" s="26"/>
      <c r="Z119" s="26"/>
    </row>
    <row r="120" spans="1:26" x14ac:dyDescent="0.3">
      <c r="A120" s="91" t="s">
        <v>894</v>
      </c>
      <c r="B120" s="26" t="s">
        <v>289</v>
      </c>
      <c r="C120" s="26">
        <v>24</v>
      </c>
      <c r="D120" s="26" t="s">
        <v>8</v>
      </c>
      <c r="E120" s="26" t="s">
        <v>12</v>
      </c>
      <c r="F120" s="26" t="s">
        <v>16</v>
      </c>
      <c r="G120" s="26">
        <v>20</v>
      </c>
      <c r="H120" s="341">
        <v>1000000</v>
      </c>
      <c r="I120" s="26" t="s">
        <v>114</v>
      </c>
      <c r="J120" s="26" t="s">
        <v>94</v>
      </c>
      <c r="K120" s="26">
        <v>2</v>
      </c>
      <c r="L120" s="26">
        <v>0.97019999999999995</v>
      </c>
      <c r="M120" s="26">
        <v>3.2022000000000002E-4</v>
      </c>
      <c r="N120" s="26">
        <v>3.1100000000000002E-4</v>
      </c>
      <c r="O120" s="26">
        <v>0</v>
      </c>
      <c r="P120" s="26">
        <v>0.12942999999999999</v>
      </c>
      <c r="Q120" s="26">
        <v>0</v>
      </c>
      <c r="R120" s="103">
        <v>13530.42</v>
      </c>
      <c r="S120" s="26"/>
      <c r="T120" s="26"/>
      <c r="U120" s="26"/>
      <c r="V120" s="26"/>
      <c r="W120" s="26"/>
      <c r="X120" s="26"/>
      <c r="Y120" s="26"/>
      <c r="Z120" s="26"/>
    </row>
    <row r="121" spans="1:26" x14ac:dyDescent="0.3">
      <c r="A121" s="91" t="s">
        <v>895</v>
      </c>
      <c r="B121" s="26" t="s">
        <v>288</v>
      </c>
      <c r="C121" s="26">
        <v>40</v>
      </c>
      <c r="D121" s="26" t="s">
        <v>102</v>
      </c>
      <c r="E121" s="26" t="s">
        <v>12</v>
      </c>
      <c r="F121" s="26" t="s">
        <v>16</v>
      </c>
      <c r="G121" s="26">
        <v>20</v>
      </c>
      <c r="H121" s="341">
        <v>1000000</v>
      </c>
      <c r="I121" s="26" t="s">
        <v>114</v>
      </c>
      <c r="J121" s="26" t="s">
        <v>94</v>
      </c>
      <c r="K121" s="26">
        <v>4</v>
      </c>
      <c r="L121" s="26">
        <v>0.71120000000000005</v>
      </c>
      <c r="M121" s="26">
        <v>8.5127E-4</v>
      </c>
      <c r="N121" s="26">
        <v>6.0499999999999996E-4</v>
      </c>
      <c r="O121" s="26">
        <v>0</v>
      </c>
      <c r="P121" s="26">
        <v>9.2619999999999994E-2</v>
      </c>
      <c r="Q121" s="26">
        <v>1</v>
      </c>
      <c r="R121" s="103">
        <v>2034.5</v>
      </c>
      <c r="S121" s="26"/>
      <c r="T121" s="26"/>
      <c r="U121" s="26"/>
      <c r="V121" s="26"/>
      <c r="W121" s="26"/>
      <c r="X121" s="26"/>
      <c r="Y121" s="26"/>
      <c r="Z121" s="26"/>
    </row>
    <row r="122" spans="1:26" x14ac:dyDescent="0.3">
      <c r="A122" s="91" t="s">
        <v>896</v>
      </c>
      <c r="B122" s="26" t="s">
        <v>289</v>
      </c>
      <c r="C122" s="26">
        <v>38</v>
      </c>
      <c r="D122" s="26" t="s">
        <v>8</v>
      </c>
      <c r="E122" s="26" t="s">
        <v>12</v>
      </c>
      <c r="F122" s="26" t="s">
        <v>106</v>
      </c>
      <c r="G122" s="26">
        <v>25</v>
      </c>
      <c r="H122" s="341">
        <v>500000</v>
      </c>
      <c r="I122" s="26" t="s">
        <v>26</v>
      </c>
      <c r="J122" s="26" t="s">
        <v>93</v>
      </c>
      <c r="K122" s="26">
        <v>7</v>
      </c>
      <c r="L122" s="26">
        <v>0.52659999999999996</v>
      </c>
      <c r="M122" s="26">
        <v>7.8514000000000003E-4</v>
      </c>
      <c r="N122" s="26">
        <v>4.1300000000000001E-4</v>
      </c>
      <c r="O122" s="26">
        <v>0</v>
      </c>
      <c r="P122" s="26">
        <v>3.3850999999999999E-2</v>
      </c>
      <c r="Q122" s="26">
        <v>0</v>
      </c>
      <c r="R122" s="103">
        <v>13063.47</v>
      </c>
      <c r="S122" s="26"/>
      <c r="T122" s="26"/>
      <c r="U122" s="26"/>
      <c r="V122" s="26"/>
      <c r="W122" s="26"/>
      <c r="X122" s="26"/>
      <c r="Y122" s="26"/>
      <c r="Z122" s="26"/>
    </row>
    <row r="123" spans="1:26" x14ac:dyDescent="0.3">
      <c r="A123" s="91" t="s">
        <v>897</v>
      </c>
      <c r="B123" s="26" t="s">
        <v>289</v>
      </c>
      <c r="C123" s="26">
        <v>26</v>
      </c>
      <c r="D123" s="26" t="s">
        <v>102</v>
      </c>
      <c r="E123" s="26" t="s">
        <v>12</v>
      </c>
      <c r="F123" s="26" t="s">
        <v>16</v>
      </c>
      <c r="G123" s="26">
        <v>25</v>
      </c>
      <c r="H123" s="341">
        <v>500000</v>
      </c>
      <c r="I123" s="26" t="s">
        <v>114</v>
      </c>
      <c r="J123" s="26" t="s">
        <v>94</v>
      </c>
      <c r="K123" s="26">
        <v>7</v>
      </c>
      <c r="L123" s="26">
        <v>0.74429999999999996</v>
      </c>
      <c r="M123" s="26">
        <v>2.7775E-4</v>
      </c>
      <c r="N123" s="26">
        <v>2.0699999999999999E-4</v>
      </c>
      <c r="O123" s="26">
        <v>0</v>
      </c>
      <c r="P123" s="26">
        <v>4.3083999999999997E-2</v>
      </c>
      <c r="Q123" s="26">
        <v>0</v>
      </c>
      <c r="R123" s="103">
        <v>12659.43</v>
      </c>
      <c r="S123" s="26"/>
      <c r="T123" s="26"/>
      <c r="U123" s="26"/>
      <c r="V123" s="26"/>
      <c r="W123" s="26"/>
      <c r="X123" s="26"/>
      <c r="Y123" s="26"/>
      <c r="Z123" s="26"/>
    </row>
    <row r="124" spans="1:26" x14ac:dyDescent="0.3">
      <c r="A124" s="91" t="s">
        <v>898</v>
      </c>
      <c r="B124" s="26" t="s">
        <v>288</v>
      </c>
      <c r="C124" s="26">
        <v>49</v>
      </c>
      <c r="D124" s="26" t="s">
        <v>8</v>
      </c>
      <c r="E124" s="26" t="s">
        <v>12</v>
      </c>
      <c r="F124" s="26" t="s">
        <v>107</v>
      </c>
      <c r="G124" s="26">
        <v>25</v>
      </c>
      <c r="H124" s="341">
        <v>250000</v>
      </c>
      <c r="I124" s="26" t="s">
        <v>114</v>
      </c>
      <c r="J124" s="26" t="s">
        <v>94</v>
      </c>
      <c r="K124" s="26">
        <v>3</v>
      </c>
      <c r="L124" s="26">
        <v>0.51459999999999995</v>
      </c>
      <c r="M124" s="26">
        <v>3.6675000000000002E-3</v>
      </c>
      <c r="N124" s="26">
        <v>1.887E-3</v>
      </c>
      <c r="O124" s="26">
        <v>0</v>
      </c>
      <c r="P124" s="26">
        <v>0.115411</v>
      </c>
      <c r="Q124" s="26">
        <v>0</v>
      </c>
      <c r="R124" s="103">
        <v>1699.41</v>
      </c>
      <c r="S124" s="26"/>
      <c r="T124" s="26"/>
      <c r="U124" s="26"/>
      <c r="V124" s="26"/>
      <c r="W124" s="26"/>
      <c r="X124" s="26"/>
      <c r="Y124" s="26"/>
      <c r="Z124" s="26"/>
    </row>
    <row r="125" spans="1:26" x14ac:dyDescent="0.3">
      <c r="A125" s="91" t="s">
        <v>899</v>
      </c>
      <c r="B125" s="26" t="s">
        <v>289</v>
      </c>
      <c r="C125" s="26">
        <v>63</v>
      </c>
      <c r="D125" s="26" t="s">
        <v>8</v>
      </c>
      <c r="E125" s="26" t="s">
        <v>12</v>
      </c>
      <c r="F125" s="26" t="s">
        <v>16</v>
      </c>
      <c r="G125" s="26">
        <v>20</v>
      </c>
      <c r="H125" s="341">
        <v>250000</v>
      </c>
      <c r="I125" s="26" t="s">
        <v>114</v>
      </c>
      <c r="J125" s="26" t="s">
        <v>94</v>
      </c>
      <c r="K125" s="26">
        <v>6</v>
      </c>
      <c r="L125" s="26">
        <v>0.88180000000000003</v>
      </c>
      <c r="M125" s="26">
        <v>7.2518299999999999E-3</v>
      </c>
      <c r="N125" s="26">
        <v>6.3949999999999996E-3</v>
      </c>
      <c r="O125" s="26">
        <v>0</v>
      </c>
      <c r="P125" s="26">
        <v>5.3684999999999997E-2</v>
      </c>
      <c r="Q125" s="26">
        <v>0</v>
      </c>
      <c r="R125" s="103">
        <v>11509.89</v>
      </c>
      <c r="S125" s="26"/>
      <c r="T125" s="26"/>
      <c r="U125" s="26"/>
      <c r="V125" s="26"/>
      <c r="W125" s="26"/>
      <c r="X125" s="26"/>
      <c r="Y125" s="26"/>
      <c r="Z125" s="26"/>
    </row>
    <row r="126" spans="1:26" x14ac:dyDescent="0.3">
      <c r="A126" s="91" t="s">
        <v>900</v>
      </c>
      <c r="B126" s="26" t="s">
        <v>289</v>
      </c>
      <c r="C126" s="26">
        <v>22</v>
      </c>
      <c r="D126" s="26" t="s">
        <v>8</v>
      </c>
      <c r="E126" s="26" t="s">
        <v>12</v>
      </c>
      <c r="F126" s="26" t="s">
        <v>16</v>
      </c>
      <c r="G126" s="26">
        <v>25</v>
      </c>
      <c r="H126" s="341">
        <v>1000000</v>
      </c>
      <c r="I126" s="26" t="s">
        <v>114</v>
      </c>
      <c r="J126" s="26" t="s">
        <v>28</v>
      </c>
      <c r="K126" s="26">
        <v>4</v>
      </c>
      <c r="L126" s="26">
        <v>0.70589999999999997</v>
      </c>
      <c r="M126" s="26">
        <v>2.7286999999999998E-4</v>
      </c>
      <c r="N126" s="26">
        <v>1.93E-4</v>
      </c>
      <c r="O126" s="26">
        <v>0</v>
      </c>
      <c r="P126" s="26">
        <v>8.3358000000000002E-2</v>
      </c>
      <c r="Q126" s="26">
        <v>0</v>
      </c>
      <c r="R126" s="103">
        <v>9421.7099999999991</v>
      </c>
      <c r="S126" s="26"/>
      <c r="T126" s="26"/>
      <c r="U126" s="26"/>
      <c r="V126" s="26"/>
      <c r="W126" s="26"/>
      <c r="X126" s="26"/>
      <c r="Y126" s="26"/>
      <c r="Z126" s="26"/>
    </row>
    <row r="127" spans="1:26" x14ac:dyDescent="0.3">
      <c r="A127" s="91" t="s">
        <v>901</v>
      </c>
      <c r="B127" s="26" t="s">
        <v>289</v>
      </c>
      <c r="C127" s="26">
        <v>39</v>
      </c>
      <c r="D127" s="26" t="s">
        <v>102</v>
      </c>
      <c r="E127" s="26" t="s">
        <v>12</v>
      </c>
      <c r="F127" s="26" t="s">
        <v>16</v>
      </c>
      <c r="G127" s="26">
        <v>15</v>
      </c>
      <c r="H127" s="341">
        <v>500000</v>
      </c>
      <c r="I127" s="26" t="s">
        <v>114</v>
      </c>
      <c r="J127" s="26" t="s">
        <v>93</v>
      </c>
      <c r="K127" s="26">
        <v>3</v>
      </c>
      <c r="L127" s="26">
        <v>0.51380000000000003</v>
      </c>
      <c r="M127" s="26">
        <v>7.8582000000000001E-4</v>
      </c>
      <c r="N127" s="26">
        <v>4.0400000000000001E-4</v>
      </c>
      <c r="O127" s="26">
        <v>0</v>
      </c>
      <c r="P127" s="26">
        <v>0.10387</v>
      </c>
      <c r="Q127" s="26">
        <v>0</v>
      </c>
      <c r="R127" s="103">
        <v>8039.13</v>
      </c>
      <c r="S127" s="26"/>
      <c r="T127" s="26"/>
      <c r="U127" s="26"/>
      <c r="V127" s="26"/>
      <c r="W127" s="26"/>
      <c r="X127" s="26"/>
      <c r="Y127" s="26"/>
      <c r="Z127" s="26"/>
    </row>
    <row r="128" spans="1:26" x14ac:dyDescent="0.3">
      <c r="A128" s="91" t="s">
        <v>902</v>
      </c>
      <c r="B128" s="26" t="s">
        <v>288</v>
      </c>
      <c r="C128" s="26">
        <v>37</v>
      </c>
      <c r="D128" s="26" t="s">
        <v>8</v>
      </c>
      <c r="E128" s="26" t="s">
        <v>12</v>
      </c>
      <c r="F128" s="26" t="s">
        <v>106</v>
      </c>
      <c r="G128" s="26">
        <v>15</v>
      </c>
      <c r="H128" s="341">
        <v>1000000</v>
      </c>
      <c r="I128" s="26" t="s">
        <v>114</v>
      </c>
      <c r="J128" s="26" t="s">
        <v>28</v>
      </c>
      <c r="K128" s="26">
        <v>2</v>
      </c>
      <c r="L128" s="26">
        <v>0.80100000000000005</v>
      </c>
      <c r="M128" s="26">
        <v>7.2477999999999996E-4</v>
      </c>
      <c r="N128" s="26">
        <v>5.8100000000000003E-4</v>
      </c>
      <c r="O128" s="26">
        <v>0</v>
      </c>
      <c r="P128" s="26">
        <v>0.14381099999999999</v>
      </c>
      <c r="Q128" s="26">
        <v>0</v>
      </c>
      <c r="R128" s="103">
        <v>1885.24</v>
      </c>
      <c r="S128" s="26"/>
      <c r="T128" s="26"/>
      <c r="U128" s="26"/>
      <c r="V128" s="26"/>
      <c r="W128" s="26"/>
      <c r="X128" s="26"/>
      <c r="Y128" s="26"/>
      <c r="Z128" s="26"/>
    </row>
    <row r="129" spans="1:26" x14ac:dyDescent="0.3">
      <c r="A129" s="91" t="s">
        <v>903</v>
      </c>
      <c r="B129" s="26" t="s">
        <v>288</v>
      </c>
      <c r="C129" s="26">
        <v>55</v>
      </c>
      <c r="D129" s="26" t="s">
        <v>102</v>
      </c>
      <c r="E129" s="26" t="s">
        <v>12</v>
      </c>
      <c r="F129" s="26" t="s">
        <v>16</v>
      </c>
      <c r="G129" s="26">
        <v>15</v>
      </c>
      <c r="H129" s="341">
        <v>500000</v>
      </c>
      <c r="I129" s="26" t="s">
        <v>114</v>
      </c>
      <c r="J129" s="26" t="s">
        <v>28</v>
      </c>
      <c r="K129" s="26">
        <v>1</v>
      </c>
      <c r="L129" s="26">
        <v>0.84989999999999999</v>
      </c>
      <c r="M129" s="26">
        <v>2.8263099999999998E-3</v>
      </c>
      <c r="N129" s="26">
        <v>2.4020000000000001E-3</v>
      </c>
      <c r="O129" s="26">
        <v>0</v>
      </c>
      <c r="P129" s="26">
        <v>0.1792</v>
      </c>
      <c r="Q129" s="26">
        <v>0</v>
      </c>
      <c r="R129" s="103">
        <v>2422.5300000000002</v>
      </c>
      <c r="S129" s="26"/>
      <c r="T129" s="26"/>
      <c r="U129" s="26"/>
      <c r="V129" s="26"/>
      <c r="W129" s="26"/>
      <c r="X129" s="26"/>
      <c r="Y129" s="26"/>
      <c r="Z129" s="26"/>
    </row>
    <row r="130" spans="1:26" x14ac:dyDescent="0.3">
      <c r="A130" s="91" t="s">
        <v>904</v>
      </c>
      <c r="B130" s="26" t="s">
        <v>288</v>
      </c>
      <c r="C130" s="26">
        <v>50</v>
      </c>
      <c r="D130" s="26" t="s">
        <v>102</v>
      </c>
      <c r="E130" s="26" t="s">
        <v>12</v>
      </c>
      <c r="F130" s="26" t="s">
        <v>106</v>
      </c>
      <c r="G130" s="26">
        <v>25</v>
      </c>
      <c r="H130" s="341">
        <v>500000</v>
      </c>
      <c r="I130" s="26" t="s">
        <v>26</v>
      </c>
      <c r="J130" s="26" t="s">
        <v>93</v>
      </c>
      <c r="K130" s="26">
        <v>6</v>
      </c>
      <c r="L130" s="26">
        <v>0.95699999999999996</v>
      </c>
      <c r="M130" s="26">
        <v>1.51563E-3</v>
      </c>
      <c r="N130" s="26">
        <v>1.451E-3</v>
      </c>
      <c r="O130" s="26">
        <v>0</v>
      </c>
      <c r="P130" s="26">
        <v>4.6868E-2</v>
      </c>
      <c r="Q130" s="26">
        <v>0</v>
      </c>
      <c r="R130" s="103">
        <v>1649.22</v>
      </c>
      <c r="S130" s="26"/>
      <c r="T130" s="26"/>
      <c r="U130" s="26"/>
      <c r="V130" s="26"/>
      <c r="W130" s="26"/>
      <c r="X130" s="26"/>
      <c r="Y130" s="26"/>
      <c r="Z130" s="26"/>
    </row>
    <row r="131" spans="1:26" x14ac:dyDescent="0.3">
      <c r="A131" s="91" t="s">
        <v>905</v>
      </c>
      <c r="B131" s="26" t="s">
        <v>288</v>
      </c>
      <c r="C131" s="26">
        <v>64</v>
      </c>
      <c r="D131" s="26" t="s">
        <v>102</v>
      </c>
      <c r="E131" s="26" t="s">
        <v>12</v>
      </c>
      <c r="F131" s="26" t="s">
        <v>16</v>
      </c>
      <c r="G131" s="26">
        <v>10</v>
      </c>
      <c r="H131" s="341">
        <v>250000</v>
      </c>
      <c r="I131" s="26" t="s">
        <v>26</v>
      </c>
      <c r="J131" s="26" t="s">
        <v>93</v>
      </c>
      <c r="K131" s="26">
        <v>7</v>
      </c>
      <c r="L131" s="26">
        <v>0.81669999999999998</v>
      </c>
      <c r="M131" s="26">
        <v>5.8064700000000002E-3</v>
      </c>
      <c r="N131" s="26">
        <v>4.7419999999999997E-3</v>
      </c>
      <c r="O131" s="26">
        <v>0</v>
      </c>
      <c r="P131" s="26">
        <v>3.7613000000000001E-2</v>
      </c>
      <c r="Q131" s="26">
        <v>0</v>
      </c>
      <c r="R131" s="103">
        <v>2330.41</v>
      </c>
      <c r="S131" s="26"/>
      <c r="T131" s="26"/>
      <c r="U131" s="26"/>
      <c r="V131" s="26"/>
      <c r="W131" s="26"/>
      <c r="X131" s="26"/>
      <c r="Y131" s="26"/>
      <c r="Z131" s="26"/>
    </row>
    <row r="132" spans="1:26" x14ac:dyDescent="0.3">
      <c r="A132" s="91" t="s">
        <v>906</v>
      </c>
      <c r="B132" s="26" t="s">
        <v>289</v>
      </c>
      <c r="C132" s="26">
        <v>34</v>
      </c>
      <c r="D132" s="26" t="s">
        <v>102</v>
      </c>
      <c r="E132" s="26" t="s">
        <v>12</v>
      </c>
      <c r="F132" s="26" t="s">
        <v>106</v>
      </c>
      <c r="G132" s="26">
        <v>25</v>
      </c>
      <c r="H132" s="341">
        <v>500000</v>
      </c>
      <c r="I132" s="26" t="s">
        <v>26</v>
      </c>
      <c r="J132" s="26" t="s">
        <v>93</v>
      </c>
      <c r="K132" s="26">
        <v>6</v>
      </c>
      <c r="L132" s="26">
        <v>0.70050000000000001</v>
      </c>
      <c r="M132" s="26">
        <v>4.214E-4</v>
      </c>
      <c r="N132" s="26">
        <v>2.9500000000000001E-4</v>
      </c>
      <c r="O132" s="26">
        <v>0</v>
      </c>
      <c r="P132" s="26">
        <v>4.2181000000000003E-2</v>
      </c>
      <c r="Q132" s="26">
        <v>0</v>
      </c>
      <c r="R132" s="103">
        <v>9743.4</v>
      </c>
      <c r="S132" s="26"/>
      <c r="T132" s="26"/>
      <c r="U132" s="26"/>
      <c r="V132" s="26"/>
      <c r="W132" s="26"/>
      <c r="X132" s="26"/>
      <c r="Y132" s="26"/>
      <c r="Z132" s="26"/>
    </row>
    <row r="133" spans="1:26" x14ac:dyDescent="0.3">
      <c r="A133" s="91" t="s">
        <v>907</v>
      </c>
      <c r="B133" s="26" t="s">
        <v>288</v>
      </c>
      <c r="C133" s="26">
        <v>34</v>
      </c>
      <c r="D133" s="26" t="s">
        <v>8</v>
      </c>
      <c r="E133" s="26" t="s">
        <v>12</v>
      </c>
      <c r="F133" s="26" t="s">
        <v>106</v>
      </c>
      <c r="G133" s="26">
        <v>20</v>
      </c>
      <c r="H133" s="341">
        <v>500000</v>
      </c>
      <c r="I133" s="26" t="s">
        <v>114</v>
      </c>
      <c r="J133" s="26" t="s">
        <v>28</v>
      </c>
      <c r="K133" s="26">
        <v>6</v>
      </c>
      <c r="L133" s="26">
        <v>0.90129999999999999</v>
      </c>
      <c r="M133" s="26">
        <v>5.7012999999999996E-4</v>
      </c>
      <c r="N133" s="26">
        <v>5.1400000000000003E-4</v>
      </c>
      <c r="O133" s="26">
        <v>0</v>
      </c>
      <c r="P133" s="26">
        <v>5.9650000000000002E-2</v>
      </c>
      <c r="Q133" s="26">
        <v>0</v>
      </c>
      <c r="R133" s="103">
        <v>1200</v>
      </c>
      <c r="S133" s="26"/>
      <c r="T133" s="26"/>
      <c r="U133" s="26"/>
      <c r="V133" s="26"/>
      <c r="W133" s="26"/>
      <c r="X133" s="26"/>
      <c r="Y133" s="26"/>
      <c r="Z133" s="26"/>
    </row>
    <row r="134" spans="1:26" x14ac:dyDescent="0.3">
      <c r="A134" s="91" t="s">
        <v>908</v>
      </c>
      <c r="B134" s="26" t="s">
        <v>289</v>
      </c>
      <c r="C134" s="26">
        <v>33</v>
      </c>
      <c r="D134" s="26" t="s">
        <v>8</v>
      </c>
      <c r="E134" s="26" t="s">
        <v>12</v>
      </c>
      <c r="F134" s="26" t="s">
        <v>16</v>
      </c>
      <c r="G134" s="26">
        <v>10</v>
      </c>
      <c r="H134" s="341">
        <v>500000</v>
      </c>
      <c r="I134" s="26" t="s">
        <v>114</v>
      </c>
      <c r="J134" s="26" t="s">
        <v>94</v>
      </c>
      <c r="K134" s="26">
        <v>7</v>
      </c>
      <c r="L134" s="26">
        <v>0.95330000000000004</v>
      </c>
      <c r="M134" s="26">
        <v>6.5786999999999996E-4</v>
      </c>
      <c r="N134" s="26">
        <v>6.2699999999999995E-4</v>
      </c>
      <c r="O134" s="26">
        <v>0</v>
      </c>
      <c r="P134" s="26">
        <v>4.3083999999999997E-2</v>
      </c>
      <c r="Q134" s="26">
        <v>0</v>
      </c>
      <c r="R134" s="103">
        <v>10724.06</v>
      </c>
      <c r="S134" s="26"/>
      <c r="T134" s="26"/>
      <c r="U134" s="26"/>
      <c r="V134" s="26"/>
      <c r="W134" s="26"/>
      <c r="X134" s="26"/>
      <c r="Y134" s="26"/>
      <c r="Z134" s="26"/>
    </row>
    <row r="135" spans="1:26" x14ac:dyDescent="0.3">
      <c r="A135" s="91" t="s">
        <v>909</v>
      </c>
      <c r="B135" s="26" t="s">
        <v>289</v>
      </c>
      <c r="C135" s="26">
        <v>47</v>
      </c>
      <c r="D135" s="26" t="s">
        <v>8</v>
      </c>
      <c r="E135" s="26" t="s">
        <v>12</v>
      </c>
      <c r="F135" s="26" t="s">
        <v>16</v>
      </c>
      <c r="G135" s="26">
        <v>15</v>
      </c>
      <c r="H135" s="341">
        <v>500000</v>
      </c>
      <c r="I135" s="26" t="s">
        <v>26</v>
      </c>
      <c r="J135" s="26" t="s">
        <v>28</v>
      </c>
      <c r="K135" s="26">
        <v>6</v>
      </c>
      <c r="L135" s="26">
        <v>0.98980000000000001</v>
      </c>
      <c r="M135" s="26">
        <v>2.0162800000000001E-3</v>
      </c>
      <c r="N135" s="26">
        <v>1.9959999999999999E-3</v>
      </c>
      <c r="O135" s="26">
        <v>0</v>
      </c>
      <c r="P135" s="26">
        <v>4.2181000000000003E-2</v>
      </c>
      <c r="Q135" s="26">
        <v>0</v>
      </c>
      <c r="R135" s="103">
        <v>14374.51</v>
      </c>
      <c r="S135" s="26"/>
      <c r="T135" s="26"/>
      <c r="U135" s="26"/>
      <c r="V135" s="26"/>
      <c r="W135" s="26"/>
      <c r="X135" s="26"/>
      <c r="Y135" s="26"/>
      <c r="Z135" s="26"/>
    </row>
    <row r="136" spans="1:26" x14ac:dyDescent="0.3">
      <c r="A136" s="91" t="s">
        <v>910</v>
      </c>
      <c r="B136" s="26" t="s">
        <v>289</v>
      </c>
      <c r="C136" s="26">
        <v>34</v>
      </c>
      <c r="D136" s="26" t="s">
        <v>8</v>
      </c>
      <c r="E136" s="26" t="s">
        <v>12</v>
      </c>
      <c r="F136" s="26" t="s">
        <v>16</v>
      </c>
      <c r="G136" s="26">
        <v>15</v>
      </c>
      <c r="H136" s="341">
        <v>1000000</v>
      </c>
      <c r="I136" s="26" t="s">
        <v>26</v>
      </c>
      <c r="J136" s="26" t="s">
        <v>93</v>
      </c>
      <c r="K136" s="26">
        <v>4</v>
      </c>
      <c r="L136" s="26">
        <v>0.50549999999999995</v>
      </c>
      <c r="M136" s="26">
        <v>7.1266000000000005E-4</v>
      </c>
      <c r="N136" s="26">
        <v>3.6000000000000002E-4</v>
      </c>
      <c r="O136" s="26">
        <v>0</v>
      </c>
      <c r="P136" s="26">
        <v>6.5494999999999998E-2</v>
      </c>
      <c r="Q136" s="26">
        <v>0</v>
      </c>
      <c r="R136" s="103">
        <v>10694.72</v>
      </c>
      <c r="S136" s="26"/>
      <c r="T136" s="26"/>
      <c r="U136" s="26"/>
      <c r="V136" s="26"/>
      <c r="W136" s="26"/>
      <c r="X136" s="26"/>
      <c r="Y136" s="26"/>
      <c r="Z136" s="26"/>
    </row>
    <row r="137" spans="1:26" x14ac:dyDescent="0.3">
      <c r="A137" s="91" t="s">
        <v>911</v>
      </c>
      <c r="B137" s="26" t="s">
        <v>288</v>
      </c>
      <c r="C137" s="26">
        <v>21</v>
      </c>
      <c r="D137" s="26" t="s">
        <v>8</v>
      </c>
      <c r="E137" s="26" t="s">
        <v>12</v>
      </c>
      <c r="F137" s="26" t="s">
        <v>16</v>
      </c>
      <c r="G137" s="26">
        <v>10</v>
      </c>
      <c r="H137" s="341">
        <v>250000</v>
      </c>
      <c r="I137" s="26" t="s">
        <v>26</v>
      </c>
      <c r="J137" s="26" t="s">
        <v>28</v>
      </c>
      <c r="K137" s="26">
        <v>5</v>
      </c>
      <c r="L137" s="26">
        <v>0.87290000000000001</v>
      </c>
      <c r="M137" s="26">
        <v>2.5189E-4</v>
      </c>
      <c r="N137" s="26">
        <v>2.2000000000000001E-4</v>
      </c>
      <c r="O137" s="26">
        <v>0</v>
      </c>
      <c r="P137" s="26">
        <v>5.8401000000000002E-2</v>
      </c>
      <c r="Q137" s="26">
        <v>0</v>
      </c>
      <c r="R137" s="103">
        <v>1200</v>
      </c>
      <c r="S137" s="26"/>
      <c r="T137" s="26"/>
      <c r="U137" s="26"/>
      <c r="V137" s="26"/>
      <c r="W137" s="26"/>
      <c r="X137" s="26"/>
      <c r="Y137" s="26"/>
      <c r="Z137" s="26"/>
    </row>
    <row r="138" spans="1:26" x14ac:dyDescent="0.3">
      <c r="A138" s="91" t="s">
        <v>912</v>
      </c>
      <c r="B138" s="26" t="s">
        <v>289</v>
      </c>
      <c r="C138" s="26">
        <v>20</v>
      </c>
      <c r="D138" s="26" t="s">
        <v>102</v>
      </c>
      <c r="E138" s="26" t="s">
        <v>12</v>
      </c>
      <c r="F138" s="26" t="s">
        <v>107</v>
      </c>
      <c r="G138" s="26">
        <v>10</v>
      </c>
      <c r="H138" s="341">
        <v>2000000</v>
      </c>
      <c r="I138" s="26" t="s">
        <v>114</v>
      </c>
      <c r="J138" s="26" t="s">
        <v>28</v>
      </c>
      <c r="K138" s="26">
        <v>7</v>
      </c>
      <c r="L138" s="26">
        <v>0.72040000000000004</v>
      </c>
      <c r="M138" s="26">
        <v>2.6640000000000002E-4</v>
      </c>
      <c r="N138" s="26">
        <v>1.92E-4</v>
      </c>
      <c r="O138" s="26">
        <v>0</v>
      </c>
      <c r="P138" s="26">
        <v>4.3083999999999997E-2</v>
      </c>
      <c r="Q138" s="26">
        <v>0</v>
      </c>
      <c r="R138" s="103">
        <v>12351.36</v>
      </c>
      <c r="S138" s="26"/>
      <c r="T138" s="26"/>
      <c r="U138" s="26"/>
      <c r="V138" s="26"/>
      <c r="W138" s="26"/>
      <c r="X138" s="26"/>
      <c r="Y138" s="26"/>
      <c r="Z138" s="26"/>
    </row>
    <row r="139" spans="1:26" x14ac:dyDescent="0.3">
      <c r="A139" s="91" t="s">
        <v>913</v>
      </c>
      <c r="B139" s="26" t="s">
        <v>288</v>
      </c>
      <c r="C139" s="26">
        <v>59</v>
      </c>
      <c r="D139" s="26" t="s">
        <v>102</v>
      </c>
      <c r="E139" s="26" t="s">
        <v>12</v>
      </c>
      <c r="F139" s="26" t="s">
        <v>16</v>
      </c>
      <c r="G139" s="26">
        <v>25</v>
      </c>
      <c r="H139" s="341">
        <v>250000</v>
      </c>
      <c r="I139" s="26" t="s">
        <v>26</v>
      </c>
      <c r="J139" s="26" t="s">
        <v>93</v>
      </c>
      <c r="K139" s="26">
        <v>1</v>
      </c>
      <c r="L139" s="26">
        <v>0.58809999999999996</v>
      </c>
      <c r="M139" s="26">
        <v>3.8922000000000002E-3</v>
      </c>
      <c r="N139" s="26">
        <v>2.2889999999999998E-3</v>
      </c>
      <c r="O139" s="26">
        <v>0</v>
      </c>
      <c r="P139" s="26">
        <v>0.14080000000000001</v>
      </c>
      <c r="Q139" s="26">
        <v>0</v>
      </c>
      <c r="R139" s="103">
        <v>1765.7</v>
      </c>
      <c r="S139" s="26"/>
      <c r="T139" s="26"/>
      <c r="U139" s="26"/>
      <c r="V139" s="26"/>
      <c r="W139" s="26"/>
      <c r="X139" s="26"/>
      <c r="Y139" s="26"/>
      <c r="Z139" s="26"/>
    </row>
    <row r="140" spans="1:26" x14ac:dyDescent="0.3">
      <c r="A140" s="91" t="s">
        <v>914</v>
      </c>
      <c r="B140" s="26" t="s">
        <v>289</v>
      </c>
      <c r="C140" s="26">
        <v>42</v>
      </c>
      <c r="D140" s="26" t="s">
        <v>102</v>
      </c>
      <c r="E140" s="26" t="s">
        <v>12</v>
      </c>
      <c r="F140" s="26" t="s">
        <v>16</v>
      </c>
      <c r="G140" s="26">
        <v>10</v>
      </c>
      <c r="H140" s="341">
        <v>250000</v>
      </c>
      <c r="I140" s="26" t="s">
        <v>26</v>
      </c>
      <c r="J140" s="26" t="s">
        <v>94</v>
      </c>
      <c r="K140" s="26">
        <v>3</v>
      </c>
      <c r="L140" s="26">
        <v>0.65300000000000002</v>
      </c>
      <c r="M140" s="26">
        <v>9.9897000000000007E-4</v>
      </c>
      <c r="N140" s="26">
        <v>6.5200000000000002E-4</v>
      </c>
      <c r="O140" s="26">
        <v>0</v>
      </c>
      <c r="P140" s="26">
        <v>8.1612000000000004E-2</v>
      </c>
      <c r="Q140" s="26">
        <v>0</v>
      </c>
      <c r="R140" s="103">
        <v>12307.57</v>
      </c>
      <c r="S140" s="26"/>
      <c r="T140" s="26"/>
      <c r="U140" s="26"/>
      <c r="V140" s="26"/>
      <c r="W140" s="26"/>
      <c r="X140" s="26"/>
      <c r="Y140" s="26"/>
      <c r="Z140" s="26"/>
    </row>
    <row r="141" spans="1:26" x14ac:dyDescent="0.3">
      <c r="A141" s="91" t="s">
        <v>915</v>
      </c>
      <c r="B141" s="26" t="s">
        <v>289</v>
      </c>
      <c r="C141" s="26">
        <v>56</v>
      </c>
      <c r="D141" s="26" t="s">
        <v>102</v>
      </c>
      <c r="E141" s="26" t="s">
        <v>104</v>
      </c>
      <c r="F141" s="26" t="s">
        <v>16</v>
      </c>
      <c r="G141" s="26">
        <v>10</v>
      </c>
      <c r="H141" s="341">
        <v>1000000</v>
      </c>
      <c r="I141" s="26" t="s">
        <v>114</v>
      </c>
      <c r="J141" s="26" t="s">
        <v>28</v>
      </c>
      <c r="K141" s="26">
        <v>6</v>
      </c>
      <c r="L141" s="26">
        <v>0.69620000000000004</v>
      </c>
      <c r="M141" s="26">
        <v>5.0518200000000003E-3</v>
      </c>
      <c r="N141" s="26">
        <v>3.5170000000000002E-3</v>
      </c>
      <c r="O141" s="26">
        <v>0</v>
      </c>
      <c r="P141" s="26">
        <v>5.3684999999999997E-2</v>
      </c>
      <c r="Q141" s="26">
        <v>0</v>
      </c>
      <c r="R141" s="103">
        <v>10933.5</v>
      </c>
      <c r="S141" s="26"/>
      <c r="T141" s="26"/>
      <c r="U141" s="26"/>
      <c r="V141" s="26"/>
      <c r="W141" s="26"/>
      <c r="X141" s="26"/>
      <c r="Y141" s="26"/>
      <c r="Z141" s="26"/>
    </row>
    <row r="142" spans="1:26" x14ac:dyDescent="0.3">
      <c r="A142" s="91" t="s">
        <v>916</v>
      </c>
      <c r="B142" s="26" t="s">
        <v>289</v>
      </c>
      <c r="C142" s="26">
        <v>51</v>
      </c>
      <c r="D142" s="26" t="s">
        <v>8</v>
      </c>
      <c r="E142" s="26" t="s">
        <v>12</v>
      </c>
      <c r="F142" s="26" t="s">
        <v>16</v>
      </c>
      <c r="G142" s="26">
        <v>25</v>
      </c>
      <c r="H142" s="341">
        <v>500000</v>
      </c>
      <c r="I142" s="26" t="s">
        <v>114</v>
      </c>
      <c r="J142" s="26" t="s">
        <v>94</v>
      </c>
      <c r="K142" s="26">
        <v>7</v>
      </c>
      <c r="L142" s="26">
        <v>0.53149999999999997</v>
      </c>
      <c r="M142" s="26">
        <v>2.7766800000000001E-3</v>
      </c>
      <c r="N142" s="26">
        <v>1.4760000000000001E-3</v>
      </c>
      <c r="O142" s="26">
        <v>0</v>
      </c>
      <c r="P142" s="26">
        <v>4.3083999999999997E-2</v>
      </c>
      <c r="Q142" s="26">
        <v>0</v>
      </c>
      <c r="R142" s="103">
        <v>13016.05</v>
      </c>
      <c r="S142" s="26"/>
      <c r="T142" s="26"/>
      <c r="U142" s="26"/>
      <c r="V142" s="26"/>
      <c r="W142" s="26"/>
      <c r="X142" s="26"/>
      <c r="Y142" s="26"/>
      <c r="Z142" s="26"/>
    </row>
    <row r="143" spans="1:26" x14ac:dyDescent="0.3">
      <c r="A143" s="91" t="s">
        <v>917</v>
      </c>
      <c r="B143" s="26" t="s">
        <v>288</v>
      </c>
      <c r="C143" s="26">
        <v>41</v>
      </c>
      <c r="D143" s="26" t="s">
        <v>8</v>
      </c>
      <c r="E143" s="26" t="s">
        <v>12</v>
      </c>
      <c r="F143" s="26" t="s">
        <v>16</v>
      </c>
      <c r="G143" s="26">
        <v>20</v>
      </c>
      <c r="H143" s="341">
        <v>1000000</v>
      </c>
      <c r="I143" s="26" t="s">
        <v>26</v>
      </c>
      <c r="J143" s="26" t="s">
        <v>93</v>
      </c>
      <c r="K143" s="26">
        <v>3</v>
      </c>
      <c r="L143" s="26">
        <v>0.55159999999999998</v>
      </c>
      <c r="M143" s="26">
        <v>1.2476399999999999E-3</v>
      </c>
      <c r="N143" s="26">
        <v>6.8800000000000003E-4</v>
      </c>
      <c r="O143" s="26">
        <v>0</v>
      </c>
      <c r="P143" s="26">
        <v>9.0679999999999997E-2</v>
      </c>
      <c r="Q143" s="26">
        <v>0</v>
      </c>
      <c r="R143" s="103">
        <v>2502.2199999999998</v>
      </c>
      <c r="S143" s="26"/>
      <c r="T143" s="26"/>
      <c r="U143" s="26"/>
      <c r="V143" s="26"/>
      <c r="W143" s="26"/>
      <c r="X143" s="26"/>
      <c r="Y143" s="26"/>
      <c r="Z143" s="26"/>
    </row>
    <row r="144" spans="1:26" x14ac:dyDescent="0.3">
      <c r="A144" s="91" t="s">
        <v>918</v>
      </c>
      <c r="B144" s="26" t="s">
        <v>288</v>
      </c>
      <c r="C144" s="26">
        <v>30</v>
      </c>
      <c r="D144" s="26" t="s">
        <v>8</v>
      </c>
      <c r="E144" s="26" t="s">
        <v>104</v>
      </c>
      <c r="F144" s="26" t="s">
        <v>107</v>
      </c>
      <c r="G144" s="26">
        <v>10</v>
      </c>
      <c r="H144" s="341">
        <v>500000</v>
      </c>
      <c r="I144" s="26" t="s">
        <v>114</v>
      </c>
      <c r="J144" s="26" t="s">
        <v>94</v>
      </c>
      <c r="K144" s="26">
        <v>5</v>
      </c>
      <c r="L144" s="26">
        <v>0.73629999999999995</v>
      </c>
      <c r="M144" s="26">
        <v>1.32351E-3</v>
      </c>
      <c r="N144" s="26">
        <v>9.7400000000000004E-4</v>
      </c>
      <c r="O144" s="26">
        <v>0</v>
      </c>
      <c r="P144" s="26">
        <v>7.4329000000000006E-2</v>
      </c>
      <c r="Q144" s="26">
        <v>0</v>
      </c>
      <c r="R144" s="103">
        <v>1535.87</v>
      </c>
      <c r="S144" s="26"/>
      <c r="T144" s="26"/>
      <c r="U144" s="26"/>
      <c r="V144" s="26"/>
      <c r="W144" s="26"/>
      <c r="X144" s="26"/>
      <c r="Y144" s="26"/>
      <c r="Z144" s="26"/>
    </row>
    <row r="145" spans="1:26" x14ac:dyDescent="0.3">
      <c r="A145" s="91" t="s">
        <v>919</v>
      </c>
      <c r="B145" s="26" t="s">
        <v>288</v>
      </c>
      <c r="C145" s="26">
        <v>28</v>
      </c>
      <c r="D145" s="26" t="s">
        <v>8</v>
      </c>
      <c r="E145" s="26" t="s">
        <v>12</v>
      </c>
      <c r="F145" s="26" t="s">
        <v>16</v>
      </c>
      <c r="G145" s="26">
        <v>20</v>
      </c>
      <c r="H145" s="341">
        <v>500000</v>
      </c>
      <c r="I145" s="26" t="s">
        <v>114</v>
      </c>
      <c r="J145" s="26" t="s">
        <v>94</v>
      </c>
      <c r="K145" s="26">
        <v>7</v>
      </c>
      <c r="L145" s="26">
        <v>0.72899999999999998</v>
      </c>
      <c r="M145" s="26">
        <v>4.4098E-4</v>
      </c>
      <c r="N145" s="26">
        <v>3.21E-4</v>
      </c>
      <c r="O145" s="26">
        <v>0</v>
      </c>
      <c r="P145" s="26">
        <v>4.7870999999999997E-2</v>
      </c>
      <c r="Q145" s="26">
        <v>1</v>
      </c>
      <c r="R145" s="103">
        <v>1200</v>
      </c>
      <c r="S145" s="26"/>
      <c r="T145" s="26"/>
      <c r="U145" s="26"/>
      <c r="V145" s="26"/>
      <c r="W145" s="26"/>
      <c r="X145" s="26"/>
      <c r="Y145" s="26"/>
      <c r="Z145" s="26"/>
    </row>
    <row r="146" spans="1:26" x14ac:dyDescent="0.3">
      <c r="A146" s="91" t="s">
        <v>920</v>
      </c>
      <c r="B146" s="26" t="s">
        <v>288</v>
      </c>
      <c r="C146" s="26">
        <v>23</v>
      </c>
      <c r="D146" s="26" t="s">
        <v>102</v>
      </c>
      <c r="E146" s="26" t="s">
        <v>12</v>
      </c>
      <c r="F146" s="26" t="s">
        <v>16</v>
      </c>
      <c r="G146" s="26">
        <v>20</v>
      </c>
      <c r="H146" s="341">
        <v>1000000</v>
      </c>
      <c r="I146" s="26" t="s">
        <v>26</v>
      </c>
      <c r="J146" s="26" t="s">
        <v>28</v>
      </c>
      <c r="K146" s="26">
        <v>6</v>
      </c>
      <c r="L146" s="26">
        <v>0.99780000000000002</v>
      </c>
      <c r="M146" s="26">
        <v>2.1849E-4</v>
      </c>
      <c r="N146" s="26">
        <v>2.1800000000000001E-4</v>
      </c>
      <c r="O146" s="26">
        <v>0</v>
      </c>
      <c r="P146" s="26">
        <v>4.6868E-2</v>
      </c>
      <c r="Q146" s="26">
        <v>0</v>
      </c>
      <c r="R146" s="103">
        <v>1287.82</v>
      </c>
      <c r="S146" s="26"/>
      <c r="T146" s="26"/>
      <c r="U146" s="26"/>
      <c r="V146" s="26"/>
      <c r="W146" s="26"/>
      <c r="X146" s="26"/>
      <c r="Y146" s="26"/>
      <c r="Z146" s="26"/>
    </row>
    <row r="147" spans="1:26" x14ac:dyDescent="0.3">
      <c r="A147" s="91" t="s">
        <v>921</v>
      </c>
      <c r="B147" s="26" t="s">
        <v>288</v>
      </c>
      <c r="C147" s="26">
        <v>45</v>
      </c>
      <c r="D147" s="26" t="s">
        <v>8</v>
      </c>
      <c r="E147" s="26" t="s">
        <v>12</v>
      </c>
      <c r="F147" s="26" t="s">
        <v>16</v>
      </c>
      <c r="G147" s="26">
        <v>20</v>
      </c>
      <c r="H147" s="341">
        <v>500000</v>
      </c>
      <c r="I147" s="26" t="s">
        <v>26</v>
      </c>
      <c r="J147" s="26" t="s">
        <v>94</v>
      </c>
      <c r="K147" s="26">
        <v>7</v>
      </c>
      <c r="L147" s="26">
        <v>0.92169999999999996</v>
      </c>
      <c r="M147" s="26">
        <v>1.71816E-3</v>
      </c>
      <c r="N147" s="26">
        <v>1.5839999999999999E-3</v>
      </c>
      <c r="O147" s="26">
        <v>0</v>
      </c>
      <c r="P147" s="26">
        <v>3.7613000000000001E-2</v>
      </c>
      <c r="Q147" s="26">
        <v>0</v>
      </c>
      <c r="R147" s="103">
        <v>1768.71</v>
      </c>
      <c r="S147" s="26"/>
      <c r="T147" s="26"/>
      <c r="U147" s="26"/>
      <c r="V147" s="26"/>
      <c r="W147" s="26"/>
      <c r="X147" s="26"/>
      <c r="Y147" s="26"/>
      <c r="Z147" s="26"/>
    </row>
    <row r="148" spans="1:26" x14ac:dyDescent="0.3">
      <c r="A148" s="91" t="s">
        <v>922</v>
      </c>
      <c r="B148" s="26" t="s">
        <v>288</v>
      </c>
      <c r="C148" s="26">
        <v>51</v>
      </c>
      <c r="D148" s="26" t="s">
        <v>8</v>
      </c>
      <c r="E148" s="26" t="s">
        <v>12</v>
      </c>
      <c r="F148" s="26" t="s">
        <v>106</v>
      </c>
      <c r="G148" s="26">
        <v>15</v>
      </c>
      <c r="H148" s="341">
        <v>250000</v>
      </c>
      <c r="I148" s="26" t="s">
        <v>114</v>
      </c>
      <c r="J148" s="26" t="s">
        <v>28</v>
      </c>
      <c r="K148" s="26">
        <v>2</v>
      </c>
      <c r="L148" s="26">
        <v>0.72430000000000005</v>
      </c>
      <c r="M148" s="26">
        <v>2.22134E-3</v>
      </c>
      <c r="N148" s="26">
        <v>1.609E-3</v>
      </c>
      <c r="O148" s="26">
        <v>0</v>
      </c>
      <c r="P148" s="26">
        <v>0.14381099999999999</v>
      </c>
      <c r="Q148" s="26">
        <v>0</v>
      </c>
      <c r="R148" s="103">
        <v>1272.8</v>
      </c>
      <c r="S148" s="26"/>
      <c r="T148" s="26"/>
      <c r="U148" s="26"/>
      <c r="V148" s="26"/>
      <c r="W148" s="26"/>
      <c r="X148" s="26"/>
      <c r="Y148" s="26"/>
      <c r="Z148" s="26"/>
    </row>
    <row r="149" spans="1:26" x14ac:dyDescent="0.3">
      <c r="A149" s="91" t="s">
        <v>923</v>
      </c>
      <c r="B149" s="26" t="s">
        <v>289</v>
      </c>
      <c r="C149" s="26">
        <v>46</v>
      </c>
      <c r="D149" s="26" t="s">
        <v>102</v>
      </c>
      <c r="E149" s="26" t="s">
        <v>104</v>
      </c>
      <c r="F149" s="26" t="s">
        <v>16</v>
      </c>
      <c r="G149" s="26">
        <v>20</v>
      </c>
      <c r="H149" s="341">
        <v>500000</v>
      </c>
      <c r="I149" s="26" t="s">
        <v>114</v>
      </c>
      <c r="J149" s="26" t="s">
        <v>94</v>
      </c>
      <c r="K149" s="26">
        <v>5</v>
      </c>
      <c r="L149" s="26">
        <v>0.72009999999999996</v>
      </c>
      <c r="M149" s="26">
        <v>2.2699299999999999E-3</v>
      </c>
      <c r="N149" s="26">
        <v>1.635E-3</v>
      </c>
      <c r="O149" s="26">
        <v>0</v>
      </c>
      <c r="P149" s="26">
        <v>6.6895999999999997E-2</v>
      </c>
      <c r="Q149" s="26">
        <v>0</v>
      </c>
      <c r="R149" s="103">
        <v>10984.19</v>
      </c>
      <c r="S149" s="26"/>
      <c r="T149" s="26"/>
      <c r="U149" s="26"/>
      <c r="V149" s="26"/>
      <c r="W149" s="26"/>
      <c r="X149" s="26"/>
      <c r="Y149" s="26"/>
      <c r="Z149" s="26"/>
    </row>
    <row r="150" spans="1:26" x14ac:dyDescent="0.3">
      <c r="A150" s="91" t="s">
        <v>924</v>
      </c>
      <c r="B150" s="26" t="s">
        <v>289</v>
      </c>
      <c r="C150" s="26">
        <v>57</v>
      </c>
      <c r="D150" s="26" t="s">
        <v>8</v>
      </c>
      <c r="E150" s="26" t="s">
        <v>12</v>
      </c>
      <c r="F150" s="26" t="s">
        <v>16</v>
      </c>
      <c r="G150" s="26">
        <v>20</v>
      </c>
      <c r="H150" s="341">
        <v>500000</v>
      </c>
      <c r="I150" s="26" t="s">
        <v>114</v>
      </c>
      <c r="J150" s="26" t="s">
        <v>94</v>
      </c>
      <c r="K150" s="26">
        <v>3</v>
      </c>
      <c r="L150" s="26">
        <v>0.75219999999999998</v>
      </c>
      <c r="M150" s="26">
        <v>4.4873100000000004E-3</v>
      </c>
      <c r="N150" s="26">
        <v>3.375E-3</v>
      </c>
      <c r="O150" s="26">
        <v>0</v>
      </c>
      <c r="P150" s="26">
        <v>0.10387</v>
      </c>
      <c r="Q150" s="26">
        <v>0</v>
      </c>
      <c r="R150" s="103">
        <v>12303.21</v>
      </c>
      <c r="S150" s="26"/>
      <c r="T150" s="26"/>
      <c r="U150" s="26"/>
      <c r="V150" s="26"/>
      <c r="W150" s="26"/>
      <c r="X150" s="26"/>
      <c r="Y150" s="26"/>
      <c r="Z150" s="26"/>
    </row>
    <row r="151" spans="1:26" x14ac:dyDescent="0.3">
      <c r="A151" s="91" t="s">
        <v>925</v>
      </c>
      <c r="B151" s="26" t="s">
        <v>288</v>
      </c>
      <c r="C151" s="26">
        <v>30</v>
      </c>
      <c r="D151" s="26" t="s">
        <v>8</v>
      </c>
      <c r="E151" s="26" t="s">
        <v>12</v>
      </c>
      <c r="F151" s="26" t="s">
        <v>106</v>
      </c>
      <c r="G151" s="26">
        <v>15</v>
      </c>
      <c r="H151" s="341">
        <v>2000000</v>
      </c>
      <c r="I151" s="26" t="s">
        <v>26</v>
      </c>
      <c r="J151" s="26" t="s">
        <v>28</v>
      </c>
      <c r="K151" s="26">
        <v>6</v>
      </c>
      <c r="L151" s="26">
        <v>0.5796</v>
      </c>
      <c r="M151" s="26">
        <v>4.1399999999999998E-4</v>
      </c>
      <c r="N151" s="26">
        <v>2.4000000000000001E-4</v>
      </c>
      <c r="O151" s="26">
        <v>0</v>
      </c>
      <c r="P151" s="26">
        <v>4.6868E-2</v>
      </c>
      <c r="Q151" s="26">
        <v>0</v>
      </c>
      <c r="R151" s="103">
        <v>2557.04</v>
      </c>
      <c r="S151" s="26"/>
      <c r="T151" s="26"/>
      <c r="U151" s="26"/>
      <c r="V151" s="26"/>
      <c r="W151" s="26"/>
      <c r="X151" s="26"/>
      <c r="Y151" s="26"/>
      <c r="Z151" s="26"/>
    </row>
    <row r="152" spans="1:26" x14ac:dyDescent="0.3">
      <c r="A152" s="91" t="s">
        <v>926</v>
      </c>
      <c r="B152" s="26" t="s">
        <v>288</v>
      </c>
      <c r="C152" s="26">
        <v>54</v>
      </c>
      <c r="D152" s="26" t="s">
        <v>102</v>
      </c>
      <c r="E152" s="26" t="s">
        <v>104</v>
      </c>
      <c r="F152" s="26" t="s">
        <v>106</v>
      </c>
      <c r="G152" s="26">
        <v>20</v>
      </c>
      <c r="H152" s="341">
        <v>500000</v>
      </c>
      <c r="I152" s="26" t="s">
        <v>114</v>
      </c>
      <c r="J152" s="26" t="s">
        <v>93</v>
      </c>
      <c r="K152" s="26">
        <v>1</v>
      </c>
      <c r="L152" s="26">
        <v>0.76639999999999997</v>
      </c>
      <c r="M152" s="26">
        <v>3.4439000000000002E-3</v>
      </c>
      <c r="N152" s="26">
        <v>2.64E-3</v>
      </c>
      <c r="O152" s="26">
        <v>0</v>
      </c>
      <c r="P152" s="26">
        <v>0.1792</v>
      </c>
      <c r="Q152" s="26">
        <v>1</v>
      </c>
      <c r="R152" s="103">
        <v>2786.9</v>
      </c>
      <c r="S152" s="26"/>
      <c r="T152" s="26"/>
      <c r="U152" s="26"/>
      <c r="V152" s="26"/>
      <c r="W152" s="26"/>
      <c r="X152" s="26"/>
      <c r="Y152" s="26"/>
      <c r="Z152" s="26"/>
    </row>
    <row r="153" spans="1:26" x14ac:dyDescent="0.3">
      <c r="A153" s="91" t="s">
        <v>927</v>
      </c>
      <c r="B153" s="26" t="s">
        <v>288</v>
      </c>
      <c r="C153" s="26">
        <v>49</v>
      </c>
      <c r="D153" s="26" t="s">
        <v>8</v>
      </c>
      <c r="E153" s="26" t="s">
        <v>12</v>
      </c>
      <c r="F153" s="26" t="s">
        <v>16</v>
      </c>
      <c r="G153" s="26">
        <v>15</v>
      </c>
      <c r="H153" s="341">
        <v>1000000</v>
      </c>
      <c r="I153" s="26" t="s">
        <v>114</v>
      </c>
      <c r="J153" s="26" t="s">
        <v>28</v>
      </c>
      <c r="K153" s="26">
        <v>6</v>
      </c>
      <c r="L153" s="26">
        <v>0.70940000000000003</v>
      </c>
      <c r="M153" s="26">
        <v>2.3661300000000001E-3</v>
      </c>
      <c r="N153" s="26">
        <v>1.6789999999999999E-3</v>
      </c>
      <c r="O153" s="26">
        <v>0</v>
      </c>
      <c r="P153" s="26">
        <v>5.9650000000000002E-2</v>
      </c>
      <c r="Q153" s="26">
        <v>0</v>
      </c>
      <c r="R153" s="103">
        <v>3822.03</v>
      </c>
      <c r="S153" s="26"/>
      <c r="T153" s="26"/>
      <c r="U153" s="26"/>
      <c r="V153" s="26"/>
      <c r="W153" s="26"/>
      <c r="X153" s="26"/>
      <c r="Y153" s="26"/>
      <c r="Z153" s="26"/>
    </row>
    <row r="154" spans="1:26" x14ac:dyDescent="0.3">
      <c r="A154" s="91" t="s">
        <v>928</v>
      </c>
      <c r="B154" s="26" t="s">
        <v>289</v>
      </c>
      <c r="C154" s="26">
        <v>23</v>
      </c>
      <c r="D154" s="26" t="s">
        <v>102</v>
      </c>
      <c r="E154" s="26" t="s">
        <v>12</v>
      </c>
      <c r="F154" s="26" t="s">
        <v>16</v>
      </c>
      <c r="G154" s="26">
        <v>15</v>
      </c>
      <c r="H154" s="341">
        <v>500000</v>
      </c>
      <c r="I154" s="26" t="s">
        <v>26</v>
      </c>
      <c r="J154" s="26" t="s">
        <v>28</v>
      </c>
      <c r="K154" s="26">
        <v>5</v>
      </c>
      <c r="L154" s="26">
        <v>0.52710000000000001</v>
      </c>
      <c r="M154" s="26">
        <v>2.1849E-4</v>
      </c>
      <c r="N154" s="26">
        <v>1.15E-4</v>
      </c>
      <c r="O154" s="26">
        <v>0</v>
      </c>
      <c r="P154" s="26">
        <v>5.2560999999999997E-2</v>
      </c>
      <c r="Q154" s="26">
        <v>0</v>
      </c>
      <c r="R154" s="103">
        <v>14226.17</v>
      </c>
      <c r="S154" s="26"/>
      <c r="T154" s="26"/>
      <c r="U154" s="26"/>
      <c r="V154" s="26"/>
      <c r="W154" s="26"/>
      <c r="X154" s="26"/>
      <c r="Y154" s="26"/>
      <c r="Z154" s="26"/>
    </row>
    <row r="155" spans="1:26" x14ac:dyDescent="0.3">
      <c r="A155" s="91" t="s">
        <v>929</v>
      </c>
      <c r="B155" s="26" t="s">
        <v>288</v>
      </c>
      <c r="C155" s="26">
        <v>42</v>
      </c>
      <c r="D155" s="26" t="s">
        <v>102</v>
      </c>
      <c r="E155" s="26" t="s">
        <v>12</v>
      </c>
      <c r="F155" s="26" t="s">
        <v>106</v>
      </c>
      <c r="G155" s="26">
        <v>25</v>
      </c>
      <c r="H155" s="341">
        <v>1000000</v>
      </c>
      <c r="I155" s="26" t="s">
        <v>114</v>
      </c>
      <c r="J155" s="26" t="s">
        <v>94</v>
      </c>
      <c r="K155" s="26">
        <v>7</v>
      </c>
      <c r="L155" s="26">
        <v>0.64770000000000005</v>
      </c>
      <c r="M155" s="26">
        <v>7.9918000000000003E-4</v>
      </c>
      <c r="N155" s="26">
        <v>5.1800000000000001E-4</v>
      </c>
      <c r="O155" s="26">
        <v>0</v>
      </c>
      <c r="P155" s="26">
        <v>4.7870999999999997E-2</v>
      </c>
      <c r="Q155" s="26">
        <v>0</v>
      </c>
      <c r="R155" s="103">
        <v>1973.03</v>
      </c>
      <c r="S155" s="26"/>
      <c r="T155" s="26"/>
      <c r="U155" s="26"/>
      <c r="V155" s="26"/>
      <c r="W155" s="26"/>
      <c r="X155" s="26"/>
      <c r="Y155" s="26"/>
      <c r="Z155" s="26"/>
    </row>
    <row r="156" spans="1:26" x14ac:dyDescent="0.3">
      <c r="A156" s="91" t="s">
        <v>930</v>
      </c>
      <c r="B156" s="26" t="s">
        <v>288</v>
      </c>
      <c r="C156" s="26">
        <v>57</v>
      </c>
      <c r="D156" s="26" t="s">
        <v>8</v>
      </c>
      <c r="E156" s="26" t="s">
        <v>104</v>
      </c>
      <c r="F156" s="26" t="s">
        <v>16</v>
      </c>
      <c r="G156" s="26">
        <v>15</v>
      </c>
      <c r="H156" s="341">
        <v>1000000</v>
      </c>
      <c r="I156" s="26" t="s">
        <v>114</v>
      </c>
      <c r="J156" s="26" t="s">
        <v>94</v>
      </c>
      <c r="K156" s="26">
        <v>3</v>
      </c>
      <c r="L156" s="26">
        <v>0.54849999999999999</v>
      </c>
      <c r="M156" s="26">
        <v>7.4040699999999996E-3</v>
      </c>
      <c r="N156" s="26">
        <v>4.0610000000000004E-3</v>
      </c>
      <c r="O156" s="26">
        <v>0</v>
      </c>
      <c r="P156" s="26">
        <v>0.115411</v>
      </c>
      <c r="Q156" s="26">
        <v>0</v>
      </c>
      <c r="R156" s="103">
        <v>9766.7999999999993</v>
      </c>
      <c r="S156" s="26"/>
      <c r="T156" s="26"/>
      <c r="U156" s="26"/>
      <c r="V156" s="26"/>
      <c r="W156" s="26"/>
      <c r="X156" s="26"/>
      <c r="Y156" s="26"/>
      <c r="Z156" s="26"/>
    </row>
    <row r="157" spans="1:26" x14ac:dyDescent="0.3">
      <c r="A157" s="91" t="s">
        <v>931</v>
      </c>
      <c r="B157" s="26" t="s">
        <v>288</v>
      </c>
      <c r="C157" s="26">
        <v>42</v>
      </c>
      <c r="D157" s="26" t="s">
        <v>102</v>
      </c>
      <c r="E157" s="26" t="s">
        <v>12</v>
      </c>
      <c r="F157" s="26" t="s">
        <v>16</v>
      </c>
      <c r="G157" s="26">
        <v>20</v>
      </c>
      <c r="H157" s="341">
        <v>2000000</v>
      </c>
      <c r="I157" s="26" t="s">
        <v>26</v>
      </c>
      <c r="J157" s="26" t="s">
        <v>28</v>
      </c>
      <c r="K157" s="26">
        <v>3</v>
      </c>
      <c r="L157" s="26">
        <v>0.91549999999999998</v>
      </c>
      <c r="M157" s="26">
        <v>9.9897000000000007E-4</v>
      </c>
      <c r="N157" s="26">
        <v>9.1500000000000001E-4</v>
      </c>
      <c r="O157" s="26">
        <v>0</v>
      </c>
      <c r="P157" s="26">
        <v>9.0679999999999997E-2</v>
      </c>
      <c r="Q157" s="26">
        <v>0</v>
      </c>
      <c r="R157" s="103">
        <v>3937.58</v>
      </c>
      <c r="S157" s="26"/>
      <c r="T157" s="26"/>
      <c r="U157" s="26"/>
      <c r="V157" s="26"/>
      <c r="W157" s="26"/>
      <c r="X157" s="26"/>
      <c r="Y157" s="26"/>
      <c r="Z157" s="26"/>
    </row>
    <row r="158" spans="1:26" x14ac:dyDescent="0.3">
      <c r="A158" s="91" t="s">
        <v>932</v>
      </c>
      <c r="B158" s="26" t="s">
        <v>288</v>
      </c>
      <c r="C158" s="26">
        <v>45</v>
      </c>
      <c r="D158" s="26" t="s">
        <v>102</v>
      </c>
      <c r="E158" s="26" t="s">
        <v>12</v>
      </c>
      <c r="F158" s="26" t="s">
        <v>16</v>
      </c>
      <c r="G158" s="26">
        <v>10</v>
      </c>
      <c r="H158" s="341">
        <v>250000</v>
      </c>
      <c r="I158" s="26" t="s">
        <v>26</v>
      </c>
      <c r="J158" s="26" t="s">
        <v>94</v>
      </c>
      <c r="K158" s="26">
        <v>1</v>
      </c>
      <c r="L158" s="26">
        <v>0.77480000000000004</v>
      </c>
      <c r="M158" s="26">
        <v>1.26994E-3</v>
      </c>
      <c r="N158" s="26">
        <v>9.8400000000000007E-4</v>
      </c>
      <c r="O158" s="26">
        <v>0</v>
      </c>
      <c r="P158" s="26">
        <v>0.14080000000000001</v>
      </c>
      <c r="Q158" s="26">
        <v>0</v>
      </c>
      <c r="R158" s="103">
        <v>1200</v>
      </c>
      <c r="S158" s="26"/>
      <c r="T158" s="26"/>
      <c r="U158" s="26"/>
      <c r="V158" s="26"/>
      <c r="W158" s="26"/>
      <c r="X158" s="26"/>
      <c r="Y158" s="26"/>
      <c r="Z158" s="26"/>
    </row>
    <row r="159" spans="1:26" x14ac:dyDescent="0.3">
      <c r="A159" s="91" t="s">
        <v>933</v>
      </c>
      <c r="B159" s="26" t="s">
        <v>288</v>
      </c>
      <c r="C159" s="26">
        <v>29</v>
      </c>
      <c r="D159" s="26" t="s">
        <v>102</v>
      </c>
      <c r="E159" s="26" t="s">
        <v>12</v>
      </c>
      <c r="F159" s="26" t="s">
        <v>16</v>
      </c>
      <c r="G159" s="26">
        <v>15</v>
      </c>
      <c r="H159" s="341">
        <v>1000000</v>
      </c>
      <c r="I159" s="26" t="s">
        <v>114</v>
      </c>
      <c r="J159" s="26" t="s">
        <v>28</v>
      </c>
      <c r="K159" s="26">
        <v>6</v>
      </c>
      <c r="L159" s="26">
        <v>0.82579999999999998</v>
      </c>
      <c r="M159" s="26">
        <v>3.5309000000000002E-4</v>
      </c>
      <c r="N159" s="26">
        <v>2.92E-4</v>
      </c>
      <c r="O159" s="26">
        <v>0</v>
      </c>
      <c r="P159" s="26">
        <v>5.9650000000000002E-2</v>
      </c>
      <c r="Q159" s="26">
        <v>0</v>
      </c>
      <c r="R159" s="103">
        <v>1446.65</v>
      </c>
      <c r="S159" s="26"/>
      <c r="T159" s="26"/>
      <c r="U159" s="26"/>
      <c r="V159" s="26"/>
      <c r="W159" s="26"/>
      <c r="X159" s="26"/>
      <c r="Y159" s="26"/>
      <c r="Z159" s="26"/>
    </row>
    <row r="160" spans="1:26" x14ac:dyDescent="0.3">
      <c r="A160" s="91" t="s">
        <v>934</v>
      </c>
      <c r="B160" s="26" t="s">
        <v>289</v>
      </c>
      <c r="C160" s="26">
        <v>65</v>
      </c>
      <c r="D160" s="26" t="s">
        <v>102</v>
      </c>
      <c r="E160" s="26" t="s">
        <v>12</v>
      </c>
      <c r="F160" s="26" t="s">
        <v>16</v>
      </c>
      <c r="G160" s="26">
        <v>15</v>
      </c>
      <c r="H160" s="341">
        <v>500000</v>
      </c>
      <c r="I160" s="26" t="s">
        <v>114</v>
      </c>
      <c r="J160" s="26" t="s">
        <v>93</v>
      </c>
      <c r="K160" s="26">
        <v>7</v>
      </c>
      <c r="L160" s="26">
        <v>0.71989999999999998</v>
      </c>
      <c r="M160" s="26">
        <v>6.29008E-3</v>
      </c>
      <c r="N160" s="26">
        <v>4.5279999999999999E-3</v>
      </c>
      <c r="O160" s="26">
        <v>0</v>
      </c>
      <c r="P160" s="26">
        <v>4.3083999999999997E-2</v>
      </c>
      <c r="Q160" s="26">
        <v>0</v>
      </c>
      <c r="R160" s="103">
        <v>10764.3</v>
      </c>
      <c r="S160" s="26"/>
      <c r="T160" s="26"/>
      <c r="U160" s="26"/>
      <c r="V160" s="26"/>
      <c r="W160" s="26"/>
      <c r="X160" s="26"/>
      <c r="Y160" s="26"/>
      <c r="Z160" s="26"/>
    </row>
    <row r="161" spans="1:26" x14ac:dyDescent="0.3">
      <c r="A161" s="91" t="s">
        <v>935</v>
      </c>
      <c r="B161" s="26" t="s">
        <v>289</v>
      </c>
      <c r="C161" s="26">
        <v>21</v>
      </c>
      <c r="D161" s="26" t="s">
        <v>8</v>
      </c>
      <c r="E161" s="26" t="s">
        <v>12</v>
      </c>
      <c r="F161" s="26" t="s">
        <v>16</v>
      </c>
      <c r="G161" s="26">
        <v>20</v>
      </c>
      <c r="H161" s="341">
        <v>500000</v>
      </c>
      <c r="I161" s="26" t="s">
        <v>26</v>
      </c>
      <c r="J161" s="26" t="s">
        <v>94</v>
      </c>
      <c r="K161" s="26">
        <v>4</v>
      </c>
      <c r="L161" s="26">
        <v>0.82769999999999999</v>
      </c>
      <c r="M161" s="26">
        <v>2.5189E-4</v>
      </c>
      <c r="N161" s="26">
        <v>2.0799999999999999E-4</v>
      </c>
      <c r="O161" s="26">
        <v>0</v>
      </c>
      <c r="P161" s="26">
        <v>6.5494999999999998E-2</v>
      </c>
      <c r="Q161" s="26">
        <v>0</v>
      </c>
      <c r="R161" s="103">
        <v>9052.36</v>
      </c>
      <c r="S161" s="26"/>
      <c r="T161" s="26"/>
      <c r="U161" s="26"/>
      <c r="V161" s="26"/>
      <c r="W161" s="26"/>
      <c r="X161" s="26"/>
      <c r="Y161" s="26"/>
      <c r="Z161" s="26"/>
    </row>
    <row r="162" spans="1:26" x14ac:dyDescent="0.3">
      <c r="A162" s="91" t="s">
        <v>936</v>
      </c>
      <c r="B162" s="26" t="s">
        <v>288</v>
      </c>
      <c r="C162" s="26">
        <v>45</v>
      </c>
      <c r="D162" s="26" t="s">
        <v>8</v>
      </c>
      <c r="E162" s="26" t="s">
        <v>12</v>
      </c>
      <c r="F162" s="26" t="s">
        <v>16</v>
      </c>
      <c r="G162" s="26">
        <v>15</v>
      </c>
      <c r="H162" s="341">
        <v>250000</v>
      </c>
      <c r="I162" s="26" t="s">
        <v>114</v>
      </c>
      <c r="J162" s="26" t="s">
        <v>94</v>
      </c>
      <c r="K162" s="26">
        <v>7</v>
      </c>
      <c r="L162" s="26">
        <v>0.62229999999999996</v>
      </c>
      <c r="M162" s="26">
        <v>1.71816E-3</v>
      </c>
      <c r="N162" s="26">
        <v>1.0690000000000001E-3</v>
      </c>
      <c r="O162" s="26">
        <v>0</v>
      </c>
      <c r="P162" s="26">
        <v>4.7870999999999997E-2</v>
      </c>
      <c r="Q162" s="26">
        <v>0</v>
      </c>
      <c r="R162" s="103">
        <v>1200</v>
      </c>
      <c r="S162" s="26"/>
      <c r="T162" s="26"/>
      <c r="U162" s="26"/>
      <c r="V162" s="26"/>
      <c r="W162" s="26"/>
      <c r="X162" s="26"/>
      <c r="Y162" s="26"/>
      <c r="Z162" s="26"/>
    </row>
    <row r="163" spans="1:26" x14ac:dyDescent="0.3">
      <c r="A163" s="91" t="s">
        <v>937</v>
      </c>
      <c r="B163" s="26" t="s">
        <v>288</v>
      </c>
      <c r="C163" s="26">
        <v>62</v>
      </c>
      <c r="D163" s="26" t="s">
        <v>102</v>
      </c>
      <c r="E163" s="26" t="s">
        <v>12</v>
      </c>
      <c r="F163" s="26" t="s">
        <v>106</v>
      </c>
      <c r="G163" s="26">
        <v>25</v>
      </c>
      <c r="H163" s="341">
        <v>500000</v>
      </c>
      <c r="I163" s="26" t="s">
        <v>26</v>
      </c>
      <c r="J163" s="26" t="s">
        <v>94</v>
      </c>
      <c r="K163" s="26">
        <v>4</v>
      </c>
      <c r="L163" s="26">
        <v>0.73709999999999998</v>
      </c>
      <c r="M163" s="26">
        <v>3.9583600000000002E-3</v>
      </c>
      <c r="N163" s="26">
        <v>2.918E-3</v>
      </c>
      <c r="O163" s="26">
        <v>0</v>
      </c>
      <c r="P163" s="26">
        <v>7.2773000000000004E-2</v>
      </c>
      <c r="Q163" s="26">
        <v>1</v>
      </c>
      <c r="R163" s="103">
        <v>3090.43</v>
      </c>
      <c r="S163" s="26"/>
      <c r="T163" s="26"/>
      <c r="U163" s="26"/>
      <c r="V163" s="26"/>
      <c r="W163" s="26"/>
      <c r="X163" s="26"/>
      <c r="Y163" s="26"/>
      <c r="Z163" s="26"/>
    </row>
    <row r="164" spans="1:26" x14ac:dyDescent="0.3">
      <c r="A164" s="91" t="s">
        <v>938</v>
      </c>
      <c r="B164" s="26" t="s">
        <v>288</v>
      </c>
      <c r="C164" s="26">
        <v>27</v>
      </c>
      <c r="D164" s="26" t="s">
        <v>8</v>
      </c>
      <c r="E164" s="26" t="s">
        <v>12</v>
      </c>
      <c r="F164" s="26" t="s">
        <v>106</v>
      </c>
      <c r="G164" s="26">
        <v>15</v>
      </c>
      <c r="H164" s="341">
        <v>250000</v>
      </c>
      <c r="I164" s="26" t="s">
        <v>114</v>
      </c>
      <c r="J164" s="26" t="s">
        <v>94</v>
      </c>
      <c r="K164" s="26">
        <v>5</v>
      </c>
      <c r="L164" s="26">
        <v>0.91180000000000005</v>
      </c>
      <c r="M164" s="26">
        <v>3.2566000000000002E-4</v>
      </c>
      <c r="N164" s="26">
        <v>2.9700000000000001E-4</v>
      </c>
      <c r="O164" s="26">
        <v>0</v>
      </c>
      <c r="P164" s="26">
        <v>7.4329000000000006E-2</v>
      </c>
      <c r="Q164" s="26">
        <v>0</v>
      </c>
      <c r="R164" s="103">
        <v>1200</v>
      </c>
      <c r="S164" s="26"/>
      <c r="T164" s="26"/>
      <c r="U164" s="26"/>
      <c r="V164" s="26"/>
      <c r="W164" s="26"/>
      <c r="X164" s="26"/>
      <c r="Y164" s="26"/>
      <c r="Z164" s="26"/>
    </row>
    <row r="165" spans="1:26" x14ac:dyDescent="0.3">
      <c r="A165" s="91" t="s">
        <v>939</v>
      </c>
      <c r="B165" s="26" t="s">
        <v>288</v>
      </c>
      <c r="C165" s="26">
        <v>63</v>
      </c>
      <c r="D165" s="26" t="s">
        <v>8</v>
      </c>
      <c r="E165" s="26" t="s">
        <v>12</v>
      </c>
      <c r="F165" s="26" t="s">
        <v>16</v>
      </c>
      <c r="G165" s="26">
        <v>25</v>
      </c>
      <c r="H165" s="341">
        <v>250000</v>
      </c>
      <c r="I165" s="26" t="s">
        <v>114</v>
      </c>
      <c r="J165" s="26" t="s">
        <v>94</v>
      </c>
      <c r="K165" s="26">
        <v>3</v>
      </c>
      <c r="L165" s="26">
        <v>0.8054</v>
      </c>
      <c r="M165" s="26">
        <v>7.2518299999999999E-3</v>
      </c>
      <c r="N165" s="26">
        <v>5.8409999999999998E-3</v>
      </c>
      <c r="O165" s="26">
        <v>0</v>
      </c>
      <c r="P165" s="26">
        <v>0.115411</v>
      </c>
      <c r="Q165" s="26">
        <v>0</v>
      </c>
      <c r="R165" s="103">
        <v>2756.79</v>
      </c>
      <c r="S165" s="26"/>
      <c r="T165" s="26"/>
      <c r="U165" s="26"/>
      <c r="V165" s="26"/>
      <c r="W165" s="26"/>
      <c r="X165" s="26"/>
      <c r="Y165" s="26"/>
      <c r="Z165" s="26"/>
    </row>
    <row r="166" spans="1:26" x14ac:dyDescent="0.3">
      <c r="A166" s="91" t="s">
        <v>940</v>
      </c>
      <c r="B166" s="26" t="s">
        <v>288</v>
      </c>
      <c r="C166" s="26">
        <v>47</v>
      </c>
      <c r="D166" s="26" t="s">
        <v>8</v>
      </c>
      <c r="E166" s="26" t="s">
        <v>104</v>
      </c>
      <c r="F166" s="26" t="s">
        <v>16</v>
      </c>
      <c r="G166" s="26">
        <v>25</v>
      </c>
      <c r="H166" s="341">
        <v>250000</v>
      </c>
      <c r="I166" s="26" t="s">
        <v>114</v>
      </c>
      <c r="J166" s="26" t="s">
        <v>28</v>
      </c>
      <c r="K166" s="26">
        <v>1</v>
      </c>
      <c r="L166" s="26">
        <v>0.8528</v>
      </c>
      <c r="M166" s="26">
        <v>3.3268600000000001E-3</v>
      </c>
      <c r="N166" s="26">
        <v>2.8370000000000001E-3</v>
      </c>
      <c r="O166" s="26">
        <v>0</v>
      </c>
      <c r="P166" s="26">
        <v>0.1792</v>
      </c>
      <c r="Q166" s="26">
        <v>1</v>
      </c>
      <c r="R166" s="103">
        <v>1598.92</v>
      </c>
      <c r="S166" s="26"/>
      <c r="T166" s="26"/>
      <c r="U166" s="26"/>
      <c r="V166" s="26"/>
      <c r="W166" s="26"/>
      <c r="X166" s="26"/>
      <c r="Y166" s="26"/>
      <c r="Z166" s="26"/>
    </row>
    <row r="167" spans="1:26" x14ac:dyDescent="0.3">
      <c r="A167" s="91" t="s">
        <v>941</v>
      </c>
      <c r="B167" s="26" t="s">
        <v>289</v>
      </c>
      <c r="C167" s="26">
        <v>45</v>
      </c>
      <c r="D167" s="26" t="s">
        <v>102</v>
      </c>
      <c r="E167" s="26" t="s">
        <v>12</v>
      </c>
      <c r="F167" s="26" t="s">
        <v>16</v>
      </c>
      <c r="G167" s="26">
        <v>15</v>
      </c>
      <c r="H167" s="341">
        <v>1000000</v>
      </c>
      <c r="I167" s="26" t="s">
        <v>26</v>
      </c>
      <c r="J167" s="26" t="s">
        <v>94</v>
      </c>
      <c r="K167" s="26">
        <v>7</v>
      </c>
      <c r="L167" s="26">
        <v>0.92249999999999999</v>
      </c>
      <c r="M167" s="26">
        <v>1.26994E-3</v>
      </c>
      <c r="N167" s="26">
        <v>1.1720000000000001E-3</v>
      </c>
      <c r="O167" s="26">
        <v>0</v>
      </c>
      <c r="P167" s="26">
        <v>3.3850999999999999E-2</v>
      </c>
      <c r="Q167" s="26">
        <v>0</v>
      </c>
      <c r="R167" s="103">
        <v>9858.76</v>
      </c>
      <c r="S167" s="26"/>
      <c r="T167" s="26"/>
      <c r="U167" s="26"/>
      <c r="V167" s="26"/>
      <c r="W167" s="26"/>
      <c r="X167" s="26"/>
      <c r="Y167" s="26"/>
      <c r="Z167" s="26"/>
    </row>
    <row r="168" spans="1:26" x14ac:dyDescent="0.3">
      <c r="A168" s="91" t="s">
        <v>942</v>
      </c>
      <c r="B168" s="26" t="s">
        <v>288</v>
      </c>
      <c r="C168" s="26">
        <v>28</v>
      </c>
      <c r="D168" s="26" t="s">
        <v>102</v>
      </c>
      <c r="E168" s="26" t="s">
        <v>12</v>
      </c>
      <c r="F168" s="26" t="s">
        <v>16</v>
      </c>
      <c r="G168" s="26">
        <v>25</v>
      </c>
      <c r="H168" s="341">
        <v>500000</v>
      </c>
      <c r="I168" s="26" t="s">
        <v>114</v>
      </c>
      <c r="J168" s="26" t="s">
        <v>93</v>
      </c>
      <c r="K168" s="26">
        <v>1</v>
      </c>
      <c r="L168" s="26">
        <v>0.71819999999999995</v>
      </c>
      <c r="M168" s="26">
        <v>3.2593999999999999E-4</v>
      </c>
      <c r="N168" s="26">
        <v>2.34E-4</v>
      </c>
      <c r="O168" s="26">
        <v>0</v>
      </c>
      <c r="P168" s="26">
        <v>0.1792</v>
      </c>
      <c r="Q168" s="26">
        <v>0</v>
      </c>
      <c r="R168" s="103">
        <v>1200</v>
      </c>
      <c r="S168" s="26"/>
      <c r="T168" s="26"/>
      <c r="U168" s="26"/>
      <c r="V168" s="26"/>
      <c r="W168" s="26"/>
      <c r="X168" s="26"/>
      <c r="Y168" s="26"/>
      <c r="Z168" s="26"/>
    </row>
    <row r="169" spans="1:26" x14ac:dyDescent="0.3">
      <c r="A169" s="91" t="s">
        <v>943</v>
      </c>
      <c r="B169" s="26" t="s">
        <v>288</v>
      </c>
      <c r="C169" s="26">
        <v>20</v>
      </c>
      <c r="D169" s="26" t="s">
        <v>102</v>
      </c>
      <c r="E169" s="26" t="s">
        <v>12</v>
      </c>
      <c r="F169" s="26" t="s">
        <v>16</v>
      </c>
      <c r="G169" s="26">
        <v>20</v>
      </c>
      <c r="H169" s="341">
        <v>1000000</v>
      </c>
      <c r="I169" s="26" t="s">
        <v>26</v>
      </c>
      <c r="J169" s="26" t="s">
        <v>28</v>
      </c>
      <c r="K169" s="26">
        <v>5</v>
      </c>
      <c r="L169" s="26">
        <v>0.88070000000000004</v>
      </c>
      <c r="M169" s="26">
        <v>1.7186999999999999E-4</v>
      </c>
      <c r="N169" s="26">
        <v>1.5100000000000001E-4</v>
      </c>
      <c r="O169" s="26">
        <v>0</v>
      </c>
      <c r="P169" s="26">
        <v>5.8401000000000002E-2</v>
      </c>
      <c r="Q169" s="26">
        <v>0</v>
      </c>
      <c r="R169" s="103">
        <v>1232.8</v>
      </c>
      <c r="S169" s="26"/>
      <c r="T169" s="26"/>
      <c r="U169" s="26"/>
      <c r="V169" s="26"/>
      <c r="W169" s="26"/>
      <c r="X169" s="26"/>
      <c r="Y169" s="26"/>
      <c r="Z169" s="26"/>
    </row>
    <row r="170" spans="1:26" x14ac:dyDescent="0.3">
      <c r="A170" s="91" t="s">
        <v>944</v>
      </c>
      <c r="B170" s="26" t="s">
        <v>288</v>
      </c>
      <c r="C170" s="26">
        <v>26</v>
      </c>
      <c r="D170" s="26" t="s">
        <v>8</v>
      </c>
      <c r="E170" s="26" t="s">
        <v>104</v>
      </c>
      <c r="F170" s="26" t="s">
        <v>16</v>
      </c>
      <c r="G170" s="26">
        <v>20</v>
      </c>
      <c r="H170" s="341">
        <v>250000</v>
      </c>
      <c r="I170" s="26" t="s">
        <v>114</v>
      </c>
      <c r="J170" s="26" t="s">
        <v>94</v>
      </c>
      <c r="K170" s="26">
        <v>1</v>
      </c>
      <c r="L170" s="26">
        <v>0.57379999999999998</v>
      </c>
      <c r="M170" s="26">
        <v>6.2003999999999998E-4</v>
      </c>
      <c r="N170" s="26">
        <v>3.5599999999999998E-4</v>
      </c>
      <c r="O170" s="26">
        <v>0</v>
      </c>
      <c r="P170" s="26">
        <v>0.1792</v>
      </c>
      <c r="Q170" s="26">
        <v>0</v>
      </c>
      <c r="R170" s="103">
        <v>1200</v>
      </c>
      <c r="S170" s="26"/>
      <c r="T170" s="26"/>
      <c r="U170" s="26"/>
      <c r="V170" s="26"/>
      <c r="W170" s="26"/>
      <c r="X170" s="26"/>
      <c r="Y170" s="26"/>
      <c r="Z170" s="26"/>
    </row>
    <row r="171" spans="1:26" x14ac:dyDescent="0.3">
      <c r="A171" s="91" t="s">
        <v>945</v>
      </c>
      <c r="B171" s="26" t="s">
        <v>288</v>
      </c>
      <c r="C171" s="26">
        <v>39</v>
      </c>
      <c r="D171" s="26" t="s">
        <v>8</v>
      </c>
      <c r="E171" s="26" t="s">
        <v>12</v>
      </c>
      <c r="F171" s="26" t="s">
        <v>16</v>
      </c>
      <c r="G171" s="26">
        <v>15</v>
      </c>
      <c r="H171" s="341">
        <v>250000</v>
      </c>
      <c r="I171" s="26" t="s">
        <v>26</v>
      </c>
      <c r="J171" s="26" t="s">
        <v>93</v>
      </c>
      <c r="K171" s="26">
        <v>2</v>
      </c>
      <c r="L171" s="26">
        <v>0.74070000000000003</v>
      </c>
      <c r="M171" s="26">
        <v>1.06317E-3</v>
      </c>
      <c r="N171" s="26">
        <v>7.8799999999999996E-4</v>
      </c>
      <c r="O171" s="26">
        <v>0</v>
      </c>
      <c r="P171" s="26">
        <v>0.112995</v>
      </c>
      <c r="Q171" s="26">
        <v>0</v>
      </c>
      <c r="R171" s="103">
        <v>1200</v>
      </c>
      <c r="S171" s="26"/>
      <c r="T171" s="26"/>
      <c r="U171" s="26"/>
      <c r="V171" s="26"/>
      <c r="W171" s="26"/>
      <c r="X171" s="26"/>
      <c r="Y171" s="26"/>
      <c r="Z171" s="26"/>
    </row>
    <row r="172" spans="1:26" x14ac:dyDescent="0.3">
      <c r="A172" s="91" t="s">
        <v>946</v>
      </c>
      <c r="B172" s="26" t="s">
        <v>288</v>
      </c>
      <c r="C172" s="26">
        <v>34</v>
      </c>
      <c r="D172" s="26" t="s">
        <v>102</v>
      </c>
      <c r="E172" s="26" t="s">
        <v>12</v>
      </c>
      <c r="F172" s="26" t="s">
        <v>107</v>
      </c>
      <c r="G172" s="26">
        <v>25</v>
      </c>
      <c r="H172" s="341">
        <v>250000</v>
      </c>
      <c r="I172" s="26" t="s">
        <v>114</v>
      </c>
      <c r="J172" s="26" t="s">
        <v>94</v>
      </c>
      <c r="K172" s="26">
        <v>6</v>
      </c>
      <c r="L172" s="26">
        <v>0.50939999999999996</v>
      </c>
      <c r="M172" s="26">
        <v>8.1645999999999997E-4</v>
      </c>
      <c r="N172" s="26">
        <v>4.1599999999999997E-4</v>
      </c>
      <c r="O172" s="26">
        <v>0</v>
      </c>
      <c r="P172" s="26">
        <v>5.9650000000000002E-2</v>
      </c>
      <c r="Q172" s="26">
        <v>0</v>
      </c>
      <c r="R172" s="103">
        <v>1200</v>
      </c>
      <c r="S172" s="26"/>
      <c r="T172" s="26"/>
      <c r="U172" s="26"/>
      <c r="V172" s="26"/>
      <c r="W172" s="26"/>
      <c r="X172" s="26"/>
      <c r="Y172" s="26"/>
      <c r="Z172" s="26"/>
    </row>
    <row r="173" spans="1:26" x14ac:dyDescent="0.3">
      <c r="A173" s="91" t="s">
        <v>947</v>
      </c>
      <c r="B173" s="26" t="s">
        <v>288</v>
      </c>
      <c r="C173" s="26">
        <v>37</v>
      </c>
      <c r="D173" s="26" t="s">
        <v>102</v>
      </c>
      <c r="E173" s="26" t="s">
        <v>104</v>
      </c>
      <c r="F173" s="26" t="s">
        <v>16</v>
      </c>
      <c r="G173" s="26">
        <v>20</v>
      </c>
      <c r="H173" s="341">
        <v>500000</v>
      </c>
      <c r="I173" s="26" t="s">
        <v>114</v>
      </c>
      <c r="J173" s="26" t="s">
        <v>28</v>
      </c>
      <c r="K173" s="26">
        <v>2</v>
      </c>
      <c r="L173" s="26">
        <v>0.50460000000000005</v>
      </c>
      <c r="M173" s="26">
        <v>1.1048900000000001E-3</v>
      </c>
      <c r="N173" s="26">
        <v>5.5699999999999999E-4</v>
      </c>
      <c r="O173" s="26">
        <v>0</v>
      </c>
      <c r="P173" s="26">
        <v>0.14381099999999999</v>
      </c>
      <c r="Q173" s="26">
        <v>0</v>
      </c>
      <c r="R173" s="103">
        <v>1406.89</v>
      </c>
      <c r="S173" s="26"/>
      <c r="T173" s="26"/>
      <c r="U173" s="26"/>
      <c r="V173" s="26"/>
      <c r="W173" s="26"/>
      <c r="X173" s="26"/>
      <c r="Y173" s="26"/>
      <c r="Z173" s="26"/>
    </row>
    <row r="174" spans="1:26" x14ac:dyDescent="0.3">
      <c r="A174" s="91" t="s">
        <v>948</v>
      </c>
      <c r="B174" s="26" t="s">
        <v>288</v>
      </c>
      <c r="C174" s="26">
        <v>42</v>
      </c>
      <c r="D174" s="26" t="s">
        <v>102</v>
      </c>
      <c r="E174" s="26" t="s">
        <v>12</v>
      </c>
      <c r="F174" s="26" t="s">
        <v>16</v>
      </c>
      <c r="G174" s="26">
        <v>20</v>
      </c>
      <c r="H174" s="341">
        <v>1000000</v>
      </c>
      <c r="I174" s="26" t="s">
        <v>26</v>
      </c>
      <c r="J174" s="26" t="s">
        <v>93</v>
      </c>
      <c r="K174" s="26">
        <v>5</v>
      </c>
      <c r="L174" s="26">
        <v>0.9869</v>
      </c>
      <c r="M174" s="26">
        <v>9.9897000000000007E-4</v>
      </c>
      <c r="N174" s="26">
        <v>9.859999999999999E-4</v>
      </c>
      <c r="O174" s="26">
        <v>0</v>
      </c>
      <c r="P174" s="26">
        <v>5.8401000000000002E-2</v>
      </c>
      <c r="Q174" s="26">
        <v>0</v>
      </c>
      <c r="R174" s="103">
        <v>2208.79</v>
      </c>
      <c r="S174" s="26"/>
      <c r="T174" s="26"/>
      <c r="U174" s="26"/>
      <c r="V174" s="26"/>
      <c r="W174" s="26"/>
      <c r="X174" s="26"/>
      <c r="Y174" s="26"/>
      <c r="Z174" s="26"/>
    </row>
    <row r="175" spans="1:26" x14ac:dyDescent="0.3">
      <c r="A175" s="91" t="s">
        <v>949</v>
      </c>
      <c r="B175" s="26" t="s">
        <v>289</v>
      </c>
      <c r="C175" s="26">
        <v>46</v>
      </c>
      <c r="D175" s="26" t="s">
        <v>8</v>
      </c>
      <c r="E175" s="26" t="s">
        <v>12</v>
      </c>
      <c r="F175" s="26" t="s">
        <v>16</v>
      </c>
      <c r="G175" s="26">
        <v>10</v>
      </c>
      <c r="H175" s="341">
        <v>500000</v>
      </c>
      <c r="I175" s="26" t="s">
        <v>114</v>
      </c>
      <c r="J175" s="26" t="s">
        <v>93</v>
      </c>
      <c r="K175" s="26">
        <v>2</v>
      </c>
      <c r="L175" s="26">
        <v>0.50919999999999999</v>
      </c>
      <c r="M175" s="26">
        <v>1.86126E-3</v>
      </c>
      <c r="N175" s="26">
        <v>9.4799999999999995E-4</v>
      </c>
      <c r="O175" s="26">
        <v>0</v>
      </c>
      <c r="P175" s="26">
        <v>0.12942999999999999</v>
      </c>
      <c r="Q175" s="26">
        <v>0</v>
      </c>
      <c r="R175" s="103">
        <v>12645.44</v>
      </c>
      <c r="S175" s="26"/>
      <c r="T175" s="26"/>
      <c r="U175" s="26"/>
      <c r="V175" s="26"/>
      <c r="W175" s="26"/>
      <c r="X175" s="26"/>
      <c r="Y175" s="26"/>
      <c r="Z175" s="26"/>
    </row>
    <row r="176" spans="1:26" x14ac:dyDescent="0.3">
      <c r="A176" s="91" t="s">
        <v>950</v>
      </c>
      <c r="B176" s="26" t="s">
        <v>288</v>
      </c>
      <c r="C176" s="26">
        <v>26</v>
      </c>
      <c r="D176" s="26" t="s">
        <v>102</v>
      </c>
      <c r="E176" s="26" t="s">
        <v>12</v>
      </c>
      <c r="F176" s="26" t="s">
        <v>107</v>
      </c>
      <c r="G176" s="26">
        <v>20</v>
      </c>
      <c r="H176" s="341">
        <v>2000000</v>
      </c>
      <c r="I176" s="26" t="s">
        <v>114</v>
      </c>
      <c r="J176" s="26" t="s">
        <v>93</v>
      </c>
      <c r="K176" s="26">
        <v>5</v>
      </c>
      <c r="L176" s="26">
        <v>0.65690000000000004</v>
      </c>
      <c r="M176" s="26">
        <v>4.3051999999999999E-4</v>
      </c>
      <c r="N176" s="26">
        <v>2.8299999999999999E-4</v>
      </c>
      <c r="O176" s="26">
        <v>0</v>
      </c>
      <c r="P176" s="26">
        <v>7.4329000000000006E-2</v>
      </c>
      <c r="Q176" s="26">
        <v>0</v>
      </c>
      <c r="R176" s="103">
        <v>2596.02</v>
      </c>
      <c r="S176" s="26"/>
      <c r="T176" s="26"/>
      <c r="U176" s="26"/>
      <c r="V176" s="26"/>
      <c r="W176" s="26"/>
      <c r="X176" s="26"/>
      <c r="Y176" s="26"/>
      <c r="Z176" s="26"/>
    </row>
    <row r="177" spans="1:26" x14ac:dyDescent="0.3">
      <c r="A177" s="91" t="s">
        <v>951</v>
      </c>
      <c r="B177" s="26" t="s">
        <v>288</v>
      </c>
      <c r="C177" s="26">
        <v>30</v>
      </c>
      <c r="D177" s="26" t="s">
        <v>8</v>
      </c>
      <c r="E177" s="26" t="s">
        <v>104</v>
      </c>
      <c r="F177" s="26" t="s">
        <v>16</v>
      </c>
      <c r="G177" s="26">
        <v>15</v>
      </c>
      <c r="H177" s="341">
        <v>500000</v>
      </c>
      <c r="I177" s="26" t="s">
        <v>114</v>
      </c>
      <c r="J177" s="26" t="s">
        <v>93</v>
      </c>
      <c r="K177" s="26">
        <v>3</v>
      </c>
      <c r="L177" s="26">
        <v>0.70189999999999997</v>
      </c>
      <c r="M177" s="26">
        <v>8.5386999999999995E-4</v>
      </c>
      <c r="N177" s="26">
        <v>5.9900000000000003E-4</v>
      </c>
      <c r="O177" s="26">
        <v>0</v>
      </c>
      <c r="P177" s="26">
        <v>0.115411</v>
      </c>
      <c r="Q177" s="26">
        <v>0</v>
      </c>
      <c r="R177" s="103">
        <v>1258.79</v>
      </c>
      <c r="S177" s="26"/>
      <c r="T177" s="26"/>
      <c r="U177" s="26"/>
      <c r="V177" s="26"/>
      <c r="W177" s="26"/>
      <c r="X177" s="26"/>
      <c r="Y177" s="26"/>
      <c r="Z177" s="26"/>
    </row>
    <row r="178" spans="1:26" x14ac:dyDescent="0.3">
      <c r="A178" s="91" t="s">
        <v>952</v>
      </c>
      <c r="B178" s="26" t="s">
        <v>289</v>
      </c>
      <c r="C178" s="26">
        <v>31</v>
      </c>
      <c r="D178" s="26" t="s">
        <v>102</v>
      </c>
      <c r="E178" s="26" t="s">
        <v>12</v>
      </c>
      <c r="F178" s="26" t="s">
        <v>16</v>
      </c>
      <c r="G178" s="26">
        <v>20</v>
      </c>
      <c r="H178" s="341">
        <v>500000</v>
      </c>
      <c r="I178" s="26" t="s">
        <v>26</v>
      </c>
      <c r="J178" s="26" t="s">
        <v>28</v>
      </c>
      <c r="K178" s="26">
        <v>7</v>
      </c>
      <c r="L178" s="26">
        <v>0.78769999999999996</v>
      </c>
      <c r="M178" s="26">
        <v>4.1436000000000001E-4</v>
      </c>
      <c r="N178" s="26">
        <v>3.2600000000000001E-4</v>
      </c>
      <c r="O178" s="26">
        <v>0</v>
      </c>
      <c r="P178" s="26">
        <v>3.3850999999999999E-2</v>
      </c>
      <c r="Q178" s="26">
        <v>0</v>
      </c>
      <c r="R178" s="103">
        <v>17024.23</v>
      </c>
      <c r="S178" s="26"/>
      <c r="T178" s="26"/>
      <c r="U178" s="26"/>
      <c r="V178" s="26"/>
      <c r="W178" s="26"/>
      <c r="X178" s="26"/>
      <c r="Y178" s="26"/>
      <c r="Z178" s="26"/>
    </row>
    <row r="179" spans="1:26" x14ac:dyDescent="0.3">
      <c r="A179" s="91" t="s">
        <v>953</v>
      </c>
      <c r="B179" s="26" t="s">
        <v>288</v>
      </c>
      <c r="C179" s="26">
        <v>36</v>
      </c>
      <c r="D179" s="26" t="s">
        <v>8</v>
      </c>
      <c r="E179" s="26" t="s">
        <v>12</v>
      </c>
      <c r="F179" s="26" t="s">
        <v>106</v>
      </c>
      <c r="G179" s="26">
        <v>20</v>
      </c>
      <c r="H179" s="341">
        <v>250000</v>
      </c>
      <c r="I179" s="26" t="s">
        <v>114</v>
      </c>
      <c r="J179" s="26" t="s">
        <v>94</v>
      </c>
      <c r="K179" s="26">
        <v>3</v>
      </c>
      <c r="L179" s="26">
        <v>0.80610000000000004</v>
      </c>
      <c r="M179" s="26">
        <v>6.6905000000000003E-4</v>
      </c>
      <c r="N179" s="26">
        <v>5.3899999999999998E-4</v>
      </c>
      <c r="O179" s="26">
        <v>0</v>
      </c>
      <c r="P179" s="26">
        <v>0.115411</v>
      </c>
      <c r="Q179" s="26">
        <v>0</v>
      </c>
      <c r="R179" s="103">
        <v>1200</v>
      </c>
      <c r="S179" s="26"/>
      <c r="T179" s="26"/>
      <c r="U179" s="26"/>
      <c r="V179" s="26"/>
      <c r="W179" s="26"/>
      <c r="X179" s="26"/>
      <c r="Y179" s="26"/>
      <c r="Z179" s="26"/>
    </row>
    <row r="180" spans="1:26" x14ac:dyDescent="0.3">
      <c r="A180" s="91" t="s">
        <v>954</v>
      </c>
      <c r="B180" s="26" t="s">
        <v>289</v>
      </c>
      <c r="C180" s="26">
        <v>38</v>
      </c>
      <c r="D180" s="26" t="s">
        <v>8</v>
      </c>
      <c r="E180" s="26" t="s">
        <v>104</v>
      </c>
      <c r="F180" s="26" t="s">
        <v>106</v>
      </c>
      <c r="G180" s="26">
        <v>15</v>
      </c>
      <c r="H180" s="341">
        <v>500000</v>
      </c>
      <c r="I180" s="26" t="s">
        <v>26</v>
      </c>
      <c r="J180" s="26" t="s">
        <v>94</v>
      </c>
      <c r="K180" s="26">
        <v>7</v>
      </c>
      <c r="L180" s="26">
        <v>0.71460000000000001</v>
      </c>
      <c r="M180" s="26">
        <v>1.2954900000000001E-3</v>
      </c>
      <c r="N180" s="26">
        <v>9.2599999999999996E-4</v>
      </c>
      <c r="O180" s="26">
        <v>0</v>
      </c>
      <c r="P180" s="26">
        <v>3.3850999999999999E-2</v>
      </c>
      <c r="Q180" s="26">
        <v>0</v>
      </c>
      <c r="R180" s="103">
        <v>13243.73</v>
      </c>
      <c r="S180" s="26"/>
      <c r="T180" s="26"/>
      <c r="U180" s="26"/>
      <c r="V180" s="26"/>
      <c r="W180" s="26"/>
      <c r="X180" s="26"/>
      <c r="Y180" s="26"/>
      <c r="Z180" s="26"/>
    </row>
    <row r="181" spans="1:26" x14ac:dyDescent="0.3">
      <c r="A181" s="91" t="s">
        <v>955</v>
      </c>
      <c r="B181" s="26" t="s">
        <v>288</v>
      </c>
      <c r="C181" s="26">
        <v>27</v>
      </c>
      <c r="D181" s="26" t="s">
        <v>8</v>
      </c>
      <c r="E181" s="26" t="s">
        <v>12</v>
      </c>
      <c r="F181" s="26" t="s">
        <v>107</v>
      </c>
      <c r="G181" s="26">
        <v>15</v>
      </c>
      <c r="H181" s="341">
        <v>2000000</v>
      </c>
      <c r="I181" s="26" t="s">
        <v>114</v>
      </c>
      <c r="J181" s="26" t="s">
        <v>28</v>
      </c>
      <c r="K181" s="26">
        <v>1</v>
      </c>
      <c r="L181" s="26">
        <v>0.91849999999999998</v>
      </c>
      <c r="M181" s="26">
        <v>6.3097000000000001E-4</v>
      </c>
      <c r="N181" s="26">
        <v>5.8E-4</v>
      </c>
      <c r="O181" s="26">
        <v>0</v>
      </c>
      <c r="P181" s="26">
        <v>0.1792</v>
      </c>
      <c r="Q181" s="26">
        <v>0</v>
      </c>
      <c r="R181" s="103">
        <v>3069.1</v>
      </c>
      <c r="S181" s="26"/>
      <c r="T181" s="26"/>
      <c r="U181" s="26"/>
      <c r="V181" s="26"/>
      <c r="W181" s="26"/>
      <c r="X181" s="26"/>
      <c r="Y181" s="26"/>
      <c r="Z181" s="26"/>
    </row>
    <row r="182" spans="1:26" x14ac:dyDescent="0.3">
      <c r="A182" s="91" t="s">
        <v>956</v>
      </c>
      <c r="B182" s="26" t="s">
        <v>288</v>
      </c>
      <c r="C182" s="26">
        <v>55</v>
      </c>
      <c r="D182" s="26" t="s">
        <v>102</v>
      </c>
      <c r="E182" s="26" t="s">
        <v>12</v>
      </c>
      <c r="F182" s="26" t="s">
        <v>16</v>
      </c>
      <c r="G182" s="26">
        <v>15</v>
      </c>
      <c r="H182" s="341">
        <v>250000</v>
      </c>
      <c r="I182" s="26" t="s">
        <v>114</v>
      </c>
      <c r="J182" s="26" t="s">
        <v>94</v>
      </c>
      <c r="K182" s="26">
        <v>4</v>
      </c>
      <c r="L182" s="26">
        <v>0.96230000000000004</v>
      </c>
      <c r="M182" s="26">
        <v>2.8263099999999998E-3</v>
      </c>
      <c r="N182" s="26">
        <v>2.7200000000000002E-3</v>
      </c>
      <c r="O182" s="26">
        <v>0</v>
      </c>
      <c r="P182" s="26">
        <v>9.2619999999999994E-2</v>
      </c>
      <c r="Q182" s="26">
        <v>0</v>
      </c>
      <c r="R182" s="103">
        <v>1451.26</v>
      </c>
      <c r="S182" s="26"/>
      <c r="T182" s="26"/>
      <c r="U182" s="26"/>
      <c r="V182" s="26"/>
      <c r="W182" s="26"/>
      <c r="X182" s="26"/>
      <c r="Y182" s="26"/>
      <c r="Z182" s="26"/>
    </row>
    <row r="183" spans="1:26" x14ac:dyDescent="0.3">
      <c r="A183" s="91" t="s">
        <v>957</v>
      </c>
      <c r="B183" s="26" t="s">
        <v>288</v>
      </c>
      <c r="C183" s="26">
        <v>30</v>
      </c>
      <c r="D183" s="26" t="s">
        <v>8</v>
      </c>
      <c r="E183" s="26" t="s">
        <v>104</v>
      </c>
      <c r="F183" s="26" t="s">
        <v>107</v>
      </c>
      <c r="G183" s="26">
        <v>20</v>
      </c>
      <c r="H183" s="341">
        <v>1000000</v>
      </c>
      <c r="I183" s="26" t="s">
        <v>114</v>
      </c>
      <c r="J183" s="26" t="s">
        <v>28</v>
      </c>
      <c r="K183" s="26">
        <v>2</v>
      </c>
      <c r="L183" s="26">
        <v>0.77100000000000002</v>
      </c>
      <c r="M183" s="26">
        <v>1.32351E-3</v>
      </c>
      <c r="N183" s="26">
        <v>1.0200000000000001E-3</v>
      </c>
      <c r="O183" s="26">
        <v>0</v>
      </c>
      <c r="P183" s="26">
        <v>0.14381099999999999</v>
      </c>
      <c r="Q183" s="26">
        <v>0</v>
      </c>
      <c r="R183" s="103">
        <v>2591.7399999999998</v>
      </c>
      <c r="S183" s="26"/>
      <c r="T183" s="26"/>
      <c r="U183" s="26"/>
      <c r="V183" s="26"/>
      <c r="W183" s="26"/>
      <c r="X183" s="26"/>
      <c r="Y183" s="26"/>
      <c r="Z183" s="26"/>
    </row>
    <row r="184" spans="1:26" x14ac:dyDescent="0.3">
      <c r="A184" s="91" t="s">
        <v>958</v>
      </c>
      <c r="B184" s="26" t="s">
        <v>288</v>
      </c>
      <c r="C184" s="26">
        <v>33</v>
      </c>
      <c r="D184" s="26" t="s">
        <v>8</v>
      </c>
      <c r="E184" s="26" t="s">
        <v>12</v>
      </c>
      <c r="F184" s="26" t="s">
        <v>16</v>
      </c>
      <c r="G184" s="26">
        <v>25</v>
      </c>
      <c r="H184" s="341">
        <v>500000</v>
      </c>
      <c r="I184" s="26" t="s">
        <v>26</v>
      </c>
      <c r="J184" s="26" t="s">
        <v>28</v>
      </c>
      <c r="K184" s="26">
        <v>2</v>
      </c>
      <c r="L184" s="26">
        <v>0.7278</v>
      </c>
      <c r="M184" s="26">
        <v>6.5786999999999996E-4</v>
      </c>
      <c r="N184" s="26">
        <v>4.7899999999999999E-4</v>
      </c>
      <c r="O184" s="26">
        <v>0</v>
      </c>
      <c r="P184" s="26">
        <v>0.112995</v>
      </c>
      <c r="Q184" s="26">
        <v>0</v>
      </c>
      <c r="R184" s="103">
        <v>1200</v>
      </c>
      <c r="S184" s="26"/>
      <c r="T184" s="26"/>
      <c r="U184" s="26"/>
      <c r="V184" s="26"/>
      <c r="W184" s="26"/>
      <c r="X184" s="26"/>
      <c r="Y184" s="26"/>
      <c r="Z184" s="26"/>
    </row>
    <row r="185" spans="1:26" x14ac:dyDescent="0.3">
      <c r="A185" s="91" t="s">
        <v>959</v>
      </c>
      <c r="B185" s="26" t="s">
        <v>288</v>
      </c>
      <c r="C185" s="26">
        <v>20</v>
      </c>
      <c r="D185" s="26" t="s">
        <v>8</v>
      </c>
      <c r="E185" s="26" t="s">
        <v>12</v>
      </c>
      <c r="F185" s="26" t="s">
        <v>16</v>
      </c>
      <c r="G185" s="26">
        <v>20</v>
      </c>
      <c r="H185" s="341">
        <v>500000</v>
      </c>
      <c r="I185" s="26" t="s">
        <v>114</v>
      </c>
      <c r="J185" s="26" t="s">
        <v>28</v>
      </c>
      <c r="K185" s="26">
        <v>4</v>
      </c>
      <c r="L185" s="26">
        <v>0.55389999999999995</v>
      </c>
      <c r="M185" s="26">
        <v>2.3253E-4</v>
      </c>
      <c r="N185" s="26">
        <v>1.2899999999999999E-4</v>
      </c>
      <c r="O185" s="26">
        <v>0</v>
      </c>
      <c r="P185" s="26">
        <v>9.2619999999999994E-2</v>
      </c>
      <c r="Q185" s="26">
        <v>0</v>
      </c>
      <c r="R185" s="103">
        <v>1200</v>
      </c>
      <c r="S185" s="26"/>
      <c r="T185" s="26"/>
      <c r="U185" s="26"/>
      <c r="V185" s="26"/>
      <c r="W185" s="26"/>
      <c r="X185" s="26"/>
      <c r="Y185" s="26"/>
      <c r="Z185" s="26"/>
    </row>
    <row r="186" spans="1:26" x14ac:dyDescent="0.3">
      <c r="A186" s="91" t="s">
        <v>960</v>
      </c>
      <c r="B186" s="26" t="s">
        <v>288</v>
      </c>
      <c r="C186" s="26">
        <v>62</v>
      </c>
      <c r="D186" s="26" t="s">
        <v>8</v>
      </c>
      <c r="E186" s="26" t="s">
        <v>104</v>
      </c>
      <c r="F186" s="26" t="s">
        <v>106</v>
      </c>
      <c r="G186" s="26">
        <v>25</v>
      </c>
      <c r="H186" s="341">
        <v>2000000</v>
      </c>
      <c r="I186" s="26" t="s">
        <v>26</v>
      </c>
      <c r="J186" s="26" t="s">
        <v>28</v>
      </c>
      <c r="K186" s="26">
        <v>6</v>
      </c>
      <c r="L186" s="26">
        <v>0.53420000000000001</v>
      </c>
      <c r="M186" s="26">
        <v>8.8364600000000008E-3</v>
      </c>
      <c r="N186" s="26">
        <v>4.7210000000000004E-3</v>
      </c>
      <c r="O186" s="26">
        <v>0</v>
      </c>
      <c r="P186" s="26">
        <v>4.6868E-2</v>
      </c>
      <c r="Q186" s="26">
        <v>0</v>
      </c>
      <c r="R186" s="103">
        <v>22434.04</v>
      </c>
      <c r="S186" s="26"/>
      <c r="T186" s="26"/>
      <c r="U186" s="26"/>
      <c r="V186" s="26"/>
      <c r="W186" s="26"/>
      <c r="X186" s="26"/>
      <c r="Y186" s="26"/>
      <c r="Z186" s="26"/>
    </row>
    <row r="187" spans="1:26" x14ac:dyDescent="0.3">
      <c r="A187" s="91" t="s">
        <v>961</v>
      </c>
      <c r="B187" s="26" t="s">
        <v>288</v>
      </c>
      <c r="C187" s="26">
        <v>26</v>
      </c>
      <c r="D187" s="26" t="s">
        <v>8</v>
      </c>
      <c r="E187" s="26" t="s">
        <v>12</v>
      </c>
      <c r="F187" s="26" t="s">
        <v>16</v>
      </c>
      <c r="G187" s="26">
        <v>25</v>
      </c>
      <c r="H187" s="341">
        <v>250000</v>
      </c>
      <c r="I187" s="26" t="s">
        <v>26</v>
      </c>
      <c r="J187" s="26" t="s">
        <v>28</v>
      </c>
      <c r="K187" s="26">
        <v>7</v>
      </c>
      <c r="L187" s="26">
        <v>0.66500000000000004</v>
      </c>
      <c r="M187" s="26">
        <v>3.7577999999999998E-4</v>
      </c>
      <c r="N187" s="26">
        <v>2.5000000000000001E-4</v>
      </c>
      <c r="O187" s="26">
        <v>0</v>
      </c>
      <c r="P187" s="26">
        <v>3.7613000000000001E-2</v>
      </c>
      <c r="Q187" s="26">
        <v>0</v>
      </c>
      <c r="R187" s="103">
        <v>1200</v>
      </c>
      <c r="S187" s="26"/>
      <c r="T187" s="26"/>
      <c r="U187" s="26"/>
      <c r="V187" s="26"/>
      <c r="W187" s="26"/>
      <c r="X187" s="26"/>
      <c r="Y187" s="26"/>
      <c r="Z187" s="26"/>
    </row>
    <row r="188" spans="1:26" x14ac:dyDescent="0.3">
      <c r="A188" s="91" t="s">
        <v>962</v>
      </c>
      <c r="B188" s="26" t="s">
        <v>288</v>
      </c>
      <c r="C188" s="26">
        <v>49</v>
      </c>
      <c r="D188" s="26" t="s">
        <v>102</v>
      </c>
      <c r="E188" s="26" t="s">
        <v>12</v>
      </c>
      <c r="F188" s="26" t="s">
        <v>16</v>
      </c>
      <c r="G188" s="26">
        <v>10</v>
      </c>
      <c r="H188" s="341">
        <v>1000000</v>
      </c>
      <c r="I188" s="26" t="s">
        <v>114</v>
      </c>
      <c r="J188" s="26" t="s">
        <v>28</v>
      </c>
      <c r="K188" s="26">
        <v>1</v>
      </c>
      <c r="L188" s="26">
        <v>0.52749999999999997</v>
      </c>
      <c r="M188" s="26">
        <v>1.74888E-3</v>
      </c>
      <c r="N188" s="26">
        <v>9.2299999999999999E-4</v>
      </c>
      <c r="O188" s="26">
        <v>0</v>
      </c>
      <c r="P188" s="26">
        <v>0.1792</v>
      </c>
      <c r="Q188" s="26">
        <v>0</v>
      </c>
      <c r="R188" s="103">
        <v>3093.67</v>
      </c>
      <c r="S188" s="26"/>
      <c r="T188" s="26"/>
      <c r="U188" s="26"/>
      <c r="V188" s="26"/>
      <c r="W188" s="26"/>
      <c r="X188" s="26"/>
      <c r="Y188" s="26"/>
      <c r="Z188" s="26"/>
    </row>
    <row r="189" spans="1:26" x14ac:dyDescent="0.3">
      <c r="A189" s="91" t="s">
        <v>963</v>
      </c>
      <c r="B189" s="26" t="s">
        <v>288</v>
      </c>
      <c r="C189" s="26">
        <v>37</v>
      </c>
      <c r="D189" s="26" t="s">
        <v>8</v>
      </c>
      <c r="E189" s="26" t="s">
        <v>12</v>
      </c>
      <c r="F189" s="26" t="s">
        <v>16</v>
      </c>
      <c r="G189" s="26">
        <v>25</v>
      </c>
      <c r="H189" s="341">
        <v>500000</v>
      </c>
      <c r="I189" s="26" t="s">
        <v>26</v>
      </c>
      <c r="J189" s="26" t="s">
        <v>93</v>
      </c>
      <c r="K189" s="26">
        <v>5</v>
      </c>
      <c r="L189" s="26">
        <v>0.75329999999999997</v>
      </c>
      <c r="M189" s="26">
        <v>9.0596999999999997E-4</v>
      </c>
      <c r="N189" s="26">
        <v>6.8300000000000001E-4</v>
      </c>
      <c r="O189" s="26">
        <v>0</v>
      </c>
      <c r="P189" s="26">
        <v>5.8401000000000002E-2</v>
      </c>
      <c r="Q189" s="26">
        <v>0</v>
      </c>
      <c r="R189" s="103">
        <v>1289.52</v>
      </c>
      <c r="S189" s="26"/>
      <c r="T189" s="26"/>
      <c r="U189" s="26"/>
      <c r="V189" s="26"/>
      <c r="W189" s="26"/>
      <c r="X189" s="26"/>
      <c r="Y189" s="26"/>
      <c r="Z189" s="26"/>
    </row>
    <row r="190" spans="1:26" x14ac:dyDescent="0.3">
      <c r="A190" s="91" t="s">
        <v>964</v>
      </c>
      <c r="B190" s="26" t="s">
        <v>288</v>
      </c>
      <c r="C190" s="26">
        <v>55</v>
      </c>
      <c r="D190" s="26" t="s">
        <v>8</v>
      </c>
      <c r="E190" s="26" t="s">
        <v>12</v>
      </c>
      <c r="F190" s="26" t="s">
        <v>106</v>
      </c>
      <c r="G190" s="26">
        <v>15</v>
      </c>
      <c r="H190" s="341">
        <v>250000</v>
      </c>
      <c r="I190" s="26" t="s">
        <v>114</v>
      </c>
      <c r="J190" s="26" t="s">
        <v>28</v>
      </c>
      <c r="K190" s="26">
        <v>3</v>
      </c>
      <c r="L190" s="26">
        <v>0.96940000000000004</v>
      </c>
      <c r="M190" s="26">
        <v>3.0590700000000001E-3</v>
      </c>
      <c r="N190" s="26">
        <v>2.9650000000000002E-3</v>
      </c>
      <c r="O190" s="26">
        <v>0</v>
      </c>
      <c r="P190" s="26">
        <v>0.115411</v>
      </c>
      <c r="Q190" s="26">
        <v>0</v>
      </c>
      <c r="R190" s="103">
        <v>1519.93</v>
      </c>
      <c r="S190" s="26"/>
      <c r="T190" s="26"/>
      <c r="U190" s="26"/>
      <c r="V190" s="26"/>
      <c r="W190" s="26"/>
      <c r="X190" s="26"/>
      <c r="Y190" s="26"/>
      <c r="Z190" s="26"/>
    </row>
    <row r="191" spans="1:26" x14ac:dyDescent="0.3">
      <c r="A191" s="91" t="s">
        <v>965</v>
      </c>
      <c r="B191" s="26" t="s">
        <v>289</v>
      </c>
      <c r="C191" s="26">
        <v>57</v>
      </c>
      <c r="D191" s="26" t="s">
        <v>8</v>
      </c>
      <c r="E191" s="26" t="s">
        <v>104</v>
      </c>
      <c r="F191" s="26" t="s">
        <v>106</v>
      </c>
      <c r="G191" s="26">
        <v>10</v>
      </c>
      <c r="H191" s="341">
        <v>500000</v>
      </c>
      <c r="I191" s="26" t="s">
        <v>26</v>
      </c>
      <c r="J191" s="26" t="s">
        <v>93</v>
      </c>
      <c r="K191" s="26">
        <v>5</v>
      </c>
      <c r="L191" s="26">
        <v>0.77100000000000002</v>
      </c>
      <c r="M191" s="26">
        <v>5.9232499999999997E-3</v>
      </c>
      <c r="N191" s="26">
        <v>4.5669999999999999E-3</v>
      </c>
      <c r="O191" s="26">
        <v>0</v>
      </c>
      <c r="P191" s="26">
        <v>5.2560999999999997E-2</v>
      </c>
      <c r="Q191" s="26">
        <v>0</v>
      </c>
      <c r="R191" s="103">
        <v>10512.46</v>
      </c>
      <c r="S191" s="26"/>
      <c r="T191" s="26"/>
      <c r="U191" s="26"/>
      <c r="V191" s="26"/>
      <c r="W191" s="26"/>
      <c r="X191" s="26"/>
      <c r="Y191" s="26"/>
      <c r="Z191" s="26"/>
    </row>
    <row r="192" spans="1:26" x14ac:dyDescent="0.3">
      <c r="A192" s="91" t="s">
        <v>966</v>
      </c>
      <c r="B192" s="26" t="s">
        <v>289</v>
      </c>
      <c r="C192" s="26">
        <v>57</v>
      </c>
      <c r="D192" s="26" t="s">
        <v>102</v>
      </c>
      <c r="E192" s="26" t="s">
        <v>12</v>
      </c>
      <c r="F192" s="26" t="s">
        <v>16</v>
      </c>
      <c r="G192" s="26">
        <v>15</v>
      </c>
      <c r="H192" s="341">
        <v>500000</v>
      </c>
      <c r="I192" s="26" t="s">
        <v>26</v>
      </c>
      <c r="J192" s="26" t="s">
        <v>94</v>
      </c>
      <c r="K192" s="26">
        <v>1</v>
      </c>
      <c r="L192" s="26">
        <v>0.78010000000000002</v>
      </c>
      <c r="M192" s="26">
        <v>3.3167100000000001E-3</v>
      </c>
      <c r="N192" s="26">
        <v>2.5869999999999999E-3</v>
      </c>
      <c r="O192" s="26">
        <v>0</v>
      </c>
      <c r="P192" s="26">
        <v>0.12672</v>
      </c>
      <c r="Q192" s="26">
        <v>0</v>
      </c>
      <c r="R192" s="103">
        <v>12807.31</v>
      </c>
      <c r="S192" s="26"/>
      <c r="T192" s="26"/>
      <c r="U192" s="26"/>
      <c r="V192" s="26"/>
      <c r="W192" s="26"/>
      <c r="X192" s="26"/>
      <c r="Y192" s="26"/>
      <c r="Z192" s="26"/>
    </row>
    <row r="193" spans="1:26" x14ac:dyDescent="0.3">
      <c r="A193" s="91" t="s">
        <v>967</v>
      </c>
      <c r="B193" s="26" t="s">
        <v>288</v>
      </c>
      <c r="C193" s="26">
        <v>58</v>
      </c>
      <c r="D193" s="26" t="s">
        <v>8</v>
      </c>
      <c r="E193" s="26" t="s">
        <v>12</v>
      </c>
      <c r="F193" s="26" t="s">
        <v>16</v>
      </c>
      <c r="G193" s="26">
        <v>20</v>
      </c>
      <c r="H193" s="341">
        <v>500000</v>
      </c>
      <c r="I193" s="26" t="s">
        <v>114</v>
      </c>
      <c r="J193" s="26" t="s">
        <v>28</v>
      </c>
      <c r="K193" s="26">
        <v>3</v>
      </c>
      <c r="L193" s="26">
        <v>0.68610000000000004</v>
      </c>
      <c r="M193" s="26">
        <v>4.8610499999999996E-3</v>
      </c>
      <c r="N193" s="26">
        <v>3.3349999999999999E-3</v>
      </c>
      <c r="O193" s="26">
        <v>0</v>
      </c>
      <c r="P193" s="26">
        <v>0.115411</v>
      </c>
      <c r="Q193" s="26">
        <v>0</v>
      </c>
      <c r="R193" s="103">
        <v>3623.02</v>
      </c>
      <c r="S193" s="26"/>
      <c r="T193" s="26"/>
      <c r="U193" s="26"/>
      <c r="V193" s="26"/>
      <c r="W193" s="26"/>
      <c r="X193" s="26"/>
      <c r="Y193" s="26"/>
      <c r="Z193" s="26"/>
    </row>
    <row r="194" spans="1:26" x14ac:dyDescent="0.3">
      <c r="A194" s="91" t="s">
        <v>968</v>
      </c>
      <c r="B194" s="26" t="s">
        <v>288</v>
      </c>
      <c r="C194" s="26">
        <v>39</v>
      </c>
      <c r="D194" s="26" t="s">
        <v>8</v>
      </c>
      <c r="E194" s="26" t="s">
        <v>12</v>
      </c>
      <c r="F194" s="26" t="s">
        <v>16</v>
      </c>
      <c r="G194" s="26">
        <v>15</v>
      </c>
      <c r="H194" s="341">
        <v>2000000</v>
      </c>
      <c r="I194" s="26" t="s">
        <v>114</v>
      </c>
      <c r="J194" s="26" t="s">
        <v>28</v>
      </c>
      <c r="K194" s="26">
        <v>3</v>
      </c>
      <c r="L194" s="26">
        <v>0.82320000000000004</v>
      </c>
      <c r="M194" s="26">
        <v>1.06317E-3</v>
      </c>
      <c r="N194" s="26">
        <v>8.7500000000000002E-4</v>
      </c>
      <c r="O194" s="26">
        <v>0</v>
      </c>
      <c r="P194" s="26">
        <v>0.115411</v>
      </c>
      <c r="Q194" s="26">
        <v>0</v>
      </c>
      <c r="R194" s="103">
        <v>4089.08</v>
      </c>
      <c r="S194" s="26"/>
      <c r="T194" s="26"/>
      <c r="U194" s="26"/>
      <c r="V194" s="26"/>
      <c r="W194" s="26"/>
      <c r="X194" s="26"/>
      <c r="Y194" s="26"/>
      <c r="Z194" s="26"/>
    </row>
    <row r="195" spans="1:26" x14ac:dyDescent="0.3">
      <c r="A195" s="91" t="s">
        <v>969</v>
      </c>
      <c r="B195" s="26" t="s">
        <v>288</v>
      </c>
      <c r="C195" s="26">
        <v>28</v>
      </c>
      <c r="D195" s="26" t="s">
        <v>8</v>
      </c>
      <c r="E195" s="26" t="s">
        <v>12</v>
      </c>
      <c r="F195" s="26" t="s">
        <v>16</v>
      </c>
      <c r="G195" s="26">
        <v>15</v>
      </c>
      <c r="H195" s="341">
        <v>1000000</v>
      </c>
      <c r="I195" s="26" t="s">
        <v>114</v>
      </c>
      <c r="J195" s="26" t="s">
        <v>93</v>
      </c>
      <c r="K195" s="26">
        <v>7</v>
      </c>
      <c r="L195" s="26">
        <v>0.84470000000000001</v>
      </c>
      <c r="M195" s="26">
        <v>4.4098E-4</v>
      </c>
      <c r="N195" s="26">
        <v>3.7300000000000001E-4</v>
      </c>
      <c r="O195" s="26">
        <v>0</v>
      </c>
      <c r="P195" s="26">
        <v>4.7870999999999997E-2</v>
      </c>
      <c r="Q195" s="26">
        <v>0</v>
      </c>
      <c r="R195" s="103">
        <v>1550.36</v>
      </c>
      <c r="S195" s="26"/>
      <c r="T195" s="26"/>
      <c r="U195" s="26"/>
      <c r="V195" s="26"/>
      <c r="W195" s="26"/>
      <c r="X195" s="26"/>
      <c r="Y195" s="26"/>
      <c r="Z195" s="26"/>
    </row>
    <row r="196" spans="1:26" x14ac:dyDescent="0.3">
      <c r="A196" s="91" t="s">
        <v>970</v>
      </c>
      <c r="B196" s="26" t="s">
        <v>288</v>
      </c>
      <c r="C196" s="26">
        <v>47</v>
      </c>
      <c r="D196" s="26" t="s">
        <v>102</v>
      </c>
      <c r="E196" s="26" t="s">
        <v>12</v>
      </c>
      <c r="F196" s="26" t="s">
        <v>106</v>
      </c>
      <c r="G196" s="26">
        <v>25</v>
      </c>
      <c r="H196" s="341">
        <v>250000</v>
      </c>
      <c r="I196" s="26" t="s">
        <v>26</v>
      </c>
      <c r="J196" s="26" t="s">
        <v>28</v>
      </c>
      <c r="K196" s="26">
        <v>4</v>
      </c>
      <c r="L196" s="26">
        <v>0.73719999999999997</v>
      </c>
      <c r="M196" s="26">
        <v>1.19224E-3</v>
      </c>
      <c r="N196" s="26">
        <v>8.7900000000000001E-4</v>
      </c>
      <c r="O196" s="26">
        <v>0</v>
      </c>
      <c r="P196" s="26">
        <v>7.2773000000000004E-2</v>
      </c>
      <c r="Q196" s="26">
        <v>0</v>
      </c>
      <c r="R196" s="103">
        <v>1200</v>
      </c>
      <c r="S196" s="26"/>
      <c r="T196" s="26"/>
      <c r="U196" s="26"/>
      <c r="V196" s="26"/>
      <c r="W196" s="26"/>
      <c r="X196" s="26"/>
      <c r="Y196" s="26"/>
      <c r="Z196" s="26"/>
    </row>
    <row r="197" spans="1:26" x14ac:dyDescent="0.3">
      <c r="A197" s="91" t="s">
        <v>971</v>
      </c>
      <c r="B197" s="26" t="s">
        <v>288</v>
      </c>
      <c r="C197" s="26">
        <v>34</v>
      </c>
      <c r="D197" s="26" t="s">
        <v>8</v>
      </c>
      <c r="E197" s="26" t="s">
        <v>12</v>
      </c>
      <c r="F197" s="26" t="s">
        <v>16</v>
      </c>
      <c r="G197" s="26">
        <v>20</v>
      </c>
      <c r="H197" s="341">
        <v>500000</v>
      </c>
      <c r="I197" s="26" t="s">
        <v>114</v>
      </c>
      <c r="J197" s="26" t="s">
        <v>93</v>
      </c>
      <c r="K197" s="26">
        <v>2</v>
      </c>
      <c r="L197" s="26">
        <v>0.83250000000000002</v>
      </c>
      <c r="M197" s="26">
        <v>7.1266000000000005E-4</v>
      </c>
      <c r="N197" s="26">
        <v>5.9299999999999999E-4</v>
      </c>
      <c r="O197" s="26">
        <v>0</v>
      </c>
      <c r="P197" s="26">
        <v>0.14381099999999999</v>
      </c>
      <c r="Q197" s="26">
        <v>0</v>
      </c>
      <c r="R197" s="103">
        <v>1200</v>
      </c>
      <c r="S197" s="26"/>
      <c r="T197" s="26"/>
      <c r="U197" s="26"/>
      <c r="V197" s="26"/>
      <c r="W197" s="26"/>
      <c r="X197" s="26"/>
      <c r="Y197" s="26"/>
      <c r="Z197" s="26"/>
    </row>
    <row r="198" spans="1:26" x14ac:dyDescent="0.3">
      <c r="A198" s="91" t="s">
        <v>972</v>
      </c>
      <c r="B198" s="26" t="s">
        <v>288</v>
      </c>
      <c r="C198" s="26">
        <v>53</v>
      </c>
      <c r="D198" s="26" t="s">
        <v>8</v>
      </c>
      <c r="E198" s="26" t="s">
        <v>12</v>
      </c>
      <c r="F198" s="26" t="s">
        <v>16</v>
      </c>
      <c r="G198" s="26">
        <v>20</v>
      </c>
      <c r="H198" s="341">
        <v>500000</v>
      </c>
      <c r="I198" s="26" t="s">
        <v>26</v>
      </c>
      <c r="J198" s="26" t="s">
        <v>94</v>
      </c>
      <c r="K198" s="26">
        <v>1</v>
      </c>
      <c r="L198" s="26">
        <v>0.59850000000000003</v>
      </c>
      <c r="M198" s="26">
        <v>3.2584599999999999E-3</v>
      </c>
      <c r="N198" s="26">
        <v>1.9499999999999999E-3</v>
      </c>
      <c r="O198" s="26">
        <v>0</v>
      </c>
      <c r="P198" s="26">
        <v>0.14080000000000001</v>
      </c>
      <c r="Q198" s="26">
        <v>0</v>
      </c>
      <c r="R198" s="103">
        <v>2677.49</v>
      </c>
      <c r="S198" s="26"/>
      <c r="T198" s="26"/>
      <c r="U198" s="26"/>
      <c r="V198" s="26"/>
      <c r="W198" s="26"/>
      <c r="X198" s="26"/>
      <c r="Y198" s="26"/>
      <c r="Z198" s="26"/>
    </row>
    <row r="199" spans="1:26" x14ac:dyDescent="0.3">
      <c r="A199" s="91" t="s">
        <v>973</v>
      </c>
      <c r="B199" s="26" t="s">
        <v>288</v>
      </c>
      <c r="C199" s="26">
        <v>44</v>
      </c>
      <c r="D199" s="26" t="s">
        <v>8</v>
      </c>
      <c r="E199" s="26" t="s">
        <v>12</v>
      </c>
      <c r="F199" s="26" t="s">
        <v>16</v>
      </c>
      <c r="G199" s="26">
        <v>15</v>
      </c>
      <c r="H199" s="341">
        <v>500000</v>
      </c>
      <c r="I199" s="26" t="s">
        <v>26</v>
      </c>
      <c r="J199" s="26" t="s">
        <v>94</v>
      </c>
      <c r="K199" s="26">
        <v>6</v>
      </c>
      <c r="L199" s="26">
        <v>0.81530000000000002</v>
      </c>
      <c r="M199" s="26">
        <v>1.58606E-3</v>
      </c>
      <c r="N199" s="26">
        <v>1.2930000000000001E-3</v>
      </c>
      <c r="O199" s="26">
        <v>0</v>
      </c>
      <c r="P199" s="26">
        <v>4.6868E-2</v>
      </c>
      <c r="Q199" s="26">
        <v>0</v>
      </c>
      <c r="R199" s="103">
        <v>1690.78</v>
      </c>
      <c r="S199" s="26"/>
      <c r="T199" s="26"/>
      <c r="U199" s="26"/>
      <c r="V199" s="26"/>
      <c r="W199" s="26"/>
      <c r="X199" s="26"/>
      <c r="Y199" s="26"/>
      <c r="Z199" s="26"/>
    </row>
    <row r="200" spans="1:26" x14ac:dyDescent="0.3">
      <c r="A200" s="91" t="s">
        <v>974</v>
      </c>
      <c r="B200" s="26" t="s">
        <v>288</v>
      </c>
      <c r="C200" s="26">
        <v>64</v>
      </c>
      <c r="D200" s="26" t="s">
        <v>8</v>
      </c>
      <c r="E200" s="26" t="s">
        <v>12</v>
      </c>
      <c r="F200" s="26" t="s">
        <v>16</v>
      </c>
      <c r="G200" s="26">
        <v>20</v>
      </c>
      <c r="H200" s="341">
        <v>1000000</v>
      </c>
      <c r="I200" s="26" t="s">
        <v>26</v>
      </c>
      <c r="J200" s="26" t="s">
        <v>94</v>
      </c>
      <c r="K200" s="26">
        <v>3</v>
      </c>
      <c r="L200" s="26">
        <v>0.79020000000000001</v>
      </c>
      <c r="M200" s="26">
        <v>7.8558199999999995E-3</v>
      </c>
      <c r="N200" s="26">
        <v>6.2069999999999998E-3</v>
      </c>
      <c r="O200" s="26">
        <v>0</v>
      </c>
      <c r="P200" s="26">
        <v>9.0679999999999997E-2</v>
      </c>
      <c r="Q200" s="26">
        <v>0</v>
      </c>
      <c r="R200" s="103">
        <v>10299.86</v>
      </c>
      <c r="S200" s="26"/>
      <c r="T200" s="26"/>
      <c r="U200" s="26"/>
      <c r="V200" s="26"/>
      <c r="W200" s="26"/>
      <c r="X200" s="26"/>
      <c r="Y200" s="26"/>
      <c r="Z200" s="26"/>
    </row>
    <row r="201" spans="1:26" x14ac:dyDescent="0.3">
      <c r="A201" s="91" t="s">
        <v>975</v>
      </c>
      <c r="B201" s="26" t="s">
        <v>288</v>
      </c>
      <c r="C201" s="26">
        <v>26</v>
      </c>
      <c r="D201" s="26" t="s">
        <v>8</v>
      </c>
      <c r="E201" s="26" t="s">
        <v>12</v>
      </c>
      <c r="F201" s="26" t="s">
        <v>16</v>
      </c>
      <c r="G201" s="26">
        <v>10</v>
      </c>
      <c r="H201" s="341">
        <v>2000000</v>
      </c>
      <c r="I201" s="26" t="s">
        <v>26</v>
      </c>
      <c r="J201" s="26" t="s">
        <v>28</v>
      </c>
      <c r="K201" s="26">
        <v>3</v>
      </c>
      <c r="L201" s="26">
        <v>0.71860000000000002</v>
      </c>
      <c r="M201" s="26">
        <v>3.7577999999999998E-4</v>
      </c>
      <c r="N201" s="26">
        <v>2.7E-4</v>
      </c>
      <c r="O201" s="26">
        <v>0</v>
      </c>
      <c r="P201" s="26">
        <v>9.0679999999999997E-2</v>
      </c>
      <c r="Q201" s="26">
        <v>0</v>
      </c>
      <c r="R201" s="103">
        <v>2466.85</v>
      </c>
      <c r="S201" s="26"/>
      <c r="T201" s="26"/>
      <c r="U201" s="26"/>
      <c r="V201" s="26"/>
      <c r="W201" s="26"/>
      <c r="X201" s="26"/>
      <c r="Y201" s="26"/>
      <c r="Z201" s="26"/>
    </row>
    <row r="202" spans="1:26" x14ac:dyDescent="0.3">
      <c r="A202" s="91" t="s">
        <v>976</v>
      </c>
      <c r="B202" s="26" t="s">
        <v>288</v>
      </c>
      <c r="C202" s="26">
        <v>23</v>
      </c>
      <c r="D202" s="26" t="s">
        <v>102</v>
      </c>
      <c r="E202" s="26" t="s">
        <v>12</v>
      </c>
      <c r="F202" s="26" t="s">
        <v>16</v>
      </c>
      <c r="G202" s="26">
        <v>20</v>
      </c>
      <c r="H202" s="341">
        <v>500000</v>
      </c>
      <c r="I202" s="26" t="s">
        <v>26</v>
      </c>
      <c r="J202" s="26" t="s">
        <v>28</v>
      </c>
      <c r="K202" s="26">
        <v>6</v>
      </c>
      <c r="L202" s="26">
        <v>0.86370000000000002</v>
      </c>
      <c r="M202" s="26">
        <v>2.1849E-4</v>
      </c>
      <c r="N202" s="26">
        <v>1.8900000000000001E-4</v>
      </c>
      <c r="O202" s="26">
        <v>0</v>
      </c>
      <c r="P202" s="26">
        <v>4.6868E-2</v>
      </c>
      <c r="Q202" s="26">
        <v>0</v>
      </c>
      <c r="R202" s="103">
        <v>1200</v>
      </c>
      <c r="S202" s="26"/>
      <c r="T202" s="26"/>
      <c r="U202" s="26"/>
      <c r="V202" s="26"/>
      <c r="W202" s="26"/>
      <c r="X202" s="26"/>
      <c r="Y202" s="26"/>
      <c r="Z202" s="26"/>
    </row>
    <row r="203" spans="1:26" x14ac:dyDescent="0.3">
      <c r="A203" s="91" t="s">
        <v>977</v>
      </c>
      <c r="B203" s="26" t="s">
        <v>288</v>
      </c>
      <c r="C203" s="26">
        <v>47</v>
      </c>
      <c r="D203" s="26" t="s">
        <v>102</v>
      </c>
      <c r="E203" s="26" t="s">
        <v>12</v>
      </c>
      <c r="F203" s="26" t="s">
        <v>16</v>
      </c>
      <c r="G203" s="26">
        <v>20</v>
      </c>
      <c r="H203" s="341">
        <v>250000</v>
      </c>
      <c r="I203" s="26" t="s">
        <v>114</v>
      </c>
      <c r="J203" s="26" t="s">
        <v>94</v>
      </c>
      <c r="K203" s="26">
        <v>2</v>
      </c>
      <c r="L203" s="26">
        <v>0.95279999999999998</v>
      </c>
      <c r="M203" s="26">
        <v>1.49029E-3</v>
      </c>
      <c r="N203" s="26">
        <v>1.42E-3</v>
      </c>
      <c r="O203" s="26">
        <v>0</v>
      </c>
      <c r="P203" s="26">
        <v>0.14381099999999999</v>
      </c>
      <c r="Q203" s="26">
        <v>0</v>
      </c>
      <c r="R203" s="103">
        <v>1200</v>
      </c>
      <c r="S203" s="26"/>
      <c r="T203" s="26"/>
      <c r="U203" s="26"/>
      <c r="V203" s="26"/>
      <c r="W203" s="26"/>
      <c r="X203" s="26"/>
      <c r="Y203" s="26"/>
      <c r="Z203" s="26"/>
    </row>
    <row r="204" spans="1:26" x14ac:dyDescent="0.3">
      <c r="A204" s="91" t="s">
        <v>978</v>
      </c>
      <c r="B204" s="26" t="s">
        <v>289</v>
      </c>
      <c r="C204" s="26">
        <v>47</v>
      </c>
      <c r="D204" s="26" t="s">
        <v>8</v>
      </c>
      <c r="E204" s="26" t="s">
        <v>12</v>
      </c>
      <c r="F204" s="26" t="s">
        <v>106</v>
      </c>
      <c r="G204" s="26">
        <v>25</v>
      </c>
      <c r="H204" s="341">
        <v>2000000</v>
      </c>
      <c r="I204" s="26" t="s">
        <v>114</v>
      </c>
      <c r="J204" s="26" t="s">
        <v>93</v>
      </c>
      <c r="K204" s="26">
        <v>1</v>
      </c>
      <c r="L204" s="26">
        <v>0.54879999999999995</v>
      </c>
      <c r="M204" s="26">
        <v>1.6130199999999999E-3</v>
      </c>
      <c r="N204" s="26">
        <v>8.8500000000000004E-4</v>
      </c>
      <c r="O204" s="26">
        <v>0</v>
      </c>
      <c r="P204" s="26">
        <v>0.16128000000000001</v>
      </c>
      <c r="Q204" s="26">
        <v>0</v>
      </c>
      <c r="R204" s="103">
        <v>11047.35</v>
      </c>
      <c r="S204" s="26"/>
      <c r="T204" s="26"/>
      <c r="U204" s="26"/>
      <c r="V204" s="26"/>
      <c r="W204" s="26"/>
      <c r="X204" s="26"/>
      <c r="Y204" s="26"/>
      <c r="Z204" s="26"/>
    </row>
    <row r="205" spans="1:26" x14ac:dyDescent="0.3">
      <c r="A205" s="91" t="s">
        <v>979</v>
      </c>
      <c r="B205" s="26" t="s">
        <v>288</v>
      </c>
      <c r="C205" s="26">
        <v>25</v>
      </c>
      <c r="D205" s="26" t="s">
        <v>8</v>
      </c>
      <c r="E205" s="26" t="s">
        <v>104</v>
      </c>
      <c r="F205" s="26" t="s">
        <v>16</v>
      </c>
      <c r="G205" s="26">
        <v>15</v>
      </c>
      <c r="H205" s="341">
        <v>250000</v>
      </c>
      <c r="I205" s="26" t="s">
        <v>26</v>
      </c>
      <c r="J205" s="26" t="s">
        <v>93</v>
      </c>
      <c r="K205" s="26">
        <v>5</v>
      </c>
      <c r="L205" s="26">
        <v>0.89659999999999995</v>
      </c>
      <c r="M205" s="26">
        <v>5.7237E-4</v>
      </c>
      <c r="N205" s="26">
        <v>5.13E-4</v>
      </c>
      <c r="O205" s="26">
        <v>0</v>
      </c>
      <c r="P205" s="26">
        <v>5.8401000000000002E-2</v>
      </c>
      <c r="Q205" s="26">
        <v>0</v>
      </c>
      <c r="R205" s="103">
        <v>1200</v>
      </c>
      <c r="S205" s="26"/>
      <c r="T205" s="26"/>
      <c r="U205" s="26"/>
      <c r="V205" s="26"/>
      <c r="W205" s="26"/>
      <c r="X205" s="26"/>
      <c r="Y205" s="26"/>
      <c r="Z205" s="26"/>
    </row>
    <row r="206" spans="1:26" x14ac:dyDescent="0.3">
      <c r="A206" s="91" t="s">
        <v>980</v>
      </c>
      <c r="B206" s="26" t="s">
        <v>289</v>
      </c>
      <c r="C206" s="26">
        <v>65</v>
      </c>
      <c r="D206" s="26" t="s">
        <v>102</v>
      </c>
      <c r="E206" s="26" t="s">
        <v>12</v>
      </c>
      <c r="F206" s="26" t="s">
        <v>16</v>
      </c>
      <c r="G206" s="26">
        <v>25</v>
      </c>
      <c r="H206" s="341">
        <v>250000</v>
      </c>
      <c r="I206" s="26" t="s">
        <v>114</v>
      </c>
      <c r="J206" s="26" t="s">
        <v>93</v>
      </c>
      <c r="K206" s="26">
        <v>5</v>
      </c>
      <c r="L206" s="26">
        <v>0.60029999999999994</v>
      </c>
      <c r="M206" s="26">
        <v>6.29008E-3</v>
      </c>
      <c r="N206" s="26">
        <v>3.7759999999999998E-3</v>
      </c>
      <c r="O206" s="26">
        <v>0</v>
      </c>
      <c r="P206" s="26">
        <v>6.6895999999999997E-2</v>
      </c>
      <c r="Q206" s="26">
        <v>0</v>
      </c>
      <c r="R206" s="103">
        <v>8516.1200000000008</v>
      </c>
      <c r="S206" s="26"/>
      <c r="T206" s="26"/>
      <c r="U206" s="26"/>
      <c r="V206" s="26"/>
      <c r="W206" s="26"/>
      <c r="X206" s="26"/>
      <c r="Y206" s="26"/>
      <c r="Z206" s="26"/>
    </row>
    <row r="207" spans="1:26" x14ac:dyDescent="0.3">
      <c r="A207" s="91" t="s">
        <v>981</v>
      </c>
      <c r="B207" s="26" t="s">
        <v>288</v>
      </c>
      <c r="C207" s="26">
        <v>41</v>
      </c>
      <c r="D207" s="26" t="s">
        <v>8</v>
      </c>
      <c r="E207" s="26" t="s">
        <v>12</v>
      </c>
      <c r="F207" s="26" t="s">
        <v>16</v>
      </c>
      <c r="G207" s="26">
        <v>15</v>
      </c>
      <c r="H207" s="341">
        <v>2000000</v>
      </c>
      <c r="I207" s="26" t="s">
        <v>26</v>
      </c>
      <c r="J207" s="26" t="s">
        <v>94</v>
      </c>
      <c r="K207" s="26">
        <v>1</v>
      </c>
      <c r="L207" s="26">
        <v>0.76529999999999998</v>
      </c>
      <c r="M207" s="26">
        <v>1.2476399999999999E-3</v>
      </c>
      <c r="N207" s="26">
        <v>9.5500000000000001E-4</v>
      </c>
      <c r="O207" s="26">
        <v>0</v>
      </c>
      <c r="P207" s="26">
        <v>0.14080000000000001</v>
      </c>
      <c r="Q207" s="26">
        <v>0</v>
      </c>
      <c r="R207" s="103">
        <v>4524.43</v>
      </c>
      <c r="S207" s="26"/>
      <c r="T207" s="26"/>
      <c r="U207" s="26"/>
      <c r="V207" s="26"/>
      <c r="W207" s="26"/>
      <c r="X207" s="26"/>
      <c r="Y207" s="26"/>
      <c r="Z207" s="26"/>
    </row>
    <row r="208" spans="1:26" x14ac:dyDescent="0.3">
      <c r="A208" s="91" t="s">
        <v>982</v>
      </c>
      <c r="B208" s="26" t="s">
        <v>289</v>
      </c>
      <c r="C208" s="26">
        <v>29</v>
      </c>
      <c r="D208" s="26" t="s">
        <v>102</v>
      </c>
      <c r="E208" s="26" t="s">
        <v>12</v>
      </c>
      <c r="F208" s="26" t="s">
        <v>16</v>
      </c>
      <c r="G208" s="26">
        <v>20</v>
      </c>
      <c r="H208" s="341">
        <v>250000</v>
      </c>
      <c r="I208" s="26" t="s">
        <v>26</v>
      </c>
      <c r="J208" s="26" t="s">
        <v>93</v>
      </c>
      <c r="K208" s="26">
        <v>4</v>
      </c>
      <c r="L208" s="26">
        <v>0.67379999999999995</v>
      </c>
      <c r="M208" s="26">
        <v>3.5309000000000002E-4</v>
      </c>
      <c r="N208" s="26">
        <v>2.3800000000000001E-4</v>
      </c>
      <c r="O208" s="26">
        <v>0</v>
      </c>
      <c r="P208" s="26">
        <v>6.5494999999999998E-2</v>
      </c>
      <c r="Q208" s="26">
        <v>0</v>
      </c>
      <c r="R208" s="103">
        <v>10314.06</v>
      </c>
      <c r="S208" s="26"/>
      <c r="T208" s="26"/>
      <c r="U208" s="26"/>
      <c r="V208" s="26"/>
      <c r="W208" s="26"/>
      <c r="X208" s="26"/>
      <c r="Y208" s="26"/>
      <c r="Z208" s="26"/>
    </row>
    <row r="209" spans="1:26" x14ac:dyDescent="0.3">
      <c r="A209" s="91" t="s">
        <v>983</v>
      </c>
      <c r="B209" s="26" t="s">
        <v>289</v>
      </c>
      <c r="C209" s="26">
        <v>52</v>
      </c>
      <c r="D209" s="26" t="s">
        <v>102</v>
      </c>
      <c r="E209" s="26" t="s">
        <v>12</v>
      </c>
      <c r="F209" s="26" t="s">
        <v>16</v>
      </c>
      <c r="G209" s="26">
        <v>10</v>
      </c>
      <c r="H209" s="341">
        <v>250000</v>
      </c>
      <c r="I209" s="26" t="s">
        <v>114</v>
      </c>
      <c r="J209" s="26" t="s">
        <v>28</v>
      </c>
      <c r="K209" s="26">
        <v>7</v>
      </c>
      <c r="L209" s="26">
        <v>0.78259999999999996</v>
      </c>
      <c r="M209" s="26">
        <v>2.2232599999999999E-3</v>
      </c>
      <c r="N209" s="26">
        <v>1.74E-3</v>
      </c>
      <c r="O209" s="26">
        <v>0</v>
      </c>
      <c r="P209" s="26">
        <v>4.3083999999999997E-2</v>
      </c>
      <c r="Q209" s="26">
        <v>0</v>
      </c>
      <c r="R209" s="103">
        <v>15919.67</v>
      </c>
      <c r="S209" s="26"/>
      <c r="T209" s="26"/>
      <c r="U209" s="26"/>
      <c r="V209" s="26"/>
      <c r="W209" s="26"/>
      <c r="X209" s="26"/>
      <c r="Y209" s="26"/>
      <c r="Z209" s="26"/>
    </row>
    <row r="210" spans="1:26" x14ac:dyDescent="0.3">
      <c r="A210" s="91" t="s">
        <v>984</v>
      </c>
      <c r="B210" s="26" t="s">
        <v>288</v>
      </c>
      <c r="C210" s="26">
        <v>63</v>
      </c>
      <c r="D210" s="26" t="s">
        <v>102</v>
      </c>
      <c r="E210" s="26" t="s">
        <v>12</v>
      </c>
      <c r="F210" s="26" t="s">
        <v>16</v>
      </c>
      <c r="G210" s="26">
        <v>10</v>
      </c>
      <c r="H210" s="341">
        <v>2000000</v>
      </c>
      <c r="I210" s="26" t="s">
        <v>114</v>
      </c>
      <c r="J210" s="26" t="s">
        <v>28</v>
      </c>
      <c r="K210" s="26">
        <v>1</v>
      </c>
      <c r="L210" s="26">
        <v>0.5393</v>
      </c>
      <c r="M210" s="26">
        <v>5.3600499999999999E-3</v>
      </c>
      <c r="N210" s="26">
        <v>2.8909999999999999E-3</v>
      </c>
      <c r="O210" s="26">
        <v>0</v>
      </c>
      <c r="P210" s="26">
        <v>0.1792</v>
      </c>
      <c r="Q210" s="26">
        <v>0</v>
      </c>
      <c r="R210" s="103">
        <v>14229.72</v>
      </c>
      <c r="S210" s="26"/>
      <c r="T210" s="26"/>
      <c r="U210" s="26"/>
      <c r="V210" s="26"/>
      <c r="W210" s="26"/>
      <c r="X210" s="26"/>
      <c r="Y210" s="26"/>
      <c r="Z210" s="26"/>
    </row>
    <row r="211" spans="1:26" x14ac:dyDescent="0.3">
      <c r="A211" s="91" t="s">
        <v>985</v>
      </c>
      <c r="B211" s="26" t="s">
        <v>289</v>
      </c>
      <c r="C211" s="26">
        <v>22</v>
      </c>
      <c r="D211" s="26" t="s">
        <v>102</v>
      </c>
      <c r="E211" s="26" t="s">
        <v>12</v>
      </c>
      <c r="F211" s="26" t="s">
        <v>16</v>
      </c>
      <c r="G211" s="26">
        <v>20</v>
      </c>
      <c r="H211" s="341">
        <v>500000</v>
      </c>
      <c r="I211" s="26" t="s">
        <v>26</v>
      </c>
      <c r="J211" s="26" t="s">
        <v>93</v>
      </c>
      <c r="K211" s="26">
        <v>2</v>
      </c>
      <c r="L211" s="26">
        <v>0.88739999999999997</v>
      </c>
      <c r="M211" s="26">
        <v>2.0169E-4</v>
      </c>
      <c r="N211" s="26">
        <v>1.7899999999999999E-4</v>
      </c>
      <c r="O211" s="26">
        <v>0</v>
      </c>
      <c r="P211" s="26">
        <v>0.10169499999999999</v>
      </c>
      <c r="Q211" s="26">
        <v>0</v>
      </c>
      <c r="R211" s="103">
        <v>15394.26</v>
      </c>
      <c r="S211" s="26"/>
      <c r="T211" s="26"/>
      <c r="U211" s="26"/>
      <c r="V211" s="26"/>
      <c r="W211" s="26"/>
      <c r="X211" s="26"/>
      <c r="Y211" s="26"/>
      <c r="Z211" s="26"/>
    </row>
    <row r="212" spans="1:26" x14ac:dyDescent="0.3">
      <c r="A212" s="91" t="s">
        <v>986</v>
      </c>
      <c r="B212" s="26" t="s">
        <v>288</v>
      </c>
      <c r="C212" s="26">
        <v>59</v>
      </c>
      <c r="D212" s="26" t="s">
        <v>8</v>
      </c>
      <c r="E212" s="26" t="s">
        <v>104</v>
      </c>
      <c r="F212" s="26" t="s">
        <v>16</v>
      </c>
      <c r="G212" s="26">
        <v>20</v>
      </c>
      <c r="H212" s="341">
        <v>1000000</v>
      </c>
      <c r="I212" s="26" t="s">
        <v>26</v>
      </c>
      <c r="J212" s="26" t="s">
        <v>28</v>
      </c>
      <c r="K212" s="26">
        <v>7</v>
      </c>
      <c r="L212" s="26">
        <v>0.76849999999999996</v>
      </c>
      <c r="M212" s="26">
        <v>8.6887500000000003E-3</v>
      </c>
      <c r="N212" s="26">
        <v>6.6769999999999998E-3</v>
      </c>
      <c r="O212" s="26">
        <v>0</v>
      </c>
      <c r="P212" s="26">
        <v>3.7613000000000001E-2</v>
      </c>
      <c r="Q212" s="26">
        <v>0</v>
      </c>
      <c r="R212" s="103">
        <v>11282.73</v>
      </c>
      <c r="S212" s="26"/>
      <c r="T212" s="26"/>
      <c r="U212" s="26"/>
      <c r="V212" s="26"/>
      <c r="W212" s="26"/>
      <c r="X212" s="26"/>
      <c r="Y212" s="26"/>
      <c r="Z212" s="26"/>
    </row>
    <row r="213" spans="1:26" x14ac:dyDescent="0.3">
      <c r="A213" s="91" t="s">
        <v>987</v>
      </c>
      <c r="B213" s="26" t="s">
        <v>288</v>
      </c>
      <c r="C213" s="26">
        <v>47</v>
      </c>
      <c r="D213" s="26" t="s">
        <v>102</v>
      </c>
      <c r="E213" s="26" t="s">
        <v>12</v>
      </c>
      <c r="F213" s="26" t="s">
        <v>106</v>
      </c>
      <c r="G213" s="26">
        <v>15</v>
      </c>
      <c r="H213" s="341">
        <v>1000000</v>
      </c>
      <c r="I213" s="26" t="s">
        <v>114</v>
      </c>
      <c r="J213" s="26" t="s">
        <v>93</v>
      </c>
      <c r="K213" s="26">
        <v>1</v>
      </c>
      <c r="L213" s="26">
        <v>0.54090000000000005</v>
      </c>
      <c r="M213" s="26">
        <v>1.19224E-3</v>
      </c>
      <c r="N213" s="26">
        <v>6.4499999999999996E-4</v>
      </c>
      <c r="O213" s="26">
        <v>0</v>
      </c>
      <c r="P213" s="26">
        <v>0.1792</v>
      </c>
      <c r="Q213" s="26">
        <v>1</v>
      </c>
      <c r="R213" s="103">
        <v>2436.84</v>
      </c>
      <c r="S213" s="26"/>
      <c r="T213" s="26"/>
      <c r="U213" s="26"/>
      <c r="V213" s="26"/>
      <c r="W213" s="26"/>
      <c r="X213" s="26"/>
      <c r="Y213" s="26"/>
      <c r="Z213" s="26"/>
    </row>
    <row r="214" spans="1:26" x14ac:dyDescent="0.3">
      <c r="A214" s="91" t="s">
        <v>988</v>
      </c>
      <c r="B214" s="26" t="s">
        <v>288</v>
      </c>
      <c r="C214" s="26">
        <v>42</v>
      </c>
      <c r="D214" s="26" t="s">
        <v>102</v>
      </c>
      <c r="E214" s="26" t="s">
        <v>104</v>
      </c>
      <c r="F214" s="26" t="s">
        <v>107</v>
      </c>
      <c r="G214" s="26">
        <v>15</v>
      </c>
      <c r="H214" s="341">
        <v>500000</v>
      </c>
      <c r="I214" s="26" t="s">
        <v>26</v>
      </c>
      <c r="J214" s="26" t="s">
        <v>94</v>
      </c>
      <c r="K214" s="26">
        <v>5</v>
      </c>
      <c r="L214" s="26">
        <v>0.85809999999999997</v>
      </c>
      <c r="M214" s="26">
        <v>2.5548799999999998E-3</v>
      </c>
      <c r="N214" s="26">
        <v>2.1919999999999999E-3</v>
      </c>
      <c r="O214" s="26">
        <v>0</v>
      </c>
      <c r="P214" s="26">
        <v>5.8401000000000002E-2</v>
      </c>
      <c r="Q214" s="26">
        <v>0</v>
      </c>
      <c r="R214" s="103">
        <v>2262.38</v>
      </c>
      <c r="S214" s="26"/>
      <c r="T214" s="26"/>
      <c r="U214" s="26"/>
      <c r="V214" s="26"/>
      <c r="W214" s="26"/>
      <c r="X214" s="26"/>
      <c r="Y214" s="26"/>
      <c r="Z214" s="26"/>
    </row>
    <row r="215" spans="1:26" x14ac:dyDescent="0.3">
      <c r="A215" s="91" t="s">
        <v>989</v>
      </c>
      <c r="B215" s="26" t="s">
        <v>288</v>
      </c>
      <c r="C215" s="26">
        <v>37</v>
      </c>
      <c r="D215" s="26" t="s">
        <v>8</v>
      </c>
      <c r="E215" s="26" t="s">
        <v>12</v>
      </c>
      <c r="F215" s="26" t="s">
        <v>107</v>
      </c>
      <c r="G215" s="26">
        <v>15</v>
      </c>
      <c r="H215" s="341">
        <v>1000000</v>
      </c>
      <c r="I215" s="26" t="s">
        <v>114</v>
      </c>
      <c r="J215" s="26" t="s">
        <v>94</v>
      </c>
      <c r="K215" s="26">
        <v>6</v>
      </c>
      <c r="L215" s="26">
        <v>0.80859999999999999</v>
      </c>
      <c r="M215" s="26">
        <v>1.4042600000000001E-3</v>
      </c>
      <c r="N215" s="26">
        <v>1.1349999999999999E-3</v>
      </c>
      <c r="O215" s="26">
        <v>0</v>
      </c>
      <c r="P215" s="26">
        <v>5.9650000000000002E-2</v>
      </c>
      <c r="Q215" s="26">
        <v>0</v>
      </c>
      <c r="R215" s="103">
        <v>2687.02</v>
      </c>
      <c r="S215" s="26"/>
      <c r="T215" s="26"/>
      <c r="U215" s="26"/>
      <c r="V215" s="26"/>
      <c r="W215" s="26"/>
      <c r="X215" s="26"/>
      <c r="Y215" s="26"/>
      <c r="Z215" s="26"/>
    </row>
    <row r="216" spans="1:26" x14ac:dyDescent="0.3">
      <c r="A216" s="91" t="s">
        <v>990</v>
      </c>
      <c r="B216" s="26" t="s">
        <v>289</v>
      </c>
      <c r="C216" s="26">
        <v>41</v>
      </c>
      <c r="D216" s="26" t="s">
        <v>8</v>
      </c>
      <c r="E216" s="26" t="s">
        <v>12</v>
      </c>
      <c r="F216" s="26" t="s">
        <v>107</v>
      </c>
      <c r="G216" s="26">
        <v>20</v>
      </c>
      <c r="H216" s="341">
        <v>1000000</v>
      </c>
      <c r="I216" s="26" t="s">
        <v>114</v>
      </c>
      <c r="J216" s="26" t="s">
        <v>28</v>
      </c>
      <c r="K216" s="26">
        <v>3</v>
      </c>
      <c r="L216" s="26">
        <v>0.59279999999999999</v>
      </c>
      <c r="M216" s="26">
        <v>1.93384E-3</v>
      </c>
      <c r="N216" s="26">
        <v>1.1460000000000001E-3</v>
      </c>
      <c r="O216" s="26">
        <v>0</v>
      </c>
      <c r="P216" s="26">
        <v>0.10387</v>
      </c>
      <c r="Q216" s="26">
        <v>0</v>
      </c>
      <c r="R216" s="103">
        <v>9153.11</v>
      </c>
      <c r="S216" s="26"/>
      <c r="T216" s="26"/>
      <c r="U216" s="26"/>
      <c r="V216" s="26"/>
      <c r="W216" s="26"/>
      <c r="X216" s="26"/>
      <c r="Y216" s="26"/>
      <c r="Z216" s="26"/>
    </row>
    <row r="217" spans="1:26" x14ac:dyDescent="0.3">
      <c r="A217" s="91" t="s">
        <v>991</v>
      </c>
      <c r="B217" s="26" t="s">
        <v>288</v>
      </c>
      <c r="C217" s="26">
        <v>24</v>
      </c>
      <c r="D217" s="26" t="s">
        <v>102</v>
      </c>
      <c r="E217" s="26" t="s">
        <v>12</v>
      </c>
      <c r="F217" s="26" t="s">
        <v>16</v>
      </c>
      <c r="G217" s="26">
        <v>15</v>
      </c>
      <c r="H217" s="341">
        <v>500000</v>
      </c>
      <c r="I217" s="26" t="s">
        <v>26</v>
      </c>
      <c r="J217" s="26" t="s">
        <v>93</v>
      </c>
      <c r="K217" s="26">
        <v>1</v>
      </c>
      <c r="L217" s="26">
        <v>0.94530000000000003</v>
      </c>
      <c r="M217" s="26">
        <v>2.3667999999999999E-4</v>
      </c>
      <c r="N217" s="26">
        <v>2.24E-4</v>
      </c>
      <c r="O217" s="26">
        <v>0</v>
      </c>
      <c r="P217" s="26">
        <v>0.14080000000000001</v>
      </c>
      <c r="Q217" s="26">
        <v>0</v>
      </c>
      <c r="R217" s="103">
        <v>1200</v>
      </c>
      <c r="S217" s="26"/>
      <c r="T217" s="26"/>
      <c r="U217" s="26"/>
      <c r="V217" s="26"/>
      <c r="W217" s="26"/>
      <c r="X217" s="26"/>
      <c r="Y217" s="26"/>
      <c r="Z217" s="26"/>
    </row>
    <row r="218" spans="1:26" x14ac:dyDescent="0.3">
      <c r="A218" s="91" t="s">
        <v>992</v>
      </c>
      <c r="B218" s="26" t="s">
        <v>289</v>
      </c>
      <c r="C218" s="26">
        <v>44</v>
      </c>
      <c r="D218" s="26" t="s">
        <v>102</v>
      </c>
      <c r="E218" s="26" t="s">
        <v>12</v>
      </c>
      <c r="F218" s="26" t="s">
        <v>16</v>
      </c>
      <c r="G218" s="26">
        <v>20</v>
      </c>
      <c r="H218" s="341">
        <v>1000000</v>
      </c>
      <c r="I218" s="26" t="s">
        <v>114</v>
      </c>
      <c r="J218" s="26" t="s">
        <v>94</v>
      </c>
      <c r="K218" s="26">
        <v>2</v>
      </c>
      <c r="L218" s="26">
        <v>0.80579999999999996</v>
      </c>
      <c r="M218" s="26">
        <v>1.17231E-3</v>
      </c>
      <c r="N218" s="26">
        <v>9.4499999999999998E-4</v>
      </c>
      <c r="O218" s="26">
        <v>0</v>
      </c>
      <c r="P218" s="26">
        <v>0.12942999999999999</v>
      </c>
      <c r="Q218" s="26">
        <v>0</v>
      </c>
      <c r="R218" s="103">
        <v>10993.14</v>
      </c>
      <c r="S218" s="26"/>
      <c r="T218" s="26"/>
      <c r="U218" s="26"/>
      <c r="V218" s="26"/>
      <c r="W218" s="26"/>
      <c r="X218" s="26"/>
      <c r="Y218" s="26"/>
      <c r="Z218" s="26"/>
    </row>
    <row r="219" spans="1:26" x14ac:dyDescent="0.3">
      <c r="A219" s="91" t="s">
        <v>993</v>
      </c>
      <c r="B219" s="26" t="s">
        <v>288</v>
      </c>
      <c r="C219" s="26">
        <v>59</v>
      </c>
      <c r="D219" s="26" t="s">
        <v>102</v>
      </c>
      <c r="E219" s="26" t="s">
        <v>12</v>
      </c>
      <c r="F219" s="26" t="s">
        <v>16</v>
      </c>
      <c r="G219" s="26">
        <v>15</v>
      </c>
      <c r="H219" s="341">
        <v>500000</v>
      </c>
      <c r="I219" s="26" t="s">
        <v>114</v>
      </c>
      <c r="J219" s="26" t="s">
        <v>94</v>
      </c>
      <c r="K219" s="26">
        <v>5</v>
      </c>
      <c r="L219" s="26">
        <v>0.78879999999999995</v>
      </c>
      <c r="M219" s="26">
        <v>3.8922000000000002E-3</v>
      </c>
      <c r="N219" s="26">
        <v>3.0699999999999998E-3</v>
      </c>
      <c r="O219" s="26">
        <v>0</v>
      </c>
      <c r="P219" s="26">
        <v>7.4329000000000006E-2</v>
      </c>
      <c r="Q219" s="26">
        <v>0</v>
      </c>
      <c r="R219" s="103">
        <v>3051.4</v>
      </c>
      <c r="S219" s="26"/>
      <c r="T219" s="26"/>
      <c r="U219" s="26"/>
      <c r="V219" s="26"/>
      <c r="W219" s="26"/>
      <c r="X219" s="26"/>
      <c r="Y219" s="26"/>
      <c r="Z219" s="26"/>
    </row>
    <row r="220" spans="1:26" x14ac:dyDescent="0.3">
      <c r="A220" s="91" t="s">
        <v>994</v>
      </c>
      <c r="B220" s="26" t="s">
        <v>288</v>
      </c>
      <c r="C220" s="26">
        <v>50</v>
      </c>
      <c r="D220" s="26" t="s">
        <v>8</v>
      </c>
      <c r="E220" s="26" t="s">
        <v>12</v>
      </c>
      <c r="F220" s="26" t="s">
        <v>16</v>
      </c>
      <c r="G220" s="26">
        <v>15</v>
      </c>
      <c r="H220" s="341">
        <v>500000</v>
      </c>
      <c r="I220" s="26" t="s">
        <v>114</v>
      </c>
      <c r="J220" s="26" t="s">
        <v>93</v>
      </c>
      <c r="K220" s="26">
        <v>3</v>
      </c>
      <c r="L220" s="26">
        <v>0.89370000000000005</v>
      </c>
      <c r="M220" s="26">
        <v>2.5631899999999999E-3</v>
      </c>
      <c r="N220" s="26">
        <v>2.2910000000000001E-3</v>
      </c>
      <c r="O220" s="26">
        <v>0</v>
      </c>
      <c r="P220" s="26">
        <v>0.115411</v>
      </c>
      <c r="Q220" s="26">
        <v>0</v>
      </c>
      <c r="R220" s="103">
        <v>2267.2800000000002</v>
      </c>
      <c r="S220" s="26"/>
      <c r="T220" s="26"/>
      <c r="U220" s="26"/>
      <c r="V220" s="26"/>
      <c r="W220" s="26"/>
      <c r="X220" s="26"/>
      <c r="Y220" s="26"/>
      <c r="Z220" s="26"/>
    </row>
    <row r="221" spans="1:26" x14ac:dyDescent="0.3">
      <c r="A221" s="91" t="s">
        <v>995</v>
      </c>
      <c r="B221" s="26" t="s">
        <v>288</v>
      </c>
      <c r="C221" s="26">
        <v>56</v>
      </c>
      <c r="D221" s="26" t="s">
        <v>8</v>
      </c>
      <c r="E221" s="26" t="s">
        <v>12</v>
      </c>
      <c r="F221" s="26" t="s">
        <v>107</v>
      </c>
      <c r="G221" s="26">
        <v>15</v>
      </c>
      <c r="H221" s="341">
        <v>250000</v>
      </c>
      <c r="I221" s="26" t="s">
        <v>114</v>
      </c>
      <c r="J221" s="26" t="s">
        <v>93</v>
      </c>
      <c r="K221" s="26">
        <v>5</v>
      </c>
      <c r="L221" s="26">
        <v>0.9052</v>
      </c>
      <c r="M221" s="26">
        <v>6.4205800000000004E-3</v>
      </c>
      <c r="N221" s="26">
        <v>5.8120000000000003E-3</v>
      </c>
      <c r="O221" s="26">
        <v>0</v>
      </c>
      <c r="P221" s="26">
        <v>7.4329000000000006E-2</v>
      </c>
      <c r="Q221" s="26">
        <v>0</v>
      </c>
      <c r="R221" s="103">
        <v>2511.5700000000002</v>
      </c>
      <c r="S221" s="26"/>
      <c r="T221" s="26"/>
      <c r="U221" s="26"/>
      <c r="V221" s="26"/>
      <c r="W221" s="26"/>
      <c r="X221" s="26"/>
      <c r="Y221" s="26"/>
      <c r="Z221" s="26"/>
    </row>
    <row r="222" spans="1:26" x14ac:dyDescent="0.3">
      <c r="A222" s="91" t="s">
        <v>996</v>
      </c>
      <c r="B222" s="26" t="s">
        <v>288</v>
      </c>
      <c r="C222" s="26">
        <v>61</v>
      </c>
      <c r="D222" s="26" t="s">
        <v>102</v>
      </c>
      <c r="E222" s="26" t="s">
        <v>12</v>
      </c>
      <c r="F222" s="26" t="s">
        <v>16</v>
      </c>
      <c r="G222" s="26">
        <v>20</v>
      </c>
      <c r="H222" s="341">
        <v>250000</v>
      </c>
      <c r="I222" s="26" t="s">
        <v>114</v>
      </c>
      <c r="J222" s="26" t="s">
        <v>93</v>
      </c>
      <c r="K222" s="26">
        <v>1</v>
      </c>
      <c r="L222" s="26">
        <v>0.56610000000000005</v>
      </c>
      <c r="M222" s="26">
        <v>4.5675300000000002E-3</v>
      </c>
      <c r="N222" s="26">
        <v>2.5860000000000002E-3</v>
      </c>
      <c r="O222" s="26">
        <v>0</v>
      </c>
      <c r="P222" s="26">
        <v>0.1792</v>
      </c>
      <c r="Q222" s="26">
        <v>0</v>
      </c>
      <c r="R222" s="103">
        <v>1964.92</v>
      </c>
      <c r="S222" s="26"/>
      <c r="T222" s="26"/>
      <c r="U222" s="26"/>
      <c r="V222" s="26"/>
      <c r="W222" s="26"/>
      <c r="X222" s="26"/>
      <c r="Y222" s="26"/>
      <c r="Z222" s="26"/>
    </row>
    <row r="223" spans="1:26" x14ac:dyDescent="0.3">
      <c r="A223" s="91" t="s">
        <v>997</v>
      </c>
      <c r="B223" s="26" t="s">
        <v>288</v>
      </c>
      <c r="C223" s="26">
        <v>65</v>
      </c>
      <c r="D223" s="26" t="s">
        <v>102</v>
      </c>
      <c r="E223" s="26" t="s">
        <v>12</v>
      </c>
      <c r="F223" s="26" t="s">
        <v>16</v>
      </c>
      <c r="G223" s="26">
        <v>25</v>
      </c>
      <c r="H223" s="341">
        <v>250000</v>
      </c>
      <c r="I223" s="26" t="s">
        <v>114</v>
      </c>
      <c r="J223" s="26" t="s">
        <v>93</v>
      </c>
      <c r="K223" s="26">
        <v>5</v>
      </c>
      <c r="L223" s="26">
        <v>0.98240000000000005</v>
      </c>
      <c r="M223" s="26">
        <v>6.29008E-3</v>
      </c>
      <c r="N223" s="26">
        <v>6.1799999999999997E-3</v>
      </c>
      <c r="O223" s="26">
        <v>0</v>
      </c>
      <c r="P223" s="26">
        <v>7.4329000000000006E-2</v>
      </c>
      <c r="Q223" s="26">
        <v>0</v>
      </c>
      <c r="R223" s="103">
        <v>2473.0700000000002</v>
      </c>
      <c r="S223" s="26"/>
      <c r="T223" s="26"/>
      <c r="U223" s="26"/>
      <c r="V223" s="26"/>
      <c r="W223" s="26"/>
      <c r="X223" s="26"/>
      <c r="Y223" s="26"/>
      <c r="Z223" s="26"/>
    </row>
    <row r="224" spans="1:26" x14ac:dyDescent="0.3">
      <c r="A224" s="91" t="s">
        <v>998</v>
      </c>
      <c r="B224" s="26" t="s">
        <v>288</v>
      </c>
      <c r="C224" s="26">
        <v>40</v>
      </c>
      <c r="D224" s="26" t="s">
        <v>8</v>
      </c>
      <c r="E224" s="26" t="s">
        <v>12</v>
      </c>
      <c r="F224" s="26" t="s">
        <v>16</v>
      </c>
      <c r="G224" s="26">
        <v>20</v>
      </c>
      <c r="H224" s="341">
        <v>500000</v>
      </c>
      <c r="I224" s="26" t="s">
        <v>26</v>
      </c>
      <c r="J224" s="26" t="s">
        <v>93</v>
      </c>
      <c r="K224" s="26">
        <v>6</v>
      </c>
      <c r="L224" s="26">
        <v>0.9597</v>
      </c>
      <c r="M224" s="26">
        <v>1.15172E-3</v>
      </c>
      <c r="N224" s="26">
        <v>1.1050000000000001E-3</v>
      </c>
      <c r="O224" s="26">
        <v>0</v>
      </c>
      <c r="P224" s="26">
        <v>4.6868E-2</v>
      </c>
      <c r="Q224" s="26">
        <v>0</v>
      </c>
      <c r="R224" s="103">
        <v>1434.51</v>
      </c>
      <c r="S224" s="26"/>
      <c r="T224" s="26"/>
      <c r="U224" s="26"/>
      <c r="V224" s="26"/>
      <c r="W224" s="26"/>
      <c r="X224" s="26"/>
      <c r="Y224" s="26"/>
      <c r="Z224" s="26"/>
    </row>
    <row r="225" spans="1:26" x14ac:dyDescent="0.3">
      <c r="A225" s="91" t="s">
        <v>999</v>
      </c>
      <c r="B225" s="26" t="s">
        <v>288</v>
      </c>
      <c r="C225" s="26">
        <v>41</v>
      </c>
      <c r="D225" s="26" t="s">
        <v>8</v>
      </c>
      <c r="E225" s="26" t="s">
        <v>12</v>
      </c>
      <c r="F225" s="26" t="s">
        <v>16</v>
      </c>
      <c r="G225" s="26">
        <v>15</v>
      </c>
      <c r="H225" s="341">
        <v>250000</v>
      </c>
      <c r="I225" s="26" t="s">
        <v>114</v>
      </c>
      <c r="J225" s="26" t="s">
        <v>94</v>
      </c>
      <c r="K225" s="26">
        <v>7</v>
      </c>
      <c r="L225" s="26">
        <v>0.79620000000000002</v>
      </c>
      <c r="M225" s="26">
        <v>1.2476399999999999E-3</v>
      </c>
      <c r="N225" s="26">
        <v>9.9299999999999996E-4</v>
      </c>
      <c r="O225" s="26">
        <v>0</v>
      </c>
      <c r="P225" s="26">
        <v>4.7870999999999997E-2</v>
      </c>
      <c r="Q225" s="26">
        <v>0</v>
      </c>
      <c r="R225" s="103">
        <v>1200</v>
      </c>
      <c r="S225" s="26"/>
      <c r="T225" s="26"/>
      <c r="U225" s="26"/>
      <c r="V225" s="26"/>
      <c r="W225" s="26"/>
      <c r="X225" s="26"/>
      <c r="Y225" s="26"/>
      <c r="Z225" s="26"/>
    </row>
    <row r="226" spans="1:26" x14ac:dyDescent="0.3">
      <c r="A226" s="91" t="s">
        <v>1000</v>
      </c>
      <c r="B226" s="26" t="s">
        <v>288</v>
      </c>
      <c r="C226" s="26">
        <v>38</v>
      </c>
      <c r="D226" s="26" t="s">
        <v>8</v>
      </c>
      <c r="E226" s="26" t="s">
        <v>12</v>
      </c>
      <c r="F226" s="26" t="s">
        <v>107</v>
      </c>
      <c r="G226" s="26">
        <v>20</v>
      </c>
      <c r="H226" s="341">
        <v>500000</v>
      </c>
      <c r="I226" s="26" t="s">
        <v>26</v>
      </c>
      <c r="J226" s="26" t="s">
        <v>94</v>
      </c>
      <c r="K226" s="26">
        <v>7</v>
      </c>
      <c r="L226" s="26">
        <v>0.68169999999999997</v>
      </c>
      <c r="M226" s="26">
        <v>1.5212100000000001E-3</v>
      </c>
      <c r="N226" s="26">
        <v>1.0369999999999999E-3</v>
      </c>
      <c r="O226" s="26">
        <v>0</v>
      </c>
      <c r="P226" s="26">
        <v>3.7613000000000001E-2</v>
      </c>
      <c r="Q226" s="26">
        <v>0</v>
      </c>
      <c r="R226" s="103">
        <v>1652.52</v>
      </c>
      <c r="S226" s="26"/>
      <c r="T226" s="26"/>
      <c r="U226" s="26"/>
      <c r="V226" s="26"/>
      <c r="W226" s="26"/>
      <c r="X226" s="26"/>
      <c r="Y226" s="26"/>
      <c r="Z226" s="26"/>
    </row>
    <row r="227" spans="1:26" x14ac:dyDescent="0.3">
      <c r="A227" s="91" t="s">
        <v>1001</v>
      </c>
      <c r="B227" s="26" t="s">
        <v>288</v>
      </c>
      <c r="C227" s="26">
        <v>38</v>
      </c>
      <c r="D227" s="26" t="s">
        <v>102</v>
      </c>
      <c r="E227" s="26" t="s">
        <v>12</v>
      </c>
      <c r="F227" s="26" t="s">
        <v>16</v>
      </c>
      <c r="G227" s="26">
        <v>20</v>
      </c>
      <c r="H227" s="341">
        <v>2000000</v>
      </c>
      <c r="I227" s="26" t="s">
        <v>26</v>
      </c>
      <c r="J227" s="26" t="s">
        <v>93</v>
      </c>
      <c r="K227" s="26">
        <v>4</v>
      </c>
      <c r="L227" s="26">
        <v>0.99670000000000003</v>
      </c>
      <c r="M227" s="26">
        <v>7.2539999999999996E-4</v>
      </c>
      <c r="N227" s="26">
        <v>7.2300000000000001E-4</v>
      </c>
      <c r="O227" s="26">
        <v>0</v>
      </c>
      <c r="P227" s="26">
        <v>7.2773000000000004E-2</v>
      </c>
      <c r="Q227" s="26">
        <v>0</v>
      </c>
      <c r="R227" s="103">
        <v>3291.95</v>
      </c>
      <c r="S227" s="26"/>
      <c r="T227" s="26"/>
      <c r="U227" s="26"/>
      <c r="V227" s="26"/>
      <c r="W227" s="26"/>
      <c r="X227" s="26"/>
      <c r="Y227" s="26"/>
      <c r="Z227" s="26"/>
    </row>
    <row r="228" spans="1:26" x14ac:dyDescent="0.3">
      <c r="A228" s="91" t="s">
        <v>1002</v>
      </c>
      <c r="B228" s="26" t="s">
        <v>289</v>
      </c>
      <c r="C228" s="26">
        <v>60</v>
      </c>
      <c r="D228" s="26" t="s">
        <v>102</v>
      </c>
      <c r="E228" s="26" t="s">
        <v>12</v>
      </c>
      <c r="F228" s="26" t="s">
        <v>16</v>
      </c>
      <c r="G228" s="26">
        <v>10</v>
      </c>
      <c r="H228" s="341">
        <v>250000</v>
      </c>
      <c r="I228" s="26" t="s">
        <v>26</v>
      </c>
      <c r="J228" s="26" t="s">
        <v>28</v>
      </c>
      <c r="K228" s="26">
        <v>2</v>
      </c>
      <c r="L228" s="26">
        <v>0.87190000000000001</v>
      </c>
      <c r="M228" s="26">
        <v>4.2163599999999997E-3</v>
      </c>
      <c r="N228" s="26">
        <v>3.676E-3</v>
      </c>
      <c r="O228" s="26">
        <v>0</v>
      </c>
      <c r="P228" s="26">
        <v>0.10169499999999999</v>
      </c>
      <c r="Q228" s="26">
        <v>1</v>
      </c>
      <c r="R228" s="103">
        <v>15711.21</v>
      </c>
      <c r="S228" s="26"/>
      <c r="T228" s="26"/>
      <c r="U228" s="26"/>
      <c r="V228" s="26"/>
      <c r="W228" s="26"/>
      <c r="X228" s="26"/>
      <c r="Y228" s="26"/>
      <c r="Z228" s="26"/>
    </row>
    <row r="229" spans="1:26" x14ac:dyDescent="0.3">
      <c r="A229" s="91" t="s">
        <v>1003</v>
      </c>
      <c r="B229" s="26" t="s">
        <v>288</v>
      </c>
      <c r="C229" s="26">
        <v>37</v>
      </c>
      <c r="D229" s="26" t="s">
        <v>102</v>
      </c>
      <c r="E229" s="26" t="s">
        <v>12</v>
      </c>
      <c r="F229" s="26" t="s">
        <v>16</v>
      </c>
      <c r="G229" s="26">
        <v>20</v>
      </c>
      <c r="H229" s="341">
        <v>500000</v>
      </c>
      <c r="I229" s="26" t="s">
        <v>114</v>
      </c>
      <c r="J229" s="26" t="s">
        <v>28</v>
      </c>
      <c r="K229" s="26">
        <v>2</v>
      </c>
      <c r="L229" s="26">
        <v>0.62380000000000002</v>
      </c>
      <c r="M229" s="26">
        <v>6.6963000000000005E-4</v>
      </c>
      <c r="N229" s="26">
        <v>4.1800000000000002E-4</v>
      </c>
      <c r="O229" s="26">
        <v>0</v>
      </c>
      <c r="P229" s="26">
        <v>0.14381099999999999</v>
      </c>
      <c r="Q229" s="26">
        <v>0</v>
      </c>
      <c r="R229" s="103">
        <v>1200</v>
      </c>
      <c r="S229" s="26"/>
      <c r="T229" s="26"/>
      <c r="U229" s="26"/>
      <c r="V229" s="26"/>
      <c r="W229" s="26"/>
      <c r="X229" s="26"/>
      <c r="Y229" s="26"/>
      <c r="Z229" s="26"/>
    </row>
    <row r="230" spans="1:26" x14ac:dyDescent="0.3">
      <c r="A230" s="91" t="s">
        <v>1004</v>
      </c>
      <c r="B230" s="26" t="s">
        <v>288</v>
      </c>
      <c r="C230" s="26">
        <v>34</v>
      </c>
      <c r="D230" s="26" t="s">
        <v>8</v>
      </c>
      <c r="E230" s="26" t="s">
        <v>104</v>
      </c>
      <c r="F230" s="26" t="s">
        <v>16</v>
      </c>
      <c r="G230" s="26">
        <v>10</v>
      </c>
      <c r="H230" s="341">
        <v>500000</v>
      </c>
      <c r="I230" s="26" t="s">
        <v>114</v>
      </c>
      <c r="J230" s="26" t="s">
        <v>94</v>
      </c>
      <c r="K230" s="26">
        <v>4</v>
      </c>
      <c r="L230" s="26">
        <v>0.94069999999999998</v>
      </c>
      <c r="M230" s="26">
        <v>1.17589E-3</v>
      </c>
      <c r="N230" s="26">
        <v>1.106E-3</v>
      </c>
      <c r="O230" s="26">
        <v>0</v>
      </c>
      <c r="P230" s="26">
        <v>9.2619999999999994E-2</v>
      </c>
      <c r="Q230" s="26">
        <v>0</v>
      </c>
      <c r="R230" s="103">
        <v>1448.78</v>
      </c>
      <c r="S230" s="26"/>
      <c r="T230" s="26"/>
      <c r="U230" s="26"/>
      <c r="V230" s="26"/>
      <c r="W230" s="26"/>
      <c r="X230" s="26"/>
      <c r="Y230" s="26"/>
      <c r="Z230" s="26"/>
    </row>
    <row r="231" spans="1:26" x14ac:dyDescent="0.3">
      <c r="A231" s="91" t="s">
        <v>1005</v>
      </c>
      <c r="B231" s="26" t="s">
        <v>288</v>
      </c>
      <c r="C231" s="26">
        <v>65</v>
      </c>
      <c r="D231" s="26" t="s">
        <v>102</v>
      </c>
      <c r="E231" s="26" t="s">
        <v>12</v>
      </c>
      <c r="F231" s="26" t="s">
        <v>16</v>
      </c>
      <c r="G231" s="26">
        <v>20</v>
      </c>
      <c r="H231" s="341">
        <v>2000000</v>
      </c>
      <c r="I231" s="26" t="s">
        <v>26</v>
      </c>
      <c r="J231" s="26" t="s">
        <v>28</v>
      </c>
      <c r="K231" s="26">
        <v>5</v>
      </c>
      <c r="L231" s="26">
        <v>0.67110000000000003</v>
      </c>
      <c r="M231" s="26">
        <v>6.29008E-3</v>
      </c>
      <c r="N231" s="26">
        <v>4.2220000000000001E-3</v>
      </c>
      <c r="O231" s="26">
        <v>0</v>
      </c>
      <c r="P231" s="26">
        <v>5.8401000000000002E-2</v>
      </c>
      <c r="Q231" s="26">
        <v>0</v>
      </c>
      <c r="R231" s="103">
        <v>16424.580000000002</v>
      </c>
      <c r="S231" s="26"/>
      <c r="T231" s="26"/>
      <c r="U231" s="26"/>
      <c r="V231" s="26"/>
      <c r="W231" s="26"/>
      <c r="X231" s="26"/>
      <c r="Y231" s="26"/>
      <c r="Z231" s="26"/>
    </row>
    <row r="232" spans="1:26" x14ac:dyDescent="0.3">
      <c r="A232" s="91" t="s">
        <v>1006</v>
      </c>
      <c r="B232" s="26" t="s">
        <v>288</v>
      </c>
      <c r="C232" s="26">
        <v>36</v>
      </c>
      <c r="D232" s="26" t="s">
        <v>8</v>
      </c>
      <c r="E232" s="26" t="s">
        <v>12</v>
      </c>
      <c r="F232" s="26" t="s">
        <v>16</v>
      </c>
      <c r="G232" s="26">
        <v>20</v>
      </c>
      <c r="H232" s="341">
        <v>500000</v>
      </c>
      <c r="I232" s="26" t="s">
        <v>114</v>
      </c>
      <c r="J232" s="26" t="s">
        <v>28</v>
      </c>
      <c r="K232" s="26">
        <v>4</v>
      </c>
      <c r="L232" s="26">
        <v>0.73450000000000004</v>
      </c>
      <c r="M232" s="26">
        <v>8.3631999999999999E-4</v>
      </c>
      <c r="N232" s="26">
        <v>6.1399999999999996E-4</v>
      </c>
      <c r="O232" s="26">
        <v>0</v>
      </c>
      <c r="P232" s="26">
        <v>9.2619999999999994E-2</v>
      </c>
      <c r="Q232" s="26">
        <v>0</v>
      </c>
      <c r="R232" s="103">
        <v>1248.43</v>
      </c>
      <c r="S232" s="26"/>
      <c r="T232" s="26"/>
      <c r="U232" s="26"/>
      <c r="V232" s="26"/>
      <c r="W232" s="26"/>
      <c r="X232" s="26"/>
      <c r="Y232" s="26"/>
      <c r="Z232" s="26"/>
    </row>
    <row r="233" spans="1:26" x14ac:dyDescent="0.3">
      <c r="A233" s="91" t="s">
        <v>1007</v>
      </c>
      <c r="B233" s="26" t="s">
        <v>289</v>
      </c>
      <c r="C233" s="26">
        <v>57</v>
      </c>
      <c r="D233" s="26" t="s">
        <v>102</v>
      </c>
      <c r="E233" s="26" t="s">
        <v>104</v>
      </c>
      <c r="F233" s="26" t="s">
        <v>16</v>
      </c>
      <c r="G233" s="26">
        <v>20</v>
      </c>
      <c r="H233" s="341">
        <v>1000000</v>
      </c>
      <c r="I233" s="26" t="s">
        <v>114</v>
      </c>
      <c r="J233" s="26" t="s">
        <v>28</v>
      </c>
      <c r="K233" s="26">
        <v>2</v>
      </c>
      <c r="L233" s="26">
        <v>0.55110000000000003</v>
      </c>
      <c r="M233" s="26">
        <v>5.4725700000000004E-3</v>
      </c>
      <c r="N233" s="26">
        <v>3.016E-3</v>
      </c>
      <c r="O233" s="26">
        <v>0</v>
      </c>
      <c r="P233" s="26">
        <v>0.12942999999999999</v>
      </c>
      <c r="Q233" s="26">
        <v>0</v>
      </c>
      <c r="R233" s="103">
        <v>10553.04</v>
      </c>
      <c r="S233" s="26"/>
      <c r="T233" s="26"/>
      <c r="U233" s="26"/>
      <c r="V233" s="26"/>
      <c r="W233" s="26"/>
      <c r="X233" s="26"/>
      <c r="Y233" s="26"/>
      <c r="Z233" s="26"/>
    </row>
    <row r="234" spans="1:26" x14ac:dyDescent="0.3">
      <c r="A234" s="91" t="s">
        <v>1008</v>
      </c>
      <c r="B234" s="26" t="s">
        <v>288</v>
      </c>
      <c r="C234" s="26">
        <v>36</v>
      </c>
      <c r="D234" s="26" t="s">
        <v>8</v>
      </c>
      <c r="E234" s="26" t="s">
        <v>12</v>
      </c>
      <c r="F234" s="26" t="s">
        <v>16</v>
      </c>
      <c r="G234" s="26">
        <v>10</v>
      </c>
      <c r="H234" s="341">
        <v>250000</v>
      </c>
      <c r="I234" s="26" t="s">
        <v>114</v>
      </c>
      <c r="J234" s="26" t="s">
        <v>93</v>
      </c>
      <c r="K234" s="26">
        <v>6</v>
      </c>
      <c r="L234" s="26">
        <v>0.63870000000000005</v>
      </c>
      <c r="M234" s="26">
        <v>8.3631999999999999E-4</v>
      </c>
      <c r="N234" s="26">
        <v>5.3399999999999997E-4</v>
      </c>
      <c r="O234" s="26">
        <v>0</v>
      </c>
      <c r="P234" s="26">
        <v>5.9650000000000002E-2</v>
      </c>
      <c r="Q234" s="26">
        <v>0</v>
      </c>
      <c r="R234" s="103">
        <v>1200</v>
      </c>
      <c r="S234" s="26"/>
      <c r="T234" s="26"/>
      <c r="U234" s="26"/>
      <c r="V234" s="26"/>
      <c r="W234" s="26"/>
      <c r="X234" s="26"/>
      <c r="Y234" s="26"/>
      <c r="Z234" s="26"/>
    </row>
    <row r="235" spans="1:26" x14ac:dyDescent="0.3">
      <c r="A235" s="91" t="s">
        <v>1009</v>
      </c>
      <c r="B235" s="26" t="s">
        <v>288</v>
      </c>
      <c r="C235" s="26">
        <v>35</v>
      </c>
      <c r="D235" s="26" t="s">
        <v>102</v>
      </c>
      <c r="E235" s="26" t="s">
        <v>12</v>
      </c>
      <c r="F235" s="26" t="s">
        <v>106</v>
      </c>
      <c r="G235" s="26">
        <v>20</v>
      </c>
      <c r="H235" s="341">
        <v>250000</v>
      </c>
      <c r="I235" s="26" t="s">
        <v>26</v>
      </c>
      <c r="J235" s="26" t="s">
        <v>94</v>
      </c>
      <c r="K235" s="26">
        <v>1</v>
      </c>
      <c r="L235" s="26">
        <v>0.8659</v>
      </c>
      <c r="M235" s="26">
        <v>4.5649999999999998E-4</v>
      </c>
      <c r="N235" s="26">
        <v>3.9500000000000001E-4</v>
      </c>
      <c r="O235" s="26">
        <v>0</v>
      </c>
      <c r="P235" s="26">
        <v>0.14080000000000001</v>
      </c>
      <c r="Q235" s="26">
        <v>0</v>
      </c>
      <c r="R235" s="103">
        <v>1200</v>
      </c>
      <c r="S235" s="26"/>
      <c r="T235" s="26"/>
      <c r="U235" s="26"/>
      <c r="V235" s="26"/>
      <c r="W235" s="26"/>
      <c r="X235" s="26"/>
      <c r="Y235" s="26"/>
      <c r="Z235" s="26"/>
    </row>
    <row r="236" spans="1:26" x14ac:dyDescent="0.3">
      <c r="A236" s="91" t="s">
        <v>1010</v>
      </c>
      <c r="B236" s="26" t="s">
        <v>289</v>
      </c>
      <c r="C236" s="26">
        <v>41</v>
      </c>
      <c r="D236" s="26" t="s">
        <v>8</v>
      </c>
      <c r="E236" s="26" t="s">
        <v>12</v>
      </c>
      <c r="F236" s="26" t="s">
        <v>106</v>
      </c>
      <c r="G236" s="26">
        <v>10</v>
      </c>
      <c r="H236" s="341">
        <v>1000000</v>
      </c>
      <c r="I236" s="26" t="s">
        <v>114</v>
      </c>
      <c r="J236" s="26" t="s">
        <v>28</v>
      </c>
      <c r="K236" s="26">
        <v>3</v>
      </c>
      <c r="L236" s="26">
        <v>0.91820000000000002</v>
      </c>
      <c r="M236" s="26">
        <v>9.9810999999999997E-4</v>
      </c>
      <c r="N236" s="26">
        <v>9.1600000000000004E-4</v>
      </c>
      <c r="O236" s="26">
        <v>0</v>
      </c>
      <c r="P236" s="26">
        <v>0.10387</v>
      </c>
      <c r="Q236" s="26">
        <v>0</v>
      </c>
      <c r="R236" s="103">
        <v>11550.69</v>
      </c>
      <c r="S236" s="26"/>
      <c r="T236" s="26"/>
      <c r="U236" s="26"/>
      <c r="V236" s="26"/>
      <c r="W236" s="26"/>
      <c r="X236" s="26"/>
      <c r="Y236" s="26"/>
      <c r="Z236" s="26"/>
    </row>
    <row r="237" spans="1:26" x14ac:dyDescent="0.3">
      <c r="A237" s="91" t="s">
        <v>1011</v>
      </c>
      <c r="B237" s="26" t="s">
        <v>289</v>
      </c>
      <c r="C237" s="26">
        <v>37</v>
      </c>
      <c r="D237" s="26" t="s">
        <v>8</v>
      </c>
      <c r="E237" s="26" t="s">
        <v>12</v>
      </c>
      <c r="F237" s="26" t="s">
        <v>107</v>
      </c>
      <c r="G237" s="26">
        <v>20</v>
      </c>
      <c r="H237" s="341">
        <v>500000</v>
      </c>
      <c r="I237" s="26" t="s">
        <v>114</v>
      </c>
      <c r="J237" s="26" t="s">
        <v>94</v>
      </c>
      <c r="K237" s="26">
        <v>6</v>
      </c>
      <c r="L237" s="26">
        <v>0.75129999999999997</v>
      </c>
      <c r="M237" s="26">
        <v>1.4042600000000001E-3</v>
      </c>
      <c r="N237" s="26">
        <v>1.0549999999999999E-3</v>
      </c>
      <c r="O237" s="26">
        <v>0</v>
      </c>
      <c r="P237" s="26">
        <v>5.3684999999999997E-2</v>
      </c>
      <c r="Q237" s="26">
        <v>0</v>
      </c>
      <c r="R237" s="103">
        <v>9318.7999999999993</v>
      </c>
      <c r="S237" s="26"/>
      <c r="T237" s="26"/>
      <c r="U237" s="26"/>
      <c r="V237" s="26"/>
      <c r="W237" s="26"/>
      <c r="X237" s="26"/>
      <c r="Y237" s="26"/>
      <c r="Z237" s="26"/>
    </row>
    <row r="238" spans="1:26" x14ac:dyDescent="0.3">
      <c r="A238" s="91" t="s">
        <v>1012</v>
      </c>
      <c r="B238" s="26" t="s">
        <v>288</v>
      </c>
      <c r="C238" s="26">
        <v>33</v>
      </c>
      <c r="D238" s="26" t="s">
        <v>102</v>
      </c>
      <c r="E238" s="26" t="s">
        <v>12</v>
      </c>
      <c r="F238" s="26" t="s">
        <v>16</v>
      </c>
      <c r="G238" s="26">
        <v>25</v>
      </c>
      <c r="H238" s="341">
        <v>250000</v>
      </c>
      <c r="I238" s="26" t="s">
        <v>114</v>
      </c>
      <c r="J238" s="26" t="s">
        <v>93</v>
      </c>
      <c r="K238" s="26">
        <v>2</v>
      </c>
      <c r="L238" s="26">
        <v>0.57110000000000005</v>
      </c>
      <c r="M238" s="26">
        <v>4.8624999999999997E-4</v>
      </c>
      <c r="N238" s="26">
        <v>2.7799999999999998E-4</v>
      </c>
      <c r="O238" s="26">
        <v>0</v>
      </c>
      <c r="P238" s="26">
        <v>0.14381099999999999</v>
      </c>
      <c r="Q238" s="26">
        <v>0</v>
      </c>
      <c r="R238" s="103">
        <v>1200</v>
      </c>
      <c r="S238" s="26"/>
      <c r="T238" s="26"/>
      <c r="U238" s="26"/>
      <c r="V238" s="26"/>
      <c r="W238" s="26"/>
      <c r="X238" s="26"/>
      <c r="Y238" s="26"/>
      <c r="Z238" s="26"/>
    </row>
    <row r="239" spans="1:26" x14ac:dyDescent="0.3">
      <c r="A239" s="91" t="s">
        <v>1013</v>
      </c>
      <c r="B239" s="26" t="s">
        <v>289</v>
      </c>
      <c r="C239" s="26">
        <v>25</v>
      </c>
      <c r="D239" s="26" t="s">
        <v>8</v>
      </c>
      <c r="E239" s="26" t="s">
        <v>12</v>
      </c>
      <c r="F239" s="26" t="s">
        <v>16</v>
      </c>
      <c r="G239" s="26">
        <v>10</v>
      </c>
      <c r="H239" s="341">
        <v>2000000</v>
      </c>
      <c r="I239" s="26" t="s">
        <v>114</v>
      </c>
      <c r="J239" s="26" t="s">
        <v>93</v>
      </c>
      <c r="K239" s="26">
        <v>6</v>
      </c>
      <c r="L239" s="26">
        <v>0.74509999999999998</v>
      </c>
      <c r="M239" s="26">
        <v>3.4688999999999998E-4</v>
      </c>
      <c r="N239" s="26">
        <v>2.5799999999999998E-4</v>
      </c>
      <c r="O239" s="26">
        <v>0</v>
      </c>
      <c r="P239" s="26">
        <v>5.3684999999999997E-2</v>
      </c>
      <c r="Q239" s="26">
        <v>0</v>
      </c>
      <c r="R239" s="103">
        <v>12695.95</v>
      </c>
      <c r="S239" s="26"/>
      <c r="T239" s="26"/>
      <c r="U239" s="26"/>
      <c r="V239" s="26"/>
      <c r="W239" s="26"/>
      <c r="X239" s="26"/>
      <c r="Y239" s="26"/>
      <c r="Z239" s="26"/>
    </row>
    <row r="240" spans="1:26" x14ac:dyDescent="0.3">
      <c r="A240" s="91" t="s">
        <v>1014</v>
      </c>
      <c r="B240" s="26" t="s">
        <v>288</v>
      </c>
      <c r="C240" s="26">
        <v>23</v>
      </c>
      <c r="D240" s="26" t="s">
        <v>8</v>
      </c>
      <c r="E240" s="26" t="s">
        <v>12</v>
      </c>
      <c r="F240" s="26" t="s">
        <v>106</v>
      </c>
      <c r="G240" s="26">
        <v>10</v>
      </c>
      <c r="H240" s="341">
        <v>500000</v>
      </c>
      <c r="I240" s="26" t="s">
        <v>114</v>
      </c>
      <c r="J240" s="26" t="s">
        <v>93</v>
      </c>
      <c r="K240" s="26">
        <v>3</v>
      </c>
      <c r="L240" s="26">
        <v>0.86650000000000005</v>
      </c>
      <c r="M240" s="26">
        <v>2.3648000000000001E-4</v>
      </c>
      <c r="N240" s="26">
        <v>2.05E-4</v>
      </c>
      <c r="O240" s="26">
        <v>0</v>
      </c>
      <c r="P240" s="26">
        <v>0.115411</v>
      </c>
      <c r="Q240" s="26">
        <v>0</v>
      </c>
      <c r="R240" s="103">
        <v>1200</v>
      </c>
      <c r="S240" s="26"/>
      <c r="T240" s="26"/>
      <c r="U240" s="26"/>
      <c r="V240" s="26"/>
      <c r="W240" s="26"/>
      <c r="X240" s="26"/>
      <c r="Y240" s="26"/>
      <c r="Z240" s="26"/>
    </row>
    <row r="241" spans="1:26" x14ac:dyDescent="0.3">
      <c r="A241" s="91" t="s">
        <v>1015</v>
      </c>
      <c r="B241" s="26" t="s">
        <v>288</v>
      </c>
      <c r="C241" s="26">
        <v>23</v>
      </c>
      <c r="D241" s="26" t="s">
        <v>8</v>
      </c>
      <c r="E241" s="26" t="s">
        <v>12</v>
      </c>
      <c r="F241" s="26" t="s">
        <v>16</v>
      </c>
      <c r="G241" s="26">
        <v>20</v>
      </c>
      <c r="H241" s="341">
        <v>250000</v>
      </c>
      <c r="I241" s="26" t="s">
        <v>114</v>
      </c>
      <c r="J241" s="26" t="s">
        <v>28</v>
      </c>
      <c r="K241" s="26">
        <v>5</v>
      </c>
      <c r="L241" s="26">
        <v>0.68479999999999996</v>
      </c>
      <c r="M241" s="26">
        <v>2.9559999999999998E-4</v>
      </c>
      <c r="N241" s="26">
        <v>2.02E-4</v>
      </c>
      <c r="O241" s="26">
        <v>0</v>
      </c>
      <c r="P241" s="26">
        <v>7.4329000000000006E-2</v>
      </c>
      <c r="Q241" s="26">
        <v>0</v>
      </c>
      <c r="R241" s="103">
        <v>1200</v>
      </c>
      <c r="S241" s="26"/>
      <c r="T241" s="26"/>
      <c r="U241" s="26"/>
      <c r="V241" s="26"/>
      <c r="W241" s="26"/>
      <c r="X241" s="26"/>
      <c r="Y241" s="26"/>
      <c r="Z241" s="26"/>
    </row>
    <row r="242" spans="1:26" x14ac:dyDescent="0.3">
      <c r="A242" s="91" t="s">
        <v>1016</v>
      </c>
      <c r="B242" s="26" t="s">
        <v>289</v>
      </c>
      <c r="C242" s="26">
        <v>44</v>
      </c>
      <c r="D242" s="26" t="s">
        <v>8</v>
      </c>
      <c r="E242" s="26" t="s">
        <v>104</v>
      </c>
      <c r="F242" s="26" t="s">
        <v>16</v>
      </c>
      <c r="G242" s="26">
        <v>15</v>
      </c>
      <c r="H242" s="341">
        <v>250000</v>
      </c>
      <c r="I242" s="26" t="s">
        <v>114</v>
      </c>
      <c r="J242" s="26" t="s">
        <v>28</v>
      </c>
      <c r="K242" s="26">
        <v>1</v>
      </c>
      <c r="L242" s="26">
        <v>0.65559999999999996</v>
      </c>
      <c r="M242" s="26">
        <v>2.617E-3</v>
      </c>
      <c r="N242" s="26">
        <v>1.7160000000000001E-3</v>
      </c>
      <c r="O242" s="26">
        <v>0</v>
      </c>
      <c r="P242" s="26">
        <v>0.16128000000000001</v>
      </c>
      <c r="Q242" s="26">
        <v>0</v>
      </c>
      <c r="R242" s="103">
        <v>13069.92</v>
      </c>
      <c r="S242" s="26"/>
      <c r="T242" s="26"/>
      <c r="U242" s="26"/>
      <c r="V242" s="26"/>
      <c r="W242" s="26"/>
      <c r="X242" s="26"/>
      <c r="Y242" s="26"/>
      <c r="Z242" s="26"/>
    </row>
    <row r="243" spans="1:26" x14ac:dyDescent="0.3">
      <c r="A243" s="91" t="s">
        <v>1017</v>
      </c>
      <c r="B243" s="26" t="s">
        <v>289</v>
      </c>
      <c r="C243" s="26">
        <v>64</v>
      </c>
      <c r="D243" s="26" t="s">
        <v>102</v>
      </c>
      <c r="E243" s="26" t="s">
        <v>12</v>
      </c>
      <c r="F243" s="26" t="s">
        <v>16</v>
      </c>
      <c r="G243" s="26">
        <v>15</v>
      </c>
      <c r="H243" s="341">
        <v>500000</v>
      </c>
      <c r="I243" s="26" t="s">
        <v>114</v>
      </c>
      <c r="J243" s="26" t="s">
        <v>28</v>
      </c>
      <c r="K243" s="26">
        <v>4</v>
      </c>
      <c r="L243" s="26">
        <v>0.68200000000000005</v>
      </c>
      <c r="M243" s="26">
        <v>5.8064700000000002E-3</v>
      </c>
      <c r="N243" s="26">
        <v>3.96E-3</v>
      </c>
      <c r="O243" s="26">
        <v>0</v>
      </c>
      <c r="P243" s="26">
        <v>8.3358000000000002E-2</v>
      </c>
      <c r="Q243" s="26">
        <v>0</v>
      </c>
      <c r="R243" s="103">
        <v>12433.45</v>
      </c>
      <c r="S243" s="26"/>
      <c r="T243" s="26"/>
      <c r="U243" s="26"/>
      <c r="V243" s="26"/>
      <c r="W243" s="26"/>
      <c r="X243" s="26"/>
      <c r="Y243" s="26"/>
      <c r="Z243" s="26"/>
    </row>
    <row r="244" spans="1:26" x14ac:dyDescent="0.3">
      <c r="A244" s="91" t="s">
        <v>1018</v>
      </c>
      <c r="B244" s="26" t="s">
        <v>288</v>
      </c>
      <c r="C244" s="26">
        <v>40</v>
      </c>
      <c r="D244" s="26" t="s">
        <v>8</v>
      </c>
      <c r="E244" s="26" t="s">
        <v>12</v>
      </c>
      <c r="F244" s="26" t="s">
        <v>16</v>
      </c>
      <c r="G244" s="26">
        <v>15</v>
      </c>
      <c r="H244" s="341">
        <v>250000</v>
      </c>
      <c r="I244" s="26" t="s">
        <v>26</v>
      </c>
      <c r="J244" s="26" t="s">
        <v>93</v>
      </c>
      <c r="K244" s="26">
        <v>4</v>
      </c>
      <c r="L244" s="26">
        <v>0.60729999999999995</v>
      </c>
      <c r="M244" s="26">
        <v>1.15172E-3</v>
      </c>
      <c r="N244" s="26">
        <v>6.9899999999999997E-4</v>
      </c>
      <c r="O244" s="26">
        <v>0</v>
      </c>
      <c r="P244" s="26">
        <v>7.2773000000000004E-2</v>
      </c>
      <c r="Q244" s="26">
        <v>0</v>
      </c>
      <c r="R244" s="103">
        <v>1200</v>
      </c>
      <c r="S244" s="26"/>
      <c r="T244" s="26"/>
      <c r="U244" s="26"/>
      <c r="V244" s="26"/>
      <c r="W244" s="26"/>
      <c r="X244" s="26"/>
      <c r="Y244" s="26"/>
      <c r="Z244" s="26"/>
    </row>
    <row r="245" spans="1:26" x14ac:dyDescent="0.3">
      <c r="A245" s="91" t="s">
        <v>1019</v>
      </c>
      <c r="B245" s="26" t="s">
        <v>289</v>
      </c>
      <c r="C245" s="26">
        <v>22</v>
      </c>
      <c r="D245" s="26" t="s">
        <v>102</v>
      </c>
      <c r="E245" s="26" t="s">
        <v>12</v>
      </c>
      <c r="F245" s="26" t="s">
        <v>16</v>
      </c>
      <c r="G245" s="26">
        <v>10</v>
      </c>
      <c r="H245" s="341">
        <v>500000</v>
      </c>
      <c r="I245" s="26" t="s">
        <v>114</v>
      </c>
      <c r="J245" s="26" t="s">
        <v>94</v>
      </c>
      <c r="K245" s="26">
        <v>5</v>
      </c>
      <c r="L245" s="26">
        <v>0.74890000000000001</v>
      </c>
      <c r="M245" s="26">
        <v>2.0169E-4</v>
      </c>
      <c r="N245" s="26">
        <v>1.5100000000000001E-4</v>
      </c>
      <c r="O245" s="26">
        <v>0</v>
      </c>
      <c r="P245" s="26">
        <v>6.6895999999999997E-2</v>
      </c>
      <c r="Q245" s="26">
        <v>0</v>
      </c>
      <c r="R245" s="103">
        <v>13632.68</v>
      </c>
      <c r="S245" s="26"/>
      <c r="T245" s="26"/>
      <c r="U245" s="26"/>
      <c r="V245" s="26"/>
      <c r="W245" s="26"/>
      <c r="X245" s="26"/>
      <c r="Y245" s="26"/>
      <c r="Z245" s="26"/>
    </row>
    <row r="246" spans="1:26" x14ac:dyDescent="0.3">
      <c r="A246" s="91" t="s">
        <v>1020</v>
      </c>
      <c r="B246" s="26" t="s">
        <v>288</v>
      </c>
      <c r="C246" s="26">
        <v>50</v>
      </c>
      <c r="D246" s="26" t="s">
        <v>8</v>
      </c>
      <c r="E246" s="26" t="s">
        <v>12</v>
      </c>
      <c r="F246" s="26" t="s">
        <v>106</v>
      </c>
      <c r="G246" s="26">
        <v>20</v>
      </c>
      <c r="H246" s="341">
        <v>2000000</v>
      </c>
      <c r="I246" s="26" t="s">
        <v>26</v>
      </c>
      <c r="J246" s="26" t="s">
        <v>28</v>
      </c>
      <c r="K246" s="26">
        <v>4</v>
      </c>
      <c r="L246" s="26">
        <v>0.94740000000000002</v>
      </c>
      <c r="M246" s="26">
        <v>2.0505599999999999E-3</v>
      </c>
      <c r="N246" s="26">
        <v>1.9430000000000001E-3</v>
      </c>
      <c r="O246" s="26">
        <v>0</v>
      </c>
      <c r="P246" s="26">
        <v>7.2773000000000004E-2</v>
      </c>
      <c r="Q246" s="26">
        <v>0</v>
      </c>
      <c r="R246" s="103">
        <v>6419.31</v>
      </c>
      <c r="S246" s="26"/>
      <c r="T246" s="26"/>
      <c r="U246" s="26"/>
      <c r="V246" s="26"/>
      <c r="W246" s="26"/>
      <c r="X246" s="26"/>
      <c r="Y246" s="26"/>
      <c r="Z246" s="26"/>
    </row>
    <row r="247" spans="1:26" x14ac:dyDescent="0.3">
      <c r="A247" s="91" t="s">
        <v>1021</v>
      </c>
      <c r="B247" s="26" t="s">
        <v>288</v>
      </c>
      <c r="C247" s="26">
        <v>54</v>
      </c>
      <c r="D247" s="26" t="s">
        <v>8</v>
      </c>
      <c r="E247" s="26" t="s">
        <v>12</v>
      </c>
      <c r="F247" s="26" t="s">
        <v>16</v>
      </c>
      <c r="G247" s="26">
        <v>10</v>
      </c>
      <c r="H247" s="341">
        <v>500000</v>
      </c>
      <c r="I247" s="26" t="s">
        <v>114</v>
      </c>
      <c r="J247" s="26" t="s">
        <v>94</v>
      </c>
      <c r="K247" s="26">
        <v>4</v>
      </c>
      <c r="L247" s="26">
        <v>0.62480000000000002</v>
      </c>
      <c r="M247" s="26">
        <v>3.5298500000000002E-3</v>
      </c>
      <c r="N247" s="26">
        <v>2.2049999999999999E-3</v>
      </c>
      <c r="O247" s="26">
        <v>0</v>
      </c>
      <c r="P247" s="26">
        <v>9.2619999999999994E-2</v>
      </c>
      <c r="Q247" s="26">
        <v>0</v>
      </c>
      <c r="R247" s="103">
        <v>2837.61</v>
      </c>
      <c r="S247" s="26"/>
      <c r="T247" s="26"/>
      <c r="U247" s="26"/>
      <c r="V247" s="26"/>
      <c r="W247" s="26"/>
      <c r="X247" s="26"/>
      <c r="Y247" s="26"/>
      <c r="Z247" s="26"/>
    </row>
    <row r="248" spans="1:26" x14ac:dyDescent="0.3">
      <c r="A248" s="91" t="s">
        <v>1022</v>
      </c>
      <c r="B248" s="26" t="s">
        <v>288</v>
      </c>
      <c r="C248" s="26">
        <v>32</v>
      </c>
      <c r="D248" s="26" t="s">
        <v>8</v>
      </c>
      <c r="E248" s="26" t="s">
        <v>104</v>
      </c>
      <c r="F248" s="26" t="s">
        <v>16</v>
      </c>
      <c r="G248" s="26">
        <v>25</v>
      </c>
      <c r="H248" s="341">
        <v>500000</v>
      </c>
      <c r="I248" s="26" t="s">
        <v>114</v>
      </c>
      <c r="J248" s="26" t="s">
        <v>94</v>
      </c>
      <c r="K248" s="26">
        <v>1</v>
      </c>
      <c r="L248" s="26">
        <v>0.63349999999999995</v>
      </c>
      <c r="M248" s="26">
        <v>1.0020300000000001E-3</v>
      </c>
      <c r="N248" s="26">
        <v>6.3500000000000004E-4</v>
      </c>
      <c r="O248" s="26">
        <v>0</v>
      </c>
      <c r="P248" s="26">
        <v>0.1792</v>
      </c>
      <c r="Q248" s="26">
        <v>0</v>
      </c>
      <c r="R248" s="103">
        <v>1346.2</v>
      </c>
      <c r="S248" s="26"/>
      <c r="T248" s="26"/>
      <c r="U248" s="26"/>
      <c r="V248" s="26"/>
      <c r="W248" s="26"/>
      <c r="X248" s="26"/>
      <c r="Y248" s="26"/>
      <c r="Z248" s="26"/>
    </row>
    <row r="249" spans="1:26" x14ac:dyDescent="0.3">
      <c r="A249" s="91" t="s">
        <v>1023</v>
      </c>
      <c r="B249" s="26" t="s">
        <v>288</v>
      </c>
      <c r="C249" s="26">
        <v>62</v>
      </c>
      <c r="D249" s="26" t="s">
        <v>8</v>
      </c>
      <c r="E249" s="26" t="s">
        <v>12</v>
      </c>
      <c r="F249" s="26" t="s">
        <v>16</v>
      </c>
      <c r="G249" s="26">
        <v>20</v>
      </c>
      <c r="H249" s="341">
        <v>1000000</v>
      </c>
      <c r="I249" s="26" t="s">
        <v>114</v>
      </c>
      <c r="J249" s="26" t="s">
        <v>94</v>
      </c>
      <c r="K249" s="26">
        <v>5</v>
      </c>
      <c r="L249" s="26">
        <v>0.73529999999999995</v>
      </c>
      <c r="M249" s="26">
        <v>6.6942900000000003E-3</v>
      </c>
      <c r="N249" s="26">
        <v>4.9220000000000002E-3</v>
      </c>
      <c r="O249" s="26">
        <v>0</v>
      </c>
      <c r="P249" s="26">
        <v>7.4329000000000006E-2</v>
      </c>
      <c r="Q249" s="26">
        <v>0</v>
      </c>
      <c r="R249" s="103">
        <v>8929.26</v>
      </c>
      <c r="S249" s="26"/>
      <c r="T249" s="26"/>
      <c r="U249" s="26"/>
      <c r="V249" s="26"/>
      <c r="W249" s="26"/>
      <c r="X249" s="26"/>
      <c r="Y249" s="26"/>
      <c r="Z249" s="26"/>
    </row>
    <row r="250" spans="1:26" x14ac:dyDescent="0.3">
      <c r="A250" s="91" t="s">
        <v>1024</v>
      </c>
      <c r="B250" s="26" t="s">
        <v>288</v>
      </c>
      <c r="C250" s="26">
        <v>59</v>
      </c>
      <c r="D250" s="26" t="s">
        <v>8</v>
      </c>
      <c r="E250" s="26" t="s">
        <v>12</v>
      </c>
      <c r="F250" s="26" t="s">
        <v>16</v>
      </c>
      <c r="G250" s="26">
        <v>20</v>
      </c>
      <c r="H250" s="341">
        <v>500000</v>
      </c>
      <c r="I250" s="26" t="s">
        <v>114</v>
      </c>
      <c r="J250" s="26" t="s">
        <v>28</v>
      </c>
      <c r="K250" s="26">
        <v>2</v>
      </c>
      <c r="L250" s="26">
        <v>0.89219999999999999</v>
      </c>
      <c r="M250" s="26">
        <v>5.2659100000000004E-3</v>
      </c>
      <c r="N250" s="26">
        <v>4.6979999999999999E-3</v>
      </c>
      <c r="O250" s="26">
        <v>0</v>
      </c>
      <c r="P250" s="26">
        <v>0.14381099999999999</v>
      </c>
      <c r="Q250" s="26">
        <v>0</v>
      </c>
      <c r="R250" s="103">
        <v>3861.89</v>
      </c>
      <c r="S250" s="26"/>
      <c r="T250" s="26"/>
      <c r="U250" s="26"/>
      <c r="V250" s="26"/>
      <c r="W250" s="26"/>
      <c r="X250" s="26"/>
      <c r="Y250" s="26"/>
      <c r="Z250" s="26"/>
    </row>
    <row r="251" spans="1:26" x14ac:dyDescent="0.3">
      <c r="A251" s="91" t="s">
        <v>1025</v>
      </c>
      <c r="B251" s="26" t="s">
        <v>288</v>
      </c>
      <c r="C251" s="26">
        <v>21</v>
      </c>
      <c r="D251" s="26" t="s">
        <v>102</v>
      </c>
      <c r="E251" s="26" t="s">
        <v>12</v>
      </c>
      <c r="F251" s="26" t="s">
        <v>107</v>
      </c>
      <c r="G251" s="26">
        <v>15</v>
      </c>
      <c r="H251" s="341">
        <v>250000</v>
      </c>
      <c r="I251" s="26" t="s">
        <v>26</v>
      </c>
      <c r="J251" s="26" t="s">
        <v>28</v>
      </c>
      <c r="K251" s="26">
        <v>3</v>
      </c>
      <c r="L251" s="26">
        <v>0.65890000000000004</v>
      </c>
      <c r="M251" s="26">
        <v>2.8857999999999998E-4</v>
      </c>
      <c r="N251" s="26">
        <v>1.9000000000000001E-4</v>
      </c>
      <c r="O251" s="26">
        <v>0</v>
      </c>
      <c r="P251" s="26">
        <v>9.0679999999999997E-2</v>
      </c>
      <c r="Q251" s="26">
        <v>0</v>
      </c>
      <c r="R251" s="103">
        <v>1200</v>
      </c>
      <c r="S251" s="26"/>
      <c r="T251" s="26"/>
      <c r="U251" s="26"/>
      <c r="V251" s="26"/>
      <c r="W251" s="26"/>
      <c r="X251" s="26"/>
      <c r="Y251" s="26"/>
      <c r="Z251" s="26"/>
    </row>
    <row r="252" spans="1:26" x14ac:dyDescent="0.3">
      <c r="A252" s="91" t="s">
        <v>1026</v>
      </c>
      <c r="B252" s="26" t="s">
        <v>288</v>
      </c>
      <c r="C252" s="26">
        <v>30</v>
      </c>
      <c r="D252" s="26" t="s">
        <v>8</v>
      </c>
      <c r="E252" s="26" t="s">
        <v>12</v>
      </c>
      <c r="F252" s="26" t="s">
        <v>16</v>
      </c>
      <c r="G252" s="26">
        <v>20</v>
      </c>
      <c r="H252" s="341">
        <v>500000</v>
      </c>
      <c r="I252" s="26" t="s">
        <v>114</v>
      </c>
      <c r="J252" s="26" t="s">
        <v>94</v>
      </c>
      <c r="K252" s="26">
        <v>1</v>
      </c>
      <c r="L252" s="26">
        <v>0.79379999999999995</v>
      </c>
      <c r="M252" s="26">
        <v>5.1749999999999995E-4</v>
      </c>
      <c r="N252" s="26">
        <v>4.1100000000000002E-4</v>
      </c>
      <c r="O252" s="26">
        <v>0</v>
      </c>
      <c r="P252" s="26">
        <v>0.1792</v>
      </c>
      <c r="Q252" s="26">
        <v>0</v>
      </c>
      <c r="R252" s="103">
        <v>1200</v>
      </c>
      <c r="S252" s="26"/>
      <c r="T252" s="26"/>
      <c r="U252" s="26"/>
      <c r="V252" s="26"/>
      <c r="W252" s="26"/>
      <c r="X252" s="26"/>
      <c r="Y252" s="26"/>
      <c r="Z252" s="26"/>
    </row>
    <row r="253" spans="1:26" ht="13.5" thickBot="1" x14ac:dyDescent="0.35">
      <c r="A253" s="95" t="s">
        <v>1027</v>
      </c>
      <c r="B253" s="110" t="s">
        <v>288</v>
      </c>
      <c r="C253" s="110">
        <v>58</v>
      </c>
      <c r="D253" s="110" t="s">
        <v>8</v>
      </c>
      <c r="E253" s="110" t="s">
        <v>12</v>
      </c>
      <c r="F253" s="110" t="s">
        <v>107</v>
      </c>
      <c r="G253" s="110">
        <v>25</v>
      </c>
      <c r="H253" s="345">
        <v>250000</v>
      </c>
      <c r="I253" s="110" t="s">
        <v>114</v>
      </c>
      <c r="J253" s="110" t="s">
        <v>94</v>
      </c>
      <c r="K253" s="110">
        <v>1</v>
      </c>
      <c r="L253" s="110">
        <v>0.69799999999999995</v>
      </c>
      <c r="M253" s="110">
        <v>7.5346299999999996E-3</v>
      </c>
      <c r="N253" s="110">
        <v>5.2589999999999998E-3</v>
      </c>
      <c r="O253" s="110">
        <v>0</v>
      </c>
      <c r="P253" s="110">
        <v>0.1792</v>
      </c>
      <c r="Q253" s="110">
        <v>0</v>
      </c>
      <c r="R253" s="111">
        <v>2840.21</v>
      </c>
      <c r="S253" s="26"/>
      <c r="T253" s="26"/>
      <c r="U253" s="26"/>
      <c r="V253" s="26"/>
      <c r="W253" s="26"/>
      <c r="X253" s="26"/>
      <c r="Y253" s="26"/>
      <c r="Z253" s="2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D59"/>
  <sheetViews>
    <sheetView zoomScaleNormal="100" workbookViewId="0">
      <selection activeCell="E11" sqref="E11"/>
    </sheetView>
  </sheetViews>
  <sheetFormatPr defaultColWidth="8.6328125" defaultRowHeight="13" x14ac:dyDescent="0.3"/>
  <cols>
    <col min="1" max="1" width="46" style="5" customWidth="1"/>
    <col min="2" max="2" width="20" style="5" customWidth="1"/>
    <col min="3" max="3" width="23" style="5" customWidth="1"/>
    <col min="4" max="4" width="12" style="5" customWidth="1"/>
    <col min="5" max="5" width="46" style="5" customWidth="1"/>
    <col min="6" max="16384" width="8.6328125" style="5"/>
  </cols>
  <sheetData>
    <row r="1" spans="1:134" ht="28" customHeight="1" x14ac:dyDescent="0.3">
      <c r="A1" s="23" t="s">
        <v>576</v>
      </c>
      <c r="B1" s="23"/>
      <c r="C1" s="23"/>
      <c r="D1" s="23"/>
      <c r="E1" s="23"/>
      <c r="F1" s="23"/>
      <c r="G1" s="23"/>
      <c r="H1" s="23"/>
      <c r="I1" s="23"/>
      <c r="J1" s="23"/>
      <c r="K1" s="23"/>
      <c r="L1" s="23"/>
      <c r="M1" s="23"/>
      <c r="N1" s="23"/>
      <c r="O1" s="23"/>
      <c r="P1" s="23"/>
      <c r="Q1" s="23"/>
      <c r="R1" s="23"/>
      <c r="S1" s="23"/>
      <c r="T1" s="23"/>
      <c r="U1" s="23"/>
      <c r="V1" s="23"/>
      <c r="W1" s="23"/>
      <c r="X1" s="23"/>
      <c r="Y1" s="23"/>
      <c r="Z1" s="23"/>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row>
    <row r="2" spans="1:134" ht="21.75" customHeight="1" thickBo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row>
    <row r="3" spans="1:134" ht="26" customHeight="1" x14ac:dyDescent="0.3">
      <c r="A3" s="346" t="s">
        <v>577</v>
      </c>
      <c r="B3" s="347" t="s">
        <v>1029</v>
      </c>
      <c r="C3" s="347" t="s">
        <v>1028</v>
      </c>
      <c r="D3" s="348" t="s">
        <v>477</v>
      </c>
      <c r="E3" s="26"/>
      <c r="F3" s="26"/>
      <c r="G3" s="26"/>
      <c r="H3" s="26"/>
      <c r="I3" s="26"/>
      <c r="J3" s="26"/>
      <c r="K3" s="26"/>
      <c r="L3" s="26"/>
      <c r="M3" s="26"/>
      <c r="N3" s="26"/>
      <c r="O3" s="26"/>
      <c r="P3" s="26"/>
      <c r="Q3" s="26"/>
      <c r="R3" s="26"/>
      <c r="S3" s="26"/>
      <c r="T3" s="26"/>
      <c r="U3" s="26"/>
      <c r="V3" s="26"/>
      <c r="W3" s="26"/>
      <c r="X3" s="26"/>
      <c r="Y3" s="26"/>
      <c r="Z3" s="26"/>
    </row>
    <row r="4" spans="1:134" ht="21.75" customHeight="1" x14ac:dyDescent="0.3">
      <c r="A4" s="91" t="s">
        <v>578</v>
      </c>
      <c r="B4" s="93" t="str">
        <f>'Premium Calculation'!B27</f>
        <v>VALID</v>
      </c>
      <c r="C4" s="26" t="s">
        <v>579</v>
      </c>
      <c r="D4" s="349" t="str">
        <f>IFERROR(IF(B4="VALID","PASS","FAIL"),"FAIL")</f>
        <v>PASS</v>
      </c>
      <c r="E4" s="26"/>
      <c r="F4" s="26"/>
      <c r="G4" s="26"/>
      <c r="H4" s="26"/>
      <c r="I4" s="26"/>
      <c r="J4" s="26"/>
      <c r="K4" s="26"/>
      <c r="L4" s="26"/>
      <c r="M4" s="26"/>
      <c r="N4" s="26"/>
      <c r="O4" s="26"/>
      <c r="P4" s="26"/>
      <c r="Q4" s="26"/>
      <c r="R4" s="26"/>
      <c r="S4" s="26"/>
      <c r="T4" s="26"/>
      <c r="U4" s="26"/>
      <c r="V4" s="26"/>
      <c r="W4" s="26"/>
      <c r="X4" s="26"/>
      <c r="Y4" s="26"/>
      <c r="Z4" s="26"/>
    </row>
    <row r="5" spans="1:134" ht="21.75" customHeight="1" x14ac:dyDescent="0.3">
      <c r="A5" s="91" t="s">
        <v>1030</v>
      </c>
      <c r="B5" s="93">
        <f>'Premium Calculation'!B26</f>
        <v>0</v>
      </c>
      <c r="C5" s="26" t="s">
        <v>580</v>
      </c>
      <c r="D5" s="349" t="str">
        <f>IFERROR(IF(ABS(B5)&lt;0.01,"PASS","FAIL"),"FAIL")</f>
        <v>PASS</v>
      </c>
      <c r="E5" s="26"/>
      <c r="F5" s="26"/>
      <c r="G5" s="26"/>
      <c r="H5" s="26"/>
      <c r="I5" s="26"/>
      <c r="J5" s="26"/>
      <c r="K5" s="26"/>
      <c r="L5" s="26"/>
      <c r="M5" s="26"/>
      <c r="N5" s="26"/>
      <c r="O5" s="26"/>
      <c r="P5" s="26"/>
      <c r="Q5" s="26"/>
      <c r="R5" s="26"/>
      <c r="S5" s="26"/>
      <c r="T5" s="26"/>
      <c r="U5" s="26"/>
      <c r="V5" s="26"/>
      <c r="W5" s="26"/>
      <c r="X5" s="26"/>
      <c r="Y5" s="26"/>
      <c r="Z5" s="26"/>
    </row>
    <row r="6" spans="1:134" ht="21.75" customHeight="1" x14ac:dyDescent="0.3">
      <c r="A6" s="91" t="s">
        <v>1031</v>
      </c>
      <c r="B6" s="93">
        <f>SUM(Cashflows!F4:F43)-SUM(Cashflows!G4:G43)-SUM(Cashflows!H4:H43)</f>
        <v>0</v>
      </c>
      <c r="C6" s="26" t="s">
        <v>580</v>
      </c>
      <c r="D6" s="349" t="str">
        <f>IFERROR(IF(ABS(B6)&lt;0.01,"PASS","FAIL"),"FAIL")</f>
        <v>PASS</v>
      </c>
      <c r="E6" s="26"/>
      <c r="F6" s="26"/>
      <c r="G6" s="26"/>
      <c r="H6" s="26"/>
      <c r="I6" s="26"/>
      <c r="J6" s="26"/>
      <c r="K6" s="26"/>
      <c r="L6" s="26"/>
      <c r="M6" s="26"/>
      <c r="N6" s="26"/>
      <c r="O6" s="26"/>
      <c r="P6" s="26"/>
      <c r="Q6" s="26"/>
      <c r="R6" s="26"/>
      <c r="S6" s="26"/>
      <c r="T6" s="26"/>
      <c r="U6" s="26"/>
      <c r="V6" s="26"/>
      <c r="W6" s="26"/>
      <c r="X6" s="26"/>
      <c r="Y6" s="26"/>
      <c r="Z6" s="26"/>
    </row>
    <row r="7" spans="1:134" ht="21.75" customHeight="1" x14ac:dyDescent="0.3">
      <c r="A7" s="91" t="s">
        <v>350</v>
      </c>
      <c r="B7" s="93">
        <f>'Profit Testing'!B11</f>
        <v>-1.1937117960769683E-12</v>
      </c>
      <c r="C7" s="26" t="s">
        <v>580</v>
      </c>
      <c r="D7" s="349" t="str">
        <f>IFERROR(IF(ABS(B7)&lt;0.01,"PASS","FAIL"),"FAIL")</f>
        <v>PASS</v>
      </c>
      <c r="E7" s="26"/>
      <c r="F7" s="26"/>
      <c r="G7" s="26"/>
      <c r="H7" s="26"/>
      <c r="I7" s="26"/>
      <c r="J7" s="26"/>
      <c r="K7" s="26"/>
      <c r="L7" s="26"/>
      <c r="M7" s="26"/>
      <c r="N7" s="26"/>
      <c r="O7" s="26"/>
      <c r="P7" s="26"/>
      <c r="Q7" s="26"/>
      <c r="R7" s="26"/>
      <c r="S7" s="26"/>
      <c r="T7" s="26"/>
      <c r="U7" s="26"/>
      <c r="V7" s="26"/>
      <c r="W7" s="26"/>
      <c r="X7" s="26"/>
      <c r="Y7" s="26"/>
      <c r="Z7" s="26"/>
    </row>
    <row r="8" spans="1:134" ht="21.75" customHeight="1" x14ac:dyDescent="0.3">
      <c r="A8" s="91" t="s">
        <v>581</v>
      </c>
      <c r="B8" s="93">
        <f>MIN(Cashflows!B4:B43)</f>
        <v>0</v>
      </c>
      <c r="C8" s="26" t="s">
        <v>582</v>
      </c>
      <c r="D8" s="349" t="str">
        <f>IFERROR(IF(B8&gt;=0,"PASS","FAIL"),"FAIL")</f>
        <v>PASS</v>
      </c>
      <c r="E8" s="26"/>
      <c r="F8" s="26"/>
      <c r="G8" s="26"/>
      <c r="H8" s="26"/>
      <c r="I8" s="26"/>
      <c r="J8" s="26"/>
      <c r="K8" s="26"/>
      <c r="L8" s="26"/>
      <c r="M8" s="26"/>
      <c r="N8" s="26"/>
      <c r="O8" s="26"/>
      <c r="P8" s="26"/>
      <c r="Q8" s="26"/>
      <c r="R8" s="26"/>
      <c r="S8" s="26"/>
      <c r="T8" s="26"/>
      <c r="U8" s="26"/>
      <c r="V8" s="26"/>
      <c r="W8" s="26"/>
      <c r="X8" s="26"/>
      <c r="Y8" s="26"/>
      <c r="Z8" s="26"/>
    </row>
    <row r="9" spans="1:134" ht="21.75" customHeight="1" x14ac:dyDescent="0.3">
      <c r="A9" s="91" t="s">
        <v>583</v>
      </c>
      <c r="B9" s="93">
        <f>MAX(Cashflows!C4:C43)</f>
        <v>8.6839029458455209E-4</v>
      </c>
      <c r="C9" s="26" t="s">
        <v>584</v>
      </c>
      <c r="D9" s="349" t="str">
        <f>IFERROR(IF(AND(B9&gt;=0,B9&lt;=1),"PASS","FAIL"),"FAIL")</f>
        <v>PASS</v>
      </c>
      <c r="E9" s="26"/>
      <c r="F9" s="26"/>
      <c r="G9" s="26"/>
      <c r="H9" s="26"/>
      <c r="I9" s="26"/>
      <c r="J9" s="26"/>
      <c r="K9" s="26"/>
      <c r="L9" s="26"/>
      <c r="M9" s="26"/>
      <c r="N9" s="26"/>
      <c r="O9" s="26"/>
      <c r="P9" s="26"/>
      <c r="Q9" s="26"/>
      <c r="R9" s="26"/>
      <c r="S9" s="26"/>
      <c r="T9" s="26"/>
      <c r="U9" s="26"/>
      <c r="V9" s="26"/>
      <c r="W9" s="26"/>
      <c r="X9" s="26"/>
      <c r="Y9" s="26"/>
      <c r="Z9" s="26"/>
    </row>
    <row r="10" spans="1:134" ht="21.75" customHeight="1" x14ac:dyDescent="0.3">
      <c r="A10" s="91" t="s">
        <v>585</v>
      </c>
      <c r="B10" s="93">
        <f>SUMPRODUCT(Cashflows!U4:U43,Cashflows!U4:U43)</f>
        <v>7.2372836191426597E-33</v>
      </c>
      <c r="C10" s="26" t="s">
        <v>586</v>
      </c>
      <c r="D10" s="349" t="str">
        <f>IFERROR(IF(ABS(B10)&lt;0.00000001,"PASS","FAIL"),"FAIL")</f>
        <v>PASS</v>
      </c>
      <c r="E10" s="26"/>
      <c r="F10" s="26"/>
      <c r="G10" s="26"/>
      <c r="H10" s="26"/>
      <c r="I10" s="26"/>
      <c r="J10" s="26"/>
      <c r="K10" s="26"/>
      <c r="L10" s="26"/>
      <c r="M10" s="26"/>
      <c r="N10" s="26"/>
      <c r="O10" s="26"/>
      <c r="P10" s="26"/>
      <c r="Q10" s="26"/>
      <c r="R10" s="26"/>
      <c r="S10" s="26"/>
      <c r="T10" s="26"/>
      <c r="U10" s="26"/>
      <c r="V10" s="26"/>
      <c r="W10" s="26"/>
      <c r="X10" s="26"/>
      <c r="Y10" s="26"/>
      <c r="Z10" s="26"/>
    </row>
    <row r="11" spans="1:134" ht="21.75" customHeight="1" x14ac:dyDescent="0.3">
      <c r="A11" s="91" t="s">
        <v>1032</v>
      </c>
      <c r="B11" s="93">
        <f>'IFRS 17 GMM'!B8*'IFRS 17 GMM'!B9</f>
        <v>0</v>
      </c>
      <c r="C11" s="26" t="s">
        <v>580</v>
      </c>
      <c r="D11" s="349" t="str">
        <f>IFERROR(IF(ABS(B11)&lt;0.01,"PASS","FAIL"),"FAIL")</f>
        <v>PASS</v>
      </c>
      <c r="E11" s="26"/>
      <c r="F11" s="26"/>
      <c r="G11" s="26"/>
      <c r="H11" s="26"/>
      <c r="I11" s="26"/>
      <c r="J11" s="26"/>
      <c r="K11" s="26"/>
      <c r="L11" s="26"/>
      <c r="M11" s="26"/>
      <c r="N11" s="26"/>
      <c r="O11" s="26"/>
      <c r="P11" s="26"/>
      <c r="Q11" s="26"/>
      <c r="R11" s="26"/>
      <c r="S11" s="26"/>
      <c r="T11" s="26"/>
      <c r="U11" s="26"/>
      <c r="V11" s="26"/>
      <c r="W11" s="26"/>
      <c r="X11" s="26"/>
      <c r="Y11" s="26"/>
      <c r="Z11" s="26"/>
    </row>
    <row r="12" spans="1:134" ht="21.75" customHeight="1" x14ac:dyDescent="0.3">
      <c r="A12" s="91" t="s">
        <v>1033</v>
      </c>
      <c r="B12" s="93">
        <f>'IFRS 17 GMM'!B19</f>
        <v>1.1368683772161603E-13</v>
      </c>
      <c r="C12" s="26" t="s">
        <v>580</v>
      </c>
      <c r="D12" s="349" t="str">
        <f>IFERROR(IF(ABS(B12)&lt;0.01,"PASS","FAIL"),"FAIL")</f>
        <v>PASS</v>
      </c>
      <c r="E12" s="26"/>
      <c r="F12" s="26"/>
      <c r="G12" s="26"/>
      <c r="H12" s="26"/>
      <c r="I12" s="26"/>
      <c r="J12" s="26"/>
      <c r="K12" s="26"/>
      <c r="L12" s="26"/>
      <c r="M12" s="26"/>
      <c r="N12" s="26"/>
      <c r="O12" s="26"/>
      <c r="P12" s="26"/>
      <c r="Q12" s="26"/>
      <c r="R12" s="26"/>
      <c r="S12" s="26"/>
      <c r="T12" s="26"/>
      <c r="U12" s="26"/>
      <c r="V12" s="26"/>
      <c r="W12" s="26"/>
      <c r="X12" s="26"/>
      <c r="Y12" s="26"/>
      <c r="Z12" s="26"/>
    </row>
    <row r="13" spans="1:134" ht="21.75" customHeight="1" x14ac:dyDescent="0.3">
      <c r="A13" s="91" t="s">
        <v>587</v>
      </c>
      <c r="B13" s="93">
        <f>SUMPRODUCT('IFRS 17 GMM'!T4:T43,'IFRS 17 GMM'!T4:T43)</f>
        <v>0</v>
      </c>
      <c r="C13" s="26" t="s">
        <v>588</v>
      </c>
      <c r="D13" s="349" t="str">
        <f>IFERROR(IF(ABS(B13)&lt;0.0001,"PASS","FAIL"),"FAIL")</f>
        <v>PASS</v>
      </c>
      <c r="E13" s="26"/>
      <c r="F13" s="26"/>
      <c r="G13" s="26"/>
      <c r="H13" s="26"/>
      <c r="I13" s="26"/>
      <c r="J13" s="26"/>
      <c r="K13" s="26"/>
      <c r="L13" s="26"/>
      <c r="M13" s="26"/>
      <c r="N13" s="26"/>
      <c r="O13" s="26"/>
      <c r="P13" s="26"/>
      <c r="Q13" s="26"/>
      <c r="R13" s="26"/>
      <c r="S13" s="26"/>
      <c r="T13" s="26"/>
      <c r="U13" s="26"/>
      <c r="V13" s="26"/>
      <c r="W13" s="26"/>
      <c r="X13" s="26"/>
      <c r="Y13" s="26"/>
      <c r="Z13" s="26"/>
    </row>
    <row r="14" spans="1:134" ht="21.75" customHeight="1" x14ac:dyDescent="0.3">
      <c r="A14" s="91" t="s">
        <v>589</v>
      </c>
      <c r="B14" s="93">
        <f>'IFRS 17 GMM'!Q43</f>
        <v>3.6695982548826826E-12</v>
      </c>
      <c r="C14" s="26" t="s">
        <v>580</v>
      </c>
      <c r="D14" s="349" t="str">
        <f>IFERROR(IF(ABS(B14)&lt;0.01,"PASS","FAIL"),"FAIL")</f>
        <v>PASS</v>
      </c>
      <c r="E14" s="26"/>
      <c r="F14" s="26"/>
      <c r="G14" s="26"/>
      <c r="H14" s="26"/>
      <c r="I14" s="26"/>
      <c r="J14" s="26"/>
      <c r="K14" s="26"/>
      <c r="L14" s="26"/>
      <c r="M14" s="26"/>
      <c r="N14" s="26"/>
      <c r="O14" s="26"/>
      <c r="P14" s="26"/>
      <c r="Q14" s="26"/>
      <c r="R14" s="26"/>
      <c r="S14" s="26"/>
      <c r="T14" s="26"/>
      <c r="U14" s="26"/>
      <c r="V14" s="26"/>
      <c r="W14" s="26"/>
      <c r="X14" s="26"/>
      <c r="Y14" s="26"/>
      <c r="Z14" s="26"/>
    </row>
    <row r="15" spans="1:134" ht="21.75" customHeight="1" x14ac:dyDescent="0.3">
      <c r="A15" s="91" t="s">
        <v>590</v>
      </c>
      <c r="B15" s="93">
        <f>SUMPRODUCT('Unit-Linked'!O4:O43,'Unit-Linked'!O4:O43)</f>
        <v>0</v>
      </c>
      <c r="C15" s="26" t="s">
        <v>588</v>
      </c>
      <c r="D15" s="349" t="str">
        <f>IFERROR(IF(ABS(B15)&lt;0.0001,"PASS","FAIL"),"FAIL")</f>
        <v>PASS</v>
      </c>
      <c r="E15" s="26"/>
      <c r="F15" s="26"/>
      <c r="G15" s="26"/>
      <c r="H15" s="26"/>
      <c r="I15" s="26"/>
      <c r="J15" s="26"/>
      <c r="K15" s="26"/>
      <c r="L15" s="26"/>
      <c r="M15" s="26"/>
      <c r="N15" s="26"/>
      <c r="O15" s="26"/>
      <c r="P15" s="26"/>
      <c r="Q15" s="26"/>
      <c r="R15" s="26"/>
      <c r="S15" s="26"/>
      <c r="T15" s="26"/>
      <c r="U15" s="26"/>
      <c r="V15" s="26"/>
      <c r="W15" s="26"/>
      <c r="X15" s="26"/>
      <c r="Y15" s="26"/>
      <c r="Z15" s="26"/>
    </row>
    <row r="16" spans="1:134" ht="21.75" customHeight="1" x14ac:dyDescent="0.3">
      <c r="A16" s="91" t="s">
        <v>591</v>
      </c>
      <c r="B16" s="93" t="str">
        <f>'Unit-Linked'!B14</f>
        <v>VALID</v>
      </c>
      <c r="C16" s="26" t="s">
        <v>579</v>
      </c>
      <c r="D16" s="349" t="str">
        <f>IFERROR(IF(B16="VALID","PASS","FAIL"),"FAIL")</f>
        <v>PASS</v>
      </c>
      <c r="E16" s="26"/>
      <c r="F16" s="26"/>
      <c r="G16" s="26"/>
      <c r="H16" s="26"/>
      <c r="I16" s="26"/>
      <c r="J16" s="26"/>
      <c r="K16" s="26"/>
      <c r="L16" s="26"/>
      <c r="M16" s="26"/>
      <c r="N16" s="26"/>
      <c r="O16" s="26"/>
      <c r="P16" s="26"/>
      <c r="Q16" s="26"/>
      <c r="R16" s="26"/>
      <c r="S16" s="26"/>
      <c r="T16" s="26"/>
      <c r="U16" s="26"/>
      <c r="V16" s="26"/>
      <c r="W16" s="26"/>
      <c r="X16" s="26"/>
      <c r="Y16" s="26"/>
      <c r="Z16" s="26"/>
    </row>
    <row r="17" spans="1:26" ht="21.75" customHeight="1" x14ac:dyDescent="0.3">
      <c r="A17" s="91" t="s">
        <v>592</v>
      </c>
      <c r="B17" s="93">
        <f>'IFRS 17 VFA'!B17</f>
        <v>0</v>
      </c>
      <c r="C17" s="26" t="s">
        <v>580</v>
      </c>
      <c r="D17" s="349" t="str">
        <f>IFERROR(IF(ABS(B17)&lt;0.01,"PASS","FAIL"),"FAIL")</f>
        <v>PASS</v>
      </c>
      <c r="E17" s="26"/>
      <c r="F17" s="26"/>
      <c r="G17" s="26"/>
      <c r="H17" s="26"/>
      <c r="I17" s="26"/>
      <c r="J17" s="26"/>
      <c r="K17" s="26"/>
      <c r="L17" s="26"/>
      <c r="M17" s="26"/>
      <c r="N17" s="26"/>
      <c r="O17" s="26"/>
      <c r="P17" s="26"/>
      <c r="Q17" s="26"/>
      <c r="R17" s="26"/>
      <c r="S17" s="26"/>
      <c r="T17" s="26"/>
      <c r="U17" s="26"/>
      <c r="V17" s="26"/>
      <c r="W17" s="26"/>
      <c r="X17" s="26"/>
      <c r="Y17" s="26"/>
      <c r="Z17" s="26"/>
    </row>
    <row r="18" spans="1:26" ht="21.75" customHeight="1" x14ac:dyDescent="0.3">
      <c r="A18" s="91" t="s">
        <v>593</v>
      </c>
      <c r="B18" s="93">
        <f>SUM('Experience Analysis'!D5:D10)-'Experience Analysis'!B48</f>
        <v>0</v>
      </c>
      <c r="C18" s="26" t="s">
        <v>594</v>
      </c>
      <c r="D18" s="349" t="str">
        <f>IFERROR(IF(B18=0,"PASS","FAIL"),"FAIL")</f>
        <v>PASS</v>
      </c>
      <c r="E18" s="26"/>
      <c r="F18" s="26"/>
      <c r="G18" s="26"/>
      <c r="H18" s="26"/>
      <c r="I18" s="26"/>
      <c r="J18" s="26"/>
      <c r="K18" s="26"/>
      <c r="L18" s="26"/>
      <c r="M18" s="26"/>
      <c r="N18" s="26"/>
      <c r="O18" s="26"/>
      <c r="P18" s="26"/>
      <c r="Q18" s="26"/>
      <c r="R18" s="26"/>
      <c r="S18" s="26"/>
      <c r="T18" s="26"/>
      <c r="U18" s="26"/>
      <c r="V18" s="26"/>
      <c r="W18" s="26"/>
      <c r="X18" s="26"/>
      <c r="Y18" s="26"/>
      <c r="Z18" s="26"/>
    </row>
    <row r="19" spans="1:26" ht="21.75" customHeight="1" x14ac:dyDescent="0.3">
      <c r="A19" s="91" t="s">
        <v>595</v>
      </c>
      <c r="B19" s="93">
        <f>SUM('Experience Analysis'!E5:E10)-'Experience Analysis'!B49</f>
        <v>0</v>
      </c>
      <c r="C19" s="26" t="s">
        <v>596</v>
      </c>
      <c r="D19" s="349" t="str">
        <f>IFERROR(IF(ABS(B19)&lt;0.00001,"PASS","FAIL"),"FAIL")</f>
        <v>PASS</v>
      </c>
      <c r="E19" s="26"/>
      <c r="F19" s="26"/>
      <c r="G19" s="26"/>
      <c r="H19" s="26"/>
      <c r="I19" s="26"/>
      <c r="J19" s="26"/>
      <c r="K19" s="26"/>
      <c r="L19" s="26"/>
      <c r="M19" s="26"/>
      <c r="N19" s="26"/>
      <c r="O19" s="26"/>
      <c r="P19" s="26"/>
      <c r="Q19" s="26"/>
      <c r="R19" s="26"/>
      <c r="S19" s="26"/>
      <c r="T19" s="26"/>
      <c r="U19" s="26"/>
      <c r="V19" s="26"/>
      <c r="W19" s="26"/>
      <c r="X19" s="26"/>
      <c r="Y19" s="26"/>
      <c r="Z19" s="26"/>
    </row>
    <row r="20" spans="1:26" ht="21.75" customHeight="1" x14ac:dyDescent="0.3">
      <c r="A20" s="91" t="s">
        <v>1034</v>
      </c>
      <c r="B20" s="93">
        <f>'Policy Calculations'!AI6-'Profit Testing'!B7</f>
        <v>1.0800249583553523E-12</v>
      </c>
      <c r="C20" s="26" t="s">
        <v>580</v>
      </c>
      <c r="D20" s="349" t="str">
        <f t="shared" ref="D20:D30" si="0">IFERROR(IF(ABS(B20)&lt;0.01,"PASS","FAIL"),"FAIL")</f>
        <v>PASS</v>
      </c>
      <c r="E20" s="26"/>
      <c r="F20" s="26"/>
      <c r="G20" s="26"/>
      <c r="H20" s="26"/>
      <c r="I20" s="26"/>
      <c r="J20" s="26"/>
      <c r="K20" s="26"/>
      <c r="L20" s="26"/>
      <c r="M20" s="26"/>
      <c r="N20" s="26"/>
      <c r="O20" s="26"/>
      <c r="P20" s="26"/>
      <c r="Q20" s="26"/>
      <c r="R20" s="26"/>
      <c r="S20" s="26"/>
      <c r="T20" s="26"/>
      <c r="U20" s="26"/>
      <c r="V20" s="26"/>
      <c r="W20" s="26"/>
      <c r="X20" s="26"/>
      <c r="Y20" s="26"/>
      <c r="Z20" s="26"/>
    </row>
    <row r="21" spans="1:26" ht="21.75" customHeight="1" x14ac:dyDescent="0.3">
      <c r="A21" s="91" t="s">
        <v>1035</v>
      </c>
      <c r="B21" s="93">
        <f>'Policy Calculations'!AH6-'Profit Testing'!B4</f>
        <v>0</v>
      </c>
      <c r="C21" s="26" t="s">
        <v>580</v>
      </c>
      <c r="D21" s="349" t="str">
        <f t="shared" si="0"/>
        <v>PASS</v>
      </c>
      <c r="E21" s="26"/>
      <c r="F21" s="26"/>
      <c r="G21" s="26"/>
      <c r="H21" s="26"/>
      <c r="I21" s="26"/>
      <c r="J21" s="26"/>
      <c r="K21" s="26"/>
      <c r="L21" s="26"/>
      <c r="M21" s="26"/>
      <c r="N21" s="26"/>
      <c r="O21" s="26"/>
      <c r="P21" s="26"/>
      <c r="Q21" s="26"/>
      <c r="R21" s="26"/>
      <c r="S21" s="26"/>
      <c r="T21" s="26"/>
      <c r="U21" s="26"/>
      <c r="V21" s="26"/>
      <c r="W21" s="26"/>
      <c r="X21" s="26"/>
      <c r="Y21" s="26"/>
      <c r="Z21" s="26"/>
    </row>
    <row r="22" spans="1:26" ht="21.75" customHeight="1" x14ac:dyDescent="0.3">
      <c r="A22" s="91" t="s">
        <v>1036</v>
      </c>
      <c r="B22" s="93">
        <f>'Policy Calculations'!AF6-'Premium Calculation'!B19</f>
        <v>0</v>
      </c>
      <c r="C22" s="26" t="s">
        <v>580</v>
      </c>
      <c r="D22" s="349" t="str">
        <f t="shared" si="0"/>
        <v>PASS</v>
      </c>
      <c r="E22" s="26"/>
      <c r="F22" s="26"/>
      <c r="G22" s="26"/>
      <c r="H22" s="26"/>
      <c r="I22" s="26"/>
      <c r="J22" s="26"/>
      <c r="K22" s="26"/>
      <c r="L22" s="26"/>
      <c r="M22" s="26"/>
      <c r="N22" s="26"/>
      <c r="O22" s="26"/>
      <c r="P22" s="26"/>
      <c r="Q22" s="26"/>
      <c r="R22" s="26"/>
      <c r="S22" s="26"/>
      <c r="T22" s="26"/>
      <c r="U22" s="26"/>
      <c r="V22" s="26"/>
      <c r="W22" s="26"/>
      <c r="X22" s="26"/>
      <c r="Y22" s="26"/>
      <c r="Z22" s="26"/>
    </row>
    <row r="23" spans="1:26" ht="21.75" customHeight="1" x14ac:dyDescent="0.3">
      <c r="A23" s="91" t="s">
        <v>1037</v>
      </c>
      <c r="B23" s="93">
        <f>'Policy Calculations'!AN6-Reinsurance!B11</f>
        <v>0</v>
      </c>
      <c r="C23" s="26" t="s">
        <v>580</v>
      </c>
      <c r="D23" s="349" t="str">
        <f t="shared" si="0"/>
        <v>PASS</v>
      </c>
      <c r="E23" s="26"/>
      <c r="F23" s="26"/>
      <c r="G23" s="26"/>
      <c r="H23" s="26"/>
      <c r="I23" s="26"/>
      <c r="J23" s="26"/>
      <c r="K23" s="26"/>
      <c r="L23" s="26"/>
      <c r="M23" s="26"/>
      <c r="N23" s="26"/>
      <c r="O23" s="26"/>
      <c r="P23" s="26"/>
      <c r="Q23" s="26"/>
      <c r="R23" s="26"/>
      <c r="S23" s="26"/>
      <c r="T23" s="26"/>
      <c r="U23" s="26"/>
      <c r="V23" s="26"/>
      <c r="W23" s="26"/>
      <c r="X23" s="26"/>
      <c r="Y23" s="26"/>
      <c r="Z23" s="26"/>
    </row>
    <row r="24" spans="1:26" ht="21.75" customHeight="1" x14ac:dyDescent="0.3">
      <c r="A24" s="91" t="s">
        <v>597</v>
      </c>
      <c r="B24" s="93">
        <f>'Policy Calculations'!AO6-Reinsurance!B12</f>
        <v>1.0800249583553523E-12</v>
      </c>
      <c r="C24" s="26" t="s">
        <v>580</v>
      </c>
      <c r="D24" s="349" t="str">
        <f t="shared" si="0"/>
        <v>PASS</v>
      </c>
      <c r="E24" s="26"/>
      <c r="F24" s="26"/>
      <c r="G24" s="26"/>
      <c r="H24" s="26"/>
      <c r="I24" s="26"/>
      <c r="J24" s="26"/>
      <c r="K24" s="26"/>
      <c r="L24" s="26"/>
      <c r="M24" s="26"/>
      <c r="N24" s="26"/>
      <c r="O24" s="26"/>
      <c r="P24" s="26"/>
      <c r="Q24" s="26"/>
      <c r="R24" s="26"/>
      <c r="S24" s="26"/>
      <c r="T24" s="26"/>
      <c r="U24" s="26"/>
      <c r="V24" s="26"/>
      <c r="W24" s="26"/>
      <c r="X24" s="26"/>
      <c r="Y24" s="26"/>
      <c r="Z24" s="26"/>
    </row>
    <row r="25" spans="1:26" ht="21.75" customHeight="1" x14ac:dyDescent="0.3">
      <c r="A25" s="91" t="s">
        <v>598</v>
      </c>
      <c r="B25" s="93">
        <f>'Portfolio Totals'!B8+'Portfolio Totals'!B9+'Portfolio Totals'!B10-'Portfolio Totals'!B6</f>
        <v>0</v>
      </c>
      <c r="C25" s="26" t="s">
        <v>580</v>
      </c>
      <c r="D25" s="349" t="str">
        <f t="shared" si="0"/>
        <v>PASS</v>
      </c>
      <c r="E25" s="26"/>
      <c r="F25" s="26"/>
      <c r="G25" s="26"/>
      <c r="H25" s="26"/>
      <c r="I25" s="26"/>
      <c r="J25" s="26"/>
      <c r="K25" s="26"/>
      <c r="L25" s="26"/>
      <c r="M25" s="26"/>
      <c r="N25" s="26"/>
      <c r="O25" s="26"/>
      <c r="P25" s="26"/>
      <c r="Q25" s="26"/>
      <c r="R25" s="26"/>
      <c r="S25" s="26"/>
      <c r="T25" s="26"/>
      <c r="U25" s="26"/>
      <c r="V25" s="26"/>
      <c r="W25" s="26"/>
      <c r="X25" s="26"/>
      <c r="Y25" s="26"/>
      <c r="Z25" s="26"/>
    </row>
    <row r="26" spans="1:26" ht="21.75" customHeight="1" x14ac:dyDescent="0.3">
      <c r="A26" s="91" t="s">
        <v>1038</v>
      </c>
      <c r="B26" s="93">
        <f>ABS('Portfolio Analysis'!K22)+ABS('Portfolio Analysis'!K31)+ABS('Portfolio Analysis'!K37)+ABS('Portfolio Analysis'!K43)+ABS('Portfolio Analysis'!K50)+ABS('Portfolio Analysis'!K58)+ABS('Portfolio Analysis'!K64)+ABS('Portfolio Analysis'!K72)</f>
        <v>0</v>
      </c>
      <c r="C26" s="26" t="s">
        <v>580</v>
      </c>
      <c r="D26" s="349" t="str">
        <f t="shared" si="0"/>
        <v>PASS</v>
      </c>
      <c r="E26" s="26"/>
      <c r="F26" s="26"/>
      <c r="G26" s="26"/>
      <c r="H26" s="26"/>
      <c r="I26" s="26"/>
      <c r="J26" s="26"/>
      <c r="K26" s="26"/>
      <c r="L26" s="26"/>
      <c r="M26" s="26"/>
      <c r="N26" s="26"/>
      <c r="O26" s="26"/>
      <c r="P26" s="26"/>
      <c r="Q26" s="26"/>
      <c r="R26" s="26"/>
      <c r="S26" s="26"/>
      <c r="T26" s="26"/>
      <c r="U26" s="26"/>
      <c r="V26" s="26"/>
      <c r="W26" s="26"/>
      <c r="X26" s="26"/>
      <c r="Y26" s="26"/>
      <c r="Z26" s="26"/>
    </row>
    <row r="27" spans="1:26" ht="21.75" customHeight="1" x14ac:dyDescent="0.3">
      <c r="A27" s="91" t="s">
        <v>1039</v>
      </c>
      <c r="B27" s="93">
        <f>'Portfolio Totals'!I12</f>
        <v>0</v>
      </c>
      <c r="C27" s="26" t="s">
        <v>580</v>
      </c>
      <c r="D27" s="349" t="str">
        <f t="shared" si="0"/>
        <v>PASS</v>
      </c>
      <c r="E27" s="26"/>
      <c r="F27" s="26"/>
      <c r="G27" s="26"/>
      <c r="H27" s="26"/>
      <c r="I27" s="26"/>
      <c r="J27" s="26"/>
      <c r="K27" s="26"/>
      <c r="L27" s="26"/>
      <c r="M27" s="26"/>
      <c r="N27" s="26"/>
      <c r="O27" s="26"/>
      <c r="P27" s="26"/>
      <c r="Q27" s="26"/>
      <c r="R27" s="26"/>
      <c r="S27" s="26"/>
      <c r="T27" s="26"/>
      <c r="U27" s="26"/>
      <c r="V27" s="26"/>
      <c r="W27" s="26"/>
      <c r="X27" s="26"/>
      <c r="Y27" s="26"/>
      <c r="Z27" s="26"/>
    </row>
    <row r="28" spans="1:26" ht="21.75" customHeight="1" x14ac:dyDescent="0.3">
      <c r="A28" s="91" t="s">
        <v>1040</v>
      </c>
      <c r="B28" s="93">
        <f>'Assumption Review'!D36-SUMIFS('Experience Analysis'!D14:D41,'Experience Analysis'!B14:B41,"Term Life")</f>
        <v>0</v>
      </c>
      <c r="C28" s="26" t="s">
        <v>580</v>
      </c>
      <c r="D28" s="349" t="str">
        <f t="shared" si="0"/>
        <v>PASS</v>
      </c>
      <c r="E28" s="26"/>
      <c r="F28" s="26"/>
      <c r="G28" s="26"/>
      <c r="H28" s="26"/>
      <c r="I28" s="26"/>
      <c r="J28" s="26"/>
      <c r="K28" s="26"/>
      <c r="L28" s="26"/>
      <c r="M28" s="26"/>
      <c r="N28" s="26"/>
      <c r="O28" s="26"/>
      <c r="P28" s="26"/>
      <c r="Q28" s="26"/>
      <c r="R28" s="26"/>
      <c r="S28" s="26"/>
      <c r="T28" s="26"/>
      <c r="U28" s="26"/>
      <c r="V28" s="26"/>
      <c r="W28" s="26"/>
      <c r="X28" s="26"/>
      <c r="Y28" s="26"/>
      <c r="Z28" s="26"/>
    </row>
    <row r="29" spans="1:26" ht="21.75" customHeight="1" x14ac:dyDescent="0.3">
      <c r="A29" s="91" t="s">
        <v>1041</v>
      </c>
      <c r="B29" s="93">
        <f>IF(AND('Assumption Review'!B20&gt;=0,'Assumption Review'!B20&lt;=1,'Assumption Review'!B42&gt;=0,'Assumption Review'!B42&lt;=1),0,1)</f>
        <v>0</v>
      </c>
      <c r="C29" s="26" t="s">
        <v>580</v>
      </c>
      <c r="D29" s="349" t="str">
        <f t="shared" si="0"/>
        <v>PASS</v>
      </c>
      <c r="E29" s="26"/>
      <c r="F29" s="26"/>
      <c r="G29" s="26"/>
      <c r="H29" s="26"/>
      <c r="I29" s="26"/>
      <c r="J29" s="26"/>
      <c r="K29" s="26"/>
      <c r="L29" s="26"/>
      <c r="M29" s="26"/>
      <c r="N29" s="26"/>
      <c r="O29" s="26"/>
      <c r="P29" s="26"/>
      <c r="Q29" s="26"/>
      <c r="R29" s="26"/>
      <c r="S29" s="26"/>
      <c r="T29" s="26"/>
      <c r="U29" s="26"/>
      <c r="V29" s="26"/>
      <c r="W29" s="26"/>
      <c r="X29" s="26"/>
      <c r="Y29" s="26"/>
      <c r="Z29" s="26"/>
    </row>
    <row r="30" spans="1:26" ht="21.75" customHeight="1" x14ac:dyDescent="0.3">
      <c r="A30" s="91" t="s">
        <v>599</v>
      </c>
      <c r="B30" s="93">
        <f>Cashflows!J4-Cashflows!E4*('Premium Calculation'!B32+Assumptions!C24)</f>
        <v>0</v>
      </c>
      <c r="C30" s="26" t="s">
        <v>580</v>
      </c>
      <c r="D30" s="349" t="str">
        <f t="shared" si="0"/>
        <v>PASS</v>
      </c>
      <c r="E30" s="26"/>
      <c r="F30" s="26"/>
      <c r="G30" s="26"/>
      <c r="H30" s="26"/>
      <c r="I30" s="26"/>
      <c r="J30" s="26"/>
      <c r="K30" s="26"/>
      <c r="L30" s="26"/>
      <c r="M30" s="26"/>
      <c r="N30" s="26"/>
      <c r="O30" s="26"/>
      <c r="P30" s="26"/>
      <c r="Q30" s="26"/>
      <c r="R30" s="26"/>
      <c r="S30" s="26"/>
      <c r="T30" s="26"/>
      <c r="U30" s="26"/>
      <c r="V30" s="26"/>
      <c r="W30" s="26"/>
      <c r="X30" s="26"/>
      <c r="Y30" s="26"/>
      <c r="Z30" s="26"/>
    </row>
    <row r="31" spans="1:26" ht="21.75" customHeight="1" x14ac:dyDescent="0.3">
      <c r="A31" s="91" t="s">
        <v>1042</v>
      </c>
      <c r="B31" s="93">
        <f>SUMPRODUCT('IFRS 17 VFA'!I23:I62,'IFRS 17 VFA'!I23:I62)</f>
        <v>0</v>
      </c>
      <c r="C31" s="26" t="s">
        <v>588</v>
      </c>
      <c r="D31" s="349" t="str">
        <f>IFERROR(IF(ABS(B31)&lt;0.0001,"PASS","FAIL"),"FAIL")</f>
        <v>PASS</v>
      </c>
      <c r="E31" s="26"/>
      <c r="F31" s="26"/>
      <c r="G31" s="26"/>
      <c r="H31" s="26"/>
      <c r="I31" s="26"/>
      <c r="J31" s="26"/>
      <c r="K31" s="26"/>
      <c r="L31" s="26"/>
      <c r="M31" s="26"/>
      <c r="N31" s="26"/>
      <c r="O31" s="26"/>
      <c r="P31" s="26"/>
      <c r="Q31" s="26"/>
      <c r="R31" s="26"/>
      <c r="S31" s="26"/>
      <c r="T31" s="26"/>
      <c r="U31" s="26"/>
      <c r="V31" s="26"/>
      <c r="W31" s="26"/>
      <c r="X31" s="26"/>
      <c r="Y31" s="26"/>
      <c r="Z31" s="26"/>
    </row>
    <row r="32" spans="1:26" ht="21.75" customHeight="1" x14ac:dyDescent="0.3">
      <c r="A32" s="91" t="s">
        <v>600</v>
      </c>
      <c r="B32" s="93">
        <f>'IFRS 17 VFA'!H62</f>
        <v>0</v>
      </c>
      <c r="C32" s="26" t="s">
        <v>580</v>
      </c>
      <c r="D32" s="349" t="str">
        <f>IFERROR(IF(ABS(B32)&lt;0.01,"PASS","FAIL"),"FAIL")</f>
        <v>PASS</v>
      </c>
      <c r="E32" s="26"/>
      <c r="F32" s="26"/>
      <c r="G32" s="26"/>
      <c r="H32" s="26"/>
      <c r="I32" s="26"/>
      <c r="J32" s="26"/>
      <c r="K32" s="26"/>
      <c r="L32" s="26"/>
      <c r="M32" s="26"/>
      <c r="N32" s="26"/>
      <c r="O32" s="26"/>
      <c r="P32" s="26"/>
      <c r="Q32" s="26"/>
      <c r="R32" s="26"/>
      <c r="S32" s="26"/>
      <c r="T32" s="26"/>
      <c r="U32" s="26"/>
      <c r="V32" s="26"/>
      <c r="W32" s="26"/>
      <c r="X32" s="26"/>
      <c r="Y32" s="26"/>
      <c r="Z32" s="26"/>
    </row>
    <row r="33" spans="1:26" ht="21.75" customHeight="1" x14ac:dyDescent="0.3">
      <c r="A33" s="91" t="s">
        <v>601</v>
      </c>
      <c r="B33" s="93">
        <f>'Results Summary'!E5-'Profit Testing'!B7</f>
        <v>0</v>
      </c>
      <c r="C33" s="26" t="s">
        <v>580</v>
      </c>
      <c r="D33" s="349" t="str">
        <f>IFERROR(IF(ABS(B33)&lt;0.01,"PASS","FAIL"),"FAIL")</f>
        <v>PASS</v>
      </c>
      <c r="E33" s="26"/>
      <c r="F33" s="26"/>
      <c r="G33" s="26"/>
      <c r="H33" s="26"/>
      <c r="I33" s="26"/>
      <c r="J33" s="26"/>
      <c r="K33" s="26"/>
      <c r="L33" s="26"/>
      <c r="M33" s="26"/>
      <c r="N33" s="26"/>
      <c r="O33" s="26"/>
      <c r="P33" s="26"/>
      <c r="Q33" s="26"/>
      <c r="R33" s="26"/>
      <c r="S33" s="26"/>
      <c r="T33" s="26"/>
      <c r="U33" s="26"/>
      <c r="V33" s="26"/>
      <c r="W33" s="26"/>
      <c r="X33" s="26"/>
      <c r="Y33" s="26"/>
      <c r="Z33" s="26"/>
    </row>
    <row r="34" spans="1:26" ht="21.75" customHeight="1" x14ac:dyDescent="0.3">
      <c r="A34" s="91" t="s">
        <v>602</v>
      </c>
      <c r="B34" s="93">
        <f>'Results Summary'!E8-'Portfolio Totals'!B14</f>
        <v>0</v>
      </c>
      <c r="C34" s="26" t="s">
        <v>580</v>
      </c>
      <c r="D34" s="349" t="str">
        <f>IFERROR(IF(ABS(B34)&lt;0.01,"PASS","FAIL"),"FAIL")</f>
        <v>PASS</v>
      </c>
      <c r="E34" s="26"/>
      <c r="F34" s="26"/>
      <c r="G34" s="26"/>
      <c r="H34" s="26"/>
      <c r="I34" s="26"/>
      <c r="J34" s="26"/>
      <c r="K34" s="26"/>
      <c r="L34" s="26"/>
      <c r="M34" s="26"/>
      <c r="N34" s="26"/>
      <c r="O34" s="26"/>
      <c r="P34" s="26"/>
      <c r="Q34" s="26"/>
      <c r="R34" s="26"/>
      <c r="S34" s="26"/>
      <c r="T34" s="26"/>
      <c r="U34" s="26"/>
      <c r="V34" s="26"/>
      <c r="W34" s="26"/>
      <c r="X34" s="26"/>
      <c r="Y34" s="26"/>
      <c r="Z34" s="26"/>
    </row>
    <row r="35" spans="1:26" ht="21.75" customHeight="1" x14ac:dyDescent="0.3">
      <c r="A35" s="91" t="s">
        <v>603</v>
      </c>
      <c r="B35" s="93">
        <f>'Results Summary'!I8-'Experience Analysis'!B50</f>
        <v>0</v>
      </c>
      <c r="C35" s="26" t="s">
        <v>604</v>
      </c>
      <c r="D35" s="349" t="str">
        <f>IFERROR(IF(ABS(B35)&lt;0.000001,"PASS","FAIL"),"FAIL")</f>
        <v>PASS</v>
      </c>
      <c r="E35" s="26"/>
      <c r="F35" s="26"/>
      <c r="G35" s="26"/>
      <c r="H35" s="26"/>
      <c r="I35" s="26"/>
      <c r="J35" s="26"/>
      <c r="K35" s="26"/>
      <c r="L35" s="26"/>
      <c r="M35" s="26"/>
      <c r="N35" s="26"/>
      <c r="O35" s="26"/>
      <c r="P35" s="26"/>
      <c r="Q35" s="26"/>
      <c r="R35" s="26"/>
      <c r="S35" s="26"/>
      <c r="T35" s="26"/>
      <c r="U35" s="26"/>
      <c r="V35" s="26"/>
      <c r="W35" s="26"/>
      <c r="X35" s="26"/>
      <c r="Y35" s="26"/>
      <c r="Z35" s="26"/>
    </row>
    <row r="36" spans="1:26" ht="21.75" customHeight="1" x14ac:dyDescent="0.3">
      <c r="A36" s="91" t="s">
        <v>605</v>
      </c>
      <c r="B36" s="93">
        <f>MIN('Policy Calculations'!AU6:CH279)</f>
        <v>0</v>
      </c>
      <c r="C36" s="26" t="s">
        <v>582</v>
      </c>
      <c r="D36" s="349" t="str">
        <f>IFERROR(IF(B36&gt;=0,"PASS","FAIL"),"FAIL")</f>
        <v>PASS</v>
      </c>
      <c r="E36" s="26"/>
      <c r="F36" s="26"/>
      <c r="G36" s="26"/>
      <c r="H36" s="26"/>
      <c r="I36" s="26"/>
      <c r="J36" s="26"/>
      <c r="K36" s="26"/>
      <c r="L36" s="26"/>
      <c r="M36" s="26"/>
      <c r="N36" s="26"/>
      <c r="O36" s="26"/>
      <c r="P36" s="26"/>
      <c r="Q36" s="26"/>
      <c r="R36" s="26"/>
      <c r="S36" s="26"/>
      <c r="T36" s="26"/>
      <c r="U36" s="26"/>
      <c r="V36" s="26"/>
      <c r="W36" s="26"/>
      <c r="X36" s="26"/>
      <c r="Y36" s="26"/>
      <c r="Z36" s="26"/>
    </row>
    <row r="37" spans="1:26" ht="21.75" customHeight="1" x14ac:dyDescent="0.3">
      <c r="A37" s="91" t="s">
        <v>606</v>
      </c>
      <c r="B37" s="93">
        <f>MAX('Policy Calculations'!AU6:CH279)</f>
        <v>3.9726939487275001E-2</v>
      </c>
      <c r="C37" s="26" t="s">
        <v>584</v>
      </c>
      <c r="D37" s="349" t="str">
        <f>IFERROR(IF(B37&lt;=1,"PASS","FAIL"),"FAIL")</f>
        <v>PASS</v>
      </c>
      <c r="E37" s="26"/>
      <c r="F37" s="26"/>
      <c r="G37" s="26"/>
      <c r="H37" s="26"/>
      <c r="I37" s="26"/>
      <c r="J37" s="26"/>
      <c r="K37" s="26"/>
      <c r="L37" s="26"/>
      <c r="M37" s="26"/>
      <c r="N37" s="26"/>
      <c r="O37" s="26"/>
      <c r="P37" s="26"/>
      <c r="Q37" s="26"/>
      <c r="R37" s="26"/>
      <c r="S37" s="26"/>
      <c r="T37" s="26"/>
      <c r="U37" s="26"/>
      <c r="V37" s="26"/>
      <c r="W37" s="26"/>
      <c r="X37" s="26"/>
      <c r="Y37" s="26"/>
      <c r="Z37" s="26"/>
    </row>
    <row r="38" spans="1:26" ht="21.75" customHeight="1" x14ac:dyDescent="0.3">
      <c r="A38" s="91" t="s">
        <v>607</v>
      </c>
      <c r="B38" s="26">
        <f>0+SUMPRODUCT(--ISERROR('Results Summary'!A1:M135))+SUMPRODUCT(--ISERROR('Pricing Calculator'!A1:Y95))+SUMPRODUCT(--ISERROR('Portfolio Totals'!A1:Y92))+SUMPRODUCT(--ISERROR('Portfolio Analysis'!A1:Y91))+SUMPRODUCT(--ISERROR(Sensitivities!A1:Z95))+SUMPRODUCT(--ISERROR('Assumption Review'!A1:Z93))+SUMPRODUCT(--ISERROR(Assumptions!A1:Z95))+SUMPRODUCT(--ISERROR(Mortality!A1:Z95))+SUMPRODUCT(--ISERROR('Policy Data'!A1:Z253))+SUMPRODUCT(--ISERROR('Premium Calculation'!A1:Z95))+SUMPRODUCT(--ISERROR('Unit-Linked'!A1:Z95))+SUMPRODUCT(--ISERROR(Cashflows!A1:Z95))+SUMPRODUCT(--ISERROR(Reinsurance!A1:Z95))+SUMPRODUCT(--ISERROR('Profit Testing'!A1:Z95))+SUMPRODUCT(--ISERROR('Policy Calculations'!A1:ED279))+SUMPRODUCT(--ISERROR('Experience Analysis'!A1:Z96))+SUMPRODUCT(--ISERROR('IFRS 17 GMM'!A1:Z95))+SUMPRODUCT(--ISERROR('IFRS 17 VFA'!A1:I95))</f>
        <v>0</v>
      </c>
      <c r="C38" s="26" t="s">
        <v>594</v>
      </c>
      <c r="D38" s="349" t="str">
        <f>IFERROR(IF(B38=0,"PASS","FAIL"),"FAIL")</f>
        <v>PASS</v>
      </c>
      <c r="E38" s="26"/>
      <c r="F38" s="26"/>
      <c r="G38" s="26"/>
      <c r="H38" s="26"/>
      <c r="I38" s="26"/>
      <c r="J38" s="26"/>
      <c r="K38" s="26"/>
      <c r="L38" s="26"/>
      <c r="M38" s="26"/>
      <c r="N38" s="26"/>
      <c r="O38" s="26"/>
      <c r="P38" s="26"/>
      <c r="Q38" s="26"/>
      <c r="R38" s="26"/>
      <c r="S38" s="26"/>
      <c r="T38" s="26"/>
      <c r="U38" s="26"/>
      <c r="V38" s="26"/>
      <c r="W38" s="26"/>
      <c r="X38" s="26"/>
      <c r="Y38" s="26"/>
      <c r="Z38" s="26"/>
    </row>
    <row r="39" spans="1:26" ht="21.75" customHeight="1" x14ac:dyDescent="0.3">
      <c r="A39" s="91" t="s">
        <v>1043</v>
      </c>
      <c r="B39" s="26">
        <f>COUNT('Portfolio Analysis'!B80:B89)-MIN(10,'Portfolio Totals'!B8)</f>
        <v>0</v>
      </c>
      <c r="C39" s="26" t="s">
        <v>594</v>
      </c>
      <c r="D39" s="103" t="str">
        <f>IF(B39=0,"PASS","FAIL")</f>
        <v>PASS</v>
      </c>
      <c r="E39" s="26"/>
      <c r="F39" s="26"/>
      <c r="G39" s="26"/>
      <c r="H39" s="26"/>
      <c r="I39" s="26"/>
      <c r="J39" s="26"/>
      <c r="K39" s="26"/>
      <c r="L39" s="26"/>
      <c r="M39" s="26"/>
      <c r="N39" s="26"/>
      <c r="O39" s="26"/>
      <c r="P39" s="26"/>
      <c r="Q39" s="26"/>
      <c r="R39" s="26"/>
      <c r="S39" s="26"/>
      <c r="T39" s="26"/>
      <c r="U39" s="26"/>
      <c r="V39" s="26"/>
      <c r="W39" s="26"/>
      <c r="X39" s="26"/>
      <c r="Y39" s="26"/>
      <c r="Z39" s="26"/>
    </row>
    <row r="40" spans="1:26" ht="21.75" customHeight="1" thickBot="1" x14ac:dyDescent="0.35">
      <c r="A40" s="95" t="s">
        <v>608</v>
      </c>
      <c r="B40" s="110" t="str">
        <f>IF(COUNTIF(D4:D39,"PASS")=36,"PASS","FAIL")</f>
        <v>PASS</v>
      </c>
      <c r="C40" s="110"/>
      <c r="D40" s="111"/>
      <c r="E40" s="26"/>
      <c r="F40" s="26"/>
      <c r="G40" s="26"/>
      <c r="H40" s="26"/>
      <c r="I40" s="26"/>
      <c r="J40" s="26"/>
      <c r="K40" s="26"/>
      <c r="L40" s="26"/>
      <c r="M40" s="26"/>
      <c r="N40" s="26"/>
      <c r="O40" s="26"/>
      <c r="P40" s="26"/>
      <c r="Q40" s="26"/>
      <c r="R40" s="26"/>
      <c r="S40" s="26"/>
      <c r="T40" s="26"/>
      <c r="U40" s="26"/>
      <c r="V40" s="26"/>
      <c r="W40" s="26"/>
      <c r="X40" s="26"/>
      <c r="Y40" s="26"/>
      <c r="Z40" s="26"/>
    </row>
    <row r="41" spans="1:26"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x14ac:dyDescent="0.3">
      <c r="A42" s="220"/>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sheetData>
  <conditionalFormatting sqref="D4:D10">
    <cfRule type="expression" dxfId="8" priority="2">
      <formula>D4="FAIL"</formula>
    </cfRule>
    <cfRule type="expression" dxfId="7" priority="3">
      <formula>D4="PASS"</formula>
    </cfRule>
  </conditionalFormatting>
  <conditionalFormatting sqref="D4:D20">
    <cfRule type="containsText" dxfId="6" priority="4" operator="containsText" text="FAIL">
      <formula>NOT(ISERROR(SEARCH("FAIL",D4)))</formula>
    </cfRule>
  </conditionalFormatting>
  <conditionalFormatting sqref="D4:D38">
    <cfRule type="containsText" dxfId="5" priority="10" operator="containsText" text="FAIL"/>
  </conditionalFormatting>
  <conditionalFormatting sqref="D4:D48">
    <cfRule type="cellIs" dxfId="4" priority="5" operator="equal">
      <formula>"PASS"</formula>
    </cfRule>
    <cfRule type="cellIs" dxfId="3" priority="6" operator="equal">
      <formula>"FAIL"</formula>
    </cfRule>
    <cfRule type="cellIs" dxfId="2" priority="7" operator="equal">
      <formula>"INFO"</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C41"/>
  <sheetViews>
    <sheetView topLeftCell="A8" zoomScaleNormal="100" workbookViewId="0">
      <selection activeCell="E19" sqref="E19"/>
    </sheetView>
  </sheetViews>
  <sheetFormatPr defaultColWidth="8.6328125" defaultRowHeight="13" x14ac:dyDescent="0.3"/>
  <cols>
    <col min="1" max="1" width="44" style="5" customWidth="1"/>
    <col min="2" max="2" width="18" style="5" customWidth="1"/>
    <col min="3" max="3" width="50" style="5" customWidth="1"/>
    <col min="4" max="4" width="8" style="5" customWidth="1"/>
    <col min="5" max="5" width="22" style="5" customWidth="1"/>
    <col min="6" max="6" width="12" style="5" customWidth="1"/>
    <col min="7" max="9" width="16" style="5" customWidth="1"/>
    <col min="10" max="14" width="14" style="5" customWidth="1"/>
    <col min="15" max="15" width="12" style="5" customWidth="1"/>
    <col min="16" max="16384" width="8.6328125" style="5"/>
  </cols>
  <sheetData>
    <row r="1" spans="1:133" ht="28" customHeight="1" x14ac:dyDescent="0.45">
      <c r="A1" s="23" t="s">
        <v>609</v>
      </c>
      <c r="B1" s="23"/>
      <c r="C1" s="23"/>
      <c r="D1" s="23"/>
      <c r="E1" s="23"/>
      <c r="F1" s="23"/>
      <c r="G1" s="23"/>
      <c r="H1" s="23"/>
      <c r="I1" s="23"/>
      <c r="J1" s="23"/>
      <c r="K1" s="23"/>
      <c r="L1" s="23"/>
      <c r="M1" s="23"/>
      <c r="N1" s="23"/>
      <c r="O1" s="23"/>
      <c r="P1" s="143"/>
      <c r="Q1" s="143"/>
      <c r="R1" s="143"/>
      <c r="S1" s="143"/>
      <c r="T1" s="143"/>
      <c r="U1" s="143"/>
      <c r="V1" s="143"/>
      <c r="W1" s="143"/>
      <c r="X1" s="143"/>
      <c r="Y1" s="143"/>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row>
    <row r="2" spans="1:133" ht="15" customHeight="1" x14ac:dyDescent="0.3">
      <c r="A2" s="479" t="s">
        <v>1044</v>
      </c>
      <c r="B2" s="480"/>
      <c r="C2" s="480"/>
      <c r="D2" s="480"/>
      <c r="E2" s="480"/>
      <c r="F2" s="480"/>
      <c r="G2" s="480"/>
      <c r="H2" s="480"/>
      <c r="I2" s="480"/>
      <c r="J2" s="480"/>
      <c r="K2" s="480"/>
      <c r="L2" s="480"/>
      <c r="M2" s="64"/>
      <c r="N2" s="64"/>
      <c r="O2" s="64"/>
    </row>
    <row r="3" spans="1:133" ht="14.5" customHeight="1" x14ac:dyDescent="0.3">
      <c r="M3" s="26"/>
      <c r="N3" s="26"/>
      <c r="O3" s="26"/>
    </row>
    <row r="4" spans="1:133" ht="13.5" thickBot="1" x14ac:dyDescent="0.35">
      <c r="A4" s="350"/>
      <c r="B4" s="26"/>
      <c r="C4" s="26"/>
      <c r="D4" s="26"/>
      <c r="E4" s="26"/>
      <c r="F4" s="26"/>
      <c r="G4" s="26"/>
      <c r="H4" s="26"/>
      <c r="I4" s="26"/>
      <c r="J4" s="26"/>
      <c r="K4" s="26"/>
      <c r="L4" s="26"/>
      <c r="M4" s="26"/>
      <c r="N4" s="26"/>
      <c r="O4" s="26"/>
    </row>
    <row r="5" spans="1:133" ht="13.5" thickBot="1" x14ac:dyDescent="0.35">
      <c r="A5" s="369" t="s">
        <v>40</v>
      </c>
      <c r="B5" s="361" t="s">
        <v>41</v>
      </c>
      <c r="C5" s="360" t="s">
        <v>42</v>
      </c>
      <c r="D5" s="26"/>
      <c r="E5" s="358" t="s">
        <v>43</v>
      </c>
      <c r="F5" s="359" t="s">
        <v>44</v>
      </c>
      <c r="G5" s="359" t="s">
        <v>45</v>
      </c>
      <c r="H5" s="359" t="s">
        <v>46</v>
      </c>
      <c r="I5" s="360" t="s">
        <v>47</v>
      </c>
      <c r="J5" s="26"/>
      <c r="K5" s="26"/>
      <c r="L5" s="26"/>
      <c r="M5" s="26"/>
      <c r="N5" s="26"/>
      <c r="O5" s="26"/>
    </row>
    <row r="6" spans="1:133" x14ac:dyDescent="0.3">
      <c r="A6" s="265" t="s">
        <v>1045</v>
      </c>
      <c r="B6" s="362">
        <f>COUNTA('Policy Calculations'!$A$30:$A$279)</f>
        <v>250</v>
      </c>
      <c r="C6" s="259"/>
      <c r="D6" s="26"/>
      <c r="E6" s="245" t="s">
        <v>48</v>
      </c>
      <c r="F6" s="173">
        <f>COUNTIFS('Policy Calculations'!$AJ$30:$AJ$279,"&lt;-0.5",'Policy Calculations'!$T$30:$T$279,1)</f>
        <v>1</v>
      </c>
      <c r="G6" s="174">
        <f>SUMIFS('Policy Calculations'!$M$30:$M$279,'Policy Calculations'!$AJ$30:$AJ$279,"&lt;-0.5",'Policy Calculations'!$T$30:$T$279,1)</f>
        <v>1699.41</v>
      </c>
      <c r="H6" s="174">
        <f>SUMIFS('Policy Calculations'!$AH$30:$AH$279,'Policy Calculations'!$AJ$30:$AJ$279,"&lt;-0.5",'Policy Calculations'!$T$30:$T$279,1)</f>
        <v>15346.779704548322</v>
      </c>
      <c r="I6" s="313">
        <f>SUMIFS('Policy Calculations'!$AI$30:$AI$279,'Policy Calculations'!$AJ$30:$AJ$279,"&lt;-0.5",'Policy Calculations'!$T$30:$T$279,1)</f>
        <v>-7821.7159067615012</v>
      </c>
      <c r="J6" s="26"/>
      <c r="K6" s="26"/>
      <c r="L6" s="26"/>
      <c r="M6" s="26"/>
      <c r="N6" s="26"/>
      <c r="O6" s="26"/>
    </row>
    <row r="7" spans="1:133" x14ac:dyDescent="0.3">
      <c r="A7" s="266" t="s">
        <v>49</v>
      </c>
      <c r="B7" s="363">
        <f>COUNTIF('Policy Calculations'!$C$30:$C$279,"Term Life")</f>
        <v>183</v>
      </c>
      <c r="C7" s="255"/>
      <c r="D7" s="26"/>
      <c r="E7" s="31" t="s">
        <v>50</v>
      </c>
      <c r="F7" s="146">
        <f>COUNTIFS('Policy Calculations'!$AJ$30:$AJ$279,"&gt;=-0.5",'Policy Calculations'!$AJ$30:$AJ$279,"&lt;-0.2",'Policy Calculations'!$T$30:$T$279,1)</f>
        <v>25</v>
      </c>
      <c r="G7" s="147">
        <f>SUMIFS('Policy Calculations'!$M$30:$M$279,'Policy Calculations'!$AJ$30:$AJ$279,"&gt;=-0.5",'Policy Calculations'!$AJ$30:$AJ$279,"&lt;-0.2",'Policy Calculations'!$T$30:$T$279,1)</f>
        <v>58414.529999999992</v>
      </c>
      <c r="H7" s="147">
        <f>SUMIFS('Policy Calculations'!$AH$30:$AH$279,'Policy Calculations'!$AJ$30:$AJ$279,"&gt;=-0.5",'Policy Calculations'!$AJ$30:$AJ$279,"&lt;-0.2",'Policy Calculations'!$T$30:$T$279,1)</f>
        <v>468921.76049408998</v>
      </c>
      <c r="I7" s="311">
        <f>SUMIFS('Policy Calculations'!$AI$30:$AI$279,'Policy Calculations'!$AJ$30:$AJ$279,"&gt;=-0.5",'Policy Calculations'!$AJ$30:$AJ$279,"&lt;-0.2",'Policy Calculations'!$T$30:$T$279,1)</f>
        <v>-156344.40021922207</v>
      </c>
      <c r="J7" s="26"/>
      <c r="K7" s="26"/>
      <c r="L7" s="26"/>
      <c r="M7" s="26"/>
      <c r="N7" s="26"/>
      <c r="O7" s="26"/>
    </row>
    <row r="8" spans="1:133" x14ac:dyDescent="0.3">
      <c r="A8" s="266" t="s">
        <v>1046</v>
      </c>
      <c r="B8" s="363">
        <f>SUM('Policy Calculations'!$T$30:$T$279)</f>
        <v>169</v>
      </c>
      <c r="C8" s="255" t="s">
        <v>51</v>
      </c>
      <c r="D8" s="26"/>
      <c r="E8" s="31" t="s">
        <v>52</v>
      </c>
      <c r="F8" s="146">
        <f>COUNTIFS('Policy Calculations'!$AJ$30:$AJ$279,"&gt;=-0.2",'Policy Calculations'!$AJ$30:$AJ$279,"&lt;0",'Policy Calculations'!$T$30:$T$279,1)</f>
        <v>39</v>
      </c>
      <c r="G8" s="147">
        <f>SUMIFS('Policy Calculations'!$M$30:$M$279,'Policy Calculations'!$AJ$30:$AJ$279,"&gt;=-0.2",'Policy Calculations'!$AJ$30:$AJ$279,"&lt;0",'Policy Calculations'!$T$30:$T$279,1)</f>
        <v>83425.939999999988</v>
      </c>
      <c r="H8" s="147">
        <f>SUMIFS('Policy Calculations'!$AH$30:$AH$279,'Policy Calculations'!$AJ$30:$AJ$279,"&gt;=-0.2",'Policy Calculations'!$AJ$30:$AJ$279,"&lt;0",'Policy Calculations'!$T$30:$T$279,1)</f>
        <v>596661.67094567977</v>
      </c>
      <c r="I8" s="311">
        <f>SUMIFS('Policy Calculations'!$AI$30:$AI$279,'Policy Calculations'!$AJ$30:$AJ$279,"&gt;=-0.2",'Policy Calculations'!$AJ$30:$AJ$279,"&lt;0",'Policy Calculations'!$T$30:$T$279,1)</f>
        <v>-55029.655951786481</v>
      </c>
      <c r="J8" s="26"/>
      <c r="K8" s="26"/>
      <c r="L8" s="26"/>
      <c r="M8" s="26"/>
      <c r="N8" s="26"/>
      <c r="O8" s="26"/>
    </row>
    <row r="9" spans="1:133" x14ac:dyDescent="0.3">
      <c r="A9" s="266" t="s">
        <v>1047</v>
      </c>
      <c r="B9" s="363">
        <f>COUNTIF('Policy Calculations'!$C$30:$C$279,"Unit-Linked")</f>
        <v>67</v>
      </c>
      <c r="C9" s="255" t="s">
        <v>610</v>
      </c>
      <c r="D9" s="26"/>
      <c r="E9" s="31" t="s">
        <v>53</v>
      </c>
      <c r="F9" s="146">
        <f>COUNTIFS('Policy Calculations'!$AJ$30:$AJ$279,"&gt;=0",'Policy Calculations'!$AJ$30:$AJ$279,"&lt;"&amp;(Assumptions!$C$16-0.00001),'Policy Calculations'!$T$30:$T$279,1)</f>
        <v>19</v>
      </c>
      <c r="G9" s="147">
        <f>SUMIFS('Policy Calculations'!$M$30:$M$279,'Policy Calculations'!$AJ$30:$AJ$279,"&gt;=0",'Policy Calculations'!$AJ$30:$AJ$279,"&lt;"&amp;(Assumptions!$C$16-0.00001),'Policy Calculations'!$T$30:$T$279,1)</f>
        <v>31065.46</v>
      </c>
      <c r="H9" s="147">
        <f>SUMIFS('Policy Calculations'!$AH$30:$AH$279,'Policy Calculations'!$AJ$30:$AJ$279,"&gt;=0",'Policy Calculations'!$AJ$30:$AJ$279,"&lt;"&amp;(Assumptions!$C$16-0.00001),'Policy Calculations'!$T$30:$T$279,1)</f>
        <v>249909.39319850138</v>
      </c>
      <c r="I9" s="311">
        <f>SUMIFS('Policy Calculations'!$AI$30:$AI$279,'Policy Calculations'!$AJ$30:$AJ$279,"&gt;=0",'Policy Calculations'!$AJ$30:$AJ$279,"&lt;"&amp;(Assumptions!$C$16-0.00001),'Policy Calculations'!$T$30:$T$279,1)</f>
        <v>12963.388202326683</v>
      </c>
      <c r="J9" s="26"/>
      <c r="K9" s="26"/>
      <c r="L9" s="26"/>
      <c r="M9" s="26"/>
      <c r="N9" s="26"/>
      <c r="O9" s="26"/>
    </row>
    <row r="10" spans="1:133" x14ac:dyDescent="0.3">
      <c r="A10" s="266" t="s">
        <v>1048</v>
      </c>
      <c r="B10" s="363">
        <f>COUNTIFS('Policy Calculations'!$C$30:$C$279,"Term Life",'Policy Calculations'!$T$30:$T$279,0)</f>
        <v>14</v>
      </c>
      <c r="C10" s="255" t="s">
        <v>54</v>
      </c>
      <c r="D10" s="26"/>
      <c r="E10" s="31" t="s">
        <v>55</v>
      </c>
      <c r="F10" s="146">
        <f>COUNTIFS('Policy Calculations'!$AJ$30:$AJ$279,"&gt;="&amp;(Assumptions!$C$16-0.00001),'Policy Calculations'!$T$30:$T$279,1)</f>
        <v>85</v>
      </c>
      <c r="G10" s="147">
        <f>SUMIFS('Policy Calculations'!$M$30:$M$279,'Policy Calculations'!$AJ$30:$AJ$279,"&gt;="&amp;(Assumptions!$C$16-0.00001),'Policy Calculations'!$T$30:$T$279,1)</f>
        <v>255275.55999999997</v>
      </c>
      <c r="H10" s="147">
        <f>SUMIFS('Policy Calculations'!$AH$30:$AH$279,'Policy Calculations'!$AJ$30:$AJ$279,"&gt;="&amp;(Assumptions!$C$16-0.00001),'Policy Calculations'!$T$30:$T$279,1)</f>
        <v>1872981.1585901033</v>
      </c>
      <c r="I10" s="311">
        <f>SUMIFS('Policy Calculations'!$AI$30:$AI$279,'Policy Calculations'!$AJ$30:$AJ$279,"&gt;="&amp;(Assumptions!$C$16-0.00001),'Policy Calculations'!$T$30:$T$279,1)</f>
        <v>462499.63115544675</v>
      </c>
      <c r="J10" s="26"/>
      <c r="K10" s="26"/>
      <c r="L10" s="26"/>
      <c r="M10" s="26"/>
      <c r="N10" s="26"/>
      <c r="O10" s="26"/>
    </row>
    <row r="11" spans="1:133" ht="13.5" thickBot="1" x14ac:dyDescent="0.35">
      <c r="A11" s="266" t="s">
        <v>56</v>
      </c>
      <c r="B11" s="364">
        <f>SUMIFS('Policy Calculations'!$M$30:$M$279,'Policy Calculations'!$T$30:$T$279,1)</f>
        <v>429880.90000000008</v>
      </c>
      <c r="C11" s="255" t="s">
        <v>57</v>
      </c>
      <c r="D11" s="26"/>
      <c r="E11" s="63" t="s">
        <v>58</v>
      </c>
      <c r="F11" s="167">
        <f>SUM(F6:F10)</f>
        <v>169</v>
      </c>
      <c r="G11" s="168">
        <f>SUM(G6:G10)</f>
        <v>429880.89999999991</v>
      </c>
      <c r="H11" s="168">
        <f>SUM(H6:H10)</f>
        <v>3203820.7629329227</v>
      </c>
      <c r="I11" s="357">
        <f>SUM(I6:I10)</f>
        <v>256267.24728000342</v>
      </c>
      <c r="J11" s="26"/>
      <c r="K11" s="26"/>
      <c r="L11" s="26"/>
      <c r="M11" s="26"/>
      <c r="N11" s="26"/>
      <c r="O11" s="26"/>
    </row>
    <row r="12" spans="1:133" x14ac:dyDescent="0.3">
      <c r="A12" s="266" t="s">
        <v>59</v>
      </c>
      <c r="B12" s="364">
        <f>SUMIFS('Policy Calculations'!$AH$30:$AH$279,'Policy Calculations'!$T$30:$T$279,1)</f>
        <v>3203820.7629329232</v>
      </c>
      <c r="C12" s="255"/>
      <c r="D12" s="26"/>
      <c r="E12" s="28" t="s">
        <v>60</v>
      </c>
      <c r="F12" s="26"/>
      <c r="G12" s="26"/>
      <c r="H12" s="26"/>
      <c r="I12" s="351">
        <f>I11-B13</f>
        <v>0</v>
      </c>
      <c r="J12" s="26"/>
      <c r="K12" s="26"/>
      <c r="L12" s="26"/>
      <c r="M12" s="26"/>
      <c r="N12" s="26"/>
      <c r="O12" s="26"/>
    </row>
    <row r="13" spans="1:133" x14ac:dyDescent="0.3">
      <c r="A13" s="266" t="s">
        <v>6</v>
      </c>
      <c r="B13" s="365">
        <f>SUMIFS('Policy Calculations'!$AI$30:$AI$279,'Policy Calculations'!$T$30:$T$279,1)</f>
        <v>256267.24728000336</v>
      </c>
      <c r="C13" s="255" t="s">
        <v>61</v>
      </c>
      <c r="D13" s="26"/>
      <c r="E13" s="26"/>
      <c r="F13" s="26"/>
      <c r="G13" s="26"/>
      <c r="H13" s="26"/>
      <c r="I13" s="26"/>
      <c r="J13" s="26"/>
      <c r="K13" s="26"/>
      <c r="L13" s="26"/>
      <c r="M13" s="26"/>
      <c r="N13" s="26"/>
      <c r="O13" s="26"/>
    </row>
    <row r="14" spans="1:133" x14ac:dyDescent="0.3">
      <c r="A14" s="266" t="s">
        <v>62</v>
      </c>
      <c r="B14" s="366">
        <f>IF(B12=0,"",B13/B12)</f>
        <v>7.998801001757809E-2</v>
      </c>
      <c r="C14" s="255" t="s">
        <v>63</v>
      </c>
      <c r="D14" s="26"/>
      <c r="E14" s="26"/>
      <c r="F14" s="26"/>
      <c r="G14" s="26"/>
      <c r="H14" s="26"/>
      <c r="I14" s="26"/>
      <c r="J14" s="26"/>
      <c r="K14" s="26"/>
      <c r="L14" s="26"/>
      <c r="M14" s="26"/>
      <c r="N14" s="26"/>
      <c r="O14" s="26"/>
    </row>
    <row r="15" spans="1:133" x14ac:dyDescent="0.3">
      <c r="A15" s="266" t="s">
        <v>14</v>
      </c>
      <c r="B15" s="367">
        <f>Assumptions!C16</f>
        <v>0.08</v>
      </c>
      <c r="C15" s="255"/>
      <c r="D15" s="26"/>
      <c r="E15" s="26"/>
      <c r="F15" s="26"/>
      <c r="G15" s="26"/>
      <c r="H15" s="26"/>
      <c r="I15" s="26"/>
      <c r="J15" s="26"/>
      <c r="K15" s="26"/>
      <c r="L15" s="26"/>
      <c r="M15" s="26"/>
      <c r="N15" s="26"/>
      <c r="O15" s="26"/>
    </row>
    <row r="16" spans="1:133" x14ac:dyDescent="0.3">
      <c r="A16" s="266" t="s">
        <v>64</v>
      </c>
      <c r="B16" s="364">
        <f>SUMIFS('Policy Calculations'!$AF$30:$AF$279,'Policy Calculations'!$T$30:$T$279,1)</f>
        <v>432358.0976568904</v>
      </c>
      <c r="C16" s="255" t="s">
        <v>65</v>
      </c>
      <c r="D16" s="26"/>
      <c r="E16" s="26"/>
      <c r="F16" s="26"/>
      <c r="G16" s="26"/>
      <c r="H16" s="26"/>
      <c r="I16" s="26"/>
      <c r="J16" s="26"/>
      <c r="K16" s="26"/>
      <c r="L16" s="26"/>
      <c r="M16" s="26"/>
      <c r="N16" s="26"/>
      <c r="O16" s="26"/>
    </row>
    <row r="17" spans="1:15" x14ac:dyDescent="0.3">
      <c r="A17" s="266" t="s">
        <v>1049</v>
      </c>
      <c r="B17" s="367">
        <f>IF(B16=0,"",B11/B16)</f>
        <v>0.99427049552138569</v>
      </c>
      <c r="C17" s="255" t="s">
        <v>1052</v>
      </c>
      <c r="D17" s="26"/>
      <c r="E17" s="26"/>
      <c r="F17" s="26"/>
      <c r="G17" s="26"/>
      <c r="H17" s="26"/>
      <c r="I17" s="26"/>
      <c r="J17" s="26"/>
      <c r="K17" s="26"/>
      <c r="L17" s="26"/>
      <c r="M17" s="26"/>
      <c r="N17" s="26"/>
      <c r="O17" s="26"/>
    </row>
    <row r="18" spans="1:15" x14ac:dyDescent="0.3">
      <c r="A18" s="266" t="s">
        <v>66</v>
      </c>
      <c r="B18" s="363">
        <f>COUNTIF('Policy Calculations'!$AR$30:$AR$279,"Loss-making")</f>
        <v>65</v>
      </c>
      <c r="C18" s="255" t="s">
        <v>67</v>
      </c>
      <c r="D18" s="26"/>
      <c r="E18" s="26"/>
      <c r="F18" s="26"/>
      <c r="G18" s="26"/>
      <c r="H18" s="26"/>
      <c r="I18" s="26"/>
      <c r="J18" s="26"/>
      <c r="K18" s="26"/>
      <c r="L18" s="26"/>
      <c r="M18" s="26"/>
      <c r="N18" s="26"/>
      <c r="O18" s="26"/>
    </row>
    <row r="19" spans="1:15" x14ac:dyDescent="0.3">
      <c r="A19" s="266" t="s">
        <v>1050</v>
      </c>
      <c r="B19" s="363">
        <f>COUNTIF('Policy Calculations'!$AR$30:$AR$279,"Below target")</f>
        <v>19</v>
      </c>
      <c r="C19" s="255"/>
      <c r="D19" s="26"/>
      <c r="E19" s="26"/>
      <c r="F19" s="26"/>
      <c r="G19" s="26"/>
      <c r="H19" s="26"/>
      <c r="I19" s="26"/>
      <c r="J19" s="26"/>
      <c r="K19" s="26"/>
      <c r="L19" s="26"/>
      <c r="M19" s="26"/>
      <c r="N19" s="26"/>
      <c r="O19" s="26"/>
    </row>
    <row r="20" spans="1:15" x14ac:dyDescent="0.3">
      <c r="A20" s="266" t="s">
        <v>68</v>
      </c>
      <c r="B20" s="363">
        <f>COUNTIF('Policy Calculations'!$AR$30:$AR$279,"At/above target")</f>
        <v>85</v>
      </c>
      <c r="C20" s="255"/>
      <c r="D20" s="26"/>
      <c r="E20" s="26"/>
      <c r="F20" s="26"/>
      <c r="G20" s="26"/>
      <c r="H20" s="26"/>
      <c r="I20" s="26"/>
      <c r="J20" s="26"/>
      <c r="K20" s="26"/>
      <c r="L20" s="26"/>
      <c r="M20" s="26"/>
      <c r="N20" s="26"/>
      <c r="O20" s="26"/>
    </row>
    <row r="21" spans="1:15" x14ac:dyDescent="0.3">
      <c r="A21" s="266" t="s">
        <v>69</v>
      </c>
      <c r="B21" s="364">
        <f>SUMIFS('Policy Calculations'!$AI$30:$AI$279,'Policy Calculations'!$AR$30:$AR$279,"Loss-making")</f>
        <v>-219195.77207777003</v>
      </c>
      <c r="C21" s="255" t="s">
        <v>70</v>
      </c>
      <c r="D21" s="26"/>
      <c r="E21" s="26"/>
      <c r="F21" s="26"/>
      <c r="G21" s="26"/>
      <c r="H21" s="26"/>
      <c r="I21" s="26"/>
      <c r="J21" s="26"/>
      <c r="K21" s="26"/>
      <c r="L21" s="26"/>
      <c r="M21" s="26"/>
      <c r="N21" s="26"/>
      <c r="O21" s="26"/>
    </row>
    <row r="22" spans="1:15" x14ac:dyDescent="0.3">
      <c r="A22" s="266" t="s">
        <v>71</v>
      </c>
      <c r="B22" s="364">
        <f>SUMIFS('Policy Calculations'!$I$30:$I$279,'Policy Calculations'!$T$30:$T$279,1)</f>
        <v>114000000</v>
      </c>
      <c r="C22" s="255"/>
      <c r="D22" s="26"/>
      <c r="E22" s="26"/>
      <c r="F22" s="26"/>
      <c r="G22" s="26"/>
      <c r="H22" s="26"/>
      <c r="I22" s="26"/>
      <c r="J22" s="26"/>
      <c r="K22" s="26"/>
      <c r="L22" s="26"/>
      <c r="M22" s="26"/>
      <c r="N22" s="26"/>
      <c r="O22" s="26"/>
    </row>
    <row r="23" spans="1:15" x14ac:dyDescent="0.3">
      <c r="A23" s="266" t="s">
        <v>72</v>
      </c>
      <c r="B23" s="364">
        <f>SUMIFS('Policy Calculations'!$Z$30:$Z$279,'Policy Calculations'!$T$30:$T$279,1)</f>
        <v>43000000</v>
      </c>
      <c r="C23" s="255" t="s">
        <v>73</v>
      </c>
      <c r="D23" s="26"/>
      <c r="E23" s="26"/>
      <c r="F23" s="26"/>
      <c r="G23" s="26"/>
      <c r="H23" s="26"/>
      <c r="I23" s="26"/>
      <c r="J23" s="26"/>
      <c r="K23" s="26"/>
      <c r="L23" s="26"/>
      <c r="M23" s="26"/>
      <c r="N23" s="26"/>
      <c r="O23" s="26"/>
    </row>
    <row r="24" spans="1:15" x14ac:dyDescent="0.3">
      <c r="A24" s="266" t="s">
        <v>1051</v>
      </c>
      <c r="B24" s="364">
        <f>SUMIFS('Policy Calculations'!$AN$30:$AN$279,'Policy Calculations'!$T$30:$T$279,1)</f>
        <v>648622.1561420504</v>
      </c>
      <c r="C24" s="255" t="s">
        <v>74</v>
      </c>
      <c r="D24" s="26"/>
      <c r="E24" s="26"/>
      <c r="F24" s="26"/>
      <c r="G24" s="26"/>
      <c r="H24" s="26"/>
      <c r="I24" s="26"/>
      <c r="J24" s="26"/>
      <c r="K24" s="26"/>
      <c r="L24" s="26"/>
      <c r="M24" s="26"/>
      <c r="N24" s="26"/>
      <c r="O24" s="26"/>
    </row>
    <row r="25" spans="1:15" ht="13.5" thickBot="1" x14ac:dyDescent="0.35">
      <c r="A25" s="267" t="s">
        <v>75</v>
      </c>
      <c r="B25" s="368">
        <f>B13-B24</f>
        <v>-392354.90886204701</v>
      </c>
      <c r="C25" s="172"/>
      <c r="D25" s="26"/>
      <c r="E25" s="26"/>
      <c r="F25" s="26"/>
      <c r="G25" s="26"/>
      <c r="H25" s="26"/>
      <c r="I25" s="26"/>
      <c r="J25" s="26"/>
      <c r="K25" s="26"/>
      <c r="L25" s="26"/>
      <c r="M25" s="26"/>
      <c r="N25" s="26"/>
      <c r="O25" s="26"/>
    </row>
    <row r="26" spans="1:15" x14ac:dyDescent="0.3">
      <c r="A26" s="26"/>
      <c r="B26" s="26"/>
      <c r="C26" s="26"/>
      <c r="D26" s="26"/>
      <c r="E26" s="26"/>
      <c r="F26" s="26"/>
      <c r="G26" s="26"/>
      <c r="H26" s="26"/>
      <c r="I26" s="26"/>
      <c r="J26" s="26"/>
      <c r="K26" s="26"/>
      <c r="L26" s="26"/>
      <c r="M26" s="26"/>
      <c r="N26" s="26"/>
      <c r="O26" s="26"/>
    </row>
    <row r="27" spans="1:15" x14ac:dyDescent="0.3">
      <c r="A27" s="26"/>
      <c r="B27" s="26"/>
      <c r="C27" s="26"/>
      <c r="D27" s="26"/>
      <c r="E27" s="26"/>
      <c r="F27" s="26"/>
      <c r="G27" s="26"/>
      <c r="H27" s="26"/>
      <c r="I27" s="26"/>
      <c r="J27" s="26"/>
      <c r="K27" s="26"/>
      <c r="L27" s="26"/>
      <c r="M27" s="26"/>
      <c r="N27" s="26"/>
      <c r="O27" s="26"/>
    </row>
    <row r="28" spans="1:15" ht="13.5" thickBot="1" x14ac:dyDescent="0.35">
      <c r="A28" s="352" t="s">
        <v>544</v>
      </c>
      <c r="B28" s="353"/>
      <c r="C28" s="353"/>
      <c r="D28" s="26"/>
      <c r="E28" s="26"/>
      <c r="F28" s="26"/>
      <c r="G28" s="26"/>
      <c r="H28" s="26"/>
      <c r="I28" s="26"/>
      <c r="J28" s="26"/>
      <c r="K28" s="26"/>
      <c r="L28" s="26"/>
      <c r="M28" s="26"/>
      <c r="N28" s="26"/>
      <c r="O28" s="26"/>
    </row>
    <row r="29" spans="1:15" ht="13.5" thickBot="1" x14ac:dyDescent="0.35">
      <c r="A29" s="369" t="s">
        <v>76</v>
      </c>
      <c r="B29" s="381" t="s">
        <v>77</v>
      </c>
      <c r="C29" s="381" t="s">
        <v>78</v>
      </c>
      <c r="D29" s="361" t="s">
        <v>79</v>
      </c>
      <c r="E29" s="359" t="s">
        <v>32</v>
      </c>
      <c r="F29" s="359" t="s">
        <v>80</v>
      </c>
      <c r="G29" s="359" t="s">
        <v>81</v>
      </c>
      <c r="H29" s="359" t="s">
        <v>45</v>
      </c>
      <c r="I29" s="359" t="s">
        <v>82</v>
      </c>
      <c r="J29" s="359" t="s">
        <v>83</v>
      </c>
      <c r="K29" s="359" t="s">
        <v>47</v>
      </c>
      <c r="L29" s="360" t="s">
        <v>84</v>
      </c>
      <c r="N29" s="26"/>
      <c r="O29" s="26"/>
    </row>
    <row r="30" spans="1:15" ht="26" x14ac:dyDescent="0.3">
      <c r="A30" s="140" t="str">
        <f>IFERROR("1.  "&amp;INDEX('Policy Calculations'!$A$30:$A$279,MATCH(SMALL('Policy Calculations'!$AS$30:$AS$279,1),'Policy Calculations'!$AS$30:$AS$279,0)),"")</f>
        <v>1.  POL100246</v>
      </c>
      <c r="B30" s="370">
        <f>IFERROR(INDEX('Policy Calculations'!$D$30:$D$279,MATCH(SMALL('Policy Calculations'!$AS$30:$AS$279,1),'Policy Calculations'!$AS$30:$AS$279,0)),"")</f>
        <v>59</v>
      </c>
      <c r="C30" s="26" t="str">
        <f>IFERROR(INDEX('Policy Calculations'!$E$30:$E$279,MATCH(SMALL('Policy Calculations'!$AS$30:$AS$279,1),'Policy Calculations'!$AS$30:$AS$279,0))&amp;" · "&amp;INDEX('Policy Calculations'!$F$30:$F$279,MATCH(SMALL('Policy Calculations'!$AS$30:$AS$279,1),'Policy Calculations'!$AS$30:$AS$279,0))&amp;" · "&amp;INDEX('Policy Calculations'!$G$30:$G$279,MATCH(SMALL('Policy Calculations'!$AS$30:$AS$279,1),'Policy Calculations'!$AS$30:$AS$279,0)),"")</f>
        <v>Male · Non-smoker · Standard</v>
      </c>
      <c r="D30" s="370">
        <f>IFERROR(INDEX('Policy Calculations'!$H$30:$H$279,MATCH(SMALL('Policy Calculations'!$AS$30:$AS$279,1),'Policy Calculations'!$AS$30:$AS$279,0)),"")</f>
        <v>20</v>
      </c>
      <c r="E30" s="371">
        <f>IFERROR(INDEX('Policy Calculations'!$I$30:$I$279,MATCH(SMALL('Policy Calculations'!$AS$30:$AS$279,1),'Policy Calculations'!$AS$30:$AS$279,0)),"")</f>
        <v>500000</v>
      </c>
      <c r="F30" s="372" t="str">
        <f>IFERROR(INDEX('Policy Calculations'!$K$30:$K$279,MATCH(SMALL('Policy Calculations'!$AS$30:$AS$279,1),'Policy Calculations'!$AS$30:$AS$279,0)),"")</f>
        <v>Bancassurance</v>
      </c>
      <c r="G30" s="372" t="str">
        <f>IFERROR(INDEX('Policy Calculations'!$J$30:$J$279,MATCH(SMALL('Policy Calculations'!$AS$30:$AS$279,1),'Policy Calculations'!$AS$30:$AS$279,0)),"")</f>
        <v>Monthly</v>
      </c>
      <c r="H30" s="371">
        <f>IFERROR(INDEX('Policy Calculations'!$M$30:$M$279,MATCH(SMALL('Policy Calculations'!$AS$30:$AS$279,1),'Policy Calculations'!$AS$30:$AS$279,0)),"")</f>
        <v>3861.89</v>
      </c>
      <c r="I30" s="371">
        <f>IFERROR(INDEX('Policy Calculations'!$AF$30:$AF$279,MATCH(SMALL('Policy Calculations'!$AS$30:$AS$279,1),'Policy Calculations'!$AS$30:$AS$279,0)),"")</f>
        <v>6488.4778731607348</v>
      </c>
      <c r="J30" s="373">
        <f>IFERROR(INDEX('Policy Calculations'!$AK$30:$AK$279,MATCH(SMALL('Policy Calculations'!$AS$30:$AS$279,1),'Policy Calculations'!$AS$30:$AS$279,0)),"")</f>
        <v>0.59519198115393368</v>
      </c>
      <c r="K30" s="374">
        <f>IFERROR(INDEX('Policy Calculations'!$AI$30:$AI$279,MATCH(SMALL('Policy Calculations'!$AS$30:$AS$279,1),'Policy Calculations'!$AS$30:$AS$279,0)),"")</f>
        <v>-14415.996152683314</v>
      </c>
      <c r="L30" s="375">
        <f>IFERROR(INDEX('Policy Calculations'!$AJ$30:$AJ$279,MATCH(SMALL('Policy Calculations'!$AS$30:$AS$279,1),'Policy Calculations'!$AS$30:$AS$279,0)),"")</f>
        <v>-0.45791742716760547</v>
      </c>
      <c r="N30" s="26"/>
      <c r="O30" s="26"/>
    </row>
    <row r="31" spans="1:15" ht="26" x14ac:dyDescent="0.3">
      <c r="A31" s="140" t="str">
        <f>IFERROR("2.  "&amp;INDEX('Policy Calculations'!$A$30:$A$279,MATCH(SMALL('Policy Calculations'!$AS$30:$AS$279,2),'Policy Calculations'!$AS$30:$AS$279,0)),"")</f>
        <v>2.  POL100189</v>
      </c>
      <c r="B31" s="370">
        <f>IFERROR(INDEX('Policy Calculations'!$D$30:$D$279,MATCH(SMALL('Policy Calculations'!$AS$30:$AS$279,2),'Policy Calculations'!$AS$30:$AS$279,0)),"")</f>
        <v>58</v>
      </c>
      <c r="C31" s="26" t="str">
        <f>IFERROR(INDEX('Policy Calculations'!$E$30:$E$279,MATCH(SMALL('Policy Calculations'!$AS$30:$AS$279,2),'Policy Calculations'!$AS$30:$AS$279,0))&amp;" · "&amp;INDEX('Policy Calculations'!$F$30:$F$279,MATCH(SMALL('Policy Calculations'!$AS$30:$AS$279,2),'Policy Calculations'!$AS$30:$AS$279,0))&amp;" · "&amp;INDEX('Policy Calculations'!$G$30:$G$279,MATCH(SMALL('Policy Calculations'!$AS$30:$AS$279,2),'Policy Calculations'!$AS$30:$AS$279,0)),"")</f>
        <v>Male · Non-smoker · Standard</v>
      </c>
      <c r="D31" s="370">
        <f>IFERROR(INDEX('Policy Calculations'!$H$30:$H$279,MATCH(SMALL('Policy Calculations'!$AS$30:$AS$279,2),'Policy Calculations'!$AS$30:$AS$279,0)),"")</f>
        <v>20</v>
      </c>
      <c r="E31" s="371">
        <f>IFERROR(INDEX('Policy Calculations'!$I$30:$I$279,MATCH(SMALL('Policy Calculations'!$AS$30:$AS$279,2),'Policy Calculations'!$AS$30:$AS$279,0)),"")</f>
        <v>500000</v>
      </c>
      <c r="F31" s="372" t="str">
        <f>IFERROR(INDEX('Policy Calculations'!$K$30:$K$279,MATCH(SMALL('Policy Calculations'!$AS$30:$AS$279,2),'Policy Calculations'!$AS$30:$AS$279,0)),"")</f>
        <v>Bancassurance</v>
      </c>
      <c r="G31" s="372" t="str">
        <f>IFERROR(INDEX('Policy Calculations'!$J$30:$J$279,MATCH(SMALL('Policy Calculations'!$AS$30:$AS$279,2),'Policy Calculations'!$AS$30:$AS$279,0)),"")</f>
        <v>Monthly</v>
      </c>
      <c r="H31" s="371">
        <f>IFERROR(INDEX('Policy Calculations'!$M$30:$M$279,MATCH(SMALL('Policy Calculations'!$AS$30:$AS$279,2),'Policy Calculations'!$AS$30:$AS$279,0)),"")</f>
        <v>3623.02</v>
      </c>
      <c r="I31" s="371">
        <f>IFERROR(INDEX('Policy Calculations'!$AF$30:$AF$279,MATCH(SMALL('Policy Calculations'!$AS$30:$AS$279,2),'Policy Calculations'!$AS$30:$AS$279,0)),"")</f>
        <v>6038.631625405571</v>
      </c>
      <c r="J31" s="373">
        <f>IFERROR(INDEX('Policy Calculations'!$AK$30:$AK$279,MATCH(SMALL('Policy Calculations'!$AS$30:$AS$279,2),'Policy Calculations'!$AS$30:$AS$279,0)),"")</f>
        <v>0.59997367363117937</v>
      </c>
      <c r="K31" s="374">
        <f>IFERROR(INDEX('Policy Calculations'!$AI$30:$AI$279,MATCH(SMALL('Policy Calculations'!$AS$30:$AS$279,2),'Policy Calculations'!$AS$30:$AS$279,0)),"")</f>
        <v>-13256.260871793133</v>
      </c>
      <c r="L31" s="375">
        <f>IFERROR(INDEX('Policy Calculations'!$AJ$30:$AJ$279,MATCH(SMALL('Policy Calculations'!$AS$30:$AS$279,2),'Policy Calculations'!$AS$30:$AS$279,0)),"")</f>
        <v>-0.44688611889174645</v>
      </c>
      <c r="N31" s="26"/>
      <c r="O31" s="26"/>
    </row>
    <row r="32" spans="1:15" x14ac:dyDescent="0.3">
      <c r="A32" s="140" t="str">
        <f>IFERROR("3.  "&amp;INDEX('Policy Calculations'!$A$30:$A$279,MATCH(SMALL('Policy Calculations'!$AS$30:$AS$279,3),'Policy Calculations'!$AS$30:$AS$279,0)),"")</f>
        <v>3.  POL100066</v>
      </c>
      <c r="B32" s="370">
        <f>IFERROR(INDEX('Policy Calculations'!$D$30:$D$279,MATCH(SMALL('Policy Calculations'!$AS$30:$AS$279,3),'Policy Calculations'!$AS$30:$AS$279,0)),"")</f>
        <v>54</v>
      </c>
      <c r="C32" s="26" t="str">
        <f>IFERROR(INDEX('Policy Calculations'!$E$30:$E$279,MATCH(SMALL('Policy Calculations'!$AS$30:$AS$279,3),'Policy Calculations'!$AS$30:$AS$279,0))&amp;" · "&amp;INDEX('Policy Calculations'!$F$30:$F$279,MATCH(SMALL('Policy Calculations'!$AS$30:$AS$279,3),'Policy Calculations'!$AS$30:$AS$279,0))&amp;" · "&amp;INDEX('Policy Calculations'!$G$30:$G$279,MATCH(SMALL('Policy Calculations'!$AS$30:$AS$279,3),'Policy Calculations'!$AS$30:$AS$279,0)),"")</f>
        <v>Female · Smoker · Standard</v>
      </c>
      <c r="D32" s="370">
        <f>IFERROR(INDEX('Policy Calculations'!$H$30:$H$279,MATCH(SMALL('Policy Calculations'!$AS$30:$AS$279,3),'Policy Calculations'!$AS$30:$AS$279,0)),"")</f>
        <v>20</v>
      </c>
      <c r="E32" s="371">
        <f>IFERROR(INDEX('Policy Calculations'!$I$30:$I$279,MATCH(SMALL('Policy Calculations'!$AS$30:$AS$279,3),'Policy Calculations'!$AS$30:$AS$279,0)),"")</f>
        <v>500000</v>
      </c>
      <c r="F32" s="372" t="str">
        <f>IFERROR(INDEX('Policy Calculations'!$K$30:$K$279,MATCH(SMALL('Policy Calculations'!$AS$30:$AS$279,3),'Policy Calculations'!$AS$30:$AS$279,0)),"")</f>
        <v>Direct</v>
      </c>
      <c r="G32" s="372" t="str">
        <f>IFERROR(INDEX('Policy Calculations'!$J$30:$J$279,MATCH(SMALL('Policy Calculations'!$AS$30:$AS$279,3),'Policy Calculations'!$AS$30:$AS$279,0)),"")</f>
        <v>Annual</v>
      </c>
      <c r="H32" s="371">
        <f>IFERROR(INDEX('Policy Calculations'!$M$30:$M$279,MATCH(SMALL('Policy Calculations'!$AS$30:$AS$279,3),'Policy Calculations'!$AS$30:$AS$279,0)),"")</f>
        <v>3294.88</v>
      </c>
      <c r="I32" s="371">
        <f>IFERROR(INDEX('Policy Calculations'!$AF$30:$AF$279,MATCH(SMALL('Policy Calculations'!$AS$30:$AS$279,3),'Policy Calculations'!$AS$30:$AS$279,0)),"")</f>
        <v>5188.2634310664662</v>
      </c>
      <c r="J32" s="373">
        <f>IFERROR(INDEX('Policy Calculations'!$AK$30:$AK$279,MATCH(SMALL('Policy Calculations'!$AS$30:$AS$279,3),'Policy Calculations'!$AS$30:$AS$279,0)),"")</f>
        <v>0.63506412960274949</v>
      </c>
      <c r="K32" s="374">
        <f>IFERROR(INDEX('Policy Calculations'!$AI$30:$AI$279,MATCH(SMALL('Policy Calculations'!$AS$30:$AS$279,3),'Policy Calculations'!$AS$30:$AS$279,0)),"")</f>
        <v>-11305.72199276938</v>
      </c>
      <c r="L32" s="375">
        <f>IFERROR(INDEX('Policy Calculations'!$AJ$30:$AJ$279,MATCH(SMALL('Policy Calculations'!$AS$30:$AS$279,3),'Policy Calculations'!$AS$30:$AS$279,0)),"")</f>
        <v>-0.41657016906471195</v>
      </c>
      <c r="N32" s="26"/>
      <c r="O32" s="26"/>
    </row>
    <row r="33" spans="1:15" x14ac:dyDescent="0.3">
      <c r="A33" s="140" t="str">
        <f>IFERROR("4.  "&amp;INDEX('Policy Calculations'!$A$30:$A$279,MATCH(SMALL('Policy Calculations'!$AS$30:$AS$279,4),'Policy Calculations'!$AS$30:$AS$279,0)),"")</f>
        <v>4.  POL100148</v>
      </c>
      <c r="B33" s="370">
        <f>IFERROR(INDEX('Policy Calculations'!$D$30:$D$279,MATCH(SMALL('Policy Calculations'!$AS$30:$AS$279,4),'Policy Calculations'!$AS$30:$AS$279,0)),"")</f>
        <v>54</v>
      </c>
      <c r="C33" s="26" t="str">
        <f>IFERROR(INDEX('Policy Calculations'!$E$30:$E$279,MATCH(SMALL('Policy Calculations'!$AS$30:$AS$279,4),'Policy Calculations'!$AS$30:$AS$279,0))&amp;" · "&amp;INDEX('Policy Calculations'!$F$30:$F$279,MATCH(SMALL('Policy Calculations'!$AS$30:$AS$279,4),'Policy Calculations'!$AS$30:$AS$279,0))&amp;" · "&amp;INDEX('Policy Calculations'!$G$30:$G$279,MATCH(SMALL('Policy Calculations'!$AS$30:$AS$279,4),'Policy Calculations'!$AS$30:$AS$279,0)),"")</f>
        <v>Female · Smoker · Preferred</v>
      </c>
      <c r="D33" s="370">
        <f>IFERROR(INDEX('Policy Calculations'!$H$30:$H$279,MATCH(SMALL('Policy Calculations'!$AS$30:$AS$279,4),'Policy Calculations'!$AS$30:$AS$279,0)),"")</f>
        <v>20</v>
      </c>
      <c r="E33" s="371">
        <f>IFERROR(INDEX('Policy Calculations'!$I$30:$I$279,MATCH(SMALL('Policy Calculations'!$AS$30:$AS$279,4),'Policy Calculations'!$AS$30:$AS$279,0)),"")</f>
        <v>500000</v>
      </c>
      <c r="F33" s="372" t="str">
        <f>IFERROR(INDEX('Policy Calculations'!$K$30:$K$279,MATCH(SMALL('Policy Calculations'!$AS$30:$AS$279,4),'Policy Calculations'!$AS$30:$AS$279,0)),"")</f>
        <v>Direct</v>
      </c>
      <c r="G33" s="372" t="str">
        <f>IFERROR(INDEX('Policy Calculations'!$J$30:$J$279,MATCH(SMALL('Policy Calculations'!$AS$30:$AS$279,4),'Policy Calculations'!$AS$30:$AS$279,0)),"")</f>
        <v>Monthly</v>
      </c>
      <c r="H33" s="371">
        <f>IFERROR(INDEX('Policy Calculations'!$M$30:$M$279,MATCH(SMALL('Policy Calculations'!$AS$30:$AS$279,4),'Policy Calculations'!$AS$30:$AS$279,0)),"")</f>
        <v>2786.9</v>
      </c>
      <c r="I33" s="371">
        <f>IFERROR(INDEX('Policy Calculations'!$AF$30:$AF$279,MATCH(SMALL('Policy Calculations'!$AS$30:$AS$279,4),'Policy Calculations'!$AS$30:$AS$279,0)),"")</f>
        <v>4388.593033795024</v>
      </c>
      <c r="J33" s="373">
        <f>IFERROR(INDEX('Policy Calculations'!$AK$30:$AK$279,MATCH(SMALL('Policy Calculations'!$AS$30:$AS$279,4),'Policy Calculations'!$AS$30:$AS$279,0)),"")</f>
        <v>0.63503268098432808</v>
      </c>
      <c r="K33" s="374">
        <f>IFERROR(INDEX('Policy Calculations'!$AI$30:$AI$279,MATCH(SMALL('Policy Calculations'!$AS$30:$AS$279,4),'Policy Calculations'!$AS$30:$AS$279,0)),"")</f>
        <v>-8736.7734559064847</v>
      </c>
      <c r="L33" s="375">
        <f>IFERROR(INDEX('Policy Calculations'!$AJ$30:$AJ$279,MATCH(SMALL('Policy Calculations'!$AS$30:$AS$279,4),'Policy Calculations'!$AS$30:$AS$279,0)),"")</f>
        <v>-0.37703240526298271</v>
      </c>
      <c r="N33" s="26"/>
      <c r="O33" s="26"/>
    </row>
    <row r="34" spans="1:15" x14ac:dyDescent="0.3">
      <c r="A34" s="140" t="str">
        <f>IFERROR("5.  "&amp;INDEX('Policy Calculations'!$A$30:$A$279,MATCH(SMALL('Policy Calculations'!$AS$30:$AS$279,5),'Policy Calculations'!$AS$30:$AS$279,0)),"")</f>
        <v>5.  POL100194</v>
      </c>
      <c r="B34" s="370">
        <f>IFERROR(INDEX('Policy Calculations'!$D$30:$D$279,MATCH(SMALL('Policy Calculations'!$AS$30:$AS$279,5),'Policy Calculations'!$AS$30:$AS$279,0)),"")</f>
        <v>53</v>
      </c>
      <c r="C34" s="26" t="str">
        <f>IFERROR(INDEX('Policy Calculations'!$E$30:$E$279,MATCH(SMALL('Policy Calculations'!$AS$30:$AS$279,5),'Policy Calculations'!$AS$30:$AS$279,0))&amp;" · "&amp;INDEX('Policy Calculations'!$F$30:$F$279,MATCH(SMALL('Policy Calculations'!$AS$30:$AS$279,5),'Policy Calculations'!$AS$30:$AS$279,0))&amp;" · "&amp;INDEX('Policy Calculations'!$G$30:$G$279,MATCH(SMALL('Policy Calculations'!$AS$30:$AS$279,5),'Policy Calculations'!$AS$30:$AS$279,0)),"")</f>
        <v>Male · Non-smoker · Standard</v>
      </c>
      <c r="D34" s="370">
        <f>IFERROR(INDEX('Policy Calculations'!$H$30:$H$279,MATCH(SMALL('Policy Calculations'!$AS$30:$AS$279,5),'Policy Calculations'!$AS$30:$AS$279,0)),"")</f>
        <v>20</v>
      </c>
      <c r="E34" s="371">
        <f>IFERROR(INDEX('Policy Calculations'!$I$30:$I$279,MATCH(SMALL('Policy Calculations'!$AS$30:$AS$279,5),'Policy Calculations'!$AS$30:$AS$279,0)),"")</f>
        <v>500000</v>
      </c>
      <c r="F34" s="372" t="str">
        <f>IFERROR(INDEX('Policy Calculations'!$K$30:$K$279,MATCH(SMALL('Policy Calculations'!$AS$30:$AS$279,5),'Policy Calculations'!$AS$30:$AS$279,0)),"")</f>
        <v>Broker</v>
      </c>
      <c r="G34" s="372" t="str">
        <f>IFERROR(INDEX('Policy Calculations'!$J$30:$J$279,MATCH(SMALL('Policy Calculations'!$AS$30:$AS$279,5),'Policy Calculations'!$AS$30:$AS$279,0)),"")</f>
        <v>Annual</v>
      </c>
      <c r="H34" s="371">
        <f>IFERROR(INDEX('Policy Calculations'!$M$30:$M$279,MATCH(SMALL('Policy Calculations'!$AS$30:$AS$279,5),'Policy Calculations'!$AS$30:$AS$279,0)),"")</f>
        <v>2677.49</v>
      </c>
      <c r="I34" s="371">
        <f>IFERROR(INDEX('Policy Calculations'!$AF$30:$AF$279,MATCH(SMALL('Policy Calculations'!$AS$30:$AS$279,5),'Policy Calculations'!$AS$30:$AS$279,0)),"")</f>
        <v>4143.2212122743731</v>
      </c>
      <c r="J34" s="373">
        <f>IFERROR(INDEX('Policy Calculations'!$AK$30:$AK$279,MATCH(SMALL('Policy Calculations'!$AS$30:$AS$279,5),'Policy Calculations'!$AS$30:$AS$279,0)),"")</f>
        <v>0.64623389937951747</v>
      </c>
      <c r="K34" s="374">
        <f>IFERROR(INDEX('Policy Calculations'!$AI$30:$AI$279,MATCH(SMALL('Policy Calculations'!$AS$30:$AS$279,5),'Policy Calculations'!$AS$30:$AS$279,0)),"")</f>
        <v>-8556.6107231892784</v>
      </c>
      <c r="L34" s="375">
        <f>IFERROR(INDEX('Policy Calculations'!$AJ$30:$AJ$279,MATCH(SMALL('Policy Calculations'!$AS$30:$AS$279,5),'Policy Calculations'!$AS$30:$AS$279,0)),"")</f>
        <v>-0.38356535183266555</v>
      </c>
      <c r="N34" s="26"/>
      <c r="O34" s="26"/>
    </row>
    <row r="35" spans="1:15" x14ac:dyDescent="0.3">
      <c r="A35" s="140" t="str">
        <f>IFERROR("6.  "&amp;INDEX('Policy Calculations'!$A$30:$A$279,MATCH(SMALL('Policy Calculations'!$AS$30:$AS$279,6),'Policy Calculations'!$AS$30:$AS$279,0)),"")</f>
        <v>6.  POL100120</v>
      </c>
      <c r="B35" s="370">
        <f>IFERROR(INDEX('Policy Calculations'!$D$30:$D$279,MATCH(SMALL('Policy Calculations'!$AS$30:$AS$279,6),'Policy Calculations'!$AS$30:$AS$279,0)),"")</f>
        <v>49</v>
      </c>
      <c r="C35" s="26" t="str">
        <f>IFERROR(INDEX('Policy Calculations'!$E$30:$E$279,MATCH(SMALL('Policy Calculations'!$AS$30:$AS$279,6),'Policy Calculations'!$AS$30:$AS$279,0))&amp;" · "&amp;INDEX('Policy Calculations'!$F$30:$F$279,MATCH(SMALL('Policy Calculations'!$AS$30:$AS$279,6),'Policy Calculations'!$AS$30:$AS$279,0))&amp;" · "&amp;INDEX('Policy Calculations'!$G$30:$G$279,MATCH(SMALL('Policy Calculations'!$AS$30:$AS$279,6),'Policy Calculations'!$AS$30:$AS$279,0)),"")</f>
        <v>Male · Non-smoker · Rated</v>
      </c>
      <c r="D35" s="370">
        <f>IFERROR(INDEX('Policy Calculations'!$H$30:$H$279,MATCH(SMALL('Policy Calculations'!$AS$30:$AS$279,6),'Policy Calculations'!$AS$30:$AS$279,0)),"")</f>
        <v>25</v>
      </c>
      <c r="E35" s="371">
        <f>IFERROR(INDEX('Policy Calculations'!$I$30:$I$279,MATCH(SMALL('Policy Calculations'!$AS$30:$AS$279,6),'Policy Calculations'!$AS$30:$AS$279,0)),"")</f>
        <v>250000</v>
      </c>
      <c r="F35" s="372" t="str">
        <f>IFERROR(INDEX('Policy Calculations'!$K$30:$K$279,MATCH(SMALL('Policy Calculations'!$AS$30:$AS$279,6),'Policy Calculations'!$AS$30:$AS$279,0)),"")</f>
        <v>Broker</v>
      </c>
      <c r="G35" s="372" t="str">
        <f>IFERROR(INDEX('Policy Calculations'!$J$30:$J$279,MATCH(SMALL('Policy Calculations'!$AS$30:$AS$279,6),'Policy Calculations'!$AS$30:$AS$279,0)),"")</f>
        <v>Monthly</v>
      </c>
      <c r="H35" s="371">
        <f>IFERROR(INDEX('Policy Calculations'!$M$30:$M$279,MATCH(SMALL('Policy Calculations'!$AS$30:$AS$279,6),'Policy Calculations'!$AS$30:$AS$279,0)),"")</f>
        <v>1699.41</v>
      </c>
      <c r="I35" s="371">
        <f>IFERROR(INDEX('Policy Calculations'!$AF$30:$AF$279,MATCH(SMALL('Policy Calculations'!$AS$30:$AS$279,6),'Policy Calculations'!$AS$30:$AS$279,0)),"")</f>
        <v>2966.6807991899532</v>
      </c>
      <c r="J35" s="373">
        <f>IFERROR(INDEX('Policy Calculations'!$AK$30:$AK$279,MATCH(SMALL('Policy Calculations'!$AS$30:$AS$279,6),'Policy Calculations'!$AS$30:$AS$279,0)),"")</f>
        <v>0.57283210261920359</v>
      </c>
      <c r="K35" s="374">
        <f>IFERROR(INDEX('Policy Calculations'!$AI$30:$AI$279,MATCH(SMALL('Policy Calculations'!$AS$30:$AS$279,6),'Policy Calculations'!$AS$30:$AS$279,0)),"")</f>
        <v>-7821.7159067615012</v>
      </c>
      <c r="L35" s="375">
        <f>IFERROR(INDEX('Policy Calculations'!$AJ$30:$AJ$279,MATCH(SMALL('Policy Calculations'!$AS$30:$AS$279,6),'Policy Calculations'!$AS$30:$AS$279,0)),"")</f>
        <v>-0.50966496277022733</v>
      </c>
      <c r="N35" s="26"/>
      <c r="O35" s="26"/>
    </row>
    <row r="36" spans="1:15" x14ac:dyDescent="0.3">
      <c r="A36" s="140" t="str">
        <f>IFERROR("7.  "&amp;INDEX('Policy Calculations'!$A$30:$A$279,MATCH(SMALL('Policy Calculations'!$AS$30:$AS$279,7),'Policy Calculations'!$AS$30:$AS$279,0)),"")</f>
        <v>7.  POL100044</v>
      </c>
      <c r="B36" s="370">
        <f>IFERROR(INDEX('Policy Calculations'!$D$30:$D$279,MATCH(SMALL('Policy Calculations'!$AS$30:$AS$279,7),'Policy Calculations'!$AS$30:$AS$279,0)),"")</f>
        <v>59</v>
      </c>
      <c r="C36" s="26" t="str">
        <f>IFERROR(INDEX('Policy Calculations'!$E$30:$E$279,MATCH(SMALL('Policy Calculations'!$AS$30:$AS$279,7),'Policy Calculations'!$AS$30:$AS$279,0))&amp;" · "&amp;INDEX('Policy Calculations'!$F$30:$F$279,MATCH(SMALL('Policy Calculations'!$AS$30:$AS$279,7),'Policy Calculations'!$AS$30:$AS$279,0))&amp;" · "&amp;INDEX('Policy Calculations'!$G$30:$G$279,MATCH(SMALL('Policy Calculations'!$AS$30:$AS$279,7),'Policy Calculations'!$AS$30:$AS$279,0)),"")</f>
        <v>Male · Non-smoker · Standard</v>
      </c>
      <c r="D36" s="370">
        <f>IFERROR(INDEX('Policy Calculations'!$H$30:$H$279,MATCH(SMALL('Policy Calculations'!$AS$30:$AS$279,7),'Policy Calculations'!$AS$30:$AS$279,0)),"")</f>
        <v>20</v>
      </c>
      <c r="E36" s="371">
        <f>IFERROR(INDEX('Policy Calculations'!$I$30:$I$279,MATCH(SMALL('Policy Calculations'!$AS$30:$AS$279,7),'Policy Calculations'!$AS$30:$AS$279,0)),"")</f>
        <v>250000</v>
      </c>
      <c r="F36" s="372" t="str">
        <f>IFERROR(INDEX('Policy Calculations'!$K$30:$K$279,MATCH(SMALL('Policy Calculations'!$AS$30:$AS$279,7),'Policy Calculations'!$AS$30:$AS$279,0)),"")</f>
        <v>Broker</v>
      </c>
      <c r="G36" s="372" t="str">
        <f>IFERROR(INDEX('Policy Calculations'!$J$30:$J$279,MATCH(SMALL('Policy Calculations'!$AS$30:$AS$279,7),'Policy Calculations'!$AS$30:$AS$279,0)),"")</f>
        <v>Annual</v>
      </c>
      <c r="H36" s="371">
        <f>IFERROR(INDEX('Policy Calculations'!$M$30:$M$279,MATCH(SMALL('Policy Calculations'!$AS$30:$AS$279,7),'Policy Calculations'!$AS$30:$AS$279,0)),"")</f>
        <v>2170.94</v>
      </c>
      <c r="I36" s="371">
        <f>IFERROR(INDEX('Policy Calculations'!$AF$30:$AF$279,MATCH(SMALL('Policy Calculations'!$AS$30:$AS$279,7),'Policy Calculations'!$AS$30:$AS$279,0)),"")</f>
        <v>3407.5964662119245</v>
      </c>
      <c r="J36" s="373">
        <f>IFERROR(INDEX('Policy Calculations'!$AK$30:$AK$279,MATCH(SMALL('Policy Calculations'!$AS$30:$AS$279,7),'Policy Calculations'!$AS$30:$AS$279,0)),"")</f>
        <v>0.63708834702876038</v>
      </c>
      <c r="K36" s="374">
        <f>IFERROR(INDEX('Policy Calculations'!$AI$30:$AI$279,MATCH(SMALL('Policy Calculations'!$AS$30:$AS$279,7),'Policy Calculations'!$AS$30:$AS$279,0)),"")</f>
        <v>-7115.7852808022872</v>
      </c>
      <c r="L36" s="375">
        <f>IFERROR(INDEX('Policy Calculations'!$AJ$30:$AJ$279,MATCH(SMALL('Policy Calculations'!$AS$30:$AS$279,7),'Policy Calculations'!$AS$30:$AS$279,0)),"")</f>
        <v>-0.40208458885441439</v>
      </c>
      <c r="N36" s="26"/>
      <c r="O36" s="26"/>
    </row>
    <row r="37" spans="1:15" ht="26" x14ac:dyDescent="0.3">
      <c r="A37" s="140" t="str">
        <f>IFERROR("8.  "&amp;INDEX('Policy Calculations'!$A$30:$A$279,MATCH(SMALL('Policy Calculations'!$AS$30:$AS$279,8),'Policy Calculations'!$AS$30:$AS$279,0)),"")</f>
        <v>8.  POL100162</v>
      </c>
      <c r="B37" s="370">
        <f>IFERROR(INDEX('Policy Calculations'!$D$30:$D$279,MATCH(SMALL('Policy Calculations'!$AS$30:$AS$279,8),'Policy Calculations'!$AS$30:$AS$279,0)),"")</f>
        <v>47</v>
      </c>
      <c r="C37" s="26" t="str">
        <f>IFERROR(INDEX('Policy Calculations'!$E$30:$E$279,MATCH(SMALL('Policy Calculations'!$AS$30:$AS$279,8),'Policy Calculations'!$AS$30:$AS$279,0))&amp;" · "&amp;INDEX('Policy Calculations'!$F$30:$F$279,MATCH(SMALL('Policy Calculations'!$AS$30:$AS$279,8),'Policy Calculations'!$AS$30:$AS$279,0))&amp;" · "&amp;INDEX('Policy Calculations'!$G$30:$G$279,MATCH(SMALL('Policy Calculations'!$AS$30:$AS$279,8),'Policy Calculations'!$AS$30:$AS$279,0)),"")</f>
        <v>Male · Smoker · Standard</v>
      </c>
      <c r="D37" s="370">
        <f>IFERROR(INDEX('Policy Calculations'!$H$30:$H$279,MATCH(SMALL('Policy Calculations'!$AS$30:$AS$279,8),'Policy Calculations'!$AS$30:$AS$279,0)),"")</f>
        <v>25</v>
      </c>
      <c r="E37" s="371">
        <f>IFERROR(INDEX('Policy Calculations'!$I$30:$I$279,MATCH(SMALL('Policy Calculations'!$AS$30:$AS$279,8),'Policy Calculations'!$AS$30:$AS$279,0)),"")</f>
        <v>250000</v>
      </c>
      <c r="F37" s="372" t="str">
        <f>IFERROR(INDEX('Policy Calculations'!$K$30:$K$279,MATCH(SMALL('Policy Calculations'!$AS$30:$AS$279,8),'Policy Calculations'!$AS$30:$AS$279,0)),"")</f>
        <v>Bancassurance</v>
      </c>
      <c r="G37" s="372" t="str">
        <f>IFERROR(INDEX('Policy Calculations'!$J$30:$J$279,MATCH(SMALL('Policy Calculations'!$AS$30:$AS$279,8),'Policy Calculations'!$AS$30:$AS$279,0)),"")</f>
        <v>Monthly</v>
      </c>
      <c r="H37" s="371">
        <f>IFERROR(INDEX('Policy Calculations'!$M$30:$M$279,MATCH(SMALL('Policy Calculations'!$AS$30:$AS$279,8),'Policy Calculations'!$AS$30:$AS$279,0)),"")</f>
        <v>1598.92</v>
      </c>
      <c r="I37" s="371">
        <f>IFERROR(INDEX('Policy Calculations'!$AF$30:$AF$279,MATCH(SMALL('Policy Calculations'!$AS$30:$AS$279,8),'Policy Calculations'!$AS$30:$AS$279,0)),"")</f>
        <v>2728.0580589507981</v>
      </c>
      <c r="J37" s="373">
        <f>IFERROR(INDEX('Policy Calculations'!$AK$30:$AK$279,MATCH(SMALL('Policy Calculations'!$AS$30:$AS$279,8),'Policy Calculations'!$AS$30:$AS$279,0)),"")</f>
        <v>0.58610189572539351</v>
      </c>
      <c r="K37" s="374">
        <f>IFERROR(INDEX('Policy Calculations'!$AI$30:$AI$279,MATCH(SMALL('Policy Calculations'!$AS$30:$AS$279,8),'Policy Calculations'!$AS$30:$AS$279,0)),"")</f>
        <v>-6975.6167258215246</v>
      </c>
      <c r="L37" s="375">
        <f>IFERROR(INDEX('Policy Calculations'!$AJ$30:$AJ$279,MATCH(SMALL('Policy Calculations'!$AS$30:$AS$279,8),'Policy Calculations'!$AS$30:$AS$279,0)),"")</f>
        <v>-0.48066645562453142</v>
      </c>
      <c r="N37" s="26"/>
      <c r="O37" s="26"/>
    </row>
    <row r="38" spans="1:15" x14ac:dyDescent="0.3">
      <c r="A38" s="140" t="str">
        <f>IFERROR("9.  "&amp;INDEX('Policy Calculations'!$A$30:$A$279,MATCH(SMALL('Policy Calculations'!$AS$30:$AS$279,9),'Policy Calculations'!$AS$30:$AS$279,0)),"")</f>
        <v>9.  POL100024</v>
      </c>
      <c r="B38" s="370">
        <f>IFERROR(INDEX('Policy Calculations'!$D$30:$D$279,MATCH(SMALL('Policy Calculations'!$AS$30:$AS$279,9),'Policy Calculations'!$AS$30:$AS$279,0)),"")</f>
        <v>53</v>
      </c>
      <c r="C38" s="26" t="str">
        <f>IFERROR(INDEX('Policy Calculations'!$E$30:$E$279,MATCH(SMALL('Policy Calculations'!$AS$30:$AS$279,9),'Policy Calculations'!$AS$30:$AS$279,0))&amp;" · "&amp;INDEX('Policy Calculations'!$F$30:$F$279,MATCH(SMALL('Policy Calculations'!$AS$30:$AS$279,9),'Policy Calculations'!$AS$30:$AS$279,0))&amp;" · "&amp;INDEX('Policy Calculations'!$G$30:$G$279,MATCH(SMALL('Policy Calculations'!$AS$30:$AS$279,9),'Policy Calculations'!$AS$30:$AS$279,0)),"")</f>
        <v>Male · Non-smoker · Rated</v>
      </c>
      <c r="D38" s="370">
        <f>IFERROR(INDEX('Policy Calculations'!$H$30:$H$279,MATCH(SMALL('Policy Calculations'!$AS$30:$AS$279,9),'Policy Calculations'!$AS$30:$AS$279,0)),"")</f>
        <v>20</v>
      </c>
      <c r="E38" s="371">
        <f>IFERROR(INDEX('Policy Calculations'!$I$30:$I$279,MATCH(SMALL('Policy Calculations'!$AS$30:$AS$279,9),'Policy Calculations'!$AS$30:$AS$279,0)),"")</f>
        <v>250000</v>
      </c>
      <c r="F38" s="372" t="str">
        <f>IFERROR(INDEX('Policy Calculations'!$K$30:$K$279,MATCH(SMALL('Policy Calculations'!$AS$30:$AS$279,9),'Policy Calculations'!$AS$30:$AS$279,0)),"")</f>
        <v>Broker</v>
      </c>
      <c r="G38" s="372" t="str">
        <f>IFERROR(INDEX('Policy Calculations'!$J$30:$J$279,MATCH(SMALL('Policy Calculations'!$AS$30:$AS$279,9),'Policy Calculations'!$AS$30:$AS$279,0)),"")</f>
        <v>Annual</v>
      </c>
      <c r="H38" s="371">
        <f>IFERROR(INDEX('Policy Calculations'!$M$30:$M$279,MATCH(SMALL('Policy Calculations'!$AS$30:$AS$279,9),'Policy Calculations'!$AS$30:$AS$279,0)),"")</f>
        <v>2107.4299999999998</v>
      </c>
      <c r="I38" s="371">
        <f>IFERROR(INDEX('Policy Calculations'!$AF$30:$AF$279,MATCH(SMALL('Policy Calculations'!$AS$30:$AS$279,9),'Policy Calculations'!$AS$30:$AS$279,0)),"")</f>
        <v>3290.660290050746</v>
      </c>
      <c r="J38" s="373">
        <f>IFERROR(INDEX('Policy Calculations'!$AK$30:$AK$279,MATCH(SMALL('Policy Calculations'!$AS$30:$AS$279,9),'Policy Calculations'!$AS$30:$AS$279,0)),"")</f>
        <v>0.64042769968440005</v>
      </c>
      <c r="K38" s="374">
        <f>IFERROR(INDEX('Policy Calculations'!$AI$30:$AI$279,MATCH(SMALL('Policy Calculations'!$AS$30:$AS$279,9),'Policy Calculations'!$AS$30:$AS$279,0)),"")</f>
        <v>-6804.9152228220664</v>
      </c>
      <c r="L38" s="375">
        <f>IFERROR(INDEX('Policy Calculations'!$AJ$30:$AJ$279,MATCH(SMALL('Policy Calculations'!$AS$30:$AS$279,9),'Policy Calculations'!$AS$30:$AS$279,0)),"")</f>
        <v>-0.39518890910648091</v>
      </c>
      <c r="N38" s="26"/>
      <c r="O38" s="26"/>
    </row>
    <row r="39" spans="1:15" ht="13.5" thickBot="1" x14ac:dyDescent="0.35">
      <c r="A39" s="141" t="str">
        <f>IFERROR("10.  "&amp;INDEX('Policy Calculations'!$A$30:$A$279,MATCH(SMALL('Policy Calculations'!$AS$30:$AS$279,10),'Policy Calculations'!$AS$30:$AS$279,0)),"")</f>
        <v>10.  POL100013</v>
      </c>
      <c r="B39" s="376">
        <f>IFERROR(INDEX('Policy Calculations'!$D$30:$D$279,MATCH(SMALL('Policy Calculations'!$AS$30:$AS$279,10),'Policy Calculations'!$AS$30:$AS$279,0)),"")</f>
        <v>63</v>
      </c>
      <c r="C39" s="110" t="str">
        <f>IFERROR(INDEX('Policy Calculations'!$E$30:$E$279,MATCH(SMALL('Policy Calculations'!$AS$30:$AS$279,10),'Policy Calculations'!$AS$30:$AS$279,0))&amp;" · "&amp;INDEX('Policy Calculations'!$F$30:$F$279,MATCH(SMALL('Policy Calculations'!$AS$30:$AS$279,10),'Policy Calculations'!$AS$30:$AS$279,0))&amp;" · "&amp;INDEX('Policy Calculations'!$G$30:$G$279,MATCH(SMALL('Policy Calculations'!$AS$30:$AS$279,10),'Policy Calculations'!$AS$30:$AS$279,0)),"")</f>
        <v>Female · Non-smoker · Preferred</v>
      </c>
      <c r="D39" s="376">
        <f>IFERROR(INDEX('Policy Calculations'!$H$30:$H$279,MATCH(SMALL('Policy Calculations'!$AS$30:$AS$279,10),'Policy Calculations'!$AS$30:$AS$279,0)),"")</f>
        <v>15</v>
      </c>
      <c r="E39" s="377">
        <f>IFERROR(INDEX('Policy Calculations'!$I$30:$I$279,MATCH(SMALL('Policy Calculations'!$AS$30:$AS$279,10),'Policy Calculations'!$AS$30:$AS$279,0)),"")</f>
        <v>500000</v>
      </c>
      <c r="F39" s="224" t="str">
        <f>IFERROR(INDEX('Policy Calculations'!$K$30:$K$279,MATCH(SMALL('Policy Calculations'!$AS$30:$AS$279,10),'Policy Calculations'!$AS$30:$AS$279,0)),"")</f>
        <v>Broker</v>
      </c>
      <c r="G39" s="224" t="str">
        <f>IFERROR(INDEX('Policy Calculations'!$J$30:$J$279,MATCH(SMALL('Policy Calculations'!$AS$30:$AS$279,10),'Policy Calculations'!$AS$30:$AS$279,0)),"")</f>
        <v>Monthly</v>
      </c>
      <c r="H39" s="377">
        <f>IFERROR(INDEX('Policy Calculations'!$M$30:$M$279,MATCH(SMALL('Policy Calculations'!$AS$30:$AS$279,10),'Policy Calculations'!$AS$30:$AS$279,0)),"")</f>
        <v>3284.94</v>
      </c>
      <c r="I39" s="377">
        <f>IFERROR(INDEX('Policy Calculations'!$AF$30:$AF$279,MATCH(SMALL('Policy Calculations'!$AS$30:$AS$279,10),'Policy Calculations'!$AS$30:$AS$279,0)),"")</f>
        <v>4711.8228176679022</v>
      </c>
      <c r="J39" s="378">
        <f>IFERROR(INDEX('Policy Calculations'!$AK$30:$AK$279,MATCH(SMALL('Policy Calculations'!$AS$30:$AS$279,10),'Policy Calculations'!$AS$30:$AS$279,0)),"")</f>
        <v>0.69716967872443636</v>
      </c>
      <c r="K39" s="379">
        <f>IFERROR(INDEX('Policy Calculations'!$AI$30:$AI$279,MATCH(SMALL('Policy Calculations'!$AS$30:$AS$279,10),'Policy Calculations'!$AS$30:$AS$279,0)),"")</f>
        <v>-5944.1265982568038</v>
      </c>
      <c r="L39" s="380">
        <f>IFERROR(INDEX('Policy Calculations'!$AJ$30:$AJ$279,MATCH(SMALL('Policy Calculations'!$AS$30:$AS$279,10),'Policy Calculations'!$AS$30:$AS$279,0)),"")</f>
        <v>-0.25103165195050642</v>
      </c>
      <c r="N39" s="26"/>
      <c r="O39" s="26"/>
    </row>
    <row r="40" spans="1:15" x14ac:dyDescent="0.3">
      <c r="A40" s="26"/>
      <c r="B40" s="26"/>
      <c r="C40" s="26"/>
      <c r="D40" s="26"/>
      <c r="E40" s="26"/>
      <c r="F40" s="26"/>
      <c r="G40" s="26"/>
      <c r="H40" s="26"/>
      <c r="I40" s="26"/>
      <c r="J40" s="26"/>
      <c r="K40" s="26"/>
      <c r="L40" s="26"/>
      <c r="M40" s="26"/>
      <c r="N40" s="26"/>
      <c r="O40" s="26"/>
    </row>
    <row r="41" spans="1:15" x14ac:dyDescent="0.3">
      <c r="A41" s="28"/>
      <c r="B41" s="26"/>
      <c r="C41" s="26"/>
      <c r="D41" s="26"/>
      <c r="E41" s="26"/>
      <c r="F41" s="26"/>
      <c r="G41" s="26"/>
      <c r="H41" s="26"/>
      <c r="I41" s="26"/>
      <c r="J41" s="26"/>
      <c r="K41" s="26"/>
      <c r="L41" s="26"/>
      <c r="M41" s="26"/>
      <c r="N41" s="26"/>
      <c r="O41" s="26"/>
    </row>
  </sheetData>
  <mergeCells count="1">
    <mergeCell ref="A2:L2"/>
  </mergeCells>
  <conditionalFormatting sqref="B13:B14">
    <cfRule type="cellIs" dxfId="1" priority="2" operator="lessThan">
      <formula>0</formula>
    </cfRule>
  </conditionalFormatting>
  <conditionalFormatting sqref="K30:L39">
    <cfRule type="cellIs" dxfId="0" priority="3" operator="lessThan">
      <formula>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D279"/>
  <sheetViews>
    <sheetView tabSelected="1" topLeftCell="A2" zoomScaleNormal="100" workbookViewId="0">
      <selection activeCell="L172" sqref="L172"/>
    </sheetView>
  </sheetViews>
  <sheetFormatPr defaultColWidth="8.6328125" defaultRowHeight="13" x14ac:dyDescent="0.3"/>
  <cols>
    <col min="1" max="1" width="16" style="5" customWidth="1"/>
    <col min="2" max="2" width="30" style="5" customWidth="1"/>
    <col min="3" max="45" width="14" style="5" customWidth="1"/>
    <col min="46" max="46" width="8.6328125" style="5"/>
    <col min="47" max="86" width="10" style="5" customWidth="1"/>
    <col min="87" max="87" width="8.6328125" style="5"/>
    <col min="88" max="127" width="10" style="5" customWidth="1"/>
    <col min="128" max="128" width="8.6328125" style="5"/>
    <col min="129" max="129" width="8.7265625" style="5" bestFit="1" customWidth="1"/>
    <col min="130" max="130" width="10.453125" style="5" customWidth="1"/>
    <col min="131" max="131" width="9.54296875" style="5" bestFit="1" customWidth="1"/>
    <col min="132" max="132" width="12.6328125" style="5" bestFit="1" customWidth="1"/>
    <col min="133" max="134" width="8.7265625" style="5" bestFit="1" customWidth="1"/>
    <col min="135" max="16384" width="8.6328125" style="5"/>
  </cols>
  <sheetData>
    <row r="1" spans="1:134" ht="28" customHeight="1" x14ac:dyDescent="0.3">
      <c r="A1" s="23" t="s">
        <v>611</v>
      </c>
      <c r="B1" s="23"/>
      <c r="C1" s="23"/>
      <c r="D1" s="23"/>
      <c r="E1" s="23"/>
      <c r="F1" s="23"/>
      <c r="G1" s="23"/>
      <c r="H1" s="23"/>
      <c r="I1" s="23"/>
      <c r="J1" s="23"/>
      <c r="K1" s="23"/>
      <c r="L1" s="23"/>
      <c r="M1" s="23"/>
      <c r="N1" s="23"/>
      <c r="O1" s="23"/>
      <c r="P1" s="23"/>
      <c r="Q1" s="23"/>
      <c r="R1" s="23"/>
      <c r="S1" s="23"/>
      <c r="T1" s="23"/>
      <c r="U1" s="23"/>
      <c r="V1" s="23"/>
      <c r="W1" s="23"/>
      <c r="X1" s="23"/>
      <c r="Y1" s="23"/>
      <c r="Z1" s="23"/>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row>
    <row r="2" spans="1:134" ht="30" customHeight="1" x14ac:dyDescent="0.3">
      <c r="A2" s="487" t="s">
        <v>1053</v>
      </c>
      <c r="B2" s="487"/>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487"/>
      <c r="AN2" s="487"/>
      <c r="AO2" s="487"/>
      <c r="AP2" s="487"/>
      <c r="AQ2" s="487"/>
      <c r="AR2" s="487"/>
      <c r="AS2" s="487"/>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c r="DU2" s="26"/>
      <c r="DV2" s="26"/>
      <c r="DW2" s="26"/>
      <c r="DX2" s="26"/>
      <c r="DY2" s="26"/>
      <c r="DZ2" s="26"/>
      <c r="EA2" s="26"/>
      <c r="EB2" s="26"/>
      <c r="EC2" s="26"/>
      <c r="ED2" s="26"/>
    </row>
    <row r="3" spans="1:134" ht="30" customHeight="1" thickBot="1" x14ac:dyDescent="0.35">
      <c r="A3" s="482" t="s">
        <v>1054</v>
      </c>
      <c r="B3" s="487"/>
      <c r="C3" s="487"/>
      <c r="D3" s="487"/>
      <c r="E3" s="487"/>
      <c r="F3" s="487"/>
      <c r="G3" s="487"/>
      <c r="H3" s="487"/>
      <c r="I3" s="487"/>
      <c r="J3" s="487"/>
      <c r="K3" s="487"/>
      <c r="L3" s="487"/>
      <c r="M3" s="487"/>
      <c r="N3" s="487"/>
      <c r="O3" s="487"/>
      <c r="P3" s="487"/>
      <c r="Q3" s="487"/>
      <c r="R3" s="487"/>
      <c r="S3" s="487"/>
      <c r="T3" s="487"/>
      <c r="U3" s="487"/>
      <c r="V3" s="487"/>
      <c r="W3" s="487"/>
      <c r="X3" s="487"/>
      <c r="Y3" s="487"/>
      <c r="Z3" s="487"/>
      <c r="AA3" s="487"/>
      <c r="AB3" s="487"/>
      <c r="AC3" s="487"/>
      <c r="AD3" s="487"/>
      <c r="AE3" s="487"/>
      <c r="AF3" s="487"/>
      <c r="AG3" s="487"/>
      <c r="AH3" s="487"/>
      <c r="AI3" s="487"/>
      <c r="AJ3" s="487"/>
      <c r="AK3" s="487"/>
      <c r="AL3" s="487"/>
      <c r="AM3" s="487"/>
      <c r="AN3" s="487"/>
      <c r="AO3" s="487"/>
      <c r="AP3" s="487"/>
      <c r="AQ3" s="487"/>
      <c r="AR3" s="487"/>
      <c r="AS3" s="487"/>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row>
    <row r="4" spans="1:134" ht="13.5" thickBot="1" x14ac:dyDescent="0.3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404" t="s">
        <v>351</v>
      </c>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40"/>
      <c r="CI4" s="26"/>
      <c r="CJ4" s="404" t="s">
        <v>352</v>
      </c>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40"/>
      <c r="DX4" s="26"/>
    </row>
    <row r="5" spans="1:134" ht="45" customHeight="1" thickBot="1" x14ac:dyDescent="0.35">
      <c r="A5" s="354" t="s">
        <v>354</v>
      </c>
      <c r="B5" s="355" t="s">
        <v>355</v>
      </c>
      <c r="C5" s="355" t="s">
        <v>356</v>
      </c>
      <c r="D5" s="355" t="s">
        <v>77</v>
      </c>
      <c r="E5" s="355" t="s">
        <v>7</v>
      </c>
      <c r="F5" s="355" t="s">
        <v>104</v>
      </c>
      <c r="G5" s="355" t="s">
        <v>293</v>
      </c>
      <c r="H5" s="355" t="s">
        <v>79</v>
      </c>
      <c r="I5" s="355" t="s">
        <v>32</v>
      </c>
      <c r="J5" s="355" t="s">
        <v>357</v>
      </c>
      <c r="K5" s="355" t="s">
        <v>80</v>
      </c>
      <c r="L5" s="355" t="s">
        <v>358</v>
      </c>
      <c r="M5" s="355" t="s">
        <v>359</v>
      </c>
      <c r="N5" s="355" t="s">
        <v>360</v>
      </c>
      <c r="O5" s="355" t="s">
        <v>361</v>
      </c>
      <c r="P5" s="355" t="s">
        <v>362</v>
      </c>
      <c r="Q5" s="355" t="s">
        <v>363</v>
      </c>
      <c r="R5" s="355" t="s">
        <v>151</v>
      </c>
      <c r="S5" s="355" t="s">
        <v>152</v>
      </c>
      <c r="T5" s="355" t="s">
        <v>364</v>
      </c>
      <c r="U5" s="355" t="s">
        <v>365</v>
      </c>
      <c r="V5" s="355" t="s">
        <v>366</v>
      </c>
      <c r="W5" s="355" t="s">
        <v>367</v>
      </c>
      <c r="X5" s="355" t="s">
        <v>368</v>
      </c>
      <c r="Y5" s="355" t="s">
        <v>369</v>
      </c>
      <c r="Z5" s="355" t="s">
        <v>370</v>
      </c>
      <c r="AA5" s="355" t="s">
        <v>371</v>
      </c>
      <c r="AB5" s="355" t="s">
        <v>372</v>
      </c>
      <c r="AC5" s="355" t="s">
        <v>373</v>
      </c>
      <c r="AD5" s="355" t="s">
        <v>374</v>
      </c>
      <c r="AE5" s="355" t="s">
        <v>301</v>
      </c>
      <c r="AF5" s="355" t="s">
        <v>375</v>
      </c>
      <c r="AG5" s="355" t="s">
        <v>376</v>
      </c>
      <c r="AH5" s="355" t="s">
        <v>46</v>
      </c>
      <c r="AI5" s="355" t="s">
        <v>47</v>
      </c>
      <c r="AJ5" s="355" t="s">
        <v>84</v>
      </c>
      <c r="AK5" s="355" t="s">
        <v>377</v>
      </c>
      <c r="AL5" s="355" t="s">
        <v>36</v>
      </c>
      <c r="AM5" s="355" t="s">
        <v>37</v>
      </c>
      <c r="AN5" s="355" t="s">
        <v>138</v>
      </c>
      <c r="AO5" s="355" t="s">
        <v>378</v>
      </c>
      <c r="AP5" s="355" t="s">
        <v>379</v>
      </c>
      <c r="AQ5" s="355" t="s">
        <v>380</v>
      </c>
      <c r="AR5" s="355" t="s">
        <v>381</v>
      </c>
      <c r="AS5" s="356" t="s">
        <v>612</v>
      </c>
      <c r="AT5" s="26"/>
      <c r="AU5" s="405">
        <v>1</v>
      </c>
      <c r="AV5" s="406">
        <v>2</v>
      </c>
      <c r="AW5" s="406">
        <v>3</v>
      </c>
      <c r="AX5" s="406">
        <v>4</v>
      </c>
      <c r="AY5" s="406">
        <v>5</v>
      </c>
      <c r="AZ5" s="406">
        <v>6</v>
      </c>
      <c r="BA5" s="406">
        <v>7</v>
      </c>
      <c r="BB5" s="406">
        <v>8</v>
      </c>
      <c r="BC5" s="406">
        <v>9</v>
      </c>
      <c r="BD5" s="406">
        <v>10</v>
      </c>
      <c r="BE5" s="406">
        <v>11</v>
      </c>
      <c r="BF5" s="406">
        <v>12</v>
      </c>
      <c r="BG5" s="406">
        <v>13</v>
      </c>
      <c r="BH5" s="406">
        <v>14</v>
      </c>
      <c r="BI5" s="406">
        <v>15</v>
      </c>
      <c r="BJ5" s="406">
        <v>16</v>
      </c>
      <c r="BK5" s="406">
        <v>17</v>
      </c>
      <c r="BL5" s="406">
        <v>18</v>
      </c>
      <c r="BM5" s="406">
        <v>19</v>
      </c>
      <c r="BN5" s="406">
        <v>20</v>
      </c>
      <c r="BO5" s="406">
        <v>21</v>
      </c>
      <c r="BP5" s="406">
        <v>22</v>
      </c>
      <c r="BQ5" s="406">
        <v>23</v>
      </c>
      <c r="BR5" s="406">
        <v>24</v>
      </c>
      <c r="BS5" s="406">
        <v>25</v>
      </c>
      <c r="BT5" s="406">
        <v>26</v>
      </c>
      <c r="BU5" s="406">
        <v>27</v>
      </c>
      <c r="BV5" s="406">
        <v>28</v>
      </c>
      <c r="BW5" s="406">
        <v>29</v>
      </c>
      <c r="BX5" s="406">
        <v>30</v>
      </c>
      <c r="BY5" s="406">
        <v>31</v>
      </c>
      <c r="BZ5" s="406">
        <v>32</v>
      </c>
      <c r="CA5" s="406">
        <v>33</v>
      </c>
      <c r="CB5" s="406">
        <v>34</v>
      </c>
      <c r="CC5" s="406">
        <v>35</v>
      </c>
      <c r="CD5" s="406">
        <v>36</v>
      </c>
      <c r="CE5" s="406">
        <v>37</v>
      </c>
      <c r="CF5" s="406">
        <v>38</v>
      </c>
      <c r="CG5" s="406">
        <v>39</v>
      </c>
      <c r="CH5" s="407">
        <v>40</v>
      </c>
      <c r="CI5" s="26"/>
      <c r="CJ5" s="405">
        <v>1</v>
      </c>
      <c r="CK5" s="406">
        <v>2</v>
      </c>
      <c r="CL5" s="406">
        <v>3</v>
      </c>
      <c r="CM5" s="406">
        <v>4</v>
      </c>
      <c r="CN5" s="406">
        <v>5</v>
      </c>
      <c r="CO5" s="406">
        <v>6</v>
      </c>
      <c r="CP5" s="406">
        <v>7</v>
      </c>
      <c r="CQ5" s="406">
        <v>8</v>
      </c>
      <c r="CR5" s="406">
        <v>9</v>
      </c>
      <c r="CS5" s="406">
        <v>10</v>
      </c>
      <c r="CT5" s="406">
        <v>11</v>
      </c>
      <c r="CU5" s="406">
        <v>12</v>
      </c>
      <c r="CV5" s="406">
        <v>13</v>
      </c>
      <c r="CW5" s="406">
        <v>14</v>
      </c>
      <c r="CX5" s="406">
        <v>15</v>
      </c>
      <c r="CY5" s="406">
        <v>16</v>
      </c>
      <c r="CZ5" s="406">
        <v>17</v>
      </c>
      <c r="DA5" s="406">
        <v>18</v>
      </c>
      <c r="DB5" s="406">
        <v>19</v>
      </c>
      <c r="DC5" s="406">
        <v>20</v>
      </c>
      <c r="DD5" s="406">
        <v>21</v>
      </c>
      <c r="DE5" s="406">
        <v>22</v>
      </c>
      <c r="DF5" s="406">
        <v>23</v>
      </c>
      <c r="DG5" s="406">
        <v>24</v>
      </c>
      <c r="DH5" s="406">
        <v>25</v>
      </c>
      <c r="DI5" s="406">
        <v>26</v>
      </c>
      <c r="DJ5" s="406">
        <v>27</v>
      </c>
      <c r="DK5" s="406">
        <v>28</v>
      </c>
      <c r="DL5" s="406">
        <v>29</v>
      </c>
      <c r="DM5" s="406">
        <v>30</v>
      </c>
      <c r="DN5" s="406">
        <v>31</v>
      </c>
      <c r="DO5" s="406">
        <v>32</v>
      </c>
      <c r="DP5" s="406">
        <v>33</v>
      </c>
      <c r="DQ5" s="406">
        <v>34</v>
      </c>
      <c r="DR5" s="406">
        <v>35</v>
      </c>
      <c r="DS5" s="406">
        <v>36</v>
      </c>
      <c r="DT5" s="406">
        <v>37</v>
      </c>
      <c r="DU5" s="406">
        <v>38</v>
      </c>
      <c r="DV5" s="406">
        <v>39</v>
      </c>
      <c r="DW5" s="407">
        <v>40</v>
      </c>
      <c r="DX5" s="26"/>
    </row>
    <row r="6" spans="1:134" x14ac:dyDescent="0.3">
      <c r="A6" s="382" t="s">
        <v>388</v>
      </c>
      <c r="B6" s="383" t="s">
        <v>613</v>
      </c>
      <c r="C6" s="383" t="s">
        <v>288</v>
      </c>
      <c r="D6" s="384">
        <f>'Premium Calculation'!$B$4</f>
        <v>24</v>
      </c>
      <c r="E6" s="385" t="str">
        <f>'Premium Calculation'!$B$5</f>
        <v>Male</v>
      </c>
      <c r="F6" s="385" t="str">
        <f>'Premium Calculation'!$B$6</f>
        <v>Smoker</v>
      </c>
      <c r="G6" s="385" t="str">
        <f>'Premium Calculation'!$B$7</f>
        <v>Preferred</v>
      </c>
      <c r="H6" s="384">
        <f>'Premium Calculation'!$B$8</f>
        <v>10</v>
      </c>
      <c r="I6" s="386">
        <f>'Premium Calculation'!$B$9</f>
        <v>100000</v>
      </c>
      <c r="J6" s="385" t="str">
        <f>'Premium Calculation'!$B$10</f>
        <v>Monthly</v>
      </c>
      <c r="K6" s="385" t="str">
        <f>'Premium Calculation'!$B$31</f>
        <v>Bancassurance</v>
      </c>
      <c r="L6" s="383" t="s">
        <v>389</v>
      </c>
      <c r="M6" s="386">
        <f>'Premium Calculation'!$B$29</f>
        <v>562.44258371429942</v>
      </c>
      <c r="N6" s="387">
        <f>Assumptions!$C$21</f>
        <v>1</v>
      </c>
      <c r="O6" s="387">
        <f>Assumptions!$C$22</f>
        <v>1</v>
      </c>
      <c r="P6" s="387">
        <f>Assumptions!$C$23</f>
        <v>1</v>
      </c>
      <c r="Q6" s="388">
        <f>Assumptions!$C$24</f>
        <v>0</v>
      </c>
      <c r="R6" s="388">
        <f>Assumptions!$C$6+Assumptions!$C$25</f>
        <v>3.5000000000000003E-2</v>
      </c>
      <c r="S6" s="388">
        <f>Assumptions!$C$15</f>
        <v>1.1000000000000001E-3</v>
      </c>
      <c r="T6" s="26">
        <f t="shared" ref="T6:T24" si="0">IF(AND($C6="Term Life",ISNUMBER($D6),$D6&gt;=20,$D6=INT($D6),$H6&gt;=1,$H6&lt;=40,$D6+$H6-1&lt;=80,$I6&gt;0,$N6&gt;=0,$O6&gt;=0,$P6&gt;=0,$R6&gt;-1),1,0)</f>
        <v>1</v>
      </c>
      <c r="U6" s="26">
        <f t="shared" ref="U6:U24" si="1">IF($E6="Female",IF($F6="Non-smoker",1,2),IF($F6="Non-smoker",3,4))</f>
        <v>4</v>
      </c>
      <c r="V6" s="389">
        <f>IF($G6="Preferred",Assumptions!$C$30,IF($G6="Rated",Assumptions!$C$31,1))</f>
        <v>0.8</v>
      </c>
      <c r="W6" s="390">
        <f>IF($K6="Direct",Assumptions!$C$32,IF($K6="Broker",Assumptions!$C$33,IF($K6="Bancassurance",Assumptions!$C$34,Assumptions!$C$11)))+$Q6</f>
        <v>0.2</v>
      </c>
      <c r="X6" s="390">
        <f>Assumptions!$C$12+$Q6</f>
        <v>0.05</v>
      </c>
      <c r="Y6" s="131">
        <f>MIN($I6,Assumptions!$C$14)</f>
        <v>100000</v>
      </c>
      <c r="Z6" s="131">
        <f>MAX($I6-Assumptions!$C$14,0)</f>
        <v>0</v>
      </c>
      <c r="AA6" s="389">
        <f t="shared" ref="AA6:AA24" si="2">IF($T6=1,SUMPRODUCT($CJ6:$DW6,(1+$R6)^(-$CJ$5:$DW$5)),0)</f>
        <v>5.8605636374350922</v>
      </c>
      <c r="AB6" s="389">
        <f t="shared" ref="AB6:AB24" si="3">IF($T6=1,SUMPRODUCT($CJ6:$DW6,$AU6:$CH6,(1+$R6)^(-$CJ$5:$DW$5)),0)</f>
        <v>3.3989780815334159E-3</v>
      </c>
      <c r="AC6" s="389">
        <f>IF($T6=1,SUMPRODUCT($CJ6:$DW6,(1+Assumptions!$C$5)^($CJ$5:$DW$5-1),(1+$R6)^(-$CJ$5:$DW$5)),0)</f>
        <v>6.7981476079723411</v>
      </c>
      <c r="AD6" s="389">
        <f t="shared" ref="AD6:AD24" si="4">IF($T6=1,$W6/(1+$R6)+$X6*($AA6-1/(1+$R6)),0)</f>
        <v>0.4379557181036387</v>
      </c>
      <c r="AE6" s="131">
        <f>IF($T6=1,$AB6*$Y6+(Assumptions!$C$9/(1+$R6)+Assumptions!$C$10*$AC6)*$P6+$S6*$Z6*$AA6,0)</f>
        <v>2705.0554992985608</v>
      </c>
      <c r="AF6" s="131">
        <f>IF($T6=1,IF($AA6-$AD6-Assumptions!$C$16*$AA6&gt;0,$AE6/($AA6-$AD6-Assumptions!$C$16*$AA6)*IF($J6="Monthly",1+Assumptions!$C$29,1),"n.a."),"")</f>
        <v>562.44258371429919</v>
      </c>
      <c r="AG6" s="131">
        <f t="shared" ref="AG6:AG24" si="5">IF($T6=1,IF($L6="Technical",$AF6,$M6),"")</f>
        <v>562.44258371429942</v>
      </c>
      <c r="AH6" s="131">
        <f t="shared" ref="AH6:AH24" si="6">IF($T6=1,$AG6*$AA6,"")</f>
        <v>3296.2305542610661</v>
      </c>
      <c r="AI6" s="131">
        <f t="shared" ref="AI6:AI24" si="7">IF($T6=1,$AG6*($AA6-$AD6)-$AE6,"")</f>
        <v>344.85010931984334</v>
      </c>
      <c r="AJ6" s="390">
        <f t="shared" ref="AJ6:AJ24" si="8">IF($T6=1,IF($AH6=0,"",$AI6/$AH6),"")</f>
        <v>0.1046195354490761</v>
      </c>
      <c r="AK6" s="389">
        <f t="shared" ref="AK6:AK24" si="9">IF(AND($T6=1,ISNUMBER($AF6)),$M6/$AF6,"")</f>
        <v>1.0000000000000004</v>
      </c>
      <c r="AL6" s="131">
        <f t="shared" ref="AL6:AL24" si="10">IF($T6=1,$AB6*$Z6,"")</f>
        <v>0</v>
      </c>
      <c r="AM6" s="131">
        <f t="shared" ref="AM6:AM24" si="11">IF($T6=1,$S6*$Z6*$AA6,"")</f>
        <v>0</v>
      </c>
      <c r="AN6" s="131">
        <f t="shared" ref="AN6:AN24" si="12">IF($T6=1,$AL6-$AM6,"")</f>
        <v>0</v>
      </c>
      <c r="AO6" s="131">
        <f t="shared" ref="AO6:AO24" si="13">IF($T6=1,$AI6-$AN6,"")</f>
        <v>344.85010931984334</v>
      </c>
      <c r="AP6" s="26" t="str">
        <f t="shared" ref="AP6:AP24" si="14">IF($D6&lt;30,"20-29",IF($D6&lt;40,"30-39",IF($D6&lt;50,"40-49",IF($D6&lt;60,"50-59","60+"))))</f>
        <v>20-29</v>
      </c>
      <c r="AQ6" s="26" t="str">
        <f t="shared" ref="AQ6:AQ24" si="15">IF($I6&lt;=250000,"Up to 250k",IF($I6&lt;=500000,"250k-500k",IF($I6&lt;=1000000,"500k-1m","Over 1m")))</f>
        <v>Up to 250k</v>
      </c>
      <c r="AR6" s="26" t="str">
        <f>IF($T6=1,IF($AI6&lt;0,"Loss-making",IF($AJ6&lt;Assumptions!$C$16-0.00001,"Below target","At/above target")),"Excluded")</f>
        <v>At/above target</v>
      </c>
      <c r="AS6" s="103">
        <f t="shared" ref="AS6:AS24" si="16">IF($T6=1,$AI6+ROW()/1000000,"")</f>
        <v>344.85011531984333</v>
      </c>
      <c r="AT6" s="26"/>
      <c r="AU6" s="419">
        <f>IF(AND($T6=1,AU$5&lt;=$H6),INDEX(Mortality!$B$4:$E$64,MATCH($D6+AU$5-1,Mortality!$A$4:$A$64,0),$U6)*$V6*$N6,0)</f>
        <v>4.2269093494277525E-4</v>
      </c>
      <c r="AV6" s="93">
        <f>IF(AND($T6=1,AV$5&lt;=$H6),INDEX(Mortality!$B$4:$E$64,MATCH($D6+AV$5-1,Mortality!$A$4:$A$64,0),$U6)*$V6*$N6,0)</f>
        <v>4.5789562344694478E-4</v>
      </c>
      <c r="AW6" s="93">
        <f>IF(AND($T6=1,AW$5&lt;=$H6),INDEX(Mortality!$B$4:$E$64,MATCH($D6+AW$5-1,Mortality!$A$4:$A$64,0),$U6)*$V6*$N6,0)</f>
        <v>4.960324072250384E-4</v>
      </c>
      <c r="AX6" s="93">
        <f>IF(AND($T6=1,AX$5&lt;=$H6),INDEX(Mortality!$B$4:$E$64,MATCH($D6+AX$5-1,Mortality!$A$4:$A$64,0),$U6)*$V6*$N6,0)</f>
        <v>5.3734549189456246E-4</v>
      </c>
      <c r="AY6" s="93">
        <f>IF(AND($T6=1,AY$5&lt;=$H6),INDEX(Mortality!$B$4:$E$64,MATCH($D6+AY$5-1,Mortality!$A$4:$A$64,0),$U6)*$V6*$N6,0)</f>
        <v>5.8209942224281914E-4</v>
      </c>
      <c r="AZ6" s="93">
        <f>IF(AND($T6=1,AZ$5&lt;=$H6),INDEX(Mortality!$B$4:$E$64,MATCH($D6+AZ$5-1,Mortality!$A$4:$A$64,0),$U6)*$V6*$N6,0)</f>
        <v>6.3058077621671118E-4</v>
      </c>
      <c r="BA6" s="93">
        <f>IF(AND($T6=1,BA$5&lt;=$H6),INDEX(Mortality!$B$4:$E$64,MATCH($D6+BA$5-1,Mortality!$A$4:$A$64,0),$U6)*$V6*$N6,0)</f>
        <v>6.8310000000000007E-4</v>
      </c>
      <c r="BB6" s="93">
        <f>IF(AND($T6=1,BB$5&lt;=$H6),INDEX(Mortality!$B$4:$E$64,MATCH($D6+BB$5-1,Mortality!$A$4:$A$64,0),$U6)*$V6*$N6,0)</f>
        <v>7.3999339592876405E-4</v>
      </c>
      <c r="BC6" s="93">
        <f>IF(AND($T6=1,BC$5&lt;=$H6),INDEX(Mortality!$B$4:$E$64,MATCH($D6+BC$5-1,Mortality!$A$4:$A$64,0),$U6)*$V6*$N6,0)</f>
        <v>8.0162527597450392E-4</v>
      </c>
      <c r="BD6" s="93">
        <f>IF(AND($T6=1,BD$5&lt;=$H6),INDEX(Mortality!$B$4:$E$64,MATCH($D6+BD$5-1,Mortality!$A$4:$A$64,0),$U6)*$V6*$N6,0)</f>
        <v>8.6839029458455209E-4</v>
      </c>
      <c r="BE6" s="93">
        <f>IF(AND($T6=1,BE$5&lt;=$H6),INDEX(Mortality!$B$4:$E$64,MATCH($D6+BE$5-1,Mortality!$A$4:$A$64,0),$U6)*$V6*$N6,0)</f>
        <v>0</v>
      </c>
      <c r="BF6" s="93">
        <f>IF(AND($T6=1,BF$5&lt;=$H6),INDEX(Mortality!$B$4:$E$64,MATCH($D6+BF$5-1,Mortality!$A$4:$A$64,0),$U6)*$V6*$N6,0)</f>
        <v>0</v>
      </c>
      <c r="BG6" s="93">
        <f>IF(AND($T6=1,BG$5&lt;=$H6),INDEX(Mortality!$B$4:$E$64,MATCH($D6+BG$5-1,Mortality!$A$4:$A$64,0),$U6)*$V6*$N6,0)</f>
        <v>0</v>
      </c>
      <c r="BH6" s="93">
        <f>IF(AND($T6=1,BH$5&lt;=$H6),INDEX(Mortality!$B$4:$E$64,MATCH($D6+BH$5-1,Mortality!$A$4:$A$64,0),$U6)*$V6*$N6,0)</f>
        <v>0</v>
      </c>
      <c r="BI6" s="93">
        <f>IF(AND($T6=1,BI$5&lt;=$H6),INDEX(Mortality!$B$4:$E$64,MATCH($D6+BI$5-1,Mortality!$A$4:$A$64,0),$U6)*$V6*$N6,0)</f>
        <v>0</v>
      </c>
      <c r="BJ6" s="93">
        <f>IF(AND($T6=1,BJ$5&lt;=$H6),INDEX(Mortality!$B$4:$E$64,MATCH($D6+BJ$5-1,Mortality!$A$4:$A$64,0),$U6)*$V6*$N6,0)</f>
        <v>0</v>
      </c>
      <c r="BK6" s="93">
        <f>IF(AND($T6=1,BK$5&lt;=$H6),INDEX(Mortality!$B$4:$E$64,MATCH($D6+BK$5-1,Mortality!$A$4:$A$64,0),$U6)*$V6*$N6,0)</f>
        <v>0</v>
      </c>
      <c r="BL6" s="93">
        <f>IF(AND($T6=1,BL$5&lt;=$H6),INDEX(Mortality!$B$4:$E$64,MATCH($D6+BL$5-1,Mortality!$A$4:$A$64,0),$U6)*$V6*$N6,0)</f>
        <v>0</v>
      </c>
      <c r="BM6" s="93">
        <f>IF(AND($T6=1,BM$5&lt;=$H6),INDEX(Mortality!$B$4:$E$64,MATCH($D6+BM$5-1,Mortality!$A$4:$A$64,0),$U6)*$V6*$N6,0)</f>
        <v>0</v>
      </c>
      <c r="BN6" s="93">
        <f>IF(AND($T6=1,BN$5&lt;=$H6),INDEX(Mortality!$B$4:$E$64,MATCH($D6+BN$5-1,Mortality!$A$4:$A$64,0),$U6)*$V6*$N6,0)</f>
        <v>0</v>
      </c>
      <c r="BO6" s="93">
        <f>IF(AND($T6=1,BO$5&lt;=$H6),INDEX(Mortality!$B$4:$E$64,MATCH($D6+BO$5-1,Mortality!$A$4:$A$64,0),$U6)*$V6*$N6,0)</f>
        <v>0</v>
      </c>
      <c r="BP6" s="93">
        <f>IF(AND($T6=1,BP$5&lt;=$H6),INDEX(Mortality!$B$4:$E$64,MATCH($D6+BP$5-1,Mortality!$A$4:$A$64,0),$U6)*$V6*$N6,0)</f>
        <v>0</v>
      </c>
      <c r="BQ6" s="93">
        <f>IF(AND($T6=1,BQ$5&lt;=$H6),INDEX(Mortality!$B$4:$E$64,MATCH($D6+BQ$5-1,Mortality!$A$4:$A$64,0),$U6)*$V6*$N6,0)</f>
        <v>0</v>
      </c>
      <c r="BR6" s="93">
        <f>IF(AND($T6=1,BR$5&lt;=$H6),INDEX(Mortality!$B$4:$E$64,MATCH($D6+BR$5-1,Mortality!$A$4:$A$64,0),$U6)*$V6*$N6,0)</f>
        <v>0</v>
      </c>
      <c r="BS6" s="93">
        <f>IF(AND($T6=1,BS$5&lt;=$H6),INDEX(Mortality!$B$4:$E$64,MATCH($D6+BS$5-1,Mortality!$A$4:$A$64,0),$U6)*$V6*$N6,0)</f>
        <v>0</v>
      </c>
      <c r="BT6" s="93">
        <f>IF(AND($T6=1,BT$5&lt;=$H6),INDEX(Mortality!$B$4:$E$64,MATCH($D6+BT$5-1,Mortality!$A$4:$A$64,0),$U6)*$V6*$N6,0)</f>
        <v>0</v>
      </c>
      <c r="BU6" s="93">
        <f>IF(AND($T6=1,BU$5&lt;=$H6),INDEX(Mortality!$B$4:$E$64,MATCH($D6+BU$5-1,Mortality!$A$4:$A$64,0),$U6)*$V6*$N6,0)</f>
        <v>0</v>
      </c>
      <c r="BV6" s="93">
        <f>IF(AND($T6=1,BV$5&lt;=$H6),INDEX(Mortality!$B$4:$E$64,MATCH($D6+BV$5-1,Mortality!$A$4:$A$64,0),$U6)*$V6*$N6,0)</f>
        <v>0</v>
      </c>
      <c r="BW6" s="93">
        <f>IF(AND($T6=1,BW$5&lt;=$H6),INDEX(Mortality!$B$4:$E$64,MATCH($D6+BW$5-1,Mortality!$A$4:$A$64,0),$U6)*$V6*$N6,0)</f>
        <v>0</v>
      </c>
      <c r="BX6" s="93">
        <f>IF(AND($T6=1,BX$5&lt;=$H6),INDEX(Mortality!$B$4:$E$64,MATCH($D6+BX$5-1,Mortality!$A$4:$A$64,0),$U6)*$V6*$N6,0)</f>
        <v>0</v>
      </c>
      <c r="BY6" s="93">
        <f>IF(AND($T6=1,BY$5&lt;=$H6),INDEX(Mortality!$B$4:$E$64,MATCH($D6+BY$5-1,Mortality!$A$4:$A$64,0),$U6)*$V6*$N6,0)</f>
        <v>0</v>
      </c>
      <c r="BZ6" s="93">
        <f>IF(AND($T6=1,BZ$5&lt;=$H6),INDEX(Mortality!$B$4:$E$64,MATCH($D6+BZ$5-1,Mortality!$A$4:$A$64,0),$U6)*$V6*$N6,0)</f>
        <v>0</v>
      </c>
      <c r="CA6" s="93">
        <f>IF(AND($T6=1,CA$5&lt;=$H6),INDEX(Mortality!$B$4:$E$64,MATCH($D6+CA$5-1,Mortality!$A$4:$A$64,0),$U6)*$V6*$N6,0)</f>
        <v>0</v>
      </c>
      <c r="CB6" s="93">
        <f>IF(AND($T6=1,CB$5&lt;=$H6),INDEX(Mortality!$B$4:$E$64,MATCH($D6+CB$5-1,Mortality!$A$4:$A$64,0),$U6)*$V6*$N6,0)</f>
        <v>0</v>
      </c>
      <c r="CC6" s="93">
        <f>IF(AND($T6=1,CC$5&lt;=$H6),INDEX(Mortality!$B$4:$E$64,MATCH($D6+CC$5-1,Mortality!$A$4:$A$64,0),$U6)*$V6*$N6,0)</f>
        <v>0</v>
      </c>
      <c r="CD6" s="93">
        <f>IF(AND($T6=1,CD$5&lt;=$H6),INDEX(Mortality!$B$4:$E$64,MATCH($D6+CD$5-1,Mortality!$A$4:$A$64,0),$U6)*$V6*$N6,0)</f>
        <v>0</v>
      </c>
      <c r="CE6" s="93">
        <f>IF(AND($T6=1,CE$5&lt;=$H6),INDEX(Mortality!$B$4:$E$64,MATCH($D6+CE$5-1,Mortality!$A$4:$A$64,0),$U6)*$V6*$N6,0)</f>
        <v>0</v>
      </c>
      <c r="CF6" s="93">
        <f>IF(AND($T6=1,CF$5&lt;=$H6),INDEX(Mortality!$B$4:$E$64,MATCH($D6+CF$5-1,Mortality!$A$4:$A$64,0),$U6)*$V6*$N6,0)</f>
        <v>0</v>
      </c>
      <c r="CG6" s="93">
        <f>IF(AND($T6=1,CG$5&lt;=$H6),INDEX(Mortality!$B$4:$E$64,MATCH($D6+CG$5-1,Mortality!$A$4:$A$64,0),$U6)*$V6*$N6,0)</f>
        <v>0</v>
      </c>
      <c r="CH6" s="94">
        <f>IF(AND($T6=1,CH$5&lt;=$H6),INDEX(Mortality!$B$4:$E$64,MATCH($D6+CH$5-1,Mortality!$A$4:$A$64,0),$U6)*$V6*$N6,0)</f>
        <v>0</v>
      </c>
      <c r="CI6" s="26"/>
      <c r="CJ6" s="419">
        <f t="shared" ref="CJ6:CJ24" si="17">IF($T6=1,1,0)</f>
        <v>1</v>
      </c>
      <c r="CK6" s="93">
        <f>IF(AND($T6=1,CK$5&lt;=$H6),CJ6*(1-AU6)*(1-MIN(1,MAX(Assumptions!$C$27,Assumptions!$C$13*Assumptions!$C$28^(CJ$5-1))*$O6)),0)</f>
        <v>0.87962803197725037</v>
      </c>
      <c r="CL6" s="93">
        <f>IF(AND($T6=1,CL$5&lt;=$H6),CK6*(1-AV6)*(1-MIN(1,MAX(Assumptions!$C$27,Assumptions!$C$13*Assumptions!$C$28^(CK$5-1))*$O6)),0)</f>
        <v>0.78954427822772988</v>
      </c>
      <c r="CM6" s="93">
        <f>IF(AND($T6=1,CM$5&lt;=$H6),CL6*(1-AW6)*(1-MIN(1,MAX(Assumptions!$C$27,Assumptions!$C$13*Assumptions!$C$28^(CL$5-1))*$O6)),0)</f>
        <v>0.72073310490533871</v>
      </c>
      <c r="CN6" s="93">
        <f>IF(AND($T6=1,CN$5&lt;=$H6),CM6*(1-AX6)*(1-MIN(1,MAX(Assumptions!$C$27,Assumptions!$C$13*Assumptions!$C$28^(CM$5-1))*$O6)),0)</f>
        <v>0.66725993685201457</v>
      </c>
      <c r="CO6" s="93">
        <f>IF(AND($T6=1,CO$5&lt;=$H6),CN6*(1-AY6)*(1-MIN(1,MAX(Assumptions!$C$27,Assumptions!$C$13*Assumptions!$C$28^(CN$5-1))*$O6)),0)</f>
        <v>0.62509819273434331</v>
      </c>
      <c r="CP6" s="93">
        <f>IF(AND($T6=1,CP$5&lt;=$H6),CO6*(1-AZ6)*(1-MIN(1,MAX(Assumptions!$C$27,Assumptions!$C$13*Assumptions!$C$28^(CO$5-1))*$O6)),0)</f>
        <v>0.59144187885656507</v>
      </c>
      <c r="CQ6" s="93">
        <f>IF(AND($T6=1,CQ$5&lt;=$H6),CP6*(1-BA6)*(1-MIN(1,MAX(Assumptions!$C$27,Assumptions!$C$13*Assumptions!$C$28^(CP$5-1))*$O6)),0)</f>
        <v>0.5642887075731372</v>
      </c>
      <c r="CR6" s="93">
        <f>IF(AND($T6=1,CR$5&lt;=$H6),CQ6*(1-BB6)*(1-MIN(1,MAX(Assumptions!$C$27,Assumptions!$C$13*Assumptions!$C$28^(CQ$5-1))*$O6)),0)</f>
        <v>0.54217943755905917</v>
      </c>
      <c r="CS6" s="93">
        <f>IF(AND($T6=1,CS$5&lt;=$H6),CR6*(1-BC6)*(1-MIN(1,MAX(Assumptions!$C$27,Assumptions!$C$13*Assumptions!$C$28^(CR$5-1))*$O6)),0)</f>
        <v>0.52403037339996894</v>
      </c>
      <c r="CT6" s="93">
        <f>IF(AND($T6=1,CT$5&lt;=$H6),CS6*(1-BD6)*(1-MIN(1,MAX(Assumptions!$C$27,Assumptions!$C$13*Assumptions!$C$28^(CS$5-1))*$O6)),0)</f>
        <v>0</v>
      </c>
      <c r="CU6" s="93">
        <f>IF(AND($T6=1,CU$5&lt;=$H6),CT6*(1-BE6)*(1-MIN(1,MAX(Assumptions!$C$27,Assumptions!$C$13*Assumptions!$C$28^(CT$5-1))*$O6)),0)</f>
        <v>0</v>
      </c>
      <c r="CV6" s="93">
        <f>IF(AND($T6=1,CV$5&lt;=$H6),CU6*(1-BF6)*(1-MIN(1,MAX(Assumptions!$C$27,Assumptions!$C$13*Assumptions!$C$28^(CU$5-1))*$O6)),0)</f>
        <v>0</v>
      </c>
      <c r="CW6" s="93">
        <f>IF(AND($T6=1,CW$5&lt;=$H6),CV6*(1-BG6)*(1-MIN(1,MAX(Assumptions!$C$27,Assumptions!$C$13*Assumptions!$C$28^(CV$5-1))*$O6)),0)</f>
        <v>0</v>
      </c>
      <c r="CX6" s="93">
        <f>IF(AND($T6=1,CX$5&lt;=$H6),CW6*(1-BH6)*(1-MIN(1,MAX(Assumptions!$C$27,Assumptions!$C$13*Assumptions!$C$28^(CW$5-1))*$O6)),0)</f>
        <v>0</v>
      </c>
      <c r="CY6" s="93">
        <f>IF(AND($T6=1,CY$5&lt;=$H6),CX6*(1-BI6)*(1-MIN(1,MAX(Assumptions!$C$27,Assumptions!$C$13*Assumptions!$C$28^(CX$5-1))*$O6)),0)</f>
        <v>0</v>
      </c>
      <c r="CZ6" s="93">
        <f>IF(AND($T6=1,CZ$5&lt;=$H6),CY6*(1-BJ6)*(1-MIN(1,MAX(Assumptions!$C$27,Assumptions!$C$13*Assumptions!$C$28^(CY$5-1))*$O6)),0)</f>
        <v>0</v>
      </c>
      <c r="DA6" s="93">
        <f>IF(AND($T6=1,DA$5&lt;=$H6),CZ6*(1-BK6)*(1-MIN(1,MAX(Assumptions!$C$27,Assumptions!$C$13*Assumptions!$C$28^(CZ$5-1))*$O6)),0)</f>
        <v>0</v>
      </c>
      <c r="DB6" s="93">
        <f>IF(AND($T6=1,DB$5&lt;=$H6),DA6*(1-BL6)*(1-MIN(1,MAX(Assumptions!$C$27,Assumptions!$C$13*Assumptions!$C$28^(DA$5-1))*$O6)),0)</f>
        <v>0</v>
      </c>
      <c r="DC6" s="93">
        <f>IF(AND($T6=1,DC$5&lt;=$H6),DB6*(1-BM6)*(1-MIN(1,MAX(Assumptions!$C$27,Assumptions!$C$13*Assumptions!$C$28^(DB$5-1))*$O6)),0)</f>
        <v>0</v>
      </c>
      <c r="DD6" s="93">
        <f>IF(AND($T6=1,DD$5&lt;=$H6),DC6*(1-BN6)*(1-MIN(1,MAX(Assumptions!$C$27,Assumptions!$C$13*Assumptions!$C$28^(DC$5-1))*$O6)),0)</f>
        <v>0</v>
      </c>
      <c r="DE6" s="93">
        <f>IF(AND($T6=1,DE$5&lt;=$H6),DD6*(1-BO6)*(1-MIN(1,MAX(Assumptions!$C$27,Assumptions!$C$13*Assumptions!$C$28^(DD$5-1))*$O6)),0)</f>
        <v>0</v>
      </c>
      <c r="DF6" s="93">
        <f>IF(AND($T6=1,DF$5&lt;=$H6),DE6*(1-BP6)*(1-MIN(1,MAX(Assumptions!$C$27,Assumptions!$C$13*Assumptions!$C$28^(DE$5-1))*$O6)),0)</f>
        <v>0</v>
      </c>
      <c r="DG6" s="93">
        <f>IF(AND($T6=1,DG$5&lt;=$H6),DF6*(1-BQ6)*(1-MIN(1,MAX(Assumptions!$C$27,Assumptions!$C$13*Assumptions!$C$28^(DF$5-1))*$O6)),0)</f>
        <v>0</v>
      </c>
      <c r="DH6" s="93">
        <f>IF(AND($T6=1,DH$5&lt;=$H6),DG6*(1-BR6)*(1-MIN(1,MAX(Assumptions!$C$27,Assumptions!$C$13*Assumptions!$C$28^(DG$5-1))*$O6)),0)</f>
        <v>0</v>
      </c>
      <c r="DI6" s="93">
        <f>IF(AND($T6=1,DI$5&lt;=$H6),DH6*(1-BS6)*(1-MIN(1,MAX(Assumptions!$C$27,Assumptions!$C$13*Assumptions!$C$28^(DH$5-1))*$O6)),0)</f>
        <v>0</v>
      </c>
      <c r="DJ6" s="93">
        <f>IF(AND($T6=1,DJ$5&lt;=$H6),DI6*(1-BT6)*(1-MIN(1,MAX(Assumptions!$C$27,Assumptions!$C$13*Assumptions!$C$28^(DI$5-1))*$O6)),0)</f>
        <v>0</v>
      </c>
      <c r="DK6" s="93">
        <f>IF(AND($T6=1,DK$5&lt;=$H6),DJ6*(1-BU6)*(1-MIN(1,MAX(Assumptions!$C$27,Assumptions!$C$13*Assumptions!$C$28^(DJ$5-1))*$O6)),0)</f>
        <v>0</v>
      </c>
      <c r="DL6" s="93">
        <f>IF(AND($T6=1,DL$5&lt;=$H6),DK6*(1-BV6)*(1-MIN(1,MAX(Assumptions!$C$27,Assumptions!$C$13*Assumptions!$C$28^(DK$5-1))*$O6)),0)</f>
        <v>0</v>
      </c>
      <c r="DM6" s="93">
        <f>IF(AND($T6=1,DM$5&lt;=$H6),DL6*(1-BW6)*(1-MIN(1,MAX(Assumptions!$C$27,Assumptions!$C$13*Assumptions!$C$28^(DL$5-1))*$O6)),0)</f>
        <v>0</v>
      </c>
      <c r="DN6" s="93">
        <f>IF(AND($T6=1,DN$5&lt;=$H6),DM6*(1-BX6)*(1-MIN(1,MAX(Assumptions!$C$27,Assumptions!$C$13*Assumptions!$C$28^(DM$5-1))*$O6)),0)</f>
        <v>0</v>
      </c>
      <c r="DO6" s="93">
        <f>IF(AND($T6=1,DO$5&lt;=$H6),DN6*(1-BY6)*(1-MIN(1,MAX(Assumptions!$C$27,Assumptions!$C$13*Assumptions!$C$28^(DN$5-1))*$O6)),0)</f>
        <v>0</v>
      </c>
      <c r="DP6" s="93">
        <f>IF(AND($T6=1,DP$5&lt;=$H6),DO6*(1-BZ6)*(1-MIN(1,MAX(Assumptions!$C$27,Assumptions!$C$13*Assumptions!$C$28^(DO$5-1))*$O6)),0)</f>
        <v>0</v>
      </c>
      <c r="DQ6" s="93">
        <f>IF(AND($T6=1,DQ$5&lt;=$H6),DP6*(1-CA6)*(1-MIN(1,MAX(Assumptions!$C$27,Assumptions!$C$13*Assumptions!$C$28^(DP$5-1))*$O6)),0)</f>
        <v>0</v>
      </c>
      <c r="DR6" s="93">
        <f>IF(AND($T6=1,DR$5&lt;=$H6),DQ6*(1-CB6)*(1-MIN(1,MAX(Assumptions!$C$27,Assumptions!$C$13*Assumptions!$C$28^(DQ$5-1))*$O6)),0)</f>
        <v>0</v>
      </c>
      <c r="DS6" s="93">
        <f>IF(AND($T6=1,DS$5&lt;=$H6),DR6*(1-CC6)*(1-MIN(1,MAX(Assumptions!$C$27,Assumptions!$C$13*Assumptions!$C$28^(DR$5-1))*$O6)),0)</f>
        <v>0</v>
      </c>
      <c r="DT6" s="93">
        <f>IF(AND($T6=1,DT$5&lt;=$H6),DS6*(1-CD6)*(1-MIN(1,MAX(Assumptions!$C$27,Assumptions!$C$13*Assumptions!$C$28^(DS$5-1))*$O6)),0)</f>
        <v>0</v>
      </c>
      <c r="DU6" s="93">
        <f>IF(AND($T6=1,DU$5&lt;=$H6),DT6*(1-CE6)*(1-MIN(1,MAX(Assumptions!$C$27,Assumptions!$C$13*Assumptions!$C$28^(DT$5-1))*$O6)),0)</f>
        <v>0</v>
      </c>
      <c r="DV6" s="93">
        <f>IF(AND($T6=1,DV$5&lt;=$H6),DU6*(1-CF6)*(1-MIN(1,MAX(Assumptions!$C$27,Assumptions!$C$13*Assumptions!$C$28^(DU$5-1))*$O6)),0)</f>
        <v>0</v>
      </c>
      <c r="DW6" s="94">
        <f>IF(AND($T6=1,DW$5&lt;=$H6),DV6*(1-CG6)*(1-MIN(1,MAX(Assumptions!$C$27,Assumptions!$C$13*Assumptions!$C$28^(DV$5-1))*$O6)),0)</f>
        <v>0</v>
      </c>
      <c r="DX6" s="26"/>
      <c r="DY6" s="26"/>
      <c r="DZ6" s="26"/>
      <c r="EA6" s="26"/>
      <c r="EB6" s="26"/>
      <c r="EC6" s="26"/>
      <c r="ED6" s="26"/>
    </row>
    <row r="7" spans="1:134" x14ac:dyDescent="0.3">
      <c r="A7" s="382" t="s">
        <v>390</v>
      </c>
      <c r="B7" s="383" t="s">
        <v>391</v>
      </c>
      <c r="C7" s="383" t="s">
        <v>288</v>
      </c>
      <c r="D7" s="384">
        <f>'Premium Calculation'!$B$4</f>
        <v>24</v>
      </c>
      <c r="E7" s="385" t="str">
        <f>'Premium Calculation'!$B$5</f>
        <v>Male</v>
      </c>
      <c r="F7" s="385" t="str">
        <f>'Premium Calculation'!$B$6</f>
        <v>Smoker</v>
      </c>
      <c r="G7" s="385" t="str">
        <f>'Premium Calculation'!$B$7</f>
        <v>Preferred</v>
      </c>
      <c r="H7" s="384">
        <f>'Premium Calculation'!$B$8</f>
        <v>10</v>
      </c>
      <c r="I7" s="386">
        <f>'Premium Calculation'!$B$9</f>
        <v>100000</v>
      </c>
      <c r="J7" s="385" t="str">
        <f>'Premium Calculation'!$B$10</f>
        <v>Monthly</v>
      </c>
      <c r="K7" s="385" t="str">
        <f>'Premium Calculation'!$B$31</f>
        <v>Bancassurance</v>
      </c>
      <c r="L7" s="383" t="s">
        <v>389</v>
      </c>
      <c r="M7" s="386">
        <f>'Premium Calculation'!$B$29</f>
        <v>562.44258371429942</v>
      </c>
      <c r="N7" s="387">
        <f>Sensitivities!$C$8</f>
        <v>1</v>
      </c>
      <c r="O7" s="387">
        <f>Sensitivities!$C$9</f>
        <v>1</v>
      </c>
      <c r="P7" s="387">
        <f>Sensitivities!$C$10</f>
        <v>1</v>
      </c>
      <c r="Q7" s="388">
        <f>Sensitivities!$C$11</f>
        <v>0</v>
      </c>
      <c r="R7" s="388">
        <f>Assumptions!$C$6+Sensitivities!$C$12</f>
        <v>3.5000000000000003E-2</v>
      </c>
      <c r="S7" s="388">
        <f>Assumptions!$C$15</f>
        <v>1.1000000000000001E-3</v>
      </c>
      <c r="T7" s="26">
        <f t="shared" si="0"/>
        <v>1</v>
      </c>
      <c r="U7" s="26">
        <f t="shared" si="1"/>
        <v>4</v>
      </c>
      <c r="V7" s="389">
        <f>IF($G7="Preferred",Assumptions!$C$30,IF($G7="Rated",Assumptions!$C$31,1))</f>
        <v>0.8</v>
      </c>
      <c r="W7" s="390">
        <f>IF($K7="Direct",Assumptions!$C$32,IF($K7="Broker",Assumptions!$C$33,IF($K7="Bancassurance",Assumptions!$C$34,Assumptions!$C$11)))+$Q7</f>
        <v>0.2</v>
      </c>
      <c r="X7" s="390">
        <f>Assumptions!$C$12+$Q7</f>
        <v>0.05</v>
      </c>
      <c r="Y7" s="131">
        <f>MIN($I7,Assumptions!$C$14)</f>
        <v>100000</v>
      </c>
      <c r="Z7" s="131">
        <f>MAX($I7-Assumptions!$C$14,0)</f>
        <v>0</v>
      </c>
      <c r="AA7" s="389">
        <f t="shared" si="2"/>
        <v>5.8605636374350922</v>
      </c>
      <c r="AB7" s="389">
        <f t="shared" si="3"/>
        <v>3.3989780815334159E-3</v>
      </c>
      <c r="AC7" s="389">
        <f>IF($T7=1,SUMPRODUCT($CJ7:$DW7,(1+Assumptions!$C$5)^($CJ$5:$DW$5-1),(1+$R7)^(-$CJ$5:$DW$5)),0)</f>
        <v>6.7981476079723411</v>
      </c>
      <c r="AD7" s="389">
        <f t="shared" si="4"/>
        <v>0.4379557181036387</v>
      </c>
      <c r="AE7" s="131">
        <f>IF($T7=1,$AB7*$Y7+(Assumptions!$C$9/(1+$R7)+Assumptions!$C$10*$AC7)*$P7+$S7*$Z7*$AA7,0)</f>
        <v>2705.0554992985608</v>
      </c>
      <c r="AF7" s="131">
        <f>IF($T7=1,IF($AA7-$AD7-Assumptions!$C$16*$AA7&gt;0,$AE7/($AA7-$AD7-Assumptions!$C$16*$AA7)*IF($J7="Monthly",1+Assumptions!$C$29,1),"n.a."),"")</f>
        <v>562.44258371429919</v>
      </c>
      <c r="AG7" s="131">
        <f t="shared" si="5"/>
        <v>562.44258371429942</v>
      </c>
      <c r="AH7" s="131">
        <f t="shared" si="6"/>
        <v>3296.2305542610661</v>
      </c>
      <c r="AI7" s="131">
        <f t="shared" si="7"/>
        <v>344.85010931984334</v>
      </c>
      <c r="AJ7" s="390">
        <f t="shared" si="8"/>
        <v>0.1046195354490761</v>
      </c>
      <c r="AK7" s="389">
        <f t="shared" si="9"/>
        <v>1.0000000000000004</v>
      </c>
      <c r="AL7" s="131">
        <f t="shared" si="10"/>
        <v>0</v>
      </c>
      <c r="AM7" s="131">
        <f t="shared" si="11"/>
        <v>0</v>
      </c>
      <c r="AN7" s="131">
        <f t="shared" si="12"/>
        <v>0</v>
      </c>
      <c r="AO7" s="131">
        <f t="shared" si="13"/>
        <v>344.85010931984334</v>
      </c>
      <c r="AP7" s="26" t="str">
        <f t="shared" si="14"/>
        <v>20-29</v>
      </c>
      <c r="AQ7" s="26" t="str">
        <f t="shared" si="15"/>
        <v>Up to 250k</v>
      </c>
      <c r="AR7" s="26" t="str">
        <f>IF($T7=1,IF($AI7&lt;0,"Loss-making",IF($AJ7&lt;Assumptions!$C$16-0.00001,"Below target","At/above target")),"Excluded")</f>
        <v>At/above target</v>
      </c>
      <c r="AS7" s="103">
        <f t="shared" si="16"/>
        <v>344.85011631984332</v>
      </c>
      <c r="AT7" s="26"/>
      <c r="AU7" s="419">
        <f>IF(AND($T7=1,AU$5&lt;=$H7),INDEX(Mortality!$B$4:$E$64,MATCH($D7+AU$5-1,Mortality!$A$4:$A$64,0),$U7)*$V7*$N7,0)</f>
        <v>4.2269093494277525E-4</v>
      </c>
      <c r="AV7" s="93">
        <f>IF(AND($T7=1,AV$5&lt;=$H7),INDEX(Mortality!$B$4:$E$64,MATCH($D7+AV$5-1,Mortality!$A$4:$A$64,0),$U7)*$V7*$N7,0)</f>
        <v>4.5789562344694478E-4</v>
      </c>
      <c r="AW7" s="93">
        <f>IF(AND($T7=1,AW$5&lt;=$H7),INDEX(Mortality!$B$4:$E$64,MATCH($D7+AW$5-1,Mortality!$A$4:$A$64,0),$U7)*$V7*$N7,0)</f>
        <v>4.960324072250384E-4</v>
      </c>
      <c r="AX7" s="93">
        <f>IF(AND($T7=1,AX$5&lt;=$H7),INDEX(Mortality!$B$4:$E$64,MATCH($D7+AX$5-1,Mortality!$A$4:$A$64,0),$U7)*$V7*$N7,0)</f>
        <v>5.3734549189456246E-4</v>
      </c>
      <c r="AY7" s="93">
        <f>IF(AND($T7=1,AY$5&lt;=$H7),INDEX(Mortality!$B$4:$E$64,MATCH($D7+AY$5-1,Mortality!$A$4:$A$64,0),$U7)*$V7*$N7,0)</f>
        <v>5.8209942224281914E-4</v>
      </c>
      <c r="AZ7" s="93">
        <f>IF(AND($T7=1,AZ$5&lt;=$H7),INDEX(Mortality!$B$4:$E$64,MATCH($D7+AZ$5-1,Mortality!$A$4:$A$64,0),$U7)*$V7*$N7,0)</f>
        <v>6.3058077621671118E-4</v>
      </c>
      <c r="BA7" s="93">
        <f>IF(AND($T7=1,BA$5&lt;=$H7),INDEX(Mortality!$B$4:$E$64,MATCH($D7+BA$5-1,Mortality!$A$4:$A$64,0),$U7)*$V7*$N7,0)</f>
        <v>6.8310000000000007E-4</v>
      </c>
      <c r="BB7" s="93">
        <f>IF(AND($T7=1,BB$5&lt;=$H7),INDEX(Mortality!$B$4:$E$64,MATCH($D7+BB$5-1,Mortality!$A$4:$A$64,0),$U7)*$V7*$N7,0)</f>
        <v>7.3999339592876405E-4</v>
      </c>
      <c r="BC7" s="93">
        <f>IF(AND($T7=1,BC$5&lt;=$H7),INDEX(Mortality!$B$4:$E$64,MATCH($D7+BC$5-1,Mortality!$A$4:$A$64,0),$U7)*$V7*$N7,0)</f>
        <v>8.0162527597450392E-4</v>
      </c>
      <c r="BD7" s="93">
        <f>IF(AND($T7=1,BD$5&lt;=$H7),INDEX(Mortality!$B$4:$E$64,MATCH($D7+BD$5-1,Mortality!$A$4:$A$64,0),$U7)*$V7*$N7,0)</f>
        <v>8.6839029458455209E-4</v>
      </c>
      <c r="BE7" s="93">
        <f>IF(AND($T7=1,BE$5&lt;=$H7),INDEX(Mortality!$B$4:$E$64,MATCH($D7+BE$5-1,Mortality!$A$4:$A$64,0),$U7)*$V7*$N7,0)</f>
        <v>0</v>
      </c>
      <c r="BF7" s="93">
        <f>IF(AND($T7=1,BF$5&lt;=$H7),INDEX(Mortality!$B$4:$E$64,MATCH($D7+BF$5-1,Mortality!$A$4:$A$64,0),$U7)*$V7*$N7,0)</f>
        <v>0</v>
      </c>
      <c r="BG7" s="93">
        <f>IF(AND($T7=1,BG$5&lt;=$H7),INDEX(Mortality!$B$4:$E$64,MATCH($D7+BG$5-1,Mortality!$A$4:$A$64,0),$U7)*$V7*$N7,0)</f>
        <v>0</v>
      </c>
      <c r="BH7" s="93">
        <f>IF(AND($T7=1,BH$5&lt;=$H7),INDEX(Mortality!$B$4:$E$64,MATCH($D7+BH$5-1,Mortality!$A$4:$A$64,0),$U7)*$V7*$N7,0)</f>
        <v>0</v>
      </c>
      <c r="BI7" s="93">
        <f>IF(AND($T7=1,BI$5&lt;=$H7),INDEX(Mortality!$B$4:$E$64,MATCH($D7+BI$5-1,Mortality!$A$4:$A$64,0),$U7)*$V7*$N7,0)</f>
        <v>0</v>
      </c>
      <c r="BJ7" s="93">
        <f>IF(AND($T7=1,BJ$5&lt;=$H7),INDEX(Mortality!$B$4:$E$64,MATCH($D7+BJ$5-1,Mortality!$A$4:$A$64,0),$U7)*$V7*$N7,0)</f>
        <v>0</v>
      </c>
      <c r="BK7" s="93">
        <f>IF(AND($T7=1,BK$5&lt;=$H7),INDEX(Mortality!$B$4:$E$64,MATCH($D7+BK$5-1,Mortality!$A$4:$A$64,0),$U7)*$V7*$N7,0)</f>
        <v>0</v>
      </c>
      <c r="BL7" s="93">
        <f>IF(AND($T7=1,BL$5&lt;=$H7),INDEX(Mortality!$B$4:$E$64,MATCH($D7+BL$5-1,Mortality!$A$4:$A$64,0),$U7)*$V7*$N7,0)</f>
        <v>0</v>
      </c>
      <c r="BM7" s="93">
        <f>IF(AND($T7=1,BM$5&lt;=$H7),INDEX(Mortality!$B$4:$E$64,MATCH($D7+BM$5-1,Mortality!$A$4:$A$64,0),$U7)*$V7*$N7,0)</f>
        <v>0</v>
      </c>
      <c r="BN7" s="93">
        <f>IF(AND($T7=1,BN$5&lt;=$H7),INDEX(Mortality!$B$4:$E$64,MATCH($D7+BN$5-1,Mortality!$A$4:$A$64,0),$U7)*$V7*$N7,0)</f>
        <v>0</v>
      </c>
      <c r="BO7" s="93">
        <f>IF(AND($T7=1,BO$5&lt;=$H7),INDEX(Mortality!$B$4:$E$64,MATCH($D7+BO$5-1,Mortality!$A$4:$A$64,0),$U7)*$V7*$N7,0)</f>
        <v>0</v>
      </c>
      <c r="BP7" s="93">
        <f>IF(AND($T7=1,BP$5&lt;=$H7),INDEX(Mortality!$B$4:$E$64,MATCH($D7+BP$5-1,Mortality!$A$4:$A$64,0),$U7)*$V7*$N7,0)</f>
        <v>0</v>
      </c>
      <c r="BQ7" s="93">
        <f>IF(AND($T7=1,BQ$5&lt;=$H7),INDEX(Mortality!$B$4:$E$64,MATCH($D7+BQ$5-1,Mortality!$A$4:$A$64,0),$U7)*$V7*$N7,0)</f>
        <v>0</v>
      </c>
      <c r="BR7" s="93">
        <f>IF(AND($T7=1,BR$5&lt;=$H7),INDEX(Mortality!$B$4:$E$64,MATCH($D7+BR$5-1,Mortality!$A$4:$A$64,0),$U7)*$V7*$N7,0)</f>
        <v>0</v>
      </c>
      <c r="BS7" s="93">
        <f>IF(AND($T7=1,BS$5&lt;=$H7),INDEX(Mortality!$B$4:$E$64,MATCH($D7+BS$5-1,Mortality!$A$4:$A$64,0),$U7)*$V7*$N7,0)</f>
        <v>0</v>
      </c>
      <c r="BT7" s="93">
        <f>IF(AND($T7=1,BT$5&lt;=$H7),INDEX(Mortality!$B$4:$E$64,MATCH($D7+BT$5-1,Mortality!$A$4:$A$64,0),$U7)*$V7*$N7,0)</f>
        <v>0</v>
      </c>
      <c r="BU7" s="93">
        <f>IF(AND($T7=1,BU$5&lt;=$H7),INDEX(Mortality!$B$4:$E$64,MATCH($D7+BU$5-1,Mortality!$A$4:$A$64,0),$U7)*$V7*$N7,0)</f>
        <v>0</v>
      </c>
      <c r="BV7" s="93">
        <f>IF(AND($T7=1,BV$5&lt;=$H7),INDEX(Mortality!$B$4:$E$64,MATCH($D7+BV$5-1,Mortality!$A$4:$A$64,0),$U7)*$V7*$N7,0)</f>
        <v>0</v>
      </c>
      <c r="BW7" s="93">
        <f>IF(AND($T7=1,BW$5&lt;=$H7),INDEX(Mortality!$B$4:$E$64,MATCH($D7+BW$5-1,Mortality!$A$4:$A$64,0),$U7)*$V7*$N7,0)</f>
        <v>0</v>
      </c>
      <c r="BX7" s="93">
        <f>IF(AND($T7=1,BX$5&lt;=$H7),INDEX(Mortality!$B$4:$E$64,MATCH($D7+BX$5-1,Mortality!$A$4:$A$64,0),$U7)*$V7*$N7,0)</f>
        <v>0</v>
      </c>
      <c r="BY7" s="93">
        <f>IF(AND($T7=1,BY$5&lt;=$H7),INDEX(Mortality!$B$4:$E$64,MATCH($D7+BY$5-1,Mortality!$A$4:$A$64,0),$U7)*$V7*$N7,0)</f>
        <v>0</v>
      </c>
      <c r="BZ7" s="93">
        <f>IF(AND($T7=1,BZ$5&lt;=$H7),INDEX(Mortality!$B$4:$E$64,MATCH($D7+BZ$5-1,Mortality!$A$4:$A$64,0),$U7)*$V7*$N7,0)</f>
        <v>0</v>
      </c>
      <c r="CA7" s="93">
        <f>IF(AND($T7=1,CA$5&lt;=$H7),INDEX(Mortality!$B$4:$E$64,MATCH($D7+CA$5-1,Mortality!$A$4:$A$64,0),$U7)*$V7*$N7,0)</f>
        <v>0</v>
      </c>
      <c r="CB7" s="93">
        <f>IF(AND($T7=1,CB$5&lt;=$H7),INDEX(Mortality!$B$4:$E$64,MATCH($D7+CB$5-1,Mortality!$A$4:$A$64,0),$U7)*$V7*$N7,0)</f>
        <v>0</v>
      </c>
      <c r="CC7" s="93">
        <f>IF(AND($T7=1,CC$5&lt;=$H7),INDEX(Mortality!$B$4:$E$64,MATCH($D7+CC$5-1,Mortality!$A$4:$A$64,0),$U7)*$V7*$N7,0)</f>
        <v>0</v>
      </c>
      <c r="CD7" s="93">
        <f>IF(AND($T7=1,CD$5&lt;=$H7),INDEX(Mortality!$B$4:$E$64,MATCH($D7+CD$5-1,Mortality!$A$4:$A$64,0),$U7)*$V7*$N7,0)</f>
        <v>0</v>
      </c>
      <c r="CE7" s="93">
        <f>IF(AND($T7=1,CE$5&lt;=$H7),INDEX(Mortality!$B$4:$E$64,MATCH($D7+CE$5-1,Mortality!$A$4:$A$64,0),$U7)*$V7*$N7,0)</f>
        <v>0</v>
      </c>
      <c r="CF7" s="93">
        <f>IF(AND($T7=1,CF$5&lt;=$H7),INDEX(Mortality!$B$4:$E$64,MATCH($D7+CF$5-1,Mortality!$A$4:$A$64,0),$U7)*$V7*$N7,0)</f>
        <v>0</v>
      </c>
      <c r="CG7" s="93">
        <f>IF(AND($T7=1,CG$5&lt;=$H7),INDEX(Mortality!$B$4:$E$64,MATCH($D7+CG$5-1,Mortality!$A$4:$A$64,0),$U7)*$V7*$N7,0)</f>
        <v>0</v>
      </c>
      <c r="CH7" s="94">
        <f>IF(AND($T7=1,CH$5&lt;=$H7),INDEX(Mortality!$B$4:$E$64,MATCH($D7+CH$5-1,Mortality!$A$4:$A$64,0),$U7)*$V7*$N7,0)</f>
        <v>0</v>
      </c>
      <c r="CI7" s="26"/>
      <c r="CJ7" s="419">
        <f t="shared" si="17"/>
        <v>1</v>
      </c>
      <c r="CK7" s="93">
        <f>IF(AND($T7=1,CK$5&lt;=$H7),CJ7*(1-AU7)*(1-MIN(1,MAX(Assumptions!$C$27,Assumptions!$C$13*Assumptions!$C$28^(CJ$5-1))*$O7)),0)</f>
        <v>0.87962803197725037</v>
      </c>
      <c r="CL7" s="93">
        <f>IF(AND($T7=1,CL$5&lt;=$H7),CK7*(1-AV7)*(1-MIN(1,MAX(Assumptions!$C$27,Assumptions!$C$13*Assumptions!$C$28^(CK$5-1))*$O7)),0)</f>
        <v>0.78954427822772988</v>
      </c>
      <c r="CM7" s="93">
        <f>IF(AND($T7=1,CM$5&lt;=$H7),CL7*(1-AW7)*(1-MIN(1,MAX(Assumptions!$C$27,Assumptions!$C$13*Assumptions!$C$28^(CL$5-1))*$O7)),0)</f>
        <v>0.72073310490533871</v>
      </c>
      <c r="CN7" s="93">
        <f>IF(AND($T7=1,CN$5&lt;=$H7),CM7*(1-AX7)*(1-MIN(1,MAX(Assumptions!$C$27,Assumptions!$C$13*Assumptions!$C$28^(CM$5-1))*$O7)),0)</f>
        <v>0.66725993685201457</v>
      </c>
      <c r="CO7" s="93">
        <f>IF(AND($T7=1,CO$5&lt;=$H7),CN7*(1-AY7)*(1-MIN(1,MAX(Assumptions!$C$27,Assumptions!$C$13*Assumptions!$C$28^(CN$5-1))*$O7)),0)</f>
        <v>0.62509819273434331</v>
      </c>
      <c r="CP7" s="93">
        <f>IF(AND($T7=1,CP$5&lt;=$H7),CO7*(1-AZ7)*(1-MIN(1,MAX(Assumptions!$C$27,Assumptions!$C$13*Assumptions!$C$28^(CO$5-1))*$O7)),0)</f>
        <v>0.59144187885656507</v>
      </c>
      <c r="CQ7" s="93">
        <f>IF(AND($T7=1,CQ$5&lt;=$H7),CP7*(1-BA7)*(1-MIN(1,MAX(Assumptions!$C$27,Assumptions!$C$13*Assumptions!$C$28^(CP$5-1))*$O7)),0)</f>
        <v>0.5642887075731372</v>
      </c>
      <c r="CR7" s="93">
        <f>IF(AND($T7=1,CR$5&lt;=$H7),CQ7*(1-BB7)*(1-MIN(1,MAX(Assumptions!$C$27,Assumptions!$C$13*Assumptions!$C$28^(CQ$5-1))*$O7)),0)</f>
        <v>0.54217943755905917</v>
      </c>
      <c r="CS7" s="93">
        <f>IF(AND($T7=1,CS$5&lt;=$H7),CR7*(1-BC7)*(1-MIN(1,MAX(Assumptions!$C$27,Assumptions!$C$13*Assumptions!$C$28^(CR$5-1))*$O7)),0)</f>
        <v>0.52403037339996894</v>
      </c>
      <c r="CT7" s="93">
        <f>IF(AND($T7=1,CT$5&lt;=$H7),CS7*(1-BD7)*(1-MIN(1,MAX(Assumptions!$C$27,Assumptions!$C$13*Assumptions!$C$28^(CS$5-1))*$O7)),0)</f>
        <v>0</v>
      </c>
      <c r="CU7" s="93">
        <f>IF(AND($T7=1,CU$5&lt;=$H7),CT7*(1-BE7)*(1-MIN(1,MAX(Assumptions!$C$27,Assumptions!$C$13*Assumptions!$C$28^(CT$5-1))*$O7)),0)</f>
        <v>0</v>
      </c>
      <c r="CV7" s="93">
        <f>IF(AND($T7=1,CV$5&lt;=$H7),CU7*(1-BF7)*(1-MIN(1,MAX(Assumptions!$C$27,Assumptions!$C$13*Assumptions!$C$28^(CU$5-1))*$O7)),0)</f>
        <v>0</v>
      </c>
      <c r="CW7" s="93">
        <f>IF(AND($T7=1,CW$5&lt;=$H7),CV7*(1-BG7)*(1-MIN(1,MAX(Assumptions!$C$27,Assumptions!$C$13*Assumptions!$C$28^(CV$5-1))*$O7)),0)</f>
        <v>0</v>
      </c>
      <c r="CX7" s="93">
        <f>IF(AND($T7=1,CX$5&lt;=$H7),CW7*(1-BH7)*(1-MIN(1,MAX(Assumptions!$C$27,Assumptions!$C$13*Assumptions!$C$28^(CW$5-1))*$O7)),0)</f>
        <v>0</v>
      </c>
      <c r="CY7" s="93">
        <f>IF(AND($T7=1,CY$5&lt;=$H7),CX7*(1-BI7)*(1-MIN(1,MAX(Assumptions!$C$27,Assumptions!$C$13*Assumptions!$C$28^(CX$5-1))*$O7)),0)</f>
        <v>0</v>
      </c>
      <c r="CZ7" s="93">
        <f>IF(AND($T7=1,CZ$5&lt;=$H7),CY7*(1-BJ7)*(1-MIN(1,MAX(Assumptions!$C$27,Assumptions!$C$13*Assumptions!$C$28^(CY$5-1))*$O7)),0)</f>
        <v>0</v>
      </c>
      <c r="DA7" s="93">
        <f>IF(AND($T7=1,DA$5&lt;=$H7),CZ7*(1-BK7)*(1-MIN(1,MAX(Assumptions!$C$27,Assumptions!$C$13*Assumptions!$C$28^(CZ$5-1))*$O7)),0)</f>
        <v>0</v>
      </c>
      <c r="DB7" s="93">
        <f>IF(AND($T7=1,DB$5&lt;=$H7),DA7*(1-BL7)*(1-MIN(1,MAX(Assumptions!$C$27,Assumptions!$C$13*Assumptions!$C$28^(DA$5-1))*$O7)),0)</f>
        <v>0</v>
      </c>
      <c r="DC7" s="93">
        <f>IF(AND($T7=1,DC$5&lt;=$H7),DB7*(1-BM7)*(1-MIN(1,MAX(Assumptions!$C$27,Assumptions!$C$13*Assumptions!$C$28^(DB$5-1))*$O7)),0)</f>
        <v>0</v>
      </c>
      <c r="DD7" s="93">
        <f>IF(AND($T7=1,DD$5&lt;=$H7),DC7*(1-BN7)*(1-MIN(1,MAX(Assumptions!$C$27,Assumptions!$C$13*Assumptions!$C$28^(DC$5-1))*$O7)),0)</f>
        <v>0</v>
      </c>
      <c r="DE7" s="93">
        <f>IF(AND($T7=1,DE$5&lt;=$H7),DD7*(1-BO7)*(1-MIN(1,MAX(Assumptions!$C$27,Assumptions!$C$13*Assumptions!$C$28^(DD$5-1))*$O7)),0)</f>
        <v>0</v>
      </c>
      <c r="DF7" s="93">
        <f>IF(AND($T7=1,DF$5&lt;=$H7),DE7*(1-BP7)*(1-MIN(1,MAX(Assumptions!$C$27,Assumptions!$C$13*Assumptions!$C$28^(DE$5-1))*$O7)),0)</f>
        <v>0</v>
      </c>
      <c r="DG7" s="93">
        <f>IF(AND($T7=1,DG$5&lt;=$H7),DF7*(1-BQ7)*(1-MIN(1,MAX(Assumptions!$C$27,Assumptions!$C$13*Assumptions!$C$28^(DF$5-1))*$O7)),0)</f>
        <v>0</v>
      </c>
      <c r="DH7" s="93">
        <f>IF(AND($T7=1,DH$5&lt;=$H7),DG7*(1-BR7)*(1-MIN(1,MAX(Assumptions!$C$27,Assumptions!$C$13*Assumptions!$C$28^(DG$5-1))*$O7)),0)</f>
        <v>0</v>
      </c>
      <c r="DI7" s="93">
        <f>IF(AND($T7=1,DI$5&lt;=$H7),DH7*(1-BS7)*(1-MIN(1,MAX(Assumptions!$C$27,Assumptions!$C$13*Assumptions!$C$28^(DH$5-1))*$O7)),0)</f>
        <v>0</v>
      </c>
      <c r="DJ7" s="93">
        <f>IF(AND($T7=1,DJ$5&lt;=$H7),DI7*(1-BT7)*(1-MIN(1,MAX(Assumptions!$C$27,Assumptions!$C$13*Assumptions!$C$28^(DI$5-1))*$O7)),0)</f>
        <v>0</v>
      </c>
      <c r="DK7" s="93">
        <f>IF(AND($T7=1,DK$5&lt;=$H7),DJ7*(1-BU7)*(1-MIN(1,MAX(Assumptions!$C$27,Assumptions!$C$13*Assumptions!$C$28^(DJ$5-1))*$O7)),0)</f>
        <v>0</v>
      </c>
      <c r="DL7" s="93">
        <f>IF(AND($T7=1,DL$5&lt;=$H7),DK7*(1-BV7)*(1-MIN(1,MAX(Assumptions!$C$27,Assumptions!$C$13*Assumptions!$C$28^(DK$5-1))*$O7)),0)</f>
        <v>0</v>
      </c>
      <c r="DM7" s="93">
        <f>IF(AND($T7=1,DM$5&lt;=$H7),DL7*(1-BW7)*(1-MIN(1,MAX(Assumptions!$C$27,Assumptions!$C$13*Assumptions!$C$28^(DL$5-1))*$O7)),0)</f>
        <v>0</v>
      </c>
      <c r="DN7" s="93">
        <f>IF(AND($T7=1,DN$5&lt;=$H7),DM7*(1-BX7)*(1-MIN(1,MAX(Assumptions!$C$27,Assumptions!$C$13*Assumptions!$C$28^(DM$5-1))*$O7)),0)</f>
        <v>0</v>
      </c>
      <c r="DO7" s="93">
        <f>IF(AND($T7=1,DO$5&lt;=$H7),DN7*(1-BY7)*(1-MIN(1,MAX(Assumptions!$C$27,Assumptions!$C$13*Assumptions!$C$28^(DN$5-1))*$O7)),0)</f>
        <v>0</v>
      </c>
      <c r="DP7" s="93">
        <f>IF(AND($T7=1,DP$5&lt;=$H7),DO7*(1-BZ7)*(1-MIN(1,MAX(Assumptions!$C$27,Assumptions!$C$13*Assumptions!$C$28^(DO$5-1))*$O7)),0)</f>
        <v>0</v>
      </c>
      <c r="DQ7" s="93">
        <f>IF(AND($T7=1,DQ$5&lt;=$H7),DP7*(1-CA7)*(1-MIN(1,MAX(Assumptions!$C$27,Assumptions!$C$13*Assumptions!$C$28^(DP$5-1))*$O7)),0)</f>
        <v>0</v>
      </c>
      <c r="DR7" s="93">
        <f>IF(AND($T7=1,DR$5&lt;=$H7),DQ7*(1-CB7)*(1-MIN(1,MAX(Assumptions!$C$27,Assumptions!$C$13*Assumptions!$C$28^(DQ$5-1))*$O7)),0)</f>
        <v>0</v>
      </c>
      <c r="DS7" s="93">
        <f>IF(AND($T7=1,DS$5&lt;=$H7),DR7*(1-CC7)*(1-MIN(1,MAX(Assumptions!$C$27,Assumptions!$C$13*Assumptions!$C$28^(DR$5-1))*$O7)),0)</f>
        <v>0</v>
      </c>
      <c r="DT7" s="93">
        <f>IF(AND($T7=1,DT$5&lt;=$H7),DS7*(1-CD7)*(1-MIN(1,MAX(Assumptions!$C$27,Assumptions!$C$13*Assumptions!$C$28^(DS$5-1))*$O7)),0)</f>
        <v>0</v>
      </c>
      <c r="DU7" s="93">
        <f>IF(AND($T7=1,DU$5&lt;=$H7),DT7*(1-CE7)*(1-MIN(1,MAX(Assumptions!$C$27,Assumptions!$C$13*Assumptions!$C$28^(DT$5-1))*$O7)),0)</f>
        <v>0</v>
      </c>
      <c r="DV7" s="93">
        <f>IF(AND($T7=1,DV$5&lt;=$H7),DU7*(1-CF7)*(1-MIN(1,MAX(Assumptions!$C$27,Assumptions!$C$13*Assumptions!$C$28^(DU$5-1))*$O7)),0)</f>
        <v>0</v>
      </c>
      <c r="DW7" s="94">
        <f>IF(AND($T7=1,DW$5&lt;=$H7),DV7*(1-CG7)*(1-MIN(1,MAX(Assumptions!$C$27,Assumptions!$C$13*Assumptions!$C$28^(DV$5-1))*$O7)),0)</f>
        <v>0</v>
      </c>
      <c r="DX7" s="26"/>
      <c r="DY7" s="26"/>
      <c r="DZ7" s="26"/>
      <c r="EA7" s="26"/>
      <c r="EB7" s="26"/>
      <c r="EC7" s="26"/>
      <c r="ED7" s="26"/>
    </row>
    <row r="8" spans="1:134" x14ac:dyDescent="0.3">
      <c r="A8" s="382" t="s">
        <v>392</v>
      </c>
      <c r="B8" s="383" t="s">
        <v>393</v>
      </c>
      <c r="C8" s="383" t="s">
        <v>288</v>
      </c>
      <c r="D8" s="384">
        <f>'Premium Calculation'!$B$4</f>
        <v>24</v>
      </c>
      <c r="E8" s="385" t="str">
        <f>'Premium Calculation'!$B$5</f>
        <v>Male</v>
      </c>
      <c r="F8" s="385" t="str">
        <f>'Premium Calculation'!$B$6</f>
        <v>Smoker</v>
      </c>
      <c r="G8" s="385" t="str">
        <f>'Premium Calculation'!$B$7</f>
        <v>Preferred</v>
      </c>
      <c r="H8" s="384">
        <f>'Premium Calculation'!$B$8</f>
        <v>10</v>
      </c>
      <c r="I8" s="386">
        <f>'Premium Calculation'!$B$9</f>
        <v>100000</v>
      </c>
      <c r="J8" s="385" t="str">
        <f>'Premium Calculation'!$B$10</f>
        <v>Monthly</v>
      </c>
      <c r="K8" s="385" t="str">
        <f>'Premium Calculation'!$B$31</f>
        <v>Bancassurance</v>
      </c>
      <c r="L8" s="383" t="s">
        <v>389</v>
      </c>
      <c r="M8" s="386">
        <f>'Premium Calculation'!$B$29</f>
        <v>562.44258371429942</v>
      </c>
      <c r="N8" s="387">
        <f>Sensitivities!$D$8</f>
        <v>0.95</v>
      </c>
      <c r="O8" s="387">
        <f>Sensitivities!$D$9</f>
        <v>0.9</v>
      </c>
      <c r="P8" s="387">
        <f>Sensitivities!$D$10</f>
        <v>0.95</v>
      </c>
      <c r="Q8" s="388">
        <f>Sensitivities!$D$11</f>
        <v>0</v>
      </c>
      <c r="R8" s="388">
        <f>Assumptions!$C$6+Sensitivities!$D$12</f>
        <v>0.04</v>
      </c>
      <c r="S8" s="388">
        <f>Assumptions!$C$15</f>
        <v>1.1000000000000001E-3</v>
      </c>
      <c r="T8" s="26">
        <f t="shared" si="0"/>
        <v>1</v>
      </c>
      <c r="U8" s="26">
        <f t="shared" si="1"/>
        <v>4</v>
      </c>
      <c r="V8" s="389">
        <f>IF($G8="Preferred",Assumptions!$C$30,IF($G8="Rated",Assumptions!$C$31,1))</f>
        <v>0.8</v>
      </c>
      <c r="W8" s="390">
        <f>IF($K8="Direct",Assumptions!$C$32,IF($K8="Broker",Assumptions!$C$33,IF($K8="Bancassurance",Assumptions!$C$34,Assumptions!$C$11)))+$Q8</f>
        <v>0.2</v>
      </c>
      <c r="X8" s="390">
        <f>Assumptions!$C$12+$Q8</f>
        <v>0.05</v>
      </c>
      <c r="Y8" s="131">
        <f>MIN($I8,Assumptions!$C$14)</f>
        <v>100000</v>
      </c>
      <c r="Z8" s="131">
        <f>MAX($I8-Assumptions!$C$14,0)</f>
        <v>0</v>
      </c>
      <c r="AA8" s="389">
        <f t="shared" si="2"/>
        <v>5.9306922084158682</v>
      </c>
      <c r="AB8" s="389">
        <f t="shared" si="3"/>
        <v>3.2734703092591275E-3</v>
      </c>
      <c r="AC8" s="389">
        <f>IF($T8=1,SUMPRODUCT($CJ8:$DW8,(1+Assumptions!$C$5)^($CJ$5:$DW$5-1),(1+$R8)^(-$CJ$5:$DW$5)),0)</f>
        <v>6.8855821593288855</v>
      </c>
      <c r="AD8" s="389">
        <f t="shared" si="4"/>
        <v>0.44076537965156265</v>
      </c>
      <c r="AE8" s="131">
        <f>IF($T8=1,$AB8*$Y8+(Assumptions!$C$9/(1+$R8)+Assumptions!$C$10*$AC8)*$P8+$S8*$Z8*$AA8,0)</f>
        <v>2588.5490868410343</v>
      </c>
      <c r="AF8" s="131">
        <f>IF($T8=1,IF($AA8-$AD8-Assumptions!$C$16*$AA8&gt;0,$AE8/($AA8-$AD8-Assumptions!$C$16*$AA8)*IF($J8="Monthly",1+Assumptions!$C$29,1),"n.a."),"")</f>
        <v>531.59619886475048</v>
      </c>
      <c r="AG8" s="131">
        <f t="shared" si="5"/>
        <v>562.44258371429942</v>
      </c>
      <c r="AH8" s="131">
        <f t="shared" si="6"/>
        <v>3335.6738489156851</v>
      </c>
      <c r="AI8" s="131">
        <f t="shared" si="7"/>
        <v>499.21954313161223</v>
      </c>
      <c r="AJ8" s="390">
        <f t="shared" si="8"/>
        <v>0.1496607779246438</v>
      </c>
      <c r="AK8" s="389">
        <f t="shared" si="9"/>
        <v>1.0580259695524965</v>
      </c>
      <c r="AL8" s="131">
        <f t="shared" si="10"/>
        <v>0</v>
      </c>
      <c r="AM8" s="131">
        <f t="shared" si="11"/>
        <v>0</v>
      </c>
      <c r="AN8" s="131">
        <f t="shared" si="12"/>
        <v>0</v>
      </c>
      <c r="AO8" s="131">
        <f t="shared" si="13"/>
        <v>499.21954313161223</v>
      </c>
      <c r="AP8" s="26" t="str">
        <f t="shared" si="14"/>
        <v>20-29</v>
      </c>
      <c r="AQ8" s="26" t="str">
        <f t="shared" si="15"/>
        <v>Up to 250k</v>
      </c>
      <c r="AR8" s="26" t="str">
        <f>IF($T8=1,IF($AI8&lt;0,"Loss-making",IF($AJ8&lt;Assumptions!$C$16-0.00001,"Below target","At/above target")),"Excluded")</f>
        <v>At/above target</v>
      </c>
      <c r="AS8" s="103">
        <f t="shared" si="16"/>
        <v>499.21955113161221</v>
      </c>
      <c r="AT8" s="26"/>
      <c r="AU8" s="419">
        <f>IF(AND($T8=1,AU$5&lt;=$H8),INDEX(Mortality!$B$4:$E$64,MATCH($D8+AU$5-1,Mortality!$A$4:$A$64,0),$U8)*$V8*$N8,0)</f>
        <v>4.0155638819563646E-4</v>
      </c>
      <c r="AV8" s="93">
        <f>IF(AND($T8=1,AV$5&lt;=$H8),INDEX(Mortality!$B$4:$E$64,MATCH($D8+AV$5-1,Mortality!$A$4:$A$64,0),$U8)*$V8*$N8,0)</f>
        <v>4.3500084227459751E-4</v>
      </c>
      <c r="AW8" s="93">
        <f>IF(AND($T8=1,AW$5&lt;=$H8),INDEX(Mortality!$B$4:$E$64,MATCH($D8+AW$5-1,Mortality!$A$4:$A$64,0),$U8)*$V8*$N8,0)</f>
        <v>4.7123078686378648E-4</v>
      </c>
      <c r="AX8" s="93">
        <f>IF(AND($T8=1,AX$5&lt;=$H8),INDEX(Mortality!$B$4:$E$64,MATCH($D8+AX$5-1,Mortality!$A$4:$A$64,0),$U8)*$V8*$N8,0)</f>
        <v>5.1047821729983435E-4</v>
      </c>
      <c r="AY8" s="93">
        <f>IF(AND($T8=1,AY$5&lt;=$H8),INDEX(Mortality!$B$4:$E$64,MATCH($D8+AY$5-1,Mortality!$A$4:$A$64,0),$U8)*$V8*$N8,0)</f>
        <v>5.5299445113067818E-4</v>
      </c>
      <c r="AZ8" s="93">
        <f>IF(AND($T8=1,AZ$5&lt;=$H8),INDEX(Mortality!$B$4:$E$64,MATCH($D8+AZ$5-1,Mortality!$A$4:$A$64,0),$U8)*$V8*$N8,0)</f>
        <v>5.9905173740587559E-4</v>
      </c>
      <c r="BA8" s="93">
        <f>IF(AND($T8=1,BA$5&lt;=$H8),INDEX(Mortality!$B$4:$E$64,MATCH($D8+BA$5-1,Mortality!$A$4:$A$64,0),$U8)*$V8*$N8,0)</f>
        <v>6.4894500000000006E-4</v>
      </c>
      <c r="BB8" s="93">
        <f>IF(AND($T8=1,BB$5&lt;=$H8),INDEX(Mortality!$B$4:$E$64,MATCH($D8+BB$5-1,Mortality!$A$4:$A$64,0),$U8)*$V8*$N8,0)</f>
        <v>7.0299372613232577E-4</v>
      </c>
      <c r="BC8" s="93">
        <f>IF(AND($T8=1,BC$5&lt;=$H8),INDEX(Mortality!$B$4:$E$64,MATCH($D8+BC$5-1,Mortality!$A$4:$A$64,0),$U8)*$V8*$N8,0)</f>
        <v>7.6154401217577868E-4</v>
      </c>
      <c r="BD8" s="93">
        <f>IF(AND($T8=1,BD$5&lt;=$H8),INDEX(Mortality!$B$4:$E$64,MATCH($D8+BD$5-1,Mortality!$A$4:$A$64,0),$U8)*$V8*$N8,0)</f>
        <v>8.2497077985532448E-4</v>
      </c>
      <c r="BE8" s="93">
        <f>IF(AND($T8=1,BE$5&lt;=$H8),INDEX(Mortality!$B$4:$E$64,MATCH($D8+BE$5-1,Mortality!$A$4:$A$64,0),$U8)*$V8*$N8,0)</f>
        <v>0</v>
      </c>
      <c r="BF8" s="93">
        <f>IF(AND($T8=1,BF$5&lt;=$H8),INDEX(Mortality!$B$4:$E$64,MATCH($D8+BF$5-1,Mortality!$A$4:$A$64,0),$U8)*$V8*$N8,0)</f>
        <v>0</v>
      </c>
      <c r="BG8" s="93">
        <f>IF(AND($T8=1,BG$5&lt;=$H8),INDEX(Mortality!$B$4:$E$64,MATCH($D8+BG$5-1,Mortality!$A$4:$A$64,0),$U8)*$V8*$N8,0)</f>
        <v>0</v>
      </c>
      <c r="BH8" s="93">
        <f>IF(AND($T8=1,BH$5&lt;=$H8),INDEX(Mortality!$B$4:$E$64,MATCH($D8+BH$5-1,Mortality!$A$4:$A$64,0),$U8)*$V8*$N8,0)</f>
        <v>0</v>
      </c>
      <c r="BI8" s="93">
        <f>IF(AND($T8=1,BI$5&lt;=$H8),INDEX(Mortality!$B$4:$E$64,MATCH($D8+BI$5-1,Mortality!$A$4:$A$64,0),$U8)*$V8*$N8,0)</f>
        <v>0</v>
      </c>
      <c r="BJ8" s="93">
        <f>IF(AND($T8=1,BJ$5&lt;=$H8),INDEX(Mortality!$B$4:$E$64,MATCH($D8+BJ$5-1,Mortality!$A$4:$A$64,0),$U8)*$V8*$N8,0)</f>
        <v>0</v>
      </c>
      <c r="BK8" s="93">
        <f>IF(AND($T8=1,BK$5&lt;=$H8),INDEX(Mortality!$B$4:$E$64,MATCH($D8+BK$5-1,Mortality!$A$4:$A$64,0),$U8)*$V8*$N8,0)</f>
        <v>0</v>
      </c>
      <c r="BL8" s="93">
        <f>IF(AND($T8=1,BL$5&lt;=$H8),INDEX(Mortality!$B$4:$E$64,MATCH($D8+BL$5-1,Mortality!$A$4:$A$64,0),$U8)*$V8*$N8,0)</f>
        <v>0</v>
      </c>
      <c r="BM8" s="93">
        <f>IF(AND($T8=1,BM$5&lt;=$H8),INDEX(Mortality!$B$4:$E$64,MATCH($D8+BM$5-1,Mortality!$A$4:$A$64,0),$U8)*$V8*$N8,0)</f>
        <v>0</v>
      </c>
      <c r="BN8" s="93">
        <f>IF(AND($T8=1,BN$5&lt;=$H8),INDEX(Mortality!$B$4:$E$64,MATCH($D8+BN$5-1,Mortality!$A$4:$A$64,0),$U8)*$V8*$N8,0)</f>
        <v>0</v>
      </c>
      <c r="BO8" s="93">
        <f>IF(AND($T8=1,BO$5&lt;=$H8),INDEX(Mortality!$B$4:$E$64,MATCH($D8+BO$5-1,Mortality!$A$4:$A$64,0),$U8)*$V8*$N8,0)</f>
        <v>0</v>
      </c>
      <c r="BP8" s="93">
        <f>IF(AND($T8=1,BP$5&lt;=$H8),INDEX(Mortality!$B$4:$E$64,MATCH($D8+BP$5-1,Mortality!$A$4:$A$64,0),$U8)*$V8*$N8,0)</f>
        <v>0</v>
      </c>
      <c r="BQ8" s="93">
        <f>IF(AND($T8=1,BQ$5&lt;=$H8),INDEX(Mortality!$B$4:$E$64,MATCH($D8+BQ$5-1,Mortality!$A$4:$A$64,0),$U8)*$V8*$N8,0)</f>
        <v>0</v>
      </c>
      <c r="BR8" s="93">
        <f>IF(AND($T8=1,BR$5&lt;=$H8),INDEX(Mortality!$B$4:$E$64,MATCH($D8+BR$5-1,Mortality!$A$4:$A$64,0),$U8)*$V8*$N8,0)</f>
        <v>0</v>
      </c>
      <c r="BS8" s="93">
        <f>IF(AND($T8=1,BS$5&lt;=$H8),INDEX(Mortality!$B$4:$E$64,MATCH($D8+BS$5-1,Mortality!$A$4:$A$64,0),$U8)*$V8*$N8,0)</f>
        <v>0</v>
      </c>
      <c r="BT8" s="93">
        <f>IF(AND($T8=1,BT$5&lt;=$H8),INDEX(Mortality!$B$4:$E$64,MATCH($D8+BT$5-1,Mortality!$A$4:$A$64,0),$U8)*$V8*$N8,0)</f>
        <v>0</v>
      </c>
      <c r="BU8" s="93">
        <f>IF(AND($T8=1,BU$5&lt;=$H8),INDEX(Mortality!$B$4:$E$64,MATCH($D8+BU$5-1,Mortality!$A$4:$A$64,0),$U8)*$V8*$N8,0)</f>
        <v>0</v>
      </c>
      <c r="BV8" s="93">
        <f>IF(AND($T8=1,BV$5&lt;=$H8),INDEX(Mortality!$B$4:$E$64,MATCH($D8+BV$5-1,Mortality!$A$4:$A$64,0),$U8)*$V8*$N8,0)</f>
        <v>0</v>
      </c>
      <c r="BW8" s="93">
        <f>IF(AND($T8=1,BW$5&lt;=$H8),INDEX(Mortality!$B$4:$E$64,MATCH($D8+BW$5-1,Mortality!$A$4:$A$64,0),$U8)*$V8*$N8,0)</f>
        <v>0</v>
      </c>
      <c r="BX8" s="93">
        <f>IF(AND($T8=1,BX$5&lt;=$H8),INDEX(Mortality!$B$4:$E$64,MATCH($D8+BX$5-1,Mortality!$A$4:$A$64,0),$U8)*$V8*$N8,0)</f>
        <v>0</v>
      </c>
      <c r="BY8" s="93">
        <f>IF(AND($T8=1,BY$5&lt;=$H8),INDEX(Mortality!$B$4:$E$64,MATCH($D8+BY$5-1,Mortality!$A$4:$A$64,0),$U8)*$V8*$N8,0)</f>
        <v>0</v>
      </c>
      <c r="BZ8" s="93">
        <f>IF(AND($T8=1,BZ$5&lt;=$H8),INDEX(Mortality!$B$4:$E$64,MATCH($D8+BZ$5-1,Mortality!$A$4:$A$64,0),$U8)*$V8*$N8,0)</f>
        <v>0</v>
      </c>
      <c r="CA8" s="93">
        <f>IF(AND($T8=1,CA$5&lt;=$H8),INDEX(Mortality!$B$4:$E$64,MATCH($D8+CA$5-1,Mortality!$A$4:$A$64,0),$U8)*$V8*$N8,0)</f>
        <v>0</v>
      </c>
      <c r="CB8" s="93">
        <f>IF(AND($T8=1,CB$5&lt;=$H8),INDEX(Mortality!$B$4:$E$64,MATCH($D8+CB$5-1,Mortality!$A$4:$A$64,0),$U8)*$V8*$N8,0)</f>
        <v>0</v>
      </c>
      <c r="CC8" s="93">
        <f>IF(AND($T8=1,CC$5&lt;=$H8),INDEX(Mortality!$B$4:$E$64,MATCH($D8+CC$5-1,Mortality!$A$4:$A$64,0),$U8)*$V8*$N8,0)</f>
        <v>0</v>
      </c>
      <c r="CD8" s="93">
        <f>IF(AND($T8=1,CD$5&lt;=$H8),INDEX(Mortality!$B$4:$E$64,MATCH($D8+CD$5-1,Mortality!$A$4:$A$64,0),$U8)*$V8*$N8,0)</f>
        <v>0</v>
      </c>
      <c r="CE8" s="93">
        <f>IF(AND($T8=1,CE$5&lt;=$H8),INDEX(Mortality!$B$4:$E$64,MATCH($D8+CE$5-1,Mortality!$A$4:$A$64,0),$U8)*$V8*$N8,0)</f>
        <v>0</v>
      </c>
      <c r="CF8" s="93">
        <f>IF(AND($T8=1,CF$5&lt;=$H8),INDEX(Mortality!$B$4:$E$64,MATCH($D8+CF$5-1,Mortality!$A$4:$A$64,0),$U8)*$V8*$N8,0)</f>
        <v>0</v>
      </c>
      <c r="CG8" s="93">
        <f>IF(AND($T8=1,CG$5&lt;=$H8),INDEX(Mortality!$B$4:$E$64,MATCH($D8+CG$5-1,Mortality!$A$4:$A$64,0),$U8)*$V8*$N8,0)</f>
        <v>0</v>
      </c>
      <c r="CH8" s="94">
        <f>IF(AND($T8=1,CH$5&lt;=$H8),INDEX(Mortality!$B$4:$E$64,MATCH($D8+CH$5-1,Mortality!$A$4:$A$64,0),$U8)*$V8*$N8,0)</f>
        <v>0</v>
      </c>
      <c r="CI8" s="26"/>
      <c r="CJ8" s="419">
        <f t="shared" si="17"/>
        <v>1</v>
      </c>
      <c r="CK8" s="93">
        <f>IF(AND($T8=1,CK$5&lt;=$H8),CJ8*(1-AU8)*(1-MIN(1,MAX(Assumptions!$C$27,Assumptions!$C$13*Assumptions!$C$28^(CJ$5-1))*$O8)),0)</f>
        <v>0.89164181170172951</v>
      </c>
      <c r="CL8" s="93">
        <f>IF(AND($T8=1,CL$5&lt;=$H8),CK8*(1-AV8)*(1-MIN(1,MAX(Assumptions!$C$27,Assumptions!$C$13*Assumptions!$C$28^(CK$5-1))*$O8)),0)</f>
        <v>0.8094368344498224</v>
      </c>
      <c r="CM8" s="93">
        <f>IF(AND($T8=1,CM$5&lt;=$H8),CL8*(1-AW8)*(1-MIN(1,MAX(Assumptions!$C$27,Assumptions!$C$13*Assumptions!$C$28^(CL$5-1))*$O8)),0)</f>
        <v>0.74592480980563536</v>
      </c>
      <c r="CN8" s="93">
        <f>IF(AND($T8=1,CN$5&lt;=$H8),CM8*(1-AX8)*(1-MIN(1,MAX(Assumptions!$C$27,Assumptions!$C$13*Assumptions!$C$28^(CM$5-1))*$O8)),0)</f>
        <v>0.69609545078131274</v>
      </c>
      <c r="CO8" s="93">
        <f>IF(AND($T8=1,CO$5&lt;=$H8),CN8*(1-AY8)*(1-MIN(1,MAX(Assumptions!$C$27,Assumptions!$C$13*Assumptions!$C$28^(CN$5-1))*$O8)),0)</f>
        <v>0.65648866832562924</v>
      </c>
      <c r="CP8" s="93">
        <f>IF(AND($T8=1,CP$5&lt;=$H8),CO8*(1-AZ8)*(1-MIN(1,MAX(Assumptions!$C$27,Assumptions!$C$13*Assumptions!$C$28^(CO$5-1))*$O8)),0)</f>
        <v>0.62465519219640053</v>
      </c>
      <c r="CQ8" s="93">
        <f>IF(AND($T8=1,CQ$5&lt;=$H8),CP8*(1-BA8)*(1-MIN(1,MAX(Assumptions!$C$27,Assumptions!$C$13*Assumptions!$C$28^(CP$5-1))*$O8)),0)</f>
        <v>0.59882278925335308</v>
      </c>
      <c r="CR8" s="93">
        <f>IF(AND($T8=1,CR$5&lt;=$H8),CQ8*(1-BB8)*(1-MIN(1,MAX(Assumptions!$C$27,Assumptions!$C$13*Assumptions!$C$28^(CQ$5-1))*$O8)),0)</f>
        <v>0.57768375795663263</v>
      </c>
      <c r="CS8" s="93">
        <f>IF(AND($T8=1,CS$5&lt;=$H8),CR8*(1-BC8)*(1-MIN(1,MAX(Assumptions!$C$27,Assumptions!$C$13*Assumptions!$C$28^(CR$5-1))*$O8)),0)</f>
        <v>0.56025613123152629</v>
      </c>
      <c r="CT8" s="93">
        <f>IF(AND($T8=1,CT$5&lt;=$H8),CS8*(1-BD8)*(1-MIN(1,MAX(Assumptions!$C$27,Assumptions!$C$13*Assumptions!$C$28^(CS$5-1))*$O8)),0)</f>
        <v>0</v>
      </c>
      <c r="CU8" s="93">
        <f>IF(AND($T8=1,CU$5&lt;=$H8),CT8*(1-BE8)*(1-MIN(1,MAX(Assumptions!$C$27,Assumptions!$C$13*Assumptions!$C$28^(CT$5-1))*$O8)),0)</f>
        <v>0</v>
      </c>
      <c r="CV8" s="93">
        <f>IF(AND($T8=1,CV$5&lt;=$H8),CU8*(1-BF8)*(1-MIN(1,MAX(Assumptions!$C$27,Assumptions!$C$13*Assumptions!$C$28^(CU$5-1))*$O8)),0)</f>
        <v>0</v>
      </c>
      <c r="CW8" s="93">
        <f>IF(AND($T8=1,CW$5&lt;=$H8),CV8*(1-BG8)*(1-MIN(1,MAX(Assumptions!$C$27,Assumptions!$C$13*Assumptions!$C$28^(CV$5-1))*$O8)),0)</f>
        <v>0</v>
      </c>
      <c r="CX8" s="93">
        <f>IF(AND($T8=1,CX$5&lt;=$H8),CW8*(1-BH8)*(1-MIN(1,MAX(Assumptions!$C$27,Assumptions!$C$13*Assumptions!$C$28^(CW$5-1))*$O8)),0)</f>
        <v>0</v>
      </c>
      <c r="CY8" s="93">
        <f>IF(AND($T8=1,CY$5&lt;=$H8),CX8*(1-BI8)*(1-MIN(1,MAX(Assumptions!$C$27,Assumptions!$C$13*Assumptions!$C$28^(CX$5-1))*$O8)),0)</f>
        <v>0</v>
      </c>
      <c r="CZ8" s="93">
        <f>IF(AND($T8=1,CZ$5&lt;=$H8),CY8*(1-BJ8)*(1-MIN(1,MAX(Assumptions!$C$27,Assumptions!$C$13*Assumptions!$C$28^(CY$5-1))*$O8)),0)</f>
        <v>0</v>
      </c>
      <c r="DA8" s="93">
        <f>IF(AND($T8=1,DA$5&lt;=$H8),CZ8*(1-BK8)*(1-MIN(1,MAX(Assumptions!$C$27,Assumptions!$C$13*Assumptions!$C$28^(CZ$5-1))*$O8)),0)</f>
        <v>0</v>
      </c>
      <c r="DB8" s="93">
        <f>IF(AND($T8=1,DB$5&lt;=$H8),DA8*(1-BL8)*(1-MIN(1,MAX(Assumptions!$C$27,Assumptions!$C$13*Assumptions!$C$28^(DA$5-1))*$O8)),0)</f>
        <v>0</v>
      </c>
      <c r="DC8" s="93">
        <f>IF(AND($T8=1,DC$5&lt;=$H8),DB8*(1-BM8)*(1-MIN(1,MAX(Assumptions!$C$27,Assumptions!$C$13*Assumptions!$C$28^(DB$5-1))*$O8)),0)</f>
        <v>0</v>
      </c>
      <c r="DD8" s="93">
        <f>IF(AND($T8=1,DD$5&lt;=$H8),DC8*(1-BN8)*(1-MIN(1,MAX(Assumptions!$C$27,Assumptions!$C$13*Assumptions!$C$28^(DC$5-1))*$O8)),0)</f>
        <v>0</v>
      </c>
      <c r="DE8" s="93">
        <f>IF(AND($T8=1,DE$5&lt;=$H8),DD8*(1-BO8)*(1-MIN(1,MAX(Assumptions!$C$27,Assumptions!$C$13*Assumptions!$C$28^(DD$5-1))*$O8)),0)</f>
        <v>0</v>
      </c>
      <c r="DF8" s="93">
        <f>IF(AND($T8=1,DF$5&lt;=$H8),DE8*(1-BP8)*(1-MIN(1,MAX(Assumptions!$C$27,Assumptions!$C$13*Assumptions!$C$28^(DE$5-1))*$O8)),0)</f>
        <v>0</v>
      </c>
      <c r="DG8" s="93">
        <f>IF(AND($T8=1,DG$5&lt;=$H8),DF8*(1-BQ8)*(1-MIN(1,MAX(Assumptions!$C$27,Assumptions!$C$13*Assumptions!$C$28^(DF$5-1))*$O8)),0)</f>
        <v>0</v>
      </c>
      <c r="DH8" s="93">
        <f>IF(AND($T8=1,DH$5&lt;=$H8),DG8*(1-BR8)*(1-MIN(1,MAX(Assumptions!$C$27,Assumptions!$C$13*Assumptions!$C$28^(DG$5-1))*$O8)),0)</f>
        <v>0</v>
      </c>
      <c r="DI8" s="93">
        <f>IF(AND($T8=1,DI$5&lt;=$H8),DH8*(1-BS8)*(1-MIN(1,MAX(Assumptions!$C$27,Assumptions!$C$13*Assumptions!$C$28^(DH$5-1))*$O8)),0)</f>
        <v>0</v>
      </c>
      <c r="DJ8" s="93">
        <f>IF(AND($T8=1,DJ$5&lt;=$H8),DI8*(1-BT8)*(1-MIN(1,MAX(Assumptions!$C$27,Assumptions!$C$13*Assumptions!$C$28^(DI$5-1))*$O8)),0)</f>
        <v>0</v>
      </c>
      <c r="DK8" s="93">
        <f>IF(AND($T8=1,DK$5&lt;=$H8),DJ8*(1-BU8)*(1-MIN(1,MAX(Assumptions!$C$27,Assumptions!$C$13*Assumptions!$C$28^(DJ$5-1))*$O8)),0)</f>
        <v>0</v>
      </c>
      <c r="DL8" s="93">
        <f>IF(AND($T8=1,DL$5&lt;=$H8),DK8*(1-BV8)*(1-MIN(1,MAX(Assumptions!$C$27,Assumptions!$C$13*Assumptions!$C$28^(DK$5-1))*$O8)),0)</f>
        <v>0</v>
      </c>
      <c r="DM8" s="93">
        <f>IF(AND($T8=1,DM$5&lt;=$H8),DL8*(1-BW8)*(1-MIN(1,MAX(Assumptions!$C$27,Assumptions!$C$13*Assumptions!$C$28^(DL$5-1))*$O8)),0)</f>
        <v>0</v>
      </c>
      <c r="DN8" s="93">
        <f>IF(AND($T8=1,DN$5&lt;=$H8),DM8*(1-BX8)*(1-MIN(1,MAX(Assumptions!$C$27,Assumptions!$C$13*Assumptions!$C$28^(DM$5-1))*$O8)),0)</f>
        <v>0</v>
      </c>
      <c r="DO8" s="93">
        <f>IF(AND($T8=1,DO$5&lt;=$H8),DN8*(1-BY8)*(1-MIN(1,MAX(Assumptions!$C$27,Assumptions!$C$13*Assumptions!$C$28^(DN$5-1))*$O8)),0)</f>
        <v>0</v>
      </c>
      <c r="DP8" s="93">
        <f>IF(AND($T8=1,DP$5&lt;=$H8),DO8*(1-BZ8)*(1-MIN(1,MAX(Assumptions!$C$27,Assumptions!$C$13*Assumptions!$C$28^(DO$5-1))*$O8)),0)</f>
        <v>0</v>
      </c>
      <c r="DQ8" s="93">
        <f>IF(AND($T8=1,DQ$5&lt;=$H8),DP8*(1-CA8)*(1-MIN(1,MAX(Assumptions!$C$27,Assumptions!$C$13*Assumptions!$C$28^(DP$5-1))*$O8)),0)</f>
        <v>0</v>
      </c>
      <c r="DR8" s="93">
        <f>IF(AND($T8=1,DR$5&lt;=$H8),DQ8*(1-CB8)*(1-MIN(1,MAX(Assumptions!$C$27,Assumptions!$C$13*Assumptions!$C$28^(DQ$5-1))*$O8)),0)</f>
        <v>0</v>
      </c>
      <c r="DS8" s="93">
        <f>IF(AND($T8=1,DS$5&lt;=$H8),DR8*(1-CC8)*(1-MIN(1,MAX(Assumptions!$C$27,Assumptions!$C$13*Assumptions!$C$28^(DR$5-1))*$O8)),0)</f>
        <v>0</v>
      </c>
      <c r="DT8" s="93">
        <f>IF(AND($T8=1,DT$5&lt;=$H8),DS8*(1-CD8)*(1-MIN(1,MAX(Assumptions!$C$27,Assumptions!$C$13*Assumptions!$C$28^(DS$5-1))*$O8)),0)</f>
        <v>0</v>
      </c>
      <c r="DU8" s="93">
        <f>IF(AND($T8=1,DU$5&lt;=$H8),DT8*(1-CE8)*(1-MIN(1,MAX(Assumptions!$C$27,Assumptions!$C$13*Assumptions!$C$28^(DT$5-1))*$O8)),0)</f>
        <v>0</v>
      </c>
      <c r="DV8" s="93">
        <f>IF(AND($T8=1,DV$5&lt;=$H8),DU8*(1-CF8)*(1-MIN(1,MAX(Assumptions!$C$27,Assumptions!$C$13*Assumptions!$C$28^(DU$5-1))*$O8)),0)</f>
        <v>0</v>
      </c>
      <c r="DW8" s="94">
        <f>IF(AND($T8=1,DW$5&lt;=$H8),DV8*(1-CG8)*(1-MIN(1,MAX(Assumptions!$C$27,Assumptions!$C$13*Assumptions!$C$28^(DV$5-1))*$O8)),0)</f>
        <v>0</v>
      </c>
      <c r="DX8" s="26"/>
      <c r="DY8" s="26"/>
      <c r="DZ8" s="26"/>
      <c r="EA8" s="26"/>
      <c r="EB8" s="26"/>
      <c r="EC8" s="26"/>
      <c r="ED8" s="26"/>
    </row>
    <row r="9" spans="1:134" x14ac:dyDescent="0.3">
      <c r="A9" s="382" t="s">
        <v>394</v>
      </c>
      <c r="B9" s="383" t="s">
        <v>395</v>
      </c>
      <c r="C9" s="383" t="s">
        <v>288</v>
      </c>
      <c r="D9" s="384">
        <f>'Premium Calculation'!$B$4</f>
        <v>24</v>
      </c>
      <c r="E9" s="385" t="str">
        <f>'Premium Calculation'!$B$5</f>
        <v>Male</v>
      </c>
      <c r="F9" s="385" t="str">
        <f>'Premium Calculation'!$B$6</f>
        <v>Smoker</v>
      </c>
      <c r="G9" s="385" t="str">
        <f>'Premium Calculation'!$B$7</f>
        <v>Preferred</v>
      </c>
      <c r="H9" s="384">
        <f>'Premium Calculation'!$B$8</f>
        <v>10</v>
      </c>
      <c r="I9" s="386">
        <f>'Premium Calculation'!$B$9</f>
        <v>100000</v>
      </c>
      <c r="J9" s="385" t="str">
        <f>'Premium Calculation'!$B$10</f>
        <v>Monthly</v>
      </c>
      <c r="K9" s="385" t="str">
        <f>'Premium Calculation'!$B$31</f>
        <v>Bancassurance</v>
      </c>
      <c r="L9" s="383" t="s">
        <v>389</v>
      </c>
      <c r="M9" s="386">
        <f>'Premium Calculation'!$B$29</f>
        <v>562.44258371429942</v>
      </c>
      <c r="N9" s="387">
        <f>Sensitivities!$E$8</f>
        <v>1.1000000000000001</v>
      </c>
      <c r="O9" s="387">
        <f>Sensitivities!$E$9</f>
        <v>1.2</v>
      </c>
      <c r="P9" s="387">
        <f>Sensitivities!$E$10</f>
        <v>1.1000000000000001</v>
      </c>
      <c r="Q9" s="388">
        <f>Sensitivities!$E$11</f>
        <v>0.02</v>
      </c>
      <c r="R9" s="388">
        <f>Assumptions!$C$6+Sensitivities!$E$12</f>
        <v>3.0000000000000002E-2</v>
      </c>
      <c r="S9" s="388">
        <f>Assumptions!$C$15</f>
        <v>1.1000000000000001E-3</v>
      </c>
      <c r="T9" s="26">
        <f t="shared" si="0"/>
        <v>1</v>
      </c>
      <c r="U9" s="26">
        <f t="shared" si="1"/>
        <v>4</v>
      </c>
      <c r="V9" s="389">
        <f>IF($G9="Preferred",Assumptions!$C$30,IF($G9="Rated",Assumptions!$C$31,1))</f>
        <v>0.8</v>
      </c>
      <c r="W9" s="390">
        <f>IF($K9="Direct",Assumptions!$C$32,IF($K9="Broker",Assumptions!$C$33,IF($K9="Bancassurance",Assumptions!$C$34,Assumptions!$C$11)))+$Q9</f>
        <v>0.22</v>
      </c>
      <c r="X9" s="390">
        <f>Assumptions!$C$12+$Q9</f>
        <v>7.0000000000000007E-2</v>
      </c>
      <c r="Y9" s="131">
        <f>MIN($I9,Assumptions!$C$14)</f>
        <v>100000</v>
      </c>
      <c r="Z9" s="131">
        <f>MAX($I9-Assumptions!$C$14,0)</f>
        <v>0</v>
      </c>
      <c r="AA9" s="389">
        <f t="shared" si="2"/>
        <v>5.5945163443736785</v>
      </c>
      <c r="AB9" s="389">
        <f t="shared" si="3"/>
        <v>3.5445202560417371E-3</v>
      </c>
      <c r="AC9" s="389">
        <f>IF($T9=1,SUMPRODUCT($CJ9:$DW9,(1+Assumptions!$C$5)^($CJ$5:$DW$5-1),(1+$R9)^(-$CJ$5:$DW$5)),0)</f>
        <v>6.467524927221679</v>
      </c>
      <c r="AD9" s="389">
        <f t="shared" si="4"/>
        <v>0.53724721206732262</v>
      </c>
      <c r="AE9" s="131">
        <f>IF($T9=1,$AB9*$Y9+(Assumptions!$C$9/(1+$R9)+Assumptions!$C$10*$AC9)*$P9+$S9*$Z9*$AA9,0)</f>
        <v>2880.7581065355098</v>
      </c>
      <c r="AF9" s="131">
        <f>IF($T9=1,IF($AA9-$AD9-Assumptions!$C$16*$AA9&gt;0,$AE9/($AA9-$AD9-Assumptions!$C$16*$AA9)*IF($J9="Monthly",1+Assumptions!$C$29,1),"n.a."),"")</f>
        <v>643.68089313520341</v>
      </c>
      <c r="AG9" s="131">
        <f t="shared" si="5"/>
        <v>562.44258371429942</v>
      </c>
      <c r="AH9" s="131">
        <f t="shared" si="6"/>
        <v>3146.5942273614091</v>
      </c>
      <c r="AI9" s="131">
        <f t="shared" si="7"/>
        <v>-36.334589222549766</v>
      </c>
      <c r="AJ9" s="390">
        <f t="shared" si="8"/>
        <v>-1.1547275116251103E-2</v>
      </c>
      <c r="AK9" s="389">
        <f t="shared" si="9"/>
        <v>0.87379101929651326</v>
      </c>
      <c r="AL9" s="131">
        <f t="shared" si="10"/>
        <v>0</v>
      </c>
      <c r="AM9" s="131">
        <f t="shared" si="11"/>
        <v>0</v>
      </c>
      <c r="AN9" s="131">
        <f t="shared" si="12"/>
        <v>0</v>
      </c>
      <c r="AO9" s="131">
        <f t="shared" si="13"/>
        <v>-36.334589222549766</v>
      </c>
      <c r="AP9" s="26" t="str">
        <f t="shared" si="14"/>
        <v>20-29</v>
      </c>
      <c r="AQ9" s="26" t="str">
        <f t="shared" si="15"/>
        <v>Up to 250k</v>
      </c>
      <c r="AR9" s="26" t="str">
        <f>IF($T9=1,IF($AI9&lt;0,"Loss-making",IF($AJ9&lt;Assumptions!$C$16-0.00001,"Below target","At/above target")),"Excluded")</f>
        <v>Loss-making</v>
      </c>
      <c r="AS9" s="103">
        <f t="shared" si="16"/>
        <v>-36.334580222549768</v>
      </c>
      <c r="AT9" s="26"/>
      <c r="AU9" s="419">
        <f>IF(AND($T9=1,AU$5&lt;=$H9),INDEX(Mortality!$B$4:$E$64,MATCH($D9+AU$5-1,Mortality!$A$4:$A$64,0),$U9)*$V9*$N9,0)</f>
        <v>4.6496002843705284E-4</v>
      </c>
      <c r="AV9" s="93">
        <f>IF(AND($T9=1,AV$5&lt;=$H9),INDEX(Mortality!$B$4:$E$64,MATCH($D9+AV$5-1,Mortality!$A$4:$A$64,0),$U9)*$V9*$N9,0)</f>
        <v>5.0368518579163926E-4</v>
      </c>
      <c r="AW9" s="93">
        <f>IF(AND($T9=1,AW$5&lt;=$H9),INDEX(Mortality!$B$4:$E$64,MATCH($D9+AW$5-1,Mortality!$A$4:$A$64,0),$U9)*$V9*$N9,0)</f>
        <v>5.4563564794754224E-4</v>
      </c>
      <c r="AX9" s="93">
        <f>IF(AND($T9=1,AX$5&lt;=$H9),INDEX(Mortality!$B$4:$E$64,MATCH($D9+AX$5-1,Mortality!$A$4:$A$64,0),$U9)*$V9*$N9,0)</f>
        <v>5.9108004108401879E-4</v>
      </c>
      <c r="AY9" s="93">
        <f>IF(AND($T9=1,AY$5&lt;=$H9),INDEX(Mortality!$B$4:$E$64,MATCH($D9+AY$5-1,Mortality!$A$4:$A$64,0),$U9)*$V9*$N9,0)</f>
        <v>6.4030936446710107E-4</v>
      </c>
      <c r="AZ9" s="93">
        <f>IF(AND($T9=1,AZ$5&lt;=$H9),INDEX(Mortality!$B$4:$E$64,MATCH($D9+AZ$5-1,Mortality!$A$4:$A$64,0),$U9)*$V9*$N9,0)</f>
        <v>6.9363885383838238E-4</v>
      </c>
      <c r="BA9" s="93">
        <f>IF(AND($T9=1,BA$5&lt;=$H9),INDEX(Mortality!$B$4:$E$64,MATCH($D9+BA$5-1,Mortality!$A$4:$A$64,0),$U9)*$V9*$N9,0)</f>
        <v>7.514100000000001E-4</v>
      </c>
      <c r="BB9" s="93">
        <f>IF(AND($T9=1,BB$5&lt;=$H9),INDEX(Mortality!$B$4:$E$64,MATCH($D9+BB$5-1,Mortality!$A$4:$A$64,0),$U9)*$V9*$N9,0)</f>
        <v>8.1399273552164048E-4</v>
      </c>
      <c r="BC9" s="93">
        <f>IF(AND($T9=1,BC$5&lt;=$H9),INDEX(Mortality!$B$4:$E$64,MATCH($D9+BC$5-1,Mortality!$A$4:$A$64,0),$U9)*$V9*$N9,0)</f>
        <v>8.817878035719544E-4</v>
      </c>
      <c r="BD9" s="93">
        <f>IF(AND($T9=1,BD$5&lt;=$H9),INDEX(Mortality!$B$4:$E$64,MATCH($D9+BD$5-1,Mortality!$A$4:$A$64,0),$U9)*$V9*$N9,0)</f>
        <v>9.5522932404300742E-4</v>
      </c>
      <c r="BE9" s="93">
        <f>IF(AND($T9=1,BE$5&lt;=$H9),INDEX(Mortality!$B$4:$E$64,MATCH($D9+BE$5-1,Mortality!$A$4:$A$64,0),$U9)*$V9*$N9,0)</f>
        <v>0</v>
      </c>
      <c r="BF9" s="93">
        <f>IF(AND($T9=1,BF$5&lt;=$H9),INDEX(Mortality!$B$4:$E$64,MATCH($D9+BF$5-1,Mortality!$A$4:$A$64,0),$U9)*$V9*$N9,0)</f>
        <v>0</v>
      </c>
      <c r="BG9" s="93">
        <f>IF(AND($T9=1,BG$5&lt;=$H9),INDEX(Mortality!$B$4:$E$64,MATCH($D9+BG$5-1,Mortality!$A$4:$A$64,0),$U9)*$V9*$N9,0)</f>
        <v>0</v>
      </c>
      <c r="BH9" s="93">
        <f>IF(AND($T9=1,BH$5&lt;=$H9),INDEX(Mortality!$B$4:$E$64,MATCH($D9+BH$5-1,Mortality!$A$4:$A$64,0),$U9)*$V9*$N9,0)</f>
        <v>0</v>
      </c>
      <c r="BI9" s="93">
        <f>IF(AND($T9=1,BI$5&lt;=$H9),INDEX(Mortality!$B$4:$E$64,MATCH($D9+BI$5-1,Mortality!$A$4:$A$64,0),$U9)*$V9*$N9,0)</f>
        <v>0</v>
      </c>
      <c r="BJ9" s="93">
        <f>IF(AND($T9=1,BJ$5&lt;=$H9),INDEX(Mortality!$B$4:$E$64,MATCH($D9+BJ$5-1,Mortality!$A$4:$A$64,0),$U9)*$V9*$N9,0)</f>
        <v>0</v>
      </c>
      <c r="BK9" s="93">
        <f>IF(AND($T9=1,BK$5&lt;=$H9),INDEX(Mortality!$B$4:$E$64,MATCH($D9+BK$5-1,Mortality!$A$4:$A$64,0),$U9)*$V9*$N9,0)</f>
        <v>0</v>
      </c>
      <c r="BL9" s="93">
        <f>IF(AND($T9=1,BL$5&lt;=$H9),INDEX(Mortality!$B$4:$E$64,MATCH($D9+BL$5-1,Mortality!$A$4:$A$64,0),$U9)*$V9*$N9,0)</f>
        <v>0</v>
      </c>
      <c r="BM9" s="93">
        <f>IF(AND($T9=1,BM$5&lt;=$H9),INDEX(Mortality!$B$4:$E$64,MATCH($D9+BM$5-1,Mortality!$A$4:$A$64,0),$U9)*$V9*$N9,0)</f>
        <v>0</v>
      </c>
      <c r="BN9" s="93">
        <f>IF(AND($T9=1,BN$5&lt;=$H9),INDEX(Mortality!$B$4:$E$64,MATCH($D9+BN$5-1,Mortality!$A$4:$A$64,0),$U9)*$V9*$N9,0)</f>
        <v>0</v>
      </c>
      <c r="BO9" s="93">
        <f>IF(AND($T9=1,BO$5&lt;=$H9),INDEX(Mortality!$B$4:$E$64,MATCH($D9+BO$5-1,Mortality!$A$4:$A$64,0),$U9)*$V9*$N9,0)</f>
        <v>0</v>
      </c>
      <c r="BP9" s="93">
        <f>IF(AND($T9=1,BP$5&lt;=$H9),INDEX(Mortality!$B$4:$E$64,MATCH($D9+BP$5-1,Mortality!$A$4:$A$64,0),$U9)*$V9*$N9,0)</f>
        <v>0</v>
      </c>
      <c r="BQ9" s="93">
        <f>IF(AND($T9=1,BQ$5&lt;=$H9),INDEX(Mortality!$B$4:$E$64,MATCH($D9+BQ$5-1,Mortality!$A$4:$A$64,0),$U9)*$V9*$N9,0)</f>
        <v>0</v>
      </c>
      <c r="BR9" s="93">
        <f>IF(AND($T9=1,BR$5&lt;=$H9),INDEX(Mortality!$B$4:$E$64,MATCH($D9+BR$5-1,Mortality!$A$4:$A$64,0),$U9)*$V9*$N9,0)</f>
        <v>0</v>
      </c>
      <c r="BS9" s="93">
        <f>IF(AND($T9=1,BS$5&lt;=$H9),INDEX(Mortality!$B$4:$E$64,MATCH($D9+BS$5-1,Mortality!$A$4:$A$64,0),$U9)*$V9*$N9,0)</f>
        <v>0</v>
      </c>
      <c r="BT9" s="93">
        <f>IF(AND($T9=1,BT$5&lt;=$H9),INDEX(Mortality!$B$4:$E$64,MATCH($D9+BT$5-1,Mortality!$A$4:$A$64,0),$U9)*$V9*$N9,0)</f>
        <v>0</v>
      </c>
      <c r="BU9" s="93">
        <f>IF(AND($T9=1,BU$5&lt;=$H9),INDEX(Mortality!$B$4:$E$64,MATCH($D9+BU$5-1,Mortality!$A$4:$A$64,0),$U9)*$V9*$N9,0)</f>
        <v>0</v>
      </c>
      <c r="BV9" s="93">
        <f>IF(AND($T9=1,BV$5&lt;=$H9),INDEX(Mortality!$B$4:$E$64,MATCH($D9+BV$5-1,Mortality!$A$4:$A$64,0),$U9)*$V9*$N9,0)</f>
        <v>0</v>
      </c>
      <c r="BW9" s="93">
        <f>IF(AND($T9=1,BW$5&lt;=$H9),INDEX(Mortality!$B$4:$E$64,MATCH($D9+BW$5-1,Mortality!$A$4:$A$64,0),$U9)*$V9*$N9,0)</f>
        <v>0</v>
      </c>
      <c r="BX9" s="93">
        <f>IF(AND($T9=1,BX$5&lt;=$H9),INDEX(Mortality!$B$4:$E$64,MATCH($D9+BX$5-1,Mortality!$A$4:$A$64,0),$U9)*$V9*$N9,0)</f>
        <v>0</v>
      </c>
      <c r="BY9" s="93">
        <f>IF(AND($T9=1,BY$5&lt;=$H9),INDEX(Mortality!$B$4:$E$64,MATCH($D9+BY$5-1,Mortality!$A$4:$A$64,0),$U9)*$V9*$N9,0)</f>
        <v>0</v>
      </c>
      <c r="BZ9" s="93">
        <f>IF(AND($T9=1,BZ$5&lt;=$H9),INDEX(Mortality!$B$4:$E$64,MATCH($D9+BZ$5-1,Mortality!$A$4:$A$64,0),$U9)*$V9*$N9,0)</f>
        <v>0</v>
      </c>
      <c r="CA9" s="93">
        <f>IF(AND($T9=1,CA$5&lt;=$H9),INDEX(Mortality!$B$4:$E$64,MATCH($D9+CA$5-1,Mortality!$A$4:$A$64,0),$U9)*$V9*$N9,0)</f>
        <v>0</v>
      </c>
      <c r="CB9" s="93">
        <f>IF(AND($T9=1,CB$5&lt;=$H9),INDEX(Mortality!$B$4:$E$64,MATCH($D9+CB$5-1,Mortality!$A$4:$A$64,0),$U9)*$V9*$N9,0)</f>
        <v>0</v>
      </c>
      <c r="CC9" s="93">
        <f>IF(AND($T9=1,CC$5&lt;=$H9),INDEX(Mortality!$B$4:$E$64,MATCH($D9+CC$5-1,Mortality!$A$4:$A$64,0),$U9)*$V9*$N9,0)</f>
        <v>0</v>
      </c>
      <c r="CD9" s="93">
        <f>IF(AND($T9=1,CD$5&lt;=$H9),INDEX(Mortality!$B$4:$E$64,MATCH($D9+CD$5-1,Mortality!$A$4:$A$64,0),$U9)*$V9*$N9,0)</f>
        <v>0</v>
      </c>
      <c r="CE9" s="93">
        <f>IF(AND($T9=1,CE$5&lt;=$H9),INDEX(Mortality!$B$4:$E$64,MATCH($D9+CE$5-1,Mortality!$A$4:$A$64,0),$U9)*$V9*$N9,0)</f>
        <v>0</v>
      </c>
      <c r="CF9" s="93">
        <f>IF(AND($T9=1,CF$5&lt;=$H9),INDEX(Mortality!$B$4:$E$64,MATCH($D9+CF$5-1,Mortality!$A$4:$A$64,0),$U9)*$V9*$N9,0)</f>
        <v>0</v>
      </c>
      <c r="CG9" s="93">
        <f>IF(AND($T9=1,CG$5&lt;=$H9),INDEX(Mortality!$B$4:$E$64,MATCH($D9+CG$5-1,Mortality!$A$4:$A$64,0),$U9)*$V9*$N9,0)</f>
        <v>0</v>
      </c>
      <c r="CH9" s="94">
        <f>IF(AND($T9=1,CH$5&lt;=$H9),INDEX(Mortality!$B$4:$E$64,MATCH($D9+CH$5-1,Mortality!$A$4:$A$64,0),$U9)*$V9*$N9,0)</f>
        <v>0</v>
      </c>
      <c r="CI9" s="26"/>
      <c r="CJ9" s="419">
        <f t="shared" si="17"/>
        <v>1</v>
      </c>
      <c r="CK9" s="93">
        <f>IF(AND($T9=1,CK$5&lt;=$H9),CJ9*(1-AU9)*(1-MIN(1,MAX(Assumptions!$C$27,Assumptions!$C$13*Assumptions!$C$28^(CJ$5-1))*$O9)),0)</f>
        <v>0.85560199421565786</v>
      </c>
      <c r="CL9" s="93">
        <f>IF(AND($T9=1,CL$5&lt;=$H9),CK9*(1-AV9)*(1-MIN(1,MAX(Assumptions!$C$27,Assumptions!$C$13*Assumptions!$C$28^(CK$5-1))*$O9)),0)</f>
        <v>0.7504981048498901</v>
      </c>
      <c r="CM9" s="93">
        <f>IF(AND($T9=1,CM$5&lt;=$H9),CL9*(1-AW9)*(1-MIN(1,MAX(Assumptions!$C$27,Assumptions!$C$13*Assumptions!$C$28^(CL$5-1))*$O9)),0)</f>
        <v>0.67204938772757639</v>
      </c>
      <c r="CN9" s="93">
        <f>IF(AND($T9=1,CN$5&lt;=$H9),CM9*(1-AX9)*(1-MIN(1,MAX(Assumptions!$C$27,Assumptions!$C$13*Assumptions!$C$28^(CM$5-1))*$O9)),0)</f>
        <v>0.61225526627176297</v>
      </c>
      <c r="CO9" s="93">
        <f>IF(AND($T9=1,CO$5&lt;=$H9),CN9*(1-AY9)*(1-MIN(1,MAX(Assumptions!$C$27,Assumptions!$C$13*Assumptions!$C$28^(CN$5-1))*$O9)),0)</f>
        <v>0.56587014727933882</v>
      </c>
      <c r="CP9" s="93">
        <f>IF(AND($T9=1,CP$5&lt;=$H9),CO9*(1-AZ9)*(1-MIN(1,MAX(Assumptions!$C$27,Assumptions!$C$13*Assumptions!$C$28^(CO$5-1))*$O9)),0)</f>
        <v>0.52934725555476014</v>
      </c>
      <c r="CQ9" s="93">
        <f>IF(AND($T9=1,CQ$5&lt;=$H9),CP9*(1-BA9)*(1-MIN(1,MAX(Assumptions!$C$27,Assumptions!$C$13*Assumptions!$C$28^(CP$5-1))*$O9)),0)</f>
        <v>0.50022249993127643</v>
      </c>
      <c r="CR9" s="93">
        <f>IF(AND($T9=1,CR$5&lt;=$H9),CQ9*(1-BB9)*(1-MIN(1,MAX(Assumptions!$C$27,Assumptions!$C$13*Assumptions!$C$28^(CQ$5-1))*$O9)),0)</f>
        <v>0.47674229738226925</v>
      </c>
      <c r="CS9" s="93">
        <f>IF(AND($T9=1,CS$5&lt;=$H9),CR9*(1-BC9)*(1-MIN(1,MAX(Assumptions!$C$27,Assumptions!$C$13*Assumptions!$C$28^(CR$5-1))*$O9)),0)</f>
        <v>0.45763168990936592</v>
      </c>
      <c r="CT9" s="93">
        <f>IF(AND($T9=1,CT$5&lt;=$H9),CS9*(1-BD9)*(1-MIN(1,MAX(Assumptions!$C$27,Assumptions!$C$13*Assumptions!$C$28^(CS$5-1))*$O9)),0)</f>
        <v>0</v>
      </c>
      <c r="CU9" s="93">
        <f>IF(AND($T9=1,CU$5&lt;=$H9),CT9*(1-BE9)*(1-MIN(1,MAX(Assumptions!$C$27,Assumptions!$C$13*Assumptions!$C$28^(CT$5-1))*$O9)),0)</f>
        <v>0</v>
      </c>
      <c r="CV9" s="93">
        <f>IF(AND($T9=1,CV$5&lt;=$H9),CU9*(1-BF9)*(1-MIN(1,MAX(Assumptions!$C$27,Assumptions!$C$13*Assumptions!$C$28^(CU$5-1))*$O9)),0)</f>
        <v>0</v>
      </c>
      <c r="CW9" s="93">
        <f>IF(AND($T9=1,CW$5&lt;=$H9),CV9*(1-BG9)*(1-MIN(1,MAX(Assumptions!$C$27,Assumptions!$C$13*Assumptions!$C$28^(CV$5-1))*$O9)),0)</f>
        <v>0</v>
      </c>
      <c r="CX9" s="93">
        <f>IF(AND($T9=1,CX$5&lt;=$H9),CW9*(1-BH9)*(1-MIN(1,MAX(Assumptions!$C$27,Assumptions!$C$13*Assumptions!$C$28^(CW$5-1))*$O9)),0)</f>
        <v>0</v>
      </c>
      <c r="CY9" s="93">
        <f>IF(AND($T9=1,CY$5&lt;=$H9),CX9*(1-BI9)*(1-MIN(1,MAX(Assumptions!$C$27,Assumptions!$C$13*Assumptions!$C$28^(CX$5-1))*$O9)),0)</f>
        <v>0</v>
      </c>
      <c r="CZ9" s="93">
        <f>IF(AND($T9=1,CZ$5&lt;=$H9),CY9*(1-BJ9)*(1-MIN(1,MAX(Assumptions!$C$27,Assumptions!$C$13*Assumptions!$C$28^(CY$5-1))*$O9)),0)</f>
        <v>0</v>
      </c>
      <c r="DA9" s="93">
        <f>IF(AND($T9=1,DA$5&lt;=$H9),CZ9*(1-BK9)*(1-MIN(1,MAX(Assumptions!$C$27,Assumptions!$C$13*Assumptions!$C$28^(CZ$5-1))*$O9)),0)</f>
        <v>0</v>
      </c>
      <c r="DB9" s="93">
        <f>IF(AND($T9=1,DB$5&lt;=$H9),DA9*(1-BL9)*(1-MIN(1,MAX(Assumptions!$C$27,Assumptions!$C$13*Assumptions!$C$28^(DA$5-1))*$O9)),0)</f>
        <v>0</v>
      </c>
      <c r="DC9" s="93">
        <f>IF(AND($T9=1,DC$5&lt;=$H9),DB9*(1-BM9)*(1-MIN(1,MAX(Assumptions!$C$27,Assumptions!$C$13*Assumptions!$C$28^(DB$5-1))*$O9)),0)</f>
        <v>0</v>
      </c>
      <c r="DD9" s="93">
        <f>IF(AND($T9=1,DD$5&lt;=$H9),DC9*(1-BN9)*(1-MIN(1,MAX(Assumptions!$C$27,Assumptions!$C$13*Assumptions!$C$28^(DC$5-1))*$O9)),0)</f>
        <v>0</v>
      </c>
      <c r="DE9" s="93">
        <f>IF(AND($T9=1,DE$5&lt;=$H9),DD9*(1-BO9)*(1-MIN(1,MAX(Assumptions!$C$27,Assumptions!$C$13*Assumptions!$C$28^(DD$5-1))*$O9)),0)</f>
        <v>0</v>
      </c>
      <c r="DF9" s="93">
        <f>IF(AND($T9=1,DF$5&lt;=$H9),DE9*(1-BP9)*(1-MIN(1,MAX(Assumptions!$C$27,Assumptions!$C$13*Assumptions!$C$28^(DE$5-1))*$O9)),0)</f>
        <v>0</v>
      </c>
      <c r="DG9" s="93">
        <f>IF(AND($T9=1,DG$5&lt;=$H9),DF9*(1-BQ9)*(1-MIN(1,MAX(Assumptions!$C$27,Assumptions!$C$13*Assumptions!$C$28^(DF$5-1))*$O9)),0)</f>
        <v>0</v>
      </c>
      <c r="DH9" s="93">
        <f>IF(AND($T9=1,DH$5&lt;=$H9),DG9*(1-BR9)*(1-MIN(1,MAX(Assumptions!$C$27,Assumptions!$C$13*Assumptions!$C$28^(DG$5-1))*$O9)),0)</f>
        <v>0</v>
      </c>
      <c r="DI9" s="93">
        <f>IF(AND($T9=1,DI$5&lt;=$H9),DH9*(1-BS9)*(1-MIN(1,MAX(Assumptions!$C$27,Assumptions!$C$13*Assumptions!$C$28^(DH$5-1))*$O9)),0)</f>
        <v>0</v>
      </c>
      <c r="DJ9" s="93">
        <f>IF(AND($T9=1,DJ$5&lt;=$H9),DI9*(1-BT9)*(1-MIN(1,MAX(Assumptions!$C$27,Assumptions!$C$13*Assumptions!$C$28^(DI$5-1))*$O9)),0)</f>
        <v>0</v>
      </c>
      <c r="DK9" s="93">
        <f>IF(AND($T9=1,DK$5&lt;=$H9),DJ9*(1-BU9)*(1-MIN(1,MAX(Assumptions!$C$27,Assumptions!$C$13*Assumptions!$C$28^(DJ$5-1))*$O9)),0)</f>
        <v>0</v>
      </c>
      <c r="DL9" s="93">
        <f>IF(AND($T9=1,DL$5&lt;=$H9),DK9*(1-BV9)*(1-MIN(1,MAX(Assumptions!$C$27,Assumptions!$C$13*Assumptions!$C$28^(DK$5-1))*$O9)),0)</f>
        <v>0</v>
      </c>
      <c r="DM9" s="93">
        <f>IF(AND($T9=1,DM$5&lt;=$H9),DL9*(1-BW9)*(1-MIN(1,MAX(Assumptions!$C$27,Assumptions!$C$13*Assumptions!$C$28^(DL$5-1))*$O9)),0)</f>
        <v>0</v>
      </c>
      <c r="DN9" s="93">
        <f>IF(AND($T9=1,DN$5&lt;=$H9),DM9*(1-BX9)*(1-MIN(1,MAX(Assumptions!$C$27,Assumptions!$C$13*Assumptions!$C$28^(DM$5-1))*$O9)),0)</f>
        <v>0</v>
      </c>
      <c r="DO9" s="93">
        <f>IF(AND($T9=1,DO$5&lt;=$H9),DN9*(1-BY9)*(1-MIN(1,MAX(Assumptions!$C$27,Assumptions!$C$13*Assumptions!$C$28^(DN$5-1))*$O9)),0)</f>
        <v>0</v>
      </c>
      <c r="DP9" s="93">
        <f>IF(AND($T9=1,DP$5&lt;=$H9),DO9*(1-BZ9)*(1-MIN(1,MAX(Assumptions!$C$27,Assumptions!$C$13*Assumptions!$C$28^(DO$5-1))*$O9)),0)</f>
        <v>0</v>
      </c>
      <c r="DQ9" s="93">
        <f>IF(AND($T9=1,DQ$5&lt;=$H9),DP9*(1-CA9)*(1-MIN(1,MAX(Assumptions!$C$27,Assumptions!$C$13*Assumptions!$C$28^(DP$5-1))*$O9)),0)</f>
        <v>0</v>
      </c>
      <c r="DR9" s="93">
        <f>IF(AND($T9=1,DR$5&lt;=$H9),DQ9*(1-CB9)*(1-MIN(1,MAX(Assumptions!$C$27,Assumptions!$C$13*Assumptions!$C$28^(DQ$5-1))*$O9)),0)</f>
        <v>0</v>
      </c>
      <c r="DS9" s="93">
        <f>IF(AND($T9=1,DS$5&lt;=$H9),DR9*(1-CC9)*(1-MIN(1,MAX(Assumptions!$C$27,Assumptions!$C$13*Assumptions!$C$28^(DR$5-1))*$O9)),0)</f>
        <v>0</v>
      </c>
      <c r="DT9" s="93">
        <f>IF(AND($T9=1,DT$5&lt;=$H9),DS9*(1-CD9)*(1-MIN(1,MAX(Assumptions!$C$27,Assumptions!$C$13*Assumptions!$C$28^(DS$5-1))*$O9)),0)</f>
        <v>0</v>
      </c>
      <c r="DU9" s="93">
        <f>IF(AND($T9=1,DU$5&lt;=$H9),DT9*(1-CE9)*(1-MIN(1,MAX(Assumptions!$C$27,Assumptions!$C$13*Assumptions!$C$28^(DT$5-1))*$O9)),0)</f>
        <v>0</v>
      </c>
      <c r="DV9" s="93">
        <f>IF(AND($T9=1,DV$5&lt;=$H9),DU9*(1-CF9)*(1-MIN(1,MAX(Assumptions!$C$27,Assumptions!$C$13*Assumptions!$C$28^(DU$5-1))*$O9)),0)</f>
        <v>0</v>
      </c>
      <c r="DW9" s="94">
        <f>IF(AND($T9=1,DW$5&lt;=$H9),DV9*(1-CG9)*(1-MIN(1,MAX(Assumptions!$C$27,Assumptions!$C$13*Assumptions!$C$28^(DV$5-1))*$O9)),0)</f>
        <v>0</v>
      </c>
      <c r="DX9" s="26"/>
      <c r="DY9" s="26"/>
      <c r="DZ9" s="26"/>
      <c r="EA9" s="26"/>
      <c r="EB9" s="26"/>
      <c r="EC9" s="26"/>
      <c r="ED9" s="26"/>
    </row>
    <row r="10" spans="1:134" x14ac:dyDescent="0.3">
      <c r="A10" s="382" t="s">
        <v>396</v>
      </c>
      <c r="B10" s="383" t="s">
        <v>397</v>
      </c>
      <c r="C10" s="383" t="s">
        <v>288</v>
      </c>
      <c r="D10" s="384">
        <f>'Premium Calculation'!$B$4</f>
        <v>24</v>
      </c>
      <c r="E10" s="385" t="str">
        <f>'Premium Calculation'!$B$5</f>
        <v>Male</v>
      </c>
      <c r="F10" s="385" t="str">
        <f>'Premium Calculation'!$B$6</f>
        <v>Smoker</v>
      </c>
      <c r="G10" s="385" t="str">
        <f>'Premium Calculation'!$B$7</f>
        <v>Preferred</v>
      </c>
      <c r="H10" s="384">
        <f>'Premium Calculation'!$B$8</f>
        <v>10</v>
      </c>
      <c r="I10" s="386">
        <f>'Premium Calculation'!$B$9</f>
        <v>100000</v>
      </c>
      <c r="J10" s="385" t="str">
        <f>'Premium Calculation'!$B$10</f>
        <v>Monthly</v>
      </c>
      <c r="K10" s="385" t="str">
        <f>'Premium Calculation'!$B$31</f>
        <v>Bancassurance</v>
      </c>
      <c r="L10" s="383" t="s">
        <v>389</v>
      </c>
      <c r="M10" s="386">
        <f>'Premium Calculation'!$B$29</f>
        <v>562.44258371429942</v>
      </c>
      <c r="N10" s="387">
        <f>Sensitivities!$F$8</f>
        <v>1.1499999999999999</v>
      </c>
      <c r="O10" s="387">
        <f>Sensitivities!$F$9</f>
        <v>1.5</v>
      </c>
      <c r="P10" s="387">
        <f>Sensitivities!$F$10</f>
        <v>1</v>
      </c>
      <c r="Q10" s="388">
        <f>Sensitivities!$F$11</f>
        <v>0</v>
      </c>
      <c r="R10" s="388">
        <f>Assumptions!$C$6+Sensitivities!$F$12</f>
        <v>3.5000000000000003E-2</v>
      </c>
      <c r="S10" s="388">
        <f>Assumptions!$C$15</f>
        <v>1.1000000000000001E-3</v>
      </c>
      <c r="T10" s="26">
        <f t="shared" si="0"/>
        <v>1</v>
      </c>
      <c r="U10" s="26">
        <f t="shared" si="1"/>
        <v>4</v>
      </c>
      <c r="V10" s="389">
        <f>IF($G10="Preferred",Assumptions!$C$30,IF($G10="Rated",Assumptions!$C$31,1))</f>
        <v>0.8</v>
      </c>
      <c r="W10" s="390">
        <f>IF($K10="Direct",Assumptions!$C$32,IF($K10="Broker",Assumptions!$C$33,IF($K10="Bancassurance",Assumptions!$C$34,Assumptions!$C$11)))+$Q10</f>
        <v>0.2</v>
      </c>
      <c r="X10" s="390">
        <f>Assumptions!$C$12+$Q10</f>
        <v>0.05</v>
      </c>
      <c r="Y10" s="131">
        <f>MIN($I10,Assumptions!$C$14)</f>
        <v>100000</v>
      </c>
      <c r="Z10" s="131">
        <f>MAX($I10-Assumptions!$C$14,0)</f>
        <v>0</v>
      </c>
      <c r="AA10" s="389">
        <f t="shared" si="2"/>
        <v>4.9468231685978816</v>
      </c>
      <c r="AB10" s="389">
        <f t="shared" si="3"/>
        <v>3.215507063398165E-3</v>
      </c>
      <c r="AC10" s="389">
        <f>IF($T10=1,SUMPRODUCT($CJ10:$DW10,(1+Assumptions!$C$5)^($CJ$5:$DW$5-1),(1+$R10)^(-$CJ$5:$DW$5)),0)</f>
        <v>5.6667326765617947</v>
      </c>
      <c r="AD10" s="389">
        <f t="shared" si="4"/>
        <v>0.39226869466177816</v>
      </c>
      <c r="AE10" s="131">
        <f>IF($T10=1,$AB10*$Y10+(Assumptions!$C$9/(1+$R10)+Assumptions!$C$10*$AC10)*$P10+$S10*$Z10*$AA10,0)</f>
        <v>2437.7971125747154</v>
      </c>
      <c r="AF10" s="131">
        <f>IF($T10=1,IF($AA10-$AD10-Assumptions!$C$16*$AA10&gt;0,$AE10/($AA10-$AD10-Assumptions!$C$16*$AA10)*IF($J10="Monthly",1+Assumptions!$C$29,1),"n.a."),"")</f>
        <v>603.76209994517774</v>
      </c>
      <c r="AG10" s="131">
        <f t="shared" si="5"/>
        <v>562.44258371429942</v>
      </c>
      <c r="AH10" s="131">
        <f t="shared" si="6"/>
        <v>2782.3040041239501</v>
      </c>
      <c r="AI10" s="131">
        <f t="shared" si="7"/>
        <v>123.87827341342836</v>
      </c>
      <c r="AJ10" s="390">
        <f t="shared" si="8"/>
        <v>4.4523629779425658E-2</v>
      </c>
      <c r="AK10" s="389">
        <f t="shared" si="9"/>
        <v>0.93156324944107927</v>
      </c>
      <c r="AL10" s="131">
        <f t="shared" si="10"/>
        <v>0</v>
      </c>
      <c r="AM10" s="131">
        <f t="shared" si="11"/>
        <v>0</v>
      </c>
      <c r="AN10" s="131">
        <f t="shared" si="12"/>
        <v>0</v>
      </c>
      <c r="AO10" s="131">
        <f t="shared" si="13"/>
        <v>123.87827341342836</v>
      </c>
      <c r="AP10" s="26" t="str">
        <f t="shared" si="14"/>
        <v>20-29</v>
      </c>
      <c r="AQ10" s="26" t="str">
        <f t="shared" si="15"/>
        <v>Up to 250k</v>
      </c>
      <c r="AR10" s="26" t="str">
        <f>IF($T10=1,IF($AI10&lt;0,"Loss-making",IF($AJ10&lt;Assumptions!$C$16-0.00001,"Below target","At/above target")),"Excluded")</f>
        <v>Below target</v>
      </c>
      <c r="AS10" s="103">
        <f t="shared" si="16"/>
        <v>123.87828341342836</v>
      </c>
      <c r="AT10" s="26"/>
      <c r="AU10" s="419">
        <f>IF(AND($T10=1,AU$5&lt;=$H10),INDEX(Mortality!$B$4:$E$64,MATCH($D10+AU$5-1,Mortality!$A$4:$A$64,0),$U10)*$V10*$N10,0)</f>
        <v>4.8609457518419152E-4</v>
      </c>
      <c r="AV10" s="93">
        <f>IF(AND($T10=1,AV$5&lt;=$H10),INDEX(Mortality!$B$4:$E$64,MATCH($D10+AV$5-1,Mortality!$A$4:$A$64,0),$U10)*$V10*$N10,0)</f>
        <v>5.2657996696398642E-4</v>
      </c>
      <c r="AW10" s="93">
        <f>IF(AND($T10=1,AW$5&lt;=$H10),INDEX(Mortality!$B$4:$E$64,MATCH($D10+AW$5-1,Mortality!$A$4:$A$64,0),$U10)*$V10*$N10,0)</f>
        <v>5.7043726830879416E-4</v>
      </c>
      <c r="AX10" s="93">
        <f>IF(AND($T10=1,AX$5&lt;=$H10),INDEX(Mortality!$B$4:$E$64,MATCH($D10+AX$5-1,Mortality!$A$4:$A$64,0),$U10)*$V10*$N10,0)</f>
        <v>6.179473156787468E-4</v>
      </c>
      <c r="AY10" s="93">
        <f>IF(AND($T10=1,AY$5&lt;=$H10),INDEX(Mortality!$B$4:$E$64,MATCH($D10+AY$5-1,Mortality!$A$4:$A$64,0),$U10)*$V10*$N10,0)</f>
        <v>6.6941433557924192E-4</v>
      </c>
      <c r="AZ10" s="93">
        <f>IF(AND($T10=1,AZ$5&lt;=$H10),INDEX(Mortality!$B$4:$E$64,MATCH($D10+AZ$5-1,Mortality!$A$4:$A$64,0),$U10)*$V10*$N10,0)</f>
        <v>7.2516789264921776E-4</v>
      </c>
      <c r="BA10" s="93">
        <f>IF(AND($T10=1,BA$5&lt;=$H10),INDEX(Mortality!$B$4:$E$64,MATCH($D10+BA$5-1,Mortality!$A$4:$A$64,0),$U10)*$V10*$N10,0)</f>
        <v>7.85565E-4</v>
      </c>
      <c r="BB10" s="93">
        <f>IF(AND($T10=1,BB$5&lt;=$H10),INDEX(Mortality!$B$4:$E$64,MATCH($D10+BB$5-1,Mortality!$A$4:$A$64,0),$U10)*$V10*$N10,0)</f>
        <v>8.5099240531807854E-4</v>
      </c>
      <c r="BC10" s="93">
        <f>IF(AND($T10=1,BC$5&lt;=$H10),INDEX(Mortality!$B$4:$E$64,MATCH($D10+BC$5-1,Mortality!$A$4:$A$64,0),$U10)*$V10*$N10,0)</f>
        <v>9.2186906737067942E-4</v>
      </c>
      <c r="BD10" s="93">
        <f>IF(AND($T10=1,BD$5&lt;=$H10),INDEX(Mortality!$B$4:$E$64,MATCH($D10+BD$5-1,Mortality!$A$4:$A$64,0),$U10)*$V10*$N10,0)</f>
        <v>9.9864883877223481E-4</v>
      </c>
      <c r="BE10" s="93">
        <f>IF(AND($T10=1,BE$5&lt;=$H10),INDEX(Mortality!$B$4:$E$64,MATCH($D10+BE$5-1,Mortality!$A$4:$A$64,0),$U10)*$V10*$N10,0)</f>
        <v>0</v>
      </c>
      <c r="BF10" s="93">
        <f>IF(AND($T10=1,BF$5&lt;=$H10),INDEX(Mortality!$B$4:$E$64,MATCH($D10+BF$5-1,Mortality!$A$4:$A$64,0),$U10)*$V10*$N10,0)</f>
        <v>0</v>
      </c>
      <c r="BG10" s="93">
        <f>IF(AND($T10=1,BG$5&lt;=$H10),INDEX(Mortality!$B$4:$E$64,MATCH($D10+BG$5-1,Mortality!$A$4:$A$64,0),$U10)*$V10*$N10,0)</f>
        <v>0</v>
      </c>
      <c r="BH10" s="93">
        <f>IF(AND($T10=1,BH$5&lt;=$H10),INDEX(Mortality!$B$4:$E$64,MATCH($D10+BH$5-1,Mortality!$A$4:$A$64,0),$U10)*$V10*$N10,0)</f>
        <v>0</v>
      </c>
      <c r="BI10" s="93">
        <f>IF(AND($T10=1,BI$5&lt;=$H10),INDEX(Mortality!$B$4:$E$64,MATCH($D10+BI$5-1,Mortality!$A$4:$A$64,0),$U10)*$V10*$N10,0)</f>
        <v>0</v>
      </c>
      <c r="BJ10" s="93">
        <f>IF(AND($T10=1,BJ$5&lt;=$H10),INDEX(Mortality!$B$4:$E$64,MATCH($D10+BJ$5-1,Mortality!$A$4:$A$64,0),$U10)*$V10*$N10,0)</f>
        <v>0</v>
      </c>
      <c r="BK10" s="93">
        <f>IF(AND($T10=1,BK$5&lt;=$H10),INDEX(Mortality!$B$4:$E$64,MATCH($D10+BK$5-1,Mortality!$A$4:$A$64,0),$U10)*$V10*$N10,0)</f>
        <v>0</v>
      </c>
      <c r="BL10" s="93">
        <f>IF(AND($T10=1,BL$5&lt;=$H10),INDEX(Mortality!$B$4:$E$64,MATCH($D10+BL$5-1,Mortality!$A$4:$A$64,0),$U10)*$V10*$N10,0)</f>
        <v>0</v>
      </c>
      <c r="BM10" s="93">
        <f>IF(AND($T10=1,BM$5&lt;=$H10),INDEX(Mortality!$B$4:$E$64,MATCH($D10+BM$5-1,Mortality!$A$4:$A$64,0),$U10)*$V10*$N10,0)</f>
        <v>0</v>
      </c>
      <c r="BN10" s="93">
        <f>IF(AND($T10=1,BN$5&lt;=$H10),INDEX(Mortality!$B$4:$E$64,MATCH($D10+BN$5-1,Mortality!$A$4:$A$64,0),$U10)*$V10*$N10,0)</f>
        <v>0</v>
      </c>
      <c r="BO10" s="93">
        <f>IF(AND($T10=1,BO$5&lt;=$H10),INDEX(Mortality!$B$4:$E$64,MATCH($D10+BO$5-1,Mortality!$A$4:$A$64,0),$U10)*$V10*$N10,0)</f>
        <v>0</v>
      </c>
      <c r="BP10" s="93">
        <f>IF(AND($T10=1,BP$5&lt;=$H10),INDEX(Mortality!$B$4:$E$64,MATCH($D10+BP$5-1,Mortality!$A$4:$A$64,0),$U10)*$V10*$N10,0)</f>
        <v>0</v>
      </c>
      <c r="BQ10" s="93">
        <f>IF(AND($T10=1,BQ$5&lt;=$H10),INDEX(Mortality!$B$4:$E$64,MATCH($D10+BQ$5-1,Mortality!$A$4:$A$64,0),$U10)*$V10*$N10,0)</f>
        <v>0</v>
      </c>
      <c r="BR10" s="93">
        <f>IF(AND($T10=1,BR$5&lt;=$H10),INDEX(Mortality!$B$4:$E$64,MATCH($D10+BR$5-1,Mortality!$A$4:$A$64,0),$U10)*$V10*$N10,0)</f>
        <v>0</v>
      </c>
      <c r="BS10" s="93">
        <f>IF(AND($T10=1,BS$5&lt;=$H10),INDEX(Mortality!$B$4:$E$64,MATCH($D10+BS$5-1,Mortality!$A$4:$A$64,0),$U10)*$V10*$N10,0)</f>
        <v>0</v>
      </c>
      <c r="BT10" s="93">
        <f>IF(AND($T10=1,BT$5&lt;=$H10),INDEX(Mortality!$B$4:$E$64,MATCH($D10+BT$5-1,Mortality!$A$4:$A$64,0),$U10)*$V10*$N10,0)</f>
        <v>0</v>
      </c>
      <c r="BU10" s="93">
        <f>IF(AND($T10=1,BU$5&lt;=$H10),INDEX(Mortality!$B$4:$E$64,MATCH($D10+BU$5-1,Mortality!$A$4:$A$64,0),$U10)*$V10*$N10,0)</f>
        <v>0</v>
      </c>
      <c r="BV10" s="93">
        <f>IF(AND($T10=1,BV$5&lt;=$H10),INDEX(Mortality!$B$4:$E$64,MATCH($D10+BV$5-1,Mortality!$A$4:$A$64,0),$U10)*$V10*$N10,0)</f>
        <v>0</v>
      </c>
      <c r="BW10" s="93">
        <f>IF(AND($T10=1,BW$5&lt;=$H10),INDEX(Mortality!$B$4:$E$64,MATCH($D10+BW$5-1,Mortality!$A$4:$A$64,0),$U10)*$V10*$N10,0)</f>
        <v>0</v>
      </c>
      <c r="BX10" s="93">
        <f>IF(AND($T10=1,BX$5&lt;=$H10),INDEX(Mortality!$B$4:$E$64,MATCH($D10+BX$5-1,Mortality!$A$4:$A$64,0),$U10)*$V10*$N10,0)</f>
        <v>0</v>
      </c>
      <c r="BY10" s="93">
        <f>IF(AND($T10=1,BY$5&lt;=$H10),INDEX(Mortality!$B$4:$E$64,MATCH($D10+BY$5-1,Mortality!$A$4:$A$64,0),$U10)*$V10*$N10,0)</f>
        <v>0</v>
      </c>
      <c r="BZ10" s="93">
        <f>IF(AND($T10=1,BZ$5&lt;=$H10),INDEX(Mortality!$B$4:$E$64,MATCH($D10+BZ$5-1,Mortality!$A$4:$A$64,0),$U10)*$V10*$N10,0)</f>
        <v>0</v>
      </c>
      <c r="CA10" s="93">
        <f>IF(AND($T10=1,CA$5&lt;=$H10),INDEX(Mortality!$B$4:$E$64,MATCH($D10+CA$5-1,Mortality!$A$4:$A$64,0),$U10)*$V10*$N10,0)</f>
        <v>0</v>
      </c>
      <c r="CB10" s="93">
        <f>IF(AND($T10=1,CB$5&lt;=$H10),INDEX(Mortality!$B$4:$E$64,MATCH($D10+CB$5-1,Mortality!$A$4:$A$64,0),$U10)*$V10*$N10,0)</f>
        <v>0</v>
      </c>
      <c r="CC10" s="93">
        <f>IF(AND($T10=1,CC$5&lt;=$H10),INDEX(Mortality!$B$4:$E$64,MATCH($D10+CC$5-1,Mortality!$A$4:$A$64,0),$U10)*$V10*$N10,0)</f>
        <v>0</v>
      </c>
      <c r="CD10" s="93">
        <f>IF(AND($T10=1,CD$5&lt;=$H10),INDEX(Mortality!$B$4:$E$64,MATCH($D10+CD$5-1,Mortality!$A$4:$A$64,0),$U10)*$V10*$N10,0)</f>
        <v>0</v>
      </c>
      <c r="CE10" s="93">
        <f>IF(AND($T10=1,CE$5&lt;=$H10),INDEX(Mortality!$B$4:$E$64,MATCH($D10+CE$5-1,Mortality!$A$4:$A$64,0),$U10)*$V10*$N10,0)</f>
        <v>0</v>
      </c>
      <c r="CF10" s="93">
        <f>IF(AND($T10=1,CF$5&lt;=$H10),INDEX(Mortality!$B$4:$E$64,MATCH($D10+CF$5-1,Mortality!$A$4:$A$64,0),$U10)*$V10*$N10,0)</f>
        <v>0</v>
      </c>
      <c r="CG10" s="93">
        <f>IF(AND($T10=1,CG$5&lt;=$H10),INDEX(Mortality!$B$4:$E$64,MATCH($D10+CG$5-1,Mortality!$A$4:$A$64,0),$U10)*$V10*$N10,0)</f>
        <v>0</v>
      </c>
      <c r="CH10" s="94">
        <f>IF(AND($T10=1,CH$5&lt;=$H10),INDEX(Mortality!$B$4:$E$64,MATCH($D10+CH$5-1,Mortality!$A$4:$A$64,0),$U10)*$V10*$N10,0)</f>
        <v>0</v>
      </c>
      <c r="CI10" s="26"/>
      <c r="CJ10" s="419">
        <f t="shared" si="17"/>
        <v>1</v>
      </c>
      <c r="CK10" s="93">
        <f>IF(AND($T10=1,CK$5&lt;=$H10),CJ10*(1-AU10)*(1-MIN(1,MAX(Assumptions!$C$27,Assumptions!$C$13*Assumptions!$C$28^(CJ$5-1))*$O10)),0)</f>
        <v>0.819601402448349</v>
      </c>
      <c r="CL10" s="93">
        <f>IF(AND($T10=1,CL$5&lt;=$H10),CK10*(1-AV10)*(1-MIN(1,MAX(Assumptions!$C$27,Assumptions!$C$13*Assumptions!$C$28^(CK$5-1))*$O10)),0)</f>
        <v>0.69383683480327873</v>
      </c>
      <c r="CM10" s="93">
        <f>IF(AND($T10=1,CM$5&lt;=$H10),CL10*(1-AW10)*(1-MIN(1,MAX(Assumptions!$C$27,Assumptions!$C$13*Assumptions!$C$28^(CL$5-1))*$O10)),0)</f>
        <v>0.60325903658846525</v>
      </c>
      <c r="CN10" s="93">
        <f>IF(AND($T10=1,CN$5&lt;=$H10),CM10*(1-AX10)*(1-MIN(1,MAX(Assumptions!$C$27,Assumptions!$C$13*Assumptions!$C$28^(CM$5-1))*$O10)),0)</f>
        <v>0.53624170052172004</v>
      </c>
      <c r="CO10" s="93">
        <f>IF(AND($T10=1,CO$5&lt;=$H10),CN10*(1-AY10)*(1-MIN(1,MAX(Assumptions!$C$27,Assumptions!$C$13*Assumptions!$C$28^(CN$5-1))*$O10)),0)</f>
        <v>0.48553058821312167</v>
      </c>
      <c r="CP10" s="93">
        <f>IF(AND($T10=1,CP$5&lt;=$H10),CO10*(1-AZ10)*(1-MIN(1,MAX(Assumptions!$C$27,Assumptions!$C$13*Assumptions!$C$28^(CO$5-1))*$O10)),0)</f>
        <v>0.44642876722474129</v>
      </c>
      <c r="CQ10" s="93">
        <f>IF(AND($T10=1,CQ$5&lt;=$H10),CP10*(1-BA10)*(1-MIN(1,MAX(Assumptions!$C$27,Assumptions!$C$13*Assumptions!$C$28^(CP$5-1))*$O10)),0)</f>
        <v>0.41579520547248361</v>
      </c>
      <c r="CR10" s="93">
        <f>IF(AND($T10=1,CR$5&lt;=$H10),CQ10*(1-BB10)*(1-MIN(1,MAX(Assumptions!$C$27,Assumptions!$C$13*Assumptions!$C$28^(CQ$5-1))*$O10)),0)</f>
        <v>0.39146878983442612</v>
      </c>
      <c r="CS10" s="93">
        <f>IF(AND($T10=1,CS$5&lt;=$H10),CR10*(1-BC10)*(1-MIN(1,MAX(Assumptions!$C$27,Assumptions!$C$13*Assumptions!$C$28^(CR$5-1))*$O10)),0)</f>
        <v>0.37192473106623303</v>
      </c>
      <c r="CT10" s="93">
        <f>IF(AND($T10=1,CT$5&lt;=$H10),CS10*(1-BD10)*(1-MIN(1,MAX(Assumptions!$C$27,Assumptions!$C$13*Assumptions!$C$28^(CS$5-1))*$O10)),0)</f>
        <v>0</v>
      </c>
      <c r="CU10" s="93">
        <f>IF(AND($T10=1,CU$5&lt;=$H10),CT10*(1-BE10)*(1-MIN(1,MAX(Assumptions!$C$27,Assumptions!$C$13*Assumptions!$C$28^(CT$5-1))*$O10)),0)</f>
        <v>0</v>
      </c>
      <c r="CV10" s="93">
        <f>IF(AND($T10=1,CV$5&lt;=$H10),CU10*(1-BF10)*(1-MIN(1,MAX(Assumptions!$C$27,Assumptions!$C$13*Assumptions!$C$28^(CU$5-1))*$O10)),0)</f>
        <v>0</v>
      </c>
      <c r="CW10" s="93">
        <f>IF(AND($T10=1,CW$5&lt;=$H10),CV10*(1-BG10)*(1-MIN(1,MAX(Assumptions!$C$27,Assumptions!$C$13*Assumptions!$C$28^(CV$5-1))*$O10)),0)</f>
        <v>0</v>
      </c>
      <c r="CX10" s="93">
        <f>IF(AND($T10=1,CX$5&lt;=$H10),CW10*(1-BH10)*(1-MIN(1,MAX(Assumptions!$C$27,Assumptions!$C$13*Assumptions!$C$28^(CW$5-1))*$O10)),0)</f>
        <v>0</v>
      </c>
      <c r="CY10" s="93">
        <f>IF(AND($T10=1,CY$5&lt;=$H10),CX10*(1-BI10)*(1-MIN(1,MAX(Assumptions!$C$27,Assumptions!$C$13*Assumptions!$C$28^(CX$5-1))*$O10)),0)</f>
        <v>0</v>
      </c>
      <c r="CZ10" s="93">
        <f>IF(AND($T10=1,CZ$5&lt;=$H10),CY10*(1-BJ10)*(1-MIN(1,MAX(Assumptions!$C$27,Assumptions!$C$13*Assumptions!$C$28^(CY$5-1))*$O10)),0)</f>
        <v>0</v>
      </c>
      <c r="DA10" s="93">
        <f>IF(AND($T10=1,DA$5&lt;=$H10),CZ10*(1-BK10)*(1-MIN(1,MAX(Assumptions!$C$27,Assumptions!$C$13*Assumptions!$C$28^(CZ$5-1))*$O10)),0)</f>
        <v>0</v>
      </c>
      <c r="DB10" s="93">
        <f>IF(AND($T10=1,DB$5&lt;=$H10),DA10*(1-BL10)*(1-MIN(1,MAX(Assumptions!$C$27,Assumptions!$C$13*Assumptions!$C$28^(DA$5-1))*$O10)),0)</f>
        <v>0</v>
      </c>
      <c r="DC10" s="93">
        <f>IF(AND($T10=1,DC$5&lt;=$H10),DB10*(1-BM10)*(1-MIN(1,MAX(Assumptions!$C$27,Assumptions!$C$13*Assumptions!$C$28^(DB$5-1))*$O10)),0)</f>
        <v>0</v>
      </c>
      <c r="DD10" s="93">
        <f>IF(AND($T10=1,DD$5&lt;=$H10),DC10*(1-BN10)*(1-MIN(1,MAX(Assumptions!$C$27,Assumptions!$C$13*Assumptions!$C$28^(DC$5-1))*$O10)),0)</f>
        <v>0</v>
      </c>
      <c r="DE10" s="93">
        <f>IF(AND($T10=1,DE$5&lt;=$H10),DD10*(1-BO10)*(1-MIN(1,MAX(Assumptions!$C$27,Assumptions!$C$13*Assumptions!$C$28^(DD$5-1))*$O10)),0)</f>
        <v>0</v>
      </c>
      <c r="DF10" s="93">
        <f>IF(AND($T10=1,DF$5&lt;=$H10),DE10*(1-BP10)*(1-MIN(1,MAX(Assumptions!$C$27,Assumptions!$C$13*Assumptions!$C$28^(DE$5-1))*$O10)),0)</f>
        <v>0</v>
      </c>
      <c r="DG10" s="93">
        <f>IF(AND($T10=1,DG$5&lt;=$H10),DF10*(1-BQ10)*(1-MIN(1,MAX(Assumptions!$C$27,Assumptions!$C$13*Assumptions!$C$28^(DF$5-1))*$O10)),0)</f>
        <v>0</v>
      </c>
      <c r="DH10" s="93">
        <f>IF(AND($T10=1,DH$5&lt;=$H10),DG10*(1-BR10)*(1-MIN(1,MAX(Assumptions!$C$27,Assumptions!$C$13*Assumptions!$C$28^(DG$5-1))*$O10)),0)</f>
        <v>0</v>
      </c>
      <c r="DI10" s="93">
        <f>IF(AND($T10=1,DI$5&lt;=$H10),DH10*(1-BS10)*(1-MIN(1,MAX(Assumptions!$C$27,Assumptions!$C$13*Assumptions!$C$28^(DH$5-1))*$O10)),0)</f>
        <v>0</v>
      </c>
      <c r="DJ10" s="93">
        <f>IF(AND($T10=1,DJ$5&lt;=$H10),DI10*(1-BT10)*(1-MIN(1,MAX(Assumptions!$C$27,Assumptions!$C$13*Assumptions!$C$28^(DI$5-1))*$O10)),0)</f>
        <v>0</v>
      </c>
      <c r="DK10" s="93">
        <f>IF(AND($T10=1,DK$5&lt;=$H10),DJ10*(1-BU10)*(1-MIN(1,MAX(Assumptions!$C$27,Assumptions!$C$13*Assumptions!$C$28^(DJ$5-1))*$O10)),0)</f>
        <v>0</v>
      </c>
      <c r="DL10" s="93">
        <f>IF(AND($T10=1,DL$5&lt;=$H10),DK10*(1-BV10)*(1-MIN(1,MAX(Assumptions!$C$27,Assumptions!$C$13*Assumptions!$C$28^(DK$5-1))*$O10)),0)</f>
        <v>0</v>
      </c>
      <c r="DM10" s="93">
        <f>IF(AND($T10=1,DM$5&lt;=$H10),DL10*(1-BW10)*(1-MIN(1,MAX(Assumptions!$C$27,Assumptions!$C$13*Assumptions!$C$28^(DL$5-1))*$O10)),0)</f>
        <v>0</v>
      </c>
      <c r="DN10" s="93">
        <f>IF(AND($T10=1,DN$5&lt;=$H10),DM10*(1-BX10)*(1-MIN(1,MAX(Assumptions!$C$27,Assumptions!$C$13*Assumptions!$C$28^(DM$5-1))*$O10)),0)</f>
        <v>0</v>
      </c>
      <c r="DO10" s="93">
        <f>IF(AND($T10=1,DO$5&lt;=$H10),DN10*(1-BY10)*(1-MIN(1,MAX(Assumptions!$C$27,Assumptions!$C$13*Assumptions!$C$28^(DN$5-1))*$O10)),0)</f>
        <v>0</v>
      </c>
      <c r="DP10" s="93">
        <f>IF(AND($T10=1,DP$5&lt;=$H10),DO10*(1-BZ10)*(1-MIN(1,MAX(Assumptions!$C$27,Assumptions!$C$13*Assumptions!$C$28^(DO$5-1))*$O10)),0)</f>
        <v>0</v>
      </c>
      <c r="DQ10" s="93">
        <f>IF(AND($T10=1,DQ$5&lt;=$H10),DP10*(1-CA10)*(1-MIN(1,MAX(Assumptions!$C$27,Assumptions!$C$13*Assumptions!$C$28^(DP$5-1))*$O10)),0)</f>
        <v>0</v>
      </c>
      <c r="DR10" s="93">
        <f>IF(AND($T10=1,DR$5&lt;=$H10),DQ10*(1-CB10)*(1-MIN(1,MAX(Assumptions!$C$27,Assumptions!$C$13*Assumptions!$C$28^(DQ$5-1))*$O10)),0)</f>
        <v>0</v>
      </c>
      <c r="DS10" s="93">
        <f>IF(AND($T10=1,DS$5&lt;=$H10),DR10*(1-CC10)*(1-MIN(1,MAX(Assumptions!$C$27,Assumptions!$C$13*Assumptions!$C$28^(DR$5-1))*$O10)),0)</f>
        <v>0</v>
      </c>
      <c r="DT10" s="93">
        <f>IF(AND($T10=1,DT$5&lt;=$H10),DS10*(1-CD10)*(1-MIN(1,MAX(Assumptions!$C$27,Assumptions!$C$13*Assumptions!$C$28^(DS$5-1))*$O10)),0)</f>
        <v>0</v>
      </c>
      <c r="DU10" s="93">
        <f>IF(AND($T10=1,DU$5&lt;=$H10),DT10*(1-CE10)*(1-MIN(1,MAX(Assumptions!$C$27,Assumptions!$C$13*Assumptions!$C$28^(DT$5-1))*$O10)),0)</f>
        <v>0</v>
      </c>
      <c r="DV10" s="93">
        <f>IF(AND($T10=1,DV$5&lt;=$H10),DU10*(1-CF10)*(1-MIN(1,MAX(Assumptions!$C$27,Assumptions!$C$13*Assumptions!$C$28^(DU$5-1))*$O10)),0)</f>
        <v>0</v>
      </c>
      <c r="DW10" s="94">
        <f>IF(AND($T10=1,DW$5&lt;=$H10),DV10*(1-CG10)*(1-MIN(1,MAX(Assumptions!$C$27,Assumptions!$C$13*Assumptions!$C$28^(DV$5-1))*$O10)),0)</f>
        <v>0</v>
      </c>
      <c r="DX10" s="26"/>
      <c r="DY10" s="26"/>
      <c r="DZ10" s="26"/>
      <c r="EA10" s="26"/>
      <c r="EB10" s="26"/>
      <c r="EC10" s="26"/>
      <c r="ED10" s="26"/>
    </row>
    <row r="11" spans="1:134" x14ac:dyDescent="0.3">
      <c r="A11" s="382" t="s">
        <v>398</v>
      </c>
      <c r="B11" s="383" t="s">
        <v>399</v>
      </c>
      <c r="C11" s="383" t="s">
        <v>288</v>
      </c>
      <c r="D11" s="384">
        <f>'Premium Calculation'!$B$4</f>
        <v>24</v>
      </c>
      <c r="E11" s="385" t="str">
        <f>'Premium Calculation'!$B$5</f>
        <v>Male</v>
      </c>
      <c r="F11" s="385" t="str">
        <f>'Premium Calculation'!$B$6</f>
        <v>Smoker</v>
      </c>
      <c r="G11" s="385" t="str">
        <f>'Premium Calculation'!$B$7</f>
        <v>Preferred</v>
      </c>
      <c r="H11" s="384">
        <f>'Premium Calculation'!$B$8</f>
        <v>10</v>
      </c>
      <c r="I11" s="386">
        <f>'Premium Calculation'!$B$9</f>
        <v>100000</v>
      </c>
      <c r="J11" s="385" t="str">
        <f>'Premium Calculation'!$B$10</f>
        <v>Monthly</v>
      </c>
      <c r="K11" s="385" t="str">
        <f>'Premium Calculation'!$B$31</f>
        <v>Bancassurance</v>
      </c>
      <c r="L11" s="383" t="s">
        <v>389</v>
      </c>
      <c r="M11" s="386">
        <f>'Premium Calculation'!$B$29</f>
        <v>562.44258371429942</v>
      </c>
      <c r="N11" s="387">
        <f>Assumptions!$C$21*(1-Sensitivities!$C$27)</f>
        <v>0.9</v>
      </c>
      <c r="O11" s="387">
        <f>Assumptions!$C$22</f>
        <v>1</v>
      </c>
      <c r="P11" s="387">
        <f>Assumptions!$C$23</f>
        <v>1</v>
      </c>
      <c r="Q11" s="388">
        <f>Assumptions!$C$24</f>
        <v>0</v>
      </c>
      <c r="R11" s="388">
        <f>Assumptions!$C$6+Assumptions!$C$25</f>
        <v>3.5000000000000003E-2</v>
      </c>
      <c r="S11" s="388">
        <f>Assumptions!$C$15</f>
        <v>1.1000000000000001E-3</v>
      </c>
      <c r="T11" s="26">
        <f t="shared" si="0"/>
        <v>1</v>
      </c>
      <c r="U11" s="26">
        <f t="shared" si="1"/>
        <v>4</v>
      </c>
      <c r="V11" s="389">
        <f>IF($G11="Preferred",Assumptions!$C$30,IF($G11="Rated",Assumptions!$C$31,1))</f>
        <v>0.8</v>
      </c>
      <c r="W11" s="390">
        <f>IF($K11="Direct",Assumptions!$C$32,IF($K11="Broker",Assumptions!$C$33,IF($K11="Bancassurance",Assumptions!$C$34,Assumptions!$C$11)))+$Q11</f>
        <v>0.2</v>
      </c>
      <c r="X11" s="390">
        <f>Assumptions!$C$12+$Q11</f>
        <v>0.05</v>
      </c>
      <c r="Y11" s="131">
        <f>MIN($I11,Assumptions!$C$14)</f>
        <v>100000</v>
      </c>
      <c r="Z11" s="131">
        <f>MAX($I11-Assumptions!$C$14,0)</f>
        <v>0</v>
      </c>
      <c r="AA11" s="389">
        <f t="shared" si="2"/>
        <v>5.8616711275592213</v>
      </c>
      <c r="AB11" s="389">
        <f t="shared" si="3"/>
        <v>3.059777284352784E-3</v>
      </c>
      <c r="AC11" s="389">
        <f>IF($T11=1,SUMPRODUCT($CJ11:$DW11,(1+Assumptions!$C$5)^($CJ$5:$DW$5-1),(1+$R11)^(-$CJ$5:$DW$5)),0)</f>
        <v>6.7995593919599955</v>
      </c>
      <c r="AD11" s="389">
        <f t="shared" si="4"/>
        <v>0.43801109260984517</v>
      </c>
      <c r="AE11" s="131">
        <f>IF($T11=1,$AB11*$Y11+(Assumptions!$C$9/(1+$R11)+Assumptions!$C$10*$AC11)*$P11+$S11*$Z11*$AA11,0)</f>
        <v>2671.4460120577819</v>
      </c>
      <c r="AF11" s="131">
        <f>IF($T11=1,IF($AA11-$AD11-Assumptions!$C$16*$AA11&gt;0,$AE11/($AA11-$AD11-Assumptions!$C$16*$AA11)*IF($J11="Monthly",1+Assumptions!$C$29,1),"n.a."),"")</f>
        <v>555.34639069180116</v>
      </c>
      <c r="AG11" s="131">
        <f t="shared" si="5"/>
        <v>562.44258371429942</v>
      </c>
      <c r="AH11" s="131">
        <f t="shared" si="6"/>
        <v>3296.8534538679191</v>
      </c>
      <c r="AI11" s="131">
        <f t="shared" si="7"/>
        <v>379.0513511871327</v>
      </c>
      <c r="AJ11" s="390">
        <f t="shared" si="8"/>
        <v>0.11497367307680111</v>
      </c>
      <c r="AK11" s="389">
        <f t="shared" si="9"/>
        <v>1.0127779583003294</v>
      </c>
      <c r="AL11" s="131">
        <f t="shared" si="10"/>
        <v>0</v>
      </c>
      <c r="AM11" s="131">
        <f t="shared" si="11"/>
        <v>0</v>
      </c>
      <c r="AN11" s="131">
        <f t="shared" si="12"/>
        <v>0</v>
      </c>
      <c r="AO11" s="131">
        <f t="shared" si="13"/>
        <v>379.0513511871327</v>
      </c>
      <c r="AP11" s="26" t="str">
        <f t="shared" si="14"/>
        <v>20-29</v>
      </c>
      <c r="AQ11" s="26" t="str">
        <f t="shared" si="15"/>
        <v>Up to 250k</v>
      </c>
      <c r="AR11" s="26" t="str">
        <f>IF($T11=1,IF($AI11&lt;0,"Loss-making",IF($AJ11&lt;Assumptions!$C$16-0.00001,"Below target","At/above target")),"Excluded")</f>
        <v>At/above target</v>
      </c>
      <c r="AS11" s="103">
        <f t="shared" si="16"/>
        <v>379.05136218713267</v>
      </c>
      <c r="AT11" s="26"/>
      <c r="AU11" s="419">
        <f>IF(AND($T11=1,AU$5&lt;=$H11),INDEX(Mortality!$B$4:$E$64,MATCH($D11+AU$5-1,Mortality!$A$4:$A$64,0),$U11)*$V11*$N11,0)</f>
        <v>3.8042184144849772E-4</v>
      </c>
      <c r="AV11" s="93">
        <f>IF(AND($T11=1,AV$5&lt;=$H11),INDEX(Mortality!$B$4:$E$64,MATCH($D11+AV$5-1,Mortality!$A$4:$A$64,0),$U11)*$V11*$N11,0)</f>
        <v>4.121060611022503E-4</v>
      </c>
      <c r="AW11" s="93">
        <f>IF(AND($T11=1,AW$5&lt;=$H11),INDEX(Mortality!$B$4:$E$64,MATCH($D11+AW$5-1,Mortality!$A$4:$A$64,0),$U11)*$V11*$N11,0)</f>
        <v>4.4642916650253456E-4</v>
      </c>
      <c r="AX11" s="93">
        <f>IF(AND($T11=1,AX$5&lt;=$H11),INDEX(Mortality!$B$4:$E$64,MATCH($D11+AX$5-1,Mortality!$A$4:$A$64,0),$U11)*$V11*$N11,0)</f>
        <v>4.8361094270510624E-4</v>
      </c>
      <c r="AY11" s="93">
        <f>IF(AND($T11=1,AY$5&lt;=$H11),INDEX(Mortality!$B$4:$E$64,MATCH($D11+AY$5-1,Mortality!$A$4:$A$64,0),$U11)*$V11*$N11,0)</f>
        <v>5.2388948001853722E-4</v>
      </c>
      <c r="AZ11" s="93">
        <f>IF(AND($T11=1,AZ$5&lt;=$H11),INDEX(Mortality!$B$4:$E$64,MATCH($D11+AZ$5-1,Mortality!$A$4:$A$64,0),$U11)*$V11*$N11,0)</f>
        <v>5.675226985950401E-4</v>
      </c>
      <c r="BA11" s="93">
        <f>IF(AND($T11=1,BA$5&lt;=$H11),INDEX(Mortality!$B$4:$E$64,MATCH($D11+BA$5-1,Mortality!$A$4:$A$64,0),$U11)*$V11*$N11,0)</f>
        <v>6.1479000000000004E-4</v>
      </c>
      <c r="BB11" s="93">
        <f>IF(AND($T11=1,BB$5&lt;=$H11),INDEX(Mortality!$B$4:$E$64,MATCH($D11+BB$5-1,Mortality!$A$4:$A$64,0),$U11)*$V11*$N11,0)</f>
        <v>6.6599405633588761E-4</v>
      </c>
      <c r="BC11" s="93">
        <f>IF(AND($T11=1,BC$5&lt;=$H11),INDEX(Mortality!$B$4:$E$64,MATCH($D11+BC$5-1,Mortality!$A$4:$A$64,0),$U11)*$V11*$N11,0)</f>
        <v>7.2146274837705355E-4</v>
      </c>
      <c r="BD11" s="93">
        <f>IF(AND($T11=1,BD$5&lt;=$H11),INDEX(Mortality!$B$4:$E$64,MATCH($D11+BD$5-1,Mortality!$A$4:$A$64,0),$U11)*$V11*$N11,0)</f>
        <v>7.8155126512609687E-4</v>
      </c>
      <c r="BE11" s="93">
        <f>IF(AND($T11=1,BE$5&lt;=$H11),INDEX(Mortality!$B$4:$E$64,MATCH($D11+BE$5-1,Mortality!$A$4:$A$64,0),$U11)*$V11*$N11,0)</f>
        <v>0</v>
      </c>
      <c r="BF11" s="93">
        <f>IF(AND($T11=1,BF$5&lt;=$H11),INDEX(Mortality!$B$4:$E$64,MATCH($D11+BF$5-1,Mortality!$A$4:$A$64,0),$U11)*$V11*$N11,0)</f>
        <v>0</v>
      </c>
      <c r="BG11" s="93">
        <f>IF(AND($T11=1,BG$5&lt;=$H11),INDEX(Mortality!$B$4:$E$64,MATCH($D11+BG$5-1,Mortality!$A$4:$A$64,0),$U11)*$V11*$N11,0)</f>
        <v>0</v>
      </c>
      <c r="BH11" s="93">
        <f>IF(AND($T11=1,BH$5&lt;=$H11),INDEX(Mortality!$B$4:$E$64,MATCH($D11+BH$5-1,Mortality!$A$4:$A$64,0),$U11)*$V11*$N11,0)</f>
        <v>0</v>
      </c>
      <c r="BI11" s="93">
        <f>IF(AND($T11=1,BI$5&lt;=$H11),INDEX(Mortality!$B$4:$E$64,MATCH($D11+BI$5-1,Mortality!$A$4:$A$64,0),$U11)*$V11*$N11,0)</f>
        <v>0</v>
      </c>
      <c r="BJ11" s="93">
        <f>IF(AND($T11=1,BJ$5&lt;=$H11),INDEX(Mortality!$B$4:$E$64,MATCH($D11+BJ$5-1,Mortality!$A$4:$A$64,0),$U11)*$V11*$N11,0)</f>
        <v>0</v>
      </c>
      <c r="BK11" s="93">
        <f>IF(AND($T11=1,BK$5&lt;=$H11),INDEX(Mortality!$B$4:$E$64,MATCH($D11+BK$5-1,Mortality!$A$4:$A$64,0),$U11)*$V11*$N11,0)</f>
        <v>0</v>
      </c>
      <c r="BL11" s="93">
        <f>IF(AND($T11=1,BL$5&lt;=$H11),INDEX(Mortality!$B$4:$E$64,MATCH($D11+BL$5-1,Mortality!$A$4:$A$64,0),$U11)*$V11*$N11,0)</f>
        <v>0</v>
      </c>
      <c r="BM11" s="93">
        <f>IF(AND($T11=1,BM$5&lt;=$H11),INDEX(Mortality!$B$4:$E$64,MATCH($D11+BM$5-1,Mortality!$A$4:$A$64,0),$U11)*$V11*$N11,0)</f>
        <v>0</v>
      </c>
      <c r="BN11" s="93">
        <f>IF(AND($T11=1,BN$5&lt;=$H11),INDEX(Mortality!$B$4:$E$64,MATCH($D11+BN$5-1,Mortality!$A$4:$A$64,0),$U11)*$V11*$N11,0)</f>
        <v>0</v>
      </c>
      <c r="BO11" s="93">
        <f>IF(AND($T11=1,BO$5&lt;=$H11),INDEX(Mortality!$B$4:$E$64,MATCH($D11+BO$5-1,Mortality!$A$4:$A$64,0),$U11)*$V11*$N11,0)</f>
        <v>0</v>
      </c>
      <c r="BP11" s="93">
        <f>IF(AND($T11=1,BP$5&lt;=$H11),INDEX(Mortality!$B$4:$E$64,MATCH($D11+BP$5-1,Mortality!$A$4:$A$64,0),$U11)*$V11*$N11,0)</f>
        <v>0</v>
      </c>
      <c r="BQ11" s="93">
        <f>IF(AND($T11=1,BQ$5&lt;=$H11),INDEX(Mortality!$B$4:$E$64,MATCH($D11+BQ$5-1,Mortality!$A$4:$A$64,0),$U11)*$V11*$N11,0)</f>
        <v>0</v>
      </c>
      <c r="BR11" s="93">
        <f>IF(AND($T11=1,BR$5&lt;=$H11),INDEX(Mortality!$B$4:$E$64,MATCH($D11+BR$5-1,Mortality!$A$4:$A$64,0),$U11)*$V11*$N11,0)</f>
        <v>0</v>
      </c>
      <c r="BS11" s="93">
        <f>IF(AND($T11=1,BS$5&lt;=$H11),INDEX(Mortality!$B$4:$E$64,MATCH($D11+BS$5-1,Mortality!$A$4:$A$64,0),$U11)*$V11*$N11,0)</f>
        <v>0</v>
      </c>
      <c r="BT11" s="93">
        <f>IF(AND($T11=1,BT$5&lt;=$H11),INDEX(Mortality!$B$4:$E$64,MATCH($D11+BT$5-1,Mortality!$A$4:$A$64,0),$U11)*$V11*$N11,0)</f>
        <v>0</v>
      </c>
      <c r="BU11" s="93">
        <f>IF(AND($T11=1,BU$5&lt;=$H11),INDEX(Mortality!$B$4:$E$64,MATCH($D11+BU$5-1,Mortality!$A$4:$A$64,0),$U11)*$V11*$N11,0)</f>
        <v>0</v>
      </c>
      <c r="BV11" s="93">
        <f>IF(AND($T11=1,BV$5&lt;=$H11),INDEX(Mortality!$B$4:$E$64,MATCH($D11+BV$5-1,Mortality!$A$4:$A$64,0),$U11)*$V11*$N11,0)</f>
        <v>0</v>
      </c>
      <c r="BW11" s="93">
        <f>IF(AND($T11=1,BW$5&lt;=$H11),INDEX(Mortality!$B$4:$E$64,MATCH($D11+BW$5-1,Mortality!$A$4:$A$64,0),$U11)*$V11*$N11,0)</f>
        <v>0</v>
      </c>
      <c r="BX11" s="93">
        <f>IF(AND($T11=1,BX$5&lt;=$H11),INDEX(Mortality!$B$4:$E$64,MATCH($D11+BX$5-1,Mortality!$A$4:$A$64,0),$U11)*$V11*$N11,0)</f>
        <v>0</v>
      </c>
      <c r="BY11" s="93">
        <f>IF(AND($T11=1,BY$5&lt;=$H11),INDEX(Mortality!$B$4:$E$64,MATCH($D11+BY$5-1,Mortality!$A$4:$A$64,0),$U11)*$V11*$N11,0)</f>
        <v>0</v>
      </c>
      <c r="BZ11" s="93">
        <f>IF(AND($T11=1,BZ$5&lt;=$H11),INDEX(Mortality!$B$4:$E$64,MATCH($D11+BZ$5-1,Mortality!$A$4:$A$64,0),$U11)*$V11*$N11,0)</f>
        <v>0</v>
      </c>
      <c r="CA11" s="93">
        <f>IF(AND($T11=1,CA$5&lt;=$H11),INDEX(Mortality!$B$4:$E$64,MATCH($D11+CA$5-1,Mortality!$A$4:$A$64,0),$U11)*$V11*$N11,0)</f>
        <v>0</v>
      </c>
      <c r="CB11" s="93">
        <f>IF(AND($T11=1,CB$5&lt;=$H11),INDEX(Mortality!$B$4:$E$64,MATCH($D11+CB$5-1,Mortality!$A$4:$A$64,0),$U11)*$V11*$N11,0)</f>
        <v>0</v>
      </c>
      <c r="CC11" s="93">
        <f>IF(AND($T11=1,CC$5&lt;=$H11),INDEX(Mortality!$B$4:$E$64,MATCH($D11+CC$5-1,Mortality!$A$4:$A$64,0),$U11)*$V11*$N11,0)</f>
        <v>0</v>
      </c>
      <c r="CD11" s="93">
        <f>IF(AND($T11=1,CD$5&lt;=$H11),INDEX(Mortality!$B$4:$E$64,MATCH($D11+CD$5-1,Mortality!$A$4:$A$64,0),$U11)*$V11*$N11,0)</f>
        <v>0</v>
      </c>
      <c r="CE11" s="93">
        <f>IF(AND($T11=1,CE$5&lt;=$H11),INDEX(Mortality!$B$4:$E$64,MATCH($D11+CE$5-1,Mortality!$A$4:$A$64,0),$U11)*$V11*$N11,0)</f>
        <v>0</v>
      </c>
      <c r="CF11" s="93">
        <f>IF(AND($T11=1,CF$5&lt;=$H11),INDEX(Mortality!$B$4:$E$64,MATCH($D11+CF$5-1,Mortality!$A$4:$A$64,0),$U11)*$V11*$N11,0)</f>
        <v>0</v>
      </c>
      <c r="CG11" s="93">
        <f>IF(AND($T11=1,CG$5&lt;=$H11),INDEX(Mortality!$B$4:$E$64,MATCH($D11+CG$5-1,Mortality!$A$4:$A$64,0),$U11)*$V11*$N11,0)</f>
        <v>0</v>
      </c>
      <c r="CH11" s="94">
        <f>IF(AND($T11=1,CH$5&lt;=$H11),INDEX(Mortality!$B$4:$E$64,MATCH($D11+CH$5-1,Mortality!$A$4:$A$64,0),$U11)*$V11*$N11,0)</f>
        <v>0</v>
      </c>
      <c r="CI11" s="26"/>
      <c r="CJ11" s="419">
        <f t="shared" si="17"/>
        <v>1</v>
      </c>
      <c r="CK11" s="93">
        <f>IF(AND($T11=1,CK$5&lt;=$H11),CJ11*(1-AU11)*(1-MIN(1,MAX(Assumptions!$C$27,Assumptions!$C$13*Assumptions!$C$28^(CJ$5-1))*$O11)),0)</f>
        <v>0.87966522877952535</v>
      </c>
      <c r="CL11" s="93">
        <f>IF(AND($T11=1,CL$5&lt;=$H11),CK11*(1-AV11)*(1-MIN(1,MAX(Assumptions!$C$27,Assumptions!$C$13*Assumptions!$C$28^(CK$5-1))*$O11)),0)</f>
        <v>0.78961383663949003</v>
      </c>
      <c r="CM11" s="93">
        <f>IF(AND($T11=1,CM$5&lt;=$H11),CL11*(1-AW11)*(1-MIN(1,MAX(Assumptions!$C$27,Assumptions!$C$13*Assumptions!$C$28^(CL$5-1))*$O11)),0)</f>
        <v>0.72083237268218692</v>
      </c>
      <c r="CN11" s="93">
        <f>IF(AND($T11=1,CN$5&lt;=$H11),CM11*(1-AX11)*(1-MIN(1,MAX(Assumptions!$C$27,Assumptions!$C$13*Assumptions!$C$28^(CM$5-1))*$O11)),0)</f>
        <v>0.66738771880967207</v>
      </c>
      <c r="CO11" s="93">
        <f>IF(AND($T11=1,CO$5&lt;=$H11),CN11*(1-AY11)*(1-MIN(1,MAX(Assumptions!$C$27,Assumptions!$C$13*Assumptions!$C$28^(CN$5-1))*$O11)),0)</f>
        <v>0.62525431570694301</v>
      </c>
      <c r="CP11" s="93">
        <f>IF(AND($T11=1,CP$5&lt;=$H11),CO11*(1-AZ11)*(1-MIN(1,MAX(Assumptions!$C$27,Assumptions!$C$13*Assumptions!$C$28^(CO$5-1))*$O11)),0)</f>
        <v>0.59162692395277805</v>
      </c>
      <c r="CQ11" s="93">
        <f>IF(AND($T11=1,CQ$5&lt;=$H11),CP11*(1-BA11)*(1-MIN(1,MAX(Assumptions!$C$27,Assumptions!$C$13*Assumptions!$C$28^(CP$5-1))*$O11)),0)</f>
        <v>0.56450384220475536</v>
      </c>
      <c r="CR11" s="93">
        <f>IF(AND($T11=1,CR$5&lt;=$H11),CQ11*(1-BB11)*(1-MIN(1,MAX(Assumptions!$C$27,Assumptions!$C$13*Assumptions!$C$28^(CQ$5-1))*$O11)),0)</f>
        <v>0.54242630898757072</v>
      </c>
      <c r="CS11" s="93">
        <f>IF(AND($T11=1,CS$5&lt;=$H11),CR11*(1-BC11)*(1-MIN(1,MAX(Assumptions!$C$27,Assumptions!$C$13*Assumptions!$C$28^(CR$5-1))*$O11)),0)</f>
        <v>0.52431104142950602</v>
      </c>
      <c r="CT11" s="93">
        <f>IF(AND($T11=1,CT$5&lt;=$H11),CS11*(1-BD11)*(1-MIN(1,MAX(Assumptions!$C$27,Assumptions!$C$13*Assumptions!$C$28^(CS$5-1))*$O11)),0)</f>
        <v>0</v>
      </c>
      <c r="CU11" s="93">
        <f>IF(AND($T11=1,CU$5&lt;=$H11),CT11*(1-BE11)*(1-MIN(1,MAX(Assumptions!$C$27,Assumptions!$C$13*Assumptions!$C$28^(CT$5-1))*$O11)),0)</f>
        <v>0</v>
      </c>
      <c r="CV11" s="93">
        <f>IF(AND($T11=1,CV$5&lt;=$H11),CU11*(1-BF11)*(1-MIN(1,MAX(Assumptions!$C$27,Assumptions!$C$13*Assumptions!$C$28^(CU$5-1))*$O11)),0)</f>
        <v>0</v>
      </c>
      <c r="CW11" s="93">
        <f>IF(AND($T11=1,CW$5&lt;=$H11),CV11*(1-BG11)*(1-MIN(1,MAX(Assumptions!$C$27,Assumptions!$C$13*Assumptions!$C$28^(CV$5-1))*$O11)),0)</f>
        <v>0</v>
      </c>
      <c r="CX11" s="93">
        <f>IF(AND($T11=1,CX$5&lt;=$H11),CW11*(1-BH11)*(1-MIN(1,MAX(Assumptions!$C$27,Assumptions!$C$13*Assumptions!$C$28^(CW$5-1))*$O11)),0)</f>
        <v>0</v>
      </c>
      <c r="CY11" s="93">
        <f>IF(AND($T11=1,CY$5&lt;=$H11),CX11*(1-BI11)*(1-MIN(1,MAX(Assumptions!$C$27,Assumptions!$C$13*Assumptions!$C$28^(CX$5-1))*$O11)),0)</f>
        <v>0</v>
      </c>
      <c r="CZ11" s="93">
        <f>IF(AND($T11=1,CZ$5&lt;=$H11),CY11*(1-BJ11)*(1-MIN(1,MAX(Assumptions!$C$27,Assumptions!$C$13*Assumptions!$C$28^(CY$5-1))*$O11)),0)</f>
        <v>0</v>
      </c>
      <c r="DA11" s="93">
        <f>IF(AND($T11=1,DA$5&lt;=$H11),CZ11*(1-BK11)*(1-MIN(1,MAX(Assumptions!$C$27,Assumptions!$C$13*Assumptions!$C$28^(CZ$5-1))*$O11)),0)</f>
        <v>0</v>
      </c>
      <c r="DB11" s="93">
        <f>IF(AND($T11=1,DB$5&lt;=$H11),DA11*(1-BL11)*(1-MIN(1,MAX(Assumptions!$C$27,Assumptions!$C$13*Assumptions!$C$28^(DA$5-1))*$O11)),0)</f>
        <v>0</v>
      </c>
      <c r="DC11" s="93">
        <f>IF(AND($T11=1,DC$5&lt;=$H11),DB11*(1-BM11)*(1-MIN(1,MAX(Assumptions!$C$27,Assumptions!$C$13*Assumptions!$C$28^(DB$5-1))*$O11)),0)</f>
        <v>0</v>
      </c>
      <c r="DD11" s="93">
        <f>IF(AND($T11=1,DD$5&lt;=$H11),DC11*(1-BN11)*(1-MIN(1,MAX(Assumptions!$C$27,Assumptions!$C$13*Assumptions!$C$28^(DC$5-1))*$O11)),0)</f>
        <v>0</v>
      </c>
      <c r="DE11" s="93">
        <f>IF(AND($T11=1,DE$5&lt;=$H11),DD11*(1-BO11)*(1-MIN(1,MAX(Assumptions!$C$27,Assumptions!$C$13*Assumptions!$C$28^(DD$5-1))*$O11)),0)</f>
        <v>0</v>
      </c>
      <c r="DF11" s="93">
        <f>IF(AND($T11=1,DF$5&lt;=$H11),DE11*(1-BP11)*(1-MIN(1,MAX(Assumptions!$C$27,Assumptions!$C$13*Assumptions!$C$28^(DE$5-1))*$O11)),0)</f>
        <v>0</v>
      </c>
      <c r="DG11" s="93">
        <f>IF(AND($T11=1,DG$5&lt;=$H11),DF11*(1-BQ11)*(1-MIN(1,MAX(Assumptions!$C$27,Assumptions!$C$13*Assumptions!$C$28^(DF$5-1))*$O11)),0)</f>
        <v>0</v>
      </c>
      <c r="DH11" s="93">
        <f>IF(AND($T11=1,DH$5&lt;=$H11),DG11*(1-BR11)*(1-MIN(1,MAX(Assumptions!$C$27,Assumptions!$C$13*Assumptions!$C$28^(DG$5-1))*$O11)),0)</f>
        <v>0</v>
      </c>
      <c r="DI11" s="93">
        <f>IF(AND($T11=1,DI$5&lt;=$H11),DH11*(1-BS11)*(1-MIN(1,MAX(Assumptions!$C$27,Assumptions!$C$13*Assumptions!$C$28^(DH$5-1))*$O11)),0)</f>
        <v>0</v>
      </c>
      <c r="DJ11" s="93">
        <f>IF(AND($T11=1,DJ$5&lt;=$H11),DI11*(1-BT11)*(1-MIN(1,MAX(Assumptions!$C$27,Assumptions!$C$13*Assumptions!$C$28^(DI$5-1))*$O11)),0)</f>
        <v>0</v>
      </c>
      <c r="DK11" s="93">
        <f>IF(AND($T11=1,DK$5&lt;=$H11),DJ11*(1-BU11)*(1-MIN(1,MAX(Assumptions!$C$27,Assumptions!$C$13*Assumptions!$C$28^(DJ$5-1))*$O11)),0)</f>
        <v>0</v>
      </c>
      <c r="DL11" s="93">
        <f>IF(AND($T11=1,DL$5&lt;=$H11),DK11*(1-BV11)*(1-MIN(1,MAX(Assumptions!$C$27,Assumptions!$C$13*Assumptions!$C$28^(DK$5-1))*$O11)),0)</f>
        <v>0</v>
      </c>
      <c r="DM11" s="93">
        <f>IF(AND($T11=1,DM$5&lt;=$H11),DL11*(1-BW11)*(1-MIN(1,MAX(Assumptions!$C$27,Assumptions!$C$13*Assumptions!$C$28^(DL$5-1))*$O11)),0)</f>
        <v>0</v>
      </c>
      <c r="DN11" s="93">
        <f>IF(AND($T11=1,DN$5&lt;=$H11),DM11*(1-BX11)*(1-MIN(1,MAX(Assumptions!$C$27,Assumptions!$C$13*Assumptions!$C$28^(DM$5-1))*$O11)),0)</f>
        <v>0</v>
      </c>
      <c r="DO11" s="93">
        <f>IF(AND($T11=1,DO$5&lt;=$H11),DN11*(1-BY11)*(1-MIN(1,MAX(Assumptions!$C$27,Assumptions!$C$13*Assumptions!$C$28^(DN$5-1))*$O11)),0)</f>
        <v>0</v>
      </c>
      <c r="DP11" s="93">
        <f>IF(AND($T11=1,DP$5&lt;=$H11),DO11*(1-BZ11)*(1-MIN(1,MAX(Assumptions!$C$27,Assumptions!$C$13*Assumptions!$C$28^(DO$5-1))*$O11)),0)</f>
        <v>0</v>
      </c>
      <c r="DQ11" s="93">
        <f>IF(AND($T11=1,DQ$5&lt;=$H11),DP11*(1-CA11)*(1-MIN(1,MAX(Assumptions!$C$27,Assumptions!$C$13*Assumptions!$C$28^(DP$5-1))*$O11)),0)</f>
        <v>0</v>
      </c>
      <c r="DR11" s="93">
        <f>IF(AND($T11=1,DR$5&lt;=$H11),DQ11*(1-CB11)*(1-MIN(1,MAX(Assumptions!$C$27,Assumptions!$C$13*Assumptions!$C$28^(DQ$5-1))*$O11)),0)</f>
        <v>0</v>
      </c>
      <c r="DS11" s="93">
        <f>IF(AND($T11=1,DS$5&lt;=$H11),DR11*(1-CC11)*(1-MIN(1,MAX(Assumptions!$C$27,Assumptions!$C$13*Assumptions!$C$28^(DR$5-1))*$O11)),0)</f>
        <v>0</v>
      </c>
      <c r="DT11" s="93">
        <f>IF(AND($T11=1,DT$5&lt;=$H11),DS11*(1-CD11)*(1-MIN(1,MAX(Assumptions!$C$27,Assumptions!$C$13*Assumptions!$C$28^(DS$5-1))*$O11)),0)</f>
        <v>0</v>
      </c>
      <c r="DU11" s="93">
        <f>IF(AND($T11=1,DU$5&lt;=$H11),DT11*(1-CE11)*(1-MIN(1,MAX(Assumptions!$C$27,Assumptions!$C$13*Assumptions!$C$28^(DT$5-1))*$O11)),0)</f>
        <v>0</v>
      </c>
      <c r="DV11" s="93">
        <f>IF(AND($T11=1,DV$5&lt;=$H11),DU11*(1-CF11)*(1-MIN(1,MAX(Assumptions!$C$27,Assumptions!$C$13*Assumptions!$C$28^(DU$5-1))*$O11)),0)</f>
        <v>0</v>
      </c>
      <c r="DW11" s="94">
        <f>IF(AND($T11=1,DW$5&lt;=$H11),DV11*(1-CG11)*(1-MIN(1,MAX(Assumptions!$C$27,Assumptions!$C$13*Assumptions!$C$28^(DV$5-1))*$O11)),0)</f>
        <v>0</v>
      </c>
      <c r="DX11" s="26"/>
      <c r="DY11" s="26"/>
      <c r="DZ11" s="26"/>
      <c r="EA11" s="26"/>
      <c r="EB11" s="26"/>
      <c r="EC11" s="26"/>
      <c r="ED11" s="26"/>
    </row>
    <row r="12" spans="1:134" x14ac:dyDescent="0.3">
      <c r="A12" s="382" t="s">
        <v>400</v>
      </c>
      <c r="B12" s="383" t="s">
        <v>401</v>
      </c>
      <c r="C12" s="383" t="s">
        <v>288</v>
      </c>
      <c r="D12" s="384">
        <f>'Premium Calculation'!$B$4</f>
        <v>24</v>
      </c>
      <c r="E12" s="385" t="str">
        <f>'Premium Calculation'!$B$5</f>
        <v>Male</v>
      </c>
      <c r="F12" s="385" t="str">
        <f>'Premium Calculation'!$B$6</f>
        <v>Smoker</v>
      </c>
      <c r="G12" s="385" t="str">
        <f>'Premium Calculation'!$B$7</f>
        <v>Preferred</v>
      </c>
      <c r="H12" s="384">
        <f>'Premium Calculation'!$B$8</f>
        <v>10</v>
      </c>
      <c r="I12" s="386">
        <f>'Premium Calculation'!$B$9</f>
        <v>100000</v>
      </c>
      <c r="J12" s="385" t="str">
        <f>'Premium Calculation'!$B$10</f>
        <v>Monthly</v>
      </c>
      <c r="K12" s="385" t="str">
        <f>'Premium Calculation'!$B$31</f>
        <v>Bancassurance</v>
      </c>
      <c r="L12" s="383" t="s">
        <v>389</v>
      </c>
      <c r="M12" s="386">
        <f>'Premium Calculation'!$B$29</f>
        <v>562.44258371429942</v>
      </c>
      <c r="N12" s="387">
        <f>Assumptions!$C$21*(1+Sensitivities!$C$27)</f>
        <v>1.1000000000000001</v>
      </c>
      <c r="O12" s="387">
        <f>Assumptions!$C$22</f>
        <v>1</v>
      </c>
      <c r="P12" s="387">
        <f>Assumptions!$C$23</f>
        <v>1</v>
      </c>
      <c r="Q12" s="388">
        <f>Assumptions!$C$24</f>
        <v>0</v>
      </c>
      <c r="R12" s="388">
        <f>Assumptions!$C$6+Assumptions!$C$25</f>
        <v>3.5000000000000003E-2</v>
      </c>
      <c r="S12" s="388">
        <f>Assumptions!$C$15</f>
        <v>1.1000000000000001E-3</v>
      </c>
      <c r="T12" s="26">
        <f t="shared" si="0"/>
        <v>1</v>
      </c>
      <c r="U12" s="26">
        <f t="shared" si="1"/>
        <v>4</v>
      </c>
      <c r="V12" s="389">
        <f>IF($G12="Preferred",Assumptions!$C$30,IF($G12="Rated",Assumptions!$C$31,1))</f>
        <v>0.8</v>
      </c>
      <c r="W12" s="390">
        <f>IF($K12="Direct",Assumptions!$C$32,IF($K12="Broker",Assumptions!$C$33,IF($K12="Bancassurance",Assumptions!$C$34,Assumptions!$C$11)))+$Q12</f>
        <v>0.2</v>
      </c>
      <c r="X12" s="390">
        <f>Assumptions!$C$12+$Q12</f>
        <v>0.05</v>
      </c>
      <c r="Y12" s="131">
        <f>MIN($I12,Assumptions!$C$14)</f>
        <v>100000</v>
      </c>
      <c r="Z12" s="131">
        <f>MAX($I12-Assumptions!$C$14,0)</f>
        <v>0</v>
      </c>
      <c r="AA12" s="389">
        <f t="shared" si="2"/>
        <v>5.8594564555863258</v>
      </c>
      <c r="AB12" s="389">
        <f t="shared" si="3"/>
        <v>3.7380242458988702E-3</v>
      </c>
      <c r="AC12" s="389">
        <f>IF($T12=1,SUMPRODUCT($CJ12:$DW12,(1+Assumptions!$C$5)^($CJ$5:$DW$5-1),(1+$R12)^(-$CJ$5:$DW$5)),0)</f>
        <v>6.7967362347121352</v>
      </c>
      <c r="AD12" s="389">
        <f t="shared" si="4"/>
        <v>0.43790035901120039</v>
      </c>
      <c r="AE12" s="131">
        <f>IF($T12=1,$AB12*$Y12+(Assumptions!$C$9/(1+$R12)+Assumptions!$C$10*$AC12)*$P12+$S12*$Z12*$AA12,0)</f>
        <v>2738.6496136178612</v>
      </c>
      <c r="AF12" s="131">
        <f>IF($T12=1,IF($AA12-$AD12-Assumptions!$C$16*$AA12&gt;0,$AE12/($AA12-$AD12-Assumptions!$C$16*$AA12)*IF($J12="Monthly",1+Assumptions!$C$29,1),"n.a."),"")</f>
        <v>569.53830987713229</v>
      </c>
      <c r="AG12" s="131">
        <f t="shared" si="5"/>
        <v>562.44258371429942</v>
      </c>
      <c r="AH12" s="131">
        <f t="shared" si="6"/>
        <v>3295.607828041404</v>
      </c>
      <c r="AI12" s="131">
        <f t="shared" si="7"/>
        <v>310.66440509186441</v>
      </c>
      <c r="AJ12" s="390">
        <f t="shared" si="8"/>
        <v>9.4266193461645525E-2</v>
      </c>
      <c r="AK12" s="389">
        <f t="shared" si="9"/>
        <v>0.98754126625061689</v>
      </c>
      <c r="AL12" s="131">
        <f t="shared" si="10"/>
        <v>0</v>
      </c>
      <c r="AM12" s="131">
        <f t="shared" si="11"/>
        <v>0</v>
      </c>
      <c r="AN12" s="131">
        <f t="shared" si="12"/>
        <v>0</v>
      </c>
      <c r="AO12" s="131">
        <f t="shared" si="13"/>
        <v>310.66440509186441</v>
      </c>
      <c r="AP12" s="26" t="str">
        <f t="shared" si="14"/>
        <v>20-29</v>
      </c>
      <c r="AQ12" s="26" t="str">
        <f t="shared" si="15"/>
        <v>Up to 250k</v>
      </c>
      <c r="AR12" s="26" t="str">
        <f>IF($T12=1,IF($AI12&lt;0,"Loss-making",IF($AJ12&lt;Assumptions!$C$16-0.00001,"Below target","At/above target")),"Excluded")</f>
        <v>At/above target</v>
      </c>
      <c r="AS12" s="103">
        <f t="shared" si="16"/>
        <v>310.66441709186444</v>
      </c>
      <c r="AT12" s="26"/>
      <c r="AU12" s="419">
        <f>IF(AND($T12=1,AU$5&lt;=$H12),INDEX(Mortality!$B$4:$E$64,MATCH($D12+AU$5-1,Mortality!$A$4:$A$64,0),$U12)*$V12*$N12,0)</f>
        <v>4.6496002843705284E-4</v>
      </c>
      <c r="AV12" s="93">
        <f>IF(AND($T12=1,AV$5&lt;=$H12),INDEX(Mortality!$B$4:$E$64,MATCH($D12+AV$5-1,Mortality!$A$4:$A$64,0),$U12)*$V12*$N12,0)</f>
        <v>5.0368518579163926E-4</v>
      </c>
      <c r="AW12" s="93">
        <f>IF(AND($T12=1,AW$5&lt;=$H12),INDEX(Mortality!$B$4:$E$64,MATCH($D12+AW$5-1,Mortality!$A$4:$A$64,0),$U12)*$V12*$N12,0)</f>
        <v>5.4563564794754224E-4</v>
      </c>
      <c r="AX12" s="93">
        <f>IF(AND($T12=1,AX$5&lt;=$H12),INDEX(Mortality!$B$4:$E$64,MATCH($D12+AX$5-1,Mortality!$A$4:$A$64,0),$U12)*$V12*$N12,0)</f>
        <v>5.9108004108401879E-4</v>
      </c>
      <c r="AY12" s="93">
        <f>IF(AND($T12=1,AY$5&lt;=$H12),INDEX(Mortality!$B$4:$E$64,MATCH($D12+AY$5-1,Mortality!$A$4:$A$64,0),$U12)*$V12*$N12,0)</f>
        <v>6.4030936446710107E-4</v>
      </c>
      <c r="AZ12" s="93">
        <f>IF(AND($T12=1,AZ$5&lt;=$H12),INDEX(Mortality!$B$4:$E$64,MATCH($D12+AZ$5-1,Mortality!$A$4:$A$64,0),$U12)*$V12*$N12,0)</f>
        <v>6.9363885383838238E-4</v>
      </c>
      <c r="BA12" s="93">
        <f>IF(AND($T12=1,BA$5&lt;=$H12),INDEX(Mortality!$B$4:$E$64,MATCH($D12+BA$5-1,Mortality!$A$4:$A$64,0),$U12)*$V12*$N12,0)</f>
        <v>7.514100000000001E-4</v>
      </c>
      <c r="BB12" s="93">
        <f>IF(AND($T12=1,BB$5&lt;=$H12),INDEX(Mortality!$B$4:$E$64,MATCH($D12+BB$5-1,Mortality!$A$4:$A$64,0),$U12)*$V12*$N12,0)</f>
        <v>8.1399273552164048E-4</v>
      </c>
      <c r="BC12" s="93">
        <f>IF(AND($T12=1,BC$5&lt;=$H12),INDEX(Mortality!$B$4:$E$64,MATCH($D12+BC$5-1,Mortality!$A$4:$A$64,0),$U12)*$V12*$N12,0)</f>
        <v>8.817878035719544E-4</v>
      </c>
      <c r="BD12" s="93">
        <f>IF(AND($T12=1,BD$5&lt;=$H12),INDEX(Mortality!$B$4:$E$64,MATCH($D12+BD$5-1,Mortality!$A$4:$A$64,0),$U12)*$V12*$N12,0)</f>
        <v>9.5522932404300742E-4</v>
      </c>
      <c r="BE12" s="93">
        <f>IF(AND($T12=1,BE$5&lt;=$H12),INDEX(Mortality!$B$4:$E$64,MATCH($D12+BE$5-1,Mortality!$A$4:$A$64,0),$U12)*$V12*$N12,0)</f>
        <v>0</v>
      </c>
      <c r="BF12" s="93">
        <f>IF(AND($T12=1,BF$5&lt;=$H12),INDEX(Mortality!$B$4:$E$64,MATCH($D12+BF$5-1,Mortality!$A$4:$A$64,0),$U12)*$V12*$N12,0)</f>
        <v>0</v>
      </c>
      <c r="BG12" s="93">
        <f>IF(AND($T12=1,BG$5&lt;=$H12),INDEX(Mortality!$B$4:$E$64,MATCH($D12+BG$5-1,Mortality!$A$4:$A$64,0),$U12)*$V12*$N12,0)</f>
        <v>0</v>
      </c>
      <c r="BH12" s="93">
        <f>IF(AND($T12=1,BH$5&lt;=$H12),INDEX(Mortality!$B$4:$E$64,MATCH($D12+BH$5-1,Mortality!$A$4:$A$64,0),$U12)*$V12*$N12,0)</f>
        <v>0</v>
      </c>
      <c r="BI12" s="93">
        <f>IF(AND($T12=1,BI$5&lt;=$H12),INDEX(Mortality!$B$4:$E$64,MATCH($D12+BI$5-1,Mortality!$A$4:$A$64,0),$U12)*$V12*$N12,0)</f>
        <v>0</v>
      </c>
      <c r="BJ12" s="93">
        <f>IF(AND($T12=1,BJ$5&lt;=$H12),INDEX(Mortality!$B$4:$E$64,MATCH($D12+BJ$5-1,Mortality!$A$4:$A$64,0),$U12)*$V12*$N12,0)</f>
        <v>0</v>
      </c>
      <c r="BK12" s="93">
        <f>IF(AND($T12=1,BK$5&lt;=$H12),INDEX(Mortality!$B$4:$E$64,MATCH($D12+BK$5-1,Mortality!$A$4:$A$64,0),$U12)*$V12*$N12,0)</f>
        <v>0</v>
      </c>
      <c r="BL12" s="93">
        <f>IF(AND($T12=1,BL$5&lt;=$H12),INDEX(Mortality!$B$4:$E$64,MATCH($D12+BL$5-1,Mortality!$A$4:$A$64,0),$U12)*$V12*$N12,0)</f>
        <v>0</v>
      </c>
      <c r="BM12" s="93">
        <f>IF(AND($T12=1,BM$5&lt;=$H12),INDEX(Mortality!$B$4:$E$64,MATCH($D12+BM$5-1,Mortality!$A$4:$A$64,0),$U12)*$V12*$N12,0)</f>
        <v>0</v>
      </c>
      <c r="BN12" s="93">
        <f>IF(AND($T12=1,BN$5&lt;=$H12),INDEX(Mortality!$B$4:$E$64,MATCH($D12+BN$5-1,Mortality!$A$4:$A$64,0),$U12)*$V12*$N12,0)</f>
        <v>0</v>
      </c>
      <c r="BO12" s="93">
        <f>IF(AND($T12=1,BO$5&lt;=$H12),INDEX(Mortality!$B$4:$E$64,MATCH($D12+BO$5-1,Mortality!$A$4:$A$64,0),$U12)*$V12*$N12,0)</f>
        <v>0</v>
      </c>
      <c r="BP12" s="93">
        <f>IF(AND($T12=1,BP$5&lt;=$H12),INDEX(Mortality!$B$4:$E$64,MATCH($D12+BP$5-1,Mortality!$A$4:$A$64,0),$U12)*$V12*$N12,0)</f>
        <v>0</v>
      </c>
      <c r="BQ12" s="93">
        <f>IF(AND($T12=1,BQ$5&lt;=$H12),INDEX(Mortality!$B$4:$E$64,MATCH($D12+BQ$5-1,Mortality!$A$4:$A$64,0),$U12)*$V12*$N12,0)</f>
        <v>0</v>
      </c>
      <c r="BR12" s="93">
        <f>IF(AND($T12=1,BR$5&lt;=$H12),INDEX(Mortality!$B$4:$E$64,MATCH($D12+BR$5-1,Mortality!$A$4:$A$64,0),$U12)*$V12*$N12,0)</f>
        <v>0</v>
      </c>
      <c r="BS12" s="93">
        <f>IF(AND($T12=1,BS$5&lt;=$H12),INDEX(Mortality!$B$4:$E$64,MATCH($D12+BS$5-1,Mortality!$A$4:$A$64,0),$U12)*$V12*$N12,0)</f>
        <v>0</v>
      </c>
      <c r="BT12" s="93">
        <f>IF(AND($T12=1,BT$5&lt;=$H12),INDEX(Mortality!$B$4:$E$64,MATCH($D12+BT$5-1,Mortality!$A$4:$A$64,0),$U12)*$V12*$N12,0)</f>
        <v>0</v>
      </c>
      <c r="BU12" s="93">
        <f>IF(AND($T12=1,BU$5&lt;=$H12),INDEX(Mortality!$B$4:$E$64,MATCH($D12+BU$5-1,Mortality!$A$4:$A$64,0),$U12)*$V12*$N12,0)</f>
        <v>0</v>
      </c>
      <c r="BV12" s="93">
        <f>IF(AND($T12=1,BV$5&lt;=$H12),INDEX(Mortality!$B$4:$E$64,MATCH($D12+BV$5-1,Mortality!$A$4:$A$64,0),$U12)*$V12*$N12,0)</f>
        <v>0</v>
      </c>
      <c r="BW12" s="93">
        <f>IF(AND($T12=1,BW$5&lt;=$H12),INDEX(Mortality!$B$4:$E$64,MATCH($D12+BW$5-1,Mortality!$A$4:$A$64,0),$U12)*$V12*$N12,0)</f>
        <v>0</v>
      </c>
      <c r="BX12" s="93">
        <f>IF(AND($T12=1,BX$5&lt;=$H12),INDEX(Mortality!$B$4:$E$64,MATCH($D12+BX$5-1,Mortality!$A$4:$A$64,0),$U12)*$V12*$N12,0)</f>
        <v>0</v>
      </c>
      <c r="BY12" s="93">
        <f>IF(AND($T12=1,BY$5&lt;=$H12),INDEX(Mortality!$B$4:$E$64,MATCH($D12+BY$5-1,Mortality!$A$4:$A$64,0),$U12)*$V12*$N12,0)</f>
        <v>0</v>
      </c>
      <c r="BZ12" s="93">
        <f>IF(AND($T12=1,BZ$5&lt;=$H12),INDEX(Mortality!$B$4:$E$64,MATCH($D12+BZ$5-1,Mortality!$A$4:$A$64,0),$U12)*$V12*$N12,0)</f>
        <v>0</v>
      </c>
      <c r="CA12" s="93">
        <f>IF(AND($T12=1,CA$5&lt;=$H12),INDEX(Mortality!$B$4:$E$64,MATCH($D12+CA$5-1,Mortality!$A$4:$A$64,0),$U12)*$V12*$N12,0)</f>
        <v>0</v>
      </c>
      <c r="CB12" s="93">
        <f>IF(AND($T12=1,CB$5&lt;=$H12),INDEX(Mortality!$B$4:$E$64,MATCH($D12+CB$5-1,Mortality!$A$4:$A$64,0),$U12)*$V12*$N12,0)</f>
        <v>0</v>
      </c>
      <c r="CC12" s="93">
        <f>IF(AND($T12=1,CC$5&lt;=$H12),INDEX(Mortality!$B$4:$E$64,MATCH($D12+CC$5-1,Mortality!$A$4:$A$64,0),$U12)*$V12*$N12,0)</f>
        <v>0</v>
      </c>
      <c r="CD12" s="93">
        <f>IF(AND($T12=1,CD$5&lt;=$H12),INDEX(Mortality!$B$4:$E$64,MATCH($D12+CD$5-1,Mortality!$A$4:$A$64,0),$U12)*$V12*$N12,0)</f>
        <v>0</v>
      </c>
      <c r="CE12" s="93">
        <f>IF(AND($T12=1,CE$5&lt;=$H12),INDEX(Mortality!$B$4:$E$64,MATCH($D12+CE$5-1,Mortality!$A$4:$A$64,0),$U12)*$V12*$N12,0)</f>
        <v>0</v>
      </c>
      <c r="CF12" s="93">
        <f>IF(AND($T12=1,CF$5&lt;=$H12),INDEX(Mortality!$B$4:$E$64,MATCH($D12+CF$5-1,Mortality!$A$4:$A$64,0),$U12)*$V12*$N12,0)</f>
        <v>0</v>
      </c>
      <c r="CG12" s="93">
        <f>IF(AND($T12=1,CG$5&lt;=$H12),INDEX(Mortality!$B$4:$E$64,MATCH($D12+CG$5-1,Mortality!$A$4:$A$64,0),$U12)*$V12*$N12,0)</f>
        <v>0</v>
      </c>
      <c r="CH12" s="94">
        <f>IF(AND($T12=1,CH$5&lt;=$H12),INDEX(Mortality!$B$4:$E$64,MATCH($D12+CH$5-1,Mortality!$A$4:$A$64,0),$U12)*$V12*$N12,0)</f>
        <v>0</v>
      </c>
      <c r="CI12" s="26"/>
      <c r="CJ12" s="419">
        <f t="shared" si="17"/>
        <v>1</v>
      </c>
      <c r="CK12" s="93">
        <f>IF(AND($T12=1,CK$5&lt;=$H12),CJ12*(1-AU12)*(1-MIN(1,MAX(Assumptions!$C$27,Assumptions!$C$13*Assumptions!$C$28^(CJ$5-1))*$O12)),0)</f>
        <v>0.87959083517497538</v>
      </c>
      <c r="CL12" s="93">
        <f>IF(AND($T12=1,CL$5&lt;=$H12),CK12*(1-AV12)*(1-MIN(1,MAX(Assumptions!$C$27,Assumptions!$C$13*Assumptions!$C$28^(CK$5-1))*$O12)),0)</f>
        <v>0.78947472287496223</v>
      </c>
      <c r="CM12" s="93">
        <f>IF(AND($T12=1,CM$5&lt;=$H12),CL12*(1-AW12)*(1-MIN(1,MAX(Assumptions!$C$27,Assumptions!$C$13*Assumptions!$C$28^(CL$5-1))*$O12)),0)</f>
        <v>0.72063384622310334</v>
      </c>
      <c r="CN12" s="93">
        <f>IF(AND($T12=1,CN$5&lt;=$H12),CM12*(1-AX12)*(1-MIN(1,MAX(Assumptions!$C$27,Assumptions!$C$13*Assumptions!$C$28^(CM$5-1))*$O12)),0)</f>
        <v>0.66713217319578721</v>
      </c>
      <c r="CO12" s="93">
        <f>IF(AND($T12=1,CO$5&lt;=$H12),CN12*(1-AY12)*(1-MIN(1,MAX(Assumptions!$C$27,Assumptions!$C$13*Assumptions!$C$28^(CN$5-1))*$O12)),0)</f>
        <v>0.62494210085026836</v>
      </c>
      <c r="CP12" s="93">
        <f>IF(AND($T12=1,CP$5&lt;=$H12),CO12*(1-AZ12)*(1-MIN(1,MAX(Assumptions!$C$27,Assumptions!$C$13*Assumptions!$C$28^(CO$5-1))*$O12)),0)</f>
        <v>0.59125688181442548</v>
      </c>
      <c r="CQ12" s="93">
        <f>IF(AND($T12=1,CQ$5&lt;=$H12),CP12*(1-BA12)*(1-MIN(1,MAX(Assumptions!$C$27,Assumptions!$C$13*Assumptions!$C$28^(CP$5-1))*$O12)),0)</f>
        <v>0.56407364292299123</v>
      </c>
      <c r="CR12" s="93">
        <f>IF(AND($T12=1,CR$5&lt;=$H12),CQ12*(1-BB12)*(1-MIN(1,MAX(Assumptions!$C$27,Assumptions!$C$13*Assumptions!$C$28^(CQ$5-1))*$O12)),0)</f>
        <v>0.54193266397990603</v>
      </c>
      <c r="CS12" s="93">
        <f>IF(AND($T12=1,CS$5&lt;=$H12),CR12*(1-BC12)*(1-MIN(1,MAX(Assumptions!$C$27,Assumptions!$C$13*Assumptions!$C$28^(CR$5-1))*$O12)),0)</f>
        <v>0.52374983822223142</v>
      </c>
      <c r="CT12" s="93">
        <f>IF(AND($T12=1,CT$5&lt;=$H12),CS12*(1-BD12)*(1-MIN(1,MAX(Assumptions!$C$27,Assumptions!$C$13*Assumptions!$C$28^(CS$5-1))*$O12)),0)</f>
        <v>0</v>
      </c>
      <c r="CU12" s="93">
        <f>IF(AND($T12=1,CU$5&lt;=$H12),CT12*(1-BE12)*(1-MIN(1,MAX(Assumptions!$C$27,Assumptions!$C$13*Assumptions!$C$28^(CT$5-1))*$O12)),0)</f>
        <v>0</v>
      </c>
      <c r="CV12" s="93">
        <f>IF(AND($T12=1,CV$5&lt;=$H12),CU12*(1-BF12)*(1-MIN(1,MAX(Assumptions!$C$27,Assumptions!$C$13*Assumptions!$C$28^(CU$5-1))*$O12)),0)</f>
        <v>0</v>
      </c>
      <c r="CW12" s="93">
        <f>IF(AND($T12=1,CW$5&lt;=$H12),CV12*(1-BG12)*(1-MIN(1,MAX(Assumptions!$C$27,Assumptions!$C$13*Assumptions!$C$28^(CV$5-1))*$O12)),0)</f>
        <v>0</v>
      </c>
      <c r="CX12" s="93">
        <f>IF(AND($T12=1,CX$5&lt;=$H12),CW12*(1-BH12)*(1-MIN(1,MAX(Assumptions!$C$27,Assumptions!$C$13*Assumptions!$C$28^(CW$5-1))*$O12)),0)</f>
        <v>0</v>
      </c>
      <c r="CY12" s="93">
        <f>IF(AND($T12=1,CY$5&lt;=$H12),CX12*(1-BI12)*(1-MIN(1,MAX(Assumptions!$C$27,Assumptions!$C$13*Assumptions!$C$28^(CX$5-1))*$O12)),0)</f>
        <v>0</v>
      </c>
      <c r="CZ12" s="93">
        <f>IF(AND($T12=1,CZ$5&lt;=$H12),CY12*(1-BJ12)*(1-MIN(1,MAX(Assumptions!$C$27,Assumptions!$C$13*Assumptions!$C$28^(CY$5-1))*$O12)),0)</f>
        <v>0</v>
      </c>
      <c r="DA12" s="93">
        <f>IF(AND($T12=1,DA$5&lt;=$H12),CZ12*(1-BK12)*(1-MIN(1,MAX(Assumptions!$C$27,Assumptions!$C$13*Assumptions!$C$28^(CZ$5-1))*$O12)),0)</f>
        <v>0</v>
      </c>
      <c r="DB12" s="93">
        <f>IF(AND($T12=1,DB$5&lt;=$H12),DA12*(1-BL12)*(1-MIN(1,MAX(Assumptions!$C$27,Assumptions!$C$13*Assumptions!$C$28^(DA$5-1))*$O12)),0)</f>
        <v>0</v>
      </c>
      <c r="DC12" s="93">
        <f>IF(AND($T12=1,DC$5&lt;=$H12),DB12*(1-BM12)*(1-MIN(1,MAX(Assumptions!$C$27,Assumptions!$C$13*Assumptions!$C$28^(DB$5-1))*$O12)),0)</f>
        <v>0</v>
      </c>
      <c r="DD12" s="93">
        <f>IF(AND($T12=1,DD$5&lt;=$H12),DC12*(1-BN12)*(1-MIN(1,MAX(Assumptions!$C$27,Assumptions!$C$13*Assumptions!$C$28^(DC$5-1))*$O12)),0)</f>
        <v>0</v>
      </c>
      <c r="DE12" s="93">
        <f>IF(AND($T12=1,DE$5&lt;=$H12),DD12*(1-BO12)*(1-MIN(1,MAX(Assumptions!$C$27,Assumptions!$C$13*Assumptions!$C$28^(DD$5-1))*$O12)),0)</f>
        <v>0</v>
      </c>
      <c r="DF12" s="93">
        <f>IF(AND($T12=1,DF$5&lt;=$H12),DE12*(1-BP12)*(1-MIN(1,MAX(Assumptions!$C$27,Assumptions!$C$13*Assumptions!$C$28^(DE$5-1))*$O12)),0)</f>
        <v>0</v>
      </c>
      <c r="DG12" s="93">
        <f>IF(AND($T12=1,DG$5&lt;=$H12),DF12*(1-BQ12)*(1-MIN(1,MAX(Assumptions!$C$27,Assumptions!$C$13*Assumptions!$C$28^(DF$5-1))*$O12)),0)</f>
        <v>0</v>
      </c>
      <c r="DH12" s="93">
        <f>IF(AND($T12=1,DH$5&lt;=$H12),DG12*(1-BR12)*(1-MIN(1,MAX(Assumptions!$C$27,Assumptions!$C$13*Assumptions!$C$28^(DG$5-1))*$O12)),0)</f>
        <v>0</v>
      </c>
      <c r="DI12" s="93">
        <f>IF(AND($T12=1,DI$5&lt;=$H12),DH12*(1-BS12)*(1-MIN(1,MAX(Assumptions!$C$27,Assumptions!$C$13*Assumptions!$C$28^(DH$5-1))*$O12)),0)</f>
        <v>0</v>
      </c>
      <c r="DJ12" s="93">
        <f>IF(AND($T12=1,DJ$5&lt;=$H12),DI12*(1-BT12)*(1-MIN(1,MAX(Assumptions!$C$27,Assumptions!$C$13*Assumptions!$C$28^(DI$5-1))*$O12)),0)</f>
        <v>0</v>
      </c>
      <c r="DK12" s="93">
        <f>IF(AND($T12=1,DK$5&lt;=$H12),DJ12*(1-BU12)*(1-MIN(1,MAX(Assumptions!$C$27,Assumptions!$C$13*Assumptions!$C$28^(DJ$5-1))*$O12)),0)</f>
        <v>0</v>
      </c>
      <c r="DL12" s="93">
        <f>IF(AND($T12=1,DL$5&lt;=$H12),DK12*(1-BV12)*(1-MIN(1,MAX(Assumptions!$C$27,Assumptions!$C$13*Assumptions!$C$28^(DK$5-1))*$O12)),0)</f>
        <v>0</v>
      </c>
      <c r="DM12" s="93">
        <f>IF(AND($T12=1,DM$5&lt;=$H12),DL12*(1-BW12)*(1-MIN(1,MAX(Assumptions!$C$27,Assumptions!$C$13*Assumptions!$C$28^(DL$5-1))*$O12)),0)</f>
        <v>0</v>
      </c>
      <c r="DN12" s="93">
        <f>IF(AND($T12=1,DN$5&lt;=$H12),DM12*(1-BX12)*(1-MIN(1,MAX(Assumptions!$C$27,Assumptions!$C$13*Assumptions!$C$28^(DM$5-1))*$O12)),0)</f>
        <v>0</v>
      </c>
      <c r="DO12" s="93">
        <f>IF(AND($T12=1,DO$5&lt;=$H12),DN12*(1-BY12)*(1-MIN(1,MAX(Assumptions!$C$27,Assumptions!$C$13*Assumptions!$C$28^(DN$5-1))*$O12)),0)</f>
        <v>0</v>
      </c>
      <c r="DP12" s="93">
        <f>IF(AND($T12=1,DP$5&lt;=$H12),DO12*(1-BZ12)*(1-MIN(1,MAX(Assumptions!$C$27,Assumptions!$C$13*Assumptions!$C$28^(DO$5-1))*$O12)),0)</f>
        <v>0</v>
      </c>
      <c r="DQ12" s="93">
        <f>IF(AND($T12=1,DQ$5&lt;=$H12),DP12*(1-CA12)*(1-MIN(1,MAX(Assumptions!$C$27,Assumptions!$C$13*Assumptions!$C$28^(DP$5-1))*$O12)),0)</f>
        <v>0</v>
      </c>
      <c r="DR12" s="93">
        <f>IF(AND($T12=1,DR$5&lt;=$H12),DQ12*(1-CB12)*(1-MIN(1,MAX(Assumptions!$C$27,Assumptions!$C$13*Assumptions!$C$28^(DQ$5-1))*$O12)),0)</f>
        <v>0</v>
      </c>
      <c r="DS12" s="93">
        <f>IF(AND($T12=1,DS$5&lt;=$H12),DR12*(1-CC12)*(1-MIN(1,MAX(Assumptions!$C$27,Assumptions!$C$13*Assumptions!$C$28^(DR$5-1))*$O12)),0)</f>
        <v>0</v>
      </c>
      <c r="DT12" s="93">
        <f>IF(AND($T12=1,DT$5&lt;=$H12),DS12*(1-CD12)*(1-MIN(1,MAX(Assumptions!$C$27,Assumptions!$C$13*Assumptions!$C$28^(DS$5-1))*$O12)),0)</f>
        <v>0</v>
      </c>
      <c r="DU12" s="93">
        <f>IF(AND($T12=1,DU$5&lt;=$H12),DT12*(1-CE12)*(1-MIN(1,MAX(Assumptions!$C$27,Assumptions!$C$13*Assumptions!$C$28^(DT$5-1))*$O12)),0)</f>
        <v>0</v>
      </c>
      <c r="DV12" s="93">
        <f>IF(AND($T12=1,DV$5&lt;=$H12),DU12*(1-CF12)*(1-MIN(1,MAX(Assumptions!$C$27,Assumptions!$C$13*Assumptions!$C$28^(DU$5-1))*$O12)),0)</f>
        <v>0</v>
      </c>
      <c r="DW12" s="94">
        <f>IF(AND($T12=1,DW$5&lt;=$H12),DV12*(1-CG12)*(1-MIN(1,MAX(Assumptions!$C$27,Assumptions!$C$13*Assumptions!$C$28^(DV$5-1))*$O12)),0)</f>
        <v>0</v>
      </c>
      <c r="DX12" s="26"/>
      <c r="DY12" s="26"/>
      <c r="DZ12" s="26"/>
      <c r="EA12" s="26"/>
      <c r="EB12" s="26"/>
      <c r="EC12" s="26"/>
      <c r="ED12" s="26"/>
    </row>
    <row r="13" spans="1:134" x14ac:dyDescent="0.3">
      <c r="A13" s="382" t="s">
        <v>402</v>
      </c>
      <c r="B13" s="383" t="s">
        <v>403</v>
      </c>
      <c r="C13" s="383" t="s">
        <v>288</v>
      </c>
      <c r="D13" s="384">
        <f>'Premium Calculation'!$B$4</f>
        <v>24</v>
      </c>
      <c r="E13" s="385" t="str">
        <f>'Premium Calculation'!$B$5</f>
        <v>Male</v>
      </c>
      <c r="F13" s="385" t="str">
        <f>'Premium Calculation'!$B$6</f>
        <v>Smoker</v>
      </c>
      <c r="G13" s="385" t="str">
        <f>'Premium Calculation'!$B$7</f>
        <v>Preferred</v>
      </c>
      <c r="H13" s="384">
        <f>'Premium Calculation'!$B$8</f>
        <v>10</v>
      </c>
      <c r="I13" s="386">
        <f>'Premium Calculation'!$B$9</f>
        <v>100000</v>
      </c>
      <c r="J13" s="385" t="str">
        <f>'Premium Calculation'!$B$10</f>
        <v>Monthly</v>
      </c>
      <c r="K13" s="385" t="str">
        <f>'Premium Calculation'!$B$31</f>
        <v>Bancassurance</v>
      </c>
      <c r="L13" s="383" t="s">
        <v>389</v>
      </c>
      <c r="M13" s="386">
        <f>'Premium Calculation'!$B$29</f>
        <v>562.44258371429942</v>
      </c>
      <c r="N13" s="387">
        <f>Assumptions!$C$21</f>
        <v>1</v>
      </c>
      <c r="O13" s="387">
        <f>Assumptions!$C$22*(1-Sensitivities!$C$28)</f>
        <v>0.8</v>
      </c>
      <c r="P13" s="387">
        <f>Assumptions!$C$23</f>
        <v>1</v>
      </c>
      <c r="Q13" s="388">
        <f>Assumptions!$C$24</f>
        <v>0</v>
      </c>
      <c r="R13" s="388">
        <f>Assumptions!$C$6+Assumptions!$C$25</f>
        <v>3.5000000000000003E-2</v>
      </c>
      <c r="S13" s="388">
        <f>Assumptions!$C$15</f>
        <v>1.1000000000000001E-3</v>
      </c>
      <c r="T13" s="26">
        <f t="shared" si="0"/>
        <v>1</v>
      </c>
      <c r="U13" s="26">
        <f t="shared" si="1"/>
        <v>4</v>
      </c>
      <c r="V13" s="389">
        <f>IF($G13="Preferred",Assumptions!$C$30,IF($G13="Rated",Assumptions!$C$31,1))</f>
        <v>0.8</v>
      </c>
      <c r="W13" s="390">
        <f>IF($K13="Direct",Assumptions!$C$32,IF($K13="Broker",Assumptions!$C$33,IF($K13="Bancassurance",Assumptions!$C$34,Assumptions!$C$11)))+$Q13</f>
        <v>0.2</v>
      </c>
      <c r="X13" s="390">
        <f>Assumptions!$C$12+$Q13</f>
        <v>0.05</v>
      </c>
      <c r="Y13" s="131">
        <f>MIN($I13,Assumptions!$C$14)</f>
        <v>100000</v>
      </c>
      <c r="Z13" s="131">
        <f>MAX($I13-Assumptions!$C$14,0)</f>
        <v>0</v>
      </c>
      <c r="AA13" s="389">
        <f t="shared" si="2"/>
        <v>6.277305777965096</v>
      </c>
      <c r="AB13" s="389">
        <f t="shared" si="3"/>
        <v>3.6768427449678101E-3</v>
      </c>
      <c r="AC13" s="389">
        <f>IF($T13=1,SUMPRODUCT($CJ13:$DW13,(1+Assumptions!$C$5)^($CJ$5:$DW$5-1),(1+$R13)^(-$CJ$5:$DW$5)),0)</f>
        <v>7.3168840890622997</v>
      </c>
      <c r="AD13" s="389">
        <f t="shared" si="4"/>
        <v>0.45879282513013891</v>
      </c>
      <c r="AE13" s="131">
        <f>IF($T13=1,$AB13*$Y13+(Assumptions!$C$9/(1+$R13)+Assumptions!$C$10*$AC13)*$P13+$S13*$Z13*$AA13,0)</f>
        <v>2846.9639914817917</v>
      </c>
      <c r="AF13" s="131">
        <f>IF($T13=1,IF($AA13-$AD13-Assumptions!$C$16*$AA13&gt;0,$AE13/($AA13-$AD13-Assumptions!$C$16*$AA13)*IF($J13="Monthly",1+Assumptions!$C$29,1),"n.a."),"")</f>
        <v>551.5785784140927</v>
      </c>
      <c r="AG13" s="131">
        <f t="shared" si="5"/>
        <v>562.44258371429942</v>
      </c>
      <c r="AH13" s="131">
        <f t="shared" si="6"/>
        <v>3530.6240805233888</v>
      </c>
      <c r="AI13" s="131">
        <f t="shared" si="7"/>
        <v>425.61546708581909</v>
      </c>
      <c r="AJ13" s="390">
        <f t="shared" si="8"/>
        <v>0.12054964147378862</v>
      </c>
      <c r="AK13" s="389">
        <f t="shared" si="9"/>
        <v>1.0196962059901657</v>
      </c>
      <c r="AL13" s="131">
        <f t="shared" si="10"/>
        <v>0</v>
      </c>
      <c r="AM13" s="131">
        <f t="shared" si="11"/>
        <v>0</v>
      </c>
      <c r="AN13" s="131">
        <f t="shared" si="12"/>
        <v>0</v>
      </c>
      <c r="AO13" s="131">
        <f t="shared" si="13"/>
        <v>425.61546708581909</v>
      </c>
      <c r="AP13" s="26" t="str">
        <f t="shared" si="14"/>
        <v>20-29</v>
      </c>
      <c r="AQ13" s="26" t="str">
        <f t="shared" si="15"/>
        <v>Up to 250k</v>
      </c>
      <c r="AR13" s="26" t="str">
        <f>IF($T13=1,IF($AI13&lt;0,"Loss-making",IF($AJ13&lt;Assumptions!$C$16-0.00001,"Below target","At/above target")),"Excluded")</f>
        <v>At/above target</v>
      </c>
      <c r="AS13" s="103">
        <f t="shared" si="16"/>
        <v>425.61548008581912</v>
      </c>
      <c r="AT13" s="26"/>
      <c r="AU13" s="419">
        <f>IF(AND($T13=1,AU$5&lt;=$H13),INDEX(Mortality!$B$4:$E$64,MATCH($D13+AU$5-1,Mortality!$A$4:$A$64,0),$U13)*$V13*$N13,0)</f>
        <v>4.2269093494277525E-4</v>
      </c>
      <c r="AV13" s="93">
        <f>IF(AND($T13=1,AV$5&lt;=$H13),INDEX(Mortality!$B$4:$E$64,MATCH($D13+AV$5-1,Mortality!$A$4:$A$64,0),$U13)*$V13*$N13,0)</f>
        <v>4.5789562344694478E-4</v>
      </c>
      <c r="AW13" s="93">
        <f>IF(AND($T13=1,AW$5&lt;=$H13),INDEX(Mortality!$B$4:$E$64,MATCH($D13+AW$5-1,Mortality!$A$4:$A$64,0),$U13)*$V13*$N13,0)</f>
        <v>4.960324072250384E-4</v>
      </c>
      <c r="AX13" s="93">
        <f>IF(AND($T13=1,AX$5&lt;=$H13),INDEX(Mortality!$B$4:$E$64,MATCH($D13+AX$5-1,Mortality!$A$4:$A$64,0),$U13)*$V13*$N13,0)</f>
        <v>5.3734549189456246E-4</v>
      </c>
      <c r="AY13" s="93">
        <f>IF(AND($T13=1,AY$5&lt;=$H13),INDEX(Mortality!$B$4:$E$64,MATCH($D13+AY$5-1,Mortality!$A$4:$A$64,0),$U13)*$V13*$N13,0)</f>
        <v>5.8209942224281914E-4</v>
      </c>
      <c r="AZ13" s="93">
        <f>IF(AND($T13=1,AZ$5&lt;=$H13),INDEX(Mortality!$B$4:$E$64,MATCH($D13+AZ$5-1,Mortality!$A$4:$A$64,0),$U13)*$V13*$N13,0)</f>
        <v>6.3058077621671118E-4</v>
      </c>
      <c r="BA13" s="93">
        <f>IF(AND($T13=1,BA$5&lt;=$H13),INDEX(Mortality!$B$4:$E$64,MATCH($D13+BA$5-1,Mortality!$A$4:$A$64,0),$U13)*$V13*$N13,0)</f>
        <v>6.8310000000000007E-4</v>
      </c>
      <c r="BB13" s="93">
        <f>IF(AND($T13=1,BB$5&lt;=$H13),INDEX(Mortality!$B$4:$E$64,MATCH($D13+BB$5-1,Mortality!$A$4:$A$64,0),$U13)*$V13*$N13,0)</f>
        <v>7.3999339592876405E-4</v>
      </c>
      <c r="BC13" s="93">
        <f>IF(AND($T13=1,BC$5&lt;=$H13),INDEX(Mortality!$B$4:$E$64,MATCH($D13+BC$5-1,Mortality!$A$4:$A$64,0),$U13)*$V13*$N13,0)</f>
        <v>8.0162527597450392E-4</v>
      </c>
      <c r="BD13" s="93">
        <f>IF(AND($T13=1,BD$5&lt;=$H13),INDEX(Mortality!$B$4:$E$64,MATCH($D13+BD$5-1,Mortality!$A$4:$A$64,0),$U13)*$V13*$N13,0)</f>
        <v>8.6839029458455209E-4</v>
      </c>
      <c r="BE13" s="93">
        <f>IF(AND($T13=1,BE$5&lt;=$H13),INDEX(Mortality!$B$4:$E$64,MATCH($D13+BE$5-1,Mortality!$A$4:$A$64,0),$U13)*$V13*$N13,0)</f>
        <v>0</v>
      </c>
      <c r="BF13" s="93">
        <f>IF(AND($T13=1,BF$5&lt;=$H13),INDEX(Mortality!$B$4:$E$64,MATCH($D13+BF$5-1,Mortality!$A$4:$A$64,0),$U13)*$V13*$N13,0)</f>
        <v>0</v>
      </c>
      <c r="BG13" s="93">
        <f>IF(AND($T13=1,BG$5&lt;=$H13),INDEX(Mortality!$B$4:$E$64,MATCH($D13+BG$5-1,Mortality!$A$4:$A$64,0),$U13)*$V13*$N13,0)</f>
        <v>0</v>
      </c>
      <c r="BH13" s="93">
        <f>IF(AND($T13=1,BH$5&lt;=$H13),INDEX(Mortality!$B$4:$E$64,MATCH($D13+BH$5-1,Mortality!$A$4:$A$64,0),$U13)*$V13*$N13,0)</f>
        <v>0</v>
      </c>
      <c r="BI13" s="93">
        <f>IF(AND($T13=1,BI$5&lt;=$H13),INDEX(Mortality!$B$4:$E$64,MATCH($D13+BI$5-1,Mortality!$A$4:$A$64,0),$U13)*$V13*$N13,0)</f>
        <v>0</v>
      </c>
      <c r="BJ13" s="93">
        <f>IF(AND($T13=1,BJ$5&lt;=$H13),INDEX(Mortality!$B$4:$E$64,MATCH($D13+BJ$5-1,Mortality!$A$4:$A$64,0),$U13)*$V13*$N13,0)</f>
        <v>0</v>
      </c>
      <c r="BK13" s="93">
        <f>IF(AND($T13=1,BK$5&lt;=$H13),INDEX(Mortality!$B$4:$E$64,MATCH($D13+BK$5-1,Mortality!$A$4:$A$64,0),$U13)*$V13*$N13,0)</f>
        <v>0</v>
      </c>
      <c r="BL13" s="93">
        <f>IF(AND($T13=1,BL$5&lt;=$H13),INDEX(Mortality!$B$4:$E$64,MATCH($D13+BL$5-1,Mortality!$A$4:$A$64,0),$U13)*$V13*$N13,0)</f>
        <v>0</v>
      </c>
      <c r="BM13" s="93">
        <f>IF(AND($T13=1,BM$5&lt;=$H13),INDEX(Mortality!$B$4:$E$64,MATCH($D13+BM$5-1,Mortality!$A$4:$A$64,0),$U13)*$V13*$N13,0)</f>
        <v>0</v>
      </c>
      <c r="BN13" s="93">
        <f>IF(AND($T13=1,BN$5&lt;=$H13),INDEX(Mortality!$B$4:$E$64,MATCH($D13+BN$5-1,Mortality!$A$4:$A$64,0),$U13)*$V13*$N13,0)</f>
        <v>0</v>
      </c>
      <c r="BO13" s="93">
        <f>IF(AND($T13=1,BO$5&lt;=$H13),INDEX(Mortality!$B$4:$E$64,MATCH($D13+BO$5-1,Mortality!$A$4:$A$64,0),$U13)*$V13*$N13,0)</f>
        <v>0</v>
      </c>
      <c r="BP13" s="93">
        <f>IF(AND($T13=1,BP$5&lt;=$H13),INDEX(Mortality!$B$4:$E$64,MATCH($D13+BP$5-1,Mortality!$A$4:$A$64,0),$U13)*$V13*$N13,0)</f>
        <v>0</v>
      </c>
      <c r="BQ13" s="93">
        <f>IF(AND($T13=1,BQ$5&lt;=$H13),INDEX(Mortality!$B$4:$E$64,MATCH($D13+BQ$5-1,Mortality!$A$4:$A$64,0),$U13)*$V13*$N13,0)</f>
        <v>0</v>
      </c>
      <c r="BR13" s="93">
        <f>IF(AND($T13=1,BR$5&lt;=$H13),INDEX(Mortality!$B$4:$E$64,MATCH($D13+BR$5-1,Mortality!$A$4:$A$64,0),$U13)*$V13*$N13,0)</f>
        <v>0</v>
      </c>
      <c r="BS13" s="93">
        <f>IF(AND($T13=1,BS$5&lt;=$H13),INDEX(Mortality!$B$4:$E$64,MATCH($D13+BS$5-1,Mortality!$A$4:$A$64,0),$U13)*$V13*$N13,0)</f>
        <v>0</v>
      </c>
      <c r="BT13" s="93">
        <f>IF(AND($T13=1,BT$5&lt;=$H13),INDEX(Mortality!$B$4:$E$64,MATCH($D13+BT$5-1,Mortality!$A$4:$A$64,0),$U13)*$V13*$N13,0)</f>
        <v>0</v>
      </c>
      <c r="BU13" s="93">
        <f>IF(AND($T13=1,BU$5&lt;=$H13),INDEX(Mortality!$B$4:$E$64,MATCH($D13+BU$5-1,Mortality!$A$4:$A$64,0),$U13)*$V13*$N13,0)</f>
        <v>0</v>
      </c>
      <c r="BV13" s="93">
        <f>IF(AND($T13=1,BV$5&lt;=$H13),INDEX(Mortality!$B$4:$E$64,MATCH($D13+BV$5-1,Mortality!$A$4:$A$64,0),$U13)*$V13*$N13,0)</f>
        <v>0</v>
      </c>
      <c r="BW13" s="93">
        <f>IF(AND($T13=1,BW$5&lt;=$H13),INDEX(Mortality!$B$4:$E$64,MATCH($D13+BW$5-1,Mortality!$A$4:$A$64,0),$U13)*$V13*$N13,0)</f>
        <v>0</v>
      </c>
      <c r="BX13" s="93">
        <f>IF(AND($T13=1,BX$5&lt;=$H13),INDEX(Mortality!$B$4:$E$64,MATCH($D13+BX$5-1,Mortality!$A$4:$A$64,0),$U13)*$V13*$N13,0)</f>
        <v>0</v>
      </c>
      <c r="BY13" s="93">
        <f>IF(AND($T13=1,BY$5&lt;=$H13),INDEX(Mortality!$B$4:$E$64,MATCH($D13+BY$5-1,Mortality!$A$4:$A$64,0),$U13)*$V13*$N13,0)</f>
        <v>0</v>
      </c>
      <c r="BZ13" s="93">
        <f>IF(AND($T13=1,BZ$5&lt;=$H13),INDEX(Mortality!$B$4:$E$64,MATCH($D13+BZ$5-1,Mortality!$A$4:$A$64,0),$U13)*$V13*$N13,0)</f>
        <v>0</v>
      </c>
      <c r="CA13" s="93">
        <f>IF(AND($T13=1,CA$5&lt;=$H13),INDEX(Mortality!$B$4:$E$64,MATCH($D13+CA$5-1,Mortality!$A$4:$A$64,0),$U13)*$V13*$N13,0)</f>
        <v>0</v>
      </c>
      <c r="CB13" s="93">
        <f>IF(AND($T13=1,CB$5&lt;=$H13),INDEX(Mortality!$B$4:$E$64,MATCH($D13+CB$5-1,Mortality!$A$4:$A$64,0),$U13)*$V13*$N13,0)</f>
        <v>0</v>
      </c>
      <c r="CC13" s="93">
        <f>IF(AND($T13=1,CC$5&lt;=$H13),INDEX(Mortality!$B$4:$E$64,MATCH($D13+CC$5-1,Mortality!$A$4:$A$64,0),$U13)*$V13*$N13,0)</f>
        <v>0</v>
      </c>
      <c r="CD13" s="93">
        <f>IF(AND($T13=1,CD$5&lt;=$H13),INDEX(Mortality!$B$4:$E$64,MATCH($D13+CD$5-1,Mortality!$A$4:$A$64,0),$U13)*$V13*$N13,0)</f>
        <v>0</v>
      </c>
      <c r="CE13" s="93">
        <f>IF(AND($T13=1,CE$5&lt;=$H13),INDEX(Mortality!$B$4:$E$64,MATCH($D13+CE$5-1,Mortality!$A$4:$A$64,0),$U13)*$V13*$N13,0)</f>
        <v>0</v>
      </c>
      <c r="CF13" s="93">
        <f>IF(AND($T13=1,CF$5&lt;=$H13),INDEX(Mortality!$B$4:$E$64,MATCH($D13+CF$5-1,Mortality!$A$4:$A$64,0),$U13)*$V13*$N13,0)</f>
        <v>0</v>
      </c>
      <c r="CG13" s="93">
        <f>IF(AND($T13=1,CG$5&lt;=$H13),INDEX(Mortality!$B$4:$E$64,MATCH($D13+CG$5-1,Mortality!$A$4:$A$64,0),$U13)*$V13*$N13,0)</f>
        <v>0</v>
      </c>
      <c r="CH13" s="94">
        <f>IF(AND($T13=1,CH$5&lt;=$H13),INDEX(Mortality!$B$4:$E$64,MATCH($D13+CH$5-1,Mortality!$A$4:$A$64,0),$U13)*$V13*$N13,0)</f>
        <v>0</v>
      </c>
      <c r="CI13" s="26"/>
      <c r="CJ13" s="419">
        <f t="shared" si="17"/>
        <v>1</v>
      </c>
      <c r="CK13" s="93">
        <f>IF(AND($T13=1,CK$5&lt;=$H13),CJ13*(1-AU13)*(1-MIN(1,MAX(Assumptions!$C$27,Assumptions!$C$13*Assumptions!$C$28^(CJ$5-1))*$O13)),0)</f>
        <v>0.90361788739481175</v>
      </c>
      <c r="CL13" s="93">
        <f>IF(AND($T13=1,CL$5&lt;=$H13),CK13*(1-AV13)*(1-MIN(1,MAX(Assumptions!$C$27,Assumptions!$C$13*Assumptions!$C$28^(CK$5-1))*$O13)),0)</f>
        <v>0.82950266814184259</v>
      </c>
      <c r="CM13" s="93">
        <f>IF(AND($T13=1,CM$5&lt;=$H13),CL13*(1-AW13)*(1-MIN(1,MAX(Assumptions!$C$27,Assumptions!$C$13*Assumptions!$C$28^(CL$5-1))*$O13)),0)</f>
        <v>0.7715854417540845</v>
      </c>
      <c r="CN13" s="93">
        <f>IF(AND($T13=1,CN$5&lt;=$H13),CM13*(1-AX13)*(1-MIN(1,MAX(Assumptions!$C$27,Assumptions!$C$13*Assumptions!$C$28^(CM$5-1))*$O13)),0)</f>
        <v>0.72570568611810804</v>
      </c>
      <c r="CO13" s="93">
        <f>IF(AND($T13=1,CO$5&lt;=$H13),CN13*(1-AY13)*(1-MIN(1,MAX(Assumptions!$C$27,Assumptions!$C$13*Assumptions!$C$28^(CN$5-1))*$O13)),0)</f>
        <v>0.68893742370030853</v>
      </c>
      <c r="CP13" s="93">
        <f>IF(AND($T13=1,CP$5&lt;=$H13),CO13*(1-AZ13)*(1-MIN(1,MAX(Assumptions!$C$27,Assumptions!$C$13*Assumptions!$C$28^(CO$5-1))*$O13)),0)</f>
        <v>0.65917571918073781</v>
      </c>
      <c r="CQ13" s="93">
        <f>IF(AND($T13=1,CQ$5&lt;=$H13),CP13*(1-BA13)*(1-MIN(1,MAX(Assumptions!$C$27,Assumptions!$C$13*Assumptions!$C$28^(CP$5-1))*$O13)),0)</f>
        <v>0.63487539024276607</v>
      </c>
      <c r="CR13" s="93">
        <f>IF(AND($T13=1,CR$5&lt;=$H13),CQ13*(1-BB13)*(1-MIN(1,MAX(Assumptions!$C$27,Assumptions!$C$13*Assumptions!$C$28^(CQ$5-1))*$O13)),0)</f>
        <v>0.61488150065411773</v>
      </c>
      <c r="CS13" s="93">
        <f>IF(AND($T13=1,CS$5&lt;=$H13),CR13*(1-BC13)*(1-MIN(1,MAX(Assumptions!$C$27,Assumptions!$C$13*Assumptions!$C$28^(CR$5-1))*$O13)),0)</f>
        <v>0.59831674927301304</v>
      </c>
      <c r="CT13" s="93">
        <f>IF(AND($T13=1,CT$5&lt;=$H13),CS13*(1-BD13)*(1-MIN(1,MAX(Assumptions!$C$27,Assumptions!$C$13*Assumptions!$C$28^(CS$5-1))*$O13)),0)</f>
        <v>0</v>
      </c>
      <c r="CU13" s="93">
        <f>IF(AND($T13=1,CU$5&lt;=$H13),CT13*(1-BE13)*(1-MIN(1,MAX(Assumptions!$C$27,Assumptions!$C$13*Assumptions!$C$28^(CT$5-1))*$O13)),0)</f>
        <v>0</v>
      </c>
      <c r="CV13" s="93">
        <f>IF(AND($T13=1,CV$5&lt;=$H13),CU13*(1-BF13)*(1-MIN(1,MAX(Assumptions!$C$27,Assumptions!$C$13*Assumptions!$C$28^(CU$5-1))*$O13)),0)</f>
        <v>0</v>
      </c>
      <c r="CW13" s="93">
        <f>IF(AND($T13=1,CW$5&lt;=$H13),CV13*(1-BG13)*(1-MIN(1,MAX(Assumptions!$C$27,Assumptions!$C$13*Assumptions!$C$28^(CV$5-1))*$O13)),0)</f>
        <v>0</v>
      </c>
      <c r="CX13" s="93">
        <f>IF(AND($T13=1,CX$5&lt;=$H13),CW13*(1-BH13)*(1-MIN(1,MAX(Assumptions!$C$27,Assumptions!$C$13*Assumptions!$C$28^(CW$5-1))*$O13)),0)</f>
        <v>0</v>
      </c>
      <c r="CY13" s="93">
        <f>IF(AND($T13=1,CY$5&lt;=$H13),CX13*(1-BI13)*(1-MIN(1,MAX(Assumptions!$C$27,Assumptions!$C$13*Assumptions!$C$28^(CX$5-1))*$O13)),0)</f>
        <v>0</v>
      </c>
      <c r="CZ13" s="93">
        <f>IF(AND($T13=1,CZ$5&lt;=$H13),CY13*(1-BJ13)*(1-MIN(1,MAX(Assumptions!$C$27,Assumptions!$C$13*Assumptions!$C$28^(CY$5-1))*$O13)),0)</f>
        <v>0</v>
      </c>
      <c r="DA13" s="93">
        <f>IF(AND($T13=1,DA$5&lt;=$H13),CZ13*(1-BK13)*(1-MIN(1,MAX(Assumptions!$C$27,Assumptions!$C$13*Assumptions!$C$28^(CZ$5-1))*$O13)),0)</f>
        <v>0</v>
      </c>
      <c r="DB13" s="93">
        <f>IF(AND($T13=1,DB$5&lt;=$H13),DA13*(1-BL13)*(1-MIN(1,MAX(Assumptions!$C$27,Assumptions!$C$13*Assumptions!$C$28^(DA$5-1))*$O13)),0)</f>
        <v>0</v>
      </c>
      <c r="DC13" s="93">
        <f>IF(AND($T13=1,DC$5&lt;=$H13),DB13*(1-BM13)*(1-MIN(1,MAX(Assumptions!$C$27,Assumptions!$C$13*Assumptions!$C$28^(DB$5-1))*$O13)),0)</f>
        <v>0</v>
      </c>
      <c r="DD13" s="93">
        <f>IF(AND($T13=1,DD$5&lt;=$H13),DC13*(1-BN13)*(1-MIN(1,MAX(Assumptions!$C$27,Assumptions!$C$13*Assumptions!$C$28^(DC$5-1))*$O13)),0)</f>
        <v>0</v>
      </c>
      <c r="DE13" s="93">
        <f>IF(AND($T13=1,DE$5&lt;=$H13),DD13*(1-BO13)*(1-MIN(1,MAX(Assumptions!$C$27,Assumptions!$C$13*Assumptions!$C$28^(DD$5-1))*$O13)),0)</f>
        <v>0</v>
      </c>
      <c r="DF13" s="93">
        <f>IF(AND($T13=1,DF$5&lt;=$H13),DE13*(1-BP13)*(1-MIN(1,MAX(Assumptions!$C$27,Assumptions!$C$13*Assumptions!$C$28^(DE$5-1))*$O13)),0)</f>
        <v>0</v>
      </c>
      <c r="DG13" s="93">
        <f>IF(AND($T13=1,DG$5&lt;=$H13),DF13*(1-BQ13)*(1-MIN(1,MAX(Assumptions!$C$27,Assumptions!$C$13*Assumptions!$C$28^(DF$5-1))*$O13)),0)</f>
        <v>0</v>
      </c>
      <c r="DH13" s="93">
        <f>IF(AND($T13=1,DH$5&lt;=$H13),DG13*(1-BR13)*(1-MIN(1,MAX(Assumptions!$C$27,Assumptions!$C$13*Assumptions!$C$28^(DG$5-1))*$O13)),0)</f>
        <v>0</v>
      </c>
      <c r="DI13" s="93">
        <f>IF(AND($T13=1,DI$5&lt;=$H13),DH13*(1-BS13)*(1-MIN(1,MAX(Assumptions!$C$27,Assumptions!$C$13*Assumptions!$C$28^(DH$5-1))*$O13)),0)</f>
        <v>0</v>
      </c>
      <c r="DJ13" s="93">
        <f>IF(AND($T13=1,DJ$5&lt;=$H13),DI13*(1-BT13)*(1-MIN(1,MAX(Assumptions!$C$27,Assumptions!$C$13*Assumptions!$C$28^(DI$5-1))*$O13)),0)</f>
        <v>0</v>
      </c>
      <c r="DK13" s="93">
        <f>IF(AND($T13=1,DK$5&lt;=$H13),DJ13*(1-BU13)*(1-MIN(1,MAX(Assumptions!$C$27,Assumptions!$C$13*Assumptions!$C$28^(DJ$5-1))*$O13)),0)</f>
        <v>0</v>
      </c>
      <c r="DL13" s="93">
        <f>IF(AND($T13=1,DL$5&lt;=$H13),DK13*(1-BV13)*(1-MIN(1,MAX(Assumptions!$C$27,Assumptions!$C$13*Assumptions!$C$28^(DK$5-1))*$O13)),0)</f>
        <v>0</v>
      </c>
      <c r="DM13" s="93">
        <f>IF(AND($T13=1,DM$5&lt;=$H13),DL13*(1-BW13)*(1-MIN(1,MAX(Assumptions!$C$27,Assumptions!$C$13*Assumptions!$C$28^(DL$5-1))*$O13)),0)</f>
        <v>0</v>
      </c>
      <c r="DN13" s="93">
        <f>IF(AND($T13=1,DN$5&lt;=$H13),DM13*(1-BX13)*(1-MIN(1,MAX(Assumptions!$C$27,Assumptions!$C$13*Assumptions!$C$28^(DM$5-1))*$O13)),0)</f>
        <v>0</v>
      </c>
      <c r="DO13" s="93">
        <f>IF(AND($T13=1,DO$5&lt;=$H13),DN13*(1-BY13)*(1-MIN(1,MAX(Assumptions!$C$27,Assumptions!$C$13*Assumptions!$C$28^(DN$5-1))*$O13)),0)</f>
        <v>0</v>
      </c>
      <c r="DP13" s="93">
        <f>IF(AND($T13=1,DP$5&lt;=$H13),DO13*(1-BZ13)*(1-MIN(1,MAX(Assumptions!$C$27,Assumptions!$C$13*Assumptions!$C$28^(DO$5-1))*$O13)),0)</f>
        <v>0</v>
      </c>
      <c r="DQ13" s="93">
        <f>IF(AND($T13=1,DQ$5&lt;=$H13),DP13*(1-CA13)*(1-MIN(1,MAX(Assumptions!$C$27,Assumptions!$C$13*Assumptions!$C$28^(DP$5-1))*$O13)),0)</f>
        <v>0</v>
      </c>
      <c r="DR13" s="93">
        <f>IF(AND($T13=1,DR$5&lt;=$H13),DQ13*(1-CB13)*(1-MIN(1,MAX(Assumptions!$C$27,Assumptions!$C$13*Assumptions!$C$28^(DQ$5-1))*$O13)),0)</f>
        <v>0</v>
      </c>
      <c r="DS13" s="93">
        <f>IF(AND($T13=1,DS$5&lt;=$H13),DR13*(1-CC13)*(1-MIN(1,MAX(Assumptions!$C$27,Assumptions!$C$13*Assumptions!$C$28^(DR$5-1))*$O13)),0)</f>
        <v>0</v>
      </c>
      <c r="DT13" s="93">
        <f>IF(AND($T13=1,DT$5&lt;=$H13),DS13*(1-CD13)*(1-MIN(1,MAX(Assumptions!$C$27,Assumptions!$C$13*Assumptions!$C$28^(DS$5-1))*$O13)),0)</f>
        <v>0</v>
      </c>
      <c r="DU13" s="93">
        <f>IF(AND($T13=1,DU$5&lt;=$H13),DT13*(1-CE13)*(1-MIN(1,MAX(Assumptions!$C$27,Assumptions!$C$13*Assumptions!$C$28^(DT$5-1))*$O13)),0)</f>
        <v>0</v>
      </c>
      <c r="DV13" s="93">
        <f>IF(AND($T13=1,DV$5&lt;=$H13),DU13*(1-CF13)*(1-MIN(1,MAX(Assumptions!$C$27,Assumptions!$C$13*Assumptions!$C$28^(DU$5-1))*$O13)),0)</f>
        <v>0</v>
      </c>
      <c r="DW13" s="94">
        <f>IF(AND($T13=1,DW$5&lt;=$H13),DV13*(1-CG13)*(1-MIN(1,MAX(Assumptions!$C$27,Assumptions!$C$13*Assumptions!$C$28^(DV$5-1))*$O13)),0)</f>
        <v>0</v>
      </c>
      <c r="DX13" s="26"/>
      <c r="DY13" s="26"/>
      <c r="DZ13" s="26"/>
      <c r="EA13" s="26"/>
      <c r="EB13" s="26"/>
      <c r="EC13" s="26"/>
      <c r="ED13" s="26"/>
    </row>
    <row r="14" spans="1:134" x14ac:dyDescent="0.3">
      <c r="A14" s="382" t="s">
        <v>404</v>
      </c>
      <c r="B14" s="383" t="s">
        <v>405</v>
      </c>
      <c r="C14" s="383" t="s">
        <v>288</v>
      </c>
      <c r="D14" s="384">
        <f>'Premium Calculation'!$B$4</f>
        <v>24</v>
      </c>
      <c r="E14" s="385" t="str">
        <f>'Premium Calculation'!$B$5</f>
        <v>Male</v>
      </c>
      <c r="F14" s="385" t="str">
        <f>'Premium Calculation'!$B$6</f>
        <v>Smoker</v>
      </c>
      <c r="G14" s="385" t="str">
        <f>'Premium Calculation'!$B$7</f>
        <v>Preferred</v>
      </c>
      <c r="H14" s="384">
        <f>'Premium Calculation'!$B$8</f>
        <v>10</v>
      </c>
      <c r="I14" s="386">
        <f>'Premium Calculation'!$B$9</f>
        <v>100000</v>
      </c>
      <c r="J14" s="385" t="str">
        <f>'Premium Calculation'!$B$10</f>
        <v>Monthly</v>
      </c>
      <c r="K14" s="385" t="str">
        <f>'Premium Calculation'!$B$31</f>
        <v>Bancassurance</v>
      </c>
      <c r="L14" s="383" t="s">
        <v>389</v>
      </c>
      <c r="M14" s="386">
        <f>'Premium Calculation'!$B$29</f>
        <v>562.44258371429942</v>
      </c>
      <c r="N14" s="387">
        <f>Assumptions!$C$21</f>
        <v>1</v>
      </c>
      <c r="O14" s="387">
        <f>Assumptions!$C$22*(1+Sensitivities!$C$28)</f>
        <v>1.2</v>
      </c>
      <c r="P14" s="387">
        <f>Assumptions!$C$23</f>
        <v>1</v>
      </c>
      <c r="Q14" s="388">
        <f>Assumptions!$C$24</f>
        <v>0</v>
      </c>
      <c r="R14" s="388">
        <f>Assumptions!$C$6+Assumptions!$C$25</f>
        <v>3.5000000000000003E-2</v>
      </c>
      <c r="S14" s="388">
        <f>Assumptions!$C$15</f>
        <v>1.1000000000000001E-3</v>
      </c>
      <c r="T14" s="26">
        <f t="shared" si="0"/>
        <v>1</v>
      </c>
      <c r="U14" s="26">
        <f t="shared" si="1"/>
        <v>4</v>
      </c>
      <c r="V14" s="389">
        <f>IF($G14="Preferred",Assumptions!$C$30,IF($G14="Rated",Assumptions!$C$31,1))</f>
        <v>0.8</v>
      </c>
      <c r="W14" s="390">
        <f>IF($K14="Direct",Assumptions!$C$32,IF($K14="Broker",Assumptions!$C$33,IF($K14="Bancassurance",Assumptions!$C$34,Assumptions!$C$11)))+$Q14</f>
        <v>0.2</v>
      </c>
      <c r="X14" s="390">
        <f>Assumptions!$C$12+$Q14</f>
        <v>0.05</v>
      </c>
      <c r="Y14" s="131">
        <f>MIN($I14,Assumptions!$C$14)</f>
        <v>100000</v>
      </c>
      <c r="Z14" s="131">
        <f>MAX($I14-Assumptions!$C$14,0)</f>
        <v>0</v>
      </c>
      <c r="AA14" s="389">
        <f t="shared" si="2"/>
        <v>5.4744509973016733</v>
      </c>
      <c r="AB14" s="389">
        <f t="shared" si="3"/>
        <v>3.1430874341864972E-3</v>
      </c>
      <c r="AC14" s="389">
        <f>IF($T14=1,SUMPRODUCT($CJ14:$DW14,(1+Assumptions!$C$5)^($CJ$5:$DW$5-1),(1+$R14)^(-$CJ$5:$DW$5)),0)</f>
        <v>6.3189898618941296</v>
      </c>
      <c r="AD14" s="389">
        <f t="shared" si="4"/>
        <v>0.41865008609696774</v>
      </c>
      <c r="AE14" s="131">
        <f>IF($T14=1,$AB14*$Y14+(Assumptions!$C$9/(1+$R14)+Assumptions!$C$10*$AC14)*$P14+$S14*$Z14*$AA14,0)</f>
        <v>2574.0517304266623</v>
      </c>
      <c r="AF14" s="131">
        <f>IF($T14=1,IF($AA14-$AD14-Assumptions!$C$16*$AA14&gt;0,$AE14/($AA14-$AD14-Assumptions!$C$16*$AA14)*IF($J14="Monthly",1+Assumptions!$C$29,1),"n.a."),"")</f>
        <v>574.136502876789</v>
      </c>
      <c r="AG14" s="131">
        <f t="shared" si="5"/>
        <v>562.44258371429942</v>
      </c>
      <c r="AH14" s="131">
        <f t="shared" si="6"/>
        <v>3079.0643633396762</v>
      </c>
      <c r="AI14" s="131">
        <f t="shared" si="7"/>
        <v>269.54599681642185</v>
      </c>
      <c r="AJ14" s="390">
        <f t="shared" si="8"/>
        <v>8.7541527233312363E-2</v>
      </c>
      <c r="AK14" s="389">
        <f t="shared" si="9"/>
        <v>0.97963216220551108</v>
      </c>
      <c r="AL14" s="131">
        <f t="shared" si="10"/>
        <v>0</v>
      </c>
      <c r="AM14" s="131">
        <f t="shared" si="11"/>
        <v>0</v>
      </c>
      <c r="AN14" s="131">
        <f t="shared" si="12"/>
        <v>0</v>
      </c>
      <c r="AO14" s="131">
        <f t="shared" si="13"/>
        <v>269.54599681642185</v>
      </c>
      <c r="AP14" s="26" t="str">
        <f t="shared" si="14"/>
        <v>20-29</v>
      </c>
      <c r="AQ14" s="26" t="str">
        <f t="shared" si="15"/>
        <v>Up to 250k</v>
      </c>
      <c r="AR14" s="26" t="str">
        <f>IF($T14=1,IF($AI14&lt;0,"Loss-making",IF($AJ14&lt;Assumptions!$C$16-0.00001,"Below target","At/above target")),"Excluded")</f>
        <v>At/above target</v>
      </c>
      <c r="AS14" s="103">
        <f t="shared" si="16"/>
        <v>269.54601081642187</v>
      </c>
      <c r="AT14" s="26"/>
      <c r="AU14" s="419">
        <f>IF(AND($T14=1,AU$5&lt;=$H14),INDEX(Mortality!$B$4:$E$64,MATCH($D14+AU$5-1,Mortality!$A$4:$A$64,0),$U14)*$V14*$N14,0)</f>
        <v>4.2269093494277525E-4</v>
      </c>
      <c r="AV14" s="93">
        <f>IF(AND($T14=1,AV$5&lt;=$H14),INDEX(Mortality!$B$4:$E$64,MATCH($D14+AV$5-1,Mortality!$A$4:$A$64,0),$U14)*$V14*$N14,0)</f>
        <v>4.5789562344694478E-4</v>
      </c>
      <c r="AW14" s="93">
        <f>IF(AND($T14=1,AW$5&lt;=$H14),INDEX(Mortality!$B$4:$E$64,MATCH($D14+AW$5-1,Mortality!$A$4:$A$64,0),$U14)*$V14*$N14,0)</f>
        <v>4.960324072250384E-4</v>
      </c>
      <c r="AX14" s="93">
        <f>IF(AND($T14=1,AX$5&lt;=$H14),INDEX(Mortality!$B$4:$E$64,MATCH($D14+AX$5-1,Mortality!$A$4:$A$64,0),$U14)*$V14*$N14,0)</f>
        <v>5.3734549189456246E-4</v>
      </c>
      <c r="AY14" s="93">
        <f>IF(AND($T14=1,AY$5&lt;=$H14),INDEX(Mortality!$B$4:$E$64,MATCH($D14+AY$5-1,Mortality!$A$4:$A$64,0),$U14)*$V14*$N14,0)</f>
        <v>5.8209942224281914E-4</v>
      </c>
      <c r="AZ14" s="93">
        <f>IF(AND($T14=1,AZ$5&lt;=$H14),INDEX(Mortality!$B$4:$E$64,MATCH($D14+AZ$5-1,Mortality!$A$4:$A$64,0),$U14)*$V14*$N14,0)</f>
        <v>6.3058077621671118E-4</v>
      </c>
      <c r="BA14" s="93">
        <f>IF(AND($T14=1,BA$5&lt;=$H14),INDEX(Mortality!$B$4:$E$64,MATCH($D14+BA$5-1,Mortality!$A$4:$A$64,0),$U14)*$V14*$N14,0)</f>
        <v>6.8310000000000007E-4</v>
      </c>
      <c r="BB14" s="93">
        <f>IF(AND($T14=1,BB$5&lt;=$H14),INDEX(Mortality!$B$4:$E$64,MATCH($D14+BB$5-1,Mortality!$A$4:$A$64,0),$U14)*$V14*$N14,0)</f>
        <v>7.3999339592876405E-4</v>
      </c>
      <c r="BC14" s="93">
        <f>IF(AND($T14=1,BC$5&lt;=$H14),INDEX(Mortality!$B$4:$E$64,MATCH($D14+BC$5-1,Mortality!$A$4:$A$64,0),$U14)*$V14*$N14,0)</f>
        <v>8.0162527597450392E-4</v>
      </c>
      <c r="BD14" s="93">
        <f>IF(AND($T14=1,BD$5&lt;=$H14),INDEX(Mortality!$B$4:$E$64,MATCH($D14+BD$5-1,Mortality!$A$4:$A$64,0),$U14)*$V14*$N14,0)</f>
        <v>8.6839029458455209E-4</v>
      </c>
      <c r="BE14" s="93">
        <f>IF(AND($T14=1,BE$5&lt;=$H14),INDEX(Mortality!$B$4:$E$64,MATCH($D14+BE$5-1,Mortality!$A$4:$A$64,0),$U14)*$V14*$N14,0)</f>
        <v>0</v>
      </c>
      <c r="BF14" s="93">
        <f>IF(AND($T14=1,BF$5&lt;=$H14),INDEX(Mortality!$B$4:$E$64,MATCH($D14+BF$5-1,Mortality!$A$4:$A$64,0),$U14)*$V14*$N14,0)</f>
        <v>0</v>
      </c>
      <c r="BG14" s="93">
        <f>IF(AND($T14=1,BG$5&lt;=$H14),INDEX(Mortality!$B$4:$E$64,MATCH($D14+BG$5-1,Mortality!$A$4:$A$64,0),$U14)*$V14*$N14,0)</f>
        <v>0</v>
      </c>
      <c r="BH14" s="93">
        <f>IF(AND($T14=1,BH$5&lt;=$H14),INDEX(Mortality!$B$4:$E$64,MATCH($D14+BH$5-1,Mortality!$A$4:$A$64,0),$U14)*$V14*$N14,0)</f>
        <v>0</v>
      </c>
      <c r="BI14" s="93">
        <f>IF(AND($T14=1,BI$5&lt;=$H14),INDEX(Mortality!$B$4:$E$64,MATCH($D14+BI$5-1,Mortality!$A$4:$A$64,0),$U14)*$V14*$N14,0)</f>
        <v>0</v>
      </c>
      <c r="BJ14" s="93">
        <f>IF(AND($T14=1,BJ$5&lt;=$H14),INDEX(Mortality!$B$4:$E$64,MATCH($D14+BJ$5-1,Mortality!$A$4:$A$64,0),$U14)*$V14*$N14,0)</f>
        <v>0</v>
      </c>
      <c r="BK14" s="93">
        <f>IF(AND($T14=1,BK$5&lt;=$H14),INDEX(Mortality!$B$4:$E$64,MATCH($D14+BK$5-1,Mortality!$A$4:$A$64,0),$U14)*$V14*$N14,0)</f>
        <v>0</v>
      </c>
      <c r="BL14" s="93">
        <f>IF(AND($T14=1,BL$5&lt;=$H14),INDEX(Mortality!$B$4:$E$64,MATCH($D14+BL$5-1,Mortality!$A$4:$A$64,0),$U14)*$V14*$N14,0)</f>
        <v>0</v>
      </c>
      <c r="BM14" s="93">
        <f>IF(AND($T14=1,BM$5&lt;=$H14),INDEX(Mortality!$B$4:$E$64,MATCH($D14+BM$5-1,Mortality!$A$4:$A$64,0),$U14)*$V14*$N14,0)</f>
        <v>0</v>
      </c>
      <c r="BN14" s="93">
        <f>IF(AND($T14=1,BN$5&lt;=$H14),INDEX(Mortality!$B$4:$E$64,MATCH($D14+BN$5-1,Mortality!$A$4:$A$64,0),$U14)*$V14*$N14,0)</f>
        <v>0</v>
      </c>
      <c r="BO14" s="93">
        <f>IF(AND($T14=1,BO$5&lt;=$H14),INDEX(Mortality!$B$4:$E$64,MATCH($D14+BO$5-1,Mortality!$A$4:$A$64,0),$U14)*$V14*$N14,0)</f>
        <v>0</v>
      </c>
      <c r="BP14" s="93">
        <f>IF(AND($T14=1,BP$5&lt;=$H14),INDEX(Mortality!$B$4:$E$64,MATCH($D14+BP$5-1,Mortality!$A$4:$A$64,0),$U14)*$V14*$N14,0)</f>
        <v>0</v>
      </c>
      <c r="BQ14" s="93">
        <f>IF(AND($T14=1,BQ$5&lt;=$H14),INDEX(Mortality!$B$4:$E$64,MATCH($D14+BQ$5-1,Mortality!$A$4:$A$64,0),$U14)*$V14*$N14,0)</f>
        <v>0</v>
      </c>
      <c r="BR14" s="93">
        <f>IF(AND($T14=1,BR$5&lt;=$H14),INDEX(Mortality!$B$4:$E$64,MATCH($D14+BR$5-1,Mortality!$A$4:$A$64,0),$U14)*$V14*$N14,0)</f>
        <v>0</v>
      </c>
      <c r="BS14" s="93">
        <f>IF(AND($T14=1,BS$5&lt;=$H14),INDEX(Mortality!$B$4:$E$64,MATCH($D14+BS$5-1,Mortality!$A$4:$A$64,0),$U14)*$V14*$N14,0)</f>
        <v>0</v>
      </c>
      <c r="BT14" s="93">
        <f>IF(AND($T14=1,BT$5&lt;=$H14),INDEX(Mortality!$B$4:$E$64,MATCH($D14+BT$5-1,Mortality!$A$4:$A$64,0),$U14)*$V14*$N14,0)</f>
        <v>0</v>
      </c>
      <c r="BU14" s="93">
        <f>IF(AND($T14=1,BU$5&lt;=$H14),INDEX(Mortality!$B$4:$E$64,MATCH($D14+BU$5-1,Mortality!$A$4:$A$64,0),$U14)*$V14*$N14,0)</f>
        <v>0</v>
      </c>
      <c r="BV14" s="93">
        <f>IF(AND($T14=1,BV$5&lt;=$H14),INDEX(Mortality!$B$4:$E$64,MATCH($D14+BV$5-1,Mortality!$A$4:$A$64,0),$U14)*$V14*$N14,0)</f>
        <v>0</v>
      </c>
      <c r="BW14" s="93">
        <f>IF(AND($T14=1,BW$5&lt;=$H14),INDEX(Mortality!$B$4:$E$64,MATCH($D14+BW$5-1,Mortality!$A$4:$A$64,0),$U14)*$V14*$N14,0)</f>
        <v>0</v>
      </c>
      <c r="BX14" s="93">
        <f>IF(AND($T14=1,BX$5&lt;=$H14),INDEX(Mortality!$B$4:$E$64,MATCH($D14+BX$5-1,Mortality!$A$4:$A$64,0),$U14)*$V14*$N14,0)</f>
        <v>0</v>
      </c>
      <c r="BY14" s="93">
        <f>IF(AND($T14=1,BY$5&lt;=$H14),INDEX(Mortality!$B$4:$E$64,MATCH($D14+BY$5-1,Mortality!$A$4:$A$64,0),$U14)*$V14*$N14,0)</f>
        <v>0</v>
      </c>
      <c r="BZ14" s="93">
        <f>IF(AND($T14=1,BZ$5&lt;=$H14),INDEX(Mortality!$B$4:$E$64,MATCH($D14+BZ$5-1,Mortality!$A$4:$A$64,0),$U14)*$V14*$N14,0)</f>
        <v>0</v>
      </c>
      <c r="CA14" s="93">
        <f>IF(AND($T14=1,CA$5&lt;=$H14),INDEX(Mortality!$B$4:$E$64,MATCH($D14+CA$5-1,Mortality!$A$4:$A$64,0),$U14)*$V14*$N14,0)</f>
        <v>0</v>
      </c>
      <c r="CB14" s="93">
        <f>IF(AND($T14=1,CB$5&lt;=$H14),INDEX(Mortality!$B$4:$E$64,MATCH($D14+CB$5-1,Mortality!$A$4:$A$64,0),$U14)*$V14*$N14,0)</f>
        <v>0</v>
      </c>
      <c r="CC14" s="93">
        <f>IF(AND($T14=1,CC$5&lt;=$H14),INDEX(Mortality!$B$4:$E$64,MATCH($D14+CC$5-1,Mortality!$A$4:$A$64,0),$U14)*$V14*$N14,0)</f>
        <v>0</v>
      </c>
      <c r="CD14" s="93">
        <f>IF(AND($T14=1,CD$5&lt;=$H14),INDEX(Mortality!$B$4:$E$64,MATCH($D14+CD$5-1,Mortality!$A$4:$A$64,0),$U14)*$V14*$N14,0)</f>
        <v>0</v>
      </c>
      <c r="CE14" s="93">
        <f>IF(AND($T14=1,CE$5&lt;=$H14),INDEX(Mortality!$B$4:$E$64,MATCH($D14+CE$5-1,Mortality!$A$4:$A$64,0),$U14)*$V14*$N14,0)</f>
        <v>0</v>
      </c>
      <c r="CF14" s="93">
        <f>IF(AND($T14=1,CF$5&lt;=$H14),INDEX(Mortality!$B$4:$E$64,MATCH($D14+CF$5-1,Mortality!$A$4:$A$64,0),$U14)*$V14*$N14,0)</f>
        <v>0</v>
      </c>
      <c r="CG14" s="93">
        <f>IF(AND($T14=1,CG$5&lt;=$H14),INDEX(Mortality!$B$4:$E$64,MATCH($D14+CG$5-1,Mortality!$A$4:$A$64,0),$U14)*$V14*$N14,0)</f>
        <v>0</v>
      </c>
      <c r="CH14" s="94">
        <f>IF(AND($T14=1,CH$5&lt;=$H14),INDEX(Mortality!$B$4:$E$64,MATCH($D14+CH$5-1,Mortality!$A$4:$A$64,0),$U14)*$V14*$N14,0)</f>
        <v>0</v>
      </c>
      <c r="CI14" s="26"/>
      <c r="CJ14" s="419">
        <f t="shared" si="17"/>
        <v>1</v>
      </c>
      <c r="CK14" s="93">
        <f>IF(AND($T14=1,CK$5&lt;=$H14),CJ14*(1-AU14)*(1-MIN(1,MAX(Assumptions!$C$27,Assumptions!$C$13*Assumptions!$C$28^(CJ$5-1))*$O14)),0)</f>
        <v>0.85563817655968899</v>
      </c>
      <c r="CL14" s="93">
        <f>IF(AND($T14=1,CL$5&lt;=$H14),CK14*(1-AV14)*(1-MIN(1,MAX(Assumptions!$C$27,Assumptions!$C$13*Assumptions!$C$28^(CK$5-1))*$O14)),0)</f>
        <v>0.75056422623278152</v>
      </c>
      <c r="CM14" s="93">
        <f>IF(AND($T14=1,CM$5&lt;=$H14),CL14*(1-AW14)*(1-MIN(1,MAX(Assumptions!$C$27,Assumptions!$C$13*Assumptions!$C$28^(CL$5-1))*$O14)),0)</f>
        <v>0.67214195448248604</v>
      </c>
      <c r="CN14" s="93">
        <f>IF(AND($T14=1,CN$5&lt;=$H14),CM14*(1-AX14)*(1-MIN(1,MAX(Assumptions!$C$27,Assumptions!$C$13*Assumptions!$C$28^(CM$5-1))*$O14)),0)</f>
        <v>0.61237252035499601</v>
      </c>
      <c r="CO14" s="93">
        <f>IF(AND($T14=1,CO$5&lt;=$H14),CN14*(1-AY14)*(1-MIN(1,MAX(Assumptions!$C$27,Assumptions!$C$13*Assumptions!$C$28^(CN$5-1))*$O14)),0)</f>
        <v>0.56601148475253904</v>
      </c>
      <c r="CP14" s="93">
        <f>IF(AND($T14=1,CP$5&lt;=$H14),CO14*(1-AZ14)*(1-MIN(1,MAX(Assumptions!$C$27,Assumptions!$C$13*Assumptions!$C$28^(CO$5-1))*$O14)),0)</f>
        <v>0.52951288183253276</v>
      </c>
      <c r="CQ14" s="93">
        <f>IF(AND($T14=1,CQ$5&lt;=$H14),CP14*(1-BA14)*(1-MIN(1,MAX(Assumptions!$C$27,Assumptions!$C$13*Assumptions!$C$28^(CP$5-1))*$O14)),0)</f>
        <v>0.50041322002304556</v>
      </c>
      <c r="CR14" s="93">
        <f>IF(AND($T14=1,CR$5&lt;=$H14),CQ14*(1-BB14)*(1-MIN(1,MAX(Assumptions!$C$27,Assumptions!$C$13*Assumptions!$C$28^(CQ$5-1))*$O14)),0)</f>
        <v>0.47695938598179127</v>
      </c>
      <c r="CS14" s="93">
        <f>IF(AND($T14=1,CS$5&lt;=$H14),CR14*(1-BC14)*(1-MIN(1,MAX(Assumptions!$C$27,Assumptions!$C$13*Assumptions!$C$28^(CR$5-1))*$O14)),0)</f>
        <v>0.4578768103430117</v>
      </c>
      <c r="CT14" s="93">
        <f>IF(AND($T14=1,CT$5&lt;=$H14),CS14*(1-BD14)*(1-MIN(1,MAX(Assumptions!$C$27,Assumptions!$C$13*Assumptions!$C$28^(CS$5-1))*$O14)),0)</f>
        <v>0</v>
      </c>
      <c r="CU14" s="93">
        <f>IF(AND($T14=1,CU$5&lt;=$H14),CT14*(1-BE14)*(1-MIN(1,MAX(Assumptions!$C$27,Assumptions!$C$13*Assumptions!$C$28^(CT$5-1))*$O14)),0)</f>
        <v>0</v>
      </c>
      <c r="CV14" s="93">
        <f>IF(AND($T14=1,CV$5&lt;=$H14),CU14*(1-BF14)*(1-MIN(1,MAX(Assumptions!$C$27,Assumptions!$C$13*Assumptions!$C$28^(CU$5-1))*$O14)),0)</f>
        <v>0</v>
      </c>
      <c r="CW14" s="93">
        <f>IF(AND($T14=1,CW$5&lt;=$H14),CV14*(1-BG14)*(1-MIN(1,MAX(Assumptions!$C$27,Assumptions!$C$13*Assumptions!$C$28^(CV$5-1))*$O14)),0)</f>
        <v>0</v>
      </c>
      <c r="CX14" s="93">
        <f>IF(AND($T14=1,CX$5&lt;=$H14),CW14*(1-BH14)*(1-MIN(1,MAX(Assumptions!$C$27,Assumptions!$C$13*Assumptions!$C$28^(CW$5-1))*$O14)),0)</f>
        <v>0</v>
      </c>
      <c r="CY14" s="93">
        <f>IF(AND($T14=1,CY$5&lt;=$H14),CX14*(1-BI14)*(1-MIN(1,MAX(Assumptions!$C$27,Assumptions!$C$13*Assumptions!$C$28^(CX$5-1))*$O14)),0)</f>
        <v>0</v>
      </c>
      <c r="CZ14" s="93">
        <f>IF(AND($T14=1,CZ$5&lt;=$H14),CY14*(1-BJ14)*(1-MIN(1,MAX(Assumptions!$C$27,Assumptions!$C$13*Assumptions!$C$28^(CY$5-1))*$O14)),0)</f>
        <v>0</v>
      </c>
      <c r="DA14" s="93">
        <f>IF(AND($T14=1,DA$5&lt;=$H14),CZ14*(1-BK14)*(1-MIN(1,MAX(Assumptions!$C$27,Assumptions!$C$13*Assumptions!$C$28^(CZ$5-1))*$O14)),0)</f>
        <v>0</v>
      </c>
      <c r="DB14" s="93">
        <f>IF(AND($T14=1,DB$5&lt;=$H14),DA14*(1-BL14)*(1-MIN(1,MAX(Assumptions!$C$27,Assumptions!$C$13*Assumptions!$C$28^(DA$5-1))*$O14)),0)</f>
        <v>0</v>
      </c>
      <c r="DC14" s="93">
        <f>IF(AND($T14=1,DC$5&lt;=$H14),DB14*(1-BM14)*(1-MIN(1,MAX(Assumptions!$C$27,Assumptions!$C$13*Assumptions!$C$28^(DB$5-1))*$O14)),0)</f>
        <v>0</v>
      </c>
      <c r="DD14" s="93">
        <f>IF(AND($T14=1,DD$5&lt;=$H14),DC14*(1-BN14)*(1-MIN(1,MAX(Assumptions!$C$27,Assumptions!$C$13*Assumptions!$C$28^(DC$5-1))*$O14)),0)</f>
        <v>0</v>
      </c>
      <c r="DE14" s="93">
        <f>IF(AND($T14=1,DE$5&lt;=$H14),DD14*(1-BO14)*(1-MIN(1,MAX(Assumptions!$C$27,Assumptions!$C$13*Assumptions!$C$28^(DD$5-1))*$O14)),0)</f>
        <v>0</v>
      </c>
      <c r="DF14" s="93">
        <f>IF(AND($T14=1,DF$5&lt;=$H14),DE14*(1-BP14)*(1-MIN(1,MAX(Assumptions!$C$27,Assumptions!$C$13*Assumptions!$C$28^(DE$5-1))*$O14)),0)</f>
        <v>0</v>
      </c>
      <c r="DG14" s="93">
        <f>IF(AND($T14=1,DG$5&lt;=$H14),DF14*(1-BQ14)*(1-MIN(1,MAX(Assumptions!$C$27,Assumptions!$C$13*Assumptions!$C$28^(DF$5-1))*$O14)),0)</f>
        <v>0</v>
      </c>
      <c r="DH14" s="93">
        <f>IF(AND($T14=1,DH$5&lt;=$H14),DG14*(1-BR14)*(1-MIN(1,MAX(Assumptions!$C$27,Assumptions!$C$13*Assumptions!$C$28^(DG$5-1))*$O14)),0)</f>
        <v>0</v>
      </c>
      <c r="DI14" s="93">
        <f>IF(AND($T14=1,DI$5&lt;=$H14),DH14*(1-BS14)*(1-MIN(1,MAX(Assumptions!$C$27,Assumptions!$C$13*Assumptions!$C$28^(DH$5-1))*$O14)),0)</f>
        <v>0</v>
      </c>
      <c r="DJ14" s="93">
        <f>IF(AND($T14=1,DJ$5&lt;=$H14),DI14*(1-BT14)*(1-MIN(1,MAX(Assumptions!$C$27,Assumptions!$C$13*Assumptions!$C$28^(DI$5-1))*$O14)),0)</f>
        <v>0</v>
      </c>
      <c r="DK14" s="93">
        <f>IF(AND($T14=1,DK$5&lt;=$H14),DJ14*(1-BU14)*(1-MIN(1,MAX(Assumptions!$C$27,Assumptions!$C$13*Assumptions!$C$28^(DJ$5-1))*$O14)),0)</f>
        <v>0</v>
      </c>
      <c r="DL14" s="93">
        <f>IF(AND($T14=1,DL$5&lt;=$H14),DK14*(1-BV14)*(1-MIN(1,MAX(Assumptions!$C$27,Assumptions!$C$13*Assumptions!$C$28^(DK$5-1))*$O14)),0)</f>
        <v>0</v>
      </c>
      <c r="DM14" s="93">
        <f>IF(AND($T14=1,DM$5&lt;=$H14),DL14*(1-BW14)*(1-MIN(1,MAX(Assumptions!$C$27,Assumptions!$C$13*Assumptions!$C$28^(DL$5-1))*$O14)),0)</f>
        <v>0</v>
      </c>
      <c r="DN14" s="93">
        <f>IF(AND($T14=1,DN$5&lt;=$H14),DM14*(1-BX14)*(1-MIN(1,MAX(Assumptions!$C$27,Assumptions!$C$13*Assumptions!$C$28^(DM$5-1))*$O14)),0)</f>
        <v>0</v>
      </c>
      <c r="DO14" s="93">
        <f>IF(AND($T14=1,DO$5&lt;=$H14),DN14*(1-BY14)*(1-MIN(1,MAX(Assumptions!$C$27,Assumptions!$C$13*Assumptions!$C$28^(DN$5-1))*$O14)),0)</f>
        <v>0</v>
      </c>
      <c r="DP14" s="93">
        <f>IF(AND($T14=1,DP$5&lt;=$H14),DO14*(1-BZ14)*(1-MIN(1,MAX(Assumptions!$C$27,Assumptions!$C$13*Assumptions!$C$28^(DO$5-1))*$O14)),0)</f>
        <v>0</v>
      </c>
      <c r="DQ14" s="93">
        <f>IF(AND($T14=1,DQ$5&lt;=$H14),DP14*(1-CA14)*(1-MIN(1,MAX(Assumptions!$C$27,Assumptions!$C$13*Assumptions!$C$28^(DP$5-1))*$O14)),0)</f>
        <v>0</v>
      </c>
      <c r="DR14" s="93">
        <f>IF(AND($T14=1,DR$5&lt;=$H14),DQ14*(1-CB14)*(1-MIN(1,MAX(Assumptions!$C$27,Assumptions!$C$13*Assumptions!$C$28^(DQ$5-1))*$O14)),0)</f>
        <v>0</v>
      </c>
      <c r="DS14" s="93">
        <f>IF(AND($T14=1,DS$5&lt;=$H14),DR14*(1-CC14)*(1-MIN(1,MAX(Assumptions!$C$27,Assumptions!$C$13*Assumptions!$C$28^(DR$5-1))*$O14)),0)</f>
        <v>0</v>
      </c>
      <c r="DT14" s="93">
        <f>IF(AND($T14=1,DT$5&lt;=$H14),DS14*(1-CD14)*(1-MIN(1,MAX(Assumptions!$C$27,Assumptions!$C$13*Assumptions!$C$28^(DS$5-1))*$O14)),0)</f>
        <v>0</v>
      </c>
      <c r="DU14" s="93">
        <f>IF(AND($T14=1,DU$5&lt;=$H14),DT14*(1-CE14)*(1-MIN(1,MAX(Assumptions!$C$27,Assumptions!$C$13*Assumptions!$C$28^(DT$5-1))*$O14)),0)</f>
        <v>0</v>
      </c>
      <c r="DV14" s="93">
        <f>IF(AND($T14=1,DV$5&lt;=$H14),DU14*(1-CF14)*(1-MIN(1,MAX(Assumptions!$C$27,Assumptions!$C$13*Assumptions!$C$28^(DU$5-1))*$O14)),0)</f>
        <v>0</v>
      </c>
      <c r="DW14" s="94">
        <f>IF(AND($T14=1,DW$5&lt;=$H14),DV14*(1-CG14)*(1-MIN(1,MAX(Assumptions!$C$27,Assumptions!$C$13*Assumptions!$C$28^(DV$5-1))*$O14)),0)</f>
        <v>0</v>
      </c>
      <c r="DX14" s="26"/>
      <c r="DY14" s="26"/>
      <c r="DZ14" s="26"/>
      <c r="EA14" s="26"/>
      <c r="EB14" s="26"/>
      <c r="EC14" s="26"/>
      <c r="ED14" s="26"/>
    </row>
    <row r="15" spans="1:134" x14ac:dyDescent="0.3">
      <c r="A15" s="382" t="s">
        <v>406</v>
      </c>
      <c r="B15" s="383" t="s">
        <v>407</v>
      </c>
      <c r="C15" s="383" t="s">
        <v>288</v>
      </c>
      <c r="D15" s="384">
        <f>'Premium Calculation'!$B$4</f>
        <v>24</v>
      </c>
      <c r="E15" s="385" t="str">
        <f>'Premium Calculation'!$B$5</f>
        <v>Male</v>
      </c>
      <c r="F15" s="385" t="str">
        <f>'Premium Calculation'!$B$6</f>
        <v>Smoker</v>
      </c>
      <c r="G15" s="385" t="str">
        <f>'Premium Calculation'!$B$7</f>
        <v>Preferred</v>
      </c>
      <c r="H15" s="384">
        <f>'Premium Calculation'!$B$8</f>
        <v>10</v>
      </c>
      <c r="I15" s="386">
        <f>'Premium Calculation'!$B$9</f>
        <v>100000</v>
      </c>
      <c r="J15" s="385" t="str">
        <f>'Premium Calculation'!$B$10</f>
        <v>Monthly</v>
      </c>
      <c r="K15" s="385" t="str">
        <f>'Premium Calculation'!$B$31</f>
        <v>Bancassurance</v>
      </c>
      <c r="L15" s="383" t="s">
        <v>389</v>
      </c>
      <c r="M15" s="386">
        <f>'Premium Calculation'!$B$29</f>
        <v>562.44258371429942</v>
      </c>
      <c r="N15" s="387">
        <f>Assumptions!$C$21</f>
        <v>1</v>
      </c>
      <c r="O15" s="387">
        <f>Assumptions!$C$22</f>
        <v>1</v>
      </c>
      <c r="P15" s="387">
        <f>Assumptions!$C$23*(1-Sensitivities!$C$29)</f>
        <v>0.9</v>
      </c>
      <c r="Q15" s="388">
        <f>Assumptions!$C$24</f>
        <v>0</v>
      </c>
      <c r="R15" s="388">
        <f>Assumptions!$C$6+Assumptions!$C$25</f>
        <v>3.5000000000000003E-2</v>
      </c>
      <c r="S15" s="388">
        <f>Assumptions!$C$15</f>
        <v>1.1000000000000001E-3</v>
      </c>
      <c r="T15" s="26">
        <f t="shared" si="0"/>
        <v>1</v>
      </c>
      <c r="U15" s="26">
        <f t="shared" si="1"/>
        <v>4</v>
      </c>
      <c r="V15" s="389">
        <f>IF($G15="Preferred",Assumptions!$C$30,IF($G15="Rated",Assumptions!$C$31,1))</f>
        <v>0.8</v>
      </c>
      <c r="W15" s="390">
        <f>IF($K15="Direct",Assumptions!$C$32,IF($K15="Broker",Assumptions!$C$33,IF($K15="Bancassurance",Assumptions!$C$34,Assumptions!$C$11)))+$Q15</f>
        <v>0.2</v>
      </c>
      <c r="X15" s="390">
        <f>Assumptions!$C$12+$Q15</f>
        <v>0.05</v>
      </c>
      <c r="Y15" s="131">
        <f>MIN($I15,Assumptions!$C$14)</f>
        <v>100000</v>
      </c>
      <c r="Z15" s="131">
        <f>MAX($I15-Assumptions!$C$14,0)</f>
        <v>0</v>
      </c>
      <c r="AA15" s="389">
        <f t="shared" si="2"/>
        <v>5.8605636374350922</v>
      </c>
      <c r="AB15" s="389">
        <f t="shared" si="3"/>
        <v>3.3989780815334159E-3</v>
      </c>
      <c r="AC15" s="389">
        <f>IF($T15=1,SUMPRODUCT($CJ15:$DW15,(1+Assumptions!$C$5)^($CJ$5:$DW$5-1),(1+$R15)^(-$CJ$5:$DW$5)),0)</f>
        <v>6.7981476079723411</v>
      </c>
      <c r="AD15" s="389">
        <f t="shared" si="4"/>
        <v>0.4379557181036387</v>
      </c>
      <c r="AE15" s="131">
        <f>IF($T15=1,$AB15*$Y15+(Assumptions!$C$9/(1+$R15)+Assumptions!$C$10*$AC15)*$P15+$S15*$Z15*$AA15,0)</f>
        <v>2468.5397301840389</v>
      </c>
      <c r="AF15" s="131">
        <f>IF($T15=1,IF($AA15-$AD15-Assumptions!$C$16*$AA15&gt;0,$AE15/($AA15-$AD15-Assumptions!$C$16*$AA15)*IF($J15="Monthly",1+Assumptions!$C$29,1),"n.a."),"")</f>
        <v>513.26557410971213</v>
      </c>
      <c r="AG15" s="131">
        <f t="shared" si="5"/>
        <v>562.44258371429942</v>
      </c>
      <c r="AH15" s="131">
        <f t="shared" si="6"/>
        <v>3296.2305542610661</v>
      </c>
      <c r="AI15" s="131">
        <f t="shared" si="7"/>
        <v>581.36587843436519</v>
      </c>
      <c r="AJ15" s="390">
        <f t="shared" si="8"/>
        <v>0.1763729414141946</v>
      </c>
      <c r="AK15" s="389">
        <f t="shared" si="9"/>
        <v>1.095812016400842</v>
      </c>
      <c r="AL15" s="131">
        <f t="shared" si="10"/>
        <v>0</v>
      </c>
      <c r="AM15" s="131">
        <f t="shared" si="11"/>
        <v>0</v>
      </c>
      <c r="AN15" s="131">
        <f t="shared" si="12"/>
        <v>0</v>
      </c>
      <c r="AO15" s="131">
        <f t="shared" si="13"/>
        <v>581.36587843436519</v>
      </c>
      <c r="AP15" s="26" t="str">
        <f t="shared" si="14"/>
        <v>20-29</v>
      </c>
      <c r="AQ15" s="26" t="str">
        <f t="shared" si="15"/>
        <v>Up to 250k</v>
      </c>
      <c r="AR15" s="26" t="str">
        <f>IF($T15=1,IF($AI15&lt;0,"Loss-making",IF($AJ15&lt;Assumptions!$C$16-0.00001,"Below target","At/above target")),"Excluded")</f>
        <v>At/above target</v>
      </c>
      <c r="AS15" s="103">
        <f t="shared" si="16"/>
        <v>581.36589343436515</v>
      </c>
      <c r="AT15" s="26"/>
      <c r="AU15" s="419">
        <f>IF(AND($T15=1,AU$5&lt;=$H15),INDEX(Mortality!$B$4:$E$64,MATCH($D15+AU$5-1,Mortality!$A$4:$A$64,0),$U15)*$V15*$N15,0)</f>
        <v>4.2269093494277525E-4</v>
      </c>
      <c r="AV15" s="93">
        <f>IF(AND($T15=1,AV$5&lt;=$H15),INDEX(Mortality!$B$4:$E$64,MATCH($D15+AV$5-1,Mortality!$A$4:$A$64,0),$U15)*$V15*$N15,0)</f>
        <v>4.5789562344694478E-4</v>
      </c>
      <c r="AW15" s="93">
        <f>IF(AND($T15=1,AW$5&lt;=$H15),INDEX(Mortality!$B$4:$E$64,MATCH($D15+AW$5-1,Mortality!$A$4:$A$64,0),$U15)*$V15*$N15,0)</f>
        <v>4.960324072250384E-4</v>
      </c>
      <c r="AX15" s="93">
        <f>IF(AND($T15=1,AX$5&lt;=$H15),INDEX(Mortality!$B$4:$E$64,MATCH($D15+AX$5-1,Mortality!$A$4:$A$64,0),$U15)*$V15*$N15,0)</f>
        <v>5.3734549189456246E-4</v>
      </c>
      <c r="AY15" s="93">
        <f>IF(AND($T15=1,AY$5&lt;=$H15),INDEX(Mortality!$B$4:$E$64,MATCH($D15+AY$5-1,Mortality!$A$4:$A$64,0),$U15)*$V15*$N15,0)</f>
        <v>5.8209942224281914E-4</v>
      </c>
      <c r="AZ15" s="93">
        <f>IF(AND($T15=1,AZ$5&lt;=$H15),INDEX(Mortality!$B$4:$E$64,MATCH($D15+AZ$5-1,Mortality!$A$4:$A$64,0),$U15)*$V15*$N15,0)</f>
        <v>6.3058077621671118E-4</v>
      </c>
      <c r="BA15" s="93">
        <f>IF(AND($T15=1,BA$5&lt;=$H15),INDEX(Mortality!$B$4:$E$64,MATCH($D15+BA$5-1,Mortality!$A$4:$A$64,0),$U15)*$V15*$N15,0)</f>
        <v>6.8310000000000007E-4</v>
      </c>
      <c r="BB15" s="93">
        <f>IF(AND($T15=1,BB$5&lt;=$H15),INDEX(Mortality!$B$4:$E$64,MATCH($D15+BB$5-1,Mortality!$A$4:$A$64,0),$U15)*$V15*$N15,0)</f>
        <v>7.3999339592876405E-4</v>
      </c>
      <c r="BC15" s="93">
        <f>IF(AND($T15=1,BC$5&lt;=$H15),INDEX(Mortality!$B$4:$E$64,MATCH($D15+BC$5-1,Mortality!$A$4:$A$64,0),$U15)*$V15*$N15,0)</f>
        <v>8.0162527597450392E-4</v>
      </c>
      <c r="BD15" s="93">
        <f>IF(AND($T15=1,BD$5&lt;=$H15),INDEX(Mortality!$B$4:$E$64,MATCH($D15+BD$5-1,Mortality!$A$4:$A$64,0),$U15)*$V15*$N15,0)</f>
        <v>8.6839029458455209E-4</v>
      </c>
      <c r="BE15" s="93">
        <f>IF(AND($T15=1,BE$5&lt;=$H15),INDEX(Mortality!$B$4:$E$64,MATCH($D15+BE$5-1,Mortality!$A$4:$A$64,0),$U15)*$V15*$N15,0)</f>
        <v>0</v>
      </c>
      <c r="BF15" s="93">
        <f>IF(AND($T15=1,BF$5&lt;=$H15),INDEX(Mortality!$B$4:$E$64,MATCH($D15+BF$5-1,Mortality!$A$4:$A$64,0),$U15)*$V15*$N15,0)</f>
        <v>0</v>
      </c>
      <c r="BG15" s="93">
        <f>IF(AND($T15=1,BG$5&lt;=$H15),INDEX(Mortality!$B$4:$E$64,MATCH($D15+BG$5-1,Mortality!$A$4:$A$64,0),$U15)*$V15*$N15,0)</f>
        <v>0</v>
      </c>
      <c r="BH15" s="93">
        <f>IF(AND($T15=1,BH$5&lt;=$H15),INDEX(Mortality!$B$4:$E$64,MATCH($D15+BH$5-1,Mortality!$A$4:$A$64,0),$U15)*$V15*$N15,0)</f>
        <v>0</v>
      </c>
      <c r="BI15" s="93">
        <f>IF(AND($T15=1,BI$5&lt;=$H15),INDEX(Mortality!$B$4:$E$64,MATCH($D15+BI$5-1,Mortality!$A$4:$A$64,0),$U15)*$V15*$N15,0)</f>
        <v>0</v>
      </c>
      <c r="BJ15" s="93">
        <f>IF(AND($T15=1,BJ$5&lt;=$H15),INDEX(Mortality!$B$4:$E$64,MATCH($D15+BJ$5-1,Mortality!$A$4:$A$64,0),$U15)*$V15*$N15,0)</f>
        <v>0</v>
      </c>
      <c r="BK15" s="93">
        <f>IF(AND($T15=1,BK$5&lt;=$H15),INDEX(Mortality!$B$4:$E$64,MATCH($D15+BK$5-1,Mortality!$A$4:$A$64,0),$U15)*$V15*$N15,0)</f>
        <v>0</v>
      </c>
      <c r="BL15" s="93">
        <f>IF(AND($T15=1,BL$5&lt;=$H15),INDEX(Mortality!$B$4:$E$64,MATCH($D15+BL$5-1,Mortality!$A$4:$A$64,0),$U15)*$V15*$N15,0)</f>
        <v>0</v>
      </c>
      <c r="BM15" s="93">
        <f>IF(AND($T15=1,BM$5&lt;=$H15),INDEX(Mortality!$B$4:$E$64,MATCH($D15+BM$5-1,Mortality!$A$4:$A$64,0),$U15)*$V15*$N15,0)</f>
        <v>0</v>
      </c>
      <c r="BN15" s="93">
        <f>IF(AND($T15=1,BN$5&lt;=$H15),INDEX(Mortality!$B$4:$E$64,MATCH($D15+BN$5-1,Mortality!$A$4:$A$64,0),$U15)*$V15*$N15,0)</f>
        <v>0</v>
      </c>
      <c r="BO15" s="93">
        <f>IF(AND($T15=1,BO$5&lt;=$H15),INDEX(Mortality!$B$4:$E$64,MATCH($D15+BO$5-1,Mortality!$A$4:$A$64,0),$U15)*$V15*$N15,0)</f>
        <v>0</v>
      </c>
      <c r="BP15" s="93">
        <f>IF(AND($T15=1,BP$5&lt;=$H15),INDEX(Mortality!$B$4:$E$64,MATCH($D15+BP$5-1,Mortality!$A$4:$A$64,0),$U15)*$V15*$N15,0)</f>
        <v>0</v>
      </c>
      <c r="BQ15" s="93">
        <f>IF(AND($T15=1,BQ$5&lt;=$H15),INDEX(Mortality!$B$4:$E$64,MATCH($D15+BQ$5-1,Mortality!$A$4:$A$64,0),$U15)*$V15*$N15,0)</f>
        <v>0</v>
      </c>
      <c r="BR15" s="93">
        <f>IF(AND($T15=1,BR$5&lt;=$H15),INDEX(Mortality!$B$4:$E$64,MATCH($D15+BR$5-1,Mortality!$A$4:$A$64,0),$U15)*$V15*$N15,0)</f>
        <v>0</v>
      </c>
      <c r="BS15" s="93">
        <f>IF(AND($T15=1,BS$5&lt;=$H15),INDEX(Mortality!$B$4:$E$64,MATCH($D15+BS$5-1,Mortality!$A$4:$A$64,0),$U15)*$V15*$N15,0)</f>
        <v>0</v>
      </c>
      <c r="BT15" s="93">
        <f>IF(AND($T15=1,BT$5&lt;=$H15),INDEX(Mortality!$B$4:$E$64,MATCH($D15+BT$5-1,Mortality!$A$4:$A$64,0),$U15)*$V15*$N15,0)</f>
        <v>0</v>
      </c>
      <c r="BU15" s="93">
        <f>IF(AND($T15=1,BU$5&lt;=$H15),INDEX(Mortality!$B$4:$E$64,MATCH($D15+BU$5-1,Mortality!$A$4:$A$64,0),$U15)*$V15*$N15,0)</f>
        <v>0</v>
      </c>
      <c r="BV15" s="93">
        <f>IF(AND($T15=1,BV$5&lt;=$H15),INDEX(Mortality!$B$4:$E$64,MATCH($D15+BV$5-1,Mortality!$A$4:$A$64,0),$U15)*$V15*$N15,0)</f>
        <v>0</v>
      </c>
      <c r="BW15" s="93">
        <f>IF(AND($T15=1,BW$5&lt;=$H15),INDEX(Mortality!$B$4:$E$64,MATCH($D15+BW$5-1,Mortality!$A$4:$A$64,0),$U15)*$V15*$N15,0)</f>
        <v>0</v>
      </c>
      <c r="BX15" s="93">
        <f>IF(AND($T15=1,BX$5&lt;=$H15),INDEX(Mortality!$B$4:$E$64,MATCH($D15+BX$5-1,Mortality!$A$4:$A$64,0),$U15)*$V15*$N15,0)</f>
        <v>0</v>
      </c>
      <c r="BY15" s="93">
        <f>IF(AND($T15=1,BY$5&lt;=$H15),INDEX(Mortality!$B$4:$E$64,MATCH($D15+BY$5-1,Mortality!$A$4:$A$64,0),$U15)*$V15*$N15,0)</f>
        <v>0</v>
      </c>
      <c r="BZ15" s="93">
        <f>IF(AND($T15=1,BZ$5&lt;=$H15),INDEX(Mortality!$B$4:$E$64,MATCH($D15+BZ$5-1,Mortality!$A$4:$A$64,0),$U15)*$V15*$N15,0)</f>
        <v>0</v>
      </c>
      <c r="CA15" s="93">
        <f>IF(AND($T15=1,CA$5&lt;=$H15),INDEX(Mortality!$B$4:$E$64,MATCH($D15+CA$5-1,Mortality!$A$4:$A$64,0),$U15)*$V15*$N15,0)</f>
        <v>0</v>
      </c>
      <c r="CB15" s="93">
        <f>IF(AND($T15=1,CB$5&lt;=$H15),INDEX(Mortality!$B$4:$E$64,MATCH($D15+CB$5-1,Mortality!$A$4:$A$64,0),$U15)*$V15*$N15,0)</f>
        <v>0</v>
      </c>
      <c r="CC15" s="93">
        <f>IF(AND($T15=1,CC$5&lt;=$H15),INDEX(Mortality!$B$4:$E$64,MATCH($D15+CC$5-1,Mortality!$A$4:$A$64,0),$U15)*$V15*$N15,0)</f>
        <v>0</v>
      </c>
      <c r="CD15" s="93">
        <f>IF(AND($T15=1,CD$5&lt;=$H15),INDEX(Mortality!$B$4:$E$64,MATCH($D15+CD$5-1,Mortality!$A$4:$A$64,0),$U15)*$V15*$N15,0)</f>
        <v>0</v>
      </c>
      <c r="CE15" s="93">
        <f>IF(AND($T15=1,CE$5&lt;=$H15),INDEX(Mortality!$B$4:$E$64,MATCH($D15+CE$5-1,Mortality!$A$4:$A$64,0),$U15)*$V15*$N15,0)</f>
        <v>0</v>
      </c>
      <c r="CF15" s="93">
        <f>IF(AND($T15=1,CF$5&lt;=$H15),INDEX(Mortality!$B$4:$E$64,MATCH($D15+CF$5-1,Mortality!$A$4:$A$64,0),$U15)*$V15*$N15,0)</f>
        <v>0</v>
      </c>
      <c r="CG15" s="93">
        <f>IF(AND($T15=1,CG$5&lt;=$H15),INDEX(Mortality!$B$4:$E$64,MATCH($D15+CG$5-1,Mortality!$A$4:$A$64,0),$U15)*$V15*$N15,0)</f>
        <v>0</v>
      </c>
      <c r="CH15" s="94">
        <f>IF(AND($T15=1,CH$5&lt;=$H15),INDEX(Mortality!$B$4:$E$64,MATCH($D15+CH$5-1,Mortality!$A$4:$A$64,0),$U15)*$V15*$N15,0)</f>
        <v>0</v>
      </c>
      <c r="CI15" s="26"/>
      <c r="CJ15" s="419">
        <f t="shared" si="17"/>
        <v>1</v>
      </c>
      <c r="CK15" s="93">
        <f>IF(AND($T15=1,CK$5&lt;=$H15),CJ15*(1-AU15)*(1-MIN(1,MAX(Assumptions!$C$27,Assumptions!$C$13*Assumptions!$C$28^(CJ$5-1))*$O15)),0)</f>
        <v>0.87962803197725037</v>
      </c>
      <c r="CL15" s="93">
        <f>IF(AND($T15=1,CL$5&lt;=$H15),CK15*(1-AV15)*(1-MIN(1,MAX(Assumptions!$C$27,Assumptions!$C$13*Assumptions!$C$28^(CK$5-1))*$O15)),0)</f>
        <v>0.78954427822772988</v>
      </c>
      <c r="CM15" s="93">
        <f>IF(AND($T15=1,CM$5&lt;=$H15),CL15*(1-AW15)*(1-MIN(1,MAX(Assumptions!$C$27,Assumptions!$C$13*Assumptions!$C$28^(CL$5-1))*$O15)),0)</f>
        <v>0.72073310490533871</v>
      </c>
      <c r="CN15" s="93">
        <f>IF(AND($T15=1,CN$5&lt;=$H15),CM15*(1-AX15)*(1-MIN(1,MAX(Assumptions!$C$27,Assumptions!$C$13*Assumptions!$C$28^(CM$5-1))*$O15)),0)</f>
        <v>0.66725993685201457</v>
      </c>
      <c r="CO15" s="93">
        <f>IF(AND($T15=1,CO$5&lt;=$H15),CN15*(1-AY15)*(1-MIN(1,MAX(Assumptions!$C$27,Assumptions!$C$13*Assumptions!$C$28^(CN$5-1))*$O15)),0)</f>
        <v>0.62509819273434331</v>
      </c>
      <c r="CP15" s="93">
        <f>IF(AND($T15=1,CP$5&lt;=$H15),CO15*(1-AZ15)*(1-MIN(1,MAX(Assumptions!$C$27,Assumptions!$C$13*Assumptions!$C$28^(CO$5-1))*$O15)),0)</f>
        <v>0.59144187885656507</v>
      </c>
      <c r="CQ15" s="93">
        <f>IF(AND($T15=1,CQ$5&lt;=$H15),CP15*(1-BA15)*(1-MIN(1,MAX(Assumptions!$C$27,Assumptions!$C$13*Assumptions!$C$28^(CP$5-1))*$O15)),0)</f>
        <v>0.5642887075731372</v>
      </c>
      <c r="CR15" s="93">
        <f>IF(AND($T15=1,CR$5&lt;=$H15),CQ15*(1-BB15)*(1-MIN(1,MAX(Assumptions!$C$27,Assumptions!$C$13*Assumptions!$C$28^(CQ$5-1))*$O15)),0)</f>
        <v>0.54217943755905917</v>
      </c>
      <c r="CS15" s="93">
        <f>IF(AND($T15=1,CS$5&lt;=$H15),CR15*(1-BC15)*(1-MIN(1,MAX(Assumptions!$C$27,Assumptions!$C$13*Assumptions!$C$28^(CR$5-1))*$O15)),0)</f>
        <v>0.52403037339996894</v>
      </c>
      <c r="CT15" s="93">
        <f>IF(AND($T15=1,CT$5&lt;=$H15),CS15*(1-BD15)*(1-MIN(1,MAX(Assumptions!$C$27,Assumptions!$C$13*Assumptions!$C$28^(CS$5-1))*$O15)),0)</f>
        <v>0</v>
      </c>
      <c r="CU15" s="93">
        <f>IF(AND($T15=1,CU$5&lt;=$H15),CT15*(1-BE15)*(1-MIN(1,MAX(Assumptions!$C$27,Assumptions!$C$13*Assumptions!$C$28^(CT$5-1))*$O15)),0)</f>
        <v>0</v>
      </c>
      <c r="CV15" s="93">
        <f>IF(AND($T15=1,CV$5&lt;=$H15),CU15*(1-BF15)*(1-MIN(1,MAX(Assumptions!$C$27,Assumptions!$C$13*Assumptions!$C$28^(CU$5-1))*$O15)),0)</f>
        <v>0</v>
      </c>
      <c r="CW15" s="93">
        <f>IF(AND($T15=1,CW$5&lt;=$H15),CV15*(1-BG15)*(1-MIN(1,MAX(Assumptions!$C$27,Assumptions!$C$13*Assumptions!$C$28^(CV$5-1))*$O15)),0)</f>
        <v>0</v>
      </c>
      <c r="CX15" s="93">
        <f>IF(AND($T15=1,CX$5&lt;=$H15),CW15*(1-BH15)*(1-MIN(1,MAX(Assumptions!$C$27,Assumptions!$C$13*Assumptions!$C$28^(CW$5-1))*$O15)),0)</f>
        <v>0</v>
      </c>
      <c r="CY15" s="93">
        <f>IF(AND($T15=1,CY$5&lt;=$H15),CX15*(1-BI15)*(1-MIN(1,MAX(Assumptions!$C$27,Assumptions!$C$13*Assumptions!$C$28^(CX$5-1))*$O15)),0)</f>
        <v>0</v>
      </c>
      <c r="CZ15" s="93">
        <f>IF(AND($T15=1,CZ$5&lt;=$H15),CY15*(1-BJ15)*(1-MIN(1,MAX(Assumptions!$C$27,Assumptions!$C$13*Assumptions!$C$28^(CY$5-1))*$O15)),0)</f>
        <v>0</v>
      </c>
      <c r="DA15" s="93">
        <f>IF(AND($T15=1,DA$5&lt;=$H15),CZ15*(1-BK15)*(1-MIN(1,MAX(Assumptions!$C$27,Assumptions!$C$13*Assumptions!$C$28^(CZ$5-1))*$O15)),0)</f>
        <v>0</v>
      </c>
      <c r="DB15" s="93">
        <f>IF(AND($T15=1,DB$5&lt;=$H15),DA15*(1-BL15)*(1-MIN(1,MAX(Assumptions!$C$27,Assumptions!$C$13*Assumptions!$C$28^(DA$5-1))*$O15)),0)</f>
        <v>0</v>
      </c>
      <c r="DC15" s="93">
        <f>IF(AND($T15=1,DC$5&lt;=$H15),DB15*(1-BM15)*(1-MIN(1,MAX(Assumptions!$C$27,Assumptions!$C$13*Assumptions!$C$28^(DB$5-1))*$O15)),0)</f>
        <v>0</v>
      </c>
      <c r="DD15" s="93">
        <f>IF(AND($T15=1,DD$5&lt;=$H15),DC15*(1-BN15)*(1-MIN(1,MAX(Assumptions!$C$27,Assumptions!$C$13*Assumptions!$C$28^(DC$5-1))*$O15)),0)</f>
        <v>0</v>
      </c>
      <c r="DE15" s="93">
        <f>IF(AND($T15=1,DE$5&lt;=$H15),DD15*(1-BO15)*(1-MIN(1,MAX(Assumptions!$C$27,Assumptions!$C$13*Assumptions!$C$28^(DD$5-1))*$O15)),0)</f>
        <v>0</v>
      </c>
      <c r="DF15" s="93">
        <f>IF(AND($T15=1,DF$5&lt;=$H15),DE15*(1-BP15)*(1-MIN(1,MAX(Assumptions!$C$27,Assumptions!$C$13*Assumptions!$C$28^(DE$5-1))*$O15)),0)</f>
        <v>0</v>
      </c>
      <c r="DG15" s="93">
        <f>IF(AND($T15=1,DG$5&lt;=$H15),DF15*(1-BQ15)*(1-MIN(1,MAX(Assumptions!$C$27,Assumptions!$C$13*Assumptions!$C$28^(DF$5-1))*$O15)),0)</f>
        <v>0</v>
      </c>
      <c r="DH15" s="93">
        <f>IF(AND($T15=1,DH$5&lt;=$H15),DG15*(1-BR15)*(1-MIN(1,MAX(Assumptions!$C$27,Assumptions!$C$13*Assumptions!$C$28^(DG$5-1))*$O15)),0)</f>
        <v>0</v>
      </c>
      <c r="DI15" s="93">
        <f>IF(AND($T15=1,DI$5&lt;=$H15),DH15*(1-BS15)*(1-MIN(1,MAX(Assumptions!$C$27,Assumptions!$C$13*Assumptions!$C$28^(DH$5-1))*$O15)),0)</f>
        <v>0</v>
      </c>
      <c r="DJ15" s="93">
        <f>IF(AND($T15=1,DJ$5&lt;=$H15),DI15*(1-BT15)*(1-MIN(1,MAX(Assumptions!$C$27,Assumptions!$C$13*Assumptions!$C$28^(DI$5-1))*$O15)),0)</f>
        <v>0</v>
      </c>
      <c r="DK15" s="93">
        <f>IF(AND($T15=1,DK$5&lt;=$H15),DJ15*(1-BU15)*(1-MIN(1,MAX(Assumptions!$C$27,Assumptions!$C$13*Assumptions!$C$28^(DJ$5-1))*$O15)),0)</f>
        <v>0</v>
      </c>
      <c r="DL15" s="93">
        <f>IF(AND($T15=1,DL$5&lt;=$H15),DK15*(1-BV15)*(1-MIN(1,MAX(Assumptions!$C$27,Assumptions!$C$13*Assumptions!$C$28^(DK$5-1))*$O15)),0)</f>
        <v>0</v>
      </c>
      <c r="DM15" s="93">
        <f>IF(AND($T15=1,DM$5&lt;=$H15),DL15*(1-BW15)*(1-MIN(1,MAX(Assumptions!$C$27,Assumptions!$C$13*Assumptions!$C$28^(DL$5-1))*$O15)),0)</f>
        <v>0</v>
      </c>
      <c r="DN15" s="93">
        <f>IF(AND($T15=1,DN$5&lt;=$H15),DM15*(1-BX15)*(1-MIN(1,MAX(Assumptions!$C$27,Assumptions!$C$13*Assumptions!$C$28^(DM$5-1))*$O15)),0)</f>
        <v>0</v>
      </c>
      <c r="DO15" s="93">
        <f>IF(AND($T15=1,DO$5&lt;=$H15),DN15*(1-BY15)*(1-MIN(1,MAX(Assumptions!$C$27,Assumptions!$C$13*Assumptions!$C$28^(DN$5-1))*$O15)),0)</f>
        <v>0</v>
      </c>
      <c r="DP15" s="93">
        <f>IF(AND($T15=1,DP$5&lt;=$H15),DO15*(1-BZ15)*(1-MIN(1,MAX(Assumptions!$C$27,Assumptions!$C$13*Assumptions!$C$28^(DO$5-1))*$O15)),0)</f>
        <v>0</v>
      </c>
      <c r="DQ15" s="93">
        <f>IF(AND($T15=1,DQ$5&lt;=$H15),DP15*(1-CA15)*(1-MIN(1,MAX(Assumptions!$C$27,Assumptions!$C$13*Assumptions!$C$28^(DP$5-1))*$O15)),0)</f>
        <v>0</v>
      </c>
      <c r="DR15" s="93">
        <f>IF(AND($T15=1,DR$5&lt;=$H15),DQ15*(1-CB15)*(1-MIN(1,MAX(Assumptions!$C$27,Assumptions!$C$13*Assumptions!$C$28^(DQ$5-1))*$O15)),0)</f>
        <v>0</v>
      </c>
      <c r="DS15" s="93">
        <f>IF(AND($T15=1,DS$5&lt;=$H15),DR15*(1-CC15)*(1-MIN(1,MAX(Assumptions!$C$27,Assumptions!$C$13*Assumptions!$C$28^(DR$5-1))*$O15)),0)</f>
        <v>0</v>
      </c>
      <c r="DT15" s="93">
        <f>IF(AND($T15=1,DT$5&lt;=$H15),DS15*(1-CD15)*(1-MIN(1,MAX(Assumptions!$C$27,Assumptions!$C$13*Assumptions!$C$28^(DS$5-1))*$O15)),0)</f>
        <v>0</v>
      </c>
      <c r="DU15" s="93">
        <f>IF(AND($T15=1,DU$5&lt;=$H15),DT15*(1-CE15)*(1-MIN(1,MAX(Assumptions!$C$27,Assumptions!$C$13*Assumptions!$C$28^(DT$5-1))*$O15)),0)</f>
        <v>0</v>
      </c>
      <c r="DV15" s="93">
        <f>IF(AND($T15=1,DV$5&lt;=$H15),DU15*(1-CF15)*(1-MIN(1,MAX(Assumptions!$C$27,Assumptions!$C$13*Assumptions!$C$28^(DU$5-1))*$O15)),0)</f>
        <v>0</v>
      </c>
      <c r="DW15" s="94">
        <f>IF(AND($T15=1,DW$5&lt;=$H15),DV15*(1-CG15)*(1-MIN(1,MAX(Assumptions!$C$27,Assumptions!$C$13*Assumptions!$C$28^(DV$5-1))*$O15)),0)</f>
        <v>0</v>
      </c>
      <c r="DX15" s="26"/>
      <c r="DY15" s="26"/>
      <c r="DZ15" s="26"/>
      <c r="EA15" s="26"/>
      <c r="EB15" s="26"/>
      <c r="EC15" s="26"/>
      <c r="ED15" s="26"/>
    </row>
    <row r="16" spans="1:134" x14ac:dyDescent="0.3">
      <c r="A16" s="382" t="s">
        <v>408</v>
      </c>
      <c r="B16" s="383" t="s">
        <v>409</v>
      </c>
      <c r="C16" s="383" t="s">
        <v>288</v>
      </c>
      <c r="D16" s="384">
        <f>'Premium Calculation'!$B$4</f>
        <v>24</v>
      </c>
      <c r="E16" s="385" t="str">
        <f>'Premium Calculation'!$B$5</f>
        <v>Male</v>
      </c>
      <c r="F16" s="385" t="str">
        <f>'Premium Calculation'!$B$6</f>
        <v>Smoker</v>
      </c>
      <c r="G16" s="385" t="str">
        <f>'Premium Calculation'!$B$7</f>
        <v>Preferred</v>
      </c>
      <c r="H16" s="384">
        <f>'Premium Calculation'!$B$8</f>
        <v>10</v>
      </c>
      <c r="I16" s="386">
        <f>'Premium Calculation'!$B$9</f>
        <v>100000</v>
      </c>
      <c r="J16" s="385" t="str">
        <f>'Premium Calculation'!$B$10</f>
        <v>Monthly</v>
      </c>
      <c r="K16" s="385" t="str">
        <f>'Premium Calculation'!$B$31</f>
        <v>Bancassurance</v>
      </c>
      <c r="L16" s="383" t="s">
        <v>389</v>
      </c>
      <c r="M16" s="386">
        <f>'Premium Calculation'!$B$29</f>
        <v>562.44258371429942</v>
      </c>
      <c r="N16" s="387">
        <f>Assumptions!$C$21</f>
        <v>1</v>
      </c>
      <c r="O16" s="387">
        <f>Assumptions!$C$22</f>
        <v>1</v>
      </c>
      <c r="P16" s="387">
        <f>Assumptions!$C$23*(1+Sensitivities!$C$29)</f>
        <v>1.1000000000000001</v>
      </c>
      <c r="Q16" s="388">
        <f>Assumptions!$C$24</f>
        <v>0</v>
      </c>
      <c r="R16" s="388">
        <f>Assumptions!$C$6+Assumptions!$C$25</f>
        <v>3.5000000000000003E-2</v>
      </c>
      <c r="S16" s="388">
        <f>Assumptions!$C$15</f>
        <v>1.1000000000000001E-3</v>
      </c>
      <c r="T16" s="26">
        <f t="shared" si="0"/>
        <v>1</v>
      </c>
      <c r="U16" s="26">
        <f t="shared" si="1"/>
        <v>4</v>
      </c>
      <c r="V16" s="389">
        <f>IF($G16="Preferred",Assumptions!$C$30,IF($G16="Rated",Assumptions!$C$31,1))</f>
        <v>0.8</v>
      </c>
      <c r="W16" s="390">
        <f>IF($K16="Direct",Assumptions!$C$32,IF($K16="Broker",Assumptions!$C$33,IF($K16="Bancassurance",Assumptions!$C$34,Assumptions!$C$11)))+$Q16</f>
        <v>0.2</v>
      </c>
      <c r="X16" s="390">
        <f>Assumptions!$C$12+$Q16</f>
        <v>0.05</v>
      </c>
      <c r="Y16" s="131">
        <f>MIN($I16,Assumptions!$C$14)</f>
        <v>100000</v>
      </c>
      <c r="Z16" s="131">
        <f>MAX($I16-Assumptions!$C$14,0)</f>
        <v>0</v>
      </c>
      <c r="AA16" s="389">
        <f t="shared" si="2"/>
        <v>5.8605636374350922</v>
      </c>
      <c r="AB16" s="389">
        <f t="shared" si="3"/>
        <v>3.3989780815334159E-3</v>
      </c>
      <c r="AC16" s="389">
        <f>IF($T16=1,SUMPRODUCT($CJ16:$DW16,(1+Assumptions!$C$5)^($CJ$5:$DW$5-1),(1+$R16)^(-$CJ$5:$DW$5)),0)</f>
        <v>6.7981476079723411</v>
      </c>
      <c r="AD16" s="389">
        <f t="shared" si="4"/>
        <v>0.4379557181036387</v>
      </c>
      <c r="AE16" s="131">
        <f>IF($T16=1,$AB16*$Y16+(Assumptions!$C$9/(1+$R16)+Assumptions!$C$10*$AC16)*$P16+$S16*$Z16*$AA16,0)</f>
        <v>2941.5712684130831</v>
      </c>
      <c r="AF16" s="131">
        <f>IF($T16=1,IF($AA16-$AD16-Assumptions!$C$16*$AA16&gt;0,$AE16/($AA16-$AD16-Assumptions!$C$16*$AA16)*IF($J16="Monthly",1+Assumptions!$C$29,1),"n.a."),"")</f>
        <v>611.61959331888625</v>
      </c>
      <c r="AG16" s="131">
        <f t="shared" si="5"/>
        <v>562.44258371429942</v>
      </c>
      <c r="AH16" s="131">
        <f t="shared" si="6"/>
        <v>3296.2305542610661</v>
      </c>
      <c r="AI16" s="131">
        <f t="shared" si="7"/>
        <v>108.33434020532104</v>
      </c>
      <c r="AJ16" s="390">
        <f t="shared" si="8"/>
        <v>3.2866129483957451E-2</v>
      </c>
      <c r="AK16" s="389">
        <f t="shared" si="9"/>
        <v>0.9195954313076643</v>
      </c>
      <c r="AL16" s="131">
        <f t="shared" si="10"/>
        <v>0</v>
      </c>
      <c r="AM16" s="131">
        <f t="shared" si="11"/>
        <v>0</v>
      </c>
      <c r="AN16" s="131">
        <f t="shared" si="12"/>
        <v>0</v>
      </c>
      <c r="AO16" s="131">
        <f t="shared" si="13"/>
        <v>108.33434020532104</v>
      </c>
      <c r="AP16" s="26" t="str">
        <f t="shared" si="14"/>
        <v>20-29</v>
      </c>
      <c r="AQ16" s="26" t="str">
        <f t="shared" si="15"/>
        <v>Up to 250k</v>
      </c>
      <c r="AR16" s="26" t="str">
        <f>IF($T16=1,IF($AI16&lt;0,"Loss-making",IF($AJ16&lt;Assumptions!$C$16-0.00001,"Below target","At/above target")),"Excluded")</f>
        <v>Below target</v>
      </c>
      <c r="AS16" s="103">
        <f t="shared" si="16"/>
        <v>108.33435620532104</v>
      </c>
      <c r="AT16" s="26"/>
      <c r="AU16" s="419">
        <f>IF(AND($T16=1,AU$5&lt;=$H16),INDEX(Mortality!$B$4:$E$64,MATCH($D16+AU$5-1,Mortality!$A$4:$A$64,0),$U16)*$V16*$N16,0)</f>
        <v>4.2269093494277525E-4</v>
      </c>
      <c r="AV16" s="93">
        <f>IF(AND($T16=1,AV$5&lt;=$H16),INDEX(Mortality!$B$4:$E$64,MATCH($D16+AV$5-1,Mortality!$A$4:$A$64,0),$U16)*$V16*$N16,0)</f>
        <v>4.5789562344694478E-4</v>
      </c>
      <c r="AW16" s="93">
        <f>IF(AND($T16=1,AW$5&lt;=$H16),INDEX(Mortality!$B$4:$E$64,MATCH($D16+AW$5-1,Mortality!$A$4:$A$64,0),$U16)*$V16*$N16,0)</f>
        <v>4.960324072250384E-4</v>
      </c>
      <c r="AX16" s="93">
        <f>IF(AND($T16=1,AX$5&lt;=$H16),INDEX(Mortality!$B$4:$E$64,MATCH($D16+AX$5-1,Mortality!$A$4:$A$64,0),$U16)*$V16*$N16,0)</f>
        <v>5.3734549189456246E-4</v>
      </c>
      <c r="AY16" s="93">
        <f>IF(AND($T16=1,AY$5&lt;=$H16),INDEX(Mortality!$B$4:$E$64,MATCH($D16+AY$5-1,Mortality!$A$4:$A$64,0),$U16)*$V16*$N16,0)</f>
        <v>5.8209942224281914E-4</v>
      </c>
      <c r="AZ16" s="93">
        <f>IF(AND($T16=1,AZ$5&lt;=$H16),INDEX(Mortality!$B$4:$E$64,MATCH($D16+AZ$5-1,Mortality!$A$4:$A$64,0),$U16)*$V16*$N16,0)</f>
        <v>6.3058077621671118E-4</v>
      </c>
      <c r="BA16" s="93">
        <f>IF(AND($T16=1,BA$5&lt;=$H16),INDEX(Mortality!$B$4:$E$64,MATCH($D16+BA$5-1,Mortality!$A$4:$A$64,0),$U16)*$V16*$N16,0)</f>
        <v>6.8310000000000007E-4</v>
      </c>
      <c r="BB16" s="93">
        <f>IF(AND($T16=1,BB$5&lt;=$H16),INDEX(Mortality!$B$4:$E$64,MATCH($D16+BB$5-1,Mortality!$A$4:$A$64,0),$U16)*$V16*$N16,0)</f>
        <v>7.3999339592876405E-4</v>
      </c>
      <c r="BC16" s="93">
        <f>IF(AND($T16=1,BC$5&lt;=$H16),INDEX(Mortality!$B$4:$E$64,MATCH($D16+BC$5-1,Mortality!$A$4:$A$64,0),$U16)*$V16*$N16,0)</f>
        <v>8.0162527597450392E-4</v>
      </c>
      <c r="BD16" s="93">
        <f>IF(AND($T16=1,BD$5&lt;=$H16),INDEX(Mortality!$B$4:$E$64,MATCH($D16+BD$5-1,Mortality!$A$4:$A$64,0),$U16)*$V16*$N16,0)</f>
        <v>8.6839029458455209E-4</v>
      </c>
      <c r="BE16" s="93">
        <f>IF(AND($T16=1,BE$5&lt;=$H16),INDEX(Mortality!$B$4:$E$64,MATCH($D16+BE$5-1,Mortality!$A$4:$A$64,0),$U16)*$V16*$N16,0)</f>
        <v>0</v>
      </c>
      <c r="BF16" s="93">
        <f>IF(AND($T16=1,BF$5&lt;=$H16),INDEX(Mortality!$B$4:$E$64,MATCH($D16+BF$5-1,Mortality!$A$4:$A$64,0),$U16)*$V16*$N16,0)</f>
        <v>0</v>
      </c>
      <c r="BG16" s="93">
        <f>IF(AND($T16=1,BG$5&lt;=$H16),INDEX(Mortality!$B$4:$E$64,MATCH($D16+BG$5-1,Mortality!$A$4:$A$64,0),$U16)*$V16*$N16,0)</f>
        <v>0</v>
      </c>
      <c r="BH16" s="93">
        <f>IF(AND($T16=1,BH$5&lt;=$H16),INDEX(Mortality!$B$4:$E$64,MATCH($D16+BH$5-1,Mortality!$A$4:$A$64,0),$U16)*$V16*$N16,0)</f>
        <v>0</v>
      </c>
      <c r="BI16" s="93">
        <f>IF(AND($T16=1,BI$5&lt;=$H16),INDEX(Mortality!$B$4:$E$64,MATCH($D16+BI$5-1,Mortality!$A$4:$A$64,0),$U16)*$V16*$N16,0)</f>
        <v>0</v>
      </c>
      <c r="BJ16" s="93">
        <f>IF(AND($T16=1,BJ$5&lt;=$H16),INDEX(Mortality!$B$4:$E$64,MATCH($D16+BJ$5-1,Mortality!$A$4:$A$64,0),$U16)*$V16*$N16,0)</f>
        <v>0</v>
      </c>
      <c r="BK16" s="93">
        <f>IF(AND($T16=1,BK$5&lt;=$H16),INDEX(Mortality!$B$4:$E$64,MATCH($D16+BK$5-1,Mortality!$A$4:$A$64,0),$U16)*$V16*$N16,0)</f>
        <v>0</v>
      </c>
      <c r="BL16" s="93">
        <f>IF(AND($T16=1,BL$5&lt;=$H16),INDEX(Mortality!$B$4:$E$64,MATCH($D16+BL$5-1,Mortality!$A$4:$A$64,0),$U16)*$V16*$N16,0)</f>
        <v>0</v>
      </c>
      <c r="BM16" s="93">
        <f>IF(AND($T16=1,BM$5&lt;=$H16),INDEX(Mortality!$B$4:$E$64,MATCH($D16+BM$5-1,Mortality!$A$4:$A$64,0),$U16)*$V16*$N16,0)</f>
        <v>0</v>
      </c>
      <c r="BN16" s="93">
        <f>IF(AND($T16=1,BN$5&lt;=$H16),INDEX(Mortality!$B$4:$E$64,MATCH($D16+BN$5-1,Mortality!$A$4:$A$64,0),$U16)*$V16*$N16,0)</f>
        <v>0</v>
      </c>
      <c r="BO16" s="93">
        <f>IF(AND($T16=1,BO$5&lt;=$H16),INDEX(Mortality!$B$4:$E$64,MATCH($D16+BO$5-1,Mortality!$A$4:$A$64,0),$U16)*$V16*$N16,0)</f>
        <v>0</v>
      </c>
      <c r="BP16" s="93">
        <f>IF(AND($T16=1,BP$5&lt;=$H16),INDEX(Mortality!$B$4:$E$64,MATCH($D16+BP$5-1,Mortality!$A$4:$A$64,0),$U16)*$V16*$N16,0)</f>
        <v>0</v>
      </c>
      <c r="BQ16" s="93">
        <f>IF(AND($T16=1,BQ$5&lt;=$H16),INDEX(Mortality!$B$4:$E$64,MATCH($D16+BQ$5-1,Mortality!$A$4:$A$64,0),$U16)*$V16*$N16,0)</f>
        <v>0</v>
      </c>
      <c r="BR16" s="93">
        <f>IF(AND($T16=1,BR$5&lt;=$H16),INDEX(Mortality!$B$4:$E$64,MATCH($D16+BR$5-1,Mortality!$A$4:$A$64,0),$U16)*$V16*$N16,0)</f>
        <v>0</v>
      </c>
      <c r="BS16" s="93">
        <f>IF(AND($T16=1,BS$5&lt;=$H16),INDEX(Mortality!$B$4:$E$64,MATCH($D16+BS$5-1,Mortality!$A$4:$A$64,0),$U16)*$V16*$N16,0)</f>
        <v>0</v>
      </c>
      <c r="BT16" s="93">
        <f>IF(AND($T16=1,BT$5&lt;=$H16),INDEX(Mortality!$B$4:$E$64,MATCH($D16+BT$5-1,Mortality!$A$4:$A$64,0),$U16)*$V16*$N16,0)</f>
        <v>0</v>
      </c>
      <c r="BU16" s="93">
        <f>IF(AND($T16=1,BU$5&lt;=$H16),INDEX(Mortality!$B$4:$E$64,MATCH($D16+BU$5-1,Mortality!$A$4:$A$64,0),$U16)*$V16*$N16,0)</f>
        <v>0</v>
      </c>
      <c r="BV16" s="93">
        <f>IF(AND($T16=1,BV$5&lt;=$H16),INDEX(Mortality!$B$4:$E$64,MATCH($D16+BV$5-1,Mortality!$A$4:$A$64,0),$U16)*$V16*$N16,0)</f>
        <v>0</v>
      </c>
      <c r="BW16" s="93">
        <f>IF(AND($T16=1,BW$5&lt;=$H16),INDEX(Mortality!$B$4:$E$64,MATCH($D16+BW$5-1,Mortality!$A$4:$A$64,0),$U16)*$V16*$N16,0)</f>
        <v>0</v>
      </c>
      <c r="BX16" s="93">
        <f>IF(AND($T16=1,BX$5&lt;=$H16),INDEX(Mortality!$B$4:$E$64,MATCH($D16+BX$5-1,Mortality!$A$4:$A$64,0),$U16)*$V16*$N16,0)</f>
        <v>0</v>
      </c>
      <c r="BY16" s="93">
        <f>IF(AND($T16=1,BY$5&lt;=$H16),INDEX(Mortality!$B$4:$E$64,MATCH($D16+BY$5-1,Mortality!$A$4:$A$64,0),$U16)*$V16*$N16,0)</f>
        <v>0</v>
      </c>
      <c r="BZ16" s="93">
        <f>IF(AND($T16=1,BZ$5&lt;=$H16),INDEX(Mortality!$B$4:$E$64,MATCH($D16+BZ$5-1,Mortality!$A$4:$A$64,0),$U16)*$V16*$N16,0)</f>
        <v>0</v>
      </c>
      <c r="CA16" s="93">
        <f>IF(AND($T16=1,CA$5&lt;=$H16),INDEX(Mortality!$B$4:$E$64,MATCH($D16+CA$5-1,Mortality!$A$4:$A$64,0),$U16)*$V16*$N16,0)</f>
        <v>0</v>
      </c>
      <c r="CB16" s="93">
        <f>IF(AND($T16=1,CB$5&lt;=$H16),INDEX(Mortality!$B$4:$E$64,MATCH($D16+CB$5-1,Mortality!$A$4:$A$64,0),$U16)*$V16*$N16,0)</f>
        <v>0</v>
      </c>
      <c r="CC16" s="93">
        <f>IF(AND($T16=1,CC$5&lt;=$H16),INDEX(Mortality!$B$4:$E$64,MATCH($D16+CC$5-1,Mortality!$A$4:$A$64,0),$U16)*$V16*$N16,0)</f>
        <v>0</v>
      </c>
      <c r="CD16" s="93">
        <f>IF(AND($T16=1,CD$5&lt;=$H16),INDEX(Mortality!$B$4:$E$64,MATCH($D16+CD$5-1,Mortality!$A$4:$A$64,0),$U16)*$V16*$N16,0)</f>
        <v>0</v>
      </c>
      <c r="CE16" s="93">
        <f>IF(AND($T16=1,CE$5&lt;=$H16),INDEX(Mortality!$B$4:$E$64,MATCH($D16+CE$5-1,Mortality!$A$4:$A$64,0),$U16)*$V16*$N16,0)</f>
        <v>0</v>
      </c>
      <c r="CF16" s="93">
        <f>IF(AND($T16=1,CF$5&lt;=$H16),INDEX(Mortality!$B$4:$E$64,MATCH($D16+CF$5-1,Mortality!$A$4:$A$64,0),$U16)*$V16*$N16,0)</f>
        <v>0</v>
      </c>
      <c r="CG16" s="93">
        <f>IF(AND($T16=1,CG$5&lt;=$H16),INDEX(Mortality!$B$4:$E$64,MATCH($D16+CG$5-1,Mortality!$A$4:$A$64,0),$U16)*$V16*$N16,0)</f>
        <v>0</v>
      </c>
      <c r="CH16" s="94">
        <f>IF(AND($T16=1,CH$5&lt;=$H16),INDEX(Mortality!$B$4:$E$64,MATCH($D16+CH$5-1,Mortality!$A$4:$A$64,0),$U16)*$V16*$N16,0)</f>
        <v>0</v>
      </c>
      <c r="CI16" s="26"/>
      <c r="CJ16" s="419">
        <f t="shared" si="17"/>
        <v>1</v>
      </c>
      <c r="CK16" s="93">
        <f>IF(AND($T16=1,CK$5&lt;=$H16),CJ16*(1-AU16)*(1-MIN(1,MAX(Assumptions!$C$27,Assumptions!$C$13*Assumptions!$C$28^(CJ$5-1))*$O16)),0)</f>
        <v>0.87962803197725037</v>
      </c>
      <c r="CL16" s="93">
        <f>IF(AND($T16=1,CL$5&lt;=$H16),CK16*(1-AV16)*(1-MIN(1,MAX(Assumptions!$C$27,Assumptions!$C$13*Assumptions!$C$28^(CK$5-1))*$O16)),0)</f>
        <v>0.78954427822772988</v>
      </c>
      <c r="CM16" s="93">
        <f>IF(AND($T16=1,CM$5&lt;=$H16),CL16*(1-AW16)*(1-MIN(1,MAX(Assumptions!$C$27,Assumptions!$C$13*Assumptions!$C$28^(CL$5-1))*$O16)),0)</f>
        <v>0.72073310490533871</v>
      </c>
      <c r="CN16" s="93">
        <f>IF(AND($T16=1,CN$5&lt;=$H16),CM16*(1-AX16)*(1-MIN(1,MAX(Assumptions!$C$27,Assumptions!$C$13*Assumptions!$C$28^(CM$5-1))*$O16)),0)</f>
        <v>0.66725993685201457</v>
      </c>
      <c r="CO16" s="93">
        <f>IF(AND($T16=1,CO$5&lt;=$H16),CN16*(1-AY16)*(1-MIN(1,MAX(Assumptions!$C$27,Assumptions!$C$13*Assumptions!$C$28^(CN$5-1))*$O16)),0)</f>
        <v>0.62509819273434331</v>
      </c>
      <c r="CP16" s="93">
        <f>IF(AND($T16=1,CP$5&lt;=$H16),CO16*(1-AZ16)*(1-MIN(1,MAX(Assumptions!$C$27,Assumptions!$C$13*Assumptions!$C$28^(CO$5-1))*$O16)),0)</f>
        <v>0.59144187885656507</v>
      </c>
      <c r="CQ16" s="93">
        <f>IF(AND($T16=1,CQ$5&lt;=$H16),CP16*(1-BA16)*(1-MIN(1,MAX(Assumptions!$C$27,Assumptions!$C$13*Assumptions!$C$28^(CP$5-1))*$O16)),0)</f>
        <v>0.5642887075731372</v>
      </c>
      <c r="CR16" s="93">
        <f>IF(AND($T16=1,CR$5&lt;=$H16),CQ16*(1-BB16)*(1-MIN(1,MAX(Assumptions!$C$27,Assumptions!$C$13*Assumptions!$C$28^(CQ$5-1))*$O16)),0)</f>
        <v>0.54217943755905917</v>
      </c>
      <c r="CS16" s="93">
        <f>IF(AND($T16=1,CS$5&lt;=$H16),CR16*(1-BC16)*(1-MIN(1,MAX(Assumptions!$C$27,Assumptions!$C$13*Assumptions!$C$28^(CR$5-1))*$O16)),0)</f>
        <v>0.52403037339996894</v>
      </c>
      <c r="CT16" s="93">
        <f>IF(AND($T16=1,CT$5&lt;=$H16),CS16*(1-BD16)*(1-MIN(1,MAX(Assumptions!$C$27,Assumptions!$C$13*Assumptions!$C$28^(CS$5-1))*$O16)),0)</f>
        <v>0</v>
      </c>
      <c r="CU16" s="93">
        <f>IF(AND($T16=1,CU$5&lt;=$H16),CT16*(1-BE16)*(1-MIN(1,MAX(Assumptions!$C$27,Assumptions!$C$13*Assumptions!$C$28^(CT$5-1))*$O16)),0)</f>
        <v>0</v>
      </c>
      <c r="CV16" s="93">
        <f>IF(AND($T16=1,CV$5&lt;=$H16),CU16*(1-BF16)*(1-MIN(1,MAX(Assumptions!$C$27,Assumptions!$C$13*Assumptions!$C$28^(CU$5-1))*$O16)),0)</f>
        <v>0</v>
      </c>
      <c r="CW16" s="93">
        <f>IF(AND($T16=1,CW$5&lt;=$H16),CV16*(1-BG16)*(1-MIN(1,MAX(Assumptions!$C$27,Assumptions!$C$13*Assumptions!$C$28^(CV$5-1))*$O16)),0)</f>
        <v>0</v>
      </c>
      <c r="CX16" s="93">
        <f>IF(AND($T16=1,CX$5&lt;=$H16),CW16*(1-BH16)*(1-MIN(1,MAX(Assumptions!$C$27,Assumptions!$C$13*Assumptions!$C$28^(CW$5-1))*$O16)),0)</f>
        <v>0</v>
      </c>
      <c r="CY16" s="93">
        <f>IF(AND($T16=1,CY$5&lt;=$H16),CX16*(1-BI16)*(1-MIN(1,MAX(Assumptions!$C$27,Assumptions!$C$13*Assumptions!$C$28^(CX$5-1))*$O16)),0)</f>
        <v>0</v>
      </c>
      <c r="CZ16" s="93">
        <f>IF(AND($T16=1,CZ$5&lt;=$H16),CY16*(1-BJ16)*(1-MIN(1,MAX(Assumptions!$C$27,Assumptions!$C$13*Assumptions!$C$28^(CY$5-1))*$O16)),0)</f>
        <v>0</v>
      </c>
      <c r="DA16" s="93">
        <f>IF(AND($T16=1,DA$5&lt;=$H16),CZ16*(1-BK16)*(1-MIN(1,MAX(Assumptions!$C$27,Assumptions!$C$13*Assumptions!$C$28^(CZ$5-1))*$O16)),0)</f>
        <v>0</v>
      </c>
      <c r="DB16" s="93">
        <f>IF(AND($T16=1,DB$5&lt;=$H16),DA16*(1-BL16)*(1-MIN(1,MAX(Assumptions!$C$27,Assumptions!$C$13*Assumptions!$C$28^(DA$5-1))*$O16)),0)</f>
        <v>0</v>
      </c>
      <c r="DC16" s="93">
        <f>IF(AND($T16=1,DC$5&lt;=$H16),DB16*(1-BM16)*(1-MIN(1,MAX(Assumptions!$C$27,Assumptions!$C$13*Assumptions!$C$28^(DB$5-1))*$O16)),0)</f>
        <v>0</v>
      </c>
      <c r="DD16" s="93">
        <f>IF(AND($T16=1,DD$5&lt;=$H16),DC16*(1-BN16)*(1-MIN(1,MAX(Assumptions!$C$27,Assumptions!$C$13*Assumptions!$C$28^(DC$5-1))*$O16)),0)</f>
        <v>0</v>
      </c>
      <c r="DE16" s="93">
        <f>IF(AND($T16=1,DE$5&lt;=$H16),DD16*(1-BO16)*(1-MIN(1,MAX(Assumptions!$C$27,Assumptions!$C$13*Assumptions!$C$28^(DD$5-1))*$O16)),0)</f>
        <v>0</v>
      </c>
      <c r="DF16" s="93">
        <f>IF(AND($T16=1,DF$5&lt;=$H16),DE16*(1-BP16)*(1-MIN(1,MAX(Assumptions!$C$27,Assumptions!$C$13*Assumptions!$C$28^(DE$5-1))*$O16)),0)</f>
        <v>0</v>
      </c>
      <c r="DG16" s="93">
        <f>IF(AND($T16=1,DG$5&lt;=$H16),DF16*(1-BQ16)*(1-MIN(1,MAX(Assumptions!$C$27,Assumptions!$C$13*Assumptions!$C$28^(DF$5-1))*$O16)),0)</f>
        <v>0</v>
      </c>
      <c r="DH16" s="93">
        <f>IF(AND($T16=1,DH$5&lt;=$H16),DG16*(1-BR16)*(1-MIN(1,MAX(Assumptions!$C$27,Assumptions!$C$13*Assumptions!$C$28^(DG$5-1))*$O16)),0)</f>
        <v>0</v>
      </c>
      <c r="DI16" s="93">
        <f>IF(AND($T16=1,DI$5&lt;=$H16),DH16*(1-BS16)*(1-MIN(1,MAX(Assumptions!$C$27,Assumptions!$C$13*Assumptions!$C$28^(DH$5-1))*$O16)),0)</f>
        <v>0</v>
      </c>
      <c r="DJ16" s="93">
        <f>IF(AND($T16=1,DJ$5&lt;=$H16),DI16*(1-BT16)*(1-MIN(1,MAX(Assumptions!$C$27,Assumptions!$C$13*Assumptions!$C$28^(DI$5-1))*$O16)),0)</f>
        <v>0</v>
      </c>
      <c r="DK16" s="93">
        <f>IF(AND($T16=1,DK$5&lt;=$H16),DJ16*(1-BU16)*(1-MIN(1,MAX(Assumptions!$C$27,Assumptions!$C$13*Assumptions!$C$28^(DJ$5-1))*$O16)),0)</f>
        <v>0</v>
      </c>
      <c r="DL16" s="93">
        <f>IF(AND($T16=1,DL$5&lt;=$H16),DK16*(1-BV16)*(1-MIN(1,MAX(Assumptions!$C$27,Assumptions!$C$13*Assumptions!$C$28^(DK$5-1))*$O16)),0)</f>
        <v>0</v>
      </c>
      <c r="DM16" s="93">
        <f>IF(AND($T16=1,DM$5&lt;=$H16),DL16*(1-BW16)*(1-MIN(1,MAX(Assumptions!$C$27,Assumptions!$C$13*Assumptions!$C$28^(DL$5-1))*$O16)),0)</f>
        <v>0</v>
      </c>
      <c r="DN16" s="93">
        <f>IF(AND($T16=1,DN$5&lt;=$H16),DM16*(1-BX16)*(1-MIN(1,MAX(Assumptions!$C$27,Assumptions!$C$13*Assumptions!$C$28^(DM$5-1))*$O16)),0)</f>
        <v>0</v>
      </c>
      <c r="DO16" s="93">
        <f>IF(AND($T16=1,DO$5&lt;=$H16),DN16*(1-BY16)*(1-MIN(1,MAX(Assumptions!$C$27,Assumptions!$C$13*Assumptions!$C$28^(DN$5-1))*$O16)),0)</f>
        <v>0</v>
      </c>
      <c r="DP16" s="93">
        <f>IF(AND($T16=1,DP$5&lt;=$H16),DO16*(1-BZ16)*(1-MIN(1,MAX(Assumptions!$C$27,Assumptions!$C$13*Assumptions!$C$28^(DO$5-1))*$O16)),0)</f>
        <v>0</v>
      </c>
      <c r="DQ16" s="93">
        <f>IF(AND($T16=1,DQ$5&lt;=$H16),DP16*(1-CA16)*(1-MIN(1,MAX(Assumptions!$C$27,Assumptions!$C$13*Assumptions!$C$28^(DP$5-1))*$O16)),0)</f>
        <v>0</v>
      </c>
      <c r="DR16" s="93">
        <f>IF(AND($T16=1,DR$5&lt;=$H16),DQ16*(1-CB16)*(1-MIN(1,MAX(Assumptions!$C$27,Assumptions!$C$13*Assumptions!$C$28^(DQ$5-1))*$O16)),0)</f>
        <v>0</v>
      </c>
      <c r="DS16" s="93">
        <f>IF(AND($T16=1,DS$5&lt;=$H16),DR16*(1-CC16)*(1-MIN(1,MAX(Assumptions!$C$27,Assumptions!$C$13*Assumptions!$C$28^(DR$5-1))*$O16)),0)</f>
        <v>0</v>
      </c>
      <c r="DT16" s="93">
        <f>IF(AND($T16=1,DT$5&lt;=$H16),DS16*(1-CD16)*(1-MIN(1,MAX(Assumptions!$C$27,Assumptions!$C$13*Assumptions!$C$28^(DS$5-1))*$O16)),0)</f>
        <v>0</v>
      </c>
      <c r="DU16" s="93">
        <f>IF(AND($T16=1,DU$5&lt;=$H16),DT16*(1-CE16)*(1-MIN(1,MAX(Assumptions!$C$27,Assumptions!$C$13*Assumptions!$C$28^(DT$5-1))*$O16)),0)</f>
        <v>0</v>
      </c>
      <c r="DV16" s="93">
        <f>IF(AND($T16=1,DV$5&lt;=$H16),DU16*(1-CF16)*(1-MIN(1,MAX(Assumptions!$C$27,Assumptions!$C$13*Assumptions!$C$28^(DU$5-1))*$O16)),0)</f>
        <v>0</v>
      </c>
      <c r="DW16" s="94">
        <f>IF(AND($T16=1,DW$5&lt;=$H16),DV16*(1-CG16)*(1-MIN(1,MAX(Assumptions!$C$27,Assumptions!$C$13*Assumptions!$C$28^(DV$5-1))*$O16)),0)</f>
        <v>0</v>
      </c>
      <c r="DX16" s="26"/>
      <c r="DY16" s="26"/>
      <c r="DZ16" s="26"/>
      <c r="EA16" s="26"/>
      <c r="EB16" s="26"/>
      <c r="EC16" s="26"/>
      <c r="ED16" s="26"/>
    </row>
    <row r="17" spans="1:134" x14ac:dyDescent="0.3">
      <c r="A17" s="382" t="s">
        <v>410</v>
      </c>
      <c r="B17" s="383" t="s">
        <v>411</v>
      </c>
      <c r="C17" s="383" t="s">
        <v>288</v>
      </c>
      <c r="D17" s="384">
        <f>'Premium Calculation'!$B$4</f>
        <v>24</v>
      </c>
      <c r="E17" s="385" t="str">
        <f>'Premium Calculation'!$B$5</f>
        <v>Male</v>
      </c>
      <c r="F17" s="385" t="str">
        <f>'Premium Calculation'!$B$6</f>
        <v>Smoker</v>
      </c>
      <c r="G17" s="385" t="str">
        <f>'Premium Calculation'!$B$7</f>
        <v>Preferred</v>
      </c>
      <c r="H17" s="384">
        <f>'Premium Calculation'!$B$8</f>
        <v>10</v>
      </c>
      <c r="I17" s="386">
        <f>'Premium Calculation'!$B$9</f>
        <v>100000</v>
      </c>
      <c r="J17" s="385" t="str">
        <f>'Premium Calculation'!$B$10</f>
        <v>Monthly</v>
      </c>
      <c r="K17" s="385" t="str">
        <f>'Premium Calculation'!$B$31</f>
        <v>Bancassurance</v>
      </c>
      <c r="L17" s="383" t="s">
        <v>389</v>
      </c>
      <c r="M17" s="386">
        <f>'Premium Calculation'!$B$29</f>
        <v>562.44258371429942</v>
      </c>
      <c r="N17" s="387">
        <f>Assumptions!$C$21</f>
        <v>1</v>
      </c>
      <c r="O17" s="387">
        <f>Assumptions!$C$22</f>
        <v>1</v>
      </c>
      <c r="P17" s="387">
        <f>Assumptions!$C$23</f>
        <v>1</v>
      </c>
      <c r="Q17" s="388">
        <f>Assumptions!$C$24-Sensitivities!$C$30</f>
        <v>-0.05</v>
      </c>
      <c r="R17" s="388">
        <f>Assumptions!$C$6+Assumptions!$C$25</f>
        <v>3.5000000000000003E-2</v>
      </c>
      <c r="S17" s="388">
        <f>Assumptions!$C$15</f>
        <v>1.1000000000000001E-3</v>
      </c>
      <c r="T17" s="26">
        <f t="shared" si="0"/>
        <v>1</v>
      </c>
      <c r="U17" s="26">
        <f t="shared" si="1"/>
        <v>4</v>
      </c>
      <c r="V17" s="389">
        <f>IF($G17="Preferred",Assumptions!$C$30,IF($G17="Rated",Assumptions!$C$31,1))</f>
        <v>0.8</v>
      </c>
      <c r="W17" s="390">
        <f>IF($K17="Direct",Assumptions!$C$32,IF($K17="Broker",Assumptions!$C$33,IF($K17="Bancassurance",Assumptions!$C$34,Assumptions!$C$11)))+$Q17</f>
        <v>0.15000000000000002</v>
      </c>
      <c r="X17" s="390">
        <f>Assumptions!$C$12+$Q17</f>
        <v>0</v>
      </c>
      <c r="Y17" s="131">
        <f>MIN($I17,Assumptions!$C$14)</f>
        <v>100000</v>
      </c>
      <c r="Z17" s="131">
        <f>MAX($I17-Assumptions!$C$14,0)</f>
        <v>0</v>
      </c>
      <c r="AA17" s="389">
        <f t="shared" si="2"/>
        <v>5.8605636374350922</v>
      </c>
      <c r="AB17" s="389">
        <f t="shared" si="3"/>
        <v>3.3989780815334159E-3</v>
      </c>
      <c r="AC17" s="389">
        <f>IF($T17=1,SUMPRODUCT($CJ17:$DW17,(1+Assumptions!$C$5)^($CJ$5:$DW$5-1),(1+$R17)^(-$CJ$5:$DW$5)),0)</f>
        <v>6.7981476079723411</v>
      </c>
      <c r="AD17" s="389">
        <f t="shared" si="4"/>
        <v>0.14492753623188409</v>
      </c>
      <c r="AE17" s="131">
        <f>IF($T17=1,$AB17*$Y17+(Assumptions!$C$9/(1+$R17)+Assumptions!$C$10*$AC17)*$P17+$S17*$Z17*$AA17,0)</f>
        <v>2705.0554992985608</v>
      </c>
      <c r="AF17" s="131">
        <f>IF($T17=1,IF($AA17-$AD17-Assumptions!$C$16*$AA17&gt;0,$AE17/($AA17-$AD17-Assumptions!$C$16*$AA17)*IF($J17="Monthly",1+Assumptions!$C$29,1),"n.a."),"")</f>
        <v>531.03071169721511</v>
      </c>
      <c r="AG17" s="131">
        <f t="shared" si="5"/>
        <v>562.44258371429942</v>
      </c>
      <c r="AH17" s="131">
        <f t="shared" si="6"/>
        <v>3296.2305542610661</v>
      </c>
      <c r="AI17" s="131">
        <f t="shared" si="7"/>
        <v>509.66163703289658</v>
      </c>
      <c r="AJ17" s="390">
        <f t="shared" si="8"/>
        <v>0.15461953544907608</v>
      </c>
      <c r="AK17" s="389">
        <f t="shared" si="9"/>
        <v>1.0591526465892895</v>
      </c>
      <c r="AL17" s="131">
        <f t="shared" si="10"/>
        <v>0</v>
      </c>
      <c r="AM17" s="131">
        <f t="shared" si="11"/>
        <v>0</v>
      </c>
      <c r="AN17" s="131">
        <f t="shared" si="12"/>
        <v>0</v>
      </c>
      <c r="AO17" s="131">
        <f t="shared" si="13"/>
        <v>509.66163703289658</v>
      </c>
      <c r="AP17" s="26" t="str">
        <f t="shared" si="14"/>
        <v>20-29</v>
      </c>
      <c r="AQ17" s="26" t="str">
        <f t="shared" si="15"/>
        <v>Up to 250k</v>
      </c>
      <c r="AR17" s="26" t="str">
        <f>IF($T17=1,IF($AI17&lt;0,"Loss-making",IF($AJ17&lt;Assumptions!$C$16-0.00001,"Below target","At/above target")),"Excluded")</f>
        <v>At/above target</v>
      </c>
      <c r="AS17" s="103">
        <f t="shared" si="16"/>
        <v>509.66165403289659</v>
      </c>
      <c r="AT17" s="26"/>
      <c r="AU17" s="419">
        <f>IF(AND($T17=1,AU$5&lt;=$H17),INDEX(Mortality!$B$4:$E$64,MATCH($D17+AU$5-1,Mortality!$A$4:$A$64,0),$U17)*$V17*$N17,0)</f>
        <v>4.2269093494277525E-4</v>
      </c>
      <c r="AV17" s="93">
        <f>IF(AND($T17=1,AV$5&lt;=$H17),INDEX(Mortality!$B$4:$E$64,MATCH($D17+AV$5-1,Mortality!$A$4:$A$64,0),$U17)*$V17*$N17,0)</f>
        <v>4.5789562344694478E-4</v>
      </c>
      <c r="AW17" s="93">
        <f>IF(AND($T17=1,AW$5&lt;=$H17),INDEX(Mortality!$B$4:$E$64,MATCH($D17+AW$5-1,Mortality!$A$4:$A$64,0),$U17)*$V17*$N17,0)</f>
        <v>4.960324072250384E-4</v>
      </c>
      <c r="AX17" s="93">
        <f>IF(AND($T17=1,AX$5&lt;=$H17),INDEX(Mortality!$B$4:$E$64,MATCH($D17+AX$5-1,Mortality!$A$4:$A$64,0),$U17)*$V17*$N17,0)</f>
        <v>5.3734549189456246E-4</v>
      </c>
      <c r="AY17" s="93">
        <f>IF(AND($T17=1,AY$5&lt;=$H17),INDEX(Mortality!$B$4:$E$64,MATCH($D17+AY$5-1,Mortality!$A$4:$A$64,0),$U17)*$V17*$N17,0)</f>
        <v>5.8209942224281914E-4</v>
      </c>
      <c r="AZ17" s="93">
        <f>IF(AND($T17=1,AZ$5&lt;=$H17),INDEX(Mortality!$B$4:$E$64,MATCH($D17+AZ$5-1,Mortality!$A$4:$A$64,0),$U17)*$V17*$N17,0)</f>
        <v>6.3058077621671118E-4</v>
      </c>
      <c r="BA17" s="93">
        <f>IF(AND($T17=1,BA$5&lt;=$H17),INDEX(Mortality!$B$4:$E$64,MATCH($D17+BA$5-1,Mortality!$A$4:$A$64,0),$U17)*$V17*$N17,0)</f>
        <v>6.8310000000000007E-4</v>
      </c>
      <c r="BB17" s="93">
        <f>IF(AND($T17=1,BB$5&lt;=$H17),INDEX(Mortality!$B$4:$E$64,MATCH($D17+BB$5-1,Mortality!$A$4:$A$64,0),$U17)*$V17*$N17,0)</f>
        <v>7.3999339592876405E-4</v>
      </c>
      <c r="BC17" s="93">
        <f>IF(AND($T17=1,BC$5&lt;=$H17),INDEX(Mortality!$B$4:$E$64,MATCH($D17+BC$5-1,Mortality!$A$4:$A$64,0),$U17)*$V17*$N17,0)</f>
        <v>8.0162527597450392E-4</v>
      </c>
      <c r="BD17" s="93">
        <f>IF(AND($T17=1,BD$5&lt;=$H17),INDEX(Mortality!$B$4:$E$64,MATCH($D17+BD$5-1,Mortality!$A$4:$A$64,0),$U17)*$V17*$N17,0)</f>
        <v>8.6839029458455209E-4</v>
      </c>
      <c r="BE17" s="93">
        <f>IF(AND($T17=1,BE$5&lt;=$H17),INDEX(Mortality!$B$4:$E$64,MATCH($D17+BE$5-1,Mortality!$A$4:$A$64,0),$U17)*$V17*$N17,0)</f>
        <v>0</v>
      </c>
      <c r="BF17" s="93">
        <f>IF(AND($T17=1,BF$5&lt;=$H17),INDEX(Mortality!$B$4:$E$64,MATCH($D17+BF$5-1,Mortality!$A$4:$A$64,0),$U17)*$V17*$N17,0)</f>
        <v>0</v>
      </c>
      <c r="BG17" s="93">
        <f>IF(AND($T17=1,BG$5&lt;=$H17),INDEX(Mortality!$B$4:$E$64,MATCH($D17+BG$5-1,Mortality!$A$4:$A$64,0),$U17)*$V17*$N17,0)</f>
        <v>0</v>
      </c>
      <c r="BH17" s="93">
        <f>IF(AND($T17=1,BH$5&lt;=$H17),INDEX(Mortality!$B$4:$E$64,MATCH($D17+BH$5-1,Mortality!$A$4:$A$64,0),$U17)*$V17*$N17,0)</f>
        <v>0</v>
      </c>
      <c r="BI17" s="93">
        <f>IF(AND($T17=1,BI$5&lt;=$H17),INDEX(Mortality!$B$4:$E$64,MATCH($D17+BI$5-1,Mortality!$A$4:$A$64,0),$U17)*$V17*$N17,0)</f>
        <v>0</v>
      </c>
      <c r="BJ17" s="93">
        <f>IF(AND($T17=1,BJ$5&lt;=$H17),INDEX(Mortality!$B$4:$E$64,MATCH($D17+BJ$5-1,Mortality!$A$4:$A$64,0),$U17)*$V17*$N17,0)</f>
        <v>0</v>
      </c>
      <c r="BK17" s="93">
        <f>IF(AND($T17=1,BK$5&lt;=$H17),INDEX(Mortality!$B$4:$E$64,MATCH($D17+BK$5-1,Mortality!$A$4:$A$64,0),$U17)*$V17*$N17,0)</f>
        <v>0</v>
      </c>
      <c r="BL17" s="93">
        <f>IF(AND($T17=1,BL$5&lt;=$H17),INDEX(Mortality!$B$4:$E$64,MATCH($D17+BL$5-1,Mortality!$A$4:$A$64,0),$U17)*$V17*$N17,0)</f>
        <v>0</v>
      </c>
      <c r="BM17" s="93">
        <f>IF(AND($T17=1,BM$5&lt;=$H17),INDEX(Mortality!$B$4:$E$64,MATCH($D17+BM$5-1,Mortality!$A$4:$A$64,0),$U17)*$V17*$N17,0)</f>
        <v>0</v>
      </c>
      <c r="BN17" s="93">
        <f>IF(AND($T17=1,BN$5&lt;=$H17),INDEX(Mortality!$B$4:$E$64,MATCH($D17+BN$5-1,Mortality!$A$4:$A$64,0),$U17)*$V17*$N17,0)</f>
        <v>0</v>
      </c>
      <c r="BO17" s="93">
        <f>IF(AND($T17=1,BO$5&lt;=$H17),INDEX(Mortality!$B$4:$E$64,MATCH($D17+BO$5-1,Mortality!$A$4:$A$64,0),$U17)*$V17*$N17,0)</f>
        <v>0</v>
      </c>
      <c r="BP17" s="93">
        <f>IF(AND($T17=1,BP$5&lt;=$H17),INDEX(Mortality!$B$4:$E$64,MATCH($D17+BP$5-1,Mortality!$A$4:$A$64,0),$U17)*$V17*$N17,0)</f>
        <v>0</v>
      </c>
      <c r="BQ17" s="93">
        <f>IF(AND($T17=1,BQ$5&lt;=$H17),INDEX(Mortality!$B$4:$E$64,MATCH($D17+BQ$5-1,Mortality!$A$4:$A$64,0),$U17)*$V17*$N17,0)</f>
        <v>0</v>
      </c>
      <c r="BR17" s="93">
        <f>IF(AND($T17=1,BR$5&lt;=$H17),INDEX(Mortality!$B$4:$E$64,MATCH($D17+BR$5-1,Mortality!$A$4:$A$64,0),$U17)*$V17*$N17,0)</f>
        <v>0</v>
      </c>
      <c r="BS17" s="93">
        <f>IF(AND($T17=1,BS$5&lt;=$H17),INDEX(Mortality!$B$4:$E$64,MATCH($D17+BS$5-1,Mortality!$A$4:$A$64,0),$U17)*$V17*$N17,0)</f>
        <v>0</v>
      </c>
      <c r="BT17" s="93">
        <f>IF(AND($T17=1,BT$5&lt;=$H17),INDEX(Mortality!$B$4:$E$64,MATCH($D17+BT$5-1,Mortality!$A$4:$A$64,0),$U17)*$V17*$N17,0)</f>
        <v>0</v>
      </c>
      <c r="BU17" s="93">
        <f>IF(AND($T17=1,BU$5&lt;=$H17),INDEX(Mortality!$B$4:$E$64,MATCH($D17+BU$5-1,Mortality!$A$4:$A$64,0),$U17)*$V17*$N17,0)</f>
        <v>0</v>
      </c>
      <c r="BV17" s="93">
        <f>IF(AND($T17=1,BV$5&lt;=$H17),INDEX(Mortality!$B$4:$E$64,MATCH($D17+BV$5-1,Mortality!$A$4:$A$64,0),$U17)*$V17*$N17,0)</f>
        <v>0</v>
      </c>
      <c r="BW17" s="93">
        <f>IF(AND($T17=1,BW$5&lt;=$H17),INDEX(Mortality!$B$4:$E$64,MATCH($D17+BW$5-1,Mortality!$A$4:$A$64,0),$U17)*$V17*$N17,0)</f>
        <v>0</v>
      </c>
      <c r="BX17" s="93">
        <f>IF(AND($T17=1,BX$5&lt;=$H17),INDEX(Mortality!$B$4:$E$64,MATCH($D17+BX$5-1,Mortality!$A$4:$A$64,0),$U17)*$V17*$N17,0)</f>
        <v>0</v>
      </c>
      <c r="BY17" s="93">
        <f>IF(AND($T17=1,BY$5&lt;=$H17),INDEX(Mortality!$B$4:$E$64,MATCH($D17+BY$5-1,Mortality!$A$4:$A$64,0),$U17)*$V17*$N17,0)</f>
        <v>0</v>
      </c>
      <c r="BZ17" s="93">
        <f>IF(AND($T17=1,BZ$5&lt;=$H17),INDEX(Mortality!$B$4:$E$64,MATCH($D17+BZ$5-1,Mortality!$A$4:$A$64,0),$U17)*$V17*$N17,0)</f>
        <v>0</v>
      </c>
      <c r="CA17" s="93">
        <f>IF(AND($T17=1,CA$5&lt;=$H17),INDEX(Mortality!$B$4:$E$64,MATCH($D17+CA$5-1,Mortality!$A$4:$A$64,0),$U17)*$V17*$N17,0)</f>
        <v>0</v>
      </c>
      <c r="CB17" s="93">
        <f>IF(AND($T17=1,CB$5&lt;=$H17),INDEX(Mortality!$B$4:$E$64,MATCH($D17+CB$5-1,Mortality!$A$4:$A$64,0),$U17)*$V17*$N17,0)</f>
        <v>0</v>
      </c>
      <c r="CC17" s="93">
        <f>IF(AND($T17=1,CC$5&lt;=$H17),INDEX(Mortality!$B$4:$E$64,MATCH($D17+CC$5-1,Mortality!$A$4:$A$64,0),$U17)*$V17*$N17,0)</f>
        <v>0</v>
      </c>
      <c r="CD17" s="93">
        <f>IF(AND($T17=1,CD$5&lt;=$H17),INDEX(Mortality!$B$4:$E$64,MATCH($D17+CD$5-1,Mortality!$A$4:$A$64,0),$U17)*$V17*$N17,0)</f>
        <v>0</v>
      </c>
      <c r="CE17" s="93">
        <f>IF(AND($T17=1,CE$5&lt;=$H17),INDEX(Mortality!$B$4:$E$64,MATCH($D17+CE$5-1,Mortality!$A$4:$A$64,0),$U17)*$V17*$N17,0)</f>
        <v>0</v>
      </c>
      <c r="CF17" s="93">
        <f>IF(AND($T17=1,CF$5&lt;=$H17),INDEX(Mortality!$B$4:$E$64,MATCH($D17+CF$5-1,Mortality!$A$4:$A$64,0),$U17)*$V17*$N17,0)</f>
        <v>0</v>
      </c>
      <c r="CG17" s="93">
        <f>IF(AND($T17=1,CG$5&lt;=$H17),INDEX(Mortality!$B$4:$E$64,MATCH($D17+CG$5-1,Mortality!$A$4:$A$64,0),$U17)*$V17*$N17,0)</f>
        <v>0</v>
      </c>
      <c r="CH17" s="94">
        <f>IF(AND($T17=1,CH$5&lt;=$H17),INDEX(Mortality!$B$4:$E$64,MATCH($D17+CH$5-1,Mortality!$A$4:$A$64,0),$U17)*$V17*$N17,0)</f>
        <v>0</v>
      </c>
      <c r="CI17" s="26"/>
      <c r="CJ17" s="419">
        <f t="shared" si="17"/>
        <v>1</v>
      </c>
      <c r="CK17" s="93">
        <f>IF(AND($T17=1,CK$5&lt;=$H17),CJ17*(1-AU17)*(1-MIN(1,MAX(Assumptions!$C$27,Assumptions!$C$13*Assumptions!$C$28^(CJ$5-1))*$O17)),0)</f>
        <v>0.87962803197725037</v>
      </c>
      <c r="CL17" s="93">
        <f>IF(AND($T17=1,CL$5&lt;=$H17),CK17*(1-AV17)*(1-MIN(1,MAX(Assumptions!$C$27,Assumptions!$C$13*Assumptions!$C$28^(CK$5-1))*$O17)),0)</f>
        <v>0.78954427822772988</v>
      </c>
      <c r="CM17" s="93">
        <f>IF(AND($T17=1,CM$5&lt;=$H17),CL17*(1-AW17)*(1-MIN(1,MAX(Assumptions!$C$27,Assumptions!$C$13*Assumptions!$C$28^(CL$5-1))*$O17)),0)</f>
        <v>0.72073310490533871</v>
      </c>
      <c r="CN17" s="93">
        <f>IF(AND($T17=1,CN$5&lt;=$H17),CM17*(1-AX17)*(1-MIN(1,MAX(Assumptions!$C$27,Assumptions!$C$13*Assumptions!$C$28^(CM$5-1))*$O17)),0)</f>
        <v>0.66725993685201457</v>
      </c>
      <c r="CO17" s="93">
        <f>IF(AND($T17=1,CO$5&lt;=$H17),CN17*(1-AY17)*(1-MIN(1,MAX(Assumptions!$C$27,Assumptions!$C$13*Assumptions!$C$28^(CN$5-1))*$O17)),0)</f>
        <v>0.62509819273434331</v>
      </c>
      <c r="CP17" s="93">
        <f>IF(AND($T17=1,CP$5&lt;=$H17),CO17*(1-AZ17)*(1-MIN(1,MAX(Assumptions!$C$27,Assumptions!$C$13*Assumptions!$C$28^(CO$5-1))*$O17)),0)</f>
        <v>0.59144187885656507</v>
      </c>
      <c r="CQ17" s="93">
        <f>IF(AND($T17=1,CQ$5&lt;=$H17),CP17*(1-BA17)*(1-MIN(1,MAX(Assumptions!$C$27,Assumptions!$C$13*Assumptions!$C$28^(CP$5-1))*$O17)),0)</f>
        <v>0.5642887075731372</v>
      </c>
      <c r="CR17" s="93">
        <f>IF(AND($T17=1,CR$5&lt;=$H17),CQ17*(1-BB17)*(1-MIN(1,MAX(Assumptions!$C$27,Assumptions!$C$13*Assumptions!$C$28^(CQ$5-1))*$O17)),0)</f>
        <v>0.54217943755905917</v>
      </c>
      <c r="CS17" s="93">
        <f>IF(AND($T17=1,CS$5&lt;=$H17),CR17*(1-BC17)*(1-MIN(1,MAX(Assumptions!$C$27,Assumptions!$C$13*Assumptions!$C$28^(CR$5-1))*$O17)),0)</f>
        <v>0.52403037339996894</v>
      </c>
      <c r="CT17" s="93">
        <f>IF(AND($T17=1,CT$5&lt;=$H17),CS17*(1-BD17)*(1-MIN(1,MAX(Assumptions!$C$27,Assumptions!$C$13*Assumptions!$C$28^(CS$5-1))*$O17)),0)</f>
        <v>0</v>
      </c>
      <c r="CU17" s="93">
        <f>IF(AND($T17=1,CU$5&lt;=$H17),CT17*(1-BE17)*(1-MIN(1,MAX(Assumptions!$C$27,Assumptions!$C$13*Assumptions!$C$28^(CT$5-1))*$O17)),0)</f>
        <v>0</v>
      </c>
      <c r="CV17" s="93">
        <f>IF(AND($T17=1,CV$5&lt;=$H17),CU17*(1-BF17)*(1-MIN(1,MAX(Assumptions!$C$27,Assumptions!$C$13*Assumptions!$C$28^(CU$5-1))*$O17)),0)</f>
        <v>0</v>
      </c>
      <c r="CW17" s="93">
        <f>IF(AND($T17=1,CW$5&lt;=$H17),CV17*(1-BG17)*(1-MIN(1,MAX(Assumptions!$C$27,Assumptions!$C$13*Assumptions!$C$28^(CV$5-1))*$O17)),0)</f>
        <v>0</v>
      </c>
      <c r="CX17" s="93">
        <f>IF(AND($T17=1,CX$5&lt;=$H17),CW17*(1-BH17)*(1-MIN(1,MAX(Assumptions!$C$27,Assumptions!$C$13*Assumptions!$C$28^(CW$5-1))*$O17)),0)</f>
        <v>0</v>
      </c>
      <c r="CY17" s="93">
        <f>IF(AND($T17=1,CY$5&lt;=$H17),CX17*(1-BI17)*(1-MIN(1,MAX(Assumptions!$C$27,Assumptions!$C$13*Assumptions!$C$28^(CX$5-1))*$O17)),0)</f>
        <v>0</v>
      </c>
      <c r="CZ17" s="93">
        <f>IF(AND($T17=1,CZ$5&lt;=$H17),CY17*(1-BJ17)*(1-MIN(1,MAX(Assumptions!$C$27,Assumptions!$C$13*Assumptions!$C$28^(CY$5-1))*$O17)),0)</f>
        <v>0</v>
      </c>
      <c r="DA17" s="93">
        <f>IF(AND($T17=1,DA$5&lt;=$H17),CZ17*(1-BK17)*(1-MIN(1,MAX(Assumptions!$C$27,Assumptions!$C$13*Assumptions!$C$28^(CZ$5-1))*$O17)),0)</f>
        <v>0</v>
      </c>
      <c r="DB17" s="93">
        <f>IF(AND($T17=1,DB$5&lt;=$H17),DA17*(1-BL17)*(1-MIN(1,MAX(Assumptions!$C$27,Assumptions!$C$13*Assumptions!$C$28^(DA$5-1))*$O17)),0)</f>
        <v>0</v>
      </c>
      <c r="DC17" s="93">
        <f>IF(AND($T17=1,DC$5&lt;=$H17),DB17*(1-BM17)*(1-MIN(1,MAX(Assumptions!$C$27,Assumptions!$C$13*Assumptions!$C$28^(DB$5-1))*$O17)),0)</f>
        <v>0</v>
      </c>
      <c r="DD17" s="93">
        <f>IF(AND($T17=1,DD$5&lt;=$H17),DC17*(1-BN17)*(1-MIN(1,MAX(Assumptions!$C$27,Assumptions!$C$13*Assumptions!$C$28^(DC$5-1))*$O17)),0)</f>
        <v>0</v>
      </c>
      <c r="DE17" s="93">
        <f>IF(AND($T17=1,DE$5&lt;=$H17),DD17*(1-BO17)*(1-MIN(1,MAX(Assumptions!$C$27,Assumptions!$C$13*Assumptions!$C$28^(DD$5-1))*$O17)),0)</f>
        <v>0</v>
      </c>
      <c r="DF17" s="93">
        <f>IF(AND($T17=1,DF$5&lt;=$H17),DE17*(1-BP17)*(1-MIN(1,MAX(Assumptions!$C$27,Assumptions!$C$13*Assumptions!$C$28^(DE$5-1))*$O17)),0)</f>
        <v>0</v>
      </c>
      <c r="DG17" s="93">
        <f>IF(AND($T17=1,DG$5&lt;=$H17),DF17*(1-BQ17)*(1-MIN(1,MAX(Assumptions!$C$27,Assumptions!$C$13*Assumptions!$C$28^(DF$5-1))*$O17)),0)</f>
        <v>0</v>
      </c>
      <c r="DH17" s="93">
        <f>IF(AND($T17=1,DH$5&lt;=$H17),DG17*(1-BR17)*(1-MIN(1,MAX(Assumptions!$C$27,Assumptions!$C$13*Assumptions!$C$28^(DG$5-1))*$O17)),0)</f>
        <v>0</v>
      </c>
      <c r="DI17" s="93">
        <f>IF(AND($T17=1,DI$5&lt;=$H17),DH17*(1-BS17)*(1-MIN(1,MAX(Assumptions!$C$27,Assumptions!$C$13*Assumptions!$C$28^(DH$5-1))*$O17)),0)</f>
        <v>0</v>
      </c>
      <c r="DJ17" s="93">
        <f>IF(AND($T17=1,DJ$5&lt;=$H17),DI17*(1-BT17)*(1-MIN(1,MAX(Assumptions!$C$27,Assumptions!$C$13*Assumptions!$C$28^(DI$5-1))*$O17)),0)</f>
        <v>0</v>
      </c>
      <c r="DK17" s="93">
        <f>IF(AND($T17=1,DK$5&lt;=$H17),DJ17*(1-BU17)*(1-MIN(1,MAX(Assumptions!$C$27,Assumptions!$C$13*Assumptions!$C$28^(DJ$5-1))*$O17)),0)</f>
        <v>0</v>
      </c>
      <c r="DL17" s="93">
        <f>IF(AND($T17=1,DL$5&lt;=$H17),DK17*(1-BV17)*(1-MIN(1,MAX(Assumptions!$C$27,Assumptions!$C$13*Assumptions!$C$28^(DK$5-1))*$O17)),0)</f>
        <v>0</v>
      </c>
      <c r="DM17" s="93">
        <f>IF(AND($T17=1,DM$5&lt;=$H17),DL17*(1-BW17)*(1-MIN(1,MAX(Assumptions!$C$27,Assumptions!$C$13*Assumptions!$C$28^(DL$5-1))*$O17)),0)</f>
        <v>0</v>
      </c>
      <c r="DN17" s="93">
        <f>IF(AND($T17=1,DN$5&lt;=$H17),DM17*(1-BX17)*(1-MIN(1,MAX(Assumptions!$C$27,Assumptions!$C$13*Assumptions!$C$28^(DM$5-1))*$O17)),0)</f>
        <v>0</v>
      </c>
      <c r="DO17" s="93">
        <f>IF(AND($T17=1,DO$5&lt;=$H17),DN17*(1-BY17)*(1-MIN(1,MAX(Assumptions!$C$27,Assumptions!$C$13*Assumptions!$C$28^(DN$5-1))*$O17)),0)</f>
        <v>0</v>
      </c>
      <c r="DP17" s="93">
        <f>IF(AND($T17=1,DP$5&lt;=$H17),DO17*(1-BZ17)*(1-MIN(1,MAX(Assumptions!$C$27,Assumptions!$C$13*Assumptions!$C$28^(DO$5-1))*$O17)),0)</f>
        <v>0</v>
      </c>
      <c r="DQ17" s="93">
        <f>IF(AND($T17=1,DQ$5&lt;=$H17),DP17*(1-CA17)*(1-MIN(1,MAX(Assumptions!$C$27,Assumptions!$C$13*Assumptions!$C$28^(DP$5-1))*$O17)),0)</f>
        <v>0</v>
      </c>
      <c r="DR17" s="93">
        <f>IF(AND($T17=1,DR$5&lt;=$H17),DQ17*(1-CB17)*(1-MIN(1,MAX(Assumptions!$C$27,Assumptions!$C$13*Assumptions!$C$28^(DQ$5-1))*$O17)),0)</f>
        <v>0</v>
      </c>
      <c r="DS17" s="93">
        <f>IF(AND($T17=1,DS$5&lt;=$H17),DR17*(1-CC17)*(1-MIN(1,MAX(Assumptions!$C$27,Assumptions!$C$13*Assumptions!$C$28^(DR$5-1))*$O17)),0)</f>
        <v>0</v>
      </c>
      <c r="DT17" s="93">
        <f>IF(AND($T17=1,DT$5&lt;=$H17),DS17*(1-CD17)*(1-MIN(1,MAX(Assumptions!$C$27,Assumptions!$C$13*Assumptions!$C$28^(DS$5-1))*$O17)),0)</f>
        <v>0</v>
      </c>
      <c r="DU17" s="93">
        <f>IF(AND($T17=1,DU$5&lt;=$H17),DT17*(1-CE17)*(1-MIN(1,MAX(Assumptions!$C$27,Assumptions!$C$13*Assumptions!$C$28^(DT$5-1))*$O17)),0)</f>
        <v>0</v>
      </c>
      <c r="DV17" s="93">
        <f>IF(AND($T17=1,DV$5&lt;=$H17),DU17*(1-CF17)*(1-MIN(1,MAX(Assumptions!$C$27,Assumptions!$C$13*Assumptions!$C$28^(DU$5-1))*$O17)),0)</f>
        <v>0</v>
      </c>
      <c r="DW17" s="94">
        <f>IF(AND($T17=1,DW$5&lt;=$H17),DV17*(1-CG17)*(1-MIN(1,MAX(Assumptions!$C$27,Assumptions!$C$13*Assumptions!$C$28^(DV$5-1))*$O17)),0)</f>
        <v>0</v>
      </c>
      <c r="DX17" s="26"/>
      <c r="DY17" s="26"/>
      <c r="DZ17" s="26"/>
      <c r="EA17" s="26"/>
      <c r="EB17" s="26"/>
      <c r="EC17" s="26"/>
      <c r="ED17" s="26"/>
    </row>
    <row r="18" spans="1:134" x14ac:dyDescent="0.3">
      <c r="A18" s="382" t="s">
        <v>412</v>
      </c>
      <c r="B18" s="383" t="s">
        <v>413</v>
      </c>
      <c r="C18" s="383" t="s">
        <v>288</v>
      </c>
      <c r="D18" s="384">
        <f>'Premium Calculation'!$B$4</f>
        <v>24</v>
      </c>
      <c r="E18" s="385" t="str">
        <f>'Premium Calculation'!$B$5</f>
        <v>Male</v>
      </c>
      <c r="F18" s="385" t="str">
        <f>'Premium Calculation'!$B$6</f>
        <v>Smoker</v>
      </c>
      <c r="G18" s="385" t="str">
        <f>'Premium Calculation'!$B$7</f>
        <v>Preferred</v>
      </c>
      <c r="H18" s="384">
        <f>'Premium Calculation'!$B$8</f>
        <v>10</v>
      </c>
      <c r="I18" s="386">
        <f>'Premium Calculation'!$B$9</f>
        <v>100000</v>
      </c>
      <c r="J18" s="385" t="str">
        <f>'Premium Calculation'!$B$10</f>
        <v>Monthly</v>
      </c>
      <c r="K18" s="385" t="str">
        <f>'Premium Calculation'!$B$31</f>
        <v>Bancassurance</v>
      </c>
      <c r="L18" s="383" t="s">
        <v>389</v>
      </c>
      <c r="M18" s="386">
        <f>'Premium Calculation'!$B$29</f>
        <v>562.44258371429942</v>
      </c>
      <c r="N18" s="387">
        <f>Assumptions!$C$21</f>
        <v>1</v>
      </c>
      <c r="O18" s="387">
        <f>Assumptions!$C$22</f>
        <v>1</v>
      </c>
      <c r="P18" s="387">
        <f>Assumptions!$C$23</f>
        <v>1</v>
      </c>
      <c r="Q18" s="388">
        <f>Assumptions!$C$24+Sensitivities!$C$30</f>
        <v>0.05</v>
      </c>
      <c r="R18" s="388">
        <f>Assumptions!$C$6+Assumptions!$C$25</f>
        <v>3.5000000000000003E-2</v>
      </c>
      <c r="S18" s="388">
        <f>Assumptions!$C$15</f>
        <v>1.1000000000000001E-3</v>
      </c>
      <c r="T18" s="26">
        <f t="shared" si="0"/>
        <v>1</v>
      </c>
      <c r="U18" s="26">
        <f t="shared" si="1"/>
        <v>4</v>
      </c>
      <c r="V18" s="389">
        <f>IF($G18="Preferred",Assumptions!$C$30,IF($G18="Rated",Assumptions!$C$31,1))</f>
        <v>0.8</v>
      </c>
      <c r="W18" s="390">
        <f>IF($K18="Direct",Assumptions!$C$32,IF($K18="Broker",Assumptions!$C$33,IF($K18="Bancassurance",Assumptions!$C$34,Assumptions!$C$11)))+$Q18</f>
        <v>0.25</v>
      </c>
      <c r="X18" s="390">
        <f>Assumptions!$C$12+$Q18</f>
        <v>0.1</v>
      </c>
      <c r="Y18" s="131">
        <f>MIN($I18,Assumptions!$C$14)</f>
        <v>100000</v>
      </c>
      <c r="Z18" s="131">
        <f>MAX($I18-Assumptions!$C$14,0)</f>
        <v>0</v>
      </c>
      <c r="AA18" s="389">
        <f t="shared" si="2"/>
        <v>5.8605636374350922</v>
      </c>
      <c r="AB18" s="389">
        <f t="shared" si="3"/>
        <v>3.3989780815334159E-3</v>
      </c>
      <c r="AC18" s="389">
        <f>IF($T18=1,SUMPRODUCT($CJ18:$DW18,(1+Assumptions!$C$5)^($CJ$5:$DW$5-1),(1+$R18)^(-$CJ$5:$DW$5)),0)</f>
        <v>6.7981476079723411</v>
      </c>
      <c r="AD18" s="389">
        <f t="shared" si="4"/>
        <v>0.73098389997539326</v>
      </c>
      <c r="AE18" s="131">
        <f>IF($T18=1,$AB18*$Y18+(Assumptions!$C$9/(1+$R18)+Assumptions!$C$10*$AC18)*$P18+$S18*$Z18*$AA18,0)</f>
        <v>2705.0554992985608</v>
      </c>
      <c r="AF18" s="131">
        <f>IF($T18=1,IF($AA18-$AD18-Assumptions!$C$16*$AA18&gt;0,$AE18/($AA18-$AD18-Assumptions!$C$16*$AA18)*IF($J18="Monthly",1+Assumptions!$C$29,1),"n.a."),"")</f>
        <v>597.80428958572452</v>
      </c>
      <c r="AG18" s="131">
        <f t="shared" si="5"/>
        <v>562.44258371429942</v>
      </c>
      <c r="AH18" s="131">
        <f t="shared" si="6"/>
        <v>3296.2305542610661</v>
      </c>
      <c r="AI18" s="131">
        <f t="shared" si="7"/>
        <v>180.0385816067901</v>
      </c>
      <c r="AJ18" s="390">
        <f t="shared" si="8"/>
        <v>5.4619535449076113E-2</v>
      </c>
      <c r="AK18" s="389">
        <f t="shared" si="9"/>
        <v>0.94084735341071135</v>
      </c>
      <c r="AL18" s="131">
        <f t="shared" si="10"/>
        <v>0</v>
      </c>
      <c r="AM18" s="131">
        <f t="shared" si="11"/>
        <v>0</v>
      </c>
      <c r="AN18" s="131">
        <f t="shared" si="12"/>
        <v>0</v>
      </c>
      <c r="AO18" s="131">
        <f t="shared" si="13"/>
        <v>180.0385816067901</v>
      </c>
      <c r="AP18" s="26" t="str">
        <f t="shared" si="14"/>
        <v>20-29</v>
      </c>
      <c r="AQ18" s="26" t="str">
        <f t="shared" si="15"/>
        <v>Up to 250k</v>
      </c>
      <c r="AR18" s="26" t="str">
        <f>IF($T18=1,IF($AI18&lt;0,"Loss-making",IF($AJ18&lt;Assumptions!$C$16-0.00001,"Below target","At/above target")),"Excluded")</f>
        <v>Below target</v>
      </c>
      <c r="AS18" s="103">
        <f t="shared" si="16"/>
        <v>180.03859960679011</v>
      </c>
      <c r="AT18" s="26"/>
      <c r="AU18" s="419">
        <f>IF(AND($T18=1,AU$5&lt;=$H18),INDEX(Mortality!$B$4:$E$64,MATCH($D18+AU$5-1,Mortality!$A$4:$A$64,0),$U18)*$V18*$N18,0)</f>
        <v>4.2269093494277525E-4</v>
      </c>
      <c r="AV18" s="93">
        <f>IF(AND($T18=1,AV$5&lt;=$H18),INDEX(Mortality!$B$4:$E$64,MATCH($D18+AV$5-1,Mortality!$A$4:$A$64,0),$U18)*$V18*$N18,0)</f>
        <v>4.5789562344694478E-4</v>
      </c>
      <c r="AW18" s="93">
        <f>IF(AND($T18=1,AW$5&lt;=$H18),INDEX(Mortality!$B$4:$E$64,MATCH($D18+AW$5-1,Mortality!$A$4:$A$64,0),$U18)*$V18*$N18,0)</f>
        <v>4.960324072250384E-4</v>
      </c>
      <c r="AX18" s="93">
        <f>IF(AND($T18=1,AX$5&lt;=$H18),INDEX(Mortality!$B$4:$E$64,MATCH($D18+AX$5-1,Mortality!$A$4:$A$64,0),$U18)*$V18*$N18,0)</f>
        <v>5.3734549189456246E-4</v>
      </c>
      <c r="AY18" s="93">
        <f>IF(AND($T18=1,AY$5&lt;=$H18),INDEX(Mortality!$B$4:$E$64,MATCH($D18+AY$5-1,Mortality!$A$4:$A$64,0),$U18)*$V18*$N18,0)</f>
        <v>5.8209942224281914E-4</v>
      </c>
      <c r="AZ18" s="93">
        <f>IF(AND($T18=1,AZ$5&lt;=$H18),INDEX(Mortality!$B$4:$E$64,MATCH($D18+AZ$5-1,Mortality!$A$4:$A$64,0),$U18)*$V18*$N18,0)</f>
        <v>6.3058077621671118E-4</v>
      </c>
      <c r="BA18" s="93">
        <f>IF(AND($T18=1,BA$5&lt;=$H18),INDEX(Mortality!$B$4:$E$64,MATCH($D18+BA$5-1,Mortality!$A$4:$A$64,0),$U18)*$V18*$N18,0)</f>
        <v>6.8310000000000007E-4</v>
      </c>
      <c r="BB18" s="93">
        <f>IF(AND($T18=1,BB$5&lt;=$H18),INDEX(Mortality!$B$4:$E$64,MATCH($D18+BB$5-1,Mortality!$A$4:$A$64,0),$U18)*$V18*$N18,0)</f>
        <v>7.3999339592876405E-4</v>
      </c>
      <c r="BC18" s="93">
        <f>IF(AND($T18=1,BC$5&lt;=$H18),INDEX(Mortality!$B$4:$E$64,MATCH($D18+BC$5-1,Mortality!$A$4:$A$64,0),$U18)*$V18*$N18,0)</f>
        <v>8.0162527597450392E-4</v>
      </c>
      <c r="BD18" s="93">
        <f>IF(AND($T18=1,BD$5&lt;=$H18),INDEX(Mortality!$B$4:$E$64,MATCH($D18+BD$5-1,Mortality!$A$4:$A$64,0),$U18)*$V18*$N18,0)</f>
        <v>8.6839029458455209E-4</v>
      </c>
      <c r="BE18" s="93">
        <f>IF(AND($T18=1,BE$5&lt;=$H18),INDEX(Mortality!$B$4:$E$64,MATCH($D18+BE$5-1,Mortality!$A$4:$A$64,0),$U18)*$V18*$N18,0)</f>
        <v>0</v>
      </c>
      <c r="BF18" s="93">
        <f>IF(AND($T18=1,BF$5&lt;=$H18),INDEX(Mortality!$B$4:$E$64,MATCH($D18+BF$5-1,Mortality!$A$4:$A$64,0),$U18)*$V18*$N18,0)</f>
        <v>0</v>
      </c>
      <c r="BG18" s="93">
        <f>IF(AND($T18=1,BG$5&lt;=$H18),INDEX(Mortality!$B$4:$E$64,MATCH($D18+BG$5-1,Mortality!$A$4:$A$64,0),$U18)*$V18*$N18,0)</f>
        <v>0</v>
      </c>
      <c r="BH18" s="93">
        <f>IF(AND($T18=1,BH$5&lt;=$H18),INDEX(Mortality!$B$4:$E$64,MATCH($D18+BH$5-1,Mortality!$A$4:$A$64,0),$U18)*$V18*$N18,0)</f>
        <v>0</v>
      </c>
      <c r="BI18" s="93">
        <f>IF(AND($T18=1,BI$5&lt;=$H18),INDEX(Mortality!$B$4:$E$64,MATCH($D18+BI$5-1,Mortality!$A$4:$A$64,0),$U18)*$V18*$N18,0)</f>
        <v>0</v>
      </c>
      <c r="BJ18" s="93">
        <f>IF(AND($T18=1,BJ$5&lt;=$H18),INDEX(Mortality!$B$4:$E$64,MATCH($D18+BJ$5-1,Mortality!$A$4:$A$64,0),$U18)*$V18*$N18,0)</f>
        <v>0</v>
      </c>
      <c r="BK18" s="93">
        <f>IF(AND($T18=1,BK$5&lt;=$H18),INDEX(Mortality!$B$4:$E$64,MATCH($D18+BK$5-1,Mortality!$A$4:$A$64,0),$U18)*$V18*$N18,0)</f>
        <v>0</v>
      </c>
      <c r="BL18" s="93">
        <f>IF(AND($T18=1,BL$5&lt;=$H18),INDEX(Mortality!$B$4:$E$64,MATCH($D18+BL$5-1,Mortality!$A$4:$A$64,0),$U18)*$V18*$N18,0)</f>
        <v>0</v>
      </c>
      <c r="BM18" s="93">
        <f>IF(AND($T18=1,BM$5&lt;=$H18),INDEX(Mortality!$B$4:$E$64,MATCH($D18+BM$5-1,Mortality!$A$4:$A$64,0),$U18)*$V18*$N18,0)</f>
        <v>0</v>
      </c>
      <c r="BN18" s="93">
        <f>IF(AND($T18=1,BN$5&lt;=$H18),INDEX(Mortality!$B$4:$E$64,MATCH($D18+BN$5-1,Mortality!$A$4:$A$64,0),$U18)*$V18*$N18,0)</f>
        <v>0</v>
      </c>
      <c r="BO18" s="93">
        <f>IF(AND($T18=1,BO$5&lt;=$H18),INDEX(Mortality!$B$4:$E$64,MATCH($D18+BO$5-1,Mortality!$A$4:$A$64,0),$U18)*$V18*$N18,0)</f>
        <v>0</v>
      </c>
      <c r="BP18" s="93">
        <f>IF(AND($T18=1,BP$5&lt;=$H18),INDEX(Mortality!$B$4:$E$64,MATCH($D18+BP$5-1,Mortality!$A$4:$A$64,0),$U18)*$V18*$N18,0)</f>
        <v>0</v>
      </c>
      <c r="BQ18" s="93">
        <f>IF(AND($T18=1,BQ$5&lt;=$H18),INDEX(Mortality!$B$4:$E$64,MATCH($D18+BQ$5-1,Mortality!$A$4:$A$64,0),$U18)*$V18*$N18,0)</f>
        <v>0</v>
      </c>
      <c r="BR18" s="93">
        <f>IF(AND($T18=1,BR$5&lt;=$H18),INDEX(Mortality!$B$4:$E$64,MATCH($D18+BR$5-1,Mortality!$A$4:$A$64,0),$U18)*$V18*$N18,0)</f>
        <v>0</v>
      </c>
      <c r="BS18" s="93">
        <f>IF(AND($T18=1,BS$5&lt;=$H18),INDEX(Mortality!$B$4:$E$64,MATCH($D18+BS$5-1,Mortality!$A$4:$A$64,0),$U18)*$V18*$N18,0)</f>
        <v>0</v>
      </c>
      <c r="BT18" s="93">
        <f>IF(AND($T18=1,BT$5&lt;=$H18),INDEX(Mortality!$B$4:$E$64,MATCH($D18+BT$5-1,Mortality!$A$4:$A$64,0),$U18)*$V18*$N18,0)</f>
        <v>0</v>
      </c>
      <c r="BU18" s="93">
        <f>IF(AND($T18=1,BU$5&lt;=$H18),INDEX(Mortality!$B$4:$E$64,MATCH($D18+BU$5-1,Mortality!$A$4:$A$64,0),$U18)*$V18*$N18,0)</f>
        <v>0</v>
      </c>
      <c r="BV18" s="93">
        <f>IF(AND($T18=1,BV$5&lt;=$H18),INDEX(Mortality!$B$4:$E$64,MATCH($D18+BV$5-1,Mortality!$A$4:$A$64,0),$U18)*$V18*$N18,0)</f>
        <v>0</v>
      </c>
      <c r="BW18" s="93">
        <f>IF(AND($T18=1,BW$5&lt;=$H18),INDEX(Mortality!$B$4:$E$64,MATCH($D18+BW$5-1,Mortality!$A$4:$A$64,0),$U18)*$V18*$N18,0)</f>
        <v>0</v>
      </c>
      <c r="BX18" s="93">
        <f>IF(AND($T18=1,BX$5&lt;=$H18),INDEX(Mortality!$B$4:$E$64,MATCH($D18+BX$5-1,Mortality!$A$4:$A$64,0),$U18)*$V18*$N18,0)</f>
        <v>0</v>
      </c>
      <c r="BY18" s="93">
        <f>IF(AND($T18=1,BY$5&lt;=$H18),INDEX(Mortality!$B$4:$E$64,MATCH($D18+BY$5-1,Mortality!$A$4:$A$64,0),$U18)*$V18*$N18,0)</f>
        <v>0</v>
      </c>
      <c r="BZ18" s="93">
        <f>IF(AND($T18=1,BZ$5&lt;=$H18),INDEX(Mortality!$B$4:$E$64,MATCH($D18+BZ$5-1,Mortality!$A$4:$A$64,0),$U18)*$V18*$N18,0)</f>
        <v>0</v>
      </c>
      <c r="CA18" s="93">
        <f>IF(AND($T18=1,CA$5&lt;=$H18),INDEX(Mortality!$B$4:$E$64,MATCH($D18+CA$5-1,Mortality!$A$4:$A$64,0),$U18)*$V18*$N18,0)</f>
        <v>0</v>
      </c>
      <c r="CB18" s="93">
        <f>IF(AND($T18=1,CB$5&lt;=$H18),INDEX(Mortality!$B$4:$E$64,MATCH($D18+CB$5-1,Mortality!$A$4:$A$64,0),$U18)*$V18*$N18,0)</f>
        <v>0</v>
      </c>
      <c r="CC18" s="93">
        <f>IF(AND($T18=1,CC$5&lt;=$H18),INDEX(Mortality!$B$4:$E$64,MATCH($D18+CC$5-1,Mortality!$A$4:$A$64,0),$U18)*$V18*$N18,0)</f>
        <v>0</v>
      </c>
      <c r="CD18" s="93">
        <f>IF(AND($T18=1,CD$5&lt;=$H18),INDEX(Mortality!$B$4:$E$64,MATCH($D18+CD$5-1,Mortality!$A$4:$A$64,0),$U18)*$V18*$N18,0)</f>
        <v>0</v>
      </c>
      <c r="CE18" s="93">
        <f>IF(AND($T18=1,CE$5&lt;=$H18),INDEX(Mortality!$B$4:$E$64,MATCH($D18+CE$5-1,Mortality!$A$4:$A$64,0),$U18)*$V18*$N18,0)</f>
        <v>0</v>
      </c>
      <c r="CF18" s="93">
        <f>IF(AND($T18=1,CF$5&lt;=$H18),INDEX(Mortality!$B$4:$E$64,MATCH($D18+CF$5-1,Mortality!$A$4:$A$64,0),$U18)*$V18*$N18,0)</f>
        <v>0</v>
      </c>
      <c r="CG18" s="93">
        <f>IF(AND($T18=1,CG$5&lt;=$H18),INDEX(Mortality!$B$4:$E$64,MATCH($D18+CG$5-1,Mortality!$A$4:$A$64,0),$U18)*$V18*$N18,0)</f>
        <v>0</v>
      </c>
      <c r="CH18" s="94">
        <f>IF(AND($T18=1,CH$5&lt;=$H18),INDEX(Mortality!$B$4:$E$64,MATCH($D18+CH$5-1,Mortality!$A$4:$A$64,0),$U18)*$V18*$N18,0)</f>
        <v>0</v>
      </c>
      <c r="CI18" s="26"/>
      <c r="CJ18" s="419">
        <f t="shared" si="17"/>
        <v>1</v>
      </c>
      <c r="CK18" s="93">
        <f>IF(AND($T18=1,CK$5&lt;=$H18),CJ18*(1-AU18)*(1-MIN(1,MAX(Assumptions!$C$27,Assumptions!$C$13*Assumptions!$C$28^(CJ$5-1))*$O18)),0)</f>
        <v>0.87962803197725037</v>
      </c>
      <c r="CL18" s="93">
        <f>IF(AND($T18=1,CL$5&lt;=$H18),CK18*(1-AV18)*(1-MIN(1,MAX(Assumptions!$C$27,Assumptions!$C$13*Assumptions!$C$28^(CK$5-1))*$O18)),0)</f>
        <v>0.78954427822772988</v>
      </c>
      <c r="CM18" s="93">
        <f>IF(AND($T18=1,CM$5&lt;=$H18),CL18*(1-AW18)*(1-MIN(1,MAX(Assumptions!$C$27,Assumptions!$C$13*Assumptions!$C$28^(CL$5-1))*$O18)),0)</f>
        <v>0.72073310490533871</v>
      </c>
      <c r="CN18" s="93">
        <f>IF(AND($T18=1,CN$5&lt;=$H18),CM18*(1-AX18)*(1-MIN(1,MAX(Assumptions!$C$27,Assumptions!$C$13*Assumptions!$C$28^(CM$5-1))*$O18)),0)</f>
        <v>0.66725993685201457</v>
      </c>
      <c r="CO18" s="93">
        <f>IF(AND($T18=1,CO$5&lt;=$H18),CN18*(1-AY18)*(1-MIN(1,MAX(Assumptions!$C$27,Assumptions!$C$13*Assumptions!$C$28^(CN$5-1))*$O18)),0)</f>
        <v>0.62509819273434331</v>
      </c>
      <c r="CP18" s="93">
        <f>IF(AND($T18=1,CP$5&lt;=$H18),CO18*(1-AZ18)*(1-MIN(1,MAX(Assumptions!$C$27,Assumptions!$C$13*Assumptions!$C$28^(CO$5-1))*$O18)),0)</f>
        <v>0.59144187885656507</v>
      </c>
      <c r="CQ18" s="93">
        <f>IF(AND($T18=1,CQ$5&lt;=$H18),CP18*(1-BA18)*(1-MIN(1,MAX(Assumptions!$C$27,Assumptions!$C$13*Assumptions!$C$28^(CP$5-1))*$O18)),0)</f>
        <v>0.5642887075731372</v>
      </c>
      <c r="CR18" s="93">
        <f>IF(AND($T18=1,CR$5&lt;=$H18),CQ18*(1-BB18)*(1-MIN(1,MAX(Assumptions!$C$27,Assumptions!$C$13*Assumptions!$C$28^(CQ$5-1))*$O18)),0)</f>
        <v>0.54217943755905917</v>
      </c>
      <c r="CS18" s="93">
        <f>IF(AND($T18=1,CS$5&lt;=$H18),CR18*(1-BC18)*(1-MIN(1,MAX(Assumptions!$C$27,Assumptions!$C$13*Assumptions!$C$28^(CR$5-1))*$O18)),0)</f>
        <v>0.52403037339996894</v>
      </c>
      <c r="CT18" s="93">
        <f>IF(AND($T18=1,CT$5&lt;=$H18),CS18*(1-BD18)*(1-MIN(1,MAX(Assumptions!$C$27,Assumptions!$C$13*Assumptions!$C$28^(CS$5-1))*$O18)),0)</f>
        <v>0</v>
      </c>
      <c r="CU18" s="93">
        <f>IF(AND($T18=1,CU$5&lt;=$H18),CT18*(1-BE18)*(1-MIN(1,MAX(Assumptions!$C$27,Assumptions!$C$13*Assumptions!$C$28^(CT$5-1))*$O18)),0)</f>
        <v>0</v>
      </c>
      <c r="CV18" s="93">
        <f>IF(AND($T18=1,CV$5&lt;=$H18),CU18*(1-BF18)*(1-MIN(1,MAX(Assumptions!$C$27,Assumptions!$C$13*Assumptions!$C$28^(CU$5-1))*$O18)),0)</f>
        <v>0</v>
      </c>
      <c r="CW18" s="93">
        <f>IF(AND($T18=1,CW$5&lt;=$H18),CV18*(1-BG18)*(1-MIN(1,MAX(Assumptions!$C$27,Assumptions!$C$13*Assumptions!$C$28^(CV$5-1))*$O18)),0)</f>
        <v>0</v>
      </c>
      <c r="CX18" s="93">
        <f>IF(AND($T18=1,CX$5&lt;=$H18),CW18*(1-BH18)*(1-MIN(1,MAX(Assumptions!$C$27,Assumptions!$C$13*Assumptions!$C$28^(CW$5-1))*$O18)),0)</f>
        <v>0</v>
      </c>
      <c r="CY18" s="93">
        <f>IF(AND($T18=1,CY$5&lt;=$H18),CX18*(1-BI18)*(1-MIN(1,MAX(Assumptions!$C$27,Assumptions!$C$13*Assumptions!$C$28^(CX$5-1))*$O18)),0)</f>
        <v>0</v>
      </c>
      <c r="CZ18" s="93">
        <f>IF(AND($T18=1,CZ$5&lt;=$H18),CY18*(1-BJ18)*(1-MIN(1,MAX(Assumptions!$C$27,Assumptions!$C$13*Assumptions!$C$28^(CY$5-1))*$O18)),0)</f>
        <v>0</v>
      </c>
      <c r="DA18" s="93">
        <f>IF(AND($T18=1,DA$5&lt;=$H18),CZ18*(1-BK18)*(1-MIN(1,MAX(Assumptions!$C$27,Assumptions!$C$13*Assumptions!$C$28^(CZ$5-1))*$O18)),0)</f>
        <v>0</v>
      </c>
      <c r="DB18" s="93">
        <f>IF(AND($T18=1,DB$5&lt;=$H18),DA18*(1-BL18)*(1-MIN(1,MAX(Assumptions!$C$27,Assumptions!$C$13*Assumptions!$C$28^(DA$5-1))*$O18)),0)</f>
        <v>0</v>
      </c>
      <c r="DC18" s="93">
        <f>IF(AND($T18=1,DC$5&lt;=$H18),DB18*(1-BM18)*(1-MIN(1,MAX(Assumptions!$C$27,Assumptions!$C$13*Assumptions!$C$28^(DB$5-1))*$O18)),0)</f>
        <v>0</v>
      </c>
      <c r="DD18" s="93">
        <f>IF(AND($T18=1,DD$5&lt;=$H18),DC18*(1-BN18)*(1-MIN(1,MAX(Assumptions!$C$27,Assumptions!$C$13*Assumptions!$C$28^(DC$5-1))*$O18)),0)</f>
        <v>0</v>
      </c>
      <c r="DE18" s="93">
        <f>IF(AND($T18=1,DE$5&lt;=$H18),DD18*(1-BO18)*(1-MIN(1,MAX(Assumptions!$C$27,Assumptions!$C$13*Assumptions!$C$28^(DD$5-1))*$O18)),0)</f>
        <v>0</v>
      </c>
      <c r="DF18" s="93">
        <f>IF(AND($T18=1,DF$5&lt;=$H18),DE18*(1-BP18)*(1-MIN(1,MAX(Assumptions!$C$27,Assumptions!$C$13*Assumptions!$C$28^(DE$5-1))*$O18)),0)</f>
        <v>0</v>
      </c>
      <c r="DG18" s="93">
        <f>IF(AND($T18=1,DG$5&lt;=$H18),DF18*(1-BQ18)*(1-MIN(1,MAX(Assumptions!$C$27,Assumptions!$C$13*Assumptions!$C$28^(DF$5-1))*$O18)),0)</f>
        <v>0</v>
      </c>
      <c r="DH18" s="93">
        <f>IF(AND($T18=1,DH$5&lt;=$H18),DG18*(1-BR18)*(1-MIN(1,MAX(Assumptions!$C$27,Assumptions!$C$13*Assumptions!$C$28^(DG$5-1))*$O18)),0)</f>
        <v>0</v>
      </c>
      <c r="DI18" s="93">
        <f>IF(AND($T18=1,DI$5&lt;=$H18),DH18*(1-BS18)*(1-MIN(1,MAX(Assumptions!$C$27,Assumptions!$C$13*Assumptions!$C$28^(DH$5-1))*$O18)),0)</f>
        <v>0</v>
      </c>
      <c r="DJ18" s="93">
        <f>IF(AND($T18=1,DJ$5&lt;=$H18),DI18*(1-BT18)*(1-MIN(1,MAX(Assumptions!$C$27,Assumptions!$C$13*Assumptions!$C$28^(DI$5-1))*$O18)),0)</f>
        <v>0</v>
      </c>
      <c r="DK18" s="93">
        <f>IF(AND($T18=1,DK$5&lt;=$H18),DJ18*(1-BU18)*(1-MIN(1,MAX(Assumptions!$C$27,Assumptions!$C$13*Assumptions!$C$28^(DJ$5-1))*$O18)),0)</f>
        <v>0</v>
      </c>
      <c r="DL18" s="93">
        <f>IF(AND($T18=1,DL$5&lt;=$H18),DK18*(1-BV18)*(1-MIN(1,MAX(Assumptions!$C$27,Assumptions!$C$13*Assumptions!$C$28^(DK$5-1))*$O18)),0)</f>
        <v>0</v>
      </c>
      <c r="DM18" s="93">
        <f>IF(AND($T18=1,DM$5&lt;=$H18),DL18*(1-BW18)*(1-MIN(1,MAX(Assumptions!$C$27,Assumptions!$C$13*Assumptions!$C$28^(DL$5-1))*$O18)),0)</f>
        <v>0</v>
      </c>
      <c r="DN18" s="93">
        <f>IF(AND($T18=1,DN$5&lt;=$H18),DM18*(1-BX18)*(1-MIN(1,MAX(Assumptions!$C$27,Assumptions!$C$13*Assumptions!$C$28^(DM$5-1))*$O18)),0)</f>
        <v>0</v>
      </c>
      <c r="DO18" s="93">
        <f>IF(AND($T18=1,DO$5&lt;=$H18),DN18*(1-BY18)*(1-MIN(1,MAX(Assumptions!$C$27,Assumptions!$C$13*Assumptions!$C$28^(DN$5-1))*$O18)),0)</f>
        <v>0</v>
      </c>
      <c r="DP18" s="93">
        <f>IF(AND($T18=1,DP$5&lt;=$H18),DO18*(1-BZ18)*(1-MIN(1,MAX(Assumptions!$C$27,Assumptions!$C$13*Assumptions!$C$28^(DO$5-1))*$O18)),0)</f>
        <v>0</v>
      </c>
      <c r="DQ18" s="93">
        <f>IF(AND($T18=1,DQ$5&lt;=$H18),DP18*(1-CA18)*(1-MIN(1,MAX(Assumptions!$C$27,Assumptions!$C$13*Assumptions!$C$28^(DP$5-1))*$O18)),0)</f>
        <v>0</v>
      </c>
      <c r="DR18" s="93">
        <f>IF(AND($T18=1,DR$5&lt;=$H18),DQ18*(1-CB18)*(1-MIN(1,MAX(Assumptions!$C$27,Assumptions!$C$13*Assumptions!$C$28^(DQ$5-1))*$O18)),0)</f>
        <v>0</v>
      </c>
      <c r="DS18" s="93">
        <f>IF(AND($T18=1,DS$5&lt;=$H18),DR18*(1-CC18)*(1-MIN(1,MAX(Assumptions!$C$27,Assumptions!$C$13*Assumptions!$C$28^(DR$5-1))*$O18)),0)</f>
        <v>0</v>
      </c>
      <c r="DT18" s="93">
        <f>IF(AND($T18=1,DT$5&lt;=$H18),DS18*(1-CD18)*(1-MIN(1,MAX(Assumptions!$C$27,Assumptions!$C$13*Assumptions!$C$28^(DS$5-1))*$O18)),0)</f>
        <v>0</v>
      </c>
      <c r="DU18" s="93">
        <f>IF(AND($T18=1,DU$5&lt;=$H18),DT18*(1-CE18)*(1-MIN(1,MAX(Assumptions!$C$27,Assumptions!$C$13*Assumptions!$C$28^(DT$5-1))*$O18)),0)</f>
        <v>0</v>
      </c>
      <c r="DV18" s="93">
        <f>IF(AND($T18=1,DV$5&lt;=$H18),DU18*(1-CF18)*(1-MIN(1,MAX(Assumptions!$C$27,Assumptions!$C$13*Assumptions!$C$28^(DU$5-1))*$O18)),0)</f>
        <v>0</v>
      </c>
      <c r="DW18" s="94">
        <f>IF(AND($T18=1,DW$5&lt;=$H18),DV18*(1-CG18)*(1-MIN(1,MAX(Assumptions!$C$27,Assumptions!$C$13*Assumptions!$C$28^(DV$5-1))*$O18)),0)</f>
        <v>0</v>
      </c>
      <c r="DX18" s="26"/>
      <c r="DY18" s="26"/>
      <c r="DZ18" s="26"/>
      <c r="EA18" s="26"/>
      <c r="EB18" s="26"/>
      <c r="EC18" s="26"/>
      <c r="ED18" s="26"/>
    </row>
    <row r="19" spans="1:134" x14ac:dyDescent="0.3">
      <c r="A19" s="382" t="s">
        <v>414</v>
      </c>
      <c r="B19" s="383" t="s">
        <v>415</v>
      </c>
      <c r="C19" s="383" t="s">
        <v>288</v>
      </c>
      <c r="D19" s="384">
        <f>'Premium Calculation'!$B$4</f>
        <v>24</v>
      </c>
      <c r="E19" s="385" t="str">
        <f>'Premium Calculation'!$B$5</f>
        <v>Male</v>
      </c>
      <c r="F19" s="385" t="str">
        <f>'Premium Calculation'!$B$6</f>
        <v>Smoker</v>
      </c>
      <c r="G19" s="385" t="str">
        <f>'Premium Calculation'!$B$7</f>
        <v>Preferred</v>
      </c>
      <c r="H19" s="384">
        <f>'Premium Calculation'!$B$8</f>
        <v>10</v>
      </c>
      <c r="I19" s="386">
        <f>'Premium Calculation'!$B$9</f>
        <v>100000</v>
      </c>
      <c r="J19" s="385" t="str">
        <f>'Premium Calculation'!$B$10</f>
        <v>Monthly</v>
      </c>
      <c r="K19" s="385" t="str">
        <f>'Premium Calculation'!$B$31</f>
        <v>Bancassurance</v>
      </c>
      <c r="L19" s="383" t="s">
        <v>389</v>
      </c>
      <c r="M19" s="386">
        <f>'Premium Calculation'!$B$29</f>
        <v>562.44258371429942</v>
      </c>
      <c r="N19" s="387">
        <f>Assumptions!$C$21</f>
        <v>1</v>
      </c>
      <c r="O19" s="387">
        <f>Assumptions!$C$22</f>
        <v>1</v>
      </c>
      <c r="P19" s="387">
        <f>Assumptions!$C$23</f>
        <v>1</v>
      </c>
      <c r="Q19" s="388">
        <f>Assumptions!$C$24</f>
        <v>0</v>
      </c>
      <c r="R19" s="388">
        <f>(Assumptions!$C$6+Assumptions!$C$25)-Sensitivities!$C$31</f>
        <v>2.5000000000000001E-2</v>
      </c>
      <c r="S19" s="388">
        <f>Assumptions!$C$15</f>
        <v>1.1000000000000001E-3</v>
      </c>
      <c r="T19" s="26">
        <f t="shared" si="0"/>
        <v>1</v>
      </c>
      <c r="U19" s="26">
        <f t="shared" si="1"/>
        <v>4</v>
      </c>
      <c r="V19" s="389">
        <f>IF($G19="Preferred",Assumptions!$C$30,IF($G19="Rated",Assumptions!$C$31,1))</f>
        <v>0.8</v>
      </c>
      <c r="W19" s="390">
        <f>IF($K19="Direct",Assumptions!$C$32,IF($K19="Broker",Assumptions!$C$33,IF($K19="Bancassurance",Assumptions!$C$34,Assumptions!$C$11)))+$Q19</f>
        <v>0.2</v>
      </c>
      <c r="X19" s="390">
        <f>Assumptions!$C$12+$Q19</f>
        <v>0.05</v>
      </c>
      <c r="Y19" s="131">
        <f>MIN($I19,Assumptions!$C$14)</f>
        <v>100000</v>
      </c>
      <c r="Z19" s="131">
        <f>MAX($I19-Assumptions!$C$14,0)</f>
        <v>0</v>
      </c>
      <c r="AA19" s="389">
        <f t="shared" si="2"/>
        <v>6.1319597775730319</v>
      </c>
      <c r="AB19" s="389">
        <f t="shared" si="3"/>
        <v>3.5795941743155821E-3</v>
      </c>
      <c r="AC19" s="389">
        <f>IF($T19=1,SUMPRODUCT($CJ19:$DW19,(1+Assumptions!$C$5)^($CJ$5:$DW$5-1),(1+$R19)^(-$CJ$5:$DW$5)),0)</f>
        <v>7.1353960166657115</v>
      </c>
      <c r="AD19" s="389">
        <f t="shared" si="4"/>
        <v>0.4529394522932858</v>
      </c>
      <c r="AE19" s="131">
        <f>IF($T19=1,$AB19*$Y19+(Assumptions!$C$9/(1+$R19)+Assumptions!$C$10*$AC19)*$P19+$S19*$Z19*$AA19,0)</f>
        <v>2805.7953215858197</v>
      </c>
      <c r="AF19" s="131">
        <f>IF($T19=1,IF($AA19-$AD19-Assumptions!$C$16*$AA19&gt;0,$AE19/($AA19-$AD19-Assumptions!$C$16*$AA19)*IF($J19="Monthly",1+Assumptions!$C$29,1),"n.a."),"")</f>
        <v>556.99903396087723</v>
      </c>
      <c r="AG19" s="131">
        <f t="shared" si="5"/>
        <v>562.44258371429942</v>
      </c>
      <c r="AH19" s="131">
        <f t="shared" si="6"/>
        <v>3448.875300530337</v>
      </c>
      <c r="AI19" s="131">
        <f t="shared" si="7"/>
        <v>388.32754313054147</v>
      </c>
      <c r="AJ19" s="390">
        <f t="shared" si="8"/>
        <v>0.1125954142415146</v>
      </c>
      <c r="AK19" s="389">
        <f t="shared" si="9"/>
        <v>1.0097729967585627</v>
      </c>
      <c r="AL19" s="131">
        <f t="shared" si="10"/>
        <v>0</v>
      </c>
      <c r="AM19" s="131">
        <f t="shared" si="11"/>
        <v>0</v>
      </c>
      <c r="AN19" s="131">
        <f t="shared" si="12"/>
        <v>0</v>
      </c>
      <c r="AO19" s="131">
        <f t="shared" si="13"/>
        <v>388.32754313054147</v>
      </c>
      <c r="AP19" s="26" t="str">
        <f t="shared" si="14"/>
        <v>20-29</v>
      </c>
      <c r="AQ19" s="26" t="str">
        <f t="shared" si="15"/>
        <v>Up to 250k</v>
      </c>
      <c r="AR19" s="26" t="str">
        <f>IF($T19=1,IF($AI19&lt;0,"Loss-making",IF($AJ19&lt;Assumptions!$C$16-0.00001,"Below target","At/above target")),"Excluded")</f>
        <v>At/above target</v>
      </c>
      <c r="AS19" s="103">
        <f t="shared" si="16"/>
        <v>388.32756213054148</v>
      </c>
      <c r="AT19" s="26"/>
      <c r="AU19" s="419">
        <f>IF(AND($T19=1,AU$5&lt;=$H19),INDEX(Mortality!$B$4:$E$64,MATCH($D19+AU$5-1,Mortality!$A$4:$A$64,0),$U19)*$V19*$N19,0)</f>
        <v>4.2269093494277525E-4</v>
      </c>
      <c r="AV19" s="93">
        <f>IF(AND($T19=1,AV$5&lt;=$H19),INDEX(Mortality!$B$4:$E$64,MATCH($D19+AV$5-1,Mortality!$A$4:$A$64,0),$U19)*$V19*$N19,0)</f>
        <v>4.5789562344694478E-4</v>
      </c>
      <c r="AW19" s="93">
        <f>IF(AND($T19=1,AW$5&lt;=$H19),INDEX(Mortality!$B$4:$E$64,MATCH($D19+AW$5-1,Mortality!$A$4:$A$64,0),$U19)*$V19*$N19,0)</f>
        <v>4.960324072250384E-4</v>
      </c>
      <c r="AX19" s="93">
        <f>IF(AND($T19=1,AX$5&lt;=$H19),INDEX(Mortality!$B$4:$E$64,MATCH($D19+AX$5-1,Mortality!$A$4:$A$64,0),$U19)*$V19*$N19,0)</f>
        <v>5.3734549189456246E-4</v>
      </c>
      <c r="AY19" s="93">
        <f>IF(AND($T19=1,AY$5&lt;=$H19),INDEX(Mortality!$B$4:$E$64,MATCH($D19+AY$5-1,Mortality!$A$4:$A$64,0),$U19)*$V19*$N19,0)</f>
        <v>5.8209942224281914E-4</v>
      </c>
      <c r="AZ19" s="93">
        <f>IF(AND($T19=1,AZ$5&lt;=$H19),INDEX(Mortality!$B$4:$E$64,MATCH($D19+AZ$5-1,Mortality!$A$4:$A$64,0),$U19)*$V19*$N19,0)</f>
        <v>6.3058077621671118E-4</v>
      </c>
      <c r="BA19" s="93">
        <f>IF(AND($T19=1,BA$5&lt;=$H19),INDEX(Mortality!$B$4:$E$64,MATCH($D19+BA$5-1,Mortality!$A$4:$A$64,0),$U19)*$V19*$N19,0)</f>
        <v>6.8310000000000007E-4</v>
      </c>
      <c r="BB19" s="93">
        <f>IF(AND($T19=1,BB$5&lt;=$H19),INDEX(Mortality!$B$4:$E$64,MATCH($D19+BB$5-1,Mortality!$A$4:$A$64,0),$U19)*$V19*$N19,0)</f>
        <v>7.3999339592876405E-4</v>
      </c>
      <c r="BC19" s="93">
        <f>IF(AND($T19=1,BC$5&lt;=$H19),INDEX(Mortality!$B$4:$E$64,MATCH($D19+BC$5-1,Mortality!$A$4:$A$64,0),$U19)*$V19*$N19,0)</f>
        <v>8.0162527597450392E-4</v>
      </c>
      <c r="BD19" s="93">
        <f>IF(AND($T19=1,BD$5&lt;=$H19),INDEX(Mortality!$B$4:$E$64,MATCH($D19+BD$5-1,Mortality!$A$4:$A$64,0),$U19)*$V19*$N19,0)</f>
        <v>8.6839029458455209E-4</v>
      </c>
      <c r="BE19" s="93">
        <f>IF(AND($T19=1,BE$5&lt;=$H19),INDEX(Mortality!$B$4:$E$64,MATCH($D19+BE$5-1,Mortality!$A$4:$A$64,0),$U19)*$V19*$N19,0)</f>
        <v>0</v>
      </c>
      <c r="BF19" s="93">
        <f>IF(AND($T19=1,BF$5&lt;=$H19),INDEX(Mortality!$B$4:$E$64,MATCH($D19+BF$5-1,Mortality!$A$4:$A$64,0),$U19)*$V19*$N19,0)</f>
        <v>0</v>
      </c>
      <c r="BG19" s="93">
        <f>IF(AND($T19=1,BG$5&lt;=$H19),INDEX(Mortality!$B$4:$E$64,MATCH($D19+BG$5-1,Mortality!$A$4:$A$64,0),$U19)*$V19*$N19,0)</f>
        <v>0</v>
      </c>
      <c r="BH19" s="93">
        <f>IF(AND($T19=1,BH$5&lt;=$H19),INDEX(Mortality!$B$4:$E$64,MATCH($D19+BH$5-1,Mortality!$A$4:$A$64,0),$U19)*$V19*$N19,0)</f>
        <v>0</v>
      </c>
      <c r="BI19" s="93">
        <f>IF(AND($T19=1,BI$5&lt;=$H19),INDEX(Mortality!$B$4:$E$64,MATCH($D19+BI$5-1,Mortality!$A$4:$A$64,0),$U19)*$V19*$N19,0)</f>
        <v>0</v>
      </c>
      <c r="BJ19" s="93">
        <f>IF(AND($T19=1,BJ$5&lt;=$H19),INDEX(Mortality!$B$4:$E$64,MATCH($D19+BJ$5-1,Mortality!$A$4:$A$64,0),$U19)*$V19*$N19,0)</f>
        <v>0</v>
      </c>
      <c r="BK19" s="93">
        <f>IF(AND($T19=1,BK$5&lt;=$H19),INDEX(Mortality!$B$4:$E$64,MATCH($D19+BK$5-1,Mortality!$A$4:$A$64,0),$U19)*$V19*$N19,0)</f>
        <v>0</v>
      </c>
      <c r="BL19" s="93">
        <f>IF(AND($T19=1,BL$5&lt;=$H19),INDEX(Mortality!$B$4:$E$64,MATCH($D19+BL$5-1,Mortality!$A$4:$A$64,0),$U19)*$V19*$N19,0)</f>
        <v>0</v>
      </c>
      <c r="BM19" s="93">
        <f>IF(AND($T19=1,BM$5&lt;=$H19),INDEX(Mortality!$B$4:$E$64,MATCH($D19+BM$5-1,Mortality!$A$4:$A$64,0),$U19)*$V19*$N19,0)</f>
        <v>0</v>
      </c>
      <c r="BN19" s="93">
        <f>IF(AND($T19=1,BN$5&lt;=$H19),INDEX(Mortality!$B$4:$E$64,MATCH($D19+BN$5-1,Mortality!$A$4:$A$64,0),$U19)*$V19*$N19,0)</f>
        <v>0</v>
      </c>
      <c r="BO19" s="93">
        <f>IF(AND($T19=1,BO$5&lt;=$H19),INDEX(Mortality!$B$4:$E$64,MATCH($D19+BO$5-1,Mortality!$A$4:$A$64,0),$U19)*$V19*$N19,0)</f>
        <v>0</v>
      </c>
      <c r="BP19" s="93">
        <f>IF(AND($T19=1,BP$5&lt;=$H19),INDEX(Mortality!$B$4:$E$64,MATCH($D19+BP$5-1,Mortality!$A$4:$A$64,0),$U19)*$V19*$N19,0)</f>
        <v>0</v>
      </c>
      <c r="BQ19" s="93">
        <f>IF(AND($T19=1,BQ$5&lt;=$H19),INDEX(Mortality!$B$4:$E$64,MATCH($D19+BQ$5-1,Mortality!$A$4:$A$64,0),$U19)*$V19*$N19,0)</f>
        <v>0</v>
      </c>
      <c r="BR19" s="93">
        <f>IF(AND($T19=1,BR$5&lt;=$H19),INDEX(Mortality!$B$4:$E$64,MATCH($D19+BR$5-1,Mortality!$A$4:$A$64,0),$U19)*$V19*$N19,0)</f>
        <v>0</v>
      </c>
      <c r="BS19" s="93">
        <f>IF(AND($T19=1,BS$5&lt;=$H19),INDEX(Mortality!$B$4:$E$64,MATCH($D19+BS$5-1,Mortality!$A$4:$A$64,0),$U19)*$V19*$N19,0)</f>
        <v>0</v>
      </c>
      <c r="BT19" s="93">
        <f>IF(AND($T19=1,BT$5&lt;=$H19),INDEX(Mortality!$B$4:$E$64,MATCH($D19+BT$5-1,Mortality!$A$4:$A$64,0),$U19)*$V19*$N19,0)</f>
        <v>0</v>
      </c>
      <c r="BU19" s="93">
        <f>IF(AND($T19=1,BU$5&lt;=$H19),INDEX(Mortality!$B$4:$E$64,MATCH($D19+BU$5-1,Mortality!$A$4:$A$64,0),$U19)*$V19*$N19,0)</f>
        <v>0</v>
      </c>
      <c r="BV19" s="93">
        <f>IF(AND($T19=1,BV$5&lt;=$H19),INDEX(Mortality!$B$4:$E$64,MATCH($D19+BV$5-1,Mortality!$A$4:$A$64,0),$U19)*$V19*$N19,0)</f>
        <v>0</v>
      </c>
      <c r="BW19" s="93">
        <f>IF(AND($T19=1,BW$5&lt;=$H19),INDEX(Mortality!$B$4:$E$64,MATCH($D19+BW$5-1,Mortality!$A$4:$A$64,0),$U19)*$V19*$N19,0)</f>
        <v>0</v>
      </c>
      <c r="BX19" s="93">
        <f>IF(AND($T19=1,BX$5&lt;=$H19),INDEX(Mortality!$B$4:$E$64,MATCH($D19+BX$5-1,Mortality!$A$4:$A$64,0),$U19)*$V19*$N19,0)</f>
        <v>0</v>
      </c>
      <c r="BY19" s="93">
        <f>IF(AND($T19=1,BY$5&lt;=$H19),INDEX(Mortality!$B$4:$E$64,MATCH($D19+BY$5-1,Mortality!$A$4:$A$64,0),$U19)*$V19*$N19,0)</f>
        <v>0</v>
      </c>
      <c r="BZ19" s="93">
        <f>IF(AND($T19=1,BZ$5&lt;=$H19),INDEX(Mortality!$B$4:$E$64,MATCH($D19+BZ$5-1,Mortality!$A$4:$A$64,0),$U19)*$V19*$N19,0)</f>
        <v>0</v>
      </c>
      <c r="CA19" s="93">
        <f>IF(AND($T19=1,CA$5&lt;=$H19),INDEX(Mortality!$B$4:$E$64,MATCH($D19+CA$5-1,Mortality!$A$4:$A$64,0),$U19)*$V19*$N19,0)</f>
        <v>0</v>
      </c>
      <c r="CB19" s="93">
        <f>IF(AND($T19=1,CB$5&lt;=$H19),INDEX(Mortality!$B$4:$E$64,MATCH($D19+CB$5-1,Mortality!$A$4:$A$64,0),$U19)*$V19*$N19,0)</f>
        <v>0</v>
      </c>
      <c r="CC19" s="93">
        <f>IF(AND($T19=1,CC$5&lt;=$H19),INDEX(Mortality!$B$4:$E$64,MATCH($D19+CC$5-1,Mortality!$A$4:$A$64,0),$U19)*$V19*$N19,0)</f>
        <v>0</v>
      </c>
      <c r="CD19" s="93">
        <f>IF(AND($T19=1,CD$5&lt;=$H19),INDEX(Mortality!$B$4:$E$64,MATCH($D19+CD$5-1,Mortality!$A$4:$A$64,0),$U19)*$V19*$N19,0)</f>
        <v>0</v>
      </c>
      <c r="CE19" s="93">
        <f>IF(AND($T19=1,CE$5&lt;=$H19),INDEX(Mortality!$B$4:$E$64,MATCH($D19+CE$5-1,Mortality!$A$4:$A$64,0),$U19)*$V19*$N19,0)</f>
        <v>0</v>
      </c>
      <c r="CF19" s="93">
        <f>IF(AND($T19=1,CF$5&lt;=$H19),INDEX(Mortality!$B$4:$E$64,MATCH($D19+CF$5-1,Mortality!$A$4:$A$64,0),$U19)*$V19*$N19,0)</f>
        <v>0</v>
      </c>
      <c r="CG19" s="93">
        <f>IF(AND($T19=1,CG$5&lt;=$H19),INDEX(Mortality!$B$4:$E$64,MATCH($D19+CG$5-1,Mortality!$A$4:$A$64,0),$U19)*$V19*$N19,0)</f>
        <v>0</v>
      </c>
      <c r="CH19" s="94">
        <f>IF(AND($T19=1,CH$5&lt;=$H19),INDEX(Mortality!$B$4:$E$64,MATCH($D19+CH$5-1,Mortality!$A$4:$A$64,0),$U19)*$V19*$N19,0)</f>
        <v>0</v>
      </c>
      <c r="CI19" s="26"/>
      <c r="CJ19" s="419">
        <f t="shared" si="17"/>
        <v>1</v>
      </c>
      <c r="CK19" s="93">
        <f>IF(AND($T19=1,CK$5&lt;=$H19),CJ19*(1-AU19)*(1-MIN(1,MAX(Assumptions!$C$27,Assumptions!$C$13*Assumptions!$C$28^(CJ$5-1))*$O19)),0)</f>
        <v>0.87962803197725037</v>
      </c>
      <c r="CL19" s="93">
        <f>IF(AND($T19=1,CL$5&lt;=$H19),CK19*(1-AV19)*(1-MIN(1,MAX(Assumptions!$C$27,Assumptions!$C$13*Assumptions!$C$28^(CK$5-1))*$O19)),0)</f>
        <v>0.78954427822772988</v>
      </c>
      <c r="CM19" s="93">
        <f>IF(AND($T19=1,CM$5&lt;=$H19),CL19*(1-AW19)*(1-MIN(1,MAX(Assumptions!$C$27,Assumptions!$C$13*Assumptions!$C$28^(CL$5-1))*$O19)),0)</f>
        <v>0.72073310490533871</v>
      </c>
      <c r="CN19" s="93">
        <f>IF(AND($T19=1,CN$5&lt;=$H19),CM19*(1-AX19)*(1-MIN(1,MAX(Assumptions!$C$27,Assumptions!$C$13*Assumptions!$C$28^(CM$5-1))*$O19)),0)</f>
        <v>0.66725993685201457</v>
      </c>
      <c r="CO19" s="93">
        <f>IF(AND($T19=1,CO$5&lt;=$H19),CN19*(1-AY19)*(1-MIN(1,MAX(Assumptions!$C$27,Assumptions!$C$13*Assumptions!$C$28^(CN$5-1))*$O19)),0)</f>
        <v>0.62509819273434331</v>
      </c>
      <c r="CP19" s="93">
        <f>IF(AND($T19=1,CP$5&lt;=$H19),CO19*(1-AZ19)*(1-MIN(1,MAX(Assumptions!$C$27,Assumptions!$C$13*Assumptions!$C$28^(CO$5-1))*$O19)),0)</f>
        <v>0.59144187885656507</v>
      </c>
      <c r="CQ19" s="93">
        <f>IF(AND($T19=1,CQ$5&lt;=$H19),CP19*(1-BA19)*(1-MIN(1,MAX(Assumptions!$C$27,Assumptions!$C$13*Assumptions!$C$28^(CP$5-1))*$O19)),0)</f>
        <v>0.5642887075731372</v>
      </c>
      <c r="CR19" s="93">
        <f>IF(AND($T19=1,CR$5&lt;=$H19),CQ19*(1-BB19)*(1-MIN(1,MAX(Assumptions!$C$27,Assumptions!$C$13*Assumptions!$C$28^(CQ$5-1))*$O19)),0)</f>
        <v>0.54217943755905917</v>
      </c>
      <c r="CS19" s="93">
        <f>IF(AND($T19=1,CS$5&lt;=$H19),CR19*(1-BC19)*(1-MIN(1,MAX(Assumptions!$C$27,Assumptions!$C$13*Assumptions!$C$28^(CR$5-1))*$O19)),0)</f>
        <v>0.52403037339996894</v>
      </c>
      <c r="CT19" s="93">
        <f>IF(AND($T19=1,CT$5&lt;=$H19),CS19*(1-BD19)*(1-MIN(1,MAX(Assumptions!$C$27,Assumptions!$C$13*Assumptions!$C$28^(CS$5-1))*$O19)),0)</f>
        <v>0</v>
      </c>
      <c r="CU19" s="93">
        <f>IF(AND($T19=1,CU$5&lt;=$H19),CT19*(1-BE19)*(1-MIN(1,MAX(Assumptions!$C$27,Assumptions!$C$13*Assumptions!$C$28^(CT$5-1))*$O19)),0)</f>
        <v>0</v>
      </c>
      <c r="CV19" s="93">
        <f>IF(AND($T19=1,CV$5&lt;=$H19),CU19*(1-BF19)*(1-MIN(1,MAX(Assumptions!$C$27,Assumptions!$C$13*Assumptions!$C$28^(CU$5-1))*$O19)),0)</f>
        <v>0</v>
      </c>
      <c r="CW19" s="93">
        <f>IF(AND($T19=1,CW$5&lt;=$H19),CV19*(1-BG19)*(1-MIN(1,MAX(Assumptions!$C$27,Assumptions!$C$13*Assumptions!$C$28^(CV$5-1))*$O19)),0)</f>
        <v>0</v>
      </c>
      <c r="CX19" s="93">
        <f>IF(AND($T19=1,CX$5&lt;=$H19),CW19*(1-BH19)*(1-MIN(1,MAX(Assumptions!$C$27,Assumptions!$C$13*Assumptions!$C$28^(CW$5-1))*$O19)),0)</f>
        <v>0</v>
      </c>
      <c r="CY19" s="93">
        <f>IF(AND($T19=1,CY$5&lt;=$H19),CX19*(1-BI19)*(1-MIN(1,MAX(Assumptions!$C$27,Assumptions!$C$13*Assumptions!$C$28^(CX$5-1))*$O19)),0)</f>
        <v>0</v>
      </c>
      <c r="CZ19" s="93">
        <f>IF(AND($T19=1,CZ$5&lt;=$H19),CY19*(1-BJ19)*(1-MIN(1,MAX(Assumptions!$C$27,Assumptions!$C$13*Assumptions!$C$28^(CY$5-1))*$O19)),0)</f>
        <v>0</v>
      </c>
      <c r="DA19" s="93">
        <f>IF(AND($T19=1,DA$5&lt;=$H19),CZ19*(1-BK19)*(1-MIN(1,MAX(Assumptions!$C$27,Assumptions!$C$13*Assumptions!$C$28^(CZ$5-1))*$O19)),0)</f>
        <v>0</v>
      </c>
      <c r="DB19" s="93">
        <f>IF(AND($T19=1,DB$5&lt;=$H19),DA19*(1-BL19)*(1-MIN(1,MAX(Assumptions!$C$27,Assumptions!$C$13*Assumptions!$C$28^(DA$5-1))*$O19)),0)</f>
        <v>0</v>
      </c>
      <c r="DC19" s="93">
        <f>IF(AND($T19=1,DC$5&lt;=$H19),DB19*(1-BM19)*(1-MIN(1,MAX(Assumptions!$C$27,Assumptions!$C$13*Assumptions!$C$28^(DB$5-1))*$O19)),0)</f>
        <v>0</v>
      </c>
      <c r="DD19" s="93">
        <f>IF(AND($T19=1,DD$5&lt;=$H19),DC19*(1-BN19)*(1-MIN(1,MAX(Assumptions!$C$27,Assumptions!$C$13*Assumptions!$C$28^(DC$5-1))*$O19)),0)</f>
        <v>0</v>
      </c>
      <c r="DE19" s="93">
        <f>IF(AND($T19=1,DE$5&lt;=$H19),DD19*(1-BO19)*(1-MIN(1,MAX(Assumptions!$C$27,Assumptions!$C$13*Assumptions!$C$28^(DD$5-1))*$O19)),0)</f>
        <v>0</v>
      </c>
      <c r="DF19" s="93">
        <f>IF(AND($T19=1,DF$5&lt;=$H19),DE19*(1-BP19)*(1-MIN(1,MAX(Assumptions!$C$27,Assumptions!$C$13*Assumptions!$C$28^(DE$5-1))*$O19)),0)</f>
        <v>0</v>
      </c>
      <c r="DG19" s="93">
        <f>IF(AND($T19=1,DG$5&lt;=$H19),DF19*(1-BQ19)*(1-MIN(1,MAX(Assumptions!$C$27,Assumptions!$C$13*Assumptions!$C$28^(DF$5-1))*$O19)),0)</f>
        <v>0</v>
      </c>
      <c r="DH19" s="93">
        <f>IF(AND($T19=1,DH$5&lt;=$H19),DG19*(1-BR19)*(1-MIN(1,MAX(Assumptions!$C$27,Assumptions!$C$13*Assumptions!$C$28^(DG$5-1))*$O19)),0)</f>
        <v>0</v>
      </c>
      <c r="DI19" s="93">
        <f>IF(AND($T19=1,DI$5&lt;=$H19),DH19*(1-BS19)*(1-MIN(1,MAX(Assumptions!$C$27,Assumptions!$C$13*Assumptions!$C$28^(DH$5-1))*$O19)),0)</f>
        <v>0</v>
      </c>
      <c r="DJ19" s="93">
        <f>IF(AND($T19=1,DJ$5&lt;=$H19),DI19*(1-BT19)*(1-MIN(1,MAX(Assumptions!$C$27,Assumptions!$C$13*Assumptions!$C$28^(DI$5-1))*$O19)),0)</f>
        <v>0</v>
      </c>
      <c r="DK19" s="93">
        <f>IF(AND($T19=1,DK$5&lt;=$H19),DJ19*(1-BU19)*(1-MIN(1,MAX(Assumptions!$C$27,Assumptions!$C$13*Assumptions!$C$28^(DJ$5-1))*$O19)),0)</f>
        <v>0</v>
      </c>
      <c r="DL19" s="93">
        <f>IF(AND($T19=1,DL$5&lt;=$H19),DK19*(1-BV19)*(1-MIN(1,MAX(Assumptions!$C$27,Assumptions!$C$13*Assumptions!$C$28^(DK$5-1))*$O19)),0)</f>
        <v>0</v>
      </c>
      <c r="DM19" s="93">
        <f>IF(AND($T19=1,DM$5&lt;=$H19),DL19*(1-BW19)*(1-MIN(1,MAX(Assumptions!$C$27,Assumptions!$C$13*Assumptions!$C$28^(DL$5-1))*$O19)),0)</f>
        <v>0</v>
      </c>
      <c r="DN19" s="93">
        <f>IF(AND($T19=1,DN$5&lt;=$H19),DM19*(1-BX19)*(1-MIN(1,MAX(Assumptions!$C$27,Assumptions!$C$13*Assumptions!$C$28^(DM$5-1))*$O19)),0)</f>
        <v>0</v>
      </c>
      <c r="DO19" s="93">
        <f>IF(AND($T19=1,DO$5&lt;=$H19),DN19*(1-BY19)*(1-MIN(1,MAX(Assumptions!$C$27,Assumptions!$C$13*Assumptions!$C$28^(DN$5-1))*$O19)),0)</f>
        <v>0</v>
      </c>
      <c r="DP19" s="93">
        <f>IF(AND($T19=1,DP$5&lt;=$H19),DO19*(1-BZ19)*(1-MIN(1,MAX(Assumptions!$C$27,Assumptions!$C$13*Assumptions!$C$28^(DO$5-1))*$O19)),0)</f>
        <v>0</v>
      </c>
      <c r="DQ19" s="93">
        <f>IF(AND($T19=1,DQ$5&lt;=$H19),DP19*(1-CA19)*(1-MIN(1,MAX(Assumptions!$C$27,Assumptions!$C$13*Assumptions!$C$28^(DP$5-1))*$O19)),0)</f>
        <v>0</v>
      </c>
      <c r="DR19" s="93">
        <f>IF(AND($T19=1,DR$5&lt;=$H19),DQ19*(1-CB19)*(1-MIN(1,MAX(Assumptions!$C$27,Assumptions!$C$13*Assumptions!$C$28^(DQ$5-1))*$O19)),0)</f>
        <v>0</v>
      </c>
      <c r="DS19" s="93">
        <f>IF(AND($T19=1,DS$5&lt;=$H19),DR19*(1-CC19)*(1-MIN(1,MAX(Assumptions!$C$27,Assumptions!$C$13*Assumptions!$C$28^(DR$5-1))*$O19)),0)</f>
        <v>0</v>
      </c>
      <c r="DT19" s="93">
        <f>IF(AND($T19=1,DT$5&lt;=$H19),DS19*(1-CD19)*(1-MIN(1,MAX(Assumptions!$C$27,Assumptions!$C$13*Assumptions!$C$28^(DS$5-1))*$O19)),0)</f>
        <v>0</v>
      </c>
      <c r="DU19" s="93">
        <f>IF(AND($T19=1,DU$5&lt;=$H19),DT19*(1-CE19)*(1-MIN(1,MAX(Assumptions!$C$27,Assumptions!$C$13*Assumptions!$C$28^(DT$5-1))*$O19)),0)</f>
        <v>0</v>
      </c>
      <c r="DV19" s="93">
        <f>IF(AND($T19=1,DV$5&lt;=$H19),DU19*(1-CF19)*(1-MIN(1,MAX(Assumptions!$C$27,Assumptions!$C$13*Assumptions!$C$28^(DU$5-1))*$O19)),0)</f>
        <v>0</v>
      </c>
      <c r="DW19" s="94">
        <f>IF(AND($T19=1,DW$5&lt;=$H19),DV19*(1-CG19)*(1-MIN(1,MAX(Assumptions!$C$27,Assumptions!$C$13*Assumptions!$C$28^(DV$5-1))*$O19)),0)</f>
        <v>0</v>
      </c>
      <c r="DX19" s="26"/>
      <c r="DY19" s="26"/>
      <c r="DZ19" s="26"/>
      <c r="EA19" s="26"/>
      <c r="EB19" s="26"/>
      <c r="EC19" s="26"/>
      <c r="ED19" s="26"/>
    </row>
    <row r="20" spans="1:134" x14ac:dyDescent="0.3">
      <c r="A20" s="382" t="s">
        <v>416</v>
      </c>
      <c r="B20" s="383" t="s">
        <v>417</v>
      </c>
      <c r="C20" s="383" t="s">
        <v>288</v>
      </c>
      <c r="D20" s="384">
        <f>'Premium Calculation'!$B$4</f>
        <v>24</v>
      </c>
      <c r="E20" s="385" t="str">
        <f>'Premium Calculation'!$B$5</f>
        <v>Male</v>
      </c>
      <c r="F20" s="385" t="str">
        <f>'Premium Calculation'!$B$6</f>
        <v>Smoker</v>
      </c>
      <c r="G20" s="385" t="str">
        <f>'Premium Calculation'!$B$7</f>
        <v>Preferred</v>
      </c>
      <c r="H20" s="384">
        <f>'Premium Calculation'!$B$8</f>
        <v>10</v>
      </c>
      <c r="I20" s="386">
        <f>'Premium Calculation'!$B$9</f>
        <v>100000</v>
      </c>
      <c r="J20" s="385" t="str">
        <f>'Premium Calculation'!$B$10</f>
        <v>Monthly</v>
      </c>
      <c r="K20" s="385" t="str">
        <f>'Premium Calculation'!$B$31</f>
        <v>Bancassurance</v>
      </c>
      <c r="L20" s="383" t="s">
        <v>389</v>
      </c>
      <c r="M20" s="386">
        <f>'Premium Calculation'!$B$29</f>
        <v>562.44258371429942</v>
      </c>
      <c r="N20" s="387">
        <f>Assumptions!$C$21</f>
        <v>1</v>
      </c>
      <c r="O20" s="387">
        <f>Assumptions!$C$22</f>
        <v>1</v>
      </c>
      <c r="P20" s="387">
        <f>Assumptions!$C$23</f>
        <v>1</v>
      </c>
      <c r="Q20" s="388">
        <f>Assumptions!$C$24</f>
        <v>0</v>
      </c>
      <c r="R20" s="388">
        <f>(Assumptions!$C$6+Assumptions!$C$25)+Sensitivities!$C$31</f>
        <v>4.5000000000000005E-2</v>
      </c>
      <c r="S20" s="388">
        <f>Assumptions!$C$15</f>
        <v>1.1000000000000001E-3</v>
      </c>
      <c r="T20" s="26">
        <f t="shared" si="0"/>
        <v>1</v>
      </c>
      <c r="U20" s="26">
        <f t="shared" si="1"/>
        <v>4</v>
      </c>
      <c r="V20" s="389">
        <f>IF($G20="Preferred",Assumptions!$C$30,IF($G20="Rated",Assumptions!$C$31,1))</f>
        <v>0.8</v>
      </c>
      <c r="W20" s="390">
        <f>IF($K20="Direct",Assumptions!$C$32,IF($K20="Broker",Assumptions!$C$33,IF($K20="Bancassurance",Assumptions!$C$34,Assumptions!$C$11)))+$Q20</f>
        <v>0.2</v>
      </c>
      <c r="X20" s="390">
        <f>Assumptions!$C$12+$Q20</f>
        <v>0.05</v>
      </c>
      <c r="Y20" s="131">
        <f>MIN($I20,Assumptions!$C$14)</f>
        <v>100000</v>
      </c>
      <c r="Z20" s="131">
        <f>MAX($I20-Assumptions!$C$14,0)</f>
        <v>0</v>
      </c>
      <c r="AA20" s="389">
        <f t="shared" si="2"/>
        <v>5.6078274552177225</v>
      </c>
      <c r="AB20" s="389">
        <f t="shared" si="3"/>
        <v>3.2316422957274528E-3</v>
      </c>
      <c r="AC20" s="389">
        <f>IF($T20=1,SUMPRODUCT($CJ20:$DW20,(1+Assumptions!$C$5)^($CJ$5:$DW$5-1),(1+$R20)^(-$CJ$5:$DW$5)),0)</f>
        <v>6.4848945743390223</v>
      </c>
      <c r="AD20" s="389">
        <f t="shared" si="4"/>
        <v>0.42393204261734552</v>
      </c>
      <c r="AE20" s="131">
        <f>IF($T20=1,$AB20*$Y20+(Assumptions!$C$9/(1+$R20)+Assumptions!$C$10*$AC20)*$P20+$S20*$Z20*$AA20,0)</f>
        <v>2611.0850550660862</v>
      </c>
      <c r="AF20" s="131">
        <f>IF($T20=1,IF($AA20-$AD20-Assumptions!$C$16*$AA20&gt;0,$AE20/($AA20-$AD20-Assumptions!$C$16*$AA20)*IF($J20="Monthly",1+Assumptions!$C$29,1),"n.a."),"")</f>
        <v>567.95453097510983</v>
      </c>
      <c r="AG20" s="131">
        <f t="shared" si="5"/>
        <v>562.44258371429942</v>
      </c>
      <c r="AH20" s="131">
        <f t="shared" si="6"/>
        <v>3154.0809629366404</v>
      </c>
      <c r="AI20" s="131">
        <f t="shared" si="7"/>
        <v>304.55847450157398</v>
      </c>
      <c r="AJ20" s="390">
        <f t="shared" si="8"/>
        <v>9.656013212102571E-2</v>
      </c>
      <c r="AK20" s="389">
        <f t="shared" si="9"/>
        <v>0.99029509060989962</v>
      </c>
      <c r="AL20" s="131">
        <f t="shared" si="10"/>
        <v>0</v>
      </c>
      <c r="AM20" s="131">
        <f t="shared" si="11"/>
        <v>0</v>
      </c>
      <c r="AN20" s="131">
        <f t="shared" si="12"/>
        <v>0</v>
      </c>
      <c r="AO20" s="131">
        <f t="shared" si="13"/>
        <v>304.55847450157398</v>
      </c>
      <c r="AP20" s="26" t="str">
        <f t="shared" si="14"/>
        <v>20-29</v>
      </c>
      <c r="AQ20" s="26" t="str">
        <f t="shared" si="15"/>
        <v>Up to 250k</v>
      </c>
      <c r="AR20" s="26" t="str">
        <f>IF($T20=1,IF($AI20&lt;0,"Loss-making",IF($AJ20&lt;Assumptions!$C$16-0.00001,"Below target","At/above target")),"Excluded")</f>
        <v>At/above target</v>
      </c>
      <c r="AS20" s="103">
        <f t="shared" si="16"/>
        <v>304.55849450157399</v>
      </c>
      <c r="AT20" s="26"/>
      <c r="AU20" s="419">
        <f>IF(AND($T20=1,AU$5&lt;=$H20),INDEX(Mortality!$B$4:$E$64,MATCH($D20+AU$5-1,Mortality!$A$4:$A$64,0),$U20)*$V20*$N20,0)</f>
        <v>4.2269093494277525E-4</v>
      </c>
      <c r="AV20" s="93">
        <f>IF(AND($T20=1,AV$5&lt;=$H20),INDEX(Mortality!$B$4:$E$64,MATCH($D20+AV$5-1,Mortality!$A$4:$A$64,0),$U20)*$V20*$N20,0)</f>
        <v>4.5789562344694478E-4</v>
      </c>
      <c r="AW20" s="93">
        <f>IF(AND($T20=1,AW$5&lt;=$H20),INDEX(Mortality!$B$4:$E$64,MATCH($D20+AW$5-1,Mortality!$A$4:$A$64,0),$U20)*$V20*$N20,0)</f>
        <v>4.960324072250384E-4</v>
      </c>
      <c r="AX20" s="93">
        <f>IF(AND($T20=1,AX$5&lt;=$H20),INDEX(Mortality!$B$4:$E$64,MATCH($D20+AX$5-1,Mortality!$A$4:$A$64,0),$U20)*$V20*$N20,0)</f>
        <v>5.3734549189456246E-4</v>
      </c>
      <c r="AY20" s="93">
        <f>IF(AND($T20=1,AY$5&lt;=$H20),INDEX(Mortality!$B$4:$E$64,MATCH($D20+AY$5-1,Mortality!$A$4:$A$64,0),$U20)*$V20*$N20,0)</f>
        <v>5.8209942224281914E-4</v>
      </c>
      <c r="AZ20" s="93">
        <f>IF(AND($T20=1,AZ$5&lt;=$H20),INDEX(Mortality!$B$4:$E$64,MATCH($D20+AZ$5-1,Mortality!$A$4:$A$64,0),$U20)*$V20*$N20,0)</f>
        <v>6.3058077621671118E-4</v>
      </c>
      <c r="BA20" s="93">
        <f>IF(AND($T20=1,BA$5&lt;=$H20),INDEX(Mortality!$B$4:$E$64,MATCH($D20+BA$5-1,Mortality!$A$4:$A$64,0),$U20)*$V20*$N20,0)</f>
        <v>6.8310000000000007E-4</v>
      </c>
      <c r="BB20" s="93">
        <f>IF(AND($T20=1,BB$5&lt;=$H20),INDEX(Mortality!$B$4:$E$64,MATCH($D20+BB$5-1,Mortality!$A$4:$A$64,0),$U20)*$V20*$N20,0)</f>
        <v>7.3999339592876405E-4</v>
      </c>
      <c r="BC20" s="93">
        <f>IF(AND($T20=1,BC$5&lt;=$H20),INDEX(Mortality!$B$4:$E$64,MATCH($D20+BC$5-1,Mortality!$A$4:$A$64,0),$U20)*$V20*$N20,0)</f>
        <v>8.0162527597450392E-4</v>
      </c>
      <c r="BD20" s="93">
        <f>IF(AND($T20=1,BD$5&lt;=$H20),INDEX(Mortality!$B$4:$E$64,MATCH($D20+BD$5-1,Mortality!$A$4:$A$64,0),$U20)*$V20*$N20,0)</f>
        <v>8.6839029458455209E-4</v>
      </c>
      <c r="BE20" s="93">
        <f>IF(AND($T20=1,BE$5&lt;=$H20),INDEX(Mortality!$B$4:$E$64,MATCH($D20+BE$5-1,Mortality!$A$4:$A$64,0),$U20)*$V20*$N20,0)</f>
        <v>0</v>
      </c>
      <c r="BF20" s="93">
        <f>IF(AND($T20=1,BF$5&lt;=$H20),INDEX(Mortality!$B$4:$E$64,MATCH($D20+BF$5-1,Mortality!$A$4:$A$64,0),$U20)*$V20*$N20,0)</f>
        <v>0</v>
      </c>
      <c r="BG20" s="93">
        <f>IF(AND($T20=1,BG$5&lt;=$H20),INDEX(Mortality!$B$4:$E$64,MATCH($D20+BG$5-1,Mortality!$A$4:$A$64,0),$U20)*$V20*$N20,0)</f>
        <v>0</v>
      </c>
      <c r="BH20" s="93">
        <f>IF(AND($T20=1,BH$5&lt;=$H20),INDEX(Mortality!$B$4:$E$64,MATCH($D20+BH$5-1,Mortality!$A$4:$A$64,0),$U20)*$V20*$N20,0)</f>
        <v>0</v>
      </c>
      <c r="BI20" s="93">
        <f>IF(AND($T20=1,BI$5&lt;=$H20),INDEX(Mortality!$B$4:$E$64,MATCH($D20+BI$5-1,Mortality!$A$4:$A$64,0),$U20)*$V20*$N20,0)</f>
        <v>0</v>
      </c>
      <c r="BJ20" s="93">
        <f>IF(AND($T20=1,BJ$5&lt;=$H20),INDEX(Mortality!$B$4:$E$64,MATCH($D20+BJ$5-1,Mortality!$A$4:$A$64,0),$U20)*$V20*$N20,0)</f>
        <v>0</v>
      </c>
      <c r="BK20" s="93">
        <f>IF(AND($T20=1,BK$5&lt;=$H20),INDEX(Mortality!$B$4:$E$64,MATCH($D20+BK$5-1,Mortality!$A$4:$A$64,0),$U20)*$V20*$N20,0)</f>
        <v>0</v>
      </c>
      <c r="BL20" s="93">
        <f>IF(AND($T20=1,BL$5&lt;=$H20),INDEX(Mortality!$B$4:$E$64,MATCH($D20+BL$5-1,Mortality!$A$4:$A$64,0),$U20)*$V20*$N20,0)</f>
        <v>0</v>
      </c>
      <c r="BM20" s="93">
        <f>IF(AND($T20=1,BM$5&lt;=$H20),INDEX(Mortality!$B$4:$E$64,MATCH($D20+BM$5-1,Mortality!$A$4:$A$64,0),$U20)*$V20*$N20,0)</f>
        <v>0</v>
      </c>
      <c r="BN20" s="93">
        <f>IF(AND($T20=1,BN$5&lt;=$H20),INDEX(Mortality!$B$4:$E$64,MATCH($D20+BN$5-1,Mortality!$A$4:$A$64,0),$U20)*$V20*$N20,0)</f>
        <v>0</v>
      </c>
      <c r="BO20" s="93">
        <f>IF(AND($T20=1,BO$5&lt;=$H20),INDEX(Mortality!$B$4:$E$64,MATCH($D20+BO$5-1,Mortality!$A$4:$A$64,0),$U20)*$V20*$N20,0)</f>
        <v>0</v>
      </c>
      <c r="BP20" s="93">
        <f>IF(AND($T20=1,BP$5&lt;=$H20),INDEX(Mortality!$B$4:$E$64,MATCH($D20+BP$5-1,Mortality!$A$4:$A$64,0),$U20)*$V20*$N20,0)</f>
        <v>0</v>
      </c>
      <c r="BQ20" s="93">
        <f>IF(AND($T20=1,BQ$5&lt;=$H20),INDEX(Mortality!$B$4:$E$64,MATCH($D20+BQ$5-1,Mortality!$A$4:$A$64,0),$U20)*$V20*$N20,0)</f>
        <v>0</v>
      </c>
      <c r="BR20" s="93">
        <f>IF(AND($T20=1,BR$5&lt;=$H20),INDEX(Mortality!$B$4:$E$64,MATCH($D20+BR$5-1,Mortality!$A$4:$A$64,0),$U20)*$V20*$N20,0)</f>
        <v>0</v>
      </c>
      <c r="BS20" s="93">
        <f>IF(AND($T20=1,BS$5&lt;=$H20),INDEX(Mortality!$B$4:$E$64,MATCH($D20+BS$5-1,Mortality!$A$4:$A$64,0),$U20)*$V20*$N20,0)</f>
        <v>0</v>
      </c>
      <c r="BT20" s="93">
        <f>IF(AND($T20=1,BT$5&lt;=$H20),INDEX(Mortality!$B$4:$E$64,MATCH($D20+BT$5-1,Mortality!$A$4:$A$64,0),$U20)*$V20*$N20,0)</f>
        <v>0</v>
      </c>
      <c r="BU20" s="93">
        <f>IF(AND($T20=1,BU$5&lt;=$H20),INDEX(Mortality!$B$4:$E$64,MATCH($D20+BU$5-1,Mortality!$A$4:$A$64,0),$U20)*$V20*$N20,0)</f>
        <v>0</v>
      </c>
      <c r="BV20" s="93">
        <f>IF(AND($T20=1,BV$5&lt;=$H20),INDEX(Mortality!$B$4:$E$64,MATCH($D20+BV$5-1,Mortality!$A$4:$A$64,0),$U20)*$V20*$N20,0)</f>
        <v>0</v>
      </c>
      <c r="BW20" s="93">
        <f>IF(AND($T20=1,BW$5&lt;=$H20),INDEX(Mortality!$B$4:$E$64,MATCH($D20+BW$5-1,Mortality!$A$4:$A$64,0),$U20)*$V20*$N20,0)</f>
        <v>0</v>
      </c>
      <c r="BX20" s="93">
        <f>IF(AND($T20=1,BX$5&lt;=$H20),INDEX(Mortality!$B$4:$E$64,MATCH($D20+BX$5-1,Mortality!$A$4:$A$64,0),$U20)*$V20*$N20,0)</f>
        <v>0</v>
      </c>
      <c r="BY20" s="93">
        <f>IF(AND($T20=1,BY$5&lt;=$H20),INDEX(Mortality!$B$4:$E$64,MATCH($D20+BY$5-1,Mortality!$A$4:$A$64,0),$U20)*$V20*$N20,0)</f>
        <v>0</v>
      </c>
      <c r="BZ20" s="93">
        <f>IF(AND($T20=1,BZ$5&lt;=$H20),INDEX(Mortality!$B$4:$E$64,MATCH($D20+BZ$5-1,Mortality!$A$4:$A$64,0),$U20)*$V20*$N20,0)</f>
        <v>0</v>
      </c>
      <c r="CA20" s="93">
        <f>IF(AND($T20=1,CA$5&lt;=$H20),INDEX(Mortality!$B$4:$E$64,MATCH($D20+CA$5-1,Mortality!$A$4:$A$64,0),$U20)*$V20*$N20,0)</f>
        <v>0</v>
      </c>
      <c r="CB20" s="93">
        <f>IF(AND($T20=1,CB$5&lt;=$H20),INDEX(Mortality!$B$4:$E$64,MATCH($D20+CB$5-1,Mortality!$A$4:$A$64,0),$U20)*$V20*$N20,0)</f>
        <v>0</v>
      </c>
      <c r="CC20" s="93">
        <f>IF(AND($T20=1,CC$5&lt;=$H20),INDEX(Mortality!$B$4:$E$64,MATCH($D20+CC$5-1,Mortality!$A$4:$A$64,0),$U20)*$V20*$N20,0)</f>
        <v>0</v>
      </c>
      <c r="CD20" s="93">
        <f>IF(AND($T20=1,CD$5&lt;=$H20),INDEX(Mortality!$B$4:$E$64,MATCH($D20+CD$5-1,Mortality!$A$4:$A$64,0),$U20)*$V20*$N20,0)</f>
        <v>0</v>
      </c>
      <c r="CE20" s="93">
        <f>IF(AND($T20=1,CE$5&lt;=$H20),INDEX(Mortality!$B$4:$E$64,MATCH($D20+CE$5-1,Mortality!$A$4:$A$64,0),$U20)*$V20*$N20,0)</f>
        <v>0</v>
      </c>
      <c r="CF20" s="93">
        <f>IF(AND($T20=1,CF$5&lt;=$H20),INDEX(Mortality!$B$4:$E$64,MATCH($D20+CF$5-1,Mortality!$A$4:$A$64,0),$U20)*$V20*$N20,0)</f>
        <v>0</v>
      </c>
      <c r="CG20" s="93">
        <f>IF(AND($T20=1,CG$5&lt;=$H20),INDEX(Mortality!$B$4:$E$64,MATCH($D20+CG$5-1,Mortality!$A$4:$A$64,0),$U20)*$V20*$N20,0)</f>
        <v>0</v>
      </c>
      <c r="CH20" s="94">
        <f>IF(AND($T20=1,CH$5&lt;=$H20),INDEX(Mortality!$B$4:$E$64,MATCH($D20+CH$5-1,Mortality!$A$4:$A$64,0),$U20)*$V20*$N20,0)</f>
        <v>0</v>
      </c>
      <c r="CI20" s="26"/>
      <c r="CJ20" s="419">
        <f t="shared" si="17"/>
        <v>1</v>
      </c>
      <c r="CK20" s="93">
        <f>IF(AND($T20=1,CK$5&lt;=$H20),CJ20*(1-AU20)*(1-MIN(1,MAX(Assumptions!$C$27,Assumptions!$C$13*Assumptions!$C$28^(CJ$5-1))*$O20)),0)</f>
        <v>0.87962803197725037</v>
      </c>
      <c r="CL20" s="93">
        <f>IF(AND($T20=1,CL$5&lt;=$H20),CK20*(1-AV20)*(1-MIN(1,MAX(Assumptions!$C$27,Assumptions!$C$13*Assumptions!$C$28^(CK$5-1))*$O20)),0)</f>
        <v>0.78954427822772988</v>
      </c>
      <c r="CM20" s="93">
        <f>IF(AND($T20=1,CM$5&lt;=$H20),CL20*(1-AW20)*(1-MIN(1,MAX(Assumptions!$C$27,Assumptions!$C$13*Assumptions!$C$28^(CL$5-1))*$O20)),0)</f>
        <v>0.72073310490533871</v>
      </c>
      <c r="CN20" s="93">
        <f>IF(AND($T20=1,CN$5&lt;=$H20),CM20*(1-AX20)*(1-MIN(1,MAX(Assumptions!$C$27,Assumptions!$C$13*Assumptions!$C$28^(CM$5-1))*$O20)),0)</f>
        <v>0.66725993685201457</v>
      </c>
      <c r="CO20" s="93">
        <f>IF(AND($T20=1,CO$5&lt;=$H20),CN20*(1-AY20)*(1-MIN(1,MAX(Assumptions!$C$27,Assumptions!$C$13*Assumptions!$C$28^(CN$5-1))*$O20)),0)</f>
        <v>0.62509819273434331</v>
      </c>
      <c r="CP20" s="93">
        <f>IF(AND($T20=1,CP$5&lt;=$H20),CO20*(1-AZ20)*(1-MIN(1,MAX(Assumptions!$C$27,Assumptions!$C$13*Assumptions!$C$28^(CO$5-1))*$O20)),0)</f>
        <v>0.59144187885656507</v>
      </c>
      <c r="CQ20" s="93">
        <f>IF(AND($T20=1,CQ$5&lt;=$H20),CP20*(1-BA20)*(1-MIN(1,MAX(Assumptions!$C$27,Assumptions!$C$13*Assumptions!$C$28^(CP$5-1))*$O20)),0)</f>
        <v>0.5642887075731372</v>
      </c>
      <c r="CR20" s="93">
        <f>IF(AND($T20=1,CR$5&lt;=$H20),CQ20*(1-BB20)*(1-MIN(1,MAX(Assumptions!$C$27,Assumptions!$C$13*Assumptions!$C$28^(CQ$5-1))*$O20)),0)</f>
        <v>0.54217943755905917</v>
      </c>
      <c r="CS20" s="93">
        <f>IF(AND($T20=1,CS$5&lt;=$H20),CR20*(1-BC20)*(1-MIN(1,MAX(Assumptions!$C$27,Assumptions!$C$13*Assumptions!$C$28^(CR$5-1))*$O20)),0)</f>
        <v>0.52403037339996894</v>
      </c>
      <c r="CT20" s="93">
        <f>IF(AND($T20=1,CT$5&lt;=$H20),CS20*(1-BD20)*(1-MIN(1,MAX(Assumptions!$C$27,Assumptions!$C$13*Assumptions!$C$28^(CS$5-1))*$O20)),0)</f>
        <v>0</v>
      </c>
      <c r="CU20" s="93">
        <f>IF(AND($T20=1,CU$5&lt;=$H20),CT20*(1-BE20)*(1-MIN(1,MAX(Assumptions!$C$27,Assumptions!$C$13*Assumptions!$C$28^(CT$5-1))*$O20)),0)</f>
        <v>0</v>
      </c>
      <c r="CV20" s="93">
        <f>IF(AND($T20=1,CV$5&lt;=$H20),CU20*(1-BF20)*(1-MIN(1,MAX(Assumptions!$C$27,Assumptions!$C$13*Assumptions!$C$28^(CU$5-1))*$O20)),0)</f>
        <v>0</v>
      </c>
      <c r="CW20" s="93">
        <f>IF(AND($T20=1,CW$5&lt;=$H20),CV20*(1-BG20)*(1-MIN(1,MAX(Assumptions!$C$27,Assumptions!$C$13*Assumptions!$C$28^(CV$5-1))*$O20)),0)</f>
        <v>0</v>
      </c>
      <c r="CX20" s="93">
        <f>IF(AND($T20=1,CX$5&lt;=$H20),CW20*(1-BH20)*(1-MIN(1,MAX(Assumptions!$C$27,Assumptions!$C$13*Assumptions!$C$28^(CW$5-1))*$O20)),0)</f>
        <v>0</v>
      </c>
      <c r="CY20" s="93">
        <f>IF(AND($T20=1,CY$5&lt;=$H20),CX20*(1-BI20)*(1-MIN(1,MAX(Assumptions!$C$27,Assumptions!$C$13*Assumptions!$C$28^(CX$5-1))*$O20)),0)</f>
        <v>0</v>
      </c>
      <c r="CZ20" s="93">
        <f>IF(AND($T20=1,CZ$5&lt;=$H20),CY20*(1-BJ20)*(1-MIN(1,MAX(Assumptions!$C$27,Assumptions!$C$13*Assumptions!$C$28^(CY$5-1))*$O20)),0)</f>
        <v>0</v>
      </c>
      <c r="DA20" s="93">
        <f>IF(AND($T20=1,DA$5&lt;=$H20),CZ20*(1-BK20)*(1-MIN(1,MAX(Assumptions!$C$27,Assumptions!$C$13*Assumptions!$C$28^(CZ$5-1))*$O20)),0)</f>
        <v>0</v>
      </c>
      <c r="DB20" s="93">
        <f>IF(AND($T20=1,DB$5&lt;=$H20),DA20*(1-BL20)*(1-MIN(1,MAX(Assumptions!$C$27,Assumptions!$C$13*Assumptions!$C$28^(DA$5-1))*$O20)),0)</f>
        <v>0</v>
      </c>
      <c r="DC20" s="93">
        <f>IF(AND($T20=1,DC$5&lt;=$H20),DB20*(1-BM20)*(1-MIN(1,MAX(Assumptions!$C$27,Assumptions!$C$13*Assumptions!$C$28^(DB$5-1))*$O20)),0)</f>
        <v>0</v>
      </c>
      <c r="DD20" s="93">
        <f>IF(AND($T20=1,DD$5&lt;=$H20),DC20*(1-BN20)*(1-MIN(1,MAX(Assumptions!$C$27,Assumptions!$C$13*Assumptions!$C$28^(DC$5-1))*$O20)),0)</f>
        <v>0</v>
      </c>
      <c r="DE20" s="93">
        <f>IF(AND($T20=1,DE$5&lt;=$H20),DD20*(1-BO20)*(1-MIN(1,MAX(Assumptions!$C$27,Assumptions!$C$13*Assumptions!$C$28^(DD$5-1))*$O20)),0)</f>
        <v>0</v>
      </c>
      <c r="DF20" s="93">
        <f>IF(AND($T20=1,DF$5&lt;=$H20),DE20*(1-BP20)*(1-MIN(1,MAX(Assumptions!$C$27,Assumptions!$C$13*Assumptions!$C$28^(DE$5-1))*$O20)),0)</f>
        <v>0</v>
      </c>
      <c r="DG20" s="93">
        <f>IF(AND($T20=1,DG$5&lt;=$H20),DF20*(1-BQ20)*(1-MIN(1,MAX(Assumptions!$C$27,Assumptions!$C$13*Assumptions!$C$28^(DF$5-1))*$O20)),0)</f>
        <v>0</v>
      </c>
      <c r="DH20" s="93">
        <f>IF(AND($T20=1,DH$5&lt;=$H20),DG20*(1-BR20)*(1-MIN(1,MAX(Assumptions!$C$27,Assumptions!$C$13*Assumptions!$C$28^(DG$5-1))*$O20)),0)</f>
        <v>0</v>
      </c>
      <c r="DI20" s="93">
        <f>IF(AND($T20=1,DI$5&lt;=$H20),DH20*(1-BS20)*(1-MIN(1,MAX(Assumptions!$C$27,Assumptions!$C$13*Assumptions!$C$28^(DH$5-1))*$O20)),0)</f>
        <v>0</v>
      </c>
      <c r="DJ20" s="93">
        <f>IF(AND($T20=1,DJ$5&lt;=$H20),DI20*(1-BT20)*(1-MIN(1,MAX(Assumptions!$C$27,Assumptions!$C$13*Assumptions!$C$28^(DI$5-1))*$O20)),0)</f>
        <v>0</v>
      </c>
      <c r="DK20" s="93">
        <f>IF(AND($T20=1,DK$5&lt;=$H20),DJ20*(1-BU20)*(1-MIN(1,MAX(Assumptions!$C$27,Assumptions!$C$13*Assumptions!$C$28^(DJ$5-1))*$O20)),0)</f>
        <v>0</v>
      </c>
      <c r="DL20" s="93">
        <f>IF(AND($T20=1,DL$5&lt;=$H20),DK20*(1-BV20)*(1-MIN(1,MAX(Assumptions!$C$27,Assumptions!$C$13*Assumptions!$C$28^(DK$5-1))*$O20)),0)</f>
        <v>0</v>
      </c>
      <c r="DM20" s="93">
        <f>IF(AND($T20=1,DM$5&lt;=$H20),DL20*(1-BW20)*(1-MIN(1,MAX(Assumptions!$C$27,Assumptions!$C$13*Assumptions!$C$28^(DL$5-1))*$O20)),0)</f>
        <v>0</v>
      </c>
      <c r="DN20" s="93">
        <f>IF(AND($T20=1,DN$5&lt;=$H20),DM20*(1-BX20)*(1-MIN(1,MAX(Assumptions!$C$27,Assumptions!$C$13*Assumptions!$C$28^(DM$5-1))*$O20)),0)</f>
        <v>0</v>
      </c>
      <c r="DO20" s="93">
        <f>IF(AND($T20=1,DO$5&lt;=$H20),DN20*(1-BY20)*(1-MIN(1,MAX(Assumptions!$C$27,Assumptions!$C$13*Assumptions!$C$28^(DN$5-1))*$O20)),0)</f>
        <v>0</v>
      </c>
      <c r="DP20" s="93">
        <f>IF(AND($T20=1,DP$5&lt;=$H20),DO20*(1-BZ20)*(1-MIN(1,MAX(Assumptions!$C$27,Assumptions!$C$13*Assumptions!$C$28^(DO$5-1))*$O20)),0)</f>
        <v>0</v>
      </c>
      <c r="DQ20" s="93">
        <f>IF(AND($T20=1,DQ$5&lt;=$H20),DP20*(1-CA20)*(1-MIN(1,MAX(Assumptions!$C$27,Assumptions!$C$13*Assumptions!$C$28^(DP$5-1))*$O20)),0)</f>
        <v>0</v>
      </c>
      <c r="DR20" s="93">
        <f>IF(AND($T20=1,DR$5&lt;=$H20),DQ20*(1-CB20)*(1-MIN(1,MAX(Assumptions!$C$27,Assumptions!$C$13*Assumptions!$C$28^(DQ$5-1))*$O20)),0)</f>
        <v>0</v>
      </c>
      <c r="DS20" s="93">
        <f>IF(AND($T20=1,DS$5&lt;=$H20),DR20*(1-CC20)*(1-MIN(1,MAX(Assumptions!$C$27,Assumptions!$C$13*Assumptions!$C$28^(DR$5-1))*$O20)),0)</f>
        <v>0</v>
      </c>
      <c r="DT20" s="93">
        <f>IF(AND($T20=1,DT$5&lt;=$H20),DS20*(1-CD20)*(1-MIN(1,MAX(Assumptions!$C$27,Assumptions!$C$13*Assumptions!$C$28^(DS$5-1))*$O20)),0)</f>
        <v>0</v>
      </c>
      <c r="DU20" s="93">
        <f>IF(AND($T20=1,DU$5&lt;=$H20),DT20*(1-CE20)*(1-MIN(1,MAX(Assumptions!$C$27,Assumptions!$C$13*Assumptions!$C$28^(DT$5-1))*$O20)),0)</f>
        <v>0</v>
      </c>
      <c r="DV20" s="93">
        <f>IF(AND($T20=1,DV$5&lt;=$H20),DU20*(1-CF20)*(1-MIN(1,MAX(Assumptions!$C$27,Assumptions!$C$13*Assumptions!$C$28^(DU$5-1))*$O20)),0)</f>
        <v>0</v>
      </c>
      <c r="DW20" s="94">
        <f>IF(AND($T20=1,DW$5&lt;=$H20),DV20*(1-CG20)*(1-MIN(1,MAX(Assumptions!$C$27,Assumptions!$C$13*Assumptions!$C$28^(DV$5-1))*$O20)),0)</f>
        <v>0</v>
      </c>
      <c r="DX20" s="26"/>
      <c r="DY20" s="26"/>
      <c r="DZ20" s="26"/>
      <c r="EA20" s="26"/>
      <c r="EB20" s="26"/>
      <c r="EC20" s="26"/>
      <c r="ED20" s="26"/>
    </row>
    <row r="21" spans="1:134" x14ac:dyDescent="0.3">
      <c r="A21" s="382" t="s">
        <v>418</v>
      </c>
      <c r="B21" s="383" t="s">
        <v>419</v>
      </c>
      <c r="C21" s="383" t="s">
        <v>288</v>
      </c>
      <c r="D21" s="384">
        <f>'Premium Calculation'!$B$4</f>
        <v>24</v>
      </c>
      <c r="E21" s="385" t="str">
        <f>'Premium Calculation'!$B$5</f>
        <v>Male</v>
      </c>
      <c r="F21" s="385" t="str">
        <f>'Premium Calculation'!$B$6</f>
        <v>Smoker</v>
      </c>
      <c r="G21" s="385" t="str">
        <f>'Premium Calculation'!$B$7</f>
        <v>Preferred</v>
      </c>
      <c r="H21" s="384">
        <f>'Premium Calculation'!$B$8</f>
        <v>10</v>
      </c>
      <c r="I21" s="386">
        <f>'Premium Calculation'!$B$9</f>
        <v>100000</v>
      </c>
      <c r="J21" s="385" t="str">
        <f>'Premium Calculation'!$B$10</f>
        <v>Monthly</v>
      </c>
      <c r="K21" s="385" t="str">
        <f>'Premium Calculation'!$B$31</f>
        <v>Bancassurance</v>
      </c>
      <c r="L21" s="383" t="s">
        <v>389</v>
      </c>
      <c r="M21" s="386">
        <f>'Premium Calculation'!$B$29</f>
        <v>562.44258371429942</v>
      </c>
      <c r="N21" s="387">
        <f>Assumptions!$C$21</f>
        <v>1</v>
      </c>
      <c r="O21" s="387">
        <f>Assumptions!$C$22</f>
        <v>1</v>
      </c>
      <c r="P21" s="387">
        <f>Assumptions!$C$23</f>
        <v>1</v>
      </c>
      <c r="Q21" s="388">
        <f>Assumptions!$C$24</f>
        <v>0</v>
      </c>
      <c r="R21" s="388">
        <f>Assumptions!$C$6+Assumptions!$C$25</f>
        <v>3.5000000000000003E-2</v>
      </c>
      <c r="S21" s="388">
        <f>Assumptions!$C$15*(1-Sensitivities!$C$32)</f>
        <v>8.8000000000000014E-4</v>
      </c>
      <c r="T21" s="26">
        <f t="shared" si="0"/>
        <v>1</v>
      </c>
      <c r="U21" s="26">
        <f t="shared" si="1"/>
        <v>4</v>
      </c>
      <c r="V21" s="389">
        <f>IF($G21="Preferred",Assumptions!$C$30,IF($G21="Rated",Assumptions!$C$31,1))</f>
        <v>0.8</v>
      </c>
      <c r="W21" s="390">
        <f>IF($K21="Direct",Assumptions!$C$32,IF($K21="Broker",Assumptions!$C$33,IF($K21="Bancassurance",Assumptions!$C$34,Assumptions!$C$11)))+$Q21</f>
        <v>0.2</v>
      </c>
      <c r="X21" s="390">
        <f>Assumptions!$C$12+$Q21</f>
        <v>0.05</v>
      </c>
      <c r="Y21" s="131">
        <f>MIN($I21,Assumptions!$C$14)</f>
        <v>100000</v>
      </c>
      <c r="Z21" s="131">
        <f>MAX($I21-Assumptions!$C$14,0)</f>
        <v>0</v>
      </c>
      <c r="AA21" s="389">
        <f t="shared" si="2"/>
        <v>5.8605636374350922</v>
      </c>
      <c r="AB21" s="389">
        <f t="shared" si="3"/>
        <v>3.3989780815334159E-3</v>
      </c>
      <c r="AC21" s="389">
        <f>IF($T21=1,SUMPRODUCT($CJ21:$DW21,(1+Assumptions!$C$5)^($CJ$5:$DW$5-1),(1+$R21)^(-$CJ$5:$DW$5)),0)</f>
        <v>6.7981476079723411</v>
      </c>
      <c r="AD21" s="389">
        <f t="shared" si="4"/>
        <v>0.4379557181036387</v>
      </c>
      <c r="AE21" s="131">
        <f>IF($T21=1,$AB21*$Y21+(Assumptions!$C$9/(1+$R21)+Assumptions!$C$10*$AC21)*$P21+$S21*$Z21*$AA21,0)</f>
        <v>2705.0554992985608</v>
      </c>
      <c r="AF21" s="131">
        <f>IF($T21=1,IF($AA21-$AD21-Assumptions!$C$16*$AA21&gt;0,$AE21/($AA21-$AD21-Assumptions!$C$16*$AA21)*IF($J21="Monthly",1+Assumptions!$C$29,1),"n.a."),"")</f>
        <v>562.44258371429919</v>
      </c>
      <c r="AG21" s="131">
        <f t="shared" si="5"/>
        <v>562.44258371429942</v>
      </c>
      <c r="AH21" s="131">
        <f t="shared" si="6"/>
        <v>3296.2305542610661</v>
      </c>
      <c r="AI21" s="131">
        <f t="shared" si="7"/>
        <v>344.85010931984334</v>
      </c>
      <c r="AJ21" s="390">
        <f t="shared" si="8"/>
        <v>0.1046195354490761</v>
      </c>
      <c r="AK21" s="389">
        <f t="shared" si="9"/>
        <v>1.0000000000000004</v>
      </c>
      <c r="AL21" s="131">
        <f t="shared" si="10"/>
        <v>0</v>
      </c>
      <c r="AM21" s="131">
        <f t="shared" si="11"/>
        <v>0</v>
      </c>
      <c r="AN21" s="131">
        <f t="shared" si="12"/>
        <v>0</v>
      </c>
      <c r="AO21" s="131">
        <f t="shared" si="13"/>
        <v>344.85010931984334</v>
      </c>
      <c r="AP21" s="26" t="str">
        <f t="shared" si="14"/>
        <v>20-29</v>
      </c>
      <c r="AQ21" s="26" t="str">
        <f t="shared" si="15"/>
        <v>Up to 250k</v>
      </c>
      <c r="AR21" s="26" t="str">
        <f>IF($T21=1,IF($AI21&lt;0,"Loss-making",IF($AJ21&lt;Assumptions!$C$16-0.00001,"Below target","At/above target")),"Excluded")</f>
        <v>At/above target</v>
      </c>
      <c r="AS21" s="103">
        <f t="shared" si="16"/>
        <v>344.85013031984334</v>
      </c>
      <c r="AT21" s="26"/>
      <c r="AU21" s="419">
        <f>IF(AND($T21=1,AU$5&lt;=$H21),INDEX(Mortality!$B$4:$E$64,MATCH($D21+AU$5-1,Mortality!$A$4:$A$64,0),$U21)*$V21*$N21,0)</f>
        <v>4.2269093494277525E-4</v>
      </c>
      <c r="AV21" s="93">
        <f>IF(AND($T21=1,AV$5&lt;=$H21),INDEX(Mortality!$B$4:$E$64,MATCH($D21+AV$5-1,Mortality!$A$4:$A$64,0),$U21)*$V21*$N21,0)</f>
        <v>4.5789562344694478E-4</v>
      </c>
      <c r="AW21" s="93">
        <f>IF(AND($T21=1,AW$5&lt;=$H21),INDEX(Mortality!$B$4:$E$64,MATCH($D21+AW$5-1,Mortality!$A$4:$A$64,0),$U21)*$V21*$N21,0)</f>
        <v>4.960324072250384E-4</v>
      </c>
      <c r="AX21" s="93">
        <f>IF(AND($T21=1,AX$5&lt;=$H21),INDEX(Mortality!$B$4:$E$64,MATCH($D21+AX$5-1,Mortality!$A$4:$A$64,0),$U21)*$V21*$N21,0)</f>
        <v>5.3734549189456246E-4</v>
      </c>
      <c r="AY21" s="93">
        <f>IF(AND($T21=1,AY$5&lt;=$H21),INDEX(Mortality!$B$4:$E$64,MATCH($D21+AY$5-1,Mortality!$A$4:$A$64,0),$U21)*$V21*$N21,0)</f>
        <v>5.8209942224281914E-4</v>
      </c>
      <c r="AZ21" s="93">
        <f>IF(AND($T21=1,AZ$5&lt;=$H21),INDEX(Mortality!$B$4:$E$64,MATCH($D21+AZ$5-1,Mortality!$A$4:$A$64,0),$U21)*$V21*$N21,0)</f>
        <v>6.3058077621671118E-4</v>
      </c>
      <c r="BA21" s="93">
        <f>IF(AND($T21=1,BA$5&lt;=$H21),INDEX(Mortality!$B$4:$E$64,MATCH($D21+BA$5-1,Mortality!$A$4:$A$64,0),$U21)*$V21*$N21,0)</f>
        <v>6.8310000000000007E-4</v>
      </c>
      <c r="BB21" s="93">
        <f>IF(AND($T21=1,BB$5&lt;=$H21),INDEX(Mortality!$B$4:$E$64,MATCH($D21+BB$5-1,Mortality!$A$4:$A$64,0),$U21)*$V21*$N21,0)</f>
        <v>7.3999339592876405E-4</v>
      </c>
      <c r="BC21" s="93">
        <f>IF(AND($T21=1,BC$5&lt;=$H21),INDEX(Mortality!$B$4:$E$64,MATCH($D21+BC$5-1,Mortality!$A$4:$A$64,0),$U21)*$V21*$N21,0)</f>
        <v>8.0162527597450392E-4</v>
      </c>
      <c r="BD21" s="93">
        <f>IF(AND($T21=1,BD$5&lt;=$H21),INDEX(Mortality!$B$4:$E$64,MATCH($D21+BD$5-1,Mortality!$A$4:$A$64,0),$U21)*$V21*$N21,0)</f>
        <v>8.6839029458455209E-4</v>
      </c>
      <c r="BE21" s="93">
        <f>IF(AND($T21=1,BE$5&lt;=$H21),INDEX(Mortality!$B$4:$E$64,MATCH($D21+BE$5-1,Mortality!$A$4:$A$64,0),$U21)*$V21*$N21,0)</f>
        <v>0</v>
      </c>
      <c r="BF21" s="93">
        <f>IF(AND($T21=1,BF$5&lt;=$H21),INDEX(Mortality!$B$4:$E$64,MATCH($D21+BF$5-1,Mortality!$A$4:$A$64,0),$U21)*$V21*$N21,0)</f>
        <v>0</v>
      </c>
      <c r="BG21" s="93">
        <f>IF(AND($T21=1,BG$5&lt;=$H21),INDEX(Mortality!$B$4:$E$64,MATCH($D21+BG$5-1,Mortality!$A$4:$A$64,0),$U21)*$V21*$N21,0)</f>
        <v>0</v>
      </c>
      <c r="BH21" s="93">
        <f>IF(AND($T21=1,BH$5&lt;=$H21),INDEX(Mortality!$B$4:$E$64,MATCH($D21+BH$5-1,Mortality!$A$4:$A$64,0),$U21)*$V21*$N21,0)</f>
        <v>0</v>
      </c>
      <c r="BI21" s="93">
        <f>IF(AND($T21=1,BI$5&lt;=$H21),INDEX(Mortality!$B$4:$E$64,MATCH($D21+BI$5-1,Mortality!$A$4:$A$64,0),$U21)*$V21*$N21,0)</f>
        <v>0</v>
      </c>
      <c r="BJ21" s="93">
        <f>IF(AND($T21=1,BJ$5&lt;=$H21),INDEX(Mortality!$B$4:$E$64,MATCH($D21+BJ$5-1,Mortality!$A$4:$A$64,0),$U21)*$V21*$N21,0)</f>
        <v>0</v>
      </c>
      <c r="BK21" s="93">
        <f>IF(AND($T21=1,BK$5&lt;=$H21),INDEX(Mortality!$B$4:$E$64,MATCH($D21+BK$5-1,Mortality!$A$4:$A$64,0),$U21)*$V21*$N21,0)</f>
        <v>0</v>
      </c>
      <c r="BL21" s="93">
        <f>IF(AND($T21=1,BL$5&lt;=$H21),INDEX(Mortality!$B$4:$E$64,MATCH($D21+BL$5-1,Mortality!$A$4:$A$64,0),$U21)*$V21*$N21,0)</f>
        <v>0</v>
      </c>
      <c r="BM21" s="93">
        <f>IF(AND($T21=1,BM$5&lt;=$H21),INDEX(Mortality!$B$4:$E$64,MATCH($D21+BM$5-1,Mortality!$A$4:$A$64,0),$U21)*$V21*$N21,0)</f>
        <v>0</v>
      </c>
      <c r="BN21" s="93">
        <f>IF(AND($T21=1,BN$5&lt;=$H21),INDEX(Mortality!$B$4:$E$64,MATCH($D21+BN$5-1,Mortality!$A$4:$A$64,0),$U21)*$V21*$N21,0)</f>
        <v>0</v>
      </c>
      <c r="BO21" s="93">
        <f>IF(AND($T21=1,BO$5&lt;=$H21),INDEX(Mortality!$B$4:$E$64,MATCH($D21+BO$5-1,Mortality!$A$4:$A$64,0),$U21)*$V21*$N21,0)</f>
        <v>0</v>
      </c>
      <c r="BP21" s="93">
        <f>IF(AND($T21=1,BP$5&lt;=$H21),INDEX(Mortality!$B$4:$E$64,MATCH($D21+BP$5-1,Mortality!$A$4:$A$64,0),$U21)*$V21*$N21,0)</f>
        <v>0</v>
      </c>
      <c r="BQ21" s="93">
        <f>IF(AND($T21=1,BQ$5&lt;=$H21),INDEX(Mortality!$B$4:$E$64,MATCH($D21+BQ$5-1,Mortality!$A$4:$A$64,0),$U21)*$V21*$N21,0)</f>
        <v>0</v>
      </c>
      <c r="BR21" s="93">
        <f>IF(AND($T21=1,BR$5&lt;=$H21),INDEX(Mortality!$B$4:$E$64,MATCH($D21+BR$5-1,Mortality!$A$4:$A$64,0),$U21)*$V21*$N21,0)</f>
        <v>0</v>
      </c>
      <c r="BS21" s="93">
        <f>IF(AND($T21=1,BS$5&lt;=$H21),INDEX(Mortality!$B$4:$E$64,MATCH($D21+BS$5-1,Mortality!$A$4:$A$64,0),$U21)*$V21*$N21,0)</f>
        <v>0</v>
      </c>
      <c r="BT21" s="93">
        <f>IF(AND($T21=1,BT$5&lt;=$H21),INDEX(Mortality!$B$4:$E$64,MATCH($D21+BT$5-1,Mortality!$A$4:$A$64,0),$U21)*$V21*$N21,0)</f>
        <v>0</v>
      </c>
      <c r="BU21" s="93">
        <f>IF(AND($T21=1,BU$5&lt;=$H21),INDEX(Mortality!$B$4:$E$64,MATCH($D21+BU$5-1,Mortality!$A$4:$A$64,0),$U21)*$V21*$N21,0)</f>
        <v>0</v>
      </c>
      <c r="BV21" s="93">
        <f>IF(AND($T21=1,BV$5&lt;=$H21),INDEX(Mortality!$B$4:$E$64,MATCH($D21+BV$5-1,Mortality!$A$4:$A$64,0),$U21)*$V21*$N21,0)</f>
        <v>0</v>
      </c>
      <c r="BW21" s="93">
        <f>IF(AND($T21=1,BW$5&lt;=$H21),INDEX(Mortality!$B$4:$E$64,MATCH($D21+BW$5-1,Mortality!$A$4:$A$64,0),$U21)*$V21*$N21,0)</f>
        <v>0</v>
      </c>
      <c r="BX21" s="93">
        <f>IF(AND($T21=1,BX$5&lt;=$H21),INDEX(Mortality!$B$4:$E$64,MATCH($D21+BX$5-1,Mortality!$A$4:$A$64,0),$U21)*$V21*$N21,0)</f>
        <v>0</v>
      </c>
      <c r="BY21" s="93">
        <f>IF(AND($T21=1,BY$5&lt;=$H21),INDEX(Mortality!$B$4:$E$64,MATCH($D21+BY$5-1,Mortality!$A$4:$A$64,0),$U21)*$V21*$N21,0)</f>
        <v>0</v>
      </c>
      <c r="BZ21" s="93">
        <f>IF(AND($T21=1,BZ$5&lt;=$H21),INDEX(Mortality!$B$4:$E$64,MATCH($D21+BZ$5-1,Mortality!$A$4:$A$64,0),$U21)*$V21*$N21,0)</f>
        <v>0</v>
      </c>
      <c r="CA21" s="93">
        <f>IF(AND($T21=1,CA$5&lt;=$H21),INDEX(Mortality!$B$4:$E$64,MATCH($D21+CA$5-1,Mortality!$A$4:$A$64,0),$U21)*$V21*$N21,0)</f>
        <v>0</v>
      </c>
      <c r="CB21" s="93">
        <f>IF(AND($T21=1,CB$5&lt;=$H21),INDEX(Mortality!$B$4:$E$64,MATCH($D21+CB$5-1,Mortality!$A$4:$A$64,0),$U21)*$V21*$N21,0)</f>
        <v>0</v>
      </c>
      <c r="CC21" s="93">
        <f>IF(AND($T21=1,CC$5&lt;=$H21),INDEX(Mortality!$B$4:$E$64,MATCH($D21+CC$5-1,Mortality!$A$4:$A$64,0),$U21)*$V21*$N21,0)</f>
        <v>0</v>
      </c>
      <c r="CD21" s="93">
        <f>IF(AND($T21=1,CD$5&lt;=$H21),INDEX(Mortality!$B$4:$E$64,MATCH($D21+CD$5-1,Mortality!$A$4:$A$64,0),$U21)*$V21*$N21,0)</f>
        <v>0</v>
      </c>
      <c r="CE21" s="93">
        <f>IF(AND($T21=1,CE$5&lt;=$H21),INDEX(Mortality!$B$4:$E$64,MATCH($D21+CE$5-1,Mortality!$A$4:$A$64,0),$U21)*$V21*$N21,0)</f>
        <v>0</v>
      </c>
      <c r="CF21" s="93">
        <f>IF(AND($T21=1,CF$5&lt;=$H21),INDEX(Mortality!$B$4:$E$64,MATCH($D21+CF$5-1,Mortality!$A$4:$A$64,0),$U21)*$V21*$N21,0)</f>
        <v>0</v>
      </c>
      <c r="CG21" s="93">
        <f>IF(AND($T21=1,CG$5&lt;=$H21),INDEX(Mortality!$B$4:$E$64,MATCH($D21+CG$5-1,Mortality!$A$4:$A$64,0),$U21)*$V21*$N21,0)</f>
        <v>0</v>
      </c>
      <c r="CH21" s="94">
        <f>IF(AND($T21=1,CH$5&lt;=$H21),INDEX(Mortality!$B$4:$E$64,MATCH($D21+CH$5-1,Mortality!$A$4:$A$64,0),$U21)*$V21*$N21,0)</f>
        <v>0</v>
      </c>
      <c r="CI21" s="26"/>
      <c r="CJ21" s="419">
        <f t="shared" si="17"/>
        <v>1</v>
      </c>
      <c r="CK21" s="93">
        <f>IF(AND($T21=1,CK$5&lt;=$H21),CJ21*(1-AU21)*(1-MIN(1,MAX(Assumptions!$C$27,Assumptions!$C$13*Assumptions!$C$28^(CJ$5-1))*$O21)),0)</f>
        <v>0.87962803197725037</v>
      </c>
      <c r="CL21" s="93">
        <f>IF(AND($T21=1,CL$5&lt;=$H21),CK21*(1-AV21)*(1-MIN(1,MAX(Assumptions!$C$27,Assumptions!$C$13*Assumptions!$C$28^(CK$5-1))*$O21)),0)</f>
        <v>0.78954427822772988</v>
      </c>
      <c r="CM21" s="93">
        <f>IF(AND($T21=1,CM$5&lt;=$H21),CL21*(1-AW21)*(1-MIN(1,MAX(Assumptions!$C$27,Assumptions!$C$13*Assumptions!$C$28^(CL$5-1))*$O21)),0)</f>
        <v>0.72073310490533871</v>
      </c>
      <c r="CN21" s="93">
        <f>IF(AND($T21=1,CN$5&lt;=$H21),CM21*(1-AX21)*(1-MIN(1,MAX(Assumptions!$C$27,Assumptions!$C$13*Assumptions!$C$28^(CM$5-1))*$O21)),0)</f>
        <v>0.66725993685201457</v>
      </c>
      <c r="CO21" s="93">
        <f>IF(AND($T21=1,CO$5&lt;=$H21),CN21*(1-AY21)*(1-MIN(1,MAX(Assumptions!$C$27,Assumptions!$C$13*Assumptions!$C$28^(CN$5-1))*$O21)),0)</f>
        <v>0.62509819273434331</v>
      </c>
      <c r="CP21" s="93">
        <f>IF(AND($T21=1,CP$5&lt;=$H21),CO21*(1-AZ21)*(1-MIN(1,MAX(Assumptions!$C$27,Assumptions!$C$13*Assumptions!$C$28^(CO$5-1))*$O21)),0)</f>
        <v>0.59144187885656507</v>
      </c>
      <c r="CQ21" s="93">
        <f>IF(AND($T21=1,CQ$5&lt;=$H21),CP21*(1-BA21)*(1-MIN(1,MAX(Assumptions!$C$27,Assumptions!$C$13*Assumptions!$C$28^(CP$5-1))*$O21)),0)</f>
        <v>0.5642887075731372</v>
      </c>
      <c r="CR21" s="93">
        <f>IF(AND($T21=1,CR$5&lt;=$H21),CQ21*(1-BB21)*(1-MIN(1,MAX(Assumptions!$C$27,Assumptions!$C$13*Assumptions!$C$28^(CQ$5-1))*$O21)),0)</f>
        <v>0.54217943755905917</v>
      </c>
      <c r="CS21" s="93">
        <f>IF(AND($T21=1,CS$5&lt;=$H21),CR21*(1-BC21)*(1-MIN(1,MAX(Assumptions!$C$27,Assumptions!$C$13*Assumptions!$C$28^(CR$5-1))*$O21)),0)</f>
        <v>0.52403037339996894</v>
      </c>
      <c r="CT21" s="93">
        <f>IF(AND($T21=1,CT$5&lt;=$H21),CS21*(1-BD21)*(1-MIN(1,MAX(Assumptions!$C$27,Assumptions!$C$13*Assumptions!$C$28^(CS$5-1))*$O21)),0)</f>
        <v>0</v>
      </c>
      <c r="CU21" s="93">
        <f>IF(AND($T21=1,CU$5&lt;=$H21),CT21*(1-BE21)*(1-MIN(1,MAX(Assumptions!$C$27,Assumptions!$C$13*Assumptions!$C$28^(CT$5-1))*$O21)),0)</f>
        <v>0</v>
      </c>
      <c r="CV21" s="93">
        <f>IF(AND($T21=1,CV$5&lt;=$H21),CU21*(1-BF21)*(1-MIN(1,MAX(Assumptions!$C$27,Assumptions!$C$13*Assumptions!$C$28^(CU$5-1))*$O21)),0)</f>
        <v>0</v>
      </c>
      <c r="CW21" s="93">
        <f>IF(AND($T21=1,CW$5&lt;=$H21),CV21*(1-BG21)*(1-MIN(1,MAX(Assumptions!$C$27,Assumptions!$C$13*Assumptions!$C$28^(CV$5-1))*$O21)),0)</f>
        <v>0</v>
      </c>
      <c r="CX21" s="93">
        <f>IF(AND($T21=1,CX$5&lt;=$H21),CW21*(1-BH21)*(1-MIN(1,MAX(Assumptions!$C$27,Assumptions!$C$13*Assumptions!$C$28^(CW$5-1))*$O21)),0)</f>
        <v>0</v>
      </c>
      <c r="CY21" s="93">
        <f>IF(AND($T21=1,CY$5&lt;=$H21),CX21*(1-BI21)*(1-MIN(1,MAX(Assumptions!$C$27,Assumptions!$C$13*Assumptions!$C$28^(CX$5-1))*$O21)),0)</f>
        <v>0</v>
      </c>
      <c r="CZ21" s="93">
        <f>IF(AND($T21=1,CZ$5&lt;=$H21),CY21*(1-BJ21)*(1-MIN(1,MAX(Assumptions!$C$27,Assumptions!$C$13*Assumptions!$C$28^(CY$5-1))*$O21)),0)</f>
        <v>0</v>
      </c>
      <c r="DA21" s="93">
        <f>IF(AND($T21=1,DA$5&lt;=$H21),CZ21*(1-BK21)*(1-MIN(1,MAX(Assumptions!$C$27,Assumptions!$C$13*Assumptions!$C$28^(CZ$5-1))*$O21)),0)</f>
        <v>0</v>
      </c>
      <c r="DB21" s="93">
        <f>IF(AND($T21=1,DB$5&lt;=$H21),DA21*(1-BL21)*(1-MIN(1,MAX(Assumptions!$C$27,Assumptions!$C$13*Assumptions!$C$28^(DA$5-1))*$O21)),0)</f>
        <v>0</v>
      </c>
      <c r="DC21" s="93">
        <f>IF(AND($T21=1,DC$5&lt;=$H21),DB21*(1-BM21)*(1-MIN(1,MAX(Assumptions!$C$27,Assumptions!$C$13*Assumptions!$C$28^(DB$5-1))*$O21)),0)</f>
        <v>0</v>
      </c>
      <c r="DD21" s="93">
        <f>IF(AND($T21=1,DD$5&lt;=$H21),DC21*(1-BN21)*(1-MIN(1,MAX(Assumptions!$C$27,Assumptions!$C$13*Assumptions!$C$28^(DC$5-1))*$O21)),0)</f>
        <v>0</v>
      </c>
      <c r="DE21" s="93">
        <f>IF(AND($T21=1,DE$5&lt;=$H21),DD21*(1-BO21)*(1-MIN(1,MAX(Assumptions!$C$27,Assumptions!$C$13*Assumptions!$C$28^(DD$5-1))*$O21)),0)</f>
        <v>0</v>
      </c>
      <c r="DF21" s="93">
        <f>IF(AND($T21=1,DF$5&lt;=$H21),DE21*(1-BP21)*(1-MIN(1,MAX(Assumptions!$C$27,Assumptions!$C$13*Assumptions!$C$28^(DE$5-1))*$O21)),0)</f>
        <v>0</v>
      </c>
      <c r="DG21" s="93">
        <f>IF(AND($T21=1,DG$5&lt;=$H21),DF21*(1-BQ21)*(1-MIN(1,MAX(Assumptions!$C$27,Assumptions!$C$13*Assumptions!$C$28^(DF$5-1))*$O21)),0)</f>
        <v>0</v>
      </c>
      <c r="DH21" s="93">
        <f>IF(AND($T21=1,DH$5&lt;=$H21),DG21*(1-BR21)*(1-MIN(1,MAX(Assumptions!$C$27,Assumptions!$C$13*Assumptions!$C$28^(DG$5-1))*$O21)),0)</f>
        <v>0</v>
      </c>
      <c r="DI21" s="93">
        <f>IF(AND($T21=1,DI$5&lt;=$H21),DH21*(1-BS21)*(1-MIN(1,MAX(Assumptions!$C$27,Assumptions!$C$13*Assumptions!$C$28^(DH$5-1))*$O21)),0)</f>
        <v>0</v>
      </c>
      <c r="DJ21" s="93">
        <f>IF(AND($T21=1,DJ$5&lt;=$H21),DI21*(1-BT21)*(1-MIN(1,MAX(Assumptions!$C$27,Assumptions!$C$13*Assumptions!$C$28^(DI$5-1))*$O21)),0)</f>
        <v>0</v>
      </c>
      <c r="DK21" s="93">
        <f>IF(AND($T21=1,DK$5&lt;=$H21),DJ21*(1-BU21)*(1-MIN(1,MAX(Assumptions!$C$27,Assumptions!$C$13*Assumptions!$C$28^(DJ$5-1))*$O21)),0)</f>
        <v>0</v>
      </c>
      <c r="DL21" s="93">
        <f>IF(AND($T21=1,DL$5&lt;=$H21),DK21*(1-BV21)*(1-MIN(1,MAX(Assumptions!$C$27,Assumptions!$C$13*Assumptions!$C$28^(DK$5-1))*$O21)),0)</f>
        <v>0</v>
      </c>
      <c r="DM21" s="93">
        <f>IF(AND($T21=1,DM$5&lt;=$H21),DL21*(1-BW21)*(1-MIN(1,MAX(Assumptions!$C$27,Assumptions!$C$13*Assumptions!$C$28^(DL$5-1))*$O21)),0)</f>
        <v>0</v>
      </c>
      <c r="DN21" s="93">
        <f>IF(AND($T21=1,DN$5&lt;=$H21),DM21*(1-BX21)*(1-MIN(1,MAX(Assumptions!$C$27,Assumptions!$C$13*Assumptions!$C$28^(DM$5-1))*$O21)),0)</f>
        <v>0</v>
      </c>
      <c r="DO21" s="93">
        <f>IF(AND($T21=1,DO$5&lt;=$H21),DN21*(1-BY21)*(1-MIN(1,MAX(Assumptions!$C$27,Assumptions!$C$13*Assumptions!$C$28^(DN$5-1))*$O21)),0)</f>
        <v>0</v>
      </c>
      <c r="DP21" s="93">
        <f>IF(AND($T21=1,DP$5&lt;=$H21),DO21*(1-BZ21)*(1-MIN(1,MAX(Assumptions!$C$27,Assumptions!$C$13*Assumptions!$C$28^(DO$5-1))*$O21)),0)</f>
        <v>0</v>
      </c>
      <c r="DQ21" s="93">
        <f>IF(AND($T21=1,DQ$5&lt;=$H21),DP21*(1-CA21)*(1-MIN(1,MAX(Assumptions!$C$27,Assumptions!$C$13*Assumptions!$C$28^(DP$5-1))*$O21)),0)</f>
        <v>0</v>
      </c>
      <c r="DR21" s="93">
        <f>IF(AND($T21=1,DR$5&lt;=$H21),DQ21*(1-CB21)*(1-MIN(1,MAX(Assumptions!$C$27,Assumptions!$C$13*Assumptions!$C$28^(DQ$5-1))*$O21)),0)</f>
        <v>0</v>
      </c>
      <c r="DS21" s="93">
        <f>IF(AND($T21=1,DS$5&lt;=$H21),DR21*(1-CC21)*(1-MIN(1,MAX(Assumptions!$C$27,Assumptions!$C$13*Assumptions!$C$28^(DR$5-1))*$O21)),0)</f>
        <v>0</v>
      </c>
      <c r="DT21" s="93">
        <f>IF(AND($T21=1,DT$5&lt;=$H21),DS21*(1-CD21)*(1-MIN(1,MAX(Assumptions!$C$27,Assumptions!$C$13*Assumptions!$C$28^(DS$5-1))*$O21)),0)</f>
        <v>0</v>
      </c>
      <c r="DU21" s="93">
        <f>IF(AND($T21=1,DU$5&lt;=$H21),DT21*(1-CE21)*(1-MIN(1,MAX(Assumptions!$C$27,Assumptions!$C$13*Assumptions!$C$28^(DT$5-1))*$O21)),0)</f>
        <v>0</v>
      </c>
      <c r="DV21" s="93">
        <f>IF(AND($T21=1,DV$5&lt;=$H21),DU21*(1-CF21)*(1-MIN(1,MAX(Assumptions!$C$27,Assumptions!$C$13*Assumptions!$C$28^(DU$5-1))*$O21)),0)</f>
        <v>0</v>
      </c>
      <c r="DW21" s="94">
        <f>IF(AND($T21=1,DW$5&lt;=$H21),DV21*(1-CG21)*(1-MIN(1,MAX(Assumptions!$C$27,Assumptions!$C$13*Assumptions!$C$28^(DV$5-1))*$O21)),0)</f>
        <v>0</v>
      </c>
      <c r="DX21" s="26"/>
      <c r="DY21" s="26"/>
      <c r="DZ21" s="26"/>
      <c r="EA21" s="26"/>
      <c r="EB21" s="26"/>
      <c r="EC21" s="26"/>
      <c r="ED21" s="26"/>
    </row>
    <row r="22" spans="1:134" x14ac:dyDescent="0.3">
      <c r="A22" s="382" t="s">
        <v>420</v>
      </c>
      <c r="B22" s="383" t="s">
        <v>421</v>
      </c>
      <c r="C22" s="383" t="s">
        <v>288</v>
      </c>
      <c r="D22" s="384">
        <f>'Premium Calculation'!$B$4</f>
        <v>24</v>
      </c>
      <c r="E22" s="385" t="str">
        <f>'Premium Calculation'!$B$5</f>
        <v>Male</v>
      </c>
      <c r="F22" s="385" t="str">
        <f>'Premium Calculation'!$B$6</f>
        <v>Smoker</v>
      </c>
      <c r="G22" s="385" t="str">
        <f>'Premium Calculation'!$B$7</f>
        <v>Preferred</v>
      </c>
      <c r="H22" s="384">
        <f>'Premium Calculation'!$B$8</f>
        <v>10</v>
      </c>
      <c r="I22" s="386">
        <f>'Premium Calculation'!$B$9</f>
        <v>100000</v>
      </c>
      <c r="J22" s="385" t="str">
        <f>'Premium Calculation'!$B$10</f>
        <v>Monthly</v>
      </c>
      <c r="K22" s="385" t="str">
        <f>'Premium Calculation'!$B$31</f>
        <v>Bancassurance</v>
      </c>
      <c r="L22" s="383" t="s">
        <v>389</v>
      </c>
      <c r="M22" s="386">
        <f>'Premium Calculation'!$B$29</f>
        <v>562.44258371429942</v>
      </c>
      <c r="N22" s="387">
        <f>Assumptions!$C$21</f>
        <v>1</v>
      </c>
      <c r="O22" s="387">
        <f>Assumptions!$C$22</f>
        <v>1</v>
      </c>
      <c r="P22" s="387">
        <f>Assumptions!$C$23</f>
        <v>1</v>
      </c>
      <c r="Q22" s="388">
        <f>Assumptions!$C$24</f>
        <v>0</v>
      </c>
      <c r="R22" s="388">
        <f>Assumptions!$C$6+Assumptions!$C$25</f>
        <v>3.5000000000000003E-2</v>
      </c>
      <c r="S22" s="388">
        <f>Assumptions!$C$15*(1+Sensitivities!$C$32)</f>
        <v>1.32E-3</v>
      </c>
      <c r="T22" s="26">
        <f t="shared" si="0"/>
        <v>1</v>
      </c>
      <c r="U22" s="26">
        <f t="shared" si="1"/>
        <v>4</v>
      </c>
      <c r="V22" s="389">
        <f>IF($G22="Preferred",Assumptions!$C$30,IF($G22="Rated",Assumptions!$C$31,1))</f>
        <v>0.8</v>
      </c>
      <c r="W22" s="390">
        <f>IF($K22="Direct",Assumptions!$C$32,IF($K22="Broker",Assumptions!$C$33,IF($K22="Bancassurance",Assumptions!$C$34,Assumptions!$C$11)))+$Q22</f>
        <v>0.2</v>
      </c>
      <c r="X22" s="390">
        <f>Assumptions!$C$12+$Q22</f>
        <v>0.05</v>
      </c>
      <c r="Y22" s="131">
        <f>MIN($I22,Assumptions!$C$14)</f>
        <v>100000</v>
      </c>
      <c r="Z22" s="131">
        <f>MAX($I22-Assumptions!$C$14,0)</f>
        <v>0</v>
      </c>
      <c r="AA22" s="389">
        <f t="shared" si="2"/>
        <v>5.8605636374350922</v>
      </c>
      <c r="AB22" s="389">
        <f t="shared" si="3"/>
        <v>3.3989780815334159E-3</v>
      </c>
      <c r="AC22" s="389">
        <f>IF($T22=1,SUMPRODUCT($CJ22:$DW22,(1+Assumptions!$C$5)^($CJ$5:$DW$5-1),(1+$R22)^(-$CJ$5:$DW$5)),0)</f>
        <v>6.7981476079723411</v>
      </c>
      <c r="AD22" s="389">
        <f t="shared" si="4"/>
        <v>0.4379557181036387</v>
      </c>
      <c r="AE22" s="131">
        <f>IF($T22=1,$AB22*$Y22+(Assumptions!$C$9/(1+$R22)+Assumptions!$C$10*$AC22)*$P22+$S22*$Z22*$AA22,0)</f>
        <v>2705.0554992985608</v>
      </c>
      <c r="AF22" s="131">
        <f>IF($T22=1,IF($AA22-$AD22-Assumptions!$C$16*$AA22&gt;0,$AE22/($AA22-$AD22-Assumptions!$C$16*$AA22)*IF($J22="Monthly",1+Assumptions!$C$29,1),"n.a."),"")</f>
        <v>562.44258371429919</v>
      </c>
      <c r="AG22" s="131">
        <f t="shared" si="5"/>
        <v>562.44258371429942</v>
      </c>
      <c r="AH22" s="131">
        <f t="shared" si="6"/>
        <v>3296.2305542610661</v>
      </c>
      <c r="AI22" s="131">
        <f t="shared" si="7"/>
        <v>344.85010931984334</v>
      </c>
      <c r="AJ22" s="390">
        <f t="shared" si="8"/>
        <v>0.1046195354490761</v>
      </c>
      <c r="AK22" s="389">
        <f t="shared" si="9"/>
        <v>1.0000000000000004</v>
      </c>
      <c r="AL22" s="131">
        <f t="shared" si="10"/>
        <v>0</v>
      </c>
      <c r="AM22" s="131">
        <f t="shared" si="11"/>
        <v>0</v>
      </c>
      <c r="AN22" s="131">
        <f t="shared" si="12"/>
        <v>0</v>
      </c>
      <c r="AO22" s="131">
        <f t="shared" si="13"/>
        <v>344.85010931984334</v>
      </c>
      <c r="AP22" s="26" t="str">
        <f t="shared" si="14"/>
        <v>20-29</v>
      </c>
      <c r="AQ22" s="26" t="str">
        <f t="shared" si="15"/>
        <v>Up to 250k</v>
      </c>
      <c r="AR22" s="26" t="str">
        <f>IF($T22=1,IF($AI22&lt;0,"Loss-making",IF($AJ22&lt;Assumptions!$C$16-0.00001,"Below target","At/above target")),"Excluded")</f>
        <v>At/above target</v>
      </c>
      <c r="AS22" s="103">
        <f t="shared" si="16"/>
        <v>344.85013131984334</v>
      </c>
      <c r="AT22" s="26"/>
      <c r="AU22" s="419">
        <f>IF(AND($T22=1,AU$5&lt;=$H22),INDEX(Mortality!$B$4:$E$64,MATCH($D22+AU$5-1,Mortality!$A$4:$A$64,0),$U22)*$V22*$N22,0)</f>
        <v>4.2269093494277525E-4</v>
      </c>
      <c r="AV22" s="93">
        <f>IF(AND($T22=1,AV$5&lt;=$H22),INDEX(Mortality!$B$4:$E$64,MATCH($D22+AV$5-1,Mortality!$A$4:$A$64,0),$U22)*$V22*$N22,0)</f>
        <v>4.5789562344694478E-4</v>
      </c>
      <c r="AW22" s="93">
        <f>IF(AND($T22=1,AW$5&lt;=$H22),INDEX(Mortality!$B$4:$E$64,MATCH($D22+AW$5-1,Mortality!$A$4:$A$64,0),$U22)*$V22*$N22,0)</f>
        <v>4.960324072250384E-4</v>
      </c>
      <c r="AX22" s="93">
        <f>IF(AND($T22=1,AX$5&lt;=$H22),INDEX(Mortality!$B$4:$E$64,MATCH($D22+AX$5-1,Mortality!$A$4:$A$64,0),$U22)*$V22*$N22,0)</f>
        <v>5.3734549189456246E-4</v>
      </c>
      <c r="AY22" s="93">
        <f>IF(AND($T22=1,AY$5&lt;=$H22),INDEX(Mortality!$B$4:$E$64,MATCH($D22+AY$5-1,Mortality!$A$4:$A$64,0),$U22)*$V22*$N22,0)</f>
        <v>5.8209942224281914E-4</v>
      </c>
      <c r="AZ22" s="93">
        <f>IF(AND($T22=1,AZ$5&lt;=$H22),INDEX(Mortality!$B$4:$E$64,MATCH($D22+AZ$5-1,Mortality!$A$4:$A$64,0),$U22)*$V22*$N22,0)</f>
        <v>6.3058077621671118E-4</v>
      </c>
      <c r="BA22" s="93">
        <f>IF(AND($T22=1,BA$5&lt;=$H22),INDEX(Mortality!$B$4:$E$64,MATCH($D22+BA$5-1,Mortality!$A$4:$A$64,0),$U22)*$V22*$N22,0)</f>
        <v>6.8310000000000007E-4</v>
      </c>
      <c r="BB22" s="93">
        <f>IF(AND($T22=1,BB$5&lt;=$H22),INDEX(Mortality!$B$4:$E$64,MATCH($D22+BB$5-1,Mortality!$A$4:$A$64,0),$U22)*$V22*$N22,0)</f>
        <v>7.3999339592876405E-4</v>
      </c>
      <c r="BC22" s="93">
        <f>IF(AND($T22=1,BC$5&lt;=$H22),INDEX(Mortality!$B$4:$E$64,MATCH($D22+BC$5-1,Mortality!$A$4:$A$64,0),$U22)*$V22*$N22,0)</f>
        <v>8.0162527597450392E-4</v>
      </c>
      <c r="BD22" s="93">
        <f>IF(AND($T22=1,BD$5&lt;=$H22),INDEX(Mortality!$B$4:$E$64,MATCH($D22+BD$5-1,Mortality!$A$4:$A$64,0),$U22)*$V22*$N22,0)</f>
        <v>8.6839029458455209E-4</v>
      </c>
      <c r="BE22" s="93">
        <f>IF(AND($T22=1,BE$5&lt;=$H22),INDEX(Mortality!$B$4:$E$64,MATCH($D22+BE$5-1,Mortality!$A$4:$A$64,0),$U22)*$V22*$N22,0)</f>
        <v>0</v>
      </c>
      <c r="BF22" s="93">
        <f>IF(AND($T22=1,BF$5&lt;=$H22),INDEX(Mortality!$B$4:$E$64,MATCH($D22+BF$5-1,Mortality!$A$4:$A$64,0),$U22)*$V22*$N22,0)</f>
        <v>0</v>
      </c>
      <c r="BG22" s="93">
        <f>IF(AND($T22=1,BG$5&lt;=$H22),INDEX(Mortality!$B$4:$E$64,MATCH($D22+BG$5-1,Mortality!$A$4:$A$64,0),$U22)*$V22*$N22,0)</f>
        <v>0</v>
      </c>
      <c r="BH22" s="93">
        <f>IF(AND($T22=1,BH$5&lt;=$H22),INDEX(Mortality!$B$4:$E$64,MATCH($D22+BH$5-1,Mortality!$A$4:$A$64,0),$U22)*$V22*$N22,0)</f>
        <v>0</v>
      </c>
      <c r="BI22" s="93">
        <f>IF(AND($T22=1,BI$5&lt;=$H22),INDEX(Mortality!$B$4:$E$64,MATCH($D22+BI$5-1,Mortality!$A$4:$A$64,0),$U22)*$V22*$N22,0)</f>
        <v>0</v>
      </c>
      <c r="BJ22" s="93">
        <f>IF(AND($T22=1,BJ$5&lt;=$H22),INDEX(Mortality!$B$4:$E$64,MATCH($D22+BJ$5-1,Mortality!$A$4:$A$64,0),$U22)*$V22*$N22,0)</f>
        <v>0</v>
      </c>
      <c r="BK22" s="93">
        <f>IF(AND($T22=1,BK$5&lt;=$H22),INDEX(Mortality!$B$4:$E$64,MATCH($D22+BK$5-1,Mortality!$A$4:$A$64,0),$U22)*$V22*$N22,0)</f>
        <v>0</v>
      </c>
      <c r="BL22" s="93">
        <f>IF(AND($T22=1,BL$5&lt;=$H22),INDEX(Mortality!$B$4:$E$64,MATCH($D22+BL$5-1,Mortality!$A$4:$A$64,0),$U22)*$V22*$N22,0)</f>
        <v>0</v>
      </c>
      <c r="BM22" s="93">
        <f>IF(AND($T22=1,BM$5&lt;=$H22),INDEX(Mortality!$B$4:$E$64,MATCH($D22+BM$5-1,Mortality!$A$4:$A$64,0),$U22)*$V22*$N22,0)</f>
        <v>0</v>
      </c>
      <c r="BN22" s="93">
        <f>IF(AND($T22=1,BN$5&lt;=$H22),INDEX(Mortality!$B$4:$E$64,MATCH($D22+BN$5-1,Mortality!$A$4:$A$64,0),$U22)*$V22*$N22,0)</f>
        <v>0</v>
      </c>
      <c r="BO22" s="93">
        <f>IF(AND($T22=1,BO$5&lt;=$H22),INDEX(Mortality!$B$4:$E$64,MATCH($D22+BO$5-1,Mortality!$A$4:$A$64,0),$U22)*$V22*$N22,0)</f>
        <v>0</v>
      </c>
      <c r="BP22" s="93">
        <f>IF(AND($T22=1,BP$5&lt;=$H22),INDEX(Mortality!$B$4:$E$64,MATCH($D22+BP$5-1,Mortality!$A$4:$A$64,0),$U22)*$V22*$N22,0)</f>
        <v>0</v>
      </c>
      <c r="BQ22" s="93">
        <f>IF(AND($T22=1,BQ$5&lt;=$H22),INDEX(Mortality!$B$4:$E$64,MATCH($D22+BQ$5-1,Mortality!$A$4:$A$64,0),$U22)*$V22*$N22,0)</f>
        <v>0</v>
      </c>
      <c r="BR22" s="93">
        <f>IF(AND($T22=1,BR$5&lt;=$H22),INDEX(Mortality!$B$4:$E$64,MATCH($D22+BR$5-1,Mortality!$A$4:$A$64,0),$U22)*$V22*$N22,0)</f>
        <v>0</v>
      </c>
      <c r="BS22" s="93">
        <f>IF(AND($T22=1,BS$5&lt;=$H22),INDEX(Mortality!$B$4:$E$64,MATCH($D22+BS$5-1,Mortality!$A$4:$A$64,0),$U22)*$V22*$N22,0)</f>
        <v>0</v>
      </c>
      <c r="BT22" s="93">
        <f>IF(AND($T22=1,BT$5&lt;=$H22),INDEX(Mortality!$B$4:$E$64,MATCH($D22+BT$5-1,Mortality!$A$4:$A$64,0),$U22)*$V22*$N22,0)</f>
        <v>0</v>
      </c>
      <c r="BU22" s="93">
        <f>IF(AND($T22=1,BU$5&lt;=$H22),INDEX(Mortality!$B$4:$E$64,MATCH($D22+BU$5-1,Mortality!$A$4:$A$64,0),$U22)*$V22*$N22,0)</f>
        <v>0</v>
      </c>
      <c r="BV22" s="93">
        <f>IF(AND($T22=1,BV$5&lt;=$H22),INDEX(Mortality!$B$4:$E$64,MATCH($D22+BV$5-1,Mortality!$A$4:$A$64,0),$U22)*$V22*$N22,0)</f>
        <v>0</v>
      </c>
      <c r="BW22" s="93">
        <f>IF(AND($T22=1,BW$5&lt;=$H22),INDEX(Mortality!$B$4:$E$64,MATCH($D22+BW$5-1,Mortality!$A$4:$A$64,0),$U22)*$V22*$N22,0)</f>
        <v>0</v>
      </c>
      <c r="BX22" s="93">
        <f>IF(AND($T22=1,BX$5&lt;=$H22),INDEX(Mortality!$B$4:$E$64,MATCH($D22+BX$5-1,Mortality!$A$4:$A$64,0),$U22)*$V22*$N22,0)</f>
        <v>0</v>
      </c>
      <c r="BY22" s="93">
        <f>IF(AND($T22=1,BY$5&lt;=$H22),INDEX(Mortality!$B$4:$E$64,MATCH($D22+BY$5-1,Mortality!$A$4:$A$64,0),$U22)*$V22*$N22,0)</f>
        <v>0</v>
      </c>
      <c r="BZ22" s="93">
        <f>IF(AND($T22=1,BZ$5&lt;=$H22),INDEX(Mortality!$B$4:$E$64,MATCH($D22+BZ$5-1,Mortality!$A$4:$A$64,0),$U22)*$V22*$N22,0)</f>
        <v>0</v>
      </c>
      <c r="CA22" s="93">
        <f>IF(AND($T22=1,CA$5&lt;=$H22),INDEX(Mortality!$B$4:$E$64,MATCH($D22+CA$5-1,Mortality!$A$4:$A$64,0),$U22)*$V22*$N22,0)</f>
        <v>0</v>
      </c>
      <c r="CB22" s="93">
        <f>IF(AND($T22=1,CB$5&lt;=$H22),INDEX(Mortality!$B$4:$E$64,MATCH($D22+CB$5-1,Mortality!$A$4:$A$64,0),$U22)*$V22*$N22,0)</f>
        <v>0</v>
      </c>
      <c r="CC22" s="93">
        <f>IF(AND($T22=1,CC$5&lt;=$H22),INDEX(Mortality!$B$4:$E$64,MATCH($D22+CC$5-1,Mortality!$A$4:$A$64,0),$U22)*$V22*$N22,0)</f>
        <v>0</v>
      </c>
      <c r="CD22" s="93">
        <f>IF(AND($T22=1,CD$5&lt;=$H22),INDEX(Mortality!$B$4:$E$64,MATCH($D22+CD$5-1,Mortality!$A$4:$A$64,0),$U22)*$V22*$N22,0)</f>
        <v>0</v>
      </c>
      <c r="CE22" s="93">
        <f>IF(AND($T22=1,CE$5&lt;=$H22),INDEX(Mortality!$B$4:$E$64,MATCH($D22+CE$5-1,Mortality!$A$4:$A$64,0),$U22)*$V22*$N22,0)</f>
        <v>0</v>
      </c>
      <c r="CF22" s="93">
        <f>IF(AND($T22=1,CF$5&lt;=$H22),INDEX(Mortality!$B$4:$E$64,MATCH($D22+CF$5-1,Mortality!$A$4:$A$64,0),$U22)*$V22*$N22,0)</f>
        <v>0</v>
      </c>
      <c r="CG22" s="93">
        <f>IF(AND($T22=1,CG$5&lt;=$H22),INDEX(Mortality!$B$4:$E$64,MATCH($D22+CG$5-1,Mortality!$A$4:$A$64,0),$U22)*$V22*$N22,0)</f>
        <v>0</v>
      </c>
      <c r="CH22" s="94">
        <f>IF(AND($T22=1,CH$5&lt;=$H22),INDEX(Mortality!$B$4:$E$64,MATCH($D22+CH$5-1,Mortality!$A$4:$A$64,0),$U22)*$V22*$N22,0)</f>
        <v>0</v>
      </c>
      <c r="CI22" s="26"/>
      <c r="CJ22" s="419">
        <f t="shared" si="17"/>
        <v>1</v>
      </c>
      <c r="CK22" s="93">
        <f>IF(AND($T22=1,CK$5&lt;=$H22),CJ22*(1-AU22)*(1-MIN(1,MAX(Assumptions!$C$27,Assumptions!$C$13*Assumptions!$C$28^(CJ$5-1))*$O22)),0)</f>
        <v>0.87962803197725037</v>
      </c>
      <c r="CL22" s="93">
        <f>IF(AND($T22=1,CL$5&lt;=$H22),CK22*(1-AV22)*(1-MIN(1,MAX(Assumptions!$C$27,Assumptions!$C$13*Assumptions!$C$28^(CK$5-1))*$O22)),0)</f>
        <v>0.78954427822772988</v>
      </c>
      <c r="CM22" s="93">
        <f>IF(AND($T22=1,CM$5&lt;=$H22),CL22*(1-AW22)*(1-MIN(1,MAX(Assumptions!$C$27,Assumptions!$C$13*Assumptions!$C$28^(CL$5-1))*$O22)),0)</f>
        <v>0.72073310490533871</v>
      </c>
      <c r="CN22" s="93">
        <f>IF(AND($T22=1,CN$5&lt;=$H22),CM22*(1-AX22)*(1-MIN(1,MAX(Assumptions!$C$27,Assumptions!$C$13*Assumptions!$C$28^(CM$5-1))*$O22)),0)</f>
        <v>0.66725993685201457</v>
      </c>
      <c r="CO22" s="93">
        <f>IF(AND($T22=1,CO$5&lt;=$H22),CN22*(1-AY22)*(1-MIN(1,MAX(Assumptions!$C$27,Assumptions!$C$13*Assumptions!$C$28^(CN$5-1))*$O22)),0)</f>
        <v>0.62509819273434331</v>
      </c>
      <c r="CP22" s="93">
        <f>IF(AND($T22=1,CP$5&lt;=$H22),CO22*(1-AZ22)*(1-MIN(1,MAX(Assumptions!$C$27,Assumptions!$C$13*Assumptions!$C$28^(CO$5-1))*$O22)),0)</f>
        <v>0.59144187885656507</v>
      </c>
      <c r="CQ22" s="93">
        <f>IF(AND($T22=1,CQ$5&lt;=$H22),CP22*(1-BA22)*(1-MIN(1,MAX(Assumptions!$C$27,Assumptions!$C$13*Assumptions!$C$28^(CP$5-1))*$O22)),0)</f>
        <v>0.5642887075731372</v>
      </c>
      <c r="CR22" s="93">
        <f>IF(AND($T22=1,CR$5&lt;=$H22),CQ22*(1-BB22)*(1-MIN(1,MAX(Assumptions!$C$27,Assumptions!$C$13*Assumptions!$C$28^(CQ$5-1))*$O22)),0)</f>
        <v>0.54217943755905917</v>
      </c>
      <c r="CS22" s="93">
        <f>IF(AND($T22=1,CS$5&lt;=$H22),CR22*(1-BC22)*(1-MIN(1,MAX(Assumptions!$C$27,Assumptions!$C$13*Assumptions!$C$28^(CR$5-1))*$O22)),0)</f>
        <v>0.52403037339996894</v>
      </c>
      <c r="CT22" s="93">
        <f>IF(AND($T22=1,CT$5&lt;=$H22),CS22*(1-BD22)*(1-MIN(1,MAX(Assumptions!$C$27,Assumptions!$C$13*Assumptions!$C$28^(CS$5-1))*$O22)),0)</f>
        <v>0</v>
      </c>
      <c r="CU22" s="93">
        <f>IF(AND($T22=1,CU$5&lt;=$H22),CT22*(1-BE22)*(1-MIN(1,MAX(Assumptions!$C$27,Assumptions!$C$13*Assumptions!$C$28^(CT$5-1))*$O22)),0)</f>
        <v>0</v>
      </c>
      <c r="CV22" s="93">
        <f>IF(AND($T22=1,CV$5&lt;=$H22),CU22*(1-BF22)*(1-MIN(1,MAX(Assumptions!$C$27,Assumptions!$C$13*Assumptions!$C$28^(CU$5-1))*$O22)),0)</f>
        <v>0</v>
      </c>
      <c r="CW22" s="93">
        <f>IF(AND($T22=1,CW$5&lt;=$H22),CV22*(1-BG22)*(1-MIN(1,MAX(Assumptions!$C$27,Assumptions!$C$13*Assumptions!$C$28^(CV$5-1))*$O22)),0)</f>
        <v>0</v>
      </c>
      <c r="CX22" s="93">
        <f>IF(AND($T22=1,CX$5&lt;=$H22),CW22*(1-BH22)*(1-MIN(1,MAX(Assumptions!$C$27,Assumptions!$C$13*Assumptions!$C$28^(CW$5-1))*$O22)),0)</f>
        <v>0</v>
      </c>
      <c r="CY22" s="93">
        <f>IF(AND($T22=1,CY$5&lt;=$H22),CX22*(1-BI22)*(1-MIN(1,MAX(Assumptions!$C$27,Assumptions!$C$13*Assumptions!$C$28^(CX$5-1))*$O22)),0)</f>
        <v>0</v>
      </c>
      <c r="CZ22" s="93">
        <f>IF(AND($T22=1,CZ$5&lt;=$H22),CY22*(1-BJ22)*(1-MIN(1,MAX(Assumptions!$C$27,Assumptions!$C$13*Assumptions!$C$28^(CY$5-1))*$O22)),0)</f>
        <v>0</v>
      </c>
      <c r="DA22" s="93">
        <f>IF(AND($T22=1,DA$5&lt;=$H22),CZ22*(1-BK22)*(1-MIN(1,MAX(Assumptions!$C$27,Assumptions!$C$13*Assumptions!$C$28^(CZ$5-1))*$O22)),0)</f>
        <v>0</v>
      </c>
      <c r="DB22" s="93">
        <f>IF(AND($T22=1,DB$5&lt;=$H22),DA22*(1-BL22)*(1-MIN(1,MAX(Assumptions!$C$27,Assumptions!$C$13*Assumptions!$C$28^(DA$5-1))*$O22)),0)</f>
        <v>0</v>
      </c>
      <c r="DC22" s="93">
        <f>IF(AND($T22=1,DC$5&lt;=$H22),DB22*(1-BM22)*(1-MIN(1,MAX(Assumptions!$C$27,Assumptions!$C$13*Assumptions!$C$28^(DB$5-1))*$O22)),0)</f>
        <v>0</v>
      </c>
      <c r="DD22" s="93">
        <f>IF(AND($T22=1,DD$5&lt;=$H22),DC22*(1-BN22)*(1-MIN(1,MAX(Assumptions!$C$27,Assumptions!$C$13*Assumptions!$C$28^(DC$5-1))*$O22)),0)</f>
        <v>0</v>
      </c>
      <c r="DE22" s="93">
        <f>IF(AND($T22=1,DE$5&lt;=$H22),DD22*(1-BO22)*(1-MIN(1,MAX(Assumptions!$C$27,Assumptions!$C$13*Assumptions!$C$28^(DD$5-1))*$O22)),0)</f>
        <v>0</v>
      </c>
      <c r="DF22" s="93">
        <f>IF(AND($T22=1,DF$5&lt;=$H22),DE22*(1-BP22)*(1-MIN(1,MAX(Assumptions!$C$27,Assumptions!$C$13*Assumptions!$C$28^(DE$5-1))*$O22)),0)</f>
        <v>0</v>
      </c>
      <c r="DG22" s="93">
        <f>IF(AND($T22=1,DG$5&lt;=$H22),DF22*(1-BQ22)*(1-MIN(1,MAX(Assumptions!$C$27,Assumptions!$C$13*Assumptions!$C$28^(DF$5-1))*$O22)),0)</f>
        <v>0</v>
      </c>
      <c r="DH22" s="93">
        <f>IF(AND($T22=1,DH$5&lt;=$H22),DG22*(1-BR22)*(1-MIN(1,MAX(Assumptions!$C$27,Assumptions!$C$13*Assumptions!$C$28^(DG$5-1))*$O22)),0)</f>
        <v>0</v>
      </c>
      <c r="DI22" s="93">
        <f>IF(AND($T22=1,DI$5&lt;=$H22),DH22*(1-BS22)*(1-MIN(1,MAX(Assumptions!$C$27,Assumptions!$C$13*Assumptions!$C$28^(DH$5-1))*$O22)),0)</f>
        <v>0</v>
      </c>
      <c r="DJ22" s="93">
        <f>IF(AND($T22=1,DJ$5&lt;=$H22),DI22*(1-BT22)*(1-MIN(1,MAX(Assumptions!$C$27,Assumptions!$C$13*Assumptions!$C$28^(DI$5-1))*$O22)),0)</f>
        <v>0</v>
      </c>
      <c r="DK22" s="93">
        <f>IF(AND($T22=1,DK$5&lt;=$H22),DJ22*(1-BU22)*(1-MIN(1,MAX(Assumptions!$C$27,Assumptions!$C$13*Assumptions!$C$28^(DJ$5-1))*$O22)),0)</f>
        <v>0</v>
      </c>
      <c r="DL22" s="93">
        <f>IF(AND($T22=1,DL$5&lt;=$H22),DK22*(1-BV22)*(1-MIN(1,MAX(Assumptions!$C$27,Assumptions!$C$13*Assumptions!$C$28^(DK$5-1))*$O22)),0)</f>
        <v>0</v>
      </c>
      <c r="DM22" s="93">
        <f>IF(AND($T22=1,DM$5&lt;=$H22),DL22*(1-BW22)*(1-MIN(1,MAX(Assumptions!$C$27,Assumptions!$C$13*Assumptions!$C$28^(DL$5-1))*$O22)),0)</f>
        <v>0</v>
      </c>
      <c r="DN22" s="93">
        <f>IF(AND($T22=1,DN$5&lt;=$H22),DM22*(1-BX22)*(1-MIN(1,MAX(Assumptions!$C$27,Assumptions!$C$13*Assumptions!$C$28^(DM$5-1))*$O22)),0)</f>
        <v>0</v>
      </c>
      <c r="DO22" s="93">
        <f>IF(AND($T22=1,DO$5&lt;=$H22),DN22*(1-BY22)*(1-MIN(1,MAX(Assumptions!$C$27,Assumptions!$C$13*Assumptions!$C$28^(DN$5-1))*$O22)),0)</f>
        <v>0</v>
      </c>
      <c r="DP22" s="93">
        <f>IF(AND($T22=1,DP$5&lt;=$H22),DO22*(1-BZ22)*(1-MIN(1,MAX(Assumptions!$C$27,Assumptions!$C$13*Assumptions!$C$28^(DO$5-1))*$O22)),0)</f>
        <v>0</v>
      </c>
      <c r="DQ22" s="93">
        <f>IF(AND($T22=1,DQ$5&lt;=$H22),DP22*(1-CA22)*(1-MIN(1,MAX(Assumptions!$C$27,Assumptions!$C$13*Assumptions!$C$28^(DP$5-1))*$O22)),0)</f>
        <v>0</v>
      </c>
      <c r="DR22" s="93">
        <f>IF(AND($T22=1,DR$5&lt;=$H22),DQ22*(1-CB22)*(1-MIN(1,MAX(Assumptions!$C$27,Assumptions!$C$13*Assumptions!$C$28^(DQ$5-1))*$O22)),0)</f>
        <v>0</v>
      </c>
      <c r="DS22" s="93">
        <f>IF(AND($T22=1,DS$5&lt;=$H22),DR22*(1-CC22)*(1-MIN(1,MAX(Assumptions!$C$27,Assumptions!$C$13*Assumptions!$C$28^(DR$5-1))*$O22)),0)</f>
        <v>0</v>
      </c>
      <c r="DT22" s="93">
        <f>IF(AND($T22=1,DT$5&lt;=$H22),DS22*(1-CD22)*(1-MIN(1,MAX(Assumptions!$C$27,Assumptions!$C$13*Assumptions!$C$28^(DS$5-1))*$O22)),0)</f>
        <v>0</v>
      </c>
      <c r="DU22" s="93">
        <f>IF(AND($T22=1,DU$5&lt;=$H22),DT22*(1-CE22)*(1-MIN(1,MAX(Assumptions!$C$27,Assumptions!$C$13*Assumptions!$C$28^(DT$5-1))*$O22)),0)</f>
        <v>0</v>
      </c>
      <c r="DV22" s="93">
        <f>IF(AND($T22=1,DV$5&lt;=$H22),DU22*(1-CF22)*(1-MIN(1,MAX(Assumptions!$C$27,Assumptions!$C$13*Assumptions!$C$28^(DU$5-1))*$O22)),0)</f>
        <v>0</v>
      </c>
      <c r="DW22" s="94">
        <f>IF(AND($T22=1,DW$5&lt;=$H22),DV22*(1-CG22)*(1-MIN(1,MAX(Assumptions!$C$27,Assumptions!$C$13*Assumptions!$C$28^(DV$5-1))*$O22)),0)</f>
        <v>0</v>
      </c>
      <c r="DX22" s="26"/>
      <c r="DY22" s="26"/>
      <c r="DZ22" s="26"/>
      <c r="EA22" s="26"/>
      <c r="EB22" s="26"/>
      <c r="EC22" s="26"/>
      <c r="ED22" s="26"/>
    </row>
    <row r="23" spans="1:134" x14ac:dyDescent="0.3">
      <c r="A23" s="382" t="s">
        <v>422</v>
      </c>
      <c r="B23" s="383" t="s">
        <v>423</v>
      </c>
      <c r="C23" s="383" t="s">
        <v>288</v>
      </c>
      <c r="D23" s="384">
        <f>'Premium Calculation'!$B$4</f>
        <v>24</v>
      </c>
      <c r="E23" s="385" t="str">
        <f>'Premium Calculation'!$B$5</f>
        <v>Male</v>
      </c>
      <c r="F23" s="385" t="str">
        <f>'Premium Calculation'!$B$6</f>
        <v>Smoker</v>
      </c>
      <c r="G23" s="385" t="str">
        <f>'Premium Calculation'!$B$7</f>
        <v>Preferred</v>
      </c>
      <c r="H23" s="384">
        <f>'Premium Calculation'!$B$8</f>
        <v>10</v>
      </c>
      <c r="I23" s="386">
        <f>'Premium Calculation'!$B$9</f>
        <v>100000</v>
      </c>
      <c r="J23" s="385" t="str">
        <f>'Premium Calculation'!$B$10</f>
        <v>Monthly</v>
      </c>
      <c r="K23" s="385" t="str">
        <f>'Premium Calculation'!$B$31</f>
        <v>Bancassurance</v>
      </c>
      <c r="L23" s="383" t="s">
        <v>389</v>
      </c>
      <c r="M23" s="386">
        <f>'Premium Calculation'!$B$29</f>
        <v>562.44258371429942</v>
      </c>
      <c r="N23" s="387">
        <f>Assumptions!$C$21</f>
        <v>1</v>
      </c>
      <c r="O23" s="387">
        <f>Assumptions!$C$22</f>
        <v>1</v>
      </c>
      <c r="P23" s="387">
        <f>Assumptions!$C$23</f>
        <v>1</v>
      </c>
      <c r="Q23" s="388">
        <f>Assumptions!$C$24</f>
        <v>0</v>
      </c>
      <c r="R23" s="388">
        <f>Assumptions!$C$6+Assumptions!$C$25</f>
        <v>3.5000000000000003E-2</v>
      </c>
      <c r="S23" s="388">
        <f>Assumptions!$C$15</f>
        <v>1.1000000000000001E-3</v>
      </c>
      <c r="T23" s="26">
        <f t="shared" si="0"/>
        <v>1</v>
      </c>
      <c r="U23" s="26">
        <f t="shared" si="1"/>
        <v>4</v>
      </c>
      <c r="V23" s="389">
        <f>IF($G23="Preferred",Assumptions!$C$30,IF($G23="Rated",Assumptions!$C$31,1))</f>
        <v>0.8</v>
      </c>
      <c r="W23" s="390">
        <f>IF($K23="Direct",Assumptions!$C$32,IF($K23="Broker",Assumptions!$C$33,IF($K23="Bancassurance",Assumptions!$C$34,Assumptions!$C$11)))+$Q23</f>
        <v>0.2</v>
      </c>
      <c r="X23" s="390">
        <f>Assumptions!$C$12+$Q23</f>
        <v>0.05</v>
      </c>
      <c r="Y23" s="131">
        <f>MIN($I23,Assumptions!$C$14)</f>
        <v>100000</v>
      </c>
      <c r="Z23" s="131">
        <f>MAX($I23-Assumptions!$C$14,0)</f>
        <v>0</v>
      </c>
      <c r="AA23" s="389">
        <f t="shared" si="2"/>
        <v>5.8605636374350922</v>
      </c>
      <c r="AB23" s="389">
        <f t="shared" si="3"/>
        <v>3.3989780815334159E-3</v>
      </c>
      <c r="AC23" s="389">
        <f>IF($T23=1,SUMPRODUCT($CJ23:$DW23,(1+Assumptions!$C$5)^($CJ$5:$DW$5-1),(1+$R23)^(-$CJ$5:$DW$5)),0)</f>
        <v>6.7981476079723411</v>
      </c>
      <c r="AD23" s="389">
        <f t="shared" si="4"/>
        <v>0.4379557181036387</v>
      </c>
      <c r="AE23" s="131">
        <f>IF($T23=1,$AB23*$Y23+(Assumptions!$C$9/(1+$R23)+Assumptions!$C$10*$AC23)*$P23+$S23*$Z23*$AA23,0)</f>
        <v>2705.0554992985608</v>
      </c>
      <c r="AF23" s="131">
        <f>IF($T23=1,IF($AA23-$AD23-Assumptions!$C$16*$AA23&gt;0,$AE23/($AA23-$AD23-Assumptions!$C$16*$AA23)*IF($J23="Monthly",1+Assumptions!$C$29,1),"n.a."),"")</f>
        <v>562.44258371429919</v>
      </c>
      <c r="AG23" s="131">
        <f t="shared" si="5"/>
        <v>562.44258371429942</v>
      </c>
      <c r="AH23" s="131">
        <f t="shared" si="6"/>
        <v>3296.2305542610661</v>
      </c>
      <c r="AI23" s="131">
        <f t="shared" si="7"/>
        <v>344.85010931984334</v>
      </c>
      <c r="AJ23" s="390">
        <f t="shared" si="8"/>
        <v>0.1046195354490761</v>
      </c>
      <c r="AK23" s="389">
        <f t="shared" si="9"/>
        <v>1.0000000000000004</v>
      </c>
      <c r="AL23" s="131">
        <f t="shared" si="10"/>
        <v>0</v>
      </c>
      <c r="AM23" s="131">
        <f t="shared" si="11"/>
        <v>0</v>
      </c>
      <c r="AN23" s="131">
        <f t="shared" si="12"/>
        <v>0</v>
      </c>
      <c r="AO23" s="131">
        <f t="shared" si="13"/>
        <v>344.85010931984334</v>
      </c>
      <c r="AP23" s="26" t="str">
        <f t="shared" si="14"/>
        <v>20-29</v>
      </c>
      <c r="AQ23" s="26" t="str">
        <f t="shared" si="15"/>
        <v>Up to 250k</v>
      </c>
      <c r="AR23" s="26" t="str">
        <f>IF($T23=1,IF($AI23&lt;0,"Loss-making",IF($AJ23&lt;Assumptions!$C$16-0.00001,"Below target","At/above target")),"Excluded")</f>
        <v>At/above target</v>
      </c>
      <c r="AS23" s="103">
        <f t="shared" si="16"/>
        <v>344.85013231984334</v>
      </c>
      <c r="AT23" s="26"/>
      <c r="AU23" s="419">
        <f>IF(AND($T23=1,AU$5&lt;=$H23),INDEX(Mortality!$B$4:$E$64,MATCH($D23+AU$5-1,Mortality!$A$4:$A$64,0),$U23)*$V23*$N23,0)</f>
        <v>4.2269093494277525E-4</v>
      </c>
      <c r="AV23" s="93">
        <f>IF(AND($T23=1,AV$5&lt;=$H23),INDEX(Mortality!$B$4:$E$64,MATCH($D23+AV$5-1,Mortality!$A$4:$A$64,0),$U23)*$V23*$N23,0)</f>
        <v>4.5789562344694478E-4</v>
      </c>
      <c r="AW23" s="93">
        <f>IF(AND($T23=1,AW$5&lt;=$H23),INDEX(Mortality!$B$4:$E$64,MATCH($D23+AW$5-1,Mortality!$A$4:$A$64,0),$U23)*$V23*$N23,0)</f>
        <v>4.960324072250384E-4</v>
      </c>
      <c r="AX23" s="93">
        <f>IF(AND($T23=1,AX$5&lt;=$H23),INDEX(Mortality!$B$4:$E$64,MATCH($D23+AX$5-1,Mortality!$A$4:$A$64,0),$U23)*$V23*$N23,0)</f>
        <v>5.3734549189456246E-4</v>
      </c>
      <c r="AY23" s="93">
        <f>IF(AND($T23=1,AY$5&lt;=$H23),INDEX(Mortality!$B$4:$E$64,MATCH($D23+AY$5-1,Mortality!$A$4:$A$64,0),$U23)*$V23*$N23,0)</f>
        <v>5.8209942224281914E-4</v>
      </c>
      <c r="AZ23" s="93">
        <f>IF(AND($T23=1,AZ$5&lt;=$H23),INDEX(Mortality!$B$4:$E$64,MATCH($D23+AZ$5-1,Mortality!$A$4:$A$64,0),$U23)*$V23*$N23,0)</f>
        <v>6.3058077621671118E-4</v>
      </c>
      <c r="BA23" s="93">
        <f>IF(AND($T23=1,BA$5&lt;=$H23),INDEX(Mortality!$B$4:$E$64,MATCH($D23+BA$5-1,Mortality!$A$4:$A$64,0),$U23)*$V23*$N23,0)</f>
        <v>6.8310000000000007E-4</v>
      </c>
      <c r="BB23" s="93">
        <f>IF(AND($T23=1,BB$5&lt;=$H23),INDEX(Mortality!$B$4:$E$64,MATCH($D23+BB$5-1,Mortality!$A$4:$A$64,0),$U23)*$V23*$N23,0)</f>
        <v>7.3999339592876405E-4</v>
      </c>
      <c r="BC23" s="93">
        <f>IF(AND($T23=1,BC$5&lt;=$H23),INDEX(Mortality!$B$4:$E$64,MATCH($D23+BC$5-1,Mortality!$A$4:$A$64,0),$U23)*$V23*$N23,0)</f>
        <v>8.0162527597450392E-4</v>
      </c>
      <c r="BD23" s="93">
        <f>IF(AND($T23=1,BD$5&lt;=$H23),INDEX(Mortality!$B$4:$E$64,MATCH($D23+BD$5-1,Mortality!$A$4:$A$64,0),$U23)*$V23*$N23,0)</f>
        <v>8.6839029458455209E-4</v>
      </c>
      <c r="BE23" s="93">
        <f>IF(AND($T23=1,BE$5&lt;=$H23),INDEX(Mortality!$B$4:$E$64,MATCH($D23+BE$5-1,Mortality!$A$4:$A$64,0),$U23)*$V23*$N23,0)</f>
        <v>0</v>
      </c>
      <c r="BF23" s="93">
        <f>IF(AND($T23=1,BF$5&lt;=$H23),INDEX(Mortality!$B$4:$E$64,MATCH($D23+BF$5-1,Mortality!$A$4:$A$64,0),$U23)*$V23*$N23,0)</f>
        <v>0</v>
      </c>
      <c r="BG23" s="93">
        <f>IF(AND($T23=1,BG$5&lt;=$H23),INDEX(Mortality!$B$4:$E$64,MATCH($D23+BG$5-1,Mortality!$A$4:$A$64,0),$U23)*$V23*$N23,0)</f>
        <v>0</v>
      </c>
      <c r="BH23" s="93">
        <f>IF(AND($T23=1,BH$5&lt;=$H23),INDEX(Mortality!$B$4:$E$64,MATCH($D23+BH$5-1,Mortality!$A$4:$A$64,0),$U23)*$V23*$N23,0)</f>
        <v>0</v>
      </c>
      <c r="BI23" s="93">
        <f>IF(AND($T23=1,BI$5&lt;=$H23),INDEX(Mortality!$B$4:$E$64,MATCH($D23+BI$5-1,Mortality!$A$4:$A$64,0),$U23)*$V23*$N23,0)</f>
        <v>0</v>
      </c>
      <c r="BJ23" s="93">
        <f>IF(AND($T23=1,BJ$5&lt;=$H23),INDEX(Mortality!$B$4:$E$64,MATCH($D23+BJ$5-1,Mortality!$A$4:$A$64,0),$U23)*$V23*$N23,0)</f>
        <v>0</v>
      </c>
      <c r="BK23" s="93">
        <f>IF(AND($T23=1,BK$5&lt;=$H23),INDEX(Mortality!$B$4:$E$64,MATCH($D23+BK$5-1,Mortality!$A$4:$A$64,0),$U23)*$V23*$N23,0)</f>
        <v>0</v>
      </c>
      <c r="BL23" s="93">
        <f>IF(AND($T23=1,BL$5&lt;=$H23),INDEX(Mortality!$B$4:$E$64,MATCH($D23+BL$5-1,Mortality!$A$4:$A$64,0),$U23)*$V23*$N23,0)</f>
        <v>0</v>
      </c>
      <c r="BM23" s="93">
        <f>IF(AND($T23=1,BM$5&lt;=$H23),INDEX(Mortality!$B$4:$E$64,MATCH($D23+BM$5-1,Mortality!$A$4:$A$64,0),$U23)*$V23*$N23,0)</f>
        <v>0</v>
      </c>
      <c r="BN23" s="93">
        <f>IF(AND($T23=1,BN$5&lt;=$H23),INDEX(Mortality!$B$4:$E$64,MATCH($D23+BN$5-1,Mortality!$A$4:$A$64,0),$U23)*$V23*$N23,0)</f>
        <v>0</v>
      </c>
      <c r="BO23" s="93">
        <f>IF(AND($T23=1,BO$5&lt;=$H23),INDEX(Mortality!$B$4:$E$64,MATCH($D23+BO$5-1,Mortality!$A$4:$A$64,0),$U23)*$V23*$N23,0)</f>
        <v>0</v>
      </c>
      <c r="BP23" s="93">
        <f>IF(AND($T23=1,BP$5&lt;=$H23),INDEX(Mortality!$B$4:$E$64,MATCH($D23+BP$5-1,Mortality!$A$4:$A$64,0),$U23)*$V23*$N23,0)</f>
        <v>0</v>
      </c>
      <c r="BQ23" s="93">
        <f>IF(AND($T23=1,BQ$5&lt;=$H23),INDEX(Mortality!$B$4:$E$64,MATCH($D23+BQ$5-1,Mortality!$A$4:$A$64,0),$U23)*$V23*$N23,0)</f>
        <v>0</v>
      </c>
      <c r="BR23" s="93">
        <f>IF(AND($T23=1,BR$5&lt;=$H23),INDEX(Mortality!$B$4:$E$64,MATCH($D23+BR$5-1,Mortality!$A$4:$A$64,0),$U23)*$V23*$N23,0)</f>
        <v>0</v>
      </c>
      <c r="BS23" s="93">
        <f>IF(AND($T23=1,BS$5&lt;=$H23),INDEX(Mortality!$B$4:$E$64,MATCH($D23+BS$5-1,Mortality!$A$4:$A$64,0),$U23)*$V23*$N23,0)</f>
        <v>0</v>
      </c>
      <c r="BT23" s="93">
        <f>IF(AND($T23=1,BT$5&lt;=$H23),INDEX(Mortality!$B$4:$E$64,MATCH($D23+BT$5-1,Mortality!$A$4:$A$64,0),$U23)*$V23*$N23,0)</f>
        <v>0</v>
      </c>
      <c r="BU23" s="93">
        <f>IF(AND($T23=1,BU$5&lt;=$H23),INDEX(Mortality!$B$4:$E$64,MATCH($D23+BU$5-1,Mortality!$A$4:$A$64,0),$U23)*$V23*$N23,0)</f>
        <v>0</v>
      </c>
      <c r="BV23" s="93">
        <f>IF(AND($T23=1,BV$5&lt;=$H23),INDEX(Mortality!$B$4:$E$64,MATCH($D23+BV$5-1,Mortality!$A$4:$A$64,0),$U23)*$V23*$N23,0)</f>
        <v>0</v>
      </c>
      <c r="BW23" s="93">
        <f>IF(AND($T23=1,BW$5&lt;=$H23),INDEX(Mortality!$B$4:$E$64,MATCH($D23+BW$5-1,Mortality!$A$4:$A$64,0),$U23)*$V23*$N23,0)</f>
        <v>0</v>
      </c>
      <c r="BX23" s="93">
        <f>IF(AND($T23=1,BX$5&lt;=$H23),INDEX(Mortality!$B$4:$E$64,MATCH($D23+BX$5-1,Mortality!$A$4:$A$64,0),$U23)*$V23*$N23,0)</f>
        <v>0</v>
      </c>
      <c r="BY23" s="93">
        <f>IF(AND($T23=1,BY$5&lt;=$H23),INDEX(Mortality!$B$4:$E$64,MATCH($D23+BY$5-1,Mortality!$A$4:$A$64,0),$U23)*$V23*$N23,0)</f>
        <v>0</v>
      </c>
      <c r="BZ23" s="93">
        <f>IF(AND($T23=1,BZ$5&lt;=$H23),INDEX(Mortality!$B$4:$E$64,MATCH($D23+BZ$5-1,Mortality!$A$4:$A$64,0),$U23)*$V23*$N23,0)</f>
        <v>0</v>
      </c>
      <c r="CA23" s="93">
        <f>IF(AND($T23=1,CA$5&lt;=$H23),INDEX(Mortality!$B$4:$E$64,MATCH($D23+CA$5-1,Mortality!$A$4:$A$64,0),$U23)*$V23*$N23,0)</f>
        <v>0</v>
      </c>
      <c r="CB23" s="93">
        <f>IF(AND($T23=1,CB$5&lt;=$H23),INDEX(Mortality!$B$4:$E$64,MATCH($D23+CB$5-1,Mortality!$A$4:$A$64,0),$U23)*$V23*$N23,0)</f>
        <v>0</v>
      </c>
      <c r="CC23" s="93">
        <f>IF(AND($T23=1,CC$5&lt;=$H23),INDEX(Mortality!$B$4:$E$64,MATCH($D23+CC$5-1,Mortality!$A$4:$A$64,0),$U23)*$V23*$N23,0)</f>
        <v>0</v>
      </c>
      <c r="CD23" s="93">
        <f>IF(AND($T23=1,CD$5&lt;=$H23),INDEX(Mortality!$B$4:$E$64,MATCH($D23+CD$5-1,Mortality!$A$4:$A$64,0),$U23)*$V23*$N23,0)</f>
        <v>0</v>
      </c>
      <c r="CE23" s="93">
        <f>IF(AND($T23=1,CE$5&lt;=$H23),INDEX(Mortality!$B$4:$E$64,MATCH($D23+CE$5-1,Mortality!$A$4:$A$64,0),$U23)*$V23*$N23,0)</f>
        <v>0</v>
      </c>
      <c r="CF23" s="93">
        <f>IF(AND($T23=1,CF$5&lt;=$H23),INDEX(Mortality!$B$4:$E$64,MATCH($D23+CF$5-1,Mortality!$A$4:$A$64,0),$U23)*$V23*$N23,0)</f>
        <v>0</v>
      </c>
      <c r="CG23" s="93">
        <f>IF(AND($T23=1,CG$5&lt;=$H23),INDEX(Mortality!$B$4:$E$64,MATCH($D23+CG$5-1,Mortality!$A$4:$A$64,0),$U23)*$V23*$N23,0)</f>
        <v>0</v>
      </c>
      <c r="CH23" s="94">
        <f>IF(AND($T23=1,CH$5&lt;=$H23),INDEX(Mortality!$B$4:$E$64,MATCH($D23+CH$5-1,Mortality!$A$4:$A$64,0),$U23)*$V23*$N23,0)</f>
        <v>0</v>
      </c>
      <c r="CI23" s="26"/>
      <c r="CJ23" s="419">
        <f t="shared" si="17"/>
        <v>1</v>
      </c>
      <c r="CK23" s="93">
        <f>IF(AND($T23=1,CK$5&lt;=$H23),CJ23*(1-AU23)*(1-MIN(1,MAX(Assumptions!$C$27,Assumptions!$C$13*Assumptions!$C$28^(CJ$5-1))*$O23)),0)</f>
        <v>0.87962803197725037</v>
      </c>
      <c r="CL23" s="93">
        <f>IF(AND($T23=1,CL$5&lt;=$H23),CK23*(1-AV23)*(1-MIN(1,MAX(Assumptions!$C$27,Assumptions!$C$13*Assumptions!$C$28^(CK$5-1))*$O23)),0)</f>
        <v>0.78954427822772988</v>
      </c>
      <c r="CM23" s="93">
        <f>IF(AND($T23=1,CM$5&lt;=$H23),CL23*(1-AW23)*(1-MIN(1,MAX(Assumptions!$C$27,Assumptions!$C$13*Assumptions!$C$28^(CL$5-1))*$O23)),0)</f>
        <v>0.72073310490533871</v>
      </c>
      <c r="CN23" s="93">
        <f>IF(AND($T23=1,CN$5&lt;=$H23),CM23*(1-AX23)*(1-MIN(1,MAX(Assumptions!$C$27,Assumptions!$C$13*Assumptions!$C$28^(CM$5-1))*$O23)),0)</f>
        <v>0.66725993685201457</v>
      </c>
      <c r="CO23" s="93">
        <f>IF(AND($T23=1,CO$5&lt;=$H23),CN23*(1-AY23)*(1-MIN(1,MAX(Assumptions!$C$27,Assumptions!$C$13*Assumptions!$C$28^(CN$5-1))*$O23)),0)</f>
        <v>0.62509819273434331</v>
      </c>
      <c r="CP23" s="93">
        <f>IF(AND($T23=1,CP$5&lt;=$H23),CO23*(1-AZ23)*(1-MIN(1,MAX(Assumptions!$C$27,Assumptions!$C$13*Assumptions!$C$28^(CO$5-1))*$O23)),0)</f>
        <v>0.59144187885656507</v>
      </c>
      <c r="CQ23" s="93">
        <f>IF(AND($T23=1,CQ$5&lt;=$H23),CP23*(1-BA23)*(1-MIN(1,MAX(Assumptions!$C$27,Assumptions!$C$13*Assumptions!$C$28^(CP$5-1))*$O23)),0)</f>
        <v>0.5642887075731372</v>
      </c>
      <c r="CR23" s="93">
        <f>IF(AND($T23=1,CR$5&lt;=$H23),CQ23*(1-BB23)*(1-MIN(1,MAX(Assumptions!$C$27,Assumptions!$C$13*Assumptions!$C$28^(CQ$5-1))*$O23)),0)</f>
        <v>0.54217943755905917</v>
      </c>
      <c r="CS23" s="93">
        <f>IF(AND($T23=1,CS$5&lt;=$H23),CR23*(1-BC23)*(1-MIN(1,MAX(Assumptions!$C$27,Assumptions!$C$13*Assumptions!$C$28^(CR$5-1))*$O23)),0)</f>
        <v>0.52403037339996894</v>
      </c>
      <c r="CT23" s="93">
        <f>IF(AND($T23=1,CT$5&lt;=$H23),CS23*(1-BD23)*(1-MIN(1,MAX(Assumptions!$C$27,Assumptions!$C$13*Assumptions!$C$28^(CS$5-1))*$O23)),0)</f>
        <v>0</v>
      </c>
      <c r="CU23" s="93">
        <f>IF(AND($T23=1,CU$5&lt;=$H23),CT23*(1-BE23)*(1-MIN(1,MAX(Assumptions!$C$27,Assumptions!$C$13*Assumptions!$C$28^(CT$5-1))*$O23)),0)</f>
        <v>0</v>
      </c>
      <c r="CV23" s="93">
        <f>IF(AND($T23=1,CV$5&lt;=$H23),CU23*(1-BF23)*(1-MIN(1,MAX(Assumptions!$C$27,Assumptions!$C$13*Assumptions!$C$28^(CU$5-1))*$O23)),0)</f>
        <v>0</v>
      </c>
      <c r="CW23" s="93">
        <f>IF(AND($T23=1,CW$5&lt;=$H23),CV23*(1-BG23)*(1-MIN(1,MAX(Assumptions!$C$27,Assumptions!$C$13*Assumptions!$C$28^(CV$5-1))*$O23)),0)</f>
        <v>0</v>
      </c>
      <c r="CX23" s="93">
        <f>IF(AND($T23=1,CX$5&lt;=$H23),CW23*(1-BH23)*(1-MIN(1,MAX(Assumptions!$C$27,Assumptions!$C$13*Assumptions!$C$28^(CW$5-1))*$O23)),0)</f>
        <v>0</v>
      </c>
      <c r="CY23" s="93">
        <f>IF(AND($T23=1,CY$5&lt;=$H23),CX23*(1-BI23)*(1-MIN(1,MAX(Assumptions!$C$27,Assumptions!$C$13*Assumptions!$C$28^(CX$5-1))*$O23)),0)</f>
        <v>0</v>
      </c>
      <c r="CZ23" s="93">
        <f>IF(AND($T23=1,CZ$5&lt;=$H23),CY23*(1-BJ23)*(1-MIN(1,MAX(Assumptions!$C$27,Assumptions!$C$13*Assumptions!$C$28^(CY$5-1))*$O23)),0)</f>
        <v>0</v>
      </c>
      <c r="DA23" s="93">
        <f>IF(AND($T23=1,DA$5&lt;=$H23),CZ23*(1-BK23)*(1-MIN(1,MAX(Assumptions!$C$27,Assumptions!$C$13*Assumptions!$C$28^(CZ$5-1))*$O23)),0)</f>
        <v>0</v>
      </c>
      <c r="DB23" s="93">
        <f>IF(AND($T23=1,DB$5&lt;=$H23),DA23*(1-BL23)*(1-MIN(1,MAX(Assumptions!$C$27,Assumptions!$C$13*Assumptions!$C$28^(DA$5-1))*$O23)),0)</f>
        <v>0</v>
      </c>
      <c r="DC23" s="93">
        <f>IF(AND($T23=1,DC$5&lt;=$H23),DB23*(1-BM23)*(1-MIN(1,MAX(Assumptions!$C$27,Assumptions!$C$13*Assumptions!$C$28^(DB$5-1))*$O23)),0)</f>
        <v>0</v>
      </c>
      <c r="DD23" s="93">
        <f>IF(AND($T23=1,DD$5&lt;=$H23),DC23*(1-BN23)*(1-MIN(1,MAX(Assumptions!$C$27,Assumptions!$C$13*Assumptions!$C$28^(DC$5-1))*$O23)),0)</f>
        <v>0</v>
      </c>
      <c r="DE23" s="93">
        <f>IF(AND($T23=1,DE$5&lt;=$H23),DD23*(1-BO23)*(1-MIN(1,MAX(Assumptions!$C$27,Assumptions!$C$13*Assumptions!$C$28^(DD$5-1))*$O23)),0)</f>
        <v>0</v>
      </c>
      <c r="DF23" s="93">
        <f>IF(AND($T23=1,DF$5&lt;=$H23),DE23*(1-BP23)*(1-MIN(1,MAX(Assumptions!$C$27,Assumptions!$C$13*Assumptions!$C$28^(DE$5-1))*$O23)),0)</f>
        <v>0</v>
      </c>
      <c r="DG23" s="93">
        <f>IF(AND($T23=1,DG$5&lt;=$H23),DF23*(1-BQ23)*(1-MIN(1,MAX(Assumptions!$C$27,Assumptions!$C$13*Assumptions!$C$28^(DF$5-1))*$O23)),0)</f>
        <v>0</v>
      </c>
      <c r="DH23" s="93">
        <f>IF(AND($T23=1,DH$5&lt;=$H23),DG23*(1-BR23)*(1-MIN(1,MAX(Assumptions!$C$27,Assumptions!$C$13*Assumptions!$C$28^(DG$5-1))*$O23)),0)</f>
        <v>0</v>
      </c>
      <c r="DI23" s="93">
        <f>IF(AND($T23=1,DI$5&lt;=$H23),DH23*(1-BS23)*(1-MIN(1,MAX(Assumptions!$C$27,Assumptions!$C$13*Assumptions!$C$28^(DH$5-1))*$O23)),0)</f>
        <v>0</v>
      </c>
      <c r="DJ23" s="93">
        <f>IF(AND($T23=1,DJ$5&lt;=$H23),DI23*(1-BT23)*(1-MIN(1,MAX(Assumptions!$C$27,Assumptions!$C$13*Assumptions!$C$28^(DI$5-1))*$O23)),0)</f>
        <v>0</v>
      </c>
      <c r="DK23" s="93">
        <f>IF(AND($T23=1,DK$5&lt;=$H23),DJ23*(1-BU23)*(1-MIN(1,MAX(Assumptions!$C$27,Assumptions!$C$13*Assumptions!$C$28^(DJ$5-1))*$O23)),0)</f>
        <v>0</v>
      </c>
      <c r="DL23" s="93">
        <f>IF(AND($T23=1,DL$5&lt;=$H23),DK23*(1-BV23)*(1-MIN(1,MAX(Assumptions!$C$27,Assumptions!$C$13*Assumptions!$C$28^(DK$5-1))*$O23)),0)</f>
        <v>0</v>
      </c>
      <c r="DM23" s="93">
        <f>IF(AND($T23=1,DM$5&lt;=$H23),DL23*(1-BW23)*(1-MIN(1,MAX(Assumptions!$C$27,Assumptions!$C$13*Assumptions!$C$28^(DL$5-1))*$O23)),0)</f>
        <v>0</v>
      </c>
      <c r="DN23" s="93">
        <f>IF(AND($T23=1,DN$5&lt;=$H23),DM23*(1-BX23)*(1-MIN(1,MAX(Assumptions!$C$27,Assumptions!$C$13*Assumptions!$C$28^(DM$5-1))*$O23)),0)</f>
        <v>0</v>
      </c>
      <c r="DO23" s="93">
        <f>IF(AND($T23=1,DO$5&lt;=$H23),DN23*(1-BY23)*(1-MIN(1,MAX(Assumptions!$C$27,Assumptions!$C$13*Assumptions!$C$28^(DN$5-1))*$O23)),0)</f>
        <v>0</v>
      </c>
      <c r="DP23" s="93">
        <f>IF(AND($T23=1,DP$5&lt;=$H23),DO23*(1-BZ23)*(1-MIN(1,MAX(Assumptions!$C$27,Assumptions!$C$13*Assumptions!$C$28^(DO$5-1))*$O23)),0)</f>
        <v>0</v>
      </c>
      <c r="DQ23" s="93">
        <f>IF(AND($T23=1,DQ$5&lt;=$H23),DP23*(1-CA23)*(1-MIN(1,MAX(Assumptions!$C$27,Assumptions!$C$13*Assumptions!$C$28^(DP$5-1))*$O23)),0)</f>
        <v>0</v>
      </c>
      <c r="DR23" s="93">
        <f>IF(AND($T23=1,DR$5&lt;=$H23),DQ23*(1-CB23)*(1-MIN(1,MAX(Assumptions!$C$27,Assumptions!$C$13*Assumptions!$C$28^(DQ$5-1))*$O23)),0)</f>
        <v>0</v>
      </c>
      <c r="DS23" s="93">
        <f>IF(AND($T23=1,DS$5&lt;=$H23),DR23*(1-CC23)*(1-MIN(1,MAX(Assumptions!$C$27,Assumptions!$C$13*Assumptions!$C$28^(DR$5-1))*$O23)),0)</f>
        <v>0</v>
      </c>
      <c r="DT23" s="93">
        <f>IF(AND($T23=1,DT$5&lt;=$H23),DS23*(1-CD23)*(1-MIN(1,MAX(Assumptions!$C$27,Assumptions!$C$13*Assumptions!$C$28^(DS$5-1))*$O23)),0)</f>
        <v>0</v>
      </c>
      <c r="DU23" s="93">
        <f>IF(AND($T23=1,DU$5&lt;=$H23),DT23*(1-CE23)*(1-MIN(1,MAX(Assumptions!$C$27,Assumptions!$C$13*Assumptions!$C$28^(DT$5-1))*$O23)),0)</f>
        <v>0</v>
      </c>
      <c r="DV23" s="93">
        <f>IF(AND($T23=1,DV$5&lt;=$H23),DU23*(1-CF23)*(1-MIN(1,MAX(Assumptions!$C$27,Assumptions!$C$13*Assumptions!$C$28^(DU$5-1))*$O23)),0)</f>
        <v>0</v>
      </c>
      <c r="DW23" s="94">
        <f>IF(AND($T23=1,DW$5&lt;=$H23),DV23*(1-CG23)*(1-MIN(1,MAX(Assumptions!$C$27,Assumptions!$C$13*Assumptions!$C$28^(DV$5-1))*$O23)),0)</f>
        <v>0</v>
      </c>
      <c r="DX23" s="26"/>
      <c r="DY23" s="26"/>
      <c r="DZ23" s="26"/>
      <c r="EA23" s="26"/>
      <c r="EB23" s="26"/>
      <c r="EC23" s="26"/>
      <c r="ED23" s="26"/>
    </row>
    <row r="24" spans="1:134" ht="13.5" thickBot="1" x14ac:dyDescent="0.35">
      <c r="A24" s="391" t="s">
        <v>424</v>
      </c>
      <c r="B24" s="392" t="s">
        <v>425</v>
      </c>
      <c r="C24" s="392" t="s">
        <v>288</v>
      </c>
      <c r="D24" s="393">
        <f>'Premium Calculation'!$B$4</f>
        <v>24</v>
      </c>
      <c r="E24" s="394" t="str">
        <f>'Premium Calculation'!$B$5</f>
        <v>Male</v>
      </c>
      <c r="F24" s="394" t="str">
        <f>'Premium Calculation'!$B$6</f>
        <v>Smoker</v>
      </c>
      <c r="G24" s="394" t="str">
        <f>'Premium Calculation'!$B$7</f>
        <v>Preferred</v>
      </c>
      <c r="H24" s="393">
        <f>'Premium Calculation'!$B$8</f>
        <v>10</v>
      </c>
      <c r="I24" s="395">
        <f>'Premium Calculation'!$B$9</f>
        <v>100000</v>
      </c>
      <c r="J24" s="394" t="str">
        <f>'Premium Calculation'!$B$10</f>
        <v>Monthly</v>
      </c>
      <c r="K24" s="394" t="str">
        <f>'Premium Calculation'!$B$31</f>
        <v>Bancassurance</v>
      </c>
      <c r="L24" s="392" t="s">
        <v>389</v>
      </c>
      <c r="M24" s="395">
        <f>'Premium Calculation'!$B$29</f>
        <v>562.44258371429942</v>
      </c>
      <c r="N24" s="396">
        <f>Assumptions!$C$21*'Assumption Review'!$B$22</f>
        <v>0.99199999999999999</v>
      </c>
      <c r="O24" s="396">
        <f>Assumptions!$C$22*'Assumption Review'!$B$45</f>
        <v>1.139</v>
      </c>
      <c r="P24" s="396">
        <f>Assumptions!$C$23</f>
        <v>1</v>
      </c>
      <c r="Q24" s="397">
        <f>Assumptions!$C$24</f>
        <v>0</v>
      </c>
      <c r="R24" s="397">
        <f>Assumptions!$C$6+Assumptions!$C$25</f>
        <v>3.5000000000000003E-2</v>
      </c>
      <c r="S24" s="397">
        <f>Assumptions!$C$15</f>
        <v>1.1000000000000001E-3</v>
      </c>
      <c r="T24" s="110">
        <f t="shared" si="0"/>
        <v>1</v>
      </c>
      <c r="U24" s="110">
        <f t="shared" si="1"/>
        <v>4</v>
      </c>
      <c r="V24" s="398">
        <f>IF($G24="Preferred",Assumptions!$C$30,IF($G24="Rated",Assumptions!$C$31,1))</f>
        <v>0.8</v>
      </c>
      <c r="W24" s="116">
        <f>IF($K24="Direct",Assumptions!$C$32,IF($K24="Broker",Assumptions!$C$33,IF($K24="Bancassurance",Assumptions!$C$34,Assumptions!$C$11)))+$Q24</f>
        <v>0.2</v>
      </c>
      <c r="X24" s="116">
        <f>Assumptions!$C$12+$Q24</f>
        <v>0.05</v>
      </c>
      <c r="Y24" s="321">
        <f>MIN($I24,Assumptions!$C$14)</f>
        <v>100000</v>
      </c>
      <c r="Z24" s="321">
        <f>MAX($I24-Assumptions!$C$14,0)</f>
        <v>0</v>
      </c>
      <c r="AA24" s="398">
        <f t="shared" si="2"/>
        <v>5.5891813529411056</v>
      </c>
      <c r="AB24" s="398">
        <f t="shared" si="3"/>
        <v>3.1932089355292495E-3</v>
      </c>
      <c r="AC24" s="398">
        <f>IF($T24=1,SUMPRODUCT($CJ24:$DW24,(1+Assumptions!$C$5)^($CJ$5:$DW$5-1),(1+$R24)^(-$CJ$5:$DW$5)),0)</f>
        <v>6.4612153039006834</v>
      </c>
      <c r="AD24" s="398">
        <f t="shared" si="4"/>
        <v>0.42438660387893939</v>
      </c>
      <c r="AE24" s="321">
        <f>IF($T24=1,$AB24*$Y24+(Assumptions!$C$9/(1+$R24)+Assumptions!$C$10*$AC24)*$P24+$S24*$Z24*$AA24,0)</f>
        <v>2610.35347780238</v>
      </c>
      <c r="AF24" s="321">
        <f>IF($T24=1,IF($AA24-$AD24-Assumptions!$C$16*$AA24&gt;0,$AE24/($AA24-$AD24-Assumptions!$C$16*$AA24)*IF($J24="Monthly",1+Assumptions!$C$29,1),"n.a."),"")</f>
        <v>569.91473418721682</v>
      </c>
      <c r="AG24" s="321">
        <f t="shared" si="5"/>
        <v>562.44258371429942</v>
      </c>
      <c r="AH24" s="321">
        <f t="shared" si="6"/>
        <v>3143.5936009959792</v>
      </c>
      <c r="AI24" s="321">
        <f t="shared" si="7"/>
        <v>294.54702521419176</v>
      </c>
      <c r="AJ24" s="116">
        <f t="shared" si="8"/>
        <v>9.3697552101159307E-2</v>
      </c>
      <c r="AK24" s="398">
        <f t="shared" si="9"/>
        <v>0.98688900281973968</v>
      </c>
      <c r="AL24" s="321">
        <f t="shared" si="10"/>
        <v>0</v>
      </c>
      <c r="AM24" s="321">
        <f t="shared" si="11"/>
        <v>0</v>
      </c>
      <c r="AN24" s="321">
        <f t="shared" si="12"/>
        <v>0</v>
      </c>
      <c r="AO24" s="321">
        <f t="shared" si="13"/>
        <v>294.54702521419176</v>
      </c>
      <c r="AP24" s="110" t="str">
        <f t="shared" si="14"/>
        <v>20-29</v>
      </c>
      <c r="AQ24" s="110" t="str">
        <f t="shared" si="15"/>
        <v>Up to 250k</v>
      </c>
      <c r="AR24" s="110" t="str">
        <f>IF($T24=1,IF($AI24&lt;0,"Loss-making",IF($AJ24&lt;Assumptions!$C$16-0.00001,"Below target","At/above target")),"Excluded")</f>
        <v>At/above target</v>
      </c>
      <c r="AS24" s="111">
        <f t="shared" si="16"/>
        <v>294.54704921419176</v>
      </c>
      <c r="AT24" s="26"/>
      <c r="AU24" s="420">
        <f>IF(AND($T24=1,AU$5&lt;=$H24),INDEX(Mortality!$B$4:$E$64,MATCH($D24+AU$5-1,Mortality!$A$4:$A$64,0),$U24)*$V24*$N24,0)</f>
        <v>4.1930940746323306E-4</v>
      </c>
      <c r="AV24" s="97">
        <f>IF(AND($T24=1,AV$5&lt;=$H24),INDEX(Mortality!$B$4:$E$64,MATCH($D24+AV$5-1,Mortality!$A$4:$A$64,0),$U24)*$V24*$N24,0)</f>
        <v>4.5423245845936921E-4</v>
      </c>
      <c r="AW24" s="97">
        <f>IF(AND($T24=1,AW$5&lt;=$H24),INDEX(Mortality!$B$4:$E$64,MATCH($D24+AW$5-1,Mortality!$A$4:$A$64,0),$U24)*$V24*$N24,0)</f>
        <v>4.9206414796723814E-4</v>
      </c>
      <c r="AX24" s="97">
        <f>IF(AND($T24=1,AX$5&lt;=$H24),INDEX(Mortality!$B$4:$E$64,MATCH($D24+AX$5-1,Mortality!$A$4:$A$64,0),$U24)*$V24*$N24,0)</f>
        <v>5.3304672795940599E-4</v>
      </c>
      <c r="AY24" s="97">
        <f>IF(AND($T24=1,AY$5&lt;=$H24),INDEX(Mortality!$B$4:$E$64,MATCH($D24+AY$5-1,Mortality!$A$4:$A$64,0),$U24)*$V24*$N24,0)</f>
        <v>5.7744262686487658E-4</v>
      </c>
      <c r="AZ24" s="97">
        <f>IF(AND($T24=1,AZ$5&lt;=$H24),INDEX(Mortality!$B$4:$E$64,MATCH($D24+AZ$5-1,Mortality!$A$4:$A$64,0),$U24)*$V24*$N24,0)</f>
        <v>6.2553613000697751E-4</v>
      </c>
      <c r="BA24" s="97">
        <f>IF(AND($T24=1,BA$5&lt;=$H24),INDEX(Mortality!$B$4:$E$64,MATCH($D24+BA$5-1,Mortality!$A$4:$A$64,0),$U24)*$V24*$N24,0)</f>
        <v>6.7763520000000007E-4</v>
      </c>
      <c r="BB24" s="97">
        <f>IF(AND($T24=1,BB$5&lt;=$H24),INDEX(Mortality!$B$4:$E$64,MATCH($D24+BB$5-1,Mortality!$A$4:$A$64,0),$U24)*$V24*$N24,0)</f>
        <v>7.3407344876133388E-4</v>
      </c>
      <c r="BC24" s="97">
        <f>IF(AND($T24=1,BC$5&lt;=$H24),INDEX(Mortality!$B$4:$E$64,MATCH($D24+BC$5-1,Mortality!$A$4:$A$64,0),$U24)*$V24*$N24,0)</f>
        <v>7.9521227376670787E-4</v>
      </c>
      <c r="BD24" s="97">
        <f>IF(AND($T24=1,BD$5&lt;=$H24),INDEX(Mortality!$B$4:$E$64,MATCH($D24+BD$5-1,Mortality!$A$4:$A$64,0),$U24)*$V24*$N24,0)</f>
        <v>8.6144317222787566E-4</v>
      </c>
      <c r="BE24" s="97">
        <f>IF(AND($T24=1,BE$5&lt;=$H24),INDEX(Mortality!$B$4:$E$64,MATCH($D24+BE$5-1,Mortality!$A$4:$A$64,0),$U24)*$V24*$N24,0)</f>
        <v>0</v>
      </c>
      <c r="BF24" s="97">
        <f>IF(AND($T24=1,BF$5&lt;=$H24),INDEX(Mortality!$B$4:$E$64,MATCH($D24+BF$5-1,Mortality!$A$4:$A$64,0),$U24)*$V24*$N24,0)</f>
        <v>0</v>
      </c>
      <c r="BG24" s="97">
        <f>IF(AND($T24=1,BG$5&lt;=$H24),INDEX(Mortality!$B$4:$E$64,MATCH($D24+BG$5-1,Mortality!$A$4:$A$64,0),$U24)*$V24*$N24,0)</f>
        <v>0</v>
      </c>
      <c r="BH24" s="97">
        <f>IF(AND($T24=1,BH$5&lt;=$H24),INDEX(Mortality!$B$4:$E$64,MATCH($D24+BH$5-1,Mortality!$A$4:$A$64,0),$U24)*$V24*$N24,0)</f>
        <v>0</v>
      </c>
      <c r="BI24" s="97">
        <f>IF(AND($T24=1,BI$5&lt;=$H24),INDEX(Mortality!$B$4:$E$64,MATCH($D24+BI$5-1,Mortality!$A$4:$A$64,0),$U24)*$V24*$N24,0)</f>
        <v>0</v>
      </c>
      <c r="BJ24" s="97">
        <f>IF(AND($T24=1,BJ$5&lt;=$H24),INDEX(Mortality!$B$4:$E$64,MATCH($D24+BJ$5-1,Mortality!$A$4:$A$64,0),$U24)*$V24*$N24,0)</f>
        <v>0</v>
      </c>
      <c r="BK24" s="97">
        <f>IF(AND($T24=1,BK$5&lt;=$H24),INDEX(Mortality!$B$4:$E$64,MATCH($D24+BK$5-1,Mortality!$A$4:$A$64,0),$U24)*$V24*$N24,0)</f>
        <v>0</v>
      </c>
      <c r="BL24" s="97">
        <f>IF(AND($T24=1,BL$5&lt;=$H24),INDEX(Mortality!$B$4:$E$64,MATCH($D24+BL$5-1,Mortality!$A$4:$A$64,0),$U24)*$V24*$N24,0)</f>
        <v>0</v>
      </c>
      <c r="BM24" s="97">
        <f>IF(AND($T24=1,BM$5&lt;=$H24),INDEX(Mortality!$B$4:$E$64,MATCH($D24+BM$5-1,Mortality!$A$4:$A$64,0),$U24)*$V24*$N24,0)</f>
        <v>0</v>
      </c>
      <c r="BN24" s="97">
        <f>IF(AND($T24=1,BN$5&lt;=$H24),INDEX(Mortality!$B$4:$E$64,MATCH($D24+BN$5-1,Mortality!$A$4:$A$64,0),$U24)*$V24*$N24,0)</f>
        <v>0</v>
      </c>
      <c r="BO24" s="97">
        <f>IF(AND($T24=1,BO$5&lt;=$H24),INDEX(Mortality!$B$4:$E$64,MATCH($D24+BO$5-1,Mortality!$A$4:$A$64,0),$U24)*$V24*$N24,0)</f>
        <v>0</v>
      </c>
      <c r="BP24" s="97">
        <f>IF(AND($T24=1,BP$5&lt;=$H24),INDEX(Mortality!$B$4:$E$64,MATCH($D24+BP$5-1,Mortality!$A$4:$A$64,0),$U24)*$V24*$N24,0)</f>
        <v>0</v>
      </c>
      <c r="BQ24" s="97">
        <f>IF(AND($T24=1,BQ$5&lt;=$H24),INDEX(Mortality!$B$4:$E$64,MATCH($D24+BQ$5-1,Mortality!$A$4:$A$64,0),$U24)*$V24*$N24,0)</f>
        <v>0</v>
      </c>
      <c r="BR24" s="97">
        <f>IF(AND($T24=1,BR$5&lt;=$H24),INDEX(Mortality!$B$4:$E$64,MATCH($D24+BR$5-1,Mortality!$A$4:$A$64,0),$U24)*$V24*$N24,0)</f>
        <v>0</v>
      </c>
      <c r="BS24" s="97">
        <f>IF(AND($T24=1,BS$5&lt;=$H24),INDEX(Mortality!$B$4:$E$64,MATCH($D24+BS$5-1,Mortality!$A$4:$A$64,0),$U24)*$V24*$N24,0)</f>
        <v>0</v>
      </c>
      <c r="BT24" s="97">
        <f>IF(AND($T24=1,BT$5&lt;=$H24),INDEX(Mortality!$B$4:$E$64,MATCH($D24+BT$5-1,Mortality!$A$4:$A$64,0),$U24)*$V24*$N24,0)</f>
        <v>0</v>
      </c>
      <c r="BU24" s="97">
        <f>IF(AND($T24=1,BU$5&lt;=$H24),INDEX(Mortality!$B$4:$E$64,MATCH($D24+BU$5-1,Mortality!$A$4:$A$64,0),$U24)*$V24*$N24,0)</f>
        <v>0</v>
      </c>
      <c r="BV24" s="97">
        <f>IF(AND($T24=1,BV$5&lt;=$H24),INDEX(Mortality!$B$4:$E$64,MATCH($D24+BV$5-1,Mortality!$A$4:$A$64,0),$U24)*$V24*$N24,0)</f>
        <v>0</v>
      </c>
      <c r="BW24" s="97">
        <f>IF(AND($T24=1,BW$5&lt;=$H24),INDEX(Mortality!$B$4:$E$64,MATCH($D24+BW$5-1,Mortality!$A$4:$A$64,0),$U24)*$V24*$N24,0)</f>
        <v>0</v>
      </c>
      <c r="BX24" s="97">
        <f>IF(AND($T24=1,BX$5&lt;=$H24),INDEX(Mortality!$B$4:$E$64,MATCH($D24+BX$5-1,Mortality!$A$4:$A$64,0),$U24)*$V24*$N24,0)</f>
        <v>0</v>
      </c>
      <c r="BY24" s="97">
        <f>IF(AND($T24=1,BY$5&lt;=$H24),INDEX(Mortality!$B$4:$E$64,MATCH($D24+BY$5-1,Mortality!$A$4:$A$64,0),$U24)*$V24*$N24,0)</f>
        <v>0</v>
      </c>
      <c r="BZ24" s="97">
        <f>IF(AND($T24=1,BZ$5&lt;=$H24),INDEX(Mortality!$B$4:$E$64,MATCH($D24+BZ$5-1,Mortality!$A$4:$A$64,0),$U24)*$V24*$N24,0)</f>
        <v>0</v>
      </c>
      <c r="CA24" s="97">
        <f>IF(AND($T24=1,CA$5&lt;=$H24),INDEX(Mortality!$B$4:$E$64,MATCH($D24+CA$5-1,Mortality!$A$4:$A$64,0),$U24)*$V24*$N24,0)</f>
        <v>0</v>
      </c>
      <c r="CB24" s="97">
        <f>IF(AND($T24=1,CB$5&lt;=$H24),INDEX(Mortality!$B$4:$E$64,MATCH($D24+CB$5-1,Mortality!$A$4:$A$64,0),$U24)*$V24*$N24,0)</f>
        <v>0</v>
      </c>
      <c r="CC24" s="97">
        <f>IF(AND($T24=1,CC$5&lt;=$H24),INDEX(Mortality!$B$4:$E$64,MATCH($D24+CC$5-1,Mortality!$A$4:$A$64,0),$U24)*$V24*$N24,0)</f>
        <v>0</v>
      </c>
      <c r="CD24" s="97">
        <f>IF(AND($T24=1,CD$5&lt;=$H24),INDEX(Mortality!$B$4:$E$64,MATCH($D24+CD$5-1,Mortality!$A$4:$A$64,0),$U24)*$V24*$N24,0)</f>
        <v>0</v>
      </c>
      <c r="CE24" s="97">
        <f>IF(AND($T24=1,CE$5&lt;=$H24),INDEX(Mortality!$B$4:$E$64,MATCH($D24+CE$5-1,Mortality!$A$4:$A$64,0),$U24)*$V24*$N24,0)</f>
        <v>0</v>
      </c>
      <c r="CF24" s="97">
        <f>IF(AND($T24=1,CF$5&lt;=$H24),INDEX(Mortality!$B$4:$E$64,MATCH($D24+CF$5-1,Mortality!$A$4:$A$64,0),$U24)*$V24*$N24,0)</f>
        <v>0</v>
      </c>
      <c r="CG24" s="97">
        <f>IF(AND($T24=1,CG$5&lt;=$H24),INDEX(Mortality!$B$4:$E$64,MATCH($D24+CG$5-1,Mortality!$A$4:$A$64,0),$U24)*$V24*$N24,0)</f>
        <v>0</v>
      </c>
      <c r="CH24" s="98">
        <f>IF(AND($T24=1,CH$5&lt;=$H24),INDEX(Mortality!$B$4:$E$64,MATCH($D24+CH$5-1,Mortality!$A$4:$A$64,0),$U24)*$V24*$N24,0)</f>
        <v>0</v>
      </c>
      <c r="CI24" s="26"/>
      <c r="CJ24" s="420">
        <f t="shared" si="17"/>
        <v>1</v>
      </c>
      <c r="CK24" s="97">
        <f>IF(AND($T24=1,CK$5&lt;=$H24),CJ24*(1-AU24)*(1-MIN(1,MAX(Assumptions!$C$27,Assumptions!$C$13*Assumptions!$C$28^(CJ$5-1))*$O24)),0)</f>
        <v>0.86295800180234883</v>
      </c>
      <c r="CL24" s="97">
        <f>IF(AND($T24=1,CL$5&lt;=$H24),CK24*(1-AV24)*(1-MIN(1,MAX(Assumptions!$C$27,Assumptions!$C$13*Assumptions!$C$28^(CK$5-1))*$O24)),0)</f>
        <v>0.76235482339734473</v>
      </c>
      <c r="CM24" s="97">
        <f>IF(AND($T24=1,CM$5&lt;=$H24),CL24*(1-AW24)*(1-MIN(1,MAX(Assumptions!$C$27,Assumptions!$C$13*Assumptions!$C$28^(CL$5-1))*$O24)),0)</f>
        <v>0.68673321037494517</v>
      </c>
      <c r="CN24" s="97">
        <f>IF(AND($T24=1,CN$5&lt;=$H24),CM24*(1-AX24)*(1-MIN(1,MAX(Assumptions!$C$27,Assumptions!$C$13*Assumptions!$C$28^(CM$5-1))*$O24)),0)</f>
        <v>0.62875444843864581</v>
      </c>
      <c r="CO24" s="97">
        <f>IF(AND($T24=1,CO$5&lt;=$H24),CN24*(1-AY24)*(1-MIN(1,MAX(Assumptions!$C$27,Assumptions!$C$13*Assumptions!$C$28^(CN$5-1))*$O24)),0)</f>
        <v>0.58355702744605797</v>
      </c>
      <c r="CP24" s="97">
        <f>IF(AND($T24=1,CP$5&lt;=$H24),CO24*(1-AZ24)*(1-MIN(1,MAX(Assumptions!$C$27,Assumptions!$C$13*Assumptions!$C$28^(CO$5-1))*$O24)),0)</f>
        <v>0.54782393864563539</v>
      </c>
      <c r="CQ24" s="97">
        <f>IF(AND($T24=1,CQ$5&lt;=$H24),CP24*(1-BA24)*(1-MIN(1,MAX(Assumptions!$C$27,Assumptions!$C$13*Assumptions!$C$28^(CP$5-1))*$O24)),0)</f>
        <v>0.51923218570680407</v>
      </c>
      <c r="CR24" s="97">
        <f>IF(AND($T24=1,CR$5&lt;=$H24),CQ24*(1-BB24)*(1-MIN(1,MAX(Assumptions!$C$27,Assumptions!$C$13*Assumptions!$C$28^(CQ$5-1))*$O24)),0)</f>
        <v>0.49611680717059436</v>
      </c>
      <c r="CS24" s="97">
        <f>IF(AND($T24=1,CS$5&lt;=$H24),CR24*(1-BC24)*(1-MIN(1,MAX(Assumptions!$C$27,Assumptions!$C$13*Assumptions!$C$28^(CR$5-1))*$O24)),0)</f>
        <v>0.4772596056049897</v>
      </c>
      <c r="CT24" s="97">
        <f>IF(AND($T24=1,CT$5&lt;=$H24),CS24*(1-BD24)*(1-MIN(1,MAX(Assumptions!$C$27,Assumptions!$C$13*Assumptions!$C$28^(CS$5-1))*$O24)),0)</f>
        <v>0</v>
      </c>
      <c r="CU24" s="97">
        <f>IF(AND($T24=1,CU$5&lt;=$H24),CT24*(1-BE24)*(1-MIN(1,MAX(Assumptions!$C$27,Assumptions!$C$13*Assumptions!$C$28^(CT$5-1))*$O24)),0)</f>
        <v>0</v>
      </c>
      <c r="CV24" s="97">
        <f>IF(AND($T24=1,CV$5&lt;=$H24),CU24*(1-BF24)*(1-MIN(1,MAX(Assumptions!$C$27,Assumptions!$C$13*Assumptions!$C$28^(CU$5-1))*$O24)),0)</f>
        <v>0</v>
      </c>
      <c r="CW24" s="97">
        <f>IF(AND($T24=1,CW$5&lt;=$H24),CV24*(1-BG24)*(1-MIN(1,MAX(Assumptions!$C$27,Assumptions!$C$13*Assumptions!$C$28^(CV$5-1))*$O24)),0)</f>
        <v>0</v>
      </c>
      <c r="CX24" s="97">
        <f>IF(AND($T24=1,CX$5&lt;=$H24),CW24*(1-BH24)*(1-MIN(1,MAX(Assumptions!$C$27,Assumptions!$C$13*Assumptions!$C$28^(CW$5-1))*$O24)),0)</f>
        <v>0</v>
      </c>
      <c r="CY24" s="97">
        <f>IF(AND($T24=1,CY$5&lt;=$H24),CX24*(1-BI24)*(1-MIN(1,MAX(Assumptions!$C$27,Assumptions!$C$13*Assumptions!$C$28^(CX$5-1))*$O24)),0)</f>
        <v>0</v>
      </c>
      <c r="CZ24" s="97">
        <f>IF(AND($T24=1,CZ$5&lt;=$H24),CY24*(1-BJ24)*(1-MIN(1,MAX(Assumptions!$C$27,Assumptions!$C$13*Assumptions!$C$28^(CY$5-1))*$O24)),0)</f>
        <v>0</v>
      </c>
      <c r="DA24" s="97">
        <f>IF(AND($T24=1,DA$5&lt;=$H24),CZ24*(1-BK24)*(1-MIN(1,MAX(Assumptions!$C$27,Assumptions!$C$13*Assumptions!$C$28^(CZ$5-1))*$O24)),0)</f>
        <v>0</v>
      </c>
      <c r="DB24" s="97">
        <f>IF(AND($T24=1,DB$5&lt;=$H24),DA24*(1-BL24)*(1-MIN(1,MAX(Assumptions!$C$27,Assumptions!$C$13*Assumptions!$C$28^(DA$5-1))*$O24)),0)</f>
        <v>0</v>
      </c>
      <c r="DC24" s="97">
        <f>IF(AND($T24=1,DC$5&lt;=$H24),DB24*(1-BM24)*(1-MIN(1,MAX(Assumptions!$C$27,Assumptions!$C$13*Assumptions!$C$28^(DB$5-1))*$O24)),0)</f>
        <v>0</v>
      </c>
      <c r="DD24" s="97">
        <f>IF(AND($T24=1,DD$5&lt;=$H24),DC24*(1-BN24)*(1-MIN(1,MAX(Assumptions!$C$27,Assumptions!$C$13*Assumptions!$C$28^(DC$5-1))*$O24)),0)</f>
        <v>0</v>
      </c>
      <c r="DE24" s="97">
        <f>IF(AND($T24=1,DE$5&lt;=$H24),DD24*(1-BO24)*(1-MIN(1,MAX(Assumptions!$C$27,Assumptions!$C$13*Assumptions!$C$28^(DD$5-1))*$O24)),0)</f>
        <v>0</v>
      </c>
      <c r="DF24" s="97">
        <f>IF(AND($T24=1,DF$5&lt;=$H24),DE24*(1-BP24)*(1-MIN(1,MAX(Assumptions!$C$27,Assumptions!$C$13*Assumptions!$C$28^(DE$5-1))*$O24)),0)</f>
        <v>0</v>
      </c>
      <c r="DG24" s="97">
        <f>IF(AND($T24=1,DG$5&lt;=$H24),DF24*(1-BQ24)*(1-MIN(1,MAX(Assumptions!$C$27,Assumptions!$C$13*Assumptions!$C$28^(DF$5-1))*$O24)),0)</f>
        <v>0</v>
      </c>
      <c r="DH24" s="97">
        <f>IF(AND($T24=1,DH$5&lt;=$H24),DG24*(1-BR24)*(1-MIN(1,MAX(Assumptions!$C$27,Assumptions!$C$13*Assumptions!$C$28^(DG$5-1))*$O24)),0)</f>
        <v>0</v>
      </c>
      <c r="DI24" s="97">
        <f>IF(AND($T24=1,DI$5&lt;=$H24),DH24*(1-BS24)*(1-MIN(1,MAX(Assumptions!$C$27,Assumptions!$C$13*Assumptions!$C$28^(DH$5-1))*$O24)),0)</f>
        <v>0</v>
      </c>
      <c r="DJ24" s="97">
        <f>IF(AND($T24=1,DJ$5&lt;=$H24),DI24*(1-BT24)*(1-MIN(1,MAX(Assumptions!$C$27,Assumptions!$C$13*Assumptions!$C$28^(DI$5-1))*$O24)),0)</f>
        <v>0</v>
      </c>
      <c r="DK24" s="97">
        <f>IF(AND($T24=1,DK$5&lt;=$H24),DJ24*(1-BU24)*(1-MIN(1,MAX(Assumptions!$C$27,Assumptions!$C$13*Assumptions!$C$28^(DJ$5-1))*$O24)),0)</f>
        <v>0</v>
      </c>
      <c r="DL24" s="97">
        <f>IF(AND($T24=1,DL$5&lt;=$H24),DK24*(1-BV24)*(1-MIN(1,MAX(Assumptions!$C$27,Assumptions!$C$13*Assumptions!$C$28^(DK$5-1))*$O24)),0)</f>
        <v>0</v>
      </c>
      <c r="DM24" s="97">
        <f>IF(AND($T24=1,DM$5&lt;=$H24),DL24*(1-BW24)*(1-MIN(1,MAX(Assumptions!$C$27,Assumptions!$C$13*Assumptions!$C$28^(DL$5-1))*$O24)),0)</f>
        <v>0</v>
      </c>
      <c r="DN24" s="97">
        <f>IF(AND($T24=1,DN$5&lt;=$H24),DM24*(1-BX24)*(1-MIN(1,MAX(Assumptions!$C$27,Assumptions!$C$13*Assumptions!$C$28^(DM$5-1))*$O24)),0)</f>
        <v>0</v>
      </c>
      <c r="DO24" s="97">
        <f>IF(AND($T24=1,DO$5&lt;=$H24),DN24*(1-BY24)*(1-MIN(1,MAX(Assumptions!$C$27,Assumptions!$C$13*Assumptions!$C$28^(DN$5-1))*$O24)),0)</f>
        <v>0</v>
      </c>
      <c r="DP24" s="97">
        <f>IF(AND($T24=1,DP$5&lt;=$H24),DO24*(1-BZ24)*(1-MIN(1,MAX(Assumptions!$C$27,Assumptions!$C$13*Assumptions!$C$28^(DO$5-1))*$O24)),0)</f>
        <v>0</v>
      </c>
      <c r="DQ24" s="97">
        <f>IF(AND($T24=1,DQ$5&lt;=$H24),DP24*(1-CA24)*(1-MIN(1,MAX(Assumptions!$C$27,Assumptions!$C$13*Assumptions!$C$28^(DP$5-1))*$O24)),0)</f>
        <v>0</v>
      </c>
      <c r="DR24" s="97">
        <f>IF(AND($T24=1,DR$5&lt;=$H24),DQ24*(1-CB24)*(1-MIN(1,MAX(Assumptions!$C$27,Assumptions!$C$13*Assumptions!$C$28^(DQ$5-1))*$O24)),0)</f>
        <v>0</v>
      </c>
      <c r="DS24" s="97">
        <f>IF(AND($T24=1,DS$5&lt;=$H24),DR24*(1-CC24)*(1-MIN(1,MAX(Assumptions!$C$27,Assumptions!$C$13*Assumptions!$C$28^(DR$5-1))*$O24)),0)</f>
        <v>0</v>
      </c>
      <c r="DT24" s="97">
        <f>IF(AND($T24=1,DT$5&lt;=$H24),DS24*(1-CD24)*(1-MIN(1,MAX(Assumptions!$C$27,Assumptions!$C$13*Assumptions!$C$28^(DS$5-1))*$O24)),0)</f>
        <v>0</v>
      </c>
      <c r="DU24" s="97">
        <f>IF(AND($T24=1,DU$5&lt;=$H24),DT24*(1-CE24)*(1-MIN(1,MAX(Assumptions!$C$27,Assumptions!$C$13*Assumptions!$C$28^(DT$5-1))*$O24)),0)</f>
        <v>0</v>
      </c>
      <c r="DV24" s="97">
        <f>IF(AND($T24=1,DV$5&lt;=$H24),DU24*(1-CF24)*(1-MIN(1,MAX(Assumptions!$C$27,Assumptions!$C$13*Assumptions!$C$28^(DU$5-1))*$O24)),0)</f>
        <v>0</v>
      </c>
      <c r="DW24" s="98">
        <f>IF(AND($T24=1,DW$5&lt;=$H24),DV24*(1-CG24)*(1-MIN(1,MAX(Assumptions!$C$27,Assumptions!$C$13*Assumptions!$C$28^(DV$5-1))*$O24)),0)</f>
        <v>0</v>
      </c>
      <c r="DX24" s="26"/>
      <c r="DY24" s="26"/>
      <c r="DZ24" s="26"/>
      <c r="EA24" s="26"/>
      <c r="EB24" s="26"/>
      <c r="EC24" s="26"/>
      <c r="ED24" s="26"/>
    </row>
    <row r="25" spans="1:134"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row>
    <row r="26" spans="1:134"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row>
    <row r="27" spans="1:134" ht="13.5" thickBot="1" x14ac:dyDescent="0.35">
      <c r="A27" s="352" t="s">
        <v>1055</v>
      </c>
      <c r="B27" s="353"/>
      <c r="C27" s="353"/>
      <c r="D27" s="353"/>
      <c r="E27" s="353"/>
      <c r="F27" s="353"/>
      <c r="G27" s="353"/>
      <c r="H27" s="353"/>
      <c r="I27" s="353"/>
      <c r="J27" s="353"/>
      <c r="K27" s="353"/>
      <c r="L27" s="353"/>
      <c r="M27" s="353"/>
      <c r="N27" s="353"/>
      <c r="O27" s="353"/>
      <c r="P27" s="353"/>
      <c r="Q27" s="353"/>
      <c r="R27" s="353"/>
      <c r="S27" s="353"/>
      <c r="T27" s="353"/>
      <c r="U27" s="353"/>
      <c r="V27" s="353"/>
      <c r="W27" s="353"/>
      <c r="X27" s="353"/>
      <c r="Y27" s="353"/>
      <c r="Z27" s="353"/>
      <c r="AA27" s="353"/>
      <c r="AB27" s="353"/>
      <c r="AC27" s="353"/>
      <c r="AD27" s="353"/>
      <c r="AE27" s="353"/>
      <c r="AF27" s="353"/>
      <c r="AG27" s="353"/>
      <c r="AH27" s="353"/>
      <c r="AI27" s="353"/>
      <c r="AJ27" s="353"/>
      <c r="AK27" s="353"/>
      <c r="AL27" s="353"/>
      <c r="AM27" s="353"/>
      <c r="AN27" s="353"/>
      <c r="AO27" s="353"/>
      <c r="AP27" s="353"/>
      <c r="AQ27" s="353"/>
      <c r="AR27" s="353"/>
      <c r="AS27" s="353"/>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row>
    <row r="28" spans="1:134" ht="13.5" thickBot="1" x14ac:dyDescent="0.35">
      <c r="A28" s="44" t="s">
        <v>1056</v>
      </c>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404" t="s">
        <v>353</v>
      </c>
      <c r="DZ28" s="239"/>
      <c r="EA28" s="239"/>
      <c r="EB28" s="239"/>
      <c r="EC28" s="239"/>
      <c r="ED28" s="240"/>
    </row>
    <row r="29" spans="1:134" ht="39.5" thickBot="1" x14ac:dyDescent="0.3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405" t="s">
        <v>382</v>
      </c>
      <c r="DZ29" s="406" t="s">
        <v>383</v>
      </c>
      <c r="EA29" s="406" t="s">
        <v>384</v>
      </c>
      <c r="EB29" s="406" t="s">
        <v>385</v>
      </c>
      <c r="EC29" s="406" t="s">
        <v>386</v>
      </c>
      <c r="ED29" s="407" t="s">
        <v>387</v>
      </c>
    </row>
    <row r="30" spans="1:134" x14ac:dyDescent="0.3">
      <c r="A30" s="408" t="str">
        <f>'Policy Data'!A4</f>
        <v>POL100000</v>
      </c>
      <c r="B30" s="114" t="s">
        <v>426</v>
      </c>
      <c r="C30" s="113" t="str">
        <f>'Policy Data'!B4</f>
        <v>Term Life</v>
      </c>
      <c r="D30" s="113">
        <f>'Policy Data'!C4</f>
        <v>55</v>
      </c>
      <c r="E30" s="113" t="str">
        <f>'Policy Data'!D4</f>
        <v>Male</v>
      </c>
      <c r="F30" s="113" t="str">
        <f>'Policy Data'!E4</f>
        <v>Non-smoker</v>
      </c>
      <c r="G30" s="113" t="str">
        <f>'Policy Data'!F4</f>
        <v>Standard</v>
      </c>
      <c r="H30" s="113">
        <f>'Policy Data'!G4</f>
        <v>20</v>
      </c>
      <c r="I30" s="409">
        <f>'Policy Data'!H4</f>
        <v>250000</v>
      </c>
      <c r="J30" s="113" t="str">
        <f>'Policy Data'!I4</f>
        <v>Monthly</v>
      </c>
      <c r="K30" s="113" t="str">
        <f>'Policy Data'!J4</f>
        <v>Broker</v>
      </c>
      <c r="L30" s="114" t="s">
        <v>389</v>
      </c>
      <c r="M30" s="134">
        <f>'Policy Data'!R4</f>
        <v>1745.53</v>
      </c>
      <c r="N30" s="410">
        <f>Assumptions!$C$21</f>
        <v>1</v>
      </c>
      <c r="O30" s="410">
        <f>Assumptions!$C$22</f>
        <v>1</v>
      </c>
      <c r="P30" s="410">
        <f>Assumptions!$C$23</f>
        <v>1</v>
      </c>
      <c r="Q30" s="411">
        <f>Assumptions!$C$24</f>
        <v>0</v>
      </c>
      <c r="R30" s="411">
        <f>Assumptions!$C$6+Assumptions!$C$25</f>
        <v>3.5000000000000003E-2</v>
      </c>
      <c r="S30" s="411">
        <f>Assumptions!$C$15</f>
        <v>1.1000000000000001E-3</v>
      </c>
      <c r="T30" s="114">
        <f t="shared" ref="T30:T93" si="18">IF(AND($C30="Term Life",ISNUMBER($D30),$D30&gt;=20,$D30=INT($D30),$H30&gt;=1,$H30&lt;=40,$D30+$H30-1&lt;=80,$I30&gt;0,$N30&gt;=0,$O30&gt;=0,$P30&gt;=0,$R30&gt;-1),1,0)</f>
        <v>1</v>
      </c>
      <c r="U30" s="114">
        <f t="shared" ref="U30:U93" si="19">IF($E30="Female",IF($F30="Non-smoker",1,2),IF($F30="Non-smoker",3,4))</f>
        <v>3</v>
      </c>
      <c r="V30" s="412">
        <f>IF($G30="Preferred",Assumptions!$C$30,IF($G30="Rated",Assumptions!$C$31,1))</f>
        <v>1</v>
      </c>
      <c r="W30" s="413">
        <f>IF($K30="Direct",Assumptions!$C$32,IF($K30="Broker",Assumptions!$C$33,IF($K30="Bancassurance",Assumptions!$C$34,Assumptions!$C$11)))+$Q30</f>
        <v>0.25</v>
      </c>
      <c r="X30" s="413">
        <f>Assumptions!$C$12+$Q30</f>
        <v>0.05</v>
      </c>
      <c r="Y30" s="414">
        <f>MIN($I30,Assumptions!$C$14)</f>
        <v>250000</v>
      </c>
      <c r="Z30" s="414">
        <f>MAX($I30-Assumptions!$C$14,0)</f>
        <v>0</v>
      </c>
      <c r="AA30" s="412">
        <f t="shared" ref="AA30:AA93" si="20">IF($T30=1,SUMPRODUCT($CJ30:$DW30,(1+$R30)^(-$CJ$5:$DW$5)),0)</f>
        <v>8.2802983696674826</v>
      </c>
      <c r="AB30" s="412">
        <f t="shared" ref="AB30:AB93" si="21">IF($T30=1,SUMPRODUCT($CJ30:$DW30,$AU30:$CH30,(1+$R30)^(-$CJ$5:$DW$5)),0)</f>
        <v>6.0249166394017152E-2</v>
      </c>
      <c r="AC30" s="412">
        <f>IF($T30=1,SUMPRODUCT($CJ30:$DW30,(1+Assumptions!$C$5)^($CJ$5:$DW$5-1),(1+$R30)^(-$CJ$5:$DW$5)),0)</f>
        <v>11.04802577036031</v>
      </c>
      <c r="AD30" s="412">
        <f t="shared" ref="AD30:AD93" si="22">IF($T30=1,$W30/(1+$R30)+$X30*($AA30-1/(1+$R30)),0)</f>
        <v>0.60725163345921951</v>
      </c>
      <c r="AE30" s="414">
        <f>IF($T30=1,$AB30*$Y30+(Assumptions!$C$9/(1+$R30)+Assumptions!$C$10*$AC30)*$P30+$S30*$Z30*$AA30,0)</f>
        <v>18362.42248537486</v>
      </c>
      <c r="AF30" s="414">
        <f>IF($T30=1,IF($AA30-$AD30-Assumptions!$C$16*$AA30&gt;0,$AE30/($AA30-$AD30-Assumptions!$C$16*$AA30)*IF($J30="Monthly",1+Assumptions!$C$29,1),"n.a."),"")</f>
        <v>2697.8052477974165</v>
      </c>
      <c r="AG30" s="414">
        <f t="shared" ref="AG30:AG93" si="23">IF($T30=1,IF($L30="Technical",$AF30,$M30),"")</f>
        <v>1745.53</v>
      </c>
      <c r="AH30" s="414">
        <f t="shared" ref="AH30:AH93" si="24">IF($T30=1,$AG30*$AA30,"")</f>
        <v>14453.50921320568</v>
      </c>
      <c r="AI30" s="414">
        <f t="shared" ref="AI30:AI93" si="25">IF($T30=1,$AG30*($AA30-$AD30)-$AE30,"")</f>
        <v>-4968.8892159212501</v>
      </c>
      <c r="AJ30" s="413">
        <f t="shared" ref="AJ30:AJ93" si="26">IF($T30=1,IF($AH30=0,"",$AI30/$AH30),"")</f>
        <v>-0.34378427706548559</v>
      </c>
      <c r="AK30" s="412">
        <f t="shared" ref="AK30:AK93" si="27">IF(AND($T30=1,ISNUMBER($AF30)),$M30/$AF30,"")</f>
        <v>0.6470185353168515</v>
      </c>
      <c r="AL30" s="414">
        <f t="shared" ref="AL30:AL93" si="28">IF($T30=1,$AB30*$Z30,"")</f>
        <v>0</v>
      </c>
      <c r="AM30" s="414">
        <f t="shared" ref="AM30:AM93" si="29">IF($T30=1,$S30*$Z30*$AA30,"")</f>
        <v>0</v>
      </c>
      <c r="AN30" s="414">
        <f t="shared" ref="AN30:AN93" si="30">IF($T30=1,$AL30-$AM30,"")</f>
        <v>0</v>
      </c>
      <c r="AO30" s="414">
        <f t="shared" ref="AO30:AO93" si="31">IF($T30=1,$AI30-$AN30,"")</f>
        <v>-4968.8892159212501</v>
      </c>
      <c r="AP30" s="114" t="str">
        <f t="shared" ref="AP30:AP93" si="32">IF($D30&lt;30,"20-29",IF($D30&lt;40,"30-39",IF($D30&lt;50,"40-49",IF($D30&lt;60,"50-59","60+"))))</f>
        <v>50-59</v>
      </c>
      <c r="AQ30" s="114" t="str">
        <f t="shared" ref="AQ30:AQ93" si="33">IF($I30&lt;=250000,"Up to 250k",IF($I30&lt;=500000,"250k-500k",IF($I30&lt;=1000000,"500k-1m","Over 1m")))</f>
        <v>Up to 250k</v>
      </c>
      <c r="AR30" s="114" t="str">
        <f>IF($T30=1,IF($AI30&lt;0,"Loss-making",IF($AJ30&lt;Assumptions!$C$16-0.00001,"Below target","At/above target")),"Excluded")</f>
        <v>Loss-making</v>
      </c>
      <c r="AS30" s="115">
        <f t="shared" ref="AS30:AS93" si="34">IF($T30=1,$AI30+ROW()/1000000,1E+99)</f>
        <v>-4968.8891859212499</v>
      </c>
      <c r="AT30" s="26"/>
      <c r="AU30" s="421">
        <f>IF(AND($T30=1,AU$5&lt;=$H30),INDEX(Mortality!$B$4:$E$64,MATCH($D30+AU$5-1,Mortality!$A$4:$A$64,0),$U30)*$V30*$N30,0)</f>
        <v>3.8238365311966099E-3</v>
      </c>
      <c r="AV30" s="422">
        <f>IF(AND($T30=1,AV$5&lt;=$H30),INDEX(Mortality!$B$4:$E$64,MATCH($D30+AV$5-1,Mortality!$A$4:$A$64,0),$U30)*$V30*$N30,0)</f>
        <v>4.1423126631483596E-3</v>
      </c>
      <c r="AW30" s="422">
        <f>IF(AND($T30=1,AW$5&lt;=$H30),INDEX(Mortality!$B$4:$E$64,MATCH($D30+AW$5-1,Mortality!$A$4:$A$64,0),$U30)*$V30*$N30,0)</f>
        <v>4.4873137382548398E-3</v>
      </c>
      <c r="AX30" s="422">
        <f>IF(AND($T30=1,AX$5&lt;=$H30),INDEX(Mortality!$B$4:$E$64,MATCH($D30+AX$5-1,Mortality!$A$4:$A$64,0),$U30)*$V30*$N30,0)</f>
        <v>4.8610489412516398E-3</v>
      </c>
      <c r="AY30" s="422">
        <f>IF(AND($T30=1,AY$5&lt;=$H30),INDEX(Mortality!$B$4:$E$64,MATCH($D30+AY$5-1,Mortality!$A$4:$A$64,0),$U30)*$V30*$N30,0)</f>
        <v>5.2659114533929498E-3</v>
      </c>
      <c r="AZ30" s="422">
        <f>IF(AND($T30=1,AZ$5&lt;=$H30),INDEX(Mortality!$B$4:$E$64,MATCH($D30+AZ$5-1,Mortality!$A$4:$A$64,0),$U30)*$V30*$N30,0)</f>
        <v>5.7044937769820296E-3</v>
      </c>
      <c r="BA30" s="422">
        <f>IF(AND($T30=1,BA$5&lt;=$H30),INDEX(Mortality!$B$4:$E$64,MATCH($D30+BA$5-1,Mortality!$A$4:$A$64,0),$U30)*$V30*$N30,0)</f>
        <v>6.1796043362369098E-3</v>
      </c>
      <c r="BB30" s="422">
        <f>IF(AND($T30=1,BB$5&lt;=$H30),INDEX(Mortality!$B$4:$E$64,MATCH($D30+BB$5-1,Mortality!$A$4:$A$64,0),$U30)*$V30*$N30,0)</f>
        <v>6.6942854607935399E-3</v>
      </c>
      <c r="BC30" s="422">
        <f>IF(AND($T30=1,BC$5&lt;=$H30),INDEX(Mortality!$B$4:$E$64,MATCH($D30+BC$5-1,Mortality!$A$4:$A$64,0),$U30)*$V30*$N30,0)</f>
        <v>7.2518328670021504E-3</v>
      </c>
      <c r="BD30" s="422">
        <f>IF(AND($T30=1,BD$5&lt;=$H30),INDEX(Mortality!$B$4:$E$64,MATCH($D30+BD$5-1,Mortality!$A$4:$A$64,0),$U30)*$V30*$N30,0)</f>
        <v>7.8558167617636399E-3</v>
      </c>
      <c r="BE30" s="422">
        <f>IF(AND($T30=1,BE$5&lt;=$H30),INDEX(Mortality!$B$4:$E$64,MATCH($D30+BE$5-1,Mortality!$A$4:$A$64,0),$U30)*$V30*$N30,0)</f>
        <v>8.5101047040427192E-3</v>
      </c>
      <c r="BF30" s="422">
        <f>IF(AND($T30=1,BF$5&lt;=$H30),INDEX(Mortality!$B$4:$E$64,MATCH($D30+BF$5-1,Mortality!$A$4:$A$64,0),$U30)*$V30*$N30,0)</f>
        <v>9.2188863704493092E-3</v>
      </c>
      <c r="BG30" s="422">
        <f>IF(AND($T30=1,BG$5&lt;=$H30),INDEX(Mortality!$B$4:$E$64,MATCH($D30+BG$5-1,Mortality!$A$4:$A$64,0),$U30)*$V30*$N30,0)</f>
        <v>9.9867003834726801E-3</v>
      </c>
      <c r="BH30" s="422">
        <f>IF(AND($T30=1,BH$5&lt;=$H30),INDEX(Mortality!$B$4:$E$64,MATCH($D30+BH$5-1,Mortality!$A$4:$A$64,0),$U30)*$V30*$N30,0)</f>
        <v>1.08184633741605E-2</v>
      </c>
      <c r="BI30" s="422">
        <f>IF(AND($T30=1,BI$5&lt;=$H30),INDEX(Mortality!$B$4:$E$64,MATCH($D30+BI$5-1,Mortality!$A$4:$A$64,0),$U30)*$V30*$N30,0)</f>
        <v>1.1719501465343301E-2</v>
      </c>
      <c r="BJ30" s="422">
        <f>IF(AND($T30=1,BJ$5&lt;=$H30),INDEX(Mortality!$B$4:$E$64,MATCH($D30+BJ$5-1,Mortality!$A$4:$A$64,0),$U30)*$V30*$N30,0)</f>
        <v>1.2695584377004099E-2</v>
      </c>
      <c r="BK30" s="422">
        <f>IF(AND($T30=1,BK$5&lt;=$H30),INDEX(Mortality!$B$4:$E$64,MATCH($D30+BK$5-1,Mortality!$A$4:$A$64,0),$U30)*$V30*$N30,0)</f>
        <v>1.3752962372184801E-2</v>
      </c>
      <c r="BL30" s="422">
        <f>IF(AND($T30=1,BL$5&lt;=$H30),INDEX(Mortality!$B$4:$E$64,MATCH($D30+BL$5-1,Mortality!$A$4:$A$64,0),$U30)*$V30*$N30,0)</f>
        <v>1.4898406280008099E-2</v>
      </c>
      <c r="BM30" s="422">
        <f>IF(AND($T30=1,BM$5&lt;=$H30),INDEX(Mortality!$B$4:$E$64,MATCH($D30+BM$5-1,Mortality!$A$4:$A$64,0),$U30)*$V30*$N30,0)</f>
        <v>1.61392508521001E-2</v>
      </c>
      <c r="BN30" s="422">
        <f>IF(AND($T30=1,BN$5&lt;=$H30),INDEX(Mortality!$B$4:$E$64,MATCH($D30+BN$5-1,Mortality!$A$4:$A$64,0),$U30)*$V30*$N30,0)</f>
        <v>1.7483441730042099E-2</v>
      </c>
      <c r="BO30" s="422">
        <f>IF(AND($T30=1,BO$5&lt;=$H30),INDEX(Mortality!$B$4:$E$64,MATCH($D30+BO$5-1,Mortality!$A$4:$A$64,0),$U30)*$V30*$N30,0)</f>
        <v>0</v>
      </c>
      <c r="BP30" s="422">
        <f>IF(AND($T30=1,BP$5&lt;=$H30),INDEX(Mortality!$B$4:$E$64,MATCH($D30+BP$5-1,Mortality!$A$4:$A$64,0),$U30)*$V30*$N30,0)</f>
        <v>0</v>
      </c>
      <c r="BQ30" s="422">
        <f>IF(AND($T30=1,BQ$5&lt;=$H30),INDEX(Mortality!$B$4:$E$64,MATCH($D30+BQ$5-1,Mortality!$A$4:$A$64,0),$U30)*$V30*$N30,0)</f>
        <v>0</v>
      </c>
      <c r="BR30" s="422">
        <f>IF(AND($T30=1,BR$5&lt;=$H30),INDEX(Mortality!$B$4:$E$64,MATCH($D30+BR$5-1,Mortality!$A$4:$A$64,0),$U30)*$V30*$N30,0)</f>
        <v>0</v>
      </c>
      <c r="BS30" s="422">
        <f>IF(AND($T30=1,BS$5&lt;=$H30),INDEX(Mortality!$B$4:$E$64,MATCH($D30+BS$5-1,Mortality!$A$4:$A$64,0),$U30)*$V30*$N30,0)</f>
        <v>0</v>
      </c>
      <c r="BT30" s="422">
        <f>IF(AND($T30=1,BT$5&lt;=$H30),INDEX(Mortality!$B$4:$E$64,MATCH($D30+BT$5-1,Mortality!$A$4:$A$64,0),$U30)*$V30*$N30,0)</f>
        <v>0</v>
      </c>
      <c r="BU30" s="422">
        <f>IF(AND($T30=1,BU$5&lt;=$H30),INDEX(Mortality!$B$4:$E$64,MATCH($D30+BU$5-1,Mortality!$A$4:$A$64,0),$U30)*$V30*$N30,0)</f>
        <v>0</v>
      </c>
      <c r="BV30" s="422">
        <f>IF(AND($T30=1,BV$5&lt;=$H30),INDEX(Mortality!$B$4:$E$64,MATCH($D30+BV$5-1,Mortality!$A$4:$A$64,0),$U30)*$V30*$N30,0)</f>
        <v>0</v>
      </c>
      <c r="BW30" s="422">
        <f>IF(AND($T30=1,BW$5&lt;=$H30),INDEX(Mortality!$B$4:$E$64,MATCH($D30+BW$5-1,Mortality!$A$4:$A$64,0),$U30)*$V30*$N30,0)</f>
        <v>0</v>
      </c>
      <c r="BX30" s="422">
        <f>IF(AND($T30=1,BX$5&lt;=$H30),INDEX(Mortality!$B$4:$E$64,MATCH($D30+BX$5-1,Mortality!$A$4:$A$64,0),$U30)*$V30*$N30,0)</f>
        <v>0</v>
      </c>
      <c r="BY30" s="422">
        <f>IF(AND($T30=1,BY$5&lt;=$H30),INDEX(Mortality!$B$4:$E$64,MATCH($D30+BY$5-1,Mortality!$A$4:$A$64,0),$U30)*$V30*$N30,0)</f>
        <v>0</v>
      </c>
      <c r="BZ30" s="422">
        <f>IF(AND($T30=1,BZ$5&lt;=$H30),INDEX(Mortality!$B$4:$E$64,MATCH($D30+BZ$5-1,Mortality!$A$4:$A$64,0),$U30)*$V30*$N30,0)</f>
        <v>0</v>
      </c>
      <c r="CA30" s="422">
        <f>IF(AND($T30=1,CA$5&lt;=$H30),INDEX(Mortality!$B$4:$E$64,MATCH($D30+CA$5-1,Mortality!$A$4:$A$64,0),$U30)*$V30*$N30,0)</f>
        <v>0</v>
      </c>
      <c r="CB30" s="422">
        <f>IF(AND($T30=1,CB$5&lt;=$H30),INDEX(Mortality!$B$4:$E$64,MATCH($D30+CB$5-1,Mortality!$A$4:$A$64,0),$U30)*$V30*$N30,0)</f>
        <v>0</v>
      </c>
      <c r="CC30" s="422">
        <f>IF(AND($T30=1,CC$5&lt;=$H30),INDEX(Mortality!$B$4:$E$64,MATCH($D30+CC$5-1,Mortality!$A$4:$A$64,0),$U30)*$V30*$N30,0)</f>
        <v>0</v>
      </c>
      <c r="CD30" s="422">
        <f>IF(AND($T30=1,CD$5&lt;=$H30),INDEX(Mortality!$B$4:$E$64,MATCH($D30+CD$5-1,Mortality!$A$4:$A$64,0),$U30)*$V30*$N30,0)</f>
        <v>0</v>
      </c>
      <c r="CE30" s="422">
        <f>IF(AND($T30=1,CE$5&lt;=$H30),INDEX(Mortality!$B$4:$E$64,MATCH($D30+CE$5-1,Mortality!$A$4:$A$64,0),$U30)*$V30*$N30,0)</f>
        <v>0</v>
      </c>
      <c r="CF30" s="422">
        <f>IF(AND($T30=1,CF$5&lt;=$H30),INDEX(Mortality!$B$4:$E$64,MATCH($D30+CF$5-1,Mortality!$A$4:$A$64,0),$U30)*$V30*$N30,0)</f>
        <v>0</v>
      </c>
      <c r="CG30" s="422">
        <f>IF(AND($T30=1,CG$5&lt;=$H30),INDEX(Mortality!$B$4:$E$64,MATCH($D30+CG$5-1,Mortality!$A$4:$A$64,0),$U30)*$V30*$N30,0)</f>
        <v>0</v>
      </c>
      <c r="CH30" s="423">
        <f>IF(AND($T30=1,CH$5&lt;=$H30),INDEX(Mortality!$B$4:$E$64,MATCH($D30+CH$5-1,Mortality!$A$4:$A$64,0),$U30)*$V30*$N30,0)</f>
        <v>0</v>
      </c>
      <c r="CI30" s="26"/>
      <c r="CJ30" s="421">
        <f t="shared" ref="CJ30:CJ93" si="35">IF($T30=1,1,0)</f>
        <v>1</v>
      </c>
      <c r="CK30" s="422">
        <f>IF(AND($T30=1,CK$5&lt;=$H30),CJ30*(1-AU30)*(1-MIN(1,MAX(Assumptions!$C$27,Assumptions!$C$13*Assumptions!$C$28^(CJ$5-1))*$O30)),0)</f>
        <v>0.87663502385254699</v>
      </c>
      <c r="CL30" s="422">
        <f>IF(AND($T30=1,CL$5&lt;=$H30),CK30*(1-AV30)*(1-MIN(1,MAX(Assumptions!$C$27,Assumptions!$C$13*Assumptions!$C$28^(CK$5-1))*$O30)),0)</f>
        <v>0.78395734728807043</v>
      </c>
      <c r="CM30" s="422">
        <f>IF(AND($T30=1,CM$5&lt;=$H30),CL30*(1-AW30)*(1-MIN(1,MAX(Assumptions!$C$27,Assumptions!$C$13*Assumptions!$C$28^(CL$5-1))*$O30)),0)</f>
        <v>0.71277538138872898</v>
      </c>
      <c r="CN30" s="422">
        <f>IF(AND($T30=1,CN$5&lt;=$H30),CM30*(1-AX30)*(1-MIN(1,MAX(Assumptions!$C$27,Assumptions!$C$13*Assumptions!$C$28^(CM$5-1))*$O30)),0)</f>
        <v>0.65703790473421841</v>
      </c>
      <c r="CO30" s="422">
        <f>IF(AND($T30=1,CO$5&lt;=$H30),CN30*(1-AY30)*(1-MIN(1,MAX(Assumptions!$C$27,Assumptions!$C$13*Assumptions!$C$28^(CN$5-1))*$O30)),0)</f>
        <v>0.6126373851210335</v>
      </c>
      <c r="CP30" s="422">
        <f>IF(AND($T30=1,CP$5&lt;=$H30),CO30*(1-AZ30)*(1-MIN(1,MAX(Assumptions!$C$27,Assumptions!$C$13*Assumptions!$C$28^(CO$5-1))*$O30)),0)</f>
        <v>0.57670902210209518</v>
      </c>
      <c r="CQ30" s="422">
        <f>IF(AND($T30=1,CQ$5&lt;=$H30),CP30*(1-BA30)*(1-MIN(1,MAX(Assumptions!$C$27,Assumptions!$C$13*Assumptions!$C$28^(CP$5-1))*$O30)),0)</f>
        <v>0.54720581690001346</v>
      </c>
      <c r="CR30" s="422">
        <f>IF(AND($T30=1,CR$5&lt;=$H30),CQ30*(1-BB30)*(1-MIN(1,MAX(Assumptions!$C$27,Assumptions!$C$13*Assumptions!$C$28^(CQ$5-1))*$O30)),0)</f>
        <v>0.52263298596929575</v>
      </c>
      <c r="CS30" s="422">
        <f>IF(AND($T30=1,CS$5&lt;=$H30),CR30*(1-BC30)*(1-MIN(1,MAX(Assumptions!$C$27,Assumptions!$C$13*Assumptions!$C$28^(CR$5-1))*$O30)),0)</f>
        <v>0.50187736472408417</v>
      </c>
      <c r="CT30" s="422">
        <f>IF(AND($T30=1,CT$5&lt;=$H30),CS30*(1-BD30)*(1-MIN(1,MAX(Assumptions!$C$27,Assumptions!$C$13*Assumptions!$C$28^(CS$5-1))*$O30)),0)</f>
        <v>0.48409509412503404</v>
      </c>
      <c r="CU30" s="422">
        <f>IF(AND($T30=1,CU$5&lt;=$H30),CT30*(1-BE30)*(1-MIN(1,MAX(Assumptions!$C$27,Assumptions!$C$13*Assumptions!$C$28^(CT$5-1))*$O30)),0)</f>
        <v>0.4686360098078568</v>
      </c>
      <c r="CV30" s="422">
        <f>IF(AND($T30=1,CV$5&lt;=$H30),CU30*(1-BF30)*(1-MIN(1,MAX(Assumptions!$C$27,Assumptions!$C$13*Assumptions!$C$28^(CU$5-1))*$O30)),0)</f>
        <v>0.45499169608994511</v>
      </c>
      <c r="CW30" s="422">
        <f>IF(AND($T30=1,CW$5&lt;=$H30),CV30*(1-BG30)*(1-MIN(1,MAX(Assumptions!$C$27,Assumptions!$C$13*Assumptions!$C$28^(CV$5-1))*$O30)),0)</f>
        <v>0.44143887373724422</v>
      </c>
      <c r="CX30" s="422">
        <f>IF(AND($T30=1,CX$5&lt;=$H30),CW30*(1-BH30)*(1-MIN(1,MAX(Assumptions!$C$27,Assumptions!$C$13*Assumptions!$C$28^(CW$5-1))*$O30)),0)</f>
        <v>0.42792991978079142</v>
      </c>
      <c r="CY30" s="422">
        <f>IF(AND($T30=1,CY$5&lt;=$H30),CX30*(1-BI30)*(1-MIN(1,MAX(Assumptions!$C$27,Assumptions!$C$13*Assumptions!$C$28^(CX$5-1))*$O30)),0)</f>
        <v>0.41445649856967909</v>
      </c>
      <c r="CZ30" s="422">
        <f>IF(AND($T30=1,CZ$5&lt;=$H30),CY30*(1-BJ30)*(1-MIN(1,MAX(Assumptions!$C$27,Assumptions!$C$13*Assumptions!$C$28^(CY$5-1))*$O30)),0)</f>
        <v>0.40101083649906022</v>
      </c>
      <c r="DA30" s="422">
        <f>IF(AND($T30=1,DA$5&lt;=$H30),CZ30*(1-BK30)*(1-MIN(1,MAX(Assumptions!$C$27,Assumptions!$C$13*Assumptions!$C$28^(CZ$5-1))*$O30)),0)</f>
        <v>0.38758583456277329</v>
      </c>
      <c r="DB30" s="422">
        <f>IF(AND($T30=1,DB$5&lt;=$H30),DA30*(1-BL30)*(1-MIN(1,MAX(Assumptions!$C$27,Assumptions!$C$13*Assumptions!$C$28^(DA$5-1))*$O30)),0)</f>
        <v>0.37417519486445944</v>
      </c>
      <c r="DC30" s="422">
        <f>IF(AND($T30=1,DC$5&lt;=$H30),DB30*(1-BM30)*(1-MIN(1,MAX(Assumptions!$C$27,Assumptions!$C$13*Assumptions!$C$28^(DB$5-1))*$O30)),0)</f>
        <v>0.36077356178127029</v>
      </c>
      <c r="DD30" s="422">
        <f>IF(AND($T30=1,DD$5&lt;=$H30),DC30*(1-BN30)*(1-MIN(1,MAX(Assumptions!$C$27,Assumptions!$C$13*Assumptions!$C$28^(DC$5-1))*$O30)),0)</f>
        <v>0</v>
      </c>
      <c r="DE30" s="422">
        <f>IF(AND($T30=1,DE$5&lt;=$H30),DD30*(1-BO30)*(1-MIN(1,MAX(Assumptions!$C$27,Assumptions!$C$13*Assumptions!$C$28^(DD$5-1))*$O30)),0)</f>
        <v>0</v>
      </c>
      <c r="DF30" s="422">
        <f>IF(AND($T30=1,DF$5&lt;=$H30),DE30*(1-BP30)*(1-MIN(1,MAX(Assumptions!$C$27,Assumptions!$C$13*Assumptions!$C$28^(DE$5-1))*$O30)),0)</f>
        <v>0</v>
      </c>
      <c r="DG30" s="422">
        <f>IF(AND($T30=1,DG$5&lt;=$H30),DF30*(1-BQ30)*(1-MIN(1,MAX(Assumptions!$C$27,Assumptions!$C$13*Assumptions!$C$28^(DF$5-1))*$O30)),0)</f>
        <v>0</v>
      </c>
      <c r="DH30" s="422">
        <f>IF(AND($T30=1,DH$5&lt;=$H30),DG30*(1-BR30)*(1-MIN(1,MAX(Assumptions!$C$27,Assumptions!$C$13*Assumptions!$C$28^(DG$5-1))*$O30)),0)</f>
        <v>0</v>
      </c>
      <c r="DI30" s="422">
        <f>IF(AND($T30=1,DI$5&lt;=$H30),DH30*(1-BS30)*(1-MIN(1,MAX(Assumptions!$C$27,Assumptions!$C$13*Assumptions!$C$28^(DH$5-1))*$O30)),0)</f>
        <v>0</v>
      </c>
      <c r="DJ30" s="422">
        <f>IF(AND($T30=1,DJ$5&lt;=$H30),DI30*(1-BT30)*(1-MIN(1,MAX(Assumptions!$C$27,Assumptions!$C$13*Assumptions!$C$28^(DI$5-1))*$O30)),0)</f>
        <v>0</v>
      </c>
      <c r="DK30" s="422">
        <f>IF(AND($T30=1,DK$5&lt;=$H30),DJ30*(1-BU30)*(1-MIN(1,MAX(Assumptions!$C$27,Assumptions!$C$13*Assumptions!$C$28^(DJ$5-1))*$O30)),0)</f>
        <v>0</v>
      </c>
      <c r="DL30" s="422">
        <f>IF(AND($T30=1,DL$5&lt;=$H30),DK30*(1-BV30)*(1-MIN(1,MAX(Assumptions!$C$27,Assumptions!$C$13*Assumptions!$C$28^(DK$5-1))*$O30)),0)</f>
        <v>0</v>
      </c>
      <c r="DM30" s="422">
        <f>IF(AND($T30=1,DM$5&lt;=$H30),DL30*(1-BW30)*(1-MIN(1,MAX(Assumptions!$C$27,Assumptions!$C$13*Assumptions!$C$28^(DL$5-1))*$O30)),0)</f>
        <v>0</v>
      </c>
      <c r="DN30" s="422">
        <f>IF(AND($T30=1,DN$5&lt;=$H30),DM30*(1-BX30)*(1-MIN(1,MAX(Assumptions!$C$27,Assumptions!$C$13*Assumptions!$C$28^(DM$5-1))*$O30)),0)</f>
        <v>0</v>
      </c>
      <c r="DO30" s="422">
        <f>IF(AND($T30=1,DO$5&lt;=$H30),DN30*(1-BY30)*(1-MIN(1,MAX(Assumptions!$C$27,Assumptions!$C$13*Assumptions!$C$28^(DN$5-1))*$O30)),0)</f>
        <v>0</v>
      </c>
      <c r="DP30" s="422">
        <f>IF(AND($T30=1,DP$5&lt;=$H30),DO30*(1-BZ30)*(1-MIN(1,MAX(Assumptions!$C$27,Assumptions!$C$13*Assumptions!$C$28^(DO$5-1))*$O30)),0)</f>
        <v>0</v>
      </c>
      <c r="DQ30" s="422">
        <f>IF(AND($T30=1,DQ$5&lt;=$H30),DP30*(1-CA30)*(1-MIN(1,MAX(Assumptions!$C$27,Assumptions!$C$13*Assumptions!$C$28^(DP$5-1))*$O30)),0)</f>
        <v>0</v>
      </c>
      <c r="DR30" s="422">
        <f>IF(AND($T30=1,DR$5&lt;=$H30),DQ30*(1-CB30)*(1-MIN(1,MAX(Assumptions!$C$27,Assumptions!$C$13*Assumptions!$C$28^(DQ$5-1))*$O30)),0)</f>
        <v>0</v>
      </c>
      <c r="DS30" s="422">
        <f>IF(AND($T30=1,DS$5&lt;=$H30),DR30*(1-CC30)*(1-MIN(1,MAX(Assumptions!$C$27,Assumptions!$C$13*Assumptions!$C$28^(DR$5-1))*$O30)),0)</f>
        <v>0</v>
      </c>
      <c r="DT30" s="422">
        <f>IF(AND($T30=1,DT$5&lt;=$H30),DS30*(1-CD30)*(1-MIN(1,MAX(Assumptions!$C$27,Assumptions!$C$13*Assumptions!$C$28^(DS$5-1))*$O30)),0)</f>
        <v>0</v>
      </c>
      <c r="DU30" s="422">
        <f>IF(AND($T30=1,DU$5&lt;=$H30),DT30*(1-CE30)*(1-MIN(1,MAX(Assumptions!$C$27,Assumptions!$C$13*Assumptions!$C$28^(DT$5-1))*$O30)),0)</f>
        <v>0</v>
      </c>
      <c r="DV30" s="422">
        <f>IF(AND($T30=1,DV$5&lt;=$H30),DU30*(1-CF30)*(1-MIN(1,MAX(Assumptions!$C$27,Assumptions!$C$13*Assumptions!$C$28^(DU$5-1))*$O30)),0)</f>
        <v>0</v>
      </c>
      <c r="DW30" s="423">
        <f>IF(AND($T30=1,DW$5&lt;=$H30),DV30*(1-CG30)*(1-MIN(1,MAX(Assumptions!$C$27,Assumptions!$C$13*Assumptions!$C$28^(DV$5-1))*$O30)),0)</f>
        <v>0</v>
      </c>
      <c r="DX30" s="26"/>
      <c r="DY30" s="399">
        <f>'Policy Data'!K4</f>
        <v>6</v>
      </c>
      <c r="DZ30" s="100">
        <f>'Policy Data'!L4</f>
        <v>0.92669999999999997</v>
      </c>
      <c r="EA30" s="100">
        <f>'Policy Data'!N4</f>
        <v>3.5439999999999998E-3</v>
      </c>
      <c r="EB30" s="93" cm="1">
        <f t="array" ref="EB30">IFERROR(DZ30*INDEX(Mortality!$B$4:$E$64,MATCH(D30+DY30-1,Mortality!$A$4:$A$64,0),U30)*V30,0)</f>
        <v>5.2863543831292463E-3</v>
      </c>
      <c r="EC30" s="100">
        <f>'Policy Data'!O4</f>
        <v>0</v>
      </c>
      <c r="ED30" s="400">
        <f>'Policy Data'!Q4</f>
        <v>0</v>
      </c>
    </row>
    <row r="31" spans="1:134" x14ac:dyDescent="0.3">
      <c r="A31" s="399" t="str">
        <f>'Policy Data'!A5</f>
        <v>POL100001</v>
      </c>
      <c r="B31" s="26" t="s">
        <v>426</v>
      </c>
      <c r="C31" s="100" t="str">
        <f>'Policy Data'!B5</f>
        <v>Term Life</v>
      </c>
      <c r="D31" s="100">
        <f>'Policy Data'!C5</f>
        <v>43</v>
      </c>
      <c r="E31" s="100" t="str">
        <f>'Policy Data'!D5</f>
        <v>Male</v>
      </c>
      <c r="F31" s="100" t="str">
        <f>'Policy Data'!E5</f>
        <v>Non-smoker</v>
      </c>
      <c r="G31" s="100" t="str">
        <f>'Policy Data'!F5</f>
        <v>Standard</v>
      </c>
      <c r="H31" s="100">
        <f>'Policy Data'!G5</f>
        <v>15</v>
      </c>
      <c r="I31" s="279">
        <f>'Policy Data'!H5</f>
        <v>250000</v>
      </c>
      <c r="J31" s="100" t="str">
        <f>'Policy Data'!I5</f>
        <v>Monthly</v>
      </c>
      <c r="K31" s="100" t="str">
        <f>'Policy Data'!J5</f>
        <v>Bancassurance</v>
      </c>
      <c r="L31" s="26" t="s">
        <v>389</v>
      </c>
      <c r="M31" s="106">
        <f>'Policy Data'!R5</f>
        <v>1200</v>
      </c>
      <c r="N31" s="415">
        <f>Assumptions!$C$21</f>
        <v>1</v>
      </c>
      <c r="O31" s="415">
        <f>Assumptions!$C$22</f>
        <v>1</v>
      </c>
      <c r="P31" s="415">
        <f>Assumptions!$C$23</f>
        <v>1</v>
      </c>
      <c r="Q31" s="416">
        <f>Assumptions!$C$24</f>
        <v>0</v>
      </c>
      <c r="R31" s="416">
        <f>Assumptions!$C$6+Assumptions!$C$25</f>
        <v>3.5000000000000003E-2</v>
      </c>
      <c r="S31" s="416">
        <f>Assumptions!$C$15</f>
        <v>1.1000000000000001E-3</v>
      </c>
      <c r="T31" s="26">
        <f t="shared" si="18"/>
        <v>1</v>
      </c>
      <c r="U31" s="26">
        <f t="shared" si="19"/>
        <v>3</v>
      </c>
      <c r="V31" s="389">
        <f>IF($G31="Preferred",Assumptions!$C$30,IF($G31="Rated",Assumptions!$C$31,1))</f>
        <v>1</v>
      </c>
      <c r="W31" s="390">
        <f>IF($K31="Direct",Assumptions!$C$32,IF($K31="Broker",Assumptions!$C$33,IF($K31="Bancassurance",Assumptions!$C$34,Assumptions!$C$11)))+$Q31</f>
        <v>0.2</v>
      </c>
      <c r="X31" s="390">
        <f>Assumptions!$C$12+$Q31</f>
        <v>0.05</v>
      </c>
      <c r="Y31" s="131">
        <f>MIN($I31,Assumptions!$C$14)</f>
        <v>250000</v>
      </c>
      <c r="Z31" s="131">
        <f>MAX($I31-Assumptions!$C$14,0)</f>
        <v>0</v>
      </c>
      <c r="AA31" s="389">
        <f t="shared" si="20"/>
        <v>7.3623282207175951</v>
      </c>
      <c r="AB31" s="389">
        <f t="shared" si="21"/>
        <v>1.7536236597841023E-2</v>
      </c>
      <c r="AC31" s="389">
        <f>IF($T31=1,SUMPRODUCT($CJ31:$DW31,(1+Assumptions!$C$5)^($CJ$5:$DW$5-1),(1+$R31)^(-$CJ$5:$DW$5)),0)</f>
        <v>9.2038360098297431</v>
      </c>
      <c r="AD31" s="389">
        <f t="shared" si="22"/>
        <v>0.51304394726776392</v>
      </c>
      <c r="AE31" s="131">
        <f>IF($T31=1,$AB31*$Y31+(Assumptions!$C$9/(1+$R31)+Assumptions!$C$10*$AC31)*$P31+$S31*$Z31*$AA31,0)</f>
        <v>7278.4682890141039</v>
      </c>
      <c r="AF31" s="131">
        <f>IF($T31=1,IF($AA31-$AD31-Assumptions!$C$16*$AA31&gt;0,$AE31/($AA31-$AD31-Assumptions!$C$16*$AA31)*IF($J31="Monthly",1+Assumptions!$C$29,1),"n.a."),"")</f>
        <v>1197.5184438141457</v>
      </c>
      <c r="AG31" s="131">
        <f t="shared" si="23"/>
        <v>1200</v>
      </c>
      <c r="AH31" s="131">
        <f t="shared" si="24"/>
        <v>8834.7938648611143</v>
      </c>
      <c r="AI31" s="131">
        <f t="shared" si="25"/>
        <v>940.67283912569383</v>
      </c>
      <c r="AJ31" s="390">
        <f t="shared" si="26"/>
        <v>0.10647366011187422</v>
      </c>
      <c r="AK31" s="389">
        <f t="shared" si="27"/>
        <v>1.0020722488231166</v>
      </c>
      <c r="AL31" s="131">
        <f t="shared" si="28"/>
        <v>0</v>
      </c>
      <c r="AM31" s="131">
        <f t="shared" si="29"/>
        <v>0</v>
      </c>
      <c r="AN31" s="131">
        <f t="shared" si="30"/>
        <v>0</v>
      </c>
      <c r="AO31" s="131">
        <f t="shared" si="31"/>
        <v>940.67283912569383</v>
      </c>
      <c r="AP31" s="26" t="str">
        <f t="shared" si="32"/>
        <v>40-49</v>
      </c>
      <c r="AQ31" s="26" t="str">
        <f t="shared" si="33"/>
        <v>Up to 250k</v>
      </c>
      <c r="AR31" s="26" t="str">
        <f>IF($T31=1,IF($AI31&lt;0,"Loss-making",IF($AJ31&lt;Assumptions!$C$16-0.00001,"Below target","At/above target")),"Excluded")</f>
        <v>At/above target</v>
      </c>
      <c r="AS31" s="103">
        <f t="shared" si="34"/>
        <v>940.67287012569386</v>
      </c>
      <c r="AT31" s="26"/>
      <c r="AU31" s="419">
        <f>IF(AND($T31=1,AU$5&lt;=$H31),INDEX(Mortality!$B$4:$E$64,MATCH($D31+AU$5-1,Mortality!$A$4:$A$64,0),$U31)*$V31*$N31,0)</f>
        <v>1.4641198049269301E-3</v>
      </c>
      <c r="AV31" s="93">
        <f>IF(AND($T31=1,AV$5&lt;=$H31),INDEX(Mortality!$B$4:$E$64,MATCH($D31+AV$5-1,Mortality!$A$4:$A$64,0),$U31)*$V31*$N31,0)</f>
        <v>1.58606205020413E-3</v>
      </c>
      <c r="AW31" s="93">
        <f>IF(AND($T31=1,AW$5&lt;=$H31),INDEX(Mortality!$B$4:$E$64,MATCH($D31+AW$5-1,Mortality!$A$4:$A$64,0),$U31)*$V31*$N31,0)</f>
        <v>1.71816050751616E-3</v>
      </c>
      <c r="AX31" s="93">
        <f>IF(AND($T31=1,AX$5&lt;=$H31),INDEX(Mortality!$B$4:$E$64,MATCH($D31+AX$5-1,Mortality!$A$4:$A$64,0),$U31)*$V31*$N31,0)</f>
        <v>1.8612610579820999E-3</v>
      </c>
      <c r="AY31" s="93">
        <f>IF(AND($T31=1,AY$5&lt;=$H31),INDEX(Mortality!$B$4:$E$64,MATCH($D31+AY$5-1,Mortality!$A$4:$A$64,0),$U31)*$V31*$N31,0)</f>
        <v>2.0162800336790201E-3</v>
      </c>
      <c r="AZ31" s="93">
        <f>IF(AND($T31=1,AZ$5&lt;=$H31),INDEX(Mortality!$B$4:$E$64,MATCH($D31+AZ$5-1,Mortality!$A$4:$A$64,0),$U31)*$V31*$N31,0)</f>
        <v>2.1842100852957199E-3</v>
      </c>
      <c r="BA31" s="93">
        <f>IF(AND($T31=1,BA$5&lt;=$H31),INDEX(Mortality!$B$4:$E$64,MATCH($D31+BA$5-1,Mortality!$A$4:$A$64,0),$U31)*$V31*$N31,0)</f>
        <v>2.3661265384860701E-3</v>
      </c>
      <c r="BB31" s="93">
        <f>IF(AND($T31=1,BB$5&lt;=$H31),INDEX(Mortality!$B$4:$E$64,MATCH($D31+BB$5-1,Mortality!$A$4:$A$64,0),$U31)*$V31*$N31,0)</f>
        <v>2.5631942796244698E-3</v>
      </c>
      <c r="BC31" s="93">
        <f>IF(AND($T31=1,BC$5&lt;=$H31),INDEX(Mortality!$B$4:$E$64,MATCH($D31+BC$5-1,Mortality!$A$4:$A$64,0),$U31)*$V31*$N31,0)</f>
        <v>2.7766752150556202E-3</v>
      </c>
      <c r="BD31" s="93">
        <f>IF(AND($T31=1,BD$5&lt;=$H31),INDEX(Mortality!$B$4:$E$64,MATCH($D31+BD$5-1,Mortality!$A$4:$A$64,0),$U31)*$V31*$N31,0)</f>
        <v>3.0079363516033399E-3</v>
      </c>
      <c r="BE31" s="93">
        <f>IF(AND($T31=1,BE$5&lt;=$H31),INDEX(Mortality!$B$4:$E$64,MATCH($D31+BE$5-1,Mortality!$A$4:$A$64,0),$U31)*$V31*$N31,0)</f>
        <v>3.2584585500813001E-3</v>
      </c>
      <c r="BF31" s="93">
        <f>IF(AND($T31=1,BF$5&lt;=$H31),INDEX(Mortality!$B$4:$E$64,MATCH($D31+BF$5-1,Mortality!$A$4:$A$64,0),$U31)*$V31*$N31,0)</f>
        <v>3.5298460078579601E-3</v>
      </c>
      <c r="BG31" s="93">
        <f>IF(AND($T31=1,BG$5&lt;=$H31),INDEX(Mortality!$B$4:$E$64,MATCH($D31+BG$5-1,Mortality!$A$4:$A$64,0),$U31)*$V31*$N31,0)</f>
        <v>3.8238365311966099E-3</v>
      </c>
      <c r="BH31" s="93">
        <f>IF(AND($T31=1,BH$5&lt;=$H31),INDEX(Mortality!$B$4:$E$64,MATCH($D31+BH$5-1,Mortality!$A$4:$A$64,0),$U31)*$V31*$N31,0)</f>
        <v>4.1423126631483596E-3</v>
      </c>
      <c r="BI31" s="93">
        <f>IF(AND($T31=1,BI$5&lt;=$H31),INDEX(Mortality!$B$4:$E$64,MATCH($D31+BI$5-1,Mortality!$A$4:$A$64,0),$U31)*$V31*$N31,0)</f>
        <v>4.4873137382548398E-3</v>
      </c>
      <c r="BJ31" s="93">
        <f>IF(AND($T31=1,BJ$5&lt;=$H31),INDEX(Mortality!$B$4:$E$64,MATCH($D31+BJ$5-1,Mortality!$A$4:$A$64,0),$U31)*$V31*$N31,0)</f>
        <v>0</v>
      </c>
      <c r="BK31" s="93">
        <f>IF(AND($T31=1,BK$5&lt;=$H31),INDEX(Mortality!$B$4:$E$64,MATCH($D31+BK$5-1,Mortality!$A$4:$A$64,0),$U31)*$V31*$N31,0)</f>
        <v>0</v>
      </c>
      <c r="BL31" s="93">
        <f>IF(AND($T31=1,BL$5&lt;=$H31),INDEX(Mortality!$B$4:$E$64,MATCH($D31+BL$5-1,Mortality!$A$4:$A$64,0),$U31)*$V31*$N31,0)</f>
        <v>0</v>
      </c>
      <c r="BM31" s="93">
        <f>IF(AND($T31=1,BM$5&lt;=$H31),INDEX(Mortality!$B$4:$E$64,MATCH($D31+BM$5-1,Mortality!$A$4:$A$64,0),$U31)*$V31*$N31,0)</f>
        <v>0</v>
      </c>
      <c r="BN31" s="93">
        <f>IF(AND($T31=1,BN$5&lt;=$H31),INDEX(Mortality!$B$4:$E$64,MATCH($D31+BN$5-1,Mortality!$A$4:$A$64,0),$U31)*$V31*$N31,0)</f>
        <v>0</v>
      </c>
      <c r="BO31" s="93">
        <f>IF(AND($T31=1,BO$5&lt;=$H31),INDEX(Mortality!$B$4:$E$64,MATCH($D31+BO$5-1,Mortality!$A$4:$A$64,0),$U31)*$V31*$N31,0)</f>
        <v>0</v>
      </c>
      <c r="BP31" s="93">
        <f>IF(AND($T31=1,BP$5&lt;=$H31),INDEX(Mortality!$B$4:$E$64,MATCH($D31+BP$5-1,Mortality!$A$4:$A$64,0),$U31)*$V31*$N31,0)</f>
        <v>0</v>
      </c>
      <c r="BQ31" s="93">
        <f>IF(AND($T31=1,BQ$5&lt;=$H31),INDEX(Mortality!$B$4:$E$64,MATCH($D31+BQ$5-1,Mortality!$A$4:$A$64,0),$U31)*$V31*$N31,0)</f>
        <v>0</v>
      </c>
      <c r="BR31" s="93">
        <f>IF(AND($T31=1,BR$5&lt;=$H31),INDEX(Mortality!$B$4:$E$64,MATCH($D31+BR$5-1,Mortality!$A$4:$A$64,0),$U31)*$V31*$N31,0)</f>
        <v>0</v>
      </c>
      <c r="BS31" s="93">
        <f>IF(AND($T31=1,BS$5&lt;=$H31),INDEX(Mortality!$B$4:$E$64,MATCH($D31+BS$5-1,Mortality!$A$4:$A$64,0),$U31)*$V31*$N31,0)</f>
        <v>0</v>
      </c>
      <c r="BT31" s="93">
        <f>IF(AND($T31=1,BT$5&lt;=$H31),INDEX(Mortality!$B$4:$E$64,MATCH($D31+BT$5-1,Mortality!$A$4:$A$64,0),$U31)*$V31*$N31,0)</f>
        <v>0</v>
      </c>
      <c r="BU31" s="93">
        <f>IF(AND($T31=1,BU$5&lt;=$H31),INDEX(Mortality!$B$4:$E$64,MATCH($D31+BU$5-1,Mortality!$A$4:$A$64,0),$U31)*$V31*$N31,0)</f>
        <v>0</v>
      </c>
      <c r="BV31" s="93">
        <f>IF(AND($T31=1,BV$5&lt;=$H31),INDEX(Mortality!$B$4:$E$64,MATCH($D31+BV$5-1,Mortality!$A$4:$A$64,0),$U31)*$V31*$N31,0)</f>
        <v>0</v>
      </c>
      <c r="BW31" s="93">
        <f>IF(AND($T31=1,BW$5&lt;=$H31),INDEX(Mortality!$B$4:$E$64,MATCH($D31+BW$5-1,Mortality!$A$4:$A$64,0),$U31)*$V31*$N31,0)</f>
        <v>0</v>
      </c>
      <c r="BX31" s="93">
        <f>IF(AND($T31=1,BX$5&lt;=$H31),INDEX(Mortality!$B$4:$E$64,MATCH($D31+BX$5-1,Mortality!$A$4:$A$64,0),$U31)*$V31*$N31,0)</f>
        <v>0</v>
      </c>
      <c r="BY31" s="93">
        <f>IF(AND($T31=1,BY$5&lt;=$H31),INDEX(Mortality!$B$4:$E$64,MATCH($D31+BY$5-1,Mortality!$A$4:$A$64,0),$U31)*$V31*$N31,0)</f>
        <v>0</v>
      </c>
      <c r="BZ31" s="93">
        <f>IF(AND($T31=1,BZ$5&lt;=$H31),INDEX(Mortality!$B$4:$E$64,MATCH($D31+BZ$5-1,Mortality!$A$4:$A$64,0),$U31)*$V31*$N31,0)</f>
        <v>0</v>
      </c>
      <c r="CA31" s="93">
        <f>IF(AND($T31=1,CA$5&lt;=$H31),INDEX(Mortality!$B$4:$E$64,MATCH($D31+CA$5-1,Mortality!$A$4:$A$64,0),$U31)*$V31*$N31,0)</f>
        <v>0</v>
      </c>
      <c r="CB31" s="93">
        <f>IF(AND($T31=1,CB$5&lt;=$H31),INDEX(Mortality!$B$4:$E$64,MATCH($D31+CB$5-1,Mortality!$A$4:$A$64,0),$U31)*$V31*$N31,0)</f>
        <v>0</v>
      </c>
      <c r="CC31" s="93">
        <f>IF(AND($T31=1,CC$5&lt;=$H31),INDEX(Mortality!$B$4:$E$64,MATCH($D31+CC$5-1,Mortality!$A$4:$A$64,0),$U31)*$V31*$N31,0)</f>
        <v>0</v>
      </c>
      <c r="CD31" s="93">
        <f>IF(AND($T31=1,CD$5&lt;=$H31),INDEX(Mortality!$B$4:$E$64,MATCH($D31+CD$5-1,Mortality!$A$4:$A$64,0),$U31)*$V31*$N31,0)</f>
        <v>0</v>
      </c>
      <c r="CE31" s="93">
        <f>IF(AND($T31=1,CE$5&lt;=$H31),INDEX(Mortality!$B$4:$E$64,MATCH($D31+CE$5-1,Mortality!$A$4:$A$64,0),$U31)*$V31*$N31,0)</f>
        <v>0</v>
      </c>
      <c r="CF31" s="93">
        <f>IF(AND($T31=1,CF$5&lt;=$H31),INDEX(Mortality!$B$4:$E$64,MATCH($D31+CF$5-1,Mortality!$A$4:$A$64,0),$U31)*$V31*$N31,0)</f>
        <v>0</v>
      </c>
      <c r="CG31" s="93">
        <f>IF(AND($T31=1,CG$5&lt;=$H31),INDEX(Mortality!$B$4:$E$64,MATCH($D31+CG$5-1,Mortality!$A$4:$A$64,0),$U31)*$V31*$N31,0)</f>
        <v>0</v>
      </c>
      <c r="CH31" s="94">
        <f>IF(AND($T31=1,CH$5&lt;=$H31),INDEX(Mortality!$B$4:$E$64,MATCH($D31+CH$5-1,Mortality!$A$4:$A$64,0),$U31)*$V31*$N31,0)</f>
        <v>0</v>
      </c>
      <c r="CI31" s="26"/>
      <c r="CJ31" s="419">
        <f t="shared" si="35"/>
        <v>1</v>
      </c>
      <c r="CK31" s="93">
        <f>IF(AND($T31=1,CK$5&lt;=$H31),CJ31*(1-AU31)*(1-MIN(1,MAX(Assumptions!$C$27,Assumptions!$C$13*Assumptions!$C$28^(CJ$5-1))*$O31)),0)</f>
        <v>0.87871157457166438</v>
      </c>
      <c r="CL31" s="93">
        <f>IF(AND($T31=1,CL$5&lt;=$H31),CK31*(1-AV31)*(1-MIN(1,MAX(Assumptions!$C$27,Assumptions!$C$13*Assumptions!$C$28^(CK$5-1))*$O31)),0)</f>
        <v>0.78783145937416477</v>
      </c>
      <c r="CM31" s="93">
        <f>IF(AND($T31=1,CM$5&lt;=$H31),CL31*(1-AW31)*(1-MIN(1,MAX(Assumptions!$C$27,Assumptions!$C$13*Assumptions!$C$28^(CL$5-1))*$O31)),0)</f>
        <v>0.71829020987838577</v>
      </c>
      <c r="CN31" s="93">
        <f>IF(AND($T31=1,CN$5&lt;=$H31),CM31*(1-AX31)*(1-MIN(1,MAX(Assumptions!$C$27,Assumptions!$C$13*Assumptions!$C$28^(CM$5-1))*$O31)),0)</f>
        <v>0.66411741199721719</v>
      </c>
      <c r="CO31" s="93">
        <f>IF(AND($T31=1,CO$5&lt;=$H31),CN31*(1-AY31)*(1-MIN(1,MAX(Assumptions!$C$27,Assumptions!$C$13*Assumptions!$C$28^(CN$5-1))*$O31)),0)</f>
        <v>0.62126143143200807</v>
      </c>
      <c r="CP31" s="93">
        <f>IF(AND($T31=1,CP$5&lt;=$H31),CO31*(1-AZ31)*(1-MIN(1,MAX(Assumptions!$C$27,Assumptions!$C$13*Assumptions!$C$28^(CO$5-1))*$O31)),0)</f>
        <v>0.58689787737384369</v>
      </c>
      <c r="CQ31" s="93">
        <f>IF(AND($T31=1,CQ$5&lt;=$H31),CP31*(1-BA31)*(1-MIN(1,MAX(Assumptions!$C$27,Assumptions!$C$13*Assumptions!$C$28^(CP$5-1))*$O31)),0)</f>
        <v>0.55901026126633979</v>
      </c>
      <c r="CR31" s="93">
        <f>IF(AND($T31=1,CR$5&lt;=$H31),CQ31*(1-BB31)*(1-MIN(1,MAX(Assumptions!$C$27,Assumptions!$C$13*Assumptions!$C$28^(CQ$5-1))*$O31)),0)</f>
        <v>0.53612782427623407</v>
      </c>
      <c r="CS31" s="93">
        <f>IF(AND($T31=1,CS$5&lt;=$H31),CR31*(1-BC31)*(1-MIN(1,MAX(Assumptions!$C$27,Assumptions!$C$13*Assumptions!$C$28^(CR$5-1))*$O31)),0)</f>
        <v>0.51715707841078928</v>
      </c>
      <c r="CT31" s="93">
        <f>IF(AND($T31=1,CT$5&lt;=$H31),CS31*(1-BD31)*(1-MIN(1,MAX(Assumptions!$C$27,Assumptions!$C$13*Assumptions!$C$28^(CS$5-1))*$O31)),0)</f>
        <v>0.50127085736486365</v>
      </c>
      <c r="CU31" s="93">
        <f>IF(AND($T31=1,CU$5&lt;=$H31),CT31*(1-BE31)*(1-MIN(1,MAX(Assumptions!$C$27,Assumptions!$C$13*Assumptions!$C$28^(CT$5-1))*$O31)),0)</f>
        <v>0.48783358713577563</v>
      </c>
      <c r="CV31" s="93">
        <f>IF(AND($T31=1,CV$5&lt;=$H31),CU31*(1-BF31)*(1-MIN(1,MAX(Assumptions!$C$27,Assumptions!$C$13*Assumptions!$C$28^(CU$5-1))*$O31)),0)</f>
        <v>0.47634991046832587</v>
      </c>
      <c r="CW31" s="93">
        <f>IF(AND($T31=1,CW$5&lt;=$H31),CV31*(1-BG31)*(1-MIN(1,MAX(Assumptions!$C$27,Assumptions!$C$13*Assumptions!$C$28^(CV$5-1))*$O31)),0)</f>
        <v>0.46503785775346396</v>
      </c>
      <c r="CX31" s="93">
        <f>IF(AND($T31=1,CX$5&lt;=$H31),CW31*(1-BH31)*(1-MIN(1,MAX(Assumptions!$C$27,Assumptions!$C$13*Assumptions!$C$28^(CW$5-1))*$O31)),0)</f>
        <v>0.45384929503551941</v>
      </c>
      <c r="CY31" s="93">
        <f>IF(AND($T31=1,CY$5&lt;=$H31),CX31*(1-BI31)*(1-MIN(1,MAX(Assumptions!$C$27,Assumptions!$C$13*Assumptions!$C$28^(CX$5-1))*$O31)),0)</f>
        <v>0</v>
      </c>
      <c r="CZ31" s="93">
        <f>IF(AND($T31=1,CZ$5&lt;=$H31),CY31*(1-BJ31)*(1-MIN(1,MAX(Assumptions!$C$27,Assumptions!$C$13*Assumptions!$C$28^(CY$5-1))*$O31)),0)</f>
        <v>0</v>
      </c>
      <c r="DA31" s="93">
        <f>IF(AND($T31=1,DA$5&lt;=$H31),CZ31*(1-BK31)*(1-MIN(1,MAX(Assumptions!$C$27,Assumptions!$C$13*Assumptions!$C$28^(CZ$5-1))*$O31)),0)</f>
        <v>0</v>
      </c>
      <c r="DB31" s="93">
        <f>IF(AND($T31=1,DB$5&lt;=$H31),DA31*(1-BL31)*(1-MIN(1,MAX(Assumptions!$C$27,Assumptions!$C$13*Assumptions!$C$28^(DA$5-1))*$O31)),0)</f>
        <v>0</v>
      </c>
      <c r="DC31" s="93">
        <f>IF(AND($T31=1,DC$5&lt;=$H31),DB31*(1-BM31)*(1-MIN(1,MAX(Assumptions!$C$27,Assumptions!$C$13*Assumptions!$C$28^(DB$5-1))*$O31)),0)</f>
        <v>0</v>
      </c>
      <c r="DD31" s="93">
        <f>IF(AND($T31=1,DD$5&lt;=$H31),DC31*(1-BN31)*(1-MIN(1,MAX(Assumptions!$C$27,Assumptions!$C$13*Assumptions!$C$28^(DC$5-1))*$O31)),0)</f>
        <v>0</v>
      </c>
      <c r="DE31" s="93">
        <f>IF(AND($T31=1,DE$5&lt;=$H31),DD31*(1-BO31)*(1-MIN(1,MAX(Assumptions!$C$27,Assumptions!$C$13*Assumptions!$C$28^(DD$5-1))*$O31)),0)</f>
        <v>0</v>
      </c>
      <c r="DF31" s="93">
        <f>IF(AND($T31=1,DF$5&lt;=$H31),DE31*(1-BP31)*(1-MIN(1,MAX(Assumptions!$C$27,Assumptions!$C$13*Assumptions!$C$28^(DE$5-1))*$O31)),0)</f>
        <v>0</v>
      </c>
      <c r="DG31" s="93">
        <f>IF(AND($T31=1,DG$5&lt;=$H31),DF31*(1-BQ31)*(1-MIN(1,MAX(Assumptions!$C$27,Assumptions!$C$13*Assumptions!$C$28^(DF$5-1))*$O31)),0)</f>
        <v>0</v>
      </c>
      <c r="DH31" s="93">
        <f>IF(AND($T31=1,DH$5&lt;=$H31),DG31*(1-BR31)*(1-MIN(1,MAX(Assumptions!$C$27,Assumptions!$C$13*Assumptions!$C$28^(DG$5-1))*$O31)),0)</f>
        <v>0</v>
      </c>
      <c r="DI31" s="93">
        <f>IF(AND($T31=1,DI$5&lt;=$H31),DH31*(1-BS31)*(1-MIN(1,MAX(Assumptions!$C$27,Assumptions!$C$13*Assumptions!$C$28^(DH$5-1))*$O31)),0)</f>
        <v>0</v>
      </c>
      <c r="DJ31" s="93">
        <f>IF(AND($T31=1,DJ$5&lt;=$H31),DI31*(1-BT31)*(1-MIN(1,MAX(Assumptions!$C$27,Assumptions!$C$13*Assumptions!$C$28^(DI$5-1))*$O31)),0)</f>
        <v>0</v>
      </c>
      <c r="DK31" s="93">
        <f>IF(AND($T31=1,DK$5&lt;=$H31),DJ31*(1-BU31)*(1-MIN(1,MAX(Assumptions!$C$27,Assumptions!$C$13*Assumptions!$C$28^(DJ$5-1))*$O31)),0)</f>
        <v>0</v>
      </c>
      <c r="DL31" s="93">
        <f>IF(AND($T31=1,DL$5&lt;=$H31),DK31*(1-BV31)*(1-MIN(1,MAX(Assumptions!$C$27,Assumptions!$C$13*Assumptions!$C$28^(DK$5-1))*$O31)),0)</f>
        <v>0</v>
      </c>
      <c r="DM31" s="93">
        <f>IF(AND($T31=1,DM$5&lt;=$H31),DL31*(1-BW31)*(1-MIN(1,MAX(Assumptions!$C$27,Assumptions!$C$13*Assumptions!$C$28^(DL$5-1))*$O31)),0)</f>
        <v>0</v>
      </c>
      <c r="DN31" s="93">
        <f>IF(AND($T31=1,DN$5&lt;=$H31),DM31*(1-BX31)*(1-MIN(1,MAX(Assumptions!$C$27,Assumptions!$C$13*Assumptions!$C$28^(DM$5-1))*$O31)),0)</f>
        <v>0</v>
      </c>
      <c r="DO31" s="93">
        <f>IF(AND($T31=1,DO$5&lt;=$H31),DN31*(1-BY31)*(1-MIN(1,MAX(Assumptions!$C$27,Assumptions!$C$13*Assumptions!$C$28^(DN$5-1))*$O31)),0)</f>
        <v>0</v>
      </c>
      <c r="DP31" s="93">
        <f>IF(AND($T31=1,DP$5&lt;=$H31),DO31*(1-BZ31)*(1-MIN(1,MAX(Assumptions!$C$27,Assumptions!$C$13*Assumptions!$C$28^(DO$5-1))*$O31)),0)</f>
        <v>0</v>
      </c>
      <c r="DQ31" s="93">
        <f>IF(AND($T31=1,DQ$5&lt;=$H31),DP31*(1-CA31)*(1-MIN(1,MAX(Assumptions!$C$27,Assumptions!$C$13*Assumptions!$C$28^(DP$5-1))*$O31)),0)</f>
        <v>0</v>
      </c>
      <c r="DR31" s="93">
        <f>IF(AND($T31=1,DR$5&lt;=$H31),DQ31*(1-CB31)*(1-MIN(1,MAX(Assumptions!$C$27,Assumptions!$C$13*Assumptions!$C$28^(DQ$5-1))*$O31)),0)</f>
        <v>0</v>
      </c>
      <c r="DS31" s="93">
        <f>IF(AND($T31=1,DS$5&lt;=$H31),DR31*(1-CC31)*(1-MIN(1,MAX(Assumptions!$C$27,Assumptions!$C$13*Assumptions!$C$28^(DR$5-1))*$O31)),0)</f>
        <v>0</v>
      </c>
      <c r="DT31" s="93">
        <f>IF(AND($T31=1,DT$5&lt;=$H31),DS31*(1-CD31)*(1-MIN(1,MAX(Assumptions!$C$27,Assumptions!$C$13*Assumptions!$C$28^(DS$5-1))*$O31)),0)</f>
        <v>0</v>
      </c>
      <c r="DU31" s="93">
        <f>IF(AND($T31=1,DU$5&lt;=$H31),DT31*(1-CE31)*(1-MIN(1,MAX(Assumptions!$C$27,Assumptions!$C$13*Assumptions!$C$28^(DT$5-1))*$O31)),0)</f>
        <v>0</v>
      </c>
      <c r="DV31" s="93">
        <f>IF(AND($T31=1,DV$5&lt;=$H31),DU31*(1-CF31)*(1-MIN(1,MAX(Assumptions!$C$27,Assumptions!$C$13*Assumptions!$C$28^(DU$5-1))*$O31)),0)</f>
        <v>0</v>
      </c>
      <c r="DW31" s="94">
        <f>IF(AND($T31=1,DW$5&lt;=$H31),DV31*(1-CG31)*(1-MIN(1,MAX(Assumptions!$C$27,Assumptions!$C$13*Assumptions!$C$28^(DV$5-1))*$O31)),0)</f>
        <v>0</v>
      </c>
      <c r="DX31" s="26"/>
      <c r="DY31" s="399">
        <f>'Policy Data'!K5</f>
        <v>5</v>
      </c>
      <c r="DZ31" s="100">
        <f>'Policy Data'!L5</f>
        <v>0.63770000000000004</v>
      </c>
      <c r="EA31" s="100">
        <f>'Policy Data'!N5</f>
        <v>9.3400000000000004E-4</v>
      </c>
      <c r="EB31" s="93" cm="1">
        <f t="array" ref="EB31">IFERROR(DZ31*INDEX(Mortality!$B$4:$E$64,MATCH(D31+DY31-1,Mortality!$A$4:$A$64,0),U31)*V31,0)</f>
        <v>1.2857817774771113E-3</v>
      </c>
      <c r="EC31" s="100">
        <f>'Policy Data'!O5</f>
        <v>0</v>
      </c>
      <c r="ED31" s="400">
        <f>'Policy Data'!Q5</f>
        <v>0</v>
      </c>
    </row>
    <row r="32" spans="1:134" x14ac:dyDescent="0.3">
      <c r="A32" s="399" t="str">
        <f>'Policy Data'!A6</f>
        <v>POL100002</v>
      </c>
      <c r="B32" s="26" t="s">
        <v>426</v>
      </c>
      <c r="C32" s="100" t="str">
        <f>'Policy Data'!B6</f>
        <v>Term Life</v>
      </c>
      <c r="D32" s="100">
        <f>'Policy Data'!C6</f>
        <v>32</v>
      </c>
      <c r="E32" s="100" t="str">
        <f>'Policy Data'!D6</f>
        <v>Male</v>
      </c>
      <c r="F32" s="100" t="str">
        <f>'Policy Data'!E6</f>
        <v>Non-smoker</v>
      </c>
      <c r="G32" s="100" t="str">
        <f>'Policy Data'!F6</f>
        <v>Standard</v>
      </c>
      <c r="H32" s="100">
        <f>'Policy Data'!G6</f>
        <v>20</v>
      </c>
      <c r="I32" s="279">
        <f>'Policy Data'!H6</f>
        <v>2000000</v>
      </c>
      <c r="J32" s="100" t="str">
        <f>'Policy Data'!I6</f>
        <v>Annual</v>
      </c>
      <c r="K32" s="100" t="str">
        <f>'Policy Data'!J6</f>
        <v>Broker</v>
      </c>
      <c r="L32" s="26" t="s">
        <v>389</v>
      </c>
      <c r="M32" s="106">
        <f>'Policy Data'!R6</f>
        <v>3013.21</v>
      </c>
      <c r="N32" s="415">
        <f>Assumptions!$C$21</f>
        <v>1</v>
      </c>
      <c r="O32" s="415">
        <f>Assumptions!$C$22</f>
        <v>1</v>
      </c>
      <c r="P32" s="415">
        <f>Assumptions!$C$23</f>
        <v>1</v>
      </c>
      <c r="Q32" s="416">
        <f>Assumptions!$C$24</f>
        <v>0</v>
      </c>
      <c r="R32" s="416">
        <f>Assumptions!$C$6+Assumptions!$C$25</f>
        <v>3.5000000000000003E-2</v>
      </c>
      <c r="S32" s="416">
        <f>Assumptions!$C$15</f>
        <v>1.1000000000000001E-3</v>
      </c>
      <c r="T32" s="26">
        <f t="shared" si="18"/>
        <v>1</v>
      </c>
      <c r="U32" s="26">
        <f t="shared" si="19"/>
        <v>3</v>
      </c>
      <c r="V32" s="389">
        <f>IF($G32="Preferred",Assumptions!$C$30,IF($G32="Rated",Assumptions!$C$31,1))</f>
        <v>1</v>
      </c>
      <c r="W32" s="390">
        <f>IF($K32="Direct",Assumptions!$C$32,IF($K32="Broker",Assumptions!$C$33,IF($K32="Bancassurance",Assumptions!$C$34,Assumptions!$C$11)))+$Q32</f>
        <v>0.25</v>
      </c>
      <c r="X32" s="390">
        <f>Assumptions!$C$12+$Q32</f>
        <v>0.05</v>
      </c>
      <c r="Y32" s="131">
        <f>MIN($I32,Assumptions!$C$14)</f>
        <v>500000</v>
      </c>
      <c r="Z32" s="131">
        <f>MAX($I32-Assumptions!$C$14,0)</f>
        <v>1500000</v>
      </c>
      <c r="AA32" s="389">
        <f t="shared" si="20"/>
        <v>8.5812021610316744</v>
      </c>
      <c r="AB32" s="389">
        <f t="shared" si="21"/>
        <v>1.0100669883977389E-2</v>
      </c>
      <c r="AC32" s="389">
        <f>IF($T32=1,SUMPRODUCT($CJ32:$DW32,(1+Assumptions!$C$5)^($CJ$5:$DW$5-1),(1+$R32)^(-$CJ$5:$DW$5)),0)</f>
        <v>11.54782468986174</v>
      </c>
      <c r="AD32" s="389">
        <f t="shared" si="22"/>
        <v>0.62229682302742917</v>
      </c>
      <c r="AE32" s="131">
        <f>IF($T32=1,$AB32*$Y32+(Assumptions!$C$9/(1+$R32)+Assumptions!$C$10*$AC32)*$P32+$S32*$Z32*$AA32,0)</f>
        <v>22619.405156851844</v>
      </c>
      <c r="AF32" s="131">
        <f>IF($T32=1,IF($AA32-$AD32-Assumptions!$C$16*$AA32&gt;0,$AE32/($AA32-$AD32-Assumptions!$C$16*$AA32)*IF($J32="Monthly",1+Assumptions!$C$29,1),"n.a."),"")</f>
        <v>3110.3042531399269</v>
      </c>
      <c r="AG32" s="131">
        <f t="shared" si="23"/>
        <v>3013.21</v>
      </c>
      <c r="AH32" s="131">
        <f t="shared" si="24"/>
        <v>25856.964163642253</v>
      </c>
      <c r="AI32" s="131">
        <f t="shared" si="25"/>
        <v>1362.4479966759282</v>
      </c>
      <c r="AJ32" s="390">
        <f t="shared" si="26"/>
        <v>5.2691723129340937E-2</v>
      </c>
      <c r="AK32" s="389">
        <f t="shared" si="27"/>
        <v>0.9687830368871766</v>
      </c>
      <c r="AL32" s="131">
        <f t="shared" si="28"/>
        <v>15151.004825966083</v>
      </c>
      <c r="AM32" s="131">
        <f t="shared" si="29"/>
        <v>14158.983565702263</v>
      </c>
      <c r="AN32" s="131">
        <f t="shared" si="30"/>
        <v>992.0212602638203</v>
      </c>
      <c r="AO32" s="131">
        <f t="shared" si="31"/>
        <v>370.42673641210786</v>
      </c>
      <c r="AP32" s="26" t="str">
        <f t="shared" si="32"/>
        <v>30-39</v>
      </c>
      <c r="AQ32" s="26" t="str">
        <f t="shared" si="33"/>
        <v>Over 1m</v>
      </c>
      <c r="AR32" s="26" t="str">
        <f>IF($T32=1,IF($AI32&lt;0,"Loss-making",IF($AJ32&lt;Assumptions!$C$16-0.00001,"Below target","At/above target")),"Excluded")</f>
        <v>Below target</v>
      </c>
      <c r="AS32" s="103">
        <f t="shared" si="34"/>
        <v>1362.4480286759281</v>
      </c>
      <c r="AT32" s="26"/>
      <c r="AU32" s="419">
        <f>IF(AND($T32=1,AU$5&lt;=$H32),INDEX(Mortality!$B$4:$E$64,MATCH($D32+AU$5-1,Mortality!$A$4:$A$64,0),$U32)*$V32*$N32,0)</f>
        <v>6.07291875738262E-4</v>
      </c>
      <c r="AV32" s="93">
        <f>IF(AND($T32=1,AV$5&lt;=$H32),INDEX(Mortality!$B$4:$E$64,MATCH($D32+AV$5-1,Mortality!$A$4:$A$64,0),$U32)*$V32*$N32,0)</f>
        <v>6.5787143529132705E-4</v>
      </c>
      <c r="AW32" s="93">
        <f>IF(AND($T32=1,AW$5&lt;=$H32),INDEX(Mortality!$B$4:$E$64,MATCH($D32+AW$5-1,Mortality!$A$4:$A$64,0),$U32)*$V32*$N32,0)</f>
        <v>7.1266361804385805E-4</v>
      </c>
      <c r="AX32" s="93">
        <f>IF(AND($T32=1,AX$5&lt;=$H32),INDEX(Mortality!$B$4:$E$64,MATCH($D32+AX$5-1,Mortality!$A$4:$A$64,0),$U32)*$V32*$N32,0)</f>
        <v>7.7201928102935699E-4</v>
      </c>
      <c r="AY32" s="93">
        <f>IF(AND($T32=1,AY$5&lt;=$H32),INDEX(Mortality!$B$4:$E$64,MATCH($D32+AY$5-1,Mortality!$A$4:$A$64,0),$U32)*$V32*$N32,0)</f>
        <v>8.3631850313482196E-4</v>
      </c>
      <c r="AZ32" s="93">
        <f>IF(AND($T32=1,AZ$5&lt;=$H32),INDEX(Mortality!$B$4:$E$64,MATCH($D32+AZ$5-1,Mortality!$A$4:$A$64,0),$U32)*$V32*$N32,0)</f>
        <v>9.0597301890323197E-4</v>
      </c>
      <c r="BA32" s="93">
        <f>IF(AND($T32=1,BA$5&lt;=$H32),INDEX(Mortality!$B$4:$E$64,MATCH($D32+BA$5-1,Mortality!$A$4:$A$64,0),$U32)*$V32*$N32,0)</f>
        <v>9.8142885504031189E-4</v>
      </c>
      <c r="BB32" s="93">
        <f>IF(AND($T32=1,BB$5&lt;=$H32),INDEX(Mortality!$B$4:$E$64,MATCH($D32+BB$5-1,Mortality!$A$4:$A$64,0),$U32)*$V32*$N32,0)</f>
        <v>1.06316918650821E-3</v>
      </c>
      <c r="BC32" s="93">
        <f>IF(AND($T32=1,BC$5&lt;=$H32),INDEX(Mortality!$B$4:$E$64,MATCH($D32+BC$5-1,Mortality!$A$4:$A$64,0),$U32)*$V32*$N32,0)</f>
        <v>1.1517174304948501E-3</v>
      </c>
      <c r="BD32" s="93">
        <f>IF(AND($T32=1,BD$5&lt;=$H32),INDEX(Mortality!$B$4:$E$64,MATCH($D32+BD$5-1,Mortality!$A$4:$A$64,0),$U32)*$V32*$N32,0)</f>
        <v>1.24764059807091E-3</v>
      </c>
      <c r="BE32" s="93">
        <f>IF(AND($T32=1,BE$5&lt;=$H32),INDEX(Mortality!$B$4:$E$64,MATCH($D32+BE$5-1,Mortality!$A$4:$A$64,0),$U32)*$V32*$N32,0)</f>
        <v>1.3515529249964601E-3</v>
      </c>
      <c r="BF32" s="93">
        <f>IF(AND($T32=1,BF$5&lt;=$H32),INDEX(Mortality!$B$4:$E$64,MATCH($D32+BF$5-1,Mortality!$A$4:$A$64,0),$U32)*$V32*$N32,0)</f>
        <v>1.4641198049269301E-3</v>
      </c>
      <c r="BG32" s="93">
        <f>IF(AND($T32=1,BG$5&lt;=$H32),INDEX(Mortality!$B$4:$E$64,MATCH($D32+BG$5-1,Mortality!$A$4:$A$64,0),$U32)*$V32*$N32,0)</f>
        <v>1.58606205020413E-3</v>
      </c>
      <c r="BH32" s="93">
        <f>IF(AND($T32=1,BH$5&lt;=$H32),INDEX(Mortality!$B$4:$E$64,MATCH($D32+BH$5-1,Mortality!$A$4:$A$64,0),$U32)*$V32*$N32,0)</f>
        <v>1.71816050751616E-3</v>
      </c>
      <c r="BI32" s="93">
        <f>IF(AND($T32=1,BI$5&lt;=$H32),INDEX(Mortality!$B$4:$E$64,MATCH($D32+BI$5-1,Mortality!$A$4:$A$64,0),$U32)*$V32*$N32,0)</f>
        <v>1.8612610579820999E-3</v>
      </c>
      <c r="BJ32" s="93">
        <f>IF(AND($T32=1,BJ$5&lt;=$H32),INDEX(Mortality!$B$4:$E$64,MATCH($D32+BJ$5-1,Mortality!$A$4:$A$64,0),$U32)*$V32*$N32,0)</f>
        <v>2.0162800336790201E-3</v>
      </c>
      <c r="BK32" s="93">
        <f>IF(AND($T32=1,BK$5&lt;=$H32),INDEX(Mortality!$B$4:$E$64,MATCH($D32+BK$5-1,Mortality!$A$4:$A$64,0),$U32)*$V32*$N32,0)</f>
        <v>2.1842100852957199E-3</v>
      </c>
      <c r="BL32" s="93">
        <f>IF(AND($T32=1,BL$5&lt;=$H32),INDEX(Mortality!$B$4:$E$64,MATCH($D32+BL$5-1,Mortality!$A$4:$A$64,0),$U32)*$V32*$N32,0)</f>
        <v>2.3661265384860701E-3</v>
      </c>
      <c r="BM32" s="93">
        <f>IF(AND($T32=1,BM$5&lt;=$H32),INDEX(Mortality!$B$4:$E$64,MATCH($D32+BM$5-1,Mortality!$A$4:$A$64,0),$U32)*$V32*$N32,0)</f>
        <v>2.5631942796244698E-3</v>
      </c>
      <c r="BN32" s="93">
        <f>IF(AND($T32=1,BN$5&lt;=$H32),INDEX(Mortality!$B$4:$E$64,MATCH($D32+BN$5-1,Mortality!$A$4:$A$64,0),$U32)*$V32*$N32,0)</f>
        <v>2.7766752150556202E-3</v>
      </c>
      <c r="BO32" s="93">
        <f>IF(AND($T32=1,BO$5&lt;=$H32),INDEX(Mortality!$B$4:$E$64,MATCH($D32+BO$5-1,Mortality!$A$4:$A$64,0),$U32)*$V32*$N32,0)</f>
        <v>0</v>
      </c>
      <c r="BP32" s="93">
        <f>IF(AND($T32=1,BP$5&lt;=$H32),INDEX(Mortality!$B$4:$E$64,MATCH($D32+BP$5-1,Mortality!$A$4:$A$64,0),$U32)*$V32*$N32,0)</f>
        <v>0</v>
      </c>
      <c r="BQ32" s="93">
        <f>IF(AND($T32=1,BQ$5&lt;=$H32),INDEX(Mortality!$B$4:$E$64,MATCH($D32+BQ$5-1,Mortality!$A$4:$A$64,0),$U32)*$V32*$N32,0)</f>
        <v>0</v>
      </c>
      <c r="BR32" s="93">
        <f>IF(AND($T32=1,BR$5&lt;=$H32),INDEX(Mortality!$B$4:$E$64,MATCH($D32+BR$5-1,Mortality!$A$4:$A$64,0),$U32)*$V32*$N32,0)</f>
        <v>0</v>
      </c>
      <c r="BS32" s="93">
        <f>IF(AND($T32=1,BS$5&lt;=$H32),INDEX(Mortality!$B$4:$E$64,MATCH($D32+BS$5-1,Mortality!$A$4:$A$64,0),$U32)*$V32*$N32,0)</f>
        <v>0</v>
      </c>
      <c r="BT32" s="93">
        <f>IF(AND($T32=1,BT$5&lt;=$H32),INDEX(Mortality!$B$4:$E$64,MATCH($D32+BT$5-1,Mortality!$A$4:$A$64,0),$U32)*$V32*$N32,0)</f>
        <v>0</v>
      </c>
      <c r="BU32" s="93">
        <f>IF(AND($T32=1,BU$5&lt;=$H32),INDEX(Mortality!$B$4:$E$64,MATCH($D32+BU$5-1,Mortality!$A$4:$A$64,0),$U32)*$V32*$N32,0)</f>
        <v>0</v>
      </c>
      <c r="BV32" s="93">
        <f>IF(AND($T32=1,BV$5&lt;=$H32),INDEX(Mortality!$B$4:$E$64,MATCH($D32+BV$5-1,Mortality!$A$4:$A$64,0),$U32)*$V32*$N32,0)</f>
        <v>0</v>
      </c>
      <c r="BW32" s="93">
        <f>IF(AND($T32=1,BW$5&lt;=$H32),INDEX(Mortality!$B$4:$E$64,MATCH($D32+BW$5-1,Mortality!$A$4:$A$64,0),$U32)*$V32*$N32,0)</f>
        <v>0</v>
      </c>
      <c r="BX32" s="93">
        <f>IF(AND($T32=1,BX$5&lt;=$H32),INDEX(Mortality!$B$4:$E$64,MATCH($D32+BX$5-1,Mortality!$A$4:$A$64,0),$U32)*$V32*$N32,0)</f>
        <v>0</v>
      </c>
      <c r="BY32" s="93">
        <f>IF(AND($T32=1,BY$5&lt;=$H32),INDEX(Mortality!$B$4:$E$64,MATCH($D32+BY$5-1,Mortality!$A$4:$A$64,0),$U32)*$V32*$N32,0)</f>
        <v>0</v>
      </c>
      <c r="BZ32" s="93">
        <f>IF(AND($T32=1,BZ$5&lt;=$H32),INDEX(Mortality!$B$4:$E$64,MATCH($D32+BZ$5-1,Mortality!$A$4:$A$64,0),$U32)*$V32*$N32,0)</f>
        <v>0</v>
      </c>
      <c r="CA32" s="93">
        <f>IF(AND($T32=1,CA$5&lt;=$H32),INDEX(Mortality!$B$4:$E$64,MATCH($D32+CA$5-1,Mortality!$A$4:$A$64,0),$U32)*$V32*$N32,0)</f>
        <v>0</v>
      </c>
      <c r="CB32" s="93">
        <f>IF(AND($T32=1,CB$5&lt;=$H32),INDEX(Mortality!$B$4:$E$64,MATCH($D32+CB$5-1,Mortality!$A$4:$A$64,0),$U32)*$V32*$N32,0)</f>
        <v>0</v>
      </c>
      <c r="CC32" s="93">
        <f>IF(AND($T32=1,CC$5&lt;=$H32),INDEX(Mortality!$B$4:$E$64,MATCH($D32+CC$5-1,Mortality!$A$4:$A$64,0),$U32)*$V32*$N32,0)</f>
        <v>0</v>
      </c>
      <c r="CD32" s="93">
        <f>IF(AND($T32=1,CD$5&lt;=$H32),INDEX(Mortality!$B$4:$E$64,MATCH($D32+CD$5-1,Mortality!$A$4:$A$64,0),$U32)*$V32*$N32,0)</f>
        <v>0</v>
      </c>
      <c r="CE32" s="93">
        <f>IF(AND($T32=1,CE$5&lt;=$H32),INDEX(Mortality!$B$4:$E$64,MATCH($D32+CE$5-1,Mortality!$A$4:$A$64,0),$U32)*$V32*$N32,0)</f>
        <v>0</v>
      </c>
      <c r="CF32" s="93">
        <f>IF(AND($T32=1,CF$5&lt;=$H32),INDEX(Mortality!$B$4:$E$64,MATCH($D32+CF$5-1,Mortality!$A$4:$A$64,0),$U32)*$V32*$N32,0)</f>
        <v>0</v>
      </c>
      <c r="CG32" s="93">
        <f>IF(AND($T32=1,CG$5&lt;=$H32),INDEX(Mortality!$B$4:$E$64,MATCH($D32+CG$5-1,Mortality!$A$4:$A$64,0),$U32)*$V32*$N32,0)</f>
        <v>0</v>
      </c>
      <c r="CH32" s="94">
        <f>IF(AND($T32=1,CH$5&lt;=$H32),INDEX(Mortality!$B$4:$E$64,MATCH($D32+CH$5-1,Mortality!$A$4:$A$64,0),$U32)*$V32*$N32,0)</f>
        <v>0</v>
      </c>
      <c r="CI32" s="26"/>
      <c r="CJ32" s="419">
        <f t="shared" si="35"/>
        <v>1</v>
      </c>
      <c r="CK32" s="93">
        <f>IF(AND($T32=1,CK$5&lt;=$H32),CJ32*(1-AU32)*(1-MIN(1,MAX(Assumptions!$C$27,Assumptions!$C$13*Assumptions!$C$28^(CJ$5-1))*$O32)),0)</f>
        <v>0.87946558314935031</v>
      </c>
      <c r="CL32" s="93">
        <f>IF(AND($T32=1,CL$5&lt;=$H32),CK32*(1-AV32)*(1-MIN(1,MAX(Assumptions!$C$27,Assumptions!$C$13*Assumptions!$C$28^(CK$5-1))*$O32)),0)</f>
        <v>0.78924053306175934</v>
      </c>
      <c r="CM32" s="93">
        <f>IF(AND($T32=1,CM$5&lt;=$H32),CL32*(1-AW32)*(1-MIN(1,MAX(Assumptions!$C$27,Assumptions!$C$13*Assumptions!$C$28^(CL$5-1))*$O32)),0)</f>
        <v>0.72029968137480249</v>
      </c>
      <c r="CN32" s="93">
        <f>IF(AND($T32=1,CN$5&lt;=$H32),CM32*(1-AX32)*(1-MIN(1,MAX(Assumptions!$C$27,Assumptions!$C$13*Assumptions!$C$28^(CM$5-1))*$O32)),0)</f>
        <v>0.66670209181566531</v>
      </c>
      <c r="CO32" s="93">
        <f>IF(AND($T32=1,CO$5&lt;=$H32),CN32*(1-AY32)*(1-MIN(1,MAX(Assumptions!$C$27,Assumptions!$C$13*Assumptions!$C$28^(CN$5-1))*$O32)),0)</f>
        <v>0.62441672439698848</v>
      </c>
      <c r="CP32" s="93">
        <f>IF(AND($T32=1,CP$5&lt;=$H32),CO32*(1-AZ32)*(1-MIN(1,MAX(Assumptions!$C$27,Assumptions!$C$13*Assumptions!$C$28^(CO$5-1))*$O32)),0)</f>
        <v>0.59063429829461989</v>
      </c>
      <c r="CQ32" s="93">
        <f>IF(AND($T32=1,CQ$5&lt;=$H32),CP32*(1-BA32)*(1-MIN(1,MAX(Assumptions!$C$27,Assumptions!$C$13*Assumptions!$C$28^(CP$5-1))*$O32)),0)</f>
        <v>0.56334997447935531</v>
      </c>
      <c r="CR32" s="93">
        <f>IF(AND($T32=1,CR$5&lt;=$H32),CQ32*(1-BB32)*(1-MIN(1,MAX(Assumptions!$C$27,Assumptions!$C$13*Assumptions!$C$28^(CQ$5-1))*$O32)),0)</f>
        <v>0.54110242743696546</v>
      </c>
      <c r="CS32" s="93">
        <f>IF(AND($T32=1,CS$5&lt;=$H32),CR32*(1-BC32)*(1-MIN(1,MAX(Assumptions!$C$27,Assumptions!$C$13*Assumptions!$C$28^(CR$5-1))*$O32)),0)</f>
        <v>0.52280617402984964</v>
      </c>
      <c r="CT32" s="93">
        <f>IF(AND($T32=1,CT$5&lt;=$H32),CS32*(1-BD32)*(1-MIN(1,MAX(Assumptions!$C$27,Assumptions!$C$13*Assumptions!$C$28^(CS$5-1))*$O32)),0)</f>
        <v>0.50764113681020562</v>
      </c>
      <c r="CU32" s="93">
        <f>IF(AND($T32=1,CU$5&lt;=$H32),CT32*(1-BE32)*(1-MIN(1,MAX(Assumptions!$C$27,Assumptions!$C$13*Assumptions!$C$28^(CT$5-1))*$O32)),0)</f>
        <v>0.49497825653022692</v>
      </c>
      <c r="CV32" s="93">
        <f>IF(AND($T32=1,CV$5&lt;=$H32),CU32*(1-BF32)*(1-MIN(1,MAX(Assumptions!$C$27,Assumptions!$C$13*Assumptions!$C$28^(CU$5-1))*$O32)),0)</f>
        <v>0.48432835000921953</v>
      </c>
      <c r="CW32" s="93">
        <f>IF(AND($T32=1,CW$5&lt;=$H32),CV32*(1-BG32)*(1-MIN(1,MAX(Assumptions!$C$27,Assumptions!$C$13*Assumptions!$C$28^(CV$5-1))*$O32)),0)</f>
        <v>0.47388897168956329</v>
      </c>
      <c r="CX32" s="93">
        <f>IF(AND($T32=1,CX$5&lt;=$H32),CW32*(1-BH32)*(1-MIN(1,MAX(Assumptions!$C$27,Assumptions!$C$13*Assumptions!$C$28^(CW$5-1))*$O32)),0)</f>
        <v>0.46361325928598968</v>
      </c>
      <c r="CY32" s="93">
        <f>IF(AND($T32=1,CY$5&lt;=$H32),CX32*(1-BI32)*(1-MIN(1,MAX(Assumptions!$C$27,Assumptions!$C$13*Assumptions!$C$28^(CX$5-1))*$O32)),0)</f>
        <v>0.45349534690090615</v>
      </c>
      <c r="CZ32" s="93">
        <f>IF(AND($T32=1,CZ$5&lt;=$H32),CY32*(1-BJ32)*(1-MIN(1,MAX(Assumptions!$C$27,Assumptions!$C$13*Assumptions!$C$28^(CY$5-1))*$O32)),0)</f>
        <v>0.44352935382183184</v>
      </c>
      <c r="DA32" s="93">
        <f>IF(AND($T32=1,DA$5&lt;=$H32),CZ32*(1-BK32)*(1-MIN(1,MAX(Assumptions!$C$27,Assumptions!$C$13*Assumptions!$C$28^(CZ$5-1))*$O32)),0)</f>
        <v>0.43370938068340775</v>
      </c>
      <c r="DB32" s="93">
        <f>IF(AND($T32=1,DB$5&lt;=$H32),DA32*(1-BL32)*(1-MIN(1,MAX(Assumptions!$C$27,Assumptions!$C$13*Assumptions!$C$28^(DA$5-1))*$O32)),0)</f>
        <v>0.42402950601962669</v>
      </c>
      <c r="DC32" s="93">
        <f>IF(AND($T32=1,DC$5&lt;=$H32),DB32*(1-BM32)*(1-MIN(1,MAX(Assumptions!$C$27,Assumptions!$C$13*Assumptions!$C$28^(DB$5-1))*$O32)),0)</f>
        <v>0.41448378329509711</v>
      </c>
      <c r="DD32" s="93">
        <f>IF(AND($T32=1,DD$5&lt;=$H32),DC32*(1-BN32)*(1-MIN(1,MAX(Assumptions!$C$27,Assumptions!$C$13*Assumptions!$C$28^(DC$5-1))*$O32)),0)</f>
        <v>0</v>
      </c>
      <c r="DE32" s="93">
        <f>IF(AND($T32=1,DE$5&lt;=$H32),DD32*(1-BO32)*(1-MIN(1,MAX(Assumptions!$C$27,Assumptions!$C$13*Assumptions!$C$28^(DD$5-1))*$O32)),0)</f>
        <v>0</v>
      </c>
      <c r="DF32" s="93">
        <f>IF(AND($T32=1,DF$5&lt;=$H32),DE32*(1-BP32)*(1-MIN(1,MAX(Assumptions!$C$27,Assumptions!$C$13*Assumptions!$C$28^(DE$5-1))*$O32)),0)</f>
        <v>0</v>
      </c>
      <c r="DG32" s="93">
        <f>IF(AND($T32=1,DG$5&lt;=$H32),DF32*(1-BQ32)*(1-MIN(1,MAX(Assumptions!$C$27,Assumptions!$C$13*Assumptions!$C$28^(DF$5-1))*$O32)),0)</f>
        <v>0</v>
      </c>
      <c r="DH32" s="93">
        <f>IF(AND($T32=1,DH$5&lt;=$H32),DG32*(1-BR32)*(1-MIN(1,MAX(Assumptions!$C$27,Assumptions!$C$13*Assumptions!$C$28^(DG$5-1))*$O32)),0)</f>
        <v>0</v>
      </c>
      <c r="DI32" s="93">
        <f>IF(AND($T32=1,DI$5&lt;=$H32),DH32*(1-BS32)*(1-MIN(1,MAX(Assumptions!$C$27,Assumptions!$C$13*Assumptions!$C$28^(DH$5-1))*$O32)),0)</f>
        <v>0</v>
      </c>
      <c r="DJ32" s="93">
        <f>IF(AND($T32=1,DJ$5&lt;=$H32),DI32*(1-BT32)*(1-MIN(1,MAX(Assumptions!$C$27,Assumptions!$C$13*Assumptions!$C$28^(DI$5-1))*$O32)),0)</f>
        <v>0</v>
      </c>
      <c r="DK32" s="93">
        <f>IF(AND($T32=1,DK$5&lt;=$H32),DJ32*(1-BU32)*(1-MIN(1,MAX(Assumptions!$C$27,Assumptions!$C$13*Assumptions!$C$28^(DJ$5-1))*$O32)),0)</f>
        <v>0</v>
      </c>
      <c r="DL32" s="93">
        <f>IF(AND($T32=1,DL$5&lt;=$H32),DK32*(1-BV32)*(1-MIN(1,MAX(Assumptions!$C$27,Assumptions!$C$13*Assumptions!$C$28^(DK$5-1))*$O32)),0)</f>
        <v>0</v>
      </c>
      <c r="DM32" s="93">
        <f>IF(AND($T32=1,DM$5&lt;=$H32),DL32*(1-BW32)*(1-MIN(1,MAX(Assumptions!$C$27,Assumptions!$C$13*Assumptions!$C$28^(DL$5-1))*$O32)),0)</f>
        <v>0</v>
      </c>
      <c r="DN32" s="93">
        <f>IF(AND($T32=1,DN$5&lt;=$H32),DM32*(1-BX32)*(1-MIN(1,MAX(Assumptions!$C$27,Assumptions!$C$13*Assumptions!$C$28^(DM$5-1))*$O32)),0)</f>
        <v>0</v>
      </c>
      <c r="DO32" s="93">
        <f>IF(AND($T32=1,DO$5&lt;=$H32),DN32*(1-BY32)*(1-MIN(1,MAX(Assumptions!$C$27,Assumptions!$C$13*Assumptions!$C$28^(DN$5-1))*$O32)),0)</f>
        <v>0</v>
      </c>
      <c r="DP32" s="93">
        <f>IF(AND($T32=1,DP$5&lt;=$H32),DO32*(1-BZ32)*(1-MIN(1,MAX(Assumptions!$C$27,Assumptions!$C$13*Assumptions!$C$28^(DO$5-1))*$O32)),0)</f>
        <v>0</v>
      </c>
      <c r="DQ32" s="93">
        <f>IF(AND($T32=1,DQ$5&lt;=$H32),DP32*(1-CA32)*(1-MIN(1,MAX(Assumptions!$C$27,Assumptions!$C$13*Assumptions!$C$28^(DP$5-1))*$O32)),0)</f>
        <v>0</v>
      </c>
      <c r="DR32" s="93">
        <f>IF(AND($T32=1,DR$5&lt;=$H32),DQ32*(1-CB32)*(1-MIN(1,MAX(Assumptions!$C$27,Assumptions!$C$13*Assumptions!$C$28^(DQ$5-1))*$O32)),0)</f>
        <v>0</v>
      </c>
      <c r="DS32" s="93">
        <f>IF(AND($T32=1,DS$5&lt;=$H32),DR32*(1-CC32)*(1-MIN(1,MAX(Assumptions!$C$27,Assumptions!$C$13*Assumptions!$C$28^(DR$5-1))*$O32)),0)</f>
        <v>0</v>
      </c>
      <c r="DT32" s="93">
        <f>IF(AND($T32=1,DT$5&lt;=$H32),DS32*(1-CD32)*(1-MIN(1,MAX(Assumptions!$C$27,Assumptions!$C$13*Assumptions!$C$28^(DS$5-1))*$O32)),0)</f>
        <v>0</v>
      </c>
      <c r="DU32" s="93">
        <f>IF(AND($T32=1,DU$5&lt;=$H32),DT32*(1-CE32)*(1-MIN(1,MAX(Assumptions!$C$27,Assumptions!$C$13*Assumptions!$C$28^(DT$5-1))*$O32)),0)</f>
        <v>0</v>
      </c>
      <c r="DV32" s="93">
        <f>IF(AND($T32=1,DV$5&lt;=$H32),DU32*(1-CF32)*(1-MIN(1,MAX(Assumptions!$C$27,Assumptions!$C$13*Assumptions!$C$28^(DU$5-1))*$O32)),0)</f>
        <v>0</v>
      </c>
      <c r="DW32" s="94">
        <f>IF(AND($T32=1,DW$5&lt;=$H32),DV32*(1-CG32)*(1-MIN(1,MAX(Assumptions!$C$27,Assumptions!$C$13*Assumptions!$C$28^(DV$5-1))*$O32)),0)</f>
        <v>0</v>
      </c>
      <c r="DX32" s="26"/>
      <c r="DY32" s="399">
        <f>'Policy Data'!K6</f>
        <v>6</v>
      </c>
      <c r="DZ32" s="100">
        <f>'Policy Data'!L6</f>
        <v>0.62060000000000004</v>
      </c>
      <c r="EA32" s="100">
        <f>'Policy Data'!N6</f>
        <v>3.77E-4</v>
      </c>
      <c r="EB32" s="93" cm="1">
        <f t="array" ref="EB32">IFERROR(DZ32*INDEX(Mortality!$B$4:$E$64,MATCH(D32+DY32-1,Mortality!$A$4:$A$64,0),U32)*V32,0)</f>
        <v>5.6224685553134582E-4</v>
      </c>
      <c r="EC32" s="100">
        <f>'Policy Data'!O6</f>
        <v>0</v>
      </c>
      <c r="ED32" s="400">
        <f>'Policy Data'!Q6</f>
        <v>0</v>
      </c>
    </row>
    <row r="33" spans="1:134" x14ac:dyDescent="0.3">
      <c r="A33" s="399" t="str">
        <f>'Policy Data'!A7</f>
        <v>POL100003</v>
      </c>
      <c r="B33" s="26" t="s">
        <v>426</v>
      </c>
      <c r="C33" s="100" t="str">
        <f>'Policy Data'!B7</f>
        <v>Term Life</v>
      </c>
      <c r="D33" s="100">
        <f>'Policy Data'!C7</f>
        <v>38</v>
      </c>
      <c r="E33" s="100" t="str">
        <f>'Policy Data'!D7</f>
        <v>Male</v>
      </c>
      <c r="F33" s="100" t="str">
        <f>'Policy Data'!E7</f>
        <v>Non-smoker</v>
      </c>
      <c r="G33" s="100" t="str">
        <f>'Policy Data'!F7</f>
        <v>Standard</v>
      </c>
      <c r="H33" s="100">
        <f>'Policy Data'!G7</f>
        <v>10</v>
      </c>
      <c r="I33" s="279">
        <f>'Policy Data'!H7</f>
        <v>500000</v>
      </c>
      <c r="J33" s="100" t="str">
        <f>'Policy Data'!I7</f>
        <v>Annual</v>
      </c>
      <c r="K33" s="100" t="str">
        <f>'Policy Data'!J7</f>
        <v>Broker</v>
      </c>
      <c r="L33" s="26" t="s">
        <v>389</v>
      </c>
      <c r="M33" s="106">
        <f>'Policy Data'!R7</f>
        <v>1334.04</v>
      </c>
      <c r="N33" s="415">
        <f>Assumptions!$C$21</f>
        <v>1</v>
      </c>
      <c r="O33" s="415">
        <f>Assumptions!$C$22</f>
        <v>1</v>
      </c>
      <c r="P33" s="415">
        <f>Assumptions!$C$23</f>
        <v>1</v>
      </c>
      <c r="Q33" s="416">
        <f>Assumptions!$C$24</f>
        <v>0</v>
      </c>
      <c r="R33" s="416">
        <f>Assumptions!$C$6+Assumptions!$C$25</f>
        <v>3.5000000000000003E-2</v>
      </c>
      <c r="S33" s="416">
        <f>Assumptions!$C$15</f>
        <v>1.1000000000000001E-3</v>
      </c>
      <c r="T33" s="26">
        <f t="shared" si="18"/>
        <v>1</v>
      </c>
      <c r="U33" s="26">
        <f t="shared" si="19"/>
        <v>3</v>
      </c>
      <c r="V33" s="389">
        <f>IF($G33="Preferred",Assumptions!$C$30,IF($G33="Rated",Assumptions!$C$31,1))</f>
        <v>1</v>
      </c>
      <c r="W33" s="390">
        <f>IF($K33="Direct",Assumptions!$C$32,IF($K33="Broker",Assumptions!$C$33,IF($K33="Bancassurance",Assumptions!$C$34,Assumptions!$C$11)))+$Q33</f>
        <v>0.25</v>
      </c>
      <c r="X33" s="390">
        <f>Assumptions!$C$12+$Q33</f>
        <v>0.05</v>
      </c>
      <c r="Y33" s="131">
        <f>MIN($I33,Assumptions!$C$14)</f>
        <v>500000</v>
      </c>
      <c r="Z33" s="131">
        <f>MAX($I33-Assumptions!$C$14,0)</f>
        <v>0</v>
      </c>
      <c r="AA33" s="389">
        <f t="shared" si="20"/>
        <v>5.8459531122450938</v>
      </c>
      <c r="AB33" s="389">
        <f t="shared" si="21"/>
        <v>7.8682304967136116E-3</v>
      </c>
      <c r="AC33" s="389">
        <f>IF($T33=1,SUMPRODUCT($CJ33:$DW33,(1+Assumptions!$C$5)^($CJ$5:$DW$5-1),(1+$R33)^(-$CJ$5:$DW$5)),0)</f>
        <v>6.7795243614839302</v>
      </c>
      <c r="AD33" s="389">
        <f t="shared" si="22"/>
        <v>0.48553437058810012</v>
      </c>
      <c r="AE33" s="131">
        <f>IF($T33=1,$AB33*$Y33+(Assumptions!$C$9/(1+$R33)+Assumptions!$C$10*$AC33)*$P33+$S33*$Z33*$AA33,0)</f>
        <v>6295.1758252745749</v>
      </c>
      <c r="AF33" s="131">
        <f>IF($T33=1,IF($AA33-$AD33-Assumptions!$C$16*$AA33&gt;0,$AE33/($AA33-$AD33-Assumptions!$C$16*$AA33)*IF($J33="Monthly",1+Assumptions!$C$29,1),"n.a."),"")</f>
        <v>1286.6354267971612</v>
      </c>
      <c r="AG33" s="131">
        <f t="shared" si="23"/>
        <v>1334.04</v>
      </c>
      <c r="AH33" s="131">
        <f t="shared" si="24"/>
        <v>7798.7352898594445</v>
      </c>
      <c r="AI33" s="131">
        <f t="shared" si="25"/>
        <v>855.8371928455208</v>
      </c>
      <c r="AJ33" s="390">
        <f t="shared" si="26"/>
        <v>0.10974051061309269</v>
      </c>
      <c r="AK33" s="389">
        <f t="shared" si="27"/>
        <v>1.0368438270978155</v>
      </c>
      <c r="AL33" s="131">
        <f t="shared" si="28"/>
        <v>0</v>
      </c>
      <c r="AM33" s="131">
        <f t="shared" si="29"/>
        <v>0</v>
      </c>
      <c r="AN33" s="131">
        <f t="shared" si="30"/>
        <v>0</v>
      </c>
      <c r="AO33" s="131">
        <f t="shared" si="31"/>
        <v>855.8371928455208</v>
      </c>
      <c r="AP33" s="26" t="str">
        <f t="shared" si="32"/>
        <v>30-39</v>
      </c>
      <c r="AQ33" s="26" t="str">
        <f t="shared" si="33"/>
        <v>250k-500k</v>
      </c>
      <c r="AR33" s="26" t="str">
        <f>IF($T33=1,IF($AI33&lt;0,"Loss-making",IF($AJ33&lt;Assumptions!$C$16-0.00001,"Below target","At/above target")),"Excluded")</f>
        <v>At/above target</v>
      </c>
      <c r="AS33" s="103">
        <f t="shared" si="34"/>
        <v>855.83722584552083</v>
      </c>
      <c r="AT33" s="26"/>
      <c r="AU33" s="419">
        <f>IF(AND($T33=1,AU$5&lt;=$H33),INDEX(Mortality!$B$4:$E$64,MATCH($D33+AU$5-1,Mortality!$A$4:$A$64,0),$U33)*$V33*$N33,0)</f>
        <v>9.8142885504031189E-4</v>
      </c>
      <c r="AV33" s="93">
        <f>IF(AND($T33=1,AV$5&lt;=$H33),INDEX(Mortality!$B$4:$E$64,MATCH($D33+AV$5-1,Mortality!$A$4:$A$64,0),$U33)*$V33*$N33,0)</f>
        <v>1.06316918650821E-3</v>
      </c>
      <c r="AW33" s="93">
        <f>IF(AND($T33=1,AW$5&lt;=$H33),INDEX(Mortality!$B$4:$E$64,MATCH($D33+AW$5-1,Mortality!$A$4:$A$64,0),$U33)*$V33*$N33,0)</f>
        <v>1.1517174304948501E-3</v>
      </c>
      <c r="AX33" s="93">
        <f>IF(AND($T33=1,AX$5&lt;=$H33),INDEX(Mortality!$B$4:$E$64,MATCH($D33+AX$5-1,Mortality!$A$4:$A$64,0),$U33)*$V33*$N33,0)</f>
        <v>1.24764059807091E-3</v>
      </c>
      <c r="AY33" s="93">
        <f>IF(AND($T33=1,AY$5&lt;=$H33),INDEX(Mortality!$B$4:$E$64,MATCH($D33+AY$5-1,Mortality!$A$4:$A$64,0),$U33)*$V33*$N33,0)</f>
        <v>1.3515529249964601E-3</v>
      </c>
      <c r="AZ33" s="93">
        <f>IF(AND($T33=1,AZ$5&lt;=$H33),INDEX(Mortality!$B$4:$E$64,MATCH($D33+AZ$5-1,Mortality!$A$4:$A$64,0),$U33)*$V33*$N33,0)</f>
        <v>1.4641198049269301E-3</v>
      </c>
      <c r="BA33" s="93">
        <f>IF(AND($T33=1,BA$5&lt;=$H33),INDEX(Mortality!$B$4:$E$64,MATCH($D33+BA$5-1,Mortality!$A$4:$A$64,0),$U33)*$V33*$N33,0)</f>
        <v>1.58606205020413E-3</v>
      </c>
      <c r="BB33" s="93">
        <f>IF(AND($T33=1,BB$5&lt;=$H33),INDEX(Mortality!$B$4:$E$64,MATCH($D33+BB$5-1,Mortality!$A$4:$A$64,0),$U33)*$V33*$N33,0)</f>
        <v>1.71816050751616E-3</v>
      </c>
      <c r="BC33" s="93">
        <f>IF(AND($T33=1,BC$5&lt;=$H33),INDEX(Mortality!$B$4:$E$64,MATCH($D33+BC$5-1,Mortality!$A$4:$A$64,0),$U33)*$V33*$N33,0)</f>
        <v>1.8612610579820999E-3</v>
      </c>
      <c r="BD33" s="93">
        <f>IF(AND($T33=1,BD$5&lt;=$H33),INDEX(Mortality!$B$4:$E$64,MATCH($D33+BD$5-1,Mortality!$A$4:$A$64,0),$U33)*$V33*$N33,0)</f>
        <v>2.0162800336790201E-3</v>
      </c>
      <c r="BE33" s="93">
        <f>IF(AND($T33=1,BE$5&lt;=$H33),INDEX(Mortality!$B$4:$E$64,MATCH($D33+BE$5-1,Mortality!$A$4:$A$64,0),$U33)*$V33*$N33,0)</f>
        <v>0</v>
      </c>
      <c r="BF33" s="93">
        <f>IF(AND($T33=1,BF$5&lt;=$H33),INDEX(Mortality!$B$4:$E$64,MATCH($D33+BF$5-1,Mortality!$A$4:$A$64,0),$U33)*$V33*$N33,0)</f>
        <v>0</v>
      </c>
      <c r="BG33" s="93">
        <f>IF(AND($T33=1,BG$5&lt;=$H33),INDEX(Mortality!$B$4:$E$64,MATCH($D33+BG$5-1,Mortality!$A$4:$A$64,0),$U33)*$V33*$N33,0)</f>
        <v>0</v>
      </c>
      <c r="BH33" s="93">
        <f>IF(AND($T33=1,BH$5&lt;=$H33),INDEX(Mortality!$B$4:$E$64,MATCH($D33+BH$5-1,Mortality!$A$4:$A$64,0),$U33)*$V33*$N33,0)</f>
        <v>0</v>
      </c>
      <c r="BI33" s="93">
        <f>IF(AND($T33=1,BI$5&lt;=$H33),INDEX(Mortality!$B$4:$E$64,MATCH($D33+BI$5-1,Mortality!$A$4:$A$64,0),$U33)*$V33*$N33,0)</f>
        <v>0</v>
      </c>
      <c r="BJ33" s="93">
        <f>IF(AND($T33=1,BJ$5&lt;=$H33),INDEX(Mortality!$B$4:$E$64,MATCH($D33+BJ$5-1,Mortality!$A$4:$A$64,0),$U33)*$V33*$N33,0)</f>
        <v>0</v>
      </c>
      <c r="BK33" s="93">
        <f>IF(AND($T33=1,BK$5&lt;=$H33),INDEX(Mortality!$B$4:$E$64,MATCH($D33+BK$5-1,Mortality!$A$4:$A$64,0),$U33)*$V33*$N33,0)</f>
        <v>0</v>
      </c>
      <c r="BL33" s="93">
        <f>IF(AND($T33=1,BL$5&lt;=$H33),INDEX(Mortality!$B$4:$E$64,MATCH($D33+BL$5-1,Mortality!$A$4:$A$64,0),$U33)*$V33*$N33,0)</f>
        <v>0</v>
      </c>
      <c r="BM33" s="93">
        <f>IF(AND($T33=1,BM$5&lt;=$H33),INDEX(Mortality!$B$4:$E$64,MATCH($D33+BM$5-1,Mortality!$A$4:$A$64,0),$U33)*$V33*$N33,0)</f>
        <v>0</v>
      </c>
      <c r="BN33" s="93">
        <f>IF(AND($T33=1,BN$5&lt;=$H33),INDEX(Mortality!$B$4:$E$64,MATCH($D33+BN$5-1,Mortality!$A$4:$A$64,0),$U33)*$V33*$N33,0)</f>
        <v>0</v>
      </c>
      <c r="BO33" s="93">
        <f>IF(AND($T33=1,BO$5&lt;=$H33),INDEX(Mortality!$B$4:$E$64,MATCH($D33+BO$5-1,Mortality!$A$4:$A$64,0),$U33)*$V33*$N33,0)</f>
        <v>0</v>
      </c>
      <c r="BP33" s="93">
        <f>IF(AND($T33=1,BP$5&lt;=$H33),INDEX(Mortality!$B$4:$E$64,MATCH($D33+BP$5-1,Mortality!$A$4:$A$64,0),$U33)*$V33*$N33,0)</f>
        <v>0</v>
      </c>
      <c r="BQ33" s="93">
        <f>IF(AND($T33=1,BQ$5&lt;=$H33),INDEX(Mortality!$B$4:$E$64,MATCH($D33+BQ$5-1,Mortality!$A$4:$A$64,0),$U33)*$V33*$N33,0)</f>
        <v>0</v>
      </c>
      <c r="BR33" s="93">
        <f>IF(AND($T33=1,BR$5&lt;=$H33),INDEX(Mortality!$B$4:$E$64,MATCH($D33+BR$5-1,Mortality!$A$4:$A$64,0),$U33)*$V33*$N33,0)</f>
        <v>0</v>
      </c>
      <c r="BS33" s="93">
        <f>IF(AND($T33=1,BS$5&lt;=$H33),INDEX(Mortality!$B$4:$E$64,MATCH($D33+BS$5-1,Mortality!$A$4:$A$64,0),$U33)*$V33*$N33,0)</f>
        <v>0</v>
      </c>
      <c r="BT33" s="93">
        <f>IF(AND($T33=1,BT$5&lt;=$H33),INDEX(Mortality!$B$4:$E$64,MATCH($D33+BT$5-1,Mortality!$A$4:$A$64,0),$U33)*$V33*$N33,0)</f>
        <v>0</v>
      </c>
      <c r="BU33" s="93">
        <f>IF(AND($T33=1,BU$5&lt;=$H33),INDEX(Mortality!$B$4:$E$64,MATCH($D33+BU$5-1,Mortality!$A$4:$A$64,0),$U33)*$V33*$N33,0)</f>
        <v>0</v>
      </c>
      <c r="BV33" s="93">
        <f>IF(AND($T33=1,BV$5&lt;=$H33),INDEX(Mortality!$B$4:$E$64,MATCH($D33+BV$5-1,Mortality!$A$4:$A$64,0),$U33)*$V33*$N33,0)</f>
        <v>0</v>
      </c>
      <c r="BW33" s="93">
        <f>IF(AND($T33=1,BW$5&lt;=$H33),INDEX(Mortality!$B$4:$E$64,MATCH($D33+BW$5-1,Mortality!$A$4:$A$64,0),$U33)*$V33*$N33,0)</f>
        <v>0</v>
      </c>
      <c r="BX33" s="93">
        <f>IF(AND($T33=1,BX$5&lt;=$H33),INDEX(Mortality!$B$4:$E$64,MATCH($D33+BX$5-1,Mortality!$A$4:$A$64,0),$U33)*$V33*$N33,0)</f>
        <v>0</v>
      </c>
      <c r="BY33" s="93">
        <f>IF(AND($T33=1,BY$5&lt;=$H33),INDEX(Mortality!$B$4:$E$64,MATCH($D33+BY$5-1,Mortality!$A$4:$A$64,0),$U33)*$V33*$N33,0)</f>
        <v>0</v>
      </c>
      <c r="BZ33" s="93">
        <f>IF(AND($T33=1,BZ$5&lt;=$H33),INDEX(Mortality!$B$4:$E$64,MATCH($D33+BZ$5-1,Mortality!$A$4:$A$64,0),$U33)*$V33*$N33,0)</f>
        <v>0</v>
      </c>
      <c r="CA33" s="93">
        <f>IF(AND($T33=1,CA$5&lt;=$H33),INDEX(Mortality!$B$4:$E$64,MATCH($D33+CA$5-1,Mortality!$A$4:$A$64,0),$U33)*$V33*$N33,0)</f>
        <v>0</v>
      </c>
      <c r="CB33" s="93">
        <f>IF(AND($T33=1,CB$5&lt;=$H33),INDEX(Mortality!$B$4:$E$64,MATCH($D33+CB$5-1,Mortality!$A$4:$A$64,0),$U33)*$V33*$N33,0)</f>
        <v>0</v>
      </c>
      <c r="CC33" s="93">
        <f>IF(AND($T33=1,CC$5&lt;=$H33),INDEX(Mortality!$B$4:$E$64,MATCH($D33+CC$5-1,Mortality!$A$4:$A$64,0),$U33)*$V33*$N33,0)</f>
        <v>0</v>
      </c>
      <c r="CD33" s="93">
        <f>IF(AND($T33=1,CD$5&lt;=$H33),INDEX(Mortality!$B$4:$E$64,MATCH($D33+CD$5-1,Mortality!$A$4:$A$64,0),$U33)*$V33*$N33,0)</f>
        <v>0</v>
      </c>
      <c r="CE33" s="93">
        <f>IF(AND($T33=1,CE$5&lt;=$H33),INDEX(Mortality!$B$4:$E$64,MATCH($D33+CE$5-1,Mortality!$A$4:$A$64,0),$U33)*$V33*$N33,0)</f>
        <v>0</v>
      </c>
      <c r="CF33" s="93">
        <f>IF(AND($T33=1,CF$5&lt;=$H33),INDEX(Mortality!$B$4:$E$64,MATCH($D33+CF$5-1,Mortality!$A$4:$A$64,0),$U33)*$V33*$N33,0)</f>
        <v>0</v>
      </c>
      <c r="CG33" s="93">
        <f>IF(AND($T33=1,CG$5&lt;=$H33),INDEX(Mortality!$B$4:$E$64,MATCH($D33+CG$5-1,Mortality!$A$4:$A$64,0),$U33)*$V33*$N33,0)</f>
        <v>0</v>
      </c>
      <c r="CH33" s="94">
        <f>IF(AND($T33=1,CH$5&lt;=$H33),INDEX(Mortality!$B$4:$E$64,MATCH($D33+CH$5-1,Mortality!$A$4:$A$64,0),$U33)*$V33*$N33,0)</f>
        <v>0</v>
      </c>
      <c r="CI33" s="26"/>
      <c r="CJ33" s="419">
        <f t="shared" si="35"/>
        <v>1</v>
      </c>
      <c r="CK33" s="93">
        <f>IF(AND($T33=1,CK$5&lt;=$H33),CJ33*(1-AU33)*(1-MIN(1,MAX(Assumptions!$C$27,Assumptions!$C$13*Assumptions!$C$28^(CJ$5-1))*$O33)),0)</f>
        <v>0.87913634260756457</v>
      </c>
      <c r="CL33" s="93">
        <f>IF(AND($T33=1,CL$5&lt;=$H33),CK33*(1-AV33)*(1-MIN(1,MAX(Assumptions!$C$27,Assumptions!$C$13*Assumptions!$C$28^(CK$5-1))*$O33)),0)</f>
        <v>0.78862510139975361</v>
      </c>
      <c r="CM33" s="93">
        <f>IF(AND($T33=1,CM$5&lt;=$H33),CL33*(1-AW33)*(1-MIN(1,MAX(Assumptions!$C$27,Assumptions!$C$13*Assumptions!$C$28^(CL$5-1))*$O33)),0)</f>
        <v>0.71942177912596494</v>
      </c>
      <c r="CN33" s="93">
        <f>IF(AND($T33=1,CN$5&lt;=$H33),CM33*(1-AX33)*(1-MIN(1,MAX(Assumptions!$C$27,Assumptions!$C$13*Assumptions!$C$28^(CM$5-1))*$O33)),0)</f>
        <v>0.66557255843924756</v>
      </c>
      <c r="CO33" s="93">
        <f>IF(AND($T33=1,CO$5&lt;=$H33),CN33*(1-AY33)*(1-MIN(1,MAX(Assumptions!$C$27,Assumptions!$C$13*Assumptions!$C$28^(CN$5-1))*$O33)),0)</f>
        <v>0.62303738655725571</v>
      </c>
      <c r="CP33" s="93">
        <f>IF(AND($T33=1,CP$5&lt;=$H33),CO33*(1-AZ33)*(1-MIN(1,MAX(Assumptions!$C$27,Assumptions!$C$13*Assumptions!$C$28^(CO$5-1))*$O33)),0)</f>
        <v>0.58900035521583727</v>
      </c>
      <c r="CQ33" s="93">
        <f>IF(AND($T33=1,CQ$5&lt;=$H33),CP33*(1-BA33)*(1-MIN(1,MAX(Assumptions!$C$27,Assumptions!$C$13*Assumptions!$C$28^(CP$5-1))*$O33)),0)</f>
        <v>0.56145149983116016</v>
      </c>
      <c r="CR33" s="93">
        <f>IF(AND($T33=1,CR$5&lt;=$H33),CQ33*(1-BB33)*(1-MIN(1,MAX(Assumptions!$C$27,Assumptions!$C$13*Assumptions!$C$28^(CQ$5-1))*$O33)),0)</f>
        <v>0.53892532748724897</v>
      </c>
      <c r="CS33" s="93">
        <f>IF(AND($T33=1,CS$5&lt;=$H33),CR33*(1-BC33)*(1-MIN(1,MAX(Assumptions!$C$27,Assumptions!$C$13*Assumptions!$C$28^(CR$5-1))*$O33)),0)</f>
        <v>0.52033280090799117</v>
      </c>
      <c r="CT33" s="93">
        <f>IF(AND($T33=1,CT$5&lt;=$H33),CS33*(1-BD33)*(1-MIN(1,MAX(Assumptions!$C$27,Assumptions!$C$13*Assumptions!$C$28^(CS$5-1))*$O33)),0)</f>
        <v>0</v>
      </c>
      <c r="CU33" s="93">
        <f>IF(AND($T33=1,CU$5&lt;=$H33),CT33*(1-BE33)*(1-MIN(1,MAX(Assumptions!$C$27,Assumptions!$C$13*Assumptions!$C$28^(CT$5-1))*$O33)),0)</f>
        <v>0</v>
      </c>
      <c r="CV33" s="93">
        <f>IF(AND($T33=1,CV$5&lt;=$H33),CU33*(1-BF33)*(1-MIN(1,MAX(Assumptions!$C$27,Assumptions!$C$13*Assumptions!$C$28^(CU$5-1))*$O33)),0)</f>
        <v>0</v>
      </c>
      <c r="CW33" s="93">
        <f>IF(AND($T33=1,CW$5&lt;=$H33),CV33*(1-BG33)*(1-MIN(1,MAX(Assumptions!$C$27,Assumptions!$C$13*Assumptions!$C$28^(CV$5-1))*$O33)),0)</f>
        <v>0</v>
      </c>
      <c r="CX33" s="93">
        <f>IF(AND($T33=1,CX$5&lt;=$H33),CW33*(1-BH33)*(1-MIN(1,MAX(Assumptions!$C$27,Assumptions!$C$13*Assumptions!$C$28^(CW$5-1))*$O33)),0)</f>
        <v>0</v>
      </c>
      <c r="CY33" s="93">
        <f>IF(AND($T33=1,CY$5&lt;=$H33),CX33*(1-BI33)*(1-MIN(1,MAX(Assumptions!$C$27,Assumptions!$C$13*Assumptions!$C$28^(CX$5-1))*$O33)),0)</f>
        <v>0</v>
      </c>
      <c r="CZ33" s="93">
        <f>IF(AND($T33=1,CZ$5&lt;=$H33),CY33*(1-BJ33)*(1-MIN(1,MAX(Assumptions!$C$27,Assumptions!$C$13*Assumptions!$C$28^(CY$5-1))*$O33)),0)</f>
        <v>0</v>
      </c>
      <c r="DA33" s="93">
        <f>IF(AND($T33=1,DA$5&lt;=$H33),CZ33*(1-BK33)*(1-MIN(1,MAX(Assumptions!$C$27,Assumptions!$C$13*Assumptions!$C$28^(CZ$5-1))*$O33)),0)</f>
        <v>0</v>
      </c>
      <c r="DB33" s="93">
        <f>IF(AND($T33=1,DB$5&lt;=$H33),DA33*(1-BL33)*(1-MIN(1,MAX(Assumptions!$C$27,Assumptions!$C$13*Assumptions!$C$28^(DA$5-1))*$O33)),0)</f>
        <v>0</v>
      </c>
      <c r="DC33" s="93">
        <f>IF(AND($T33=1,DC$5&lt;=$H33),DB33*(1-BM33)*(1-MIN(1,MAX(Assumptions!$C$27,Assumptions!$C$13*Assumptions!$C$28^(DB$5-1))*$O33)),0)</f>
        <v>0</v>
      </c>
      <c r="DD33" s="93">
        <f>IF(AND($T33=1,DD$5&lt;=$H33),DC33*(1-BN33)*(1-MIN(1,MAX(Assumptions!$C$27,Assumptions!$C$13*Assumptions!$C$28^(DC$5-1))*$O33)),0)</f>
        <v>0</v>
      </c>
      <c r="DE33" s="93">
        <f>IF(AND($T33=1,DE$5&lt;=$H33),DD33*(1-BO33)*(1-MIN(1,MAX(Assumptions!$C$27,Assumptions!$C$13*Assumptions!$C$28^(DD$5-1))*$O33)),0)</f>
        <v>0</v>
      </c>
      <c r="DF33" s="93">
        <f>IF(AND($T33=1,DF$5&lt;=$H33),DE33*(1-BP33)*(1-MIN(1,MAX(Assumptions!$C$27,Assumptions!$C$13*Assumptions!$C$28^(DE$5-1))*$O33)),0)</f>
        <v>0</v>
      </c>
      <c r="DG33" s="93">
        <f>IF(AND($T33=1,DG$5&lt;=$H33),DF33*(1-BQ33)*(1-MIN(1,MAX(Assumptions!$C$27,Assumptions!$C$13*Assumptions!$C$28^(DF$5-1))*$O33)),0)</f>
        <v>0</v>
      </c>
      <c r="DH33" s="93">
        <f>IF(AND($T33=1,DH$5&lt;=$H33),DG33*(1-BR33)*(1-MIN(1,MAX(Assumptions!$C$27,Assumptions!$C$13*Assumptions!$C$28^(DG$5-1))*$O33)),0)</f>
        <v>0</v>
      </c>
      <c r="DI33" s="93">
        <f>IF(AND($T33=1,DI$5&lt;=$H33),DH33*(1-BS33)*(1-MIN(1,MAX(Assumptions!$C$27,Assumptions!$C$13*Assumptions!$C$28^(DH$5-1))*$O33)),0)</f>
        <v>0</v>
      </c>
      <c r="DJ33" s="93">
        <f>IF(AND($T33=1,DJ$5&lt;=$H33),DI33*(1-BT33)*(1-MIN(1,MAX(Assumptions!$C$27,Assumptions!$C$13*Assumptions!$C$28^(DI$5-1))*$O33)),0)</f>
        <v>0</v>
      </c>
      <c r="DK33" s="93">
        <f>IF(AND($T33=1,DK$5&lt;=$H33),DJ33*(1-BU33)*(1-MIN(1,MAX(Assumptions!$C$27,Assumptions!$C$13*Assumptions!$C$28^(DJ$5-1))*$O33)),0)</f>
        <v>0</v>
      </c>
      <c r="DL33" s="93">
        <f>IF(AND($T33=1,DL$5&lt;=$H33),DK33*(1-BV33)*(1-MIN(1,MAX(Assumptions!$C$27,Assumptions!$C$13*Assumptions!$C$28^(DK$5-1))*$O33)),0)</f>
        <v>0</v>
      </c>
      <c r="DM33" s="93">
        <f>IF(AND($T33=1,DM$5&lt;=$H33),DL33*(1-BW33)*(1-MIN(1,MAX(Assumptions!$C$27,Assumptions!$C$13*Assumptions!$C$28^(DL$5-1))*$O33)),0)</f>
        <v>0</v>
      </c>
      <c r="DN33" s="93">
        <f>IF(AND($T33=1,DN$5&lt;=$H33),DM33*(1-BX33)*(1-MIN(1,MAX(Assumptions!$C$27,Assumptions!$C$13*Assumptions!$C$28^(DM$5-1))*$O33)),0)</f>
        <v>0</v>
      </c>
      <c r="DO33" s="93">
        <f>IF(AND($T33=1,DO$5&lt;=$H33),DN33*(1-BY33)*(1-MIN(1,MAX(Assumptions!$C$27,Assumptions!$C$13*Assumptions!$C$28^(DN$5-1))*$O33)),0)</f>
        <v>0</v>
      </c>
      <c r="DP33" s="93">
        <f>IF(AND($T33=1,DP$5&lt;=$H33),DO33*(1-BZ33)*(1-MIN(1,MAX(Assumptions!$C$27,Assumptions!$C$13*Assumptions!$C$28^(DO$5-1))*$O33)),0)</f>
        <v>0</v>
      </c>
      <c r="DQ33" s="93">
        <f>IF(AND($T33=1,DQ$5&lt;=$H33),DP33*(1-CA33)*(1-MIN(1,MAX(Assumptions!$C$27,Assumptions!$C$13*Assumptions!$C$28^(DP$5-1))*$O33)),0)</f>
        <v>0</v>
      </c>
      <c r="DR33" s="93">
        <f>IF(AND($T33=1,DR$5&lt;=$H33),DQ33*(1-CB33)*(1-MIN(1,MAX(Assumptions!$C$27,Assumptions!$C$13*Assumptions!$C$28^(DQ$5-1))*$O33)),0)</f>
        <v>0</v>
      </c>
      <c r="DS33" s="93">
        <f>IF(AND($T33=1,DS$5&lt;=$H33),DR33*(1-CC33)*(1-MIN(1,MAX(Assumptions!$C$27,Assumptions!$C$13*Assumptions!$C$28^(DR$5-1))*$O33)),0)</f>
        <v>0</v>
      </c>
      <c r="DT33" s="93">
        <f>IF(AND($T33=1,DT$5&lt;=$H33),DS33*(1-CD33)*(1-MIN(1,MAX(Assumptions!$C$27,Assumptions!$C$13*Assumptions!$C$28^(DS$5-1))*$O33)),0)</f>
        <v>0</v>
      </c>
      <c r="DU33" s="93">
        <f>IF(AND($T33=1,DU$5&lt;=$H33),DT33*(1-CE33)*(1-MIN(1,MAX(Assumptions!$C$27,Assumptions!$C$13*Assumptions!$C$28^(DT$5-1))*$O33)),0)</f>
        <v>0</v>
      </c>
      <c r="DV33" s="93">
        <f>IF(AND($T33=1,DV$5&lt;=$H33),DU33*(1-CF33)*(1-MIN(1,MAX(Assumptions!$C$27,Assumptions!$C$13*Assumptions!$C$28^(DU$5-1))*$O33)),0)</f>
        <v>0</v>
      </c>
      <c r="DW33" s="94">
        <f>IF(AND($T33=1,DW$5&lt;=$H33),DV33*(1-CG33)*(1-MIN(1,MAX(Assumptions!$C$27,Assumptions!$C$13*Assumptions!$C$28^(DV$5-1))*$O33)),0)</f>
        <v>0</v>
      </c>
      <c r="DX33" s="26"/>
      <c r="DY33" s="399">
        <f>'Policy Data'!K7</f>
        <v>5</v>
      </c>
      <c r="DZ33" s="100">
        <f>'Policy Data'!L7</f>
        <v>0.51739999999999997</v>
      </c>
      <c r="EA33" s="100">
        <f>'Policy Data'!N7</f>
        <v>5.0799999999999999E-4</v>
      </c>
      <c r="EB33" s="93" cm="1">
        <f t="array" ref="EB33">IFERROR(DZ33*INDEX(Mortality!$B$4:$E$64,MATCH(D33+DY33-1,Mortality!$A$4:$A$64,0),U33)*V33,0)</f>
        <v>6.992934833931684E-4</v>
      </c>
      <c r="EC33" s="100">
        <f>'Policy Data'!O7</f>
        <v>0</v>
      </c>
      <c r="ED33" s="400">
        <f>'Policy Data'!Q7</f>
        <v>0</v>
      </c>
    </row>
    <row r="34" spans="1:134" x14ac:dyDescent="0.3">
      <c r="A34" s="399" t="str">
        <f>'Policy Data'!A8</f>
        <v>POL100004</v>
      </c>
      <c r="B34" s="26" t="s">
        <v>426</v>
      </c>
      <c r="C34" s="100" t="str">
        <f>'Policy Data'!B8</f>
        <v>Term Life</v>
      </c>
      <c r="D34" s="100">
        <f>'Policy Data'!C8</f>
        <v>50</v>
      </c>
      <c r="E34" s="100" t="str">
        <f>'Policy Data'!D8</f>
        <v>Male</v>
      </c>
      <c r="F34" s="100" t="str">
        <f>'Policy Data'!E8</f>
        <v>Non-smoker</v>
      </c>
      <c r="G34" s="100" t="str">
        <f>'Policy Data'!F8</f>
        <v>Standard</v>
      </c>
      <c r="H34" s="100">
        <f>'Policy Data'!G8</f>
        <v>20</v>
      </c>
      <c r="I34" s="279">
        <f>'Policy Data'!H8</f>
        <v>1000000</v>
      </c>
      <c r="J34" s="100" t="str">
        <f>'Policy Data'!I8</f>
        <v>Annual</v>
      </c>
      <c r="K34" s="100" t="str">
        <f>'Policy Data'!J8</f>
        <v>Broker</v>
      </c>
      <c r="L34" s="26" t="s">
        <v>389</v>
      </c>
      <c r="M34" s="106">
        <f>'Policy Data'!R8</f>
        <v>4054.57</v>
      </c>
      <c r="N34" s="415">
        <f>Assumptions!$C$21</f>
        <v>1</v>
      </c>
      <c r="O34" s="415">
        <f>Assumptions!$C$22</f>
        <v>1</v>
      </c>
      <c r="P34" s="415">
        <f>Assumptions!$C$23</f>
        <v>1</v>
      </c>
      <c r="Q34" s="416">
        <f>Assumptions!$C$24</f>
        <v>0</v>
      </c>
      <c r="R34" s="416">
        <f>Assumptions!$C$6+Assumptions!$C$25</f>
        <v>3.5000000000000003E-2</v>
      </c>
      <c r="S34" s="416">
        <f>Assumptions!$C$15</f>
        <v>1.1000000000000001E-3</v>
      </c>
      <c r="T34" s="26">
        <f t="shared" si="18"/>
        <v>1</v>
      </c>
      <c r="U34" s="26">
        <f t="shared" si="19"/>
        <v>3</v>
      </c>
      <c r="V34" s="389">
        <f>IF($G34="Preferred",Assumptions!$C$30,IF($G34="Rated",Assumptions!$C$31,1))</f>
        <v>1</v>
      </c>
      <c r="W34" s="390">
        <f>IF($K34="Direct",Assumptions!$C$32,IF($K34="Broker",Assumptions!$C$33,IF($K34="Bancassurance",Assumptions!$C$34,Assumptions!$C$11)))+$Q34</f>
        <v>0.25</v>
      </c>
      <c r="X34" s="390">
        <f>Assumptions!$C$12+$Q34</f>
        <v>0.05</v>
      </c>
      <c r="Y34" s="131">
        <f>MIN($I34,Assumptions!$C$14)</f>
        <v>500000</v>
      </c>
      <c r="Z34" s="131">
        <f>MAX($I34-Assumptions!$C$14,0)</f>
        <v>500000</v>
      </c>
      <c r="AA34" s="389">
        <f t="shared" si="20"/>
        <v>8.3957956542139058</v>
      </c>
      <c r="AB34" s="389">
        <f t="shared" si="21"/>
        <v>4.1244646997711645E-2</v>
      </c>
      <c r="AC34" s="389">
        <f>IF($T34=1,SUMPRODUCT($CJ34:$DW34,(1+Assumptions!$C$5)^($CJ$5:$DW$5-1),(1+$R34)^(-$CJ$5:$DW$5)),0)</f>
        <v>11.239463221409617</v>
      </c>
      <c r="AD34" s="389">
        <f t="shared" si="22"/>
        <v>0.61302649768654072</v>
      </c>
      <c r="AE34" s="131">
        <f>IF($T34=1,$AB34*$Y34+(Assumptions!$C$9/(1+$R34)+Assumptions!$C$10*$AC34)*$P34+$S34*$Z34*$AA34,0)</f>
        <v>28582.25823477489</v>
      </c>
      <c r="AF34" s="131">
        <f>IF($T34=1,IF($AA34-$AD34-Assumptions!$C$16*$AA34&gt;0,$AE34/($AA34-$AD34-Assumptions!$C$16*$AA34)*IF($J34="Monthly",1+Assumptions!$C$29,1),"n.a."),"")</f>
        <v>4019.3832334413628</v>
      </c>
      <c r="AG34" s="131">
        <f t="shared" si="23"/>
        <v>4054.57</v>
      </c>
      <c r="AH34" s="131">
        <f t="shared" si="24"/>
        <v>34041.341185706078</v>
      </c>
      <c r="AI34" s="131">
        <f t="shared" si="25"/>
        <v>2973.5241042062698</v>
      </c>
      <c r="AJ34" s="390">
        <f t="shared" si="26"/>
        <v>8.7350380467819205E-2</v>
      </c>
      <c r="AK34" s="389">
        <f t="shared" si="27"/>
        <v>1.0087542701243024</v>
      </c>
      <c r="AL34" s="131">
        <f t="shared" si="28"/>
        <v>20622.323498855822</v>
      </c>
      <c r="AM34" s="131">
        <f t="shared" si="29"/>
        <v>4617.6876098176481</v>
      </c>
      <c r="AN34" s="131">
        <f t="shared" si="30"/>
        <v>16004.635889038174</v>
      </c>
      <c r="AO34" s="131">
        <f t="shared" si="31"/>
        <v>-13031.111784831905</v>
      </c>
      <c r="AP34" s="26" t="str">
        <f t="shared" si="32"/>
        <v>50-59</v>
      </c>
      <c r="AQ34" s="26" t="str">
        <f t="shared" si="33"/>
        <v>500k-1m</v>
      </c>
      <c r="AR34" s="26" t="str">
        <f>IF($T34=1,IF($AI34&lt;0,"Loss-making",IF($AJ34&lt;Assumptions!$C$16-0.00001,"Below target","At/above target")),"Excluded")</f>
        <v>At/above target</v>
      </c>
      <c r="AS34" s="103">
        <f t="shared" si="34"/>
        <v>2973.52413820627</v>
      </c>
      <c r="AT34" s="26"/>
      <c r="AU34" s="419">
        <f>IF(AND($T34=1,AU$5&lt;=$H34),INDEX(Mortality!$B$4:$E$64,MATCH($D34+AU$5-1,Mortality!$A$4:$A$64,0),$U34)*$V34*$N34,0)</f>
        <v>2.5631942796244698E-3</v>
      </c>
      <c r="AV34" s="93">
        <f>IF(AND($T34=1,AV$5&lt;=$H34),INDEX(Mortality!$B$4:$E$64,MATCH($D34+AV$5-1,Mortality!$A$4:$A$64,0),$U34)*$V34*$N34,0)</f>
        <v>2.7766752150556202E-3</v>
      </c>
      <c r="AW34" s="93">
        <f>IF(AND($T34=1,AW$5&lt;=$H34),INDEX(Mortality!$B$4:$E$64,MATCH($D34+AW$5-1,Mortality!$A$4:$A$64,0),$U34)*$V34*$N34,0)</f>
        <v>3.0079363516033399E-3</v>
      </c>
      <c r="AX34" s="93">
        <f>IF(AND($T34=1,AX$5&lt;=$H34),INDEX(Mortality!$B$4:$E$64,MATCH($D34+AX$5-1,Mortality!$A$4:$A$64,0),$U34)*$V34*$N34,0)</f>
        <v>3.2584585500813001E-3</v>
      </c>
      <c r="AY34" s="93">
        <f>IF(AND($T34=1,AY$5&lt;=$H34),INDEX(Mortality!$B$4:$E$64,MATCH($D34+AY$5-1,Mortality!$A$4:$A$64,0),$U34)*$V34*$N34,0)</f>
        <v>3.5298460078579601E-3</v>
      </c>
      <c r="AZ34" s="93">
        <f>IF(AND($T34=1,AZ$5&lt;=$H34),INDEX(Mortality!$B$4:$E$64,MATCH($D34+AZ$5-1,Mortality!$A$4:$A$64,0),$U34)*$V34*$N34,0)</f>
        <v>3.8238365311966099E-3</v>
      </c>
      <c r="BA34" s="93">
        <f>IF(AND($T34=1,BA$5&lt;=$H34),INDEX(Mortality!$B$4:$E$64,MATCH($D34+BA$5-1,Mortality!$A$4:$A$64,0),$U34)*$V34*$N34,0)</f>
        <v>4.1423126631483596E-3</v>
      </c>
      <c r="BB34" s="93">
        <f>IF(AND($T34=1,BB$5&lt;=$H34),INDEX(Mortality!$B$4:$E$64,MATCH($D34+BB$5-1,Mortality!$A$4:$A$64,0),$U34)*$V34*$N34,0)</f>
        <v>4.4873137382548398E-3</v>
      </c>
      <c r="BC34" s="93">
        <f>IF(AND($T34=1,BC$5&lt;=$H34),INDEX(Mortality!$B$4:$E$64,MATCH($D34+BC$5-1,Mortality!$A$4:$A$64,0),$U34)*$V34*$N34,0)</f>
        <v>4.8610489412516398E-3</v>
      </c>
      <c r="BD34" s="93">
        <f>IF(AND($T34=1,BD$5&lt;=$H34),INDEX(Mortality!$B$4:$E$64,MATCH($D34+BD$5-1,Mortality!$A$4:$A$64,0),$U34)*$V34*$N34,0)</f>
        <v>5.2659114533929498E-3</v>
      </c>
      <c r="BE34" s="93">
        <f>IF(AND($T34=1,BE$5&lt;=$H34),INDEX(Mortality!$B$4:$E$64,MATCH($D34+BE$5-1,Mortality!$A$4:$A$64,0),$U34)*$V34*$N34,0)</f>
        <v>5.7044937769820296E-3</v>
      </c>
      <c r="BF34" s="93">
        <f>IF(AND($T34=1,BF$5&lt;=$H34),INDEX(Mortality!$B$4:$E$64,MATCH($D34+BF$5-1,Mortality!$A$4:$A$64,0),$U34)*$V34*$N34,0)</f>
        <v>6.1796043362369098E-3</v>
      </c>
      <c r="BG34" s="93">
        <f>IF(AND($T34=1,BG$5&lt;=$H34),INDEX(Mortality!$B$4:$E$64,MATCH($D34+BG$5-1,Mortality!$A$4:$A$64,0),$U34)*$V34*$N34,0)</f>
        <v>6.6942854607935399E-3</v>
      </c>
      <c r="BH34" s="93">
        <f>IF(AND($T34=1,BH$5&lt;=$H34),INDEX(Mortality!$B$4:$E$64,MATCH($D34+BH$5-1,Mortality!$A$4:$A$64,0),$U34)*$V34*$N34,0)</f>
        <v>7.2518328670021504E-3</v>
      </c>
      <c r="BI34" s="93">
        <f>IF(AND($T34=1,BI$5&lt;=$H34),INDEX(Mortality!$B$4:$E$64,MATCH($D34+BI$5-1,Mortality!$A$4:$A$64,0),$U34)*$V34*$N34,0)</f>
        <v>7.8558167617636399E-3</v>
      </c>
      <c r="BJ34" s="93">
        <f>IF(AND($T34=1,BJ$5&lt;=$H34),INDEX(Mortality!$B$4:$E$64,MATCH($D34+BJ$5-1,Mortality!$A$4:$A$64,0),$U34)*$V34*$N34,0)</f>
        <v>8.5101047040427192E-3</v>
      </c>
      <c r="BK34" s="93">
        <f>IF(AND($T34=1,BK$5&lt;=$H34),INDEX(Mortality!$B$4:$E$64,MATCH($D34+BK$5-1,Mortality!$A$4:$A$64,0),$U34)*$V34*$N34,0)</f>
        <v>9.2188863704493092E-3</v>
      </c>
      <c r="BL34" s="93">
        <f>IF(AND($T34=1,BL$5&lt;=$H34),INDEX(Mortality!$B$4:$E$64,MATCH($D34+BL$5-1,Mortality!$A$4:$A$64,0),$U34)*$V34*$N34,0)</f>
        <v>9.9867003834726801E-3</v>
      </c>
      <c r="BM34" s="93">
        <f>IF(AND($T34=1,BM$5&lt;=$H34),INDEX(Mortality!$B$4:$E$64,MATCH($D34+BM$5-1,Mortality!$A$4:$A$64,0),$U34)*$V34*$N34,0)</f>
        <v>1.08184633741605E-2</v>
      </c>
      <c r="BN34" s="93">
        <f>IF(AND($T34=1,BN$5&lt;=$H34),INDEX(Mortality!$B$4:$E$64,MATCH($D34+BN$5-1,Mortality!$A$4:$A$64,0),$U34)*$V34*$N34,0)</f>
        <v>1.1719501465343301E-2</v>
      </c>
      <c r="BO34" s="93">
        <f>IF(AND($T34=1,BO$5&lt;=$H34),INDEX(Mortality!$B$4:$E$64,MATCH($D34+BO$5-1,Mortality!$A$4:$A$64,0),$U34)*$V34*$N34,0)</f>
        <v>0</v>
      </c>
      <c r="BP34" s="93">
        <f>IF(AND($T34=1,BP$5&lt;=$H34),INDEX(Mortality!$B$4:$E$64,MATCH($D34+BP$5-1,Mortality!$A$4:$A$64,0),$U34)*$V34*$N34,0)</f>
        <v>0</v>
      </c>
      <c r="BQ34" s="93">
        <f>IF(AND($T34=1,BQ$5&lt;=$H34),INDEX(Mortality!$B$4:$E$64,MATCH($D34+BQ$5-1,Mortality!$A$4:$A$64,0),$U34)*$V34*$N34,0)</f>
        <v>0</v>
      </c>
      <c r="BR34" s="93">
        <f>IF(AND($T34=1,BR$5&lt;=$H34),INDEX(Mortality!$B$4:$E$64,MATCH($D34+BR$5-1,Mortality!$A$4:$A$64,0),$U34)*$V34*$N34,0)</f>
        <v>0</v>
      </c>
      <c r="BS34" s="93">
        <f>IF(AND($T34=1,BS$5&lt;=$H34),INDEX(Mortality!$B$4:$E$64,MATCH($D34+BS$5-1,Mortality!$A$4:$A$64,0),$U34)*$V34*$N34,0)</f>
        <v>0</v>
      </c>
      <c r="BT34" s="93">
        <f>IF(AND($T34=1,BT$5&lt;=$H34),INDEX(Mortality!$B$4:$E$64,MATCH($D34+BT$5-1,Mortality!$A$4:$A$64,0),$U34)*$V34*$N34,0)</f>
        <v>0</v>
      </c>
      <c r="BU34" s="93">
        <f>IF(AND($T34=1,BU$5&lt;=$H34),INDEX(Mortality!$B$4:$E$64,MATCH($D34+BU$5-1,Mortality!$A$4:$A$64,0),$U34)*$V34*$N34,0)</f>
        <v>0</v>
      </c>
      <c r="BV34" s="93">
        <f>IF(AND($T34=1,BV$5&lt;=$H34),INDEX(Mortality!$B$4:$E$64,MATCH($D34+BV$5-1,Mortality!$A$4:$A$64,0),$U34)*$V34*$N34,0)</f>
        <v>0</v>
      </c>
      <c r="BW34" s="93">
        <f>IF(AND($T34=1,BW$5&lt;=$H34),INDEX(Mortality!$B$4:$E$64,MATCH($D34+BW$5-1,Mortality!$A$4:$A$64,0),$U34)*$V34*$N34,0)</f>
        <v>0</v>
      </c>
      <c r="BX34" s="93">
        <f>IF(AND($T34=1,BX$5&lt;=$H34),INDEX(Mortality!$B$4:$E$64,MATCH($D34+BX$5-1,Mortality!$A$4:$A$64,0),$U34)*$V34*$N34,0)</f>
        <v>0</v>
      </c>
      <c r="BY34" s="93">
        <f>IF(AND($T34=1,BY$5&lt;=$H34),INDEX(Mortality!$B$4:$E$64,MATCH($D34+BY$5-1,Mortality!$A$4:$A$64,0),$U34)*$V34*$N34,0)</f>
        <v>0</v>
      </c>
      <c r="BZ34" s="93">
        <f>IF(AND($T34=1,BZ$5&lt;=$H34),INDEX(Mortality!$B$4:$E$64,MATCH($D34+BZ$5-1,Mortality!$A$4:$A$64,0),$U34)*$V34*$N34,0)</f>
        <v>0</v>
      </c>
      <c r="CA34" s="93">
        <f>IF(AND($T34=1,CA$5&lt;=$H34),INDEX(Mortality!$B$4:$E$64,MATCH($D34+CA$5-1,Mortality!$A$4:$A$64,0),$U34)*$V34*$N34,0)</f>
        <v>0</v>
      </c>
      <c r="CB34" s="93">
        <f>IF(AND($T34=1,CB$5&lt;=$H34),INDEX(Mortality!$B$4:$E$64,MATCH($D34+CB$5-1,Mortality!$A$4:$A$64,0),$U34)*$V34*$N34,0)</f>
        <v>0</v>
      </c>
      <c r="CC34" s="93">
        <f>IF(AND($T34=1,CC$5&lt;=$H34),INDEX(Mortality!$B$4:$E$64,MATCH($D34+CC$5-1,Mortality!$A$4:$A$64,0),$U34)*$V34*$N34,0)</f>
        <v>0</v>
      </c>
      <c r="CD34" s="93">
        <f>IF(AND($T34=1,CD$5&lt;=$H34),INDEX(Mortality!$B$4:$E$64,MATCH($D34+CD$5-1,Mortality!$A$4:$A$64,0),$U34)*$V34*$N34,0)</f>
        <v>0</v>
      </c>
      <c r="CE34" s="93">
        <f>IF(AND($T34=1,CE$5&lt;=$H34),INDEX(Mortality!$B$4:$E$64,MATCH($D34+CE$5-1,Mortality!$A$4:$A$64,0),$U34)*$V34*$N34,0)</f>
        <v>0</v>
      </c>
      <c r="CF34" s="93">
        <f>IF(AND($T34=1,CF$5&lt;=$H34),INDEX(Mortality!$B$4:$E$64,MATCH($D34+CF$5-1,Mortality!$A$4:$A$64,0),$U34)*$V34*$N34,0)</f>
        <v>0</v>
      </c>
      <c r="CG34" s="93">
        <f>IF(AND($T34=1,CG$5&lt;=$H34),INDEX(Mortality!$B$4:$E$64,MATCH($D34+CG$5-1,Mortality!$A$4:$A$64,0),$U34)*$V34*$N34,0)</f>
        <v>0</v>
      </c>
      <c r="CH34" s="94">
        <f>IF(AND($T34=1,CH$5&lt;=$H34),INDEX(Mortality!$B$4:$E$64,MATCH($D34+CH$5-1,Mortality!$A$4:$A$64,0),$U34)*$V34*$N34,0)</f>
        <v>0</v>
      </c>
      <c r="CI34" s="26"/>
      <c r="CJ34" s="419">
        <f t="shared" si="35"/>
        <v>1</v>
      </c>
      <c r="CK34" s="93">
        <f>IF(AND($T34=1,CK$5&lt;=$H34),CJ34*(1-AU34)*(1-MIN(1,MAX(Assumptions!$C$27,Assumptions!$C$13*Assumptions!$C$28^(CJ$5-1))*$O34)),0)</f>
        <v>0.87774438903393048</v>
      </c>
      <c r="CL34" s="93">
        <f>IF(AND($T34=1,CL$5&lt;=$H34),CK34*(1-AV34)*(1-MIN(1,MAX(Assumptions!$C$27,Assumptions!$C$13*Assumptions!$C$28^(CK$5-1))*$O34)),0)</f>
        <v>0.78602584579348378</v>
      </c>
      <c r="CM34" s="93">
        <f>IF(AND($T34=1,CM$5&lt;=$H34),CL34*(1-AW34)*(1-MIN(1,MAX(Assumptions!$C$27,Assumptions!$C$13*Assumptions!$C$28^(CL$5-1))*$O34)),0)</f>
        <v>0.71571807542080534</v>
      </c>
      <c r="CN34" s="93">
        <f>IF(AND($T34=1,CN$5&lt;=$H34),CM34*(1-AX34)*(1-MIN(1,MAX(Assumptions!$C$27,Assumptions!$C$13*Assumptions!$C$28^(CM$5-1))*$O34)),0)</f>
        <v>0.66081296105686371</v>
      </c>
      <c r="CO34" s="93">
        <f>IF(AND($T34=1,CO$5&lt;=$H34),CN34*(1-AY34)*(1-MIN(1,MAX(Assumptions!$C$27,Assumptions!$C$13*Assumptions!$C$28^(CN$5-1))*$O34)),0)</f>
        <v>0.61723268738249149</v>
      </c>
      <c r="CP34" s="93">
        <f>IF(AND($T34=1,CP$5&lt;=$H34),CO34*(1-AZ34)*(1-MIN(1,MAX(Assumptions!$C$27,Assumptions!$C$13*Assumptions!$C$28^(CO$5-1))*$O34)),0)</f>
        <v>0.58213382761967469</v>
      </c>
      <c r="CQ34" s="93">
        <f>IF(AND($T34=1,CQ$5&lt;=$H34),CP34*(1-BA34)*(1-MIN(1,MAX(Assumptions!$C$27,Assumptions!$C$13*Assumptions!$C$28^(CP$5-1))*$O34)),0)</f>
        <v>0.55348540247061961</v>
      </c>
      <c r="CR34" s="93">
        <f>IF(AND($T34=1,CR$5&lt;=$H34),CQ34*(1-BB34)*(1-MIN(1,MAX(Assumptions!$C$27,Assumptions!$C$13*Assumptions!$C$28^(CQ$5-1))*$O34)),0)</f>
        <v>0.52980511581345469</v>
      </c>
      <c r="CS34" s="93">
        <f>IF(AND($T34=1,CS$5&lt;=$H34),CR34*(1-BC34)*(1-MIN(1,MAX(Assumptions!$C$27,Assumptions!$C$13*Assumptions!$C$28^(CR$5-1))*$O34)),0)</f>
        <v>0.50998989524789728</v>
      </c>
      <c r="CT34" s="93">
        <f>IF(AND($T34=1,CT$5&lt;=$H34),CS34*(1-BD34)*(1-MIN(1,MAX(Assumptions!$C$27,Assumptions!$C$13*Assumptions!$C$28^(CS$5-1))*$O34)),0)</f>
        <v>0.49320429994675308</v>
      </c>
      <c r="CU34" s="93">
        <f>IF(AND($T34=1,CU$5&lt;=$H34),CT34*(1-BE34)*(1-MIN(1,MAX(Assumptions!$C$27,Assumptions!$C$13*Assumptions!$C$28^(CT$5-1))*$O34)),0)</f>
        <v>0.47880537103869836</v>
      </c>
      <c r="CV34" s="93">
        <f>IF(AND($T34=1,CV$5&lt;=$H34),CU34*(1-BF34)*(1-MIN(1,MAX(Assumptions!$C$27,Assumptions!$C$13*Assumptions!$C$28^(CU$5-1))*$O34)),0)</f>
        <v>0.46629097880526504</v>
      </c>
      <c r="CW34" s="93">
        <f>IF(AND($T34=1,CW$5&lt;=$H34),CV34*(1-BG34)*(1-MIN(1,MAX(Assumptions!$C$27,Assumptions!$C$13*Assumptions!$C$28^(CV$5-1))*$O34)),0)</f>
        <v>0.45390610400764275</v>
      </c>
      <c r="CX34" s="93">
        <f>IF(AND($T34=1,CX$5&lt;=$H34),CW34*(1-BH34)*(1-MIN(1,MAX(Assumptions!$C$27,Assumptions!$C$13*Assumptions!$C$28^(CW$5-1))*$O34)),0)</f>
        <v>0.44160216374798589</v>
      </c>
      <c r="CY34" s="93">
        <f>IF(AND($T34=1,CY$5&lt;=$H34),CX34*(1-BI34)*(1-MIN(1,MAX(Assumptions!$C$27,Assumptions!$C$13*Assumptions!$C$28^(CX$5-1))*$O34)),0)</f>
        <v>0.42937035770662368</v>
      </c>
      <c r="CZ34" s="93">
        <f>IF(AND($T34=1,CZ$5&lt;=$H34),CY34*(1-BJ34)*(1-MIN(1,MAX(Assumptions!$C$27,Assumptions!$C$13*Assumptions!$C$28^(CY$5-1))*$O34)),0)</f>
        <v>0.41720204358561352</v>
      </c>
      <c r="DA34" s="93">
        <f>IF(AND($T34=1,DA$5&lt;=$H34),CZ34*(1-BK34)*(1-MIN(1,MAX(Assumptions!$C$27,Assumptions!$C$13*Assumptions!$C$28^(CZ$5-1))*$O34)),0)</f>
        <v>0.40508878724523295</v>
      </c>
      <c r="DB34" s="93">
        <f>IF(AND($T34=1,DB$5&lt;=$H34),DA34*(1-BL34)*(1-MIN(1,MAX(Assumptions!$C$27,Assumptions!$C$13*Assumptions!$C$28^(DA$5-1))*$O34)),0)</f>
        <v>0.39302242116034425</v>
      </c>
      <c r="DC34" s="93">
        <f>IF(AND($T34=1,DC$5&lt;=$H34),DB34*(1-BM34)*(1-MIN(1,MAX(Assumptions!$C$27,Assumptions!$C$13*Assumptions!$C$28^(DB$5-1))*$O34)),0)</f>
        <v>0.38099511204196124</v>
      </c>
      <c r="DD34" s="93">
        <f>IF(AND($T34=1,DD$5&lt;=$H34),DC34*(1-BN34)*(1-MIN(1,MAX(Assumptions!$C$27,Assumptions!$C$13*Assumptions!$C$28^(DC$5-1))*$O34)),0)</f>
        <v>0</v>
      </c>
      <c r="DE34" s="93">
        <f>IF(AND($T34=1,DE$5&lt;=$H34),DD34*(1-BO34)*(1-MIN(1,MAX(Assumptions!$C$27,Assumptions!$C$13*Assumptions!$C$28^(DD$5-1))*$O34)),0)</f>
        <v>0</v>
      </c>
      <c r="DF34" s="93">
        <f>IF(AND($T34=1,DF$5&lt;=$H34),DE34*(1-BP34)*(1-MIN(1,MAX(Assumptions!$C$27,Assumptions!$C$13*Assumptions!$C$28^(DE$5-1))*$O34)),0)</f>
        <v>0</v>
      </c>
      <c r="DG34" s="93">
        <f>IF(AND($T34=1,DG$5&lt;=$H34),DF34*(1-BQ34)*(1-MIN(1,MAX(Assumptions!$C$27,Assumptions!$C$13*Assumptions!$C$28^(DF$5-1))*$O34)),0)</f>
        <v>0</v>
      </c>
      <c r="DH34" s="93">
        <f>IF(AND($T34=1,DH$5&lt;=$H34),DG34*(1-BR34)*(1-MIN(1,MAX(Assumptions!$C$27,Assumptions!$C$13*Assumptions!$C$28^(DG$5-1))*$O34)),0)</f>
        <v>0</v>
      </c>
      <c r="DI34" s="93">
        <f>IF(AND($T34=1,DI$5&lt;=$H34),DH34*(1-BS34)*(1-MIN(1,MAX(Assumptions!$C$27,Assumptions!$C$13*Assumptions!$C$28^(DH$5-1))*$O34)),0)</f>
        <v>0</v>
      </c>
      <c r="DJ34" s="93">
        <f>IF(AND($T34=1,DJ$5&lt;=$H34),DI34*(1-BT34)*(1-MIN(1,MAX(Assumptions!$C$27,Assumptions!$C$13*Assumptions!$C$28^(DI$5-1))*$O34)),0)</f>
        <v>0</v>
      </c>
      <c r="DK34" s="93">
        <f>IF(AND($T34=1,DK$5&lt;=$H34),DJ34*(1-BU34)*(1-MIN(1,MAX(Assumptions!$C$27,Assumptions!$C$13*Assumptions!$C$28^(DJ$5-1))*$O34)),0)</f>
        <v>0</v>
      </c>
      <c r="DL34" s="93">
        <f>IF(AND($T34=1,DL$5&lt;=$H34),DK34*(1-BV34)*(1-MIN(1,MAX(Assumptions!$C$27,Assumptions!$C$13*Assumptions!$C$28^(DK$5-1))*$O34)),0)</f>
        <v>0</v>
      </c>
      <c r="DM34" s="93">
        <f>IF(AND($T34=1,DM$5&lt;=$H34),DL34*(1-BW34)*(1-MIN(1,MAX(Assumptions!$C$27,Assumptions!$C$13*Assumptions!$C$28^(DL$5-1))*$O34)),0)</f>
        <v>0</v>
      </c>
      <c r="DN34" s="93">
        <f>IF(AND($T34=1,DN$5&lt;=$H34),DM34*(1-BX34)*(1-MIN(1,MAX(Assumptions!$C$27,Assumptions!$C$13*Assumptions!$C$28^(DM$5-1))*$O34)),0)</f>
        <v>0</v>
      </c>
      <c r="DO34" s="93">
        <f>IF(AND($T34=1,DO$5&lt;=$H34),DN34*(1-BY34)*(1-MIN(1,MAX(Assumptions!$C$27,Assumptions!$C$13*Assumptions!$C$28^(DN$5-1))*$O34)),0)</f>
        <v>0</v>
      </c>
      <c r="DP34" s="93">
        <f>IF(AND($T34=1,DP$5&lt;=$H34),DO34*(1-BZ34)*(1-MIN(1,MAX(Assumptions!$C$27,Assumptions!$C$13*Assumptions!$C$28^(DO$5-1))*$O34)),0)</f>
        <v>0</v>
      </c>
      <c r="DQ34" s="93">
        <f>IF(AND($T34=1,DQ$5&lt;=$H34),DP34*(1-CA34)*(1-MIN(1,MAX(Assumptions!$C$27,Assumptions!$C$13*Assumptions!$C$28^(DP$5-1))*$O34)),0)</f>
        <v>0</v>
      </c>
      <c r="DR34" s="93">
        <f>IF(AND($T34=1,DR$5&lt;=$H34),DQ34*(1-CB34)*(1-MIN(1,MAX(Assumptions!$C$27,Assumptions!$C$13*Assumptions!$C$28^(DQ$5-1))*$O34)),0)</f>
        <v>0</v>
      </c>
      <c r="DS34" s="93">
        <f>IF(AND($T34=1,DS$5&lt;=$H34),DR34*(1-CC34)*(1-MIN(1,MAX(Assumptions!$C$27,Assumptions!$C$13*Assumptions!$C$28^(DR$5-1))*$O34)),0)</f>
        <v>0</v>
      </c>
      <c r="DT34" s="93">
        <f>IF(AND($T34=1,DT$5&lt;=$H34),DS34*(1-CD34)*(1-MIN(1,MAX(Assumptions!$C$27,Assumptions!$C$13*Assumptions!$C$28^(DS$5-1))*$O34)),0)</f>
        <v>0</v>
      </c>
      <c r="DU34" s="93">
        <f>IF(AND($T34=1,DU$5&lt;=$H34),DT34*(1-CE34)*(1-MIN(1,MAX(Assumptions!$C$27,Assumptions!$C$13*Assumptions!$C$28^(DT$5-1))*$O34)),0)</f>
        <v>0</v>
      </c>
      <c r="DV34" s="93">
        <f>IF(AND($T34=1,DV$5&lt;=$H34),DU34*(1-CF34)*(1-MIN(1,MAX(Assumptions!$C$27,Assumptions!$C$13*Assumptions!$C$28^(DU$5-1))*$O34)),0)</f>
        <v>0</v>
      </c>
      <c r="DW34" s="94">
        <f>IF(AND($T34=1,DW$5&lt;=$H34),DV34*(1-CG34)*(1-MIN(1,MAX(Assumptions!$C$27,Assumptions!$C$13*Assumptions!$C$28^(DV$5-1))*$O34)),0)</f>
        <v>0</v>
      </c>
      <c r="DX34" s="26"/>
      <c r="DY34" s="399">
        <f>'Policy Data'!K8</f>
        <v>4</v>
      </c>
      <c r="DZ34" s="100">
        <f>'Policy Data'!L8</f>
        <v>0.81640000000000001</v>
      </c>
      <c r="EA34" s="100">
        <f>'Policy Data'!N8</f>
        <v>2.0929999999999998E-3</v>
      </c>
      <c r="EB34" s="93" cm="1">
        <f t="array" ref="EB34">IFERROR(DZ34*INDEX(Mortality!$B$4:$E$64,MATCH(D34+DY34-1,Mortality!$A$4:$A$64,0),U34)*V34,0)</f>
        <v>2.6602055602863734E-3</v>
      </c>
      <c r="EC34" s="100">
        <f>'Policy Data'!O8</f>
        <v>0</v>
      </c>
      <c r="ED34" s="400">
        <f>'Policy Data'!Q8</f>
        <v>0</v>
      </c>
    </row>
    <row r="35" spans="1:134" x14ac:dyDescent="0.3">
      <c r="A35" s="399" t="str">
        <f>'Policy Data'!A9</f>
        <v>POL100005</v>
      </c>
      <c r="B35" s="26" t="s">
        <v>426</v>
      </c>
      <c r="C35" s="100" t="str">
        <f>'Policy Data'!B9</f>
        <v>Unit-Linked</v>
      </c>
      <c r="D35" s="100">
        <f>'Policy Data'!C9</f>
        <v>27</v>
      </c>
      <c r="E35" s="100" t="str">
        <f>'Policy Data'!D9</f>
        <v>Male</v>
      </c>
      <c r="F35" s="100" t="str">
        <f>'Policy Data'!E9</f>
        <v>Smoker</v>
      </c>
      <c r="G35" s="100" t="str">
        <f>'Policy Data'!F9</f>
        <v>Standard</v>
      </c>
      <c r="H35" s="100">
        <f>'Policy Data'!G9</f>
        <v>25</v>
      </c>
      <c r="I35" s="279">
        <f>'Policy Data'!H9</f>
        <v>250000</v>
      </c>
      <c r="J35" s="100" t="str">
        <f>'Policy Data'!I9</f>
        <v>Annual</v>
      </c>
      <c r="K35" s="100" t="str">
        <f>'Policy Data'!J9</f>
        <v>Broker</v>
      </c>
      <c r="L35" s="26" t="s">
        <v>389</v>
      </c>
      <c r="M35" s="106">
        <f>'Policy Data'!R9</f>
        <v>7429</v>
      </c>
      <c r="N35" s="415">
        <f>Assumptions!$C$21</f>
        <v>1</v>
      </c>
      <c r="O35" s="415">
        <f>Assumptions!$C$22</f>
        <v>1</v>
      </c>
      <c r="P35" s="415">
        <f>Assumptions!$C$23</f>
        <v>1</v>
      </c>
      <c r="Q35" s="416">
        <f>Assumptions!$C$24</f>
        <v>0</v>
      </c>
      <c r="R35" s="416">
        <f>Assumptions!$C$6+Assumptions!$C$25</f>
        <v>3.5000000000000003E-2</v>
      </c>
      <c r="S35" s="416">
        <f>Assumptions!$C$15</f>
        <v>1.1000000000000001E-3</v>
      </c>
      <c r="T35" s="26">
        <f t="shared" si="18"/>
        <v>0</v>
      </c>
      <c r="U35" s="26">
        <f t="shared" si="19"/>
        <v>4</v>
      </c>
      <c r="V35" s="389">
        <f>IF($G35="Preferred",Assumptions!$C$30,IF($G35="Rated",Assumptions!$C$31,1))</f>
        <v>1</v>
      </c>
      <c r="W35" s="390">
        <f>IF($K35="Direct",Assumptions!$C$32,IF($K35="Broker",Assumptions!$C$33,IF($K35="Bancassurance",Assumptions!$C$34,Assumptions!$C$11)))+$Q35</f>
        <v>0.25</v>
      </c>
      <c r="X35" s="390">
        <f>Assumptions!$C$12+$Q35</f>
        <v>0.05</v>
      </c>
      <c r="Y35" s="131">
        <f>MIN($I35,Assumptions!$C$14)</f>
        <v>250000</v>
      </c>
      <c r="Z35" s="131">
        <f>MAX($I35-Assumptions!$C$14,0)</f>
        <v>0</v>
      </c>
      <c r="AA35" s="389">
        <f t="shared" si="20"/>
        <v>0</v>
      </c>
      <c r="AB35" s="389">
        <f t="shared" si="21"/>
        <v>0</v>
      </c>
      <c r="AC35" s="389">
        <f>IF($T35=1,SUMPRODUCT($CJ35:$DW35,(1+Assumptions!$C$5)^($CJ$5:$DW$5-1),(1+$R35)^(-$CJ$5:$DW$5)),0)</f>
        <v>0</v>
      </c>
      <c r="AD35" s="389">
        <f t="shared" si="22"/>
        <v>0</v>
      </c>
      <c r="AE35" s="131">
        <f>IF($T35=1,$AB35*$Y35+(Assumptions!$C$9/(1+$R35)+Assumptions!$C$10*$AC35)*$P35+$S35*$Z35*$AA35,0)</f>
        <v>0</v>
      </c>
      <c r="AF35" s="131" t="str">
        <f>IF($T35=1,IF($AA35-$AD35-Assumptions!$C$16*$AA35&gt;0,$AE35/($AA35-$AD35-Assumptions!$C$16*$AA35)*IF($J35="Monthly",1+Assumptions!$C$29,1),"n.a."),"")</f>
        <v/>
      </c>
      <c r="AG35" s="131" t="str">
        <f t="shared" si="23"/>
        <v/>
      </c>
      <c r="AH35" s="131" t="str">
        <f t="shared" si="24"/>
        <v/>
      </c>
      <c r="AI35" s="131" t="str">
        <f t="shared" si="25"/>
        <v/>
      </c>
      <c r="AJ35" s="390" t="str">
        <f t="shared" si="26"/>
        <v/>
      </c>
      <c r="AK35" s="389" t="str">
        <f t="shared" si="27"/>
        <v/>
      </c>
      <c r="AL35" s="131" t="str">
        <f t="shared" si="28"/>
        <v/>
      </c>
      <c r="AM35" s="131" t="str">
        <f t="shared" si="29"/>
        <v/>
      </c>
      <c r="AN35" s="131" t="str">
        <f t="shared" si="30"/>
        <v/>
      </c>
      <c r="AO35" s="131" t="str">
        <f t="shared" si="31"/>
        <v/>
      </c>
      <c r="AP35" s="26" t="str">
        <f t="shared" si="32"/>
        <v>20-29</v>
      </c>
      <c r="AQ35" s="26" t="str">
        <f t="shared" si="33"/>
        <v>Up to 250k</v>
      </c>
      <c r="AR35" s="26" t="str">
        <f>IF($T35=1,IF($AI35&lt;0,"Loss-making",IF($AJ35&lt;Assumptions!$C$16-0.00001,"Below target","At/above target")),"Excluded")</f>
        <v>Excluded</v>
      </c>
      <c r="AS35" s="103">
        <f t="shared" si="34"/>
        <v>9.9999999999999997E+98</v>
      </c>
      <c r="AT35" s="26"/>
      <c r="AU35" s="419">
        <f>IF(AND($T35=1,AU$5&lt;=$H35),INDEX(Mortality!$B$4:$E$64,MATCH($D35+AU$5-1,Mortality!$A$4:$A$64,0),$U35)*$V35*$N35,0)</f>
        <v>0</v>
      </c>
      <c r="AV35" s="93">
        <f>IF(AND($T35=1,AV$5&lt;=$H35),INDEX(Mortality!$B$4:$E$64,MATCH($D35+AV$5-1,Mortality!$A$4:$A$64,0),$U35)*$V35*$N35,0)</f>
        <v>0</v>
      </c>
      <c r="AW35" s="93">
        <f>IF(AND($T35=1,AW$5&lt;=$H35),INDEX(Mortality!$B$4:$E$64,MATCH($D35+AW$5-1,Mortality!$A$4:$A$64,0),$U35)*$V35*$N35,0)</f>
        <v>0</v>
      </c>
      <c r="AX35" s="93">
        <f>IF(AND($T35=1,AX$5&lt;=$H35),INDEX(Mortality!$B$4:$E$64,MATCH($D35+AX$5-1,Mortality!$A$4:$A$64,0),$U35)*$V35*$N35,0)</f>
        <v>0</v>
      </c>
      <c r="AY35" s="93">
        <f>IF(AND($T35=1,AY$5&lt;=$H35),INDEX(Mortality!$B$4:$E$64,MATCH($D35+AY$5-1,Mortality!$A$4:$A$64,0),$U35)*$V35*$N35,0)</f>
        <v>0</v>
      </c>
      <c r="AZ35" s="93">
        <f>IF(AND($T35=1,AZ$5&lt;=$H35),INDEX(Mortality!$B$4:$E$64,MATCH($D35+AZ$5-1,Mortality!$A$4:$A$64,0),$U35)*$V35*$N35,0)</f>
        <v>0</v>
      </c>
      <c r="BA35" s="93">
        <f>IF(AND($T35=1,BA$5&lt;=$H35),INDEX(Mortality!$B$4:$E$64,MATCH($D35+BA$5-1,Mortality!$A$4:$A$64,0),$U35)*$V35*$N35,0)</f>
        <v>0</v>
      </c>
      <c r="BB35" s="93">
        <f>IF(AND($T35=1,BB$5&lt;=$H35),INDEX(Mortality!$B$4:$E$64,MATCH($D35+BB$5-1,Mortality!$A$4:$A$64,0),$U35)*$V35*$N35,0)</f>
        <v>0</v>
      </c>
      <c r="BC35" s="93">
        <f>IF(AND($T35=1,BC$5&lt;=$H35),INDEX(Mortality!$B$4:$E$64,MATCH($D35+BC$5-1,Mortality!$A$4:$A$64,0),$U35)*$V35*$N35,0)</f>
        <v>0</v>
      </c>
      <c r="BD35" s="93">
        <f>IF(AND($T35=1,BD$5&lt;=$H35),INDEX(Mortality!$B$4:$E$64,MATCH($D35+BD$5-1,Mortality!$A$4:$A$64,0),$U35)*$V35*$N35,0)</f>
        <v>0</v>
      </c>
      <c r="BE35" s="93">
        <f>IF(AND($T35=1,BE$5&lt;=$H35),INDEX(Mortality!$B$4:$E$64,MATCH($D35+BE$5-1,Mortality!$A$4:$A$64,0),$U35)*$V35*$N35,0)</f>
        <v>0</v>
      </c>
      <c r="BF35" s="93">
        <f>IF(AND($T35=1,BF$5&lt;=$H35),INDEX(Mortality!$B$4:$E$64,MATCH($D35+BF$5-1,Mortality!$A$4:$A$64,0),$U35)*$V35*$N35,0)</f>
        <v>0</v>
      </c>
      <c r="BG35" s="93">
        <f>IF(AND($T35=1,BG$5&lt;=$H35),INDEX(Mortality!$B$4:$E$64,MATCH($D35+BG$5-1,Mortality!$A$4:$A$64,0),$U35)*$V35*$N35,0)</f>
        <v>0</v>
      </c>
      <c r="BH35" s="93">
        <f>IF(AND($T35=1,BH$5&lt;=$H35),INDEX(Mortality!$B$4:$E$64,MATCH($D35+BH$5-1,Mortality!$A$4:$A$64,0),$U35)*$V35*$N35,0)</f>
        <v>0</v>
      </c>
      <c r="BI35" s="93">
        <f>IF(AND($T35=1,BI$5&lt;=$H35),INDEX(Mortality!$B$4:$E$64,MATCH($D35+BI$5-1,Mortality!$A$4:$A$64,0),$U35)*$V35*$N35,0)</f>
        <v>0</v>
      </c>
      <c r="BJ35" s="93">
        <f>IF(AND($T35=1,BJ$5&lt;=$H35),INDEX(Mortality!$B$4:$E$64,MATCH($D35+BJ$5-1,Mortality!$A$4:$A$64,0),$U35)*$V35*$N35,0)</f>
        <v>0</v>
      </c>
      <c r="BK35" s="93">
        <f>IF(AND($T35=1,BK$5&lt;=$H35),INDEX(Mortality!$B$4:$E$64,MATCH($D35+BK$5-1,Mortality!$A$4:$A$64,0),$U35)*$V35*$N35,0)</f>
        <v>0</v>
      </c>
      <c r="BL35" s="93">
        <f>IF(AND($T35=1,BL$5&lt;=$H35),INDEX(Mortality!$B$4:$E$64,MATCH($D35+BL$5-1,Mortality!$A$4:$A$64,0),$U35)*$V35*$N35,0)</f>
        <v>0</v>
      </c>
      <c r="BM35" s="93">
        <f>IF(AND($T35=1,BM$5&lt;=$H35),INDEX(Mortality!$B$4:$E$64,MATCH($D35+BM$5-1,Mortality!$A$4:$A$64,0),$U35)*$V35*$N35,0)</f>
        <v>0</v>
      </c>
      <c r="BN35" s="93">
        <f>IF(AND($T35=1,BN$5&lt;=$H35),INDEX(Mortality!$B$4:$E$64,MATCH($D35+BN$5-1,Mortality!$A$4:$A$64,0),$U35)*$V35*$N35,0)</f>
        <v>0</v>
      </c>
      <c r="BO35" s="93">
        <f>IF(AND($T35=1,BO$5&lt;=$H35),INDEX(Mortality!$B$4:$E$64,MATCH($D35+BO$5-1,Mortality!$A$4:$A$64,0),$U35)*$V35*$N35,0)</f>
        <v>0</v>
      </c>
      <c r="BP35" s="93">
        <f>IF(AND($T35=1,BP$5&lt;=$H35),INDEX(Mortality!$B$4:$E$64,MATCH($D35+BP$5-1,Mortality!$A$4:$A$64,0),$U35)*$V35*$N35,0)</f>
        <v>0</v>
      </c>
      <c r="BQ35" s="93">
        <f>IF(AND($T35=1,BQ$5&lt;=$H35),INDEX(Mortality!$B$4:$E$64,MATCH($D35+BQ$5-1,Mortality!$A$4:$A$64,0),$U35)*$V35*$N35,0)</f>
        <v>0</v>
      </c>
      <c r="BR35" s="93">
        <f>IF(AND($T35=1,BR$5&lt;=$H35),INDEX(Mortality!$B$4:$E$64,MATCH($D35+BR$5-1,Mortality!$A$4:$A$64,0),$U35)*$V35*$N35,0)</f>
        <v>0</v>
      </c>
      <c r="BS35" s="93">
        <f>IF(AND($T35=1,BS$5&lt;=$H35),INDEX(Mortality!$B$4:$E$64,MATCH($D35+BS$5-1,Mortality!$A$4:$A$64,0),$U35)*$V35*$N35,0)</f>
        <v>0</v>
      </c>
      <c r="BT35" s="93">
        <f>IF(AND($T35=1,BT$5&lt;=$H35),INDEX(Mortality!$B$4:$E$64,MATCH($D35+BT$5-1,Mortality!$A$4:$A$64,0),$U35)*$V35*$N35,0)</f>
        <v>0</v>
      </c>
      <c r="BU35" s="93">
        <f>IF(AND($T35=1,BU$5&lt;=$H35),INDEX(Mortality!$B$4:$E$64,MATCH($D35+BU$5-1,Mortality!$A$4:$A$64,0),$U35)*$V35*$N35,0)</f>
        <v>0</v>
      </c>
      <c r="BV35" s="93">
        <f>IF(AND($T35=1,BV$5&lt;=$H35),INDEX(Mortality!$B$4:$E$64,MATCH($D35+BV$5-1,Mortality!$A$4:$A$64,0),$U35)*$V35*$N35,0)</f>
        <v>0</v>
      </c>
      <c r="BW35" s="93">
        <f>IF(AND($T35=1,BW$5&lt;=$H35),INDEX(Mortality!$B$4:$E$64,MATCH($D35+BW$5-1,Mortality!$A$4:$A$64,0),$U35)*$V35*$N35,0)</f>
        <v>0</v>
      </c>
      <c r="BX35" s="93">
        <f>IF(AND($T35=1,BX$5&lt;=$H35),INDEX(Mortality!$B$4:$E$64,MATCH($D35+BX$5-1,Mortality!$A$4:$A$64,0),$U35)*$V35*$N35,0)</f>
        <v>0</v>
      </c>
      <c r="BY35" s="93">
        <f>IF(AND($T35=1,BY$5&lt;=$H35),INDEX(Mortality!$B$4:$E$64,MATCH($D35+BY$5-1,Mortality!$A$4:$A$64,0),$U35)*$V35*$N35,0)</f>
        <v>0</v>
      </c>
      <c r="BZ35" s="93">
        <f>IF(AND($T35=1,BZ$5&lt;=$H35),INDEX(Mortality!$B$4:$E$64,MATCH($D35+BZ$5-1,Mortality!$A$4:$A$64,0),$U35)*$V35*$N35,0)</f>
        <v>0</v>
      </c>
      <c r="CA35" s="93">
        <f>IF(AND($T35=1,CA$5&lt;=$H35),INDEX(Mortality!$B$4:$E$64,MATCH($D35+CA$5-1,Mortality!$A$4:$A$64,0),$U35)*$V35*$N35,0)</f>
        <v>0</v>
      </c>
      <c r="CB35" s="93">
        <f>IF(AND($T35=1,CB$5&lt;=$H35),INDEX(Mortality!$B$4:$E$64,MATCH($D35+CB$5-1,Mortality!$A$4:$A$64,0),$U35)*$V35*$N35,0)</f>
        <v>0</v>
      </c>
      <c r="CC35" s="93">
        <f>IF(AND($T35=1,CC$5&lt;=$H35),INDEX(Mortality!$B$4:$E$64,MATCH($D35+CC$5-1,Mortality!$A$4:$A$64,0),$U35)*$V35*$N35,0)</f>
        <v>0</v>
      </c>
      <c r="CD35" s="93">
        <f>IF(AND($T35=1,CD$5&lt;=$H35),INDEX(Mortality!$B$4:$E$64,MATCH($D35+CD$5-1,Mortality!$A$4:$A$64,0),$U35)*$V35*$N35,0)</f>
        <v>0</v>
      </c>
      <c r="CE35" s="93">
        <f>IF(AND($T35=1,CE$5&lt;=$H35),INDEX(Mortality!$B$4:$E$64,MATCH($D35+CE$5-1,Mortality!$A$4:$A$64,0),$U35)*$V35*$N35,0)</f>
        <v>0</v>
      </c>
      <c r="CF35" s="93">
        <f>IF(AND($T35=1,CF$5&lt;=$H35),INDEX(Mortality!$B$4:$E$64,MATCH($D35+CF$5-1,Mortality!$A$4:$A$64,0),$U35)*$V35*$N35,0)</f>
        <v>0</v>
      </c>
      <c r="CG35" s="93">
        <f>IF(AND($T35=1,CG$5&lt;=$H35),INDEX(Mortality!$B$4:$E$64,MATCH($D35+CG$5-1,Mortality!$A$4:$A$64,0),$U35)*$V35*$N35,0)</f>
        <v>0</v>
      </c>
      <c r="CH35" s="94">
        <f>IF(AND($T35=1,CH$5&lt;=$H35),INDEX(Mortality!$B$4:$E$64,MATCH($D35+CH$5-1,Mortality!$A$4:$A$64,0),$U35)*$V35*$N35,0)</f>
        <v>0</v>
      </c>
      <c r="CI35" s="26"/>
      <c r="CJ35" s="419">
        <f t="shared" si="35"/>
        <v>0</v>
      </c>
      <c r="CK35" s="93">
        <f>IF(AND($T35=1,CK$5&lt;=$H35),CJ35*(1-AU35)*(1-MIN(1,MAX(Assumptions!$C$27,Assumptions!$C$13*Assumptions!$C$28^(CJ$5-1))*$O35)),0)</f>
        <v>0</v>
      </c>
      <c r="CL35" s="93">
        <f>IF(AND($T35=1,CL$5&lt;=$H35),CK35*(1-AV35)*(1-MIN(1,MAX(Assumptions!$C$27,Assumptions!$C$13*Assumptions!$C$28^(CK$5-1))*$O35)),0)</f>
        <v>0</v>
      </c>
      <c r="CM35" s="93">
        <f>IF(AND($T35=1,CM$5&lt;=$H35),CL35*(1-AW35)*(1-MIN(1,MAX(Assumptions!$C$27,Assumptions!$C$13*Assumptions!$C$28^(CL$5-1))*$O35)),0)</f>
        <v>0</v>
      </c>
      <c r="CN35" s="93">
        <f>IF(AND($T35=1,CN$5&lt;=$H35),CM35*(1-AX35)*(1-MIN(1,MAX(Assumptions!$C$27,Assumptions!$C$13*Assumptions!$C$28^(CM$5-1))*$O35)),0)</f>
        <v>0</v>
      </c>
      <c r="CO35" s="93">
        <f>IF(AND($T35=1,CO$5&lt;=$H35),CN35*(1-AY35)*(1-MIN(1,MAX(Assumptions!$C$27,Assumptions!$C$13*Assumptions!$C$28^(CN$5-1))*$O35)),0)</f>
        <v>0</v>
      </c>
      <c r="CP35" s="93">
        <f>IF(AND($T35=1,CP$5&lt;=$H35),CO35*(1-AZ35)*(1-MIN(1,MAX(Assumptions!$C$27,Assumptions!$C$13*Assumptions!$C$28^(CO$5-1))*$O35)),0)</f>
        <v>0</v>
      </c>
      <c r="CQ35" s="93">
        <f>IF(AND($T35=1,CQ$5&lt;=$H35),CP35*(1-BA35)*(1-MIN(1,MAX(Assumptions!$C$27,Assumptions!$C$13*Assumptions!$C$28^(CP$5-1))*$O35)),0)</f>
        <v>0</v>
      </c>
      <c r="CR35" s="93">
        <f>IF(AND($T35=1,CR$5&lt;=$H35),CQ35*(1-BB35)*(1-MIN(1,MAX(Assumptions!$C$27,Assumptions!$C$13*Assumptions!$C$28^(CQ$5-1))*$O35)),0)</f>
        <v>0</v>
      </c>
      <c r="CS35" s="93">
        <f>IF(AND($T35=1,CS$5&lt;=$H35),CR35*(1-BC35)*(1-MIN(1,MAX(Assumptions!$C$27,Assumptions!$C$13*Assumptions!$C$28^(CR$5-1))*$O35)),0)</f>
        <v>0</v>
      </c>
      <c r="CT35" s="93">
        <f>IF(AND($T35=1,CT$5&lt;=$H35),CS35*(1-BD35)*(1-MIN(1,MAX(Assumptions!$C$27,Assumptions!$C$13*Assumptions!$C$28^(CS$5-1))*$O35)),0)</f>
        <v>0</v>
      </c>
      <c r="CU35" s="93">
        <f>IF(AND($T35=1,CU$5&lt;=$H35),CT35*(1-BE35)*(1-MIN(1,MAX(Assumptions!$C$27,Assumptions!$C$13*Assumptions!$C$28^(CT$5-1))*$O35)),0)</f>
        <v>0</v>
      </c>
      <c r="CV35" s="93">
        <f>IF(AND($T35=1,CV$5&lt;=$H35),CU35*(1-BF35)*(1-MIN(1,MAX(Assumptions!$C$27,Assumptions!$C$13*Assumptions!$C$28^(CU$5-1))*$O35)),0)</f>
        <v>0</v>
      </c>
      <c r="CW35" s="93">
        <f>IF(AND($T35=1,CW$5&lt;=$H35),CV35*(1-BG35)*(1-MIN(1,MAX(Assumptions!$C$27,Assumptions!$C$13*Assumptions!$C$28^(CV$5-1))*$O35)),0)</f>
        <v>0</v>
      </c>
      <c r="CX35" s="93">
        <f>IF(AND($T35=1,CX$5&lt;=$H35),CW35*(1-BH35)*(1-MIN(1,MAX(Assumptions!$C$27,Assumptions!$C$13*Assumptions!$C$28^(CW$5-1))*$O35)),0)</f>
        <v>0</v>
      </c>
      <c r="CY35" s="93">
        <f>IF(AND($T35=1,CY$5&lt;=$H35),CX35*(1-BI35)*(1-MIN(1,MAX(Assumptions!$C$27,Assumptions!$C$13*Assumptions!$C$28^(CX$5-1))*$O35)),0)</f>
        <v>0</v>
      </c>
      <c r="CZ35" s="93">
        <f>IF(AND($T35=1,CZ$5&lt;=$H35),CY35*(1-BJ35)*(1-MIN(1,MAX(Assumptions!$C$27,Assumptions!$C$13*Assumptions!$C$28^(CY$5-1))*$O35)),0)</f>
        <v>0</v>
      </c>
      <c r="DA35" s="93">
        <f>IF(AND($T35=1,DA$5&lt;=$H35),CZ35*(1-BK35)*(1-MIN(1,MAX(Assumptions!$C$27,Assumptions!$C$13*Assumptions!$C$28^(CZ$5-1))*$O35)),0)</f>
        <v>0</v>
      </c>
      <c r="DB35" s="93">
        <f>IF(AND($T35=1,DB$5&lt;=$H35),DA35*(1-BL35)*(1-MIN(1,MAX(Assumptions!$C$27,Assumptions!$C$13*Assumptions!$C$28^(DA$5-1))*$O35)),0)</f>
        <v>0</v>
      </c>
      <c r="DC35" s="93">
        <f>IF(AND($T35=1,DC$5&lt;=$H35),DB35*(1-BM35)*(1-MIN(1,MAX(Assumptions!$C$27,Assumptions!$C$13*Assumptions!$C$28^(DB$5-1))*$O35)),0)</f>
        <v>0</v>
      </c>
      <c r="DD35" s="93">
        <f>IF(AND($T35=1,DD$5&lt;=$H35),DC35*(1-BN35)*(1-MIN(1,MAX(Assumptions!$C$27,Assumptions!$C$13*Assumptions!$C$28^(DC$5-1))*$O35)),0)</f>
        <v>0</v>
      </c>
      <c r="DE35" s="93">
        <f>IF(AND($T35=1,DE$5&lt;=$H35),DD35*(1-BO35)*(1-MIN(1,MAX(Assumptions!$C$27,Assumptions!$C$13*Assumptions!$C$28^(DD$5-1))*$O35)),0)</f>
        <v>0</v>
      </c>
      <c r="DF35" s="93">
        <f>IF(AND($T35=1,DF$5&lt;=$H35),DE35*(1-BP35)*(1-MIN(1,MAX(Assumptions!$C$27,Assumptions!$C$13*Assumptions!$C$28^(DE$5-1))*$O35)),0)</f>
        <v>0</v>
      </c>
      <c r="DG35" s="93">
        <f>IF(AND($T35=1,DG$5&lt;=$H35),DF35*(1-BQ35)*(1-MIN(1,MAX(Assumptions!$C$27,Assumptions!$C$13*Assumptions!$C$28^(DF$5-1))*$O35)),0)</f>
        <v>0</v>
      </c>
      <c r="DH35" s="93">
        <f>IF(AND($T35=1,DH$5&lt;=$H35),DG35*(1-BR35)*(1-MIN(1,MAX(Assumptions!$C$27,Assumptions!$C$13*Assumptions!$C$28^(DG$5-1))*$O35)),0)</f>
        <v>0</v>
      </c>
      <c r="DI35" s="93">
        <f>IF(AND($T35=1,DI$5&lt;=$H35),DH35*(1-BS35)*(1-MIN(1,MAX(Assumptions!$C$27,Assumptions!$C$13*Assumptions!$C$28^(DH$5-1))*$O35)),0)</f>
        <v>0</v>
      </c>
      <c r="DJ35" s="93">
        <f>IF(AND($T35=1,DJ$5&lt;=$H35),DI35*(1-BT35)*(1-MIN(1,MAX(Assumptions!$C$27,Assumptions!$C$13*Assumptions!$C$28^(DI$5-1))*$O35)),0)</f>
        <v>0</v>
      </c>
      <c r="DK35" s="93">
        <f>IF(AND($T35=1,DK$5&lt;=$H35),DJ35*(1-BU35)*(1-MIN(1,MAX(Assumptions!$C$27,Assumptions!$C$13*Assumptions!$C$28^(DJ$5-1))*$O35)),0)</f>
        <v>0</v>
      </c>
      <c r="DL35" s="93">
        <f>IF(AND($T35=1,DL$5&lt;=$H35),DK35*(1-BV35)*(1-MIN(1,MAX(Assumptions!$C$27,Assumptions!$C$13*Assumptions!$C$28^(DK$5-1))*$O35)),0)</f>
        <v>0</v>
      </c>
      <c r="DM35" s="93">
        <f>IF(AND($T35=1,DM$5&lt;=$H35),DL35*(1-BW35)*(1-MIN(1,MAX(Assumptions!$C$27,Assumptions!$C$13*Assumptions!$C$28^(DL$5-1))*$O35)),0)</f>
        <v>0</v>
      </c>
      <c r="DN35" s="93">
        <f>IF(AND($T35=1,DN$5&lt;=$H35),DM35*(1-BX35)*(1-MIN(1,MAX(Assumptions!$C$27,Assumptions!$C$13*Assumptions!$C$28^(DM$5-1))*$O35)),0)</f>
        <v>0</v>
      </c>
      <c r="DO35" s="93">
        <f>IF(AND($T35=1,DO$5&lt;=$H35),DN35*(1-BY35)*(1-MIN(1,MAX(Assumptions!$C$27,Assumptions!$C$13*Assumptions!$C$28^(DN$5-1))*$O35)),0)</f>
        <v>0</v>
      </c>
      <c r="DP35" s="93">
        <f>IF(AND($T35=1,DP$5&lt;=$H35),DO35*(1-BZ35)*(1-MIN(1,MAX(Assumptions!$C$27,Assumptions!$C$13*Assumptions!$C$28^(DO$5-1))*$O35)),0)</f>
        <v>0</v>
      </c>
      <c r="DQ35" s="93">
        <f>IF(AND($T35=1,DQ$5&lt;=$H35),DP35*(1-CA35)*(1-MIN(1,MAX(Assumptions!$C$27,Assumptions!$C$13*Assumptions!$C$28^(DP$5-1))*$O35)),0)</f>
        <v>0</v>
      </c>
      <c r="DR35" s="93">
        <f>IF(AND($T35=1,DR$5&lt;=$H35),DQ35*(1-CB35)*(1-MIN(1,MAX(Assumptions!$C$27,Assumptions!$C$13*Assumptions!$C$28^(DQ$5-1))*$O35)),0)</f>
        <v>0</v>
      </c>
      <c r="DS35" s="93">
        <f>IF(AND($T35=1,DS$5&lt;=$H35),DR35*(1-CC35)*(1-MIN(1,MAX(Assumptions!$C$27,Assumptions!$C$13*Assumptions!$C$28^(DR$5-1))*$O35)),0)</f>
        <v>0</v>
      </c>
      <c r="DT35" s="93">
        <f>IF(AND($T35=1,DT$5&lt;=$H35),DS35*(1-CD35)*(1-MIN(1,MAX(Assumptions!$C$27,Assumptions!$C$13*Assumptions!$C$28^(DS$5-1))*$O35)),0)</f>
        <v>0</v>
      </c>
      <c r="DU35" s="93">
        <f>IF(AND($T35=1,DU$5&lt;=$H35),DT35*(1-CE35)*(1-MIN(1,MAX(Assumptions!$C$27,Assumptions!$C$13*Assumptions!$C$28^(DT$5-1))*$O35)),0)</f>
        <v>0</v>
      </c>
      <c r="DV35" s="93">
        <f>IF(AND($T35=1,DV$5&lt;=$H35),DU35*(1-CF35)*(1-MIN(1,MAX(Assumptions!$C$27,Assumptions!$C$13*Assumptions!$C$28^(DU$5-1))*$O35)),0)</f>
        <v>0</v>
      </c>
      <c r="DW35" s="94">
        <f>IF(AND($T35=1,DW$5&lt;=$H35),DV35*(1-CG35)*(1-MIN(1,MAX(Assumptions!$C$27,Assumptions!$C$13*Assumptions!$C$28^(DV$5-1))*$O35)),0)</f>
        <v>0</v>
      </c>
      <c r="DX35" s="26"/>
      <c r="DY35" s="399">
        <f>'Policy Data'!K9</f>
        <v>3</v>
      </c>
      <c r="DZ35" s="100">
        <f>'Policy Data'!L9</f>
        <v>0.95109999999999995</v>
      </c>
      <c r="EA35" s="100">
        <f>'Policy Data'!N9</f>
        <v>6.3900000000000003E-4</v>
      </c>
      <c r="EB35" s="93" cm="1">
        <f t="array" ref="EB35">IFERROR(DZ35*INDEX(Mortality!$B$4:$E$64,MATCH(D35+DY35-1,Mortality!$A$4:$A$64,0),U35)*V35,0)</f>
        <v>7.4968172032464247E-4</v>
      </c>
      <c r="EC35" s="100">
        <f>'Policy Data'!O9</f>
        <v>0</v>
      </c>
      <c r="ED35" s="400">
        <f>'Policy Data'!Q9</f>
        <v>0</v>
      </c>
    </row>
    <row r="36" spans="1:134" x14ac:dyDescent="0.3">
      <c r="A36" s="399" t="str">
        <f>'Policy Data'!A10</f>
        <v>POL100006</v>
      </c>
      <c r="B36" s="26" t="s">
        <v>426</v>
      </c>
      <c r="C36" s="100" t="str">
        <f>'Policy Data'!B10</f>
        <v>Term Life</v>
      </c>
      <c r="D36" s="100">
        <f>'Policy Data'!C10</f>
        <v>46</v>
      </c>
      <c r="E36" s="100" t="str">
        <f>'Policy Data'!D10</f>
        <v>Female</v>
      </c>
      <c r="F36" s="100" t="str">
        <f>'Policy Data'!E10</f>
        <v>Non-smoker</v>
      </c>
      <c r="G36" s="100" t="str">
        <f>'Policy Data'!F10</f>
        <v>Standard</v>
      </c>
      <c r="H36" s="100">
        <f>'Policy Data'!G10</f>
        <v>10</v>
      </c>
      <c r="I36" s="279">
        <f>'Policy Data'!H10</f>
        <v>2000000</v>
      </c>
      <c r="J36" s="100" t="str">
        <f>'Policy Data'!I10</f>
        <v>Monthly</v>
      </c>
      <c r="K36" s="100" t="str">
        <f>'Policy Data'!J10</f>
        <v>Bancassurance</v>
      </c>
      <c r="L36" s="26" t="s">
        <v>389</v>
      </c>
      <c r="M36" s="106">
        <f>'Policy Data'!R10</f>
        <v>4826.6899999999996</v>
      </c>
      <c r="N36" s="415">
        <f>Assumptions!$C$21</f>
        <v>1</v>
      </c>
      <c r="O36" s="415">
        <f>Assumptions!$C$22</f>
        <v>1</v>
      </c>
      <c r="P36" s="415">
        <f>Assumptions!$C$23</f>
        <v>1</v>
      </c>
      <c r="Q36" s="416">
        <f>Assumptions!$C$24</f>
        <v>0</v>
      </c>
      <c r="R36" s="416">
        <f>Assumptions!$C$6+Assumptions!$C$25</f>
        <v>3.5000000000000003E-2</v>
      </c>
      <c r="S36" s="416">
        <f>Assumptions!$C$15</f>
        <v>1.1000000000000001E-3</v>
      </c>
      <c r="T36" s="26">
        <f t="shared" si="18"/>
        <v>1</v>
      </c>
      <c r="U36" s="26">
        <f t="shared" si="19"/>
        <v>1</v>
      </c>
      <c r="V36" s="389">
        <f>IF($G36="Preferred",Assumptions!$C$30,IF($G36="Rated",Assumptions!$C$31,1))</f>
        <v>1</v>
      </c>
      <c r="W36" s="390">
        <f>IF($K36="Direct",Assumptions!$C$32,IF($K36="Broker",Assumptions!$C$33,IF($K36="Bancassurance",Assumptions!$C$34,Assumptions!$C$11)))+$Q36</f>
        <v>0.2</v>
      </c>
      <c r="X36" s="390">
        <f>Assumptions!$C$12+$Q36</f>
        <v>0.05</v>
      </c>
      <c r="Y36" s="131">
        <f>MIN($I36,Assumptions!$C$14)</f>
        <v>500000</v>
      </c>
      <c r="Z36" s="131">
        <f>MAX($I36-Assumptions!$C$14,0)</f>
        <v>1500000</v>
      </c>
      <c r="AA36" s="389">
        <f t="shared" si="20"/>
        <v>5.8356751738951065</v>
      </c>
      <c r="AB36" s="389">
        <f t="shared" si="21"/>
        <v>1.1005885154623442E-2</v>
      </c>
      <c r="AC36" s="389">
        <f>IF($T36=1,SUMPRODUCT($CJ36:$DW36,(1+Assumptions!$C$5)^($CJ$5:$DW$5-1),(1+$R36)^(-$CJ$5:$DW$5)),0)</f>
        <v>6.766425489272577</v>
      </c>
      <c r="AD36" s="389">
        <f t="shared" si="22"/>
        <v>0.4367112949266394</v>
      </c>
      <c r="AE36" s="131">
        <f>IF($T36=1,$AB36*$Y36+(Assumptions!$C$9/(1+$R36)+Assumptions!$C$10*$AC36)*$P36+$S36*$Z36*$AA36,0)</f>
        <v>17489.985439269916</v>
      </c>
      <c r="AF36" s="131">
        <f>IF($T36=1,IF($AA36-$AD36-Assumptions!$C$16*$AA36&gt;0,$AE36/($AA36-$AD36-Assumptions!$C$16*$AA36)*IF($J36="Monthly",1+Assumptions!$C$29,1),"n.a."),"")</f>
        <v>3652.5311672554026</v>
      </c>
      <c r="AG36" s="131">
        <f t="shared" si="23"/>
        <v>4826.6899999999996</v>
      </c>
      <c r="AH36" s="131">
        <f t="shared" si="24"/>
        <v>28166.995005087771</v>
      </c>
      <c r="AI36" s="131">
        <f t="shared" si="25"/>
        <v>8569.1395257083932</v>
      </c>
      <c r="AJ36" s="390">
        <f t="shared" si="26"/>
        <v>0.30422625928539981</v>
      </c>
      <c r="AK36" s="389">
        <f t="shared" si="27"/>
        <v>1.3214644253472279</v>
      </c>
      <c r="AL36" s="131">
        <f t="shared" si="28"/>
        <v>16508.827731935166</v>
      </c>
      <c r="AM36" s="131">
        <f t="shared" si="29"/>
        <v>9628.8640369269251</v>
      </c>
      <c r="AN36" s="131">
        <f t="shared" si="30"/>
        <v>6879.9636950082404</v>
      </c>
      <c r="AO36" s="131">
        <f t="shared" si="31"/>
        <v>1689.1758307001528</v>
      </c>
      <c r="AP36" s="26" t="str">
        <f t="shared" si="32"/>
        <v>40-49</v>
      </c>
      <c r="AQ36" s="26" t="str">
        <f t="shared" si="33"/>
        <v>Over 1m</v>
      </c>
      <c r="AR36" s="26" t="str">
        <f>IF($T36=1,IF($AI36&lt;0,"Loss-making",IF($AJ36&lt;Assumptions!$C$16-0.00001,"Below target","At/above target")),"Excluded")</f>
        <v>At/above target</v>
      </c>
      <c r="AS36" s="103">
        <f t="shared" si="34"/>
        <v>8569.1395617083926</v>
      </c>
      <c r="AT36" s="26"/>
      <c r="AU36" s="419">
        <f>IF(AND($T36=1,AU$5&lt;=$H36),INDEX(Mortality!$B$4:$E$64,MATCH($D36+AU$5-1,Mortality!$A$4:$A$64,0),$U36)*$V36*$N36,0)</f>
        <v>1.37571469503025E-3</v>
      </c>
      <c r="AV36" s="93">
        <f>IF(AND($T36=1,AV$5&lt;=$H36),INDEX(Mortality!$B$4:$E$64,MATCH($D36+AV$5-1,Mortality!$A$4:$A$64,0),$U36)*$V36*$N36,0)</f>
        <v>1.4902939379366699E-3</v>
      </c>
      <c r="AW36" s="93">
        <f>IF(AND($T36=1,AW$5&lt;=$H36),INDEX(Mortality!$B$4:$E$64,MATCH($D36+AW$5-1,Mortality!$A$4:$A$64,0),$U36)*$V36*$N36,0)</f>
        <v>1.6144161500011799E-3</v>
      </c>
      <c r="AX36" s="93">
        <f>IF(AND($T36=1,AX$5&lt;=$H36),INDEX(Mortality!$B$4:$E$64,MATCH($D36+AX$5-1,Mortality!$A$4:$A$64,0),$U36)*$V36*$N36,0)</f>
        <v>1.74887613714188E-3</v>
      </c>
      <c r="AY36" s="93">
        <f>IF(AND($T36=1,AY$5&lt;=$H36),INDEX(Mortality!$B$4:$E$64,MATCH($D36+AY$5-1,Mortality!$A$4:$A$64,0),$U36)*$V36*$N36,0)</f>
        <v>1.89453490233113E-3</v>
      </c>
      <c r="AZ36" s="93">
        <f>IF(AND($T36=1,AZ$5&lt;=$H36),INDEX(Mortality!$B$4:$E$64,MATCH($D36+AZ$5-1,Mortality!$A$4:$A$64,0),$U36)*$V36*$N36,0)</f>
        <v>2.05232515895416E-3</v>
      </c>
      <c r="BA36" s="93">
        <f>IF(AND($T36=1,BA$5&lt;=$H36),INDEX(Mortality!$B$4:$E$64,MATCH($D36+BA$5-1,Mortality!$A$4:$A$64,0),$U36)*$V36*$N36,0)</f>
        <v>2.22325730335899E-3</v>
      </c>
      <c r="BB36" s="93">
        <f>IF(AND($T36=1,BB$5&lt;=$H36),INDEX(Mortality!$B$4:$E$64,MATCH($D36+BB$5-1,Mortality!$A$4:$A$64,0),$U36)*$V36*$N36,0)</f>
        <v>2.4084258848427E-3</v>
      </c>
      <c r="BC36" s="93">
        <f>IF(AND($T36=1,BC$5&lt;=$H36),INDEX(Mortality!$B$4:$E$64,MATCH($D36+BC$5-1,Mortality!$A$4:$A$64,0),$U36)*$V36*$N36,0)</f>
        <v>2.6090166145037101E-3</v>
      </c>
      <c r="BD36" s="93">
        <f>IF(AND($T36=1,BD$5&lt;=$H36),INDEX(Mortality!$B$4:$E$64,MATCH($D36+BD$5-1,Mortality!$A$4:$A$64,0),$U36)*$V36*$N36,0)</f>
        <v>2.8263139578409702E-3</v>
      </c>
      <c r="BE36" s="93">
        <f>IF(AND($T36=1,BE$5&lt;=$H36),INDEX(Mortality!$B$4:$E$64,MATCH($D36+BE$5-1,Mortality!$A$4:$A$64,0),$U36)*$V36*$N36,0)</f>
        <v>0</v>
      </c>
      <c r="BF36" s="93">
        <f>IF(AND($T36=1,BF$5&lt;=$H36),INDEX(Mortality!$B$4:$E$64,MATCH($D36+BF$5-1,Mortality!$A$4:$A$64,0),$U36)*$V36*$N36,0)</f>
        <v>0</v>
      </c>
      <c r="BG36" s="93">
        <f>IF(AND($T36=1,BG$5&lt;=$H36),INDEX(Mortality!$B$4:$E$64,MATCH($D36+BG$5-1,Mortality!$A$4:$A$64,0),$U36)*$V36*$N36,0)</f>
        <v>0</v>
      </c>
      <c r="BH36" s="93">
        <f>IF(AND($T36=1,BH$5&lt;=$H36),INDEX(Mortality!$B$4:$E$64,MATCH($D36+BH$5-1,Mortality!$A$4:$A$64,0),$U36)*$V36*$N36,0)</f>
        <v>0</v>
      </c>
      <c r="BI36" s="93">
        <f>IF(AND($T36=1,BI$5&lt;=$H36),INDEX(Mortality!$B$4:$E$64,MATCH($D36+BI$5-1,Mortality!$A$4:$A$64,0),$U36)*$V36*$N36,0)</f>
        <v>0</v>
      </c>
      <c r="BJ36" s="93">
        <f>IF(AND($T36=1,BJ$5&lt;=$H36),INDEX(Mortality!$B$4:$E$64,MATCH($D36+BJ$5-1,Mortality!$A$4:$A$64,0),$U36)*$V36*$N36,0)</f>
        <v>0</v>
      </c>
      <c r="BK36" s="93">
        <f>IF(AND($T36=1,BK$5&lt;=$H36),INDEX(Mortality!$B$4:$E$64,MATCH($D36+BK$5-1,Mortality!$A$4:$A$64,0),$U36)*$V36*$N36,0)</f>
        <v>0</v>
      </c>
      <c r="BL36" s="93">
        <f>IF(AND($T36=1,BL$5&lt;=$H36),INDEX(Mortality!$B$4:$E$64,MATCH($D36+BL$5-1,Mortality!$A$4:$A$64,0),$U36)*$V36*$N36,0)</f>
        <v>0</v>
      </c>
      <c r="BM36" s="93">
        <f>IF(AND($T36=1,BM$5&lt;=$H36),INDEX(Mortality!$B$4:$E$64,MATCH($D36+BM$5-1,Mortality!$A$4:$A$64,0),$U36)*$V36*$N36,0)</f>
        <v>0</v>
      </c>
      <c r="BN36" s="93">
        <f>IF(AND($T36=1,BN$5&lt;=$H36),INDEX(Mortality!$B$4:$E$64,MATCH($D36+BN$5-1,Mortality!$A$4:$A$64,0),$U36)*$V36*$N36,0)</f>
        <v>0</v>
      </c>
      <c r="BO36" s="93">
        <f>IF(AND($T36=1,BO$5&lt;=$H36),INDEX(Mortality!$B$4:$E$64,MATCH($D36+BO$5-1,Mortality!$A$4:$A$64,0),$U36)*$V36*$N36,0)</f>
        <v>0</v>
      </c>
      <c r="BP36" s="93">
        <f>IF(AND($T36=1,BP$5&lt;=$H36),INDEX(Mortality!$B$4:$E$64,MATCH($D36+BP$5-1,Mortality!$A$4:$A$64,0),$U36)*$V36*$N36,0)</f>
        <v>0</v>
      </c>
      <c r="BQ36" s="93">
        <f>IF(AND($T36=1,BQ$5&lt;=$H36),INDEX(Mortality!$B$4:$E$64,MATCH($D36+BQ$5-1,Mortality!$A$4:$A$64,0),$U36)*$V36*$N36,0)</f>
        <v>0</v>
      </c>
      <c r="BR36" s="93">
        <f>IF(AND($T36=1,BR$5&lt;=$H36),INDEX(Mortality!$B$4:$E$64,MATCH($D36+BR$5-1,Mortality!$A$4:$A$64,0),$U36)*$V36*$N36,0)</f>
        <v>0</v>
      </c>
      <c r="BS36" s="93">
        <f>IF(AND($T36=1,BS$5&lt;=$H36),INDEX(Mortality!$B$4:$E$64,MATCH($D36+BS$5-1,Mortality!$A$4:$A$64,0),$U36)*$V36*$N36,0)</f>
        <v>0</v>
      </c>
      <c r="BT36" s="93">
        <f>IF(AND($T36=1,BT$5&lt;=$H36),INDEX(Mortality!$B$4:$E$64,MATCH($D36+BT$5-1,Mortality!$A$4:$A$64,0),$U36)*$V36*$N36,0)</f>
        <v>0</v>
      </c>
      <c r="BU36" s="93">
        <f>IF(AND($T36=1,BU$5&lt;=$H36),INDEX(Mortality!$B$4:$E$64,MATCH($D36+BU$5-1,Mortality!$A$4:$A$64,0),$U36)*$V36*$N36,0)</f>
        <v>0</v>
      </c>
      <c r="BV36" s="93">
        <f>IF(AND($T36=1,BV$5&lt;=$H36),INDEX(Mortality!$B$4:$E$64,MATCH($D36+BV$5-1,Mortality!$A$4:$A$64,0),$U36)*$V36*$N36,0)</f>
        <v>0</v>
      </c>
      <c r="BW36" s="93">
        <f>IF(AND($T36=1,BW$5&lt;=$H36),INDEX(Mortality!$B$4:$E$64,MATCH($D36+BW$5-1,Mortality!$A$4:$A$64,0),$U36)*$V36*$N36,0)</f>
        <v>0</v>
      </c>
      <c r="BX36" s="93">
        <f>IF(AND($T36=1,BX$5&lt;=$H36),INDEX(Mortality!$B$4:$E$64,MATCH($D36+BX$5-1,Mortality!$A$4:$A$64,0),$U36)*$V36*$N36,0)</f>
        <v>0</v>
      </c>
      <c r="BY36" s="93">
        <f>IF(AND($T36=1,BY$5&lt;=$H36),INDEX(Mortality!$B$4:$E$64,MATCH($D36+BY$5-1,Mortality!$A$4:$A$64,0),$U36)*$V36*$N36,0)</f>
        <v>0</v>
      </c>
      <c r="BZ36" s="93">
        <f>IF(AND($T36=1,BZ$5&lt;=$H36),INDEX(Mortality!$B$4:$E$64,MATCH($D36+BZ$5-1,Mortality!$A$4:$A$64,0),$U36)*$V36*$N36,0)</f>
        <v>0</v>
      </c>
      <c r="CA36" s="93">
        <f>IF(AND($T36=1,CA$5&lt;=$H36),INDEX(Mortality!$B$4:$E$64,MATCH($D36+CA$5-1,Mortality!$A$4:$A$64,0),$U36)*$V36*$N36,0)</f>
        <v>0</v>
      </c>
      <c r="CB36" s="93">
        <f>IF(AND($T36=1,CB$5&lt;=$H36),INDEX(Mortality!$B$4:$E$64,MATCH($D36+CB$5-1,Mortality!$A$4:$A$64,0),$U36)*$V36*$N36,0)</f>
        <v>0</v>
      </c>
      <c r="CC36" s="93">
        <f>IF(AND($T36=1,CC$5&lt;=$H36),INDEX(Mortality!$B$4:$E$64,MATCH($D36+CC$5-1,Mortality!$A$4:$A$64,0),$U36)*$V36*$N36,0)</f>
        <v>0</v>
      </c>
      <c r="CD36" s="93">
        <f>IF(AND($T36=1,CD$5&lt;=$H36),INDEX(Mortality!$B$4:$E$64,MATCH($D36+CD$5-1,Mortality!$A$4:$A$64,0),$U36)*$V36*$N36,0)</f>
        <v>0</v>
      </c>
      <c r="CE36" s="93">
        <f>IF(AND($T36=1,CE$5&lt;=$H36),INDEX(Mortality!$B$4:$E$64,MATCH($D36+CE$5-1,Mortality!$A$4:$A$64,0),$U36)*$V36*$N36,0)</f>
        <v>0</v>
      </c>
      <c r="CF36" s="93">
        <f>IF(AND($T36=1,CF$5&lt;=$H36),INDEX(Mortality!$B$4:$E$64,MATCH($D36+CF$5-1,Mortality!$A$4:$A$64,0),$U36)*$V36*$N36,0)</f>
        <v>0</v>
      </c>
      <c r="CG36" s="93">
        <f>IF(AND($T36=1,CG$5&lt;=$H36),INDEX(Mortality!$B$4:$E$64,MATCH($D36+CG$5-1,Mortality!$A$4:$A$64,0),$U36)*$V36*$N36,0)</f>
        <v>0</v>
      </c>
      <c r="CH36" s="94">
        <f>IF(AND($T36=1,CH$5&lt;=$H36),INDEX(Mortality!$B$4:$E$64,MATCH($D36+CH$5-1,Mortality!$A$4:$A$64,0),$U36)*$V36*$N36,0)</f>
        <v>0</v>
      </c>
      <c r="CI36" s="26"/>
      <c r="CJ36" s="419">
        <f t="shared" si="35"/>
        <v>1</v>
      </c>
      <c r="CK36" s="93">
        <f>IF(AND($T36=1,CK$5&lt;=$H36),CJ36*(1-AU36)*(1-MIN(1,MAX(Assumptions!$C$27,Assumptions!$C$13*Assumptions!$C$28^(CJ$5-1))*$O36)),0)</f>
        <v>0.8787893710683734</v>
      </c>
      <c r="CL36" s="93">
        <f>IF(AND($T36=1,CL$5&lt;=$H36),CK36*(1-AV36)*(1-MIN(1,MAX(Assumptions!$C$27,Assumptions!$C$13*Assumptions!$C$28^(CK$5-1))*$O36)),0)</f>
        <v>0.78797678550316042</v>
      </c>
      <c r="CM36" s="93">
        <f>IF(AND($T36=1,CM$5&lt;=$H36),CL36*(1-AW36)*(1-MIN(1,MAX(Assumptions!$C$27,Assumptions!$C$13*Assumptions!$C$28^(CL$5-1))*$O36)),0)</f>
        <v>0.71849736876796544</v>
      </c>
      <c r="CN36" s="93">
        <f>IF(AND($T36=1,CN$5&lt;=$H36),CM36*(1-AX36)*(1-MIN(1,MAX(Assumptions!$C$27,Assumptions!$C$13*Assumptions!$C$28^(CM$5-1))*$O36)),0)</f>
        <v>0.66438374467689731</v>
      </c>
      <c r="CO36" s="93">
        <f>IF(AND($T36=1,CO$5&lt;=$H36),CN36*(1-AY36)*(1-MIN(1,MAX(Assumptions!$C$27,Assumptions!$C$13*Assumptions!$C$28^(CN$5-1))*$O36)),0)</f>
        <v>0.62158639622851874</v>
      </c>
      <c r="CP36" s="93">
        <f>IF(AND($T36=1,CP$5&lt;=$H36),CO36*(1-AZ36)*(1-MIN(1,MAX(Assumptions!$C$27,Assumptions!$C$13*Assumptions!$C$28^(CO$5-1))*$O36)),0)</f>
        <v>0.5872824805325495</v>
      </c>
      <c r="CQ36" s="93">
        <f>IF(AND($T36=1,CQ$5&lt;=$H36),CP36*(1-BA36)*(1-MIN(1,MAX(Assumptions!$C$27,Assumptions!$C$13*Assumptions!$C$28^(CP$5-1))*$O36)),0)</f>
        <v>0.55945669649286567</v>
      </c>
      <c r="CR36" s="93">
        <f>IF(AND($T36=1,CR$5&lt;=$H36),CQ36*(1-BB36)*(1-MIN(1,MAX(Assumptions!$C$27,Assumptions!$C$13*Assumptions!$C$28^(CQ$5-1))*$O36)),0)</f>
        <v>0.53663924050237832</v>
      </c>
      <c r="CS36" s="93">
        <f>IF(AND($T36=1,CS$5&lt;=$H36),CR36*(1-BC36)*(1-MIN(1,MAX(Assumptions!$C$27,Assumptions!$C$13*Assumptions!$C$28^(CR$5-1))*$O36)),0)</f>
        <v>0.51773742850058724</v>
      </c>
      <c r="CT36" s="93">
        <f>IF(AND($T36=1,CT$5&lt;=$H36),CS36*(1-BD36)*(1-MIN(1,MAX(Assumptions!$C$27,Assumptions!$C$13*Assumptions!$C$28^(CS$5-1))*$O36)),0)</f>
        <v>0</v>
      </c>
      <c r="CU36" s="93">
        <f>IF(AND($T36=1,CU$5&lt;=$H36),CT36*(1-BE36)*(1-MIN(1,MAX(Assumptions!$C$27,Assumptions!$C$13*Assumptions!$C$28^(CT$5-1))*$O36)),0)</f>
        <v>0</v>
      </c>
      <c r="CV36" s="93">
        <f>IF(AND($T36=1,CV$5&lt;=$H36),CU36*(1-BF36)*(1-MIN(1,MAX(Assumptions!$C$27,Assumptions!$C$13*Assumptions!$C$28^(CU$5-1))*$O36)),0)</f>
        <v>0</v>
      </c>
      <c r="CW36" s="93">
        <f>IF(AND($T36=1,CW$5&lt;=$H36),CV36*(1-BG36)*(1-MIN(1,MAX(Assumptions!$C$27,Assumptions!$C$13*Assumptions!$C$28^(CV$5-1))*$O36)),0)</f>
        <v>0</v>
      </c>
      <c r="CX36" s="93">
        <f>IF(AND($T36=1,CX$5&lt;=$H36),CW36*(1-BH36)*(1-MIN(1,MAX(Assumptions!$C$27,Assumptions!$C$13*Assumptions!$C$28^(CW$5-1))*$O36)),0)</f>
        <v>0</v>
      </c>
      <c r="CY36" s="93">
        <f>IF(AND($T36=1,CY$5&lt;=$H36),CX36*(1-BI36)*(1-MIN(1,MAX(Assumptions!$C$27,Assumptions!$C$13*Assumptions!$C$28^(CX$5-1))*$O36)),0)</f>
        <v>0</v>
      </c>
      <c r="CZ36" s="93">
        <f>IF(AND($T36=1,CZ$5&lt;=$H36),CY36*(1-BJ36)*(1-MIN(1,MAX(Assumptions!$C$27,Assumptions!$C$13*Assumptions!$C$28^(CY$5-1))*$O36)),0)</f>
        <v>0</v>
      </c>
      <c r="DA36" s="93">
        <f>IF(AND($T36=1,DA$5&lt;=$H36),CZ36*(1-BK36)*(1-MIN(1,MAX(Assumptions!$C$27,Assumptions!$C$13*Assumptions!$C$28^(CZ$5-1))*$O36)),0)</f>
        <v>0</v>
      </c>
      <c r="DB36" s="93">
        <f>IF(AND($T36=1,DB$5&lt;=$H36),DA36*(1-BL36)*(1-MIN(1,MAX(Assumptions!$C$27,Assumptions!$C$13*Assumptions!$C$28^(DA$5-1))*$O36)),0)</f>
        <v>0</v>
      </c>
      <c r="DC36" s="93">
        <f>IF(AND($T36=1,DC$5&lt;=$H36),DB36*(1-BM36)*(1-MIN(1,MAX(Assumptions!$C$27,Assumptions!$C$13*Assumptions!$C$28^(DB$5-1))*$O36)),0)</f>
        <v>0</v>
      </c>
      <c r="DD36" s="93">
        <f>IF(AND($T36=1,DD$5&lt;=$H36),DC36*(1-BN36)*(1-MIN(1,MAX(Assumptions!$C$27,Assumptions!$C$13*Assumptions!$C$28^(DC$5-1))*$O36)),0)</f>
        <v>0</v>
      </c>
      <c r="DE36" s="93">
        <f>IF(AND($T36=1,DE$5&lt;=$H36),DD36*(1-BO36)*(1-MIN(1,MAX(Assumptions!$C$27,Assumptions!$C$13*Assumptions!$C$28^(DD$5-1))*$O36)),0)</f>
        <v>0</v>
      </c>
      <c r="DF36" s="93">
        <f>IF(AND($T36=1,DF$5&lt;=$H36),DE36*(1-BP36)*(1-MIN(1,MAX(Assumptions!$C$27,Assumptions!$C$13*Assumptions!$C$28^(DE$5-1))*$O36)),0)</f>
        <v>0</v>
      </c>
      <c r="DG36" s="93">
        <f>IF(AND($T36=1,DG$5&lt;=$H36),DF36*(1-BQ36)*(1-MIN(1,MAX(Assumptions!$C$27,Assumptions!$C$13*Assumptions!$C$28^(DF$5-1))*$O36)),0)</f>
        <v>0</v>
      </c>
      <c r="DH36" s="93">
        <f>IF(AND($T36=1,DH$5&lt;=$H36),DG36*(1-BR36)*(1-MIN(1,MAX(Assumptions!$C$27,Assumptions!$C$13*Assumptions!$C$28^(DG$5-1))*$O36)),0)</f>
        <v>0</v>
      </c>
      <c r="DI36" s="93">
        <f>IF(AND($T36=1,DI$5&lt;=$H36),DH36*(1-BS36)*(1-MIN(1,MAX(Assumptions!$C$27,Assumptions!$C$13*Assumptions!$C$28^(DH$5-1))*$O36)),0)</f>
        <v>0</v>
      </c>
      <c r="DJ36" s="93">
        <f>IF(AND($T36=1,DJ$5&lt;=$H36),DI36*(1-BT36)*(1-MIN(1,MAX(Assumptions!$C$27,Assumptions!$C$13*Assumptions!$C$28^(DI$5-1))*$O36)),0)</f>
        <v>0</v>
      </c>
      <c r="DK36" s="93">
        <f>IF(AND($T36=1,DK$5&lt;=$H36),DJ36*(1-BU36)*(1-MIN(1,MAX(Assumptions!$C$27,Assumptions!$C$13*Assumptions!$C$28^(DJ$5-1))*$O36)),0)</f>
        <v>0</v>
      </c>
      <c r="DL36" s="93">
        <f>IF(AND($T36=1,DL$5&lt;=$H36),DK36*(1-BV36)*(1-MIN(1,MAX(Assumptions!$C$27,Assumptions!$C$13*Assumptions!$C$28^(DK$5-1))*$O36)),0)</f>
        <v>0</v>
      </c>
      <c r="DM36" s="93">
        <f>IF(AND($T36=1,DM$5&lt;=$H36),DL36*(1-BW36)*(1-MIN(1,MAX(Assumptions!$C$27,Assumptions!$C$13*Assumptions!$C$28^(DL$5-1))*$O36)),0)</f>
        <v>0</v>
      </c>
      <c r="DN36" s="93">
        <f>IF(AND($T36=1,DN$5&lt;=$H36),DM36*(1-BX36)*(1-MIN(1,MAX(Assumptions!$C$27,Assumptions!$C$13*Assumptions!$C$28^(DM$5-1))*$O36)),0)</f>
        <v>0</v>
      </c>
      <c r="DO36" s="93">
        <f>IF(AND($T36=1,DO$5&lt;=$H36),DN36*(1-BY36)*(1-MIN(1,MAX(Assumptions!$C$27,Assumptions!$C$13*Assumptions!$C$28^(DN$5-1))*$O36)),0)</f>
        <v>0</v>
      </c>
      <c r="DP36" s="93">
        <f>IF(AND($T36=1,DP$5&lt;=$H36),DO36*(1-BZ36)*(1-MIN(1,MAX(Assumptions!$C$27,Assumptions!$C$13*Assumptions!$C$28^(DO$5-1))*$O36)),0)</f>
        <v>0</v>
      </c>
      <c r="DQ36" s="93">
        <f>IF(AND($T36=1,DQ$5&lt;=$H36),DP36*(1-CA36)*(1-MIN(1,MAX(Assumptions!$C$27,Assumptions!$C$13*Assumptions!$C$28^(DP$5-1))*$O36)),0)</f>
        <v>0</v>
      </c>
      <c r="DR36" s="93">
        <f>IF(AND($T36=1,DR$5&lt;=$H36),DQ36*(1-CB36)*(1-MIN(1,MAX(Assumptions!$C$27,Assumptions!$C$13*Assumptions!$C$28^(DQ$5-1))*$O36)),0)</f>
        <v>0</v>
      </c>
      <c r="DS36" s="93">
        <f>IF(AND($T36=1,DS$5&lt;=$H36),DR36*(1-CC36)*(1-MIN(1,MAX(Assumptions!$C$27,Assumptions!$C$13*Assumptions!$C$28^(DR$5-1))*$O36)),0)</f>
        <v>0</v>
      </c>
      <c r="DT36" s="93">
        <f>IF(AND($T36=1,DT$5&lt;=$H36),DS36*(1-CD36)*(1-MIN(1,MAX(Assumptions!$C$27,Assumptions!$C$13*Assumptions!$C$28^(DS$5-1))*$O36)),0)</f>
        <v>0</v>
      </c>
      <c r="DU36" s="93">
        <f>IF(AND($T36=1,DU$5&lt;=$H36),DT36*(1-CE36)*(1-MIN(1,MAX(Assumptions!$C$27,Assumptions!$C$13*Assumptions!$C$28^(DT$5-1))*$O36)),0)</f>
        <v>0</v>
      </c>
      <c r="DV36" s="93">
        <f>IF(AND($T36=1,DV$5&lt;=$H36),DU36*(1-CF36)*(1-MIN(1,MAX(Assumptions!$C$27,Assumptions!$C$13*Assumptions!$C$28^(DU$5-1))*$O36)),0)</f>
        <v>0</v>
      </c>
      <c r="DW36" s="94">
        <f>IF(AND($T36=1,DW$5&lt;=$H36),DV36*(1-CG36)*(1-MIN(1,MAX(Assumptions!$C$27,Assumptions!$C$13*Assumptions!$C$28^(DV$5-1))*$O36)),0)</f>
        <v>0</v>
      </c>
      <c r="DX36" s="26"/>
      <c r="DY36" s="399">
        <f>'Policy Data'!K10</f>
        <v>1</v>
      </c>
      <c r="DZ36" s="100">
        <f>'Policy Data'!L10</f>
        <v>0.60629999999999995</v>
      </c>
      <c r="EA36" s="100">
        <f>'Policy Data'!N10</f>
        <v>8.34E-4</v>
      </c>
      <c r="EB36" s="93" cm="1">
        <f t="array" ref="EB36">IFERROR(DZ36*INDEX(Mortality!$B$4:$E$64,MATCH(D36+DY36-1,Mortality!$A$4:$A$64,0),U36)*V36,0)</f>
        <v>8.3409581959684057E-4</v>
      </c>
      <c r="EC36" s="100">
        <f>'Policy Data'!O10</f>
        <v>0</v>
      </c>
      <c r="ED36" s="400">
        <f>'Policy Data'!Q10</f>
        <v>0</v>
      </c>
    </row>
    <row r="37" spans="1:134" x14ac:dyDescent="0.3">
      <c r="A37" s="399" t="str">
        <f>'Policy Data'!A11</f>
        <v>POL100007</v>
      </c>
      <c r="B37" s="26" t="s">
        <v>426</v>
      </c>
      <c r="C37" s="100" t="str">
        <f>'Policy Data'!B11</f>
        <v>Unit-Linked</v>
      </c>
      <c r="D37" s="100">
        <f>'Policy Data'!C11</f>
        <v>57</v>
      </c>
      <c r="E37" s="100" t="str">
        <f>'Policy Data'!D11</f>
        <v>Male</v>
      </c>
      <c r="F37" s="100" t="str">
        <f>'Policy Data'!E11</f>
        <v>Non-smoker</v>
      </c>
      <c r="G37" s="100" t="str">
        <f>'Policy Data'!F11</f>
        <v>Preferred</v>
      </c>
      <c r="H37" s="100">
        <f>'Policy Data'!G11</f>
        <v>15</v>
      </c>
      <c r="I37" s="279">
        <f>'Policy Data'!H11</f>
        <v>500000</v>
      </c>
      <c r="J37" s="100" t="str">
        <f>'Policy Data'!I11</f>
        <v>Monthly</v>
      </c>
      <c r="K37" s="100" t="str">
        <f>'Policy Data'!J11</f>
        <v>Broker</v>
      </c>
      <c r="L37" s="26" t="s">
        <v>389</v>
      </c>
      <c r="M37" s="106">
        <f>'Policy Data'!R11</f>
        <v>12562.62</v>
      </c>
      <c r="N37" s="415">
        <f>Assumptions!$C$21</f>
        <v>1</v>
      </c>
      <c r="O37" s="415">
        <f>Assumptions!$C$22</f>
        <v>1</v>
      </c>
      <c r="P37" s="415">
        <f>Assumptions!$C$23</f>
        <v>1</v>
      </c>
      <c r="Q37" s="416">
        <f>Assumptions!$C$24</f>
        <v>0</v>
      </c>
      <c r="R37" s="416">
        <f>Assumptions!$C$6+Assumptions!$C$25</f>
        <v>3.5000000000000003E-2</v>
      </c>
      <c r="S37" s="416">
        <f>Assumptions!$C$15</f>
        <v>1.1000000000000001E-3</v>
      </c>
      <c r="T37" s="26">
        <f t="shared" si="18"/>
        <v>0</v>
      </c>
      <c r="U37" s="26">
        <f t="shared" si="19"/>
        <v>3</v>
      </c>
      <c r="V37" s="389">
        <f>IF($G37="Preferred",Assumptions!$C$30,IF($G37="Rated",Assumptions!$C$31,1))</f>
        <v>0.8</v>
      </c>
      <c r="W37" s="390">
        <f>IF($K37="Direct",Assumptions!$C$32,IF($K37="Broker",Assumptions!$C$33,IF($K37="Bancassurance",Assumptions!$C$34,Assumptions!$C$11)))+$Q37</f>
        <v>0.25</v>
      </c>
      <c r="X37" s="390">
        <f>Assumptions!$C$12+$Q37</f>
        <v>0.05</v>
      </c>
      <c r="Y37" s="131">
        <f>MIN($I37,Assumptions!$C$14)</f>
        <v>500000</v>
      </c>
      <c r="Z37" s="131">
        <f>MAX($I37-Assumptions!$C$14,0)</f>
        <v>0</v>
      </c>
      <c r="AA37" s="389">
        <f t="shared" si="20"/>
        <v>0</v>
      </c>
      <c r="AB37" s="389">
        <f t="shared" si="21"/>
        <v>0</v>
      </c>
      <c r="AC37" s="389">
        <f>IF($T37=1,SUMPRODUCT($CJ37:$DW37,(1+Assumptions!$C$5)^($CJ$5:$DW$5-1),(1+$R37)^(-$CJ$5:$DW$5)),0)</f>
        <v>0</v>
      </c>
      <c r="AD37" s="389">
        <f t="shared" si="22"/>
        <v>0</v>
      </c>
      <c r="AE37" s="131">
        <f>IF($T37=1,$AB37*$Y37+(Assumptions!$C$9/(1+$R37)+Assumptions!$C$10*$AC37)*$P37+$S37*$Z37*$AA37,0)</f>
        <v>0</v>
      </c>
      <c r="AF37" s="131" t="str">
        <f>IF($T37=1,IF($AA37-$AD37-Assumptions!$C$16*$AA37&gt;0,$AE37/($AA37-$AD37-Assumptions!$C$16*$AA37)*IF($J37="Monthly",1+Assumptions!$C$29,1),"n.a."),"")</f>
        <v/>
      </c>
      <c r="AG37" s="131" t="str">
        <f t="shared" si="23"/>
        <v/>
      </c>
      <c r="AH37" s="131" t="str">
        <f t="shared" si="24"/>
        <v/>
      </c>
      <c r="AI37" s="131" t="str">
        <f t="shared" si="25"/>
        <v/>
      </c>
      <c r="AJ37" s="390" t="str">
        <f t="shared" si="26"/>
        <v/>
      </c>
      <c r="AK37" s="389" t="str">
        <f t="shared" si="27"/>
        <v/>
      </c>
      <c r="AL37" s="131" t="str">
        <f t="shared" si="28"/>
        <v/>
      </c>
      <c r="AM37" s="131" t="str">
        <f t="shared" si="29"/>
        <v/>
      </c>
      <c r="AN37" s="131" t="str">
        <f t="shared" si="30"/>
        <v/>
      </c>
      <c r="AO37" s="131" t="str">
        <f t="shared" si="31"/>
        <v/>
      </c>
      <c r="AP37" s="26" t="str">
        <f t="shared" si="32"/>
        <v>50-59</v>
      </c>
      <c r="AQ37" s="26" t="str">
        <f t="shared" si="33"/>
        <v>250k-500k</v>
      </c>
      <c r="AR37" s="26" t="str">
        <f>IF($T37=1,IF($AI37&lt;0,"Loss-making",IF($AJ37&lt;Assumptions!$C$16-0.00001,"Below target","At/above target")),"Excluded")</f>
        <v>Excluded</v>
      </c>
      <c r="AS37" s="103">
        <f t="shared" si="34"/>
        <v>9.9999999999999997E+98</v>
      </c>
      <c r="AT37" s="26"/>
      <c r="AU37" s="419">
        <f>IF(AND($T37=1,AU$5&lt;=$H37),INDEX(Mortality!$B$4:$E$64,MATCH($D37+AU$5-1,Mortality!$A$4:$A$64,0),$U37)*$V37*$N37,0)</f>
        <v>0</v>
      </c>
      <c r="AV37" s="93">
        <f>IF(AND($T37=1,AV$5&lt;=$H37),INDEX(Mortality!$B$4:$E$64,MATCH($D37+AV$5-1,Mortality!$A$4:$A$64,0),$U37)*$V37*$N37,0)</f>
        <v>0</v>
      </c>
      <c r="AW37" s="93">
        <f>IF(AND($T37=1,AW$5&lt;=$H37),INDEX(Mortality!$B$4:$E$64,MATCH($D37+AW$5-1,Mortality!$A$4:$A$64,0),$U37)*$V37*$N37,0)</f>
        <v>0</v>
      </c>
      <c r="AX37" s="93">
        <f>IF(AND($T37=1,AX$5&lt;=$H37),INDEX(Mortality!$B$4:$E$64,MATCH($D37+AX$5-1,Mortality!$A$4:$A$64,0),$U37)*$V37*$N37,0)</f>
        <v>0</v>
      </c>
      <c r="AY37" s="93">
        <f>IF(AND($T37=1,AY$5&lt;=$H37),INDEX(Mortality!$B$4:$E$64,MATCH($D37+AY$5-1,Mortality!$A$4:$A$64,0),$U37)*$V37*$N37,0)</f>
        <v>0</v>
      </c>
      <c r="AZ37" s="93">
        <f>IF(AND($T37=1,AZ$5&lt;=$H37),INDEX(Mortality!$B$4:$E$64,MATCH($D37+AZ$5-1,Mortality!$A$4:$A$64,0),$U37)*$V37*$N37,0)</f>
        <v>0</v>
      </c>
      <c r="BA37" s="93">
        <f>IF(AND($T37=1,BA$5&lt;=$H37),INDEX(Mortality!$B$4:$E$64,MATCH($D37+BA$5-1,Mortality!$A$4:$A$64,0),$U37)*$V37*$N37,0)</f>
        <v>0</v>
      </c>
      <c r="BB37" s="93">
        <f>IF(AND($T37=1,BB$5&lt;=$H37),INDEX(Mortality!$B$4:$E$64,MATCH($D37+BB$5-1,Mortality!$A$4:$A$64,0),$U37)*$V37*$N37,0)</f>
        <v>0</v>
      </c>
      <c r="BC37" s="93">
        <f>IF(AND($T37=1,BC$5&lt;=$H37),INDEX(Mortality!$B$4:$E$64,MATCH($D37+BC$5-1,Mortality!$A$4:$A$64,0),$U37)*$V37*$N37,0)</f>
        <v>0</v>
      </c>
      <c r="BD37" s="93">
        <f>IF(AND($T37=1,BD$5&lt;=$H37),INDEX(Mortality!$B$4:$E$64,MATCH($D37+BD$5-1,Mortality!$A$4:$A$64,0),$U37)*$V37*$N37,0)</f>
        <v>0</v>
      </c>
      <c r="BE37" s="93">
        <f>IF(AND($T37=1,BE$5&lt;=$H37),INDEX(Mortality!$B$4:$E$64,MATCH($D37+BE$5-1,Mortality!$A$4:$A$64,0),$U37)*$V37*$N37,0)</f>
        <v>0</v>
      </c>
      <c r="BF37" s="93">
        <f>IF(AND($T37=1,BF$5&lt;=$H37),INDEX(Mortality!$B$4:$E$64,MATCH($D37+BF$5-1,Mortality!$A$4:$A$64,0),$U37)*$V37*$N37,0)</f>
        <v>0</v>
      </c>
      <c r="BG37" s="93">
        <f>IF(AND($T37=1,BG$5&lt;=$H37),INDEX(Mortality!$B$4:$E$64,MATCH($D37+BG$5-1,Mortality!$A$4:$A$64,0),$U37)*$V37*$N37,0)</f>
        <v>0</v>
      </c>
      <c r="BH37" s="93">
        <f>IF(AND($T37=1,BH$5&lt;=$H37),INDEX(Mortality!$B$4:$E$64,MATCH($D37+BH$5-1,Mortality!$A$4:$A$64,0),$U37)*$V37*$N37,0)</f>
        <v>0</v>
      </c>
      <c r="BI37" s="93">
        <f>IF(AND($T37=1,BI$5&lt;=$H37),INDEX(Mortality!$B$4:$E$64,MATCH($D37+BI$5-1,Mortality!$A$4:$A$64,0),$U37)*$V37*$N37,0)</f>
        <v>0</v>
      </c>
      <c r="BJ37" s="93">
        <f>IF(AND($T37=1,BJ$5&lt;=$H37),INDEX(Mortality!$B$4:$E$64,MATCH($D37+BJ$5-1,Mortality!$A$4:$A$64,0),$U37)*$V37*$N37,0)</f>
        <v>0</v>
      </c>
      <c r="BK37" s="93">
        <f>IF(AND($T37=1,BK$5&lt;=$H37),INDEX(Mortality!$B$4:$E$64,MATCH($D37+BK$5-1,Mortality!$A$4:$A$64,0),$U37)*$V37*$N37,0)</f>
        <v>0</v>
      </c>
      <c r="BL37" s="93">
        <f>IF(AND($T37=1,BL$5&lt;=$H37),INDEX(Mortality!$B$4:$E$64,MATCH($D37+BL$5-1,Mortality!$A$4:$A$64,0),$U37)*$V37*$N37,0)</f>
        <v>0</v>
      </c>
      <c r="BM37" s="93">
        <f>IF(AND($T37=1,BM$5&lt;=$H37),INDEX(Mortality!$B$4:$E$64,MATCH($D37+BM$5-1,Mortality!$A$4:$A$64,0),$U37)*$V37*$N37,0)</f>
        <v>0</v>
      </c>
      <c r="BN37" s="93">
        <f>IF(AND($T37=1,BN$5&lt;=$H37),INDEX(Mortality!$B$4:$E$64,MATCH($D37+BN$5-1,Mortality!$A$4:$A$64,0),$U37)*$V37*$N37,0)</f>
        <v>0</v>
      </c>
      <c r="BO37" s="93">
        <f>IF(AND($T37=1,BO$5&lt;=$H37),INDEX(Mortality!$B$4:$E$64,MATCH($D37+BO$5-1,Mortality!$A$4:$A$64,0),$U37)*$V37*$N37,0)</f>
        <v>0</v>
      </c>
      <c r="BP37" s="93">
        <f>IF(AND($T37=1,BP$5&lt;=$H37),INDEX(Mortality!$B$4:$E$64,MATCH($D37+BP$5-1,Mortality!$A$4:$A$64,0),$U37)*$V37*$N37,0)</f>
        <v>0</v>
      </c>
      <c r="BQ37" s="93">
        <f>IF(AND($T37=1,BQ$5&lt;=$H37),INDEX(Mortality!$B$4:$E$64,MATCH($D37+BQ$5-1,Mortality!$A$4:$A$64,0),$U37)*$V37*$N37,0)</f>
        <v>0</v>
      </c>
      <c r="BR37" s="93">
        <f>IF(AND($T37=1,BR$5&lt;=$H37),INDEX(Mortality!$B$4:$E$64,MATCH($D37+BR$5-1,Mortality!$A$4:$A$64,0),$U37)*$V37*$N37,0)</f>
        <v>0</v>
      </c>
      <c r="BS37" s="93">
        <f>IF(AND($T37=1,BS$5&lt;=$H37),INDEX(Mortality!$B$4:$E$64,MATCH($D37+BS$5-1,Mortality!$A$4:$A$64,0),$U37)*$V37*$N37,0)</f>
        <v>0</v>
      </c>
      <c r="BT37" s="93">
        <f>IF(AND($T37=1,BT$5&lt;=$H37),INDEX(Mortality!$B$4:$E$64,MATCH($D37+BT$5-1,Mortality!$A$4:$A$64,0),$U37)*$V37*$N37,0)</f>
        <v>0</v>
      </c>
      <c r="BU37" s="93">
        <f>IF(AND($T37=1,BU$5&lt;=$H37),INDEX(Mortality!$B$4:$E$64,MATCH($D37+BU$5-1,Mortality!$A$4:$A$64,0),$U37)*$V37*$N37,0)</f>
        <v>0</v>
      </c>
      <c r="BV37" s="93">
        <f>IF(AND($T37=1,BV$5&lt;=$H37),INDEX(Mortality!$B$4:$E$64,MATCH($D37+BV$5-1,Mortality!$A$4:$A$64,0),$U37)*$V37*$N37,0)</f>
        <v>0</v>
      </c>
      <c r="BW37" s="93">
        <f>IF(AND($T37=1,BW$5&lt;=$H37),INDEX(Mortality!$B$4:$E$64,MATCH($D37+BW$5-1,Mortality!$A$4:$A$64,0),$U37)*$V37*$N37,0)</f>
        <v>0</v>
      </c>
      <c r="BX37" s="93">
        <f>IF(AND($T37=1,BX$5&lt;=$H37),INDEX(Mortality!$B$4:$E$64,MATCH($D37+BX$5-1,Mortality!$A$4:$A$64,0),$U37)*$V37*$N37,0)</f>
        <v>0</v>
      </c>
      <c r="BY37" s="93">
        <f>IF(AND($T37=1,BY$5&lt;=$H37),INDEX(Mortality!$B$4:$E$64,MATCH($D37+BY$5-1,Mortality!$A$4:$A$64,0),$U37)*$V37*$N37,0)</f>
        <v>0</v>
      </c>
      <c r="BZ37" s="93">
        <f>IF(AND($T37=1,BZ$5&lt;=$H37),INDEX(Mortality!$B$4:$E$64,MATCH($D37+BZ$5-1,Mortality!$A$4:$A$64,0),$U37)*$V37*$N37,0)</f>
        <v>0</v>
      </c>
      <c r="CA37" s="93">
        <f>IF(AND($T37=1,CA$5&lt;=$H37),INDEX(Mortality!$B$4:$E$64,MATCH($D37+CA$5-1,Mortality!$A$4:$A$64,0),$U37)*$V37*$N37,0)</f>
        <v>0</v>
      </c>
      <c r="CB37" s="93">
        <f>IF(AND($T37=1,CB$5&lt;=$H37),INDEX(Mortality!$B$4:$E$64,MATCH($D37+CB$5-1,Mortality!$A$4:$A$64,0),$U37)*$V37*$N37,0)</f>
        <v>0</v>
      </c>
      <c r="CC37" s="93">
        <f>IF(AND($T37=1,CC$5&lt;=$H37),INDEX(Mortality!$B$4:$E$64,MATCH($D37+CC$5-1,Mortality!$A$4:$A$64,0),$U37)*$V37*$N37,0)</f>
        <v>0</v>
      </c>
      <c r="CD37" s="93">
        <f>IF(AND($T37=1,CD$5&lt;=$H37),INDEX(Mortality!$B$4:$E$64,MATCH($D37+CD$5-1,Mortality!$A$4:$A$64,0),$U37)*$V37*$N37,0)</f>
        <v>0</v>
      </c>
      <c r="CE37" s="93">
        <f>IF(AND($T37=1,CE$5&lt;=$H37),INDEX(Mortality!$B$4:$E$64,MATCH($D37+CE$5-1,Mortality!$A$4:$A$64,0),$U37)*$V37*$N37,0)</f>
        <v>0</v>
      </c>
      <c r="CF37" s="93">
        <f>IF(AND($T37=1,CF$5&lt;=$H37),INDEX(Mortality!$B$4:$E$64,MATCH($D37+CF$5-1,Mortality!$A$4:$A$64,0),$U37)*$V37*$N37,0)</f>
        <v>0</v>
      </c>
      <c r="CG37" s="93">
        <f>IF(AND($T37=1,CG$5&lt;=$H37),INDEX(Mortality!$B$4:$E$64,MATCH($D37+CG$5-1,Mortality!$A$4:$A$64,0),$U37)*$V37*$N37,0)</f>
        <v>0</v>
      </c>
      <c r="CH37" s="94">
        <f>IF(AND($T37=1,CH$5&lt;=$H37),INDEX(Mortality!$B$4:$E$64,MATCH($D37+CH$5-1,Mortality!$A$4:$A$64,0),$U37)*$V37*$N37,0)</f>
        <v>0</v>
      </c>
      <c r="CI37" s="26"/>
      <c r="CJ37" s="419">
        <f t="shared" si="35"/>
        <v>0</v>
      </c>
      <c r="CK37" s="93">
        <f>IF(AND($T37=1,CK$5&lt;=$H37),CJ37*(1-AU37)*(1-MIN(1,MAX(Assumptions!$C$27,Assumptions!$C$13*Assumptions!$C$28^(CJ$5-1))*$O37)),0)</f>
        <v>0</v>
      </c>
      <c r="CL37" s="93">
        <f>IF(AND($T37=1,CL$5&lt;=$H37),CK37*(1-AV37)*(1-MIN(1,MAX(Assumptions!$C$27,Assumptions!$C$13*Assumptions!$C$28^(CK$5-1))*$O37)),0)</f>
        <v>0</v>
      </c>
      <c r="CM37" s="93">
        <f>IF(AND($T37=1,CM$5&lt;=$H37),CL37*(1-AW37)*(1-MIN(1,MAX(Assumptions!$C$27,Assumptions!$C$13*Assumptions!$C$28^(CL$5-1))*$O37)),0)</f>
        <v>0</v>
      </c>
      <c r="CN37" s="93">
        <f>IF(AND($T37=1,CN$5&lt;=$H37),CM37*(1-AX37)*(1-MIN(1,MAX(Assumptions!$C$27,Assumptions!$C$13*Assumptions!$C$28^(CM$5-1))*$O37)),0)</f>
        <v>0</v>
      </c>
      <c r="CO37" s="93">
        <f>IF(AND($T37=1,CO$5&lt;=$H37),CN37*(1-AY37)*(1-MIN(1,MAX(Assumptions!$C$27,Assumptions!$C$13*Assumptions!$C$28^(CN$5-1))*$O37)),0)</f>
        <v>0</v>
      </c>
      <c r="CP37" s="93">
        <f>IF(AND($T37=1,CP$5&lt;=$H37),CO37*(1-AZ37)*(1-MIN(1,MAX(Assumptions!$C$27,Assumptions!$C$13*Assumptions!$C$28^(CO$5-1))*$O37)),0)</f>
        <v>0</v>
      </c>
      <c r="CQ37" s="93">
        <f>IF(AND($T37=1,CQ$5&lt;=$H37),CP37*(1-BA37)*(1-MIN(1,MAX(Assumptions!$C$27,Assumptions!$C$13*Assumptions!$C$28^(CP$5-1))*$O37)),0)</f>
        <v>0</v>
      </c>
      <c r="CR37" s="93">
        <f>IF(AND($T37=1,CR$5&lt;=$H37),CQ37*(1-BB37)*(1-MIN(1,MAX(Assumptions!$C$27,Assumptions!$C$13*Assumptions!$C$28^(CQ$5-1))*$O37)),0)</f>
        <v>0</v>
      </c>
      <c r="CS37" s="93">
        <f>IF(AND($T37=1,CS$5&lt;=$H37),CR37*(1-BC37)*(1-MIN(1,MAX(Assumptions!$C$27,Assumptions!$C$13*Assumptions!$C$28^(CR$5-1))*$O37)),0)</f>
        <v>0</v>
      </c>
      <c r="CT37" s="93">
        <f>IF(AND($T37=1,CT$5&lt;=$H37),CS37*(1-BD37)*(1-MIN(1,MAX(Assumptions!$C$27,Assumptions!$C$13*Assumptions!$C$28^(CS$5-1))*$O37)),0)</f>
        <v>0</v>
      </c>
      <c r="CU37" s="93">
        <f>IF(AND($T37=1,CU$5&lt;=$H37),CT37*(1-BE37)*(1-MIN(1,MAX(Assumptions!$C$27,Assumptions!$C$13*Assumptions!$C$28^(CT$5-1))*$O37)),0)</f>
        <v>0</v>
      </c>
      <c r="CV37" s="93">
        <f>IF(AND($T37=1,CV$5&lt;=$H37),CU37*(1-BF37)*(1-MIN(1,MAX(Assumptions!$C$27,Assumptions!$C$13*Assumptions!$C$28^(CU$5-1))*$O37)),0)</f>
        <v>0</v>
      </c>
      <c r="CW37" s="93">
        <f>IF(AND($T37=1,CW$5&lt;=$H37),CV37*(1-BG37)*(1-MIN(1,MAX(Assumptions!$C$27,Assumptions!$C$13*Assumptions!$C$28^(CV$5-1))*$O37)),0)</f>
        <v>0</v>
      </c>
      <c r="CX37" s="93">
        <f>IF(AND($T37=1,CX$5&lt;=$H37),CW37*(1-BH37)*(1-MIN(1,MAX(Assumptions!$C$27,Assumptions!$C$13*Assumptions!$C$28^(CW$5-1))*$O37)),0)</f>
        <v>0</v>
      </c>
      <c r="CY37" s="93">
        <f>IF(AND($T37=1,CY$5&lt;=$H37),CX37*(1-BI37)*(1-MIN(1,MAX(Assumptions!$C$27,Assumptions!$C$13*Assumptions!$C$28^(CX$5-1))*$O37)),0)</f>
        <v>0</v>
      </c>
      <c r="CZ37" s="93">
        <f>IF(AND($T37=1,CZ$5&lt;=$H37),CY37*(1-BJ37)*(1-MIN(1,MAX(Assumptions!$C$27,Assumptions!$C$13*Assumptions!$C$28^(CY$5-1))*$O37)),0)</f>
        <v>0</v>
      </c>
      <c r="DA37" s="93">
        <f>IF(AND($T37=1,DA$5&lt;=$H37),CZ37*(1-BK37)*(1-MIN(1,MAX(Assumptions!$C$27,Assumptions!$C$13*Assumptions!$C$28^(CZ$5-1))*$O37)),0)</f>
        <v>0</v>
      </c>
      <c r="DB37" s="93">
        <f>IF(AND($T37=1,DB$5&lt;=$H37),DA37*(1-BL37)*(1-MIN(1,MAX(Assumptions!$C$27,Assumptions!$C$13*Assumptions!$C$28^(DA$5-1))*$O37)),0)</f>
        <v>0</v>
      </c>
      <c r="DC37" s="93">
        <f>IF(AND($T37=1,DC$5&lt;=$H37),DB37*(1-BM37)*(1-MIN(1,MAX(Assumptions!$C$27,Assumptions!$C$13*Assumptions!$C$28^(DB$5-1))*$O37)),0)</f>
        <v>0</v>
      </c>
      <c r="DD37" s="93">
        <f>IF(AND($T37=1,DD$5&lt;=$H37),DC37*(1-BN37)*(1-MIN(1,MAX(Assumptions!$C$27,Assumptions!$C$13*Assumptions!$C$28^(DC$5-1))*$O37)),0)</f>
        <v>0</v>
      </c>
      <c r="DE37" s="93">
        <f>IF(AND($T37=1,DE$5&lt;=$H37),DD37*(1-BO37)*(1-MIN(1,MAX(Assumptions!$C$27,Assumptions!$C$13*Assumptions!$C$28^(DD$5-1))*$O37)),0)</f>
        <v>0</v>
      </c>
      <c r="DF37" s="93">
        <f>IF(AND($T37=1,DF$5&lt;=$H37),DE37*(1-BP37)*(1-MIN(1,MAX(Assumptions!$C$27,Assumptions!$C$13*Assumptions!$C$28^(DE$5-1))*$O37)),0)</f>
        <v>0</v>
      </c>
      <c r="DG37" s="93">
        <f>IF(AND($T37=1,DG$5&lt;=$H37),DF37*(1-BQ37)*(1-MIN(1,MAX(Assumptions!$C$27,Assumptions!$C$13*Assumptions!$C$28^(DF$5-1))*$O37)),0)</f>
        <v>0</v>
      </c>
      <c r="DH37" s="93">
        <f>IF(AND($T37=1,DH$5&lt;=$H37),DG37*(1-BR37)*(1-MIN(1,MAX(Assumptions!$C$27,Assumptions!$C$13*Assumptions!$C$28^(DG$5-1))*$O37)),0)</f>
        <v>0</v>
      </c>
      <c r="DI37" s="93">
        <f>IF(AND($T37=1,DI$5&lt;=$H37),DH37*(1-BS37)*(1-MIN(1,MAX(Assumptions!$C$27,Assumptions!$C$13*Assumptions!$C$28^(DH$5-1))*$O37)),0)</f>
        <v>0</v>
      </c>
      <c r="DJ37" s="93">
        <f>IF(AND($T37=1,DJ$5&lt;=$H37),DI37*(1-BT37)*(1-MIN(1,MAX(Assumptions!$C$27,Assumptions!$C$13*Assumptions!$C$28^(DI$5-1))*$O37)),0)</f>
        <v>0</v>
      </c>
      <c r="DK37" s="93">
        <f>IF(AND($T37=1,DK$5&lt;=$H37),DJ37*(1-BU37)*(1-MIN(1,MAX(Assumptions!$C$27,Assumptions!$C$13*Assumptions!$C$28^(DJ$5-1))*$O37)),0)</f>
        <v>0</v>
      </c>
      <c r="DL37" s="93">
        <f>IF(AND($T37=1,DL$5&lt;=$H37),DK37*(1-BV37)*(1-MIN(1,MAX(Assumptions!$C$27,Assumptions!$C$13*Assumptions!$C$28^(DK$5-1))*$O37)),0)</f>
        <v>0</v>
      </c>
      <c r="DM37" s="93">
        <f>IF(AND($T37=1,DM$5&lt;=$H37),DL37*(1-BW37)*(1-MIN(1,MAX(Assumptions!$C$27,Assumptions!$C$13*Assumptions!$C$28^(DL$5-1))*$O37)),0)</f>
        <v>0</v>
      </c>
      <c r="DN37" s="93">
        <f>IF(AND($T37=1,DN$5&lt;=$H37),DM37*(1-BX37)*(1-MIN(1,MAX(Assumptions!$C$27,Assumptions!$C$13*Assumptions!$C$28^(DM$5-1))*$O37)),0)</f>
        <v>0</v>
      </c>
      <c r="DO37" s="93">
        <f>IF(AND($T37=1,DO$5&lt;=$H37),DN37*(1-BY37)*(1-MIN(1,MAX(Assumptions!$C$27,Assumptions!$C$13*Assumptions!$C$28^(DN$5-1))*$O37)),0)</f>
        <v>0</v>
      </c>
      <c r="DP37" s="93">
        <f>IF(AND($T37=1,DP$5&lt;=$H37),DO37*(1-BZ37)*(1-MIN(1,MAX(Assumptions!$C$27,Assumptions!$C$13*Assumptions!$C$28^(DO$5-1))*$O37)),0)</f>
        <v>0</v>
      </c>
      <c r="DQ37" s="93">
        <f>IF(AND($T37=1,DQ$5&lt;=$H37),DP37*(1-CA37)*(1-MIN(1,MAX(Assumptions!$C$27,Assumptions!$C$13*Assumptions!$C$28^(DP$5-1))*$O37)),0)</f>
        <v>0</v>
      </c>
      <c r="DR37" s="93">
        <f>IF(AND($T37=1,DR$5&lt;=$H37),DQ37*(1-CB37)*(1-MIN(1,MAX(Assumptions!$C$27,Assumptions!$C$13*Assumptions!$C$28^(DQ$5-1))*$O37)),0)</f>
        <v>0</v>
      </c>
      <c r="DS37" s="93">
        <f>IF(AND($T37=1,DS$5&lt;=$H37),DR37*(1-CC37)*(1-MIN(1,MAX(Assumptions!$C$27,Assumptions!$C$13*Assumptions!$C$28^(DR$5-1))*$O37)),0)</f>
        <v>0</v>
      </c>
      <c r="DT37" s="93">
        <f>IF(AND($T37=1,DT$5&lt;=$H37),DS37*(1-CD37)*(1-MIN(1,MAX(Assumptions!$C$27,Assumptions!$C$13*Assumptions!$C$28^(DS$5-1))*$O37)),0)</f>
        <v>0</v>
      </c>
      <c r="DU37" s="93">
        <f>IF(AND($T37=1,DU$5&lt;=$H37),DT37*(1-CE37)*(1-MIN(1,MAX(Assumptions!$C$27,Assumptions!$C$13*Assumptions!$C$28^(DT$5-1))*$O37)),0)</f>
        <v>0</v>
      </c>
      <c r="DV37" s="93">
        <f>IF(AND($T37=1,DV$5&lt;=$H37),DU37*(1-CF37)*(1-MIN(1,MAX(Assumptions!$C$27,Assumptions!$C$13*Assumptions!$C$28^(DU$5-1))*$O37)),0)</f>
        <v>0</v>
      </c>
      <c r="DW37" s="94">
        <f>IF(AND($T37=1,DW$5&lt;=$H37),DV37*(1-CG37)*(1-MIN(1,MAX(Assumptions!$C$27,Assumptions!$C$13*Assumptions!$C$28^(DV$5-1))*$O37)),0)</f>
        <v>0</v>
      </c>
      <c r="DX37" s="26"/>
      <c r="DY37" s="399">
        <f>'Policy Data'!K11</f>
        <v>5</v>
      </c>
      <c r="DZ37" s="100">
        <f>'Policy Data'!L11</f>
        <v>0.94179999999999997</v>
      </c>
      <c r="EA37" s="100">
        <f>'Policy Data'!N11</f>
        <v>3.3809999999999999E-3</v>
      </c>
      <c r="EB37" s="93" cm="1">
        <f t="array" ref="EB37">IFERROR(DZ37*INDEX(Mortality!$B$4:$E$64,MATCH(D37+DY37-1,Mortality!$A$4:$A$64,0),U37)*V37,0)</f>
        <v>4.6559610910943371E-3</v>
      </c>
      <c r="EC37" s="100">
        <f>'Policy Data'!O11</f>
        <v>0</v>
      </c>
      <c r="ED37" s="400">
        <f>'Policy Data'!Q11</f>
        <v>0</v>
      </c>
    </row>
    <row r="38" spans="1:134" x14ac:dyDescent="0.3">
      <c r="A38" s="399" t="str">
        <f>'Policy Data'!A12</f>
        <v>POL100008</v>
      </c>
      <c r="B38" s="26" t="s">
        <v>426</v>
      </c>
      <c r="C38" s="100" t="str">
        <f>'Policy Data'!B12</f>
        <v>Term Life</v>
      </c>
      <c r="D38" s="100">
        <f>'Policy Data'!C12</f>
        <v>54</v>
      </c>
      <c r="E38" s="100" t="str">
        <f>'Policy Data'!D12</f>
        <v>Male</v>
      </c>
      <c r="F38" s="100" t="str">
        <f>'Policy Data'!E12</f>
        <v>Non-smoker</v>
      </c>
      <c r="G38" s="100" t="str">
        <f>'Policy Data'!F12</f>
        <v>Preferred</v>
      </c>
      <c r="H38" s="100">
        <f>'Policy Data'!G12</f>
        <v>25</v>
      </c>
      <c r="I38" s="279">
        <f>'Policy Data'!H12</f>
        <v>250000</v>
      </c>
      <c r="J38" s="100" t="str">
        <f>'Policy Data'!I12</f>
        <v>Monthly</v>
      </c>
      <c r="K38" s="100" t="str">
        <f>'Policy Data'!J12</f>
        <v>Bancassurance</v>
      </c>
      <c r="L38" s="26" t="s">
        <v>389</v>
      </c>
      <c r="M38" s="106">
        <f>'Policy Data'!R12</f>
        <v>1450.54</v>
      </c>
      <c r="N38" s="415">
        <f>Assumptions!$C$21</f>
        <v>1</v>
      </c>
      <c r="O38" s="415">
        <f>Assumptions!$C$22</f>
        <v>1</v>
      </c>
      <c r="P38" s="415">
        <f>Assumptions!$C$23</f>
        <v>1</v>
      </c>
      <c r="Q38" s="416">
        <f>Assumptions!$C$24</f>
        <v>0</v>
      </c>
      <c r="R38" s="416">
        <f>Assumptions!$C$6+Assumptions!$C$25</f>
        <v>3.5000000000000003E-2</v>
      </c>
      <c r="S38" s="416">
        <f>Assumptions!$C$15</f>
        <v>1.1000000000000001E-3</v>
      </c>
      <c r="T38" s="26">
        <f t="shared" si="18"/>
        <v>1</v>
      </c>
      <c r="U38" s="26">
        <f t="shared" si="19"/>
        <v>3</v>
      </c>
      <c r="V38" s="389">
        <f>IF($G38="Preferred",Assumptions!$C$30,IF($G38="Rated",Assumptions!$C$31,1))</f>
        <v>0.8</v>
      </c>
      <c r="W38" s="390">
        <f>IF($K38="Direct",Assumptions!$C$32,IF($K38="Broker",Assumptions!$C$33,IF($K38="Bancassurance",Assumptions!$C$34,Assumptions!$C$11)))+$Q38</f>
        <v>0.2</v>
      </c>
      <c r="X38" s="390">
        <f>Assumptions!$C$12+$Q38</f>
        <v>0.05</v>
      </c>
      <c r="Y38" s="131">
        <f>MIN($I38,Assumptions!$C$14)</f>
        <v>250000</v>
      </c>
      <c r="Z38" s="131">
        <f>MAX($I38-Assumptions!$C$14,0)</f>
        <v>0</v>
      </c>
      <c r="AA38" s="389">
        <f t="shared" si="20"/>
        <v>9.1447981165581496</v>
      </c>
      <c r="AB38" s="389">
        <f t="shared" si="21"/>
        <v>5.7869503298704293E-2</v>
      </c>
      <c r="AC38" s="389">
        <f>IF($T38=1,SUMPRODUCT($CJ38:$DW38,(1+Assumptions!$C$5)^($CJ$5:$DW$5-1),(1+$R38)^(-$CJ$5:$DW$5)),0)</f>
        <v>13.024399076086075</v>
      </c>
      <c r="AD38" s="389">
        <f t="shared" si="22"/>
        <v>0.60216744205979156</v>
      </c>
      <c r="AE38" s="131">
        <f>IF($T38=1,$AB38*$Y38+(Assumptions!$C$9/(1+$R38)+Assumptions!$C$10*$AC38)*$P38+$S38*$Z38*$AA38,0)</f>
        <v>18202.308838806315</v>
      </c>
      <c r="AF38" s="131">
        <f>IF($T38=1,IF($AA38-$AD38-Assumptions!$C$16*$AA38&gt;0,$AE38/($AA38-$AD38-Assumptions!$C$16*$AA38)*IF($J38="Monthly",1+Assumptions!$C$29,1),"n.a."),"")</f>
        <v>2400.2388570437952</v>
      </c>
      <c r="AG38" s="131">
        <f t="shared" si="23"/>
        <v>1450.54</v>
      </c>
      <c r="AH38" s="131">
        <f t="shared" si="24"/>
        <v>13264.895459992258</v>
      </c>
      <c r="AI38" s="131">
        <f t="shared" si="25"/>
        <v>-5810.8813402194664</v>
      </c>
      <c r="AJ38" s="390">
        <f t="shared" si="26"/>
        <v>-0.43806461632098365</v>
      </c>
      <c r="AK38" s="389">
        <f t="shared" si="27"/>
        <v>0.60433152131639423</v>
      </c>
      <c r="AL38" s="131">
        <f t="shared" si="28"/>
        <v>0</v>
      </c>
      <c r="AM38" s="131">
        <f t="shared" si="29"/>
        <v>0</v>
      </c>
      <c r="AN38" s="131">
        <f t="shared" si="30"/>
        <v>0</v>
      </c>
      <c r="AO38" s="131">
        <f t="shared" si="31"/>
        <v>-5810.8813402194664</v>
      </c>
      <c r="AP38" s="26" t="str">
        <f t="shared" si="32"/>
        <v>50-59</v>
      </c>
      <c r="AQ38" s="26" t="str">
        <f t="shared" si="33"/>
        <v>Up to 250k</v>
      </c>
      <c r="AR38" s="26" t="str">
        <f>IF($T38=1,IF($AI38&lt;0,"Loss-making",IF($AJ38&lt;Assumptions!$C$16-0.00001,"Below target","At/above target")),"Excluded")</f>
        <v>Loss-making</v>
      </c>
      <c r="AS38" s="103">
        <f t="shared" si="34"/>
        <v>-5810.8813022194663</v>
      </c>
      <c r="AT38" s="26"/>
      <c r="AU38" s="419">
        <f>IF(AND($T38=1,AU$5&lt;=$H38),INDEX(Mortality!$B$4:$E$64,MATCH($D38+AU$5-1,Mortality!$A$4:$A$64,0),$U38)*$V38*$N38,0)</f>
        <v>2.8238768062863683E-3</v>
      </c>
      <c r="AV38" s="93">
        <f>IF(AND($T38=1,AV$5&lt;=$H38),INDEX(Mortality!$B$4:$E$64,MATCH($D38+AV$5-1,Mortality!$A$4:$A$64,0),$U38)*$V38*$N38,0)</f>
        <v>3.0590692249572882E-3</v>
      </c>
      <c r="AW38" s="93">
        <f>IF(AND($T38=1,AW$5&lt;=$H38),INDEX(Mortality!$B$4:$E$64,MATCH($D38+AW$5-1,Mortality!$A$4:$A$64,0),$U38)*$V38*$N38,0)</f>
        <v>3.313850130518688E-3</v>
      </c>
      <c r="AX38" s="93">
        <f>IF(AND($T38=1,AX$5&lt;=$H38),INDEX(Mortality!$B$4:$E$64,MATCH($D38+AX$5-1,Mortality!$A$4:$A$64,0),$U38)*$V38*$N38,0)</f>
        <v>3.5898509906038718E-3</v>
      </c>
      <c r="AY38" s="93">
        <f>IF(AND($T38=1,AY$5&lt;=$H38),INDEX(Mortality!$B$4:$E$64,MATCH($D38+AY$5-1,Mortality!$A$4:$A$64,0),$U38)*$V38*$N38,0)</f>
        <v>3.888839153001312E-3</v>
      </c>
      <c r="AZ38" s="93">
        <f>IF(AND($T38=1,AZ$5&lt;=$H38),INDEX(Mortality!$B$4:$E$64,MATCH($D38+AZ$5-1,Mortality!$A$4:$A$64,0),$U38)*$V38*$N38,0)</f>
        <v>4.2127291627143603E-3</v>
      </c>
      <c r="BA38" s="93">
        <f>IF(AND($T38=1,BA$5&lt;=$H38),INDEX(Mortality!$B$4:$E$64,MATCH($D38+BA$5-1,Mortality!$A$4:$A$64,0),$U38)*$V38*$N38,0)</f>
        <v>4.5635950215856241E-3</v>
      </c>
      <c r="BB38" s="93">
        <f>IF(AND($T38=1,BB$5&lt;=$H38),INDEX(Mortality!$B$4:$E$64,MATCH($D38+BB$5-1,Mortality!$A$4:$A$64,0),$U38)*$V38*$N38,0)</f>
        <v>4.9436834689895286E-3</v>
      </c>
      <c r="BC38" s="93">
        <f>IF(AND($T38=1,BC$5&lt;=$H38),INDEX(Mortality!$B$4:$E$64,MATCH($D38+BC$5-1,Mortality!$A$4:$A$64,0),$U38)*$V38*$N38,0)</f>
        <v>5.3554283686348325E-3</v>
      </c>
      <c r="BD38" s="93">
        <f>IF(AND($T38=1,BD$5&lt;=$H38),INDEX(Mortality!$B$4:$E$64,MATCH($D38+BD$5-1,Mortality!$A$4:$A$64,0),$U38)*$V38*$N38,0)</f>
        <v>5.801466293601721E-3</v>
      </c>
      <c r="BE38" s="93">
        <f>IF(AND($T38=1,BE$5&lt;=$H38),INDEX(Mortality!$B$4:$E$64,MATCH($D38+BE$5-1,Mortality!$A$4:$A$64,0),$U38)*$V38*$N38,0)</f>
        <v>6.2846534094109126E-3</v>
      </c>
      <c r="BF38" s="93">
        <f>IF(AND($T38=1,BF$5&lt;=$H38),INDEX(Mortality!$B$4:$E$64,MATCH($D38+BF$5-1,Mortality!$A$4:$A$64,0),$U38)*$V38*$N38,0)</f>
        <v>6.8080837632341759E-3</v>
      </c>
      <c r="BG38" s="93">
        <f>IF(AND($T38=1,BG$5&lt;=$H38),INDEX(Mortality!$B$4:$E$64,MATCH($D38+BG$5-1,Mortality!$A$4:$A$64,0),$U38)*$V38*$N38,0)</f>
        <v>7.3751090963594477E-3</v>
      </c>
      <c r="BH38" s="93">
        <f>IF(AND($T38=1,BH$5&lt;=$H38),INDEX(Mortality!$B$4:$E$64,MATCH($D38+BH$5-1,Mortality!$A$4:$A$64,0),$U38)*$V38*$N38,0)</f>
        <v>7.9893603067781437E-3</v>
      </c>
      <c r="BI38" s="93">
        <f>IF(AND($T38=1,BI$5&lt;=$H38),INDEX(Mortality!$B$4:$E$64,MATCH($D38+BI$5-1,Mortality!$A$4:$A$64,0),$U38)*$V38*$N38,0)</f>
        <v>8.6547706993283999E-3</v>
      </c>
      <c r="BJ38" s="93">
        <f>IF(AND($T38=1,BJ$5&lt;=$H38),INDEX(Mortality!$B$4:$E$64,MATCH($D38+BJ$5-1,Mortality!$A$4:$A$64,0),$U38)*$V38*$N38,0)</f>
        <v>9.3756011722746415E-3</v>
      </c>
      <c r="BK38" s="93">
        <f>IF(AND($T38=1,BK$5&lt;=$H38),INDEX(Mortality!$B$4:$E$64,MATCH($D38+BK$5-1,Mortality!$A$4:$A$64,0),$U38)*$V38*$N38,0)</f>
        <v>1.015646750160328E-2</v>
      </c>
      <c r="BL38" s="93">
        <f>IF(AND($T38=1,BL$5&lt;=$H38),INDEX(Mortality!$B$4:$E$64,MATCH($D38+BL$5-1,Mortality!$A$4:$A$64,0),$U38)*$V38*$N38,0)</f>
        <v>1.1002369897747841E-2</v>
      </c>
      <c r="BM38" s="93">
        <f>IF(AND($T38=1,BM$5&lt;=$H38),INDEX(Mortality!$B$4:$E$64,MATCH($D38+BM$5-1,Mortality!$A$4:$A$64,0),$U38)*$V38*$N38,0)</f>
        <v>1.1918725024006481E-2</v>
      </c>
      <c r="BN38" s="93">
        <f>IF(AND($T38=1,BN$5&lt;=$H38),INDEX(Mortality!$B$4:$E$64,MATCH($D38+BN$5-1,Mortality!$A$4:$A$64,0),$U38)*$V38*$N38,0)</f>
        <v>1.291140068168008E-2</v>
      </c>
      <c r="BO38" s="93">
        <f>IF(AND($T38=1,BO$5&lt;=$H38),INDEX(Mortality!$B$4:$E$64,MATCH($D38+BO$5-1,Mortality!$A$4:$A$64,0),$U38)*$V38*$N38,0)</f>
        <v>1.3986753384033679E-2</v>
      </c>
      <c r="BP38" s="93">
        <f>IF(AND($T38=1,BP$5&lt;=$H38),INDEX(Mortality!$B$4:$E$64,MATCH($D38+BP$5-1,Mortality!$A$4:$A$64,0),$U38)*$V38*$N38,0)</f>
        <v>1.5151669059682722E-2</v>
      </c>
      <c r="BQ38" s="93">
        <f>IF(AND($T38=1,BQ$5&lt;=$H38),INDEX(Mortality!$B$4:$E$64,MATCH($D38+BQ$5-1,Mortality!$A$4:$A$64,0),$U38)*$V38*$N38,0)</f>
        <v>1.6413607146045041E-2</v>
      </c>
      <c r="BR38" s="93">
        <f>IF(AND($T38=1,BR$5&lt;=$H38),INDEX(Mortality!$B$4:$E$64,MATCH($D38+BR$5-1,Mortality!$A$4:$A$64,0),$U38)*$V38*$N38,0)</f>
        <v>1.7780648355207922E-2</v>
      </c>
      <c r="BS38" s="93">
        <f>IF(AND($T38=1,BS$5&lt;=$H38),INDEX(Mortality!$B$4:$E$64,MATCH($D38+BS$5-1,Mortality!$A$4:$A$64,0),$U38)*$V38*$N38,0)</f>
        <v>1.926154641807272E-2</v>
      </c>
      <c r="BT38" s="93">
        <f>IF(AND($T38=1,BT$5&lt;=$H38),INDEX(Mortality!$B$4:$E$64,MATCH($D38+BT$5-1,Mortality!$A$4:$A$64,0),$U38)*$V38*$N38,0)</f>
        <v>0</v>
      </c>
      <c r="BU38" s="93">
        <f>IF(AND($T38=1,BU$5&lt;=$H38),INDEX(Mortality!$B$4:$E$64,MATCH($D38+BU$5-1,Mortality!$A$4:$A$64,0),$U38)*$V38*$N38,0)</f>
        <v>0</v>
      </c>
      <c r="BV38" s="93">
        <f>IF(AND($T38=1,BV$5&lt;=$H38),INDEX(Mortality!$B$4:$E$64,MATCH($D38+BV$5-1,Mortality!$A$4:$A$64,0),$U38)*$V38*$N38,0)</f>
        <v>0</v>
      </c>
      <c r="BW38" s="93">
        <f>IF(AND($T38=1,BW$5&lt;=$H38),INDEX(Mortality!$B$4:$E$64,MATCH($D38+BW$5-1,Mortality!$A$4:$A$64,0),$U38)*$V38*$N38,0)</f>
        <v>0</v>
      </c>
      <c r="BX38" s="93">
        <f>IF(AND($T38=1,BX$5&lt;=$H38),INDEX(Mortality!$B$4:$E$64,MATCH($D38+BX$5-1,Mortality!$A$4:$A$64,0),$U38)*$V38*$N38,0)</f>
        <v>0</v>
      </c>
      <c r="BY38" s="93">
        <f>IF(AND($T38=1,BY$5&lt;=$H38),INDEX(Mortality!$B$4:$E$64,MATCH($D38+BY$5-1,Mortality!$A$4:$A$64,0),$U38)*$V38*$N38,0)</f>
        <v>0</v>
      </c>
      <c r="BZ38" s="93">
        <f>IF(AND($T38=1,BZ$5&lt;=$H38),INDEX(Mortality!$B$4:$E$64,MATCH($D38+BZ$5-1,Mortality!$A$4:$A$64,0),$U38)*$V38*$N38,0)</f>
        <v>0</v>
      </c>
      <c r="CA38" s="93">
        <f>IF(AND($T38=1,CA$5&lt;=$H38),INDEX(Mortality!$B$4:$E$64,MATCH($D38+CA$5-1,Mortality!$A$4:$A$64,0),$U38)*$V38*$N38,0)</f>
        <v>0</v>
      </c>
      <c r="CB38" s="93">
        <f>IF(AND($T38=1,CB$5&lt;=$H38),INDEX(Mortality!$B$4:$E$64,MATCH($D38+CB$5-1,Mortality!$A$4:$A$64,0),$U38)*$V38*$N38,0)</f>
        <v>0</v>
      </c>
      <c r="CC38" s="93">
        <f>IF(AND($T38=1,CC$5&lt;=$H38),INDEX(Mortality!$B$4:$E$64,MATCH($D38+CC$5-1,Mortality!$A$4:$A$64,0),$U38)*$V38*$N38,0)</f>
        <v>0</v>
      </c>
      <c r="CD38" s="93">
        <f>IF(AND($T38=1,CD$5&lt;=$H38),INDEX(Mortality!$B$4:$E$64,MATCH($D38+CD$5-1,Mortality!$A$4:$A$64,0),$U38)*$V38*$N38,0)</f>
        <v>0</v>
      </c>
      <c r="CE38" s="93">
        <f>IF(AND($T38=1,CE$5&lt;=$H38),INDEX(Mortality!$B$4:$E$64,MATCH($D38+CE$5-1,Mortality!$A$4:$A$64,0),$U38)*$V38*$N38,0)</f>
        <v>0</v>
      </c>
      <c r="CF38" s="93">
        <f>IF(AND($T38=1,CF$5&lt;=$H38),INDEX(Mortality!$B$4:$E$64,MATCH($D38+CF$5-1,Mortality!$A$4:$A$64,0),$U38)*$V38*$N38,0)</f>
        <v>0</v>
      </c>
      <c r="CG38" s="93">
        <f>IF(AND($T38=1,CG$5&lt;=$H38),INDEX(Mortality!$B$4:$E$64,MATCH($D38+CG$5-1,Mortality!$A$4:$A$64,0),$U38)*$V38*$N38,0)</f>
        <v>0</v>
      </c>
      <c r="CH38" s="94">
        <f>IF(AND($T38=1,CH$5&lt;=$H38),INDEX(Mortality!$B$4:$E$64,MATCH($D38+CH$5-1,Mortality!$A$4:$A$64,0),$U38)*$V38*$N38,0)</f>
        <v>0</v>
      </c>
      <c r="CI38" s="26"/>
      <c r="CJ38" s="419">
        <f t="shared" si="35"/>
        <v>1</v>
      </c>
      <c r="CK38" s="93">
        <f>IF(AND($T38=1,CK$5&lt;=$H38),CJ38*(1-AU38)*(1-MIN(1,MAX(Assumptions!$C$27,Assumptions!$C$13*Assumptions!$C$28^(CJ$5-1))*$O38)),0)</f>
        <v>0.87751498841046804</v>
      </c>
      <c r="CL38" s="93">
        <f>IF(AND($T38=1,CL$5&lt;=$H38),CK38*(1-AV38)*(1-MIN(1,MAX(Assumptions!$C$27,Assumptions!$C$13*Assumptions!$C$28^(CK$5-1))*$O38)),0)</f>
        <v>0.78559788716485468</v>
      </c>
      <c r="CM38" s="93">
        <f>IF(AND($T38=1,CM$5&lt;=$H38),CL38*(1-AW38)*(1-MIN(1,MAX(Assumptions!$C$27,Assumptions!$C$13*Assumptions!$C$28^(CL$5-1))*$O38)),0)</f>
        <v>0.71510890744914679</v>
      </c>
      <c r="CN38" s="93">
        <f>IF(AND($T38=1,CN$5&lt;=$H38),CM38*(1-AX38)*(1-MIN(1,MAX(Assumptions!$C$27,Assumptions!$C$13*Assumptions!$C$28^(CM$5-1))*$O38)),0)</f>
        <v>0.66003100706595286</v>
      </c>
      <c r="CO38" s="93">
        <f>IF(AND($T38=1,CO$5&lt;=$H38),CN38*(1-AY38)*(1-MIN(1,MAX(Assumptions!$C$27,Assumptions!$C$13*Assumptions!$C$28^(CN$5-1))*$O38)),0)</f>
        <v>0.61628019875970275</v>
      </c>
      <c r="CP38" s="93">
        <f>IF(AND($T38=1,CP$5&lt;=$H38),CO38*(1-AZ38)*(1-MIN(1,MAX(Assumptions!$C$27,Assumptions!$C$13*Assumptions!$C$28^(CO$5-1))*$O38)),0)</f>
        <v>0.58100859628873247</v>
      </c>
      <c r="CQ38" s="93">
        <f>IF(AND($T38=1,CQ$5&lt;=$H38),CP38*(1-BA38)*(1-MIN(1,MAX(Assumptions!$C$27,Assumptions!$C$13*Assumptions!$C$28^(CP$5-1))*$O38)),0)</f>
        <v>0.55218185595845859</v>
      </c>
      <c r="CR38" s="93">
        <f>IF(AND($T38=1,CR$5&lt;=$H38),CQ38*(1-BB38)*(1-MIN(1,MAX(Assumptions!$C$27,Assumptions!$C$13*Assumptions!$C$28^(CQ$5-1))*$O38)),0)</f>
        <v>0.52831503528904245</v>
      </c>
      <c r="CS38" s="93">
        <f>IF(AND($T38=1,CS$5&lt;=$H38),CR38*(1-BC38)*(1-MIN(1,MAX(Assumptions!$C$27,Assumptions!$C$13*Assumptions!$C$28^(CR$5-1))*$O38)),0)</f>
        <v>0.50830289763609604</v>
      </c>
      <c r="CT38" s="93">
        <f>IF(AND($T38=1,CT$5&lt;=$H38),CS38*(1-BD38)*(1-MIN(1,MAX(Assumptions!$C$27,Assumptions!$C$13*Assumptions!$C$28^(CS$5-1))*$O38)),0)</f>
        <v>0.49130816960071627</v>
      </c>
      <c r="CU38" s="93">
        <f>IF(AND($T38=1,CU$5&lt;=$H38),CT38*(1-BE38)*(1-MIN(1,MAX(Assumptions!$C$27,Assumptions!$C$13*Assumptions!$C$28^(CT$5-1))*$O38)),0)</f>
        <v>0.4766862943777424</v>
      </c>
      <c r="CV38" s="93">
        <f>IF(AND($T38=1,CV$5&lt;=$H38),CU38*(1-BF38)*(1-MIN(1,MAX(Assumptions!$C$27,Assumptions!$C$13*Assumptions!$C$28^(CU$5-1))*$O38)),0)</f>
        <v>0.46393371635951602</v>
      </c>
      <c r="CW38" s="93">
        <f>IF(AND($T38=1,CW$5&lt;=$H38),CV38*(1-BG38)*(1-MIN(1,MAX(Assumptions!$C$27,Assumptions!$C$13*Assumptions!$C$28^(CV$5-1))*$O38)),0)</f>
        <v>0.45130191149612742</v>
      </c>
      <c r="CX38" s="93">
        <f>IF(AND($T38=1,CX$5&lt;=$H38),CW38*(1-BH38)*(1-MIN(1,MAX(Assumptions!$C$27,Assumptions!$C$13*Assumptions!$C$28^(CW$5-1))*$O38)),0)</f>
        <v>0.43874237195968618</v>
      </c>
      <c r="CY38" s="93">
        <f>IF(AND($T38=1,CY$5&lt;=$H38),CX38*(1-BI38)*(1-MIN(1,MAX(Assumptions!$C$27,Assumptions!$C$13*Assumptions!$C$28^(CX$5-1))*$O38)),0)</f>
        <v>0.42624625418760975</v>
      </c>
      <c r="CZ38" s="93">
        <f>IF(AND($T38=1,CZ$5&lt;=$H38),CY38*(1-BJ38)*(1-MIN(1,MAX(Assumptions!$C$27,Assumptions!$C$13*Assumptions!$C$28^(CY$5-1))*$O38)),0)</f>
        <v>0.41380494052102729</v>
      </c>
      <c r="DA38" s="93">
        <f>IF(AND($T38=1,DA$5&lt;=$H38),CZ38*(1-BK38)*(1-MIN(1,MAX(Assumptions!$C$27,Assumptions!$C$13*Assumptions!$C$28^(CZ$5-1))*$O38)),0)</f>
        <v>0.40141010120881015</v>
      </c>
      <c r="DB38" s="93">
        <f>IF(AND($T38=1,DB$5&lt;=$H38),DA38*(1-BL38)*(1-MIN(1,MAX(Assumptions!$C$27,Assumptions!$C$13*Assumptions!$C$28^(DA$5-1))*$O38)),0)</f>
        <v>0.38905376601872604</v>
      </c>
      <c r="DC38" s="93">
        <f>IF(AND($T38=1,DC$5&lt;=$H38),DB38*(1-BM38)*(1-MIN(1,MAX(Assumptions!$C$27,Assumptions!$C$13*Assumptions!$C$28^(DB$5-1))*$O38)),0)</f>
        <v>0.37672840633875482</v>
      </c>
      <c r="DD38" s="93">
        <f>IF(AND($T38=1,DD$5&lt;=$H38),DC38*(1-BN38)*(1-MIN(1,MAX(Assumptions!$C$27,Assumptions!$C$13*Assumptions!$C$28^(DC$5-1))*$O38)),0)</f>
        <v>0.36442702863761745</v>
      </c>
      <c r="DE38" s="93">
        <f>IF(AND($T38=1,DE$5&lt;=$H38),DD38*(1-BO38)*(1-MIN(1,MAX(Assumptions!$C$27,Assumptions!$C$13*Assumptions!$C$28^(DD$5-1))*$O38)),0)</f>
        <v>0.35214328010835516</v>
      </c>
      <c r="DF38" s="93">
        <f>IF(AND($T38=1,DF$5&lt;=$H38),DE38*(1-BP38)*(1-MIN(1,MAX(Assumptions!$C$27,Assumptions!$C$13*Assumptions!$C$28^(DE$5-1))*$O38)),0)</f>
        <v>0.33987156723323098</v>
      </c>
      <c r="DG38" s="93">
        <f>IF(AND($T38=1,DG$5&lt;=$H38),DF38*(1-BQ38)*(1-MIN(1,MAX(Assumptions!$C$27,Assumptions!$C$13*Assumptions!$C$28^(DF$5-1))*$O38)),0)</f>
        <v>0.32760718787158299</v>
      </c>
      <c r="DH38" s="93">
        <f>IF(AND($T38=1,DH$5&lt;=$H38),DG38*(1-BR38)*(1-MIN(1,MAX(Assumptions!$C$27,Assumptions!$C$13*Assumptions!$C$28^(DG$5-1))*$O38)),0)</f>
        <v>0.31534647727209186</v>
      </c>
      <c r="DI38" s="93">
        <f>IF(AND($T38=1,DI$5&lt;=$H38),DH38*(1-BS38)*(1-MIN(1,MAX(Assumptions!$C$27,Assumptions!$C$13*Assumptions!$C$28^(DH$5-1))*$O38)),0)</f>
        <v>0</v>
      </c>
      <c r="DJ38" s="93">
        <f>IF(AND($T38=1,DJ$5&lt;=$H38),DI38*(1-BT38)*(1-MIN(1,MAX(Assumptions!$C$27,Assumptions!$C$13*Assumptions!$C$28^(DI$5-1))*$O38)),0)</f>
        <v>0</v>
      </c>
      <c r="DK38" s="93">
        <f>IF(AND($T38=1,DK$5&lt;=$H38),DJ38*(1-BU38)*(1-MIN(1,MAX(Assumptions!$C$27,Assumptions!$C$13*Assumptions!$C$28^(DJ$5-1))*$O38)),0)</f>
        <v>0</v>
      </c>
      <c r="DL38" s="93">
        <f>IF(AND($T38=1,DL$5&lt;=$H38),DK38*(1-BV38)*(1-MIN(1,MAX(Assumptions!$C$27,Assumptions!$C$13*Assumptions!$C$28^(DK$5-1))*$O38)),0)</f>
        <v>0</v>
      </c>
      <c r="DM38" s="93">
        <f>IF(AND($T38=1,DM$5&lt;=$H38),DL38*(1-BW38)*(1-MIN(1,MAX(Assumptions!$C$27,Assumptions!$C$13*Assumptions!$C$28^(DL$5-1))*$O38)),0)</f>
        <v>0</v>
      </c>
      <c r="DN38" s="93">
        <f>IF(AND($T38=1,DN$5&lt;=$H38),DM38*(1-BX38)*(1-MIN(1,MAX(Assumptions!$C$27,Assumptions!$C$13*Assumptions!$C$28^(DM$5-1))*$O38)),0)</f>
        <v>0</v>
      </c>
      <c r="DO38" s="93">
        <f>IF(AND($T38=1,DO$5&lt;=$H38),DN38*(1-BY38)*(1-MIN(1,MAX(Assumptions!$C$27,Assumptions!$C$13*Assumptions!$C$28^(DN$5-1))*$O38)),0)</f>
        <v>0</v>
      </c>
      <c r="DP38" s="93">
        <f>IF(AND($T38=1,DP$5&lt;=$H38),DO38*(1-BZ38)*(1-MIN(1,MAX(Assumptions!$C$27,Assumptions!$C$13*Assumptions!$C$28^(DO$5-1))*$O38)),0)</f>
        <v>0</v>
      </c>
      <c r="DQ38" s="93">
        <f>IF(AND($T38=1,DQ$5&lt;=$H38),DP38*(1-CA38)*(1-MIN(1,MAX(Assumptions!$C$27,Assumptions!$C$13*Assumptions!$C$28^(DP$5-1))*$O38)),0)</f>
        <v>0</v>
      </c>
      <c r="DR38" s="93">
        <f>IF(AND($T38=1,DR$5&lt;=$H38),DQ38*(1-CB38)*(1-MIN(1,MAX(Assumptions!$C$27,Assumptions!$C$13*Assumptions!$C$28^(DQ$5-1))*$O38)),0)</f>
        <v>0</v>
      </c>
      <c r="DS38" s="93">
        <f>IF(AND($T38=1,DS$5&lt;=$H38),DR38*(1-CC38)*(1-MIN(1,MAX(Assumptions!$C$27,Assumptions!$C$13*Assumptions!$C$28^(DR$5-1))*$O38)),0)</f>
        <v>0</v>
      </c>
      <c r="DT38" s="93">
        <f>IF(AND($T38=1,DT$5&lt;=$H38),DS38*(1-CD38)*(1-MIN(1,MAX(Assumptions!$C$27,Assumptions!$C$13*Assumptions!$C$28^(DS$5-1))*$O38)),0)</f>
        <v>0</v>
      </c>
      <c r="DU38" s="93">
        <f>IF(AND($T38=1,DU$5&lt;=$H38),DT38*(1-CE38)*(1-MIN(1,MAX(Assumptions!$C$27,Assumptions!$C$13*Assumptions!$C$28^(DT$5-1))*$O38)),0)</f>
        <v>0</v>
      </c>
      <c r="DV38" s="93">
        <f>IF(AND($T38=1,DV$5&lt;=$H38),DU38*(1-CF38)*(1-MIN(1,MAX(Assumptions!$C$27,Assumptions!$C$13*Assumptions!$C$28^(DU$5-1))*$O38)),0)</f>
        <v>0</v>
      </c>
      <c r="DW38" s="94">
        <f>IF(AND($T38=1,DW$5&lt;=$H38),DV38*(1-CG38)*(1-MIN(1,MAX(Assumptions!$C$27,Assumptions!$C$13*Assumptions!$C$28^(DV$5-1))*$O38)),0)</f>
        <v>0</v>
      </c>
      <c r="DX38" s="26"/>
      <c r="DY38" s="399">
        <f>'Policy Data'!K12</f>
        <v>4</v>
      </c>
      <c r="DZ38" s="100">
        <f>'Policy Data'!L12</f>
        <v>0.65700000000000003</v>
      </c>
      <c r="EA38" s="100">
        <f>'Policy Data'!N12</f>
        <v>1.8550000000000001E-3</v>
      </c>
      <c r="EB38" s="93" cm="1">
        <f t="array" ref="EB38">IFERROR(DZ38*INDEX(Mortality!$B$4:$E$64,MATCH(D38+DY38-1,Mortality!$A$4:$A$64,0),U38)*V38,0)</f>
        <v>2.3585321008267441E-3</v>
      </c>
      <c r="EC38" s="100">
        <f>'Policy Data'!O12</f>
        <v>0</v>
      </c>
      <c r="ED38" s="400">
        <f>'Policy Data'!Q12</f>
        <v>1</v>
      </c>
    </row>
    <row r="39" spans="1:134" x14ac:dyDescent="0.3">
      <c r="A39" s="399" t="str">
        <f>'Policy Data'!A13</f>
        <v>POL100009</v>
      </c>
      <c r="B39" s="26" t="s">
        <v>426</v>
      </c>
      <c r="C39" s="100" t="str">
        <f>'Policy Data'!B13</f>
        <v>Term Life</v>
      </c>
      <c r="D39" s="100">
        <f>'Policy Data'!C13</f>
        <v>30</v>
      </c>
      <c r="E39" s="100" t="str">
        <f>'Policy Data'!D13</f>
        <v>Male</v>
      </c>
      <c r="F39" s="100" t="str">
        <f>'Policy Data'!E13</f>
        <v>Smoker</v>
      </c>
      <c r="G39" s="100" t="str">
        <f>'Policy Data'!F13</f>
        <v>Standard</v>
      </c>
      <c r="H39" s="100">
        <f>'Policy Data'!G13</f>
        <v>10</v>
      </c>
      <c r="I39" s="279">
        <f>'Policy Data'!H13</f>
        <v>250000</v>
      </c>
      <c r="J39" s="100" t="str">
        <f>'Policy Data'!I13</f>
        <v>Annual</v>
      </c>
      <c r="K39" s="100" t="str">
        <f>'Policy Data'!J13</f>
        <v>Direct</v>
      </c>
      <c r="L39" s="26" t="s">
        <v>389</v>
      </c>
      <c r="M39" s="106">
        <f>'Policy Data'!R13</f>
        <v>1200</v>
      </c>
      <c r="N39" s="415">
        <f>Assumptions!$C$21</f>
        <v>1</v>
      </c>
      <c r="O39" s="415">
        <f>Assumptions!$C$22</f>
        <v>1</v>
      </c>
      <c r="P39" s="415">
        <f>Assumptions!$C$23</f>
        <v>1</v>
      </c>
      <c r="Q39" s="416">
        <f>Assumptions!$C$24</f>
        <v>0</v>
      </c>
      <c r="R39" s="416">
        <f>Assumptions!$C$6+Assumptions!$C$25</f>
        <v>3.5000000000000003E-2</v>
      </c>
      <c r="S39" s="416">
        <f>Assumptions!$C$15</f>
        <v>1.1000000000000001E-3</v>
      </c>
      <c r="T39" s="26">
        <f t="shared" si="18"/>
        <v>1</v>
      </c>
      <c r="U39" s="26">
        <f t="shared" si="19"/>
        <v>4</v>
      </c>
      <c r="V39" s="389">
        <f>IF($G39="Preferred",Assumptions!$C$30,IF($G39="Rated",Assumptions!$C$31,1))</f>
        <v>1</v>
      </c>
      <c r="W39" s="390">
        <f>IF($K39="Direct",Assumptions!$C$32,IF($K39="Broker",Assumptions!$C$33,IF($K39="Bancassurance",Assumptions!$C$34,Assumptions!$C$11)))+$Q39</f>
        <v>0.1</v>
      </c>
      <c r="X39" s="390">
        <f>Assumptions!$C$12+$Q39</f>
        <v>0.05</v>
      </c>
      <c r="Y39" s="131">
        <f>MIN($I39,Assumptions!$C$14)</f>
        <v>250000</v>
      </c>
      <c r="Z39" s="131">
        <f>MAX($I39-Assumptions!$C$14,0)</f>
        <v>0</v>
      </c>
      <c r="AA39" s="389">
        <f t="shared" si="20"/>
        <v>5.8492838040222601</v>
      </c>
      <c r="AB39" s="389">
        <f t="shared" si="21"/>
        <v>6.8503198412112349E-3</v>
      </c>
      <c r="AC39" s="389">
        <f>IF($T39=1,SUMPRODUCT($CJ39:$DW39,(1+Assumptions!$C$5)^($CJ$5:$DW$5-1),(1+$R39)^(-$CJ$5:$DW$5)),0)</f>
        <v>6.783769541437966</v>
      </c>
      <c r="AD39" s="389">
        <f t="shared" si="22"/>
        <v>0.34077336894507437</v>
      </c>
      <c r="AE39" s="131">
        <f>IF($T39=1,$AB39*$Y39+(Assumptions!$C$9/(1+$R39)+Assumptions!$C$10*$AC39)*$P39+$S39*$Z39*$AA39,0)</f>
        <v>4074.574476810466</v>
      </c>
      <c r="AF39" s="131">
        <f>IF($T39=1,IF($AA39-$AD39-Assumptions!$C$16*$AA39&gt;0,$AE39/($AA39-$AD39-Assumptions!$C$16*$AA39)*IF($J39="Monthly",1+Assumptions!$C$29,1),"n.a."),"")</f>
        <v>808.35625954376962</v>
      </c>
      <c r="AG39" s="131">
        <f t="shared" si="23"/>
        <v>1200</v>
      </c>
      <c r="AH39" s="131">
        <f t="shared" si="24"/>
        <v>7019.1405648267119</v>
      </c>
      <c r="AI39" s="131">
        <f t="shared" si="25"/>
        <v>2535.6380452821577</v>
      </c>
      <c r="AJ39" s="390">
        <f t="shared" si="26"/>
        <v>0.36124622692247754</v>
      </c>
      <c r="AK39" s="389">
        <f t="shared" si="27"/>
        <v>1.4844939787777127</v>
      </c>
      <c r="AL39" s="131">
        <f t="shared" si="28"/>
        <v>0</v>
      </c>
      <c r="AM39" s="131">
        <f t="shared" si="29"/>
        <v>0</v>
      </c>
      <c r="AN39" s="131">
        <f t="shared" si="30"/>
        <v>0</v>
      </c>
      <c r="AO39" s="131">
        <f t="shared" si="31"/>
        <v>2535.6380452821577</v>
      </c>
      <c r="AP39" s="26" t="str">
        <f t="shared" si="32"/>
        <v>30-39</v>
      </c>
      <c r="AQ39" s="26" t="str">
        <f t="shared" si="33"/>
        <v>Up to 250k</v>
      </c>
      <c r="AR39" s="26" t="str">
        <f>IF($T39=1,IF($AI39&lt;0,"Loss-making",IF($AJ39&lt;Assumptions!$C$16-0.00001,"Below target","At/above target")),"Excluded")</f>
        <v>At/above target</v>
      </c>
      <c r="AS39" s="103">
        <f t="shared" si="34"/>
        <v>2535.6380842821577</v>
      </c>
      <c r="AT39" s="26"/>
      <c r="AU39" s="419">
        <f>IF(AND($T39=1,AU$5&lt;=$H39),INDEX(Mortality!$B$4:$E$64,MATCH($D39+AU$5-1,Mortality!$A$4:$A$64,0),$U39)*$V39*$N39,0)</f>
        <v>8.5387500000000003E-4</v>
      </c>
      <c r="AV39" s="93">
        <f>IF(AND($T39=1,AV$5&lt;=$H39),INDEX(Mortality!$B$4:$E$64,MATCH($D39+AV$5-1,Mortality!$A$4:$A$64,0),$U39)*$V39*$N39,0)</f>
        <v>9.2499174491095498E-4</v>
      </c>
      <c r="AW39" s="93">
        <f>IF(AND($T39=1,AW$5&lt;=$H39),INDEX(Mortality!$B$4:$E$64,MATCH($D39+AW$5-1,Mortality!$A$4:$A$64,0),$U39)*$V39*$N39,0)</f>
        <v>1.0020315949681299E-3</v>
      </c>
      <c r="AX39" s="93">
        <f>IF(AND($T39=1,AX$5&lt;=$H39),INDEX(Mortality!$B$4:$E$64,MATCH($D39+AX$5-1,Mortality!$A$4:$A$64,0),$U39)*$V39*$N39,0)</f>
        <v>1.08548786823069E-3</v>
      </c>
      <c r="AY39" s="93">
        <f>IF(AND($T39=1,AY$5&lt;=$H39),INDEX(Mortality!$B$4:$E$64,MATCH($D39+AY$5-1,Mortality!$A$4:$A$64,0),$U39)*$V39*$N39,0)</f>
        <v>1.1758949697723701E-3</v>
      </c>
      <c r="AZ39" s="93">
        <f>IF(AND($T39=1,AZ$5&lt;=$H39),INDEX(Mortality!$B$4:$E$64,MATCH($D39+AZ$5-1,Mortality!$A$4:$A$64,0),$U39)*$V39*$N39,0)</f>
        <v>1.27383181369844E-3</v>
      </c>
      <c r="BA39" s="93">
        <f>IF(AND($T39=1,BA$5&lt;=$H39),INDEX(Mortality!$B$4:$E$64,MATCH($D39+BA$5-1,Mortality!$A$4:$A$64,0),$U39)*$V39*$N39,0)</f>
        <v>1.3799255301724599E-3</v>
      </c>
      <c r="BB39" s="93">
        <f>IF(AND($T39=1,BB$5&lt;=$H39),INDEX(Mortality!$B$4:$E$64,MATCH($D39+BB$5-1,Mortality!$A$4:$A$64,0),$U39)*$V39*$N39,0)</f>
        <v>1.49485548119033E-3</v>
      </c>
      <c r="BC39" s="93">
        <f>IF(AND($T39=1,BC$5&lt;=$H39),INDEX(Mortality!$B$4:$E$64,MATCH($D39+BC$5-1,Mortality!$A$4:$A$64,0),$U39)*$V39*$N39,0)</f>
        <v>1.6193576108165201E-3</v>
      </c>
      <c r="BD39" s="93">
        <f>IF(AND($T39=1,BD$5&lt;=$H39),INDEX(Mortality!$B$4:$E$64,MATCH($D39+BD$5-1,Mortality!$A$4:$A$64,0),$U39)*$V39*$N39,0)</f>
        <v>1.75422915773855E-3</v>
      </c>
      <c r="BE39" s="93">
        <f>IF(AND($T39=1,BE$5&lt;=$H39),INDEX(Mortality!$B$4:$E$64,MATCH($D39+BE$5-1,Mortality!$A$4:$A$64,0),$U39)*$V39*$N39,0)</f>
        <v>0</v>
      </c>
      <c r="BF39" s="93">
        <f>IF(AND($T39=1,BF$5&lt;=$H39),INDEX(Mortality!$B$4:$E$64,MATCH($D39+BF$5-1,Mortality!$A$4:$A$64,0),$U39)*$V39*$N39,0)</f>
        <v>0</v>
      </c>
      <c r="BG39" s="93">
        <f>IF(AND($T39=1,BG$5&lt;=$H39),INDEX(Mortality!$B$4:$E$64,MATCH($D39+BG$5-1,Mortality!$A$4:$A$64,0),$U39)*$V39*$N39,0)</f>
        <v>0</v>
      </c>
      <c r="BH39" s="93">
        <f>IF(AND($T39=1,BH$5&lt;=$H39),INDEX(Mortality!$B$4:$E$64,MATCH($D39+BH$5-1,Mortality!$A$4:$A$64,0),$U39)*$V39*$N39,0)</f>
        <v>0</v>
      </c>
      <c r="BI39" s="93">
        <f>IF(AND($T39=1,BI$5&lt;=$H39),INDEX(Mortality!$B$4:$E$64,MATCH($D39+BI$5-1,Mortality!$A$4:$A$64,0),$U39)*$V39*$N39,0)</f>
        <v>0</v>
      </c>
      <c r="BJ39" s="93">
        <f>IF(AND($T39=1,BJ$5&lt;=$H39),INDEX(Mortality!$B$4:$E$64,MATCH($D39+BJ$5-1,Mortality!$A$4:$A$64,0),$U39)*$V39*$N39,0)</f>
        <v>0</v>
      </c>
      <c r="BK39" s="93">
        <f>IF(AND($T39=1,BK$5&lt;=$H39),INDEX(Mortality!$B$4:$E$64,MATCH($D39+BK$5-1,Mortality!$A$4:$A$64,0),$U39)*$V39*$N39,0)</f>
        <v>0</v>
      </c>
      <c r="BL39" s="93">
        <f>IF(AND($T39=1,BL$5&lt;=$H39),INDEX(Mortality!$B$4:$E$64,MATCH($D39+BL$5-1,Mortality!$A$4:$A$64,0),$U39)*$V39*$N39,0)</f>
        <v>0</v>
      </c>
      <c r="BM39" s="93">
        <f>IF(AND($T39=1,BM$5&lt;=$H39),INDEX(Mortality!$B$4:$E$64,MATCH($D39+BM$5-1,Mortality!$A$4:$A$64,0),$U39)*$V39*$N39,0)</f>
        <v>0</v>
      </c>
      <c r="BN39" s="93">
        <f>IF(AND($T39=1,BN$5&lt;=$H39),INDEX(Mortality!$B$4:$E$64,MATCH($D39+BN$5-1,Mortality!$A$4:$A$64,0),$U39)*$V39*$N39,0)</f>
        <v>0</v>
      </c>
      <c r="BO39" s="93">
        <f>IF(AND($T39=1,BO$5&lt;=$H39),INDEX(Mortality!$B$4:$E$64,MATCH($D39+BO$5-1,Mortality!$A$4:$A$64,0),$U39)*$V39*$N39,0)</f>
        <v>0</v>
      </c>
      <c r="BP39" s="93">
        <f>IF(AND($T39=1,BP$5&lt;=$H39),INDEX(Mortality!$B$4:$E$64,MATCH($D39+BP$5-1,Mortality!$A$4:$A$64,0),$U39)*$V39*$N39,0)</f>
        <v>0</v>
      </c>
      <c r="BQ39" s="93">
        <f>IF(AND($T39=1,BQ$5&lt;=$H39),INDEX(Mortality!$B$4:$E$64,MATCH($D39+BQ$5-1,Mortality!$A$4:$A$64,0),$U39)*$V39*$N39,0)</f>
        <v>0</v>
      </c>
      <c r="BR39" s="93">
        <f>IF(AND($T39=1,BR$5&lt;=$H39),INDEX(Mortality!$B$4:$E$64,MATCH($D39+BR$5-1,Mortality!$A$4:$A$64,0),$U39)*$V39*$N39,0)</f>
        <v>0</v>
      </c>
      <c r="BS39" s="93">
        <f>IF(AND($T39=1,BS$5&lt;=$H39),INDEX(Mortality!$B$4:$E$64,MATCH($D39+BS$5-1,Mortality!$A$4:$A$64,0),$U39)*$V39*$N39,0)</f>
        <v>0</v>
      </c>
      <c r="BT39" s="93">
        <f>IF(AND($T39=1,BT$5&lt;=$H39),INDEX(Mortality!$B$4:$E$64,MATCH($D39+BT$5-1,Mortality!$A$4:$A$64,0),$U39)*$V39*$N39,0)</f>
        <v>0</v>
      </c>
      <c r="BU39" s="93">
        <f>IF(AND($T39=1,BU$5&lt;=$H39),INDEX(Mortality!$B$4:$E$64,MATCH($D39+BU$5-1,Mortality!$A$4:$A$64,0),$U39)*$V39*$N39,0)</f>
        <v>0</v>
      </c>
      <c r="BV39" s="93">
        <f>IF(AND($T39=1,BV$5&lt;=$H39),INDEX(Mortality!$B$4:$E$64,MATCH($D39+BV$5-1,Mortality!$A$4:$A$64,0),$U39)*$V39*$N39,0)</f>
        <v>0</v>
      </c>
      <c r="BW39" s="93">
        <f>IF(AND($T39=1,BW$5&lt;=$H39),INDEX(Mortality!$B$4:$E$64,MATCH($D39+BW$5-1,Mortality!$A$4:$A$64,0),$U39)*$V39*$N39,0)</f>
        <v>0</v>
      </c>
      <c r="BX39" s="93">
        <f>IF(AND($T39=1,BX$5&lt;=$H39),INDEX(Mortality!$B$4:$E$64,MATCH($D39+BX$5-1,Mortality!$A$4:$A$64,0),$U39)*$V39*$N39,0)</f>
        <v>0</v>
      </c>
      <c r="BY39" s="93">
        <f>IF(AND($T39=1,BY$5&lt;=$H39),INDEX(Mortality!$B$4:$E$64,MATCH($D39+BY$5-1,Mortality!$A$4:$A$64,0),$U39)*$V39*$N39,0)</f>
        <v>0</v>
      </c>
      <c r="BZ39" s="93">
        <f>IF(AND($T39=1,BZ$5&lt;=$H39),INDEX(Mortality!$B$4:$E$64,MATCH($D39+BZ$5-1,Mortality!$A$4:$A$64,0),$U39)*$V39*$N39,0)</f>
        <v>0</v>
      </c>
      <c r="CA39" s="93">
        <f>IF(AND($T39=1,CA$5&lt;=$H39),INDEX(Mortality!$B$4:$E$64,MATCH($D39+CA$5-1,Mortality!$A$4:$A$64,0),$U39)*$V39*$N39,0)</f>
        <v>0</v>
      </c>
      <c r="CB39" s="93">
        <f>IF(AND($T39=1,CB$5&lt;=$H39),INDEX(Mortality!$B$4:$E$64,MATCH($D39+CB$5-1,Mortality!$A$4:$A$64,0),$U39)*$V39*$N39,0)</f>
        <v>0</v>
      </c>
      <c r="CC39" s="93">
        <f>IF(AND($T39=1,CC$5&lt;=$H39),INDEX(Mortality!$B$4:$E$64,MATCH($D39+CC$5-1,Mortality!$A$4:$A$64,0),$U39)*$V39*$N39,0)</f>
        <v>0</v>
      </c>
      <c r="CD39" s="93">
        <f>IF(AND($T39=1,CD$5&lt;=$H39),INDEX(Mortality!$B$4:$E$64,MATCH($D39+CD$5-1,Mortality!$A$4:$A$64,0),$U39)*$V39*$N39,0)</f>
        <v>0</v>
      </c>
      <c r="CE39" s="93">
        <f>IF(AND($T39=1,CE$5&lt;=$H39),INDEX(Mortality!$B$4:$E$64,MATCH($D39+CE$5-1,Mortality!$A$4:$A$64,0),$U39)*$V39*$N39,0)</f>
        <v>0</v>
      </c>
      <c r="CF39" s="93">
        <f>IF(AND($T39=1,CF$5&lt;=$H39),INDEX(Mortality!$B$4:$E$64,MATCH($D39+CF$5-1,Mortality!$A$4:$A$64,0),$U39)*$V39*$N39,0)</f>
        <v>0</v>
      </c>
      <c r="CG39" s="93">
        <f>IF(AND($T39=1,CG$5&lt;=$H39),INDEX(Mortality!$B$4:$E$64,MATCH($D39+CG$5-1,Mortality!$A$4:$A$64,0),$U39)*$V39*$N39,0)</f>
        <v>0</v>
      </c>
      <c r="CH39" s="94">
        <f>IF(AND($T39=1,CH$5&lt;=$H39),INDEX(Mortality!$B$4:$E$64,MATCH($D39+CH$5-1,Mortality!$A$4:$A$64,0),$U39)*$V39*$N39,0)</f>
        <v>0</v>
      </c>
      <c r="CI39" s="26"/>
      <c r="CJ39" s="419">
        <f t="shared" si="35"/>
        <v>1</v>
      </c>
      <c r="CK39" s="93">
        <f>IF(AND($T39=1,CK$5&lt;=$H39),CJ39*(1-AU39)*(1-MIN(1,MAX(Assumptions!$C$27,Assumptions!$C$13*Assumptions!$C$28^(CJ$5-1))*$O39)),0)</f>
        <v>0.87924859</v>
      </c>
      <c r="CL39" s="93">
        <f>IF(AND($T39=1,CL$5&lt;=$H39),CK39*(1-AV39)*(1-MIN(1,MAX(Assumptions!$C$27,Assumptions!$C$13*Assumptions!$C$28^(CK$5-1))*$O39)),0)</f>
        <v>0.78883489249664784</v>
      </c>
      <c r="CM39" s="93">
        <f>IF(AND($T39=1,CM$5&lt;=$H39),CL39*(1-AW39)*(1-MIN(1,MAX(Assumptions!$C$27,Assumptions!$C$13*Assumptions!$C$28^(CL$5-1))*$O39)),0)</f>
        <v>0.71972100076168599</v>
      </c>
      <c r="CN39" s="93">
        <f>IF(AND($T39=1,CN$5&lt;=$H39),CM39*(1-AX39)*(1-MIN(1,MAX(Assumptions!$C$27,Assumptions!$C$13*Assumptions!$C$28^(CM$5-1))*$O39)),0)</f>
        <v>0.66595748729764737</v>
      </c>
      <c r="CO39" s="93">
        <f>IF(AND($T39=1,CO$5&lt;=$H39),CN39*(1-AY39)*(1-MIN(1,MAX(Assumptions!$C$27,Assumptions!$C$13*Assumptions!$C$28^(CN$5-1))*$O39)),0)</f>
        <v>0.62350736849029431</v>
      </c>
      <c r="CP39" s="93">
        <f>IF(AND($T39=1,CP$5&lt;=$H39),CO39*(1-AZ39)*(1-MIN(1,MAX(Assumptions!$C$27,Assumptions!$C$13*Assumptions!$C$28^(CO$5-1))*$O39)),0)</f>
        <v>0.58955699036281006</v>
      </c>
      <c r="CQ39" s="93">
        <f>IF(AND($T39=1,CQ$5&lt;=$H39),CP39*(1-BA39)*(1-MIN(1,MAX(Assumptions!$C$27,Assumptions!$C$13*Assumptions!$C$28^(CP$5-1))*$O39)),0)</f>
        <v>0.56209812897914524</v>
      </c>
      <c r="CR39" s="93">
        <f>IF(AND($T39=1,CR$5&lt;=$H39),CQ39*(1-BB39)*(1-MIN(1,MAX(Assumptions!$C$27,Assumptions!$C$13*Assumptions!$C$28^(CQ$5-1))*$O39)),0)</f>
        <v>0.53966670372629966</v>
      </c>
      <c r="CS39" s="93">
        <f>IF(AND($T39=1,CS$5&lt;=$H39),CR39*(1-BC39)*(1-MIN(1,MAX(Assumptions!$C$27,Assumptions!$C$13*Assumptions!$C$28^(CR$5-1))*$O39)),0)</f>
        <v>0.5211748787029995</v>
      </c>
      <c r="CT39" s="93">
        <f>IF(AND($T39=1,CT$5&lt;=$H39),CS39*(1-BD39)*(1-MIN(1,MAX(Assumptions!$C$27,Assumptions!$C$13*Assumptions!$C$28^(CS$5-1))*$O39)),0)</f>
        <v>0</v>
      </c>
      <c r="CU39" s="93">
        <f>IF(AND($T39=1,CU$5&lt;=$H39),CT39*(1-BE39)*(1-MIN(1,MAX(Assumptions!$C$27,Assumptions!$C$13*Assumptions!$C$28^(CT$5-1))*$O39)),0)</f>
        <v>0</v>
      </c>
      <c r="CV39" s="93">
        <f>IF(AND($T39=1,CV$5&lt;=$H39),CU39*(1-BF39)*(1-MIN(1,MAX(Assumptions!$C$27,Assumptions!$C$13*Assumptions!$C$28^(CU$5-1))*$O39)),0)</f>
        <v>0</v>
      </c>
      <c r="CW39" s="93">
        <f>IF(AND($T39=1,CW$5&lt;=$H39),CV39*(1-BG39)*(1-MIN(1,MAX(Assumptions!$C$27,Assumptions!$C$13*Assumptions!$C$28^(CV$5-1))*$O39)),0)</f>
        <v>0</v>
      </c>
      <c r="CX39" s="93">
        <f>IF(AND($T39=1,CX$5&lt;=$H39),CW39*(1-BH39)*(1-MIN(1,MAX(Assumptions!$C$27,Assumptions!$C$13*Assumptions!$C$28^(CW$5-1))*$O39)),0)</f>
        <v>0</v>
      </c>
      <c r="CY39" s="93">
        <f>IF(AND($T39=1,CY$5&lt;=$H39),CX39*(1-BI39)*(1-MIN(1,MAX(Assumptions!$C$27,Assumptions!$C$13*Assumptions!$C$28^(CX$5-1))*$O39)),0)</f>
        <v>0</v>
      </c>
      <c r="CZ39" s="93">
        <f>IF(AND($T39=1,CZ$5&lt;=$H39),CY39*(1-BJ39)*(1-MIN(1,MAX(Assumptions!$C$27,Assumptions!$C$13*Assumptions!$C$28^(CY$5-1))*$O39)),0)</f>
        <v>0</v>
      </c>
      <c r="DA39" s="93">
        <f>IF(AND($T39=1,DA$5&lt;=$H39),CZ39*(1-BK39)*(1-MIN(1,MAX(Assumptions!$C$27,Assumptions!$C$13*Assumptions!$C$28^(CZ$5-1))*$O39)),0)</f>
        <v>0</v>
      </c>
      <c r="DB39" s="93">
        <f>IF(AND($T39=1,DB$5&lt;=$H39),DA39*(1-BL39)*(1-MIN(1,MAX(Assumptions!$C$27,Assumptions!$C$13*Assumptions!$C$28^(DA$5-1))*$O39)),0)</f>
        <v>0</v>
      </c>
      <c r="DC39" s="93">
        <f>IF(AND($T39=1,DC$5&lt;=$H39),DB39*(1-BM39)*(1-MIN(1,MAX(Assumptions!$C$27,Assumptions!$C$13*Assumptions!$C$28^(DB$5-1))*$O39)),0)</f>
        <v>0</v>
      </c>
      <c r="DD39" s="93">
        <f>IF(AND($T39=1,DD$5&lt;=$H39),DC39*(1-BN39)*(1-MIN(1,MAX(Assumptions!$C$27,Assumptions!$C$13*Assumptions!$C$28^(DC$5-1))*$O39)),0)</f>
        <v>0</v>
      </c>
      <c r="DE39" s="93">
        <f>IF(AND($T39=1,DE$5&lt;=$H39),DD39*(1-BO39)*(1-MIN(1,MAX(Assumptions!$C$27,Assumptions!$C$13*Assumptions!$C$28^(DD$5-1))*$O39)),0)</f>
        <v>0</v>
      </c>
      <c r="DF39" s="93">
        <f>IF(AND($T39=1,DF$5&lt;=$H39),DE39*(1-BP39)*(1-MIN(1,MAX(Assumptions!$C$27,Assumptions!$C$13*Assumptions!$C$28^(DE$5-1))*$O39)),0)</f>
        <v>0</v>
      </c>
      <c r="DG39" s="93">
        <f>IF(AND($T39=1,DG$5&lt;=$H39),DF39*(1-BQ39)*(1-MIN(1,MAX(Assumptions!$C$27,Assumptions!$C$13*Assumptions!$C$28^(DF$5-1))*$O39)),0)</f>
        <v>0</v>
      </c>
      <c r="DH39" s="93">
        <f>IF(AND($T39=1,DH$5&lt;=$H39),DG39*(1-BR39)*(1-MIN(1,MAX(Assumptions!$C$27,Assumptions!$C$13*Assumptions!$C$28^(DG$5-1))*$O39)),0)</f>
        <v>0</v>
      </c>
      <c r="DI39" s="93">
        <f>IF(AND($T39=1,DI$5&lt;=$H39),DH39*(1-BS39)*(1-MIN(1,MAX(Assumptions!$C$27,Assumptions!$C$13*Assumptions!$C$28^(DH$5-1))*$O39)),0)</f>
        <v>0</v>
      </c>
      <c r="DJ39" s="93">
        <f>IF(AND($T39=1,DJ$5&lt;=$H39),DI39*(1-BT39)*(1-MIN(1,MAX(Assumptions!$C$27,Assumptions!$C$13*Assumptions!$C$28^(DI$5-1))*$O39)),0)</f>
        <v>0</v>
      </c>
      <c r="DK39" s="93">
        <f>IF(AND($T39=1,DK$5&lt;=$H39),DJ39*(1-BU39)*(1-MIN(1,MAX(Assumptions!$C$27,Assumptions!$C$13*Assumptions!$C$28^(DJ$5-1))*$O39)),0)</f>
        <v>0</v>
      </c>
      <c r="DL39" s="93">
        <f>IF(AND($T39=1,DL$5&lt;=$H39),DK39*(1-BV39)*(1-MIN(1,MAX(Assumptions!$C$27,Assumptions!$C$13*Assumptions!$C$28^(DK$5-1))*$O39)),0)</f>
        <v>0</v>
      </c>
      <c r="DM39" s="93">
        <f>IF(AND($T39=1,DM$5&lt;=$H39),DL39*(1-BW39)*(1-MIN(1,MAX(Assumptions!$C$27,Assumptions!$C$13*Assumptions!$C$28^(DL$5-1))*$O39)),0)</f>
        <v>0</v>
      </c>
      <c r="DN39" s="93">
        <f>IF(AND($T39=1,DN$5&lt;=$H39),DM39*(1-BX39)*(1-MIN(1,MAX(Assumptions!$C$27,Assumptions!$C$13*Assumptions!$C$28^(DM$5-1))*$O39)),0)</f>
        <v>0</v>
      </c>
      <c r="DO39" s="93">
        <f>IF(AND($T39=1,DO$5&lt;=$H39),DN39*(1-BY39)*(1-MIN(1,MAX(Assumptions!$C$27,Assumptions!$C$13*Assumptions!$C$28^(DN$5-1))*$O39)),0)</f>
        <v>0</v>
      </c>
      <c r="DP39" s="93">
        <f>IF(AND($T39=1,DP$5&lt;=$H39),DO39*(1-BZ39)*(1-MIN(1,MAX(Assumptions!$C$27,Assumptions!$C$13*Assumptions!$C$28^(DO$5-1))*$O39)),0)</f>
        <v>0</v>
      </c>
      <c r="DQ39" s="93">
        <f>IF(AND($T39=1,DQ$5&lt;=$H39),DP39*(1-CA39)*(1-MIN(1,MAX(Assumptions!$C$27,Assumptions!$C$13*Assumptions!$C$28^(DP$5-1))*$O39)),0)</f>
        <v>0</v>
      </c>
      <c r="DR39" s="93">
        <f>IF(AND($T39=1,DR$5&lt;=$H39),DQ39*(1-CB39)*(1-MIN(1,MAX(Assumptions!$C$27,Assumptions!$C$13*Assumptions!$C$28^(DQ$5-1))*$O39)),0)</f>
        <v>0</v>
      </c>
      <c r="DS39" s="93">
        <f>IF(AND($T39=1,DS$5&lt;=$H39),DR39*(1-CC39)*(1-MIN(1,MAX(Assumptions!$C$27,Assumptions!$C$13*Assumptions!$C$28^(DR$5-1))*$O39)),0)</f>
        <v>0</v>
      </c>
      <c r="DT39" s="93">
        <f>IF(AND($T39=1,DT$5&lt;=$H39),DS39*(1-CD39)*(1-MIN(1,MAX(Assumptions!$C$27,Assumptions!$C$13*Assumptions!$C$28^(DS$5-1))*$O39)),0)</f>
        <v>0</v>
      </c>
      <c r="DU39" s="93">
        <f>IF(AND($T39=1,DU$5&lt;=$H39),DT39*(1-CE39)*(1-MIN(1,MAX(Assumptions!$C$27,Assumptions!$C$13*Assumptions!$C$28^(DT$5-1))*$O39)),0)</f>
        <v>0</v>
      </c>
      <c r="DV39" s="93">
        <f>IF(AND($T39=1,DV$5&lt;=$H39),DU39*(1-CF39)*(1-MIN(1,MAX(Assumptions!$C$27,Assumptions!$C$13*Assumptions!$C$28^(DU$5-1))*$O39)),0)</f>
        <v>0</v>
      </c>
      <c r="DW39" s="94">
        <f>IF(AND($T39=1,DW$5&lt;=$H39),DV39*(1-CG39)*(1-MIN(1,MAX(Assumptions!$C$27,Assumptions!$C$13*Assumptions!$C$28^(DV$5-1))*$O39)),0)</f>
        <v>0</v>
      </c>
      <c r="DX39" s="26"/>
      <c r="DY39" s="399">
        <f>'Policy Data'!K13</f>
        <v>7</v>
      </c>
      <c r="DZ39" s="100">
        <f>'Policy Data'!L13</f>
        <v>0.78239999999999998</v>
      </c>
      <c r="EA39" s="100">
        <f>'Policy Data'!N13</f>
        <v>6.6799999999999997E-4</v>
      </c>
      <c r="EB39" s="93" cm="1">
        <f t="array" ref="EB39">IFERROR(DZ39*INDEX(Mortality!$B$4:$E$64,MATCH(D39+DY39-1,Mortality!$A$4:$A$64,0),U39)*V39,0)</f>
        <v>1.0796537348069326E-3</v>
      </c>
      <c r="EC39" s="100">
        <f>'Policy Data'!O13</f>
        <v>0</v>
      </c>
      <c r="ED39" s="400">
        <f>'Policy Data'!Q13</f>
        <v>0</v>
      </c>
    </row>
    <row r="40" spans="1:134" x14ac:dyDescent="0.3">
      <c r="A40" s="399" t="str">
        <f>'Policy Data'!A14</f>
        <v>POL100010</v>
      </c>
      <c r="B40" s="26" t="s">
        <v>426</v>
      </c>
      <c r="C40" s="100" t="str">
        <f>'Policy Data'!B14</f>
        <v>Term Life</v>
      </c>
      <c r="D40" s="100">
        <f>'Policy Data'!C14</f>
        <v>28</v>
      </c>
      <c r="E40" s="100" t="str">
        <f>'Policy Data'!D14</f>
        <v>Female</v>
      </c>
      <c r="F40" s="100" t="str">
        <f>'Policy Data'!E14</f>
        <v>Non-smoker</v>
      </c>
      <c r="G40" s="100" t="str">
        <f>'Policy Data'!F14</f>
        <v>Preferred</v>
      </c>
      <c r="H40" s="100">
        <f>'Policy Data'!G14</f>
        <v>10</v>
      </c>
      <c r="I40" s="279">
        <f>'Policy Data'!H14</f>
        <v>500000</v>
      </c>
      <c r="J40" s="100" t="str">
        <f>'Policy Data'!I14</f>
        <v>Monthly</v>
      </c>
      <c r="K40" s="100" t="str">
        <f>'Policy Data'!J14</f>
        <v>Bancassurance</v>
      </c>
      <c r="L40" s="26" t="s">
        <v>389</v>
      </c>
      <c r="M40" s="106">
        <f>'Policy Data'!R14</f>
        <v>1200</v>
      </c>
      <c r="N40" s="415">
        <f>Assumptions!$C$21</f>
        <v>1</v>
      </c>
      <c r="O40" s="415">
        <f>Assumptions!$C$22</f>
        <v>1</v>
      </c>
      <c r="P40" s="415">
        <f>Assumptions!$C$23</f>
        <v>1</v>
      </c>
      <c r="Q40" s="416">
        <f>Assumptions!$C$24</f>
        <v>0</v>
      </c>
      <c r="R40" s="416">
        <f>Assumptions!$C$6+Assumptions!$C$25</f>
        <v>3.5000000000000003E-2</v>
      </c>
      <c r="S40" s="416">
        <f>Assumptions!$C$15</f>
        <v>1.1000000000000001E-3</v>
      </c>
      <c r="T40" s="26">
        <f t="shared" si="18"/>
        <v>1</v>
      </c>
      <c r="U40" s="26">
        <f t="shared" si="19"/>
        <v>1</v>
      </c>
      <c r="V40" s="389">
        <f>IF($G40="Preferred",Assumptions!$C$30,IF($G40="Rated",Assumptions!$C$31,1))</f>
        <v>0.8</v>
      </c>
      <c r="W40" s="390">
        <f>IF($K40="Direct",Assumptions!$C$32,IF($K40="Broker",Assumptions!$C$33,IF($K40="Bancassurance",Assumptions!$C$34,Assumptions!$C$11)))+$Q40</f>
        <v>0.2</v>
      </c>
      <c r="X40" s="390">
        <f>Assumptions!$C$12+$Q40</f>
        <v>0.05</v>
      </c>
      <c r="Y40" s="131">
        <f>MIN($I40,Assumptions!$C$14)</f>
        <v>500000</v>
      </c>
      <c r="Z40" s="131">
        <f>MAX($I40-Assumptions!$C$14,0)</f>
        <v>0</v>
      </c>
      <c r="AA40" s="389">
        <f t="shared" si="20"/>
        <v>5.864808158059871</v>
      </c>
      <c r="AB40" s="389">
        <f t="shared" si="21"/>
        <v>2.0986442902978641E-3</v>
      </c>
      <c r="AC40" s="389">
        <f>IF($T40=1,SUMPRODUCT($CJ40:$DW40,(1+Assumptions!$C$5)^($CJ$5:$DW$5-1),(1+$R40)^(-$CJ$5:$DW$5)),0)</f>
        <v>6.803558448942943</v>
      </c>
      <c r="AD40" s="389">
        <f t="shared" si="22"/>
        <v>0.43816794413487764</v>
      </c>
      <c r="AE40" s="131">
        <f>IF($T40=1,$AB40*$Y40+(Assumptions!$C$9/(1+$R40)+Assumptions!$C$10*$AC40)*$P40+$S40*$Z40*$AA40,0)</f>
        <v>3415.6702213076842</v>
      </c>
      <c r="AF40" s="131">
        <f>IF($T40=1,IF($AA40-$AD40-Assumptions!$C$16*$AA40&gt;0,$AE40/($AA40-$AD40-Assumptions!$C$16*$AA40)*IF($J40="Monthly",1+Assumptions!$C$29,1),"n.a."),"")</f>
        <v>709.66653850113323</v>
      </c>
      <c r="AG40" s="131">
        <f t="shared" si="23"/>
        <v>1200</v>
      </c>
      <c r="AH40" s="131">
        <f t="shared" si="24"/>
        <v>7037.7697896718455</v>
      </c>
      <c r="AI40" s="131">
        <f t="shared" si="25"/>
        <v>3096.2980354023075</v>
      </c>
      <c r="AJ40" s="390">
        <f t="shared" si="26"/>
        <v>0.43995443555801228</v>
      </c>
      <c r="AK40" s="389">
        <f t="shared" si="27"/>
        <v>1.6909350165142156</v>
      </c>
      <c r="AL40" s="131">
        <f t="shared" si="28"/>
        <v>0</v>
      </c>
      <c r="AM40" s="131">
        <f t="shared" si="29"/>
        <v>0</v>
      </c>
      <c r="AN40" s="131">
        <f t="shared" si="30"/>
        <v>0</v>
      </c>
      <c r="AO40" s="131">
        <f t="shared" si="31"/>
        <v>3096.2980354023075</v>
      </c>
      <c r="AP40" s="26" t="str">
        <f t="shared" si="32"/>
        <v>20-29</v>
      </c>
      <c r="AQ40" s="26" t="str">
        <f t="shared" si="33"/>
        <v>250k-500k</v>
      </c>
      <c r="AR40" s="26" t="str">
        <f>IF($T40=1,IF($AI40&lt;0,"Loss-making",IF($AJ40&lt;Assumptions!$C$16-0.00001,"Below target","At/above target")),"Excluded")</f>
        <v>At/above target</v>
      </c>
      <c r="AS40" s="103">
        <f t="shared" si="34"/>
        <v>3096.2980754023074</v>
      </c>
      <c r="AT40" s="26"/>
      <c r="AU40" s="419">
        <f>IF(AND($T40=1,AU$5&lt;=$H40),INDEX(Mortality!$B$4:$E$64,MATCH($D40+AU$5-1,Mortality!$A$4:$A$64,0),$U40)*$V40*$N40,0)</f>
        <v>2.6075599942366085E-4</v>
      </c>
      <c r="AV40" s="93">
        <f>IF(AND($T40=1,AV$5&lt;=$H40),INDEX(Mortality!$B$4:$E$64,MATCH($D40+AV$5-1,Mortality!$A$4:$A$64,0),$U40)*$V40*$N40,0)</f>
        <v>2.824736019943104E-4</v>
      </c>
      <c r="AW40" s="93">
        <f>IF(AND($T40=1,AW$5&lt;=$H40),INDEX(Mortality!$B$4:$E$64,MATCH($D40+AW$5-1,Mortality!$A$4:$A$64,0),$U40)*$V40*$N40,0)</f>
        <v>3.0600000000000001E-4</v>
      </c>
      <c r="AX40" s="93">
        <f>IF(AND($T40=1,AX$5&lt;=$H40),INDEX(Mortality!$B$4:$E$64,MATCH($D40+AX$5-1,Mortality!$A$4:$A$64,0),$U40)*$V40*$N40,0)</f>
        <v>3.3148584270853762E-4</v>
      </c>
      <c r="AY40" s="93">
        <f>IF(AND($T40=1,AY$5&lt;=$H40),INDEX(Mortality!$B$4:$E$64,MATCH($D40+AY$5-1,Mortality!$A$4:$A$64,0),$U40)*$V40*$N40,0)</f>
        <v>3.5909432652349364E-4</v>
      </c>
      <c r="AZ40" s="93">
        <f>IF(AND($T40=1,AZ$5&lt;=$H40),INDEX(Mortality!$B$4:$E$64,MATCH($D40+AZ$5-1,Mortality!$A$4:$A$64,0),$U40)*$V40*$N40,0)</f>
        <v>3.8900223999834959E-4</v>
      </c>
      <c r="BA40" s="93">
        <f>IF(AND($T40=1,BA$5&lt;=$H40),INDEX(Mortality!$B$4:$E$64,MATCH($D40+BA$5-1,Mortality!$A$4:$A$64,0),$U40)*$V40*$N40,0)</f>
        <v>4.2140109588680318E-4</v>
      </c>
      <c r="BB40" s="93">
        <f>IF(AND($T40=1,BB$5&lt;=$H40),INDEX(Mortality!$B$4:$E$64,MATCH($D40+BB$5-1,Mortality!$A$4:$A$64,0),$U40)*$V40*$N40,0)</f>
        <v>4.5649835747822877E-4</v>
      </c>
      <c r="BC40" s="93">
        <f>IF(AND($T40=1,BC$5&lt;=$H40),INDEX(Mortality!$B$4:$E$64,MATCH($D40+BC$5-1,Mortality!$A$4:$A$64,0),$U40)*$V40*$N40,0)</f>
        <v>4.9451876707102562E-4</v>
      </c>
      <c r="BD40" s="93">
        <f>IF(AND($T40=1,BD$5&lt;=$H40),INDEX(Mortality!$B$4:$E$64,MATCH($D40+BD$5-1,Mortality!$A$4:$A$64,0),$U40)*$V40*$N40,0)</f>
        <v>5.3570578509060725E-4</v>
      </c>
      <c r="BE40" s="93">
        <f>IF(AND($T40=1,BE$5&lt;=$H40),INDEX(Mortality!$B$4:$E$64,MATCH($D40+BE$5-1,Mortality!$A$4:$A$64,0),$U40)*$V40*$N40,0)</f>
        <v>0</v>
      </c>
      <c r="BF40" s="93">
        <f>IF(AND($T40=1,BF$5&lt;=$H40),INDEX(Mortality!$B$4:$E$64,MATCH($D40+BF$5-1,Mortality!$A$4:$A$64,0),$U40)*$V40*$N40,0)</f>
        <v>0</v>
      </c>
      <c r="BG40" s="93">
        <f>IF(AND($T40=1,BG$5&lt;=$H40),INDEX(Mortality!$B$4:$E$64,MATCH($D40+BG$5-1,Mortality!$A$4:$A$64,0),$U40)*$V40*$N40,0)</f>
        <v>0</v>
      </c>
      <c r="BH40" s="93">
        <f>IF(AND($T40=1,BH$5&lt;=$H40),INDEX(Mortality!$B$4:$E$64,MATCH($D40+BH$5-1,Mortality!$A$4:$A$64,0),$U40)*$V40*$N40,0)</f>
        <v>0</v>
      </c>
      <c r="BI40" s="93">
        <f>IF(AND($T40=1,BI$5&lt;=$H40),INDEX(Mortality!$B$4:$E$64,MATCH($D40+BI$5-1,Mortality!$A$4:$A$64,0),$U40)*$V40*$N40,0)</f>
        <v>0</v>
      </c>
      <c r="BJ40" s="93">
        <f>IF(AND($T40=1,BJ$5&lt;=$H40),INDEX(Mortality!$B$4:$E$64,MATCH($D40+BJ$5-1,Mortality!$A$4:$A$64,0),$U40)*$V40*$N40,0)</f>
        <v>0</v>
      </c>
      <c r="BK40" s="93">
        <f>IF(AND($T40=1,BK$5&lt;=$H40),INDEX(Mortality!$B$4:$E$64,MATCH($D40+BK$5-1,Mortality!$A$4:$A$64,0),$U40)*$V40*$N40,0)</f>
        <v>0</v>
      </c>
      <c r="BL40" s="93">
        <f>IF(AND($T40=1,BL$5&lt;=$H40),INDEX(Mortality!$B$4:$E$64,MATCH($D40+BL$5-1,Mortality!$A$4:$A$64,0),$U40)*$V40*$N40,0)</f>
        <v>0</v>
      </c>
      <c r="BM40" s="93">
        <f>IF(AND($T40=1,BM$5&lt;=$H40),INDEX(Mortality!$B$4:$E$64,MATCH($D40+BM$5-1,Mortality!$A$4:$A$64,0),$U40)*$V40*$N40,0)</f>
        <v>0</v>
      </c>
      <c r="BN40" s="93">
        <f>IF(AND($T40=1,BN$5&lt;=$H40),INDEX(Mortality!$B$4:$E$64,MATCH($D40+BN$5-1,Mortality!$A$4:$A$64,0),$U40)*$V40*$N40,0)</f>
        <v>0</v>
      </c>
      <c r="BO40" s="93">
        <f>IF(AND($T40=1,BO$5&lt;=$H40),INDEX(Mortality!$B$4:$E$64,MATCH($D40+BO$5-1,Mortality!$A$4:$A$64,0),$U40)*$V40*$N40,0)</f>
        <v>0</v>
      </c>
      <c r="BP40" s="93">
        <f>IF(AND($T40=1,BP$5&lt;=$H40),INDEX(Mortality!$B$4:$E$64,MATCH($D40+BP$5-1,Mortality!$A$4:$A$64,0),$U40)*$V40*$N40,0)</f>
        <v>0</v>
      </c>
      <c r="BQ40" s="93">
        <f>IF(AND($T40=1,BQ$5&lt;=$H40),INDEX(Mortality!$B$4:$E$64,MATCH($D40+BQ$5-1,Mortality!$A$4:$A$64,0),$U40)*$V40*$N40,0)</f>
        <v>0</v>
      </c>
      <c r="BR40" s="93">
        <f>IF(AND($T40=1,BR$5&lt;=$H40),INDEX(Mortality!$B$4:$E$64,MATCH($D40+BR$5-1,Mortality!$A$4:$A$64,0),$U40)*$V40*$N40,0)</f>
        <v>0</v>
      </c>
      <c r="BS40" s="93">
        <f>IF(AND($T40=1,BS$5&lt;=$H40),INDEX(Mortality!$B$4:$E$64,MATCH($D40+BS$5-1,Mortality!$A$4:$A$64,0),$U40)*$V40*$N40,0)</f>
        <v>0</v>
      </c>
      <c r="BT40" s="93">
        <f>IF(AND($T40=1,BT$5&lt;=$H40),INDEX(Mortality!$B$4:$E$64,MATCH($D40+BT$5-1,Mortality!$A$4:$A$64,0),$U40)*$V40*$N40,0)</f>
        <v>0</v>
      </c>
      <c r="BU40" s="93">
        <f>IF(AND($T40=1,BU$5&lt;=$H40),INDEX(Mortality!$B$4:$E$64,MATCH($D40+BU$5-1,Mortality!$A$4:$A$64,0),$U40)*$V40*$N40,0)</f>
        <v>0</v>
      </c>
      <c r="BV40" s="93">
        <f>IF(AND($T40=1,BV$5&lt;=$H40),INDEX(Mortality!$B$4:$E$64,MATCH($D40+BV$5-1,Mortality!$A$4:$A$64,0),$U40)*$V40*$N40,0)</f>
        <v>0</v>
      </c>
      <c r="BW40" s="93">
        <f>IF(AND($T40=1,BW$5&lt;=$H40),INDEX(Mortality!$B$4:$E$64,MATCH($D40+BW$5-1,Mortality!$A$4:$A$64,0),$U40)*$V40*$N40,0)</f>
        <v>0</v>
      </c>
      <c r="BX40" s="93">
        <f>IF(AND($T40=1,BX$5&lt;=$H40),INDEX(Mortality!$B$4:$E$64,MATCH($D40+BX$5-1,Mortality!$A$4:$A$64,0),$U40)*$V40*$N40,0)</f>
        <v>0</v>
      </c>
      <c r="BY40" s="93">
        <f>IF(AND($T40=1,BY$5&lt;=$H40),INDEX(Mortality!$B$4:$E$64,MATCH($D40+BY$5-1,Mortality!$A$4:$A$64,0),$U40)*$V40*$N40,0)</f>
        <v>0</v>
      </c>
      <c r="BZ40" s="93">
        <f>IF(AND($T40=1,BZ$5&lt;=$H40),INDEX(Mortality!$B$4:$E$64,MATCH($D40+BZ$5-1,Mortality!$A$4:$A$64,0),$U40)*$V40*$N40,0)</f>
        <v>0</v>
      </c>
      <c r="CA40" s="93">
        <f>IF(AND($T40=1,CA$5&lt;=$H40),INDEX(Mortality!$B$4:$E$64,MATCH($D40+CA$5-1,Mortality!$A$4:$A$64,0),$U40)*$V40*$N40,0)</f>
        <v>0</v>
      </c>
      <c r="CB40" s="93">
        <f>IF(AND($T40=1,CB$5&lt;=$H40),INDEX(Mortality!$B$4:$E$64,MATCH($D40+CB$5-1,Mortality!$A$4:$A$64,0),$U40)*$V40*$N40,0)</f>
        <v>0</v>
      </c>
      <c r="CC40" s="93">
        <f>IF(AND($T40=1,CC$5&lt;=$H40),INDEX(Mortality!$B$4:$E$64,MATCH($D40+CC$5-1,Mortality!$A$4:$A$64,0),$U40)*$V40*$N40,0)</f>
        <v>0</v>
      </c>
      <c r="CD40" s="93">
        <f>IF(AND($T40=1,CD$5&lt;=$H40),INDEX(Mortality!$B$4:$E$64,MATCH($D40+CD$5-1,Mortality!$A$4:$A$64,0),$U40)*$V40*$N40,0)</f>
        <v>0</v>
      </c>
      <c r="CE40" s="93">
        <f>IF(AND($T40=1,CE$5&lt;=$H40),INDEX(Mortality!$B$4:$E$64,MATCH($D40+CE$5-1,Mortality!$A$4:$A$64,0),$U40)*$V40*$N40,0)</f>
        <v>0</v>
      </c>
      <c r="CF40" s="93">
        <f>IF(AND($T40=1,CF$5&lt;=$H40),INDEX(Mortality!$B$4:$E$64,MATCH($D40+CF$5-1,Mortality!$A$4:$A$64,0),$U40)*$V40*$N40,0)</f>
        <v>0</v>
      </c>
      <c r="CG40" s="93">
        <f>IF(AND($T40=1,CG$5&lt;=$H40),INDEX(Mortality!$B$4:$E$64,MATCH($D40+CG$5-1,Mortality!$A$4:$A$64,0),$U40)*$V40*$N40,0)</f>
        <v>0</v>
      </c>
      <c r="CH40" s="94">
        <f>IF(AND($T40=1,CH$5&lt;=$H40),INDEX(Mortality!$B$4:$E$64,MATCH($D40+CH$5-1,Mortality!$A$4:$A$64,0),$U40)*$V40*$N40,0)</f>
        <v>0</v>
      </c>
      <c r="CI40" s="26"/>
      <c r="CJ40" s="419">
        <f t="shared" si="35"/>
        <v>1</v>
      </c>
      <c r="CK40" s="93">
        <f>IF(AND($T40=1,CK$5&lt;=$H40),CJ40*(1-AU40)*(1-MIN(1,MAX(Assumptions!$C$27,Assumptions!$C$13*Assumptions!$C$28^(CJ$5-1))*$O40)),0)</f>
        <v>0.87977053472050715</v>
      </c>
      <c r="CL40" s="93">
        <f>IF(AND($T40=1,CL$5&lt;=$H40),CK40*(1-AV40)*(1-MIN(1,MAX(Assumptions!$C$27,Assumptions!$C$13*Assumptions!$C$28^(CK$5-1))*$O40)),0)</f>
        <v>0.78981077644623532</v>
      </c>
      <c r="CM40" s="93">
        <f>IF(AND($T40=1,CM$5&lt;=$H40),CL40*(1-AW40)*(1-MIN(1,MAX(Assumptions!$C$27,Assumptions!$C$13*Assumptions!$C$28^(CL$5-1))*$O40)),0)</f>
        <v>0.72111345386861547</v>
      </c>
      <c r="CN40" s="93">
        <f>IF(AND($T40=1,CN$5&lt;=$H40),CM40*(1-AX40)*(1-MIN(1,MAX(Assumptions!$C$27,Assumptions!$C$13*Assumptions!$C$28^(CM$5-1))*$O40)),0)</f>
        <v>0.66774957495662879</v>
      </c>
      <c r="CO40" s="93">
        <f>IF(AND($T40=1,CO$5&lt;=$H40),CN40*(1-AY40)*(1-MIN(1,MAX(Assumptions!$C$27,Assumptions!$C$13*Assumptions!$C$28^(CN$5-1))*$O40)),0)</f>
        <v>0.62569647600275358</v>
      </c>
      <c r="CP40" s="93">
        <f>IF(AND($T40=1,CP$5&lt;=$H40),CO40*(1-AZ40)*(1-MIN(1,MAX(Assumptions!$C$27,Assumptions!$C$13*Assumptions!$C$28^(CO$5-1))*$O40)),0)</f>
        <v>0.59215105622487818</v>
      </c>
      <c r="CQ40" s="93">
        <f>IF(AND($T40=1,CQ$5&lt;=$H40),CP40*(1-BA40)*(1-MIN(1,MAX(Assumptions!$C$27,Assumptions!$C$13*Assumptions!$C$28^(CP$5-1))*$O40)),0)</f>
        <v>0.56511327839172687</v>
      </c>
      <c r="CR40" s="93">
        <f>IF(AND($T40=1,CR$5&lt;=$H40),CQ40*(1-BB40)*(1-MIN(1,MAX(Assumptions!$C$27,Assumptions!$C$13*Assumptions!$C$28^(CQ$5-1))*$O40)),0)</f>
        <v>0.54312574482692966</v>
      </c>
      <c r="CS40" s="93">
        <f>IF(AND($T40=1,CS$5&lt;=$H40),CR40*(1-BC40)*(1-MIN(1,MAX(Assumptions!$C$27,Assumptions!$C$13*Assumptions!$C$28^(CR$5-1))*$O40)),0)</f>
        <v>0.52510634708150761</v>
      </c>
      <c r="CT40" s="93">
        <f>IF(AND($T40=1,CT$5&lt;=$H40),CS40*(1-BD40)*(1-MIN(1,MAX(Assumptions!$C$27,Assumptions!$C$13*Assumptions!$C$28^(CS$5-1))*$O40)),0)</f>
        <v>0</v>
      </c>
      <c r="CU40" s="93">
        <f>IF(AND($T40=1,CU$5&lt;=$H40),CT40*(1-BE40)*(1-MIN(1,MAX(Assumptions!$C$27,Assumptions!$C$13*Assumptions!$C$28^(CT$5-1))*$O40)),0)</f>
        <v>0</v>
      </c>
      <c r="CV40" s="93">
        <f>IF(AND($T40=1,CV$5&lt;=$H40),CU40*(1-BF40)*(1-MIN(1,MAX(Assumptions!$C$27,Assumptions!$C$13*Assumptions!$C$28^(CU$5-1))*$O40)),0)</f>
        <v>0</v>
      </c>
      <c r="CW40" s="93">
        <f>IF(AND($T40=1,CW$5&lt;=$H40),CV40*(1-BG40)*(1-MIN(1,MAX(Assumptions!$C$27,Assumptions!$C$13*Assumptions!$C$28^(CV$5-1))*$O40)),0)</f>
        <v>0</v>
      </c>
      <c r="CX40" s="93">
        <f>IF(AND($T40=1,CX$5&lt;=$H40),CW40*(1-BH40)*(1-MIN(1,MAX(Assumptions!$C$27,Assumptions!$C$13*Assumptions!$C$28^(CW$5-1))*$O40)),0)</f>
        <v>0</v>
      </c>
      <c r="CY40" s="93">
        <f>IF(AND($T40=1,CY$5&lt;=$H40),CX40*(1-BI40)*(1-MIN(1,MAX(Assumptions!$C$27,Assumptions!$C$13*Assumptions!$C$28^(CX$5-1))*$O40)),0)</f>
        <v>0</v>
      </c>
      <c r="CZ40" s="93">
        <f>IF(AND($T40=1,CZ$5&lt;=$H40),CY40*(1-BJ40)*(1-MIN(1,MAX(Assumptions!$C$27,Assumptions!$C$13*Assumptions!$C$28^(CY$5-1))*$O40)),0)</f>
        <v>0</v>
      </c>
      <c r="DA40" s="93">
        <f>IF(AND($T40=1,DA$5&lt;=$H40),CZ40*(1-BK40)*(1-MIN(1,MAX(Assumptions!$C$27,Assumptions!$C$13*Assumptions!$C$28^(CZ$5-1))*$O40)),0)</f>
        <v>0</v>
      </c>
      <c r="DB40" s="93">
        <f>IF(AND($T40=1,DB$5&lt;=$H40),DA40*(1-BL40)*(1-MIN(1,MAX(Assumptions!$C$27,Assumptions!$C$13*Assumptions!$C$28^(DA$5-1))*$O40)),0)</f>
        <v>0</v>
      </c>
      <c r="DC40" s="93">
        <f>IF(AND($T40=1,DC$5&lt;=$H40),DB40*(1-BM40)*(1-MIN(1,MAX(Assumptions!$C$27,Assumptions!$C$13*Assumptions!$C$28^(DB$5-1))*$O40)),0)</f>
        <v>0</v>
      </c>
      <c r="DD40" s="93">
        <f>IF(AND($T40=1,DD$5&lt;=$H40),DC40*(1-BN40)*(1-MIN(1,MAX(Assumptions!$C$27,Assumptions!$C$13*Assumptions!$C$28^(DC$5-1))*$O40)),0)</f>
        <v>0</v>
      </c>
      <c r="DE40" s="93">
        <f>IF(AND($T40=1,DE$5&lt;=$H40),DD40*(1-BO40)*(1-MIN(1,MAX(Assumptions!$C$27,Assumptions!$C$13*Assumptions!$C$28^(DD$5-1))*$O40)),0)</f>
        <v>0</v>
      </c>
      <c r="DF40" s="93">
        <f>IF(AND($T40=1,DF$5&lt;=$H40),DE40*(1-BP40)*(1-MIN(1,MAX(Assumptions!$C$27,Assumptions!$C$13*Assumptions!$C$28^(DE$5-1))*$O40)),0)</f>
        <v>0</v>
      </c>
      <c r="DG40" s="93">
        <f>IF(AND($T40=1,DG$5&lt;=$H40),DF40*(1-BQ40)*(1-MIN(1,MAX(Assumptions!$C$27,Assumptions!$C$13*Assumptions!$C$28^(DF$5-1))*$O40)),0)</f>
        <v>0</v>
      </c>
      <c r="DH40" s="93">
        <f>IF(AND($T40=1,DH$5&lt;=$H40),DG40*(1-BR40)*(1-MIN(1,MAX(Assumptions!$C$27,Assumptions!$C$13*Assumptions!$C$28^(DG$5-1))*$O40)),0)</f>
        <v>0</v>
      </c>
      <c r="DI40" s="93">
        <f>IF(AND($T40=1,DI$5&lt;=$H40),DH40*(1-BS40)*(1-MIN(1,MAX(Assumptions!$C$27,Assumptions!$C$13*Assumptions!$C$28^(DH$5-1))*$O40)),0)</f>
        <v>0</v>
      </c>
      <c r="DJ40" s="93">
        <f>IF(AND($T40=1,DJ$5&lt;=$H40),DI40*(1-BT40)*(1-MIN(1,MAX(Assumptions!$C$27,Assumptions!$C$13*Assumptions!$C$28^(DI$5-1))*$O40)),0)</f>
        <v>0</v>
      </c>
      <c r="DK40" s="93">
        <f>IF(AND($T40=1,DK$5&lt;=$H40),DJ40*(1-BU40)*(1-MIN(1,MAX(Assumptions!$C$27,Assumptions!$C$13*Assumptions!$C$28^(DJ$5-1))*$O40)),0)</f>
        <v>0</v>
      </c>
      <c r="DL40" s="93">
        <f>IF(AND($T40=1,DL$5&lt;=$H40),DK40*(1-BV40)*(1-MIN(1,MAX(Assumptions!$C$27,Assumptions!$C$13*Assumptions!$C$28^(DK$5-1))*$O40)),0)</f>
        <v>0</v>
      </c>
      <c r="DM40" s="93">
        <f>IF(AND($T40=1,DM$5&lt;=$H40),DL40*(1-BW40)*(1-MIN(1,MAX(Assumptions!$C$27,Assumptions!$C$13*Assumptions!$C$28^(DL$5-1))*$O40)),0)</f>
        <v>0</v>
      </c>
      <c r="DN40" s="93">
        <f>IF(AND($T40=1,DN$5&lt;=$H40),DM40*(1-BX40)*(1-MIN(1,MAX(Assumptions!$C$27,Assumptions!$C$13*Assumptions!$C$28^(DM$5-1))*$O40)),0)</f>
        <v>0</v>
      </c>
      <c r="DO40" s="93">
        <f>IF(AND($T40=1,DO$5&lt;=$H40),DN40*(1-BY40)*(1-MIN(1,MAX(Assumptions!$C$27,Assumptions!$C$13*Assumptions!$C$28^(DN$5-1))*$O40)),0)</f>
        <v>0</v>
      </c>
      <c r="DP40" s="93">
        <f>IF(AND($T40=1,DP$5&lt;=$H40),DO40*(1-BZ40)*(1-MIN(1,MAX(Assumptions!$C$27,Assumptions!$C$13*Assumptions!$C$28^(DO$5-1))*$O40)),0)</f>
        <v>0</v>
      </c>
      <c r="DQ40" s="93">
        <f>IF(AND($T40=1,DQ$5&lt;=$H40),DP40*(1-CA40)*(1-MIN(1,MAX(Assumptions!$C$27,Assumptions!$C$13*Assumptions!$C$28^(DP$5-1))*$O40)),0)</f>
        <v>0</v>
      </c>
      <c r="DR40" s="93">
        <f>IF(AND($T40=1,DR$5&lt;=$H40),DQ40*(1-CB40)*(1-MIN(1,MAX(Assumptions!$C$27,Assumptions!$C$13*Assumptions!$C$28^(DQ$5-1))*$O40)),0)</f>
        <v>0</v>
      </c>
      <c r="DS40" s="93">
        <f>IF(AND($T40=1,DS$5&lt;=$H40),DR40*(1-CC40)*(1-MIN(1,MAX(Assumptions!$C$27,Assumptions!$C$13*Assumptions!$C$28^(DR$5-1))*$O40)),0)</f>
        <v>0</v>
      </c>
      <c r="DT40" s="93">
        <f>IF(AND($T40=1,DT$5&lt;=$H40),DS40*(1-CD40)*(1-MIN(1,MAX(Assumptions!$C$27,Assumptions!$C$13*Assumptions!$C$28^(DS$5-1))*$O40)),0)</f>
        <v>0</v>
      </c>
      <c r="DU40" s="93">
        <f>IF(AND($T40=1,DU$5&lt;=$H40),DT40*(1-CE40)*(1-MIN(1,MAX(Assumptions!$C$27,Assumptions!$C$13*Assumptions!$C$28^(DT$5-1))*$O40)),0)</f>
        <v>0</v>
      </c>
      <c r="DV40" s="93">
        <f>IF(AND($T40=1,DV$5&lt;=$H40),DU40*(1-CF40)*(1-MIN(1,MAX(Assumptions!$C$27,Assumptions!$C$13*Assumptions!$C$28^(DU$5-1))*$O40)),0)</f>
        <v>0</v>
      </c>
      <c r="DW40" s="94">
        <f>IF(AND($T40=1,DW$5&lt;=$H40),DV40*(1-CG40)*(1-MIN(1,MAX(Assumptions!$C$27,Assumptions!$C$13*Assumptions!$C$28^(DV$5-1))*$O40)),0)</f>
        <v>0</v>
      </c>
      <c r="DX40" s="26"/>
      <c r="DY40" s="399">
        <f>'Policy Data'!K14</f>
        <v>1</v>
      </c>
      <c r="DZ40" s="100">
        <f>'Policy Data'!L14</f>
        <v>0.93049999999999999</v>
      </c>
      <c r="EA40" s="100">
        <f>'Policy Data'!N14</f>
        <v>2.43E-4</v>
      </c>
      <c r="EB40" s="93" cm="1">
        <f t="array" ref="EB40">IFERROR(DZ40*INDEX(Mortality!$B$4:$E$64,MATCH(D40+DY40-1,Mortality!$A$4:$A$64,0),U40)*V40,0)</f>
        <v>2.426334574637164E-4</v>
      </c>
      <c r="EC40" s="100">
        <f>'Policy Data'!O14</f>
        <v>0</v>
      </c>
      <c r="ED40" s="400">
        <f>'Policy Data'!Q14</f>
        <v>0</v>
      </c>
    </row>
    <row r="41" spans="1:134" x14ac:dyDescent="0.3">
      <c r="A41" s="399" t="str">
        <f>'Policy Data'!A15</f>
        <v>POL100011</v>
      </c>
      <c r="B41" s="26" t="s">
        <v>426</v>
      </c>
      <c r="C41" s="100" t="str">
        <f>'Policy Data'!B15</f>
        <v>Term Life</v>
      </c>
      <c r="D41" s="100">
        <f>'Policy Data'!C15</f>
        <v>46</v>
      </c>
      <c r="E41" s="100" t="str">
        <f>'Policy Data'!D15</f>
        <v>Male</v>
      </c>
      <c r="F41" s="100" t="str">
        <f>'Policy Data'!E15</f>
        <v>Non-smoker</v>
      </c>
      <c r="G41" s="100" t="str">
        <f>'Policy Data'!F15</f>
        <v>Standard</v>
      </c>
      <c r="H41" s="100">
        <f>'Policy Data'!G15</f>
        <v>15</v>
      </c>
      <c r="I41" s="279">
        <f>'Policy Data'!H15</f>
        <v>500000</v>
      </c>
      <c r="J41" s="100" t="str">
        <f>'Policy Data'!I15</f>
        <v>Annual</v>
      </c>
      <c r="K41" s="100" t="str">
        <f>'Policy Data'!J15</f>
        <v>Bancassurance</v>
      </c>
      <c r="L41" s="26" t="s">
        <v>389</v>
      </c>
      <c r="M41" s="106">
        <f>'Policy Data'!R15</f>
        <v>1853.14</v>
      </c>
      <c r="N41" s="415">
        <f>Assumptions!$C$21</f>
        <v>1</v>
      </c>
      <c r="O41" s="415">
        <f>Assumptions!$C$22</f>
        <v>1</v>
      </c>
      <c r="P41" s="415">
        <f>Assumptions!$C$23</f>
        <v>1</v>
      </c>
      <c r="Q41" s="416">
        <f>Assumptions!$C$24</f>
        <v>0</v>
      </c>
      <c r="R41" s="416">
        <f>Assumptions!$C$6+Assumptions!$C$25</f>
        <v>3.5000000000000003E-2</v>
      </c>
      <c r="S41" s="416">
        <f>Assumptions!$C$15</f>
        <v>1.1000000000000001E-3</v>
      </c>
      <c r="T41" s="26">
        <f t="shared" si="18"/>
        <v>1</v>
      </c>
      <c r="U41" s="26">
        <f t="shared" si="19"/>
        <v>3</v>
      </c>
      <c r="V41" s="389">
        <f>IF($G41="Preferred",Assumptions!$C$30,IF($G41="Rated",Assumptions!$C$31,1))</f>
        <v>1</v>
      </c>
      <c r="W41" s="390">
        <f>IF($K41="Direct",Assumptions!$C$32,IF($K41="Broker",Assumptions!$C$33,IF($K41="Bancassurance",Assumptions!$C$34,Assumptions!$C$11)))+$Q41</f>
        <v>0.2</v>
      </c>
      <c r="X41" s="390">
        <f>Assumptions!$C$12+$Q41</f>
        <v>0.05</v>
      </c>
      <c r="Y41" s="131">
        <f>MIN($I41,Assumptions!$C$14)</f>
        <v>500000</v>
      </c>
      <c r="Z41" s="131">
        <f>MAX($I41-Assumptions!$C$14,0)</f>
        <v>0</v>
      </c>
      <c r="AA41" s="389">
        <f t="shared" si="20"/>
        <v>7.3403286959678047</v>
      </c>
      <c r="AB41" s="389">
        <f t="shared" si="21"/>
        <v>2.2203390043956574E-2</v>
      </c>
      <c r="AC41" s="389">
        <f>IF($T41=1,SUMPRODUCT($CJ41:$DW41,(1+Assumptions!$C$5)^($CJ$5:$DW$5-1),(1+$R41)^(-$CJ$5:$DW$5)),0)</f>
        <v>9.171853732854931</v>
      </c>
      <c r="AD41" s="389">
        <f t="shared" si="22"/>
        <v>0.51194397103027434</v>
      </c>
      <c r="AE41" s="131">
        <f>IF($T41=1,$AB41*$Y41+(Assumptions!$C$9/(1+$R41)+Assumptions!$C$10*$AC41)*$P41+$S41*$Z41*$AA41,0)</f>
        <v>13989.068060597676</v>
      </c>
      <c r="AF41" s="131">
        <f>IF($T41=1,IF($AA41-$AD41-Assumptions!$C$16*$AA41&gt;0,$AE41/($AA41-$AD41-Assumptions!$C$16*$AA41)*IF($J41="Monthly",1+Assumptions!$C$29,1),"n.a."),"")</f>
        <v>2241.4217198867182</v>
      </c>
      <c r="AG41" s="131">
        <f t="shared" si="23"/>
        <v>1853.14</v>
      </c>
      <c r="AH41" s="131">
        <f t="shared" si="24"/>
        <v>13602.656719645778</v>
      </c>
      <c r="AI41" s="131">
        <f t="shared" si="25"/>
        <v>-1335.1151914269412</v>
      </c>
      <c r="AJ41" s="390">
        <f t="shared" si="26"/>
        <v>-9.8151061145186971E-2</v>
      </c>
      <c r="AK41" s="389">
        <f t="shared" si="27"/>
        <v>0.82676989499934805</v>
      </c>
      <c r="AL41" s="131">
        <f t="shared" si="28"/>
        <v>0</v>
      </c>
      <c r="AM41" s="131">
        <f t="shared" si="29"/>
        <v>0</v>
      </c>
      <c r="AN41" s="131">
        <f t="shared" si="30"/>
        <v>0</v>
      </c>
      <c r="AO41" s="131">
        <f t="shared" si="31"/>
        <v>-1335.1151914269412</v>
      </c>
      <c r="AP41" s="26" t="str">
        <f t="shared" si="32"/>
        <v>40-49</v>
      </c>
      <c r="AQ41" s="26" t="str">
        <f t="shared" si="33"/>
        <v>250k-500k</v>
      </c>
      <c r="AR41" s="26" t="str">
        <f>IF($T41=1,IF($AI41&lt;0,"Loss-making",IF($AJ41&lt;Assumptions!$C$16-0.00001,"Below target","At/above target")),"Excluded")</f>
        <v>Loss-making</v>
      </c>
      <c r="AS41" s="103">
        <f t="shared" si="34"/>
        <v>-1335.1151504269412</v>
      </c>
      <c r="AT41" s="26"/>
      <c r="AU41" s="419">
        <f>IF(AND($T41=1,AU$5&lt;=$H41),INDEX(Mortality!$B$4:$E$64,MATCH($D41+AU$5-1,Mortality!$A$4:$A$64,0),$U41)*$V41*$N41,0)</f>
        <v>1.8612610579820999E-3</v>
      </c>
      <c r="AV41" s="93">
        <f>IF(AND($T41=1,AV$5&lt;=$H41),INDEX(Mortality!$B$4:$E$64,MATCH($D41+AV$5-1,Mortality!$A$4:$A$64,0),$U41)*$V41*$N41,0)</f>
        <v>2.0162800336790201E-3</v>
      </c>
      <c r="AW41" s="93">
        <f>IF(AND($T41=1,AW$5&lt;=$H41),INDEX(Mortality!$B$4:$E$64,MATCH($D41+AW$5-1,Mortality!$A$4:$A$64,0),$U41)*$V41*$N41,0)</f>
        <v>2.1842100852957199E-3</v>
      </c>
      <c r="AX41" s="93">
        <f>IF(AND($T41=1,AX$5&lt;=$H41),INDEX(Mortality!$B$4:$E$64,MATCH($D41+AX$5-1,Mortality!$A$4:$A$64,0),$U41)*$V41*$N41,0)</f>
        <v>2.3661265384860701E-3</v>
      </c>
      <c r="AY41" s="93">
        <f>IF(AND($T41=1,AY$5&lt;=$H41),INDEX(Mortality!$B$4:$E$64,MATCH($D41+AY$5-1,Mortality!$A$4:$A$64,0),$U41)*$V41*$N41,0)</f>
        <v>2.5631942796244698E-3</v>
      </c>
      <c r="AZ41" s="93">
        <f>IF(AND($T41=1,AZ$5&lt;=$H41),INDEX(Mortality!$B$4:$E$64,MATCH($D41+AZ$5-1,Mortality!$A$4:$A$64,0),$U41)*$V41*$N41,0)</f>
        <v>2.7766752150556202E-3</v>
      </c>
      <c r="BA41" s="93">
        <f>IF(AND($T41=1,BA$5&lt;=$H41),INDEX(Mortality!$B$4:$E$64,MATCH($D41+BA$5-1,Mortality!$A$4:$A$64,0),$U41)*$V41*$N41,0)</f>
        <v>3.0079363516033399E-3</v>
      </c>
      <c r="BB41" s="93">
        <f>IF(AND($T41=1,BB$5&lt;=$H41),INDEX(Mortality!$B$4:$E$64,MATCH($D41+BB$5-1,Mortality!$A$4:$A$64,0),$U41)*$V41*$N41,0)</f>
        <v>3.2584585500813001E-3</v>
      </c>
      <c r="BC41" s="93">
        <f>IF(AND($T41=1,BC$5&lt;=$H41),INDEX(Mortality!$B$4:$E$64,MATCH($D41+BC$5-1,Mortality!$A$4:$A$64,0),$U41)*$V41*$N41,0)</f>
        <v>3.5298460078579601E-3</v>
      </c>
      <c r="BD41" s="93">
        <f>IF(AND($T41=1,BD$5&lt;=$H41),INDEX(Mortality!$B$4:$E$64,MATCH($D41+BD$5-1,Mortality!$A$4:$A$64,0),$U41)*$V41*$N41,0)</f>
        <v>3.8238365311966099E-3</v>
      </c>
      <c r="BE41" s="93">
        <f>IF(AND($T41=1,BE$5&lt;=$H41),INDEX(Mortality!$B$4:$E$64,MATCH($D41+BE$5-1,Mortality!$A$4:$A$64,0),$U41)*$V41*$N41,0)</f>
        <v>4.1423126631483596E-3</v>
      </c>
      <c r="BF41" s="93">
        <f>IF(AND($T41=1,BF$5&lt;=$H41),INDEX(Mortality!$B$4:$E$64,MATCH($D41+BF$5-1,Mortality!$A$4:$A$64,0),$U41)*$V41*$N41,0)</f>
        <v>4.4873137382548398E-3</v>
      </c>
      <c r="BG41" s="93">
        <f>IF(AND($T41=1,BG$5&lt;=$H41),INDEX(Mortality!$B$4:$E$64,MATCH($D41+BG$5-1,Mortality!$A$4:$A$64,0),$U41)*$V41*$N41,0)</f>
        <v>4.8610489412516398E-3</v>
      </c>
      <c r="BH41" s="93">
        <f>IF(AND($T41=1,BH$5&lt;=$H41),INDEX(Mortality!$B$4:$E$64,MATCH($D41+BH$5-1,Mortality!$A$4:$A$64,0),$U41)*$V41*$N41,0)</f>
        <v>5.2659114533929498E-3</v>
      </c>
      <c r="BI41" s="93">
        <f>IF(AND($T41=1,BI$5&lt;=$H41),INDEX(Mortality!$B$4:$E$64,MATCH($D41+BI$5-1,Mortality!$A$4:$A$64,0),$U41)*$V41*$N41,0)</f>
        <v>5.7044937769820296E-3</v>
      </c>
      <c r="BJ41" s="93">
        <f>IF(AND($T41=1,BJ$5&lt;=$H41),INDEX(Mortality!$B$4:$E$64,MATCH($D41+BJ$5-1,Mortality!$A$4:$A$64,0),$U41)*$V41*$N41,0)</f>
        <v>0</v>
      </c>
      <c r="BK41" s="93">
        <f>IF(AND($T41=1,BK$5&lt;=$H41),INDEX(Mortality!$B$4:$E$64,MATCH($D41+BK$5-1,Mortality!$A$4:$A$64,0),$U41)*$V41*$N41,0)</f>
        <v>0</v>
      </c>
      <c r="BL41" s="93">
        <f>IF(AND($T41=1,BL$5&lt;=$H41),INDEX(Mortality!$B$4:$E$64,MATCH($D41+BL$5-1,Mortality!$A$4:$A$64,0),$U41)*$V41*$N41,0)</f>
        <v>0</v>
      </c>
      <c r="BM41" s="93">
        <f>IF(AND($T41=1,BM$5&lt;=$H41),INDEX(Mortality!$B$4:$E$64,MATCH($D41+BM$5-1,Mortality!$A$4:$A$64,0),$U41)*$V41*$N41,0)</f>
        <v>0</v>
      </c>
      <c r="BN41" s="93">
        <f>IF(AND($T41=1,BN$5&lt;=$H41),INDEX(Mortality!$B$4:$E$64,MATCH($D41+BN$5-1,Mortality!$A$4:$A$64,0),$U41)*$V41*$N41,0)</f>
        <v>0</v>
      </c>
      <c r="BO41" s="93">
        <f>IF(AND($T41=1,BO$5&lt;=$H41),INDEX(Mortality!$B$4:$E$64,MATCH($D41+BO$5-1,Mortality!$A$4:$A$64,0),$U41)*$V41*$N41,0)</f>
        <v>0</v>
      </c>
      <c r="BP41" s="93">
        <f>IF(AND($T41=1,BP$5&lt;=$H41),INDEX(Mortality!$B$4:$E$64,MATCH($D41+BP$5-1,Mortality!$A$4:$A$64,0),$U41)*$V41*$N41,0)</f>
        <v>0</v>
      </c>
      <c r="BQ41" s="93">
        <f>IF(AND($T41=1,BQ$5&lt;=$H41),INDEX(Mortality!$B$4:$E$64,MATCH($D41+BQ$5-1,Mortality!$A$4:$A$64,0),$U41)*$V41*$N41,0)</f>
        <v>0</v>
      </c>
      <c r="BR41" s="93">
        <f>IF(AND($T41=1,BR$5&lt;=$H41),INDEX(Mortality!$B$4:$E$64,MATCH($D41+BR$5-1,Mortality!$A$4:$A$64,0),$U41)*$V41*$N41,0)</f>
        <v>0</v>
      </c>
      <c r="BS41" s="93">
        <f>IF(AND($T41=1,BS$5&lt;=$H41),INDEX(Mortality!$B$4:$E$64,MATCH($D41+BS$5-1,Mortality!$A$4:$A$64,0),$U41)*$V41*$N41,0)</f>
        <v>0</v>
      </c>
      <c r="BT41" s="93">
        <f>IF(AND($T41=1,BT$5&lt;=$H41),INDEX(Mortality!$B$4:$E$64,MATCH($D41+BT$5-1,Mortality!$A$4:$A$64,0),$U41)*$V41*$N41,0)</f>
        <v>0</v>
      </c>
      <c r="BU41" s="93">
        <f>IF(AND($T41=1,BU$5&lt;=$H41),INDEX(Mortality!$B$4:$E$64,MATCH($D41+BU$5-1,Mortality!$A$4:$A$64,0),$U41)*$V41*$N41,0)</f>
        <v>0</v>
      </c>
      <c r="BV41" s="93">
        <f>IF(AND($T41=1,BV$5&lt;=$H41),INDEX(Mortality!$B$4:$E$64,MATCH($D41+BV$5-1,Mortality!$A$4:$A$64,0),$U41)*$V41*$N41,0)</f>
        <v>0</v>
      </c>
      <c r="BW41" s="93">
        <f>IF(AND($T41=1,BW$5&lt;=$H41),INDEX(Mortality!$B$4:$E$64,MATCH($D41+BW$5-1,Mortality!$A$4:$A$64,0),$U41)*$V41*$N41,0)</f>
        <v>0</v>
      </c>
      <c r="BX41" s="93">
        <f>IF(AND($T41=1,BX$5&lt;=$H41),INDEX(Mortality!$B$4:$E$64,MATCH($D41+BX$5-1,Mortality!$A$4:$A$64,0),$U41)*$V41*$N41,0)</f>
        <v>0</v>
      </c>
      <c r="BY41" s="93">
        <f>IF(AND($T41=1,BY$5&lt;=$H41),INDEX(Mortality!$B$4:$E$64,MATCH($D41+BY$5-1,Mortality!$A$4:$A$64,0),$U41)*$V41*$N41,0)</f>
        <v>0</v>
      </c>
      <c r="BZ41" s="93">
        <f>IF(AND($T41=1,BZ$5&lt;=$H41),INDEX(Mortality!$B$4:$E$64,MATCH($D41+BZ$5-1,Mortality!$A$4:$A$64,0),$U41)*$V41*$N41,0)</f>
        <v>0</v>
      </c>
      <c r="CA41" s="93">
        <f>IF(AND($T41=1,CA$5&lt;=$H41),INDEX(Mortality!$B$4:$E$64,MATCH($D41+CA$5-1,Mortality!$A$4:$A$64,0),$U41)*$V41*$N41,0)</f>
        <v>0</v>
      </c>
      <c r="CB41" s="93">
        <f>IF(AND($T41=1,CB$5&lt;=$H41),INDEX(Mortality!$B$4:$E$64,MATCH($D41+CB$5-1,Mortality!$A$4:$A$64,0),$U41)*$V41*$N41,0)</f>
        <v>0</v>
      </c>
      <c r="CC41" s="93">
        <f>IF(AND($T41=1,CC$5&lt;=$H41),INDEX(Mortality!$B$4:$E$64,MATCH($D41+CC$5-1,Mortality!$A$4:$A$64,0),$U41)*$V41*$N41,0)</f>
        <v>0</v>
      </c>
      <c r="CD41" s="93">
        <f>IF(AND($T41=1,CD$5&lt;=$H41),INDEX(Mortality!$B$4:$E$64,MATCH($D41+CD$5-1,Mortality!$A$4:$A$64,0),$U41)*$V41*$N41,0)</f>
        <v>0</v>
      </c>
      <c r="CE41" s="93">
        <f>IF(AND($T41=1,CE$5&lt;=$H41),INDEX(Mortality!$B$4:$E$64,MATCH($D41+CE$5-1,Mortality!$A$4:$A$64,0),$U41)*$V41*$N41,0)</f>
        <v>0</v>
      </c>
      <c r="CF41" s="93">
        <f>IF(AND($T41=1,CF$5&lt;=$H41),INDEX(Mortality!$B$4:$E$64,MATCH($D41+CF$5-1,Mortality!$A$4:$A$64,0),$U41)*$V41*$N41,0)</f>
        <v>0</v>
      </c>
      <c r="CG41" s="93">
        <f>IF(AND($T41=1,CG$5&lt;=$H41),INDEX(Mortality!$B$4:$E$64,MATCH($D41+CG$5-1,Mortality!$A$4:$A$64,0),$U41)*$V41*$N41,0)</f>
        <v>0</v>
      </c>
      <c r="CH41" s="94">
        <f>IF(AND($T41=1,CH$5&lt;=$H41),INDEX(Mortality!$B$4:$E$64,MATCH($D41+CH$5-1,Mortality!$A$4:$A$64,0),$U41)*$V41*$N41,0)</f>
        <v>0</v>
      </c>
      <c r="CI41" s="26"/>
      <c r="CJ41" s="419">
        <f t="shared" si="35"/>
        <v>1</v>
      </c>
      <c r="CK41" s="93">
        <f>IF(AND($T41=1,CK$5&lt;=$H41),CJ41*(1-AU41)*(1-MIN(1,MAX(Assumptions!$C$27,Assumptions!$C$13*Assumptions!$C$28^(CJ$5-1))*$O41)),0)</f>
        <v>0.87836209026897571</v>
      </c>
      <c r="CL41" s="93">
        <f>IF(AND($T41=1,CL$5&lt;=$H41),CK41*(1-AV41)*(1-MIN(1,MAX(Assumptions!$C$27,Assumptions!$C$13*Assumptions!$C$28^(CK$5-1))*$O41)),0)</f>
        <v>0.78717877755897525</v>
      </c>
      <c r="CM41" s="93">
        <f>IF(AND($T41=1,CM$5&lt;=$H41),CL41*(1-AW41)*(1-MIN(1,MAX(Assumptions!$C$27,Assumptions!$C$13*Assumptions!$C$28^(CL$5-1))*$O41)),0)</f>
        <v>0.71736008256335371</v>
      </c>
      <c r="CN41" s="93">
        <f>IF(AND($T41=1,CN$5&lt;=$H41),CM41*(1-AX41)*(1-MIN(1,MAX(Assumptions!$C$27,Assumptions!$C$13*Assumptions!$C$28^(CM$5-1))*$O41)),0)</f>
        <v>0.66292195384354757</v>
      </c>
      <c r="CO41" s="93">
        <f>IF(AND($T41=1,CO$5&lt;=$H41),CN41*(1-AY41)*(1-MIN(1,MAX(Assumptions!$C$27,Assumptions!$C$13*Assumptions!$C$28^(CN$5-1))*$O41)),0)</f>
        <v>0.61980326672547348</v>
      </c>
      <c r="CP41" s="93">
        <f>IF(AND($T41=1,CP$5&lt;=$H41),CO41*(1-AZ41)*(1-MIN(1,MAX(Assumptions!$C$27,Assumptions!$C$13*Assumptions!$C$28^(CO$5-1))*$O41)),0)</f>
        <v>0.58517270771325647</v>
      </c>
      <c r="CQ41" s="93">
        <f>IF(AND($T41=1,CQ$5&lt;=$H41),CP41*(1-BA41)*(1-MIN(1,MAX(Assumptions!$C$27,Assumptions!$C$13*Assumptions!$C$28^(CP$5-1))*$O41)),0)</f>
        <v>0.55700849438246758</v>
      </c>
      <c r="CR41" s="93">
        <f>IF(AND($T41=1,CR$5&lt;=$H41),CQ41*(1-BB41)*(1-MIN(1,MAX(Assumptions!$C$27,Assumptions!$C$13*Assumptions!$C$28^(CQ$5-1))*$O41)),0)</f>
        <v>0.53383562720839883</v>
      </c>
      <c r="CS41" s="93">
        <f>IF(AND($T41=1,CS$5&lt;=$H41),CR41*(1-BC41)*(1-MIN(1,MAX(Assumptions!$C$27,Assumptions!$C$13*Assumptions!$C$28^(CR$5-1))*$O41)),0)</f>
        <v>0.5145570679593624</v>
      </c>
      <c r="CT41" s="93">
        <f>IF(AND($T41=1,CT$5&lt;=$H41),CS41*(1-BD41)*(1-MIN(1,MAX(Assumptions!$C$27,Assumptions!$C$13*Assumptions!$C$28^(CS$5-1))*$O41)),0)</f>
        <v>0.49834255647650422</v>
      </c>
      <c r="CU41" s="93">
        <f>IF(AND($T41=1,CU$5&lt;=$H41),CT41*(1-BE41)*(1-MIN(1,MAX(Assumptions!$C$27,Assumptions!$C$13*Assumptions!$C$28^(CT$5-1))*$O41)),0)</f>
        <v>0.48455372723836765</v>
      </c>
      <c r="CV41" s="93">
        <f>IF(AND($T41=1,CV$5&lt;=$H41),CU41*(1-BF41)*(1-MIN(1,MAX(Assumptions!$C$27,Assumptions!$C$13*Assumptions!$C$28^(CU$5-1))*$O41)),0)</f>
        <v>0.47269263097158754</v>
      </c>
      <c r="CW41" s="93">
        <f>IF(AND($T41=1,CW$5&lt;=$H41),CV41*(1-BG41)*(1-MIN(1,MAX(Assumptions!$C$27,Assumptions!$C$13*Assumptions!$C$28^(CV$5-1))*$O41)),0)</f>
        <v>0.46098695197910033</v>
      </c>
      <c r="CX41" s="93">
        <f>IF(AND($T41=1,CX$5&lt;=$H41),CW41*(1-BH41)*(1-MIN(1,MAX(Assumptions!$C$27,Assumptions!$C$13*Assumptions!$C$28^(CW$5-1))*$O41)),0)</f>
        <v>0.44938824679863271</v>
      </c>
      <c r="CY41" s="93">
        <f>IF(AND($T41=1,CY$5&lt;=$H41),CX41*(1-BI41)*(1-MIN(1,MAX(Assumptions!$C$27,Assumptions!$C$13*Assumptions!$C$28^(CX$5-1))*$O41)),0)</f>
        <v>0</v>
      </c>
      <c r="CZ41" s="93">
        <f>IF(AND($T41=1,CZ$5&lt;=$H41),CY41*(1-BJ41)*(1-MIN(1,MAX(Assumptions!$C$27,Assumptions!$C$13*Assumptions!$C$28^(CY$5-1))*$O41)),0)</f>
        <v>0</v>
      </c>
      <c r="DA41" s="93">
        <f>IF(AND($T41=1,DA$5&lt;=$H41),CZ41*(1-BK41)*(1-MIN(1,MAX(Assumptions!$C$27,Assumptions!$C$13*Assumptions!$C$28^(CZ$5-1))*$O41)),0)</f>
        <v>0</v>
      </c>
      <c r="DB41" s="93">
        <f>IF(AND($T41=1,DB$5&lt;=$H41),DA41*(1-BL41)*(1-MIN(1,MAX(Assumptions!$C$27,Assumptions!$C$13*Assumptions!$C$28^(DA$5-1))*$O41)),0)</f>
        <v>0</v>
      </c>
      <c r="DC41" s="93">
        <f>IF(AND($T41=1,DC$5&lt;=$H41),DB41*(1-BM41)*(1-MIN(1,MAX(Assumptions!$C$27,Assumptions!$C$13*Assumptions!$C$28^(DB$5-1))*$O41)),0)</f>
        <v>0</v>
      </c>
      <c r="DD41" s="93">
        <f>IF(AND($T41=1,DD$5&lt;=$H41),DC41*(1-BN41)*(1-MIN(1,MAX(Assumptions!$C$27,Assumptions!$C$13*Assumptions!$C$28^(DC$5-1))*$O41)),0)</f>
        <v>0</v>
      </c>
      <c r="DE41" s="93">
        <f>IF(AND($T41=1,DE$5&lt;=$H41),DD41*(1-BO41)*(1-MIN(1,MAX(Assumptions!$C$27,Assumptions!$C$13*Assumptions!$C$28^(DD$5-1))*$O41)),0)</f>
        <v>0</v>
      </c>
      <c r="DF41" s="93">
        <f>IF(AND($T41=1,DF$5&lt;=$H41),DE41*(1-BP41)*(1-MIN(1,MAX(Assumptions!$C$27,Assumptions!$C$13*Assumptions!$C$28^(DE$5-1))*$O41)),0)</f>
        <v>0</v>
      </c>
      <c r="DG41" s="93">
        <f>IF(AND($T41=1,DG$5&lt;=$H41),DF41*(1-BQ41)*(1-MIN(1,MAX(Assumptions!$C$27,Assumptions!$C$13*Assumptions!$C$28^(DF$5-1))*$O41)),0)</f>
        <v>0</v>
      </c>
      <c r="DH41" s="93">
        <f>IF(AND($T41=1,DH$5&lt;=$H41),DG41*(1-BR41)*(1-MIN(1,MAX(Assumptions!$C$27,Assumptions!$C$13*Assumptions!$C$28^(DG$5-1))*$O41)),0)</f>
        <v>0</v>
      </c>
      <c r="DI41" s="93">
        <f>IF(AND($T41=1,DI$5&lt;=$H41),DH41*(1-BS41)*(1-MIN(1,MAX(Assumptions!$C$27,Assumptions!$C$13*Assumptions!$C$28^(DH$5-1))*$O41)),0)</f>
        <v>0</v>
      </c>
      <c r="DJ41" s="93">
        <f>IF(AND($T41=1,DJ$5&lt;=$H41),DI41*(1-BT41)*(1-MIN(1,MAX(Assumptions!$C$27,Assumptions!$C$13*Assumptions!$C$28^(DI$5-1))*$O41)),0)</f>
        <v>0</v>
      </c>
      <c r="DK41" s="93">
        <f>IF(AND($T41=1,DK$5&lt;=$H41),DJ41*(1-BU41)*(1-MIN(1,MAX(Assumptions!$C$27,Assumptions!$C$13*Assumptions!$C$28^(DJ$5-1))*$O41)),0)</f>
        <v>0</v>
      </c>
      <c r="DL41" s="93">
        <f>IF(AND($T41=1,DL$5&lt;=$H41),DK41*(1-BV41)*(1-MIN(1,MAX(Assumptions!$C$27,Assumptions!$C$13*Assumptions!$C$28^(DK$5-1))*$O41)),0)</f>
        <v>0</v>
      </c>
      <c r="DM41" s="93">
        <f>IF(AND($T41=1,DM$5&lt;=$H41),DL41*(1-BW41)*(1-MIN(1,MAX(Assumptions!$C$27,Assumptions!$C$13*Assumptions!$C$28^(DL$5-1))*$O41)),0)</f>
        <v>0</v>
      </c>
      <c r="DN41" s="93">
        <f>IF(AND($T41=1,DN$5&lt;=$H41),DM41*(1-BX41)*(1-MIN(1,MAX(Assumptions!$C$27,Assumptions!$C$13*Assumptions!$C$28^(DM$5-1))*$O41)),0)</f>
        <v>0</v>
      </c>
      <c r="DO41" s="93">
        <f>IF(AND($T41=1,DO$5&lt;=$H41),DN41*(1-BY41)*(1-MIN(1,MAX(Assumptions!$C$27,Assumptions!$C$13*Assumptions!$C$28^(DN$5-1))*$O41)),0)</f>
        <v>0</v>
      </c>
      <c r="DP41" s="93">
        <f>IF(AND($T41=1,DP$5&lt;=$H41),DO41*(1-BZ41)*(1-MIN(1,MAX(Assumptions!$C$27,Assumptions!$C$13*Assumptions!$C$28^(DO$5-1))*$O41)),0)</f>
        <v>0</v>
      </c>
      <c r="DQ41" s="93">
        <f>IF(AND($T41=1,DQ$5&lt;=$H41),DP41*(1-CA41)*(1-MIN(1,MAX(Assumptions!$C$27,Assumptions!$C$13*Assumptions!$C$28^(DP$5-1))*$O41)),0)</f>
        <v>0</v>
      </c>
      <c r="DR41" s="93">
        <f>IF(AND($T41=1,DR$5&lt;=$H41),DQ41*(1-CB41)*(1-MIN(1,MAX(Assumptions!$C$27,Assumptions!$C$13*Assumptions!$C$28^(DQ$5-1))*$O41)),0)</f>
        <v>0</v>
      </c>
      <c r="DS41" s="93">
        <f>IF(AND($T41=1,DS$5&lt;=$H41),DR41*(1-CC41)*(1-MIN(1,MAX(Assumptions!$C$27,Assumptions!$C$13*Assumptions!$C$28^(DR$5-1))*$O41)),0)</f>
        <v>0</v>
      </c>
      <c r="DT41" s="93">
        <f>IF(AND($T41=1,DT$5&lt;=$H41),DS41*(1-CD41)*(1-MIN(1,MAX(Assumptions!$C$27,Assumptions!$C$13*Assumptions!$C$28^(DS$5-1))*$O41)),0)</f>
        <v>0</v>
      </c>
      <c r="DU41" s="93">
        <f>IF(AND($T41=1,DU$5&lt;=$H41),DT41*(1-CE41)*(1-MIN(1,MAX(Assumptions!$C$27,Assumptions!$C$13*Assumptions!$C$28^(DT$5-1))*$O41)),0)</f>
        <v>0</v>
      </c>
      <c r="DV41" s="93">
        <f>IF(AND($T41=1,DV$5&lt;=$H41),DU41*(1-CF41)*(1-MIN(1,MAX(Assumptions!$C$27,Assumptions!$C$13*Assumptions!$C$28^(DU$5-1))*$O41)),0)</f>
        <v>0</v>
      </c>
      <c r="DW41" s="94">
        <f>IF(AND($T41=1,DW$5&lt;=$H41),DV41*(1-CG41)*(1-MIN(1,MAX(Assumptions!$C$27,Assumptions!$C$13*Assumptions!$C$28^(DV$5-1))*$O41)),0)</f>
        <v>0</v>
      </c>
      <c r="DX41" s="26"/>
      <c r="DY41" s="399">
        <f>'Policy Data'!K15</f>
        <v>7</v>
      </c>
      <c r="DZ41" s="100">
        <f>'Policy Data'!L15</f>
        <v>0.98219999999999996</v>
      </c>
      <c r="EA41" s="100">
        <f>'Policy Data'!N15</f>
        <v>1.828E-3</v>
      </c>
      <c r="EB41" s="93" cm="1">
        <f t="array" ref="EB41">IFERROR(DZ41*INDEX(Mortality!$B$4:$E$64,MATCH(D41+DY41-1,Mortality!$A$4:$A$64,0),U41)*V41,0)</f>
        <v>2.9543950845448003E-3</v>
      </c>
      <c r="EC41" s="100">
        <f>'Policy Data'!O15</f>
        <v>0</v>
      </c>
      <c r="ED41" s="400">
        <f>'Policy Data'!Q15</f>
        <v>0</v>
      </c>
    </row>
    <row r="42" spans="1:134" x14ac:dyDescent="0.3">
      <c r="A42" s="399" t="str">
        <f>'Policy Data'!A16</f>
        <v>POL100012</v>
      </c>
      <c r="B42" s="26" t="s">
        <v>426</v>
      </c>
      <c r="C42" s="100" t="str">
        <f>'Policy Data'!B16</f>
        <v>Term Life</v>
      </c>
      <c r="D42" s="100">
        <f>'Policy Data'!C16</f>
        <v>61</v>
      </c>
      <c r="E42" s="100" t="str">
        <f>'Policy Data'!D16</f>
        <v>Male</v>
      </c>
      <c r="F42" s="100" t="str">
        <f>'Policy Data'!E16</f>
        <v>Smoker</v>
      </c>
      <c r="G42" s="100" t="str">
        <f>'Policy Data'!F16</f>
        <v>Standard</v>
      </c>
      <c r="H42" s="100">
        <f>'Policy Data'!G16</f>
        <v>10</v>
      </c>
      <c r="I42" s="279">
        <f>'Policy Data'!H16</f>
        <v>500000</v>
      </c>
      <c r="J42" s="100" t="str">
        <f>'Policy Data'!I16</f>
        <v>Monthly</v>
      </c>
      <c r="K42" s="100" t="str">
        <f>'Policy Data'!J16</f>
        <v>Direct</v>
      </c>
      <c r="L42" s="26" t="s">
        <v>389</v>
      </c>
      <c r="M42" s="106">
        <f>'Policy Data'!R16</f>
        <v>6770.84</v>
      </c>
      <c r="N42" s="415">
        <f>Assumptions!$C$21</f>
        <v>1</v>
      </c>
      <c r="O42" s="415">
        <f>Assumptions!$C$22</f>
        <v>1</v>
      </c>
      <c r="P42" s="415">
        <f>Assumptions!$C$23</f>
        <v>1</v>
      </c>
      <c r="Q42" s="416">
        <f>Assumptions!$C$24</f>
        <v>0</v>
      </c>
      <c r="R42" s="416">
        <f>Assumptions!$C$6+Assumptions!$C$25</f>
        <v>3.5000000000000003E-2</v>
      </c>
      <c r="S42" s="416">
        <f>Assumptions!$C$15</f>
        <v>1.1000000000000001E-3</v>
      </c>
      <c r="T42" s="26">
        <f t="shared" si="18"/>
        <v>1</v>
      </c>
      <c r="U42" s="26">
        <f t="shared" si="19"/>
        <v>4</v>
      </c>
      <c r="V42" s="389">
        <f>IF($G42="Preferred",Assumptions!$C$30,IF($G42="Rated",Assumptions!$C$31,1))</f>
        <v>1</v>
      </c>
      <c r="W42" s="390">
        <f>IF($K42="Direct",Assumptions!$C$32,IF($K42="Broker",Assumptions!$C$33,IF($K42="Bancassurance",Assumptions!$C$34,Assumptions!$C$11)))+$Q42</f>
        <v>0.1</v>
      </c>
      <c r="X42" s="390">
        <f>Assumptions!$C$12+$Q42</f>
        <v>0.05</v>
      </c>
      <c r="Y42" s="131">
        <f>MIN($I42,Assumptions!$C$14)</f>
        <v>500000</v>
      </c>
      <c r="Z42" s="131">
        <f>MAX($I42-Assumptions!$C$14,0)</f>
        <v>0</v>
      </c>
      <c r="AA42" s="389">
        <f t="shared" si="20"/>
        <v>5.6125769921600872</v>
      </c>
      <c r="AB42" s="389">
        <f t="shared" si="21"/>
        <v>7.7820691306307643E-2</v>
      </c>
      <c r="AC42" s="389">
        <f>IF($T42=1,SUMPRODUCT($CJ42:$DW42,(1+Assumptions!$C$5)^($CJ$5:$DW$5-1),(1+$R42)^(-$CJ$5:$DW$5)),0)</f>
        <v>6.4824843093656295</v>
      </c>
      <c r="AD42" s="389">
        <f t="shared" si="22"/>
        <v>0.32893802835196573</v>
      </c>
      <c r="AE42" s="131">
        <f>IF($T42=1,$AB42*$Y42+(Assumptions!$C$9/(1+$R42)+Assumptions!$C$10*$AC42)*$P42+$S42*$Z42*$AA42,0)</f>
        <v>41206.057418605567</v>
      </c>
      <c r="AF42" s="131">
        <f>IF($T42=1,IF($AA42-$AD42-Assumptions!$C$16*$AA42&gt;0,$AE42/($AA42-$AD42-Assumptions!$C$16*$AA42)*IF($J42="Monthly",1+Assumptions!$C$29,1),"n.a."),"")</f>
        <v>8778.792693878846</v>
      </c>
      <c r="AG42" s="131">
        <f t="shared" si="23"/>
        <v>6770.84</v>
      </c>
      <c r="AH42" s="131">
        <f t="shared" si="24"/>
        <v>38001.860801597206</v>
      </c>
      <c r="AI42" s="131">
        <f t="shared" si="25"/>
        <v>-5431.3833768949844</v>
      </c>
      <c r="AJ42" s="390">
        <f t="shared" si="26"/>
        <v>-0.1429241427216297</v>
      </c>
      <c r="AK42" s="389">
        <f t="shared" si="27"/>
        <v>0.77127234189287519</v>
      </c>
      <c r="AL42" s="131">
        <f t="shared" si="28"/>
        <v>0</v>
      </c>
      <c r="AM42" s="131">
        <f t="shared" si="29"/>
        <v>0</v>
      </c>
      <c r="AN42" s="131">
        <f t="shared" si="30"/>
        <v>0</v>
      </c>
      <c r="AO42" s="131">
        <f t="shared" si="31"/>
        <v>-5431.3833768949844</v>
      </c>
      <c r="AP42" s="26" t="str">
        <f t="shared" si="32"/>
        <v>60+</v>
      </c>
      <c r="AQ42" s="26" t="str">
        <f t="shared" si="33"/>
        <v>250k-500k</v>
      </c>
      <c r="AR42" s="26" t="str">
        <f>IF($T42=1,IF($AI42&lt;0,"Loss-making",IF($AJ42&lt;Assumptions!$C$16-0.00001,"Below target","At/above target")),"Excluded")</f>
        <v>Loss-making</v>
      </c>
      <c r="AS42" s="103">
        <f t="shared" si="34"/>
        <v>-5431.3833348949847</v>
      </c>
      <c r="AT42" s="26"/>
      <c r="AU42" s="419">
        <f>IF(AND($T42=1,AU$5&lt;=$H42),INDEX(Mortality!$B$4:$E$64,MATCH($D42+AU$5-1,Mortality!$A$4:$A$64,0),$U42)*$V42*$N42,0)</f>
        <v>1.01963471547909E-2</v>
      </c>
      <c r="AV42" s="93">
        <f>IF(AND($T42=1,AV$5&lt;=$H42),INDEX(Mortality!$B$4:$E$64,MATCH($D42+AV$5-1,Mortality!$A$4:$A$64,0),$U42)*$V42*$N42,0)</f>
        <v>1.1045571010309301E-2</v>
      </c>
      <c r="AW42" s="93">
        <f>IF(AND($T42=1,AW$5&lt;=$H42),INDEX(Mortality!$B$4:$E$64,MATCH($D42+AW$5-1,Mortality!$A$4:$A$64,0),$U42)*$V42*$N42,0)</f>
        <v>1.19655242305535E-2</v>
      </c>
      <c r="AX42" s="93">
        <f>IF(AND($T42=1,AX$5&lt;=$H42),INDEX(Mortality!$B$4:$E$64,MATCH($D42+AX$5-1,Mortality!$A$4:$A$64,0),$U42)*$V42*$N42,0)</f>
        <v>1.2962097656909999E-2</v>
      </c>
      <c r="AY42" s="93">
        <f>IF(AND($T42=1,AY$5&lt;=$H42),INDEX(Mortality!$B$4:$E$64,MATCH($D42+AY$5-1,Mortality!$A$4:$A$64,0),$U42)*$V42*$N42,0)</f>
        <v>1.4041672761670501E-2</v>
      </c>
      <c r="AZ42" s="93">
        <f>IF(AND($T42=1,AZ$5&lt;=$H42),INDEX(Mortality!$B$4:$E$64,MATCH($D42+AZ$5-1,Mortality!$A$4:$A$64,0),$U42)*$V42*$N42,0)</f>
        <v>1.52111625112414E-2</v>
      </c>
      <c r="BA42" s="93">
        <f>IF(AND($T42=1,BA$5&lt;=$H42),INDEX(Mortality!$B$4:$E$64,MATCH($D42+BA$5-1,Mortality!$A$4:$A$64,0),$U42)*$V42*$N42,0)</f>
        <v>1.6478055632729902E-2</v>
      </c>
      <c r="BB42" s="93">
        <f>IF(AND($T42=1,BB$5&lt;=$H42),INDEX(Mortality!$B$4:$E$64,MATCH($D42+BB$5-1,Mortality!$A$4:$A$64,0),$U42)*$V42*$N42,0)</f>
        <v>1.7850464567364801E-2</v>
      </c>
      <c r="BC42" s="93">
        <f>IF(AND($T42=1,BC$5&lt;=$H42),INDEX(Mortality!$B$4:$E$64,MATCH($D42+BC$5-1,Mortality!$A$4:$A$64,0),$U42)*$V42*$N42,0)</f>
        <v>1.93371774178164E-2</v>
      </c>
      <c r="BD42" s="93">
        <f>IF(AND($T42=1,BD$5&lt;=$H42),INDEX(Mortality!$B$4:$E$64,MATCH($D42+BD$5-1,Mortality!$A$4:$A$64,0),$U42)*$V42*$N42,0)</f>
        <v>2.0947714222056699E-2</v>
      </c>
      <c r="BE42" s="93">
        <f>IF(AND($T42=1,BE$5&lt;=$H42),INDEX(Mortality!$B$4:$E$64,MATCH($D42+BE$5-1,Mortality!$A$4:$A$64,0),$U42)*$V42*$N42,0)</f>
        <v>0</v>
      </c>
      <c r="BF42" s="93">
        <f>IF(AND($T42=1,BF$5&lt;=$H42),INDEX(Mortality!$B$4:$E$64,MATCH($D42+BF$5-1,Mortality!$A$4:$A$64,0),$U42)*$V42*$N42,0)</f>
        <v>0</v>
      </c>
      <c r="BG42" s="93">
        <f>IF(AND($T42=1,BG$5&lt;=$H42),INDEX(Mortality!$B$4:$E$64,MATCH($D42+BG$5-1,Mortality!$A$4:$A$64,0),$U42)*$V42*$N42,0)</f>
        <v>0</v>
      </c>
      <c r="BH42" s="93">
        <f>IF(AND($T42=1,BH$5&lt;=$H42),INDEX(Mortality!$B$4:$E$64,MATCH($D42+BH$5-1,Mortality!$A$4:$A$64,0),$U42)*$V42*$N42,0)</f>
        <v>0</v>
      </c>
      <c r="BI42" s="93">
        <f>IF(AND($T42=1,BI$5&lt;=$H42),INDEX(Mortality!$B$4:$E$64,MATCH($D42+BI$5-1,Mortality!$A$4:$A$64,0),$U42)*$V42*$N42,0)</f>
        <v>0</v>
      </c>
      <c r="BJ42" s="93">
        <f>IF(AND($T42=1,BJ$5&lt;=$H42),INDEX(Mortality!$B$4:$E$64,MATCH($D42+BJ$5-1,Mortality!$A$4:$A$64,0),$U42)*$V42*$N42,0)</f>
        <v>0</v>
      </c>
      <c r="BK42" s="93">
        <f>IF(AND($T42=1,BK$5&lt;=$H42),INDEX(Mortality!$B$4:$E$64,MATCH($D42+BK$5-1,Mortality!$A$4:$A$64,0),$U42)*$V42*$N42,0)</f>
        <v>0</v>
      </c>
      <c r="BL42" s="93">
        <f>IF(AND($T42=1,BL$5&lt;=$H42),INDEX(Mortality!$B$4:$E$64,MATCH($D42+BL$5-1,Mortality!$A$4:$A$64,0),$U42)*$V42*$N42,0)</f>
        <v>0</v>
      </c>
      <c r="BM42" s="93">
        <f>IF(AND($T42=1,BM$5&lt;=$H42),INDEX(Mortality!$B$4:$E$64,MATCH($D42+BM$5-1,Mortality!$A$4:$A$64,0),$U42)*$V42*$N42,0)</f>
        <v>0</v>
      </c>
      <c r="BN42" s="93">
        <f>IF(AND($T42=1,BN$5&lt;=$H42),INDEX(Mortality!$B$4:$E$64,MATCH($D42+BN$5-1,Mortality!$A$4:$A$64,0),$U42)*$V42*$N42,0)</f>
        <v>0</v>
      </c>
      <c r="BO42" s="93">
        <f>IF(AND($T42=1,BO$5&lt;=$H42),INDEX(Mortality!$B$4:$E$64,MATCH($D42+BO$5-1,Mortality!$A$4:$A$64,0),$U42)*$V42*$N42,0)</f>
        <v>0</v>
      </c>
      <c r="BP42" s="93">
        <f>IF(AND($T42=1,BP$5&lt;=$H42),INDEX(Mortality!$B$4:$E$64,MATCH($D42+BP$5-1,Mortality!$A$4:$A$64,0),$U42)*$V42*$N42,0)</f>
        <v>0</v>
      </c>
      <c r="BQ42" s="93">
        <f>IF(AND($T42=1,BQ$5&lt;=$H42),INDEX(Mortality!$B$4:$E$64,MATCH($D42+BQ$5-1,Mortality!$A$4:$A$64,0),$U42)*$V42*$N42,0)</f>
        <v>0</v>
      </c>
      <c r="BR42" s="93">
        <f>IF(AND($T42=1,BR$5&lt;=$H42),INDEX(Mortality!$B$4:$E$64,MATCH($D42+BR$5-1,Mortality!$A$4:$A$64,0),$U42)*$V42*$N42,0)</f>
        <v>0</v>
      </c>
      <c r="BS42" s="93">
        <f>IF(AND($T42=1,BS$5&lt;=$H42),INDEX(Mortality!$B$4:$E$64,MATCH($D42+BS$5-1,Mortality!$A$4:$A$64,0),$U42)*$V42*$N42,0)</f>
        <v>0</v>
      </c>
      <c r="BT42" s="93">
        <f>IF(AND($T42=1,BT$5&lt;=$H42),INDEX(Mortality!$B$4:$E$64,MATCH($D42+BT$5-1,Mortality!$A$4:$A$64,0),$U42)*$V42*$N42,0)</f>
        <v>0</v>
      </c>
      <c r="BU42" s="93">
        <f>IF(AND($T42=1,BU$5&lt;=$H42),INDEX(Mortality!$B$4:$E$64,MATCH($D42+BU$5-1,Mortality!$A$4:$A$64,0),$U42)*$V42*$N42,0)</f>
        <v>0</v>
      </c>
      <c r="BV42" s="93">
        <f>IF(AND($T42=1,BV$5&lt;=$H42),INDEX(Mortality!$B$4:$E$64,MATCH($D42+BV$5-1,Mortality!$A$4:$A$64,0),$U42)*$V42*$N42,0)</f>
        <v>0</v>
      </c>
      <c r="BW42" s="93">
        <f>IF(AND($T42=1,BW$5&lt;=$H42),INDEX(Mortality!$B$4:$E$64,MATCH($D42+BW$5-1,Mortality!$A$4:$A$64,0),$U42)*$V42*$N42,0)</f>
        <v>0</v>
      </c>
      <c r="BX42" s="93">
        <f>IF(AND($T42=1,BX$5&lt;=$H42),INDEX(Mortality!$B$4:$E$64,MATCH($D42+BX$5-1,Mortality!$A$4:$A$64,0),$U42)*$V42*$N42,0)</f>
        <v>0</v>
      </c>
      <c r="BY42" s="93">
        <f>IF(AND($T42=1,BY$5&lt;=$H42),INDEX(Mortality!$B$4:$E$64,MATCH($D42+BY$5-1,Mortality!$A$4:$A$64,0),$U42)*$V42*$N42,0)</f>
        <v>0</v>
      </c>
      <c r="BZ42" s="93">
        <f>IF(AND($T42=1,BZ$5&lt;=$H42),INDEX(Mortality!$B$4:$E$64,MATCH($D42+BZ$5-1,Mortality!$A$4:$A$64,0),$U42)*$V42*$N42,0)</f>
        <v>0</v>
      </c>
      <c r="CA42" s="93">
        <f>IF(AND($T42=1,CA$5&lt;=$H42),INDEX(Mortality!$B$4:$E$64,MATCH($D42+CA$5-1,Mortality!$A$4:$A$64,0),$U42)*$V42*$N42,0)</f>
        <v>0</v>
      </c>
      <c r="CB42" s="93">
        <f>IF(AND($T42=1,CB$5&lt;=$H42),INDEX(Mortality!$B$4:$E$64,MATCH($D42+CB$5-1,Mortality!$A$4:$A$64,0),$U42)*$V42*$N42,0)</f>
        <v>0</v>
      </c>
      <c r="CC42" s="93">
        <f>IF(AND($T42=1,CC$5&lt;=$H42),INDEX(Mortality!$B$4:$E$64,MATCH($D42+CC$5-1,Mortality!$A$4:$A$64,0),$U42)*$V42*$N42,0)</f>
        <v>0</v>
      </c>
      <c r="CD42" s="93">
        <f>IF(AND($T42=1,CD$5&lt;=$H42),INDEX(Mortality!$B$4:$E$64,MATCH($D42+CD$5-1,Mortality!$A$4:$A$64,0),$U42)*$V42*$N42,0)</f>
        <v>0</v>
      </c>
      <c r="CE42" s="93">
        <f>IF(AND($T42=1,CE$5&lt;=$H42),INDEX(Mortality!$B$4:$E$64,MATCH($D42+CE$5-1,Mortality!$A$4:$A$64,0),$U42)*$V42*$N42,0)</f>
        <v>0</v>
      </c>
      <c r="CF42" s="93">
        <f>IF(AND($T42=1,CF$5&lt;=$H42),INDEX(Mortality!$B$4:$E$64,MATCH($D42+CF$5-1,Mortality!$A$4:$A$64,0),$U42)*$V42*$N42,0)</f>
        <v>0</v>
      </c>
      <c r="CG42" s="93">
        <f>IF(AND($T42=1,CG$5&lt;=$H42),INDEX(Mortality!$B$4:$E$64,MATCH($D42+CG$5-1,Mortality!$A$4:$A$64,0),$U42)*$V42*$N42,0)</f>
        <v>0</v>
      </c>
      <c r="CH42" s="94">
        <f>IF(AND($T42=1,CH$5&lt;=$H42),INDEX(Mortality!$B$4:$E$64,MATCH($D42+CH$5-1,Mortality!$A$4:$A$64,0),$U42)*$V42*$N42,0)</f>
        <v>0</v>
      </c>
      <c r="CI42" s="26"/>
      <c r="CJ42" s="419">
        <f t="shared" si="35"/>
        <v>1</v>
      </c>
      <c r="CK42" s="93">
        <f>IF(AND($T42=1,CK$5&lt;=$H42),CJ42*(1-AU42)*(1-MIN(1,MAX(Assumptions!$C$27,Assumptions!$C$13*Assumptions!$C$28^(CJ$5-1))*$O42)),0)</f>
        <v>0.87102721450378406</v>
      </c>
      <c r="CL42" s="93">
        <f>IF(AND($T42=1,CL$5&lt;=$H42),CK42*(1-AV42)*(1-MIN(1,MAX(Assumptions!$C$27,Assumptions!$C$13*Assumptions!$C$28^(CK$5-1))*$O42)),0)</f>
        <v>0.77354278695555534</v>
      </c>
      <c r="CM42" s="93">
        <f>IF(AND($T42=1,CM$5&lt;=$H42),CL42*(1-AW42)*(1-MIN(1,MAX(Assumptions!$C$27,Assumptions!$C$13*Assumptions!$C$28^(CL$5-1))*$O42)),0)</f>
        <v>0.69802326412391358</v>
      </c>
      <c r="CN42" s="93">
        <f>IF(AND($T42=1,CN$5&lt;=$H42),CM42*(1-AX42)*(1-MIN(1,MAX(Assumptions!$C$27,Assumptions!$C$13*Assumptions!$C$28^(CM$5-1))*$O42)),0)</f>
        <v>0.63820137494800033</v>
      </c>
      <c r="CO42" s="93">
        <f>IF(AND($T42=1,CO$5&lt;=$H42),CN42*(1-AY42)*(1-MIN(1,MAX(Assumptions!$C$27,Assumptions!$C$13*Assumptions!$C$28^(CN$5-1))*$O42)),0)</f>
        <v>0.58982389705524207</v>
      </c>
      <c r="CP42" s="93">
        <f>IF(AND($T42=1,CP$5&lt;=$H42),CO42*(1-AZ42)*(1-MIN(1,MAX(Assumptions!$C$27,Assumptions!$C$13*Assumptions!$C$28^(CO$5-1))*$O42)),0)</f>
        <v>0.54992473626052241</v>
      </c>
      <c r="CQ42" s="93">
        <f>IF(AND($T42=1,CQ$5&lt;=$H42),CP42*(1-BA42)*(1-MIN(1,MAX(Assumptions!$C$27,Assumptions!$C$13*Assumptions!$C$28^(CP$5-1))*$O42)),0)</f>
        <v>0.51638469757062189</v>
      </c>
      <c r="CR42" s="93">
        <f>IF(AND($T42=1,CR$5&lt;=$H42),CQ42*(1-BB42)*(1-MIN(1,MAX(Assumptions!$C$27,Assumptions!$C$13*Assumptions!$C$28^(CQ$5-1))*$O42)),0)</f>
        <v>0.48765665676064052</v>
      </c>
      <c r="CS42" s="93">
        <f>IF(AND($T42=1,CS$5&lt;=$H42),CR42*(1-BC42)*(1-MIN(1,MAX(Assumptions!$C$27,Assumptions!$C$13*Assumptions!$C$28^(CR$5-1))*$O42)),0)</f>
        <v>0.46258928237299274</v>
      </c>
      <c r="CT42" s="93">
        <f>IF(AND($T42=1,CT$5&lt;=$H42),CS42*(1-BD42)*(1-MIN(1,MAX(Assumptions!$C$27,Assumptions!$C$13*Assumptions!$C$28^(CS$5-1))*$O42)),0)</f>
        <v>0</v>
      </c>
      <c r="CU42" s="93">
        <f>IF(AND($T42=1,CU$5&lt;=$H42),CT42*(1-BE42)*(1-MIN(1,MAX(Assumptions!$C$27,Assumptions!$C$13*Assumptions!$C$28^(CT$5-1))*$O42)),0)</f>
        <v>0</v>
      </c>
      <c r="CV42" s="93">
        <f>IF(AND($T42=1,CV$5&lt;=$H42),CU42*(1-BF42)*(1-MIN(1,MAX(Assumptions!$C$27,Assumptions!$C$13*Assumptions!$C$28^(CU$5-1))*$O42)),0)</f>
        <v>0</v>
      </c>
      <c r="CW42" s="93">
        <f>IF(AND($T42=1,CW$5&lt;=$H42),CV42*(1-BG42)*(1-MIN(1,MAX(Assumptions!$C$27,Assumptions!$C$13*Assumptions!$C$28^(CV$5-1))*$O42)),0)</f>
        <v>0</v>
      </c>
      <c r="CX42" s="93">
        <f>IF(AND($T42=1,CX$5&lt;=$H42),CW42*(1-BH42)*(1-MIN(1,MAX(Assumptions!$C$27,Assumptions!$C$13*Assumptions!$C$28^(CW$5-1))*$O42)),0)</f>
        <v>0</v>
      </c>
      <c r="CY42" s="93">
        <f>IF(AND($T42=1,CY$5&lt;=$H42),CX42*(1-BI42)*(1-MIN(1,MAX(Assumptions!$C$27,Assumptions!$C$13*Assumptions!$C$28^(CX$5-1))*$O42)),0)</f>
        <v>0</v>
      </c>
      <c r="CZ42" s="93">
        <f>IF(AND($T42=1,CZ$5&lt;=$H42),CY42*(1-BJ42)*(1-MIN(1,MAX(Assumptions!$C$27,Assumptions!$C$13*Assumptions!$C$28^(CY$5-1))*$O42)),0)</f>
        <v>0</v>
      </c>
      <c r="DA42" s="93">
        <f>IF(AND($T42=1,DA$5&lt;=$H42),CZ42*(1-BK42)*(1-MIN(1,MAX(Assumptions!$C$27,Assumptions!$C$13*Assumptions!$C$28^(CZ$5-1))*$O42)),0)</f>
        <v>0</v>
      </c>
      <c r="DB42" s="93">
        <f>IF(AND($T42=1,DB$5&lt;=$H42),DA42*(1-BL42)*(1-MIN(1,MAX(Assumptions!$C$27,Assumptions!$C$13*Assumptions!$C$28^(DA$5-1))*$O42)),0)</f>
        <v>0</v>
      </c>
      <c r="DC42" s="93">
        <f>IF(AND($T42=1,DC$5&lt;=$H42),DB42*(1-BM42)*(1-MIN(1,MAX(Assumptions!$C$27,Assumptions!$C$13*Assumptions!$C$28^(DB$5-1))*$O42)),0)</f>
        <v>0</v>
      </c>
      <c r="DD42" s="93">
        <f>IF(AND($T42=1,DD$5&lt;=$H42),DC42*(1-BN42)*(1-MIN(1,MAX(Assumptions!$C$27,Assumptions!$C$13*Assumptions!$C$28^(DC$5-1))*$O42)),0)</f>
        <v>0</v>
      </c>
      <c r="DE42" s="93">
        <f>IF(AND($T42=1,DE$5&lt;=$H42),DD42*(1-BO42)*(1-MIN(1,MAX(Assumptions!$C$27,Assumptions!$C$13*Assumptions!$C$28^(DD$5-1))*$O42)),0)</f>
        <v>0</v>
      </c>
      <c r="DF42" s="93">
        <f>IF(AND($T42=1,DF$5&lt;=$H42),DE42*(1-BP42)*(1-MIN(1,MAX(Assumptions!$C$27,Assumptions!$C$13*Assumptions!$C$28^(DE$5-1))*$O42)),0)</f>
        <v>0</v>
      </c>
      <c r="DG42" s="93">
        <f>IF(AND($T42=1,DG$5&lt;=$H42),DF42*(1-BQ42)*(1-MIN(1,MAX(Assumptions!$C$27,Assumptions!$C$13*Assumptions!$C$28^(DF$5-1))*$O42)),0)</f>
        <v>0</v>
      </c>
      <c r="DH42" s="93">
        <f>IF(AND($T42=1,DH$5&lt;=$H42),DG42*(1-BR42)*(1-MIN(1,MAX(Assumptions!$C$27,Assumptions!$C$13*Assumptions!$C$28^(DG$5-1))*$O42)),0)</f>
        <v>0</v>
      </c>
      <c r="DI42" s="93">
        <f>IF(AND($T42=1,DI$5&lt;=$H42),DH42*(1-BS42)*(1-MIN(1,MAX(Assumptions!$C$27,Assumptions!$C$13*Assumptions!$C$28^(DH$5-1))*$O42)),0)</f>
        <v>0</v>
      </c>
      <c r="DJ42" s="93">
        <f>IF(AND($T42=1,DJ$5&lt;=$H42),DI42*(1-BT42)*(1-MIN(1,MAX(Assumptions!$C$27,Assumptions!$C$13*Assumptions!$C$28^(DI$5-1))*$O42)),0)</f>
        <v>0</v>
      </c>
      <c r="DK42" s="93">
        <f>IF(AND($T42=1,DK$5&lt;=$H42),DJ42*(1-BU42)*(1-MIN(1,MAX(Assumptions!$C$27,Assumptions!$C$13*Assumptions!$C$28^(DJ$5-1))*$O42)),0)</f>
        <v>0</v>
      </c>
      <c r="DL42" s="93">
        <f>IF(AND($T42=1,DL$5&lt;=$H42),DK42*(1-BV42)*(1-MIN(1,MAX(Assumptions!$C$27,Assumptions!$C$13*Assumptions!$C$28^(DK$5-1))*$O42)),0)</f>
        <v>0</v>
      </c>
      <c r="DM42" s="93">
        <f>IF(AND($T42=1,DM$5&lt;=$H42),DL42*(1-BW42)*(1-MIN(1,MAX(Assumptions!$C$27,Assumptions!$C$13*Assumptions!$C$28^(DL$5-1))*$O42)),0)</f>
        <v>0</v>
      </c>
      <c r="DN42" s="93">
        <f>IF(AND($T42=1,DN$5&lt;=$H42),DM42*(1-BX42)*(1-MIN(1,MAX(Assumptions!$C$27,Assumptions!$C$13*Assumptions!$C$28^(DM$5-1))*$O42)),0)</f>
        <v>0</v>
      </c>
      <c r="DO42" s="93">
        <f>IF(AND($T42=1,DO$5&lt;=$H42),DN42*(1-BY42)*(1-MIN(1,MAX(Assumptions!$C$27,Assumptions!$C$13*Assumptions!$C$28^(DN$5-1))*$O42)),0)</f>
        <v>0</v>
      </c>
      <c r="DP42" s="93">
        <f>IF(AND($T42=1,DP$5&lt;=$H42),DO42*(1-BZ42)*(1-MIN(1,MAX(Assumptions!$C$27,Assumptions!$C$13*Assumptions!$C$28^(DO$5-1))*$O42)),0)</f>
        <v>0</v>
      </c>
      <c r="DQ42" s="93">
        <f>IF(AND($T42=1,DQ$5&lt;=$H42),DP42*(1-CA42)*(1-MIN(1,MAX(Assumptions!$C$27,Assumptions!$C$13*Assumptions!$C$28^(DP$5-1))*$O42)),0)</f>
        <v>0</v>
      </c>
      <c r="DR42" s="93">
        <f>IF(AND($T42=1,DR$5&lt;=$H42),DQ42*(1-CB42)*(1-MIN(1,MAX(Assumptions!$C$27,Assumptions!$C$13*Assumptions!$C$28^(DQ$5-1))*$O42)),0)</f>
        <v>0</v>
      </c>
      <c r="DS42" s="93">
        <f>IF(AND($T42=1,DS$5&lt;=$H42),DR42*(1-CC42)*(1-MIN(1,MAX(Assumptions!$C$27,Assumptions!$C$13*Assumptions!$C$28^(DR$5-1))*$O42)),0)</f>
        <v>0</v>
      </c>
      <c r="DT42" s="93">
        <f>IF(AND($T42=1,DT$5&lt;=$H42),DS42*(1-CD42)*(1-MIN(1,MAX(Assumptions!$C$27,Assumptions!$C$13*Assumptions!$C$28^(DS$5-1))*$O42)),0)</f>
        <v>0</v>
      </c>
      <c r="DU42" s="93">
        <f>IF(AND($T42=1,DU$5&lt;=$H42),DT42*(1-CE42)*(1-MIN(1,MAX(Assumptions!$C$27,Assumptions!$C$13*Assumptions!$C$28^(DT$5-1))*$O42)),0)</f>
        <v>0</v>
      </c>
      <c r="DV42" s="93">
        <f>IF(AND($T42=1,DV$5&lt;=$H42),DU42*(1-CF42)*(1-MIN(1,MAX(Assumptions!$C$27,Assumptions!$C$13*Assumptions!$C$28^(DU$5-1))*$O42)),0)</f>
        <v>0</v>
      </c>
      <c r="DW42" s="94">
        <f>IF(AND($T42=1,DW$5&lt;=$H42),DV42*(1-CG42)*(1-MIN(1,MAX(Assumptions!$C$27,Assumptions!$C$13*Assumptions!$C$28^(DV$5-1))*$O42)),0)</f>
        <v>0</v>
      </c>
      <c r="DX42" s="26"/>
      <c r="DY42" s="399">
        <f>'Policy Data'!K16</f>
        <v>1</v>
      </c>
      <c r="DZ42" s="100">
        <f>'Policy Data'!L16</f>
        <v>0.86329999999999996</v>
      </c>
      <c r="EA42" s="100">
        <f>'Policy Data'!N16</f>
        <v>8.8020000000000008E-3</v>
      </c>
      <c r="EB42" s="93" cm="1">
        <f t="array" ref="EB42">IFERROR(DZ42*INDEX(Mortality!$B$4:$E$64,MATCH(D42+DY42-1,Mortality!$A$4:$A$64,0),U42)*V42,0)</f>
        <v>8.8025064987309835E-3</v>
      </c>
      <c r="EC42" s="100">
        <f>'Policy Data'!O16</f>
        <v>0</v>
      </c>
      <c r="ED42" s="400">
        <f>'Policy Data'!Q16</f>
        <v>0</v>
      </c>
    </row>
    <row r="43" spans="1:134" x14ac:dyDescent="0.3">
      <c r="A43" s="399" t="str">
        <f>'Policy Data'!A17</f>
        <v>POL100013</v>
      </c>
      <c r="B43" s="26" t="s">
        <v>426</v>
      </c>
      <c r="C43" s="100" t="str">
        <f>'Policy Data'!B17</f>
        <v>Term Life</v>
      </c>
      <c r="D43" s="100">
        <f>'Policy Data'!C17</f>
        <v>63</v>
      </c>
      <c r="E43" s="100" t="str">
        <f>'Policy Data'!D17</f>
        <v>Female</v>
      </c>
      <c r="F43" s="100" t="str">
        <f>'Policy Data'!E17</f>
        <v>Non-smoker</v>
      </c>
      <c r="G43" s="100" t="str">
        <f>'Policy Data'!F17</f>
        <v>Preferred</v>
      </c>
      <c r="H43" s="100">
        <f>'Policy Data'!G17</f>
        <v>15</v>
      </c>
      <c r="I43" s="279">
        <f>'Policy Data'!H17</f>
        <v>500000</v>
      </c>
      <c r="J43" s="100" t="str">
        <f>'Policy Data'!I17</f>
        <v>Monthly</v>
      </c>
      <c r="K43" s="100" t="str">
        <f>'Policy Data'!J17</f>
        <v>Broker</v>
      </c>
      <c r="L43" s="26" t="s">
        <v>389</v>
      </c>
      <c r="M43" s="106">
        <f>'Policy Data'!R17</f>
        <v>3284.94</v>
      </c>
      <c r="N43" s="415">
        <f>Assumptions!$C$21</f>
        <v>1</v>
      </c>
      <c r="O43" s="415">
        <f>Assumptions!$C$22</f>
        <v>1</v>
      </c>
      <c r="P43" s="415">
        <f>Assumptions!$C$23</f>
        <v>1</v>
      </c>
      <c r="Q43" s="416">
        <f>Assumptions!$C$24</f>
        <v>0</v>
      </c>
      <c r="R43" s="416">
        <f>Assumptions!$C$6+Assumptions!$C$25</f>
        <v>3.5000000000000003E-2</v>
      </c>
      <c r="S43" s="416">
        <f>Assumptions!$C$15</f>
        <v>1.1000000000000001E-3</v>
      </c>
      <c r="T43" s="26">
        <f t="shared" si="18"/>
        <v>1</v>
      </c>
      <c r="U43" s="26">
        <f t="shared" si="19"/>
        <v>1</v>
      </c>
      <c r="V43" s="389">
        <f>IF($G43="Preferred",Assumptions!$C$30,IF($G43="Rated",Assumptions!$C$31,1))</f>
        <v>0.8</v>
      </c>
      <c r="W43" s="390">
        <f>IF($K43="Direct",Assumptions!$C$32,IF($K43="Broker",Assumptions!$C$33,IF($K43="Bancassurance",Assumptions!$C$34,Assumptions!$C$11)))+$Q43</f>
        <v>0.25</v>
      </c>
      <c r="X43" s="390">
        <f>Assumptions!$C$12+$Q43</f>
        <v>0.05</v>
      </c>
      <c r="Y43" s="131">
        <f>MIN($I43,Assumptions!$C$14)</f>
        <v>500000</v>
      </c>
      <c r="Z43" s="131">
        <f>MAX($I43-Assumptions!$C$14,0)</f>
        <v>0</v>
      </c>
      <c r="AA43" s="389">
        <f t="shared" si="20"/>
        <v>7.2082879138898992</v>
      </c>
      <c r="AB43" s="389">
        <f t="shared" si="21"/>
        <v>4.9918025531457695E-2</v>
      </c>
      <c r="AC43" s="389">
        <f>IF($T43=1,SUMPRODUCT($CJ43:$DW43,(1+Assumptions!$C$5)^($CJ$5:$DW$5-1),(1+$R43)^(-$CJ$5:$DW$5)),0)</f>
        <v>8.9801419795668487</v>
      </c>
      <c r="AD43" s="389">
        <f t="shared" si="22"/>
        <v>0.55365111067034034</v>
      </c>
      <c r="AE43" s="131">
        <f>IF($T43=1,$AB43*$Y43+(Assumptions!$C$9/(1+$R43)+Assumptions!$C$10*$AC43)*$P43+$S43*$Z43*$AA43,0)</f>
        <v>27804.209218624859</v>
      </c>
      <c r="AF43" s="131">
        <f>IF($T43=1,IF($AA43-$AD43-Assumptions!$C$16*$AA43&gt;0,$AE43/($AA43-$AD43-Assumptions!$C$16*$AA43)*IF($J43="Monthly",1+Assumptions!$C$29,1),"n.a."),"")</f>
        <v>4711.8228176679022</v>
      </c>
      <c r="AG43" s="131">
        <f t="shared" si="23"/>
        <v>3284.94</v>
      </c>
      <c r="AH43" s="131">
        <f t="shared" si="24"/>
        <v>23678.793299853485</v>
      </c>
      <c r="AI43" s="131">
        <f t="shared" si="25"/>
        <v>-5944.1265982568038</v>
      </c>
      <c r="AJ43" s="390">
        <f t="shared" si="26"/>
        <v>-0.25103165195050642</v>
      </c>
      <c r="AK43" s="389">
        <f t="shared" si="27"/>
        <v>0.69716967872443636</v>
      </c>
      <c r="AL43" s="131">
        <f t="shared" si="28"/>
        <v>0</v>
      </c>
      <c r="AM43" s="131">
        <f t="shared" si="29"/>
        <v>0</v>
      </c>
      <c r="AN43" s="131">
        <f t="shared" si="30"/>
        <v>0</v>
      </c>
      <c r="AO43" s="131">
        <f t="shared" si="31"/>
        <v>-5944.1265982568038</v>
      </c>
      <c r="AP43" s="26" t="str">
        <f t="shared" si="32"/>
        <v>60+</v>
      </c>
      <c r="AQ43" s="26" t="str">
        <f t="shared" si="33"/>
        <v>250k-500k</v>
      </c>
      <c r="AR43" s="26" t="str">
        <f>IF($T43=1,IF($AI43&lt;0,"Loss-making",IF($AJ43&lt;Assumptions!$C$16-0.00001,"Below target","At/above target")),"Excluded")</f>
        <v>Loss-making</v>
      </c>
      <c r="AS43" s="103">
        <f t="shared" si="34"/>
        <v>-5944.1265552568038</v>
      </c>
      <c r="AT43" s="26"/>
      <c r="AU43" s="419">
        <f>IF(AND($T43=1,AU$5&lt;=$H43),INDEX(Mortality!$B$4:$E$64,MATCH($D43+AU$5-1,Mortality!$A$4:$A$64,0),$U43)*$V43*$N43,0)</f>
        <v>4.2880403039664882E-3</v>
      </c>
      <c r="AV43" s="93">
        <f>IF(AND($T43=1,AV$5&lt;=$H43),INDEX(Mortality!$B$4:$E$64,MATCH($D43+AV$5-1,Mortality!$A$4:$A$64,0),$U43)*$V43*$N43,0)</f>
        <v>4.6451786069558959E-3</v>
      </c>
      <c r="AW43" s="93">
        <f>IF(AND($T43=1,AW$5&lt;=$H43),INDEX(Mortality!$B$4:$E$64,MATCH($D43+AW$5-1,Mortality!$A$4:$A$64,0),$U43)*$V43*$N43,0)</f>
        <v>5.0320619119556959E-3</v>
      </c>
      <c r="AX43" s="93">
        <f>IF(AND($T43=1,AX$5&lt;=$H43),INDEX(Mortality!$B$4:$E$64,MATCH($D43+AX$5-1,Mortality!$A$4:$A$64,0),$U43)*$V43*$N43,0)</f>
        <v>5.4511675929613361E-3</v>
      </c>
      <c r="AY43" s="93">
        <f>IF(AND($T43=1,AY$5&lt;=$H43),INDEX(Mortality!$B$4:$E$64,MATCH($D43+AY$5-1,Mortality!$A$4:$A$64,0),$U43)*$V43*$N43,0)</f>
        <v>5.9051793571838406E-3</v>
      </c>
      <c r="AZ43" s="93">
        <f>IF(AND($T43=1,AZ$5&lt;=$H43),INDEX(Mortality!$B$4:$E$64,MATCH($D43+AZ$5-1,Mortality!$A$4:$A$64,0),$U43)*$V43*$N43,0)</f>
        <v>6.3970044299383848E-3</v>
      </c>
      <c r="BA43" s="93">
        <f>IF(AND($T43=1,BA$5&lt;=$H43),INDEX(Mortality!$B$4:$E$64,MATCH($D43+BA$5-1,Mortality!$A$4:$A$64,0),$U43)*$V43*$N43,0)</f>
        <v>6.9297921708116718E-3</v>
      </c>
      <c r="BB43" s="93">
        <f>IF(AND($T43=1,BB$5&lt;=$H43),INDEX(Mortality!$B$4:$E$64,MATCH($D43+BB$5-1,Mortality!$A$4:$A$64,0),$U43)*$V43*$N43,0)</f>
        <v>7.5069542403154643E-3</v>
      </c>
      <c r="BC43" s="93">
        <f>IF(AND($T43=1,BC$5&lt;=$H43),INDEX(Mortality!$B$4:$E$64,MATCH($D43+BC$5-1,Mortality!$A$4:$A$64,0),$U43)*$V43*$N43,0)</f>
        <v>8.132186446161439E-3</v>
      </c>
      <c r="BD43" s="93">
        <f>IF(AND($T43=1,BD$5&lt;=$H43),INDEX(Mortality!$B$4:$E$64,MATCH($D43+BD$5-1,Mortality!$A$4:$A$64,0),$U43)*$V43*$N43,0)</f>
        <v>8.8094924090482401E-3</v>
      </c>
      <c r="BE43" s="93">
        <f>IF(AND($T43=1,BE$5&lt;=$H43),INDEX(Mortality!$B$4:$E$64,MATCH($D43+BE$5-1,Mortality!$A$4:$A$64,0),$U43)*$V43*$N43,0)</f>
        <v>9.5432091995027203E-3</v>
      </c>
      <c r="BF43" s="93">
        <f>IF(AND($T43=1,BF$5&lt;=$H43),INDEX(Mortality!$B$4:$E$64,MATCH($D43+BF$5-1,Mortality!$A$4:$A$64,0),$U43)*$V43*$N43,0)</f>
        <v>1.0338035109938E-2</v>
      </c>
      <c r="BG43" s="93">
        <f>IF(AND($T43=1,BG$5&lt;=$H43),INDEX(Mortality!$B$4:$E$64,MATCH($D43+BG$5-1,Mortality!$A$4:$A$64,0),$U43)*$V43*$N43,0)</f>
        <v>1.1199059739765441E-2</v>
      </c>
      <c r="BH43" s="93">
        <f>IF(AND($T43=1,BH$5&lt;=$H43),INDEX(Mortality!$B$4:$E$64,MATCH($D43+BH$5-1,Mortality!$A$4:$A$64,0),$U43)*$V43*$N43,0)</f>
        <v>1.2131796586207201E-2</v>
      </c>
      <c r="BI43" s="93">
        <f>IF(AND($T43=1,BI$5&lt;=$H43),INDEX(Mortality!$B$4:$E$64,MATCH($D43+BI$5-1,Mortality!$A$4:$A$64,0),$U43)*$V43*$N43,0)</f>
        <v>1.314221834950152E-2</v>
      </c>
      <c r="BJ43" s="93">
        <f>IF(AND($T43=1,BJ$5&lt;=$H43),INDEX(Mortality!$B$4:$E$64,MATCH($D43+BJ$5-1,Mortality!$A$4:$A$64,0),$U43)*$V43*$N43,0)</f>
        <v>0</v>
      </c>
      <c r="BK43" s="93">
        <f>IF(AND($T43=1,BK$5&lt;=$H43),INDEX(Mortality!$B$4:$E$64,MATCH($D43+BK$5-1,Mortality!$A$4:$A$64,0),$U43)*$V43*$N43,0)</f>
        <v>0</v>
      </c>
      <c r="BL43" s="93">
        <f>IF(AND($T43=1,BL$5&lt;=$H43),INDEX(Mortality!$B$4:$E$64,MATCH($D43+BL$5-1,Mortality!$A$4:$A$64,0),$U43)*$V43*$N43,0)</f>
        <v>0</v>
      </c>
      <c r="BM43" s="93">
        <f>IF(AND($T43=1,BM$5&lt;=$H43),INDEX(Mortality!$B$4:$E$64,MATCH($D43+BM$5-1,Mortality!$A$4:$A$64,0),$U43)*$V43*$N43,0)</f>
        <v>0</v>
      </c>
      <c r="BN43" s="93">
        <f>IF(AND($T43=1,BN$5&lt;=$H43),INDEX(Mortality!$B$4:$E$64,MATCH($D43+BN$5-1,Mortality!$A$4:$A$64,0),$U43)*$V43*$N43,0)</f>
        <v>0</v>
      </c>
      <c r="BO43" s="93">
        <f>IF(AND($T43=1,BO$5&lt;=$H43),INDEX(Mortality!$B$4:$E$64,MATCH($D43+BO$5-1,Mortality!$A$4:$A$64,0),$U43)*$V43*$N43,0)</f>
        <v>0</v>
      </c>
      <c r="BP43" s="93">
        <f>IF(AND($T43=1,BP$5&lt;=$H43),INDEX(Mortality!$B$4:$E$64,MATCH($D43+BP$5-1,Mortality!$A$4:$A$64,0),$U43)*$V43*$N43,0)</f>
        <v>0</v>
      </c>
      <c r="BQ43" s="93">
        <f>IF(AND($T43=1,BQ$5&lt;=$H43),INDEX(Mortality!$B$4:$E$64,MATCH($D43+BQ$5-1,Mortality!$A$4:$A$64,0),$U43)*$V43*$N43,0)</f>
        <v>0</v>
      </c>
      <c r="BR43" s="93">
        <f>IF(AND($T43=1,BR$5&lt;=$H43),INDEX(Mortality!$B$4:$E$64,MATCH($D43+BR$5-1,Mortality!$A$4:$A$64,0),$U43)*$V43*$N43,0)</f>
        <v>0</v>
      </c>
      <c r="BS43" s="93">
        <f>IF(AND($T43=1,BS$5&lt;=$H43),INDEX(Mortality!$B$4:$E$64,MATCH($D43+BS$5-1,Mortality!$A$4:$A$64,0),$U43)*$V43*$N43,0)</f>
        <v>0</v>
      </c>
      <c r="BT43" s="93">
        <f>IF(AND($T43=1,BT$5&lt;=$H43),INDEX(Mortality!$B$4:$E$64,MATCH($D43+BT$5-1,Mortality!$A$4:$A$64,0),$U43)*$V43*$N43,0)</f>
        <v>0</v>
      </c>
      <c r="BU43" s="93">
        <f>IF(AND($T43=1,BU$5&lt;=$H43),INDEX(Mortality!$B$4:$E$64,MATCH($D43+BU$5-1,Mortality!$A$4:$A$64,0),$U43)*$V43*$N43,0)</f>
        <v>0</v>
      </c>
      <c r="BV43" s="93">
        <f>IF(AND($T43=1,BV$5&lt;=$H43),INDEX(Mortality!$B$4:$E$64,MATCH($D43+BV$5-1,Mortality!$A$4:$A$64,0),$U43)*$V43*$N43,0)</f>
        <v>0</v>
      </c>
      <c r="BW43" s="93">
        <f>IF(AND($T43=1,BW$5&lt;=$H43),INDEX(Mortality!$B$4:$E$64,MATCH($D43+BW$5-1,Mortality!$A$4:$A$64,0),$U43)*$V43*$N43,0)</f>
        <v>0</v>
      </c>
      <c r="BX43" s="93">
        <f>IF(AND($T43=1,BX$5&lt;=$H43),INDEX(Mortality!$B$4:$E$64,MATCH($D43+BX$5-1,Mortality!$A$4:$A$64,0),$U43)*$V43*$N43,0)</f>
        <v>0</v>
      </c>
      <c r="BY43" s="93">
        <f>IF(AND($T43=1,BY$5&lt;=$H43),INDEX(Mortality!$B$4:$E$64,MATCH($D43+BY$5-1,Mortality!$A$4:$A$64,0),$U43)*$V43*$N43,0)</f>
        <v>0</v>
      </c>
      <c r="BZ43" s="93">
        <f>IF(AND($T43=1,BZ$5&lt;=$H43),INDEX(Mortality!$B$4:$E$64,MATCH($D43+BZ$5-1,Mortality!$A$4:$A$64,0),$U43)*$V43*$N43,0)</f>
        <v>0</v>
      </c>
      <c r="CA43" s="93">
        <f>IF(AND($T43=1,CA$5&lt;=$H43),INDEX(Mortality!$B$4:$E$64,MATCH($D43+CA$5-1,Mortality!$A$4:$A$64,0),$U43)*$V43*$N43,0)</f>
        <v>0</v>
      </c>
      <c r="CB43" s="93">
        <f>IF(AND($T43=1,CB$5&lt;=$H43),INDEX(Mortality!$B$4:$E$64,MATCH($D43+CB$5-1,Mortality!$A$4:$A$64,0),$U43)*$V43*$N43,0)</f>
        <v>0</v>
      </c>
      <c r="CC43" s="93">
        <f>IF(AND($T43=1,CC$5&lt;=$H43),INDEX(Mortality!$B$4:$E$64,MATCH($D43+CC$5-1,Mortality!$A$4:$A$64,0),$U43)*$V43*$N43,0)</f>
        <v>0</v>
      </c>
      <c r="CD43" s="93">
        <f>IF(AND($T43=1,CD$5&lt;=$H43),INDEX(Mortality!$B$4:$E$64,MATCH($D43+CD$5-1,Mortality!$A$4:$A$64,0),$U43)*$V43*$N43,0)</f>
        <v>0</v>
      </c>
      <c r="CE43" s="93">
        <f>IF(AND($T43=1,CE$5&lt;=$H43),INDEX(Mortality!$B$4:$E$64,MATCH($D43+CE$5-1,Mortality!$A$4:$A$64,0),$U43)*$V43*$N43,0)</f>
        <v>0</v>
      </c>
      <c r="CF43" s="93">
        <f>IF(AND($T43=1,CF$5&lt;=$H43),INDEX(Mortality!$B$4:$E$64,MATCH($D43+CF$5-1,Mortality!$A$4:$A$64,0),$U43)*$V43*$N43,0)</f>
        <v>0</v>
      </c>
      <c r="CG43" s="93">
        <f>IF(AND($T43=1,CG$5&lt;=$H43),INDEX(Mortality!$B$4:$E$64,MATCH($D43+CG$5-1,Mortality!$A$4:$A$64,0),$U43)*$V43*$N43,0)</f>
        <v>0</v>
      </c>
      <c r="CH43" s="94">
        <f>IF(AND($T43=1,CH$5&lt;=$H43),INDEX(Mortality!$B$4:$E$64,MATCH($D43+CH$5-1,Mortality!$A$4:$A$64,0),$U43)*$V43*$N43,0)</f>
        <v>0</v>
      </c>
      <c r="CI43" s="26"/>
      <c r="CJ43" s="419">
        <f t="shared" si="35"/>
        <v>1</v>
      </c>
      <c r="CK43" s="93">
        <f>IF(AND($T43=1,CK$5&lt;=$H43),CJ43*(1-AU43)*(1-MIN(1,MAX(Assumptions!$C$27,Assumptions!$C$13*Assumptions!$C$28^(CJ$5-1))*$O43)),0)</f>
        <v>0.87622652453250949</v>
      </c>
      <c r="CL43" s="93">
        <f>IF(AND($T43=1,CL$5&lt;=$H43),CK43*(1-AV43)*(1-MIN(1,MAX(Assumptions!$C$27,Assumptions!$C$13*Assumptions!$C$28^(CK$5-1))*$O43)),0)</f>
        <v>0.78319635365166151</v>
      </c>
      <c r="CM43" s="93">
        <f>IF(AND($T43=1,CM$5&lt;=$H43),CL43*(1-AW43)*(1-MIN(1,MAX(Assumptions!$C$27,Assumptions!$C$13*Assumptions!$C$28^(CL$5-1))*$O43)),0)</f>
        <v>0.71169382997255615</v>
      </c>
      <c r="CN43" s="93">
        <f>IF(AND($T43=1,CN$5&lt;=$H43),CM43*(1-AX43)*(1-MIN(1,MAX(Assumptions!$C$27,Assumptions!$C$13*Assumptions!$C$28^(CM$5-1))*$O43)),0)</f>
        <v>0.65565189517746958</v>
      </c>
      <c r="CO43" s="93">
        <f>IF(AND($T43=1,CO$5&lt;=$H43),CN43*(1-AY43)*(1-MIN(1,MAX(Assumptions!$C$27,Assumptions!$C$13*Assumptions!$C$28^(CN$5-1))*$O43)),0)</f>
        <v>0.61095215551272897</v>
      </c>
      <c r="CP43" s="93">
        <f>IF(AND($T43=1,CP$5&lt;=$H43),CO43*(1-AZ43)*(1-MIN(1,MAX(Assumptions!$C$27,Assumptions!$C$13*Assumptions!$C$28^(CO$5-1))*$O43)),0)</f>
        <v>0.57472205989836289</v>
      </c>
      <c r="CQ43" s="93">
        <f>IF(AND($T43=1,CQ$5&lt;=$H43),CP43*(1-BA43)*(1-MIN(1,MAX(Assumptions!$C$27,Assumptions!$C$13*Assumptions!$C$28^(CP$5-1))*$O43)),0)</f>
        <v>0.54490886689177309</v>
      </c>
      <c r="CR43" s="93">
        <f>IF(AND($T43=1,CR$5&lt;=$H43),CQ43*(1-BB43)*(1-MIN(1,MAX(Assumptions!$C$27,Assumptions!$C$13*Assumptions!$C$28^(CQ$5-1))*$O43)),0)</f>
        <v>0.52001338775621753</v>
      </c>
      <c r="CS43" s="93">
        <f>IF(AND($T43=1,CS$5&lt;=$H43),CR43*(1-BC43)*(1-MIN(1,MAX(Assumptions!$C$27,Assumptions!$C$13*Assumptions!$C$28^(CR$5-1))*$O43)),0)</f>
        <v>0.49891897385589812</v>
      </c>
      <c r="CT43" s="93">
        <f>IF(AND($T43=1,CT$5&lt;=$H43),CS43*(1-BD43)*(1-MIN(1,MAX(Assumptions!$C$27,Assumptions!$C$13*Assumptions!$C$28^(CS$5-1))*$O43)),0)</f>
        <v>0.48077894121603293</v>
      </c>
      <c r="CU43" s="93">
        <f>IF(AND($T43=1,CU$5&lt;=$H43),CT43*(1-BE43)*(1-MIN(1,MAX(Assumptions!$C$27,Assumptions!$C$13*Assumptions!$C$28^(CT$5-1))*$O43)),0)</f>
        <v>0.46494079436385621</v>
      </c>
      <c r="CV43" s="93">
        <f>IF(AND($T43=1,CV$5&lt;=$H43),CU43*(1-BF43)*(1-MIN(1,MAX(Assumptions!$C$27,Assumptions!$C$13*Assumptions!$C$28^(CU$5-1))*$O43)),0)</f>
        <v>0.45089417775663099</v>
      </c>
      <c r="CW43" s="93">
        <f>IF(AND($T43=1,CW$5&lt;=$H43),CV43*(1-BG43)*(1-MIN(1,MAX(Assumptions!$C$27,Assumptions!$C$13*Assumptions!$C$28^(CV$5-1))*$O43)),0)</f>
        <v>0.43692769518514962</v>
      </c>
      <c r="CX43" s="93">
        <f>IF(AND($T43=1,CX$5&lt;=$H43),CW43*(1-BH43)*(1-MIN(1,MAX(Assumptions!$C$27,Assumptions!$C$13*Assumptions!$C$28^(CW$5-1))*$O43)),0)</f>
        <v>0.42299443771899736</v>
      </c>
      <c r="CY43" s="93">
        <f>IF(AND($T43=1,CY$5&lt;=$H43),CX43*(1-BI43)*(1-MIN(1,MAX(Assumptions!$C$27,Assumptions!$C$13*Assumptions!$C$28^(CX$5-1))*$O43)),0)</f>
        <v>0</v>
      </c>
      <c r="CZ43" s="93">
        <f>IF(AND($T43=1,CZ$5&lt;=$H43),CY43*(1-BJ43)*(1-MIN(1,MAX(Assumptions!$C$27,Assumptions!$C$13*Assumptions!$C$28^(CY$5-1))*$O43)),0)</f>
        <v>0</v>
      </c>
      <c r="DA43" s="93">
        <f>IF(AND($T43=1,DA$5&lt;=$H43),CZ43*(1-BK43)*(1-MIN(1,MAX(Assumptions!$C$27,Assumptions!$C$13*Assumptions!$C$28^(CZ$5-1))*$O43)),0)</f>
        <v>0</v>
      </c>
      <c r="DB43" s="93">
        <f>IF(AND($T43=1,DB$5&lt;=$H43),DA43*(1-BL43)*(1-MIN(1,MAX(Assumptions!$C$27,Assumptions!$C$13*Assumptions!$C$28^(DA$5-1))*$O43)),0)</f>
        <v>0</v>
      </c>
      <c r="DC43" s="93">
        <f>IF(AND($T43=1,DC$5&lt;=$H43),DB43*(1-BM43)*(1-MIN(1,MAX(Assumptions!$C$27,Assumptions!$C$13*Assumptions!$C$28^(DB$5-1))*$O43)),0)</f>
        <v>0</v>
      </c>
      <c r="DD43" s="93">
        <f>IF(AND($T43=1,DD$5&lt;=$H43),DC43*(1-BN43)*(1-MIN(1,MAX(Assumptions!$C$27,Assumptions!$C$13*Assumptions!$C$28^(DC$5-1))*$O43)),0)</f>
        <v>0</v>
      </c>
      <c r="DE43" s="93">
        <f>IF(AND($T43=1,DE$5&lt;=$H43),DD43*(1-BO43)*(1-MIN(1,MAX(Assumptions!$C$27,Assumptions!$C$13*Assumptions!$C$28^(DD$5-1))*$O43)),0)</f>
        <v>0</v>
      </c>
      <c r="DF43" s="93">
        <f>IF(AND($T43=1,DF$5&lt;=$H43),DE43*(1-BP43)*(1-MIN(1,MAX(Assumptions!$C$27,Assumptions!$C$13*Assumptions!$C$28^(DE$5-1))*$O43)),0)</f>
        <v>0</v>
      </c>
      <c r="DG43" s="93">
        <f>IF(AND($T43=1,DG$5&lt;=$H43),DF43*(1-BQ43)*(1-MIN(1,MAX(Assumptions!$C$27,Assumptions!$C$13*Assumptions!$C$28^(DF$5-1))*$O43)),0)</f>
        <v>0</v>
      </c>
      <c r="DH43" s="93">
        <f>IF(AND($T43=1,DH$5&lt;=$H43),DG43*(1-BR43)*(1-MIN(1,MAX(Assumptions!$C$27,Assumptions!$C$13*Assumptions!$C$28^(DG$5-1))*$O43)),0)</f>
        <v>0</v>
      </c>
      <c r="DI43" s="93">
        <f>IF(AND($T43=1,DI$5&lt;=$H43),DH43*(1-BS43)*(1-MIN(1,MAX(Assumptions!$C$27,Assumptions!$C$13*Assumptions!$C$28^(DH$5-1))*$O43)),0)</f>
        <v>0</v>
      </c>
      <c r="DJ43" s="93">
        <f>IF(AND($T43=1,DJ$5&lt;=$H43),DI43*(1-BT43)*(1-MIN(1,MAX(Assumptions!$C$27,Assumptions!$C$13*Assumptions!$C$28^(DI$5-1))*$O43)),0)</f>
        <v>0</v>
      </c>
      <c r="DK43" s="93">
        <f>IF(AND($T43=1,DK$5&lt;=$H43),DJ43*(1-BU43)*(1-MIN(1,MAX(Assumptions!$C$27,Assumptions!$C$13*Assumptions!$C$28^(DJ$5-1))*$O43)),0)</f>
        <v>0</v>
      </c>
      <c r="DL43" s="93">
        <f>IF(AND($T43=1,DL$5&lt;=$H43),DK43*(1-BV43)*(1-MIN(1,MAX(Assumptions!$C$27,Assumptions!$C$13*Assumptions!$C$28^(DK$5-1))*$O43)),0)</f>
        <v>0</v>
      </c>
      <c r="DM43" s="93">
        <f>IF(AND($T43=1,DM$5&lt;=$H43),DL43*(1-BW43)*(1-MIN(1,MAX(Assumptions!$C$27,Assumptions!$C$13*Assumptions!$C$28^(DL$5-1))*$O43)),0)</f>
        <v>0</v>
      </c>
      <c r="DN43" s="93">
        <f>IF(AND($T43=1,DN$5&lt;=$H43),DM43*(1-BX43)*(1-MIN(1,MAX(Assumptions!$C$27,Assumptions!$C$13*Assumptions!$C$28^(DM$5-1))*$O43)),0)</f>
        <v>0</v>
      </c>
      <c r="DO43" s="93">
        <f>IF(AND($T43=1,DO$5&lt;=$H43),DN43*(1-BY43)*(1-MIN(1,MAX(Assumptions!$C$27,Assumptions!$C$13*Assumptions!$C$28^(DN$5-1))*$O43)),0)</f>
        <v>0</v>
      </c>
      <c r="DP43" s="93">
        <f>IF(AND($T43=1,DP$5&lt;=$H43),DO43*(1-BZ43)*(1-MIN(1,MAX(Assumptions!$C$27,Assumptions!$C$13*Assumptions!$C$28^(DO$5-1))*$O43)),0)</f>
        <v>0</v>
      </c>
      <c r="DQ43" s="93">
        <f>IF(AND($T43=1,DQ$5&lt;=$H43),DP43*(1-CA43)*(1-MIN(1,MAX(Assumptions!$C$27,Assumptions!$C$13*Assumptions!$C$28^(DP$5-1))*$O43)),0)</f>
        <v>0</v>
      </c>
      <c r="DR43" s="93">
        <f>IF(AND($T43=1,DR$5&lt;=$H43),DQ43*(1-CB43)*(1-MIN(1,MAX(Assumptions!$C$27,Assumptions!$C$13*Assumptions!$C$28^(DQ$5-1))*$O43)),0)</f>
        <v>0</v>
      </c>
      <c r="DS43" s="93">
        <f>IF(AND($T43=1,DS$5&lt;=$H43),DR43*(1-CC43)*(1-MIN(1,MAX(Assumptions!$C$27,Assumptions!$C$13*Assumptions!$C$28^(DR$5-1))*$O43)),0)</f>
        <v>0</v>
      </c>
      <c r="DT43" s="93">
        <f>IF(AND($T43=1,DT$5&lt;=$H43),DS43*(1-CD43)*(1-MIN(1,MAX(Assumptions!$C$27,Assumptions!$C$13*Assumptions!$C$28^(DS$5-1))*$O43)),0)</f>
        <v>0</v>
      </c>
      <c r="DU43" s="93">
        <f>IF(AND($T43=1,DU$5&lt;=$H43),DT43*(1-CE43)*(1-MIN(1,MAX(Assumptions!$C$27,Assumptions!$C$13*Assumptions!$C$28^(DT$5-1))*$O43)),0)</f>
        <v>0</v>
      </c>
      <c r="DV43" s="93">
        <f>IF(AND($T43=1,DV$5&lt;=$H43),DU43*(1-CF43)*(1-MIN(1,MAX(Assumptions!$C$27,Assumptions!$C$13*Assumptions!$C$28^(DU$5-1))*$O43)),0)</f>
        <v>0</v>
      </c>
      <c r="DW43" s="94">
        <f>IF(AND($T43=1,DW$5&lt;=$H43),DV43*(1-CG43)*(1-MIN(1,MAX(Assumptions!$C$27,Assumptions!$C$13*Assumptions!$C$28^(DV$5-1))*$O43)),0)</f>
        <v>0</v>
      </c>
      <c r="DX43" s="26"/>
      <c r="DY43" s="399">
        <f>'Policy Data'!K17</f>
        <v>5</v>
      </c>
      <c r="DZ43" s="100">
        <f>'Policy Data'!L17</f>
        <v>0.76249999999999996</v>
      </c>
      <c r="EA43" s="100">
        <f>'Policy Data'!N17</f>
        <v>3.2699999999999999E-3</v>
      </c>
      <c r="EB43" s="93" cm="1">
        <f t="array" ref="EB43">IFERROR(DZ43*INDEX(Mortality!$B$4:$E$64,MATCH(D43+DY43-1,Mortality!$A$4:$A$64,0),U43)*V43,0)</f>
        <v>4.5026992598526782E-3</v>
      </c>
      <c r="EC43" s="100">
        <f>'Policy Data'!O17</f>
        <v>0</v>
      </c>
      <c r="ED43" s="400">
        <f>'Policy Data'!Q17</f>
        <v>0</v>
      </c>
    </row>
    <row r="44" spans="1:134" x14ac:dyDescent="0.3">
      <c r="A44" s="399" t="str">
        <f>'Policy Data'!A18</f>
        <v>POL100014</v>
      </c>
      <c r="B44" s="26" t="s">
        <v>426</v>
      </c>
      <c r="C44" s="100" t="str">
        <f>'Policy Data'!B18</f>
        <v>Term Life</v>
      </c>
      <c r="D44" s="100">
        <f>'Policy Data'!C18</f>
        <v>44</v>
      </c>
      <c r="E44" s="100" t="str">
        <f>'Policy Data'!D18</f>
        <v>Male</v>
      </c>
      <c r="F44" s="100" t="str">
        <f>'Policy Data'!E18</f>
        <v>Non-smoker</v>
      </c>
      <c r="G44" s="100" t="str">
        <f>'Policy Data'!F18</f>
        <v>Rated</v>
      </c>
      <c r="H44" s="100">
        <f>'Policy Data'!G18</f>
        <v>15</v>
      </c>
      <c r="I44" s="279">
        <f>'Policy Data'!H18</f>
        <v>500000</v>
      </c>
      <c r="J44" s="100" t="str">
        <f>'Policy Data'!I18</f>
        <v>Monthly</v>
      </c>
      <c r="K44" s="100" t="str">
        <f>'Policy Data'!J18</f>
        <v>Direct</v>
      </c>
      <c r="L44" s="26" t="s">
        <v>389</v>
      </c>
      <c r="M44" s="106">
        <f>'Policy Data'!R18</f>
        <v>2205.4499999999998</v>
      </c>
      <c r="N44" s="415">
        <f>Assumptions!$C$21</f>
        <v>1</v>
      </c>
      <c r="O44" s="415">
        <f>Assumptions!$C$22</f>
        <v>1</v>
      </c>
      <c r="P44" s="415">
        <f>Assumptions!$C$23</f>
        <v>1</v>
      </c>
      <c r="Q44" s="416">
        <f>Assumptions!$C$24</f>
        <v>0</v>
      </c>
      <c r="R44" s="416">
        <f>Assumptions!$C$6+Assumptions!$C$25</f>
        <v>3.5000000000000003E-2</v>
      </c>
      <c r="S44" s="416">
        <f>Assumptions!$C$15</f>
        <v>1.1000000000000001E-3</v>
      </c>
      <c r="T44" s="26">
        <f t="shared" si="18"/>
        <v>1</v>
      </c>
      <c r="U44" s="26">
        <f t="shared" si="19"/>
        <v>3</v>
      </c>
      <c r="V44" s="389">
        <f>IF($G44="Preferred",Assumptions!$C$30,IF($G44="Rated",Assumptions!$C$31,1))</f>
        <v>1.55</v>
      </c>
      <c r="W44" s="390">
        <f>IF($K44="Direct",Assumptions!$C$32,IF($K44="Broker",Assumptions!$C$33,IF($K44="Bancassurance",Assumptions!$C$34,Assumptions!$C$11)))+$Q44</f>
        <v>0.1</v>
      </c>
      <c r="X44" s="390">
        <f>Assumptions!$C$12+$Q44</f>
        <v>0.05</v>
      </c>
      <c r="Y44" s="131">
        <f>MIN($I44,Assumptions!$C$14)</f>
        <v>500000</v>
      </c>
      <c r="Z44" s="131">
        <f>MAX($I44-Assumptions!$C$14,0)</f>
        <v>0</v>
      </c>
      <c r="AA44" s="389">
        <f t="shared" si="20"/>
        <v>7.3074594727193567</v>
      </c>
      <c r="AB44" s="389">
        <f t="shared" si="21"/>
        <v>2.9150210272546752E-2</v>
      </c>
      <c r="AC44" s="389">
        <f>IF($T44=1,SUMPRODUCT($CJ44:$DW44,(1+Assumptions!$C$5)^($CJ$5:$DW$5-1),(1+$R44)^(-$CJ$5:$DW$5)),0)</f>
        <v>9.124090949372988</v>
      </c>
      <c r="AD44" s="389">
        <f t="shared" si="22"/>
        <v>0.41368215237992922</v>
      </c>
      <c r="AE44" s="131">
        <f>IF($T44=1,$AB44*$Y44+(Assumptions!$C$9/(1+$R44)+Assumptions!$C$10*$AC44)*$P44+$S44*$Z44*$AA44,0)</f>
        <v>17451.970362526739</v>
      </c>
      <c r="AF44" s="131">
        <f>IF($T44=1,IF($AA44-$AD44-Assumptions!$C$16*$AA44&gt;0,$AE44/($AA44-$AD44-Assumptions!$C$16*$AA44)*IF($J44="Monthly",1+Assumptions!$C$29,1),"n.a."),"")</f>
        <v>2849.1068365013539</v>
      </c>
      <c r="AG44" s="131">
        <f t="shared" si="23"/>
        <v>2205.4499999999998</v>
      </c>
      <c r="AH44" s="131">
        <f t="shared" si="24"/>
        <v>16116.236494108904</v>
      </c>
      <c r="AI44" s="131">
        <f t="shared" si="25"/>
        <v>-2248.0891713841502</v>
      </c>
      <c r="AJ44" s="390">
        <f t="shared" si="26"/>
        <v>-0.13949219299468038</v>
      </c>
      <c r="AK44" s="389">
        <f t="shared" si="27"/>
        <v>0.77408469620895237</v>
      </c>
      <c r="AL44" s="131">
        <f t="shared" si="28"/>
        <v>0</v>
      </c>
      <c r="AM44" s="131">
        <f t="shared" si="29"/>
        <v>0</v>
      </c>
      <c r="AN44" s="131">
        <f t="shared" si="30"/>
        <v>0</v>
      </c>
      <c r="AO44" s="131">
        <f t="shared" si="31"/>
        <v>-2248.0891713841502</v>
      </c>
      <c r="AP44" s="26" t="str">
        <f t="shared" si="32"/>
        <v>40-49</v>
      </c>
      <c r="AQ44" s="26" t="str">
        <f t="shared" si="33"/>
        <v>250k-500k</v>
      </c>
      <c r="AR44" s="26" t="str">
        <f>IF($T44=1,IF($AI44&lt;0,"Loss-making",IF($AJ44&lt;Assumptions!$C$16-0.00001,"Below target","At/above target")),"Excluded")</f>
        <v>Loss-making</v>
      </c>
      <c r="AS44" s="103">
        <f t="shared" si="34"/>
        <v>-2248.0891273841503</v>
      </c>
      <c r="AT44" s="26"/>
      <c r="AU44" s="419">
        <f>IF(AND($T44=1,AU$5&lt;=$H44),INDEX(Mortality!$B$4:$E$64,MATCH($D44+AU$5-1,Mortality!$A$4:$A$64,0),$U44)*$V44*$N44,0)</f>
        <v>2.4583961778164016E-3</v>
      </c>
      <c r="AV44" s="93">
        <f>IF(AND($T44=1,AV$5&lt;=$H44),INDEX(Mortality!$B$4:$E$64,MATCH($D44+AV$5-1,Mortality!$A$4:$A$64,0),$U44)*$V44*$N44,0)</f>
        <v>2.6631487866500482E-3</v>
      </c>
      <c r="AW44" s="93">
        <f>IF(AND($T44=1,AW$5&lt;=$H44),INDEX(Mortality!$B$4:$E$64,MATCH($D44+AW$5-1,Mortality!$A$4:$A$64,0),$U44)*$V44*$N44,0)</f>
        <v>2.8849546398722549E-3</v>
      </c>
      <c r="AX44" s="93">
        <f>IF(AND($T44=1,AX$5&lt;=$H44),INDEX(Mortality!$B$4:$E$64,MATCH($D44+AX$5-1,Mortality!$A$4:$A$64,0),$U44)*$V44*$N44,0)</f>
        <v>3.1252340522024812E-3</v>
      </c>
      <c r="AY44" s="93">
        <f>IF(AND($T44=1,AY$5&lt;=$H44),INDEX(Mortality!$B$4:$E$64,MATCH($D44+AY$5-1,Mortality!$A$4:$A$64,0),$U44)*$V44*$N44,0)</f>
        <v>3.3855256322083659E-3</v>
      </c>
      <c r="AZ44" s="93">
        <f>IF(AND($T44=1,AZ$5&lt;=$H44),INDEX(Mortality!$B$4:$E$64,MATCH($D44+AZ$5-1,Mortality!$A$4:$A$64,0),$U44)*$V44*$N44,0)</f>
        <v>3.6674961346534088E-3</v>
      </c>
      <c r="BA44" s="93">
        <f>IF(AND($T44=1,BA$5&lt;=$H44),INDEX(Mortality!$B$4:$E$64,MATCH($D44+BA$5-1,Mortality!$A$4:$A$64,0),$U44)*$V44*$N44,0)</f>
        <v>3.9729511334179284E-3</v>
      </c>
      <c r="BB44" s="93">
        <f>IF(AND($T44=1,BB$5&lt;=$H44),INDEX(Mortality!$B$4:$E$64,MATCH($D44+BB$5-1,Mortality!$A$4:$A$64,0),$U44)*$V44*$N44,0)</f>
        <v>4.303846583336211E-3</v>
      </c>
      <c r="BC44" s="93">
        <f>IF(AND($T44=1,BC$5&lt;=$H44),INDEX(Mortality!$B$4:$E$64,MATCH($D44+BC$5-1,Mortality!$A$4:$A$64,0),$U44)*$V44*$N44,0)</f>
        <v>4.6623013449851773E-3</v>
      </c>
      <c r="BD44" s="93">
        <f>IF(AND($T44=1,BD$5&lt;=$H44),INDEX(Mortality!$B$4:$E$64,MATCH($D44+BD$5-1,Mortality!$A$4:$A$64,0),$U44)*$V44*$N44,0)</f>
        <v>5.050610752626015E-3</v>
      </c>
      <c r="BE44" s="93">
        <f>IF(AND($T44=1,BE$5&lt;=$H44),INDEX(Mortality!$B$4:$E$64,MATCH($D44+BE$5-1,Mortality!$A$4:$A$64,0),$U44)*$V44*$N44,0)</f>
        <v>5.4712613121798382E-3</v>
      </c>
      <c r="BF44" s="93">
        <f>IF(AND($T44=1,BF$5&lt;=$H44),INDEX(Mortality!$B$4:$E$64,MATCH($D44+BF$5-1,Mortality!$A$4:$A$64,0),$U44)*$V44*$N44,0)</f>
        <v>5.9269466233547452E-3</v>
      </c>
      <c r="BG44" s="93">
        <f>IF(AND($T44=1,BG$5&lt;=$H44),INDEX(Mortality!$B$4:$E$64,MATCH($D44+BG$5-1,Mortality!$A$4:$A$64,0),$U44)*$V44*$N44,0)</f>
        <v>6.4205846278799572E-3</v>
      </c>
      <c r="BH44" s="93">
        <f>IF(AND($T44=1,BH$5&lt;=$H44),INDEX(Mortality!$B$4:$E$64,MATCH($D44+BH$5-1,Mortality!$A$4:$A$64,0),$U44)*$V44*$N44,0)</f>
        <v>6.9553362942950019E-3</v>
      </c>
      <c r="BI44" s="93">
        <f>IF(AND($T44=1,BI$5&lt;=$H44),INDEX(Mortality!$B$4:$E$64,MATCH($D44+BI$5-1,Mortality!$A$4:$A$64,0),$U44)*$V44*$N44,0)</f>
        <v>7.534625858940042E-3</v>
      </c>
      <c r="BJ44" s="93">
        <f>IF(AND($T44=1,BJ$5&lt;=$H44),INDEX(Mortality!$B$4:$E$64,MATCH($D44+BJ$5-1,Mortality!$A$4:$A$64,0),$U44)*$V44*$N44,0)</f>
        <v>0</v>
      </c>
      <c r="BK44" s="93">
        <f>IF(AND($T44=1,BK$5&lt;=$H44),INDEX(Mortality!$B$4:$E$64,MATCH($D44+BK$5-1,Mortality!$A$4:$A$64,0),$U44)*$V44*$N44,0)</f>
        <v>0</v>
      </c>
      <c r="BL44" s="93">
        <f>IF(AND($T44=1,BL$5&lt;=$H44),INDEX(Mortality!$B$4:$E$64,MATCH($D44+BL$5-1,Mortality!$A$4:$A$64,0),$U44)*$V44*$N44,0)</f>
        <v>0</v>
      </c>
      <c r="BM44" s="93">
        <f>IF(AND($T44=1,BM$5&lt;=$H44),INDEX(Mortality!$B$4:$E$64,MATCH($D44+BM$5-1,Mortality!$A$4:$A$64,0),$U44)*$V44*$N44,0)</f>
        <v>0</v>
      </c>
      <c r="BN44" s="93">
        <f>IF(AND($T44=1,BN$5&lt;=$H44),INDEX(Mortality!$B$4:$E$64,MATCH($D44+BN$5-1,Mortality!$A$4:$A$64,0),$U44)*$V44*$N44,0)</f>
        <v>0</v>
      </c>
      <c r="BO44" s="93">
        <f>IF(AND($T44=1,BO$5&lt;=$H44),INDEX(Mortality!$B$4:$E$64,MATCH($D44+BO$5-1,Mortality!$A$4:$A$64,0),$U44)*$V44*$N44,0)</f>
        <v>0</v>
      </c>
      <c r="BP44" s="93">
        <f>IF(AND($T44=1,BP$5&lt;=$H44),INDEX(Mortality!$B$4:$E$64,MATCH($D44+BP$5-1,Mortality!$A$4:$A$64,0),$U44)*$V44*$N44,0)</f>
        <v>0</v>
      </c>
      <c r="BQ44" s="93">
        <f>IF(AND($T44=1,BQ$5&lt;=$H44),INDEX(Mortality!$B$4:$E$64,MATCH($D44+BQ$5-1,Mortality!$A$4:$A$64,0),$U44)*$V44*$N44,0)</f>
        <v>0</v>
      </c>
      <c r="BR44" s="93">
        <f>IF(AND($T44=1,BR$5&lt;=$H44),INDEX(Mortality!$B$4:$E$64,MATCH($D44+BR$5-1,Mortality!$A$4:$A$64,0),$U44)*$V44*$N44,0)</f>
        <v>0</v>
      </c>
      <c r="BS44" s="93">
        <f>IF(AND($T44=1,BS$5&lt;=$H44),INDEX(Mortality!$B$4:$E$64,MATCH($D44+BS$5-1,Mortality!$A$4:$A$64,0),$U44)*$V44*$N44,0)</f>
        <v>0</v>
      </c>
      <c r="BT44" s="93">
        <f>IF(AND($T44=1,BT$5&lt;=$H44),INDEX(Mortality!$B$4:$E$64,MATCH($D44+BT$5-1,Mortality!$A$4:$A$64,0),$U44)*$V44*$N44,0)</f>
        <v>0</v>
      </c>
      <c r="BU44" s="93">
        <f>IF(AND($T44=1,BU$5&lt;=$H44),INDEX(Mortality!$B$4:$E$64,MATCH($D44+BU$5-1,Mortality!$A$4:$A$64,0),$U44)*$V44*$N44,0)</f>
        <v>0</v>
      </c>
      <c r="BV44" s="93">
        <f>IF(AND($T44=1,BV$5&lt;=$H44),INDEX(Mortality!$B$4:$E$64,MATCH($D44+BV$5-1,Mortality!$A$4:$A$64,0),$U44)*$V44*$N44,0)</f>
        <v>0</v>
      </c>
      <c r="BW44" s="93">
        <f>IF(AND($T44=1,BW$5&lt;=$H44),INDEX(Mortality!$B$4:$E$64,MATCH($D44+BW$5-1,Mortality!$A$4:$A$64,0),$U44)*$V44*$N44,0)</f>
        <v>0</v>
      </c>
      <c r="BX44" s="93">
        <f>IF(AND($T44=1,BX$5&lt;=$H44),INDEX(Mortality!$B$4:$E$64,MATCH($D44+BX$5-1,Mortality!$A$4:$A$64,0),$U44)*$V44*$N44,0)</f>
        <v>0</v>
      </c>
      <c r="BY44" s="93">
        <f>IF(AND($T44=1,BY$5&lt;=$H44),INDEX(Mortality!$B$4:$E$64,MATCH($D44+BY$5-1,Mortality!$A$4:$A$64,0),$U44)*$V44*$N44,0)</f>
        <v>0</v>
      </c>
      <c r="BZ44" s="93">
        <f>IF(AND($T44=1,BZ$5&lt;=$H44),INDEX(Mortality!$B$4:$E$64,MATCH($D44+BZ$5-1,Mortality!$A$4:$A$64,0),$U44)*$V44*$N44,0)</f>
        <v>0</v>
      </c>
      <c r="CA44" s="93">
        <f>IF(AND($T44=1,CA$5&lt;=$H44),INDEX(Mortality!$B$4:$E$64,MATCH($D44+CA$5-1,Mortality!$A$4:$A$64,0),$U44)*$V44*$N44,0)</f>
        <v>0</v>
      </c>
      <c r="CB44" s="93">
        <f>IF(AND($T44=1,CB$5&lt;=$H44),INDEX(Mortality!$B$4:$E$64,MATCH($D44+CB$5-1,Mortality!$A$4:$A$64,0),$U44)*$V44*$N44,0)</f>
        <v>0</v>
      </c>
      <c r="CC44" s="93">
        <f>IF(AND($T44=1,CC$5&lt;=$H44),INDEX(Mortality!$B$4:$E$64,MATCH($D44+CC$5-1,Mortality!$A$4:$A$64,0),$U44)*$V44*$N44,0)</f>
        <v>0</v>
      </c>
      <c r="CD44" s="93">
        <f>IF(AND($T44=1,CD$5&lt;=$H44),INDEX(Mortality!$B$4:$E$64,MATCH($D44+CD$5-1,Mortality!$A$4:$A$64,0),$U44)*$V44*$N44,0)</f>
        <v>0</v>
      </c>
      <c r="CE44" s="93">
        <f>IF(AND($T44=1,CE$5&lt;=$H44),INDEX(Mortality!$B$4:$E$64,MATCH($D44+CE$5-1,Mortality!$A$4:$A$64,0),$U44)*$V44*$N44,0)</f>
        <v>0</v>
      </c>
      <c r="CF44" s="93">
        <f>IF(AND($T44=1,CF$5&lt;=$H44),INDEX(Mortality!$B$4:$E$64,MATCH($D44+CF$5-1,Mortality!$A$4:$A$64,0),$U44)*$V44*$N44,0)</f>
        <v>0</v>
      </c>
      <c r="CG44" s="93">
        <f>IF(AND($T44=1,CG$5&lt;=$H44),INDEX(Mortality!$B$4:$E$64,MATCH($D44+CG$5-1,Mortality!$A$4:$A$64,0),$U44)*$V44*$N44,0)</f>
        <v>0</v>
      </c>
      <c r="CH44" s="94">
        <f>IF(AND($T44=1,CH$5&lt;=$H44),INDEX(Mortality!$B$4:$E$64,MATCH($D44+CH$5-1,Mortality!$A$4:$A$64,0),$U44)*$V44*$N44,0)</f>
        <v>0</v>
      </c>
      <c r="CI44" s="26"/>
      <c r="CJ44" s="419">
        <f t="shared" si="35"/>
        <v>1</v>
      </c>
      <c r="CK44" s="93">
        <f>IF(AND($T44=1,CK$5&lt;=$H44),CJ44*(1-AU44)*(1-MIN(1,MAX(Assumptions!$C$27,Assumptions!$C$13*Assumptions!$C$28^(CJ$5-1))*$O44)),0)</f>
        <v>0.87783661136352154</v>
      </c>
      <c r="CL44" s="93">
        <f>IF(AND($T44=1,CL$5&lt;=$H44),CK44*(1-AV44)*(1-MIN(1,MAX(Assumptions!$C$27,Assumptions!$C$13*Assumptions!$C$28^(CK$5-1))*$O44)),0)</f>
        <v>0.78619792406766842</v>
      </c>
      <c r="CM44" s="93">
        <f>IF(AND($T44=1,CM$5&lt;=$H44),CL44*(1-AW44)*(1-MIN(1,MAX(Assumptions!$C$27,Assumptions!$C$13*Assumptions!$C$28^(CL$5-1))*$O44)),0)</f>
        <v>0.71596306690385392</v>
      </c>
      <c r="CN44" s="93">
        <f>IF(AND($T44=1,CN$5&lt;=$H44),CM44*(1-AX44)*(1-MIN(1,MAX(Assumptions!$C$27,Assumptions!$C$13*Assumptions!$C$28^(CM$5-1))*$O44)),0)</f>
        <v>0.66112751293776317</v>
      </c>
      <c r="CO44" s="93">
        <f>IF(AND($T44=1,CO$5&lt;=$H44),CN44*(1-AY44)*(1-MIN(1,MAX(Assumptions!$C$27,Assumptions!$C$13*Assumptions!$C$28^(CN$5-1))*$O44)),0)</f>
        <v>0.61761593208500143</v>
      </c>
      <c r="CP44" s="93">
        <f>IF(AND($T44=1,CP$5&lt;=$H44),CO44*(1-AZ44)*(1-MIN(1,MAX(Assumptions!$C$27,Assumptions!$C$13*Assumptions!$C$28^(CO$5-1))*$O44)),0)</f>
        <v>0.58258669626699122</v>
      </c>
      <c r="CQ44" s="93">
        <f>IF(AND($T44=1,CQ$5&lt;=$H44),CP44*(1-BA44)*(1-MIN(1,MAX(Assumptions!$C$27,Assumptions!$C$13*Assumptions!$C$28^(CP$5-1))*$O44)),0)</f>
        <v>0.55401018646562061</v>
      </c>
      <c r="CR44" s="93">
        <f>IF(AND($T44=1,CR$5&lt;=$H44),CQ44*(1-BB44)*(1-MIN(1,MAX(Assumptions!$C$27,Assumptions!$C$13*Assumptions!$C$28^(CQ$5-1))*$O44)),0)</f>
        <v>0.53040518003637416</v>
      </c>
      <c r="CS44" s="93">
        <f>IF(AND($T44=1,CS$5&lt;=$H44),CR44*(1-BC44)*(1-MIN(1,MAX(Assumptions!$C$27,Assumptions!$C$13*Assumptions!$C$28^(CR$5-1))*$O44)),0)</f>
        <v>0.51066948623867747</v>
      </c>
      <c r="CT44" s="93">
        <f>IF(AND($T44=1,CT$5&lt;=$H44),CS44*(1-BD44)*(1-MIN(1,MAX(Assumptions!$C$27,Assumptions!$C$13*Assumptions!$C$28^(CS$5-1))*$O44)),0)</f>
        <v>0.49396841477610504</v>
      </c>
      <c r="CU44" s="93">
        <f>IF(AND($T44=1,CU$5&lt;=$H44),CT44*(1-BE44)*(1-MIN(1,MAX(Assumptions!$C$27,Assumptions!$C$13*Assumptions!$C$28^(CT$5-1))*$O44)),0)</f>
        <v>0.47965966545535782</v>
      </c>
      <c r="CV44" s="93">
        <f>IF(AND($T44=1,CV$5&lt;=$H44),CU44*(1-BF44)*(1-MIN(1,MAX(Assumptions!$C$27,Assumptions!$C$13*Assumptions!$C$28^(CU$5-1))*$O44)),0)</f>
        <v>0.46724170086569089</v>
      </c>
      <c r="CW44" s="93">
        <f>IF(AND($T44=1,CW$5&lt;=$H44),CV44*(1-BG44)*(1-MIN(1,MAX(Assumptions!$C$27,Assumptions!$C$13*Assumptions!$C$28^(CV$5-1))*$O44)),0)</f>
        <v>0.45495690126393595</v>
      </c>
      <c r="CX44" s="93">
        <f>IF(AND($T44=1,CX$5&lt;=$H44),CW44*(1-BH44)*(1-MIN(1,MAX(Assumptions!$C$27,Assumptions!$C$13*Assumptions!$C$28^(CW$5-1))*$O44)),0)</f>
        <v>0.44275667255591022</v>
      </c>
      <c r="CY44" s="93">
        <f>IF(AND($T44=1,CY$5&lt;=$H44),CX44*(1-BI44)*(1-MIN(1,MAX(Assumptions!$C$27,Assumptions!$C$13*Assumptions!$C$28^(CX$5-1))*$O44)),0)</f>
        <v>0</v>
      </c>
      <c r="CZ44" s="93">
        <f>IF(AND($T44=1,CZ$5&lt;=$H44),CY44*(1-BJ44)*(1-MIN(1,MAX(Assumptions!$C$27,Assumptions!$C$13*Assumptions!$C$28^(CY$5-1))*$O44)),0)</f>
        <v>0</v>
      </c>
      <c r="DA44" s="93">
        <f>IF(AND($T44=1,DA$5&lt;=$H44),CZ44*(1-BK44)*(1-MIN(1,MAX(Assumptions!$C$27,Assumptions!$C$13*Assumptions!$C$28^(CZ$5-1))*$O44)),0)</f>
        <v>0</v>
      </c>
      <c r="DB44" s="93">
        <f>IF(AND($T44=1,DB$5&lt;=$H44),DA44*(1-BL44)*(1-MIN(1,MAX(Assumptions!$C$27,Assumptions!$C$13*Assumptions!$C$28^(DA$5-1))*$O44)),0)</f>
        <v>0</v>
      </c>
      <c r="DC44" s="93">
        <f>IF(AND($T44=1,DC$5&lt;=$H44),DB44*(1-BM44)*(1-MIN(1,MAX(Assumptions!$C$27,Assumptions!$C$13*Assumptions!$C$28^(DB$5-1))*$O44)),0)</f>
        <v>0</v>
      </c>
      <c r="DD44" s="93">
        <f>IF(AND($T44=1,DD$5&lt;=$H44),DC44*(1-BN44)*(1-MIN(1,MAX(Assumptions!$C$27,Assumptions!$C$13*Assumptions!$C$28^(DC$5-1))*$O44)),0)</f>
        <v>0</v>
      </c>
      <c r="DE44" s="93">
        <f>IF(AND($T44=1,DE$5&lt;=$H44),DD44*(1-BO44)*(1-MIN(1,MAX(Assumptions!$C$27,Assumptions!$C$13*Assumptions!$C$28^(DD$5-1))*$O44)),0)</f>
        <v>0</v>
      </c>
      <c r="DF44" s="93">
        <f>IF(AND($T44=1,DF$5&lt;=$H44),DE44*(1-BP44)*(1-MIN(1,MAX(Assumptions!$C$27,Assumptions!$C$13*Assumptions!$C$28^(DE$5-1))*$O44)),0)</f>
        <v>0</v>
      </c>
      <c r="DG44" s="93">
        <f>IF(AND($T44=1,DG$5&lt;=$H44),DF44*(1-BQ44)*(1-MIN(1,MAX(Assumptions!$C$27,Assumptions!$C$13*Assumptions!$C$28^(DF$5-1))*$O44)),0)</f>
        <v>0</v>
      </c>
      <c r="DH44" s="93">
        <f>IF(AND($T44=1,DH$5&lt;=$H44),DG44*(1-BR44)*(1-MIN(1,MAX(Assumptions!$C$27,Assumptions!$C$13*Assumptions!$C$28^(DG$5-1))*$O44)),0)</f>
        <v>0</v>
      </c>
      <c r="DI44" s="93">
        <f>IF(AND($T44=1,DI$5&lt;=$H44),DH44*(1-BS44)*(1-MIN(1,MAX(Assumptions!$C$27,Assumptions!$C$13*Assumptions!$C$28^(DH$5-1))*$O44)),0)</f>
        <v>0</v>
      </c>
      <c r="DJ44" s="93">
        <f>IF(AND($T44=1,DJ$5&lt;=$H44),DI44*(1-BT44)*(1-MIN(1,MAX(Assumptions!$C$27,Assumptions!$C$13*Assumptions!$C$28^(DI$5-1))*$O44)),0)</f>
        <v>0</v>
      </c>
      <c r="DK44" s="93">
        <f>IF(AND($T44=1,DK$5&lt;=$H44),DJ44*(1-BU44)*(1-MIN(1,MAX(Assumptions!$C$27,Assumptions!$C$13*Assumptions!$C$28^(DJ$5-1))*$O44)),0)</f>
        <v>0</v>
      </c>
      <c r="DL44" s="93">
        <f>IF(AND($T44=1,DL$5&lt;=$H44),DK44*(1-BV44)*(1-MIN(1,MAX(Assumptions!$C$27,Assumptions!$C$13*Assumptions!$C$28^(DK$5-1))*$O44)),0)</f>
        <v>0</v>
      </c>
      <c r="DM44" s="93">
        <f>IF(AND($T44=1,DM$5&lt;=$H44),DL44*(1-BW44)*(1-MIN(1,MAX(Assumptions!$C$27,Assumptions!$C$13*Assumptions!$C$28^(DL$5-1))*$O44)),0)</f>
        <v>0</v>
      </c>
      <c r="DN44" s="93">
        <f>IF(AND($T44=1,DN$5&lt;=$H44),DM44*(1-BX44)*(1-MIN(1,MAX(Assumptions!$C$27,Assumptions!$C$13*Assumptions!$C$28^(DM$5-1))*$O44)),0)</f>
        <v>0</v>
      </c>
      <c r="DO44" s="93">
        <f>IF(AND($T44=1,DO$5&lt;=$H44),DN44*(1-BY44)*(1-MIN(1,MAX(Assumptions!$C$27,Assumptions!$C$13*Assumptions!$C$28^(DN$5-1))*$O44)),0)</f>
        <v>0</v>
      </c>
      <c r="DP44" s="93">
        <f>IF(AND($T44=1,DP$5&lt;=$H44),DO44*(1-BZ44)*(1-MIN(1,MAX(Assumptions!$C$27,Assumptions!$C$13*Assumptions!$C$28^(DO$5-1))*$O44)),0)</f>
        <v>0</v>
      </c>
      <c r="DQ44" s="93">
        <f>IF(AND($T44=1,DQ$5&lt;=$H44),DP44*(1-CA44)*(1-MIN(1,MAX(Assumptions!$C$27,Assumptions!$C$13*Assumptions!$C$28^(DP$5-1))*$O44)),0)</f>
        <v>0</v>
      </c>
      <c r="DR44" s="93">
        <f>IF(AND($T44=1,DR$5&lt;=$H44),DQ44*(1-CB44)*(1-MIN(1,MAX(Assumptions!$C$27,Assumptions!$C$13*Assumptions!$C$28^(DQ$5-1))*$O44)),0)</f>
        <v>0</v>
      </c>
      <c r="DS44" s="93">
        <f>IF(AND($T44=1,DS$5&lt;=$H44),DR44*(1-CC44)*(1-MIN(1,MAX(Assumptions!$C$27,Assumptions!$C$13*Assumptions!$C$28^(DR$5-1))*$O44)),0)</f>
        <v>0</v>
      </c>
      <c r="DT44" s="93">
        <f>IF(AND($T44=1,DT$5&lt;=$H44),DS44*(1-CD44)*(1-MIN(1,MAX(Assumptions!$C$27,Assumptions!$C$13*Assumptions!$C$28^(DS$5-1))*$O44)),0)</f>
        <v>0</v>
      </c>
      <c r="DU44" s="93">
        <f>IF(AND($T44=1,DU$5&lt;=$H44),DT44*(1-CE44)*(1-MIN(1,MAX(Assumptions!$C$27,Assumptions!$C$13*Assumptions!$C$28^(DT$5-1))*$O44)),0)</f>
        <v>0</v>
      </c>
      <c r="DV44" s="93">
        <f>IF(AND($T44=1,DV$5&lt;=$H44),DU44*(1-CF44)*(1-MIN(1,MAX(Assumptions!$C$27,Assumptions!$C$13*Assumptions!$C$28^(DU$5-1))*$O44)),0)</f>
        <v>0</v>
      </c>
      <c r="DW44" s="94">
        <f>IF(AND($T44=1,DW$5&lt;=$H44),DV44*(1-CG44)*(1-MIN(1,MAX(Assumptions!$C$27,Assumptions!$C$13*Assumptions!$C$28^(DV$5-1))*$O44)),0)</f>
        <v>0</v>
      </c>
      <c r="DX44" s="26"/>
      <c r="DY44" s="399">
        <f>'Policy Data'!K18</f>
        <v>3</v>
      </c>
      <c r="DZ44" s="100">
        <f>'Policy Data'!L18</f>
        <v>0.82030000000000003</v>
      </c>
      <c r="EA44" s="100">
        <f>'Policy Data'!N18</f>
        <v>2.0170000000000001E-3</v>
      </c>
      <c r="EB44" s="93" cm="1">
        <f t="array" ref="EB44">IFERROR(DZ44*INDEX(Mortality!$B$4:$E$64,MATCH(D44+DY44-1,Mortality!$A$4:$A$64,0),U44)*V44,0)</f>
        <v>2.3665282910872109E-3</v>
      </c>
      <c r="EC44" s="100">
        <f>'Policy Data'!O18</f>
        <v>0</v>
      </c>
      <c r="ED44" s="400">
        <f>'Policy Data'!Q18</f>
        <v>0</v>
      </c>
    </row>
    <row r="45" spans="1:134" x14ac:dyDescent="0.3">
      <c r="A45" s="399" t="str">
        <f>'Policy Data'!A19</f>
        <v>POL100015</v>
      </c>
      <c r="B45" s="26" t="s">
        <v>426</v>
      </c>
      <c r="C45" s="100" t="str">
        <f>'Policy Data'!B19</f>
        <v>Term Life</v>
      </c>
      <c r="D45" s="100">
        <f>'Policy Data'!C19</f>
        <v>24</v>
      </c>
      <c r="E45" s="100" t="str">
        <f>'Policy Data'!D19</f>
        <v>Male</v>
      </c>
      <c r="F45" s="100" t="str">
        <f>'Policy Data'!E19</f>
        <v>Non-smoker</v>
      </c>
      <c r="G45" s="100" t="str">
        <f>'Policy Data'!F19</f>
        <v>Standard</v>
      </c>
      <c r="H45" s="100">
        <f>'Policy Data'!G19</f>
        <v>20</v>
      </c>
      <c r="I45" s="279">
        <f>'Policy Data'!H19</f>
        <v>500000</v>
      </c>
      <c r="J45" s="100" t="str">
        <f>'Policy Data'!I19</f>
        <v>Annual</v>
      </c>
      <c r="K45" s="100" t="str">
        <f>'Policy Data'!J19</f>
        <v>Direct</v>
      </c>
      <c r="L45" s="26" t="s">
        <v>389</v>
      </c>
      <c r="M45" s="106">
        <f>'Policy Data'!R19</f>
        <v>1200</v>
      </c>
      <c r="N45" s="415">
        <f>Assumptions!$C$21</f>
        <v>1</v>
      </c>
      <c r="O45" s="415">
        <f>Assumptions!$C$22</f>
        <v>1</v>
      </c>
      <c r="P45" s="415">
        <f>Assumptions!$C$23</f>
        <v>1</v>
      </c>
      <c r="Q45" s="416">
        <f>Assumptions!$C$24</f>
        <v>0</v>
      </c>
      <c r="R45" s="416">
        <f>Assumptions!$C$6+Assumptions!$C$25</f>
        <v>3.5000000000000003E-2</v>
      </c>
      <c r="S45" s="416">
        <f>Assumptions!$C$15</f>
        <v>1.1000000000000001E-3</v>
      </c>
      <c r="T45" s="26">
        <f t="shared" si="18"/>
        <v>1</v>
      </c>
      <c r="U45" s="26">
        <f t="shared" si="19"/>
        <v>3</v>
      </c>
      <c r="V45" s="389">
        <f>IF($G45="Preferred",Assumptions!$C$30,IF($G45="Rated",Assumptions!$C$31,1))</f>
        <v>1</v>
      </c>
      <c r="W45" s="390">
        <f>IF($K45="Direct",Assumptions!$C$32,IF($K45="Broker",Assumptions!$C$33,IF($K45="Bancassurance",Assumptions!$C$34,Assumptions!$C$11)))+$Q45</f>
        <v>0.1</v>
      </c>
      <c r="X45" s="390">
        <f>Assumptions!$C$12+$Q45</f>
        <v>0.05</v>
      </c>
      <c r="Y45" s="131">
        <f>MIN($I45,Assumptions!$C$14)</f>
        <v>500000</v>
      </c>
      <c r="Z45" s="131">
        <f>MAX($I45-Assumptions!$C$14,0)</f>
        <v>0</v>
      </c>
      <c r="AA45" s="389">
        <f t="shared" si="20"/>
        <v>8.6090695749245825</v>
      </c>
      <c r="AB45" s="389">
        <f t="shared" si="21"/>
        <v>5.3521741193640242E-3</v>
      </c>
      <c r="AC45" s="389">
        <f>IF($T45=1,SUMPRODUCT($CJ45:$DW45,(1+Assumptions!$C$5)^($CJ$5:$DW$5-1),(1+$R45)^(-$CJ$5:$DW$5)),0)</f>
        <v>11.594281401443926</v>
      </c>
      <c r="AD45" s="389">
        <f t="shared" si="22"/>
        <v>0.47876265749019054</v>
      </c>
      <c r="AE45" s="131">
        <f>IF($T45=1,$AB45*$Y45+(Assumptions!$C$9/(1+$R45)+Assumptions!$C$10*$AC45)*$P45+$S45*$Z45*$AA45,0)</f>
        <v>6096.3941853909801</v>
      </c>
      <c r="AF45" s="131">
        <f>IF($T45=1,IF($AA45-$AD45-Assumptions!$C$16*$AA45&gt;0,$AE45/($AA45-$AD45-Assumptions!$C$16*$AA45)*IF($J45="Monthly",1+Assumptions!$C$29,1),"n.a."),"")</f>
        <v>819.23369475910306</v>
      </c>
      <c r="AG45" s="131">
        <f t="shared" si="23"/>
        <v>1200</v>
      </c>
      <c r="AH45" s="131">
        <f t="shared" si="24"/>
        <v>10330.883489909498</v>
      </c>
      <c r="AI45" s="131">
        <f t="shared" si="25"/>
        <v>3659.9741155302909</v>
      </c>
      <c r="AJ45" s="390">
        <f t="shared" si="26"/>
        <v>0.35427503553835488</v>
      </c>
      <c r="AK45" s="389">
        <f t="shared" si="27"/>
        <v>1.464783501553683</v>
      </c>
      <c r="AL45" s="131">
        <f t="shared" si="28"/>
        <v>0</v>
      </c>
      <c r="AM45" s="131">
        <f t="shared" si="29"/>
        <v>0</v>
      </c>
      <c r="AN45" s="131">
        <f t="shared" si="30"/>
        <v>0</v>
      </c>
      <c r="AO45" s="131">
        <f t="shared" si="31"/>
        <v>3659.9741155302909</v>
      </c>
      <c r="AP45" s="26" t="str">
        <f t="shared" si="32"/>
        <v>20-29</v>
      </c>
      <c r="AQ45" s="26" t="str">
        <f t="shared" si="33"/>
        <v>250k-500k</v>
      </c>
      <c r="AR45" s="26" t="str">
        <f>IF($T45=1,IF($AI45&lt;0,"Loss-making",IF($AJ45&lt;Assumptions!$C$16-0.00001,"Below target","At/above target")),"Excluded")</f>
        <v>At/above target</v>
      </c>
      <c r="AS45" s="103">
        <f t="shared" si="34"/>
        <v>3659.9741605302906</v>
      </c>
      <c r="AT45" s="26"/>
      <c r="AU45" s="419">
        <f>IF(AND($T45=1,AU$5&lt;=$H45),INDEX(Mortality!$B$4:$E$64,MATCH($D45+AU$5-1,Mortality!$A$4:$A$64,0),$U45)*$V45*$N45,0)</f>
        <v>3.20220405259678E-4</v>
      </c>
      <c r="AV45" s="93">
        <f>IF(AND($T45=1,AV$5&lt;=$H45),INDEX(Mortality!$B$4:$E$64,MATCH($D45+AV$5-1,Mortality!$A$4:$A$64,0),$U45)*$V45*$N45,0)</f>
        <v>3.4689062382344302E-4</v>
      </c>
      <c r="AW45" s="93">
        <f>IF(AND($T45=1,AW$5&lt;=$H45),INDEX(Mortality!$B$4:$E$64,MATCH($D45+AW$5-1,Mortality!$A$4:$A$64,0),$U45)*$V45*$N45,0)</f>
        <v>3.7578212668563498E-4</v>
      </c>
      <c r="AX45" s="93">
        <f>IF(AND($T45=1,AX$5&lt;=$H45),INDEX(Mortality!$B$4:$E$64,MATCH($D45+AX$5-1,Mortality!$A$4:$A$64,0),$U45)*$V45*$N45,0)</f>
        <v>4.0707991810194101E-4</v>
      </c>
      <c r="AY45" s="93">
        <f>IF(AND($T45=1,AY$5&lt;=$H45),INDEX(Mortality!$B$4:$E$64,MATCH($D45+AY$5-1,Mortality!$A$4:$A$64,0),$U45)*$V45*$N45,0)</f>
        <v>4.4098441079001399E-4</v>
      </c>
      <c r="AZ45" s="93">
        <f>IF(AND($T45=1,AZ$5&lt;=$H45),INDEX(Mortality!$B$4:$E$64,MATCH($D45+AZ$5-1,Mortality!$A$4:$A$64,0),$U45)*$V45*$N45,0)</f>
        <v>4.7771270925508401E-4</v>
      </c>
      <c r="BA45" s="93">
        <f>IF(AND($T45=1,BA$5&lt;=$H45),INDEX(Mortality!$B$4:$E$64,MATCH($D45+BA$5-1,Mortality!$A$4:$A$64,0),$U45)*$V45*$N45,0)</f>
        <v>5.1749999999999995E-4</v>
      </c>
      <c r="BB45" s="93">
        <f>IF(AND($T45=1,BB$5&lt;=$H45),INDEX(Mortality!$B$4:$E$64,MATCH($D45+BB$5-1,Mortality!$A$4:$A$64,0),$U45)*$V45*$N45,0)</f>
        <v>5.6060105752179102E-4</v>
      </c>
      <c r="BC45" s="93">
        <f>IF(AND($T45=1,BC$5&lt;=$H45),INDEX(Mortality!$B$4:$E$64,MATCH($D45+BC$5-1,Mortality!$A$4:$A$64,0),$U45)*$V45*$N45,0)</f>
        <v>6.07291875738262E-4</v>
      </c>
      <c r="BD45" s="93">
        <f>IF(AND($T45=1,BD$5&lt;=$H45),INDEX(Mortality!$B$4:$E$64,MATCH($D45+BD$5-1,Mortality!$A$4:$A$64,0),$U45)*$V45*$N45,0)</f>
        <v>6.5787143529132705E-4</v>
      </c>
      <c r="BE45" s="93">
        <f>IF(AND($T45=1,BE$5&lt;=$H45),INDEX(Mortality!$B$4:$E$64,MATCH($D45+BE$5-1,Mortality!$A$4:$A$64,0),$U45)*$V45*$N45,0)</f>
        <v>7.1266361804385805E-4</v>
      </c>
      <c r="BF45" s="93">
        <f>IF(AND($T45=1,BF$5&lt;=$H45),INDEX(Mortality!$B$4:$E$64,MATCH($D45+BF$5-1,Mortality!$A$4:$A$64,0),$U45)*$V45*$N45,0)</f>
        <v>7.7201928102935699E-4</v>
      </c>
      <c r="BG45" s="93">
        <f>IF(AND($T45=1,BG$5&lt;=$H45),INDEX(Mortality!$B$4:$E$64,MATCH($D45+BG$5-1,Mortality!$A$4:$A$64,0),$U45)*$V45*$N45,0)</f>
        <v>8.3631850313482196E-4</v>
      </c>
      <c r="BH45" s="93">
        <f>IF(AND($T45=1,BH$5&lt;=$H45),INDEX(Mortality!$B$4:$E$64,MATCH($D45+BH$5-1,Mortality!$A$4:$A$64,0),$U45)*$V45*$N45,0)</f>
        <v>9.0597301890323197E-4</v>
      </c>
      <c r="BI45" s="93">
        <f>IF(AND($T45=1,BI$5&lt;=$H45),INDEX(Mortality!$B$4:$E$64,MATCH($D45+BI$5-1,Mortality!$A$4:$A$64,0),$U45)*$V45*$N45,0)</f>
        <v>9.8142885504031189E-4</v>
      </c>
      <c r="BJ45" s="93">
        <f>IF(AND($T45=1,BJ$5&lt;=$H45),INDEX(Mortality!$B$4:$E$64,MATCH($D45+BJ$5-1,Mortality!$A$4:$A$64,0),$U45)*$V45*$N45,0)</f>
        <v>1.06316918650821E-3</v>
      </c>
      <c r="BK45" s="93">
        <f>IF(AND($T45=1,BK$5&lt;=$H45),INDEX(Mortality!$B$4:$E$64,MATCH($D45+BK$5-1,Mortality!$A$4:$A$64,0),$U45)*$V45*$N45,0)</f>
        <v>1.1517174304948501E-3</v>
      </c>
      <c r="BL45" s="93">
        <f>IF(AND($T45=1,BL$5&lt;=$H45),INDEX(Mortality!$B$4:$E$64,MATCH($D45+BL$5-1,Mortality!$A$4:$A$64,0),$U45)*$V45*$N45,0)</f>
        <v>1.24764059807091E-3</v>
      </c>
      <c r="BM45" s="93">
        <f>IF(AND($T45=1,BM$5&lt;=$H45),INDEX(Mortality!$B$4:$E$64,MATCH($D45+BM$5-1,Mortality!$A$4:$A$64,0),$U45)*$V45*$N45,0)</f>
        <v>1.3515529249964601E-3</v>
      </c>
      <c r="BN45" s="93">
        <f>IF(AND($T45=1,BN$5&lt;=$H45),INDEX(Mortality!$B$4:$E$64,MATCH($D45+BN$5-1,Mortality!$A$4:$A$64,0),$U45)*$V45*$N45,0)</f>
        <v>1.4641198049269301E-3</v>
      </c>
      <c r="BO45" s="93">
        <f>IF(AND($T45=1,BO$5&lt;=$H45),INDEX(Mortality!$B$4:$E$64,MATCH($D45+BO$5-1,Mortality!$A$4:$A$64,0),$U45)*$V45*$N45,0)</f>
        <v>0</v>
      </c>
      <c r="BP45" s="93">
        <f>IF(AND($T45=1,BP$5&lt;=$H45),INDEX(Mortality!$B$4:$E$64,MATCH($D45+BP$5-1,Mortality!$A$4:$A$64,0),$U45)*$V45*$N45,0)</f>
        <v>0</v>
      </c>
      <c r="BQ45" s="93">
        <f>IF(AND($T45=1,BQ$5&lt;=$H45),INDEX(Mortality!$B$4:$E$64,MATCH($D45+BQ$5-1,Mortality!$A$4:$A$64,0),$U45)*$V45*$N45,0)</f>
        <v>0</v>
      </c>
      <c r="BR45" s="93">
        <f>IF(AND($T45=1,BR$5&lt;=$H45),INDEX(Mortality!$B$4:$E$64,MATCH($D45+BR$5-1,Mortality!$A$4:$A$64,0),$U45)*$V45*$N45,0)</f>
        <v>0</v>
      </c>
      <c r="BS45" s="93">
        <f>IF(AND($T45=1,BS$5&lt;=$H45),INDEX(Mortality!$B$4:$E$64,MATCH($D45+BS$5-1,Mortality!$A$4:$A$64,0),$U45)*$V45*$N45,0)</f>
        <v>0</v>
      </c>
      <c r="BT45" s="93">
        <f>IF(AND($T45=1,BT$5&lt;=$H45),INDEX(Mortality!$B$4:$E$64,MATCH($D45+BT$5-1,Mortality!$A$4:$A$64,0),$U45)*$V45*$N45,0)</f>
        <v>0</v>
      </c>
      <c r="BU45" s="93">
        <f>IF(AND($T45=1,BU$5&lt;=$H45),INDEX(Mortality!$B$4:$E$64,MATCH($D45+BU$5-1,Mortality!$A$4:$A$64,0),$U45)*$V45*$N45,0)</f>
        <v>0</v>
      </c>
      <c r="BV45" s="93">
        <f>IF(AND($T45=1,BV$5&lt;=$H45),INDEX(Mortality!$B$4:$E$64,MATCH($D45+BV$5-1,Mortality!$A$4:$A$64,0),$U45)*$V45*$N45,0)</f>
        <v>0</v>
      </c>
      <c r="BW45" s="93">
        <f>IF(AND($T45=1,BW$5&lt;=$H45),INDEX(Mortality!$B$4:$E$64,MATCH($D45+BW$5-1,Mortality!$A$4:$A$64,0),$U45)*$V45*$N45,0)</f>
        <v>0</v>
      </c>
      <c r="BX45" s="93">
        <f>IF(AND($T45=1,BX$5&lt;=$H45),INDEX(Mortality!$B$4:$E$64,MATCH($D45+BX$5-1,Mortality!$A$4:$A$64,0),$U45)*$V45*$N45,0)</f>
        <v>0</v>
      </c>
      <c r="BY45" s="93">
        <f>IF(AND($T45=1,BY$5&lt;=$H45),INDEX(Mortality!$B$4:$E$64,MATCH($D45+BY$5-1,Mortality!$A$4:$A$64,0),$U45)*$V45*$N45,0)</f>
        <v>0</v>
      </c>
      <c r="BZ45" s="93">
        <f>IF(AND($T45=1,BZ$5&lt;=$H45),INDEX(Mortality!$B$4:$E$64,MATCH($D45+BZ$5-1,Mortality!$A$4:$A$64,0),$U45)*$V45*$N45,0)</f>
        <v>0</v>
      </c>
      <c r="CA45" s="93">
        <f>IF(AND($T45=1,CA$5&lt;=$H45),INDEX(Mortality!$B$4:$E$64,MATCH($D45+CA$5-1,Mortality!$A$4:$A$64,0),$U45)*$V45*$N45,0)</f>
        <v>0</v>
      </c>
      <c r="CB45" s="93">
        <f>IF(AND($T45=1,CB$5&lt;=$H45),INDEX(Mortality!$B$4:$E$64,MATCH($D45+CB$5-1,Mortality!$A$4:$A$64,0),$U45)*$V45*$N45,0)</f>
        <v>0</v>
      </c>
      <c r="CC45" s="93">
        <f>IF(AND($T45=1,CC$5&lt;=$H45),INDEX(Mortality!$B$4:$E$64,MATCH($D45+CC$5-1,Mortality!$A$4:$A$64,0),$U45)*$V45*$N45,0)</f>
        <v>0</v>
      </c>
      <c r="CD45" s="93">
        <f>IF(AND($T45=1,CD$5&lt;=$H45),INDEX(Mortality!$B$4:$E$64,MATCH($D45+CD$5-1,Mortality!$A$4:$A$64,0),$U45)*$V45*$N45,0)</f>
        <v>0</v>
      </c>
      <c r="CE45" s="93">
        <f>IF(AND($T45=1,CE$5&lt;=$H45),INDEX(Mortality!$B$4:$E$64,MATCH($D45+CE$5-1,Mortality!$A$4:$A$64,0),$U45)*$V45*$N45,0)</f>
        <v>0</v>
      </c>
      <c r="CF45" s="93">
        <f>IF(AND($T45=1,CF$5&lt;=$H45),INDEX(Mortality!$B$4:$E$64,MATCH($D45+CF$5-1,Mortality!$A$4:$A$64,0),$U45)*$V45*$N45,0)</f>
        <v>0</v>
      </c>
      <c r="CG45" s="93">
        <f>IF(AND($T45=1,CG$5&lt;=$H45),INDEX(Mortality!$B$4:$E$64,MATCH($D45+CG$5-1,Mortality!$A$4:$A$64,0),$U45)*$V45*$N45,0)</f>
        <v>0</v>
      </c>
      <c r="CH45" s="94">
        <f>IF(AND($T45=1,CH$5&lt;=$H45),INDEX(Mortality!$B$4:$E$64,MATCH($D45+CH$5-1,Mortality!$A$4:$A$64,0),$U45)*$V45*$N45,0)</f>
        <v>0</v>
      </c>
      <c r="CI45" s="26"/>
      <c r="CJ45" s="419">
        <f t="shared" si="35"/>
        <v>1</v>
      </c>
      <c r="CK45" s="93">
        <f>IF(AND($T45=1,CK$5&lt;=$H45),CJ45*(1-AU45)*(1-MIN(1,MAX(Assumptions!$C$27,Assumptions!$C$13*Assumptions!$C$28^(CJ$5-1))*$O45)),0)</f>
        <v>0.87971820604337148</v>
      </c>
      <c r="CL45" s="93">
        <f>IF(AND($T45=1,CL$5&lt;=$H45),CK45*(1-AV45)*(1-MIN(1,MAX(Assumptions!$C$27,Assumptions!$C$13*Assumptions!$C$28^(CK$5-1))*$O45)),0)</f>
        <v>0.78971290996138721</v>
      </c>
      <c r="CM45" s="93">
        <f>IF(AND($T45=1,CM$5&lt;=$H45),CL45*(1-AW45)*(1-MIN(1,MAX(Assumptions!$C$27,Assumptions!$C$13*Assumptions!$C$28^(CL$5-1))*$O45)),0)</f>
        <v>0.72097376976267913</v>
      </c>
      <c r="CN45" s="93">
        <f>IF(AND($T45=1,CN$5&lt;=$H45),CM45*(1-AX45)*(1-MIN(1,MAX(Assumptions!$C$27,Assumptions!$C$13*Assumptions!$C$28^(CM$5-1))*$O45)),0)</f>
        <v>0.66756974289301019</v>
      </c>
      <c r="CO45" s="93">
        <f>IF(AND($T45=1,CO$5&lt;=$H45),CN45*(1-AY45)*(1-MIN(1,MAX(Assumptions!$C$27,Assumptions!$C$13*Assumptions!$C$28^(CN$5-1))*$O45)),0)</f>
        <v>0.62547672634685192</v>
      </c>
      <c r="CP45" s="93">
        <f>IF(AND($T45=1,CP$5&lt;=$H45),CO45*(1-AZ45)*(1-MIN(1,MAX(Assumptions!$C$27,Assumptions!$C$13*Assumptions!$C$28^(CO$5-1))*$O45)),0)</f>
        <v>0.59189055600716867</v>
      </c>
      <c r="CQ45" s="93">
        <f>IF(AND($T45=1,CQ$5&lt;=$H45),CP45*(1-BA45)*(1-MIN(1,MAX(Assumptions!$C$27,Assumptions!$C$13*Assumptions!$C$28^(CP$5-1))*$O45)),0)</f>
        <v>0.56481036692408793</v>
      </c>
      <c r="CR45" s="93">
        <f>IF(AND($T45=1,CR$5&lt;=$H45),CQ45*(1-BB45)*(1-MIN(1,MAX(Assumptions!$C$27,Assumptions!$C$13*Assumptions!$C$28^(CQ$5-1))*$O45)),0)</f>
        <v>0.54277808273728123</v>
      </c>
      <c r="CS45" s="93">
        <f>IF(AND($T45=1,CS$5&lt;=$H45),CR45*(1-BC45)*(1-MIN(1,MAX(Assumptions!$C$27,Assumptions!$C$13*Assumptions!$C$28^(CR$5-1))*$O45)),0)</f>
        <v>0.52471101020149424</v>
      </c>
      <c r="CT45" s="93">
        <f>IF(AND($T45=1,CT$5&lt;=$H45),CS45*(1-BD45)*(1-MIN(1,MAX(Assumptions!$C$27,Assumptions!$C$13*Assumptions!$C$28^(CS$5-1))*$O45)),0)</f>
        <v>0.50979157668115671</v>
      </c>
      <c r="CU45" s="93">
        <f>IF(AND($T45=1,CU$5&lt;=$H45),CT45*(1-BE45)*(1-MIN(1,MAX(Assumptions!$C$27,Assumptions!$C$13*Assumptions!$C$28^(CT$5-1))*$O45)),0)</f>
        <v>0.49739306038267095</v>
      </c>
      <c r="CV45" s="93">
        <f>IF(AND($T45=1,CV$5&lt;=$H45),CU45*(1-BF45)*(1-MIN(1,MAX(Assumptions!$C$27,Assumptions!$C$13*Assumptions!$C$28^(CU$5-1))*$O45)),0)</f>
        <v>0.48702853029331411</v>
      </c>
      <c r="CW45" s="93">
        <f>IF(AND($T45=1,CW$5&lt;=$H45),CV45*(1-BG45)*(1-MIN(1,MAX(Assumptions!$C$27,Assumptions!$C$13*Assumptions!$C$28^(CV$5-1))*$O45)),0)</f>
        <v>0.47688879493543773</v>
      </c>
      <c r="CX45" s="93">
        <f>IF(AND($T45=1,CX$5&lt;=$H45),CW45*(1-BH45)*(1-MIN(1,MAX(Assumptions!$C$27,Assumptions!$C$13*Assumptions!$C$28^(CW$5-1))*$O45)),0)</f>
        <v>0.46692761162312474</v>
      </c>
      <c r="CY45" s="93">
        <f>IF(AND($T45=1,CY$5&lt;=$H45),CX45*(1-BI45)*(1-MIN(1,MAX(Assumptions!$C$27,Assumptions!$C$13*Assumptions!$C$28^(CX$5-1))*$O45)),0)</f>
        <v>0.45713996828402553</v>
      </c>
      <c r="CZ45" s="93">
        <f>IF(AND($T45=1,CZ$5&lt;=$H45),CY45*(1-BJ45)*(1-MIN(1,MAX(Assumptions!$C$27,Assumptions!$C$13*Assumptions!$C$28^(CY$5-1))*$O45)),0)</f>
        <v>0.44752087213270814</v>
      </c>
      <c r="DA45" s="93">
        <f>IF(AND($T45=1,DA$5&lt;=$H45),CZ45*(1-BK45)*(1-MIN(1,MAX(Assumptions!$C$27,Assumptions!$C$13*Assumptions!$C$28^(CZ$5-1))*$O45)),0)</f>
        <v>0.43806534545288739</v>
      </c>
      <c r="DB45" s="93">
        <f>IF(AND($T45=1,DB$5&lt;=$H45),DA45*(1-BL45)*(1-MIN(1,MAX(Assumptions!$C$27,Assumptions!$C$13*Assumptions!$C$28^(DA$5-1))*$O45)),0)</f>
        <v>0.42876842139642657</v>
      </c>
      <c r="DC45" s="93">
        <f>IF(AND($T45=1,DC$5&lt;=$H45),DB45*(1-BM45)*(1-MIN(1,MAX(Assumptions!$C$27,Assumptions!$C$13*Assumptions!$C$28^(DB$5-1))*$O45)),0)</f>
        <v>0.41962513981869526</v>
      </c>
      <c r="DD45" s="93">
        <f>IF(AND($T45=1,DD$5&lt;=$H45),DC45*(1-BN45)*(1-MIN(1,MAX(Assumptions!$C$27,Assumptions!$C$13*Assumptions!$C$28^(DC$5-1))*$O45)),0)</f>
        <v>0</v>
      </c>
      <c r="DE45" s="93">
        <f>IF(AND($T45=1,DE$5&lt;=$H45),DD45*(1-BO45)*(1-MIN(1,MAX(Assumptions!$C$27,Assumptions!$C$13*Assumptions!$C$28^(DD$5-1))*$O45)),0)</f>
        <v>0</v>
      </c>
      <c r="DF45" s="93">
        <f>IF(AND($T45=1,DF$5&lt;=$H45),DE45*(1-BP45)*(1-MIN(1,MAX(Assumptions!$C$27,Assumptions!$C$13*Assumptions!$C$28^(DE$5-1))*$O45)),0)</f>
        <v>0</v>
      </c>
      <c r="DG45" s="93">
        <f>IF(AND($T45=1,DG$5&lt;=$H45),DF45*(1-BQ45)*(1-MIN(1,MAX(Assumptions!$C$27,Assumptions!$C$13*Assumptions!$C$28^(DF$5-1))*$O45)),0)</f>
        <v>0</v>
      </c>
      <c r="DH45" s="93">
        <f>IF(AND($T45=1,DH$5&lt;=$H45),DG45*(1-BR45)*(1-MIN(1,MAX(Assumptions!$C$27,Assumptions!$C$13*Assumptions!$C$28^(DG$5-1))*$O45)),0)</f>
        <v>0</v>
      </c>
      <c r="DI45" s="93">
        <f>IF(AND($T45=1,DI$5&lt;=$H45),DH45*(1-BS45)*(1-MIN(1,MAX(Assumptions!$C$27,Assumptions!$C$13*Assumptions!$C$28^(DH$5-1))*$O45)),0)</f>
        <v>0</v>
      </c>
      <c r="DJ45" s="93">
        <f>IF(AND($T45=1,DJ$5&lt;=$H45),DI45*(1-BT45)*(1-MIN(1,MAX(Assumptions!$C$27,Assumptions!$C$13*Assumptions!$C$28^(DI$5-1))*$O45)),0)</f>
        <v>0</v>
      </c>
      <c r="DK45" s="93">
        <f>IF(AND($T45=1,DK$5&lt;=$H45),DJ45*(1-BU45)*(1-MIN(1,MAX(Assumptions!$C$27,Assumptions!$C$13*Assumptions!$C$28^(DJ$5-1))*$O45)),0)</f>
        <v>0</v>
      </c>
      <c r="DL45" s="93">
        <f>IF(AND($T45=1,DL$5&lt;=$H45),DK45*(1-BV45)*(1-MIN(1,MAX(Assumptions!$C$27,Assumptions!$C$13*Assumptions!$C$28^(DK$5-1))*$O45)),0)</f>
        <v>0</v>
      </c>
      <c r="DM45" s="93">
        <f>IF(AND($T45=1,DM$5&lt;=$H45),DL45*(1-BW45)*(1-MIN(1,MAX(Assumptions!$C$27,Assumptions!$C$13*Assumptions!$C$28^(DL$5-1))*$O45)),0)</f>
        <v>0</v>
      </c>
      <c r="DN45" s="93">
        <f>IF(AND($T45=1,DN$5&lt;=$H45),DM45*(1-BX45)*(1-MIN(1,MAX(Assumptions!$C$27,Assumptions!$C$13*Assumptions!$C$28^(DM$5-1))*$O45)),0)</f>
        <v>0</v>
      </c>
      <c r="DO45" s="93">
        <f>IF(AND($T45=1,DO$5&lt;=$H45),DN45*(1-BY45)*(1-MIN(1,MAX(Assumptions!$C$27,Assumptions!$C$13*Assumptions!$C$28^(DN$5-1))*$O45)),0)</f>
        <v>0</v>
      </c>
      <c r="DP45" s="93">
        <f>IF(AND($T45=1,DP$5&lt;=$H45),DO45*(1-BZ45)*(1-MIN(1,MAX(Assumptions!$C$27,Assumptions!$C$13*Assumptions!$C$28^(DO$5-1))*$O45)),0)</f>
        <v>0</v>
      </c>
      <c r="DQ45" s="93">
        <f>IF(AND($T45=1,DQ$5&lt;=$H45),DP45*(1-CA45)*(1-MIN(1,MAX(Assumptions!$C$27,Assumptions!$C$13*Assumptions!$C$28^(DP$5-1))*$O45)),0)</f>
        <v>0</v>
      </c>
      <c r="DR45" s="93">
        <f>IF(AND($T45=1,DR$5&lt;=$H45),DQ45*(1-CB45)*(1-MIN(1,MAX(Assumptions!$C$27,Assumptions!$C$13*Assumptions!$C$28^(DQ$5-1))*$O45)),0)</f>
        <v>0</v>
      </c>
      <c r="DS45" s="93">
        <f>IF(AND($T45=1,DS$5&lt;=$H45),DR45*(1-CC45)*(1-MIN(1,MAX(Assumptions!$C$27,Assumptions!$C$13*Assumptions!$C$28^(DR$5-1))*$O45)),0)</f>
        <v>0</v>
      </c>
      <c r="DT45" s="93">
        <f>IF(AND($T45=1,DT$5&lt;=$H45),DS45*(1-CD45)*(1-MIN(1,MAX(Assumptions!$C$27,Assumptions!$C$13*Assumptions!$C$28^(DS$5-1))*$O45)),0)</f>
        <v>0</v>
      </c>
      <c r="DU45" s="93">
        <f>IF(AND($T45=1,DU$5&lt;=$H45),DT45*(1-CE45)*(1-MIN(1,MAX(Assumptions!$C$27,Assumptions!$C$13*Assumptions!$C$28^(DT$5-1))*$O45)),0)</f>
        <v>0</v>
      </c>
      <c r="DV45" s="93">
        <f>IF(AND($T45=1,DV$5&lt;=$H45),DU45*(1-CF45)*(1-MIN(1,MAX(Assumptions!$C$27,Assumptions!$C$13*Assumptions!$C$28^(DU$5-1))*$O45)),0)</f>
        <v>0</v>
      </c>
      <c r="DW45" s="94">
        <f>IF(AND($T45=1,DW$5&lt;=$H45),DV45*(1-CG45)*(1-MIN(1,MAX(Assumptions!$C$27,Assumptions!$C$13*Assumptions!$C$28^(DV$5-1))*$O45)),0)</f>
        <v>0</v>
      </c>
      <c r="DX45" s="26"/>
      <c r="DY45" s="399">
        <f>'Policy Data'!K19</f>
        <v>3</v>
      </c>
      <c r="DZ45" s="100">
        <f>'Policy Data'!L19</f>
        <v>0.69299999999999995</v>
      </c>
      <c r="EA45" s="100">
        <f>'Policy Data'!N19</f>
        <v>2.22E-4</v>
      </c>
      <c r="EB45" s="93" cm="1">
        <f t="array" ref="EB45">IFERROR(DZ45*INDEX(Mortality!$B$4:$E$64,MATCH(D45+DY45-1,Mortality!$A$4:$A$64,0),U45)*V45,0)</f>
        <v>2.60417013793145E-4</v>
      </c>
      <c r="EC45" s="100">
        <f>'Policy Data'!O19</f>
        <v>0</v>
      </c>
      <c r="ED45" s="400">
        <f>'Policy Data'!Q19</f>
        <v>0</v>
      </c>
    </row>
    <row r="46" spans="1:134" x14ac:dyDescent="0.3">
      <c r="A46" s="399" t="str">
        <f>'Policy Data'!A20</f>
        <v>POL100016</v>
      </c>
      <c r="B46" s="26" t="s">
        <v>426</v>
      </c>
      <c r="C46" s="100" t="str">
        <f>'Policy Data'!B20</f>
        <v>Term Life</v>
      </c>
      <c r="D46" s="100">
        <f>'Policy Data'!C20</f>
        <v>29</v>
      </c>
      <c r="E46" s="100" t="str">
        <f>'Policy Data'!D20</f>
        <v>Male</v>
      </c>
      <c r="F46" s="100" t="str">
        <f>'Policy Data'!E20</f>
        <v>Non-smoker</v>
      </c>
      <c r="G46" s="100" t="str">
        <f>'Policy Data'!F20</f>
        <v>Standard</v>
      </c>
      <c r="H46" s="100">
        <f>'Policy Data'!G20</f>
        <v>10</v>
      </c>
      <c r="I46" s="279">
        <f>'Policy Data'!H20</f>
        <v>500000</v>
      </c>
      <c r="J46" s="100" t="str">
        <f>'Policy Data'!I20</f>
        <v>Annual</v>
      </c>
      <c r="K46" s="100" t="str">
        <f>'Policy Data'!J20</f>
        <v>Bancassurance</v>
      </c>
      <c r="L46" s="26" t="s">
        <v>389</v>
      </c>
      <c r="M46" s="106">
        <f>'Policy Data'!R20</f>
        <v>1200</v>
      </c>
      <c r="N46" s="415">
        <f>Assumptions!$C$21</f>
        <v>1</v>
      </c>
      <c r="O46" s="415">
        <f>Assumptions!$C$22</f>
        <v>1</v>
      </c>
      <c r="P46" s="415">
        <f>Assumptions!$C$23</f>
        <v>1</v>
      </c>
      <c r="Q46" s="416">
        <f>Assumptions!$C$24</f>
        <v>0</v>
      </c>
      <c r="R46" s="416">
        <f>Assumptions!$C$6+Assumptions!$C$25</f>
        <v>3.5000000000000003E-2</v>
      </c>
      <c r="S46" s="416">
        <f>Assumptions!$C$15</f>
        <v>1.1000000000000001E-3</v>
      </c>
      <c r="T46" s="26">
        <f t="shared" si="18"/>
        <v>1</v>
      </c>
      <c r="U46" s="26">
        <f t="shared" si="19"/>
        <v>3</v>
      </c>
      <c r="V46" s="389">
        <f>IF($G46="Preferred",Assumptions!$C$30,IF($G46="Rated",Assumptions!$C$31,1))</f>
        <v>1</v>
      </c>
      <c r="W46" s="390">
        <f>IF($K46="Direct",Assumptions!$C$32,IF($K46="Broker",Assumptions!$C$33,IF($K46="Bancassurance",Assumptions!$C$34,Assumptions!$C$11)))+$Q46</f>
        <v>0.2</v>
      </c>
      <c r="X46" s="390">
        <f>Assumptions!$C$12+$Q46</f>
        <v>0.05</v>
      </c>
      <c r="Y46" s="131">
        <f>MIN($I46,Assumptions!$C$14)</f>
        <v>500000</v>
      </c>
      <c r="Z46" s="131">
        <f>MAX($I46-Assumptions!$C$14,0)</f>
        <v>0</v>
      </c>
      <c r="AA46" s="389">
        <f t="shared" si="20"/>
        <v>5.8591224768462844</v>
      </c>
      <c r="AB46" s="389">
        <f t="shared" si="21"/>
        <v>3.8402848845957875E-3</v>
      </c>
      <c r="AC46" s="389">
        <f>IF($T46=1,SUMPRODUCT($CJ46:$DW46,(1+Assumptions!$C$5)^($CJ$5:$DW$5-1),(1+$R46)^(-$CJ$5:$DW$5)),0)</f>
        <v>6.7963105008501898</v>
      </c>
      <c r="AD46" s="389">
        <f t="shared" si="22"/>
        <v>0.43788366007419832</v>
      </c>
      <c r="AE46" s="131">
        <f>IF($T46=1,$AB46*$Y46+(Assumptions!$C$9/(1+$R46)+Assumptions!$C$10*$AC46)*$P46+$S46*$Z46*$AA46,0)</f>
        <v>4284.8959698762401</v>
      </c>
      <c r="AF46" s="131">
        <f>IF($T46=1,IF($AA46-$AD46-Assumptions!$C$16*$AA46&gt;0,$AE46/($AA46-$AD46-Assumptions!$C$16*$AA46)*IF($J46="Monthly",1+Assumptions!$C$29,1),"n.a."),"")</f>
        <v>865.19700494486324</v>
      </c>
      <c r="AG46" s="131">
        <f t="shared" si="23"/>
        <v>1200</v>
      </c>
      <c r="AH46" s="131">
        <f t="shared" si="24"/>
        <v>7030.9469722155409</v>
      </c>
      <c r="AI46" s="131">
        <f t="shared" si="25"/>
        <v>2220.5906102502631</v>
      </c>
      <c r="AJ46" s="390">
        <f t="shared" si="26"/>
        <v>0.31583094269171069</v>
      </c>
      <c r="AK46" s="389">
        <f t="shared" si="27"/>
        <v>1.3869673532636337</v>
      </c>
      <c r="AL46" s="131">
        <f t="shared" si="28"/>
        <v>0</v>
      </c>
      <c r="AM46" s="131">
        <f t="shared" si="29"/>
        <v>0</v>
      </c>
      <c r="AN46" s="131">
        <f t="shared" si="30"/>
        <v>0</v>
      </c>
      <c r="AO46" s="131">
        <f t="shared" si="31"/>
        <v>2220.5906102502631</v>
      </c>
      <c r="AP46" s="26" t="str">
        <f t="shared" si="32"/>
        <v>20-29</v>
      </c>
      <c r="AQ46" s="26" t="str">
        <f t="shared" si="33"/>
        <v>250k-500k</v>
      </c>
      <c r="AR46" s="26" t="str">
        <f>IF($T46=1,IF($AI46&lt;0,"Loss-making",IF($AJ46&lt;Assumptions!$C$16-0.00001,"Below target","At/above target")),"Excluded")</f>
        <v>At/above target</v>
      </c>
      <c r="AS46" s="103">
        <f t="shared" si="34"/>
        <v>2220.5906562502632</v>
      </c>
      <c r="AT46" s="26"/>
      <c r="AU46" s="419">
        <f>IF(AND($T46=1,AU$5&lt;=$H46),INDEX(Mortality!$B$4:$E$64,MATCH($D46+AU$5-1,Mortality!$A$4:$A$64,0),$U46)*$V46*$N46,0)</f>
        <v>4.7771270925508401E-4</v>
      </c>
      <c r="AV46" s="93">
        <f>IF(AND($T46=1,AV$5&lt;=$H46),INDEX(Mortality!$B$4:$E$64,MATCH($D46+AV$5-1,Mortality!$A$4:$A$64,0),$U46)*$V46*$N46,0)</f>
        <v>5.1749999999999995E-4</v>
      </c>
      <c r="AW46" s="93">
        <f>IF(AND($T46=1,AW$5&lt;=$H46),INDEX(Mortality!$B$4:$E$64,MATCH($D46+AW$5-1,Mortality!$A$4:$A$64,0),$U46)*$V46*$N46,0)</f>
        <v>5.6060105752179102E-4</v>
      </c>
      <c r="AX46" s="93">
        <f>IF(AND($T46=1,AX$5&lt;=$H46),INDEX(Mortality!$B$4:$E$64,MATCH($D46+AX$5-1,Mortality!$A$4:$A$64,0),$U46)*$V46*$N46,0)</f>
        <v>6.07291875738262E-4</v>
      </c>
      <c r="AY46" s="93">
        <f>IF(AND($T46=1,AY$5&lt;=$H46),INDEX(Mortality!$B$4:$E$64,MATCH($D46+AY$5-1,Mortality!$A$4:$A$64,0),$U46)*$V46*$N46,0)</f>
        <v>6.5787143529132705E-4</v>
      </c>
      <c r="AZ46" s="93">
        <f>IF(AND($T46=1,AZ$5&lt;=$H46),INDEX(Mortality!$B$4:$E$64,MATCH($D46+AZ$5-1,Mortality!$A$4:$A$64,0),$U46)*$V46*$N46,0)</f>
        <v>7.1266361804385805E-4</v>
      </c>
      <c r="BA46" s="93">
        <f>IF(AND($T46=1,BA$5&lt;=$H46),INDEX(Mortality!$B$4:$E$64,MATCH($D46+BA$5-1,Mortality!$A$4:$A$64,0),$U46)*$V46*$N46,0)</f>
        <v>7.7201928102935699E-4</v>
      </c>
      <c r="BB46" s="93">
        <f>IF(AND($T46=1,BB$5&lt;=$H46),INDEX(Mortality!$B$4:$E$64,MATCH($D46+BB$5-1,Mortality!$A$4:$A$64,0),$U46)*$V46*$N46,0)</f>
        <v>8.3631850313482196E-4</v>
      </c>
      <c r="BC46" s="93">
        <f>IF(AND($T46=1,BC$5&lt;=$H46),INDEX(Mortality!$B$4:$E$64,MATCH($D46+BC$5-1,Mortality!$A$4:$A$64,0),$U46)*$V46*$N46,0)</f>
        <v>9.0597301890323197E-4</v>
      </c>
      <c r="BD46" s="93">
        <f>IF(AND($T46=1,BD$5&lt;=$H46),INDEX(Mortality!$B$4:$E$64,MATCH($D46+BD$5-1,Mortality!$A$4:$A$64,0),$U46)*$V46*$N46,0)</f>
        <v>9.8142885504031189E-4</v>
      </c>
      <c r="BE46" s="93">
        <f>IF(AND($T46=1,BE$5&lt;=$H46),INDEX(Mortality!$B$4:$E$64,MATCH($D46+BE$5-1,Mortality!$A$4:$A$64,0),$U46)*$V46*$N46,0)</f>
        <v>0</v>
      </c>
      <c r="BF46" s="93">
        <f>IF(AND($T46=1,BF$5&lt;=$H46),INDEX(Mortality!$B$4:$E$64,MATCH($D46+BF$5-1,Mortality!$A$4:$A$64,0),$U46)*$V46*$N46,0)</f>
        <v>0</v>
      </c>
      <c r="BG46" s="93">
        <f>IF(AND($T46=1,BG$5&lt;=$H46),INDEX(Mortality!$B$4:$E$64,MATCH($D46+BG$5-1,Mortality!$A$4:$A$64,0),$U46)*$V46*$N46,0)</f>
        <v>0</v>
      </c>
      <c r="BH46" s="93">
        <f>IF(AND($T46=1,BH$5&lt;=$H46),INDEX(Mortality!$B$4:$E$64,MATCH($D46+BH$5-1,Mortality!$A$4:$A$64,0),$U46)*$V46*$N46,0)</f>
        <v>0</v>
      </c>
      <c r="BI46" s="93">
        <f>IF(AND($T46=1,BI$5&lt;=$H46),INDEX(Mortality!$B$4:$E$64,MATCH($D46+BI$5-1,Mortality!$A$4:$A$64,0),$U46)*$V46*$N46,0)</f>
        <v>0</v>
      </c>
      <c r="BJ46" s="93">
        <f>IF(AND($T46=1,BJ$5&lt;=$H46),INDEX(Mortality!$B$4:$E$64,MATCH($D46+BJ$5-1,Mortality!$A$4:$A$64,0),$U46)*$V46*$N46,0)</f>
        <v>0</v>
      </c>
      <c r="BK46" s="93">
        <f>IF(AND($T46=1,BK$5&lt;=$H46),INDEX(Mortality!$B$4:$E$64,MATCH($D46+BK$5-1,Mortality!$A$4:$A$64,0),$U46)*$V46*$N46,0)</f>
        <v>0</v>
      </c>
      <c r="BL46" s="93">
        <f>IF(AND($T46=1,BL$5&lt;=$H46),INDEX(Mortality!$B$4:$E$64,MATCH($D46+BL$5-1,Mortality!$A$4:$A$64,0),$U46)*$V46*$N46,0)</f>
        <v>0</v>
      </c>
      <c r="BM46" s="93">
        <f>IF(AND($T46=1,BM$5&lt;=$H46),INDEX(Mortality!$B$4:$E$64,MATCH($D46+BM$5-1,Mortality!$A$4:$A$64,0),$U46)*$V46*$N46,0)</f>
        <v>0</v>
      </c>
      <c r="BN46" s="93">
        <f>IF(AND($T46=1,BN$5&lt;=$H46),INDEX(Mortality!$B$4:$E$64,MATCH($D46+BN$5-1,Mortality!$A$4:$A$64,0),$U46)*$V46*$N46,0)</f>
        <v>0</v>
      </c>
      <c r="BO46" s="93">
        <f>IF(AND($T46=1,BO$5&lt;=$H46),INDEX(Mortality!$B$4:$E$64,MATCH($D46+BO$5-1,Mortality!$A$4:$A$64,0),$U46)*$V46*$N46,0)</f>
        <v>0</v>
      </c>
      <c r="BP46" s="93">
        <f>IF(AND($T46=1,BP$5&lt;=$H46),INDEX(Mortality!$B$4:$E$64,MATCH($D46+BP$5-1,Mortality!$A$4:$A$64,0),$U46)*$V46*$N46,0)</f>
        <v>0</v>
      </c>
      <c r="BQ46" s="93">
        <f>IF(AND($T46=1,BQ$5&lt;=$H46),INDEX(Mortality!$B$4:$E$64,MATCH($D46+BQ$5-1,Mortality!$A$4:$A$64,0),$U46)*$V46*$N46,0)</f>
        <v>0</v>
      </c>
      <c r="BR46" s="93">
        <f>IF(AND($T46=1,BR$5&lt;=$H46),INDEX(Mortality!$B$4:$E$64,MATCH($D46+BR$5-1,Mortality!$A$4:$A$64,0),$U46)*$V46*$N46,0)</f>
        <v>0</v>
      </c>
      <c r="BS46" s="93">
        <f>IF(AND($T46=1,BS$5&lt;=$H46),INDEX(Mortality!$B$4:$E$64,MATCH($D46+BS$5-1,Mortality!$A$4:$A$64,0),$U46)*$V46*$N46,0)</f>
        <v>0</v>
      </c>
      <c r="BT46" s="93">
        <f>IF(AND($T46=1,BT$5&lt;=$H46),INDEX(Mortality!$B$4:$E$64,MATCH($D46+BT$5-1,Mortality!$A$4:$A$64,0),$U46)*$V46*$N46,0)</f>
        <v>0</v>
      </c>
      <c r="BU46" s="93">
        <f>IF(AND($T46=1,BU$5&lt;=$H46),INDEX(Mortality!$B$4:$E$64,MATCH($D46+BU$5-1,Mortality!$A$4:$A$64,0),$U46)*$V46*$N46,0)</f>
        <v>0</v>
      </c>
      <c r="BV46" s="93">
        <f>IF(AND($T46=1,BV$5&lt;=$H46),INDEX(Mortality!$B$4:$E$64,MATCH($D46+BV$5-1,Mortality!$A$4:$A$64,0),$U46)*$V46*$N46,0)</f>
        <v>0</v>
      </c>
      <c r="BW46" s="93">
        <f>IF(AND($T46=1,BW$5&lt;=$H46),INDEX(Mortality!$B$4:$E$64,MATCH($D46+BW$5-1,Mortality!$A$4:$A$64,0),$U46)*$V46*$N46,0)</f>
        <v>0</v>
      </c>
      <c r="BX46" s="93">
        <f>IF(AND($T46=1,BX$5&lt;=$H46),INDEX(Mortality!$B$4:$E$64,MATCH($D46+BX$5-1,Mortality!$A$4:$A$64,0),$U46)*$V46*$N46,0)</f>
        <v>0</v>
      </c>
      <c r="BY46" s="93">
        <f>IF(AND($T46=1,BY$5&lt;=$H46),INDEX(Mortality!$B$4:$E$64,MATCH($D46+BY$5-1,Mortality!$A$4:$A$64,0),$U46)*$V46*$N46,0)</f>
        <v>0</v>
      </c>
      <c r="BZ46" s="93">
        <f>IF(AND($T46=1,BZ$5&lt;=$H46),INDEX(Mortality!$B$4:$E$64,MATCH($D46+BZ$5-1,Mortality!$A$4:$A$64,0),$U46)*$V46*$N46,0)</f>
        <v>0</v>
      </c>
      <c r="CA46" s="93">
        <f>IF(AND($T46=1,CA$5&lt;=$H46),INDEX(Mortality!$B$4:$E$64,MATCH($D46+CA$5-1,Mortality!$A$4:$A$64,0),$U46)*$V46*$N46,0)</f>
        <v>0</v>
      </c>
      <c r="CB46" s="93">
        <f>IF(AND($T46=1,CB$5&lt;=$H46),INDEX(Mortality!$B$4:$E$64,MATCH($D46+CB$5-1,Mortality!$A$4:$A$64,0),$U46)*$V46*$N46,0)</f>
        <v>0</v>
      </c>
      <c r="CC46" s="93">
        <f>IF(AND($T46=1,CC$5&lt;=$H46),INDEX(Mortality!$B$4:$E$64,MATCH($D46+CC$5-1,Mortality!$A$4:$A$64,0),$U46)*$V46*$N46,0)</f>
        <v>0</v>
      </c>
      <c r="CD46" s="93">
        <f>IF(AND($T46=1,CD$5&lt;=$H46),INDEX(Mortality!$B$4:$E$64,MATCH($D46+CD$5-1,Mortality!$A$4:$A$64,0),$U46)*$V46*$N46,0)</f>
        <v>0</v>
      </c>
      <c r="CE46" s="93">
        <f>IF(AND($T46=1,CE$5&lt;=$H46),INDEX(Mortality!$B$4:$E$64,MATCH($D46+CE$5-1,Mortality!$A$4:$A$64,0),$U46)*$V46*$N46,0)</f>
        <v>0</v>
      </c>
      <c r="CF46" s="93">
        <f>IF(AND($T46=1,CF$5&lt;=$H46),INDEX(Mortality!$B$4:$E$64,MATCH($D46+CF$5-1,Mortality!$A$4:$A$64,0),$U46)*$V46*$N46,0)</f>
        <v>0</v>
      </c>
      <c r="CG46" s="93">
        <f>IF(AND($T46=1,CG$5&lt;=$H46),INDEX(Mortality!$B$4:$E$64,MATCH($D46+CG$5-1,Mortality!$A$4:$A$64,0),$U46)*$V46*$N46,0)</f>
        <v>0</v>
      </c>
      <c r="CH46" s="94">
        <f>IF(AND($T46=1,CH$5&lt;=$H46),INDEX(Mortality!$B$4:$E$64,MATCH($D46+CH$5-1,Mortality!$A$4:$A$64,0),$U46)*$V46*$N46,0)</f>
        <v>0</v>
      </c>
      <c r="CI46" s="26"/>
      <c r="CJ46" s="419">
        <f t="shared" si="35"/>
        <v>1</v>
      </c>
      <c r="CK46" s="93">
        <f>IF(AND($T46=1,CK$5&lt;=$H46),CJ46*(1-AU46)*(1-MIN(1,MAX(Assumptions!$C$27,Assumptions!$C$13*Assumptions!$C$28^(CJ$5-1))*$O46)),0)</f>
        <v>0.8795796128158555</v>
      </c>
      <c r="CL46" s="93">
        <f>IF(AND($T46=1,CL$5&lt;=$H46),CK46*(1-AV46)*(1-MIN(1,MAX(Assumptions!$C$27,Assumptions!$C$13*Assumptions!$C$28^(CK$5-1))*$O46)),0)</f>
        <v>0.78945373846886857</v>
      </c>
      <c r="CM46" s="93">
        <f>IF(AND($T46=1,CM$5&lt;=$H46),CL46*(1-AW46)*(1-MIN(1,MAX(Assumptions!$C$27,Assumptions!$C$13*Assumptions!$C$28^(CL$5-1))*$O46)),0)</f>
        <v>0.7206039014406439</v>
      </c>
      <c r="CN46" s="93">
        <f>IF(AND($T46=1,CN$5&lt;=$H46),CM46*(1-AX46)*(1-MIN(1,MAX(Assumptions!$C$27,Assumptions!$C$13*Assumptions!$C$28^(CM$5-1))*$O46)),0)</f>
        <v>0.66709363020608026</v>
      </c>
      <c r="CO46" s="93">
        <f>IF(AND($T46=1,CO$5&lt;=$H46),CN46*(1-AY46)*(1-MIN(1,MAX(Assumptions!$C$27,Assumptions!$C$13*Assumptions!$C$28^(CN$5-1))*$O46)),0)</f>
        <v>0.62489501368082445</v>
      </c>
      <c r="CP46" s="93">
        <f>IF(AND($T46=1,CP$5&lt;=$H46),CO46*(1-AZ46)*(1-MIN(1,MAX(Assumptions!$C$27,Assumptions!$C$13*Assumptions!$C$28^(CO$5-1))*$O46)),0)</f>
        <v>0.59120107722422544</v>
      </c>
      <c r="CQ46" s="93">
        <f>IF(AND($T46=1,CQ$5&lt;=$H46),CP46*(1-BA46)*(1-MIN(1,MAX(Assumptions!$C$27,Assumptions!$C$13*Assumptions!$C$28^(CP$5-1))*$O46)),0)</f>
        <v>0.56400877117204518</v>
      </c>
      <c r="CR46" s="93">
        <f>IF(AND($T46=1,CR$5&lt;=$H46),CQ46*(1-BB46)*(1-MIN(1,MAX(Assumptions!$C$27,Assumptions!$C$13*Assumptions!$C$28^(CQ$5-1))*$O46)),0)</f>
        <v>0.54185823104366948</v>
      </c>
      <c r="CS46" s="93">
        <f>IF(AND($T46=1,CS$5&lt;=$H46),CR46*(1-BC46)*(1-MIN(1,MAX(Assumptions!$C$27,Assumptions!$C$13*Assumptions!$C$28^(CR$5-1))*$O46)),0)</f>
        <v>0.52366522620550571</v>
      </c>
      <c r="CT46" s="93">
        <f>IF(AND($T46=1,CT$5&lt;=$H46),CS46*(1-BD46)*(1-MIN(1,MAX(Assumptions!$C$27,Assumptions!$C$13*Assumptions!$C$28^(CS$5-1))*$O46)),0)</f>
        <v>0</v>
      </c>
      <c r="CU46" s="93">
        <f>IF(AND($T46=1,CU$5&lt;=$H46),CT46*(1-BE46)*(1-MIN(1,MAX(Assumptions!$C$27,Assumptions!$C$13*Assumptions!$C$28^(CT$5-1))*$O46)),0)</f>
        <v>0</v>
      </c>
      <c r="CV46" s="93">
        <f>IF(AND($T46=1,CV$5&lt;=$H46),CU46*(1-BF46)*(1-MIN(1,MAX(Assumptions!$C$27,Assumptions!$C$13*Assumptions!$C$28^(CU$5-1))*$O46)),0)</f>
        <v>0</v>
      </c>
      <c r="CW46" s="93">
        <f>IF(AND($T46=1,CW$5&lt;=$H46),CV46*(1-BG46)*(1-MIN(1,MAX(Assumptions!$C$27,Assumptions!$C$13*Assumptions!$C$28^(CV$5-1))*$O46)),0)</f>
        <v>0</v>
      </c>
      <c r="CX46" s="93">
        <f>IF(AND($T46=1,CX$5&lt;=$H46),CW46*(1-BH46)*(1-MIN(1,MAX(Assumptions!$C$27,Assumptions!$C$13*Assumptions!$C$28^(CW$5-1))*$O46)),0)</f>
        <v>0</v>
      </c>
      <c r="CY46" s="93">
        <f>IF(AND($T46=1,CY$5&lt;=$H46),CX46*(1-BI46)*(1-MIN(1,MAX(Assumptions!$C$27,Assumptions!$C$13*Assumptions!$C$28^(CX$5-1))*$O46)),0)</f>
        <v>0</v>
      </c>
      <c r="CZ46" s="93">
        <f>IF(AND($T46=1,CZ$5&lt;=$H46),CY46*(1-BJ46)*(1-MIN(1,MAX(Assumptions!$C$27,Assumptions!$C$13*Assumptions!$C$28^(CY$5-1))*$O46)),0)</f>
        <v>0</v>
      </c>
      <c r="DA46" s="93">
        <f>IF(AND($T46=1,DA$5&lt;=$H46),CZ46*(1-BK46)*(1-MIN(1,MAX(Assumptions!$C$27,Assumptions!$C$13*Assumptions!$C$28^(CZ$5-1))*$O46)),0)</f>
        <v>0</v>
      </c>
      <c r="DB46" s="93">
        <f>IF(AND($T46=1,DB$5&lt;=$H46),DA46*(1-BL46)*(1-MIN(1,MAX(Assumptions!$C$27,Assumptions!$C$13*Assumptions!$C$28^(DA$5-1))*$O46)),0)</f>
        <v>0</v>
      </c>
      <c r="DC46" s="93">
        <f>IF(AND($T46=1,DC$5&lt;=$H46),DB46*(1-BM46)*(1-MIN(1,MAX(Assumptions!$C$27,Assumptions!$C$13*Assumptions!$C$28^(DB$5-1))*$O46)),0)</f>
        <v>0</v>
      </c>
      <c r="DD46" s="93">
        <f>IF(AND($T46=1,DD$5&lt;=$H46),DC46*(1-BN46)*(1-MIN(1,MAX(Assumptions!$C$27,Assumptions!$C$13*Assumptions!$C$28^(DC$5-1))*$O46)),0)</f>
        <v>0</v>
      </c>
      <c r="DE46" s="93">
        <f>IF(AND($T46=1,DE$5&lt;=$H46),DD46*(1-BO46)*(1-MIN(1,MAX(Assumptions!$C$27,Assumptions!$C$13*Assumptions!$C$28^(DD$5-1))*$O46)),0)</f>
        <v>0</v>
      </c>
      <c r="DF46" s="93">
        <f>IF(AND($T46=1,DF$5&lt;=$H46),DE46*(1-BP46)*(1-MIN(1,MAX(Assumptions!$C$27,Assumptions!$C$13*Assumptions!$C$28^(DE$5-1))*$O46)),0)</f>
        <v>0</v>
      </c>
      <c r="DG46" s="93">
        <f>IF(AND($T46=1,DG$5&lt;=$H46),DF46*(1-BQ46)*(1-MIN(1,MAX(Assumptions!$C$27,Assumptions!$C$13*Assumptions!$C$28^(DF$5-1))*$O46)),0)</f>
        <v>0</v>
      </c>
      <c r="DH46" s="93">
        <f>IF(AND($T46=1,DH$5&lt;=$H46),DG46*(1-BR46)*(1-MIN(1,MAX(Assumptions!$C$27,Assumptions!$C$13*Assumptions!$C$28^(DG$5-1))*$O46)),0)</f>
        <v>0</v>
      </c>
      <c r="DI46" s="93">
        <f>IF(AND($T46=1,DI$5&lt;=$H46),DH46*(1-BS46)*(1-MIN(1,MAX(Assumptions!$C$27,Assumptions!$C$13*Assumptions!$C$28^(DH$5-1))*$O46)),0)</f>
        <v>0</v>
      </c>
      <c r="DJ46" s="93">
        <f>IF(AND($T46=1,DJ$5&lt;=$H46),DI46*(1-BT46)*(1-MIN(1,MAX(Assumptions!$C$27,Assumptions!$C$13*Assumptions!$C$28^(DI$5-1))*$O46)),0)</f>
        <v>0</v>
      </c>
      <c r="DK46" s="93">
        <f>IF(AND($T46=1,DK$5&lt;=$H46),DJ46*(1-BU46)*(1-MIN(1,MAX(Assumptions!$C$27,Assumptions!$C$13*Assumptions!$C$28^(DJ$5-1))*$O46)),0)</f>
        <v>0</v>
      </c>
      <c r="DL46" s="93">
        <f>IF(AND($T46=1,DL$5&lt;=$H46),DK46*(1-BV46)*(1-MIN(1,MAX(Assumptions!$C$27,Assumptions!$C$13*Assumptions!$C$28^(DK$5-1))*$O46)),0)</f>
        <v>0</v>
      </c>
      <c r="DM46" s="93">
        <f>IF(AND($T46=1,DM$5&lt;=$H46),DL46*(1-BW46)*(1-MIN(1,MAX(Assumptions!$C$27,Assumptions!$C$13*Assumptions!$C$28^(DL$5-1))*$O46)),0)</f>
        <v>0</v>
      </c>
      <c r="DN46" s="93">
        <f>IF(AND($T46=1,DN$5&lt;=$H46),DM46*(1-BX46)*(1-MIN(1,MAX(Assumptions!$C$27,Assumptions!$C$13*Assumptions!$C$28^(DM$5-1))*$O46)),0)</f>
        <v>0</v>
      </c>
      <c r="DO46" s="93">
        <f>IF(AND($T46=1,DO$5&lt;=$H46),DN46*(1-BY46)*(1-MIN(1,MAX(Assumptions!$C$27,Assumptions!$C$13*Assumptions!$C$28^(DN$5-1))*$O46)),0)</f>
        <v>0</v>
      </c>
      <c r="DP46" s="93">
        <f>IF(AND($T46=1,DP$5&lt;=$H46),DO46*(1-BZ46)*(1-MIN(1,MAX(Assumptions!$C$27,Assumptions!$C$13*Assumptions!$C$28^(DO$5-1))*$O46)),0)</f>
        <v>0</v>
      </c>
      <c r="DQ46" s="93">
        <f>IF(AND($T46=1,DQ$5&lt;=$H46),DP46*(1-CA46)*(1-MIN(1,MAX(Assumptions!$C$27,Assumptions!$C$13*Assumptions!$C$28^(DP$5-1))*$O46)),0)</f>
        <v>0</v>
      </c>
      <c r="DR46" s="93">
        <f>IF(AND($T46=1,DR$5&lt;=$H46),DQ46*(1-CB46)*(1-MIN(1,MAX(Assumptions!$C$27,Assumptions!$C$13*Assumptions!$C$28^(DQ$5-1))*$O46)),0)</f>
        <v>0</v>
      </c>
      <c r="DS46" s="93">
        <f>IF(AND($T46=1,DS$5&lt;=$H46),DR46*(1-CC46)*(1-MIN(1,MAX(Assumptions!$C$27,Assumptions!$C$13*Assumptions!$C$28^(DR$5-1))*$O46)),0)</f>
        <v>0</v>
      </c>
      <c r="DT46" s="93">
        <f>IF(AND($T46=1,DT$5&lt;=$H46),DS46*(1-CD46)*(1-MIN(1,MAX(Assumptions!$C$27,Assumptions!$C$13*Assumptions!$C$28^(DS$5-1))*$O46)),0)</f>
        <v>0</v>
      </c>
      <c r="DU46" s="93">
        <f>IF(AND($T46=1,DU$5&lt;=$H46),DT46*(1-CE46)*(1-MIN(1,MAX(Assumptions!$C$27,Assumptions!$C$13*Assumptions!$C$28^(DT$5-1))*$O46)),0)</f>
        <v>0</v>
      </c>
      <c r="DV46" s="93">
        <f>IF(AND($T46=1,DV$5&lt;=$H46),DU46*(1-CF46)*(1-MIN(1,MAX(Assumptions!$C$27,Assumptions!$C$13*Assumptions!$C$28^(DU$5-1))*$O46)),0)</f>
        <v>0</v>
      </c>
      <c r="DW46" s="94">
        <f>IF(AND($T46=1,DW$5&lt;=$H46),DV46*(1-CG46)*(1-MIN(1,MAX(Assumptions!$C$27,Assumptions!$C$13*Assumptions!$C$28^(DV$5-1))*$O46)),0)</f>
        <v>0</v>
      </c>
      <c r="DX46" s="26"/>
      <c r="DY46" s="399">
        <f>'Policy Data'!K20</f>
        <v>3</v>
      </c>
      <c r="DZ46" s="100">
        <f>'Policy Data'!L20</f>
        <v>0.51870000000000005</v>
      </c>
      <c r="EA46" s="100">
        <f>'Policy Data'!N20</f>
        <v>2.4800000000000001E-4</v>
      </c>
      <c r="EB46" s="93" cm="1">
        <f t="array" ref="EB46">IFERROR(DZ46*INDEX(Mortality!$B$4:$E$64,MATCH(D46+DY46-1,Mortality!$A$4:$A$64,0),U46)*V46,0)</f>
        <v>2.9078376853655305E-4</v>
      </c>
      <c r="EC46" s="100">
        <f>'Policy Data'!O20</f>
        <v>0</v>
      </c>
      <c r="ED46" s="400">
        <f>'Policy Data'!Q20</f>
        <v>0</v>
      </c>
    </row>
    <row r="47" spans="1:134" x14ac:dyDescent="0.3">
      <c r="A47" s="399" t="str">
        <f>'Policy Data'!A21</f>
        <v>POL100017</v>
      </c>
      <c r="B47" s="26" t="s">
        <v>426</v>
      </c>
      <c r="C47" s="100" t="str">
        <f>'Policy Data'!B21</f>
        <v>Unit-Linked</v>
      </c>
      <c r="D47" s="100">
        <f>'Policy Data'!C21</f>
        <v>53</v>
      </c>
      <c r="E47" s="100" t="str">
        <f>'Policy Data'!D21</f>
        <v>Female</v>
      </c>
      <c r="F47" s="100" t="str">
        <f>'Policy Data'!E21</f>
        <v>Smoker</v>
      </c>
      <c r="G47" s="100" t="str">
        <f>'Policy Data'!F21</f>
        <v>Rated</v>
      </c>
      <c r="H47" s="100">
        <f>'Policy Data'!G21</f>
        <v>20</v>
      </c>
      <c r="I47" s="279">
        <f>'Policy Data'!H21</f>
        <v>2000000</v>
      </c>
      <c r="J47" s="100" t="str">
        <f>'Policy Data'!I21</f>
        <v>Monthly</v>
      </c>
      <c r="K47" s="100" t="str">
        <f>'Policy Data'!J21</f>
        <v>Direct</v>
      </c>
      <c r="L47" s="26" t="s">
        <v>389</v>
      </c>
      <c r="M47" s="106">
        <f>'Policy Data'!R21</f>
        <v>9029.19</v>
      </c>
      <c r="N47" s="415">
        <f>Assumptions!$C$21</f>
        <v>1</v>
      </c>
      <c r="O47" s="415">
        <f>Assumptions!$C$22</f>
        <v>1</v>
      </c>
      <c r="P47" s="415">
        <f>Assumptions!$C$23</f>
        <v>1</v>
      </c>
      <c r="Q47" s="416">
        <f>Assumptions!$C$24</f>
        <v>0</v>
      </c>
      <c r="R47" s="416">
        <f>Assumptions!$C$6+Assumptions!$C$25</f>
        <v>3.5000000000000003E-2</v>
      </c>
      <c r="S47" s="416">
        <f>Assumptions!$C$15</f>
        <v>1.1000000000000001E-3</v>
      </c>
      <c r="T47" s="26">
        <f t="shared" si="18"/>
        <v>0</v>
      </c>
      <c r="U47" s="26">
        <f t="shared" si="19"/>
        <v>2</v>
      </c>
      <c r="V47" s="389">
        <f>IF($G47="Preferred",Assumptions!$C$30,IF($G47="Rated",Assumptions!$C$31,1))</f>
        <v>1.55</v>
      </c>
      <c r="W47" s="390">
        <f>IF($K47="Direct",Assumptions!$C$32,IF($K47="Broker",Assumptions!$C$33,IF($K47="Bancassurance",Assumptions!$C$34,Assumptions!$C$11)))+$Q47</f>
        <v>0.1</v>
      </c>
      <c r="X47" s="390">
        <f>Assumptions!$C$12+$Q47</f>
        <v>0.05</v>
      </c>
      <c r="Y47" s="131">
        <f>MIN($I47,Assumptions!$C$14)</f>
        <v>500000</v>
      </c>
      <c r="Z47" s="131">
        <f>MAX($I47-Assumptions!$C$14,0)</f>
        <v>1500000</v>
      </c>
      <c r="AA47" s="389">
        <f t="shared" si="20"/>
        <v>0</v>
      </c>
      <c r="AB47" s="389">
        <f t="shared" si="21"/>
        <v>0</v>
      </c>
      <c r="AC47" s="389">
        <f>IF($T47=1,SUMPRODUCT($CJ47:$DW47,(1+Assumptions!$C$5)^($CJ$5:$DW$5-1),(1+$R47)^(-$CJ$5:$DW$5)),0)</f>
        <v>0</v>
      </c>
      <c r="AD47" s="389">
        <f t="shared" si="22"/>
        <v>0</v>
      </c>
      <c r="AE47" s="131">
        <f>IF($T47=1,$AB47*$Y47+(Assumptions!$C$9/(1+$R47)+Assumptions!$C$10*$AC47)*$P47+$S47*$Z47*$AA47,0)</f>
        <v>0</v>
      </c>
      <c r="AF47" s="131" t="str">
        <f>IF($T47=1,IF($AA47-$AD47-Assumptions!$C$16*$AA47&gt;0,$AE47/($AA47-$AD47-Assumptions!$C$16*$AA47)*IF($J47="Monthly",1+Assumptions!$C$29,1),"n.a."),"")</f>
        <v/>
      </c>
      <c r="AG47" s="131" t="str">
        <f t="shared" si="23"/>
        <v/>
      </c>
      <c r="AH47" s="131" t="str">
        <f t="shared" si="24"/>
        <v/>
      </c>
      <c r="AI47" s="131" t="str">
        <f t="shared" si="25"/>
        <v/>
      </c>
      <c r="AJ47" s="390" t="str">
        <f t="shared" si="26"/>
        <v/>
      </c>
      <c r="AK47" s="389" t="str">
        <f t="shared" si="27"/>
        <v/>
      </c>
      <c r="AL47" s="131" t="str">
        <f t="shared" si="28"/>
        <v/>
      </c>
      <c r="AM47" s="131" t="str">
        <f t="shared" si="29"/>
        <v/>
      </c>
      <c r="AN47" s="131" t="str">
        <f t="shared" si="30"/>
        <v/>
      </c>
      <c r="AO47" s="131" t="str">
        <f t="shared" si="31"/>
        <v/>
      </c>
      <c r="AP47" s="26" t="str">
        <f t="shared" si="32"/>
        <v>50-59</v>
      </c>
      <c r="AQ47" s="26" t="str">
        <f t="shared" si="33"/>
        <v>Over 1m</v>
      </c>
      <c r="AR47" s="26" t="str">
        <f>IF($T47=1,IF($AI47&lt;0,"Loss-making",IF($AJ47&lt;Assumptions!$C$16-0.00001,"Below target","At/above target")),"Excluded")</f>
        <v>Excluded</v>
      </c>
      <c r="AS47" s="103">
        <f t="shared" si="34"/>
        <v>9.9999999999999997E+98</v>
      </c>
      <c r="AT47" s="26"/>
      <c r="AU47" s="419">
        <f>IF(AND($T47=1,AU$5&lt;=$H47),INDEX(Mortality!$B$4:$E$64,MATCH($D47+AU$5-1,Mortality!$A$4:$A$64,0),$U47)*$V47*$N47,0)</f>
        <v>0</v>
      </c>
      <c r="AV47" s="93">
        <f>IF(AND($T47=1,AV$5&lt;=$H47),INDEX(Mortality!$B$4:$E$64,MATCH($D47+AV$5-1,Mortality!$A$4:$A$64,0),$U47)*$V47*$N47,0)</f>
        <v>0</v>
      </c>
      <c r="AW47" s="93">
        <f>IF(AND($T47=1,AW$5&lt;=$H47),INDEX(Mortality!$B$4:$E$64,MATCH($D47+AW$5-1,Mortality!$A$4:$A$64,0),$U47)*$V47*$N47,0)</f>
        <v>0</v>
      </c>
      <c r="AX47" s="93">
        <f>IF(AND($T47=1,AX$5&lt;=$H47),INDEX(Mortality!$B$4:$E$64,MATCH($D47+AX$5-1,Mortality!$A$4:$A$64,0),$U47)*$V47*$N47,0)</f>
        <v>0</v>
      </c>
      <c r="AY47" s="93">
        <f>IF(AND($T47=1,AY$5&lt;=$H47),INDEX(Mortality!$B$4:$E$64,MATCH($D47+AY$5-1,Mortality!$A$4:$A$64,0),$U47)*$V47*$N47,0)</f>
        <v>0</v>
      </c>
      <c r="AZ47" s="93">
        <f>IF(AND($T47=1,AZ$5&lt;=$H47),INDEX(Mortality!$B$4:$E$64,MATCH($D47+AZ$5-1,Mortality!$A$4:$A$64,0),$U47)*$V47*$N47,0)</f>
        <v>0</v>
      </c>
      <c r="BA47" s="93">
        <f>IF(AND($T47=1,BA$5&lt;=$H47),INDEX(Mortality!$B$4:$E$64,MATCH($D47+BA$5-1,Mortality!$A$4:$A$64,0),$U47)*$V47*$N47,0)</f>
        <v>0</v>
      </c>
      <c r="BB47" s="93">
        <f>IF(AND($T47=1,BB$5&lt;=$H47),INDEX(Mortality!$B$4:$E$64,MATCH($D47+BB$5-1,Mortality!$A$4:$A$64,0),$U47)*$V47*$N47,0)</f>
        <v>0</v>
      </c>
      <c r="BC47" s="93">
        <f>IF(AND($T47=1,BC$5&lt;=$H47),INDEX(Mortality!$B$4:$E$64,MATCH($D47+BC$5-1,Mortality!$A$4:$A$64,0),$U47)*$V47*$N47,0)</f>
        <v>0</v>
      </c>
      <c r="BD47" s="93">
        <f>IF(AND($T47=1,BD$5&lt;=$H47),INDEX(Mortality!$B$4:$E$64,MATCH($D47+BD$5-1,Mortality!$A$4:$A$64,0),$U47)*$V47*$N47,0)</f>
        <v>0</v>
      </c>
      <c r="BE47" s="93">
        <f>IF(AND($T47=1,BE$5&lt;=$H47),INDEX(Mortality!$B$4:$E$64,MATCH($D47+BE$5-1,Mortality!$A$4:$A$64,0),$U47)*$V47*$N47,0)</f>
        <v>0</v>
      </c>
      <c r="BF47" s="93">
        <f>IF(AND($T47=1,BF$5&lt;=$H47),INDEX(Mortality!$B$4:$E$64,MATCH($D47+BF$5-1,Mortality!$A$4:$A$64,0),$U47)*$V47*$N47,0)</f>
        <v>0</v>
      </c>
      <c r="BG47" s="93">
        <f>IF(AND($T47=1,BG$5&lt;=$H47),INDEX(Mortality!$B$4:$E$64,MATCH($D47+BG$5-1,Mortality!$A$4:$A$64,0),$U47)*$V47*$N47,0)</f>
        <v>0</v>
      </c>
      <c r="BH47" s="93">
        <f>IF(AND($T47=1,BH$5&lt;=$H47),INDEX(Mortality!$B$4:$E$64,MATCH($D47+BH$5-1,Mortality!$A$4:$A$64,0),$U47)*$V47*$N47,0)</f>
        <v>0</v>
      </c>
      <c r="BI47" s="93">
        <f>IF(AND($T47=1,BI$5&lt;=$H47),INDEX(Mortality!$B$4:$E$64,MATCH($D47+BI$5-1,Mortality!$A$4:$A$64,0),$U47)*$V47*$N47,0)</f>
        <v>0</v>
      </c>
      <c r="BJ47" s="93">
        <f>IF(AND($T47=1,BJ$5&lt;=$H47),INDEX(Mortality!$B$4:$E$64,MATCH($D47+BJ$5-1,Mortality!$A$4:$A$64,0),$U47)*$V47*$N47,0)</f>
        <v>0</v>
      </c>
      <c r="BK47" s="93">
        <f>IF(AND($T47=1,BK$5&lt;=$H47),INDEX(Mortality!$B$4:$E$64,MATCH($D47+BK$5-1,Mortality!$A$4:$A$64,0),$U47)*$V47*$N47,0)</f>
        <v>0</v>
      </c>
      <c r="BL47" s="93">
        <f>IF(AND($T47=1,BL$5&lt;=$H47),INDEX(Mortality!$B$4:$E$64,MATCH($D47+BL$5-1,Mortality!$A$4:$A$64,0),$U47)*$V47*$N47,0)</f>
        <v>0</v>
      </c>
      <c r="BM47" s="93">
        <f>IF(AND($T47=1,BM$5&lt;=$H47),INDEX(Mortality!$B$4:$E$64,MATCH($D47+BM$5-1,Mortality!$A$4:$A$64,0),$U47)*$V47*$N47,0)</f>
        <v>0</v>
      </c>
      <c r="BN47" s="93">
        <f>IF(AND($T47=1,BN$5&lt;=$H47),INDEX(Mortality!$B$4:$E$64,MATCH($D47+BN$5-1,Mortality!$A$4:$A$64,0),$U47)*$V47*$N47,0)</f>
        <v>0</v>
      </c>
      <c r="BO47" s="93">
        <f>IF(AND($T47=1,BO$5&lt;=$H47),INDEX(Mortality!$B$4:$E$64,MATCH($D47+BO$5-1,Mortality!$A$4:$A$64,0),$U47)*$V47*$N47,0)</f>
        <v>0</v>
      </c>
      <c r="BP47" s="93">
        <f>IF(AND($T47=1,BP$5&lt;=$H47),INDEX(Mortality!$B$4:$E$64,MATCH($D47+BP$5-1,Mortality!$A$4:$A$64,0),$U47)*$V47*$N47,0)</f>
        <v>0</v>
      </c>
      <c r="BQ47" s="93">
        <f>IF(AND($T47=1,BQ$5&lt;=$H47),INDEX(Mortality!$B$4:$E$64,MATCH($D47+BQ$5-1,Mortality!$A$4:$A$64,0),$U47)*$V47*$N47,0)</f>
        <v>0</v>
      </c>
      <c r="BR47" s="93">
        <f>IF(AND($T47=1,BR$5&lt;=$H47),INDEX(Mortality!$B$4:$E$64,MATCH($D47+BR$5-1,Mortality!$A$4:$A$64,0),$U47)*$V47*$N47,0)</f>
        <v>0</v>
      </c>
      <c r="BS47" s="93">
        <f>IF(AND($T47=1,BS$5&lt;=$H47),INDEX(Mortality!$B$4:$E$64,MATCH($D47+BS$5-1,Mortality!$A$4:$A$64,0),$U47)*$V47*$N47,0)</f>
        <v>0</v>
      </c>
      <c r="BT47" s="93">
        <f>IF(AND($T47=1,BT$5&lt;=$H47),INDEX(Mortality!$B$4:$E$64,MATCH($D47+BT$5-1,Mortality!$A$4:$A$64,0),$U47)*$V47*$N47,0)</f>
        <v>0</v>
      </c>
      <c r="BU47" s="93">
        <f>IF(AND($T47=1,BU$5&lt;=$H47),INDEX(Mortality!$B$4:$E$64,MATCH($D47+BU$5-1,Mortality!$A$4:$A$64,0),$U47)*$V47*$N47,0)</f>
        <v>0</v>
      </c>
      <c r="BV47" s="93">
        <f>IF(AND($T47=1,BV$5&lt;=$H47),INDEX(Mortality!$B$4:$E$64,MATCH($D47+BV$5-1,Mortality!$A$4:$A$64,0),$U47)*$V47*$N47,0)</f>
        <v>0</v>
      </c>
      <c r="BW47" s="93">
        <f>IF(AND($T47=1,BW$5&lt;=$H47),INDEX(Mortality!$B$4:$E$64,MATCH($D47+BW$5-1,Mortality!$A$4:$A$64,0),$U47)*$V47*$N47,0)</f>
        <v>0</v>
      </c>
      <c r="BX47" s="93">
        <f>IF(AND($T47=1,BX$5&lt;=$H47),INDEX(Mortality!$B$4:$E$64,MATCH($D47+BX$5-1,Mortality!$A$4:$A$64,0),$U47)*$V47*$N47,0)</f>
        <v>0</v>
      </c>
      <c r="BY47" s="93">
        <f>IF(AND($T47=1,BY$5&lt;=$H47),INDEX(Mortality!$B$4:$E$64,MATCH($D47+BY$5-1,Mortality!$A$4:$A$64,0),$U47)*$V47*$N47,0)</f>
        <v>0</v>
      </c>
      <c r="BZ47" s="93">
        <f>IF(AND($T47=1,BZ$5&lt;=$H47),INDEX(Mortality!$B$4:$E$64,MATCH($D47+BZ$5-1,Mortality!$A$4:$A$64,0),$U47)*$V47*$N47,0)</f>
        <v>0</v>
      </c>
      <c r="CA47" s="93">
        <f>IF(AND($T47=1,CA$5&lt;=$H47),INDEX(Mortality!$B$4:$E$64,MATCH($D47+CA$5-1,Mortality!$A$4:$A$64,0),$U47)*$V47*$N47,0)</f>
        <v>0</v>
      </c>
      <c r="CB47" s="93">
        <f>IF(AND($T47=1,CB$5&lt;=$H47),INDEX(Mortality!$B$4:$E$64,MATCH($D47+CB$5-1,Mortality!$A$4:$A$64,0),$U47)*$V47*$N47,0)</f>
        <v>0</v>
      </c>
      <c r="CC47" s="93">
        <f>IF(AND($T47=1,CC$5&lt;=$H47),INDEX(Mortality!$B$4:$E$64,MATCH($D47+CC$5-1,Mortality!$A$4:$A$64,0),$U47)*$V47*$N47,0)</f>
        <v>0</v>
      </c>
      <c r="CD47" s="93">
        <f>IF(AND($T47=1,CD$5&lt;=$H47),INDEX(Mortality!$B$4:$E$64,MATCH($D47+CD$5-1,Mortality!$A$4:$A$64,0),$U47)*$V47*$N47,0)</f>
        <v>0</v>
      </c>
      <c r="CE47" s="93">
        <f>IF(AND($T47=1,CE$5&lt;=$H47),INDEX(Mortality!$B$4:$E$64,MATCH($D47+CE$5-1,Mortality!$A$4:$A$64,0),$U47)*$V47*$N47,0)</f>
        <v>0</v>
      </c>
      <c r="CF47" s="93">
        <f>IF(AND($T47=1,CF$5&lt;=$H47),INDEX(Mortality!$B$4:$E$64,MATCH($D47+CF$5-1,Mortality!$A$4:$A$64,0),$U47)*$V47*$N47,0)</f>
        <v>0</v>
      </c>
      <c r="CG47" s="93">
        <f>IF(AND($T47=1,CG$5&lt;=$H47),INDEX(Mortality!$B$4:$E$64,MATCH($D47+CG$5-1,Mortality!$A$4:$A$64,0),$U47)*$V47*$N47,0)</f>
        <v>0</v>
      </c>
      <c r="CH47" s="94">
        <f>IF(AND($T47=1,CH$5&lt;=$H47),INDEX(Mortality!$B$4:$E$64,MATCH($D47+CH$5-1,Mortality!$A$4:$A$64,0),$U47)*$V47*$N47,0)</f>
        <v>0</v>
      </c>
      <c r="CI47" s="26"/>
      <c r="CJ47" s="419">
        <f t="shared" si="35"/>
        <v>0</v>
      </c>
      <c r="CK47" s="93">
        <f>IF(AND($T47=1,CK$5&lt;=$H47),CJ47*(1-AU47)*(1-MIN(1,MAX(Assumptions!$C$27,Assumptions!$C$13*Assumptions!$C$28^(CJ$5-1))*$O47)),0)</f>
        <v>0</v>
      </c>
      <c r="CL47" s="93">
        <f>IF(AND($T47=1,CL$5&lt;=$H47),CK47*(1-AV47)*(1-MIN(1,MAX(Assumptions!$C$27,Assumptions!$C$13*Assumptions!$C$28^(CK$5-1))*$O47)),0)</f>
        <v>0</v>
      </c>
      <c r="CM47" s="93">
        <f>IF(AND($T47=1,CM$5&lt;=$H47),CL47*(1-AW47)*(1-MIN(1,MAX(Assumptions!$C$27,Assumptions!$C$13*Assumptions!$C$28^(CL$5-1))*$O47)),0)</f>
        <v>0</v>
      </c>
      <c r="CN47" s="93">
        <f>IF(AND($T47=1,CN$5&lt;=$H47),CM47*(1-AX47)*(1-MIN(1,MAX(Assumptions!$C$27,Assumptions!$C$13*Assumptions!$C$28^(CM$5-1))*$O47)),0)</f>
        <v>0</v>
      </c>
      <c r="CO47" s="93">
        <f>IF(AND($T47=1,CO$5&lt;=$H47),CN47*(1-AY47)*(1-MIN(1,MAX(Assumptions!$C$27,Assumptions!$C$13*Assumptions!$C$28^(CN$5-1))*$O47)),0)</f>
        <v>0</v>
      </c>
      <c r="CP47" s="93">
        <f>IF(AND($T47=1,CP$5&lt;=$H47),CO47*(1-AZ47)*(1-MIN(1,MAX(Assumptions!$C$27,Assumptions!$C$13*Assumptions!$C$28^(CO$5-1))*$O47)),0)</f>
        <v>0</v>
      </c>
      <c r="CQ47" s="93">
        <f>IF(AND($T47=1,CQ$5&lt;=$H47),CP47*(1-BA47)*(1-MIN(1,MAX(Assumptions!$C$27,Assumptions!$C$13*Assumptions!$C$28^(CP$5-1))*$O47)),0)</f>
        <v>0</v>
      </c>
      <c r="CR47" s="93">
        <f>IF(AND($T47=1,CR$5&lt;=$H47),CQ47*(1-BB47)*(1-MIN(1,MAX(Assumptions!$C$27,Assumptions!$C$13*Assumptions!$C$28^(CQ$5-1))*$O47)),0)</f>
        <v>0</v>
      </c>
      <c r="CS47" s="93">
        <f>IF(AND($T47=1,CS$5&lt;=$H47),CR47*(1-BC47)*(1-MIN(1,MAX(Assumptions!$C$27,Assumptions!$C$13*Assumptions!$C$28^(CR$5-1))*$O47)),0)</f>
        <v>0</v>
      </c>
      <c r="CT47" s="93">
        <f>IF(AND($T47=1,CT$5&lt;=$H47),CS47*(1-BD47)*(1-MIN(1,MAX(Assumptions!$C$27,Assumptions!$C$13*Assumptions!$C$28^(CS$5-1))*$O47)),0)</f>
        <v>0</v>
      </c>
      <c r="CU47" s="93">
        <f>IF(AND($T47=1,CU$5&lt;=$H47),CT47*(1-BE47)*(1-MIN(1,MAX(Assumptions!$C$27,Assumptions!$C$13*Assumptions!$C$28^(CT$5-1))*$O47)),0)</f>
        <v>0</v>
      </c>
      <c r="CV47" s="93">
        <f>IF(AND($T47=1,CV$5&lt;=$H47),CU47*(1-BF47)*(1-MIN(1,MAX(Assumptions!$C$27,Assumptions!$C$13*Assumptions!$C$28^(CU$5-1))*$O47)),0)</f>
        <v>0</v>
      </c>
      <c r="CW47" s="93">
        <f>IF(AND($T47=1,CW$5&lt;=$H47),CV47*(1-BG47)*(1-MIN(1,MAX(Assumptions!$C$27,Assumptions!$C$13*Assumptions!$C$28^(CV$5-1))*$O47)),0)</f>
        <v>0</v>
      </c>
      <c r="CX47" s="93">
        <f>IF(AND($T47=1,CX$5&lt;=$H47),CW47*(1-BH47)*(1-MIN(1,MAX(Assumptions!$C$27,Assumptions!$C$13*Assumptions!$C$28^(CW$5-1))*$O47)),0)</f>
        <v>0</v>
      </c>
      <c r="CY47" s="93">
        <f>IF(AND($T47=1,CY$5&lt;=$H47),CX47*(1-BI47)*(1-MIN(1,MAX(Assumptions!$C$27,Assumptions!$C$13*Assumptions!$C$28^(CX$5-1))*$O47)),0)</f>
        <v>0</v>
      </c>
      <c r="CZ47" s="93">
        <f>IF(AND($T47=1,CZ$5&lt;=$H47),CY47*(1-BJ47)*(1-MIN(1,MAX(Assumptions!$C$27,Assumptions!$C$13*Assumptions!$C$28^(CY$5-1))*$O47)),0)</f>
        <v>0</v>
      </c>
      <c r="DA47" s="93">
        <f>IF(AND($T47=1,DA$5&lt;=$H47),CZ47*(1-BK47)*(1-MIN(1,MAX(Assumptions!$C$27,Assumptions!$C$13*Assumptions!$C$28^(CZ$5-1))*$O47)),0)</f>
        <v>0</v>
      </c>
      <c r="DB47" s="93">
        <f>IF(AND($T47=1,DB$5&lt;=$H47),DA47*(1-BL47)*(1-MIN(1,MAX(Assumptions!$C$27,Assumptions!$C$13*Assumptions!$C$28^(DA$5-1))*$O47)),0)</f>
        <v>0</v>
      </c>
      <c r="DC47" s="93">
        <f>IF(AND($T47=1,DC$5&lt;=$H47),DB47*(1-BM47)*(1-MIN(1,MAX(Assumptions!$C$27,Assumptions!$C$13*Assumptions!$C$28^(DB$5-1))*$O47)),0)</f>
        <v>0</v>
      </c>
      <c r="DD47" s="93">
        <f>IF(AND($T47=1,DD$5&lt;=$H47),DC47*(1-BN47)*(1-MIN(1,MAX(Assumptions!$C$27,Assumptions!$C$13*Assumptions!$C$28^(DC$5-1))*$O47)),0)</f>
        <v>0</v>
      </c>
      <c r="DE47" s="93">
        <f>IF(AND($T47=1,DE$5&lt;=$H47),DD47*(1-BO47)*(1-MIN(1,MAX(Assumptions!$C$27,Assumptions!$C$13*Assumptions!$C$28^(DD$5-1))*$O47)),0)</f>
        <v>0</v>
      </c>
      <c r="DF47" s="93">
        <f>IF(AND($T47=1,DF$5&lt;=$H47),DE47*(1-BP47)*(1-MIN(1,MAX(Assumptions!$C$27,Assumptions!$C$13*Assumptions!$C$28^(DE$5-1))*$O47)),0)</f>
        <v>0</v>
      </c>
      <c r="DG47" s="93">
        <f>IF(AND($T47=1,DG$5&lt;=$H47),DF47*(1-BQ47)*(1-MIN(1,MAX(Assumptions!$C$27,Assumptions!$C$13*Assumptions!$C$28^(DF$5-1))*$O47)),0)</f>
        <v>0</v>
      </c>
      <c r="DH47" s="93">
        <f>IF(AND($T47=1,DH$5&lt;=$H47),DG47*(1-BR47)*(1-MIN(1,MAX(Assumptions!$C$27,Assumptions!$C$13*Assumptions!$C$28^(DG$5-1))*$O47)),0)</f>
        <v>0</v>
      </c>
      <c r="DI47" s="93">
        <f>IF(AND($T47=1,DI$5&lt;=$H47),DH47*(1-BS47)*(1-MIN(1,MAX(Assumptions!$C$27,Assumptions!$C$13*Assumptions!$C$28^(DH$5-1))*$O47)),0)</f>
        <v>0</v>
      </c>
      <c r="DJ47" s="93">
        <f>IF(AND($T47=1,DJ$5&lt;=$H47),DI47*(1-BT47)*(1-MIN(1,MAX(Assumptions!$C$27,Assumptions!$C$13*Assumptions!$C$28^(DI$5-1))*$O47)),0)</f>
        <v>0</v>
      </c>
      <c r="DK47" s="93">
        <f>IF(AND($T47=1,DK$5&lt;=$H47),DJ47*(1-BU47)*(1-MIN(1,MAX(Assumptions!$C$27,Assumptions!$C$13*Assumptions!$C$28^(DJ$5-1))*$O47)),0)</f>
        <v>0</v>
      </c>
      <c r="DL47" s="93">
        <f>IF(AND($T47=1,DL$5&lt;=$H47),DK47*(1-BV47)*(1-MIN(1,MAX(Assumptions!$C$27,Assumptions!$C$13*Assumptions!$C$28^(DK$5-1))*$O47)),0)</f>
        <v>0</v>
      </c>
      <c r="DM47" s="93">
        <f>IF(AND($T47=1,DM$5&lt;=$H47),DL47*(1-BW47)*(1-MIN(1,MAX(Assumptions!$C$27,Assumptions!$C$13*Assumptions!$C$28^(DL$5-1))*$O47)),0)</f>
        <v>0</v>
      </c>
      <c r="DN47" s="93">
        <f>IF(AND($T47=1,DN$5&lt;=$H47),DM47*(1-BX47)*(1-MIN(1,MAX(Assumptions!$C$27,Assumptions!$C$13*Assumptions!$C$28^(DM$5-1))*$O47)),0)</f>
        <v>0</v>
      </c>
      <c r="DO47" s="93">
        <f>IF(AND($T47=1,DO$5&lt;=$H47),DN47*(1-BY47)*(1-MIN(1,MAX(Assumptions!$C$27,Assumptions!$C$13*Assumptions!$C$28^(DN$5-1))*$O47)),0)</f>
        <v>0</v>
      </c>
      <c r="DP47" s="93">
        <f>IF(AND($T47=1,DP$5&lt;=$H47),DO47*(1-BZ47)*(1-MIN(1,MAX(Assumptions!$C$27,Assumptions!$C$13*Assumptions!$C$28^(DO$5-1))*$O47)),0)</f>
        <v>0</v>
      </c>
      <c r="DQ47" s="93">
        <f>IF(AND($T47=1,DQ$5&lt;=$H47),DP47*(1-CA47)*(1-MIN(1,MAX(Assumptions!$C$27,Assumptions!$C$13*Assumptions!$C$28^(DP$5-1))*$O47)),0)</f>
        <v>0</v>
      </c>
      <c r="DR47" s="93">
        <f>IF(AND($T47=1,DR$5&lt;=$H47),DQ47*(1-CB47)*(1-MIN(1,MAX(Assumptions!$C$27,Assumptions!$C$13*Assumptions!$C$28^(DQ$5-1))*$O47)),0)</f>
        <v>0</v>
      </c>
      <c r="DS47" s="93">
        <f>IF(AND($T47=1,DS$5&lt;=$H47),DR47*(1-CC47)*(1-MIN(1,MAX(Assumptions!$C$27,Assumptions!$C$13*Assumptions!$C$28^(DR$5-1))*$O47)),0)</f>
        <v>0</v>
      </c>
      <c r="DT47" s="93">
        <f>IF(AND($T47=1,DT$5&lt;=$H47),DS47*(1-CD47)*(1-MIN(1,MAX(Assumptions!$C$27,Assumptions!$C$13*Assumptions!$C$28^(DS$5-1))*$O47)),0)</f>
        <v>0</v>
      </c>
      <c r="DU47" s="93">
        <f>IF(AND($T47=1,DU$5&lt;=$H47),DT47*(1-CE47)*(1-MIN(1,MAX(Assumptions!$C$27,Assumptions!$C$13*Assumptions!$C$28^(DT$5-1))*$O47)),0)</f>
        <v>0</v>
      </c>
      <c r="DV47" s="93">
        <f>IF(AND($T47=1,DV$5&lt;=$H47),DU47*(1-CF47)*(1-MIN(1,MAX(Assumptions!$C$27,Assumptions!$C$13*Assumptions!$C$28^(DU$5-1))*$O47)),0)</f>
        <v>0</v>
      </c>
      <c r="DW47" s="94">
        <f>IF(AND($T47=1,DW$5&lt;=$H47),DV47*(1-CG47)*(1-MIN(1,MAX(Assumptions!$C$27,Assumptions!$C$13*Assumptions!$C$28^(DV$5-1))*$O47)),0)</f>
        <v>0</v>
      </c>
      <c r="DX47" s="26"/>
      <c r="DY47" s="399">
        <f>'Policy Data'!K21</f>
        <v>2</v>
      </c>
      <c r="DZ47" s="100">
        <f>'Policy Data'!L21</f>
        <v>0.61939999999999995</v>
      </c>
      <c r="EA47" s="100">
        <f>'Policy Data'!N21</f>
        <v>3.8149999999999998E-3</v>
      </c>
      <c r="EB47" s="93" cm="1">
        <f t="array" ref="EB47">IFERROR(DZ47*INDEX(Mortality!$B$4:$E$64,MATCH(D47+DY47-1,Mortality!$A$4:$A$64,0),U47)*V47,0)</f>
        <v>4.1329836587928499E-3</v>
      </c>
      <c r="EC47" s="100">
        <f>'Policy Data'!O21</f>
        <v>0</v>
      </c>
      <c r="ED47" s="400">
        <f>'Policy Data'!Q21</f>
        <v>0</v>
      </c>
    </row>
    <row r="48" spans="1:134" x14ac:dyDescent="0.3">
      <c r="A48" s="399" t="str">
        <f>'Policy Data'!A22</f>
        <v>POL100018</v>
      </c>
      <c r="B48" s="26" t="s">
        <v>426</v>
      </c>
      <c r="C48" s="100" t="str">
        <f>'Policy Data'!B22</f>
        <v>Term Life</v>
      </c>
      <c r="D48" s="100">
        <f>'Policy Data'!C22</f>
        <v>29</v>
      </c>
      <c r="E48" s="100" t="str">
        <f>'Policy Data'!D22</f>
        <v>Male</v>
      </c>
      <c r="F48" s="100" t="str">
        <f>'Policy Data'!E22</f>
        <v>Non-smoker</v>
      </c>
      <c r="G48" s="100" t="str">
        <f>'Policy Data'!F22</f>
        <v>Rated</v>
      </c>
      <c r="H48" s="100">
        <f>'Policy Data'!G22</f>
        <v>15</v>
      </c>
      <c r="I48" s="279">
        <f>'Policy Data'!H22</f>
        <v>250000</v>
      </c>
      <c r="J48" s="100" t="str">
        <f>'Policy Data'!I22</f>
        <v>Monthly</v>
      </c>
      <c r="K48" s="100" t="str">
        <f>'Policy Data'!J22</f>
        <v>Direct</v>
      </c>
      <c r="L48" s="26" t="s">
        <v>389</v>
      </c>
      <c r="M48" s="106">
        <f>'Policy Data'!R22</f>
        <v>1200</v>
      </c>
      <c r="N48" s="415">
        <f>Assumptions!$C$21</f>
        <v>1</v>
      </c>
      <c r="O48" s="415">
        <f>Assumptions!$C$22</f>
        <v>1</v>
      </c>
      <c r="P48" s="415">
        <f>Assumptions!$C$23</f>
        <v>1</v>
      </c>
      <c r="Q48" s="416">
        <f>Assumptions!$C$24</f>
        <v>0</v>
      </c>
      <c r="R48" s="416">
        <f>Assumptions!$C$6+Assumptions!$C$25</f>
        <v>3.5000000000000003E-2</v>
      </c>
      <c r="S48" s="416">
        <f>Assumptions!$C$15</f>
        <v>1.1000000000000001E-3</v>
      </c>
      <c r="T48" s="26">
        <f t="shared" si="18"/>
        <v>1</v>
      </c>
      <c r="U48" s="26">
        <f t="shared" si="19"/>
        <v>3</v>
      </c>
      <c r="V48" s="389">
        <f>IF($G48="Preferred",Assumptions!$C$30,IF($G48="Rated",Assumptions!$C$31,1))</f>
        <v>1.55</v>
      </c>
      <c r="W48" s="390">
        <f>IF($K48="Direct",Assumptions!$C$32,IF($K48="Broker",Assumptions!$C$33,IF($K48="Bancassurance",Assumptions!$C$34,Assumptions!$C$11)))+$Q48</f>
        <v>0.1</v>
      </c>
      <c r="X48" s="390">
        <f>Assumptions!$C$12+$Q48</f>
        <v>0.05</v>
      </c>
      <c r="Y48" s="131">
        <f>MIN($I48,Assumptions!$C$14)</f>
        <v>250000</v>
      </c>
      <c r="Z48" s="131">
        <f>MAX($I48-Assumptions!$C$14,0)</f>
        <v>0</v>
      </c>
      <c r="AA48" s="389">
        <f t="shared" si="20"/>
        <v>7.4027032299702462</v>
      </c>
      <c r="AB48" s="389">
        <f t="shared" si="21"/>
        <v>8.9341023505887084E-3</v>
      </c>
      <c r="AC48" s="389">
        <f>IF($T48=1,SUMPRODUCT($CJ48:$DW48,(1+Assumptions!$C$5)^($CJ$5:$DW$5-1),(1+$R48)^(-$CJ$5:$DW$5)),0)</f>
        <v>9.2625618590091019</v>
      </c>
      <c r="AD48" s="389">
        <f t="shared" si="22"/>
        <v>0.41844434024247368</v>
      </c>
      <c r="AE48" s="131">
        <f>IF($T48=1,$AB48*$Y48+(Assumptions!$C$9/(1+$R48)+Assumptions!$C$10*$AC48)*$P48+$S48*$Z48*$AA48,0)</f>
        <v>5140.8544140204831</v>
      </c>
      <c r="AF48" s="131">
        <f>IF($T48=1,IF($AA48-$AD48-Assumptions!$C$16*$AA48&gt;0,$AE48/($AA48-$AD48-Assumptions!$C$16*$AA48)*IF($J48="Monthly",1+Assumptions!$C$29,1),"n.a."),"")</f>
        <v>828.38622203294301</v>
      </c>
      <c r="AG48" s="131">
        <f t="shared" si="23"/>
        <v>1200</v>
      </c>
      <c r="AH48" s="131">
        <f t="shared" si="24"/>
        <v>8883.2438759642955</v>
      </c>
      <c r="AI48" s="131">
        <f t="shared" si="25"/>
        <v>3240.256253652844</v>
      </c>
      <c r="AJ48" s="390">
        <f t="shared" si="26"/>
        <v>0.36476047476531842</v>
      </c>
      <c r="AK48" s="389">
        <f t="shared" si="27"/>
        <v>1.4485996605002429</v>
      </c>
      <c r="AL48" s="131">
        <f t="shared" si="28"/>
        <v>0</v>
      </c>
      <c r="AM48" s="131">
        <f t="shared" si="29"/>
        <v>0</v>
      </c>
      <c r="AN48" s="131">
        <f t="shared" si="30"/>
        <v>0</v>
      </c>
      <c r="AO48" s="131">
        <f t="shared" si="31"/>
        <v>3240.256253652844</v>
      </c>
      <c r="AP48" s="26" t="str">
        <f t="shared" si="32"/>
        <v>20-29</v>
      </c>
      <c r="AQ48" s="26" t="str">
        <f t="shared" si="33"/>
        <v>Up to 250k</v>
      </c>
      <c r="AR48" s="26" t="str">
        <f>IF($T48=1,IF($AI48&lt;0,"Loss-making",IF($AJ48&lt;Assumptions!$C$16-0.00001,"Below target","At/above target")),"Excluded")</f>
        <v>At/above target</v>
      </c>
      <c r="AS48" s="103">
        <f t="shared" si="34"/>
        <v>3240.2563016528438</v>
      </c>
      <c r="AT48" s="26"/>
      <c r="AU48" s="419">
        <f>IF(AND($T48=1,AU$5&lt;=$H48),INDEX(Mortality!$B$4:$E$64,MATCH($D48+AU$5-1,Mortality!$A$4:$A$64,0),$U48)*$V48*$N48,0)</f>
        <v>7.404546993453802E-4</v>
      </c>
      <c r="AV48" s="93">
        <f>IF(AND($T48=1,AV$5&lt;=$H48),INDEX(Mortality!$B$4:$E$64,MATCH($D48+AV$5-1,Mortality!$A$4:$A$64,0),$U48)*$V48*$N48,0)</f>
        <v>8.02125E-4</v>
      </c>
      <c r="AW48" s="93">
        <f>IF(AND($T48=1,AW$5&lt;=$H48),INDEX(Mortality!$B$4:$E$64,MATCH($D48+AW$5-1,Mortality!$A$4:$A$64,0),$U48)*$V48*$N48,0)</f>
        <v>8.6893163915877612E-4</v>
      </c>
      <c r="AX48" s="93">
        <f>IF(AND($T48=1,AX$5&lt;=$H48),INDEX(Mortality!$B$4:$E$64,MATCH($D48+AX$5-1,Mortality!$A$4:$A$64,0),$U48)*$V48*$N48,0)</f>
        <v>9.413024073943061E-4</v>
      </c>
      <c r="AY48" s="93">
        <f>IF(AND($T48=1,AY$5&lt;=$H48),INDEX(Mortality!$B$4:$E$64,MATCH($D48+AY$5-1,Mortality!$A$4:$A$64,0),$U48)*$V48*$N48,0)</f>
        <v>1.0197007247015569E-3</v>
      </c>
      <c r="AZ48" s="93">
        <f>IF(AND($T48=1,AZ$5&lt;=$H48),INDEX(Mortality!$B$4:$E$64,MATCH($D48+AZ$5-1,Mortality!$A$4:$A$64,0),$U48)*$V48*$N48,0)</f>
        <v>1.1046286079679801E-3</v>
      </c>
      <c r="BA48" s="93">
        <f>IF(AND($T48=1,BA$5&lt;=$H48),INDEX(Mortality!$B$4:$E$64,MATCH($D48+BA$5-1,Mortality!$A$4:$A$64,0),$U48)*$V48*$N48,0)</f>
        <v>1.1966298855955034E-3</v>
      </c>
      <c r="BB48" s="93">
        <f>IF(AND($T48=1,BB$5&lt;=$H48),INDEX(Mortality!$B$4:$E$64,MATCH($D48+BB$5-1,Mortality!$A$4:$A$64,0),$U48)*$V48*$N48,0)</f>
        <v>1.296293679858974E-3</v>
      </c>
      <c r="BC48" s="93">
        <f>IF(AND($T48=1,BC$5&lt;=$H48),INDEX(Mortality!$B$4:$E$64,MATCH($D48+BC$5-1,Mortality!$A$4:$A$64,0),$U48)*$V48*$N48,0)</f>
        <v>1.4042581793000095E-3</v>
      </c>
      <c r="BD48" s="93">
        <f>IF(AND($T48=1,BD$5&lt;=$H48),INDEX(Mortality!$B$4:$E$64,MATCH($D48+BD$5-1,Mortality!$A$4:$A$64,0),$U48)*$V48*$N48,0)</f>
        <v>1.5212147253124836E-3</v>
      </c>
      <c r="BE48" s="93">
        <f>IF(AND($T48=1,BE$5&lt;=$H48),INDEX(Mortality!$B$4:$E$64,MATCH($D48+BE$5-1,Mortality!$A$4:$A$64,0),$U48)*$V48*$N48,0)</f>
        <v>1.6479122390877256E-3</v>
      </c>
      <c r="BF48" s="93">
        <f>IF(AND($T48=1,BF$5&lt;=$H48),INDEX(Mortality!$B$4:$E$64,MATCH($D48+BF$5-1,Mortality!$A$4:$A$64,0),$U48)*$V48*$N48,0)</f>
        <v>1.7851620172670178E-3</v>
      </c>
      <c r="BG48" s="93">
        <f>IF(AND($T48=1,BG$5&lt;=$H48),INDEX(Mortality!$B$4:$E$64,MATCH($D48+BG$5-1,Mortality!$A$4:$A$64,0),$U48)*$V48*$N48,0)</f>
        <v>1.9338429270099105E-3</v>
      </c>
      <c r="BH48" s="93">
        <f>IF(AND($T48=1,BH$5&lt;=$H48),INDEX(Mortality!$B$4:$E$64,MATCH($D48+BH$5-1,Mortality!$A$4:$A$64,0),$U48)*$V48*$N48,0)</f>
        <v>2.0949070337445133E-3</v>
      </c>
      <c r="BI48" s="93">
        <f>IF(AND($T48=1,BI$5&lt;=$H48),INDEX(Mortality!$B$4:$E$64,MATCH($D48+BI$5-1,Mortality!$A$4:$A$64,0),$U48)*$V48*$N48,0)</f>
        <v>2.2693856976367418E-3</v>
      </c>
      <c r="BJ48" s="93">
        <f>IF(AND($T48=1,BJ$5&lt;=$H48),INDEX(Mortality!$B$4:$E$64,MATCH($D48+BJ$5-1,Mortality!$A$4:$A$64,0),$U48)*$V48*$N48,0)</f>
        <v>0</v>
      </c>
      <c r="BK48" s="93">
        <f>IF(AND($T48=1,BK$5&lt;=$H48),INDEX(Mortality!$B$4:$E$64,MATCH($D48+BK$5-1,Mortality!$A$4:$A$64,0),$U48)*$V48*$N48,0)</f>
        <v>0</v>
      </c>
      <c r="BL48" s="93">
        <f>IF(AND($T48=1,BL$5&lt;=$H48),INDEX(Mortality!$B$4:$E$64,MATCH($D48+BL$5-1,Mortality!$A$4:$A$64,0),$U48)*$V48*$N48,0)</f>
        <v>0</v>
      </c>
      <c r="BM48" s="93">
        <f>IF(AND($T48=1,BM$5&lt;=$H48),INDEX(Mortality!$B$4:$E$64,MATCH($D48+BM$5-1,Mortality!$A$4:$A$64,0),$U48)*$V48*$N48,0)</f>
        <v>0</v>
      </c>
      <c r="BN48" s="93">
        <f>IF(AND($T48=1,BN$5&lt;=$H48),INDEX(Mortality!$B$4:$E$64,MATCH($D48+BN$5-1,Mortality!$A$4:$A$64,0),$U48)*$V48*$N48,0)</f>
        <v>0</v>
      </c>
      <c r="BO48" s="93">
        <f>IF(AND($T48=1,BO$5&lt;=$H48),INDEX(Mortality!$B$4:$E$64,MATCH($D48+BO$5-1,Mortality!$A$4:$A$64,0),$U48)*$V48*$N48,0)</f>
        <v>0</v>
      </c>
      <c r="BP48" s="93">
        <f>IF(AND($T48=1,BP$5&lt;=$H48),INDEX(Mortality!$B$4:$E$64,MATCH($D48+BP$5-1,Mortality!$A$4:$A$64,0),$U48)*$V48*$N48,0)</f>
        <v>0</v>
      </c>
      <c r="BQ48" s="93">
        <f>IF(AND($T48=1,BQ$5&lt;=$H48),INDEX(Mortality!$B$4:$E$64,MATCH($D48+BQ$5-1,Mortality!$A$4:$A$64,0),$U48)*$V48*$N48,0)</f>
        <v>0</v>
      </c>
      <c r="BR48" s="93">
        <f>IF(AND($T48=1,BR$5&lt;=$H48),INDEX(Mortality!$B$4:$E$64,MATCH($D48+BR$5-1,Mortality!$A$4:$A$64,0),$U48)*$V48*$N48,0)</f>
        <v>0</v>
      </c>
      <c r="BS48" s="93">
        <f>IF(AND($T48=1,BS$5&lt;=$H48),INDEX(Mortality!$B$4:$E$64,MATCH($D48+BS$5-1,Mortality!$A$4:$A$64,0),$U48)*$V48*$N48,0)</f>
        <v>0</v>
      </c>
      <c r="BT48" s="93">
        <f>IF(AND($T48=1,BT$5&lt;=$H48),INDEX(Mortality!$B$4:$E$64,MATCH($D48+BT$5-1,Mortality!$A$4:$A$64,0),$U48)*$V48*$N48,0)</f>
        <v>0</v>
      </c>
      <c r="BU48" s="93">
        <f>IF(AND($T48=1,BU$5&lt;=$H48),INDEX(Mortality!$B$4:$E$64,MATCH($D48+BU$5-1,Mortality!$A$4:$A$64,0),$U48)*$V48*$N48,0)</f>
        <v>0</v>
      </c>
      <c r="BV48" s="93">
        <f>IF(AND($T48=1,BV$5&lt;=$H48),INDEX(Mortality!$B$4:$E$64,MATCH($D48+BV$5-1,Mortality!$A$4:$A$64,0),$U48)*$V48*$N48,0)</f>
        <v>0</v>
      </c>
      <c r="BW48" s="93">
        <f>IF(AND($T48=1,BW$5&lt;=$H48),INDEX(Mortality!$B$4:$E$64,MATCH($D48+BW$5-1,Mortality!$A$4:$A$64,0),$U48)*$V48*$N48,0)</f>
        <v>0</v>
      </c>
      <c r="BX48" s="93">
        <f>IF(AND($T48=1,BX$5&lt;=$H48),INDEX(Mortality!$B$4:$E$64,MATCH($D48+BX$5-1,Mortality!$A$4:$A$64,0),$U48)*$V48*$N48,0)</f>
        <v>0</v>
      </c>
      <c r="BY48" s="93">
        <f>IF(AND($T48=1,BY$5&lt;=$H48),INDEX(Mortality!$B$4:$E$64,MATCH($D48+BY$5-1,Mortality!$A$4:$A$64,0),$U48)*$V48*$N48,0)</f>
        <v>0</v>
      </c>
      <c r="BZ48" s="93">
        <f>IF(AND($T48=1,BZ$5&lt;=$H48),INDEX(Mortality!$B$4:$E$64,MATCH($D48+BZ$5-1,Mortality!$A$4:$A$64,0),$U48)*$V48*$N48,0)</f>
        <v>0</v>
      </c>
      <c r="CA48" s="93">
        <f>IF(AND($T48=1,CA$5&lt;=$H48),INDEX(Mortality!$B$4:$E$64,MATCH($D48+CA$5-1,Mortality!$A$4:$A$64,0),$U48)*$V48*$N48,0)</f>
        <v>0</v>
      </c>
      <c r="CB48" s="93">
        <f>IF(AND($T48=1,CB$5&lt;=$H48),INDEX(Mortality!$B$4:$E$64,MATCH($D48+CB$5-1,Mortality!$A$4:$A$64,0),$U48)*$V48*$N48,0)</f>
        <v>0</v>
      </c>
      <c r="CC48" s="93">
        <f>IF(AND($T48=1,CC$5&lt;=$H48),INDEX(Mortality!$B$4:$E$64,MATCH($D48+CC$5-1,Mortality!$A$4:$A$64,0),$U48)*$V48*$N48,0)</f>
        <v>0</v>
      </c>
      <c r="CD48" s="93">
        <f>IF(AND($T48=1,CD$5&lt;=$H48),INDEX(Mortality!$B$4:$E$64,MATCH($D48+CD$5-1,Mortality!$A$4:$A$64,0),$U48)*$V48*$N48,0)</f>
        <v>0</v>
      </c>
      <c r="CE48" s="93">
        <f>IF(AND($T48=1,CE$5&lt;=$H48),INDEX(Mortality!$B$4:$E$64,MATCH($D48+CE$5-1,Mortality!$A$4:$A$64,0),$U48)*$V48*$N48,0)</f>
        <v>0</v>
      </c>
      <c r="CF48" s="93">
        <f>IF(AND($T48=1,CF$5&lt;=$H48),INDEX(Mortality!$B$4:$E$64,MATCH($D48+CF$5-1,Mortality!$A$4:$A$64,0),$U48)*$V48*$N48,0)</f>
        <v>0</v>
      </c>
      <c r="CG48" s="93">
        <f>IF(AND($T48=1,CG$5&lt;=$H48),INDEX(Mortality!$B$4:$E$64,MATCH($D48+CG$5-1,Mortality!$A$4:$A$64,0),$U48)*$V48*$N48,0)</f>
        <v>0</v>
      </c>
      <c r="CH48" s="94">
        <f>IF(AND($T48=1,CH$5&lt;=$H48),INDEX(Mortality!$B$4:$E$64,MATCH($D48+CH$5-1,Mortality!$A$4:$A$64,0),$U48)*$V48*$N48,0)</f>
        <v>0</v>
      </c>
      <c r="CI48" s="26"/>
      <c r="CJ48" s="419">
        <f t="shared" si="35"/>
        <v>1</v>
      </c>
      <c r="CK48" s="93">
        <f>IF(AND($T48=1,CK$5&lt;=$H48),CJ48*(1-AU48)*(1-MIN(1,MAX(Assumptions!$C$27,Assumptions!$C$13*Assumptions!$C$28^(CJ$5-1))*$O48)),0)</f>
        <v>0.87934839986457614</v>
      </c>
      <c r="CL48" s="93">
        <f>IF(AND($T48=1,CL$5&lt;=$H48),CK48*(1-AV48)*(1-MIN(1,MAX(Assumptions!$C$27,Assumptions!$C$13*Assumptions!$C$28^(CK$5-1))*$O48)),0)</f>
        <v>0.78902146117134264</v>
      </c>
      <c r="CM48" s="93">
        <f>IF(AND($T48=1,CM$5&lt;=$H48),CL48*(1-AW48)*(1-MIN(1,MAX(Assumptions!$C$27,Assumptions!$C$13*Assumptions!$C$28^(CL$5-1))*$O48)),0)</f>
        <v>0.71998713679139481</v>
      </c>
      <c r="CN48" s="93">
        <f>IF(AND($T48=1,CN$5&lt;=$H48),CM48*(1-AX48)*(1-MIN(1,MAX(Assumptions!$C$27,Assumptions!$C$13*Assumptions!$C$28^(CM$5-1))*$O48)),0)</f>
        <v>0.66629990411034412</v>
      </c>
      <c r="CO48" s="93">
        <f>IF(AND($T48=1,CO$5&lt;=$H48),CN48*(1-AY48)*(1-MIN(1,MAX(Assumptions!$C$27,Assumptions!$C$13*Assumptions!$C$28^(CN$5-1))*$O48)),0)</f>
        <v>0.62392551168207644</v>
      </c>
      <c r="CP48" s="93">
        <f>IF(AND($T48=1,CP$5&lt;=$H48),CO48*(1-AZ48)*(1-MIN(1,MAX(Assumptions!$C$27,Assumptions!$C$13*Assumptions!$C$28^(CO$5-1))*$O48)),0)</f>
        <v>0.59005231453812312</v>
      </c>
      <c r="CQ48" s="93">
        <f>IF(AND($T48=1,CQ$5&lt;=$H48),CP48*(1-BA48)*(1-MIN(1,MAX(Assumptions!$C$27,Assumptions!$C$13*Assumptions!$C$28^(CP$5-1))*$O48)),0)</f>
        <v>0.56267364241653195</v>
      </c>
      <c r="CR48" s="93">
        <f>IF(AND($T48=1,CR$5&lt;=$H48),CQ48*(1-BB48)*(1-MIN(1,MAX(Assumptions!$C$27,Assumptions!$C$13*Assumptions!$C$28^(CQ$5-1))*$O48)),0)</f>
        <v>0.54032667787513611</v>
      </c>
      <c r="CS48" s="93">
        <f>IF(AND($T48=1,CS$5&lt;=$H48),CR48*(1-BC48)*(1-MIN(1,MAX(Assumptions!$C$27,Assumptions!$C$13*Assumptions!$C$28^(CR$5-1))*$O48)),0)</f>
        <v>0.52192466222964506</v>
      </c>
      <c r="CT48" s="93">
        <f>IF(AND($T48=1,CT$5&lt;=$H48),CS48*(1-BD48)*(1-MIN(1,MAX(Assumptions!$C$27,Assumptions!$C$13*Assumptions!$C$28^(CS$5-1))*$O48)),0)</f>
        <v>0.50664637850976946</v>
      </c>
      <c r="CU48" s="93">
        <f>IF(AND($T48=1,CU$5&lt;=$H48),CT48*(1-BE48)*(1-MIN(1,MAX(Assumptions!$C$27,Assumptions!$C$13*Assumptions!$C$28^(CT$5-1))*$O48)),0)</f>
        <v>0.49386170992404066</v>
      </c>
      <c r="CV48" s="93">
        <f>IF(AND($T48=1,CV$5&lt;=$H48),CU48*(1-BF48)*(1-MIN(1,MAX(Assumptions!$C$27,Assumptions!$C$13*Assumptions!$C$28^(CU$5-1))*$O48)),0)</f>
        <v>0.48308046034261115</v>
      </c>
      <c r="CW48" s="93">
        <f>IF(AND($T48=1,CW$5&lt;=$H48),CV48*(1-BG48)*(1-MIN(1,MAX(Assumptions!$C$27,Assumptions!$C$13*Assumptions!$C$28^(CV$5-1))*$O48)),0)</f>
        <v>0.47250333343897688</v>
      </c>
      <c r="CX48" s="93">
        <f>IF(AND($T48=1,CX$5&lt;=$H48),CW48*(1-BH48)*(1-MIN(1,MAX(Assumptions!$C$27,Assumptions!$C$13*Assumptions!$C$28^(CW$5-1))*$O48)),0)</f>
        <v>0.46208321322464208</v>
      </c>
      <c r="CY48" s="93">
        <f>IF(AND($T48=1,CY$5&lt;=$H48),CX48*(1-BI48)*(1-MIN(1,MAX(Assumptions!$C$27,Assumptions!$C$13*Assumptions!$C$28^(CX$5-1))*$O48)),0)</f>
        <v>0</v>
      </c>
      <c r="CZ48" s="93">
        <f>IF(AND($T48=1,CZ$5&lt;=$H48),CY48*(1-BJ48)*(1-MIN(1,MAX(Assumptions!$C$27,Assumptions!$C$13*Assumptions!$C$28^(CY$5-1))*$O48)),0)</f>
        <v>0</v>
      </c>
      <c r="DA48" s="93">
        <f>IF(AND($T48=1,DA$5&lt;=$H48),CZ48*(1-BK48)*(1-MIN(1,MAX(Assumptions!$C$27,Assumptions!$C$13*Assumptions!$C$28^(CZ$5-1))*$O48)),0)</f>
        <v>0</v>
      </c>
      <c r="DB48" s="93">
        <f>IF(AND($T48=1,DB$5&lt;=$H48),DA48*(1-BL48)*(1-MIN(1,MAX(Assumptions!$C$27,Assumptions!$C$13*Assumptions!$C$28^(DA$5-1))*$O48)),0)</f>
        <v>0</v>
      </c>
      <c r="DC48" s="93">
        <f>IF(AND($T48=1,DC$5&lt;=$H48),DB48*(1-BM48)*(1-MIN(1,MAX(Assumptions!$C$27,Assumptions!$C$13*Assumptions!$C$28^(DB$5-1))*$O48)),0)</f>
        <v>0</v>
      </c>
      <c r="DD48" s="93">
        <f>IF(AND($T48=1,DD$5&lt;=$H48),DC48*(1-BN48)*(1-MIN(1,MAX(Assumptions!$C$27,Assumptions!$C$13*Assumptions!$C$28^(DC$5-1))*$O48)),0)</f>
        <v>0</v>
      </c>
      <c r="DE48" s="93">
        <f>IF(AND($T48=1,DE$5&lt;=$H48),DD48*(1-BO48)*(1-MIN(1,MAX(Assumptions!$C$27,Assumptions!$C$13*Assumptions!$C$28^(DD$5-1))*$O48)),0)</f>
        <v>0</v>
      </c>
      <c r="DF48" s="93">
        <f>IF(AND($T48=1,DF$5&lt;=$H48),DE48*(1-BP48)*(1-MIN(1,MAX(Assumptions!$C$27,Assumptions!$C$13*Assumptions!$C$28^(DE$5-1))*$O48)),0)</f>
        <v>0</v>
      </c>
      <c r="DG48" s="93">
        <f>IF(AND($T48=1,DG$5&lt;=$H48),DF48*(1-BQ48)*(1-MIN(1,MAX(Assumptions!$C$27,Assumptions!$C$13*Assumptions!$C$28^(DF$5-1))*$O48)),0)</f>
        <v>0</v>
      </c>
      <c r="DH48" s="93">
        <f>IF(AND($T48=1,DH$5&lt;=$H48),DG48*(1-BR48)*(1-MIN(1,MAX(Assumptions!$C$27,Assumptions!$C$13*Assumptions!$C$28^(DG$5-1))*$O48)),0)</f>
        <v>0</v>
      </c>
      <c r="DI48" s="93">
        <f>IF(AND($T48=1,DI$5&lt;=$H48),DH48*(1-BS48)*(1-MIN(1,MAX(Assumptions!$C$27,Assumptions!$C$13*Assumptions!$C$28^(DH$5-1))*$O48)),0)</f>
        <v>0</v>
      </c>
      <c r="DJ48" s="93">
        <f>IF(AND($T48=1,DJ$5&lt;=$H48),DI48*(1-BT48)*(1-MIN(1,MAX(Assumptions!$C$27,Assumptions!$C$13*Assumptions!$C$28^(DI$5-1))*$O48)),0)</f>
        <v>0</v>
      </c>
      <c r="DK48" s="93">
        <f>IF(AND($T48=1,DK$5&lt;=$H48),DJ48*(1-BU48)*(1-MIN(1,MAX(Assumptions!$C$27,Assumptions!$C$13*Assumptions!$C$28^(DJ$5-1))*$O48)),0)</f>
        <v>0</v>
      </c>
      <c r="DL48" s="93">
        <f>IF(AND($T48=1,DL$5&lt;=$H48),DK48*(1-BV48)*(1-MIN(1,MAX(Assumptions!$C$27,Assumptions!$C$13*Assumptions!$C$28^(DK$5-1))*$O48)),0)</f>
        <v>0</v>
      </c>
      <c r="DM48" s="93">
        <f>IF(AND($T48=1,DM$5&lt;=$H48),DL48*(1-BW48)*(1-MIN(1,MAX(Assumptions!$C$27,Assumptions!$C$13*Assumptions!$C$28^(DL$5-1))*$O48)),0)</f>
        <v>0</v>
      </c>
      <c r="DN48" s="93">
        <f>IF(AND($T48=1,DN$5&lt;=$H48),DM48*(1-BX48)*(1-MIN(1,MAX(Assumptions!$C$27,Assumptions!$C$13*Assumptions!$C$28^(DM$5-1))*$O48)),0)</f>
        <v>0</v>
      </c>
      <c r="DO48" s="93">
        <f>IF(AND($T48=1,DO$5&lt;=$H48),DN48*(1-BY48)*(1-MIN(1,MAX(Assumptions!$C$27,Assumptions!$C$13*Assumptions!$C$28^(DN$5-1))*$O48)),0)</f>
        <v>0</v>
      </c>
      <c r="DP48" s="93">
        <f>IF(AND($T48=1,DP$5&lt;=$H48),DO48*(1-BZ48)*(1-MIN(1,MAX(Assumptions!$C$27,Assumptions!$C$13*Assumptions!$C$28^(DO$5-1))*$O48)),0)</f>
        <v>0</v>
      </c>
      <c r="DQ48" s="93">
        <f>IF(AND($T48=1,DQ$5&lt;=$H48),DP48*(1-CA48)*(1-MIN(1,MAX(Assumptions!$C$27,Assumptions!$C$13*Assumptions!$C$28^(DP$5-1))*$O48)),0)</f>
        <v>0</v>
      </c>
      <c r="DR48" s="93">
        <f>IF(AND($T48=1,DR$5&lt;=$H48),DQ48*(1-CB48)*(1-MIN(1,MAX(Assumptions!$C$27,Assumptions!$C$13*Assumptions!$C$28^(DQ$5-1))*$O48)),0)</f>
        <v>0</v>
      </c>
      <c r="DS48" s="93">
        <f>IF(AND($T48=1,DS$5&lt;=$H48),DR48*(1-CC48)*(1-MIN(1,MAX(Assumptions!$C$27,Assumptions!$C$13*Assumptions!$C$28^(DR$5-1))*$O48)),0)</f>
        <v>0</v>
      </c>
      <c r="DT48" s="93">
        <f>IF(AND($T48=1,DT$5&lt;=$H48),DS48*(1-CD48)*(1-MIN(1,MAX(Assumptions!$C$27,Assumptions!$C$13*Assumptions!$C$28^(DS$5-1))*$O48)),0)</f>
        <v>0</v>
      </c>
      <c r="DU48" s="93">
        <f>IF(AND($T48=1,DU$5&lt;=$H48),DT48*(1-CE48)*(1-MIN(1,MAX(Assumptions!$C$27,Assumptions!$C$13*Assumptions!$C$28^(DT$5-1))*$O48)),0)</f>
        <v>0</v>
      </c>
      <c r="DV48" s="93">
        <f>IF(AND($T48=1,DV$5&lt;=$H48),DU48*(1-CF48)*(1-MIN(1,MAX(Assumptions!$C$27,Assumptions!$C$13*Assumptions!$C$28^(DU$5-1))*$O48)),0)</f>
        <v>0</v>
      </c>
      <c r="DW48" s="94">
        <f>IF(AND($T48=1,DW$5&lt;=$H48),DV48*(1-CG48)*(1-MIN(1,MAX(Assumptions!$C$27,Assumptions!$C$13*Assumptions!$C$28^(DV$5-1))*$O48)),0)</f>
        <v>0</v>
      </c>
      <c r="DX48" s="26"/>
      <c r="DY48" s="399">
        <f>'Policy Data'!K22</f>
        <v>5</v>
      </c>
      <c r="DZ48" s="100">
        <f>'Policy Data'!L22</f>
        <v>0.93559999999999999</v>
      </c>
      <c r="EA48" s="100">
        <f>'Policy Data'!N22</f>
        <v>6.9300000000000004E-4</v>
      </c>
      <c r="EB48" s="93" cm="1">
        <f t="array" ref="EB48">IFERROR(DZ48*INDEX(Mortality!$B$4:$E$64,MATCH(D48+DY48-1,Mortality!$A$4:$A$64,0),U48)*V48,0)</f>
        <v>9.5403199803077677E-4</v>
      </c>
      <c r="EC48" s="100">
        <f>'Policy Data'!O22</f>
        <v>0</v>
      </c>
      <c r="ED48" s="400">
        <f>'Policy Data'!Q22</f>
        <v>0</v>
      </c>
    </row>
    <row r="49" spans="1:134" x14ac:dyDescent="0.3">
      <c r="A49" s="399" t="str">
        <f>'Policy Data'!A23</f>
        <v>POL100019</v>
      </c>
      <c r="B49" s="26" t="s">
        <v>426</v>
      </c>
      <c r="C49" s="100" t="str">
        <f>'Policy Data'!B23</f>
        <v>Term Life</v>
      </c>
      <c r="D49" s="100">
        <f>'Policy Data'!C23</f>
        <v>24</v>
      </c>
      <c r="E49" s="100" t="str">
        <f>'Policy Data'!D23</f>
        <v>Female</v>
      </c>
      <c r="F49" s="100" t="str">
        <f>'Policy Data'!E23</f>
        <v>Smoker</v>
      </c>
      <c r="G49" s="100" t="str">
        <f>'Policy Data'!F23</f>
        <v>Standard</v>
      </c>
      <c r="H49" s="100">
        <f>'Policy Data'!G23</f>
        <v>10</v>
      </c>
      <c r="I49" s="279">
        <f>'Policy Data'!H23</f>
        <v>500000</v>
      </c>
      <c r="J49" s="100" t="str">
        <f>'Policy Data'!I23</f>
        <v>Monthly</v>
      </c>
      <c r="K49" s="100" t="str">
        <f>'Policy Data'!J23</f>
        <v>Bancassurance</v>
      </c>
      <c r="L49" s="26" t="s">
        <v>389</v>
      </c>
      <c r="M49" s="106">
        <f>'Policy Data'!R23</f>
        <v>1200</v>
      </c>
      <c r="N49" s="415">
        <f>Assumptions!$C$21</f>
        <v>1</v>
      </c>
      <c r="O49" s="415">
        <f>Assumptions!$C$22</f>
        <v>1</v>
      </c>
      <c r="P49" s="415">
        <f>Assumptions!$C$23</f>
        <v>1</v>
      </c>
      <c r="Q49" s="416">
        <f>Assumptions!$C$24</f>
        <v>0</v>
      </c>
      <c r="R49" s="416">
        <f>Assumptions!$C$6+Assumptions!$C$25</f>
        <v>3.5000000000000003E-2</v>
      </c>
      <c r="S49" s="416">
        <f>Assumptions!$C$15</f>
        <v>1.1000000000000001E-3</v>
      </c>
      <c r="T49" s="26">
        <f t="shared" si="18"/>
        <v>1</v>
      </c>
      <c r="U49" s="26">
        <f t="shared" si="19"/>
        <v>2</v>
      </c>
      <c r="V49" s="389">
        <f>IF($G49="Preferred",Assumptions!$C$30,IF($G49="Rated",Assumptions!$C$31,1))</f>
        <v>1</v>
      </c>
      <c r="W49" s="390">
        <f>IF($K49="Direct",Assumptions!$C$32,IF($K49="Broker",Assumptions!$C$33,IF($K49="Bancassurance",Assumptions!$C$34,Assumptions!$C$11)))+$Q49</f>
        <v>0.2</v>
      </c>
      <c r="X49" s="390">
        <f>Assumptions!$C$12+$Q49</f>
        <v>0.05</v>
      </c>
      <c r="Y49" s="131">
        <f>MIN($I49,Assumptions!$C$14)</f>
        <v>500000</v>
      </c>
      <c r="Z49" s="131">
        <f>MAX($I49-Assumptions!$C$14,0)</f>
        <v>0</v>
      </c>
      <c r="AA49" s="389">
        <f t="shared" si="20"/>
        <v>5.86140626491457</v>
      </c>
      <c r="AB49" s="389">
        <f t="shared" si="21"/>
        <v>3.1409045897161378E-3</v>
      </c>
      <c r="AC49" s="389">
        <f>IF($T49=1,SUMPRODUCT($CJ49:$DW49,(1+Assumptions!$C$5)^($CJ$5:$DW$5-1),(1+$R49)^(-$CJ$5:$DW$5)),0)</f>
        <v>6.7992217540692632</v>
      </c>
      <c r="AD49" s="389">
        <f t="shared" si="22"/>
        <v>0.43799784947761261</v>
      </c>
      <c r="AE49" s="131">
        <f>IF($T49=1,$AB49*$Y49+(Assumptions!$C$9/(1+$R49)+Assumptions!$C$10*$AC49)*$P49+$S49*$Z49*$AA49,0)</f>
        <v>3935.846298144611</v>
      </c>
      <c r="AF49" s="131">
        <f>IF($T49=1,IF($AA49-$AD49-Assumptions!$C$16*$AA49&gt;0,$AE49/($AA49-$AD49-Assumptions!$C$16*$AA49)*IF($J49="Monthly",1+Assumptions!$C$29,1),"n.a."),"")</f>
        <v>818.23090729255398</v>
      </c>
      <c r="AG49" s="131">
        <f t="shared" si="23"/>
        <v>1200</v>
      </c>
      <c r="AH49" s="131">
        <f t="shared" si="24"/>
        <v>7033.6875178974842</v>
      </c>
      <c r="AI49" s="131">
        <f t="shared" si="25"/>
        <v>2572.2438003797379</v>
      </c>
      <c r="AJ49" s="390">
        <f t="shared" si="26"/>
        <v>0.36570345126003484</v>
      </c>
      <c r="AK49" s="389">
        <f t="shared" si="27"/>
        <v>1.4665786751696812</v>
      </c>
      <c r="AL49" s="131">
        <f t="shared" si="28"/>
        <v>0</v>
      </c>
      <c r="AM49" s="131">
        <f t="shared" si="29"/>
        <v>0</v>
      </c>
      <c r="AN49" s="131">
        <f t="shared" si="30"/>
        <v>0</v>
      </c>
      <c r="AO49" s="131">
        <f t="shared" si="31"/>
        <v>2572.2438003797379</v>
      </c>
      <c r="AP49" s="26" t="str">
        <f t="shared" si="32"/>
        <v>20-29</v>
      </c>
      <c r="AQ49" s="26" t="str">
        <f t="shared" si="33"/>
        <v>250k-500k</v>
      </c>
      <c r="AR49" s="26" t="str">
        <f>IF($T49=1,IF($AI49&lt;0,"Loss-making",IF($AJ49&lt;Assumptions!$C$16-0.00001,"Below target","At/above target")),"Excluded")</f>
        <v>At/above target</v>
      </c>
      <c r="AS49" s="103">
        <f t="shared" si="34"/>
        <v>2572.2438493797381</v>
      </c>
      <c r="AT49" s="26"/>
      <c r="AU49" s="419">
        <f>IF(AND($T49=1,AU$5&lt;=$H49),INDEX(Mortality!$B$4:$E$64,MATCH($D49+AU$5-1,Mortality!$A$4:$A$64,0),$U49)*$V49*$N49,0)</f>
        <v>3.9052966815365098E-4</v>
      </c>
      <c r="AV49" s="93">
        <f>IF(AND($T49=1,AV$5&lt;=$H49),INDEX(Mortality!$B$4:$E$64,MATCH($D49+AV$5-1,Mortality!$A$4:$A$64,0),$U49)*$V49*$N49,0)</f>
        <v>4.2305573905424302E-4</v>
      </c>
      <c r="AW49" s="93">
        <f>IF(AND($T49=1,AW$5&lt;=$H49),INDEX(Mortality!$B$4:$E$64,MATCH($D49+AW$5-1,Mortality!$A$4:$A$64,0),$U49)*$V49*$N49,0)</f>
        <v>4.5829081102313302E-4</v>
      </c>
      <c r="AX49" s="93">
        <f>IF(AND($T49=1,AX$5&lt;=$H49),INDEX(Mortality!$B$4:$E$64,MATCH($D49+AX$5-1,Mortality!$A$4:$A$64,0),$U49)*$V49*$N49,0)</f>
        <v>4.9646050881562895E-4</v>
      </c>
      <c r="AY49" s="93">
        <f>IF(AND($T49=1,AY$5&lt;=$H49),INDEX(Mortality!$B$4:$E$64,MATCH($D49+AY$5-1,Mortality!$A$4:$A$64,0),$U49)*$V49*$N49,0)</f>
        <v>5.378092488113E-4</v>
      </c>
      <c r="AZ49" s="93">
        <f>IF(AND($T49=1,AZ$5&lt;=$H49),INDEX(Mortality!$B$4:$E$64,MATCH($D49+AZ$5-1,Mortality!$A$4:$A$64,0),$U49)*$V49*$N49,0)</f>
        <v>5.8260180411326499E-4</v>
      </c>
      <c r="BA49" s="93">
        <f>IF(AND($T49=1,BA$5&lt;=$H49),INDEX(Mortality!$B$4:$E$64,MATCH($D49+BA$5-1,Mortality!$A$4:$A$64,0),$U49)*$V49*$N49,0)</f>
        <v>6.3112499999999996E-4</v>
      </c>
      <c r="BB49" s="93">
        <f>IF(AND($T49=1,BB$5&lt;=$H49),INDEX(Mortality!$B$4:$E$64,MATCH($D49+BB$5-1,Mortality!$A$4:$A$64,0),$U49)*$V49*$N49,0)</f>
        <v>6.8368955058635799E-4</v>
      </c>
      <c r="BC49" s="93">
        <f>IF(AND($T49=1,BC$5&lt;=$H49),INDEX(Mortality!$B$4:$E$64,MATCH($D49+BC$5-1,Mortality!$A$4:$A$64,0),$U49)*$V49*$N49,0)</f>
        <v>7.4063204845470603E-4</v>
      </c>
      <c r="BD49" s="93">
        <f>IF(AND($T49=1,BD$5&lt;=$H49),INDEX(Mortality!$B$4:$E$64,MATCH($D49+BD$5-1,Mortality!$A$4:$A$64,0),$U49)*$V49*$N49,0)</f>
        <v>8.0231711999659695E-4</v>
      </c>
      <c r="BE49" s="93">
        <f>IF(AND($T49=1,BE$5&lt;=$H49),INDEX(Mortality!$B$4:$E$64,MATCH($D49+BE$5-1,Mortality!$A$4:$A$64,0),$U49)*$V49*$N49,0)</f>
        <v>0</v>
      </c>
      <c r="BF49" s="93">
        <f>IF(AND($T49=1,BF$5&lt;=$H49),INDEX(Mortality!$B$4:$E$64,MATCH($D49+BF$5-1,Mortality!$A$4:$A$64,0),$U49)*$V49*$N49,0)</f>
        <v>0</v>
      </c>
      <c r="BG49" s="93">
        <f>IF(AND($T49=1,BG$5&lt;=$H49),INDEX(Mortality!$B$4:$E$64,MATCH($D49+BG$5-1,Mortality!$A$4:$A$64,0),$U49)*$V49*$N49,0)</f>
        <v>0</v>
      </c>
      <c r="BH49" s="93">
        <f>IF(AND($T49=1,BH$5&lt;=$H49),INDEX(Mortality!$B$4:$E$64,MATCH($D49+BH$5-1,Mortality!$A$4:$A$64,0),$U49)*$V49*$N49,0)</f>
        <v>0</v>
      </c>
      <c r="BI49" s="93">
        <f>IF(AND($T49=1,BI$5&lt;=$H49),INDEX(Mortality!$B$4:$E$64,MATCH($D49+BI$5-1,Mortality!$A$4:$A$64,0),$U49)*$V49*$N49,0)</f>
        <v>0</v>
      </c>
      <c r="BJ49" s="93">
        <f>IF(AND($T49=1,BJ$5&lt;=$H49),INDEX(Mortality!$B$4:$E$64,MATCH($D49+BJ$5-1,Mortality!$A$4:$A$64,0),$U49)*$V49*$N49,0)</f>
        <v>0</v>
      </c>
      <c r="BK49" s="93">
        <f>IF(AND($T49=1,BK$5&lt;=$H49),INDEX(Mortality!$B$4:$E$64,MATCH($D49+BK$5-1,Mortality!$A$4:$A$64,0),$U49)*$V49*$N49,0)</f>
        <v>0</v>
      </c>
      <c r="BL49" s="93">
        <f>IF(AND($T49=1,BL$5&lt;=$H49),INDEX(Mortality!$B$4:$E$64,MATCH($D49+BL$5-1,Mortality!$A$4:$A$64,0),$U49)*$V49*$N49,0)</f>
        <v>0</v>
      </c>
      <c r="BM49" s="93">
        <f>IF(AND($T49=1,BM$5&lt;=$H49),INDEX(Mortality!$B$4:$E$64,MATCH($D49+BM$5-1,Mortality!$A$4:$A$64,0),$U49)*$V49*$N49,0)</f>
        <v>0</v>
      </c>
      <c r="BN49" s="93">
        <f>IF(AND($T49=1,BN$5&lt;=$H49),INDEX(Mortality!$B$4:$E$64,MATCH($D49+BN$5-1,Mortality!$A$4:$A$64,0),$U49)*$V49*$N49,0)</f>
        <v>0</v>
      </c>
      <c r="BO49" s="93">
        <f>IF(AND($T49=1,BO$5&lt;=$H49),INDEX(Mortality!$B$4:$E$64,MATCH($D49+BO$5-1,Mortality!$A$4:$A$64,0),$U49)*$V49*$N49,0)</f>
        <v>0</v>
      </c>
      <c r="BP49" s="93">
        <f>IF(AND($T49=1,BP$5&lt;=$H49),INDEX(Mortality!$B$4:$E$64,MATCH($D49+BP$5-1,Mortality!$A$4:$A$64,0),$U49)*$V49*$N49,0)</f>
        <v>0</v>
      </c>
      <c r="BQ49" s="93">
        <f>IF(AND($T49=1,BQ$5&lt;=$H49),INDEX(Mortality!$B$4:$E$64,MATCH($D49+BQ$5-1,Mortality!$A$4:$A$64,0),$U49)*$V49*$N49,0)</f>
        <v>0</v>
      </c>
      <c r="BR49" s="93">
        <f>IF(AND($T49=1,BR$5&lt;=$H49),INDEX(Mortality!$B$4:$E$64,MATCH($D49+BR$5-1,Mortality!$A$4:$A$64,0),$U49)*$V49*$N49,0)</f>
        <v>0</v>
      </c>
      <c r="BS49" s="93">
        <f>IF(AND($T49=1,BS$5&lt;=$H49),INDEX(Mortality!$B$4:$E$64,MATCH($D49+BS$5-1,Mortality!$A$4:$A$64,0),$U49)*$V49*$N49,0)</f>
        <v>0</v>
      </c>
      <c r="BT49" s="93">
        <f>IF(AND($T49=1,BT$5&lt;=$H49),INDEX(Mortality!$B$4:$E$64,MATCH($D49+BT$5-1,Mortality!$A$4:$A$64,0),$U49)*$V49*$N49,0)</f>
        <v>0</v>
      </c>
      <c r="BU49" s="93">
        <f>IF(AND($T49=1,BU$5&lt;=$H49),INDEX(Mortality!$B$4:$E$64,MATCH($D49+BU$5-1,Mortality!$A$4:$A$64,0),$U49)*$V49*$N49,0)</f>
        <v>0</v>
      </c>
      <c r="BV49" s="93">
        <f>IF(AND($T49=1,BV$5&lt;=$H49),INDEX(Mortality!$B$4:$E$64,MATCH($D49+BV$5-1,Mortality!$A$4:$A$64,0),$U49)*$V49*$N49,0)</f>
        <v>0</v>
      </c>
      <c r="BW49" s="93">
        <f>IF(AND($T49=1,BW$5&lt;=$H49),INDEX(Mortality!$B$4:$E$64,MATCH($D49+BW$5-1,Mortality!$A$4:$A$64,0),$U49)*$V49*$N49,0)</f>
        <v>0</v>
      </c>
      <c r="BX49" s="93">
        <f>IF(AND($T49=1,BX$5&lt;=$H49),INDEX(Mortality!$B$4:$E$64,MATCH($D49+BX$5-1,Mortality!$A$4:$A$64,0),$U49)*$V49*$N49,0)</f>
        <v>0</v>
      </c>
      <c r="BY49" s="93">
        <f>IF(AND($T49=1,BY$5&lt;=$H49),INDEX(Mortality!$B$4:$E$64,MATCH($D49+BY$5-1,Mortality!$A$4:$A$64,0),$U49)*$V49*$N49,0)</f>
        <v>0</v>
      </c>
      <c r="BZ49" s="93">
        <f>IF(AND($T49=1,BZ$5&lt;=$H49),INDEX(Mortality!$B$4:$E$64,MATCH($D49+BZ$5-1,Mortality!$A$4:$A$64,0),$U49)*$V49*$N49,0)</f>
        <v>0</v>
      </c>
      <c r="CA49" s="93">
        <f>IF(AND($T49=1,CA$5&lt;=$H49),INDEX(Mortality!$B$4:$E$64,MATCH($D49+CA$5-1,Mortality!$A$4:$A$64,0),$U49)*$V49*$N49,0)</f>
        <v>0</v>
      </c>
      <c r="CB49" s="93">
        <f>IF(AND($T49=1,CB$5&lt;=$H49),INDEX(Mortality!$B$4:$E$64,MATCH($D49+CB$5-1,Mortality!$A$4:$A$64,0),$U49)*$V49*$N49,0)</f>
        <v>0</v>
      </c>
      <c r="CC49" s="93">
        <f>IF(AND($T49=1,CC$5&lt;=$H49),INDEX(Mortality!$B$4:$E$64,MATCH($D49+CC$5-1,Mortality!$A$4:$A$64,0),$U49)*$V49*$N49,0)</f>
        <v>0</v>
      </c>
      <c r="CD49" s="93">
        <f>IF(AND($T49=1,CD$5&lt;=$H49),INDEX(Mortality!$B$4:$E$64,MATCH($D49+CD$5-1,Mortality!$A$4:$A$64,0),$U49)*$V49*$N49,0)</f>
        <v>0</v>
      </c>
      <c r="CE49" s="93">
        <f>IF(AND($T49=1,CE$5&lt;=$H49),INDEX(Mortality!$B$4:$E$64,MATCH($D49+CE$5-1,Mortality!$A$4:$A$64,0),$U49)*$V49*$N49,0)</f>
        <v>0</v>
      </c>
      <c r="CF49" s="93">
        <f>IF(AND($T49=1,CF$5&lt;=$H49),INDEX(Mortality!$B$4:$E$64,MATCH($D49+CF$5-1,Mortality!$A$4:$A$64,0),$U49)*$V49*$N49,0)</f>
        <v>0</v>
      </c>
      <c r="CG49" s="93">
        <f>IF(AND($T49=1,CG$5&lt;=$H49),INDEX(Mortality!$B$4:$E$64,MATCH($D49+CG$5-1,Mortality!$A$4:$A$64,0),$U49)*$V49*$N49,0)</f>
        <v>0</v>
      </c>
      <c r="CH49" s="94">
        <f>IF(AND($T49=1,CH$5&lt;=$H49),INDEX(Mortality!$B$4:$E$64,MATCH($D49+CH$5-1,Mortality!$A$4:$A$64,0),$U49)*$V49*$N49,0)</f>
        <v>0</v>
      </c>
      <c r="CI49" s="26"/>
      <c r="CJ49" s="419">
        <f t="shared" si="35"/>
        <v>1</v>
      </c>
      <c r="CK49" s="93">
        <f>IF(AND($T49=1,CK$5&lt;=$H49),CJ49*(1-AU49)*(1-MIN(1,MAX(Assumptions!$C$27,Assumptions!$C$13*Assumptions!$C$28^(CJ$5-1))*$O49)),0)</f>
        <v>0.8796563338920248</v>
      </c>
      <c r="CL49" s="93">
        <f>IF(AND($T49=1,CL$5&lt;=$H49),CK49*(1-AV49)*(1-MIN(1,MAX(Assumptions!$C$27,Assumptions!$C$13*Assumptions!$C$28^(CK$5-1))*$O49)),0)</f>
        <v>0.78959720282795565</v>
      </c>
      <c r="CM49" s="93">
        <f>IF(AND($T49=1,CM$5&lt;=$H49),CL49*(1-AW49)*(1-MIN(1,MAX(Assumptions!$C$27,Assumptions!$C$13*Assumptions!$C$28^(CL$5-1))*$O49)),0)</f>
        <v>0.72080863390815808</v>
      </c>
      <c r="CN49" s="93">
        <f>IF(AND($T49=1,CN$5&lt;=$H49),CM49*(1-AX49)*(1-MIN(1,MAX(Assumptions!$C$27,Assumptions!$C$13*Assumptions!$C$28^(CM$5-1))*$O49)),0)</f>
        <v>0.66735716058954131</v>
      </c>
      <c r="CO49" s="93">
        <f>IF(AND($T49=1,CO$5&lt;=$H49),CN49*(1-AY49)*(1-MIN(1,MAX(Assumptions!$C$27,Assumptions!$C$13*Assumptions!$C$28^(CN$5-1))*$O49)),0)</f>
        <v>0.62521697912414564</v>
      </c>
      <c r="CP49" s="93">
        <f>IF(AND($T49=1,CP$5&lt;=$H49),CO49*(1-AZ49)*(1-MIN(1,MAX(Assumptions!$C$27,Assumptions!$C$13*Assumptions!$C$28^(CO$5-1))*$O49)),0)</f>
        <v>0.59158266966628625</v>
      </c>
      <c r="CQ49" s="93">
        <f>IF(AND($T49=1,CQ$5&lt;=$H49),CP49*(1-BA49)*(1-MIN(1,MAX(Assumptions!$C$27,Assumptions!$C$13*Assumptions!$C$28^(CP$5-1))*$O49)),0)</f>
        <v>0.56445239059928909</v>
      </c>
      <c r="CR49" s="93">
        <f>IF(AND($T49=1,CR$5&lt;=$H49),CQ49*(1-BB49)*(1-MIN(1,MAX(Assumptions!$C$27,Assumptions!$C$13*Assumptions!$C$28^(CQ$5-1))*$O49)),0)</f>
        <v>0.54236726561206638</v>
      </c>
      <c r="CS49" s="93">
        <f>IF(AND($T49=1,CS$5&lt;=$H49),CR49*(1-BC49)*(1-MIN(1,MAX(Assumptions!$C$27,Assumptions!$C$13*Assumptions!$C$28^(CR$5-1))*$O49)),0)</f>
        <v>0.52424391307265195</v>
      </c>
      <c r="CT49" s="93">
        <f>IF(AND($T49=1,CT$5&lt;=$H49),CS49*(1-BD49)*(1-MIN(1,MAX(Assumptions!$C$27,Assumptions!$C$13*Assumptions!$C$28^(CS$5-1))*$O49)),0)</f>
        <v>0</v>
      </c>
      <c r="CU49" s="93">
        <f>IF(AND($T49=1,CU$5&lt;=$H49),CT49*(1-BE49)*(1-MIN(1,MAX(Assumptions!$C$27,Assumptions!$C$13*Assumptions!$C$28^(CT$5-1))*$O49)),0)</f>
        <v>0</v>
      </c>
      <c r="CV49" s="93">
        <f>IF(AND($T49=1,CV$5&lt;=$H49),CU49*(1-BF49)*(1-MIN(1,MAX(Assumptions!$C$27,Assumptions!$C$13*Assumptions!$C$28^(CU$5-1))*$O49)),0)</f>
        <v>0</v>
      </c>
      <c r="CW49" s="93">
        <f>IF(AND($T49=1,CW$5&lt;=$H49),CV49*(1-BG49)*(1-MIN(1,MAX(Assumptions!$C$27,Assumptions!$C$13*Assumptions!$C$28^(CV$5-1))*$O49)),0)</f>
        <v>0</v>
      </c>
      <c r="CX49" s="93">
        <f>IF(AND($T49=1,CX$5&lt;=$H49),CW49*(1-BH49)*(1-MIN(1,MAX(Assumptions!$C$27,Assumptions!$C$13*Assumptions!$C$28^(CW$5-1))*$O49)),0)</f>
        <v>0</v>
      </c>
      <c r="CY49" s="93">
        <f>IF(AND($T49=1,CY$5&lt;=$H49),CX49*(1-BI49)*(1-MIN(1,MAX(Assumptions!$C$27,Assumptions!$C$13*Assumptions!$C$28^(CX$5-1))*$O49)),0)</f>
        <v>0</v>
      </c>
      <c r="CZ49" s="93">
        <f>IF(AND($T49=1,CZ$5&lt;=$H49),CY49*(1-BJ49)*(1-MIN(1,MAX(Assumptions!$C$27,Assumptions!$C$13*Assumptions!$C$28^(CY$5-1))*$O49)),0)</f>
        <v>0</v>
      </c>
      <c r="DA49" s="93">
        <f>IF(AND($T49=1,DA$5&lt;=$H49),CZ49*(1-BK49)*(1-MIN(1,MAX(Assumptions!$C$27,Assumptions!$C$13*Assumptions!$C$28^(CZ$5-1))*$O49)),0)</f>
        <v>0</v>
      </c>
      <c r="DB49" s="93">
        <f>IF(AND($T49=1,DB$5&lt;=$H49),DA49*(1-BL49)*(1-MIN(1,MAX(Assumptions!$C$27,Assumptions!$C$13*Assumptions!$C$28^(DA$5-1))*$O49)),0)</f>
        <v>0</v>
      </c>
      <c r="DC49" s="93">
        <f>IF(AND($T49=1,DC$5&lt;=$H49),DB49*(1-BM49)*(1-MIN(1,MAX(Assumptions!$C$27,Assumptions!$C$13*Assumptions!$C$28^(DB$5-1))*$O49)),0)</f>
        <v>0</v>
      </c>
      <c r="DD49" s="93">
        <f>IF(AND($T49=1,DD$5&lt;=$H49),DC49*(1-BN49)*(1-MIN(1,MAX(Assumptions!$C$27,Assumptions!$C$13*Assumptions!$C$28^(DC$5-1))*$O49)),0)</f>
        <v>0</v>
      </c>
      <c r="DE49" s="93">
        <f>IF(AND($T49=1,DE$5&lt;=$H49),DD49*(1-BO49)*(1-MIN(1,MAX(Assumptions!$C$27,Assumptions!$C$13*Assumptions!$C$28^(DD$5-1))*$O49)),0)</f>
        <v>0</v>
      </c>
      <c r="DF49" s="93">
        <f>IF(AND($T49=1,DF$5&lt;=$H49),DE49*(1-BP49)*(1-MIN(1,MAX(Assumptions!$C$27,Assumptions!$C$13*Assumptions!$C$28^(DE$5-1))*$O49)),0)</f>
        <v>0</v>
      </c>
      <c r="DG49" s="93">
        <f>IF(AND($T49=1,DG$5&lt;=$H49),DF49*(1-BQ49)*(1-MIN(1,MAX(Assumptions!$C$27,Assumptions!$C$13*Assumptions!$C$28^(DF$5-1))*$O49)),0)</f>
        <v>0</v>
      </c>
      <c r="DH49" s="93">
        <f>IF(AND($T49=1,DH$5&lt;=$H49),DG49*(1-BR49)*(1-MIN(1,MAX(Assumptions!$C$27,Assumptions!$C$13*Assumptions!$C$28^(DG$5-1))*$O49)),0)</f>
        <v>0</v>
      </c>
      <c r="DI49" s="93">
        <f>IF(AND($T49=1,DI$5&lt;=$H49),DH49*(1-BS49)*(1-MIN(1,MAX(Assumptions!$C$27,Assumptions!$C$13*Assumptions!$C$28^(DH$5-1))*$O49)),0)</f>
        <v>0</v>
      </c>
      <c r="DJ49" s="93">
        <f>IF(AND($T49=1,DJ$5&lt;=$H49),DI49*(1-BT49)*(1-MIN(1,MAX(Assumptions!$C$27,Assumptions!$C$13*Assumptions!$C$28^(DI$5-1))*$O49)),0)</f>
        <v>0</v>
      </c>
      <c r="DK49" s="93">
        <f>IF(AND($T49=1,DK$5&lt;=$H49),DJ49*(1-BU49)*(1-MIN(1,MAX(Assumptions!$C$27,Assumptions!$C$13*Assumptions!$C$28^(DJ$5-1))*$O49)),0)</f>
        <v>0</v>
      </c>
      <c r="DL49" s="93">
        <f>IF(AND($T49=1,DL$5&lt;=$H49),DK49*(1-BV49)*(1-MIN(1,MAX(Assumptions!$C$27,Assumptions!$C$13*Assumptions!$C$28^(DK$5-1))*$O49)),0)</f>
        <v>0</v>
      </c>
      <c r="DM49" s="93">
        <f>IF(AND($T49=1,DM$5&lt;=$H49),DL49*(1-BW49)*(1-MIN(1,MAX(Assumptions!$C$27,Assumptions!$C$13*Assumptions!$C$28^(DL$5-1))*$O49)),0)</f>
        <v>0</v>
      </c>
      <c r="DN49" s="93">
        <f>IF(AND($T49=1,DN$5&lt;=$H49),DM49*(1-BX49)*(1-MIN(1,MAX(Assumptions!$C$27,Assumptions!$C$13*Assumptions!$C$28^(DM$5-1))*$O49)),0)</f>
        <v>0</v>
      </c>
      <c r="DO49" s="93">
        <f>IF(AND($T49=1,DO$5&lt;=$H49),DN49*(1-BY49)*(1-MIN(1,MAX(Assumptions!$C$27,Assumptions!$C$13*Assumptions!$C$28^(DN$5-1))*$O49)),0)</f>
        <v>0</v>
      </c>
      <c r="DP49" s="93">
        <f>IF(AND($T49=1,DP$5&lt;=$H49),DO49*(1-BZ49)*(1-MIN(1,MAX(Assumptions!$C$27,Assumptions!$C$13*Assumptions!$C$28^(DO$5-1))*$O49)),0)</f>
        <v>0</v>
      </c>
      <c r="DQ49" s="93">
        <f>IF(AND($T49=1,DQ$5&lt;=$H49),DP49*(1-CA49)*(1-MIN(1,MAX(Assumptions!$C$27,Assumptions!$C$13*Assumptions!$C$28^(DP$5-1))*$O49)),0)</f>
        <v>0</v>
      </c>
      <c r="DR49" s="93">
        <f>IF(AND($T49=1,DR$5&lt;=$H49),DQ49*(1-CB49)*(1-MIN(1,MAX(Assumptions!$C$27,Assumptions!$C$13*Assumptions!$C$28^(DQ$5-1))*$O49)),0)</f>
        <v>0</v>
      </c>
      <c r="DS49" s="93">
        <f>IF(AND($T49=1,DS$5&lt;=$H49),DR49*(1-CC49)*(1-MIN(1,MAX(Assumptions!$C$27,Assumptions!$C$13*Assumptions!$C$28^(DR$5-1))*$O49)),0)</f>
        <v>0</v>
      </c>
      <c r="DT49" s="93">
        <f>IF(AND($T49=1,DT$5&lt;=$H49),DS49*(1-CD49)*(1-MIN(1,MAX(Assumptions!$C$27,Assumptions!$C$13*Assumptions!$C$28^(DS$5-1))*$O49)),0)</f>
        <v>0</v>
      </c>
      <c r="DU49" s="93">
        <f>IF(AND($T49=1,DU$5&lt;=$H49),DT49*(1-CE49)*(1-MIN(1,MAX(Assumptions!$C$27,Assumptions!$C$13*Assumptions!$C$28^(DT$5-1))*$O49)),0)</f>
        <v>0</v>
      </c>
      <c r="DV49" s="93">
        <f>IF(AND($T49=1,DV$5&lt;=$H49),DU49*(1-CF49)*(1-MIN(1,MAX(Assumptions!$C$27,Assumptions!$C$13*Assumptions!$C$28^(DU$5-1))*$O49)),0)</f>
        <v>0</v>
      </c>
      <c r="DW49" s="94">
        <f>IF(AND($T49=1,DW$5&lt;=$H49),DV49*(1-CG49)*(1-MIN(1,MAX(Assumptions!$C$27,Assumptions!$C$13*Assumptions!$C$28^(DV$5-1))*$O49)),0)</f>
        <v>0</v>
      </c>
      <c r="DX49" s="26"/>
      <c r="DY49" s="399">
        <f>'Policy Data'!K23</f>
        <v>2</v>
      </c>
      <c r="DZ49" s="100">
        <f>'Policy Data'!L23</f>
        <v>0.95709999999999995</v>
      </c>
      <c r="EA49" s="100">
        <f>'Policy Data'!N23</f>
        <v>3.7399999999999998E-4</v>
      </c>
      <c r="EB49" s="93" cm="1">
        <f t="array" ref="EB49">IFERROR(DZ49*INDEX(Mortality!$B$4:$E$64,MATCH(D49+DY49-1,Mortality!$A$4:$A$64,0),U49)*V49,0)</f>
        <v>4.0490664784881595E-4</v>
      </c>
      <c r="EC49" s="100">
        <f>'Policy Data'!O23</f>
        <v>0</v>
      </c>
      <c r="ED49" s="400">
        <f>'Policy Data'!Q23</f>
        <v>0</v>
      </c>
    </row>
    <row r="50" spans="1:134" x14ac:dyDescent="0.3">
      <c r="A50" s="399" t="str">
        <f>'Policy Data'!A24</f>
        <v>POL100020</v>
      </c>
      <c r="B50" s="26" t="s">
        <v>426</v>
      </c>
      <c r="C50" s="100" t="str">
        <f>'Policy Data'!B24</f>
        <v>Term Life</v>
      </c>
      <c r="D50" s="100">
        <f>'Policy Data'!C24</f>
        <v>62</v>
      </c>
      <c r="E50" s="100" t="str">
        <f>'Policy Data'!D24</f>
        <v>Female</v>
      </c>
      <c r="F50" s="100" t="str">
        <f>'Policy Data'!E24</f>
        <v>Non-smoker</v>
      </c>
      <c r="G50" s="100" t="str">
        <f>'Policy Data'!F24</f>
        <v>Standard</v>
      </c>
      <c r="H50" s="100">
        <f>'Policy Data'!G24</f>
        <v>25</v>
      </c>
      <c r="I50" s="279">
        <f>'Policy Data'!H24</f>
        <v>250000</v>
      </c>
      <c r="J50" s="100" t="str">
        <f>'Policy Data'!I24</f>
        <v>Monthly</v>
      </c>
      <c r="K50" s="100" t="str">
        <f>'Policy Data'!J24</f>
        <v>Broker</v>
      </c>
      <c r="L50" s="26" t="s">
        <v>389</v>
      </c>
      <c r="M50" s="106">
        <f>'Policy Data'!R24</f>
        <v>2077.15</v>
      </c>
      <c r="N50" s="415">
        <f>Assumptions!$C$21</f>
        <v>1</v>
      </c>
      <c r="O50" s="415">
        <f>Assumptions!$C$22</f>
        <v>1</v>
      </c>
      <c r="P50" s="415">
        <f>Assumptions!$C$23</f>
        <v>1</v>
      </c>
      <c r="Q50" s="416">
        <f>Assumptions!$C$24</f>
        <v>0</v>
      </c>
      <c r="R50" s="416">
        <f>Assumptions!$C$6+Assumptions!$C$25</f>
        <v>3.5000000000000003E-2</v>
      </c>
      <c r="S50" s="416">
        <f>Assumptions!$C$15</f>
        <v>1.1000000000000001E-3</v>
      </c>
      <c r="T50" s="26">
        <f t="shared" si="18"/>
        <v>0</v>
      </c>
      <c r="U50" s="26">
        <f t="shared" si="19"/>
        <v>1</v>
      </c>
      <c r="V50" s="389">
        <f>IF($G50="Preferred",Assumptions!$C$30,IF($G50="Rated",Assumptions!$C$31,1))</f>
        <v>1</v>
      </c>
      <c r="W50" s="390">
        <f>IF($K50="Direct",Assumptions!$C$32,IF($K50="Broker",Assumptions!$C$33,IF($K50="Bancassurance",Assumptions!$C$34,Assumptions!$C$11)))+$Q50</f>
        <v>0.25</v>
      </c>
      <c r="X50" s="390">
        <f>Assumptions!$C$12+$Q50</f>
        <v>0.05</v>
      </c>
      <c r="Y50" s="131">
        <f>MIN($I50,Assumptions!$C$14)</f>
        <v>250000</v>
      </c>
      <c r="Z50" s="131">
        <f>MAX($I50-Assumptions!$C$14,0)</f>
        <v>0</v>
      </c>
      <c r="AA50" s="389">
        <f t="shared" si="20"/>
        <v>0</v>
      </c>
      <c r="AB50" s="389">
        <f t="shared" si="21"/>
        <v>0</v>
      </c>
      <c r="AC50" s="389">
        <f>IF($T50=1,SUMPRODUCT($CJ50:$DW50,(1+Assumptions!$C$5)^($CJ$5:$DW$5-1),(1+$R50)^(-$CJ$5:$DW$5)),0)</f>
        <v>0</v>
      </c>
      <c r="AD50" s="389">
        <f t="shared" si="22"/>
        <v>0</v>
      </c>
      <c r="AE50" s="131">
        <f>IF($T50=1,$AB50*$Y50+(Assumptions!$C$9/(1+$R50)+Assumptions!$C$10*$AC50)*$P50+$S50*$Z50*$AA50,0)</f>
        <v>0</v>
      </c>
      <c r="AF50" s="131" t="str">
        <f>IF($T50=1,IF($AA50-$AD50-Assumptions!$C$16*$AA50&gt;0,$AE50/($AA50-$AD50-Assumptions!$C$16*$AA50)*IF($J50="Monthly",1+Assumptions!$C$29,1),"n.a."),"")</f>
        <v/>
      </c>
      <c r="AG50" s="131" t="str">
        <f t="shared" si="23"/>
        <v/>
      </c>
      <c r="AH50" s="131" t="str">
        <f t="shared" si="24"/>
        <v/>
      </c>
      <c r="AI50" s="131" t="str">
        <f t="shared" si="25"/>
        <v/>
      </c>
      <c r="AJ50" s="390" t="str">
        <f t="shared" si="26"/>
        <v/>
      </c>
      <c r="AK50" s="389" t="str">
        <f t="shared" si="27"/>
        <v/>
      </c>
      <c r="AL50" s="131" t="str">
        <f t="shared" si="28"/>
        <v/>
      </c>
      <c r="AM50" s="131" t="str">
        <f t="shared" si="29"/>
        <v/>
      </c>
      <c r="AN50" s="131" t="str">
        <f t="shared" si="30"/>
        <v/>
      </c>
      <c r="AO50" s="131" t="str">
        <f t="shared" si="31"/>
        <v/>
      </c>
      <c r="AP50" s="26" t="str">
        <f t="shared" si="32"/>
        <v>60+</v>
      </c>
      <c r="AQ50" s="26" t="str">
        <f t="shared" si="33"/>
        <v>Up to 250k</v>
      </c>
      <c r="AR50" s="26" t="str">
        <f>IF($T50=1,IF($AI50&lt;0,"Loss-making",IF($AJ50&lt;Assumptions!$C$16-0.00001,"Below target","At/above target")),"Excluded")</f>
        <v>Excluded</v>
      </c>
      <c r="AS50" s="103">
        <f t="shared" si="34"/>
        <v>9.9999999999999997E+98</v>
      </c>
      <c r="AT50" s="26"/>
      <c r="AU50" s="419">
        <f>IF(AND($T50=1,AU$5&lt;=$H50),INDEX(Mortality!$B$4:$E$64,MATCH($D50+AU$5-1,Mortality!$A$4:$A$64,0),$U50)*$V50*$N50,0)</f>
        <v>0</v>
      </c>
      <c r="AV50" s="93">
        <f>IF(AND($T50=1,AV$5&lt;=$H50),INDEX(Mortality!$B$4:$E$64,MATCH($D50+AV$5-1,Mortality!$A$4:$A$64,0),$U50)*$V50*$N50,0)</f>
        <v>0</v>
      </c>
      <c r="AW50" s="93">
        <f>IF(AND($T50=1,AW$5&lt;=$H50),INDEX(Mortality!$B$4:$E$64,MATCH($D50+AW$5-1,Mortality!$A$4:$A$64,0),$U50)*$V50*$N50,0)</f>
        <v>0</v>
      </c>
      <c r="AX50" s="93">
        <f>IF(AND($T50=1,AX$5&lt;=$H50),INDEX(Mortality!$B$4:$E$64,MATCH($D50+AX$5-1,Mortality!$A$4:$A$64,0),$U50)*$V50*$N50,0)</f>
        <v>0</v>
      </c>
      <c r="AY50" s="93">
        <f>IF(AND($T50=1,AY$5&lt;=$H50),INDEX(Mortality!$B$4:$E$64,MATCH($D50+AY$5-1,Mortality!$A$4:$A$64,0),$U50)*$V50*$N50,0)</f>
        <v>0</v>
      </c>
      <c r="AZ50" s="93">
        <f>IF(AND($T50=1,AZ$5&lt;=$H50),INDEX(Mortality!$B$4:$E$64,MATCH($D50+AZ$5-1,Mortality!$A$4:$A$64,0),$U50)*$V50*$N50,0)</f>
        <v>0</v>
      </c>
      <c r="BA50" s="93">
        <f>IF(AND($T50=1,BA$5&lt;=$H50),INDEX(Mortality!$B$4:$E$64,MATCH($D50+BA$5-1,Mortality!$A$4:$A$64,0),$U50)*$V50*$N50,0)</f>
        <v>0</v>
      </c>
      <c r="BB50" s="93">
        <f>IF(AND($T50=1,BB$5&lt;=$H50),INDEX(Mortality!$B$4:$E$64,MATCH($D50+BB$5-1,Mortality!$A$4:$A$64,0),$U50)*$V50*$N50,0)</f>
        <v>0</v>
      </c>
      <c r="BC50" s="93">
        <f>IF(AND($T50=1,BC$5&lt;=$H50),INDEX(Mortality!$B$4:$E$64,MATCH($D50+BC$5-1,Mortality!$A$4:$A$64,0),$U50)*$V50*$N50,0)</f>
        <v>0</v>
      </c>
      <c r="BD50" s="93">
        <f>IF(AND($T50=1,BD$5&lt;=$H50),INDEX(Mortality!$B$4:$E$64,MATCH($D50+BD$5-1,Mortality!$A$4:$A$64,0),$U50)*$V50*$N50,0)</f>
        <v>0</v>
      </c>
      <c r="BE50" s="93">
        <f>IF(AND($T50=1,BE$5&lt;=$H50),INDEX(Mortality!$B$4:$E$64,MATCH($D50+BE$5-1,Mortality!$A$4:$A$64,0),$U50)*$V50*$N50,0)</f>
        <v>0</v>
      </c>
      <c r="BF50" s="93">
        <f>IF(AND($T50=1,BF$5&lt;=$H50),INDEX(Mortality!$B$4:$E$64,MATCH($D50+BF$5-1,Mortality!$A$4:$A$64,0),$U50)*$V50*$N50,0)</f>
        <v>0</v>
      </c>
      <c r="BG50" s="93">
        <f>IF(AND($T50=1,BG$5&lt;=$H50),INDEX(Mortality!$B$4:$E$64,MATCH($D50+BG$5-1,Mortality!$A$4:$A$64,0),$U50)*$V50*$N50,0)</f>
        <v>0</v>
      </c>
      <c r="BH50" s="93">
        <f>IF(AND($T50=1,BH$5&lt;=$H50),INDEX(Mortality!$B$4:$E$64,MATCH($D50+BH$5-1,Mortality!$A$4:$A$64,0),$U50)*$V50*$N50,0)</f>
        <v>0</v>
      </c>
      <c r="BI50" s="93">
        <f>IF(AND($T50=1,BI$5&lt;=$H50),INDEX(Mortality!$B$4:$E$64,MATCH($D50+BI$5-1,Mortality!$A$4:$A$64,0),$U50)*$V50*$N50,0)</f>
        <v>0</v>
      </c>
      <c r="BJ50" s="93">
        <f>IF(AND($T50=1,BJ$5&lt;=$H50),INDEX(Mortality!$B$4:$E$64,MATCH($D50+BJ$5-1,Mortality!$A$4:$A$64,0),$U50)*$V50*$N50,0)</f>
        <v>0</v>
      </c>
      <c r="BK50" s="93">
        <f>IF(AND($T50=1,BK$5&lt;=$H50),INDEX(Mortality!$B$4:$E$64,MATCH($D50+BK$5-1,Mortality!$A$4:$A$64,0),$U50)*$V50*$N50,0)</f>
        <v>0</v>
      </c>
      <c r="BL50" s="93">
        <f>IF(AND($T50=1,BL$5&lt;=$H50),INDEX(Mortality!$B$4:$E$64,MATCH($D50+BL$5-1,Mortality!$A$4:$A$64,0),$U50)*$V50*$N50,0)</f>
        <v>0</v>
      </c>
      <c r="BM50" s="93">
        <f>IF(AND($T50=1,BM$5&lt;=$H50),INDEX(Mortality!$B$4:$E$64,MATCH($D50+BM$5-1,Mortality!$A$4:$A$64,0),$U50)*$V50*$N50,0)</f>
        <v>0</v>
      </c>
      <c r="BN50" s="93">
        <f>IF(AND($T50=1,BN$5&lt;=$H50),INDEX(Mortality!$B$4:$E$64,MATCH($D50+BN$5-1,Mortality!$A$4:$A$64,0),$U50)*$V50*$N50,0)</f>
        <v>0</v>
      </c>
      <c r="BO50" s="93">
        <f>IF(AND($T50=1,BO$5&lt;=$H50),INDEX(Mortality!$B$4:$E$64,MATCH($D50+BO$5-1,Mortality!$A$4:$A$64,0),$U50)*$V50*$N50,0)</f>
        <v>0</v>
      </c>
      <c r="BP50" s="93">
        <f>IF(AND($T50=1,BP$5&lt;=$H50),INDEX(Mortality!$B$4:$E$64,MATCH($D50+BP$5-1,Mortality!$A$4:$A$64,0),$U50)*$V50*$N50,0)</f>
        <v>0</v>
      </c>
      <c r="BQ50" s="93">
        <f>IF(AND($T50=1,BQ$5&lt;=$H50),INDEX(Mortality!$B$4:$E$64,MATCH($D50+BQ$5-1,Mortality!$A$4:$A$64,0),$U50)*$V50*$N50,0)</f>
        <v>0</v>
      </c>
      <c r="BR50" s="93">
        <f>IF(AND($T50=1,BR$5&lt;=$H50),INDEX(Mortality!$B$4:$E$64,MATCH($D50+BR$5-1,Mortality!$A$4:$A$64,0),$U50)*$V50*$N50,0)</f>
        <v>0</v>
      </c>
      <c r="BS50" s="93">
        <f>IF(AND($T50=1,BS$5&lt;=$H50),INDEX(Mortality!$B$4:$E$64,MATCH($D50+BS$5-1,Mortality!$A$4:$A$64,0),$U50)*$V50*$N50,0)</f>
        <v>0</v>
      </c>
      <c r="BT50" s="93">
        <f>IF(AND($T50=1,BT$5&lt;=$H50),INDEX(Mortality!$B$4:$E$64,MATCH($D50+BT$5-1,Mortality!$A$4:$A$64,0),$U50)*$V50*$N50,0)</f>
        <v>0</v>
      </c>
      <c r="BU50" s="93">
        <f>IF(AND($T50=1,BU$5&lt;=$H50),INDEX(Mortality!$B$4:$E$64,MATCH($D50+BU$5-1,Mortality!$A$4:$A$64,0),$U50)*$V50*$N50,0)</f>
        <v>0</v>
      </c>
      <c r="BV50" s="93">
        <f>IF(AND($T50=1,BV$5&lt;=$H50),INDEX(Mortality!$B$4:$E$64,MATCH($D50+BV$5-1,Mortality!$A$4:$A$64,0),$U50)*$V50*$N50,0)</f>
        <v>0</v>
      </c>
      <c r="BW50" s="93">
        <f>IF(AND($T50=1,BW$5&lt;=$H50),INDEX(Mortality!$B$4:$E$64,MATCH($D50+BW$5-1,Mortality!$A$4:$A$64,0),$U50)*$V50*$N50,0)</f>
        <v>0</v>
      </c>
      <c r="BX50" s="93">
        <f>IF(AND($T50=1,BX$5&lt;=$H50),INDEX(Mortality!$B$4:$E$64,MATCH($D50+BX$5-1,Mortality!$A$4:$A$64,0),$U50)*$V50*$N50,0)</f>
        <v>0</v>
      </c>
      <c r="BY50" s="93">
        <f>IF(AND($T50=1,BY$5&lt;=$H50),INDEX(Mortality!$B$4:$E$64,MATCH($D50+BY$5-1,Mortality!$A$4:$A$64,0),$U50)*$V50*$N50,0)</f>
        <v>0</v>
      </c>
      <c r="BZ50" s="93">
        <f>IF(AND($T50=1,BZ$5&lt;=$H50),INDEX(Mortality!$B$4:$E$64,MATCH($D50+BZ$5-1,Mortality!$A$4:$A$64,0),$U50)*$V50*$N50,0)</f>
        <v>0</v>
      </c>
      <c r="CA50" s="93">
        <f>IF(AND($T50=1,CA$5&lt;=$H50),INDEX(Mortality!$B$4:$E$64,MATCH($D50+CA$5-1,Mortality!$A$4:$A$64,0),$U50)*$V50*$N50,0)</f>
        <v>0</v>
      </c>
      <c r="CB50" s="93">
        <f>IF(AND($T50=1,CB$5&lt;=$H50),INDEX(Mortality!$B$4:$E$64,MATCH($D50+CB$5-1,Mortality!$A$4:$A$64,0),$U50)*$V50*$N50,0)</f>
        <v>0</v>
      </c>
      <c r="CC50" s="93">
        <f>IF(AND($T50=1,CC$5&lt;=$H50),INDEX(Mortality!$B$4:$E$64,MATCH($D50+CC$5-1,Mortality!$A$4:$A$64,0),$U50)*$V50*$N50,0)</f>
        <v>0</v>
      </c>
      <c r="CD50" s="93">
        <f>IF(AND($T50=1,CD$5&lt;=$H50),INDEX(Mortality!$B$4:$E$64,MATCH($D50+CD$5-1,Mortality!$A$4:$A$64,0),$U50)*$V50*$N50,0)</f>
        <v>0</v>
      </c>
      <c r="CE50" s="93">
        <f>IF(AND($T50=1,CE$5&lt;=$H50),INDEX(Mortality!$B$4:$E$64,MATCH($D50+CE$5-1,Mortality!$A$4:$A$64,0),$U50)*$V50*$N50,0)</f>
        <v>0</v>
      </c>
      <c r="CF50" s="93">
        <f>IF(AND($T50=1,CF$5&lt;=$H50),INDEX(Mortality!$B$4:$E$64,MATCH($D50+CF$5-1,Mortality!$A$4:$A$64,0),$U50)*$V50*$N50,0)</f>
        <v>0</v>
      </c>
      <c r="CG50" s="93">
        <f>IF(AND($T50=1,CG$5&lt;=$H50),INDEX(Mortality!$B$4:$E$64,MATCH($D50+CG$5-1,Mortality!$A$4:$A$64,0),$U50)*$V50*$N50,0)</f>
        <v>0</v>
      </c>
      <c r="CH50" s="94">
        <f>IF(AND($T50=1,CH$5&lt;=$H50),INDEX(Mortality!$B$4:$E$64,MATCH($D50+CH$5-1,Mortality!$A$4:$A$64,0),$U50)*$V50*$N50,0)</f>
        <v>0</v>
      </c>
      <c r="CI50" s="26"/>
      <c r="CJ50" s="419">
        <f t="shared" si="35"/>
        <v>0</v>
      </c>
      <c r="CK50" s="93">
        <f>IF(AND($T50=1,CK$5&lt;=$H50),CJ50*(1-AU50)*(1-MIN(1,MAX(Assumptions!$C$27,Assumptions!$C$13*Assumptions!$C$28^(CJ$5-1))*$O50)),0)</f>
        <v>0</v>
      </c>
      <c r="CL50" s="93">
        <f>IF(AND($T50=1,CL$5&lt;=$H50),CK50*(1-AV50)*(1-MIN(1,MAX(Assumptions!$C$27,Assumptions!$C$13*Assumptions!$C$28^(CK$5-1))*$O50)),0)</f>
        <v>0</v>
      </c>
      <c r="CM50" s="93">
        <f>IF(AND($T50=1,CM$5&lt;=$H50),CL50*(1-AW50)*(1-MIN(1,MAX(Assumptions!$C$27,Assumptions!$C$13*Assumptions!$C$28^(CL$5-1))*$O50)),0)</f>
        <v>0</v>
      </c>
      <c r="CN50" s="93">
        <f>IF(AND($T50=1,CN$5&lt;=$H50),CM50*(1-AX50)*(1-MIN(1,MAX(Assumptions!$C$27,Assumptions!$C$13*Assumptions!$C$28^(CM$5-1))*$O50)),0)</f>
        <v>0</v>
      </c>
      <c r="CO50" s="93">
        <f>IF(AND($T50=1,CO$5&lt;=$H50),CN50*(1-AY50)*(1-MIN(1,MAX(Assumptions!$C$27,Assumptions!$C$13*Assumptions!$C$28^(CN$5-1))*$O50)),0)</f>
        <v>0</v>
      </c>
      <c r="CP50" s="93">
        <f>IF(AND($T50=1,CP$5&lt;=$H50),CO50*(1-AZ50)*(1-MIN(1,MAX(Assumptions!$C$27,Assumptions!$C$13*Assumptions!$C$28^(CO$5-1))*$O50)),0)</f>
        <v>0</v>
      </c>
      <c r="CQ50" s="93">
        <f>IF(AND($T50=1,CQ$5&lt;=$H50),CP50*(1-BA50)*(1-MIN(1,MAX(Assumptions!$C$27,Assumptions!$C$13*Assumptions!$C$28^(CP$5-1))*$O50)),0)</f>
        <v>0</v>
      </c>
      <c r="CR50" s="93">
        <f>IF(AND($T50=1,CR$5&lt;=$H50),CQ50*(1-BB50)*(1-MIN(1,MAX(Assumptions!$C$27,Assumptions!$C$13*Assumptions!$C$28^(CQ$5-1))*$O50)),0)</f>
        <v>0</v>
      </c>
      <c r="CS50" s="93">
        <f>IF(AND($T50=1,CS$5&lt;=$H50),CR50*(1-BC50)*(1-MIN(1,MAX(Assumptions!$C$27,Assumptions!$C$13*Assumptions!$C$28^(CR$5-1))*$O50)),0)</f>
        <v>0</v>
      </c>
      <c r="CT50" s="93">
        <f>IF(AND($T50=1,CT$5&lt;=$H50),CS50*(1-BD50)*(1-MIN(1,MAX(Assumptions!$C$27,Assumptions!$C$13*Assumptions!$C$28^(CS$5-1))*$O50)),0)</f>
        <v>0</v>
      </c>
      <c r="CU50" s="93">
        <f>IF(AND($T50=1,CU$5&lt;=$H50),CT50*(1-BE50)*(1-MIN(1,MAX(Assumptions!$C$27,Assumptions!$C$13*Assumptions!$C$28^(CT$5-1))*$O50)),0)</f>
        <v>0</v>
      </c>
      <c r="CV50" s="93">
        <f>IF(AND($T50=1,CV$5&lt;=$H50),CU50*(1-BF50)*(1-MIN(1,MAX(Assumptions!$C$27,Assumptions!$C$13*Assumptions!$C$28^(CU$5-1))*$O50)),0)</f>
        <v>0</v>
      </c>
      <c r="CW50" s="93">
        <f>IF(AND($T50=1,CW$5&lt;=$H50),CV50*(1-BG50)*(1-MIN(1,MAX(Assumptions!$C$27,Assumptions!$C$13*Assumptions!$C$28^(CV$5-1))*$O50)),0)</f>
        <v>0</v>
      </c>
      <c r="CX50" s="93">
        <f>IF(AND($T50=1,CX$5&lt;=$H50),CW50*(1-BH50)*(1-MIN(1,MAX(Assumptions!$C$27,Assumptions!$C$13*Assumptions!$C$28^(CW$5-1))*$O50)),0)</f>
        <v>0</v>
      </c>
      <c r="CY50" s="93">
        <f>IF(AND($T50=1,CY$5&lt;=$H50),CX50*(1-BI50)*(1-MIN(1,MAX(Assumptions!$C$27,Assumptions!$C$13*Assumptions!$C$28^(CX$5-1))*$O50)),0)</f>
        <v>0</v>
      </c>
      <c r="CZ50" s="93">
        <f>IF(AND($T50=1,CZ$5&lt;=$H50),CY50*(1-BJ50)*(1-MIN(1,MAX(Assumptions!$C$27,Assumptions!$C$13*Assumptions!$C$28^(CY$5-1))*$O50)),0)</f>
        <v>0</v>
      </c>
      <c r="DA50" s="93">
        <f>IF(AND($T50=1,DA$5&lt;=$H50),CZ50*(1-BK50)*(1-MIN(1,MAX(Assumptions!$C$27,Assumptions!$C$13*Assumptions!$C$28^(CZ$5-1))*$O50)),0)</f>
        <v>0</v>
      </c>
      <c r="DB50" s="93">
        <f>IF(AND($T50=1,DB$5&lt;=$H50),DA50*(1-BL50)*(1-MIN(1,MAX(Assumptions!$C$27,Assumptions!$C$13*Assumptions!$C$28^(DA$5-1))*$O50)),0)</f>
        <v>0</v>
      </c>
      <c r="DC50" s="93">
        <f>IF(AND($T50=1,DC$5&lt;=$H50),DB50*(1-BM50)*(1-MIN(1,MAX(Assumptions!$C$27,Assumptions!$C$13*Assumptions!$C$28^(DB$5-1))*$O50)),0)</f>
        <v>0</v>
      </c>
      <c r="DD50" s="93">
        <f>IF(AND($T50=1,DD$5&lt;=$H50),DC50*(1-BN50)*(1-MIN(1,MAX(Assumptions!$C$27,Assumptions!$C$13*Assumptions!$C$28^(DC$5-1))*$O50)),0)</f>
        <v>0</v>
      </c>
      <c r="DE50" s="93">
        <f>IF(AND($T50=1,DE$5&lt;=$H50),DD50*(1-BO50)*(1-MIN(1,MAX(Assumptions!$C$27,Assumptions!$C$13*Assumptions!$C$28^(DD$5-1))*$O50)),0)</f>
        <v>0</v>
      </c>
      <c r="DF50" s="93">
        <f>IF(AND($T50=1,DF$5&lt;=$H50),DE50*(1-BP50)*(1-MIN(1,MAX(Assumptions!$C$27,Assumptions!$C$13*Assumptions!$C$28^(DE$5-1))*$O50)),0)</f>
        <v>0</v>
      </c>
      <c r="DG50" s="93">
        <f>IF(AND($T50=1,DG$5&lt;=$H50),DF50*(1-BQ50)*(1-MIN(1,MAX(Assumptions!$C$27,Assumptions!$C$13*Assumptions!$C$28^(DF$5-1))*$O50)),0)</f>
        <v>0</v>
      </c>
      <c r="DH50" s="93">
        <f>IF(AND($T50=1,DH$5&lt;=$H50),DG50*(1-BR50)*(1-MIN(1,MAX(Assumptions!$C$27,Assumptions!$C$13*Assumptions!$C$28^(DG$5-1))*$O50)),0)</f>
        <v>0</v>
      </c>
      <c r="DI50" s="93">
        <f>IF(AND($T50=1,DI$5&lt;=$H50),DH50*(1-BS50)*(1-MIN(1,MAX(Assumptions!$C$27,Assumptions!$C$13*Assumptions!$C$28^(DH$5-1))*$O50)),0)</f>
        <v>0</v>
      </c>
      <c r="DJ50" s="93">
        <f>IF(AND($T50=1,DJ$5&lt;=$H50),DI50*(1-BT50)*(1-MIN(1,MAX(Assumptions!$C$27,Assumptions!$C$13*Assumptions!$C$28^(DI$5-1))*$O50)),0)</f>
        <v>0</v>
      </c>
      <c r="DK50" s="93">
        <f>IF(AND($T50=1,DK$5&lt;=$H50),DJ50*(1-BU50)*(1-MIN(1,MAX(Assumptions!$C$27,Assumptions!$C$13*Assumptions!$C$28^(DJ$5-1))*$O50)),0)</f>
        <v>0</v>
      </c>
      <c r="DL50" s="93">
        <f>IF(AND($T50=1,DL$5&lt;=$H50),DK50*(1-BV50)*(1-MIN(1,MAX(Assumptions!$C$27,Assumptions!$C$13*Assumptions!$C$28^(DK$5-1))*$O50)),0)</f>
        <v>0</v>
      </c>
      <c r="DM50" s="93">
        <f>IF(AND($T50=1,DM$5&lt;=$H50),DL50*(1-BW50)*(1-MIN(1,MAX(Assumptions!$C$27,Assumptions!$C$13*Assumptions!$C$28^(DL$5-1))*$O50)),0)</f>
        <v>0</v>
      </c>
      <c r="DN50" s="93">
        <f>IF(AND($T50=1,DN$5&lt;=$H50),DM50*(1-BX50)*(1-MIN(1,MAX(Assumptions!$C$27,Assumptions!$C$13*Assumptions!$C$28^(DM$5-1))*$O50)),0)</f>
        <v>0</v>
      </c>
      <c r="DO50" s="93">
        <f>IF(AND($T50=1,DO$5&lt;=$H50),DN50*(1-BY50)*(1-MIN(1,MAX(Assumptions!$C$27,Assumptions!$C$13*Assumptions!$C$28^(DN$5-1))*$O50)),0)</f>
        <v>0</v>
      </c>
      <c r="DP50" s="93">
        <f>IF(AND($T50=1,DP$5&lt;=$H50),DO50*(1-BZ50)*(1-MIN(1,MAX(Assumptions!$C$27,Assumptions!$C$13*Assumptions!$C$28^(DO$5-1))*$O50)),0)</f>
        <v>0</v>
      </c>
      <c r="DQ50" s="93">
        <f>IF(AND($T50=1,DQ$5&lt;=$H50),DP50*(1-CA50)*(1-MIN(1,MAX(Assumptions!$C$27,Assumptions!$C$13*Assumptions!$C$28^(DP$5-1))*$O50)),0)</f>
        <v>0</v>
      </c>
      <c r="DR50" s="93">
        <f>IF(AND($T50=1,DR$5&lt;=$H50),DQ50*(1-CB50)*(1-MIN(1,MAX(Assumptions!$C$27,Assumptions!$C$13*Assumptions!$C$28^(DQ$5-1))*$O50)),0)</f>
        <v>0</v>
      </c>
      <c r="DS50" s="93">
        <f>IF(AND($T50=1,DS$5&lt;=$H50),DR50*(1-CC50)*(1-MIN(1,MAX(Assumptions!$C$27,Assumptions!$C$13*Assumptions!$C$28^(DR$5-1))*$O50)),0)</f>
        <v>0</v>
      </c>
      <c r="DT50" s="93">
        <f>IF(AND($T50=1,DT$5&lt;=$H50),DS50*(1-CD50)*(1-MIN(1,MAX(Assumptions!$C$27,Assumptions!$C$13*Assumptions!$C$28^(DS$5-1))*$O50)),0)</f>
        <v>0</v>
      </c>
      <c r="DU50" s="93">
        <f>IF(AND($T50=1,DU$5&lt;=$H50),DT50*(1-CE50)*(1-MIN(1,MAX(Assumptions!$C$27,Assumptions!$C$13*Assumptions!$C$28^(DT$5-1))*$O50)),0)</f>
        <v>0</v>
      </c>
      <c r="DV50" s="93">
        <f>IF(AND($T50=1,DV$5&lt;=$H50),DU50*(1-CF50)*(1-MIN(1,MAX(Assumptions!$C$27,Assumptions!$C$13*Assumptions!$C$28^(DU$5-1))*$O50)),0)</f>
        <v>0</v>
      </c>
      <c r="DW50" s="94">
        <f>IF(AND($T50=1,DW$5&lt;=$H50),DV50*(1-CG50)*(1-MIN(1,MAX(Assumptions!$C$27,Assumptions!$C$13*Assumptions!$C$28^(DV$5-1))*$O50)),0)</f>
        <v>0</v>
      </c>
      <c r="DX50" s="26"/>
      <c r="DY50" s="399">
        <f>'Policy Data'!K24</f>
        <v>4</v>
      </c>
      <c r="DZ50" s="100">
        <f>'Policy Data'!L24</f>
        <v>0.9758</v>
      </c>
      <c r="EA50" s="100">
        <f>'Policy Data'!N24</f>
        <v>4.8279999999999998E-3</v>
      </c>
      <c r="EB50" s="93" cm="1">
        <f t="array" ref="EB50">IFERROR(DZ50*INDEX(Mortality!$B$4:$E$64,MATCH(D50+DY50-1,Mortality!$A$4:$A$64,0),U50)*V50,0)</f>
        <v>6.1378575171079598E-3</v>
      </c>
      <c r="EC50" s="100">
        <f>'Policy Data'!O24</f>
        <v>0</v>
      </c>
      <c r="ED50" s="400">
        <f>'Policy Data'!Q24</f>
        <v>0</v>
      </c>
    </row>
    <row r="51" spans="1:134" x14ac:dyDescent="0.3">
      <c r="A51" s="399" t="str">
        <f>'Policy Data'!A25</f>
        <v>POL100021</v>
      </c>
      <c r="B51" s="26" t="s">
        <v>426</v>
      </c>
      <c r="C51" s="100" t="str">
        <f>'Policy Data'!B25</f>
        <v>Unit-Linked</v>
      </c>
      <c r="D51" s="100">
        <f>'Policy Data'!C25</f>
        <v>32</v>
      </c>
      <c r="E51" s="100" t="str">
        <f>'Policy Data'!D25</f>
        <v>Female</v>
      </c>
      <c r="F51" s="100" t="str">
        <f>'Policy Data'!E25</f>
        <v>Non-smoker</v>
      </c>
      <c r="G51" s="100" t="str">
        <f>'Policy Data'!F25</f>
        <v>Standard</v>
      </c>
      <c r="H51" s="100">
        <f>'Policy Data'!G25</f>
        <v>20</v>
      </c>
      <c r="I51" s="279">
        <f>'Policy Data'!H25</f>
        <v>500000</v>
      </c>
      <c r="J51" s="100" t="str">
        <f>'Policy Data'!I25</f>
        <v>Annual</v>
      </c>
      <c r="K51" s="100" t="str">
        <f>'Policy Data'!J25</f>
        <v>Bancassurance</v>
      </c>
      <c r="L51" s="26" t="s">
        <v>389</v>
      </c>
      <c r="M51" s="106">
        <f>'Policy Data'!R25</f>
        <v>9486.61</v>
      </c>
      <c r="N51" s="415">
        <f>Assumptions!$C$21</f>
        <v>1</v>
      </c>
      <c r="O51" s="415">
        <f>Assumptions!$C$22</f>
        <v>1</v>
      </c>
      <c r="P51" s="415">
        <f>Assumptions!$C$23</f>
        <v>1</v>
      </c>
      <c r="Q51" s="416">
        <f>Assumptions!$C$24</f>
        <v>0</v>
      </c>
      <c r="R51" s="416">
        <f>Assumptions!$C$6+Assumptions!$C$25</f>
        <v>3.5000000000000003E-2</v>
      </c>
      <c r="S51" s="416">
        <f>Assumptions!$C$15</f>
        <v>1.1000000000000001E-3</v>
      </c>
      <c r="T51" s="26">
        <f t="shared" si="18"/>
        <v>0</v>
      </c>
      <c r="U51" s="26">
        <f t="shared" si="19"/>
        <v>1</v>
      </c>
      <c r="V51" s="389">
        <f>IF($G51="Preferred",Assumptions!$C$30,IF($G51="Rated",Assumptions!$C$31,1))</f>
        <v>1</v>
      </c>
      <c r="W51" s="390">
        <f>IF($K51="Direct",Assumptions!$C$32,IF($K51="Broker",Assumptions!$C$33,IF($K51="Bancassurance",Assumptions!$C$34,Assumptions!$C$11)))+$Q51</f>
        <v>0.2</v>
      </c>
      <c r="X51" s="390">
        <f>Assumptions!$C$12+$Q51</f>
        <v>0.05</v>
      </c>
      <c r="Y51" s="131">
        <f>MIN($I51,Assumptions!$C$14)</f>
        <v>500000</v>
      </c>
      <c r="Z51" s="131">
        <f>MAX($I51-Assumptions!$C$14,0)</f>
        <v>0</v>
      </c>
      <c r="AA51" s="389">
        <f t="shared" si="20"/>
        <v>0</v>
      </c>
      <c r="AB51" s="389">
        <f t="shared" si="21"/>
        <v>0</v>
      </c>
      <c r="AC51" s="389">
        <f>IF($T51=1,SUMPRODUCT($CJ51:$DW51,(1+Assumptions!$C$5)^($CJ$5:$DW$5-1),(1+$R51)^(-$CJ$5:$DW$5)),0)</f>
        <v>0</v>
      </c>
      <c r="AD51" s="389">
        <f t="shared" si="22"/>
        <v>0</v>
      </c>
      <c r="AE51" s="131">
        <f>IF($T51=1,$AB51*$Y51+(Assumptions!$C$9/(1+$R51)+Assumptions!$C$10*$AC51)*$P51+$S51*$Z51*$AA51,0)</f>
        <v>0</v>
      </c>
      <c r="AF51" s="131" t="str">
        <f>IF($T51=1,IF($AA51-$AD51-Assumptions!$C$16*$AA51&gt;0,$AE51/($AA51-$AD51-Assumptions!$C$16*$AA51)*IF($J51="Monthly",1+Assumptions!$C$29,1),"n.a."),"")</f>
        <v/>
      </c>
      <c r="AG51" s="131" t="str">
        <f t="shared" si="23"/>
        <v/>
      </c>
      <c r="AH51" s="131" t="str">
        <f t="shared" si="24"/>
        <v/>
      </c>
      <c r="AI51" s="131" t="str">
        <f t="shared" si="25"/>
        <v/>
      </c>
      <c r="AJ51" s="390" t="str">
        <f t="shared" si="26"/>
        <v/>
      </c>
      <c r="AK51" s="389" t="str">
        <f t="shared" si="27"/>
        <v/>
      </c>
      <c r="AL51" s="131" t="str">
        <f t="shared" si="28"/>
        <v/>
      </c>
      <c r="AM51" s="131" t="str">
        <f t="shared" si="29"/>
        <v/>
      </c>
      <c r="AN51" s="131" t="str">
        <f t="shared" si="30"/>
        <v/>
      </c>
      <c r="AO51" s="131" t="str">
        <f t="shared" si="31"/>
        <v/>
      </c>
      <c r="AP51" s="26" t="str">
        <f t="shared" si="32"/>
        <v>30-39</v>
      </c>
      <c r="AQ51" s="26" t="str">
        <f t="shared" si="33"/>
        <v>250k-500k</v>
      </c>
      <c r="AR51" s="26" t="str">
        <f>IF($T51=1,IF($AI51&lt;0,"Loss-making",IF($AJ51&lt;Assumptions!$C$16-0.00001,"Below target","At/above target")),"Excluded")</f>
        <v>Excluded</v>
      </c>
      <c r="AS51" s="103">
        <f t="shared" si="34"/>
        <v>9.9999999999999997E+98</v>
      </c>
      <c r="AT51" s="26"/>
      <c r="AU51" s="419">
        <f>IF(AND($T51=1,AU$5&lt;=$H51),INDEX(Mortality!$B$4:$E$64,MATCH($D51+AU$5-1,Mortality!$A$4:$A$64,0),$U51)*$V51*$N51,0)</f>
        <v>0</v>
      </c>
      <c r="AV51" s="93">
        <f>IF(AND($T51=1,AV$5&lt;=$H51),INDEX(Mortality!$B$4:$E$64,MATCH($D51+AV$5-1,Mortality!$A$4:$A$64,0),$U51)*$V51*$N51,0)</f>
        <v>0</v>
      </c>
      <c r="AW51" s="93">
        <f>IF(AND($T51=1,AW$5&lt;=$H51),INDEX(Mortality!$B$4:$E$64,MATCH($D51+AW$5-1,Mortality!$A$4:$A$64,0),$U51)*$V51*$N51,0)</f>
        <v>0</v>
      </c>
      <c r="AX51" s="93">
        <f>IF(AND($T51=1,AX$5&lt;=$H51),INDEX(Mortality!$B$4:$E$64,MATCH($D51+AX$5-1,Mortality!$A$4:$A$64,0),$U51)*$V51*$N51,0)</f>
        <v>0</v>
      </c>
      <c r="AY51" s="93">
        <f>IF(AND($T51=1,AY$5&lt;=$H51),INDEX(Mortality!$B$4:$E$64,MATCH($D51+AY$5-1,Mortality!$A$4:$A$64,0),$U51)*$V51*$N51,0)</f>
        <v>0</v>
      </c>
      <c r="AZ51" s="93">
        <f>IF(AND($T51=1,AZ$5&lt;=$H51),INDEX(Mortality!$B$4:$E$64,MATCH($D51+AZ$5-1,Mortality!$A$4:$A$64,0),$U51)*$V51*$N51,0)</f>
        <v>0</v>
      </c>
      <c r="BA51" s="93">
        <f>IF(AND($T51=1,BA$5&lt;=$H51),INDEX(Mortality!$B$4:$E$64,MATCH($D51+BA$5-1,Mortality!$A$4:$A$64,0),$U51)*$V51*$N51,0)</f>
        <v>0</v>
      </c>
      <c r="BB51" s="93">
        <f>IF(AND($T51=1,BB$5&lt;=$H51),INDEX(Mortality!$B$4:$E$64,MATCH($D51+BB$5-1,Mortality!$A$4:$A$64,0),$U51)*$V51*$N51,0)</f>
        <v>0</v>
      </c>
      <c r="BC51" s="93">
        <f>IF(AND($T51=1,BC$5&lt;=$H51),INDEX(Mortality!$B$4:$E$64,MATCH($D51+BC$5-1,Mortality!$A$4:$A$64,0),$U51)*$V51*$N51,0)</f>
        <v>0</v>
      </c>
      <c r="BD51" s="93">
        <f>IF(AND($T51=1,BD$5&lt;=$H51),INDEX(Mortality!$B$4:$E$64,MATCH($D51+BD$5-1,Mortality!$A$4:$A$64,0),$U51)*$V51*$N51,0)</f>
        <v>0</v>
      </c>
      <c r="BE51" s="93">
        <f>IF(AND($T51=1,BE$5&lt;=$H51),INDEX(Mortality!$B$4:$E$64,MATCH($D51+BE$5-1,Mortality!$A$4:$A$64,0),$U51)*$V51*$N51,0)</f>
        <v>0</v>
      </c>
      <c r="BF51" s="93">
        <f>IF(AND($T51=1,BF$5&lt;=$H51),INDEX(Mortality!$B$4:$E$64,MATCH($D51+BF$5-1,Mortality!$A$4:$A$64,0),$U51)*$V51*$N51,0)</f>
        <v>0</v>
      </c>
      <c r="BG51" s="93">
        <f>IF(AND($T51=1,BG$5&lt;=$H51),INDEX(Mortality!$B$4:$E$64,MATCH($D51+BG$5-1,Mortality!$A$4:$A$64,0),$U51)*$V51*$N51,0)</f>
        <v>0</v>
      </c>
      <c r="BH51" s="93">
        <f>IF(AND($T51=1,BH$5&lt;=$H51),INDEX(Mortality!$B$4:$E$64,MATCH($D51+BH$5-1,Mortality!$A$4:$A$64,0),$U51)*$V51*$N51,0)</f>
        <v>0</v>
      </c>
      <c r="BI51" s="93">
        <f>IF(AND($T51=1,BI$5&lt;=$H51),INDEX(Mortality!$B$4:$E$64,MATCH($D51+BI$5-1,Mortality!$A$4:$A$64,0),$U51)*$V51*$N51,0)</f>
        <v>0</v>
      </c>
      <c r="BJ51" s="93">
        <f>IF(AND($T51=1,BJ$5&lt;=$H51),INDEX(Mortality!$B$4:$E$64,MATCH($D51+BJ$5-1,Mortality!$A$4:$A$64,0),$U51)*$V51*$N51,0)</f>
        <v>0</v>
      </c>
      <c r="BK51" s="93">
        <f>IF(AND($T51=1,BK$5&lt;=$H51),INDEX(Mortality!$B$4:$E$64,MATCH($D51+BK$5-1,Mortality!$A$4:$A$64,0),$U51)*$V51*$N51,0)</f>
        <v>0</v>
      </c>
      <c r="BL51" s="93">
        <f>IF(AND($T51=1,BL$5&lt;=$H51),INDEX(Mortality!$B$4:$E$64,MATCH($D51+BL$5-1,Mortality!$A$4:$A$64,0),$U51)*$V51*$N51,0)</f>
        <v>0</v>
      </c>
      <c r="BM51" s="93">
        <f>IF(AND($T51=1,BM$5&lt;=$H51),INDEX(Mortality!$B$4:$E$64,MATCH($D51+BM$5-1,Mortality!$A$4:$A$64,0),$U51)*$V51*$N51,0)</f>
        <v>0</v>
      </c>
      <c r="BN51" s="93">
        <f>IF(AND($T51=1,BN$5&lt;=$H51),INDEX(Mortality!$B$4:$E$64,MATCH($D51+BN$5-1,Mortality!$A$4:$A$64,0),$U51)*$V51*$N51,0)</f>
        <v>0</v>
      </c>
      <c r="BO51" s="93">
        <f>IF(AND($T51=1,BO$5&lt;=$H51),INDEX(Mortality!$B$4:$E$64,MATCH($D51+BO$5-1,Mortality!$A$4:$A$64,0),$U51)*$V51*$N51,0)</f>
        <v>0</v>
      </c>
      <c r="BP51" s="93">
        <f>IF(AND($T51=1,BP$5&lt;=$H51),INDEX(Mortality!$B$4:$E$64,MATCH($D51+BP$5-1,Mortality!$A$4:$A$64,0),$U51)*$V51*$N51,0)</f>
        <v>0</v>
      </c>
      <c r="BQ51" s="93">
        <f>IF(AND($T51=1,BQ$5&lt;=$H51),INDEX(Mortality!$B$4:$E$64,MATCH($D51+BQ$5-1,Mortality!$A$4:$A$64,0),$U51)*$V51*$N51,0)</f>
        <v>0</v>
      </c>
      <c r="BR51" s="93">
        <f>IF(AND($T51=1,BR$5&lt;=$H51),INDEX(Mortality!$B$4:$E$64,MATCH($D51+BR$5-1,Mortality!$A$4:$A$64,0),$U51)*$V51*$N51,0)</f>
        <v>0</v>
      </c>
      <c r="BS51" s="93">
        <f>IF(AND($T51=1,BS$5&lt;=$H51),INDEX(Mortality!$B$4:$E$64,MATCH($D51+BS$5-1,Mortality!$A$4:$A$64,0),$U51)*$V51*$N51,0)</f>
        <v>0</v>
      </c>
      <c r="BT51" s="93">
        <f>IF(AND($T51=1,BT$5&lt;=$H51),INDEX(Mortality!$B$4:$E$64,MATCH($D51+BT$5-1,Mortality!$A$4:$A$64,0),$U51)*$V51*$N51,0)</f>
        <v>0</v>
      </c>
      <c r="BU51" s="93">
        <f>IF(AND($T51=1,BU$5&lt;=$H51),INDEX(Mortality!$B$4:$E$64,MATCH($D51+BU$5-1,Mortality!$A$4:$A$64,0),$U51)*$V51*$N51,0)</f>
        <v>0</v>
      </c>
      <c r="BV51" s="93">
        <f>IF(AND($T51=1,BV$5&lt;=$H51),INDEX(Mortality!$B$4:$E$64,MATCH($D51+BV$5-1,Mortality!$A$4:$A$64,0),$U51)*$V51*$N51,0)</f>
        <v>0</v>
      </c>
      <c r="BW51" s="93">
        <f>IF(AND($T51=1,BW$5&lt;=$H51),INDEX(Mortality!$B$4:$E$64,MATCH($D51+BW$5-1,Mortality!$A$4:$A$64,0),$U51)*$V51*$N51,0)</f>
        <v>0</v>
      </c>
      <c r="BX51" s="93">
        <f>IF(AND($T51=1,BX$5&lt;=$H51),INDEX(Mortality!$B$4:$E$64,MATCH($D51+BX$5-1,Mortality!$A$4:$A$64,0),$U51)*$V51*$N51,0)</f>
        <v>0</v>
      </c>
      <c r="BY51" s="93">
        <f>IF(AND($T51=1,BY$5&lt;=$H51),INDEX(Mortality!$B$4:$E$64,MATCH($D51+BY$5-1,Mortality!$A$4:$A$64,0),$U51)*$V51*$N51,0)</f>
        <v>0</v>
      </c>
      <c r="BZ51" s="93">
        <f>IF(AND($T51=1,BZ$5&lt;=$H51),INDEX(Mortality!$B$4:$E$64,MATCH($D51+BZ$5-1,Mortality!$A$4:$A$64,0),$U51)*$V51*$N51,0)</f>
        <v>0</v>
      </c>
      <c r="CA51" s="93">
        <f>IF(AND($T51=1,CA$5&lt;=$H51),INDEX(Mortality!$B$4:$E$64,MATCH($D51+CA$5-1,Mortality!$A$4:$A$64,0),$U51)*$V51*$N51,0)</f>
        <v>0</v>
      </c>
      <c r="CB51" s="93">
        <f>IF(AND($T51=1,CB$5&lt;=$H51),INDEX(Mortality!$B$4:$E$64,MATCH($D51+CB$5-1,Mortality!$A$4:$A$64,0),$U51)*$V51*$N51,0)</f>
        <v>0</v>
      </c>
      <c r="CC51" s="93">
        <f>IF(AND($T51=1,CC$5&lt;=$H51),INDEX(Mortality!$B$4:$E$64,MATCH($D51+CC$5-1,Mortality!$A$4:$A$64,0),$U51)*$V51*$N51,0)</f>
        <v>0</v>
      </c>
      <c r="CD51" s="93">
        <f>IF(AND($T51=1,CD$5&lt;=$H51),INDEX(Mortality!$B$4:$E$64,MATCH($D51+CD$5-1,Mortality!$A$4:$A$64,0),$U51)*$V51*$N51,0)</f>
        <v>0</v>
      </c>
      <c r="CE51" s="93">
        <f>IF(AND($T51=1,CE$5&lt;=$H51),INDEX(Mortality!$B$4:$E$64,MATCH($D51+CE$5-1,Mortality!$A$4:$A$64,0),$U51)*$V51*$N51,0)</f>
        <v>0</v>
      </c>
      <c r="CF51" s="93">
        <f>IF(AND($T51=1,CF$5&lt;=$H51),INDEX(Mortality!$B$4:$E$64,MATCH($D51+CF$5-1,Mortality!$A$4:$A$64,0),$U51)*$V51*$N51,0)</f>
        <v>0</v>
      </c>
      <c r="CG51" s="93">
        <f>IF(AND($T51=1,CG$5&lt;=$H51),INDEX(Mortality!$B$4:$E$64,MATCH($D51+CG$5-1,Mortality!$A$4:$A$64,0),$U51)*$V51*$N51,0)</f>
        <v>0</v>
      </c>
      <c r="CH51" s="94">
        <f>IF(AND($T51=1,CH$5&lt;=$H51),INDEX(Mortality!$B$4:$E$64,MATCH($D51+CH$5-1,Mortality!$A$4:$A$64,0),$U51)*$V51*$N51,0)</f>
        <v>0</v>
      </c>
      <c r="CI51" s="26"/>
      <c r="CJ51" s="419">
        <f t="shared" si="35"/>
        <v>0</v>
      </c>
      <c r="CK51" s="93">
        <f>IF(AND($T51=1,CK$5&lt;=$H51),CJ51*(1-AU51)*(1-MIN(1,MAX(Assumptions!$C$27,Assumptions!$C$13*Assumptions!$C$28^(CJ$5-1))*$O51)),0)</f>
        <v>0</v>
      </c>
      <c r="CL51" s="93">
        <f>IF(AND($T51=1,CL$5&lt;=$H51),CK51*(1-AV51)*(1-MIN(1,MAX(Assumptions!$C$27,Assumptions!$C$13*Assumptions!$C$28^(CK$5-1))*$O51)),0)</f>
        <v>0</v>
      </c>
      <c r="CM51" s="93">
        <f>IF(AND($T51=1,CM$5&lt;=$H51),CL51*(1-AW51)*(1-MIN(1,MAX(Assumptions!$C$27,Assumptions!$C$13*Assumptions!$C$28^(CL$5-1))*$O51)),0)</f>
        <v>0</v>
      </c>
      <c r="CN51" s="93">
        <f>IF(AND($T51=1,CN$5&lt;=$H51),CM51*(1-AX51)*(1-MIN(1,MAX(Assumptions!$C$27,Assumptions!$C$13*Assumptions!$C$28^(CM$5-1))*$O51)),0)</f>
        <v>0</v>
      </c>
      <c r="CO51" s="93">
        <f>IF(AND($T51=1,CO$5&lt;=$H51),CN51*(1-AY51)*(1-MIN(1,MAX(Assumptions!$C$27,Assumptions!$C$13*Assumptions!$C$28^(CN$5-1))*$O51)),0)</f>
        <v>0</v>
      </c>
      <c r="CP51" s="93">
        <f>IF(AND($T51=1,CP$5&lt;=$H51),CO51*(1-AZ51)*(1-MIN(1,MAX(Assumptions!$C$27,Assumptions!$C$13*Assumptions!$C$28^(CO$5-1))*$O51)),0)</f>
        <v>0</v>
      </c>
      <c r="CQ51" s="93">
        <f>IF(AND($T51=1,CQ$5&lt;=$H51),CP51*(1-BA51)*(1-MIN(1,MAX(Assumptions!$C$27,Assumptions!$C$13*Assumptions!$C$28^(CP$5-1))*$O51)),0)</f>
        <v>0</v>
      </c>
      <c r="CR51" s="93">
        <f>IF(AND($T51=1,CR$5&lt;=$H51),CQ51*(1-BB51)*(1-MIN(1,MAX(Assumptions!$C$27,Assumptions!$C$13*Assumptions!$C$28^(CQ$5-1))*$O51)),0)</f>
        <v>0</v>
      </c>
      <c r="CS51" s="93">
        <f>IF(AND($T51=1,CS$5&lt;=$H51),CR51*(1-BC51)*(1-MIN(1,MAX(Assumptions!$C$27,Assumptions!$C$13*Assumptions!$C$28^(CR$5-1))*$O51)),0)</f>
        <v>0</v>
      </c>
      <c r="CT51" s="93">
        <f>IF(AND($T51=1,CT$5&lt;=$H51),CS51*(1-BD51)*(1-MIN(1,MAX(Assumptions!$C$27,Assumptions!$C$13*Assumptions!$C$28^(CS$5-1))*$O51)),0)</f>
        <v>0</v>
      </c>
      <c r="CU51" s="93">
        <f>IF(AND($T51=1,CU$5&lt;=$H51),CT51*(1-BE51)*(1-MIN(1,MAX(Assumptions!$C$27,Assumptions!$C$13*Assumptions!$C$28^(CT$5-1))*$O51)),0)</f>
        <v>0</v>
      </c>
      <c r="CV51" s="93">
        <f>IF(AND($T51=1,CV$5&lt;=$H51),CU51*(1-BF51)*(1-MIN(1,MAX(Assumptions!$C$27,Assumptions!$C$13*Assumptions!$C$28^(CU$5-1))*$O51)),0)</f>
        <v>0</v>
      </c>
      <c r="CW51" s="93">
        <f>IF(AND($T51=1,CW$5&lt;=$H51),CV51*(1-BG51)*(1-MIN(1,MAX(Assumptions!$C$27,Assumptions!$C$13*Assumptions!$C$28^(CV$5-1))*$O51)),0)</f>
        <v>0</v>
      </c>
      <c r="CX51" s="93">
        <f>IF(AND($T51=1,CX$5&lt;=$H51),CW51*(1-BH51)*(1-MIN(1,MAX(Assumptions!$C$27,Assumptions!$C$13*Assumptions!$C$28^(CW$5-1))*$O51)),0)</f>
        <v>0</v>
      </c>
      <c r="CY51" s="93">
        <f>IF(AND($T51=1,CY$5&lt;=$H51),CX51*(1-BI51)*(1-MIN(1,MAX(Assumptions!$C$27,Assumptions!$C$13*Assumptions!$C$28^(CX$5-1))*$O51)),0)</f>
        <v>0</v>
      </c>
      <c r="CZ51" s="93">
        <f>IF(AND($T51=1,CZ$5&lt;=$H51),CY51*(1-BJ51)*(1-MIN(1,MAX(Assumptions!$C$27,Assumptions!$C$13*Assumptions!$C$28^(CY$5-1))*$O51)),0)</f>
        <v>0</v>
      </c>
      <c r="DA51" s="93">
        <f>IF(AND($T51=1,DA$5&lt;=$H51),CZ51*(1-BK51)*(1-MIN(1,MAX(Assumptions!$C$27,Assumptions!$C$13*Assumptions!$C$28^(CZ$5-1))*$O51)),0)</f>
        <v>0</v>
      </c>
      <c r="DB51" s="93">
        <f>IF(AND($T51=1,DB$5&lt;=$H51),DA51*(1-BL51)*(1-MIN(1,MAX(Assumptions!$C$27,Assumptions!$C$13*Assumptions!$C$28^(DA$5-1))*$O51)),0)</f>
        <v>0</v>
      </c>
      <c r="DC51" s="93">
        <f>IF(AND($T51=1,DC$5&lt;=$H51),DB51*(1-BM51)*(1-MIN(1,MAX(Assumptions!$C$27,Assumptions!$C$13*Assumptions!$C$28^(DB$5-1))*$O51)),0)</f>
        <v>0</v>
      </c>
      <c r="DD51" s="93">
        <f>IF(AND($T51=1,DD$5&lt;=$H51),DC51*(1-BN51)*(1-MIN(1,MAX(Assumptions!$C$27,Assumptions!$C$13*Assumptions!$C$28^(DC$5-1))*$O51)),0)</f>
        <v>0</v>
      </c>
      <c r="DE51" s="93">
        <f>IF(AND($T51=1,DE$5&lt;=$H51),DD51*(1-BO51)*(1-MIN(1,MAX(Assumptions!$C$27,Assumptions!$C$13*Assumptions!$C$28^(DD$5-1))*$O51)),0)</f>
        <v>0</v>
      </c>
      <c r="DF51" s="93">
        <f>IF(AND($T51=1,DF$5&lt;=$H51),DE51*(1-BP51)*(1-MIN(1,MAX(Assumptions!$C$27,Assumptions!$C$13*Assumptions!$C$28^(DE$5-1))*$O51)),0)</f>
        <v>0</v>
      </c>
      <c r="DG51" s="93">
        <f>IF(AND($T51=1,DG$5&lt;=$H51),DF51*(1-BQ51)*(1-MIN(1,MAX(Assumptions!$C$27,Assumptions!$C$13*Assumptions!$C$28^(DF$5-1))*$O51)),0)</f>
        <v>0</v>
      </c>
      <c r="DH51" s="93">
        <f>IF(AND($T51=1,DH$5&lt;=$H51),DG51*(1-BR51)*(1-MIN(1,MAX(Assumptions!$C$27,Assumptions!$C$13*Assumptions!$C$28^(DG$5-1))*$O51)),0)</f>
        <v>0</v>
      </c>
      <c r="DI51" s="93">
        <f>IF(AND($T51=1,DI$5&lt;=$H51),DH51*(1-BS51)*(1-MIN(1,MAX(Assumptions!$C$27,Assumptions!$C$13*Assumptions!$C$28^(DH$5-1))*$O51)),0)</f>
        <v>0</v>
      </c>
      <c r="DJ51" s="93">
        <f>IF(AND($T51=1,DJ$5&lt;=$H51),DI51*(1-BT51)*(1-MIN(1,MAX(Assumptions!$C$27,Assumptions!$C$13*Assumptions!$C$28^(DI$5-1))*$O51)),0)</f>
        <v>0</v>
      </c>
      <c r="DK51" s="93">
        <f>IF(AND($T51=1,DK$5&lt;=$H51),DJ51*(1-BU51)*(1-MIN(1,MAX(Assumptions!$C$27,Assumptions!$C$13*Assumptions!$C$28^(DJ$5-1))*$O51)),0)</f>
        <v>0</v>
      </c>
      <c r="DL51" s="93">
        <f>IF(AND($T51=1,DL$5&lt;=$H51),DK51*(1-BV51)*(1-MIN(1,MAX(Assumptions!$C$27,Assumptions!$C$13*Assumptions!$C$28^(DK$5-1))*$O51)),0)</f>
        <v>0</v>
      </c>
      <c r="DM51" s="93">
        <f>IF(AND($T51=1,DM$5&lt;=$H51),DL51*(1-BW51)*(1-MIN(1,MAX(Assumptions!$C$27,Assumptions!$C$13*Assumptions!$C$28^(DL$5-1))*$O51)),0)</f>
        <v>0</v>
      </c>
      <c r="DN51" s="93">
        <f>IF(AND($T51=1,DN$5&lt;=$H51),DM51*(1-BX51)*(1-MIN(1,MAX(Assumptions!$C$27,Assumptions!$C$13*Assumptions!$C$28^(DM$5-1))*$O51)),0)</f>
        <v>0</v>
      </c>
      <c r="DO51" s="93">
        <f>IF(AND($T51=1,DO$5&lt;=$H51),DN51*(1-BY51)*(1-MIN(1,MAX(Assumptions!$C$27,Assumptions!$C$13*Assumptions!$C$28^(DN$5-1))*$O51)),0)</f>
        <v>0</v>
      </c>
      <c r="DP51" s="93">
        <f>IF(AND($T51=1,DP$5&lt;=$H51),DO51*(1-BZ51)*(1-MIN(1,MAX(Assumptions!$C$27,Assumptions!$C$13*Assumptions!$C$28^(DO$5-1))*$O51)),0)</f>
        <v>0</v>
      </c>
      <c r="DQ51" s="93">
        <f>IF(AND($T51=1,DQ$5&lt;=$H51),DP51*(1-CA51)*(1-MIN(1,MAX(Assumptions!$C$27,Assumptions!$C$13*Assumptions!$C$28^(DP$5-1))*$O51)),0)</f>
        <v>0</v>
      </c>
      <c r="DR51" s="93">
        <f>IF(AND($T51=1,DR$5&lt;=$H51),DQ51*(1-CB51)*(1-MIN(1,MAX(Assumptions!$C$27,Assumptions!$C$13*Assumptions!$C$28^(DQ$5-1))*$O51)),0)</f>
        <v>0</v>
      </c>
      <c r="DS51" s="93">
        <f>IF(AND($T51=1,DS$5&lt;=$H51),DR51*(1-CC51)*(1-MIN(1,MAX(Assumptions!$C$27,Assumptions!$C$13*Assumptions!$C$28^(DR$5-1))*$O51)),0)</f>
        <v>0</v>
      </c>
      <c r="DT51" s="93">
        <f>IF(AND($T51=1,DT$5&lt;=$H51),DS51*(1-CD51)*(1-MIN(1,MAX(Assumptions!$C$27,Assumptions!$C$13*Assumptions!$C$28^(DS$5-1))*$O51)),0)</f>
        <v>0</v>
      </c>
      <c r="DU51" s="93">
        <f>IF(AND($T51=1,DU$5&lt;=$H51),DT51*(1-CE51)*(1-MIN(1,MAX(Assumptions!$C$27,Assumptions!$C$13*Assumptions!$C$28^(DT$5-1))*$O51)),0)</f>
        <v>0</v>
      </c>
      <c r="DV51" s="93">
        <f>IF(AND($T51=1,DV$5&lt;=$H51),DU51*(1-CF51)*(1-MIN(1,MAX(Assumptions!$C$27,Assumptions!$C$13*Assumptions!$C$28^(DU$5-1))*$O51)),0)</f>
        <v>0</v>
      </c>
      <c r="DW51" s="94">
        <f>IF(AND($T51=1,DW$5&lt;=$H51),DV51*(1-CG51)*(1-MIN(1,MAX(Assumptions!$C$27,Assumptions!$C$13*Assumptions!$C$28^(DV$5-1))*$O51)),0)</f>
        <v>0</v>
      </c>
      <c r="DX51" s="26"/>
      <c r="DY51" s="399">
        <f>'Policy Data'!K25</f>
        <v>6</v>
      </c>
      <c r="DZ51" s="100">
        <f>'Policy Data'!L25</f>
        <v>0.85399999999999998</v>
      </c>
      <c r="EA51" s="100">
        <f>'Policy Data'!N25</f>
        <v>3.8299999999999999E-4</v>
      </c>
      <c r="EB51" s="93" cm="1">
        <f t="array" ref="EB51">IFERROR(DZ51*INDEX(Mortality!$B$4:$E$64,MATCH(D51+DY51-1,Mortality!$A$4:$A$64,0),U51)*V51,0)</f>
        <v>5.7186592558422316E-4</v>
      </c>
      <c r="EC51" s="100">
        <f>'Policy Data'!O25</f>
        <v>0</v>
      </c>
      <c r="ED51" s="400">
        <f>'Policy Data'!Q25</f>
        <v>0</v>
      </c>
    </row>
    <row r="52" spans="1:134" x14ac:dyDescent="0.3">
      <c r="A52" s="399" t="str">
        <f>'Policy Data'!A26</f>
        <v>POL100022</v>
      </c>
      <c r="B52" s="26" t="s">
        <v>426</v>
      </c>
      <c r="C52" s="100" t="str">
        <f>'Policy Data'!B26</f>
        <v>Term Life</v>
      </c>
      <c r="D52" s="100">
        <f>'Policy Data'!C26</f>
        <v>30</v>
      </c>
      <c r="E52" s="100" t="str">
        <f>'Policy Data'!D26</f>
        <v>Female</v>
      </c>
      <c r="F52" s="100" t="str">
        <f>'Policy Data'!E26</f>
        <v>Non-smoker</v>
      </c>
      <c r="G52" s="100" t="str">
        <f>'Policy Data'!F26</f>
        <v>Standard</v>
      </c>
      <c r="H52" s="100">
        <f>'Policy Data'!G26</f>
        <v>15</v>
      </c>
      <c r="I52" s="279">
        <f>'Policy Data'!H26</f>
        <v>500000</v>
      </c>
      <c r="J52" s="100" t="str">
        <f>'Policy Data'!I26</f>
        <v>Monthly</v>
      </c>
      <c r="K52" s="100" t="str">
        <f>'Policy Data'!J26</f>
        <v>Bancassurance</v>
      </c>
      <c r="L52" s="26" t="s">
        <v>389</v>
      </c>
      <c r="M52" s="106">
        <f>'Policy Data'!R26</f>
        <v>1200</v>
      </c>
      <c r="N52" s="415">
        <f>Assumptions!$C$21</f>
        <v>1</v>
      </c>
      <c r="O52" s="415">
        <f>Assumptions!$C$22</f>
        <v>1</v>
      </c>
      <c r="P52" s="415">
        <f>Assumptions!$C$23</f>
        <v>1</v>
      </c>
      <c r="Q52" s="416">
        <f>Assumptions!$C$24</f>
        <v>0</v>
      </c>
      <c r="R52" s="416">
        <f>Assumptions!$C$6+Assumptions!$C$25</f>
        <v>3.5000000000000003E-2</v>
      </c>
      <c r="S52" s="416">
        <f>Assumptions!$C$15</f>
        <v>1.1000000000000001E-3</v>
      </c>
      <c r="T52" s="26">
        <f t="shared" si="18"/>
        <v>1</v>
      </c>
      <c r="U52" s="26">
        <f t="shared" si="19"/>
        <v>1</v>
      </c>
      <c r="V52" s="389">
        <f>IF($G52="Preferred",Assumptions!$C$30,IF($G52="Rated",Assumptions!$C$31,1))</f>
        <v>1</v>
      </c>
      <c r="W52" s="390">
        <f>IF($K52="Direct",Assumptions!$C$32,IF($K52="Broker",Assumptions!$C$33,IF($K52="Bancassurance",Assumptions!$C$34,Assumptions!$C$11)))+$Q52</f>
        <v>0.2</v>
      </c>
      <c r="X52" s="390">
        <f>Assumptions!$C$12+$Q52</f>
        <v>0.05</v>
      </c>
      <c r="Y52" s="131">
        <f>MIN($I52,Assumptions!$C$14)</f>
        <v>500000</v>
      </c>
      <c r="Z52" s="131">
        <f>MAX($I52-Assumptions!$C$14,0)</f>
        <v>0</v>
      </c>
      <c r="AA52" s="389">
        <f t="shared" si="20"/>
        <v>7.4228127506347015</v>
      </c>
      <c r="AB52" s="389">
        <f t="shared" si="21"/>
        <v>4.6319816958063495E-3</v>
      </c>
      <c r="AC52" s="389">
        <f>IF($T52=1,SUMPRODUCT($CJ52:$DW52,(1+Assumptions!$C$5)^($CJ$5:$DW$5-1),(1+$R52)^(-$CJ$5:$DW$5)),0)</f>
        <v>9.2918256464865312</v>
      </c>
      <c r="AD52" s="389">
        <f t="shared" si="22"/>
        <v>0.51606817376361924</v>
      </c>
      <c r="AE52" s="131">
        <f>IF($T52=1,$AB52*$Y52+(Assumptions!$C$9/(1+$R52)+Assumptions!$C$10*$AC52)*$P52+$S52*$Z52*$AA52,0)</f>
        <v>5229.7577075215158</v>
      </c>
      <c r="AF52" s="131">
        <f>IF($T52=1,IF($AA52-$AD52-Assumptions!$C$16*$AA52&gt;0,$AE52/($AA52-$AD52-Assumptions!$C$16*$AA52)*IF($J52="Monthly",1+Assumptions!$C$29,1),"n.a."),"")</f>
        <v>853.27405018610932</v>
      </c>
      <c r="AG52" s="131">
        <f t="shared" si="23"/>
        <v>1200</v>
      </c>
      <c r="AH52" s="131">
        <f t="shared" si="24"/>
        <v>8907.3753007616415</v>
      </c>
      <c r="AI52" s="131">
        <f t="shared" si="25"/>
        <v>3058.3357847237821</v>
      </c>
      <c r="AJ52" s="390">
        <f t="shared" si="26"/>
        <v>0.34334870615166213</v>
      </c>
      <c r="AK52" s="389">
        <f t="shared" si="27"/>
        <v>1.4063477024037772</v>
      </c>
      <c r="AL52" s="131">
        <f t="shared" si="28"/>
        <v>0</v>
      </c>
      <c r="AM52" s="131">
        <f t="shared" si="29"/>
        <v>0</v>
      </c>
      <c r="AN52" s="131">
        <f t="shared" si="30"/>
        <v>0</v>
      </c>
      <c r="AO52" s="131">
        <f t="shared" si="31"/>
        <v>3058.3357847237821</v>
      </c>
      <c r="AP52" s="26" t="str">
        <f t="shared" si="32"/>
        <v>30-39</v>
      </c>
      <c r="AQ52" s="26" t="str">
        <f t="shared" si="33"/>
        <v>250k-500k</v>
      </c>
      <c r="AR52" s="26" t="str">
        <f>IF($T52=1,IF($AI52&lt;0,"Loss-making",IF($AJ52&lt;Assumptions!$C$16-0.00001,"Below target","At/above target")),"Excluded")</f>
        <v>At/above target</v>
      </c>
      <c r="AS52" s="103">
        <f t="shared" si="34"/>
        <v>3058.335836723782</v>
      </c>
      <c r="AT52" s="26"/>
      <c r="AU52" s="419">
        <f>IF(AND($T52=1,AU$5&lt;=$H52),INDEX(Mortality!$B$4:$E$64,MATCH($D52+AU$5-1,Mortality!$A$4:$A$64,0),$U52)*$V52*$N52,0)</f>
        <v>3.8249999999999997E-4</v>
      </c>
      <c r="AV52" s="93">
        <f>IF(AND($T52=1,AV$5&lt;=$H52),INDEX(Mortality!$B$4:$E$64,MATCH($D52+AV$5-1,Mortality!$A$4:$A$64,0),$U52)*$V52*$N52,0)</f>
        <v>4.1435730338567202E-4</v>
      </c>
      <c r="AW52" s="93">
        <f>IF(AND($T52=1,AW$5&lt;=$H52),INDEX(Mortality!$B$4:$E$64,MATCH($D52+AW$5-1,Mortality!$A$4:$A$64,0),$U52)*$V52*$N52,0)</f>
        <v>4.4886790815436701E-4</v>
      </c>
      <c r="AX52" s="93">
        <f>IF(AND($T52=1,AX$5&lt;=$H52),INDEX(Mortality!$B$4:$E$64,MATCH($D52+AX$5-1,Mortality!$A$4:$A$64,0),$U52)*$V52*$N52,0)</f>
        <v>4.8625279999793699E-4</v>
      </c>
      <c r="AY52" s="93">
        <f>IF(AND($T52=1,AY$5&lt;=$H52),INDEX(Mortality!$B$4:$E$64,MATCH($D52+AY$5-1,Mortality!$A$4:$A$64,0),$U52)*$V52*$N52,0)</f>
        <v>5.2675136985850396E-4</v>
      </c>
      <c r="AZ52" s="93">
        <f>IF(AND($T52=1,AZ$5&lt;=$H52),INDEX(Mortality!$B$4:$E$64,MATCH($D52+AZ$5-1,Mortality!$A$4:$A$64,0),$U52)*$V52*$N52,0)</f>
        <v>5.7062294684778595E-4</v>
      </c>
      <c r="BA52" s="93">
        <f>IF(AND($T52=1,BA$5&lt;=$H52),INDEX(Mortality!$B$4:$E$64,MATCH($D52+BA$5-1,Mortality!$A$4:$A$64,0),$U52)*$V52*$N52,0)</f>
        <v>6.1814845883878197E-4</v>
      </c>
      <c r="BB52" s="93">
        <f>IF(AND($T52=1,BB$5&lt;=$H52),INDEX(Mortality!$B$4:$E$64,MATCH($D52+BB$5-1,Mortality!$A$4:$A$64,0),$U52)*$V52*$N52,0)</f>
        <v>6.6963223136325904E-4</v>
      </c>
      <c r="BC52" s="93">
        <f>IF(AND($T52=1,BC$5&lt;=$H52),INDEX(Mortality!$B$4:$E$64,MATCH($D52+BC$5-1,Mortality!$A$4:$A$64,0),$U52)*$V52*$N52,0)</f>
        <v>7.2540393633414402E-4</v>
      </c>
      <c r="BD52" s="93">
        <f>IF(AND($T52=1,BD$5&lt;=$H52),INDEX(Mortality!$B$4:$E$64,MATCH($D52+BD$5-1,Mortality!$A$4:$A$64,0),$U52)*$V52*$N52,0)</f>
        <v>7.8582070307128696E-4</v>
      </c>
      <c r="BE52" s="93">
        <f>IF(AND($T52=1,BE$5&lt;=$H52),INDEX(Mortality!$B$4:$E$64,MATCH($D52+BE$5-1,Mortality!$A$4:$A$64,0),$U52)*$V52*$N52,0)</f>
        <v>8.5126940514836905E-4</v>
      </c>
      <c r="BF52" s="93">
        <f>IF(AND($T52=1,BF$5&lt;=$H52),INDEX(Mortality!$B$4:$E$64,MATCH($D52+BF$5-1,Mortality!$A$4:$A$64,0),$U52)*$V52*$N52,0)</f>
        <v>9.2216913770458301E-4</v>
      </c>
      <c r="BG52" s="93">
        <f>IF(AND($T52=1,BG$5&lt;=$H52),INDEX(Mortality!$B$4:$E$64,MATCH($D52+BG$5-1,Mortality!$A$4:$A$64,0),$U52)*$V52*$N52,0)</f>
        <v>9.98973901084343E-4</v>
      </c>
      <c r="BH52" s="93">
        <f>IF(AND($T52=1,BH$5&lt;=$H52),INDEX(Mortality!$B$4:$E$64,MATCH($D52+BH$5-1,Mortality!$A$4:$A$64,0),$U52)*$V52*$N52,0)</f>
        <v>1.08217550798947E-3</v>
      </c>
      <c r="BI52" s="93">
        <f>IF(AND($T52=1,BI$5&lt;=$H52),INDEX(Mortality!$B$4:$E$64,MATCH($D52+BI$5-1,Mortality!$A$4:$A$64,0),$U52)*$V52*$N52,0)</f>
        <v>1.1723067327595699E-3</v>
      </c>
      <c r="BJ52" s="93">
        <f>IF(AND($T52=1,BJ$5&lt;=$H52),INDEX(Mortality!$B$4:$E$64,MATCH($D52+BJ$5-1,Mortality!$A$4:$A$64,0),$U52)*$V52*$N52,0)</f>
        <v>0</v>
      </c>
      <c r="BK52" s="93">
        <f>IF(AND($T52=1,BK$5&lt;=$H52),INDEX(Mortality!$B$4:$E$64,MATCH($D52+BK$5-1,Mortality!$A$4:$A$64,0),$U52)*$V52*$N52,0)</f>
        <v>0</v>
      </c>
      <c r="BL52" s="93">
        <f>IF(AND($T52=1,BL$5&lt;=$H52),INDEX(Mortality!$B$4:$E$64,MATCH($D52+BL$5-1,Mortality!$A$4:$A$64,0),$U52)*$V52*$N52,0)</f>
        <v>0</v>
      </c>
      <c r="BM52" s="93">
        <f>IF(AND($T52=1,BM$5&lt;=$H52),INDEX(Mortality!$B$4:$E$64,MATCH($D52+BM$5-1,Mortality!$A$4:$A$64,0),$U52)*$V52*$N52,0)</f>
        <v>0</v>
      </c>
      <c r="BN52" s="93">
        <f>IF(AND($T52=1,BN$5&lt;=$H52),INDEX(Mortality!$B$4:$E$64,MATCH($D52+BN$5-1,Mortality!$A$4:$A$64,0),$U52)*$V52*$N52,0)</f>
        <v>0</v>
      </c>
      <c r="BO52" s="93">
        <f>IF(AND($T52=1,BO$5&lt;=$H52),INDEX(Mortality!$B$4:$E$64,MATCH($D52+BO$5-1,Mortality!$A$4:$A$64,0),$U52)*$V52*$N52,0)</f>
        <v>0</v>
      </c>
      <c r="BP52" s="93">
        <f>IF(AND($T52=1,BP$5&lt;=$H52),INDEX(Mortality!$B$4:$E$64,MATCH($D52+BP$5-1,Mortality!$A$4:$A$64,0),$U52)*$V52*$N52,0)</f>
        <v>0</v>
      </c>
      <c r="BQ52" s="93">
        <f>IF(AND($T52=1,BQ$5&lt;=$H52),INDEX(Mortality!$B$4:$E$64,MATCH($D52+BQ$5-1,Mortality!$A$4:$A$64,0),$U52)*$V52*$N52,0)</f>
        <v>0</v>
      </c>
      <c r="BR52" s="93">
        <f>IF(AND($T52=1,BR$5&lt;=$H52),INDEX(Mortality!$B$4:$E$64,MATCH($D52+BR$5-1,Mortality!$A$4:$A$64,0),$U52)*$V52*$N52,0)</f>
        <v>0</v>
      </c>
      <c r="BS52" s="93">
        <f>IF(AND($T52=1,BS$5&lt;=$H52),INDEX(Mortality!$B$4:$E$64,MATCH($D52+BS$5-1,Mortality!$A$4:$A$64,0),$U52)*$V52*$N52,0)</f>
        <v>0</v>
      </c>
      <c r="BT52" s="93">
        <f>IF(AND($T52=1,BT$5&lt;=$H52),INDEX(Mortality!$B$4:$E$64,MATCH($D52+BT$5-1,Mortality!$A$4:$A$64,0),$U52)*$V52*$N52,0)</f>
        <v>0</v>
      </c>
      <c r="BU52" s="93">
        <f>IF(AND($T52=1,BU$5&lt;=$H52),INDEX(Mortality!$B$4:$E$64,MATCH($D52+BU$5-1,Mortality!$A$4:$A$64,0),$U52)*$V52*$N52,0)</f>
        <v>0</v>
      </c>
      <c r="BV52" s="93">
        <f>IF(AND($T52=1,BV$5&lt;=$H52),INDEX(Mortality!$B$4:$E$64,MATCH($D52+BV$5-1,Mortality!$A$4:$A$64,0),$U52)*$V52*$N52,0)</f>
        <v>0</v>
      </c>
      <c r="BW52" s="93">
        <f>IF(AND($T52=1,BW$5&lt;=$H52),INDEX(Mortality!$B$4:$E$64,MATCH($D52+BW$5-1,Mortality!$A$4:$A$64,0),$U52)*$V52*$N52,0)</f>
        <v>0</v>
      </c>
      <c r="BX52" s="93">
        <f>IF(AND($T52=1,BX$5&lt;=$H52),INDEX(Mortality!$B$4:$E$64,MATCH($D52+BX$5-1,Mortality!$A$4:$A$64,0),$U52)*$V52*$N52,0)</f>
        <v>0</v>
      </c>
      <c r="BY52" s="93">
        <f>IF(AND($T52=1,BY$5&lt;=$H52),INDEX(Mortality!$B$4:$E$64,MATCH($D52+BY$5-1,Mortality!$A$4:$A$64,0),$U52)*$V52*$N52,0)</f>
        <v>0</v>
      </c>
      <c r="BZ52" s="93">
        <f>IF(AND($T52=1,BZ$5&lt;=$H52),INDEX(Mortality!$B$4:$E$64,MATCH($D52+BZ$5-1,Mortality!$A$4:$A$64,0),$U52)*$V52*$N52,0)</f>
        <v>0</v>
      </c>
      <c r="CA52" s="93">
        <f>IF(AND($T52=1,CA$5&lt;=$H52),INDEX(Mortality!$B$4:$E$64,MATCH($D52+CA$5-1,Mortality!$A$4:$A$64,0),$U52)*$V52*$N52,0)</f>
        <v>0</v>
      </c>
      <c r="CB52" s="93">
        <f>IF(AND($T52=1,CB$5&lt;=$H52),INDEX(Mortality!$B$4:$E$64,MATCH($D52+CB$5-1,Mortality!$A$4:$A$64,0),$U52)*$V52*$N52,0)</f>
        <v>0</v>
      </c>
      <c r="CC52" s="93">
        <f>IF(AND($T52=1,CC$5&lt;=$H52),INDEX(Mortality!$B$4:$E$64,MATCH($D52+CC$5-1,Mortality!$A$4:$A$64,0),$U52)*$V52*$N52,0)</f>
        <v>0</v>
      </c>
      <c r="CD52" s="93">
        <f>IF(AND($T52=1,CD$5&lt;=$H52),INDEX(Mortality!$B$4:$E$64,MATCH($D52+CD$5-1,Mortality!$A$4:$A$64,0),$U52)*$V52*$N52,0)</f>
        <v>0</v>
      </c>
      <c r="CE52" s="93">
        <f>IF(AND($T52=1,CE$5&lt;=$H52),INDEX(Mortality!$B$4:$E$64,MATCH($D52+CE$5-1,Mortality!$A$4:$A$64,0),$U52)*$V52*$N52,0)</f>
        <v>0</v>
      </c>
      <c r="CF52" s="93">
        <f>IF(AND($T52=1,CF$5&lt;=$H52),INDEX(Mortality!$B$4:$E$64,MATCH($D52+CF$5-1,Mortality!$A$4:$A$64,0),$U52)*$V52*$N52,0)</f>
        <v>0</v>
      </c>
      <c r="CG52" s="93">
        <f>IF(AND($T52=1,CG$5&lt;=$H52),INDEX(Mortality!$B$4:$E$64,MATCH($D52+CG$5-1,Mortality!$A$4:$A$64,0),$U52)*$V52*$N52,0)</f>
        <v>0</v>
      </c>
      <c r="CH52" s="94">
        <f>IF(AND($T52=1,CH$5&lt;=$H52),INDEX(Mortality!$B$4:$E$64,MATCH($D52+CH$5-1,Mortality!$A$4:$A$64,0),$U52)*$V52*$N52,0)</f>
        <v>0</v>
      </c>
      <c r="CI52" s="26"/>
      <c r="CJ52" s="419">
        <f t="shared" si="35"/>
        <v>1</v>
      </c>
      <c r="CK52" s="93">
        <f>IF(AND($T52=1,CK$5&lt;=$H52),CJ52*(1-AU52)*(1-MIN(1,MAX(Assumptions!$C$27,Assumptions!$C$13*Assumptions!$C$28^(CJ$5-1))*$O52)),0)</f>
        <v>0.8796634000000001</v>
      </c>
      <c r="CL52" s="93">
        <f>IF(AND($T52=1,CL$5&lt;=$H52),CK52*(1-AV52)*(1-MIN(1,MAX(Assumptions!$C$27,Assumptions!$C$13*Assumptions!$C$28^(CK$5-1))*$O52)),0)</f>
        <v>0.78961041673102872</v>
      </c>
      <c r="CM52" s="93">
        <f>IF(AND($T52=1,CM$5&lt;=$H52),CL52*(1-AW52)*(1-MIN(1,MAX(Assumptions!$C$27,Assumptions!$C$13*Assumptions!$C$28^(CL$5-1))*$O52)),0)</f>
        <v>0.72082749197271412</v>
      </c>
      <c r="CN52" s="93">
        <f>IF(AND($T52=1,CN$5&lt;=$H52),CM52*(1-AX52)*(1-MIN(1,MAX(Assumptions!$C$27,Assumptions!$C$13*Assumptions!$C$28^(CM$5-1))*$O52)),0)</f>
        <v>0.66738143598624522</v>
      </c>
      <c r="CO52" s="93">
        <f>IF(AND($T52=1,CO$5&lt;=$H52),CN52*(1-AY52)*(1-MIN(1,MAX(Assumptions!$C$27,Assumptions!$C$13*Assumptions!$C$28^(CN$5-1))*$O52)),0)</f>
        <v>0.62524663919954748</v>
      </c>
      <c r="CP52" s="93">
        <f>IF(AND($T52=1,CP$5&lt;=$H52),CO52*(1-AZ52)*(1-MIN(1,MAX(Assumptions!$C$27,Assumptions!$C$13*Assumptions!$C$28^(CO$5-1))*$O52)),0)</f>
        <v>0.59161782509352201</v>
      </c>
      <c r="CQ52" s="93">
        <f>IF(AND($T52=1,CQ$5&lt;=$H52),CP52*(1-BA52)*(1-MIN(1,MAX(Assumptions!$C$27,Assumptions!$C$13*Assumptions!$C$28^(CP$5-1))*$O52)),0)</f>
        <v>0.56449326348184459</v>
      </c>
      <c r="CR52" s="93">
        <f>IF(AND($T52=1,CR$5&lt;=$H52),CQ52*(1-BB52)*(1-MIN(1,MAX(Assumptions!$C$27,Assumptions!$C$13*Assumptions!$C$28^(CQ$5-1))*$O52)),0)</f>
        <v>0.5424141692745178</v>
      </c>
      <c r="CS52" s="93">
        <f>IF(AND($T52=1,CS$5&lt;=$H52),CR52*(1-BC52)*(1-MIN(1,MAX(Assumptions!$C$27,Assumptions!$C$13*Assumptions!$C$28^(CR$5-1))*$O52)),0)</f>
        <v>0.52429723928923488</v>
      </c>
      <c r="CT52" s="93">
        <f>IF(AND($T52=1,CT$5&lt;=$H52),CS52*(1-BD52)*(1-MIN(1,MAX(Assumptions!$C$27,Assumptions!$C$13*Assumptions!$C$28^(CS$5-1))*$O52)),0)</f>
        <v>0.50932435184555491</v>
      </c>
      <c r="CU52" s="93">
        <f>IF(AND($T52=1,CU$5&lt;=$H52),CT52*(1-BE52)*(1-MIN(1,MAX(Assumptions!$C$27,Assumptions!$C$13*Assumptions!$C$28^(CT$5-1))*$O52)),0)</f>
        <v>0.49686827131436556</v>
      </c>
      <c r="CV52" s="93">
        <f>IF(AND($T52=1,CV$5&lt;=$H52),CU52*(1-BF52)*(1-MIN(1,MAX(Assumptions!$C$27,Assumptions!$C$13*Assumptions!$C$28^(CU$5-1))*$O52)),0)</f>
        <v>0.48644157007641114</v>
      </c>
      <c r="CW52" s="93">
        <f>IF(AND($T52=1,CW$5&lt;=$H52),CV52*(1-BG52)*(1-MIN(1,MAX(Assumptions!$C$27,Assumptions!$C$13*Assumptions!$C$28^(CV$5-1))*$O52)),0)</f>
        <v>0.47623651509063225</v>
      </c>
      <c r="CX52" s="93">
        <f>IF(AND($T52=1,CX$5&lt;=$H52),CW52*(1-BH52)*(1-MIN(1,MAX(Assumptions!$C$27,Assumptions!$C$13*Assumptions!$C$28^(CW$5-1))*$O52)),0)</f>
        <v>0.46620672072603109</v>
      </c>
      <c r="CY52" s="93">
        <f>IF(AND($T52=1,CY$5&lt;=$H52),CX52*(1-BI52)*(1-MIN(1,MAX(Assumptions!$C$27,Assumptions!$C$13*Assumptions!$C$28^(CX$5-1))*$O52)),0)</f>
        <v>0</v>
      </c>
      <c r="CZ52" s="93">
        <f>IF(AND($T52=1,CZ$5&lt;=$H52),CY52*(1-BJ52)*(1-MIN(1,MAX(Assumptions!$C$27,Assumptions!$C$13*Assumptions!$C$28^(CY$5-1))*$O52)),0)</f>
        <v>0</v>
      </c>
      <c r="DA52" s="93">
        <f>IF(AND($T52=1,DA$5&lt;=$H52),CZ52*(1-BK52)*(1-MIN(1,MAX(Assumptions!$C$27,Assumptions!$C$13*Assumptions!$C$28^(CZ$5-1))*$O52)),0)</f>
        <v>0</v>
      </c>
      <c r="DB52" s="93">
        <f>IF(AND($T52=1,DB$5&lt;=$H52),DA52*(1-BL52)*(1-MIN(1,MAX(Assumptions!$C$27,Assumptions!$C$13*Assumptions!$C$28^(DA$5-1))*$O52)),0)</f>
        <v>0</v>
      </c>
      <c r="DC52" s="93">
        <f>IF(AND($T52=1,DC$5&lt;=$H52),DB52*(1-BM52)*(1-MIN(1,MAX(Assumptions!$C$27,Assumptions!$C$13*Assumptions!$C$28^(DB$5-1))*$O52)),0)</f>
        <v>0</v>
      </c>
      <c r="DD52" s="93">
        <f>IF(AND($T52=1,DD$5&lt;=$H52),DC52*(1-BN52)*(1-MIN(1,MAX(Assumptions!$C$27,Assumptions!$C$13*Assumptions!$C$28^(DC$5-1))*$O52)),0)</f>
        <v>0</v>
      </c>
      <c r="DE52" s="93">
        <f>IF(AND($T52=1,DE$5&lt;=$H52),DD52*(1-BO52)*(1-MIN(1,MAX(Assumptions!$C$27,Assumptions!$C$13*Assumptions!$C$28^(DD$5-1))*$O52)),0)</f>
        <v>0</v>
      </c>
      <c r="DF52" s="93">
        <f>IF(AND($T52=1,DF$5&lt;=$H52),DE52*(1-BP52)*(1-MIN(1,MAX(Assumptions!$C$27,Assumptions!$C$13*Assumptions!$C$28^(DE$5-1))*$O52)),0)</f>
        <v>0</v>
      </c>
      <c r="DG52" s="93">
        <f>IF(AND($T52=1,DG$5&lt;=$H52),DF52*(1-BQ52)*(1-MIN(1,MAX(Assumptions!$C$27,Assumptions!$C$13*Assumptions!$C$28^(DF$5-1))*$O52)),0)</f>
        <v>0</v>
      </c>
      <c r="DH52" s="93">
        <f>IF(AND($T52=1,DH$5&lt;=$H52),DG52*(1-BR52)*(1-MIN(1,MAX(Assumptions!$C$27,Assumptions!$C$13*Assumptions!$C$28^(DG$5-1))*$O52)),0)</f>
        <v>0</v>
      </c>
      <c r="DI52" s="93">
        <f>IF(AND($T52=1,DI$5&lt;=$H52),DH52*(1-BS52)*(1-MIN(1,MAX(Assumptions!$C$27,Assumptions!$C$13*Assumptions!$C$28^(DH$5-1))*$O52)),0)</f>
        <v>0</v>
      </c>
      <c r="DJ52" s="93">
        <f>IF(AND($T52=1,DJ$5&lt;=$H52),DI52*(1-BT52)*(1-MIN(1,MAX(Assumptions!$C$27,Assumptions!$C$13*Assumptions!$C$28^(DI$5-1))*$O52)),0)</f>
        <v>0</v>
      </c>
      <c r="DK52" s="93">
        <f>IF(AND($T52=1,DK$5&lt;=$H52),DJ52*(1-BU52)*(1-MIN(1,MAX(Assumptions!$C$27,Assumptions!$C$13*Assumptions!$C$28^(DJ$5-1))*$O52)),0)</f>
        <v>0</v>
      </c>
      <c r="DL52" s="93">
        <f>IF(AND($T52=1,DL$5&lt;=$H52),DK52*(1-BV52)*(1-MIN(1,MAX(Assumptions!$C$27,Assumptions!$C$13*Assumptions!$C$28^(DK$5-1))*$O52)),0)</f>
        <v>0</v>
      </c>
      <c r="DM52" s="93">
        <f>IF(AND($T52=1,DM$5&lt;=$H52),DL52*(1-BW52)*(1-MIN(1,MAX(Assumptions!$C$27,Assumptions!$C$13*Assumptions!$C$28^(DL$5-1))*$O52)),0)</f>
        <v>0</v>
      </c>
      <c r="DN52" s="93">
        <f>IF(AND($T52=1,DN$5&lt;=$H52),DM52*(1-BX52)*(1-MIN(1,MAX(Assumptions!$C$27,Assumptions!$C$13*Assumptions!$C$28^(DM$5-1))*$O52)),0)</f>
        <v>0</v>
      </c>
      <c r="DO52" s="93">
        <f>IF(AND($T52=1,DO$5&lt;=$H52),DN52*(1-BY52)*(1-MIN(1,MAX(Assumptions!$C$27,Assumptions!$C$13*Assumptions!$C$28^(DN$5-1))*$O52)),0)</f>
        <v>0</v>
      </c>
      <c r="DP52" s="93">
        <f>IF(AND($T52=1,DP$5&lt;=$H52),DO52*(1-BZ52)*(1-MIN(1,MAX(Assumptions!$C$27,Assumptions!$C$13*Assumptions!$C$28^(DO$5-1))*$O52)),0)</f>
        <v>0</v>
      </c>
      <c r="DQ52" s="93">
        <f>IF(AND($T52=1,DQ$5&lt;=$H52),DP52*(1-CA52)*(1-MIN(1,MAX(Assumptions!$C$27,Assumptions!$C$13*Assumptions!$C$28^(DP$5-1))*$O52)),0)</f>
        <v>0</v>
      </c>
      <c r="DR52" s="93">
        <f>IF(AND($T52=1,DR$5&lt;=$H52),DQ52*(1-CB52)*(1-MIN(1,MAX(Assumptions!$C$27,Assumptions!$C$13*Assumptions!$C$28^(DQ$5-1))*$O52)),0)</f>
        <v>0</v>
      </c>
      <c r="DS52" s="93">
        <f>IF(AND($T52=1,DS$5&lt;=$H52),DR52*(1-CC52)*(1-MIN(1,MAX(Assumptions!$C$27,Assumptions!$C$13*Assumptions!$C$28^(DR$5-1))*$O52)),0)</f>
        <v>0</v>
      </c>
      <c r="DT52" s="93">
        <f>IF(AND($T52=1,DT$5&lt;=$H52),DS52*(1-CD52)*(1-MIN(1,MAX(Assumptions!$C$27,Assumptions!$C$13*Assumptions!$C$28^(DS$5-1))*$O52)),0)</f>
        <v>0</v>
      </c>
      <c r="DU52" s="93">
        <f>IF(AND($T52=1,DU$5&lt;=$H52),DT52*(1-CE52)*(1-MIN(1,MAX(Assumptions!$C$27,Assumptions!$C$13*Assumptions!$C$28^(DT$5-1))*$O52)),0)</f>
        <v>0</v>
      </c>
      <c r="DV52" s="93">
        <f>IF(AND($T52=1,DV$5&lt;=$H52),DU52*(1-CF52)*(1-MIN(1,MAX(Assumptions!$C$27,Assumptions!$C$13*Assumptions!$C$28^(DU$5-1))*$O52)),0)</f>
        <v>0</v>
      </c>
      <c r="DW52" s="94">
        <f>IF(AND($T52=1,DW$5&lt;=$H52),DV52*(1-CG52)*(1-MIN(1,MAX(Assumptions!$C$27,Assumptions!$C$13*Assumptions!$C$28^(DV$5-1))*$O52)),0)</f>
        <v>0</v>
      </c>
      <c r="DX52" s="26"/>
      <c r="DY52" s="399">
        <f>'Policy Data'!K26</f>
        <v>4</v>
      </c>
      <c r="DZ52" s="100">
        <f>'Policy Data'!L26</f>
        <v>0.95989999999999998</v>
      </c>
      <c r="EA52" s="100">
        <f>'Policy Data'!N26</f>
        <v>3.6699999999999998E-4</v>
      </c>
      <c r="EB52" s="93" cm="1">
        <f t="array" ref="EB52">IFERROR(DZ52*INDEX(Mortality!$B$4:$E$64,MATCH(D52+DY52-1,Mortality!$A$4:$A$64,0),U52)*V52,0)</f>
        <v>4.6675406271801969E-4</v>
      </c>
      <c r="EC52" s="100">
        <f>'Policy Data'!O26</f>
        <v>0</v>
      </c>
      <c r="ED52" s="400">
        <f>'Policy Data'!Q26</f>
        <v>0</v>
      </c>
    </row>
    <row r="53" spans="1:134" x14ac:dyDescent="0.3">
      <c r="A53" s="399" t="str">
        <f>'Policy Data'!A27</f>
        <v>POL100023</v>
      </c>
      <c r="B53" s="26" t="s">
        <v>426</v>
      </c>
      <c r="C53" s="100" t="str">
        <f>'Policy Data'!B27</f>
        <v>Term Life</v>
      </c>
      <c r="D53" s="100">
        <f>'Policy Data'!C27</f>
        <v>38</v>
      </c>
      <c r="E53" s="100" t="str">
        <f>'Policy Data'!D27</f>
        <v>Female</v>
      </c>
      <c r="F53" s="100" t="str">
        <f>'Policy Data'!E27</f>
        <v>Non-smoker</v>
      </c>
      <c r="G53" s="100" t="str">
        <f>'Policy Data'!F27</f>
        <v>Standard</v>
      </c>
      <c r="H53" s="100">
        <f>'Policy Data'!G27</f>
        <v>20</v>
      </c>
      <c r="I53" s="279">
        <f>'Policy Data'!H27</f>
        <v>250000</v>
      </c>
      <c r="J53" s="100" t="str">
        <f>'Policy Data'!I27</f>
        <v>Annual</v>
      </c>
      <c r="K53" s="100" t="str">
        <f>'Policy Data'!J27</f>
        <v>Direct</v>
      </c>
      <c r="L53" s="26" t="s">
        <v>389</v>
      </c>
      <c r="M53" s="106">
        <f>'Policy Data'!R27</f>
        <v>1200</v>
      </c>
      <c r="N53" s="415">
        <f>Assumptions!$C$21</f>
        <v>1</v>
      </c>
      <c r="O53" s="415">
        <f>Assumptions!$C$22</f>
        <v>1</v>
      </c>
      <c r="P53" s="415">
        <f>Assumptions!$C$23</f>
        <v>1</v>
      </c>
      <c r="Q53" s="416">
        <f>Assumptions!$C$24</f>
        <v>0</v>
      </c>
      <c r="R53" s="416">
        <f>Assumptions!$C$6+Assumptions!$C$25</f>
        <v>3.5000000000000003E-2</v>
      </c>
      <c r="S53" s="416">
        <f>Assumptions!$C$15</f>
        <v>1.1000000000000001E-3</v>
      </c>
      <c r="T53" s="26">
        <f t="shared" si="18"/>
        <v>1</v>
      </c>
      <c r="U53" s="26">
        <f t="shared" si="19"/>
        <v>1</v>
      </c>
      <c r="V53" s="389">
        <f>IF($G53="Preferred",Assumptions!$C$30,IF($G53="Rated",Assumptions!$C$31,1))</f>
        <v>1</v>
      </c>
      <c r="W53" s="390">
        <f>IF($K53="Direct",Assumptions!$C$32,IF($K53="Broker",Assumptions!$C$33,IF($K53="Bancassurance",Assumptions!$C$34,Assumptions!$C$11)))+$Q53</f>
        <v>0.1</v>
      </c>
      <c r="X53" s="390">
        <f>Assumptions!$C$12+$Q53</f>
        <v>0.05</v>
      </c>
      <c r="Y53" s="131">
        <f>MIN($I53,Assumptions!$C$14)</f>
        <v>250000</v>
      </c>
      <c r="Z53" s="131">
        <f>MAX($I53-Assumptions!$C$14,0)</f>
        <v>0</v>
      </c>
      <c r="AA53" s="389">
        <f t="shared" si="20"/>
        <v>8.5697858990251685</v>
      </c>
      <c r="AB53" s="389">
        <f t="shared" si="21"/>
        <v>1.2040883029680144E-2</v>
      </c>
      <c r="AC53" s="389">
        <f>IF($T53=1,SUMPRODUCT($CJ53:$DW53,(1+Assumptions!$C$5)^($CJ$5:$DW$5-1),(1+$R53)^(-$CJ$5:$DW$5)),0)</f>
        <v>11.528801146169867</v>
      </c>
      <c r="AD53" s="389">
        <f t="shared" si="22"/>
        <v>0.47679847369521977</v>
      </c>
      <c r="AE53" s="131">
        <f>IF($T53=1,$AB53*$Y53+(Assumptions!$C$9/(1+$R53)+Assumptions!$C$10*$AC53)*$P53+$S53*$Z53*$AA53,0)</f>
        <v>6416.1222269687114</v>
      </c>
      <c r="AF53" s="131">
        <f>IF($T53=1,IF($AA53-$AD53-Assumptions!$C$16*$AA53&gt;0,$AE53/($AA53-$AD53-Assumptions!$C$16*$AA53)*IF($J53="Monthly",1+Assumptions!$C$29,1),"n.a."),"")</f>
        <v>866.17683436998698</v>
      </c>
      <c r="AG53" s="131">
        <f t="shared" si="23"/>
        <v>1200</v>
      </c>
      <c r="AH53" s="131">
        <f t="shared" si="24"/>
        <v>10283.743078830203</v>
      </c>
      <c r="AI53" s="131">
        <f t="shared" si="25"/>
        <v>3295.4626834272258</v>
      </c>
      <c r="AJ53" s="390">
        <f t="shared" si="26"/>
        <v>0.32045361870340422</v>
      </c>
      <c r="AK53" s="389">
        <f t="shared" si="27"/>
        <v>1.3853983994767294</v>
      </c>
      <c r="AL53" s="131">
        <f t="shared" si="28"/>
        <v>0</v>
      </c>
      <c r="AM53" s="131">
        <f t="shared" si="29"/>
        <v>0</v>
      </c>
      <c r="AN53" s="131">
        <f t="shared" si="30"/>
        <v>0</v>
      </c>
      <c r="AO53" s="131">
        <f t="shared" si="31"/>
        <v>3295.4626834272258</v>
      </c>
      <c r="AP53" s="26" t="str">
        <f t="shared" si="32"/>
        <v>30-39</v>
      </c>
      <c r="AQ53" s="26" t="str">
        <f t="shared" si="33"/>
        <v>Up to 250k</v>
      </c>
      <c r="AR53" s="26" t="str">
        <f>IF($T53=1,IF($AI53&lt;0,"Loss-making",IF($AJ53&lt;Assumptions!$C$16-0.00001,"Below target","At/above target")),"Excluded")</f>
        <v>At/above target</v>
      </c>
      <c r="AS53" s="103">
        <f t="shared" si="34"/>
        <v>3295.462736427226</v>
      </c>
      <c r="AT53" s="26"/>
      <c r="AU53" s="419">
        <f>IF(AND($T53=1,AU$5&lt;=$H53),INDEX(Mortality!$B$4:$E$64,MATCH($D53+AU$5-1,Mortality!$A$4:$A$64,0),$U53)*$V53*$N53,0)</f>
        <v>7.2540393633414402E-4</v>
      </c>
      <c r="AV53" s="93">
        <f>IF(AND($T53=1,AV$5&lt;=$H53),INDEX(Mortality!$B$4:$E$64,MATCH($D53+AV$5-1,Mortality!$A$4:$A$64,0),$U53)*$V53*$N53,0)</f>
        <v>7.8582070307128696E-4</v>
      </c>
      <c r="AW53" s="93">
        <f>IF(AND($T53=1,AW$5&lt;=$H53),INDEX(Mortality!$B$4:$E$64,MATCH($D53+AW$5-1,Mortality!$A$4:$A$64,0),$U53)*$V53*$N53,0)</f>
        <v>8.5126940514836905E-4</v>
      </c>
      <c r="AX53" s="93">
        <f>IF(AND($T53=1,AX$5&lt;=$H53),INDEX(Mortality!$B$4:$E$64,MATCH($D53+AX$5-1,Mortality!$A$4:$A$64,0),$U53)*$V53*$N53,0)</f>
        <v>9.2216913770458301E-4</v>
      </c>
      <c r="AY53" s="93">
        <f>IF(AND($T53=1,AY$5&lt;=$H53),INDEX(Mortality!$B$4:$E$64,MATCH($D53+AY$5-1,Mortality!$A$4:$A$64,0),$U53)*$V53*$N53,0)</f>
        <v>9.98973901084343E-4</v>
      </c>
      <c r="AZ53" s="93">
        <f>IF(AND($T53=1,AZ$5&lt;=$H53),INDEX(Mortality!$B$4:$E$64,MATCH($D53+AZ$5-1,Mortality!$A$4:$A$64,0),$U53)*$V53*$N53,0)</f>
        <v>1.08217550798947E-3</v>
      </c>
      <c r="BA53" s="93">
        <f>IF(AND($T53=1,BA$5&lt;=$H53),INDEX(Mortality!$B$4:$E$64,MATCH($D53+BA$5-1,Mortality!$A$4:$A$64,0),$U53)*$V53*$N53,0)</f>
        <v>1.1723067327595699E-3</v>
      </c>
      <c r="BB53" s="93">
        <f>IF(AND($T53=1,BB$5&lt;=$H53),INDEX(Mortality!$B$4:$E$64,MATCH($D53+BB$5-1,Mortality!$A$4:$A$64,0),$U53)*$V53*$N53,0)</f>
        <v>1.2699447229467301E-3</v>
      </c>
      <c r="BC53" s="93">
        <f>IF(AND($T53=1,BC$5&lt;=$H53),INDEX(Mortality!$B$4:$E$64,MATCH($D53+BC$5-1,Mortality!$A$4:$A$64,0),$U53)*$V53*$N53,0)</f>
        <v>1.37571469503025E-3</v>
      </c>
      <c r="BD53" s="93">
        <f>IF(AND($T53=1,BD$5&lt;=$H53),INDEX(Mortality!$B$4:$E$64,MATCH($D53+BD$5-1,Mortality!$A$4:$A$64,0),$U53)*$V53*$N53,0)</f>
        <v>1.4902939379366699E-3</v>
      </c>
      <c r="BE53" s="93">
        <f>IF(AND($T53=1,BE$5&lt;=$H53),INDEX(Mortality!$B$4:$E$64,MATCH($D53+BE$5-1,Mortality!$A$4:$A$64,0),$U53)*$V53*$N53,0)</f>
        <v>1.6144161500011799E-3</v>
      </c>
      <c r="BF53" s="93">
        <f>IF(AND($T53=1,BF$5&lt;=$H53),INDEX(Mortality!$B$4:$E$64,MATCH($D53+BF$5-1,Mortality!$A$4:$A$64,0),$U53)*$V53*$N53,0)</f>
        <v>1.74887613714188E-3</v>
      </c>
      <c r="BG53" s="93">
        <f>IF(AND($T53=1,BG$5&lt;=$H53),INDEX(Mortality!$B$4:$E$64,MATCH($D53+BG$5-1,Mortality!$A$4:$A$64,0),$U53)*$V53*$N53,0)</f>
        <v>1.89453490233113E-3</v>
      </c>
      <c r="BH53" s="93">
        <f>IF(AND($T53=1,BH$5&lt;=$H53),INDEX(Mortality!$B$4:$E$64,MATCH($D53+BH$5-1,Mortality!$A$4:$A$64,0),$U53)*$V53*$N53,0)</f>
        <v>2.05232515895416E-3</v>
      </c>
      <c r="BI53" s="93">
        <f>IF(AND($T53=1,BI$5&lt;=$H53),INDEX(Mortality!$B$4:$E$64,MATCH($D53+BI$5-1,Mortality!$A$4:$A$64,0),$U53)*$V53*$N53,0)</f>
        <v>2.22325730335899E-3</v>
      </c>
      <c r="BJ53" s="93">
        <f>IF(AND($T53=1,BJ$5&lt;=$H53),INDEX(Mortality!$B$4:$E$64,MATCH($D53+BJ$5-1,Mortality!$A$4:$A$64,0),$U53)*$V53*$N53,0)</f>
        <v>2.4084258848427E-3</v>
      </c>
      <c r="BK53" s="93">
        <f>IF(AND($T53=1,BK$5&lt;=$H53),INDEX(Mortality!$B$4:$E$64,MATCH($D53+BK$5-1,Mortality!$A$4:$A$64,0),$U53)*$V53*$N53,0)</f>
        <v>2.6090166145037101E-3</v>
      </c>
      <c r="BL53" s="93">
        <f>IF(AND($T53=1,BL$5&lt;=$H53),INDEX(Mortality!$B$4:$E$64,MATCH($D53+BL$5-1,Mortality!$A$4:$A$64,0),$U53)*$V53*$N53,0)</f>
        <v>2.8263139578409702E-3</v>
      </c>
      <c r="BM53" s="93">
        <f>IF(AND($T53=1,BM$5&lt;=$H53),INDEX(Mortality!$B$4:$E$64,MATCH($D53+BM$5-1,Mortality!$A$4:$A$64,0),$U53)*$V53*$N53,0)</f>
        <v>3.0617093597183598E-3</v>
      </c>
      <c r="BN53" s="93">
        <f>IF(AND($T53=1,BN$5&lt;=$H53),INDEX(Mortality!$B$4:$E$64,MATCH($D53+BN$5-1,Mortality!$A$4:$A$64,0),$U53)*$V53*$N53,0)</f>
        <v>3.31671015436227E-3</v>
      </c>
      <c r="BO53" s="93">
        <f>IF(AND($T53=1,BO$5&lt;=$H53),INDEX(Mortality!$B$4:$E$64,MATCH($D53+BO$5-1,Mortality!$A$4:$A$64,0),$U53)*$V53*$N53,0)</f>
        <v>0</v>
      </c>
      <c r="BP53" s="93">
        <f>IF(AND($T53=1,BP$5&lt;=$H53),INDEX(Mortality!$B$4:$E$64,MATCH($D53+BP$5-1,Mortality!$A$4:$A$64,0),$U53)*$V53*$N53,0)</f>
        <v>0</v>
      </c>
      <c r="BQ53" s="93">
        <f>IF(AND($T53=1,BQ$5&lt;=$H53),INDEX(Mortality!$B$4:$E$64,MATCH($D53+BQ$5-1,Mortality!$A$4:$A$64,0),$U53)*$V53*$N53,0)</f>
        <v>0</v>
      </c>
      <c r="BR53" s="93">
        <f>IF(AND($T53=1,BR$5&lt;=$H53),INDEX(Mortality!$B$4:$E$64,MATCH($D53+BR$5-1,Mortality!$A$4:$A$64,0),$U53)*$V53*$N53,0)</f>
        <v>0</v>
      </c>
      <c r="BS53" s="93">
        <f>IF(AND($T53=1,BS$5&lt;=$H53),INDEX(Mortality!$B$4:$E$64,MATCH($D53+BS$5-1,Mortality!$A$4:$A$64,0),$U53)*$V53*$N53,0)</f>
        <v>0</v>
      </c>
      <c r="BT53" s="93">
        <f>IF(AND($T53=1,BT$5&lt;=$H53),INDEX(Mortality!$B$4:$E$64,MATCH($D53+BT$5-1,Mortality!$A$4:$A$64,0),$U53)*$V53*$N53,0)</f>
        <v>0</v>
      </c>
      <c r="BU53" s="93">
        <f>IF(AND($T53=1,BU$5&lt;=$H53),INDEX(Mortality!$B$4:$E$64,MATCH($D53+BU$5-1,Mortality!$A$4:$A$64,0),$U53)*$V53*$N53,0)</f>
        <v>0</v>
      </c>
      <c r="BV53" s="93">
        <f>IF(AND($T53=1,BV$5&lt;=$H53),INDEX(Mortality!$B$4:$E$64,MATCH($D53+BV$5-1,Mortality!$A$4:$A$64,0),$U53)*$V53*$N53,0)</f>
        <v>0</v>
      </c>
      <c r="BW53" s="93">
        <f>IF(AND($T53=1,BW$5&lt;=$H53),INDEX(Mortality!$B$4:$E$64,MATCH($D53+BW$5-1,Mortality!$A$4:$A$64,0),$U53)*$V53*$N53,0)</f>
        <v>0</v>
      </c>
      <c r="BX53" s="93">
        <f>IF(AND($T53=1,BX$5&lt;=$H53),INDEX(Mortality!$B$4:$E$64,MATCH($D53+BX$5-1,Mortality!$A$4:$A$64,0),$U53)*$V53*$N53,0)</f>
        <v>0</v>
      </c>
      <c r="BY53" s="93">
        <f>IF(AND($T53=1,BY$5&lt;=$H53),INDEX(Mortality!$B$4:$E$64,MATCH($D53+BY$5-1,Mortality!$A$4:$A$64,0),$U53)*$V53*$N53,0)</f>
        <v>0</v>
      </c>
      <c r="BZ53" s="93">
        <f>IF(AND($T53=1,BZ$5&lt;=$H53),INDEX(Mortality!$B$4:$E$64,MATCH($D53+BZ$5-1,Mortality!$A$4:$A$64,0),$U53)*$V53*$N53,0)</f>
        <v>0</v>
      </c>
      <c r="CA53" s="93">
        <f>IF(AND($T53=1,CA$5&lt;=$H53),INDEX(Mortality!$B$4:$E$64,MATCH($D53+CA$5-1,Mortality!$A$4:$A$64,0),$U53)*$V53*$N53,0)</f>
        <v>0</v>
      </c>
      <c r="CB53" s="93">
        <f>IF(AND($T53=1,CB$5&lt;=$H53),INDEX(Mortality!$B$4:$E$64,MATCH($D53+CB$5-1,Mortality!$A$4:$A$64,0),$U53)*$V53*$N53,0)</f>
        <v>0</v>
      </c>
      <c r="CC53" s="93">
        <f>IF(AND($T53=1,CC$5&lt;=$H53),INDEX(Mortality!$B$4:$E$64,MATCH($D53+CC$5-1,Mortality!$A$4:$A$64,0),$U53)*$V53*$N53,0)</f>
        <v>0</v>
      </c>
      <c r="CD53" s="93">
        <f>IF(AND($T53=1,CD$5&lt;=$H53),INDEX(Mortality!$B$4:$E$64,MATCH($D53+CD$5-1,Mortality!$A$4:$A$64,0),$U53)*$V53*$N53,0)</f>
        <v>0</v>
      </c>
      <c r="CE53" s="93">
        <f>IF(AND($T53=1,CE$5&lt;=$H53),INDEX(Mortality!$B$4:$E$64,MATCH($D53+CE$5-1,Mortality!$A$4:$A$64,0),$U53)*$V53*$N53,0)</f>
        <v>0</v>
      </c>
      <c r="CF53" s="93">
        <f>IF(AND($T53=1,CF$5&lt;=$H53),INDEX(Mortality!$B$4:$E$64,MATCH($D53+CF$5-1,Mortality!$A$4:$A$64,0),$U53)*$V53*$N53,0)</f>
        <v>0</v>
      </c>
      <c r="CG53" s="93">
        <f>IF(AND($T53=1,CG$5&lt;=$H53),INDEX(Mortality!$B$4:$E$64,MATCH($D53+CG$5-1,Mortality!$A$4:$A$64,0),$U53)*$V53*$N53,0)</f>
        <v>0</v>
      </c>
      <c r="CH53" s="94">
        <f>IF(AND($T53=1,CH$5&lt;=$H53),INDEX(Mortality!$B$4:$E$64,MATCH($D53+CH$5-1,Mortality!$A$4:$A$64,0),$U53)*$V53*$N53,0)</f>
        <v>0</v>
      </c>
      <c r="CI53" s="26"/>
      <c r="CJ53" s="419">
        <f t="shared" si="35"/>
        <v>1</v>
      </c>
      <c r="CK53" s="93">
        <f>IF(AND($T53=1,CK$5&lt;=$H53),CJ53*(1-AU53)*(1-MIN(1,MAX(Assumptions!$C$27,Assumptions!$C$13*Assumptions!$C$28^(CJ$5-1))*$O53)),0)</f>
        <v>0.87936164453602594</v>
      </c>
      <c r="CL53" s="93">
        <f>IF(AND($T53=1,CL$5&lt;=$H53),CK53*(1-AV53)*(1-MIN(1,MAX(Assumptions!$C$27,Assumptions!$C$13*Assumptions!$C$28^(CK$5-1))*$O53)),0)</f>
        <v>0.78904622030733595</v>
      </c>
      <c r="CM53" s="93">
        <f>IF(AND($T53=1,CM$5&lt;=$H53),CL53*(1-AW53)*(1-MIN(1,MAX(Assumptions!$C$27,Assumptions!$C$13*Assumptions!$C$28^(CL$5-1))*$O53)),0)</f>
        <v>0.72002245770169615</v>
      </c>
      <c r="CN53" s="93">
        <f>IF(AND($T53=1,CN$5&lt;=$H53),CM53*(1-AX53)*(1-MIN(1,MAX(Assumptions!$C$27,Assumptions!$C$13*Assumptions!$C$28^(CM$5-1))*$O53)),0)</f>
        <v>0.66634535238194592</v>
      </c>
      <c r="CO53" s="93">
        <f>IF(AND($T53=1,CO$5&lt;=$H53),CN53*(1-AY53)*(1-MIN(1,MAX(Assumptions!$C$27,Assumptions!$C$13*Assumptions!$C$28^(CN$5-1))*$O53)),0)</f>
        <v>0.62398101567646924</v>
      </c>
      <c r="CP53" s="93">
        <f>IF(AND($T53=1,CP$5&lt;=$H53),CO53*(1-AZ53)*(1-MIN(1,MAX(Assumptions!$C$27,Assumptions!$C$13*Assumptions!$C$28^(CO$5-1))*$O53)),0)</f>
        <v>0.59011806953000456</v>
      </c>
      <c r="CQ53" s="93">
        <f>IF(AND($T53=1,CQ$5&lt;=$H53),CP53*(1-BA53)*(1-MIN(1,MAX(Assumptions!$C$27,Assumptions!$C$13*Assumptions!$C$28^(CP$5-1))*$O53)),0)</f>
        <v>0.56275005027019753</v>
      </c>
      <c r="CR53" s="93">
        <f>IF(AND($T53=1,CR$5&lt;=$H53),CQ53*(1-BB53)*(1-MIN(1,MAX(Assumptions!$C$27,Assumptions!$C$13*Assumptions!$C$28^(CQ$5-1))*$O53)),0)</f>
        <v>0.54041430859869599</v>
      </c>
      <c r="CS53" s="93">
        <f>IF(AND($T53=1,CS$5&lt;=$H53),CR53*(1-BC53)*(1-MIN(1,MAX(Assumptions!$C$27,Assumptions!$C$13*Assumptions!$C$28^(CR$5-1))*$O53)),0)</f>
        <v>0.52202422941312243</v>
      </c>
      <c r="CT53" s="93">
        <f>IF(AND($T53=1,CT$5&lt;=$H53),CS53*(1-BD53)*(1-MIN(1,MAX(Assumptions!$C$27,Assumptions!$C$13*Assumptions!$C$28^(CS$5-1))*$O53)),0)</f>
        <v>0.50675872383189602</v>
      </c>
      <c r="CU53" s="93">
        <f>IF(AND($T53=1,CU$5&lt;=$H53),CT53*(1-BE53)*(1-MIN(1,MAX(Assumptions!$C$27,Assumptions!$C$13*Assumptions!$C$28^(CT$5-1))*$O53)),0)</f>
        <v>0.49398779375007434</v>
      </c>
      <c r="CV53" s="93">
        <f>IF(AND($T53=1,CV$5&lt;=$H53),CU53*(1-BF53)*(1-MIN(1,MAX(Assumptions!$C$27,Assumptions!$C$13*Assumptions!$C$28^(CU$5-1))*$O53)),0)</f>
        <v>0.48322135652622228</v>
      </c>
      <c r="CW53" s="93">
        <f>IF(AND($T53=1,CW$5&lt;=$H53),CV53*(1-BG53)*(1-MIN(1,MAX(Assumptions!$C$27,Assumptions!$C$13*Assumptions!$C$28^(CV$5-1))*$O53)),0)</f>
        <v>0.47265975926471693</v>
      </c>
      <c r="CX53" s="93">
        <f>IF(AND($T53=1,CX$5&lt;=$H53),CW53*(1-BH53)*(1-MIN(1,MAX(Assumptions!$C$27,Assumptions!$C$13*Assumptions!$C$28^(CW$5-1))*$O53)),0)</f>
        <v>0.46225591359416968</v>
      </c>
      <c r="CY53" s="93">
        <f>IF(AND($T53=1,CY$5&lt;=$H53),CX53*(1-BI53)*(1-MIN(1,MAX(Assumptions!$C$27,Assumptions!$C$13*Assumptions!$C$28^(CX$5-1))*$O53)),0)</f>
        <v>0.4520036357630855</v>
      </c>
      <c r="CZ53" s="93">
        <f>IF(AND($T53=1,CZ$5&lt;=$H53),CY53*(1-BJ53)*(1-MIN(1,MAX(Assumptions!$C$27,Assumptions!$C$13*Assumptions!$C$28^(CY$5-1))*$O53)),0)</f>
        <v>0.44189671813653725</v>
      </c>
      <c r="DA53" s="93">
        <f>IF(AND($T53=1,DA$5&lt;=$H53),CZ53*(1-BK53)*(1-MIN(1,MAX(Assumptions!$C$27,Assumptions!$C$13*Assumptions!$C$28^(CZ$5-1))*$O53)),0)</f>
        <v>0.43192892621188389</v>
      </c>
      <c r="DB53" s="93">
        <f>IF(AND($T53=1,DB$5&lt;=$H53),DA53*(1-BL53)*(1-MIN(1,MAX(Assumptions!$C$27,Assumptions!$C$13*Assumptions!$C$28^(DA$5-1))*$O53)),0)</f>
        <v>0.42209399626975724</v>
      </c>
      <c r="DC53" s="93">
        <f>IF(AND($T53=1,DC$5&lt;=$H53),DB53*(1-BM53)*(1-MIN(1,MAX(Assumptions!$C$27,Assumptions!$C$13*Assumptions!$C$28^(DB$5-1))*$O53)),0)</f>
        <v>0.41238563378808324</v>
      </c>
      <c r="DD53" s="93">
        <f>IF(AND($T53=1,DD$5&lt;=$H53),DC53*(1-BN53)*(1-MIN(1,MAX(Assumptions!$C$27,Assumptions!$C$13*Assumptions!$C$28^(DC$5-1))*$O53)),0)</f>
        <v>0</v>
      </c>
      <c r="DE53" s="93">
        <f>IF(AND($T53=1,DE$5&lt;=$H53),DD53*(1-BO53)*(1-MIN(1,MAX(Assumptions!$C$27,Assumptions!$C$13*Assumptions!$C$28^(DD$5-1))*$O53)),0)</f>
        <v>0</v>
      </c>
      <c r="DF53" s="93">
        <f>IF(AND($T53=1,DF$5&lt;=$H53),DE53*(1-BP53)*(1-MIN(1,MAX(Assumptions!$C$27,Assumptions!$C$13*Assumptions!$C$28^(DE$5-1))*$O53)),0)</f>
        <v>0</v>
      </c>
      <c r="DG53" s="93">
        <f>IF(AND($T53=1,DG$5&lt;=$H53),DF53*(1-BQ53)*(1-MIN(1,MAX(Assumptions!$C$27,Assumptions!$C$13*Assumptions!$C$28^(DF$5-1))*$O53)),0)</f>
        <v>0</v>
      </c>
      <c r="DH53" s="93">
        <f>IF(AND($T53=1,DH$5&lt;=$H53),DG53*(1-BR53)*(1-MIN(1,MAX(Assumptions!$C$27,Assumptions!$C$13*Assumptions!$C$28^(DG$5-1))*$O53)),0)</f>
        <v>0</v>
      </c>
      <c r="DI53" s="93">
        <f>IF(AND($T53=1,DI$5&lt;=$H53),DH53*(1-BS53)*(1-MIN(1,MAX(Assumptions!$C$27,Assumptions!$C$13*Assumptions!$C$28^(DH$5-1))*$O53)),0)</f>
        <v>0</v>
      </c>
      <c r="DJ53" s="93">
        <f>IF(AND($T53=1,DJ$5&lt;=$H53),DI53*(1-BT53)*(1-MIN(1,MAX(Assumptions!$C$27,Assumptions!$C$13*Assumptions!$C$28^(DI$5-1))*$O53)),0)</f>
        <v>0</v>
      </c>
      <c r="DK53" s="93">
        <f>IF(AND($T53=1,DK$5&lt;=$H53),DJ53*(1-BU53)*(1-MIN(1,MAX(Assumptions!$C$27,Assumptions!$C$13*Assumptions!$C$28^(DJ$5-1))*$O53)),0)</f>
        <v>0</v>
      </c>
      <c r="DL53" s="93">
        <f>IF(AND($T53=1,DL$5&lt;=$H53),DK53*(1-BV53)*(1-MIN(1,MAX(Assumptions!$C$27,Assumptions!$C$13*Assumptions!$C$28^(DK$5-1))*$O53)),0)</f>
        <v>0</v>
      </c>
      <c r="DM53" s="93">
        <f>IF(AND($T53=1,DM$5&lt;=$H53),DL53*(1-BW53)*(1-MIN(1,MAX(Assumptions!$C$27,Assumptions!$C$13*Assumptions!$C$28^(DL$5-1))*$O53)),0)</f>
        <v>0</v>
      </c>
      <c r="DN53" s="93">
        <f>IF(AND($T53=1,DN$5&lt;=$H53),DM53*(1-BX53)*(1-MIN(1,MAX(Assumptions!$C$27,Assumptions!$C$13*Assumptions!$C$28^(DM$5-1))*$O53)),0)</f>
        <v>0</v>
      </c>
      <c r="DO53" s="93">
        <f>IF(AND($T53=1,DO$5&lt;=$H53),DN53*(1-BY53)*(1-MIN(1,MAX(Assumptions!$C$27,Assumptions!$C$13*Assumptions!$C$28^(DN$5-1))*$O53)),0)</f>
        <v>0</v>
      </c>
      <c r="DP53" s="93">
        <f>IF(AND($T53=1,DP$5&lt;=$H53),DO53*(1-BZ53)*(1-MIN(1,MAX(Assumptions!$C$27,Assumptions!$C$13*Assumptions!$C$28^(DO$5-1))*$O53)),0)</f>
        <v>0</v>
      </c>
      <c r="DQ53" s="93">
        <f>IF(AND($T53=1,DQ$5&lt;=$H53),DP53*(1-CA53)*(1-MIN(1,MAX(Assumptions!$C$27,Assumptions!$C$13*Assumptions!$C$28^(DP$5-1))*$O53)),0)</f>
        <v>0</v>
      </c>
      <c r="DR53" s="93">
        <f>IF(AND($T53=1,DR$5&lt;=$H53),DQ53*(1-CB53)*(1-MIN(1,MAX(Assumptions!$C$27,Assumptions!$C$13*Assumptions!$C$28^(DQ$5-1))*$O53)),0)</f>
        <v>0</v>
      </c>
      <c r="DS53" s="93">
        <f>IF(AND($T53=1,DS$5&lt;=$H53),DR53*(1-CC53)*(1-MIN(1,MAX(Assumptions!$C$27,Assumptions!$C$13*Assumptions!$C$28^(DR$5-1))*$O53)),0)</f>
        <v>0</v>
      </c>
      <c r="DT53" s="93">
        <f>IF(AND($T53=1,DT$5&lt;=$H53),DS53*(1-CD53)*(1-MIN(1,MAX(Assumptions!$C$27,Assumptions!$C$13*Assumptions!$C$28^(DS$5-1))*$O53)),0)</f>
        <v>0</v>
      </c>
      <c r="DU53" s="93">
        <f>IF(AND($T53=1,DU$5&lt;=$H53),DT53*(1-CE53)*(1-MIN(1,MAX(Assumptions!$C$27,Assumptions!$C$13*Assumptions!$C$28^(DT$5-1))*$O53)),0)</f>
        <v>0</v>
      </c>
      <c r="DV53" s="93">
        <f>IF(AND($T53=1,DV$5&lt;=$H53),DU53*(1-CF53)*(1-MIN(1,MAX(Assumptions!$C$27,Assumptions!$C$13*Assumptions!$C$28^(DU$5-1))*$O53)),0)</f>
        <v>0</v>
      </c>
      <c r="DW53" s="94">
        <f>IF(AND($T53=1,DW$5&lt;=$H53),DV53*(1-CG53)*(1-MIN(1,MAX(Assumptions!$C$27,Assumptions!$C$13*Assumptions!$C$28^(DV$5-1))*$O53)),0)</f>
        <v>0</v>
      </c>
      <c r="DX53" s="26"/>
      <c r="DY53" s="399">
        <f>'Policy Data'!K27</f>
        <v>6</v>
      </c>
      <c r="DZ53" s="100">
        <f>'Policy Data'!L27</f>
        <v>0.7802</v>
      </c>
      <c r="EA53" s="100">
        <f>'Policy Data'!N27</f>
        <v>5.6599999999999999E-4</v>
      </c>
      <c r="EB53" s="93" cm="1">
        <f t="array" ref="EB53">IFERROR(DZ53*INDEX(Mortality!$B$4:$E$64,MATCH(D53+DY53-1,Mortality!$A$4:$A$64,0),U53)*V53,0)</f>
        <v>8.4431333133338452E-4</v>
      </c>
      <c r="EC53" s="100">
        <f>'Policy Data'!O27</f>
        <v>0</v>
      </c>
      <c r="ED53" s="400">
        <f>'Policy Data'!Q27</f>
        <v>0</v>
      </c>
    </row>
    <row r="54" spans="1:134" x14ac:dyDescent="0.3">
      <c r="A54" s="399" t="str">
        <f>'Policy Data'!A28</f>
        <v>POL100024</v>
      </c>
      <c r="B54" s="26" t="s">
        <v>426</v>
      </c>
      <c r="C54" s="100" t="str">
        <f>'Policy Data'!B28</f>
        <v>Term Life</v>
      </c>
      <c r="D54" s="100">
        <f>'Policy Data'!C28</f>
        <v>53</v>
      </c>
      <c r="E54" s="100" t="str">
        <f>'Policy Data'!D28</f>
        <v>Male</v>
      </c>
      <c r="F54" s="100" t="str">
        <f>'Policy Data'!E28</f>
        <v>Non-smoker</v>
      </c>
      <c r="G54" s="100" t="str">
        <f>'Policy Data'!F28</f>
        <v>Rated</v>
      </c>
      <c r="H54" s="100">
        <f>'Policy Data'!G28</f>
        <v>20</v>
      </c>
      <c r="I54" s="279">
        <f>'Policy Data'!H28</f>
        <v>250000</v>
      </c>
      <c r="J54" s="100" t="str">
        <f>'Policy Data'!I28</f>
        <v>Annual</v>
      </c>
      <c r="K54" s="100" t="str">
        <f>'Policy Data'!J28</f>
        <v>Broker</v>
      </c>
      <c r="L54" s="26" t="s">
        <v>389</v>
      </c>
      <c r="M54" s="106">
        <f>'Policy Data'!R28</f>
        <v>2107.4299999999998</v>
      </c>
      <c r="N54" s="415">
        <f>Assumptions!$C$21</f>
        <v>1</v>
      </c>
      <c r="O54" s="415">
        <f>Assumptions!$C$22</f>
        <v>1</v>
      </c>
      <c r="P54" s="415">
        <f>Assumptions!$C$23</f>
        <v>1</v>
      </c>
      <c r="Q54" s="416">
        <f>Assumptions!$C$24</f>
        <v>0</v>
      </c>
      <c r="R54" s="416">
        <f>Assumptions!$C$6+Assumptions!$C$25</f>
        <v>3.5000000000000003E-2</v>
      </c>
      <c r="S54" s="416">
        <f>Assumptions!$C$15</f>
        <v>1.1000000000000001E-3</v>
      </c>
      <c r="T54" s="26">
        <f t="shared" si="18"/>
        <v>1</v>
      </c>
      <c r="U54" s="26">
        <f t="shared" si="19"/>
        <v>3</v>
      </c>
      <c r="V54" s="389">
        <f>IF($G54="Preferred",Assumptions!$C$30,IF($G54="Rated",Assumptions!$C$31,1))</f>
        <v>1.55</v>
      </c>
      <c r="W54" s="390">
        <f>IF($K54="Direct",Assumptions!$C$32,IF($K54="Broker",Assumptions!$C$33,IF($K54="Bancassurance",Assumptions!$C$34,Assumptions!$C$11)))+$Q54</f>
        <v>0.25</v>
      </c>
      <c r="X54" s="390">
        <f>Assumptions!$C$12+$Q54</f>
        <v>0.05</v>
      </c>
      <c r="Y54" s="131">
        <f>MIN($I54,Assumptions!$C$14)</f>
        <v>250000</v>
      </c>
      <c r="Z54" s="131">
        <f>MAX($I54-Assumptions!$C$14,0)</f>
        <v>0</v>
      </c>
      <c r="AA54" s="389">
        <f t="shared" si="20"/>
        <v>8.1708043838846205</v>
      </c>
      <c r="AB54" s="389">
        <f t="shared" si="21"/>
        <v>7.7983205422149593E-2</v>
      </c>
      <c r="AC54" s="389">
        <f>IF($T54=1,SUMPRODUCT($CJ54:$DW54,(1+Assumptions!$C$5)^($CJ$5:$DW$5-1),(1+$R54)^(-$CJ$5:$DW$5)),0)</f>
        <v>10.86701894656948</v>
      </c>
      <c r="AD54" s="389">
        <f t="shared" si="22"/>
        <v>0.60177693417007649</v>
      </c>
      <c r="AE54" s="131">
        <f>IF($T54=1,$AB54*$Y54+(Assumptions!$C$9/(1+$R54)+Assumptions!$C$10*$AC54)*$P54+$S54*$Z54*$AA54,0)</f>
        <v>22756.110741173987</v>
      </c>
      <c r="AF54" s="131">
        <f>IF($T54=1,IF($AA54-$AD54-Assumptions!$C$16*$AA54&gt;0,$AE54/($AA54-$AD54-Assumptions!$C$16*$AA54)*IF($J54="Monthly",1+Assumptions!$C$29,1),"n.a."),"")</f>
        <v>3290.660290050746</v>
      </c>
      <c r="AG54" s="131">
        <f t="shared" si="23"/>
        <v>2107.4299999999998</v>
      </c>
      <c r="AH54" s="131">
        <f t="shared" si="24"/>
        <v>17219.398282729966</v>
      </c>
      <c r="AI54" s="131">
        <f t="shared" si="25"/>
        <v>-6804.9152228220664</v>
      </c>
      <c r="AJ54" s="390">
        <f t="shared" si="26"/>
        <v>-0.39518890910648091</v>
      </c>
      <c r="AK54" s="389">
        <f t="shared" si="27"/>
        <v>0.64042769968440005</v>
      </c>
      <c r="AL54" s="131">
        <f t="shared" si="28"/>
        <v>0</v>
      </c>
      <c r="AM54" s="131">
        <f t="shared" si="29"/>
        <v>0</v>
      </c>
      <c r="AN54" s="131">
        <f t="shared" si="30"/>
        <v>0</v>
      </c>
      <c r="AO54" s="131">
        <f t="shared" si="31"/>
        <v>-6804.9152228220664</v>
      </c>
      <c r="AP54" s="26" t="str">
        <f t="shared" si="32"/>
        <v>50-59</v>
      </c>
      <c r="AQ54" s="26" t="str">
        <f t="shared" si="33"/>
        <v>Up to 250k</v>
      </c>
      <c r="AR54" s="26" t="str">
        <f>IF($T54=1,IF($AI54&lt;0,"Loss-making",IF($AJ54&lt;Assumptions!$C$16-0.00001,"Below target","At/above target")),"Excluded")</f>
        <v>Loss-making</v>
      </c>
      <c r="AS54" s="103">
        <f t="shared" si="34"/>
        <v>-6804.9151688220663</v>
      </c>
      <c r="AT54" s="26"/>
      <c r="AU54" s="419">
        <f>IF(AND($T54=1,AU$5&lt;=$H54),INDEX(Mortality!$B$4:$E$64,MATCH($D54+AU$5-1,Mortality!$A$4:$A$64,0),$U54)*$V54*$N54,0)</f>
        <v>5.050610752626015E-3</v>
      </c>
      <c r="AV54" s="93">
        <f>IF(AND($T54=1,AV$5&lt;=$H54),INDEX(Mortality!$B$4:$E$64,MATCH($D54+AV$5-1,Mortality!$A$4:$A$64,0),$U54)*$V54*$N54,0)</f>
        <v>5.4712613121798382E-3</v>
      </c>
      <c r="AW54" s="93">
        <f>IF(AND($T54=1,AW$5&lt;=$H54),INDEX(Mortality!$B$4:$E$64,MATCH($D54+AW$5-1,Mortality!$A$4:$A$64,0),$U54)*$V54*$N54,0)</f>
        <v>5.9269466233547452E-3</v>
      </c>
      <c r="AX54" s="93">
        <f>IF(AND($T54=1,AX$5&lt;=$H54),INDEX(Mortality!$B$4:$E$64,MATCH($D54+AX$5-1,Mortality!$A$4:$A$64,0),$U54)*$V54*$N54,0)</f>
        <v>6.4205846278799572E-3</v>
      </c>
      <c r="AY54" s="93">
        <f>IF(AND($T54=1,AY$5&lt;=$H54),INDEX(Mortality!$B$4:$E$64,MATCH($D54+AY$5-1,Mortality!$A$4:$A$64,0),$U54)*$V54*$N54,0)</f>
        <v>6.9553362942950019E-3</v>
      </c>
      <c r="AZ54" s="93">
        <f>IF(AND($T54=1,AZ$5&lt;=$H54),INDEX(Mortality!$B$4:$E$64,MATCH($D54+AZ$5-1,Mortality!$A$4:$A$64,0),$U54)*$V54*$N54,0)</f>
        <v>7.534625858940042E-3</v>
      </c>
      <c r="BA54" s="93">
        <f>IF(AND($T54=1,BA$5&lt;=$H54),INDEX(Mortality!$B$4:$E$64,MATCH($D54+BA$5-1,Mortality!$A$4:$A$64,0),$U54)*$V54*$N54,0)</f>
        <v>8.1621627527590727E-3</v>
      </c>
      <c r="BB54" s="93">
        <f>IF(AND($T54=1,BB$5&lt;=$H54),INDEX(Mortality!$B$4:$E$64,MATCH($D54+BB$5-1,Mortality!$A$4:$A$64,0),$U54)*$V54*$N54,0)</f>
        <v>8.8419653543221465E-3</v>
      </c>
      <c r="BC54" s="93">
        <f>IF(AND($T54=1,BC$5&lt;=$H54),INDEX(Mortality!$B$4:$E$64,MATCH($D54+BC$5-1,Mortality!$A$4:$A$64,0),$U54)*$V54*$N54,0)</f>
        <v>9.5783867211672105E-3</v>
      </c>
      <c r="BD54" s="93">
        <f>IF(AND($T54=1,BD$5&lt;=$H54),INDEX(Mortality!$B$4:$E$64,MATCH($D54+BD$5-1,Mortality!$A$4:$A$64,0),$U54)*$V54*$N54,0)</f>
        <v>1.0376142464229987E-2</v>
      </c>
      <c r="BE54" s="93">
        <f>IF(AND($T54=1,BE$5&lt;=$H54),INDEX(Mortality!$B$4:$E$64,MATCH($D54+BE$5-1,Mortality!$A$4:$A$64,0),$U54)*$V54*$N54,0)</f>
        <v>1.1240340943853334E-2</v>
      </c>
      <c r="BF54" s="93">
        <f>IF(AND($T54=1,BF$5&lt;=$H54),INDEX(Mortality!$B$4:$E$64,MATCH($D54+BF$5-1,Mortality!$A$4:$A$64,0),$U54)*$V54*$N54,0)</f>
        <v>1.2176515980733642E-2</v>
      </c>
      <c r="BG54" s="93">
        <f>IF(AND($T54=1,BG$5&lt;=$H54),INDEX(Mortality!$B$4:$E$64,MATCH($D54+BG$5-1,Mortality!$A$4:$A$64,0),$U54)*$V54*$N54,0)</f>
        <v>1.3190662291266215E-2</v>
      </c>
      <c r="BH54" s="93">
        <f>IF(AND($T54=1,BH$5&lt;=$H54),INDEX(Mortality!$B$4:$E$64,MATCH($D54+BH$5-1,Mortality!$A$4:$A$64,0),$U54)*$V54*$N54,0)</f>
        <v>1.428927387419643E-2</v>
      </c>
      <c r="BI54" s="93">
        <f>IF(AND($T54=1,BI$5&lt;=$H54),INDEX(Mortality!$B$4:$E$64,MATCH($D54+BI$5-1,Mortality!$A$4:$A$64,0),$U54)*$V54*$N54,0)</f>
        <v>1.5479385594382654E-2</v>
      </c>
      <c r="BJ54" s="93">
        <f>IF(AND($T54=1,BJ$5&lt;=$H54),INDEX(Mortality!$B$4:$E$64,MATCH($D54+BJ$5-1,Mortality!$A$4:$A$64,0),$U54)*$V54*$N54,0)</f>
        <v>1.6768618229948774E-2</v>
      </c>
      <c r="BK54" s="93">
        <f>IF(AND($T54=1,BK$5&lt;=$H54),INDEX(Mortality!$B$4:$E$64,MATCH($D54+BK$5-1,Mortality!$A$4:$A$64,0),$U54)*$V54*$N54,0)</f>
        <v>1.8165227271282117E-2</v>
      </c>
      <c r="BL54" s="93">
        <f>IF(AND($T54=1,BL$5&lt;=$H54),INDEX(Mortality!$B$4:$E$64,MATCH($D54+BL$5-1,Mortality!$A$4:$A$64,0),$U54)*$V54*$N54,0)</f>
        <v>1.9678155784356353E-2</v>
      </c>
      <c r="BM54" s="93">
        <f>IF(AND($T54=1,BM$5&lt;=$H54),INDEX(Mortality!$B$4:$E$64,MATCH($D54+BM$5-1,Mortality!$A$4:$A$64,0),$U54)*$V54*$N54,0)</f>
        <v>2.1317091676886443E-2</v>
      </c>
      <c r="BN54" s="93">
        <f>IF(AND($T54=1,BN$5&lt;=$H54),INDEX(Mortality!$B$4:$E$64,MATCH($D54+BN$5-1,Mortality!$A$4:$A$64,0),$U54)*$V54*$N54,0)</f>
        <v>2.3092529734012556E-2</v>
      </c>
      <c r="BO54" s="93">
        <f>IF(AND($T54=1,BO$5&lt;=$H54),INDEX(Mortality!$B$4:$E$64,MATCH($D54+BO$5-1,Mortality!$A$4:$A$64,0),$U54)*$V54*$N54,0)</f>
        <v>0</v>
      </c>
      <c r="BP54" s="93">
        <f>IF(AND($T54=1,BP$5&lt;=$H54),INDEX(Mortality!$B$4:$E$64,MATCH($D54+BP$5-1,Mortality!$A$4:$A$64,0),$U54)*$V54*$N54,0)</f>
        <v>0</v>
      </c>
      <c r="BQ54" s="93">
        <f>IF(AND($T54=1,BQ$5&lt;=$H54),INDEX(Mortality!$B$4:$E$64,MATCH($D54+BQ$5-1,Mortality!$A$4:$A$64,0),$U54)*$V54*$N54,0)</f>
        <v>0</v>
      </c>
      <c r="BR54" s="93">
        <f>IF(AND($T54=1,BR$5&lt;=$H54),INDEX(Mortality!$B$4:$E$64,MATCH($D54+BR$5-1,Mortality!$A$4:$A$64,0),$U54)*$V54*$N54,0)</f>
        <v>0</v>
      </c>
      <c r="BS54" s="93">
        <f>IF(AND($T54=1,BS$5&lt;=$H54),INDEX(Mortality!$B$4:$E$64,MATCH($D54+BS$5-1,Mortality!$A$4:$A$64,0),$U54)*$V54*$N54,0)</f>
        <v>0</v>
      </c>
      <c r="BT54" s="93">
        <f>IF(AND($T54=1,BT$5&lt;=$H54),INDEX(Mortality!$B$4:$E$64,MATCH($D54+BT$5-1,Mortality!$A$4:$A$64,0),$U54)*$V54*$N54,0)</f>
        <v>0</v>
      </c>
      <c r="BU54" s="93">
        <f>IF(AND($T54=1,BU$5&lt;=$H54),INDEX(Mortality!$B$4:$E$64,MATCH($D54+BU$5-1,Mortality!$A$4:$A$64,0),$U54)*$V54*$N54,0)</f>
        <v>0</v>
      </c>
      <c r="BV54" s="93">
        <f>IF(AND($T54=1,BV$5&lt;=$H54),INDEX(Mortality!$B$4:$E$64,MATCH($D54+BV$5-1,Mortality!$A$4:$A$64,0),$U54)*$V54*$N54,0)</f>
        <v>0</v>
      </c>
      <c r="BW54" s="93">
        <f>IF(AND($T54=1,BW$5&lt;=$H54),INDEX(Mortality!$B$4:$E$64,MATCH($D54+BW$5-1,Mortality!$A$4:$A$64,0),$U54)*$V54*$N54,0)</f>
        <v>0</v>
      </c>
      <c r="BX54" s="93">
        <f>IF(AND($T54=1,BX$5&lt;=$H54),INDEX(Mortality!$B$4:$E$64,MATCH($D54+BX$5-1,Mortality!$A$4:$A$64,0),$U54)*$V54*$N54,0)</f>
        <v>0</v>
      </c>
      <c r="BY54" s="93">
        <f>IF(AND($T54=1,BY$5&lt;=$H54),INDEX(Mortality!$B$4:$E$64,MATCH($D54+BY$5-1,Mortality!$A$4:$A$64,0),$U54)*$V54*$N54,0)</f>
        <v>0</v>
      </c>
      <c r="BZ54" s="93">
        <f>IF(AND($T54=1,BZ$5&lt;=$H54),INDEX(Mortality!$B$4:$E$64,MATCH($D54+BZ$5-1,Mortality!$A$4:$A$64,0),$U54)*$V54*$N54,0)</f>
        <v>0</v>
      </c>
      <c r="CA54" s="93">
        <f>IF(AND($T54=1,CA$5&lt;=$H54),INDEX(Mortality!$B$4:$E$64,MATCH($D54+CA$5-1,Mortality!$A$4:$A$64,0),$U54)*$V54*$N54,0)</f>
        <v>0</v>
      </c>
      <c r="CB54" s="93">
        <f>IF(AND($T54=1,CB$5&lt;=$H54),INDEX(Mortality!$B$4:$E$64,MATCH($D54+CB$5-1,Mortality!$A$4:$A$64,0),$U54)*$V54*$N54,0)</f>
        <v>0</v>
      </c>
      <c r="CC54" s="93">
        <f>IF(AND($T54=1,CC$5&lt;=$H54),INDEX(Mortality!$B$4:$E$64,MATCH($D54+CC$5-1,Mortality!$A$4:$A$64,0),$U54)*$V54*$N54,0)</f>
        <v>0</v>
      </c>
      <c r="CD54" s="93">
        <f>IF(AND($T54=1,CD$5&lt;=$H54),INDEX(Mortality!$B$4:$E$64,MATCH($D54+CD$5-1,Mortality!$A$4:$A$64,0),$U54)*$V54*$N54,0)</f>
        <v>0</v>
      </c>
      <c r="CE54" s="93">
        <f>IF(AND($T54=1,CE$5&lt;=$H54),INDEX(Mortality!$B$4:$E$64,MATCH($D54+CE$5-1,Mortality!$A$4:$A$64,0),$U54)*$V54*$N54,0)</f>
        <v>0</v>
      </c>
      <c r="CF54" s="93">
        <f>IF(AND($T54=1,CF$5&lt;=$H54),INDEX(Mortality!$B$4:$E$64,MATCH($D54+CF$5-1,Mortality!$A$4:$A$64,0),$U54)*$V54*$N54,0)</f>
        <v>0</v>
      </c>
      <c r="CG54" s="93">
        <f>IF(AND($T54=1,CG$5&lt;=$H54),INDEX(Mortality!$B$4:$E$64,MATCH($D54+CG$5-1,Mortality!$A$4:$A$64,0),$U54)*$V54*$N54,0)</f>
        <v>0</v>
      </c>
      <c r="CH54" s="94">
        <f>IF(AND($T54=1,CH$5&lt;=$H54),INDEX(Mortality!$B$4:$E$64,MATCH($D54+CH$5-1,Mortality!$A$4:$A$64,0),$U54)*$V54*$N54,0)</f>
        <v>0</v>
      </c>
      <c r="CI54" s="26"/>
      <c r="CJ54" s="419">
        <f t="shared" si="35"/>
        <v>1</v>
      </c>
      <c r="CK54" s="93">
        <f>IF(AND($T54=1,CK$5&lt;=$H54),CJ54*(1-AU54)*(1-MIN(1,MAX(Assumptions!$C$27,Assumptions!$C$13*Assumptions!$C$28^(CJ$5-1))*$O54)),0)</f>
        <v>0.87555546253768912</v>
      </c>
      <c r="CL54" s="93">
        <f>IF(AND($T54=1,CL$5&lt;=$H54),CK54*(1-AV54)*(1-MIN(1,MAX(Assumptions!$C$27,Assumptions!$C$13*Assumptions!$C$28^(CK$5-1))*$O54)),0)</f>
        <v>0.78194703268833743</v>
      </c>
      <c r="CM54" s="93">
        <f>IF(AND($T54=1,CM$5&lt;=$H54),CL54*(1-AW54)*(1-MIN(1,MAX(Assumptions!$C$27,Assumptions!$C$13*Assumptions!$C$28^(CL$5-1))*$O54)),0)</f>
        <v>0.7099194828360047</v>
      </c>
      <c r="CN54" s="93">
        <f>IF(AND($T54=1,CN$5&lt;=$H54),CM54*(1-AX54)*(1-MIN(1,MAX(Assumptions!$C$27,Assumptions!$C$13*Assumptions!$C$28^(CM$5-1))*$O54)),0)</f>
        <v>0.65337977747072107</v>
      </c>
      <c r="CO54" s="93">
        <f>IF(AND($T54=1,CO$5&lt;=$H54),CN54*(1-AY54)*(1-MIN(1,MAX(Assumptions!$C$27,Assumptions!$C$13*Assumptions!$C$28^(CN$5-1))*$O54)),0)</f>
        <v>0.6081917714849423</v>
      </c>
      <c r="CP54" s="93">
        <f>IF(AND($T54=1,CP$5&lt;=$H54),CO54*(1-AZ54)*(1-MIN(1,MAX(Assumptions!$C$27,Assumptions!$C$13*Assumptions!$C$28^(CO$5-1))*$O54)),0)</f>
        <v>0.57147031704861539</v>
      </c>
      <c r="CQ54" s="93">
        <f>IF(AND($T54=1,CQ$5&lt;=$H54),CP54*(1-BA54)*(1-MIN(1,MAX(Assumptions!$C$27,Assumptions!$C$13*Assumptions!$C$28^(CP$5-1))*$O54)),0)</f>
        <v>0.54115341559112895</v>
      </c>
      <c r="CR54" s="93">
        <f>IF(AND($T54=1,CR$5&lt;=$H54),CQ54*(1-BB54)*(1-MIN(1,MAX(Assumptions!$C$27,Assumptions!$C$13*Assumptions!$C$28^(CQ$5-1))*$O54)),0)</f>
        <v>0.51573485945391706</v>
      </c>
      <c r="CS54" s="93">
        <f>IF(AND($T54=1,CS$5&lt;=$H54),CR54*(1-BC54)*(1-MIN(1,MAX(Assumptions!$C$27,Assumptions!$C$13*Assumptions!$C$28^(CR$5-1))*$O54)),0)</f>
        <v>0.49409253738109565</v>
      </c>
      <c r="CT54" s="93">
        <f>IF(AND($T54=1,CT$5&lt;=$H54),CS54*(1-BD54)*(1-MIN(1,MAX(Assumptions!$C$27,Assumptions!$C$13*Assumptions!$C$28^(CS$5-1))*$O54)),0)</f>
        <v>0.4753754320040724</v>
      </c>
      <c r="CU54" s="93">
        <f>IF(AND($T54=1,CU$5&lt;=$H54),CT54*(1-BE54)*(1-MIN(1,MAX(Assumptions!$C$27,Assumptions!$C$13*Assumptions!$C$28^(CT$5-1))*$O54)),0)</f>
        <v>0.45892757648653787</v>
      </c>
      <c r="CV54" s="93">
        <f>IF(AND($T54=1,CV$5&lt;=$H54),CU54*(1-BF54)*(1-MIN(1,MAX(Assumptions!$C$27,Assumptions!$C$13*Assumptions!$C$28^(CU$5-1))*$O54)),0)</f>
        <v>0.4442358424814587</v>
      </c>
      <c r="CW54" s="93">
        <f>IF(AND($T54=1,CW$5&lt;=$H54),CV54*(1-BG54)*(1-MIN(1,MAX(Assumptions!$C$27,Assumptions!$C$13*Assumptions!$C$28^(CV$5-1))*$O54)),0)</f>
        <v>0.42960855595549746</v>
      </c>
      <c r="CX54" s="93">
        <f>IF(AND($T54=1,CX$5&lt;=$H54),CW54*(1-BH54)*(1-MIN(1,MAX(Assumptions!$C$27,Assumptions!$C$13*Assumptions!$C$28^(CW$5-1))*$O54)),0)</f>
        <v>0.41500036640793631</v>
      </c>
      <c r="CY54" s="93">
        <f>IF(AND($T54=1,CY$5&lt;=$H54),CX54*(1-BI54)*(1-MIN(1,MAX(Assumptions!$C$27,Assumptions!$C$13*Assumptions!$C$28^(CX$5-1))*$O54)),0)</f>
        <v>0.4004048874002078</v>
      </c>
      <c r="CZ54" s="93">
        <f>IF(AND($T54=1,CZ$5&lt;=$H54),CY54*(1-BJ54)*(1-MIN(1,MAX(Assumptions!$C$27,Assumptions!$C$13*Assumptions!$C$28^(CY$5-1))*$O54)),0)</f>
        <v>0.38581683769186831</v>
      </c>
      <c r="DA54" s="93">
        <f>IF(AND($T54=1,DA$5&lt;=$H54),CZ54*(1-BK54)*(1-MIN(1,MAX(Assumptions!$C$27,Assumptions!$C$13*Assumptions!$C$28^(CZ$5-1))*$O54)),0)</f>
        <v>0.37123221940710599</v>
      </c>
      <c r="DB54" s="93">
        <f>IF(AND($T54=1,DB$5&lt;=$H54),DA54*(1-BL54)*(1-MIN(1,MAX(Assumptions!$C$27,Assumptions!$C$13*Assumptions!$C$28^(DA$5-1))*$O54)),0)</f>
        <v>0.35664851288221178</v>
      </c>
      <c r="DC54" s="93">
        <f>IF(AND($T54=1,DC$5&lt;=$H54),DB54*(1-BM54)*(1-MIN(1,MAX(Assumptions!$C$27,Assumptions!$C$13*Assumptions!$C$28^(DB$5-1))*$O54)),0)</f>
        <v>0.34206488775994293</v>
      </c>
      <c r="DD54" s="93">
        <f>IF(AND($T54=1,DD$5&lt;=$H54),DC54*(1-BN54)*(1-MIN(1,MAX(Assumptions!$C$27,Assumptions!$C$13*Assumptions!$C$28^(DC$5-1))*$O54)),0)</f>
        <v>0</v>
      </c>
      <c r="DE54" s="93">
        <f>IF(AND($T54=1,DE$5&lt;=$H54),DD54*(1-BO54)*(1-MIN(1,MAX(Assumptions!$C$27,Assumptions!$C$13*Assumptions!$C$28^(DD$5-1))*$O54)),0)</f>
        <v>0</v>
      </c>
      <c r="DF54" s="93">
        <f>IF(AND($T54=1,DF$5&lt;=$H54),DE54*(1-BP54)*(1-MIN(1,MAX(Assumptions!$C$27,Assumptions!$C$13*Assumptions!$C$28^(DE$5-1))*$O54)),0)</f>
        <v>0</v>
      </c>
      <c r="DG54" s="93">
        <f>IF(AND($T54=1,DG$5&lt;=$H54),DF54*(1-BQ54)*(1-MIN(1,MAX(Assumptions!$C$27,Assumptions!$C$13*Assumptions!$C$28^(DF$5-1))*$O54)),0)</f>
        <v>0</v>
      </c>
      <c r="DH54" s="93">
        <f>IF(AND($T54=1,DH$5&lt;=$H54),DG54*(1-BR54)*(1-MIN(1,MAX(Assumptions!$C$27,Assumptions!$C$13*Assumptions!$C$28^(DG$5-1))*$O54)),0)</f>
        <v>0</v>
      </c>
      <c r="DI54" s="93">
        <f>IF(AND($T54=1,DI$5&lt;=$H54),DH54*(1-BS54)*(1-MIN(1,MAX(Assumptions!$C$27,Assumptions!$C$13*Assumptions!$C$28^(DH$5-1))*$O54)),0)</f>
        <v>0</v>
      </c>
      <c r="DJ54" s="93">
        <f>IF(AND($T54=1,DJ$5&lt;=$H54),DI54*(1-BT54)*(1-MIN(1,MAX(Assumptions!$C$27,Assumptions!$C$13*Assumptions!$C$28^(DI$5-1))*$O54)),0)</f>
        <v>0</v>
      </c>
      <c r="DK54" s="93">
        <f>IF(AND($T54=1,DK$5&lt;=$H54),DJ54*(1-BU54)*(1-MIN(1,MAX(Assumptions!$C$27,Assumptions!$C$13*Assumptions!$C$28^(DJ$5-1))*$O54)),0)</f>
        <v>0</v>
      </c>
      <c r="DL54" s="93">
        <f>IF(AND($T54=1,DL$5&lt;=$H54),DK54*(1-BV54)*(1-MIN(1,MAX(Assumptions!$C$27,Assumptions!$C$13*Assumptions!$C$28^(DK$5-1))*$O54)),0)</f>
        <v>0</v>
      </c>
      <c r="DM54" s="93">
        <f>IF(AND($T54=1,DM$5&lt;=$H54),DL54*(1-BW54)*(1-MIN(1,MAX(Assumptions!$C$27,Assumptions!$C$13*Assumptions!$C$28^(DL$5-1))*$O54)),0)</f>
        <v>0</v>
      </c>
      <c r="DN54" s="93">
        <f>IF(AND($T54=1,DN$5&lt;=$H54),DM54*(1-BX54)*(1-MIN(1,MAX(Assumptions!$C$27,Assumptions!$C$13*Assumptions!$C$28^(DM$5-1))*$O54)),0)</f>
        <v>0</v>
      </c>
      <c r="DO54" s="93">
        <f>IF(AND($T54=1,DO$5&lt;=$H54),DN54*(1-BY54)*(1-MIN(1,MAX(Assumptions!$C$27,Assumptions!$C$13*Assumptions!$C$28^(DN$5-1))*$O54)),0)</f>
        <v>0</v>
      </c>
      <c r="DP54" s="93">
        <f>IF(AND($T54=1,DP$5&lt;=$H54),DO54*(1-BZ54)*(1-MIN(1,MAX(Assumptions!$C$27,Assumptions!$C$13*Assumptions!$C$28^(DO$5-1))*$O54)),0)</f>
        <v>0</v>
      </c>
      <c r="DQ54" s="93">
        <f>IF(AND($T54=1,DQ$5&lt;=$H54),DP54*(1-CA54)*(1-MIN(1,MAX(Assumptions!$C$27,Assumptions!$C$13*Assumptions!$C$28^(DP$5-1))*$O54)),0)</f>
        <v>0</v>
      </c>
      <c r="DR54" s="93">
        <f>IF(AND($T54=1,DR$5&lt;=$H54),DQ54*(1-CB54)*(1-MIN(1,MAX(Assumptions!$C$27,Assumptions!$C$13*Assumptions!$C$28^(DQ$5-1))*$O54)),0)</f>
        <v>0</v>
      </c>
      <c r="DS54" s="93">
        <f>IF(AND($T54=1,DS$5&lt;=$H54),DR54*(1-CC54)*(1-MIN(1,MAX(Assumptions!$C$27,Assumptions!$C$13*Assumptions!$C$28^(DR$5-1))*$O54)),0)</f>
        <v>0</v>
      </c>
      <c r="DT54" s="93">
        <f>IF(AND($T54=1,DT$5&lt;=$H54),DS54*(1-CD54)*(1-MIN(1,MAX(Assumptions!$C$27,Assumptions!$C$13*Assumptions!$C$28^(DS$5-1))*$O54)),0)</f>
        <v>0</v>
      </c>
      <c r="DU54" s="93">
        <f>IF(AND($T54=1,DU$5&lt;=$H54),DT54*(1-CE54)*(1-MIN(1,MAX(Assumptions!$C$27,Assumptions!$C$13*Assumptions!$C$28^(DT$5-1))*$O54)),0)</f>
        <v>0</v>
      </c>
      <c r="DV54" s="93">
        <f>IF(AND($T54=1,DV$5&lt;=$H54),DU54*(1-CF54)*(1-MIN(1,MAX(Assumptions!$C$27,Assumptions!$C$13*Assumptions!$C$28^(DU$5-1))*$O54)),0)</f>
        <v>0</v>
      </c>
      <c r="DW54" s="94">
        <f>IF(AND($T54=1,DW$5&lt;=$H54),DV54*(1-CG54)*(1-MIN(1,MAX(Assumptions!$C$27,Assumptions!$C$13*Assumptions!$C$28^(DV$5-1))*$O54)),0)</f>
        <v>0</v>
      </c>
      <c r="DX54" s="26"/>
      <c r="DY54" s="399">
        <f>'Policy Data'!K28</f>
        <v>6</v>
      </c>
      <c r="DZ54" s="100">
        <f>'Policy Data'!L28</f>
        <v>0.751</v>
      </c>
      <c r="EA54" s="100">
        <f>'Policy Data'!N28</f>
        <v>3.7929999999999999E-3</v>
      </c>
      <c r="EB54" s="93" cm="1">
        <f t="array" ref="EB54">IFERROR(DZ54*INDEX(Mortality!$B$4:$E$64,MATCH(D54+DY54-1,Mortality!$A$4:$A$64,0),U54)*V54,0)</f>
        <v>5.6585040200639713E-3</v>
      </c>
      <c r="EC54" s="100">
        <f>'Policy Data'!O28</f>
        <v>0</v>
      </c>
      <c r="ED54" s="400">
        <f>'Policy Data'!Q28</f>
        <v>0</v>
      </c>
    </row>
    <row r="55" spans="1:134" x14ac:dyDescent="0.3">
      <c r="A55" s="399" t="str">
        <f>'Policy Data'!A29</f>
        <v>POL100025</v>
      </c>
      <c r="B55" s="26" t="s">
        <v>426</v>
      </c>
      <c r="C55" s="100" t="str">
        <f>'Policy Data'!B29</f>
        <v>Term Life</v>
      </c>
      <c r="D55" s="100">
        <f>'Policy Data'!C29</f>
        <v>53</v>
      </c>
      <c r="E55" s="100" t="str">
        <f>'Policy Data'!D29</f>
        <v>Male</v>
      </c>
      <c r="F55" s="100" t="str">
        <f>'Policy Data'!E29</f>
        <v>Non-smoker</v>
      </c>
      <c r="G55" s="100" t="str">
        <f>'Policy Data'!F29</f>
        <v>Standard</v>
      </c>
      <c r="H55" s="100">
        <f>'Policy Data'!G29</f>
        <v>15</v>
      </c>
      <c r="I55" s="279">
        <f>'Policy Data'!H29</f>
        <v>500000</v>
      </c>
      <c r="J55" s="100" t="str">
        <f>'Policy Data'!I29</f>
        <v>Annual</v>
      </c>
      <c r="K55" s="100" t="str">
        <f>'Policy Data'!J29</f>
        <v>Direct</v>
      </c>
      <c r="L55" s="26" t="s">
        <v>389</v>
      </c>
      <c r="M55" s="106">
        <f>'Policy Data'!R29</f>
        <v>2677.49</v>
      </c>
      <c r="N55" s="415">
        <f>Assumptions!$C$21</f>
        <v>1</v>
      </c>
      <c r="O55" s="415">
        <f>Assumptions!$C$22</f>
        <v>1</v>
      </c>
      <c r="P55" s="415">
        <f>Assumptions!$C$23</f>
        <v>1</v>
      </c>
      <c r="Q55" s="416">
        <f>Assumptions!$C$24</f>
        <v>0</v>
      </c>
      <c r="R55" s="416">
        <f>Assumptions!$C$6+Assumptions!$C$25</f>
        <v>3.5000000000000003E-2</v>
      </c>
      <c r="S55" s="416">
        <f>Assumptions!$C$15</f>
        <v>1.1000000000000001E-3</v>
      </c>
      <c r="T55" s="26">
        <f t="shared" si="18"/>
        <v>1</v>
      </c>
      <c r="U55" s="26">
        <f t="shared" si="19"/>
        <v>3</v>
      </c>
      <c r="V55" s="389">
        <f>IF($G55="Preferred",Assumptions!$C$30,IF($G55="Rated",Assumptions!$C$31,1))</f>
        <v>1</v>
      </c>
      <c r="W55" s="390">
        <f>IF($K55="Direct",Assumptions!$C$32,IF($K55="Broker",Assumptions!$C$33,IF($K55="Bancassurance",Assumptions!$C$34,Assumptions!$C$11)))+$Q55</f>
        <v>0.1</v>
      </c>
      <c r="X55" s="390">
        <f>Assumptions!$C$12+$Q55</f>
        <v>0.05</v>
      </c>
      <c r="Y55" s="131">
        <f>MIN($I55,Assumptions!$C$14)</f>
        <v>500000</v>
      </c>
      <c r="Z55" s="131">
        <f>MAX($I55-Assumptions!$C$14,0)</f>
        <v>0</v>
      </c>
      <c r="AA55" s="389">
        <f t="shared" si="20"/>
        <v>7.2638100414616504</v>
      </c>
      <c r="AB55" s="389">
        <f t="shared" si="21"/>
        <v>3.8326538511817367E-2</v>
      </c>
      <c r="AC55" s="389">
        <f>IF($T55=1,SUMPRODUCT($CJ55:$DW55,(1+Assumptions!$C$5)^($CJ$5:$DW$5-1),(1+$R55)^(-$CJ$5:$DW$5)),0)</f>
        <v>9.0607035598250487</v>
      </c>
      <c r="AD55" s="389">
        <f t="shared" si="22"/>
        <v>0.41149968081704391</v>
      </c>
      <c r="AE55" s="131">
        <f>IF($T55=1,$AB55*$Y55+(Assumptions!$C$9/(1+$R55)+Assumptions!$C$10*$AC55)*$P55+$S55*$Z55*$AA55,0)</f>
        <v>22026.189256461497</v>
      </c>
      <c r="AF55" s="131">
        <f>IF($T55=1,IF($AA55-$AD55-Assumptions!$C$16*$AA55&gt;0,$AE55/($AA55-$AD55-Assumptions!$C$16*$AA55)*IF($J55="Monthly",1+Assumptions!$C$29,1),"n.a."),"")</f>
        <v>3512.2735262161355</v>
      </c>
      <c r="AG55" s="131">
        <f t="shared" si="23"/>
        <v>2677.49</v>
      </c>
      <c r="AH55" s="131">
        <f t="shared" si="24"/>
        <v>19448.778747913151</v>
      </c>
      <c r="AI55" s="131">
        <f t="shared" si="25"/>
        <v>-3679.1967889391708</v>
      </c>
      <c r="AJ55" s="390">
        <f t="shared" si="26"/>
        <v>-0.18917366671847957</v>
      </c>
      <c r="AK55" s="389">
        <f t="shared" si="27"/>
        <v>0.76232388508890714</v>
      </c>
      <c r="AL55" s="131">
        <f t="shared" si="28"/>
        <v>0</v>
      </c>
      <c r="AM55" s="131">
        <f t="shared" si="29"/>
        <v>0</v>
      </c>
      <c r="AN55" s="131">
        <f t="shared" si="30"/>
        <v>0</v>
      </c>
      <c r="AO55" s="131">
        <f t="shared" si="31"/>
        <v>-3679.1967889391708</v>
      </c>
      <c r="AP55" s="26" t="str">
        <f t="shared" si="32"/>
        <v>50-59</v>
      </c>
      <c r="AQ55" s="26" t="str">
        <f t="shared" si="33"/>
        <v>250k-500k</v>
      </c>
      <c r="AR55" s="26" t="str">
        <f>IF($T55=1,IF($AI55&lt;0,"Loss-making",IF($AJ55&lt;Assumptions!$C$16-0.00001,"Below target","At/above target")),"Excluded")</f>
        <v>Loss-making</v>
      </c>
      <c r="AS55" s="103">
        <f t="shared" si="34"/>
        <v>-3679.1967339391708</v>
      </c>
      <c r="AT55" s="26"/>
      <c r="AU55" s="419">
        <f>IF(AND($T55=1,AU$5&lt;=$H55),INDEX(Mortality!$B$4:$E$64,MATCH($D55+AU$5-1,Mortality!$A$4:$A$64,0),$U55)*$V55*$N55,0)</f>
        <v>3.2584585500813001E-3</v>
      </c>
      <c r="AV55" s="93">
        <f>IF(AND($T55=1,AV$5&lt;=$H55),INDEX(Mortality!$B$4:$E$64,MATCH($D55+AV$5-1,Mortality!$A$4:$A$64,0),$U55)*$V55*$N55,0)</f>
        <v>3.5298460078579601E-3</v>
      </c>
      <c r="AW55" s="93">
        <f>IF(AND($T55=1,AW$5&lt;=$H55),INDEX(Mortality!$B$4:$E$64,MATCH($D55+AW$5-1,Mortality!$A$4:$A$64,0),$U55)*$V55*$N55,0)</f>
        <v>3.8238365311966099E-3</v>
      </c>
      <c r="AX55" s="93">
        <f>IF(AND($T55=1,AX$5&lt;=$H55),INDEX(Mortality!$B$4:$E$64,MATCH($D55+AX$5-1,Mortality!$A$4:$A$64,0),$U55)*$V55*$N55,0)</f>
        <v>4.1423126631483596E-3</v>
      </c>
      <c r="AY55" s="93">
        <f>IF(AND($T55=1,AY$5&lt;=$H55),INDEX(Mortality!$B$4:$E$64,MATCH($D55+AY$5-1,Mortality!$A$4:$A$64,0),$U55)*$V55*$N55,0)</f>
        <v>4.4873137382548398E-3</v>
      </c>
      <c r="AZ55" s="93">
        <f>IF(AND($T55=1,AZ$5&lt;=$H55),INDEX(Mortality!$B$4:$E$64,MATCH($D55+AZ$5-1,Mortality!$A$4:$A$64,0),$U55)*$V55*$N55,0)</f>
        <v>4.8610489412516398E-3</v>
      </c>
      <c r="BA55" s="93">
        <f>IF(AND($T55=1,BA$5&lt;=$H55),INDEX(Mortality!$B$4:$E$64,MATCH($D55+BA$5-1,Mortality!$A$4:$A$64,0),$U55)*$V55*$N55,0)</f>
        <v>5.2659114533929498E-3</v>
      </c>
      <c r="BB55" s="93">
        <f>IF(AND($T55=1,BB$5&lt;=$H55),INDEX(Mortality!$B$4:$E$64,MATCH($D55+BB$5-1,Mortality!$A$4:$A$64,0),$U55)*$V55*$N55,0)</f>
        <v>5.7044937769820296E-3</v>
      </c>
      <c r="BC55" s="93">
        <f>IF(AND($T55=1,BC$5&lt;=$H55),INDEX(Mortality!$B$4:$E$64,MATCH($D55+BC$5-1,Mortality!$A$4:$A$64,0),$U55)*$V55*$N55,0)</f>
        <v>6.1796043362369098E-3</v>
      </c>
      <c r="BD55" s="93">
        <f>IF(AND($T55=1,BD$5&lt;=$H55),INDEX(Mortality!$B$4:$E$64,MATCH($D55+BD$5-1,Mortality!$A$4:$A$64,0),$U55)*$V55*$N55,0)</f>
        <v>6.6942854607935399E-3</v>
      </c>
      <c r="BE55" s="93">
        <f>IF(AND($T55=1,BE$5&lt;=$H55),INDEX(Mortality!$B$4:$E$64,MATCH($D55+BE$5-1,Mortality!$A$4:$A$64,0),$U55)*$V55*$N55,0)</f>
        <v>7.2518328670021504E-3</v>
      </c>
      <c r="BF55" s="93">
        <f>IF(AND($T55=1,BF$5&lt;=$H55),INDEX(Mortality!$B$4:$E$64,MATCH($D55+BF$5-1,Mortality!$A$4:$A$64,0),$U55)*$V55*$N55,0)</f>
        <v>7.8558167617636399E-3</v>
      </c>
      <c r="BG55" s="93">
        <f>IF(AND($T55=1,BG$5&lt;=$H55),INDEX(Mortality!$B$4:$E$64,MATCH($D55+BG$5-1,Mortality!$A$4:$A$64,0),$U55)*$V55*$N55,0)</f>
        <v>8.5101047040427192E-3</v>
      </c>
      <c r="BH55" s="93">
        <f>IF(AND($T55=1,BH$5&lt;=$H55),INDEX(Mortality!$B$4:$E$64,MATCH($D55+BH$5-1,Mortality!$A$4:$A$64,0),$U55)*$V55*$N55,0)</f>
        <v>9.2188863704493092E-3</v>
      </c>
      <c r="BI55" s="93">
        <f>IF(AND($T55=1,BI$5&lt;=$H55),INDEX(Mortality!$B$4:$E$64,MATCH($D55+BI$5-1,Mortality!$A$4:$A$64,0),$U55)*$V55*$N55,0)</f>
        <v>9.9867003834726801E-3</v>
      </c>
      <c r="BJ55" s="93">
        <f>IF(AND($T55=1,BJ$5&lt;=$H55),INDEX(Mortality!$B$4:$E$64,MATCH($D55+BJ$5-1,Mortality!$A$4:$A$64,0),$U55)*$V55*$N55,0)</f>
        <v>0</v>
      </c>
      <c r="BK55" s="93">
        <f>IF(AND($T55=1,BK$5&lt;=$H55),INDEX(Mortality!$B$4:$E$64,MATCH($D55+BK$5-1,Mortality!$A$4:$A$64,0),$U55)*$V55*$N55,0)</f>
        <v>0</v>
      </c>
      <c r="BL55" s="93">
        <f>IF(AND($T55=1,BL$5&lt;=$H55),INDEX(Mortality!$B$4:$E$64,MATCH($D55+BL$5-1,Mortality!$A$4:$A$64,0),$U55)*$V55*$N55,0)</f>
        <v>0</v>
      </c>
      <c r="BM55" s="93">
        <f>IF(AND($T55=1,BM$5&lt;=$H55),INDEX(Mortality!$B$4:$E$64,MATCH($D55+BM$5-1,Mortality!$A$4:$A$64,0),$U55)*$V55*$N55,0)</f>
        <v>0</v>
      </c>
      <c r="BN55" s="93">
        <f>IF(AND($T55=1,BN$5&lt;=$H55),INDEX(Mortality!$B$4:$E$64,MATCH($D55+BN$5-1,Mortality!$A$4:$A$64,0),$U55)*$V55*$N55,0)</f>
        <v>0</v>
      </c>
      <c r="BO55" s="93">
        <f>IF(AND($T55=1,BO$5&lt;=$H55),INDEX(Mortality!$B$4:$E$64,MATCH($D55+BO$5-1,Mortality!$A$4:$A$64,0),$U55)*$V55*$N55,0)</f>
        <v>0</v>
      </c>
      <c r="BP55" s="93">
        <f>IF(AND($T55=1,BP$5&lt;=$H55),INDEX(Mortality!$B$4:$E$64,MATCH($D55+BP$5-1,Mortality!$A$4:$A$64,0),$U55)*$V55*$N55,0)</f>
        <v>0</v>
      </c>
      <c r="BQ55" s="93">
        <f>IF(AND($T55=1,BQ$5&lt;=$H55),INDEX(Mortality!$B$4:$E$64,MATCH($D55+BQ$5-1,Mortality!$A$4:$A$64,0),$U55)*$V55*$N55,0)</f>
        <v>0</v>
      </c>
      <c r="BR55" s="93">
        <f>IF(AND($T55=1,BR$5&lt;=$H55),INDEX(Mortality!$B$4:$E$64,MATCH($D55+BR$5-1,Mortality!$A$4:$A$64,0),$U55)*$V55*$N55,0)</f>
        <v>0</v>
      </c>
      <c r="BS55" s="93">
        <f>IF(AND($T55=1,BS$5&lt;=$H55),INDEX(Mortality!$B$4:$E$64,MATCH($D55+BS$5-1,Mortality!$A$4:$A$64,0),$U55)*$V55*$N55,0)</f>
        <v>0</v>
      </c>
      <c r="BT55" s="93">
        <f>IF(AND($T55=1,BT$5&lt;=$H55),INDEX(Mortality!$B$4:$E$64,MATCH($D55+BT$5-1,Mortality!$A$4:$A$64,0),$U55)*$V55*$N55,0)</f>
        <v>0</v>
      </c>
      <c r="BU55" s="93">
        <f>IF(AND($T55=1,BU$5&lt;=$H55),INDEX(Mortality!$B$4:$E$64,MATCH($D55+BU$5-1,Mortality!$A$4:$A$64,0),$U55)*$V55*$N55,0)</f>
        <v>0</v>
      </c>
      <c r="BV55" s="93">
        <f>IF(AND($T55=1,BV$5&lt;=$H55),INDEX(Mortality!$B$4:$E$64,MATCH($D55+BV$5-1,Mortality!$A$4:$A$64,0),$U55)*$V55*$N55,0)</f>
        <v>0</v>
      </c>
      <c r="BW55" s="93">
        <f>IF(AND($T55=1,BW$5&lt;=$H55),INDEX(Mortality!$B$4:$E$64,MATCH($D55+BW$5-1,Mortality!$A$4:$A$64,0),$U55)*$V55*$N55,0)</f>
        <v>0</v>
      </c>
      <c r="BX55" s="93">
        <f>IF(AND($T55=1,BX$5&lt;=$H55),INDEX(Mortality!$B$4:$E$64,MATCH($D55+BX$5-1,Mortality!$A$4:$A$64,0),$U55)*$V55*$N55,0)</f>
        <v>0</v>
      </c>
      <c r="BY55" s="93">
        <f>IF(AND($T55=1,BY$5&lt;=$H55),INDEX(Mortality!$B$4:$E$64,MATCH($D55+BY$5-1,Mortality!$A$4:$A$64,0),$U55)*$V55*$N55,0)</f>
        <v>0</v>
      </c>
      <c r="BZ55" s="93">
        <f>IF(AND($T55=1,BZ$5&lt;=$H55),INDEX(Mortality!$B$4:$E$64,MATCH($D55+BZ$5-1,Mortality!$A$4:$A$64,0),$U55)*$V55*$N55,0)</f>
        <v>0</v>
      </c>
      <c r="CA55" s="93">
        <f>IF(AND($T55=1,CA$5&lt;=$H55),INDEX(Mortality!$B$4:$E$64,MATCH($D55+CA$5-1,Mortality!$A$4:$A$64,0),$U55)*$V55*$N55,0)</f>
        <v>0</v>
      </c>
      <c r="CB55" s="93">
        <f>IF(AND($T55=1,CB$5&lt;=$H55),INDEX(Mortality!$B$4:$E$64,MATCH($D55+CB$5-1,Mortality!$A$4:$A$64,0),$U55)*$V55*$N55,0)</f>
        <v>0</v>
      </c>
      <c r="CC55" s="93">
        <f>IF(AND($T55=1,CC$5&lt;=$H55),INDEX(Mortality!$B$4:$E$64,MATCH($D55+CC$5-1,Mortality!$A$4:$A$64,0),$U55)*$V55*$N55,0)</f>
        <v>0</v>
      </c>
      <c r="CD55" s="93">
        <f>IF(AND($T55=1,CD$5&lt;=$H55),INDEX(Mortality!$B$4:$E$64,MATCH($D55+CD$5-1,Mortality!$A$4:$A$64,0),$U55)*$V55*$N55,0)</f>
        <v>0</v>
      </c>
      <c r="CE55" s="93">
        <f>IF(AND($T55=1,CE$5&lt;=$H55),INDEX(Mortality!$B$4:$E$64,MATCH($D55+CE$5-1,Mortality!$A$4:$A$64,0),$U55)*$V55*$N55,0)</f>
        <v>0</v>
      </c>
      <c r="CF55" s="93">
        <f>IF(AND($T55=1,CF$5&lt;=$H55),INDEX(Mortality!$B$4:$E$64,MATCH($D55+CF$5-1,Mortality!$A$4:$A$64,0),$U55)*$V55*$N55,0)</f>
        <v>0</v>
      </c>
      <c r="CG55" s="93">
        <f>IF(AND($T55=1,CG$5&lt;=$H55),INDEX(Mortality!$B$4:$E$64,MATCH($D55+CG$5-1,Mortality!$A$4:$A$64,0),$U55)*$V55*$N55,0)</f>
        <v>0</v>
      </c>
      <c r="CH55" s="94">
        <f>IF(AND($T55=1,CH$5&lt;=$H55),INDEX(Mortality!$B$4:$E$64,MATCH($D55+CH$5-1,Mortality!$A$4:$A$64,0),$U55)*$V55*$N55,0)</f>
        <v>0</v>
      </c>
      <c r="CI55" s="26"/>
      <c r="CJ55" s="419">
        <f t="shared" si="35"/>
        <v>1</v>
      </c>
      <c r="CK55" s="93">
        <f>IF(AND($T55=1,CK$5&lt;=$H55),CJ55*(1-AU55)*(1-MIN(1,MAX(Assumptions!$C$27,Assumptions!$C$13*Assumptions!$C$28^(CJ$5-1))*$O55)),0)</f>
        <v>0.87713255647592847</v>
      </c>
      <c r="CL55" s="93">
        <f>IF(AND($T55=1,CL$5&lt;=$H55),CK55*(1-AV55)*(1-MIN(1,MAX(Assumptions!$C$27,Assumptions!$C$13*Assumptions!$C$28^(CK$5-1))*$O55)),0)</f>
        <v>0.78488469943353445</v>
      </c>
      <c r="CM55" s="93">
        <f>IF(AND($T55=1,CM$5&lt;=$H55),CL55*(1-AW55)*(1-MIN(1,MAX(Assumptions!$C$27,Assumptions!$C$13*Assumptions!$C$28^(CL$5-1))*$O55)),0)</f>
        <v>0.71409413538336286</v>
      </c>
      <c r="CN55" s="93">
        <f>IF(AND($T55=1,CN$5&lt;=$H55),CM55*(1-AX55)*(1-MIN(1,MAX(Assumptions!$C$27,Assumptions!$C$13*Assumptions!$C$28^(CM$5-1))*$O55)),0)</f>
        <v>0.65872895679354393</v>
      </c>
      <c r="CO55" s="93">
        <f>IF(AND($T55=1,CO$5&lt;=$H55),CN55*(1-AY55)*(1-MIN(1,MAX(Assumptions!$C$27,Assumptions!$C$13*Assumptions!$C$28^(CN$5-1))*$O55)),0)</f>
        <v>0.61469491866050541</v>
      </c>
      <c r="CP55" s="93">
        <f>IF(AND($T55=1,CP$5&lt;=$H55),CO55*(1-AZ55)*(1-MIN(1,MAX(Assumptions!$C$27,Assumptions!$C$13*Assumptions!$C$28^(CO$5-1))*$O55)),0)</f>
        <v>0.57913674674225335</v>
      </c>
      <c r="CQ55" s="93">
        <f>IF(AND($T55=1,CQ$5&lt;=$H55),CP55*(1-BA55)*(1-MIN(1,MAX(Assumptions!$C$27,Assumptions!$C$13*Assumptions!$C$28^(CP$5-1))*$O55)),0)</f>
        <v>0.55001454906092062</v>
      </c>
      <c r="CR55" s="93">
        <f>IF(AND($T55=1,CR$5&lt;=$H55),CQ55*(1-BB55)*(1-MIN(1,MAX(Assumptions!$C$27,Assumptions!$C$13*Assumptions!$C$28^(CQ$5-1))*$O55)),0)</f>
        <v>0.525839046343616</v>
      </c>
      <c r="CS55" s="93">
        <f>IF(AND($T55=1,CS$5&lt;=$H55),CR55*(1-BC55)*(1-MIN(1,MAX(Assumptions!$C$27,Assumptions!$C$13*Assumptions!$C$28^(CR$5-1))*$O55)),0)</f>
        <v>0.50550148436522846</v>
      </c>
      <c r="CT55" s="93">
        <f>IF(AND($T55=1,CT$5&lt;=$H55),CS55*(1-BD55)*(1-MIN(1,MAX(Assumptions!$C$27,Assumptions!$C$13*Assumptions!$C$28^(CS$5-1))*$O55)),0)</f>
        <v>0.48816164212010904</v>
      </c>
      <c r="CU55" s="93">
        <f>IF(AND($T55=1,CU$5&lt;=$H55),CT55*(1-BE55)*(1-MIN(1,MAX(Assumptions!$C$27,Assumptions!$C$13*Assumptions!$C$28^(CT$5-1))*$O55)),0)</f>
        <v>0.47317242539899301</v>
      </c>
      <c r="CV55" s="93">
        <f>IF(AND($T55=1,CV$5&lt;=$H55),CU55*(1-BF55)*(1-MIN(1,MAX(Assumptions!$C$27,Assumptions!$C$13*Assumptions!$C$28^(CU$5-1))*$O55)),0)</f>
        <v>0.46002804941993275</v>
      </c>
      <c r="CW55" s="93">
        <f>IF(AND($T55=1,CW$5&lt;=$H55),CV55*(1-BG55)*(1-MIN(1,MAX(Assumptions!$C$27,Assumptions!$C$13*Assumptions!$C$28^(CV$5-1))*$O55)),0)</f>
        <v>0.44699089930152114</v>
      </c>
      <c r="CX55" s="93">
        <f>IF(AND($T55=1,CX$5&lt;=$H55),CW55*(1-BH55)*(1-MIN(1,MAX(Assumptions!$C$27,Assumptions!$C$13*Assumptions!$C$28^(CW$5-1))*$O55)),0)</f>
        <v>0.43401273817239078</v>
      </c>
      <c r="CY55" s="93">
        <f>IF(AND($T55=1,CY$5&lt;=$H55),CX55*(1-BI55)*(1-MIN(1,MAX(Assumptions!$C$27,Assumptions!$C$13*Assumptions!$C$28^(CX$5-1))*$O55)),0)</f>
        <v>0</v>
      </c>
      <c r="CZ55" s="93">
        <f>IF(AND($T55=1,CZ$5&lt;=$H55),CY55*(1-BJ55)*(1-MIN(1,MAX(Assumptions!$C$27,Assumptions!$C$13*Assumptions!$C$28^(CY$5-1))*$O55)),0)</f>
        <v>0</v>
      </c>
      <c r="DA55" s="93">
        <f>IF(AND($T55=1,DA$5&lt;=$H55),CZ55*(1-BK55)*(1-MIN(1,MAX(Assumptions!$C$27,Assumptions!$C$13*Assumptions!$C$28^(CZ$5-1))*$O55)),0)</f>
        <v>0</v>
      </c>
      <c r="DB55" s="93">
        <f>IF(AND($T55=1,DB$5&lt;=$H55),DA55*(1-BL55)*(1-MIN(1,MAX(Assumptions!$C$27,Assumptions!$C$13*Assumptions!$C$28^(DA$5-1))*$O55)),0)</f>
        <v>0</v>
      </c>
      <c r="DC55" s="93">
        <f>IF(AND($T55=1,DC$5&lt;=$H55),DB55*(1-BM55)*(1-MIN(1,MAX(Assumptions!$C$27,Assumptions!$C$13*Assumptions!$C$28^(DB$5-1))*$O55)),0)</f>
        <v>0</v>
      </c>
      <c r="DD55" s="93">
        <f>IF(AND($T55=1,DD$5&lt;=$H55),DC55*(1-BN55)*(1-MIN(1,MAX(Assumptions!$C$27,Assumptions!$C$13*Assumptions!$C$28^(DC$5-1))*$O55)),0)</f>
        <v>0</v>
      </c>
      <c r="DE55" s="93">
        <f>IF(AND($T55=1,DE$5&lt;=$H55),DD55*(1-BO55)*(1-MIN(1,MAX(Assumptions!$C$27,Assumptions!$C$13*Assumptions!$C$28^(DD$5-1))*$O55)),0)</f>
        <v>0</v>
      </c>
      <c r="DF55" s="93">
        <f>IF(AND($T55=1,DF$5&lt;=$H55),DE55*(1-BP55)*(1-MIN(1,MAX(Assumptions!$C$27,Assumptions!$C$13*Assumptions!$C$28^(DE$5-1))*$O55)),0)</f>
        <v>0</v>
      </c>
      <c r="DG55" s="93">
        <f>IF(AND($T55=1,DG$5&lt;=$H55),DF55*(1-BQ55)*(1-MIN(1,MAX(Assumptions!$C$27,Assumptions!$C$13*Assumptions!$C$28^(DF$5-1))*$O55)),0)</f>
        <v>0</v>
      </c>
      <c r="DH55" s="93">
        <f>IF(AND($T55=1,DH$5&lt;=$H55),DG55*(1-BR55)*(1-MIN(1,MAX(Assumptions!$C$27,Assumptions!$C$13*Assumptions!$C$28^(DG$5-1))*$O55)),0)</f>
        <v>0</v>
      </c>
      <c r="DI55" s="93">
        <f>IF(AND($T55=1,DI$5&lt;=$H55),DH55*(1-BS55)*(1-MIN(1,MAX(Assumptions!$C$27,Assumptions!$C$13*Assumptions!$C$28^(DH$5-1))*$O55)),0)</f>
        <v>0</v>
      </c>
      <c r="DJ55" s="93">
        <f>IF(AND($T55=1,DJ$5&lt;=$H55),DI55*(1-BT55)*(1-MIN(1,MAX(Assumptions!$C$27,Assumptions!$C$13*Assumptions!$C$28^(DI$5-1))*$O55)),0)</f>
        <v>0</v>
      </c>
      <c r="DK55" s="93">
        <f>IF(AND($T55=1,DK$5&lt;=$H55),DJ55*(1-BU55)*(1-MIN(1,MAX(Assumptions!$C$27,Assumptions!$C$13*Assumptions!$C$28^(DJ$5-1))*$O55)),0)</f>
        <v>0</v>
      </c>
      <c r="DL55" s="93">
        <f>IF(AND($T55=1,DL$5&lt;=$H55),DK55*(1-BV55)*(1-MIN(1,MAX(Assumptions!$C$27,Assumptions!$C$13*Assumptions!$C$28^(DK$5-1))*$O55)),0)</f>
        <v>0</v>
      </c>
      <c r="DM55" s="93">
        <f>IF(AND($T55=1,DM$5&lt;=$H55),DL55*(1-BW55)*(1-MIN(1,MAX(Assumptions!$C$27,Assumptions!$C$13*Assumptions!$C$28^(DL$5-1))*$O55)),0)</f>
        <v>0</v>
      </c>
      <c r="DN55" s="93">
        <f>IF(AND($T55=1,DN$5&lt;=$H55),DM55*(1-BX55)*(1-MIN(1,MAX(Assumptions!$C$27,Assumptions!$C$13*Assumptions!$C$28^(DM$5-1))*$O55)),0)</f>
        <v>0</v>
      </c>
      <c r="DO55" s="93">
        <f>IF(AND($T55=1,DO$5&lt;=$H55),DN55*(1-BY55)*(1-MIN(1,MAX(Assumptions!$C$27,Assumptions!$C$13*Assumptions!$C$28^(DN$5-1))*$O55)),0)</f>
        <v>0</v>
      </c>
      <c r="DP55" s="93">
        <f>IF(AND($T55=1,DP$5&lt;=$H55),DO55*(1-BZ55)*(1-MIN(1,MAX(Assumptions!$C$27,Assumptions!$C$13*Assumptions!$C$28^(DO$5-1))*$O55)),0)</f>
        <v>0</v>
      </c>
      <c r="DQ55" s="93">
        <f>IF(AND($T55=1,DQ$5&lt;=$H55),DP55*(1-CA55)*(1-MIN(1,MAX(Assumptions!$C$27,Assumptions!$C$13*Assumptions!$C$28^(DP$5-1))*$O55)),0)</f>
        <v>0</v>
      </c>
      <c r="DR55" s="93">
        <f>IF(AND($T55=1,DR$5&lt;=$H55),DQ55*(1-CB55)*(1-MIN(1,MAX(Assumptions!$C$27,Assumptions!$C$13*Assumptions!$C$28^(DQ$5-1))*$O55)),0)</f>
        <v>0</v>
      </c>
      <c r="DS55" s="93">
        <f>IF(AND($T55=1,DS$5&lt;=$H55),DR55*(1-CC55)*(1-MIN(1,MAX(Assumptions!$C$27,Assumptions!$C$13*Assumptions!$C$28^(DR$5-1))*$O55)),0)</f>
        <v>0</v>
      </c>
      <c r="DT55" s="93">
        <f>IF(AND($T55=1,DT$5&lt;=$H55),DS55*(1-CD55)*(1-MIN(1,MAX(Assumptions!$C$27,Assumptions!$C$13*Assumptions!$C$28^(DS$5-1))*$O55)),0)</f>
        <v>0</v>
      </c>
      <c r="DU55" s="93">
        <f>IF(AND($T55=1,DU$5&lt;=$H55),DT55*(1-CE55)*(1-MIN(1,MAX(Assumptions!$C$27,Assumptions!$C$13*Assumptions!$C$28^(DT$5-1))*$O55)),0)</f>
        <v>0</v>
      </c>
      <c r="DV55" s="93">
        <f>IF(AND($T55=1,DV$5&lt;=$H55),DU55*(1-CF55)*(1-MIN(1,MAX(Assumptions!$C$27,Assumptions!$C$13*Assumptions!$C$28^(DU$5-1))*$O55)),0)</f>
        <v>0</v>
      </c>
      <c r="DW55" s="94">
        <f>IF(AND($T55=1,DW$5&lt;=$H55),DV55*(1-CG55)*(1-MIN(1,MAX(Assumptions!$C$27,Assumptions!$C$13*Assumptions!$C$28^(DV$5-1))*$O55)),0)</f>
        <v>0</v>
      </c>
      <c r="DX55" s="26"/>
      <c r="DY55" s="399">
        <f>'Policy Data'!K29</f>
        <v>1</v>
      </c>
      <c r="DZ55" s="100">
        <f>'Policy Data'!L29</f>
        <v>0.74139999999999995</v>
      </c>
      <c r="EA55" s="100">
        <f>'Policy Data'!N29</f>
        <v>2.4160000000000002E-3</v>
      </c>
      <c r="EB55" s="93" cm="1">
        <f t="array" ref="EB55">IFERROR(DZ55*INDEX(Mortality!$B$4:$E$64,MATCH(D55+DY55-1,Mortality!$A$4:$A$64,0),U55)*V55,0)</f>
        <v>2.4158211690302757E-3</v>
      </c>
      <c r="EC55" s="100">
        <f>'Policy Data'!O29</f>
        <v>0</v>
      </c>
      <c r="ED55" s="400">
        <f>'Policy Data'!Q29</f>
        <v>0</v>
      </c>
    </row>
    <row r="56" spans="1:134" x14ac:dyDescent="0.3">
      <c r="A56" s="399" t="str">
        <f>'Policy Data'!A30</f>
        <v>POL100026</v>
      </c>
      <c r="B56" s="26" t="s">
        <v>426</v>
      </c>
      <c r="C56" s="100" t="str">
        <f>'Policy Data'!B30</f>
        <v>Term Life</v>
      </c>
      <c r="D56" s="100">
        <f>'Policy Data'!C30</f>
        <v>37</v>
      </c>
      <c r="E56" s="100" t="str">
        <f>'Policy Data'!D30</f>
        <v>Male</v>
      </c>
      <c r="F56" s="100" t="str">
        <f>'Policy Data'!E30</f>
        <v>Non-smoker</v>
      </c>
      <c r="G56" s="100" t="str">
        <f>'Policy Data'!F30</f>
        <v>Standard</v>
      </c>
      <c r="H56" s="100">
        <f>'Policy Data'!G30</f>
        <v>15</v>
      </c>
      <c r="I56" s="279">
        <f>'Policy Data'!H30</f>
        <v>500000</v>
      </c>
      <c r="J56" s="100" t="str">
        <f>'Policy Data'!I30</f>
        <v>Monthly</v>
      </c>
      <c r="K56" s="100" t="str">
        <f>'Policy Data'!J30</f>
        <v>Direct</v>
      </c>
      <c r="L56" s="26" t="s">
        <v>389</v>
      </c>
      <c r="M56" s="106">
        <f>'Policy Data'!R30</f>
        <v>1289.52</v>
      </c>
      <c r="N56" s="415">
        <f>Assumptions!$C$21</f>
        <v>1</v>
      </c>
      <c r="O56" s="415">
        <f>Assumptions!$C$22</f>
        <v>1</v>
      </c>
      <c r="P56" s="415">
        <f>Assumptions!$C$23</f>
        <v>1</v>
      </c>
      <c r="Q56" s="416">
        <f>Assumptions!$C$24</f>
        <v>0</v>
      </c>
      <c r="R56" s="416">
        <f>Assumptions!$C$6+Assumptions!$C$25</f>
        <v>3.5000000000000003E-2</v>
      </c>
      <c r="S56" s="416">
        <f>Assumptions!$C$15</f>
        <v>1.1000000000000001E-3</v>
      </c>
      <c r="T56" s="26">
        <f t="shared" si="18"/>
        <v>1</v>
      </c>
      <c r="U56" s="26">
        <f t="shared" si="19"/>
        <v>3</v>
      </c>
      <c r="V56" s="389">
        <f>IF($G56="Preferred",Assumptions!$C$30,IF($G56="Rated",Assumptions!$C$31,1))</f>
        <v>1</v>
      </c>
      <c r="W56" s="390">
        <f>IF($K56="Direct",Assumptions!$C$32,IF($K56="Broker",Assumptions!$C$33,IF($K56="Bancassurance",Assumptions!$C$34,Assumptions!$C$11)))+$Q56</f>
        <v>0.1</v>
      </c>
      <c r="X56" s="390">
        <f>Assumptions!$C$12+$Q56</f>
        <v>0.05</v>
      </c>
      <c r="Y56" s="131">
        <f>MIN($I56,Assumptions!$C$14)</f>
        <v>500000</v>
      </c>
      <c r="Z56" s="131">
        <f>MAX($I56-Assumptions!$C$14,0)</f>
        <v>0</v>
      </c>
      <c r="AA56" s="389">
        <f t="shared" si="20"/>
        <v>7.3934356339877345</v>
      </c>
      <c r="AB56" s="389">
        <f t="shared" si="21"/>
        <v>1.0912809374873992E-2</v>
      </c>
      <c r="AC56" s="389">
        <f>IF($T56=1,SUMPRODUCT($CJ56:$DW56,(1+Assumptions!$C$5)^($CJ$5:$DW$5-1),(1+$R56)^(-$CJ$5:$DW$5)),0)</f>
        <v>9.2490786525622912</v>
      </c>
      <c r="AD56" s="389">
        <f t="shared" si="22"/>
        <v>0.41798096044334809</v>
      </c>
      <c r="AE56" s="131">
        <f>IF($T56=1,$AB56*$Y56+(Assumptions!$C$9/(1+$R56)+Assumptions!$C$10*$AC56)*$P56+$S56*$Z56*$AA56,0)</f>
        <v>8360.7672083920042</v>
      </c>
      <c r="AF56" s="131">
        <f>IF($T56=1,IF($AA56-$AD56-Assumptions!$C$16*$AA56&gt;0,$AE56/($AA56-$AD56-Assumptions!$C$16*$AA56)*IF($J56="Monthly",1+Assumptions!$C$29,1),"n.a."),"")</f>
        <v>1348.9375692970971</v>
      </c>
      <c r="AG56" s="131">
        <f t="shared" si="23"/>
        <v>1289.52</v>
      </c>
      <c r="AH56" s="131">
        <f t="shared" si="24"/>
        <v>9533.9831187398631</v>
      </c>
      <c r="AI56" s="131">
        <f t="shared" si="25"/>
        <v>634.22110223695381</v>
      </c>
      <c r="AJ56" s="390">
        <f t="shared" si="26"/>
        <v>6.6522154941761724E-2</v>
      </c>
      <c r="AK56" s="389">
        <f t="shared" si="27"/>
        <v>0.95595232081195702</v>
      </c>
      <c r="AL56" s="131">
        <f t="shared" si="28"/>
        <v>0</v>
      </c>
      <c r="AM56" s="131">
        <f t="shared" si="29"/>
        <v>0</v>
      </c>
      <c r="AN56" s="131">
        <f t="shared" si="30"/>
        <v>0</v>
      </c>
      <c r="AO56" s="131">
        <f t="shared" si="31"/>
        <v>634.22110223695381</v>
      </c>
      <c r="AP56" s="26" t="str">
        <f t="shared" si="32"/>
        <v>30-39</v>
      </c>
      <c r="AQ56" s="26" t="str">
        <f t="shared" si="33"/>
        <v>250k-500k</v>
      </c>
      <c r="AR56" s="26" t="str">
        <f>IF($T56=1,IF($AI56&lt;0,"Loss-making",IF($AJ56&lt;Assumptions!$C$16-0.00001,"Below target","At/above target")),"Excluded")</f>
        <v>Below target</v>
      </c>
      <c r="AS56" s="103">
        <f t="shared" si="34"/>
        <v>634.22115823695378</v>
      </c>
      <c r="AT56" s="26"/>
      <c r="AU56" s="419">
        <f>IF(AND($T56=1,AU$5&lt;=$H56),INDEX(Mortality!$B$4:$E$64,MATCH($D56+AU$5-1,Mortality!$A$4:$A$64,0),$U56)*$V56*$N56,0)</f>
        <v>9.0597301890323197E-4</v>
      </c>
      <c r="AV56" s="93">
        <f>IF(AND($T56=1,AV$5&lt;=$H56),INDEX(Mortality!$B$4:$E$64,MATCH($D56+AV$5-1,Mortality!$A$4:$A$64,0),$U56)*$V56*$N56,0)</f>
        <v>9.8142885504031189E-4</v>
      </c>
      <c r="AW56" s="93">
        <f>IF(AND($T56=1,AW$5&lt;=$H56),INDEX(Mortality!$B$4:$E$64,MATCH($D56+AW$5-1,Mortality!$A$4:$A$64,0),$U56)*$V56*$N56,0)</f>
        <v>1.06316918650821E-3</v>
      </c>
      <c r="AX56" s="93">
        <f>IF(AND($T56=1,AX$5&lt;=$H56),INDEX(Mortality!$B$4:$E$64,MATCH($D56+AX$5-1,Mortality!$A$4:$A$64,0),$U56)*$V56*$N56,0)</f>
        <v>1.1517174304948501E-3</v>
      </c>
      <c r="AY56" s="93">
        <f>IF(AND($T56=1,AY$5&lt;=$H56),INDEX(Mortality!$B$4:$E$64,MATCH($D56+AY$5-1,Mortality!$A$4:$A$64,0),$U56)*$V56*$N56,0)</f>
        <v>1.24764059807091E-3</v>
      </c>
      <c r="AZ56" s="93">
        <f>IF(AND($T56=1,AZ$5&lt;=$H56),INDEX(Mortality!$B$4:$E$64,MATCH($D56+AZ$5-1,Mortality!$A$4:$A$64,0),$U56)*$V56*$N56,0)</f>
        <v>1.3515529249964601E-3</v>
      </c>
      <c r="BA56" s="93">
        <f>IF(AND($T56=1,BA$5&lt;=$H56),INDEX(Mortality!$B$4:$E$64,MATCH($D56+BA$5-1,Mortality!$A$4:$A$64,0),$U56)*$V56*$N56,0)</f>
        <v>1.4641198049269301E-3</v>
      </c>
      <c r="BB56" s="93">
        <f>IF(AND($T56=1,BB$5&lt;=$H56),INDEX(Mortality!$B$4:$E$64,MATCH($D56+BB$5-1,Mortality!$A$4:$A$64,0),$U56)*$V56*$N56,0)</f>
        <v>1.58606205020413E-3</v>
      </c>
      <c r="BC56" s="93">
        <f>IF(AND($T56=1,BC$5&lt;=$H56),INDEX(Mortality!$B$4:$E$64,MATCH($D56+BC$5-1,Mortality!$A$4:$A$64,0),$U56)*$V56*$N56,0)</f>
        <v>1.71816050751616E-3</v>
      </c>
      <c r="BD56" s="93">
        <f>IF(AND($T56=1,BD$5&lt;=$H56),INDEX(Mortality!$B$4:$E$64,MATCH($D56+BD$5-1,Mortality!$A$4:$A$64,0),$U56)*$V56*$N56,0)</f>
        <v>1.8612610579820999E-3</v>
      </c>
      <c r="BE56" s="93">
        <f>IF(AND($T56=1,BE$5&lt;=$H56),INDEX(Mortality!$B$4:$E$64,MATCH($D56+BE$5-1,Mortality!$A$4:$A$64,0),$U56)*$V56*$N56,0)</f>
        <v>2.0162800336790201E-3</v>
      </c>
      <c r="BF56" s="93">
        <f>IF(AND($T56=1,BF$5&lt;=$H56),INDEX(Mortality!$B$4:$E$64,MATCH($D56+BF$5-1,Mortality!$A$4:$A$64,0),$U56)*$V56*$N56,0)</f>
        <v>2.1842100852957199E-3</v>
      </c>
      <c r="BG56" s="93">
        <f>IF(AND($T56=1,BG$5&lt;=$H56),INDEX(Mortality!$B$4:$E$64,MATCH($D56+BG$5-1,Mortality!$A$4:$A$64,0),$U56)*$V56*$N56,0)</f>
        <v>2.3661265384860701E-3</v>
      </c>
      <c r="BH56" s="93">
        <f>IF(AND($T56=1,BH$5&lt;=$H56),INDEX(Mortality!$B$4:$E$64,MATCH($D56+BH$5-1,Mortality!$A$4:$A$64,0),$U56)*$V56*$N56,0)</f>
        <v>2.5631942796244698E-3</v>
      </c>
      <c r="BI56" s="93">
        <f>IF(AND($T56=1,BI$5&lt;=$H56),INDEX(Mortality!$B$4:$E$64,MATCH($D56+BI$5-1,Mortality!$A$4:$A$64,0),$U56)*$V56*$N56,0)</f>
        <v>2.7766752150556202E-3</v>
      </c>
      <c r="BJ56" s="93">
        <f>IF(AND($T56=1,BJ$5&lt;=$H56),INDEX(Mortality!$B$4:$E$64,MATCH($D56+BJ$5-1,Mortality!$A$4:$A$64,0),$U56)*$V56*$N56,0)</f>
        <v>0</v>
      </c>
      <c r="BK56" s="93">
        <f>IF(AND($T56=1,BK$5&lt;=$H56),INDEX(Mortality!$B$4:$E$64,MATCH($D56+BK$5-1,Mortality!$A$4:$A$64,0),$U56)*$V56*$N56,0)</f>
        <v>0</v>
      </c>
      <c r="BL56" s="93">
        <f>IF(AND($T56=1,BL$5&lt;=$H56),INDEX(Mortality!$B$4:$E$64,MATCH($D56+BL$5-1,Mortality!$A$4:$A$64,0),$U56)*$V56*$N56,0)</f>
        <v>0</v>
      </c>
      <c r="BM56" s="93">
        <f>IF(AND($T56=1,BM$5&lt;=$H56),INDEX(Mortality!$B$4:$E$64,MATCH($D56+BM$5-1,Mortality!$A$4:$A$64,0),$U56)*$V56*$N56,0)</f>
        <v>0</v>
      </c>
      <c r="BN56" s="93">
        <f>IF(AND($T56=1,BN$5&lt;=$H56),INDEX(Mortality!$B$4:$E$64,MATCH($D56+BN$5-1,Mortality!$A$4:$A$64,0),$U56)*$V56*$N56,0)</f>
        <v>0</v>
      </c>
      <c r="BO56" s="93">
        <f>IF(AND($T56=1,BO$5&lt;=$H56),INDEX(Mortality!$B$4:$E$64,MATCH($D56+BO$5-1,Mortality!$A$4:$A$64,0),$U56)*$V56*$N56,0)</f>
        <v>0</v>
      </c>
      <c r="BP56" s="93">
        <f>IF(AND($T56=1,BP$5&lt;=$H56),INDEX(Mortality!$B$4:$E$64,MATCH($D56+BP$5-1,Mortality!$A$4:$A$64,0),$U56)*$V56*$N56,0)</f>
        <v>0</v>
      </c>
      <c r="BQ56" s="93">
        <f>IF(AND($T56=1,BQ$5&lt;=$H56),INDEX(Mortality!$B$4:$E$64,MATCH($D56+BQ$5-1,Mortality!$A$4:$A$64,0),$U56)*$V56*$N56,0)</f>
        <v>0</v>
      </c>
      <c r="BR56" s="93">
        <f>IF(AND($T56=1,BR$5&lt;=$H56),INDEX(Mortality!$B$4:$E$64,MATCH($D56+BR$5-1,Mortality!$A$4:$A$64,0),$U56)*$V56*$N56,0)</f>
        <v>0</v>
      </c>
      <c r="BS56" s="93">
        <f>IF(AND($T56=1,BS$5&lt;=$H56),INDEX(Mortality!$B$4:$E$64,MATCH($D56+BS$5-1,Mortality!$A$4:$A$64,0),$U56)*$V56*$N56,0)</f>
        <v>0</v>
      </c>
      <c r="BT56" s="93">
        <f>IF(AND($T56=1,BT$5&lt;=$H56),INDEX(Mortality!$B$4:$E$64,MATCH($D56+BT$5-1,Mortality!$A$4:$A$64,0),$U56)*$V56*$N56,0)</f>
        <v>0</v>
      </c>
      <c r="BU56" s="93">
        <f>IF(AND($T56=1,BU$5&lt;=$H56),INDEX(Mortality!$B$4:$E$64,MATCH($D56+BU$5-1,Mortality!$A$4:$A$64,0),$U56)*$V56*$N56,0)</f>
        <v>0</v>
      </c>
      <c r="BV56" s="93">
        <f>IF(AND($T56=1,BV$5&lt;=$H56),INDEX(Mortality!$B$4:$E$64,MATCH($D56+BV$5-1,Mortality!$A$4:$A$64,0),$U56)*$V56*$N56,0)</f>
        <v>0</v>
      </c>
      <c r="BW56" s="93">
        <f>IF(AND($T56=1,BW$5&lt;=$H56),INDEX(Mortality!$B$4:$E$64,MATCH($D56+BW$5-1,Mortality!$A$4:$A$64,0),$U56)*$V56*$N56,0)</f>
        <v>0</v>
      </c>
      <c r="BX56" s="93">
        <f>IF(AND($T56=1,BX$5&lt;=$H56),INDEX(Mortality!$B$4:$E$64,MATCH($D56+BX$5-1,Mortality!$A$4:$A$64,0),$U56)*$V56*$N56,0)</f>
        <v>0</v>
      </c>
      <c r="BY56" s="93">
        <f>IF(AND($T56=1,BY$5&lt;=$H56),INDEX(Mortality!$B$4:$E$64,MATCH($D56+BY$5-1,Mortality!$A$4:$A$64,0),$U56)*$V56*$N56,0)</f>
        <v>0</v>
      </c>
      <c r="BZ56" s="93">
        <f>IF(AND($T56=1,BZ$5&lt;=$H56),INDEX(Mortality!$B$4:$E$64,MATCH($D56+BZ$5-1,Mortality!$A$4:$A$64,0),$U56)*$V56*$N56,0)</f>
        <v>0</v>
      </c>
      <c r="CA56" s="93">
        <f>IF(AND($T56=1,CA$5&lt;=$H56),INDEX(Mortality!$B$4:$E$64,MATCH($D56+CA$5-1,Mortality!$A$4:$A$64,0),$U56)*$V56*$N56,0)</f>
        <v>0</v>
      </c>
      <c r="CB56" s="93">
        <f>IF(AND($T56=1,CB$5&lt;=$H56),INDEX(Mortality!$B$4:$E$64,MATCH($D56+CB$5-1,Mortality!$A$4:$A$64,0),$U56)*$V56*$N56,0)</f>
        <v>0</v>
      </c>
      <c r="CC56" s="93">
        <f>IF(AND($T56=1,CC$5&lt;=$H56),INDEX(Mortality!$B$4:$E$64,MATCH($D56+CC$5-1,Mortality!$A$4:$A$64,0),$U56)*$V56*$N56,0)</f>
        <v>0</v>
      </c>
      <c r="CD56" s="93">
        <f>IF(AND($T56=1,CD$5&lt;=$H56),INDEX(Mortality!$B$4:$E$64,MATCH($D56+CD$5-1,Mortality!$A$4:$A$64,0),$U56)*$V56*$N56,0)</f>
        <v>0</v>
      </c>
      <c r="CE56" s="93">
        <f>IF(AND($T56=1,CE$5&lt;=$H56),INDEX(Mortality!$B$4:$E$64,MATCH($D56+CE$5-1,Mortality!$A$4:$A$64,0),$U56)*$V56*$N56,0)</f>
        <v>0</v>
      </c>
      <c r="CF56" s="93">
        <f>IF(AND($T56=1,CF$5&lt;=$H56),INDEX(Mortality!$B$4:$E$64,MATCH($D56+CF$5-1,Mortality!$A$4:$A$64,0),$U56)*$V56*$N56,0)</f>
        <v>0</v>
      </c>
      <c r="CG56" s="93">
        <f>IF(AND($T56=1,CG$5&lt;=$H56),INDEX(Mortality!$B$4:$E$64,MATCH($D56+CG$5-1,Mortality!$A$4:$A$64,0),$U56)*$V56*$N56,0)</f>
        <v>0</v>
      </c>
      <c r="CH56" s="94">
        <f>IF(AND($T56=1,CH$5&lt;=$H56),INDEX(Mortality!$B$4:$E$64,MATCH($D56+CH$5-1,Mortality!$A$4:$A$64,0),$U56)*$V56*$N56,0)</f>
        <v>0</v>
      </c>
      <c r="CI56" s="26"/>
      <c r="CJ56" s="419">
        <f t="shared" si="35"/>
        <v>1</v>
      </c>
      <c r="CK56" s="93">
        <f>IF(AND($T56=1,CK$5&lt;=$H56),CJ56*(1-AU56)*(1-MIN(1,MAX(Assumptions!$C$27,Assumptions!$C$13*Assumptions!$C$28^(CJ$5-1))*$O56)),0)</f>
        <v>0.87920274374336516</v>
      </c>
      <c r="CL56" s="93">
        <f>IF(AND($T56=1,CL$5&lt;=$H56),CK56*(1-AV56)*(1-MIN(1,MAX(Assumptions!$C$27,Assumptions!$C$13*Assumptions!$C$28^(CK$5-1))*$O56)),0)</f>
        <v>0.78874920218349986</v>
      </c>
      <c r="CM56" s="93">
        <f>IF(AND($T56=1,CM$5&lt;=$H56),CL56*(1-AW56)*(1-MIN(1,MAX(Assumptions!$C$27,Assumptions!$C$13*Assumptions!$C$28^(CL$5-1))*$O56)),0)</f>
        <v>0.71959877685913676</v>
      </c>
      <c r="CN56" s="93">
        <f>IF(AND($T56=1,CN$5&lt;=$H56),CM56*(1-AX56)*(1-MIN(1,MAX(Assumptions!$C$27,Assumptions!$C$13*Assumptions!$C$28^(CM$5-1))*$O56)),0)</f>
        <v>0.66580024707763885</v>
      </c>
      <c r="CO56" s="93">
        <f>IF(AND($T56=1,CO$5&lt;=$H56),CN56*(1-AY56)*(1-MIN(1,MAX(Assumptions!$C$27,Assumptions!$C$13*Assumptions!$C$28^(CN$5-1))*$O56)),0)</f>
        <v>0.6233153752138324</v>
      </c>
      <c r="CP56" s="93">
        <f>IF(AND($T56=1,CP$5&lt;=$H56),CO56*(1-AZ56)*(1-MIN(1,MAX(Assumptions!$C$27,Assumptions!$C$13*Assumptions!$C$28^(CO$5-1))*$O56)),0)</f>
        <v>0.58932958590423901</v>
      </c>
      <c r="CQ56" s="93">
        <f>IF(AND($T56=1,CQ$5&lt;=$H56),CP56*(1-BA56)*(1-MIN(1,MAX(Assumptions!$C$27,Assumptions!$C$13*Assumptions!$C$28^(CP$5-1))*$O56)),0)</f>
        <v>0.56183394341706061</v>
      </c>
      <c r="CR56" s="93">
        <f>IF(AND($T56=1,CR$5&lt;=$H56),CQ56*(1-BB56)*(1-MIN(1,MAX(Assumptions!$C$27,Assumptions!$C$13*Assumptions!$C$28^(CQ$5-1))*$O56)),0)</f>
        <v>0.53936378924320372</v>
      </c>
      <c r="CS56" s="93">
        <f>IF(AND($T56=1,CS$5&lt;=$H56),CR56*(1-BC56)*(1-MIN(1,MAX(Assumptions!$C$27,Assumptions!$C$13*Assumptions!$C$28^(CR$5-1))*$O56)),0)</f>
        <v>0.52083079550699307</v>
      </c>
      <c r="CT56" s="93">
        <f>IF(AND($T56=1,CT$5&lt;=$H56),CS56*(1-BD56)*(1-MIN(1,MAX(Assumptions!$C$27,Assumptions!$C$13*Assumptions!$C$28^(CS$5-1))*$O56)),0)</f>
        <v>0.50541234841711702</v>
      </c>
      <c r="CU56" s="93">
        <f>IF(AND($T56=1,CU$5&lt;=$H56),CT56*(1-BE56)*(1-MIN(1,MAX(Assumptions!$C$27,Assumptions!$C$13*Assumptions!$C$28^(CT$5-1))*$O56)),0)</f>
        <v>0.49247704003549508</v>
      </c>
      <c r="CV56" s="93">
        <f>IF(AND($T56=1,CV$5&lt;=$H56),CU56*(1-BF56)*(1-MIN(1,MAX(Assumptions!$C$27,Assumptions!$C$13*Assumptions!$C$28^(CU$5-1))*$O56)),0)</f>
        <v>0.48153344287866356</v>
      </c>
      <c r="CW56" s="93">
        <f>IF(AND($T56=1,CW$5&lt;=$H56),CV56*(1-BG56)*(1-MIN(1,MAX(Assumptions!$C$27,Assumptions!$C$13*Assumptions!$C$28^(CV$5-1))*$O56)),0)</f>
        <v>0.47078619234389374</v>
      </c>
      <c r="CX56" s="93">
        <f>IF(AND($T56=1,CX$5&lt;=$H56),CW56*(1-BH56)*(1-MIN(1,MAX(Assumptions!$C$27,Assumptions!$C$13*Assumptions!$C$28^(CW$5-1))*$O56)),0)</f>
        <v>0.46018788635137664</v>
      </c>
      <c r="CY56" s="93">
        <f>IF(AND($T56=1,CY$5&lt;=$H56),CX56*(1-BI56)*(1-MIN(1,MAX(Assumptions!$C$27,Assumptions!$C$13*Assumptions!$C$28^(CX$5-1))*$O56)),0)</f>
        <v>0</v>
      </c>
      <c r="CZ56" s="93">
        <f>IF(AND($T56=1,CZ$5&lt;=$H56),CY56*(1-BJ56)*(1-MIN(1,MAX(Assumptions!$C$27,Assumptions!$C$13*Assumptions!$C$28^(CY$5-1))*$O56)),0)</f>
        <v>0</v>
      </c>
      <c r="DA56" s="93">
        <f>IF(AND($T56=1,DA$5&lt;=$H56),CZ56*(1-BK56)*(1-MIN(1,MAX(Assumptions!$C$27,Assumptions!$C$13*Assumptions!$C$28^(CZ$5-1))*$O56)),0)</f>
        <v>0</v>
      </c>
      <c r="DB56" s="93">
        <f>IF(AND($T56=1,DB$5&lt;=$H56),DA56*(1-BL56)*(1-MIN(1,MAX(Assumptions!$C$27,Assumptions!$C$13*Assumptions!$C$28^(DA$5-1))*$O56)),0)</f>
        <v>0</v>
      </c>
      <c r="DC56" s="93">
        <f>IF(AND($T56=1,DC$5&lt;=$H56),DB56*(1-BM56)*(1-MIN(1,MAX(Assumptions!$C$27,Assumptions!$C$13*Assumptions!$C$28^(DB$5-1))*$O56)),0)</f>
        <v>0</v>
      </c>
      <c r="DD56" s="93">
        <f>IF(AND($T56=1,DD$5&lt;=$H56),DC56*(1-BN56)*(1-MIN(1,MAX(Assumptions!$C$27,Assumptions!$C$13*Assumptions!$C$28^(DC$5-1))*$O56)),0)</f>
        <v>0</v>
      </c>
      <c r="DE56" s="93">
        <f>IF(AND($T56=1,DE$5&lt;=$H56),DD56*(1-BO56)*(1-MIN(1,MAX(Assumptions!$C$27,Assumptions!$C$13*Assumptions!$C$28^(DD$5-1))*$O56)),0)</f>
        <v>0</v>
      </c>
      <c r="DF56" s="93">
        <f>IF(AND($T56=1,DF$5&lt;=$H56),DE56*(1-BP56)*(1-MIN(1,MAX(Assumptions!$C$27,Assumptions!$C$13*Assumptions!$C$28^(DE$5-1))*$O56)),0)</f>
        <v>0</v>
      </c>
      <c r="DG56" s="93">
        <f>IF(AND($T56=1,DG$5&lt;=$H56),DF56*(1-BQ56)*(1-MIN(1,MAX(Assumptions!$C$27,Assumptions!$C$13*Assumptions!$C$28^(DF$5-1))*$O56)),0)</f>
        <v>0</v>
      </c>
      <c r="DH56" s="93">
        <f>IF(AND($T56=1,DH$5&lt;=$H56),DG56*(1-BR56)*(1-MIN(1,MAX(Assumptions!$C$27,Assumptions!$C$13*Assumptions!$C$28^(DG$5-1))*$O56)),0)</f>
        <v>0</v>
      </c>
      <c r="DI56" s="93">
        <f>IF(AND($T56=1,DI$5&lt;=$H56),DH56*(1-BS56)*(1-MIN(1,MAX(Assumptions!$C$27,Assumptions!$C$13*Assumptions!$C$28^(DH$5-1))*$O56)),0)</f>
        <v>0</v>
      </c>
      <c r="DJ56" s="93">
        <f>IF(AND($T56=1,DJ$5&lt;=$H56),DI56*(1-BT56)*(1-MIN(1,MAX(Assumptions!$C$27,Assumptions!$C$13*Assumptions!$C$28^(DI$5-1))*$O56)),0)</f>
        <v>0</v>
      </c>
      <c r="DK56" s="93">
        <f>IF(AND($T56=1,DK$5&lt;=$H56),DJ56*(1-BU56)*(1-MIN(1,MAX(Assumptions!$C$27,Assumptions!$C$13*Assumptions!$C$28^(DJ$5-1))*$O56)),0)</f>
        <v>0</v>
      </c>
      <c r="DL56" s="93">
        <f>IF(AND($T56=1,DL$5&lt;=$H56),DK56*(1-BV56)*(1-MIN(1,MAX(Assumptions!$C$27,Assumptions!$C$13*Assumptions!$C$28^(DK$5-1))*$O56)),0)</f>
        <v>0</v>
      </c>
      <c r="DM56" s="93">
        <f>IF(AND($T56=1,DM$5&lt;=$H56),DL56*(1-BW56)*(1-MIN(1,MAX(Assumptions!$C$27,Assumptions!$C$13*Assumptions!$C$28^(DL$5-1))*$O56)),0)</f>
        <v>0</v>
      </c>
      <c r="DN56" s="93">
        <f>IF(AND($T56=1,DN$5&lt;=$H56),DM56*(1-BX56)*(1-MIN(1,MAX(Assumptions!$C$27,Assumptions!$C$13*Assumptions!$C$28^(DM$5-1))*$O56)),0)</f>
        <v>0</v>
      </c>
      <c r="DO56" s="93">
        <f>IF(AND($T56=1,DO$5&lt;=$H56),DN56*(1-BY56)*(1-MIN(1,MAX(Assumptions!$C$27,Assumptions!$C$13*Assumptions!$C$28^(DN$5-1))*$O56)),0)</f>
        <v>0</v>
      </c>
      <c r="DP56" s="93">
        <f>IF(AND($T56=1,DP$5&lt;=$H56),DO56*(1-BZ56)*(1-MIN(1,MAX(Assumptions!$C$27,Assumptions!$C$13*Assumptions!$C$28^(DO$5-1))*$O56)),0)</f>
        <v>0</v>
      </c>
      <c r="DQ56" s="93">
        <f>IF(AND($T56=1,DQ$5&lt;=$H56),DP56*(1-CA56)*(1-MIN(1,MAX(Assumptions!$C$27,Assumptions!$C$13*Assumptions!$C$28^(DP$5-1))*$O56)),0)</f>
        <v>0</v>
      </c>
      <c r="DR56" s="93">
        <f>IF(AND($T56=1,DR$5&lt;=$H56),DQ56*(1-CB56)*(1-MIN(1,MAX(Assumptions!$C$27,Assumptions!$C$13*Assumptions!$C$28^(DQ$5-1))*$O56)),0)</f>
        <v>0</v>
      </c>
      <c r="DS56" s="93">
        <f>IF(AND($T56=1,DS$5&lt;=$H56),DR56*(1-CC56)*(1-MIN(1,MAX(Assumptions!$C$27,Assumptions!$C$13*Assumptions!$C$28^(DR$5-1))*$O56)),0)</f>
        <v>0</v>
      </c>
      <c r="DT56" s="93">
        <f>IF(AND($T56=1,DT$5&lt;=$H56),DS56*(1-CD56)*(1-MIN(1,MAX(Assumptions!$C$27,Assumptions!$C$13*Assumptions!$C$28^(DS$5-1))*$O56)),0)</f>
        <v>0</v>
      </c>
      <c r="DU56" s="93">
        <f>IF(AND($T56=1,DU$5&lt;=$H56),DT56*(1-CE56)*(1-MIN(1,MAX(Assumptions!$C$27,Assumptions!$C$13*Assumptions!$C$28^(DT$5-1))*$O56)),0)</f>
        <v>0</v>
      </c>
      <c r="DV56" s="93">
        <f>IF(AND($T56=1,DV$5&lt;=$H56),DU56*(1-CF56)*(1-MIN(1,MAX(Assumptions!$C$27,Assumptions!$C$13*Assumptions!$C$28^(DU$5-1))*$O56)),0)</f>
        <v>0</v>
      </c>
      <c r="DW56" s="94">
        <f>IF(AND($T56=1,DW$5&lt;=$H56),DV56*(1-CG56)*(1-MIN(1,MAX(Assumptions!$C$27,Assumptions!$C$13*Assumptions!$C$28^(DV$5-1))*$O56)),0)</f>
        <v>0</v>
      </c>
      <c r="DX56" s="26"/>
      <c r="DY56" s="399">
        <f>'Policy Data'!K30</f>
        <v>4</v>
      </c>
      <c r="DZ56" s="100">
        <f>'Policy Data'!L30</f>
        <v>0.95330000000000004</v>
      </c>
      <c r="EA56" s="100">
        <f>'Policy Data'!N30</f>
        <v>8.6399999999999997E-4</v>
      </c>
      <c r="EB56" s="93" cm="1">
        <f t="array" ref="EB56">IFERROR(DZ56*INDEX(Mortality!$B$4:$E$64,MATCH(D56+DY56-1,Mortality!$A$4:$A$64,0),U56)*V56,0)</f>
        <v>1.0979322264907407E-3</v>
      </c>
      <c r="EC56" s="100">
        <f>'Policy Data'!O30</f>
        <v>0</v>
      </c>
      <c r="ED56" s="400">
        <f>'Policy Data'!Q30</f>
        <v>0</v>
      </c>
    </row>
    <row r="57" spans="1:134" x14ac:dyDescent="0.3">
      <c r="A57" s="399" t="str">
        <f>'Policy Data'!A31</f>
        <v>POL100027</v>
      </c>
      <c r="B57" s="26" t="s">
        <v>426</v>
      </c>
      <c r="C57" s="100" t="str">
        <f>'Policy Data'!B31</f>
        <v>Term Life</v>
      </c>
      <c r="D57" s="100">
        <f>'Policy Data'!C31</f>
        <v>46</v>
      </c>
      <c r="E57" s="100" t="str">
        <f>'Policy Data'!D31</f>
        <v>Male</v>
      </c>
      <c r="F57" s="100" t="str">
        <f>'Policy Data'!E31</f>
        <v>Non-smoker</v>
      </c>
      <c r="G57" s="100" t="str">
        <f>'Policy Data'!F31</f>
        <v>Standard</v>
      </c>
      <c r="H57" s="100">
        <f>'Policy Data'!G31</f>
        <v>15</v>
      </c>
      <c r="I57" s="279">
        <f>'Policy Data'!H31</f>
        <v>1000000</v>
      </c>
      <c r="J57" s="100" t="str">
        <f>'Policy Data'!I31</f>
        <v>Annual</v>
      </c>
      <c r="K57" s="100" t="str">
        <f>'Policy Data'!J31</f>
        <v>Direct</v>
      </c>
      <c r="L57" s="26" t="s">
        <v>389</v>
      </c>
      <c r="M57" s="106">
        <f>'Policy Data'!R31</f>
        <v>3226.29</v>
      </c>
      <c r="N57" s="415">
        <f>Assumptions!$C$21</f>
        <v>1</v>
      </c>
      <c r="O57" s="415">
        <f>Assumptions!$C$22</f>
        <v>1</v>
      </c>
      <c r="P57" s="415">
        <f>Assumptions!$C$23</f>
        <v>1</v>
      </c>
      <c r="Q57" s="416">
        <f>Assumptions!$C$24</f>
        <v>0</v>
      </c>
      <c r="R57" s="416">
        <f>Assumptions!$C$6+Assumptions!$C$25</f>
        <v>3.5000000000000003E-2</v>
      </c>
      <c r="S57" s="416">
        <f>Assumptions!$C$15</f>
        <v>1.1000000000000001E-3</v>
      </c>
      <c r="T57" s="26">
        <f t="shared" si="18"/>
        <v>1</v>
      </c>
      <c r="U57" s="26">
        <f t="shared" si="19"/>
        <v>3</v>
      </c>
      <c r="V57" s="389">
        <f>IF($G57="Preferred",Assumptions!$C$30,IF($G57="Rated",Assumptions!$C$31,1))</f>
        <v>1</v>
      </c>
      <c r="W57" s="390">
        <f>IF($K57="Direct",Assumptions!$C$32,IF($K57="Broker",Assumptions!$C$33,IF($K57="Bancassurance",Assumptions!$C$34,Assumptions!$C$11)))+$Q57</f>
        <v>0.1</v>
      </c>
      <c r="X57" s="390">
        <f>Assumptions!$C$12+$Q57</f>
        <v>0.05</v>
      </c>
      <c r="Y57" s="131">
        <f>MIN($I57,Assumptions!$C$14)</f>
        <v>500000</v>
      </c>
      <c r="Z57" s="131">
        <f>MAX($I57-Assumptions!$C$14,0)</f>
        <v>500000</v>
      </c>
      <c r="AA57" s="389">
        <f t="shared" si="20"/>
        <v>7.3403286959678047</v>
      </c>
      <c r="AB57" s="389">
        <f t="shared" si="21"/>
        <v>2.2203390043956574E-2</v>
      </c>
      <c r="AC57" s="389">
        <f>IF($T57=1,SUMPRODUCT($CJ57:$DW57,(1+Assumptions!$C$5)^($CJ$5:$DW$5-1),(1+$R57)^(-$CJ$5:$DW$5)),0)</f>
        <v>9.171853732854931</v>
      </c>
      <c r="AD57" s="389">
        <f t="shared" si="22"/>
        <v>0.41532561354235165</v>
      </c>
      <c r="AE57" s="131">
        <f>IF($T57=1,$AB57*$Y57+(Assumptions!$C$9/(1+$R57)+Assumptions!$C$10*$AC57)*$P57+$S57*$Z57*$AA57,0)</f>
        <v>18026.24884337997</v>
      </c>
      <c r="AF57" s="131">
        <f>IF($T57=1,IF($AA57-$AD57-Assumptions!$C$16*$AA57&gt;0,$AE57/($AA57-$AD57-Assumptions!$C$16*$AA57)*IF($J57="Monthly",1+Assumptions!$C$29,1),"n.a."),"")</f>
        <v>2844.2542945141181</v>
      </c>
      <c r="AG57" s="131">
        <f t="shared" si="23"/>
        <v>3226.29</v>
      </c>
      <c r="AH57" s="131">
        <f t="shared" si="24"/>
        <v>23682.02906851397</v>
      </c>
      <c r="AI57" s="131">
        <f t="shared" si="25"/>
        <v>4315.8193514184459</v>
      </c>
      <c r="AJ57" s="390">
        <f t="shared" si="26"/>
        <v>0.18224026914807179</v>
      </c>
      <c r="AK57" s="389">
        <f t="shared" si="27"/>
        <v>1.1343184068396193</v>
      </c>
      <c r="AL57" s="131">
        <f t="shared" si="28"/>
        <v>11101.695021978287</v>
      </c>
      <c r="AM57" s="131">
        <f t="shared" si="29"/>
        <v>4037.1807827822927</v>
      </c>
      <c r="AN57" s="131">
        <f t="shared" si="30"/>
        <v>7064.5142391959944</v>
      </c>
      <c r="AO57" s="131">
        <f t="shared" si="31"/>
        <v>-2748.6948877775485</v>
      </c>
      <c r="AP57" s="26" t="str">
        <f t="shared" si="32"/>
        <v>40-49</v>
      </c>
      <c r="AQ57" s="26" t="str">
        <f t="shared" si="33"/>
        <v>500k-1m</v>
      </c>
      <c r="AR57" s="26" t="str">
        <f>IF($T57=1,IF($AI57&lt;0,"Loss-making",IF($AJ57&lt;Assumptions!$C$16-0.00001,"Below target","At/above target")),"Excluded")</f>
        <v>At/above target</v>
      </c>
      <c r="AS57" s="103">
        <f t="shared" si="34"/>
        <v>4315.8194084184461</v>
      </c>
      <c r="AT57" s="26"/>
      <c r="AU57" s="419">
        <f>IF(AND($T57=1,AU$5&lt;=$H57),INDEX(Mortality!$B$4:$E$64,MATCH($D57+AU$5-1,Mortality!$A$4:$A$64,0),$U57)*$V57*$N57,0)</f>
        <v>1.8612610579820999E-3</v>
      </c>
      <c r="AV57" s="93">
        <f>IF(AND($T57=1,AV$5&lt;=$H57),INDEX(Mortality!$B$4:$E$64,MATCH($D57+AV$5-1,Mortality!$A$4:$A$64,0),$U57)*$V57*$N57,0)</f>
        <v>2.0162800336790201E-3</v>
      </c>
      <c r="AW57" s="93">
        <f>IF(AND($T57=1,AW$5&lt;=$H57),INDEX(Mortality!$B$4:$E$64,MATCH($D57+AW$5-1,Mortality!$A$4:$A$64,0),$U57)*$V57*$N57,0)</f>
        <v>2.1842100852957199E-3</v>
      </c>
      <c r="AX57" s="93">
        <f>IF(AND($T57=1,AX$5&lt;=$H57),INDEX(Mortality!$B$4:$E$64,MATCH($D57+AX$5-1,Mortality!$A$4:$A$64,0),$U57)*$V57*$N57,0)</f>
        <v>2.3661265384860701E-3</v>
      </c>
      <c r="AY57" s="93">
        <f>IF(AND($T57=1,AY$5&lt;=$H57),INDEX(Mortality!$B$4:$E$64,MATCH($D57+AY$5-1,Mortality!$A$4:$A$64,0),$U57)*$V57*$N57,0)</f>
        <v>2.5631942796244698E-3</v>
      </c>
      <c r="AZ57" s="93">
        <f>IF(AND($T57=1,AZ$5&lt;=$H57),INDEX(Mortality!$B$4:$E$64,MATCH($D57+AZ$5-1,Mortality!$A$4:$A$64,0),$U57)*$V57*$N57,0)</f>
        <v>2.7766752150556202E-3</v>
      </c>
      <c r="BA57" s="93">
        <f>IF(AND($T57=1,BA$5&lt;=$H57),INDEX(Mortality!$B$4:$E$64,MATCH($D57+BA$5-1,Mortality!$A$4:$A$64,0),$U57)*$V57*$N57,0)</f>
        <v>3.0079363516033399E-3</v>
      </c>
      <c r="BB57" s="93">
        <f>IF(AND($T57=1,BB$5&lt;=$H57),INDEX(Mortality!$B$4:$E$64,MATCH($D57+BB$5-1,Mortality!$A$4:$A$64,0),$U57)*$V57*$N57,0)</f>
        <v>3.2584585500813001E-3</v>
      </c>
      <c r="BC57" s="93">
        <f>IF(AND($T57=1,BC$5&lt;=$H57),INDEX(Mortality!$B$4:$E$64,MATCH($D57+BC$5-1,Mortality!$A$4:$A$64,0),$U57)*$V57*$N57,0)</f>
        <v>3.5298460078579601E-3</v>
      </c>
      <c r="BD57" s="93">
        <f>IF(AND($T57=1,BD$5&lt;=$H57),INDEX(Mortality!$B$4:$E$64,MATCH($D57+BD$5-1,Mortality!$A$4:$A$64,0),$U57)*$V57*$N57,0)</f>
        <v>3.8238365311966099E-3</v>
      </c>
      <c r="BE57" s="93">
        <f>IF(AND($T57=1,BE$5&lt;=$H57),INDEX(Mortality!$B$4:$E$64,MATCH($D57+BE$5-1,Mortality!$A$4:$A$64,0),$U57)*$V57*$N57,0)</f>
        <v>4.1423126631483596E-3</v>
      </c>
      <c r="BF57" s="93">
        <f>IF(AND($T57=1,BF$5&lt;=$H57),INDEX(Mortality!$B$4:$E$64,MATCH($D57+BF$5-1,Mortality!$A$4:$A$64,0),$U57)*$V57*$N57,0)</f>
        <v>4.4873137382548398E-3</v>
      </c>
      <c r="BG57" s="93">
        <f>IF(AND($T57=1,BG$5&lt;=$H57),INDEX(Mortality!$B$4:$E$64,MATCH($D57+BG$5-1,Mortality!$A$4:$A$64,0),$U57)*$V57*$N57,0)</f>
        <v>4.8610489412516398E-3</v>
      </c>
      <c r="BH57" s="93">
        <f>IF(AND($T57=1,BH$5&lt;=$H57),INDEX(Mortality!$B$4:$E$64,MATCH($D57+BH$5-1,Mortality!$A$4:$A$64,0),$U57)*$V57*$N57,0)</f>
        <v>5.2659114533929498E-3</v>
      </c>
      <c r="BI57" s="93">
        <f>IF(AND($T57=1,BI$5&lt;=$H57),INDEX(Mortality!$B$4:$E$64,MATCH($D57+BI$5-1,Mortality!$A$4:$A$64,0),$U57)*$V57*$N57,0)</f>
        <v>5.7044937769820296E-3</v>
      </c>
      <c r="BJ57" s="93">
        <f>IF(AND($T57=1,BJ$5&lt;=$H57),INDEX(Mortality!$B$4:$E$64,MATCH($D57+BJ$5-1,Mortality!$A$4:$A$64,0),$U57)*$V57*$N57,0)</f>
        <v>0</v>
      </c>
      <c r="BK57" s="93">
        <f>IF(AND($T57=1,BK$5&lt;=$H57),INDEX(Mortality!$B$4:$E$64,MATCH($D57+BK$5-1,Mortality!$A$4:$A$64,0),$U57)*$V57*$N57,0)</f>
        <v>0</v>
      </c>
      <c r="BL57" s="93">
        <f>IF(AND($T57=1,BL$5&lt;=$H57),INDEX(Mortality!$B$4:$E$64,MATCH($D57+BL$5-1,Mortality!$A$4:$A$64,0),$U57)*$V57*$N57,0)</f>
        <v>0</v>
      </c>
      <c r="BM57" s="93">
        <f>IF(AND($T57=1,BM$5&lt;=$H57),INDEX(Mortality!$B$4:$E$64,MATCH($D57+BM$5-1,Mortality!$A$4:$A$64,0),$U57)*$V57*$N57,0)</f>
        <v>0</v>
      </c>
      <c r="BN57" s="93">
        <f>IF(AND($T57=1,BN$5&lt;=$H57),INDEX(Mortality!$B$4:$E$64,MATCH($D57+BN$5-1,Mortality!$A$4:$A$64,0),$U57)*$V57*$N57,0)</f>
        <v>0</v>
      </c>
      <c r="BO57" s="93">
        <f>IF(AND($T57=1,BO$5&lt;=$H57),INDEX(Mortality!$B$4:$E$64,MATCH($D57+BO$5-1,Mortality!$A$4:$A$64,0),$U57)*$V57*$N57,0)</f>
        <v>0</v>
      </c>
      <c r="BP57" s="93">
        <f>IF(AND($T57=1,BP$5&lt;=$H57),INDEX(Mortality!$B$4:$E$64,MATCH($D57+BP$5-1,Mortality!$A$4:$A$64,0),$U57)*$V57*$N57,0)</f>
        <v>0</v>
      </c>
      <c r="BQ57" s="93">
        <f>IF(AND($T57=1,BQ$5&lt;=$H57),INDEX(Mortality!$B$4:$E$64,MATCH($D57+BQ$5-1,Mortality!$A$4:$A$64,0),$U57)*$V57*$N57,0)</f>
        <v>0</v>
      </c>
      <c r="BR57" s="93">
        <f>IF(AND($T57=1,BR$5&lt;=$H57),INDEX(Mortality!$B$4:$E$64,MATCH($D57+BR$5-1,Mortality!$A$4:$A$64,0),$U57)*$V57*$N57,0)</f>
        <v>0</v>
      </c>
      <c r="BS57" s="93">
        <f>IF(AND($T57=1,BS$5&lt;=$H57),INDEX(Mortality!$B$4:$E$64,MATCH($D57+BS$5-1,Mortality!$A$4:$A$64,0),$U57)*$V57*$N57,0)</f>
        <v>0</v>
      </c>
      <c r="BT57" s="93">
        <f>IF(AND($T57=1,BT$5&lt;=$H57),INDEX(Mortality!$B$4:$E$64,MATCH($D57+BT$5-1,Mortality!$A$4:$A$64,0),$U57)*$V57*$N57,0)</f>
        <v>0</v>
      </c>
      <c r="BU57" s="93">
        <f>IF(AND($T57=1,BU$5&lt;=$H57),INDEX(Mortality!$B$4:$E$64,MATCH($D57+BU$5-1,Mortality!$A$4:$A$64,0),$U57)*$V57*$N57,0)</f>
        <v>0</v>
      </c>
      <c r="BV57" s="93">
        <f>IF(AND($T57=1,BV$5&lt;=$H57),INDEX(Mortality!$B$4:$E$64,MATCH($D57+BV$5-1,Mortality!$A$4:$A$64,0),$U57)*$V57*$N57,0)</f>
        <v>0</v>
      </c>
      <c r="BW57" s="93">
        <f>IF(AND($T57=1,BW$5&lt;=$H57),INDEX(Mortality!$B$4:$E$64,MATCH($D57+BW$5-1,Mortality!$A$4:$A$64,0),$U57)*$V57*$N57,0)</f>
        <v>0</v>
      </c>
      <c r="BX57" s="93">
        <f>IF(AND($T57=1,BX$5&lt;=$H57),INDEX(Mortality!$B$4:$E$64,MATCH($D57+BX$5-1,Mortality!$A$4:$A$64,0),$U57)*$V57*$N57,0)</f>
        <v>0</v>
      </c>
      <c r="BY57" s="93">
        <f>IF(AND($T57=1,BY$5&lt;=$H57),INDEX(Mortality!$B$4:$E$64,MATCH($D57+BY$5-1,Mortality!$A$4:$A$64,0),$U57)*$V57*$N57,0)</f>
        <v>0</v>
      </c>
      <c r="BZ57" s="93">
        <f>IF(AND($T57=1,BZ$5&lt;=$H57),INDEX(Mortality!$B$4:$E$64,MATCH($D57+BZ$5-1,Mortality!$A$4:$A$64,0),$U57)*$V57*$N57,0)</f>
        <v>0</v>
      </c>
      <c r="CA57" s="93">
        <f>IF(AND($T57=1,CA$5&lt;=$H57),INDEX(Mortality!$B$4:$E$64,MATCH($D57+CA$5-1,Mortality!$A$4:$A$64,0),$U57)*$V57*$N57,0)</f>
        <v>0</v>
      </c>
      <c r="CB57" s="93">
        <f>IF(AND($T57=1,CB$5&lt;=$H57),INDEX(Mortality!$B$4:$E$64,MATCH($D57+CB$5-1,Mortality!$A$4:$A$64,0),$U57)*$V57*$N57,0)</f>
        <v>0</v>
      </c>
      <c r="CC57" s="93">
        <f>IF(AND($T57=1,CC$5&lt;=$H57),INDEX(Mortality!$B$4:$E$64,MATCH($D57+CC$5-1,Mortality!$A$4:$A$64,0),$U57)*$V57*$N57,0)</f>
        <v>0</v>
      </c>
      <c r="CD57" s="93">
        <f>IF(AND($T57=1,CD$5&lt;=$H57),INDEX(Mortality!$B$4:$E$64,MATCH($D57+CD$5-1,Mortality!$A$4:$A$64,0),$U57)*$V57*$N57,0)</f>
        <v>0</v>
      </c>
      <c r="CE57" s="93">
        <f>IF(AND($T57=1,CE$5&lt;=$H57),INDEX(Mortality!$B$4:$E$64,MATCH($D57+CE$5-1,Mortality!$A$4:$A$64,0),$U57)*$V57*$N57,0)</f>
        <v>0</v>
      </c>
      <c r="CF57" s="93">
        <f>IF(AND($T57=1,CF$5&lt;=$H57),INDEX(Mortality!$B$4:$E$64,MATCH($D57+CF$5-1,Mortality!$A$4:$A$64,0),$U57)*$V57*$N57,0)</f>
        <v>0</v>
      </c>
      <c r="CG57" s="93">
        <f>IF(AND($T57=1,CG$5&lt;=$H57),INDEX(Mortality!$B$4:$E$64,MATCH($D57+CG$5-1,Mortality!$A$4:$A$64,0),$U57)*$V57*$N57,0)</f>
        <v>0</v>
      </c>
      <c r="CH57" s="94">
        <f>IF(AND($T57=1,CH$5&lt;=$H57),INDEX(Mortality!$B$4:$E$64,MATCH($D57+CH$5-1,Mortality!$A$4:$A$64,0),$U57)*$V57*$N57,0)</f>
        <v>0</v>
      </c>
      <c r="CI57" s="26"/>
      <c r="CJ57" s="419">
        <f t="shared" si="35"/>
        <v>1</v>
      </c>
      <c r="CK57" s="93">
        <f>IF(AND($T57=1,CK$5&lt;=$H57),CJ57*(1-AU57)*(1-MIN(1,MAX(Assumptions!$C$27,Assumptions!$C$13*Assumptions!$C$28^(CJ$5-1))*$O57)),0)</f>
        <v>0.87836209026897571</v>
      </c>
      <c r="CL57" s="93">
        <f>IF(AND($T57=1,CL$5&lt;=$H57),CK57*(1-AV57)*(1-MIN(1,MAX(Assumptions!$C$27,Assumptions!$C$13*Assumptions!$C$28^(CK$5-1))*$O57)),0)</f>
        <v>0.78717877755897525</v>
      </c>
      <c r="CM57" s="93">
        <f>IF(AND($T57=1,CM$5&lt;=$H57),CL57*(1-AW57)*(1-MIN(1,MAX(Assumptions!$C$27,Assumptions!$C$13*Assumptions!$C$28^(CL$5-1))*$O57)),0)</f>
        <v>0.71736008256335371</v>
      </c>
      <c r="CN57" s="93">
        <f>IF(AND($T57=1,CN$5&lt;=$H57),CM57*(1-AX57)*(1-MIN(1,MAX(Assumptions!$C$27,Assumptions!$C$13*Assumptions!$C$28^(CM$5-1))*$O57)),0)</f>
        <v>0.66292195384354757</v>
      </c>
      <c r="CO57" s="93">
        <f>IF(AND($T57=1,CO$5&lt;=$H57),CN57*(1-AY57)*(1-MIN(1,MAX(Assumptions!$C$27,Assumptions!$C$13*Assumptions!$C$28^(CN$5-1))*$O57)),0)</f>
        <v>0.61980326672547348</v>
      </c>
      <c r="CP57" s="93">
        <f>IF(AND($T57=1,CP$5&lt;=$H57),CO57*(1-AZ57)*(1-MIN(1,MAX(Assumptions!$C$27,Assumptions!$C$13*Assumptions!$C$28^(CO$5-1))*$O57)),0)</f>
        <v>0.58517270771325647</v>
      </c>
      <c r="CQ57" s="93">
        <f>IF(AND($T57=1,CQ$5&lt;=$H57),CP57*(1-BA57)*(1-MIN(1,MAX(Assumptions!$C$27,Assumptions!$C$13*Assumptions!$C$28^(CP$5-1))*$O57)),0)</f>
        <v>0.55700849438246758</v>
      </c>
      <c r="CR57" s="93">
        <f>IF(AND($T57=1,CR$5&lt;=$H57),CQ57*(1-BB57)*(1-MIN(1,MAX(Assumptions!$C$27,Assumptions!$C$13*Assumptions!$C$28^(CQ$5-1))*$O57)),0)</f>
        <v>0.53383562720839883</v>
      </c>
      <c r="CS57" s="93">
        <f>IF(AND($T57=1,CS$5&lt;=$H57),CR57*(1-BC57)*(1-MIN(1,MAX(Assumptions!$C$27,Assumptions!$C$13*Assumptions!$C$28^(CR$5-1))*$O57)),0)</f>
        <v>0.5145570679593624</v>
      </c>
      <c r="CT57" s="93">
        <f>IF(AND($T57=1,CT$5&lt;=$H57),CS57*(1-BD57)*(1-MIN(1,MAX(Assumptions!$C$27,Assumptions!$C$13*Assumptions!$C$28^(CS$5-1))*$O57)),0)</f>
        <v>0.49834255647650422</v>
      </c>
      <c r="CU57" s="93">
        <f>IF(AND($T57=1,CU$5&lt;=$H57),CT57*(1-BE57)*(1-MIN(1,MAX(Assumptions!$C$27,Assumptions!$C$13*Assumptions!$C$28^(CT$5-1))*$O57)),0)</f>
        <v>0.48455372723836765</v>
      </c>
      <c r="CV57" s="93">
        <f>IF(AND($T57=1,CV$5&lt;=$H57),CU57*(1-BF57)*(1-MIN(1,MAX(Assumptions!$C$27,Assumptions!$C$13*Assumptions!$C$28^(CU$5-1))*$O57)),0)</f>
        <v>0.47269263097158754</v>
      </c>
      <c r="CW57" s="93">
        <f>IF(AND($T57=1,CW$5&lt;=$H57),CV57*(1-BG57)*(1-MIN(1,MAX(Assumptions!$C$27,Assumptions!$C$13*Assumptions!$C$28^(CV$5-1))*$O57)),0)</f>
        <v>0.46098695197910033</v>
      </c>
      <c r="CX57" s="93">
        <f>IF(AND($T57=1,CX$5&lt;=$H57),CW57*(1-BH57)*(1-MIN(1,MAX(Assumptions!$C$27,Assumptions!$C$13*Assumptions!$C$28^(CW$5-1))*$O57)),0)</f>
        <v>0.44938824679863271</v>
      </c>
      <c r="CY57" s="93">
        <f>IF(AND($T57=1,CY$5&lt;=$H57),CX57*(1-BI57)*(1-MIN(1,MAX(Assumptions!$C$27,Assumptions!$C$13*Assumptions!$C$28^(CX$5-1))*$O57)),0)</f>
        <v>0</v>
      </c>
      <c r="CZ57" s="93">
        <f>IF(AND($T57=1,CZ$5&lt;=$H57),CY57*(1-BJ57)*(1-MIN(1,MAX(Assumptions!$C$27,Assumptions!$C$13*Assumptions!$C$28^(CY$5-1))*$O57)),0)</f>
        <v>0</v>
      </c>
      <c r="DA57" s="93">
        <f>IF(AND($T57=1,DA$5&lt;=$H57),CZ57*(1-BK57)*(1-MIN(1,MAX(Assumptions!$C$27,Assumptions!$C$13*Assumptions!$C$28^(CZ$5-1))*$O57)),0)</f>
        <v>0</v>
      </c>
      <c r="DB57" s="93">
        <f>IF(AND($T57=1,DB$5&lt;=$H57),DA57*(1-BL57)*(1-MIN(1,MAX(Assumptions!$C$27,Assumptions!$C$13*Assumptions!$C$28^(DA$5-1))*$O57)),0)</f>
        <v>0</v>
      </c>
      <c r="DC57" s="93">
        <f>IF(AND($T57=1,DC$5&lt;=$H57),DB57*(1-BM57)*(1-MIN(1,MAX(Assumptions!$C$27,Assumptions!$C$13*Assumptions!$C$28^(DB$5-1))*$O57)),0)</f>
        <v>0</v>
      </c>
      <c r="DD57" s="93">
        <f>IF(AND($T57=1,DD$5&lt;=$H57),DC57*(1-BN57)*(1-MIN(1,MAX(Assumptions!$C$27,Assumptions!$C$13*Assumptions!$C$28^(DC$5-1))*$O57)),0)</f>
        <v>0</v>
      </c>
      <c r="DE57" s="93">
        <f>IF(AND($T57=1,DE$5&lt;=$H57),DD57*(1-BO57)*(1-MIN(1,MAX(Assumptions!$C$27,Assumptions!$C$13*Assumptions!$C$28^(DD$5-1))*$O57)),0)</f>
        <v>0</v>
      </c>
      <c r="DF57" s="93">
        <f>IF(AND($T57=1,DF$5&lt;=$H57),DE57*(1-BP57)*(1-MIN(1,MAX(Assumptions!$C$27,Assumptions!$C$13*Assumptions!$C$28^(DE$5-1))*$O57)),0)</f>
        <v>0</v>
      </c>
      <c r="DG57" s="93">
        <f>IF(AND($T57=1,DG$5&lt;=$H57),DF57*(1-BQ57)*(1-MIN(1,MAX(Assumptions!$C$27,Assumptions!$C$13*Assumptions!$C$28^(DF$5-1))*$O57)),0)</f>
        <v>0</v>
      </c>
      <c r="DH57" s="93">
        <f>IF(AND($T57=1,DH$5&lt;=$H57),DG57*(1-BR57)*(1-MIN(1,MAX(Assumptions!$C$27,Assumptions!$C$13*Assumptions!$C$28^(DG$5-1))*$O57)),0)</f>
        <v>0</v>
      </c>
      <c r="DI57" s="93">
        <f>IF(AND($T57=1,DI$5&lt;=$H57),DH57*(1-BS57)*(1-MIN(1,MAX(Assumptions!$C$27,Assumptions!$C$13*Assumptions!$C$28^(DH$5-1))*$O57)),0)</f>
        <v>0</v>
      </c>
      <c r="DJ57" s="93">
        <f>IF(AND($T57=1,DJ$5&lt;=$H57),DI57*(1-BT57)*(1-MIN(1,MAX(Assumptions!$C$27,Assumptions!$C$13*Assumptions!$C$28^(DI$5-1))*$O57)),0)</f>
        <v>0</v>
      </c>
      <c r="DK57" s="93">
        <f>IF(AND($T57=1,DK$5&lt;=$H57),DJ57*(1-BU57)*(1-MIN(1,MAX(Assumptions!$C$27,Assumptions!$C$13*Assumptions!$C$28^(DJ$5-1))*$O57)),0)</f>
        <v>0</v>
      </c>
      <c r="DL57" s="93">
        <f>IF(AND($T57=1,DL$5&lt;=$H57),DK57*(1-BV57)*(1-MIN(1,MAX(Assumptions!$C$27,Assumptions!$C$13*Assumptions!$C$28^(DK$5-1))*$O57)),0)</f>
        <v>0</v>
      </c>
      <c r="DM57" s="93">
        <f>IF(AND($T57=1,DM$5&lt;=$H57),DL57*(1-BW57)*(1-MIN(1,MAX(Assumptions!$C$27,Assumptions!$C$13*Assumptions!$C$28^(DL$5-1))*$O57)),0)</f>
        <v>0</v>
      </c>
      <c r="DN57" s="93">
        <f>IF(AND($T57=1,DN$5&lt;=$H57),DM57*(1-BX57)*(1-MIN(1,MAX(Assumptions!$C$27,Assumptions!$C$13*Assumptions!$C$28^(DM$5-1))*$O57)),0)</f>
        <v>0</v>
      </c>
      <c r="DO57" s="93">
        <f>IF(AND($T57=1,DO$5&lt;=$H57),DN57*(1-BY57)*(1-MIN(1,MAX(Assumptions!$C$27,Assumptions!$C$13*Assumptions!$C$28^(DN$5-1))*$O57)),0)</f>
        <v>0</v>
      </c>
      <c r="DP57" s="93">
        <f>IF(AND($T57=1,DP$5&lt;=$H57),DO57*(1-BZ57)*(1-MIN(1,MAX(Assumptions!$C$27,Assumptions!$C$13*Assumptions!$C$28^(DO$5-1))*$O57)),0)</f>
        <v>0</v>
      </c>
      <c r="DQ57" s="93">
        <f>IF(AND($T57=1,DQ$5&lt;=$H57),DP57*(1-CA57)*(1-MIN(1,MAX(Assumptions!$C$27,Assumptions!$C$13*Assumptions!$C$28^(DP$5-1))*$O57)),0)</f>
        <v>0</v>
      </c>
      <c r="DR57" s="93">
        <f>IF(AND($T57=1,DR$5&lt;=$H57),DQ57*(1-CB57)*(1-MIN(1,MAX(Assumptions!$C$27,Assumptions!$C$13*Assumptions!$C$28^(DQ$5-1))*$O57)),0)</f>
        <v>0</v>
      </c>
      <c r="DS57" s="93">
        <f>IF(AND($T57=1,DS$5&lt;=$H57),DR57*(1-CC57)*(1-MIN(1,MAX(Assumptions!$C$27,Assumptions!$C$13*Assumptions!$C$28^(DR$5-1))*$O57)),0)</f>
        <v>0</v>
      </c>
      <c r="DT57" s="93">
        <f>IF(AND($T57=1,DT$5&lt;=$H57),DS57*(1-CD57)*(1-MIN(1,MAX(Assumptions!$C$27,Assumptions!$C$13*Assumptions!$C$28^(DS$5-1))*$O57)),0)</f>
        <v>0</v>
      </c>
      <c r="DU57" s="93">
        <f>IF(AND($T57=1,DU$5&lt;=$H57),DT57*(1-CE57)*(1-MIN(1,MAX(Assumptions!$C$27,Assumptions!$C$13*Assumptions!$C$28^(DT$5-1))*$O57)),0)</f>
        <v>0</v>
      </c>
      <c r="DV57" s="93">
        <f>IF(AND($T57=1,DV$5&lt;=$H57),DU57*(1-CF57)*(1-MIN(1,MAX(Assumptions!$C$27,Assumptions!$C$13*Assumptions!$C$28^(DU$5-1))*$O57)),0)</f>
        <v>0</v>
      </c>
      <c r="DW57" s="94">
        <f>IF(AND($T57=1,DW$5&lt;=$H57),DV57*(1-CG57)*(1-MIN(1,MAX(Assumptions!$C$27,Assumptions!$C$13*Assumptions!$C$28^(DV$5-1))*$O57)),0)</f>
        <v>0</v>
      </c>
      <c r="DX57" s="26"/>
      <c r="DY57" s="399">
        <f>'Policy Data'!K31</f>
        <v>2</v>
      </c>
      <c r="DZ57" s="100">
        <f>'Policy Data'!L31</f>
        <v>0.87219999999999998</v>
      </c>
      <c r="EA57" s="100">
        <f>'Policy Data'!N31</f>
        <v>1.6230000000000001E-3</v>
      </c>
      <c r="EB57" s="93" cm="1">
        <f t="array" ref="EB57">IFERROR(DZ57*INDEX(Mortality!$B$4:$E$64,MATCH(D57+DY57-1,Mortality!$A$4:$A$64,0),U57)*V57,0)</f>
        <v>1.7585994453748414E-3</v>
      </c>
      <c r="EC57" s="100">
        <f>'Policy Data'!O31</f>
        <v>0</v>
      </c>
      <c r="ED57" s="400">
        <f>'Policy Data'!Q31</f>
        <v>0</v>
      </c>
    </row>
    <row r="58" spans="1:134" x14ac:dyDescent="0.3">
      <c r="A58" s="399" t="str">
        <f>'Policy Data'!A32</f>
        <v>POL100028</v>
      </c>
      <c r="B58" s="26" t="s">
        <v>426</v>
      </c>
      <c r="C58" s="100" t="str">
        <f>'Policy Data'!B32</f>
        <v>Term Life</v>
      </c>
      <c r="D58" s="100">
        <f>'Policy Data'!C32</f>
        <v>35</v>
      </c>
      <c r="E58" s="100" t="str">
        <f>'Policy Data'!D32</f>
        <v>Male</v>
      </c>
      <c r="F58" s="100" t="str">
        <f>'Policy Data'!E32</f>
        <v>Non-smoker</v>
      </c>
      <c r="G58" s="100" t="str">
        <f>'Policy Data'!F32</f>
        <v>Standard</v>
      </c>
      <c r="H58" s="100">
        <f>'Policy Data'!G32</f>
        <v>20</v>
      </c>
      <c r="I58" s="279">
        <f>'Policy Data'!H32</f>
        <v>250000</v>
      </c>
      <c r="J58" s="100" t="str">
        <f>'Policy Data'!I32</f>
        <v>Annual</v>
      </c>
      <c r="K58" s="100" t="str">
        <f>'Policy Data'!J32</f>
        <v>Bancassurance</v>
      </c>
      <c r="L58" s="26" t="s">
        <v>389</v>
      </c>
      <c r="M58" s="106">
        <f>'Policy Data'!R32</f>
        <v>1200</v>
      </c>
      <c r="N58" s="415">
        <f>Assumptions!$C$21</f>
        <v>1</v>
      </c>
      <c r="O58" s="415">
        <f>Assumptions!$C$22</f>
        <v>1</v>
      </c>
      <c r="P58" s="415">
        <f>Assumptions!$C$23</f>
        <v>1</v>
      </c>
      <c r="Q58" s="416">
        <f>Assumptions!$C$24</f>
        <v>0</v>
      </c>
      <c r="R58" s="416">
        <f>Assumptions!$C$6+Assumptions!$C$25</f>
        <v>3.5000000000000003E-2</v>
      </c>
      <c r="S58" s="416">
        <f>Assumptions!$C$15</f>
        <v>1.1000000000000001E-3</v>
      </c>
      <c r="T58" s="26">
        <f t="shared" si="18"/>
        <v>1</v>
      </c>
      <c r="U58" s="26">
        <f t="shared" si="19"/>
        <v>3</v>
      </c>
      <c r="V58" s="389">
        <f>IF($G58="Preferred",Assumptions!$C$30,IF($G58="Rated",Assumptions!$C$31,1))</f>
        <v>1</v>
      </c>
      <c r="W58" s="390">
        <f>IF($K58="Direct",Assumptions!$C$32,IF($K58="Broker",Assumptions!$C$33,IF($K58="Bancassurance",Assumptions!$C$34,Assumptions!$C$11)))+$Q58</f>
        <v>0.2</v>
      </c>
      <c r="X58" s="390">
        <f>Assumptions!$C$12+$Q58</f>
        <v>0.05</v>
      </c>
      <c r="Y58" s="131">
        <f>MIN($I58,Assumptions!$C$14)</f>
        <v>250000</v>
      </c>
      <c r="Z58" s="131">
        <f>MAX($I58-Assumptions!$C$14,0)</f>
        <v>0</v>
      </c>
      <c r="AA58" s="389">
        <f t="shared" si="20"/>
        <v>8.5652881404817638</v>
      </c>
      <c r="AB58" s="389">
        <f t="shared" si="21"/>
        <v>1.2804474589065813E-2</v>
      </c>
      <c r="AC58" s="389">
        <f>IF($T58=1,SUMPRODUCT($CJ58:$DW58,(1+Assumptions!$C$5)^($CJ$5:$DW$5-1),(1+$R58)^(-$CJ$5:$DW$5)),0)</f>
        <v>11.521307577939176</v>
      </c>
      <c r="AD58" s="389">
        <f t="shared" si="22"/>
        <v>0.57319194325597222</v>
      </c>
      <c r="AE58" s="131">
        <f>IF($T58=1,$AB58*$Y58+(Assumptions!$C$9/(1+$R58)+Assumptions!$C$10*$AC58)*$P58+$S58*$Z58*$AA58,0)</f>
        <v>6605.371531804376</v>
      </c>
      <c r="AF58" s="131">
        <f>IF($T58=1,IF($AA58-$AD58-Assumptions!$C$16*$AA58&gt;0,$AE58/($AA58-$AD58-Assumptions!$C$16*$AA58)*IF($J58="Monthly",1+Assumptions!$C$29,1),"n.a."),"")</f>
        <v>903.99428043059413</v>
      </c>
      <c r="AG58" s="131">
        <f t="shared" si="23"/>
        <v>1200</v>
      </c>
      <c r="AH58" s="131">
        <f t="shared" si="24"/>
        <v>10278.345768578116</v>
      </c>
      <c r="AI58" s="131">
        <f t="shared" si="25"/>
        <v>2985.1439048665743</v>
      </c>
      <c r="AJ58" s="390">
        <f t="shared" si="26"/>
        <v>0.29043038365107782</v>
      </c>
      <c r="AK58" s="389">
        <f t="shared" si="27"/>
        <v>1.3274420269876168</v>
      </c>
      <c r="AL58" s="131">
        <f t="shared" si="28"/>
        <v>0</v>
      </c>
      <c r="AM58" s="131">
        <f t="shared" si="29"/>
        <v>0</v>
      </c>
      <c r="AN58" s="131">
        <f t="shared" si="30"/>
        <v>0</v>
      </c>
      <c r="AO58" s="131">
        <f t="shared" si="31"/>
        <v>2985.1439048665743</v>
      </c>
      <c r="AP58" s="26" t="str">
        <f t="shared" si="32"/>
        <v>30-39</v>
      </c>
      <c r="AQ58" s="26" t="str">
        <f t="shared" si="33"/>
        <v>Up to 250k</v>
      </c>
      <c r="AR58" s="26" t="str">
        <f>IF($T58=1,IF($AI58&lt;0,"Loss-making",IF($AJ58&lt;Assumptions!$C$16-0.00001,"Below target","At/above target")),"Excluded")</f>
        <v>At/above target</v>
      </c>
      <c r="AS58" s="103">
        <f t="shared" si="34"/>
        <v>2985.1439628665744</v>
      </c>
      <c r="AT58" s="26"/>
      <c r="AU58" s="419">
        <f>IF(AND($T58=1,AU$5&lt;=$H58),INDEX(Mortality!$B$4:$E$64,MATCH($D58+AU$5-1,Mortality!$A$4:$A$64,0),$U58)*$V58*$N58,0)</f>
        <v>7.7201928102935699E-4</v>
      </c>
      <c r="AV58" s="93">
        <f>IF(AND($T58=1,AV$5&lt;=$H58),INDEX(Mortality!$B$4:$E$64,MATCH($D58+AV$5-1,Mortality!$A$4:$A$64,0),$U58)*$V58*$N58,0)</f>
        <v>8.3631850313482196E-4</v>
      </c>
      <c r="AW58" s="93">
        <f>IF(AND($T58=1,AW$5&lt;=$H58),INDEX(Mortality!$B$4:$E$64,MATCH($D58+AW$5-1,Mortality!$A$4:$A$64,0),$U58)*$V58*$N58,0)</f>
        <v>9.0597301890323197E-4</v>
      </c>
      <c r="AX58" s="93">
        <f>IF(AND($T58=1,AX$5&lt;=$H58),INDEX(Mortality!$B$4:$E$64,MATCH($D58+AX$5-1,Mortality!$A$4:$A$64,0),$U58)*$V58*$N58,0)</f>
        <v>9.8142885504031189E-4</v>
      </c>
      <c r="AY58" s="93">
        <f>IF(AND($T58=1,AY$5&lt;=$H58),INDEX(Mortality!$B$4:$E$64,MATCH($D58+AY$5-1,Mortality!$A$4:$A$64,0),$U58)*$V58*$N58,0)</f>
        <v>1.06316918650821E-3</v>
      </c>
      <c r="AZ58" s="93">
        <f>IF(AND($T58=1,AZ$5&lt;=$H58),INDEX(Mortality!$B$4:$E$64,MATCH($D58+AZ$5-1,Mortality!$A$4:$A$64,0),$U58)*$V58*$N58,0)</f>
        <v>1.1517174304948501E-3</v>
      </c>
      <c r="BA58" s="93">
        <f>IF(AND($T58=1,BA$5&lt;=$H58),INDEX(Mortality!$B$4:$E$64,MATCH($D58+BA$5-1,Mortality!$A$4:$A$64,0),$U58)*$V58*$N58,0)</f>
        <v>1.24764059807091E-3</v>
      </c>
      <c r="BB58" s="93">
        <f>IF(AND($T58=1,BB$5&lt;=$H58),INDEX(Mortality!$B$4:$E$64,MATCH($D58+BB$5-1,Mortality!$A$4:$A$64,0),$U58)*$V58*$N58,0)</f>
        <v>1.3515529249964601E-3</v>
      </c>
      <c r="BC58" s="93">
        <f>IF(AND($T58=1,BC$5&lt;=$H58),INDEX(Mortality!$B$4:$E$64,MATCH($D58+BC$5-1,Mortality!$A$4:$A$64,0),$U58)*$V58*$N58,0)</f>
        <v>1.4641198049269301E-3</v>
      </c>
      <c r="BD58" s="93">
        <f>IF(AND($T58=1,BD$5&lt;=$H58),INDEX(Mortality!$B$4:$E$64,MATCH($D58+BD$5-1,Mortality!$A$4:$A$64,0),$U58)*$V58*$N58,0)</f>
        <v>1.58606205020413E-3</v>
      </c>
      <c r="BE58" s="93">
        <f>IF(AND($T58=1,BE$5&lt;=$H58),INDEX(Mortality!$B$4:$E$64,MATCH($D58+BE$5-1,Mortality!$A$4:$A$64,0),$U58)*$V58*$N58,0)</f>
        <v>1.71816050751616E-3</v>
      </c>
      <c r="BF58" s="93">
        <f>IF(AND($T58=1,BF$5&lt;=$H58),INDEX(Mortality!$B$4:$E$64,MATCH($D58+BF$5-1,Mortality!$A$4:$A$64,0),$U58)*$V58*$N58,0)</f>
        <v>1.8612610579820999E-3</v>
      </c>
      <c r="BG58" s="93">
        <f>IF(AND($T58=1,BG$5&lt;=$H58),INDEX(Mortality!$B$4:$E$64,MATCH($D58+BG$5-1,Mortality!$A$4:$A$64,0),$U58)*$V58*$N58,0)</f>
        <v>2.0162800336790201E-3</v>
      </c>
      <c r="BH58" s="93">
        <f>IF(AND($T58=1,BH$5&lt;=$H58),INDEX(Mortality!$B$4:$E$64,MATCH($D58+BH$5-1,Mortality!$A$4:$A$64,0),$U58)*$V58*$N58,0)</f>
        <v>2.1842100852957199E-3</v>
      </c>
      <c r="BI58" s="93">
        <f>IF(AND($T58=1,BI$5&lt;=$H58),INDEX(Mortality!$B$4:$E$64,MATCH($D58+BI$5-1,Mortality!$A$4:$A$64,0),$U58)*$V58*$N58,0)</f>
        <v>2.3661265384860701E-3</v>
      </c>
      <c r="BJ58" s="93">
        <f>IF(AND($T58=1,BJ$5&lt;=$H58),INDEX(Mortality!$B$4:$E$64,MATCH($D58+BJ$5-1,Mortality!$A$4:$A$64,0),$U58)*$V58*$N58,0)</f>
        <v>2.5631942796244698E-3</v>
      </c>
      <c r="BK58" s="93">
        <f>IF(AND($T58=1,BK$5&lt;=$H58),INDEX(Mortality!$B$4:$E$64,MATCH($D58+BK$5-1,Mortality!$A$4:$A$64,0),$U58)*$V58*$N58,0)</f>
        <v>2.7766752150556202E-3</v>
      </c>
      <c r="BL58" s="93">
        <f>IF(AND($T58=1,BL$5&lt;=$H58),INDEX(Mortality!$B$4:$E$64,MATCH($D58+BL$5-1,Mortality!$A$4:$A$64,0),$U58)*$V58*$N58,0)</f>
        <v>3.0079363516033399E-3</v>
      </c>
      <c r="BM58" s="93">
        <f>IF(AND($T58=1,BM$5&lt;=$H58),INDEX(Mortality!$B$4:$E$64,MATCH($D58+BM$5-1,Mortality!$A$4:$A$64,0),$U58)*$V58*$N58,0)</f>
        <v>3.2584585500813001E-3</v>
      </c>
      <c r="BN58" s="93">
        <f>IF(AND($T58=1,BN$5&lt;=$H58),INDEX(Mortality!$B$4:$E$64,MATCH($D58+BN$5-1,Mortality!$A$4:$A$64,0),$U58)*$V58*$N58,0)</f>
        <v>3.5298460078579601E-3</v>
      </c>
      <c r="BO58" s="93">
        <f>IF(AND($T58=1,BO$5&lt;=$H58),INDEX(Mortality!$B$4:$E$64,MATCH($D58+BO$5-1,Mortality!$A$4:$A$64,0),$U58)*$V58*$N58,0)</f>
        <v>0</v>
      </c>
      <c r="BP58" s="93">
        <f>IF(AND($T58=1,BP$5&lt;=$H58),INDEX(Mortality!$B$4:$E$64,MATCH($D58+BP$5-1,Mortality!$A$4:$A$64,0),$U58)*$V58*$N58,0)</f>
        <v>0</v>
      </c>
      <c r="BQ58" s="93">
        <f>IF(AND($T58=1,BQ$5&lt;=$H58),INDEX(Mortality!$B$4:$E$64,MATCH($D58+BQ$5-1,Mortality!$A$4:$A$64,0),$U58)*$V58*$N58,0)</f>
        <v>0</v>
      </c>
      <c r="BR58" s="93">
        <f>IF(AND($T58=1,BR$5&lt;=$H58),INDEX(Mortality!$B$4:$E$64,MATCH($D58+BR$5-1,Mortality!$A$4:$A$64,0),$U58)*$V58*$N58,0)</f>
        <v>0</v>
      </c>
      <c r="BS58" s="93">
        <f>IF(AND($T58=1,BS$5&lt;=$H58),INDEX(Mortality!$B$4:$E$64,MATCH($D58+BS$5-1,Mortality!$A$4:$A$64,0),$U58)*$V58*$N58,0)</f>
        <v>0</v>
      </c>
      <c r="BT58" s="93">
        <f>IF(AND($T58=1,BT$5&lt;=$H58),INDEX(Mortality!$B$4:$E$64,MATCH($D58+BT$5-1,Mortality!$A$4:$A$64,0),$U58)*$V58*$N58,0)</f>
        <v>0</v>
      </c>
      <c r="BU58" s="93">
        <f>IF(AND($T58=1,BU$5&lt;=$H58),INDEX(Mortality!$B$4:$E$64,MATCH($D58+BU$5-1,Mortality!$A$4:$A$64,0),$U58)*$V58*$N58,0)</f>
        <v>0</v>
      </c>
      <c r="BV58" s="93">
        <f>IF(AND($T58=1,BV$5&lt;=$H58),INDEX(Mortality!$B$4:$E$64,MATCH($D58+BV$5-1,Mortality!$A$4:$A$64,0),$U58)*$V58*$N58,0)</f>
        <v>0</v>
      </c>
      <c r="BW58" s="93">
        <f>IF(AND($T58=1,BW$5&lt;=$H58),INDEX(Mortality!$B$4:$E$64,MATCH($D58+BW$5-1,Mortality!$A$4:$A$64,0),$U58)*$V58*$N58,0)</f>
        <v>0</v>
      </c>
      <c r="BX58" s="93">
        <f>IF(AND($T58=1,BX$5&lt;=$H58),INDEX(Mortality!$B$4:$E$64,MATCH($D58+BX$5-1,Mortality!$A$4:$A$64,0),$U58)*$V58*$N58,0)</f>
        <v>0</v>
      </c>
      <c r="BY58" s="93">
        <f>IF(AND($T58=1,BY$5&lt;=$H58),INDEX(Mortality!$B$4:$E$64,MATCH($D58+BY$5-1,Mortality!$A$4:$A$64,0),$U58)*$V58*$N58,0)</f>
        <v>0</v>
      </c>
      <c r="BZ58" s="93">
        <f>IF(AND($T58=1,BZ$5&lt;=$H58),INDEX(Mortality!$B$4:$E$64,MATCH($D58+BZ$5-1,Mortality!$A$4:$A$64,0),$U58)*$V58*$N58,0)</f>
        <v>0</v>
      </c>
      <c r="CA58" s="93">
        <f>IF(AND($T58=1,CA$5&lt;=$H58),INDEX(Mortality!$B$4:$E$64,MATCH($D58+CA$5-1,Mortality!$A$4:$A$64,0),$U58)*$V58*$N58,0)</f>
        <v>0</v>
      </c>
      <c r="CB58" s="93">
        <f>IF(AND($T58=1,CB$5&lt;=$H58),INDEX(Mortality!$B$4:$E$64,MATCH($D58+CB$5-1,Mortality!$A$4:$A$64,0),$U58)*$V58*$N58,0)</f>
        <v>0</v>
      </c>
      <c r="CC58" s="93">
        <f>IF(AND($T58=1,CC$5&lt;=$H58),INDEX(Mortality!$B$4:$E$64,MATCH($D58+CC$5-1,Mortality!$A$4:$A$64,0),$U58)*$V58*$N58,0)</f>
        <v>0</v>
      </c>
      <c r="CD58" s="93">
        <f>IF(AND($T58=1,CD$5&lt;=$H58),INDEX(Mortality!$B$4:$E$64,MATCH($D58+CD$5-1,Mortality!$A$4:$A$64,0),$U58)*$V58*$N58,0)</f>
        <v>0</v>
      </c>
      <c r="CE58" s="93">
        <f>IF(AND($T58=1,CE$5&lt;=$H58),INDEX(Mortality!$B$4:$E$64,MATCH($D58+CE$5-1,Mortality!$A$4:$A$64,0),$U58)*$V58*$N58,0)</f>
        <v>0</v>
      </c>
      <c r="CF58" s="93">
        <f>IF(AND($T58=1,CF$5&lt;=$H58),INDEX(Mortality!$B$4:$E$64,MATCH($D58+CF$5-1,Mortality!$A$4:$A$64,0),$U58)*$V58*$N58,0)</f>
        <v>0</v>
      </c>
      <c r="CG58" s="93">
        <f>IF(AND($T58=1,CG$5&lt;=$H58),INDEX(Mortality!$B$4:$E$64,MATCH($D58+CG$5-1,Mortality!$A$4:$A$64,0),$U58)*$V58*$N58,0)</f>
        <v>0</v>
      </c>
      <c r="CH58" s="94">
        <f>IF(AND($T58=1,CH$5&lt;=$H58),INDEX(Mortality!$B$4:$E$64,MATCH($D58+CH$5-1,Mortality!$A$4:$A$64,0),$U58)*$V58*$N58,0)</f>
        <v>0</v>
      </c>
      <c r="CI58" s="26"/>
      <c r="CJ58" s="419">
        <f t="shared" si="35"/>
        <v>1</v>
      </c>
      <c r="CK58" s="93">
        <f>IF(AND($T58=1,CK$5&lt;=$H58),CJ58*(1-AU58)*(1-MIN(1,MAX(Assumptions!$C$27,Assumptions!$C$13*Assumptions!$C$28^(CJ$5-1))*$O58)),0)</f>
        <v>0.8793206230326942</v>
      </c>
      <c r="CL58" s="93">
        <f>IF(AND($T58=1,CL$5&lt;=$H58),CK58*(1-AV58)*(1-MIN(1,MAX(Assumptions!$C$27,Assumptions!$C$13*Assumptions!$C$28^(CK$5-1))*$O58)),0)</f>
        <v>0.78896953737106656</v>
      </c>
      <c r="CM58" s="93">
        <f>IF(AND($T58=1,CM$5&lt;=$H58),CL58*(1-AW58)*(1-MIN(1,MAX(Assumptions!$C$27,Assumptions!$C$13*Assumptions!$C$28^(CL$5-1))*$O58)),0)</f>
        <v>0.71991306523674892</v>
      </c>
      <c r="CN58" s="93">
        <f>IF(AND($T58=1,CN$5&lt;=$H58),CM58*(1-AX58)*(1-MIN(1,MAX(Assumptions!$C$27,Assumptions!$C$13*Assumptions!$C$28^(CM$5-1))*$O58)),0)</f>
        <v>0.66620459715872449</v>
      </c>
      <c r="CO58" s="93">
        <f>IF(AND($T58=1,CO$5&lt;=$H58),CN58*(1-AY58)*(1-MIN(1,MAX(Assumptions!$C$27,Assumptions!$C$13*Assumptions!$C$28^(CN$5-1))*$O58)),0)</f>
        <v>0.62380912104368458</v>
      </c>
      <c r="CP58" s="93">
        <f>IF(AND($T58=1,CP$5&lt;=$H58),CO58*(1-AZ58)*(1-MIN(1,MAX(Assumptions!$C$27,Assumptions!$C$13*Assumptions!$C$28^(CO$5-1))*$O58)),0)</f>
        <v>0.58991443239418828</v>
      </c>
      <c r="CQ58" s="93">
        <f>IF(AND($T58=1,CQ$5&lt;=$H58),CP58*(1-BA58)*(1-MIN(1,MAX(Assumptions!$C$27,Assumptions!$C$13*Assumptions!$C$28^(CP$5-1))*$O58)),0)</f>
        <v>0.56251342800573978</v>
      </c>
      <c r="CR58" s="93">
        <f>IF(AND($T58=1,CR$5&lt;=$H58),CQ58*(1-BB58)*(1-MIN(1,MAX(Assumptions!$C$27,Assumptions!$C$13*Assumptions!$C$28^(CQ$5-1))*$O58)),0)</f>
        <v>0.54014293820147352</v>
      </c>
      <c r="CS58" s="93">
        <f>IF(AND($T58=1,CS$5&lt;=$H58),CR58*(1-BC58)*(1-MIN(1,MAX(Assumptions!$C$27,Assumptions!$C$13*Assumptions!$C$28^(CR$5-1))*$O58)),0)</f>
        <v>0.52171590366071485</v>
      </c>
      <c r="CT58" s="93">
        <f>IF(AND($T58=1,CT$5&lt;=$H58),CS58*(1-BD58)*(1-MIN(1,MAX(Assumptions!$C$27,Assumptions!$C$13*Assumptions!$C$28^(CS$5-1))*$O58)),0)</f>
        <v>0.50641083936738251</v>
      </c>
      <c r="CU58" s="93">
        <f>IF(AND($T58=1,CU$5&lt;=$H58),CT58*(1-BE58)*(1-MIN(1,MAX(Assumptions!$C$27,Assumptions!$C$13*Assumptions!$C$28^(CT$5-1))*$O58)),0)</f>
        <v>0.49359738031500344</v>
      </c>
      <c r="CV58" s="93">
        <f>IF(AND($T58=1,CV$5&lt;=$H58),CU58*(1-BF58)*(1-MIN(1,MAX(Assumptions!$C$27,Assumptions!$C$13*Assumptions!$C$28^(CU$5-1))*$O58)),0)</f>
        <v>0.48278509319017415</v>
      </c>
      <c r="CW58" s="93">
        <f>IF(AND($T58=1,CW$5&lt;=$H58),CV58*(1-BG58)*(1-MIN(1,MAX(Assumptions!$C$27,Assumptions!$C$13*Assumptions!$C$28^(CV$5-1))*$O58)),0)</f>
        <v>0.47217542998129258</v>
      </c>
      <c r="CX58" s="93">
        <f>IF(AND($T58=1,CX$5&lt;=$H58),CW58*(1-BH58)*(1-MIN(1,MAX(Assumptions!$C$27,Assumptions!$C$13*Assumptions!$C$28^(CW$5-1))*$O58)),0)</f>
        <v>0.46172121765219665</v>
      </c>
      <c r="CY58" s="93">
        <f>IF(AND($T58=1,CY$5&lt;=$H58),CX58*(1-BI58)*(1-MIN(1,MAX(Assumptions!$C$27,Assumptions!$C$13*Assumptions!$C$28^(CX$5-1))*$O58)),0)</f>
        <v>0.45141615228921306</v>
      </c>
      <c r="CZ58" s="93">
        <f>IF(AND($T58=1,CZ$5&lt;=$H58),CY58*(1-BJ58)*(1-MIN(1,MAX(Assumptions!$C$27,Assumptions!$C$13*Assumptions!$C$28^(CY$5-1))*$O58)),0)</f>
        <v>0.44125390329013658</v>
      </c>
      <c r="DA58" s="93">
        <f>IF(AND($T58=1,DA$5&lt;=$H58),CZ58*(1-BK58)*(1-MIN(1,MAX(Assumptions!$C$27,Assumptions!$C$13*Assumptions!$C$28^(CZ$5-1))*$O58)),0)</f>
        <v>0.43122811082305779</v>
      </c>
      <c r="DB58" s="93">
        <f>IF(AND($T58=1,DB$5&lt;=$H58),DA58*(1-BL58)*(1-MIN(1,MAX(Assumptions!$C$27,Assumptions!$C$13*Assumptions!$C$28^(DA$5-1))*$O58)),0)</f>
        <v>0.42133238403042628</v>
      </c>
      <c r="DC58" s="93">
        <f>IF(AND($T58=1,DC$5&lt;=$H58),DB58*(1-BM58)*(1-MIN(1,MAX(Assumptions!$C$27,Assumptions!$C$13*Assumptions!$C$28^(DB$5-1))*$O58)),0)</f>
        <v>0.41156030012283107</v>
      </c>
      <c r="DD58" s="93">
        <f>IF(AND($T58=1,DD$5&lt;=$H58),DC58*(1-BN58)*(1-MIN(1,MAX(Assumptions!$C$27,Assumptions!$C$13*Assumptions!$C$28^(DC$5-1))*$O58)),0)</f>
        <v>0</v>
      </c>
      <c r="DE58" s="93">
        <f>IF(AND($T58=1,DE$5&lt;=$H58),DD58*(1-BO58)*(1-MIN(1,MAX(Assumptions!$C$27,Assumptions!$C$13*Assumptions!$C$28^(DD$5-1))*$O58)),0)</f>
        <v>0</v>
      </c>
      <c r="DF58" s="93">
        <f>IF(AND($T58=1,DF$5&lt;=$H58),DE58*(1-BP58)*(1-MIN(1,MAX(Assumptions!$C$27,Assumptions!$C$13*Assumptions!$C$28^(DE$5-1))*$O58)),0)</f>
        <v>0</v>
      </c>
      <c r="DG58" s="93">
        <f>IF(AND($T58=1,DG$5&lt;=$H58),DF58*(1-BQ58)*(1-MIN(1,MAX(Assumptions!$C$27,Assumptions!$C$13*Assumptions!$C$28^(DF$5-1))*$O58)),0)</f>
        <v>0</v>
      </c>
      <c r="DH58" s="93">
        <f>IF(AND($T58=1,DH$5&lt;=$H58),DG58*(1-BR58)*(1-MIN(1,MAX(Assumptions!$C$27,Assumptions!$C$13*Assumptions!$C$28^(DG$5-1))*$O58)),0)</f>
        <v>0</v>
      </c>
      <c r="DI58" s="93">
        <f>IF(AND($T58=1,DI$5&lt;=$H58),DH58*(1-BS58)*(1-MIN(1,MAX(Assumptions!$C$27,Assumptions!$C$13*Assumptions!$C$28^(DH$5-1))*$O58)),0)</f>
        <v>0</v>
      </c>
      <c r="DJ58" s="93">
        <f>IF(AND($T58=1,DJ$5&lt;=$H58),DI58*(1-BT58)*(1-MIN(1,MAX(Assumptions!$C$27,Assumptions!$C$13*Assumptions!$C$28^(DI$5-1))*$O58)),0)</f>
        <v>0</v>
      </c>
      <c r="DK58" s="93">
        <f>IF(AND($T58=1,DK$5&lt;=$H58),DJ58*(1-BU58)*(1-MIN(1,MAX(Assumptions!$C$27,Assumptions!$C$13*Assumptions!$C$28^(DJ$5-1))*$O58)),0)</f>
        <v>0</v>
      </c>
      <c r="DL58" s="93">
        <f>IF(AND($T58=1,DL$5&lt;=$H58),DK58*(1-BV58)*(1-MIN(1,MAX(Assumptions!$C$27,Assumptions!$C$13*Assumptions!$C$28^(DK$5-1))*$O58)),0)</f>
        <v>0</v>
      </c>
      <c r="DM58" s="93">
        <f>IF(AND($T58=1,DM$5&lt;=$H58),DL58*(1-BW58)*(1-MIN(1,MAX(Assumptions!$C$27,Assumptions!$C$13*Assumptions!$C$28^(DL$5-1))*$O58)),0)</f>
        <v>0</v>
      </c>
      <c r="DN58" s="93">
        <f>IF(AND($T58=1,DN$5&lt;=$H58),DM58*(1-BX58)*(1-MIN(1,MAX(Assumptions!$C$27,Assumptions!$C$13*Assumptions!$C$28^(DM$5-1))*$O58)),0)</f>
        <v>0</v>
      </c>
      <c r="DO58" s="93">
        <f>IF(AND($T58=1,DO$5&lt;=$H58),DN58*(1-BY58)*(1-MIN(1,MAX(Assumptions!$C$27,Assumptions!$C$13*Assumptions!$C$28^(DN$5-1))*$O58)),0)</f>
        <v>0</v>
      </c>
      <c r="DP58" s="93">
        <f>IF(AND($T58=1,DP$5&lt;=$H58),DO58*(1-BZ58)*(1-MIN(1,MAX(Assumptions!$C$27,Assumptions!$C$13*Assumptions!$C$28^(DO$5-1))*$O58)),0)</f>
        <v>0</v>
      </c>
      <c r="DQ58" s="93">
        <f>IF(AND($T58=1,DQ$5&lt;=$H58),DP58*(1-CA58)*(1-MIN(1,MAX(Assumptions!$C$27,Assumptions!$C$13*Assumptions!$C$28^(DP$5-1))*$O58)),0)</f>
        <v>0</v>
      </c>
      <c r="DR58" s="93">
        <f>IF(AND($T58=1,DR$5&lt;=$H58),DQ58*(1-CB58)*(1-MIN(1,MAX(Assumptions!$C$27,Assumptions!$C$13*Assumptions!$C$28^(DQ$5-1))*$O58)),0)</f>
        <v>0</v>
      </c>
      <c r="DS58" s="93">
        <f>IF(AND($T58=1,DS$5&lt;=$H58),DR58*(1-CC58)*(1-MIN(1,MAX(Assumptions!$C$27,Assumptions!$C$13*Assumptions!$C$28^(DR$5-1))*$O58)),0)</f>
        <v>0</v>
      </c>
      <c r="DT58" s="93">
        <f>IF(AND($T58=1,DT$5&lt;=$H58),DS58*(1-CD58)*(1-MIN(1,MAX(Assumptions!$C$27,Assumptions!$C$13*Assumptions!$C$28^(DS$5-1))*$O58)),0)</f>
        <v>0</v>
      </c>
      <c r="DU58" s="93">
        <f>IF(AND($T58=1,DU$5&lt;=$H58),DT58*(1-CE58)*(1-MIN(1,MAX(Assumptions!$C$27,Assumptions!$C$13*Assumptions!$C$28^(DT$5-1))*$O58)),0)</f>
        <v>0</v>
      </c>
      <c r="DV58" s="93">
        <f>IF(AND($T58=1,DV$5&lt;=$H58),DU58*(1-CF58)*(1-MIN(1,MAX(Assumptions!$C$27,Assumptions!$C$13*Assumptions!$C$28^(DU$5-1))*$O58)),0)</f>
        <v>0</v>
      </c>
      <c r="DW58" s="94">
        <f>IF(AND($T58=1,DW$5&lt;=$H58),DV58*(1-CG58)*(1-MIN(1,MAX(Assumptions!$C$27,Assumptions!$C$13*Assumptions!$C$28^(DV$5-1))*$O58)),0)</f>
        <v>0</v>
      </c>
      <c r="DX58" s="26"/>
      <c r="DY58" s="399">
        <f>'Policy Data'!K32</f>
        <v>4</v>
      </c>
      <c r="DZ58" s="100">
        <f>'Policy Data'!L32</f>
        <v>0.52769999999999995</v>
      </c>
      <c r="EA58" s="100">
        <f>'Policy Data'!N32</f>
        <v>4.0700000000000003E-4</v>
      </c>
      <c r="EB58" s="93" cm="1">
        <f t="array" ref="EB58">IFERROR(DZ58*INDEX(Mortality!$B$4:$E$64,MATCH(D58+DY58-1,Mortality!$A$4:$A$64,0),U58)*V58,0)</f>
        <v>5.1790000680477252E-4</v>
      </c>
      <c r="EC58" s="100">
        <f>'Policy Data'!O32</f>
        <v>0</v>
      </c>
      <c r="ED58" s="400">
        <f>'Policy Data'!Q32</f>
        <v>0</v>
      </c>
    </row>
    <row r="59" spans="1:134" x14ac:dyDescent="0.3">
      <c r="A59" s="399" t="str">
        <f>'Policy Data'!A33</f>
        <v>POL100029</v>
      </c>
      <c r="B59" s="26" t="s">
        <v>426</v>
      </c>
      <c r="C59" s="100" t="str">
        <f>'Policy Data'!B33</f>
        <v>Term Life</v>
      </c>
      <c r="D59" s="100">
        <f>'Policy Data'!C33</f>
        <v>52</v>
      </c>
      <c r="E59" s="100" t="str">
        <f>'Policy Data'!D33</f>
        <v>Male</v>
      </c>
      <c r="F59" s="100" t="str">
        <f>'Policy Data'!E33</f>
        <v>Non-smoker</v>
      </c>
      <c r="G59" s="100" t="str">
        <f>'Policy Data'!F33</f>
        <v>Standard</v>
      </c>
      <c r="H59" s="100">
        <f>'Policy Data'!G33</f>
        <v>15</v>
      </c>
      <c r="I59" s="279">
        <f>'Policy Data'!H33</f>
        <v>250000</v>
      </c>
      <c r="J59" s="100" t="str">
        <f>'Policy Data'!I33</f>
        <v>Monthly</v>
      </c>
      <c r="K59" s="100" t="str">
        <f>'Policy Data'!J33</f>
        <v>Bancassurance</v>
      </c>
      <c r="L59" s="26" t="s">
        <v>389</v>
      </c>
      <c r="M59" s="106">
        <f>'Policy Data'!R33</f>
        <v>1504.84</v>
      </c>
      <c r="N59" s="415">
        <f>Assumptions!$C$21</f>
        <v>1</v>
      </c>
      <c r="O59" s="415">
        <f>Assumptions!$C$22</f>
        <v>1</v>
      </c>
      <c r="P59" s="415">
        <f>Assumptions!$C$23</f>
        <v>1</v>
      </c>
      <c r="Q59" s="416">
        <f>Assumptions!$C$24</f>
        <v>0</v>
      </c>
      <c r="R59" s="416">
        <f>Assumptions!$C$6+Assumptions!$C$25</f>
        <v>3.5000000000000003E-2</v>
      </c>
      <c r="S59" s="416">
        <f>Assumptions!$C$15</f>
        <v>1.1000000000000001E-3</v>
      </c>
      <c r="T59" s="26">
        <f t="shared" si="18"/>
        <v>1</v>
      </c>
      <c r="U59" s="26">
        <f t="shared" si="19"/>
        <v>3</v>
      </c>
      <c r="V59" s="389">
        <f>IF($G59="Preferred",Assumptions!$C$30,IF($G59="Rated",Assumptions!$C$31,1))</f>
        <v>1</v>
      </c>
      <c r="W59" s="390">
        <f>IF($K59="Direct",Assumptions!$C$32,IF($K59="Broker",Assumptions!$C$33,IF($K59="Bancassurance",Assumptions!$C$34,Assumptions!$C$11)))+$Q59</f>
        <v>0.2</v>
      </c>
      <c r="X59" s="390">
        <f>Assumptions!$C$12+$Q59</f>
        <v>0.05</v>
      </c>
      <c r="Y59" s="131">
        <f>MIN($I59,Assumptions!$C$14)</f>
        <v>250000</v>
      </c>
      <c r="Z59" s="131">
        <f>MAX($I59-Assumptions!$C$14,0)</f>
        <v>0</v>
      </c>
      <c r="AA59" s="389">
        <f t="shared" si="20"/>
        <v>7.2774301644143122</v>
      </c>
      <c r="AB59" s="389">
        <f t="shared" si="21"/>
        <v>3.5469201227512633E-2</v>
      </c>
      <c r="AC59" s="389">
        <f>IF($T59=1,SUMPRODUCT($CJ59:$DW59,(1+Assumptions!$C$5)^($CJ$5:$DW$5-1),(1+$R59)^(-$CJ$5:$DW$5)),0)</f>
        <v>9.0804776416846398</v>
      </c>
      <c r="AD59" s="389">
        <f t="shared" si="22"/>
        <v>0.50879904445259971</v>
      </c>
      <c r="AE59" s="131">
        <f>IF($T59=1,$AB59*$Y59+(Assumptions!$C$9/(1+$R59)+Assumptions!$C$10*$AC59)*$P59+$S59*$Z59*$AA59,0)</f>
        <v>11734.570605440083</v>
      </c>
      <c r="AF59" s="131">
        <f>IF($T59=1,IF($AA59-$AD59-Assumptions!$C$16*$AA59&gt;0,$AE59/($AA59-$AD59-Assumptions!$C$16*$AA59)*IF($J59="Monthly",1+Assumptions!$C$29,1),"n.a."),"")</f>
        <v>1953.7268861574555</v>
      </c>
      <c r="AG59" s="131">
        <f t="shared" si="23"/>
        <v>1504.84</v>
      </c>
      <c r="AH59" s="131">
        <f t="shared" si="24"/>
        <v>10951.368008617233</v>
      </c>
      <c r="AI59" s="131">
        <f t="shared" si="25"/>
        <v>-1548.8637508769007</v>
      </c>
      <c r="AJ59" s="390">
        <f t="shared" si="26"/>
        <v>-0.14143107506369579</v>
      </c>
      <c r="AK59" s="389">
        <f t="shared" si="27"/>
        <v>0.77024071822018281</v>
      </c>
      <c r="AL59" s="131">
        <f t="shared" si="28"/>
        <v>0</v>
      </c>
      <c r="AM59" s="131">
        <f t="shared" si="29"/>
        <v>0</v>
      </c>
      <c r="AN59" s="131">
        <f t="shared" si="30"/>
        <v>0</v>
      </c>
      <c r="AO59" s="131">
        <f t="shared" si="31"/>
        <v>-1548.8637508769007</v>
      </c>
      <c r="AP59" s="26" t="str">
        <f t="shared" si="32"/>
        <v>50-59</v>
      </c>
      <c r="AQ59" s="26" t="str">
        <f t="shared" si="33"/>
        <v>Up to 250k</v>
      </c>
      <c r="AR59" s="26" t="str">
        <f>IF($T59=1,IF($AI59&lt;0,"Loss-making",IF($AJ59&lt;Assumptions!$C$16-0.00001,"Below target","At/above target")),"Excluded")</f>
        <v>Loss-making</v>
      </c>
      <c r="AS59" s="103">
        <f t="shared" si="34"/>
        <v>-1548.8636918769007</v>
      </c>
      <c r="AT59" s="26"/>
      <c r="AU59" s="419">
        <f>IF(AND($T59=1,AU$5&lt;=$H59),INDEX(Mortality!$B$4:$E$64,MATCH($D59+AU$5-1,Mortality!$A$4:$A$64,0),$U59)*$V59*$N59,0)</f>
        <v>3.0079363516033399E-3</v>
      </c>
      <c r="AV59" s="93">
        <f>IF(AND($T59=1,AV$5&lt;=$H59),INDEX(Mortality!$B$4:$E$64,MATCH($D59+AV$5-1,Mortality!$A$4:$A$64,0),$U59)*$V59*$N59,0)</f>
        <v>3.2584585500813001E-3</v>
      </c>
      <c r="AW59" s="93">
        <f>IF(AND($T59=1,AW$5&lt;=$H59),INDEX(Mortality!$B$4:$E$64,MATCH($D59+AW$5-1,Mortality!$A$4:$A$64,0),$U59)*$V59*$N59,0)</f>
        <v>3.5298460078579601E-3</v>
      </c>
      <c r="AX59" s="93">
        <f>IF(AND($T59=1,AX$5&lt;=$H59),INDEX(Mortality!$B$4:$E$64,MATCH($D59+AX$5-1,Mortality!$A$4:$A$64,0),$U59)*$V59*$N59,0)</f>
        <v>3.8238365311966099E-3</v>
      </c>
      <c r="AY59" s="93">
        <f>IF(AND($T59=1,AY$5&lt;=$H59),INDEX(Mortality!$B$4:$E$64,MATCH($D59+AY$5-1,Mortality!$A$4:$A$64,0),$U59)*$V59*$N59,0)</f>
        <v>4.1423126631483596E-3</v>
      </c>
      <c r="AZ59" s="93">
        <f>IF(AND($T59=1,AZ$5&lt;=$H59),INDEX(Mortality!$B$4:$E$64,MATCH($D59+AZ$5-1,Mortality!$A$4:$A$64,0),$U59)*$V59*$N59,0)</f>
        <v>4.4873137382548398E-3</v>
      </c>
      <c r="BA59" s="93">
        <f>IF(AND($T59=1,BA$5&lt;=$H59),INDEX(Mortality!$B$4:$E$64,MATCH($D59+BA$5-1,Mortality!$A$4:$A$64,0),$U59)*$V59*$N59,0)</f>
        <v>4.8610489412516398E-3</v>
      </c>
      <c r="BB59" s="93">
        <f>IF(AND($T59=1,BB$5&lt;=$H59),INDEX(Mortality!$B$4:$E$64,MATCH($D59+BB$5-1,Mortality!$A$4:$A$64,0),$U59)*$V59*$N59,0)</f>
        <v>5.2659114533929498E-3</v>
      </c>
      <c r="BC59" s="93">
        <f>IF(AND($T59=1,BC$5&lt;=$H59),INDEX(Mortality!$B$4:$E$64,MATCH($D59+BC$5-1,Mortality!$A$4:$A$64,0),$U59)*$V59*$N59,0)</f>
        <v>5.7044937769820296E-3</v>
      </c>
      <c r="BD59" s="93">
        <f>IF(AND($T59=1,BD$5&lt;=$H59),INDEX(Mortality!$B$4:$E$64,MATCH($D59+BD$5-1,Mortality!$A$4:$A$64,0),$U59)*$V59*$N59,0)</f>
        <v>6.1796043362369098E-3</v>
      </c>
      <c r="BE59" s="93">
        <f>IF(AND($T59=1,BE$5&lt;=$H59),INDEX(Mortality!$B$4:$E$64,MATCH($D59+BE$5-1,Mortality!$A$4:$A$64,0),$U59)*$V59*$N59,0)</f>
        <v>6.6942854607935399E-3</v>
      </c>
      <c r="BF59" s="93">
        <f>IF(AND($T59=1,BF$5&lt;=$H59),INDEX(Mortality!$B$4:$E$64,MATCH($D59+BF$5-1,Mortality!$A$4:$A$64,0),$U59)*$V59*$N59,0)</f>
        <v>7.2518328670021504E-3</v>
      </c>
      <c r="BG59" s="93">
        <f>IF(AND($T59=1,BG$5&lt;=$H59),INDEX(Mortality!$B$4:$E$64,MATCH($D59+BG$5-1,Mortality!$A$4:$A$64,0),$U59)*$V59*$N59,0)</f>
        <v>7.8558167617636399E-3</v>
      </c>
      <c r="BH59" s="93">
        <f>IF(AND($T59=1,BH$5&lt;=$H59),INDEX(Mortality!$B$4:$E$64,MATCH($D59+BH$5-1,Mortality!$A$4:$A$64,0),$U59)*$V59*$N59,0)</f>
        <v>8.5101047040427192E-3</v>
      </c>
      <c r="BI59" s="93">
        <f>IF(AND($T59=1,BI$5&lt;=$H59),INDEX(Mortality!$B$4:$E$64,MATCH($D59+BI$5-1,Mortality!$A$4:$A$64,0),$U59)*$V59*$N59,0)</f>
        <v>9.2188863704493092E-3</v>
      </c>
      <c r="BJ59" s="93">
        <f>IF(AND($T59=1,BJ$5&lt;=$H59),INDEX(Mortality!$B$4:$E$64,MATCH($D59+BJ$5-1,Mortality!$A$4:$A$64,0),$U59)*$V59*$N59,0)</f>
        <v>0</v>
      </c>
      <c r="BK59" s="93">
        <f>IF(AND($T59=1,BK$5&lt;=$H59),INDEX(Mortality!$B$4:$E$64,MATCH($D59+BK$5-1,Mortality!$A$4:$A$64,0),$U59)*$V59*$N59,0)</f>
        <v>0</v>
      </c>
      <c r="BL59" s="93">
        <f>IF(AND($T59=1,BL$5&lt;=$H59),INDEX(Mortality!$B$4:$E$64,MATCH($D59+BL$5-1,Mortality!$A$4:$A$64,0),$U59)*$V59*$N59,0)</f>
        <v>0</v>
      </c>
      <c r="BM59" s="93">
        <f>IF(AND($T59=1,BM$5&lt;=$H59),INDEX(Mortality!$B$4:$E$64,MATCH($D59+BM$5-1,Mortality!$A$4:$A$64,0),$U59)*$V59*$N59,0)</f>
        <v>0</v>
      </c>
      <c r="BN59" s="93">
        <f>IF(AND($T59=1,BN$5&lt;=$H59),INDEX(Mortality!$B$4:$E$64,MATCH($D59+BN$5-1,Mortality!$A$4:$A$64,0),$U59)*$V59*$N59,0)</f>
        <v>0</v>
      </c>
      <c r="BO59" s="93">
        <f>IF(AND($T59=1,BO$5&lt;=$H59),INDEX(Mortality!$B$4:$E$64,MATCH($D59+BO$5-1,Mortality!$A$4:$A$64,0),$U59)*$V59*$N59,0)</f>
        <v>0</v>
      </c>
      <c r="BP59" s="93">
        <f>IF(AND($T59=1,BP$5&lt;=$H59),INDEX(Mortality!$B$4:$E$64,MATCH($D59+BP$5-1,Mortality!$A$4:$A$64,0),$U59)*$V59*$N59,0)</f>
        <v>0</v>
      </c>
      <c r="BQ59" s="93">
        <f>IF(AND($T59=1,BQ$5&lt;=$H59),INDEX(Mortality!$B$4:$E$64,MATCH($D59+BQ$5-1,Mortality!$A$4:$A$64,0),$U59)*$V59*$N59,0)</f>
        <v>0</v>
      </c>
      <c r="BR59" s="93">
        <f>IF(AND($T59=1,BR$5&lt;=$H59),INDEX(Mortality!$B$4:$E$64,MATCH($D59+BR$5-1,Mortality!$A$4:$A$64,0),$U59)*$V59*$N59,0)</f>
        <v>0</v>
      </c>
      <c r="BS59" s="93">
        <f>IF(AND($T59=1,BS$5&lt;=$H59),INDEX(Mortality!$B$4:$E$64,MATCH($D59+BS$5-1,Mortality!$A$4:$A$64,0),$U59)*$V59*$N59,0)</f>
        <v>0</v>
      </c>
      <c r="BT59" s="93">
        <f>IF(AND($T59=1,BT$5&lt;=$H59),INDEX(Mortality!$B$4:$E$64,MATCH($D59+BT$5-1,Mortality!$A$4:$A$64,0),$U59)*$V59*$N59,0)</f>
        <v>0</v>
      </c>
      <c r="BU59" s="93">
        <f>IF(AND($T59=1,BU$5&lt;=$H59),INDEX(Mortality!$B$4:$E$64,MATCH($D59+BU$5-1,Mortality!$A$4:$A$64,0),$U59)*$V59*$N59,0)</f>
        <v>0</v>
      </c>
      <c r="BV59" s="93">
        <f>IF(AND($T59=1,BV$5&lt;=$H59),INDEX(Mortality!$B$4:$E$64,MATCH($D59+BV$5-1,Mortality!$A$4:$A$64,0),$U59)*$V59*$N59,0)</f>
        <v>0</v>
      </c>
      <c r="BW59" s="93">
        <f>IF(AND($T59=1,BW$5&lt;=$H59),INDEX(Mortality!$B$4:$E$64,MATCH($D59+BW$5-1,Mortality!$A$4:$A$64,0),$U59)*$V59*$N59,0)</f>
        <v>0</v>
      </c>
      <c r="BX59" s="93">
        <f>IF(AND($T59=1,BX$5&lt;=$H59),INDEX(Mortality!$B$4:$E$64,MATCH($D59+BX$5-1,Mortality!$A$4:$A$64,0),$U59)*$V59*$N59,0)</f>
        <v>0</v>
      </c>
      <c r="BY59" s="93">
        <f>IF(AND($T59=1,BY$5&lt;=$H59),INDEX(Mortality!$B$4:$E$64,MATCH($D59+BY$5-1,Mortality!$A$4:$A$64,0),$U59)*$V59*$N59,0)</f>
        <v>0</v>
      </c>
      <c r="BZ59" s="93">
        <f>IF(AND($T59=1,BZ$5&lt;=$H59),INDEX(Mortality!$B$4:$E$64,MATCH($D59+BZ$5-1,Mortality!$A$4:$A$64,0),$U59)*$V59*$N59,0)</f>
        <v>0</v>
      </c>
      <c r="CA59" s="93">
        <f>IF(AND($T59=1,CA$5&lt;=$H59),INDEX(Mortality!$B$4:$E$64,MATCH($D59+CA$5-1,Mortality!$A$4:$A$64,0),$U59)*$V59*$N59,0)</f>
        <v>0</v>
      </c>
      <c r="CB59" s="93">
        <f>IF(AND($T59=1,CB$5&lt;=$H59),INDEX(Mortality!$B$4:$E$64,MATCH($D59+CB$5-1,Mortality!$A$4:$A$64,0),$U59)*$V59*$N59,0)</f>
        <v>0</v>
      </c>
      <c r="CC59" s="93">
        <f>IF(AND($T59=1,CC$5&lt;=$H59),INDEX(Mortality!$B$4:$E$64,MATCH($D59+CC$5-1,Mortality!$A$4:$A$64,0),$U59)*$V59*$N59,0)</f>
        <v>0</v>
      </c>
      <c r="CD59" s="93">
        <f>IF(AND($T59=1,CD$5&lt;=$H59),INDEX(Mortality!$B$4:$E$64,MATCH($D59+CD$5-1,Mortality!$A$4:$A$64,0),$U59)*$V59*$N59,0)</f>
        <v>0</v>
      </c>
      <c r="CE59" s="93">
        <f>IF(AND($T59=1,CE$5&lt;=$H59),INDEX(Mortality!$B$4:$E$64,MATCH($D59+CE$5-1,Mortality!$A$4:$A$64,0),$U59)*$V59*$N59,0)</f>
        <v>0</v>
      </c>
      <c r="CF59" s="93">
        <f>IF(AND($T59=1,CF$5&lt;=$H59),INDEX(Mortality!$B$4:$E$64,MATCH($D59+CF$5-1,Mortality!$A$4:$A$64,0),$U59)*$V59*$N59,0)</f>
        <v>0</v>
      </c>
      <c r="CG59" s="93">
        <f>IF(AND($T59=1,CG$5&lt;=$H59),INDEX(Mortality!$B$4:$E$64,MATCH($D59+CG$5-1,Mortality!$A$4:$A$64,0),$U59)*$V59*$N59,0)</f>
        <v>0</v>
      </c>
      <c r="CH59" s="94">
        <f>IF(AND($T59=1,CH$5&lt;=$H59),INDEX(Mortality!$B$4:$E$64,MATCH($D59+CH$5-1,Mortality!$A$4:$A$64,0),$U59)*$V59*$N59,0)</f>
        <v>0</v>
      </c>
      <c r="CI59" s="26"/>
      <c r="CJ59" s="419">
        <f t="shared" si="35"/>
        <v>1</v>
      </c>
      <c r="CK59" s="93">
        <f>IF(AND($T59=1,CK$5&lt;=$H59),CJ59*(1-AU59)*(1-MIN(1,MAX(Assumptions!$C$27,Assumptions!$C$13*Assumptions!$C$28^(CJ$5-1))*$O59)),0)</f>
        <v>0.87735301601058902</v>
      </c>
      <c r="CL59" s="93">
        <f>IF(AND($T59=1,CL$5&lt;=$H59),CK59*(1-AV59)*(1-MIN(1,MAX(Assumptions!$C$27,Assumptions!$C$13*Assumptions!$C$28^(CK$5-1))*$O59)),0)</f>
        <v>0.78529578942156852</v>
      </c>
      <c r="CM59" s="93">
        <f>IF(AND($T59=1,CM$5&lt;=$H59),CL59*(1-AW59)*(1-MIN(1,MAX(Assumptions!$C$27,Assumptions!$C$13*Assumptions!$C$28^(CL$5-1))*$O59)),0)</f>
        <v>0.71467900134851203</v>
      </c>
      <c r="CN59" s="93">
        <f>IF(AND($T59=1,CN$5&lt;=$H59),CM59*(1-AX59)*(1-MIN(1,MAX(Assumptions!$C$27,Assumptions!$C$13*Assumptions!$C$28^(CM$5-1))*$O59)),0)</f>
        <v>0.65947931152175177</v>
      </c>
      <c r="CO59" s="93">
        <f>IF(AND($T59=1,CO$5&lt;=$H59),CN59*(1-AY59)*(1-MIN(1,MAX(Assumptions!$C$27,Assumptions!$C$13*Assumptions!$C$28^(CN$5-1))*$O59)),0)</f>
        <v>0.61560838342585233</v>
      </c>
      <c r="CP59" s="93">
        <f>IF(AND($T59=1,CP$5&lt;=$H59),CO59*(1-AZ59)*(1-MIN(1,MAX(Assumptions!$C$27,Assumptions!$C$13*Assumptions!$C$28^(CO$5-1))*$O59)),0)</f>
        <v>0.58021519472720495</v>
      </c>
      <c r="CQ59" s="93">
        <f>IF(AND($T59=1,CQ$5&lt;=$H59),CP59*(1-BA59)*(1-MIN(1,MAX(Assumptions!$C$27,Assumptions!$C$13*Assumptions!$C$28^(CP$5-1))*$O59)),0)</f>
        <v>0.55126304267514492</v>
      </c>
      <c r="CR59" s="93">
        <f>IF(AND($T59=1,CR$5&lt;=$H59),CQ59*(1-BB59)*(1-MIN(1,MAX(Assumptions!$C$27,Assumptions!$C$13*Assumptions!$C$28^(CQ$5-1))*$O59)),0)</f>
        <v>0.52726513665187702</v>
      </c>
      <c r="CS59" s="93">
        <f>IF(AND($T59=1,CS$5&lt;=$H59),CR59*(1-BC59)*(1-MIN(1,MAX(Assumptions!$C$27,Assumptions!$C$13*Assumptions!$C$28^(CR$5-1))*$O59)),0)</f>
        <v>0.50711473649925753</v>
      </c>
      <c r="CT59" s="93">
        <f>IF(AND($T59=1,CT$5&lt;=$H59),CS59*(1-BD59)*(1-MIN(1,MAX(Assumptions!$C$27,Assumptions!$C$13*Assumptions!$C$28^(CS$5-1))*$O59)),0)</f>
        <v>0.48997330413738172</v>
      </c>
      <c r="CU59" s="93">
        <f>IF(AND($T59=1,CU$5&lt;=$H59),CT59*(1-BE59)*(1-MIN(1,MAX(Assumptions!$C$27,Assumptions!$C$13*Assumptions!$C$28^(CT$5-1))*$O59)),0)</f>
        <v>0.47519518894952478</v>
      </c>
      <c r="CV59" s="93">
        <f>IF(AND($T59=1,CV$5&lt;=$H59),CU59*(1-BF59)*(1-MIN(1,MAX(Assumptions!$C$27,Assumptions!$C$13*Assumptions!$C$28^(CU$5-1))*$O59)),0)</f>
        <v>0.46227586884636773</v>
      </c>
      <c r="CW59" s="93">
        <f>IF(AND($T59=1,CW$5&lt;=$H59),CV59*(1-BG59)*(1-MIN(1,MAX(Assumptions!$C$27,Assumptions!$C$13*Assumptions!$C$28^(CV$5-1))*$O59)),0)</f>
        <v>0.44947142804077911</v>
      </c>
      <c r="CX59" s="93">
        <f>IF(AND($T59=1,CX$5&lt;=$H59),CW59*(1-BH59)*(1-MIN(1,MAX(Assumptions!$C$27,Assumptions!$C$13*Assumptions!$C$28^(CW$5-1))*$O59)),0)</f>
        <v>0.43673345154414295</v>
      </c>
      <c r="CY59" s="93">
        <f>IF(AND($T59=1,CY$5&lt;=$H59),CX59*(1-BI59)*(1-MIN(1,MAX(Assumptions!$C$27,Assumptions!$C$13*Assumptions!$C$28^(CX$5-1))*$O59)),0)</f>
        <v>0</v>
      </c>
      <c r="CZ59" s="93">
        <f>IF(AND($T59=1,CZ$5&lt;=$H59),CY59*(1-BJ59)*(1-MIN(1,MAX(Assumptions!$C$27,Assumptions!$C$13*Assumptions!$C$28^(CY$5-1))*$O59)),0)</f>
        <v>0</v>
      </c>
      <c r="DA59" s="93">
        <f>IF(AND($T59=1,DA$5&lt;=$H59),CZ59*(1-BK59)*(1-MIN(1,MAX(Assumptions!$C$27,Assumptions!$C$13*Assumptions!$C$28^(CZ$5-1))*$O59)),0)</f>
        <v>0</v>
      </c>
      <c r="DB59" s="93">
        <f>IF(AND($T59=1,DB$5&lt;=$H59),DA59*(1-BL59)*(1-MIN(1,MAX(Assumptions!$C$27,Assumptions!$C$13*Assumptions!$C$28^(DA$5-1))*$O59)),0)</f>
        <v>0</v>
      </c>
      <c r="DC59" s="93">
        <f>IF(AND($T59=1,DC$5&lt;=$H59),DB59*(1-BM59)*(1-MIN(1,MAX(Assumptions!$C$27,Assumptions!$C$13*Assumptions!$C$28^(DB$5-1))*$O59)),0)</f>
        <v>0</v>
      </c>
      <c r="DD59" s="93">
        <f>IF(AND($T59=1,DD$5&lt;=$H59),DC59*(1-BN59)*(1-MIN(1,MAX(Assumptions!$C$27,Assumptions!$C$13*Assumptions!$C$28^(DC$5-1))*$O59)),0)</f>
        <v>0</v>
      </c>
      <c r="DE59" s="93">
        <f>IF(AND($T59=1,DE$5&lt;=$H59),DD59*(1-BO59)*(1-MIN(1,MAX(Assumptions!$C$27,Assumptions!$C$13*Assumptions!$C$28^(DD$5-1))*$O59)),0)</f>
        <v>0</v>
      </c>
      <c r="DF59" s="93">
        <f>IF(AND($T59=1,DF$5&lt;=$H59),DE59*(1-BP59)*(1-MIN(1,MAX(Assumptions!$C$27,Assumptions!$C$13*Assumptions!$C$28^(DE$5-1))*$O59)),0)</f>
        <v>0</v>
      </c>
      <c r="DG59" s="93">
        <f>IF(AND($T59=1,DG$5&lt;=$H59),DF59*(1-BQ59)*(1-MIN(1,MAX(Assumptions!$C$27,Assumptions!$C$13*Assumptions!$C$28^(DF$5-1))*$O59)),0)</f>
        <v>0</v>
      </c>
      <c r="DH59" s="93">
        <f>IF(AND($T59=1,DH$5&lt;=$H59),DG59*(1-BR59)*(1-MIN(1,MAX(Assumptions!$C$27,Assumptions!$C$13*Assumptions!$C$28^(DG$5-1))*$O59)),0)</f>
        <v>0</v>
      </c>
      <c r="DI59" s="93">
        <f>IF(AND($T59=1,DI$5&lt;=$H59),DH59*(1-BS59)*(1-MIN(1,MAX(Assumptions!$C$27,Assumptions!$C$13*Assumptions!$C$28^(DH$5-1))*$O59)),0)</f>
        <v>0</v>
      </c>
      <c r="DJ59" s="93">
        <f>IF(AND($T59=1,DJ$5&lt;=$H59),DI59*(1-BT59)*(1-MIN(1,MAX(Assumptions!$C$27,Assumptions!$C$13*Assumptions!$C$28^(DI$5-1))*$O59)),0)</f>
        <v>0</v>
      </c>
      <c r="DK59" s="93">
        <f>IF(AND($T59=1,DK$5&lt;=$H59),DJ59*(1-BU59)*(1-MIN(1,MAX(Assumptions!$C$27,Assumptions!$C$13*Assumptions!$C$28^(DJ$5-1))*$O59)),0)</f>
        <v>0</v>
      </c>
      <c r="DL59" s="93">
        <f>IF(AND($T59=1,DL$5&lt;=$H59),DK59*(1-BV59)*(1-MIN(1,MAX(Assumptions!$C$27,Assumptions!$C$13*Assumptions!$C$28^(DK$5-1))*$O59)),0)</f>
        <v>0</v>
      </c>
      <c r="DM59" s="93">
        <f>IF(AND($T59=1,DM$5&lt;=$H59),DL59*(1-BW59)*(1-MIN(1,MAX(Assumptions!$C$27,Assumptions!$C$13*Assumptions!$C$28^(DL$5-1))*$O59)),0)</f>
        <v>0</v>
      </c>
      <c r="DN59" s="93">
        <f>IF(AND($T59=1,DN$5&lt;=$H59),DM59*(1-BX59)*(1-MIN(1,MAX(Assumptions!$C$27,Assumptions!$C$13*Assumptions!$C$28^(DM$5-1))*$O59)),0)</f>
        <v>0</v>
      </c>
      <c r="DO59" s="93">
        <f>IF(AND($T59=1,DO$5&lt;=$H59),DN59*(1-BY59)*(1-MIN(1,MAX(Assumptions!$C$27,Assumptions!$C$13*Assumptions!$C$28^(DN$5-1))*$O59)),0)</f>
        <v>0</v>
      </c>
      <c r="DP59" s="93">
        <f>IF(AND($T59=1,DP$5&lt;=$H59),DO59*(1-BZ59)*(1-MIN(1,MAX(Assumptions!$C$27,Assumptions!$C$13*Assumptions!$C$28^(DO$5-1))*$O59)),0)</f>
        <v>0</v>
      </c>
      <c r="DQ59" s="93">
        <f>IF(AND($T59=1,DQ$5&lt;=$H59),DP59*(1-CA59)*(1-MIN(1,MAX(Assumptions!$C$27,Assumptions!$C$13*Assumptions!$C$28^(DP$5-1))*$O59)),0)</f>
        <v>0</v>
      </c>
      <c r="DR59" s="93">
        <f>IF(AND($T59=1,DR$5&lt;=$H59),DQ59*(1-CB59)*(1-MIN(1,MAX(Assumptions!$C$27,Assumptions!$C$13*Assumptions!$C$28^(DQ$5-1))*$O59)),0)</f>
        <v>0</v>
      </c>
      <c r="DS59" s="93">
        <f>IF(AND($T59=1,DS$5&lt;=$H59),DR59*(1-CC59)*(1-MIN(1,MAX(Assumptions!$C$27,Assumptions!$C$13*Assumptions!$C$28^(DR$5-1))*$O59)),0)</f>
        <v>0</v>
      </c>
      <c r="DT59" s="93">
        <f>IF(AND($T59=1,DT$5&lt;=$H59),DS59*(1-CD59)*(1-MIN(1,MAX(Assumptions!$C$27,Assumptions!$C$13*Assumptions!$C$28^(DS$5-1))*$O59)),0)</f>
        <v>0</v>
      </c>
      <c r="DU59" s="93">
        <f>IF(AND($T59=1,DU$5&lt;=$H59),DT59*(1-CE59)*(1-MIN(1,MAX(Assumptions!$C$27,Assumptions!$C$13*Assumptions!$C$28^(DT$5-1))*$O59)),0)</f>
        <v>0</v>
      </c>
      <c r="DV59" s="93">
        <f>IF(AND($T59=1,DV$5&lt;=$H59),DU59*(1-CF59)*(1-MIN(1,MAX(Assumptions!$C$27,Assumptions!$C$13*Assumptions!$C$28^(DU$5-1))*$O59)),0)</f>
        <v>0</v>
      </c>
      <c r="DW59" s="94">
        <f>IF(AND($T59=1,DW$5&lt;=$H59),DV59*(1-CG59)*(1-MIN(1,MAX(Assumptions!$C$27,Assumptions!$C$13*Assumptions!$C$28^(DV$5-1))*$O59)),0)</f>
        <v>0</v>
      </c>
      <c r="DX59" s="26"/>
      <c r="DY59" s="399">
        <f>'Policy Data'!K33</f>
        <v>2</v>
      </c>
      <c r="DZ59" s="100">
        <f>'Policy Data'!L33</f>
        <v>0.87239999999999995</v>
      </c>
      <c r="EA59" s="100">
        <f>'Policy Data'!N33</f>
        <v>2.624E-3</v>
      </c>
      <c r="EB59" s="93" cm="1">
        <f t="array" ref="EB59">IFERROR(DZ59*INDEX(Mortality!$B$4:$E$64,MATCH(D59+DY59-1,Mortality!$A$4:$A$64,0),U59)*V59,0)</f>
        <v>2.8426792390909262E-3</v>
      </c>
      <c r="EC59" s="100">
        <f>'Policy Data'!O33</f>
        <v>0</v>
      </c>
      <c r="ED59" s="400">
        <f>'Policy Data'!Q33</f>
        <v>0</v>
      </c>
    </row>
    <row r="60" spans="1:134" x14ac:dyDescent="0.3">
      <c r="A60" s="399" t="str">
        <f>'Policy Data'!A34</f>
        <v>POL100030</v>
      </c>
      <c r="B60" s="26" t="s">
        <v>426</v>
      </c>
      <c r="C60" s="100" t="str">
        <f>'Policy Data'!B34</f>
        <v>Term Life</v>
      </c>
      <c r="D60" s="100">
        <f>'Policy Data'!C34</f>
        <v>43</v>
      </c>
      <c r="E60" s="100" t="str">
        <f>'Policy Data'!D34</f>
        <v>Male</v>
      </c>
      <c r="F60" s="100" t="str">
        <f>'Policy Data'!E34</f>
        <v>Non-smoker</v>
      </c>
      <c r="G60" s="100" t="str">
        <f>'Policy Data'!F34</f>
        <v>Standard</v>
      </c>
      <c r="H60" s="100">
        <f>'Policy Data'!G34</f>
        <v>15</v>
      </c>
      <c r="I60" s="279">
        <f>'Policy Data'!H34</f>
        <v>250000</v>
      </c>
      <c r="J60" s="100" t="str">
        <f>'Policy Data'!I34</f>
        <v>Annual</v>
      </c>
      <c r="K60" s="100" t="str">
        <f>'Policy Data'!J34</f>
        <v>Direct</v>
      </c>
      <c r="L60" s="26" t="s">
        <v>389</v>
      </c>
      <c r="M60" s="106">
        <f>'Policy Data'!R34</f>
        <v>1200</v>
      </c>
      <c r="N60" s="415">
        <f>Assumptions!$C$21</f>
        <v>1</v>
      </c>
      <c r="O60" s="415">
        <f>Assumptions!$C$22</f>
        <v>1</v>
      </c>
      <c r="P60" s="415">
        <f>Assumptions!$C$23</f>
        <v>1</v>
      </c>
      <c r="Q60" s="416">
        <f>Assumptions!$C$24</f>
        <v>0</v>
      </c>
      <c r="R60" s="416">
        <f>Assumptions!$C$6+Assumptions!$C$25</f>
        <v>3.5000000000000003E-2</v>
      </c>
      <c r="S60" s="416">
        <f>Assumptions!$C$15</f>
        <v>1.1000000000000001E-3</v>
      </c>
      <c r="T60" s="26">
        <f t="shared" si="18"/>
        <v>1</v>
      </c>
      <c r="U60" s="26">
        <f t="shared" si="19"/>
        <v>3</v>
      </c>
      <c r="V60" s="389">
        <f>IF($G60="Preferred",Assumptions!$C$30,IF($G60="Rated",Assumptions!$C$31,1))</f>
        <v>1</v>
      </c>
      <c r="W60" s="390">
        <f>IF($K60="Direct",Assumptions!$C$32,IF($K60="Broker",Assumptions!$C$33,IF($K60="Bancassurance",Assumptions!$C$34,Assumptions!$C$11)))+$Q60</f>
        <v>0.1</v>
      </c>
      <c r="X60" s="390">
        <f>Assumptions!$C$12+$Q60</f>
        <v>0.05</v>
      </c>
      <c r="Y60" s="131">
        <f>MIN($I60,Assumptions!$C$14)</f>
        <v>250000</v>
      </c>
      <c r="Z60" s="131">
        <f>MAX($I60-Assumptions!$C$14,0)</f>
        <v>0</v>
      </c>
      <c r="AA60" s="389">
        <f t="shared" si="20"/>
        <v>7.3623282207175951</v>
      </c>
      <c r="AB60" s="389">
        <f t="shared" si="21"/>
        <v>1.7536236597841023E-2</v>
      </c>
      <c r="AC60" s="389">
        <f>IF($T60=1,SUMPRODUCT($CJ60:$DW60,(1+Assumptions!$C$5)^($CJ$5:$DW$5-1),(1+$R60)^(-$CJ$5:$DW$5)),0)</f>
        <v>9.2038360098297431</v>
      </c>
      <c r="AD60" s="389">
        <f t="shared" si="22"/>
        <v>0.41642558977984112</v>
      </c>
      <c r="AE60" s="131">
        <f>IF($T60=1,$AB60*$Y60+(Assumptions!$C$9/(1+$R60)+Assumptions!$C$10*$AC60)*$P60+$S60*$Z60*$AA60,0)</f>
        <v>7278.4682890141039</v>
      </c>
      <c r="AF60" s="131">
        <f>IF($T60=1,IF($AA60-$AD60-Assumptions!$C$16*$AA60&gt;0,$AE60/($AA60-$AD60-Assumptions!$C$16*$AA60)*IF($J60="Monthly",1+Assumptions!$C$29,1),"n.a."),"")</f>
        <v>1144.9683874413172</v>
      </c>
      <c r="AG60" s="131">
        <f t="shared" si="23"/>
        <v>1200</v>
      </c>
      <c r="AH60" s="131">
        <f t="shared" si="24"/>
        <v>8834.7938648611143</v>
      </c>
      <c r="AI60" s="131">
        <f t="shared" si="25"/>
        <v>1056.6148681111999</v>
      </c>
      <c r="AJ60" s="390">
        <f t="shared" si="26"/>
        <v>0.11959700297181866</v>
      </c>
      <c r="AK60" s="389">
        <f t="shared" si="27"/>
        <v>1.0480638707254293</v>
      </c>
      <c r="AL60" s="131">
        <f t="shared" si="28"/>
        <v>0</v>
      </c>
      <c r="AM60" s="131">
        <f t="shared" si="29"/>
        <v>0</v>
      </c>
      <c r="AN60" s="131">
        <f t="shared" si="30"/>
        <v>0</v>
      </c>
      <c r="AO60" s="131">
        <f t="shared" si="31"/>
        <v>1056.6148681111999</v>
      </c>
      <c r="AP60" s="26" t="str">
        <f t="shared" si="32"/>
        <v>40-49</v>
      </c>
      <c r="AQ60" s="26" t="str">
        <f t="shared" si="33"/>
        <v>Up to 250k</v>
      </c>
      <c r="AR60" s="26" t="str">
        <f>IF($T60=1,IF($AI60&lt;0,"Loss-making",IF($AJ60&lt;Assumptions!$C$16-0.00001,"Below target","At/above target")),"Excluded")</f>
        <v>At/above target</v>
      </c>
      <c r="AS60" s="103">
        <f t="shared" si="34"/>
        <v>1056.6149281112</v>
      </c>
      <c r="AT60" s="26"/>
      <c r="AU60" s="419">
        <f>IF(AND($T60=1,AU$5&lt;=$H60),INDEX(Mortality!$B$4:$E$64,MATCH($D60+AU$5-1,Mortality!$A$4:$A$64,0),$U60)*$V60*$N60,0)</f>
        <v>1.4641198049269301E-3</v>
      </c>
      <c r="AV60" s="93">
        <f>IF(AND($T60=1,AV$5&lt;=$H60),INDEX(Mortality!$B$4:$E$64,MATCH($D60+AV$5-1,Mortality!$A$4:$A$64,0),$U60)*$V60*$N60,0)</f>
        <v>1.58606205020413E-3</v>
      </c>
      <c r="AW60" s="93">
        <f>IF(AND($T60=1,AW$5&lt;=$H60),INDEX(Mortality!$B$4:$E$64,MATCH($D60+AW$5-1,Mortality!$A$4:$A$64,0),$U60)*$V60*$N60,0)</f>
        <v>1.71816050751616E-3</v>
      </c>
      <c r="AX60" s="93">
        <f>IF(AND($T60=1,AX$5&lt;=$H60),INDEX(Mortality!$B$4:$E$64,MATCH($D60+AX$5-1,Mortality!$A$4:$A$64,0),$U60)*$V60*$N60,0)</f>
        <v>1.8612610579820999E-3</v>
      </c>
      <c r="AY60" s="93">
        <f>IF(AND($T60=1,AY$5&lt;=$H60),INDEX(Mortality!$B$4:$E$64,MATCH($D60+AY$5-1,Mortality!$A$4:$A$64,0),$U60)*$V60*$N60,0)</f>
        <v>2.0162800336790201E-3</v>
      </c>
      <c r="AZ60" s="93">
        <f>IF(AND($T60=1,AZ$5&lt;=$H60),INDEX(Mortality!$B$4:$E$64,MATCH($D60+AZ$5-1,Mortality!$A$4:$A$64,0),$U60)*$V60*$N60,0)</f>
        <v>2.1842100852957199E-3</v>
      </c>
      <c r="BA60" s="93">
        <f>IF(AND($T60=1,BA$5&lt;=$H60),INDEX(Mortality!$B$4:$E$64,MATCH($D60+BA$5-1,Mortality!$A$4:$A$64,0),$U60)*$V60*$N60,0)</f>
        <v>2.3661265384860701E-3</v>
      </c>
      <c r="BB60" s="93">
        <f>IF(AND($T60=1,BB$5&lt;=$H60),INDEX(Mortality!$B$4:$E$64,MATCH($D60+BB$5-1,Mortality!$A$4:$A$64,0),$U60)*$V60*$N60,0)</f>
        <v>2.5631942796244698E-3</v>
      </c>
      <c r="BC60" s="93">
        <f>IF(AND($T60=1,BC$5&lt;=$H60),INDEX(Mortality!$B$4:$E$64,MATCH($D60+BC$5-1,Mortality!$A$4:$A$64,0),$U60)*$V60*$N60,0)</f>
        <v>2.7766752150556202E-3</v>
      </c>
      <c r="BD60" s="93">
        <f>IF(AND($T60=1,BD$5&lt;=$H60),INDEX(Mortality!$B$4:$E$64,MATCH($D60+BD$5-1,Mortality!$A$4:$A$64,0),$U60)*$V60*$N60,0)</f>
        <v>3.0079363516033399E-3</v>
      </c>
      <c r="BE60" s="93">
        <f>IF(AND($T60=1,BE$5&lt;=$H60),INDEX(Mortality!$B$4:$E$64,MATCH($D60+BE$5-1,Mortality!$A$4:$A$64,0),$U60)*$V60*$N60,0)</f>
        <v>3.2584585500813001E-3</v>
      </c>
      <c r="BF60" s="93">
        <f>IF(AND($T60=1,BF$5&lt;=$H60),INDEX(Mortality!$B$4:$E$64,MATCH($D60+BF$5-1,Mortality!$A$4:$A$64,0),$U60)*$V60*$N60,0)</f>
        <v>3.5298460078579601E-3</v>
      </c>
      <c r="BG60" s="93">
        <f>IF(AND($T60=1,BG$5&lt;=$H60),INDEX(Mortality!$B$4:$E$64,MATCH($D60+BG$5-1,Mortality!$A$4:$A$64,0),$U60)*$V60*$N60,0)</f>
        <v>3.8238365311966099E-3</v>
      </c>
      <c r="BH60" s="93">
        <f>IF(AND($T60=1,BH$5&lt;=$H60),INDEX(Mortality!$B$4:$E$64,MATCH($D60+BH$5-1,Mortality!$A$4:$A$64,0),$U60)*$V60*$N60,0)</f>
        <v>4.1423126631483596E-3</v>
      </c>
      <c r="BI60" s="93">
        <f>IF(AND($T60=1,BI$5&lt;=$H60),INDEX(Mortality!$B$4:$E$64,MATCH($D60+BI$5-1,Mortality!$A$4:$A$64,0),$U60)*$V60*$N60,0)</f>
        <v>4.4873137382548398E-3</v>
      </c>
      <c r="BJ60" s="93">
        <f>IF(AND($T60=1,BJ$5&lt;=$H60),INDEX(Mortality!$B$4:$E$64,MATCH($D60+BJ$5-1,Mortality!$A$4:$A$64,0),$U60)*$V60*$N60,0)</f>
        <v>0</v>
      </c>
      <c r="BK60" s="93">
        <f>IF(AND($T60=1,BK$5&lt;=$H60),INDEX(Mortality!$B$4:$E$64,MATCH($D60+BK$5-1,Mortality!$A$4:$A$64,0),$U60)*$V60*$N60,0)</f>
        <v>0</v>
      </c>
      <c r="BL60" s="93">
        <f>IF(AND($T60=1,BL$5&lt;=$H60),INDEX(Mortality!$B$4:$E$64,MATCH($D60+BL$5-1,Mortality!$A$4:$A$64,0),$U60)*$V60*$N60,0)</f>
        <v>0</v>
      </c>
      <c r="BM60" s="93">
        <f>IF(AND($T60=1,BM$5&lt;=$H60),INDEX(Mortality!$B$4:$E$64,MATCH($D60+BM$5-1,Mortality!$A$4:$A$64,0),$U60)*$V60*$N60,0)</f>
        <v>0</v>
      </c>
      <c r="BN60" s="93">
        <f>IF(AND($T60=1,BN$5&lt;=$H60),INDEX(Mortality!$B$4:$E$64,MATCH($D60+BN$5-1,Mortality!$A$4:$A$64,0),$U60)*$V60*$N60,0)</f>
        <v>0</v>
      </c>
      <c r="BO60" s="93">
        <f>IF(AND($T60=1,BO$5&lt;=$H60),INDEX(Mortality!$B$4:$E$64,MATCH($D60+BO$5-1,Mortality!$A$4:$A$64,0),$U60)*$V60*$N60,0)</f>
        <v>0</v>
      </c>
      <c r="BP60" s="93">
        <f>IF(AND($T60=1,BP$5&lt;=$H60),INDEX(Mortality!$B$4:$E$64,MATCH($D60+BP$5-1,Mortality!$A$4:$A$64,0),$U60)*$V60*$N60,0)</f>
        <v>0</v>
      </c>
      <c r="BQ60" s="93">
        <f>IF(AND($T60=1,BQ$5&lt;=$H60),INDEX(Mortality!$B$4:$E$64,MATCH($D60+BQ$5-1,Mortality!$A$4:$A$64,0),$U60)*$V60*$N60,0)</f>
        <v>0</v>
      </c>
      <c r="BR60" s="93">
        <f>IF(AND($T60=1,BR$5&lt;=$H60),INDEX(Mortality!$B$4:$E$64,MATCH($D60+BR$5-1,Mortality!$A$4:$A$64,0),$U60)*$V60*$N60,0)</f>
        <v>0</v>
      </c>
      <c r="BS60" s="93">
        <f>IF(AND($T60=1,BS$5&lt;=$H60),INDEX(Mortality!$B$4:$E$64,MATCH($D60+BS$5-1,Mortality!$A$4:$A$64,0),$U60)*$V60*$N60,0)</f>
        <v>0</v>
      </c>
      <c r="BT60" s="93">
        <f>IF(AND($T60=1,BT$5&lt;=$H60),INDEX(Mortality!$B$4:$E$64,MATCH($D60+BT$5-1,Mortality!$A$4:$A$64,0),$U60)*$V60*$N60,0)</f>
        <v>0</v>
      </c>
      <c r="BU60" s="93">
        <f>IF(AND($T60=1,BU$5&lt;=$H60),INDEX(Mortality!$B$4:$E$64,MATCH($D60+BU$5-1,Mortality!$A$4:$A$64,0),$U60)*$V60*$N60,0)</f>
        <v>0</v>
      </c>
      <c r="BV60" s="93">
        <f>IF(AND($T60=1,BV$5&lt;=$H60),INDEX(Mortality!$B$4:$E$64,MATCH($D60+BV$5-1,Mortality!$A$4:$A$64,0),$U60)*$V60*$N60,0)</f>
        <v>0</v>
      </c>
      <c r="BW60" s="93">
        <f>IF(AND($T60=1,BW$5&lt;=$H60),INDEX(Mortality!$B$4:$E$64,MATCH($D60+BW$5-1,Mortality!$A$4:$A$64,0),$U60)*$V60*$N60,0)</f>
        <v>0</v>
      </c>
      <c r="BX60" s="93">
        <f>IF(AND($T60=1,BX$5&lt;=$H60),INDEX(Mortality!$B$4:$E$64,MATCH($D60+BX$5-1,Mortality!$A$4:$A$64,0),$U60)*$V60*$N60,0)</f>
        <v>0</v>
      </c>
      <c r="BY60" s="93">
        <f>IF(AND($T60=1,BY$5&lt;=$H60),INDEX(Mortality!$B$4:$E$64,MATCH($D60+BY$5-1,Mortality!$A$4:$A$64,0),$U60)*$V60*$N60,0)</f>
        <v>0</v>
      </c>
      <c r="BZ60" s="93">
        <f>IF(AND($T60=1,BZ$5&lt;=$H60),INDEX(Mortality!$B$4:$E$64,MATCH($D60+BZ$5-1,Mortality!$A$4:$A$64,0),$U60)*$V60*$N60,0)</f>
        <v>0</v>
      </c>
      <c r="CA60" s="93">
        <f>IF(AND($T60=1,CA$5&lt;=$H60),INDEX(Mortality!$B$4:$E$64,MATCH($D60+CA$5-1,Mortality!$A$4:$A$64,0),$U60)*$V60*$N60,0)</f>
        <v>0</v>
      </c>
      <c r="CB60" s="93">
        <f>IF(AND($T60=1,CB$5&lt;=$H60),INDEX(Mortality!$B$4:$E$64,MATCH($D60+CB$5-1,Mortality!$A$4:$A$64,0),$U60)*$V60*$N60,0)</f>
        <v>0</v>
      </c>
      <c r="CC60" s="93">
        <f>IF(AND($T60=1,CC$5&lt;=$H60),INDEX(Mortality!$B$4:$E$64,MATCH($D60+CC$5-1,Mortality!$A$4:$A$64,0),$U60)*$V60*$N60,0)</f>
        <v>0</v>
      </c>
      <c r="CD60" s="93">
        <f>IF(AND($T60=1,CD$5&lt;=$H60),INDEX(Mortality!$B$4:$E$64,MATCH($D60+CD$5-1,Mortality!$A$4:$A$64,0),$U60)*$V60*$N60,0)</f>
        <v>0</v>
      </c>
      <c r="CE60" s="93">
        <f>IF(AND($T60=1,CE$5&lt;=$H60),INDEX(Mortality!$B$4:$E$64,MATCH($D60+CE$5-1,Mortality!$A$4:$A$64,0),$U60)*$V60*$N60,0)</f>
        <v>0</v>
      </c>
      <c r="CF60" s="93">
        <f>IF(AND($T60=1,CF$5&lt;=$H60),INDEX(Mortality!$B$4:$E$64,MATCH($D60+CF$5-1,Mortality!$A$4:$A$64,0),$U60)*$V60*$N60,0)</f>
        <v>0</v>
      </c>
      <c r="CG60" s="93">
        <f>IF(AND($T60=1,CG$5&lt;=$H60),INDEX(Mortality!$B$4:$E$64,MATCH($D60+CG$5-1,Mortality!$A$4:$A$64,0),$U60)*$V60*$N60,0)</f>
        <v>0</v>
      </c>
      <c r="CH60" s="94">
        <f>IF(AND($T60=1,CH$5&lt;=$H60),INDEX(Mortality!$B$4:$E$64,MATCH($D60+CH$5-1,Mortality!$A$4:$A$64,0),$U60)*$V60*$N60,0)</f>
        <v>0</v>
      </c>
      <c r="CI60" s="26"/>
      <c r="CJ60" s="419">
        <f t="shared" si="35"/>
        <v>1</v>
      </c>
      <c r="CK60" s="93">
        <f>IF(AND($T60=1,CK$5&lt;=$H60),CJ60*(1-AU60)*(1-MIN(1,MAX(Assumptions!$C$27,Assumptions!$C$13*Assumptions!$C$28^(CJ$5-1))*$O60)),0)</f>
        <v>0.87871157457166438</v>
      </c>
      <c r="CL60" s="93">
        <f>IF(AND($T60=1,CL$5&lt;=$H60),CK60*(1-AV60)*(1-MIN(1,MAX(Assumptions!$C$27,Assumptions!$C$13*Assumptions!$C$28^(CK$5-1))*$O60)),0)</f>
        <v>0.78783145937416477</v>
      </c>
      <c r="CM60" s="93">
        <f>IF(AND($T60=1,CM$5&lt;=$H60),CL60*(1-AW60)*(1-MIN(1,MAX(Assumptions!$C$27,Assumptions!$C$13*Assumptions!$C$28^(CL$5-1))*$O60)),0)</f>
        <v>0.71829020987838577</v>
      </c>
      <c r="CN60" s="93">
        <f>IF(AND($T60=1,CN$5&lt;=$H60),CM60*(1-AX60)*(1-MIN(1,MAX(Assumptions!$C$27,Assumptions!$C$13*Assumptions!$C$28^(CM$5-1))*$O60)),0)</f>
        <v>0.66411741199721719</v>
      </c>
      <c r="CO60" s="93">
        <f>IF(AND($T60=1,CO$5&lt;=$H60),CN60*(1-AY60)*(1-MIN(1,MAX(Assumptions!$C$27,Assumptions!$C$13*Assumptions!$C$28^(CN$5-1))*$O60)),0)</f>
        <v>0.62126143143200807</v>
      </c>
      <c r="CP60" s="93">
        <f>IF(AND($T60=1,CP$5&lt;=$H60),CO60*(1-AZ60)*(1-MIN(1,MAX(Assumptions!$C$27,Assumptions!$C$13*Assumptions!$C$28^(CO$5-1))*$O60)),0)</f>
        <v>0.58689787737384369</v>
      </c>
      <c r="CQ60" s="93">
        <f>IF(AND($T60=1,CQ$5&lt;=$H60),CP60*(1-BA60)*(1-MIN(1,MAX(Assumptions!$C$27,Assumptions!$C$13*Assumptions!$C$28^(CP$5-1))*$O60)),0)</f>
        <v>0.55901026126633979</v>
      </c>
      <c r="CR60" s="93">
        <f>IF(AND($T60=1,CR$5&lt;=$H60),CQ60*(1-BB60)*(1-MIN(1,MAX(Assumptions!$C$27,Assumptions!$C$13*Assumptions!$C$28^(CQ$5-1))*$O60)),0)</f>
        <v>0.53612782427623407</v>
      </c>
      <c r="CS60" s="93">
        <f>IF(AND($T60=1,CS$5&lt;=$H60),CR60*(1-BC60)*(1-MIN(1,MAX(Assumptions!$C$27,Assumptions!$C$13*Assumptions!$C$28^(CR$5-1))*$O60)),0)</f>
        <v>0.51715707841078928</v>
      </c>
      <c r="CT60" s="93">
        <f>IF(AND($T60=1,CT$5&lt;=$H60),CS60*(1-BD60)*(1-MIN(1,MAX(Assumptions!$C$27,Assumptions!$C$13*Assumptions!$C$28^(CS$5-1))*$O60)),0)</f>
        <v>0.50127085736486365</v>
      </c>
      <c r="CU60" s="93">
        <f>IF(AND($T60=1,CU$5&lt;=$H60),CT60*(1-BE60)*(1-MIN(1,MAX(Assumptions!$C$27,Assumptions!$C$13*Assumptions!$C$28^(CT$5-1))*$O60)),0)</f>
        <v>0.48783358713577563</v>
      </c>
      <c r="CV60" s="93">
        <f>IF(AND($T60=1,CV$5&lt;=$H60),CU60*(1-BF60)*(1-MIN(1,MAX(Assumptions!$C$27,Assumptions!$C$13*Assumptions!$C$28^(CU$5-1))*$O60)),0)</f>
        <v>0.47634991046832587</v>
      </c>
      <c r="CW60" s="93">
        <f>IF(AND($T60=1,CW$5&lt;=$H60),CV60*(1-BG60)*(1-MIN(1,MAX(Assumptions!$C$27,Assumptions!$C$13*Assumptions!$C$28^(CV$5-1))*$O60)),0)</f>
        <v>0.46503785775346396</v>
      </c>
      <c r="CX60" s="93">
        <f>IF(AND($T60=1,CX$5&lt;=$H60),CW60*(1-BH60)*(1-MIN(1,MAX(Assumptions!$C$27,Assumptions!$C$13*Assumptions!$C$28^(CW$5-1))*$O60)),0)</f>
        <v>0.45384929503551941</v>
      </c>
      <c r="CY60" s="93">
        <f>IF(AND($T60=1,CY$5&lt;=$H60),CX60*(1-BI60)*(1-MIN(1,MAX(Assumptions!$C$27,Assumptions!$C$13*Assumptions!$C$28^(CX$5-1))*$O60)),0)</f>
        <v>0</v>
      </c>
      <c r="CZ60" s="93">
        <f>IF(AND($T60=1,CZ$5&lt;=$H60),CY60*(1-BJ60)*(1-MIN(1,MAX(Assumptions!$C$27,Assumptions!$C$13*Assumptions!$C$28^(CY$5-1))*$O60)),0)</f>
        <v>0</v>
      </c>
      <c r="DA60" s="93">
        <f>IF(AND($T60=1,DA$5&lt;=$H60),CZ60*(1-BK60)*(1-MIN(1,MAX(Assumptions!$C$27,Assumptions!$C$13*Assumptions!$C$28^(CZ$5-1))*$O60)),0)</f>
        <v>0</v>
      </c>
      <c r="DB60" s="93">
        <f>IF(AND($T60=1,DB$5&lt;=$H60),DA60*(1-BL60)*(1-MIN(1,MAX(Assumptions!$C$27,Assumptions!$C$13*Assumptions!$C$28^(DA$5-1))*$O60)),0)</f>
        <v>0</v>
      </c>
      <c r="DC60" s="93">
        <f>IF(AND($T60=1,DC$5&lt;=$H60),DB60*(1-BM60)*(1-MIN(1,MAX(Assumptions!$C$27,Assumptions!$C$13*Assumptions!$C$28^(DB$5-1))*$O60)),0)</f>
        <v>0</v>
      </c>
      <c r="DD60" s="93">
        <f>IF(AND($T60=1,DD$5&lt;=$H60),DC60*(1-BN60)*(1-MIN(1,MAX(Assumptions!$C$27,Assumptions!$C$13*Assumptions!$C$28^(DC$5-1))*$O60)),0)</f>
        <v>0</v>
      </c>
      <c r="DE60" s="93">
        <f>IF(AND($T60=1,DE$5&lt;=$H60),DD60*(1-BO60)*(1-MIN(1,MAX(Assumptions!$C$27,Assumptions!$C$13*Assumptions!$C$28^(DD$5-1))*$O60)),0)</f>
        <v>0</v>
      </c>
      <c r="DF60" s="93">
        <f>IF(AND($T60=1,DF$5&lt;=$H60),DE60*(1-BP60)*(1-MIN(1,MAX(Assumptions!$C$27,Assumptions!$C$13*Assumptions!$C$28^(DE$5-1))*$O60)),0)</f>
        <v>0</v>
      </c>
      <c r="DG60" s="93">
        <f>IF(AND($T60=1,DG$5&lt;=$H60),DF60*(1-BQ60)*(1-MIN(1,MAX(Assumptions!$C$27,Assumptions!$C$13*Assumptions!$C$28^(DF$5-1))*$O60)),0)</f>
        <v>0</v>
      </c>
      <c r="DH60" s="93">
        <f>IF(AND($T60=1,DH$5&lt;=$H60),DG60*(1-BR60)*(1-MIN(1,MAX(Assumptions!$C$27,Assumptions!$C$13*Assumptions!$C$28^(DG$5-1))*$O60)),0)</f>
        <v>0</v>
      </c>
      <c r="DI60" s="93">
        <f>IF(AND($T60=1,DI$5&lt;=$H60),DH60*(1-BS60)*(1-MIN(1,MAX(Assumptions!$C$27,Assumptions!$C$13*Assumptions!$C$28^(DH$5-1))*$O60)),0)</f>
        <v>0</v>
      </c>
      <c r="DJ60" s="93">
        <f>IF(AND($T60=1,DJ$5&lt;=$H60),DI60*(1-BT60)*(1-MIN(1,MAX(Assumptions!$C$27,Assumptions!$C$13*Assumptions!$C$28^(DI$5-1))*$O60)),0)</f>
        <v>0</v>
      </c>
      <c r="DK60" s="93">
        <f>IF(AND($T60=1,DK$5&lt;=$H60),DJ60*(1-BU60)*(1-MIN(1,MAX(Assumptions!$C$27,Assumptions!$C$13*Assumptions!$C$28^(DJ$5-1))*$O60)),0)</f>
        <v>0</v>
      </c>
      <c r="DL60" s="93">
        <f>IF(AND($T60=1,DL$5&lt;=$H60),DK60*(1-BV60)*(1-MIN(1,MAX(Assumptions!$C$27,Assumptions!$C$13*Assumptions!$C$28^(DK$5-1))*$O60)),0)</f>
        <v>0</v>
      </c>
      <c r="DM60" s="93">
        <f>IF(AND($T60=1,DM$5&lt;=$H60),DL60*(1-BW60)*(1-MIN(1,MAX(Assumptions!$C$27,Assumptions!$C$13*Assumptions!$C$28^(DL$5-1))*$O60)),0)</f>
        <v>0</v>
      </c>
      <c r="DN60" s="93">
        <f>IF(AND($T60=1,DN$5&lt;=$H60),DM60*(1-BX60)*(1-MIN(1,MAX(Assumptions!$C$27,Assumptions!$C$13*Assumptions!$C$28^(DM$5-1))*$O60)),0)</f>
        <v>0</v>
      </c>
      <c r="DO60" s="93">
        <f>IF(AND($T60=1,DO$5&lt;=$H60),DN60*(1-BY60)*(1-MIN(1,MAX(Assumptions!$C$27,Assumptions!$C$13*Assumptions!$C$28^(DN$5-1))*$O60)),0)</f>
        <v>0</v>
      </c>
      <c r="DP60" s="93">
        <f>IF(AND($T60=1,DP$5&lt;=$H60),DO60*(1-BZ60)*(1-MIN(1,MAX(Assumptions!$C$27,Assumptions!$C$13*Assumptions!$C$28^(DO$5-1))*$O60)),0)</f>
        <v>0</v>
      </c>
      <c r="DQ60" s="93">
        <f>IF(AND($T60=1,DQ$5&lt;=$H60),DP60*(1-CA60)*(1-MIN(1,MAX(Assumptions!$C$27,Assumptions!$C$13*Assumptions!$C$28^(DP$5-1))*$O60)),0)</f>
        <v>0</v>
      </c>
      <c r="DR60" s="93">
        <f>IF(AND($T60=1,DR$5&lt;=$H60),DQ60*(1-CB60)*(1-MIN(1,MAX(Assumptions!$C$27,Assumptions!$C$13*Assumptions!$C$28^(DQ$5-1))*$O60)),0)</f>
        <v>0</v>
      </c>
      <c r="DS60" s="93">
        <f>IF(AND($T60=1,DS$5&lt;=$H60),DR60*(1-CC60)*(1-MIN(1,MAX(Assumptions!$C$27,Assumptions!$C$13*Assumptions!$C$28^(DR$5-1))*$O60)),0)</f>
        <v>0</v>
      </c>
      <c r="DT60" s="93">
        <f>IF(AND($T60=1,DT$5&lt;=$H60),DS60*(1-CD60)*(1-MIN(1,MAX(Assumptions!$C$27,Assumptions!$C$13*Assumptions!$C$28^(DS$5-1))*$O60)),0)</f>
        <v>0</v>
      </c>
      <c r="DU60" s="93">
        <f>IF(AND($T60=1,DU$5&lt;=$H60),DT60*(1-CE60)*(1-MIN(1,MAX(Assumptions!$C$27,Assumptions!$C$13*Assumptions!$C$28^(DT$5-1))*$O60)),0)</f>
        <v>0</v>
      </c>
      <c r="DV60" s="93">
        <f>IF(AND($T60=1,DV$5&lt;=$H60),DU60*(1-CF60)*(1-MIN(1,MAX(Assumptions!$C$27,Assumptions!$C$13*Assumptions!$C$28^(DU$5-1))*$O60)),0)</f>
        <v>0</v>
      </c>
      <c r="DW60" s="94">
        <f>IF(AND($T60=1,DW$5&lt;=$H60),DV60*(1-CG60)*(1-MIN(1,MAX(Assumptions!$C$27,Assumptions!$C$13*Assumptions!$C$28^(DV$5-1))*$O60)),0)</f>
        <v>0</v>
      </c>
      <c r="DX60" s="26"/>
      <c r="DY60" s="399">
        <f>'Policy Data'!K34</f>
        <v>7</v>
      </c>
      <c r="DZ60" s="100">
        <f>'Policy Data'!L34</f>
        <v>0.83979999999999999</v>
      </c>
      <c r="EA60" s="100">
        <f>'Policy Data'!N34</f>
        <v>1.23E-3</v>
      </c>
      <c r="EB60" s="93" cm="1">
        <f t="array" ref="EB60">IFERROR(DZ60*INDEX(Mortality!$B$4:$E$64,MATCH(D60+DY60-1,Mortality!$A$4:$A$64,0),U60)*V60,0)</f>
        <v>1.9870730670206015E-3</v>
      </c>
      <c r="EC60" s="100">
        <f>'Policy Data'!O34</f>
        <v>0</v>
      </c>
      <c r="ED60" s="400">
        <f>'Policy Data'!Q34</f>
        <v>0</v>
      </c>
    </row>
    <row r="61" spans="1:134" x14ac:dyDescent="0.3">
      <c r="A61" s="399" t="str">
        <f>'Policy Data'!A35</f>
        <v>POL100031</v>
      </c>
      <c r="B61" s="26" t="s">
        <v>426</v>
      </c>
      <c r="C61" s="100" t="str">
        <f>'Policy Data'!B35</f>
        <v>Term Life</v>
      </c>
      <c r="D61" s="100">
        <f>'Policy Data'!C35</f>
        <v>53</v>
      </c>
      <c r="E61" s="100" t="str">
        <f>'Policy Data'!D35</f>
        <v>Female</v>
      </c>
      <c r="F61" s="100" t="str">
        <f>'Policy Data'!E35</f>
        <v>Non-smoker</v>
      </c>
      <c r="G61" s="100" t="str">
        <f>'Policy Data'!F35</f>
        <v>Standard</v>
      </c>
      <c r="H61" s="100">
        <f>'Policy Data'!G35</f>
        <v>20</v>
      </c>
      <c r="I61" s="279">
        <f>'Policy Data'!H35</f>
        <v>250000</v>
      </c>
      <c r="J61" s="100" t="str">
        <f>'Policy Data'!I35</f>
        <v>Monthly</v>
      </c>
      <c r="K61" s="100" t="str">
        <f>'Policy Data'!J35</f>
        <v>Bancassurance</v>
      </c>
      <c r="L61" s="26" t="s">
        <v>389</v>
      </c>
      <c r="M61" s="106">
        <f>'Policy Data'!R35</f>
        <v>1327.99</v>
      </c>
      <c r="N61" s="415">
        <f>Assumptions!$C$21</f>
        <v>1</v>
      </c>
      <c r="O61" s="415">
        <f>Assumptions!$C$22</f>
        <v>1</v>
      </c>
      <c r="P61" s="415">
        <f>Assumptions!$C$23</f>
        <v>1</v>
      </c>
      <c r="Q61" s="416">
        <f>Assumptions!$C$24</f>
        <v>0</v>
      </c>
      <c r="R61" s="416">
        <f>Assumptions!$C$6+Assumptions!$C$25</f>
        <v>3.5000000000000003E-2</v>
      </c>
      <c r="S61" s="416">
        <f>Assumptions!$C$15</f>
        <v>1.1000000000000001E-3</v>
      </c>
      <c r="T61" s="26">
        <f t="shared" si="18"/>
        <v>1</v>
      </c>
      <c r="U61" s="26">
        <f t="shared" si="19"/>
        <v>1</v>
      </c>
      <c r="V61" s="389">
        <f>IF($G61="Preferred",Assumptions!$C$30,IF($G61="Rated",Assumptions!$C$31,1))</f>
        <v>1</v>
      </c>
      <c r="W61" s="390">
        <f>IF($K61="Direct",Assumptions!$C$32,IF($K61="Broker",Assumptions!$C$33,IF($K61="Bancassurance",Assumptions!$C$34,Assumptions!$C$11)))+$Q61</f>
        <v>0.2</v>
      </c>
      <c r="X61" s="390">
        <f>Assumptions!$C$12+$Q61</f>
        <v>0.05</v>
      </c>
      <c r="Y61" s="131">
        <f>MIN($I61,Assumptions!$C$14)</f>
        <v>250000</v>
      </c>
      <c r="Z61" s="131">
        <f>MAX($I61-Assumptions!$C$14,0)</f>
        <v>0</v>
      </c>
      <c r="AA61" s="389">
        <f t="shared" si="20"/>
        <v>8.4101881396321954</v>
      </c>
      <c r="AB61" s="389">
        <f t="shared" si="21"/>
        <v>3.8855056719231791E-2</v>
      </c>
      <c r="AC61" s="389">
        <f>IF($T61=1,SUMPRODUCT($CJ61:$DW61,(1+Assumptions!$C$5)^($CJ$5:$DW$5-1),(1+$R61)^(-$CJ$5:$DW$5)),0)</f>
        <v>11.263354528101639</v>
      </c>
      <c r="AD61" s="389">
        <f t="shared" si="22"/>
        <v>0.5654369432134938</v>
      </c>
      <c r="AE61" s="131">
        <f>IF($T61=1,$AB61*$Y61+(Assumptions!$C$9/(1+$R61)+Assumptions!$C$10*$AC61)*$P61+$S61*$Z61*$AA61,0)</f>
        <v>13061.267393381613</v>
      </c>
      <c r="AF61" s="131">
        <f>IF($T61=1,IF($AA61-$AD61-Assumptions!$C$16*$AA61&gt;0,$AE61/($AA61-$AD61-Assumptions!$C$16*$AA61)*IF($J61="Monthly",1+Assumptions!$C$29,1),"n.a."),"")</f>
        <v>1875.7982701918811</v>
      </c>
      <c r="AG61" s="131">
        <f t="shared" si="23"/>
        <v>1327.99</v>
      </c>
      <c r="AH61" s="131">
        <f t="shared" si="24"/>
        <v>11168.645747550159</v>
      </c>
      <c r="AI61" s="131">
        <f t="shared" si="25"/>
        <v>-2643.5162520495414</v>
      </c>
      <c r="AJ61" s="390">
        <f t="shared" si="26"/>
        <v>-0.23669084970569473</v>
      </c>
      <c r="AK61" s="389">
        <f t="shared" si="27"/>
        <v>0.7079599235711822</v>
      </c>
      <c r="AL61" s="131">
        <f t="shared" si="28"/>
        <v>0</v>
      </c>
      <c r="AM61" s="131">
        <f t="shared" si="29"/>
        <v>0</v>
      </c>
      <c r="AN61" s="131">
        <f t="shared" si="30"/>
        <v>0</v>
      </c>
      <c r="AO61" s="131">
        <f t="shared" si="31"/>
        <v>-2643.5162520495414</v>
      </c>
      <c r="AP61" s="26" t="str">
        <f t="shared" si="32"/>
        <v>50-59</v>
      </c>
      <c r="AQ61" s="26" t="str">
        <f t="shared" si="33"/>
        <v>Up to 250k</v>
      </c>
      <c r="AR61" s="26" t="str">
        <f>IF($T61=1,IF($AI61&lt;0,"Loss-making",IF($AJ61&lt;Assumptions!$C$16-0.00001,"Below target","At/above target")),"Excluded")</f>
        <v>Loss-making</v>
      </c>
      <c r="AS61" s="103">
        <f t="shared" si="34"/>
        <v>-2643.5161910495412</v>
      </c>
      <c r="AT61" s="26"/>
      <c r="AU61" s="419">
        <f>IF(AND($T61=1,AU$5&lt;=$H61),INDEX(Mortality!$B$4:$E$64,MATCH($D61+AU$5-1,Mortality!$A$4:$A$64,0),$U61)*$V61*$N61,0)</f>
        <v>2.4084258848427E-3</v>
      </c>
      <c r="AV61" s="93">
        <f>IF(AND($T61=1,AV$5&lt;=$H61),INDEX(Mortality!$B$4:$E$64,MATCH($D61+AV$5-1,Mortality!$A$4:$A$64,0),$U61)*$V61*$N61,0)</f>
        <v>2.6090166145037101E-3</v>
      </c>
      <c r="AW61" s="93">
        <f>IF(AND($T61=1,AW$5&lt;=$H61),INDEX(Mortality!$B$4:$E$64,MATCH($D61+AW$5-1,Mortality!$A$4:$A$64,0),$U61)*$V61*$N61,0)</f>
        <v>2.8263139578409702E-3</v>
      </c>
      <c r="AX61" s="93">
        <f>IF(AND($T61=1,AX$5&lt;=$H61),INDEX(Mortality!$B$4:$E$64,MATCH($D61+AX$5-1,Mortality!$A$4:$A$64,0),$U61)*$V61*$N61,0)</f>
        <v>3.0617093597183598E-3</v>
      </c>
      <c r="AY61" s="93">
        <f>IF(AND($T61=1,AY$5&lt;=$H61),INDEX(Mortality!$B$4:$E$64,MATCH($D61+AY$5-1,Mortality!$A$4:$A$64,0),$U61)*$V61*$N61,0)</f>
        <v>3.31671015436227E-3</v>
      </c>
      <c r="AZ61" s="93">
        <f>IF(AND($T61=1,AZ$5&lt;=$H61),INDEX(Mortality!$B$4:$E$64,MATCH($D61+AZ$5-1,Mortality!$A$4:$A$64,0),$U61)*$V61*$N61,0)</f>
        <v>3.5929492174468702E-3</v>
      </c>
      <c r="BA61" s="93">
        <f>IF(AND($T61=1,BA$5&lt;=$H61),INDEX(Mortality!$B$4:$E$64,MATCH($D61+BA$5-1,Mortality!$A$4:$A$64,0),$U61)*$V61*$N61,0)</f>
        <v>3.8921954220730499E-3</v>
      </c>
      <c r="BB61" s="93">
        <f>IF(AND($T61=1,BB$5&lt;=$H61),INDEX(Mortality!$B$4:$E$64,MATCH($D61+BB$5-1,Mortality!$A$4:$A$64,0),$U61)*$V61*$N61,0)</f>
        <v>4.2163649655954103E-3</v>
      </c>
      <c r="BC61" s="93">
        <f>IF(AND($T61=1,BC$5&lt;=$H61),INDEX(Mortality!$B$4:$E$64,MATCH($D61+BC$5-1,Mortality!$A$4:$A$64,0),$U61)*$V61*$N61,0)</f>
        <v>4.5675336398272801E-3</v>
      </c>
      <c r="BD61" s="93">
        <f>IF(AND($T61=1,BD$5&lt;=$H61),INDEX(Mortality!$B$4:$E$64,MATCH($D61+BD$5-1,Mortality!$A$4:$A$64,0),$U61)*$V61*$N61,0)</f>
        <v>4.9479501231952296E-3</v>
      </c>
      <c r="BE61" s="93">
        <f>IF(AND($T61=1,BE$5&lt;=$H61),INDEX(Mortality!$B$4:$E$64,MATCH($D61+BE$5-1,Mortality!$A$4:$A$64,0),$U61)*$V61*$N61,0)</f>
        <v>5.36005037995811E-3</v>
      </c>
      <c r="BF61" s="93">
        <f>IF(AND($T61=1,BF$5&lt;=$H61),INDEX(Mortality!$B$4:$E$64,MATCH($D61+BF$5-1,Mortality!$A$4:$A$64,0),$U61)*$V61*$N61,0)</f>
        <v>5.8064732586948697E-3</v>
      </c>
      <c r="BG61" s="93">
        <f>IF(AND($T61=1,BG$5&lt;=$H61),INDEX(Mortality!$B$4:$E$64,MATCH($D61+BG$5-1,Mortality!$A$4:$A$64,0),$U61)*$V61*$N61,0)</f>
        <v>6.2900773899446198E-3</v>
      </c>
      <c r="BH61" s="93">
        <f>IF(AND($T61=1,BH$5&lt;=$H61),INDEX(Mortality!$B$4:$E$64,MATCH($D61+BH$5-1,Mortality!$A$4:$A$64,0),$U61)*$V61*$N61,0)</f>
        <v>6.8139594912016701E-3</v>
      </c>
      <c r="BI61" s="93">
        <f>IF(AND($T61=1,BI$5&lt;=$H61),INDEX(Mortality!$B$4:$E$64,MATCH($D61+BI$5-1,Mortality!$A$4:$A$64,0),$U61)*$V61*$N61,0)</f>
        <v>7.3814741964798002E-3</v>
      </c>
      <c r="BJ61" s="93">
        <f>IF(AND($T61=1,BJ$5&lt;=$H61),INDEX(Mortality!$B$4:$E$64,MATCH($D61+BJ$5-1,Mortality!$A$4:$A$64,0),$U61)*$V61*$N61,0)</f>
        <v>7.9962555374229801E-3</v>
      </c>
      <c r="BK61" s="93">
        <f>IF(AND($T61=1,BK$5&lt;=$H61),INDEX(Mortality!$B$4:$E$64,MATCH($D61+BK$5-1,Mortality!$A$4:$A$64,0),$U61)*$V61*$N61,0)</f>
        <v>8.6622402135145896E-3</v>
      </c>
      <c r="BL61" s="93">
        <f>IF(AND($T61=1,BL$5&lt;=$H61),INDEX(Mortality!$B$4:$E$64,MATCH($D61+BL$5-1,Mortality!$A$4:$A$64,0),$U61)*$V61*$N61,0)</f>
        <v>9.3836928003943297E-3</v>
      </c>
      <c r="BM61" s="93">
        <f>IF(AND($T61=1,BM$5&lt;=$H61),INDEX(Mortality!$B$4:$E$64,MATCH($D61+BM$5-1,Mortality!$A$4:$A$64,0),$U61)*$V61*$N61,0)</f>
        <v>1.0165233057701799E-2</v>
      </c>
      <c r="BN61" s="93">
        <f>IF(AND($T61=1,BN$5&lt;=$H61),INDEX(Mortality!$B$4:$E$64,MATCH($D61+BN$5-1,Mortality!$A$4:$A$64,0),$U61)*$V61*$N61,0)</f>
        <v>1.1011865511310301E-2</v>
      </c>
      <c r="BO61" s="93">
        <f>IF(AND($T61=1,BO$5&lt;=$H61),INDEX(Mortality!$B$4:$E$64,MATCH($D61+BO$5-1,Mortality!$A$4:$A$64,0),$U61)*$V61*$N61,0)</f>
        <v>0</v>
      </c>
      <c r="BP61" s="93">
        <f>IF(AND($T61=1,BP$5&lt;=$H61),INDEX(Mortality!$B$4:$E$64,MATCH($D61+BP$5-1,Mortality!$A$4:$A$64,0),$U61)*$V61*$N61,0)</f>
        <v>0</v>
      </c>
      <c r="BQ61" s="93">
        <f>IF(AND($T61=1,BQ$5&lt;=$H61),INDEX(Mortality!$B$4:$E$64,MATCH($D61+BQ$5-1,Mortality!$A$4:$A$64,0),$U61)*$V61*$N61,0)</f>
        <v>0</v>
      </c>
      <c r="BR61" s="93">
        <f>IF(AND($T61=1,BR$5&lt;=$H61),INDEX(Mortality!$B$4:$E$64,MATCH($D61+BR$5-1,Mortality!$A$4:$A$64,0),$U61)*$V61*$N61,0)</f>
        <v>0</v>
      </c>
      <c r="BS61" s="93">
        <f>IF(AND($T61=1,BS$5&lt;=$H61),INDEX(Mortality!$B$4:$E$64,MATCH($D61+BS$5-1,Mortality!$A$4:$A$64,0),$U61)*$V61*$N61,0)</f>
        <v>0</v>
      </c>
      <c r="BT61" s="93">
        <f>IF(AND($T61=1,BT$5&lt;=$H61),INDEX(Mortality!$B$4:$E$64,MATCH($D61+BT$5-1,Mortality!$A$4:$A$64,0),$U61)*$V61*$N61,0)</f>
        <v>0</v>
      </c>
      <c r="BU61" s="93">
        <f>IF(AND($T61=1,BU$5&lt;=$H61),INDEX(Mortality!$B$4:$E$64,MATCH($D61+BU$5-1,Mortality!$A$4:$A$64,0),$U61)*$V61*$N61,0)</f>
        <v>0</v>
      </c>
      <c r="BV61" s="93">
        <f>IF(AND($T61=1,BV$5&lt;=$H61),INDEX(Mortality!$B$4:$E$64,MATCH($D61+BV$5-1,Mortality!$A$4:$A$64,0),$U61)*$V61*$N61,0)</f>
        <v>0</v>
      </c>
      <c r="BW61" s="93">
        <f>IF(AND($T61=1,BW$5&lt;=$H61),INDEX(Mortality!$B$4:$E$64,MATCH($D61+BW$5-1,Mortality!$A$4:$A$64,0),$U61)*$V61*$N61,0)</f>
        <v>0</v>
      </c>
      <c r="BX61" s="93">
        <f>IF(AND($T61=1,BX$5&lt;=$H61),INDEX(Mortality!$B$4:$E$64,MATCH($D61+BX$5-1,Mortality!$A$4:$A$64,0),$U61)*$V61*$N61,0)</f>
        <v>0</v>
      </c>
      <c r="BY61" s="93">
        <f>IF(AND($T61=1,BY$5&lt;=$H61),INDEX(Mortality!$B$4:$E$64,MATCH($D61+BY$5-1,Mortality!$A$4:$A$64,0),$U61)*$V61*$N61,0)</f>
        <v>0</v>
      </c>
      <c r="BZ61" s="93">
        <f>IF(AND($T61=1,BZ$5&lt;=$H61),INDEX(Mortality!$B$4:$E$64,MATCH($D61+BZ$5-1,Mortality!$A$4:$A$64,0),$U61)*$V61*$N61,0)</f>
        <v>0</v>
      </c>
      <c r="CA61" s="93">
        <f>IF(AND($T61=1,CA$5&lt;=$H61),INDEX(Mortality!$B$4:$E$64,MATCH($D61+CA$5-1,Mortality!$A$4:$A$64,0),$U61)*$V61*$N61,0)</f>
        <v>0</v>
      </c>
      <c r="CB61" s="93">
        <f>IF(AND($T61=1,CB$5&lt;=$H61),INDEX(Mortality!$B$4:$E$64,MATCH($D61+CB$5-1,Mortality!$A$4:$A$64,0),$U61)*$V61*$N61,0)</f>
        <v>0</v>
      </c>
      <c r="CC61" s="93">
        <f>IF(AND($T61=1,CC$5&lt;=$H61),INDEX(Mortality!$B$4:$E$64,MATCH($D61+CC$5-1,Mortality!$A$4:$A$64,0),$U61)*$V61*$N61,0)</f>
        <v>0</v>
      </c>
      <c r="CD61" s="93">
        <f>IF(AND($T61=1,CD$5&lt;=$H61),INDEX(Mortality!$B$4:$E$64,MATCH($D61+CD$5-1,Mortality!$A$4:$A$64,0),$U61)*$V61*$N61,0)</f>
        <v>0</v>
      </c>
      <c r="CE61" s="93">
        <f>IF(AND($T61=1,CE$5&lt;=$H61),INDEX(Mortality!$B$4:$E$64,MATCH($D61+CE$5-1,Mortality!$A$4:$A$64,0),$U61)*$V61*$N61,0)</f>
        <v>0</v>
      </c>
      <c r="CF61" s="93">
        <f>IF(AND($T61=1,CF$5&lt;=$H61),INDEX(Mortality!$B$4:$E$64,MATCH($D61+CF$5-1,Mortality!$A$4:$A$64,0),$U61)*$V61*$N61,0)</f>
        <v>0</v>
      </c>
      <c r="CG61" s="93">
        <f>IF(AND($T61=1,CG$5&lt;=$H61),INDEX(Mortality!$B$4:$E$64,MATCH($D61+CG$5-1,Mortality!$A$4:$A$64,0),$U61)*$V61*$N61,0)</f>
        <v>0</v>
      </c>
      <c r="CH61" s="94">
        <f>IF(AND($T61=1,CH$5&lt;=$H61),INDEX(Mortality!$B$4:$E$64,MATCH($D61+CH$5-1,Mortality!$A$4:$A$64,0),$U61)*$V61*$N61,0)</f>
        <v>0</v>
      </c>
      <c r="CI61" s="26"/>
      <c r="CJ61" s="419">
        <f t="shared" si="35"/>
        <v>1</v>
      </c>
      <c r="CK61" s="93">
        <f>IF(AND($T61=1,CK$5&lt;=$H61),CJ61*(1-AU61)*(1-MIN(1,MAX(Assumptions!$C$27,Assumptions!$C$13*Assumptions!$C$28^(CJ$5-1))*$O61)),0)</f>
        <v>0.87788058522133838</v>
      </c>
      <c r="CL61" s="93">
        <f>IF(AND($T61=1,CL$5&lt;=$H61),CK61*(1-AV61)*(1-MIN(1,MAX(Assumptions!$C$27,Assumptions!$C$13*Assumptions!$C$28^(CK$5-1))*$O61)),0)</f>
        <v>0.78627998180967318</v>
      </c>
      <c r="CM61" s="93">
        <f>IF(AND($T61=1,CM$5&lt;=$H61),CL61*(1-AW61)*(1-MIN(1,MAX(Assumptions!$C$27,Assumptions!$C$13*Assumptions!$C$28^(CL$5-1))*$O61)),0)</f>
        <v>0.71607990446278891</v>
      </c>
      <c r="CN61" s="93">
        <f>IF(AND($T61=1,CN$5&lt;=$H61),CM61*(1-AX61)*(1-MIN(1,MAX(Assumptions!$C$27,Assumptions!$C$13*Assumptions!$C$28^(CM$5-1))*$O61)),0)</f>
        <v>0.66127753837928649</v>
      </c>
      <c r="CO61" s="93">
        <f>IF(AND($T61=1,CO$5&lt;=$H61),CN61*(1-AY61)*(1-MIN(1,MAX(Assumptions!$C$27,Assumptions!$C$13*Assumptions!$C$28^(CN$5-1))*$O61)),0)</f>
        <v>0.6177987393132387</v>
      </c>
      <c r="CP61" s="93">
        <f>IF(AND($T61=1,CP$5&lt;=$H61),CO61*(1-AZ61)*(1-MIN(1,MAX(Assumptions!$C$27,Assumptions!$C$13*Assumptions!$C$28^(CO$5-1))*$O61)),0)</f>
        <v>0.5828027380535602</v>
      </c>
      <c r="CQ61" s="93">
        <f>IF(AND($T61=1,CQ$5&lt;=$H61),CP61*(1-BA61)*(1-MIN(1,MAX(Assumptions!$C$27,Assumptions!$C$13*Assumptions!$C$28^(CP$5-1))*$O61)),0)</f>
        <v>0.55426056576856841</v>
      </c>
      <c r="CR61" s="93">
        <f>IF(AND($T61=1,CR$5&lt;=$H61),CQ61*(1-BB61)*(1-MIN(1,MAX(Assumptions!$C$27,Assumptions!$C$13*Assumptions!$C$28^(CQ$5-1))*$O61)),0)</f>
        <v>0.53069151362419076</v>
      </c>
      <c r="CS61" s="93">
        <f>IF(AND($T61=1,CS$5&lt;=$H61),CR61*(1-BC61)*(1-MIN(1,MAX(Assumptions!$C$27,Assumptions!$C$13*Assumptions!$C$28^(CR$5-1))*$O61)),0)</f>
        <v>0.5109938136344182</v>
      </c>
      <c r="CT61" s="93">
        <f>IF(AND($T61=1,CT$5&lt;=$H61),CS61*(1-BD61)*(1-MIN(1,MAX(Assumptions!$C$27,Assumptions!$C$13*Assumptions!$C$28^(CS$5-1))*$O61)),0)</f>
        <v>0.49433313618277264</v>
      </c>
      <c r="CU61" s="93">
        <f>IF(AND($T61=1,CU$5&lt;=$H61),CT61*(1-BE61)*(1-MIN(1,MAX(Assumptions!$C$27,Assumptions!$C$13*Assumptions!$C$28^(CT$5-1))*$O61)),0)</f>
        <v>0.48006749846453511</v>
      </c>
      <c r="CV61" s="93">
        <f>IF(AND($T61=1,CV$5&lt;=$H61),CU61*(1-BF61)*(1-MIN(1,MAX(Assumptions!$C$27,Assumptions!$C$13*Assumptions!$C$28^(CU$5-1))*$O61)),0)</f>
        <v>0.46769564938315505</v>
      </c>
      <c r="CW61" s="93">
        <f>IF(AND($T61=1,CW$5&lt;=$H61),CV61*(1-BG61)*(1-MIN(1,MAX(Assumptions!$C$27,Assumptions!$C$13*Assumptions!$C$28^(CV$5-1))*$O61)),0)</f>
        <v>0.45545873140252274</v>
      </c>
      <c r="CX61" s="93">
        <f>IF(AND($T61=1,CX$5&lt;=$H61),CW61*(1-BH61)*(1-MIN(1,MAX(Assumptions!$C$27,Assumptions!$C$13*Assumptions!$C$28^(CW$5-1))*$O61)),0)</f>
        <v>0.4433081489756952</v>
      </c>
      <c r="CY61" s="93">
        <f>IF(AND($T61=1,CY$5&lt;=$H61),CX61*(1-BI61)*(1-MIN(1,MAX(Assumptions!$C$27,Assumptions!$C$13*Assumptions!$C$28^(CX$5-1))*$O61)),0)</f>
        <v>0.43123516368668302</v>
      </c>
      <c r="CZ61" s="93">
        <f>IF(AND($T61=1,CZ$5&lt;=$H61),CY61*(1-BJ61)*(1-MIN(1,MAX(Assumptions!$C$27,Assumptions!$C$13*Assumptions!$C$28^(CY$5-1))*$O61)),0)</f>
        <v>0.41923115917869946</v>
      </c>
      <c r="DA61" s="93">
        <f>IF(AND($T61=1,DA$5&lt;=$H61),CZ61*(1-BK61)*(1-MIN(1,MAX(Assumptions!$C$27,Assumptions!$C$13*Assumptions!$C$28^(CZ$5-1))*$O61)),0)</f>
        <v>0.40728768460944531</v>
      </c>
      <c r="DB61" s="93">
        <f>IF(AND($T61=1,DB$5&lt;=$H61),DA61*(1-BL61)*(1-MIN(1,MAX(Assumptions!$C$27,Assumptions!$C$13*Assumptions!$C$28^(DA$5-1))*$O61)),0)</f>
        <v>0.39539650565377266</v>
      </c>
      <c r="DC61" s="93">
        <f>IF(AND($T61=1,DC$5&lt;=$H61),DB61*(1-BM61)*(1-MIN(1,MAX(Assumptions!$C$27,Assumptions!$C$13*Assumptions!$C$28^(DB$5-1))*$O61)),0)</f>
        <v>0.38354966386312911</v>
      </c>
      <c r="DD61" s="93">
        <f>IF(AND($T61=1,DD$5&lt;=$H61),DC61*(1-BN61)*(1-MIN(1,MAX(Assumptions!$C$27,Assumptions!$C$13*Assumptions!$C$28^(DC$5-1))*$O61)),0)</f>
        <v>0</v>
      </c>
      <c r="DE61" s="93">
        <f>IF(AND($T61=1,DE$5&lt;=$H61),DD61*(1-BO61)*(1-MIN(1,MAX(Assumptions!$C$27,Assumptions!$C$13*Assumptions!$C$28^(DD$5-1))*$O61)),0)</f>
        <v>0</v>
      </c>
      <c r="DF61" s="93">
        <f>IF(AND($T61=1,DF$5&lt;=$H61),DE61*(1-BP61)*(1-MIN(1,MAX(Assumptions!$C$27,Assumptions!$C$13*Assumptions!$C$28^(DE$5-1))*$O61)),0)</f>
        <v>0</v>
      </c>
      <c r="DG61" s="93">
        <f>IF(AND($T61=1,DG$5&lt;=$H61),DF61*(1-BQ61)*(1-MIN(1,MAX(Assumptions!$C$27,Assumptions!$C$13*Assumptions!$C$28^(DF$5-1))*$O61)),0)</f>
        <v>0</v>
      </c>
      <c r="DH61" s="93">
        <f>IF(AND($T61=1,DH$5&lt;=$H61),DG61*(1-BR61)*(1-MIN(1,MAX(Assumptions!$C$27,Assumptions!$C$13*Assumptions!$C$28^(DG$5-1))*$O61)),0)</f>
        <v>0</v>
      </c>
      <c r="DI61" s="93">
        <f>IF(AND($T61=1,DI$5&lt;=$H61),DH61*(1-BS61)*(1-MIN(1,MAX(Assumptions!$C$27,Assumptions!$C$13*Assumptions!$C$28^(DH$5-1))*$O61)),0)</f>
        <v>0</v>
      </c>
      <c r="DJ61" s="93">
        <f>IF(AND($T61=1,DJ$5&lt;=$H61),DI61*(1-BT61)*(1-MIN(1,MAX(Assumptions!$C$27,Assumptions!$C$13*Assumptions!$C$28^(DI$5-1))*$O61)),0)</f>
        <v>0</v>
      </c>
      <c r="DK61" s="93">
        <f>IF(AND($T61=1,DK$5&lt;=$H61),DJ61*(1-BU61)*(1-MIN(1,MAX(Assumptions!$C$27,Assumptions!$C$13*Assumptions!$C$28^(DJ$5-1))*$O61)),0)</f>
        <v>0</v>
      </c>
      <c r="DL61" s="93">
        <f>IF(AND($T61=1,DL$5&lt;=$H61),DK61*(1-BV61)*(1-MIN(1,MAX(Assumptions!$C$27,Assumptions!$C$13*Assumptions!$C$28^(DK$5-1))*$O61)),0)</f>
        <v>0</v>
      </c>
      <c r="DM61" s="93">
        <f>IF(AND($T61=1,DM$5&lt;=$H61),DL61*(1-BW61)*(1-MIN(1,MAX(Assumptions!$C$27,Assumptions!$C$13*Assumptions!$C$28^(DL$5-1))*$O61)),0)</f>
        <v>0</v>
      </c>
      <c r="DN61" s="93">
        <f>IF(AND($T61=1,DN$5&lt;=$H61),DM61*(1-BX61)*(1-MIN(1,MAX(Assumptions!$C$27,Assumptions!$C$13*Assumptions!$C$28^(DM$5-1))*$O61)),0)</f>
        <v>0</v>
      </c>
      <c r="DO61" s="93">
        <f>IF(AND($T61=1,DO$5&lt;=$H61),DN61*(1-BY61)*(1-MIN(1,MAX(Assumptions!$C$27,Assumptions!$C$13*Assumptions!$C$28^(DN$5-1))*$O61)),0)</f>
        <v>0</v>
      </c>
      <c r="DP61" s="93">
        <f>IF(AND($T61=1,DP$5&lt;=$H61),DO61*(1-BZ61)*(1-MIN(1,MAX(Assumptions!$C$27,Assumptions!$C$13*Assumptions!$C$28^(DO$5-1))*$O61)),0)</f>
        <v>0</v>
      </c>
      <c r="DQ61" s="93">
        <f>IF(AND($T61=1,DQ$5&lt;=$H61),DP61*(1-CA61)*(1-MIN(1,MAX(Assumptions!$C$27,Assumptions!$C$13*Assumptions!$C$28^(DP$5-1))*$O61)),0)</f>
        <v>0</v>
      </c>
      <c r="DR61" s="93">
        <f>IF(AND($T61=1,DR$5&lt;=$H61),DQ61*(1-CB61)*(1-MIN(1,MAX(Assumptions!$C$27,Assumptions!$C$13*Assumptions!$C$28^(DQ$5-1))*$O61)),0)</f>
        <v>0</v>
      </c>
      <c r="DS61" s="93">
        <f>IF(AND($T61=1,DS$5&lt;=$H61),DR61*(1-CC61)*(1-MIN(1,MAX(Assumptions!$C$27,Assumptions!$C$13*Assumptions!$C$28^(DR$5-1))*$O61)),0)</f>
        <v>0</v>
      </c>
      <c r="DT61" s="93">
        <f>IF(AND($T61=1,DT$5&lt;=$H61),DS61*(1-CD61)*(1-MIN(1,MAX(Assumptions!$C$27,Assumptions!$C$13*Assumptions!$C$28^(DS$5-1))*$O61)),0)</f>
        <v>0</v>
      </c>
      <c r="DU61" s="93">
        <f>IF(AND($T61=1,DU$5&lt;=$H61),DT61*(1-CE61)*(1-MIN(1,MAX(Assumptions!$C$27,Assumptions!$C$13*Assumptions!$C$28^(DT$5-1))*$O61)),0)</f>
        <v>0</v>
      </c>
      <c r="DV61" s="93">
        <f>IF(AND($T61=1,DV$5&lt;=$H61),DU61*(1-CF61)*(1-MIN(1,MAX(Assumptions!$C$27,Assumptions!$C$13*Assumptions!$C$28^(DU$5-1))*$O61)),0)</f>
        <v>0</v>
      </c>
      <c r="DW61" s="94">
        <f>IF(AND($T61=1,DW$5&lt;=$H61),DV61*(1-CG61)*(1-MIN(1,MAX(Assumptions!$C$27,Assumptions!$C$13*Assumptions!$C$28^(DV$5-1))*$O61)),0)</f>
        <v>0</v>
      </c>
      <c r="DX61" s="26"/>
      <c r="DY61" s="399">
        <f>'Policy Data'!K35</f>
        <v>2</v>
      </c>
      <c r="DZ61" s="100">
        <f>'Policy Data'!L35</f>
        <v>0.6129</v>
      </c>
      <c r="EA61" s="100">
        <f>'Policy Data'!N35</f>
        <v>1.4760000000000001E-3</v>
      </c>
      <c r="EB61" s="93" cm="1">
        <f t="array" ref="EB61">IFERROR(DZ61*INDEX(Mortality!$B$4:$E$64,MATCH(D61+DY61-1,Mortality!$A$4:$A$64,0),U61)*V61,0)</f>
        <v>1.5990662830293238E-3</v>
      </c>
      <c r="EC61" s="100">
        <f>'Policy Data'!O35</f>
        <v>0</v>
      </c>
      <c r="ED61" s="400">
        <f>'Policy Data'!Q35</f>
        <v>0</v>
      </c>
    </row>
    <row r="62" spans="1:134" x14ac:dyDescent="0.3">
      <c r="A62" s="399" t="str">
        <f>'Policy Data'!A36</f>
        <v>POL100032</v>
      </c>
      <c r="B62" s="26" t="s">
        <v>426</v>
      </c>
      <c r="C62" s="100" t="str">
        <f>'Policy Data'!B36</f>
        <v>Term Life</v>
      </c>
      <c r="D62" s="100">
        <f>'Policy Data'!C36</f>
        <v>64</v>
      </c>
      <c r="E62" s="100" t="str">
        <f>'Policy Data'!D36</f>
        <v>Male</v>
      </c>
      <c r="F62" s="100" t="str">
        <f>'Policy Data'!E36</f>
        <v>Smoker</v>
      </c>
      <c r="G62" s="100" t="str">
        <f>'Policy Data'!F36</f>
        <v>Standard</v>
      </c>
      <c r="H62" s="100">
        <f>'Policy Data'!G36</f>
        <v>25</v>
      </c>
      <c r="I62" s="279">
        <f>'Policy Data'!H36</f>
        <v>250000</v>
      </c>
      <c r="J62" s="100" t="str">
        <f>'Policy Data'!I36</f>
        <v>Monthly</v>
      </c>
      <c r="K62" s="100" t="str">
        <f>'Policy Data'!J36</f>
        <v>Direct</v>
      </c>
      <c r="L62" s="26" t="s">
        <v>389</v>
      </c>
      <c r="M62" s="106">
        <f>'Policy Data'!R36</f>
        <v>4441.32</v>
      </c>
      <c r="N62" s="415">
        <f>Assumptions!$C$21</f>
        <v>1</v>
      </c>
      <c r="O62" s="415">
        <f>Assumptions!$C$22</f>
        <v>1</v>
      </c>
      <c r="P62" s="415">
        <f>Assumptions!$C$23</f>
        <v>1</v>
      </c>
      <c r="Q62" s="416">
        <f>Assumptions!$C$24</f>
        <v>0</v>
      </c>
      <c r="R62" s="416">
        <f>Assumptions!$C$6+Assumptions!$C$25</f>
        <v>3.5000000000000003E-2</v>
      </c>
      <c r="S62" s="416">
        <f>Assumptions!$C$15</f>
        <v>1.1000000000000001E-3</v>
      </c>
      <c r="T62" s="26">
        <f t="shared" si="18"/>
        <v>0</v>
      </c>
      <c r="U62" s="26">
        <f t="shared" si="19"/>
        <v>4</v>
      </c>
      <c r="V62" s="389">
        <f>IF($G62="Preferred",Assumptions!$C$30,IF($G62="Rated",Assumptions!$C$31,1))</f>
        <v>1</v>
      </c>
      <c r="W62" s="390">
        <f>IF($K62="Direct",Assumptions!$C$32,IF($K62="Broker",Assumptions!$C$33,IF($K62="Bancassurance",Assumptions!$C$34,Assumptions!$C$11)))+$Q62</f>
        <v>0.1</v>
      </c>
      <c r="X62" s="390">
        <f>Assumptions!$C$12+$Q62</f>
        <v>0.05</v>
      </c>
      <c r="Y62" s="131">
        <f>MIN($I62,Assumptions!$C$14)</f>
        <v>250000</v>
      </c>
      <c r="Z62" s="131">
        <f>MAX($I62-Assumptions!$C$14,0)</f>
        <v>0</v>
      </c>
      <c r="AA62" s="389">
        <f t="shared" si="20"/>
        <v>0</v>
      </c>
      <c r="AB62" s="389">
        <f t="shared" si="21"/>
        <v>0</v>
      </c>
      <c r="AC62" s="389">
        <f>IF($T62=1,SUMPRODUCT($CJ62:$DW62,(1+Assumptions!$C$5)^($CJ$5:$DW$5-1),(1+$R62)^(-$CJ$5:$DW$5)),0)</f>
        <v>0</v>
      </c>
      <c r="AD62" s="389">
        <f t="shared" si="22"/>
        <v>0</v>
      </c>
      <c r="AE62" s="131">
        <f>IF($T62=1,$AB62*$Y62+(Assumptions!$C$9/(1+$R62)+Assumptions!$C$10*$AC62)*$P62+$S62*$Z62*$AA62,0)</f>
        <v>0</v>
      </c>
      <c r="AF62" s="131" t="str">
        <f>IF($T62=1,IF($AA62-$AD62-Assumptions!$C$16*$AA62&gt;0,$AE62/($AA62-$AD62-Assumptions!$C$16*$AA62)*IF($J62="Monthly",1+Assumptions!$C$29,1),"n.a."),"")</f>
        <v/>
      </c>
      <c r="AG62" s="131" t="str">
        <f t="shared" si="23"/>
        <v/>
      </c>
      <c r="AH62" s="131" t="str">
        <f t="shared" si="24"/>
        <v/>
      </c>
      <c r="AI62" s="131" t="str">
        <f t="shared" si="25"/>
        <v/>
      </c>
      <c r="AJ62" s="390" t="str">
        <f t="shared" si="26"/>
        <v/>
      </c>
      <c r="AK62" s="389" t="str">
        <f t="shared" si="27"/>
        <v/>
      </c>
      <c r="AL62" s="131" t="str">
        <f t="shared" si="28"/>
        <v/>
      </c>
      <c r="AM62" s="131" t="str">
        <f t="shared" si="29"/>
        <v/>
      </c>
      <c r="AN62" s="131" t="str">
        <f t="shared" si="30"/>
        <v/>
      </c>
      <c r="AO62" s="131" t="str">
        <f t="shared" si="31"/>
        <v/>
      </c>
      <c r="AP62" s="26" t="str">
        <f t="shared" si="32"/>
        <v>60+</v>
      </c>
      <c r="AQ62" s="26" t="str">
        <f t="shared" si="33"/>
        <v>Up to 250k</v>
      </c>
      <c r="AR62" s="26" t="str">
        <f>IF($T62=1,IF($AI62&lt;0,"Loss-making",IF($AJ62&lt;Assumptions!$C$16-0.00001,"Below target","At/above target")),"Excluded")</f>
        <v>Excluded</v>
      </c>
      <c r="AS62" s="103">
        <f t="shared" si="34"/>
        <v>9.9999999999999997E+98</v>
      </c>
      <c r="AT62" s="26"/>
      <c r="AU62" s="419">
        <f>IF(AND($T62=1,AU$5&lt;=$H62),INDEX(Mortality!$B$4:$E$64,MATCH($D62+AU$5-1,Mortality!$A$4:$A$64,0),$U62)*$V62*$N62,0)</f>
        <v>0</v>
      </c>
      <c r="AV62" s="93">
        <f>IF(AND($T62=1,AV$5&lt;=$H62),INDEX(Mortality!$B$4:$E$64,MATCH($D62+AV$5-1,Mortality!$A$4:$A$64,0),$U62)*$V62*$N62,0)</f>
        <v>0</v>
      </c>
      <c r="AW62" s="93">
        <f>IF(AND($T62=1,AW$5&lt;=$H62),INDEX(Mortality!$B$4:$E$64,MATCH($D62+AW$5-1,Mortality!$A$4:$A$64,0),$U62)*$V62*$N62,0)</f>
        <v>0</v>
      </c>
      <c r="AX62" s="93">
        <f>IF(AND($T62=1,AX$5&lt;=$H62),INDEX(Mortality!$B$4:$E$64,MATCH($D62+AX$5-1,Mortality!$A$4:$A$64,0),$U62)*$V62*$N62,0)</f>
        <v>0</v>
      </c>
      <c r="AY62" s="93">
        <f>IF(AND($T62=1,AY$5&lt;=$H62),INDEX(Mortality!$B$4:$E$64,MATCH($D62+AY$5-1,Mortality!$A$4:$A$64,0),$U62)*$V62*$N62,0)</f>
        <v>0</v>
      </c>
      <c r="AZ62" s="93">
        <f>IF(AND($T62=1,AZ$5&lt;=$H62),INDEX(Mortality!$B$4:$E$64,MATCH($D62+AZ$5-1,Mortality!$A$4:$A$64,0),$U62)*$V62*$N62,0)</f>
        <v>0</v>
      </c>
      <c r="BA62" s="93">
        <f>IF(AND($T62=1,BA$5&lt;=$H62),INDEX(Mortality!$B$4:$E$64,MATCH($D62+BA$5-1,Mortality!$A$4:$A$64,0),$U62)*$V62*$N62,0)</f>
        <v>0</v>
      </c>
      <c r="BB62" s="93">
        <f>IF(AND($T62=1,BB$5&lt;=$H62),INDEX(Mortality!$B$4:$E$64,MATCH($D62+BB$5-1,Mortality!$A$4:$A$64,0),$U62)*$V62*$N62,0)</f>
        <v>0</v>
      </c>
      <c r="BC62" s="93">
        <f>IF(AND($T62=1,BC$5&lt;=$H62),INDEX(Mortality!$B$4:$E$64,MATCH($D62+BC$5-1,Mortality!$A$4:$A$64,0),$U62)*$V62*$N62,0)</f>
        <v>0</v>
      </c>
      <c r="BD62" s="93">
        <f>IF(AND($T62=1,BD$5&lt;=$H62),INDEX(Mortality!$B$4:$E$64,MATCH($D62+BD$5-1,Mortality!$A$4:$A$64,0),$U62)*$V62*$N62,0)</f>
        <v>0</v>
      </c>
      <c r="BE62" s="93">
        <f>IF(AND($T62=1,BE$5&lt;=$H62),INDEX(Mortality!$B$4:$E$64,MATCH($D62+BE$5-1,Mortality!$A$4:$A$64,0),$U62)*$V62*$N62,0)</f>
        <v>0</v>
      </c>
      <c r="BF62" s="93">
        <f>IF(AND($T62=1,BF$5&lt;=$H62),INDEX(Mortality!$B$4:$E$64,MATCH($D62+BF$5-1,Mortality!$A$4:$A$64,0),$U62)*$V62*$N62,0)</f>
        <v>0</v>
      </c>
      <c r="BG62" s="93">
        <f>IF(AND($T62=1,BG$5&lt;=$H62),INDEX(Mortality!$B$4:$E$64,MATCH($D62+BG$5-1,Mortality!$A$4:$A$64,0),$U62)*$V62*$N62,0)</f>
        <v>0</v>
      </c>
      <c r="BH62" s="93">
        <f>IF(AND($T62=1,BH$5&lt;=$H62),INDEX(Mortality!$B$4:$E$64,MATCH($D62+BH$5-1,Mortality!$A$4:$A$64,0),$U62)*$V62*$N62,0)</f>
        <v>0</v>
      </c>
      <c r="BI62" s="93">
        <f>IF(AND($T62=1,BI$5&lt;=$H62),INDEX(Mortality!$B$4:$E$64,MATCH($D62+BI$5-1,Mortality!$A$4:$A$64,0),$U62)*$V62*$N62,0)</f>
        <v>0</v>
      </c>
      <c r="BJ62" s="93">
        <f>IF(AND($T62=1,BJ$5&lt;=$H62),INDEX(Mortality!$B$4:$E$64,MATCH($D62+BJ$5-1,Mortality!$A$4:$A$64,0),$U62)*$V62*$N62,0)</f>
        <v>0</v>
      </c>
      <c r="BK62" s="93">
        <f>IF(AND($T62=1,BK$5&lt;=$H62),INDEX(Mortality!$B$4:$E$64,MATCH($D62+BK$5-1,Mortality!$A$4:$A$64,0),$U62)*$V62*$N62,0)</f>
        <v>0</v>
      </c>
      <c r="BL62" s="93">
        <f>IF(AND($T62=1,BL$5&lt;=$H62),INDEX(Mortality!$B$4:$E$64,MATCH($D62+BL$5-1,Mortality!$A$4:$A$64,0),$U62)*$V62*$N62,0)</f>
        <v>0</v>
      </c>
      <c r="BM62" s="93">
        <f>IF(AND($T62=1,BM$5&lt;=$H62),INDEX(Mortality!$B$4:$E$64,MATCH($D62+BM$5-1,Mortality!$A$4:$A$64,0),$U62)*$V62*$N62,0)</f>
        <v>0</v>
      </c>
      <c r="BN62" s="93">
        <f>IF(AND($T62=1,BN$5&lt;=$H62),INDEX(Mortality!$B$4:$E$64,MATCH($D62+BN$5-1,Mortality!$A$4:$A$64,0),$U62)*$V62*$N62,0)</f>
        <v>0</v>
      </c>
      <c r="BO62" s="93">
        <f>IF(AND($T62=1,BO$5&lt;=$H62),INDEX(Mortality!$B$4:$E$64,MATCH($D62+BO$5-1,Mortality!$A$4:$A$64,0),$U62)*$V62*$N62,0)</f>
        <v>0</v>
      </c>
      <c r="BP62" s="93">
        <f>IF(AND($T62=1,BP$5&lt;=$H62),INDEX(Mortality!$B$4:$E$64,MATCH($D62+BP$5-1,Mortality!$A$4:$A$64,0),$U62)*$V62*$N62,0)</f>
        <v>0</v>
      </c>
      <c r="BQ62" s="93">
        <f>IF(AND($T62=1,BQ$5&lt;=$H62),INDEX(Mortality!$B$4:$E$64,MATCH($D62+BQ$5-1,Mortality!$A$4:$A$64,0),$U62)*$V62*$N62,0)</f>
        <v>0</v>
      </c>
      <c r="BR62" s="93">
        <f>IF(AND($T62=1,BR$5&lt;=$H62),INDEX(Mortality!$B$4:$E$64,MATCH($D62+BR$5-1,Mortality!$A$4:$A$64,0),$U62)*$V62*$N62,0)</f>
        <v>0</v>
      </c>
      <c r="BS62" s="93">
        <f>IF(AND($T62=1,BS$5&lt;=$H62),INDEX(Mortality!$B$4:$E$64,MATCH($D62+BS$5-1,Mortality!$A$4:$A$64,0),$U62)*$V62*$N62,0)</f>
        <v>0</v>
      </c>
      <c r="BT62" s="93">
        <f>IF(AND($T62=1,BT$5&lt;=$H62),INDEX(Mortality!$B$4:$E$64,MATCH($D62+BT$5-1,Mortality!$A$4:$A$64,0),$U62)*$V62*$N62,0)</f>
        <v>0</v>
      </c>
      <c r="BU62" s="93">
        <f>IF(AND($T62=1,BU$5&lt;=$H62),INDEX(Mortality!$B$4:$E$64,MATCH($D62+BU$5-1,Mortality!$A$4:$A$64,0),$U62)*$V62*$N62,0)</f>
        <v>0</v>
      </c>
      <c r="BV62" s="93">
        <f>IF(AND($T62=1,BV$5&lt;=$H62),INDEX(Mortality!$B$4:$E$64,MATCH($D62+BV$5-1,Mortality!$A$4:$A$64,0),$U62)*$V62*$N62,0)</f>
        <v>0</v>
      </c>
      <c r="BW62" s="93">
        <f>IF(AND($T62=1,BW$5&lt;=$H62),INDEX(Mortality!$B$4:$E$64,MATCH($D62+BW$5-1,Mortality!$A$4:$A$64,0),$U62)*$V62*$N62,0)</f>
        <v>0</v>
      </c>
      <c r="BX62" s="93">
        <f>IF(AND($T62=1,BX$5&lt;=$H62),INDEX(Mortality!$B$4:$E$64,MATCH($D62+BX$5-1,Mortality!$A$4:$A$64,0),$U62)*$V62*$N62,0)</f>
        <v>0</v>
      </c>
      <c r="BY62" s="93">
        <f>IF(AND($T62=1,BY$5&lt;=$H62),INDEX(Mortality!$B$4:$E$64,MATCH($D62+BY$5-1,Mortality!$A$4:$A$64,0),$U62)*$V62*$N62,0)</f>
        <v>0</v>
      </c>
      <c r="BZ62" s="93">
        <f>IF(AND($T62=1,BZ$5&lt;=$H62),INDEX(Mortality!$B$4:$E$64,MATCH($D62+BZ$5-1,Mortality!$A$4:$A$64,0),$U62)*$V62*$N62,0)</f>
        <v>0</v>
      </c>
      <c r="CA62" s="93">
        <f>IF(AND($T62=1,CA$5&lt;=$H62),INDEX(Mortality!$B$4:$E$64,MATCH($D62+CA$5-1,Mortality!$A$4:$A$64,0),$U62)*$V62*$N62,0)</f>
        <v>0</v>
      </c>
      <c r="CB62" s="93">
        <f>IF(AND($T62=1,CB$5&lt;=$H62),INDEX(Mortality!$B$4:$E$64,MATCH($D62+CB$5-1,Mortality!$A$4:$A$64,0),$U62)*$V62*$N62,0)</f>
        <v>0</v>
      </c>
      <c r="CC62" s="93">
        <f>IF(AND($T62=1,CC$5&lt;=$H62),INDEX(Mortality!$B$4:$E$64,MATCH($D62+CC$5-1,Mortality!$A$4:$A$64,0),$U62)*$V62*$N62,0)</f>
        <v>0</v>
      </c>
      <c r="CD62" s="93">
        <f>IF(AND($T62=1,CD$5&lt;=$H62),INDEX(Mortality!$B$4:$E$64,MATCH($D62+CD$5-1,Mortality!$A$4:$A$64,0),$U62)*$V62*$N62,0)</f>
        <v>0</v>
      </c>
      <c r="CE62" s="93">
        <f>IF(AND($T62=1,CE$5&lt;=$H62),INDEX(Mortality!$B$4:$E$64,MATCH($D62+CE$5-1,Mortality!$A$4:$A$64,0),$U62)*$V62*$N62,0)</f>
        <v>0</v>
      </c>
      <c r="CF62" s="93">
        <f>IF(AND($T62=1,CF$5&lt;=$H62),INDEX(Mortality!$B$4:$E$64,MATCH($D62+CF$5-1,Mortality!$A$4:$A$64,0),$U62)*$V62*$N62,0)</f>
        <v>0</v>
      </c>
      <c r="CG62" s="93">
        <f>IF(AND($T62=1,CG$5&lt;=$H62),INDEX(Mortality!$B$4:$E$64,MATCH($D62+CG$5-1,Mortality!$A$4:$A$64,0),$U62)*$V62*$N62,0)</f>
        <v>0</v>
      </c>
      <c r="CH62" s="94">
        <f>IF(AND($T62=1,CH$5&lt;=$H62),INDEX(Mortality!$B$4:$E$64,MATCH($D62+CH$5-1,Mortality!$A$4:$A$64,0),$U62)*$V62*$N62,0)</f>
        <v>0</v>
      </c>
      <c r="CI62" s="26"/>
      <c r="CJ62" s="419">
        <f t="shared" si="35"/>
        <v>0</v>
      </c>
      <c r="CK62" s="93">
        <f>IF(AND($T62=1,CK$5&lt;=$H62),CJ62*(1-AU62)*(1-MIN(1,MAX(Assumptions!$C$27,Assumptions!$C$13*Assumptions!$C$28^(CJ$5-1))*$O62)),0)</f>
        <v>0</v>
      </c>
      <c r="CL62" s="93">
        <f>IF(AND($T62=1,CL$5&lt;=$H62),CK62*(1-AV62)*(1-MIN(1,MAX(Assumptions!$C$27,Assumptions!$C$13*Assumptions!$C$28^(CK$5-1))*$O62)),0)</f>
        <v>0</v>
      </c>
      <c r="CM62" s="93">
        <f>IF(AND($T62=1,CM$5&lt;=$H62),CL62*(1-AW62)*(1-MIN(1,MAX(Assumptions!$C$27,Assumptions!$C$13*Assumptions!$C$28^(CL$5-1))*$O62)),0)</f>
        <v>0</v>
      </c>
      <c r="CN62" s="93">
        <f>IF(AND($T62=1,CN$5&lt;=$H62),CM62*(1-AX62)*(1-MIN(1,MAX(Assumptions!$C$27,Assumptions!$C$13*Assumptions!$C$28^(CM$5-1))*$O62)),0)</f>
        <v>0</v>
      </c>
      <c r="CO62" s="93">
        <f>IF(AND($T62=1,CO$5&lt;=$H62),CN62*(1-AY62)*(1-MIN(1,MAX(Assumptions!$C$27,Assumptions!$C$13*Assumptions!$C$28^(CN$5-1))*$O62)),0)</f>
        <v>0</v>
      </c>
      <c r="CP62" s="93">
        <f>IF(AND($T62=1,CP$5&lt;=$H62),CO62*(1-AZ62)*(1-MIN(1,MAX(Assumptions!$C$27,Assumptions!$C$13*Assumptions!$C$28^(CO$5-1))*$O62)),0)</f>
        <v>0</v>
      </c>
      <c r="CQ62" s="93">
        <f>IF(AND($T62=1,CQ$5&lt;=$H62),CP62*(1-BA62)*(1-MIN(1,MAX(Assumptions!$C$27,Assumptions!$C$13*Assumptions!$C$28^(CP$5-1))*$O62)),0)</f>
        <v>0</v>
      </c>
      <c r="CR62" s="93">
        <f>IF(AND($T62=1,CR$5&lt;=$H62),CQ62*(1-BB62)*(1-MIN(1,MAX(Assumptions!$C$27,Assumptions!$C$13*Assumptions!$C$28^(CQ$5-1))*$O62)),0)</f>
        <v>0</v>
      </c>
      <c r="CS62" s="93">
        <f>IF(AND($T62=1,CS$5&lt;=$H62),CR62*(1-BC62)*(1-MIN(1,MAX(Assumptions!$C$27,Assumptions!$C$13*Assumptions!$C$28^(CR$5-1))*$O62)),0)</f>
        <v>0</v>
      </c>
      <c r="CT62" s="93">
        <f>IF(AND($T62=1,CT$5&lt;=$H62),CS62*(1-BD62)*(1-MIN(1,MAX(Assumptions!$C$27,Assumptions!$C$13*Assumptions!$C$28^(CS$5-1))*$O62)),0)</f>
        <v>0</v>
      </c>
      <c r="CU62" s="93">
        <f>IF(AND($T62=1,CU$5&lt;=$H62),CT62*(1-BE62)*(1-MIN(1,MAX(Assumptions!$C$27,Assumptions!$C$13*Assumptions!$C$28^(CT$5-1))*$O62)),0)</f>
        <v>0</v>
      </c>
      <c r="CV62" s="93">
        <f>IF(AND($T62=1,CV$5&lt;=$H62),CU62*(1-BF62)*(1-MIN(1,MAX(Assumptions!$C$27,Assumptions!$C$13*Assumptions!$C$28^(CU$5-1))*$O62)),0)</f>
        <v>0</v>
      </c>
      <c r="CW62" s="93">
        <f>IF(AND($T62=1,CW$5&lt;=$H62),CV62*(1-BG62)*(1-MIN(1,MAX(Assumptions!$C$27,Assumptions!$C$13*Assumptions!$C$28^(CV$5-1))*$O62)),0)</f>
        <v>0</v>
      </c>
      <c r="CX62" s="93">
        <f>IF(AND($T62=1,CX$5&lt;=$H62),CW62*(1-BH62)*(1-MIN(1,MAX(Assumptions!$C$27,Assumptions!$C$13*Assumptions!$C$28^(CW$5-1))*$O62)),0)</f>
        <v>0</v>
      </c>
      <c r="CY62" s="93">
        <f>IF(AND($T62=1,CY$5&lt;=$H62),CX62*(1-BI62)*(1-MIN(1,MAX(Assumptions!$C$27,Assumptions!$C$13*Assumptions!$C$28^(CX$5-1))*$O62)),0)</f>
        <v>0</v>
      </c>
      <c r="CZ62" s="93">
        <f>IF(AND($T62=1,CZ$5&lt;=$H62),CY62*(1-BJ62)*(1-MIN(1,MAX(Assumptions!$C$27,Assumptions!$C$13*Assumptions!$C$28^(CY$5-1))*$O62)),0)</f>
        <v>0</v>
      </c>
      <c r="DA62" s="93">
        <f>IF(AND($T62=1,DA$5&lt;=$H62),CZ62*(1-BK62)*(1-MIN(1,MAX(Assumptions!$C$27,Assumptions!$C$13*Assumptions!$C$28^(CZ$5-1))*$O62)),0)</f>
        <v>0</v>
      </c>
      <c r="DB62" s="93">
        <f>IF(AND($T62=1,DB$5&lt;=$H62),DA62*(1-BL62)*(1-MIN(1,MAX(Assumptions!$C$27,Assumptions!$C$13*Assumptions!$C$28^(DA$5-1))*$O62)),0)</f>
        <v>0</v>
      </c>
      <c r="DC62" s="93">
        <f>IF(AND($T62=1,DC$5&lt;=$H62),DB62*(1-BM62)*(1-MIN(1,MAX(Assumptions!$C$27,Assumptions!$C$13*Assumptions!$C$28^(DB$5-1))*$O62)),0)</f>
        <v>0</v>
      </c>
      <c r="DD62" s="93">
        <f>IF(AND($T62=1,DD$5&lt;=$H62),DC62*(1-BN62)*(1-MIN(1,MAX(Assumptions!$C$27,Assumptions!$C$13*Assumptions!$C$28^(DC$5-1))*$O62)),0)</f>
        <v>0</v>
      </c>
      <c r="DE62" s="93">
        <f>IF(AND($T62=1,DE$5&lt;=$H62),DD62*(1-BO62)*(1-MIN(1,MAX(Assumptions!$C$27,Assumptions!$C$13*Assumptions!$C$28^(DD$5-1))*$O62)),0)</f>
        <v>0</v>
      </c>
      <c r="DF62" s="93">
        <f>IF(AND($T62=1,DF$5&lt;=$H62),DE62*(1-BP62)*(1-MIN(1,MAX(Assumptions!$C$27,Assumptions!$C$13*Assumptions!$C$28^(DE$5-1))*$O62)),0)</f>
        <v>0</v>
      </c>
      <c r="DG62" s="93">
        <f>IF(AND($T62=1,DG$5&lt;=$H62),DF62*(1-BQ62)*(1-MIN(1,MAX(Assumptions!$C$27,Assumptions!$C$13*Assumptions!$C$28^(DF$5-1))*$O62)),0)</f>
        <v>0</v>
      </c>
      <c r="DH62" s="93">
        <f>IF(AND($T62=1,DH$5&lt;=$H62),DG62*(1-BR62)*(1-MIN(1,MAX(Assumptions!$C$27,Assumptions!$C$13*Assumptions!$C$28^(DG$5-1))*$O62)),0)</f>
        <v>0</v>
      </c>
      <c r="DI62" s="93">
        <f>IF(AND($T62=1,DI$5&lt;=$H62),DH62*(1-BS62)*(1-MIN(1,MAX(Assumptions!$C$27,Assumptions!$C$13*Assumptions!$C$28^(DH$5-1))*$O62)),0)</f>
        <v>0</v>
      </c>
      <c r="DJ62" s="93">
        <f>IF(AND($T62=1,DJ$5&lt;=$H62),DI62*(1-BT62)*(1-MIN(1,MAX(Assumptions!$C$27,Assumptions!$C$13*Assumptions!$C$28^(DI$5-1))*$O62)),0)</f>
        <v>0</v>
      </c>
      <c r="DK62" s="93">
        <f>IF(AND($T62=1,DK$5&lt;=$H62),DJ62*(1-BU62)*(1-MIN(1,MAX(Assumptions!$C$27,Assumptions!$C$13*Assumptions!$C$28^(DJ$5-1))*$O62)),0)</f>
        <v>0</v>
      </c>
      <c r="DL62" s="93">
        <f>IF(AND($T62=1,DL$5&lt;=$H62),DK62*(1-BV62)*(1-MIN(1,MAX(Assumptions!$C$27,Assumptions!$C$13*Assumptions!$C$28^(DK$5-1))*$O62)),0)</f>
        <v>0</v>
      </c>
      <c r="DM62" s="93">
        <f>IF(AND($T62=1,DM$5&lt;=$H62),DL62*(1-BW62)*(1-MIN(1,MAX(Assumptions!$C$27,Assumptions!$C$13*Assumptions!$C$28^(DL$5-1))*$O62)),0)</f>
        <v>0</v>
      </c>
      <c r="DN62" s="93">
        <f>IF(AND($T62=1,DN$5&lt;=$H62),DM62*(1-BX62)*(1-MIN(1,MAX(Assumptions!$C$27,Assumptions!$C$13*Assumptions!$C$28^(DM$5-1))*$O62)),0)</f>
        <v>0</v>
      </c>
      <c r="DO62" s="93">
        <f>IF(AND($T62=1,DO$5&lt;=$H62),DN62*(1-BY62)*(1-MIN(1,MAX(Assumptions!$C$27,Assumptions!$C$13*Assumptions!$C$28^(DN$5-1))*$O62)),0)</f>
        <v>0</v>
      </c>
      <c r="DP62" s="93">
        <f>IF(AND($T62=1,DP$5&lt;=$H62),DO62*(1-BZ62)*(1-MIN(1,MAX(Assumptions!$C$27,Assumptions!$C$13*Assumptions!$C$28^(DO$5-1))*$O62)),0)</f>
        <v>0</v>
      </c>
      <c r="DQ62" s="93">
        <f>IF(AND($T62=1,DQ$5&lt;=$H62),DP62*(1-CA62)*(1-MIN(1,MAX(Assumptions!$C$27,Assumptions!$C$13*Assumptions!$C$28^(DP$5-1))*$O62)),0)</f>
        <v>0</v>
      </c>
      <c r="DR62" s="93">
        <f>IF(AND($T62=1,DR$5&lt;=$H62),DQ62*(1-CB62)*(1-MIN(1,MAX(Assumptions!$C$27,Assumptions!$C$13*Assumptions!$C$28^(DQ$5-1))*$O62)),0)</f>
        <v>0</v>
      </c>
      <c r="DS62" s="93">
        <f>IF(AND($T62=1,DS$5&lt;=$H62),DR62*(1-CC62)*(1-MIN(1,MAX(Assumptions!$C$27,Assumptions!$C$13*Assumptions!$C$28^(DR$5-1))*$O62)),0)</f>
        <v>0</v>
      </c>
      <c r="DT62" s="93">
        <f>IF(AND($T62=1,DT$5&lt;=$H62),DS62*(1-CD62)*(1-MIN(1,MAX(Assumptions!$C$27,Assumptions!$C$13*Assumptions!$C$28^(DS$5-1))*$O62)),0)</f>
        <v>0</v>
      </c>
      <c r="DU62" s="93">
        <f>IF(AND($T62=1,DU$5&lt;=$H62),DT62*(1-CE62)*(1-MIN(1,MAX(Assumptions!$C$27,Assumptions!$C$13*Assumptions!$C$28^(DT$5-1))*$O62)),0)</f>
        <v>0</v>
      </c>
      <c r="DV62" s="93">
        <f>IF(AND($T62=1,DV$5&lt;=$H62),DU62*(1-CF62)*(1-MIN(1,MAX(Assumptions!$C$27,Assumptions!$C$13*Assumptions!$C$28^(DU$5-1))*$O62)),0)</f>
        <v>0</v>
      </c>
      <c r="DW62" s="94">
        <f>IF(AND($T62=1,DW$5&lt;=$H62),DV62*(1-CG62)*(1-MIN(1,MAX(Assumptions!$C$27,Assumptions!$C$13*Assumptions!$C$28^(DV$5-1))*$O62)),0)</f>
        <v>0</v>
      </c>
      <c r="DX62" s="26"/>
      <c r="DY62" s="399">
        <f>'Policy Data'!K36</f>
        <v>4</v>
      </c>
      <c r="DZ62" s="100">
        <f>'Policy Data'!L36</f>
        <v>0.86019999999999996</v>
      </c>
      <c r="EA62" s="100">
        <f>'Policy Data'!N36</f>
        <v>1.115E-2</v>
      </c>
      <c r="EB62" s="93" cm="1">
        <f t="array" ref="EB62">IFERROR(DZ62*INDEX(Mortality!$B$4:$E$64,MATCH(D62+DY62-1,Mortality!$A$4:$A$64,0),U62)*V62,0)</f>
        <v>1.4174423455274261E-2</v>
      </c>
      <c r="EC62" s="100">
        <f>'Policy Data'!O36</f>
        <v>0</v>
      </c>
      <c r="ED62" s="400">
        <f>'Policy Data'!Q36</f>
        <v>0</v>
      </c>
    </row>
    <row r="63" spans="1:134" x14ac:dyDescent="0.3">
      <c r="A63" s="399" t="str">
        <f>'Policy Data'!A37</f>
        <v>POL100033</v>
      </c>
      <c r="B63" s="26" t="s">
        <v>426</v>
      </c>
      <c r="C63" s="100" t="str">
        <f>'Policy Data'!B37</f>
        <v>Unit-Linked</v>
      </c>
      <c r="D63" s="100">
        <f>'Policy Data'!C37</f>
        <v>46</v>
      </c>
      <c r="E63" s="100" t="str">
        <f>'Policy Data'!D37</f>
        <v>Male</v>
      </c>
      <c r="F63" s="100" t="str">
        <f>'Policy Data'!E37</f>
        <v>Non-smoker</v>
      </c>
      <c r="G63" s="100" t="str">
        <f>'Policy Data'!F37</f>
        <v>Standard</v>
      </c>
      <c r="H63" s="100">
        <f>'Policy Data'!G37</f>
        <v>15</v>
      </c>
      <c r="I63" s="279">
        <f>'Policy Data'!H37</f>
        <v>250000</v>
      </c>
      <c r="J63" s="100" t="str">
        <f>'Policy Data'!I37</f>
        <v>Monthly</v>
      </c>
      <c r="K63" s="100" t="str">
        <f>'Policy Data'!J37</f>
        <v>Bancassurance</v>
      </c>
      <c r="L63" s="26" t="s">
        <v>389</v>
      </c>
      <c r="M63" s="106">
        <f>'Policy Data'!R37</f>
        <v>12954.3</v>
      </c>
      <c r="N63" s="415">
        <f>Assumptions!$C$21</f>
        <v>1</v>
      </c>
      <c r="O63" s="415">
        <f>Assumptions!$C$22</f>
        <v>1</v>
      </c>
      <c r="P63" s="415">
        <f>Assumptions!$C$23</f>
        <v>1</v>
      </c>
      <c r="Q63" s="416">
        <f>Assumptions!$C$24</f>
        <v>0</v>
      </c>
      <c r="R63" s="416">
        <f>Assumptions!$C$6+Assumptions!$C$25</f>
        <v>3.5000000000000003E-2</v>
      </c>
      <c r="S63" s="416">
        <f>Assumptions!$C$15</f>
        <v>1.1000000000000001E-3</v>
      </c>
      <c r="T63" s="26">
        <f t="shared" si="18"/>
        <v>0</v>
      </c>
      <c r="U63" s="26">
        <f t="shared" si="19"/>
        <v>3</v>
      </c>
      <c r="V63" s="389">
        <f>IF($G63="Preferred",Assumptions!$C$30,IF($G63="Rated",Assumptions!$C$31,1))</f>
        <v>1</v>
      </c>
      <c r="W63" s="390">
        <f>IF($K63="Direct",Assumptions!$C$32,IF($K63="Broker",Assumptions!$C$33,IF($K63="Bancassurance",Assumptions!$C$34,Assumptions!$C$11)))+$Q63</f>
        <v>0.2</v>
      </c>
      <c r="X63" s="390">
        <f>Assumptions!$C$12+$Q63</f>
        <v>0.05</v>
      </c>
      <c r="Y63" s="131">
        <f>MIN($I63,Assumptions!$C$14)</f>
        <v>250000</v>
      </c>
      <c r="Z63" s="131">
        <f>MAX($I63-Assumptions!$C$14,0)</f>
        <v>0</v>
      </c>
      <c r="AA63" s="389">
        <f t="shared" si="20"/>
        <v>0</v>
      </c>
      <c r="AB63" s="389">
        <f t="shared" si="21"/>
        <v>0</v>
      </c>
      <c r="AC63" s="389">
        <f>IF($T63=1,SUMPRODUCT($CJ63:$DW63,(1+Assumptions!$C$5)^($CJ$5:$DW$5-1),(1+$R63)^(-$CJ$5:$DW$5)),0)</f>
        <v>0</v>
      </c>
      <c r="AD63" s="389">
        <f t="shared" si="22"/>
        <v>0</v>
      </c>
      <c r="AE63" s="131">
        <f>IF($T63=1,$AB63*$Y63+(Assumptions!$C$9/(1+$R63)+Assumptions!$C$10*$AC63)*$P63+$S63*$Z63*$AA63,0)</f>
        <v>0</v>
      </c>
      <c r="AF63" s="131" t="str">
        <f>IF($T63=1,IF($AA63-$AD63-Assumptions!$C$16*$AA63&gt;0,$AE63/($AA63-$AD63-Assumptions!$C$16*$AA63)*IF($J63="Monthly",1+Assumptions!$C$29,1),"n.a."),"")</f>
        <v/>
      </c>
      <c r="AG63" s="131" t="str">
        <f t="shared" si="23"/>
        <v/>
      </c>
      <c r="AH63" s="131" t="str">
        <f t="shared" si="24"/>
        <v/>
      </c>
      <c r="AI63" s="131" t="str">
        <f t="shared" si="25"/>
        <v/>
      </c>
      <c r="AJ63" s="390" t="str">
        <f t="shared" si="26"/>
        <v/>
      </c>
      <c r="AK63" s="389" t="str">
        <f t="shared" si="27"/>
        <v/>
      </c>
      <c r="AL63" s="131" t="str">
        <f t="shared" si="28"/>
        <v/>
      </c>
      <c r="AM63" s="131" t="str">
        <f t="shared" si="29"/>
        <v/>
      </c>
      <c r="AN63" s="131" t="str">
        <f t="shared" si="30"/>
        <v/>
      </c>
      <c r="AO63" s="131" t="str">
        <f t="shared" si="31"/>
        <v/>
      </c>
      <c r="AP63" s="26" t="str">
        <f t="shared" si="32"/>
        <v>40-49</v>
      </c>
      <c r="AQ63" s="26" t="str">
        <f t="shared" si="33"/>
        <v>Up to 250k</v>
      </c>
      <c r="AR63" s="26" t="str">
        <f>IF($T63=1,IF($AI63&lt;0,"Loss-making",IF($AJ63&lt;Assumptions!$C$16-0.00001,"Below target","At/above target")),"Excluded")</f>
        <v>Excluded</v>
      </c>
      <c r="AS63" s="103">
        <f t="shared" si="34"/>
        <v>9.9999999999999997E+98</v>
      </c>
      <c r="AT63" s="26"/>
      <c r="AU63" s="419">
        <f>IF(AND($T63=1,AU$5&lt;=$H63),INDEX(Mortality!$B$4:$E$64,MATCH($D63+AU$5-1,Mortality!$A$4:$A$64,0),$U63)*$V63*$N63,0)</f>
        <v>0</v>
      </c>
      <c r="AV63" s="93">
        <f>IF(AND($T63=1,AV$5&lt;=$H63),INDEX(Mortality!$B$4:$E$64,MATCH($D63+AV$5-1,Mortality!$A$4:$A$64,0),$U63)*$V63*$N63,0)</f>
        <v>0</v>
      </c>
      <c r="AW63" s="93">
        <f>IF(AND($T63=1,AW$5&lt;=$H63),INDEX(Mortality!$B$4:$E$64,MATCH($D63+AW$5-1,Mortality!$A$4:$A$64,0),$U63)*$V63*$N63,0)</f>
        <v>0</v>
      </c>
      <c r="AX63" s="93">
        <f>IF(AND($T63=1,AX$5&lt;=$H63),INDEX(Mortality!$B$4:$E$64,MATCH($D63+AX$5-1,Mortality!$A$4:$A$64,0),$U63)*$V63*$N63,0)</f>
        <v>0</v>
      </c>
      <c r="AY63" s="93">
        <f>IF(AND($T63=1,AY$5&lt;=$H63),INDEX(Mortality!$B$4:$E$64,MATCH($D63+AY$5-1,Mortality!$A$4:$A$64,0),$U63)*$V63*$N63,0)</f>
        <v>0</v>
      </c>
      <c r="AZ63" s="93">
        <f>IF(AND($T63=1,AZ$5&lt;=$H63),INDEX(Mortality!$B$4:$E$64,MATCH($D63+AZ$5-1,Mortality!$A$4:$A$64,0),$U63)*$V63*$N63,0)</f>
        <v>0</v>
      </c>
      <c r="BA63" s="93">
        <f>IF(AND($T63=1,BA$5&lt;=$H63),INDEX(Mortality!$B$4:$E$64,MATCH($D63+BA$5-1,Mortality!$A$4:$A$64,0),$U63)*$V63*$N63,0)</f>
        <v>0</v>
      </c>
      <c r="BB63" s="93">
        <f>IF(AND($T63=1,BB$5&lt;=$H63),INDEX(Mortality!$B$4:$E$64,MATCH($D63+BB$5-1,Mortality!$A$4:$A$64,0),$U63)*$V63*$N63,0)</f>
        <v>0</v>
      </c>
      <c r="BC63" s="93">
        <f>IF(AND($T63=1,BC$5&lt;=$H63),INDEX(Mortality!$B$4:$E$64,MATCH($D63+BC$5-1,Mortality!$A$4:$A$64,0),$U63)*$V63*$N63,0)</f>
        <v>0</v>
      </c>
      <c r="BD63" s="93">
        <f>IF(AND($T63=1,BD$5&lt;=$H63),INDEX(Mortality!$B$4:$E$64,MATCH($D63+BD$5-1,Mortality!$A$4:$A$64,0),$U63)*$V63*$N63,0)</f>
        <v>0</v>
      </c>
      <c r="BE63" s="93">
        <f>IF(AND($T63=1,BE$5&lt;=$H63),INDEX(Mortality!$B$4:$E$64,MATCH($D63+BE$5-1,Mortality!$A$4:$A$64,0),$U63)*$V63*$N63,0)</f>
        <v>0</v>
      </c>
      <c r="BF63" s="93">
        <f>IF(AND($T63=1,BF$5&lt;=$H63),INDEX(Mortality!$B$4:$E$64,MATCH($D63+BF$5-1,Mortality!$A$4:$A$64,0),$U63)*$V63*$N63,0)</f>
        <v>0</v>
      </c>
      <c r="BG63" s="93">
        <f>IF(AND($T63=1,BG$5&lt;=$H63),INDEX(Mortality!$B$4:$E$64,MATCH($D63+BG$5-1,Mortality!$A$4:$A$64,0),$U63)*$V63*$N63,0)</f>
        <v>0</v>
      </c>
      <c r="BH63" s="93">
        <f>IF(AND($T63=1,BH$5&lt;=$H63),INDEX(Mortality!$B$4:$E$64,MATCH($D63+BH$5-1,Mortality!$A$4:$A$64,0),$U63)*$V63*$N63,0)</f>
        <v>0</v>
      </c>
      <c r="BI63" s="93">
        <f>IF(AND($T63=1,BI$5&lt;=$H63),INDEX(Mortality!$B$4:$E$64,MATCH($D63+BI$5-1,Mortality!$A$4:$A$64,0),$U63)*$V63*$N63,0)</f>
        <v>0</v>
      </c>
      <c r="BJ63" s="93">
        <f>IF(AND($T63=1,BJ$5&lt;=$H63),INDEX(Mortality!$B$4:$E$64,MATCH($D63+BJ$5-1,Mortality!$A$4:$A$64,0),$U63)*$V63*$N63,0)</f>
        <v>0</v>
      </c>
      <c r="BK63" s="93">
        <f>IF(AND($T63=1,BK$5&lt;=$H63),INDEX(Mortality!$B$4:$E$64,MATCH($D63+BK$5-1,Mortality!$A$4:$A$64,0),$U63)*$V63*$N63,0)</f>
        <v>0</v>
      </c>
      <c r="BL63" s="93">
        <f>IF(AND($T63=1,BL$5&lt;=$H63),INDEX(Mortality!$B$4:$E$64,MATCH($D63+BL$5-1,Mortality!$A$4:$A$64,0),$U63)*$V63*$N63,0)</f>
        <v>0</v>
      </c>
      <c r="BM63" s="93">
        <f>IF(AND($T63=1,BM$5&lt;=$H63),INDEX(Mortality!$B$4:$E$64,MATCH($D63+BM$5-1,Mortality!$A$4:$A$64,0),$U63)*$V63*$N63,0)</f>
        <v>0</v>
      </c>
      <c r="BN63" s="93">
        <f>IF(AND($T63=1,BN$5&lt;=$H63),INDEX(Mortality!$B$4:$E$64,MATCH($D63+BN$5-1,Mortality!$A$4:$A$64,0),$U63)*$V63*$N63,0)</f>
        <v>0</v>
      </c>
      <c r="BO63" s="93">
        <f>IF(AND($T63=1,BO$5&lt;=$H63),INDEX(Mortality!$B$4:$E$64,MATCH($D63+BO$5-1,Mortality!$A$4:$A$64,0),$U63)*$V63*$N63,0)</f>
        <v>0</v>
      </c>
      <c r="BP63" s="93">
        <f>IF(AND($T63=1,BP$5&lt;=$H63),INDEX(Mortality!$B$4:$E$64,MATCH($D63+BP$5-1,Mortality!$A$4:$A$64,0),$U63)*$V63*$N63,0)</f>
        <v>0</v>
      </c>
      <c r="BQ63" s="93">
        <f>IF(AND($T63=1,BQ$5&lt;=$H63),INDEX(Mortality!$B$4:$E$64,MATCH($D63+BQ$5-1,Mortality!$A$4:$A$64,0),$U63)*$V63*$N63,0)</f>
        <v>0</v>
      </c>
      <c r="BR63" s="93">
        <f>IF(AND($T63=1,BR$5&lt;=$H63),INDEX(Mortality!$B$4:$E$64,MATCH($D63+BR$5-1,Mortality!$A$4:$A$64,0),$U63)*$V63*$N63,0)</f>
        <v>0</v>
      </c>
      <c r="BS63" s="93">
        <f>IF(AND($T63=1,BS$5&lt;=$H63),INDEX(Mortality!$B$4:$E$64,MATCH($D63+BS$5-1,Mortality!$A$4:$A$64,0),$U63)*$V63*$N63,0)</f>
        <v>0</v>
      </c>
      <c r="BT63" s="93">
        <f>IF(AND($T63=1,BT$5&lt;=$H63),INDEX(Mortality!$B$4:$E$64,MATCH($D63+BT$5-1,Mortality!$A$4:$A$64,0),$U63)*$V63*$N63,0)</f>
        <v>0</v>
      </c>
      <c r="BU63" s="93">
        <f>IF(AND($T63=1,BU$5&lt;=$H63),INDEX(Mortality!$B$4:$E$64,MATCH($D63+BU$5-1,Mortality!$A$4:$A$64,0),$U63)*$V63*$N63,0)</f>
        <v>0</v>
      </c>
      <c r="BV63" s="93">
        <f>IF(AND($T63=1,BV$5&lt;=$H63),INDEX(Mortality!$B$4:$E$64,MATCH($D63+BV$5-1,Mortality!$A$4:$A$64,0),$U63)*$V63*$N63,0)</f>
        <v>0</v>
      </c>
      <c r="BW63" s="93">
        <f>IF(AND($T63=1,BW$5&lt;=$H63),INDEX(Mortality!$B$4:$E$64,MATCH($D63+BW$5-1,Mortality!$A$4:$A$64,0),$U63)*$V63*$N63,0)</f>
        <v>0</v>
      </c>
      <c r="BX63" s="93">
        <f>IF(AND($T63=1,BX$5&lt;=$H63),INDEX(Mortality!$B$4:$E$64,MATCH($D63+BX$5-1,Mortality!$A$4:$A$64,0),$U63)*$V63*$N63,0)</f>
        <v>0</v>
      </c>
      <c r="BY63" s="93">
        <f>IF(AND($T63=1,BY$5&lt;=$H63),INDEX(Mortality!$B$4:$E$64,MATCH($D63+BY$5-1,Mortality!$A$4:$A$64,0),$U63)*$V63*$N63,0)</f>
        <v>0</v>
      </c>
      <c r="BZ63" s="93">
        <f>IF(AND($T63=1,BZ$5&lt;=$H63),INDEX(Mortality!$B$4:$E$64,MATCH($D63+BZ$5-1,Mortality!$A$4:$A$64,0),$U63)*$V63*$N63,0)</f>
        <v>0</v>
      </c>
      <c r="CA63" s="93">
        <f>IF(AND($T63=1,CA$5&lt;=$H63),INDEX(Mortality!$B$4:$E$64,MATCH($D63+CA$5-1,Mortality!$A$4:$A$64,0),$U63)*$V63*$N63,0)</f>
        <v>0</v>
      </c>
      <c r="CB63" s="93">
        <f>IF(AND($T63=1,CB$5&lt;=$H63),INDEX(Mortality!$B$4:$E$64,MATCH($D63+CB$5-1,Mortality!$A$4:$A$64,0),$U63)*$V63*$N63,0)</f>
        <v>0</v>
      </c>
      <c r="CC63" s="93">
        <f>IF(AND($T63=1,CC$5&lt;=$H63),INDEX(Mortality!$B$4:$E$64,MATCH($D63+CC$5-1,Mortality!$A$4:$A$64,0),$U63)*$V63*$N63,0)</f>
        <v>0</v>
      </c>
      <c r="CD63" s="93">
        <f>IF(AND($T63=1,CD$5&lt;=$H63),INDEX(Mortality!$B$4:$E$64,MATCH($D63+CD$5-1,Mortality!$A$4:$A$64,0),$U63)*$V63*$N63,0)</f>
        <v>0</v>
      </c>
      <c r="CE63" s="93">
        <f>IF(AND($T63=1,CE$5&lt;=$H63),INDEX(Mortality!$B$4:$E$64,MATCH($D63+CE$5-1,Mortality!$A$4:$A$64,0),$U63)*$V63*$N63,0)</f>
        <v>0</v>
      </c>
      <c r="CF63" s="93">
        <f>IF(AND($T63=1,CF$5&lt;=$H63),INDEX(Mortality!$B$4:$E$64,MATCH($D63+CF$5-1,Mortality!$A$4:$A$64,0),$U63)*$V63*$N63,0)</f>
        <v>0</v>
      </c>
      <c r="CG63" s="93">
        <f>IF(AND($T63=1,CG$5&lt;=$H63),INDEX(Mortality!$B$4:$E$64,MATCH($D63+CG$5-1,Mortality!$A$4:$A$64,0),$U63)*$V63*$N63,0)</f>
        <v>0</v>
      </c>
      <c r="CH63" s="94">
        <f>IF(AND($T63=1,CH$5&lt;=$H63),INDEX(Mortality!$B$4:$E$64,MATCH($D63+CH$5-1,Mortality!$A$4:$A$64,0),$U63)*$V63*$N63,0)</f>
        <v>0</v>
      </c>
      <c r="CI63" s="26"/>
      <c r="CJ63" s="419">
        <f t="shared" si="35"/>
        <v>0</v>
      </c>
      <c r="CK63" s="93">
        <f>IF(AND($T63=1,CK$5&lt;=$H63),CJ63*(1-AU63)*(1-MIN(1,MAX(Assumptions!$C$27,Assumptions!$C$13*Assumptions!$C$28^(CJ$5-1))*$O63)),0)</f>
        <v>0</v>
      </c>
      <c r="CL63" s="93">
        <f>IF(AND($T63=1,CL$5&lt;=$H63),CK63*(1-AV63)*(1-MIN(1,MAX(Assumptions!$C$27,Assumptions!$C$13*Assumptions!$C$28^(CK$5-1))*$O63)),0)</f>
        <v>0</v>
      </c>
      <c r="CM63" s="93">
        <f>IF(AND($T63=1,CM$5&lt;=$H63),CL63*(1-AW63)*(1-MIN(1,MAX(Assumptions!$C$27,Assumptions!$C$13*Assumptions!$C$28^(CL$5-1))*$O63)),0)</f>
        <v>0</v>
      </c>
      <c r="CN63" s="93">
        <f>IF(AND($T63=1,CN$5&lt;=$H63),CM63*(1-AX63)*(1-MIN(1,MAX(Assumptions!$C$27,Assumptions!$C$13*Assumptions!$C$28^(CM$5-1))*$O63)),0)</f>
        <v>0</v>
      </c>
      <c r="CO63" s="93">
        <f>IF(AND($T63=1,CO$5&lt;=$H63),CN63*(1-AY63)*(1-MIN(1,MAX(Assumptions!$C$27,Assumptions!$C$13*Assumptions!$C$28^(CN$5-1))*$O63)),0)</f>
        <v>0</v>
      </c>
      <c r="CP63" s="93">
        <f>IF(AND($T63=1,CP$5&lt;=$H63),CO63*(1-AZ63)*(1-MIN(1,MAX(Assumptions!$C$27,Assumptions!$C$13*Assumptions!$C$28^(CO$5-1))*$O63)),0)</f>
        <v>0</v>
      </c>
      <c r="CQ63" s="93">
        <f>IF(AND($T63=1,CQ$5&lt;=$H63),CP63*(1-BA63)*(1-MIN(1,MAX(Assumptions!$C$27,Assumptions!$C$13*Assumptions!$C$28^(CP$5-1))*$O63)),0)</f>
        <v>0</v>
      </c>
      <c r="CR63" s="93">
        <f>IF(AND($T63=1,CR$5&lt;=$H63),CQ63*(1-BB63)*(1-MIN(1,MAX(Assumptions!$C$27,Assumptions!$C$13*Assumptions!$C$28^(CQ$5-1))*$O63)),0)</f>
        <v>0</v>
      </c>
      <c r="CS63" s="93">
        <f>IF(AND($T63=1,CS$5&lt;=$H63),CR63*(1-BC63)*(1-MIN(1,MAX(Assumptions!$C$27,Assumptions!$C$13*Assumptions!$C$28^(CR$5-1))*$O63)),0)</f>
        <v>0</v>
      </c>
      <c r="CT63" s="93">
        <f>IF(AND($T63=1,CT$5&lt;=$H63),CS63*(1-BD63)*(1-MIN(1,MAX(Assumptions!$C$27,Assumptions!$C$13*Assumptions!$C$28^(CS$5-1))*$O63)),0)</f>
        <v>0</v>
      </c>
      <c r="CU63" s="93">
        <f>IF(AND($T63=1,CU$5&lt;=$H63),CT63*(1-BE63)*(1-MIN(1,MAX(Assumptions!$C$27,Assumptions!$C$13*Assumptions!$C$28^(CT$5-1))*$O63)),0)</f>
        <v>0</v>
      </c>
      <c r="CV63" s="93">
        <f>IF(AND($T63=1,CV$5&lt;=$H63),CU63*(1-BF63)*(1-MIN(1,MAX(Assumptions!$C$27,Assumptions!$C$13*Assumptions!$C$28^(CU$5-1))*$O63)),0)</f>
        <v>0</v>
      </c>
      <c r="CW63" s="93">
        <f>IF(AND($T63=1,CW$5&lt;=$H63),CV63*(1-BG63)*(1-MIN(1,MAX(Assumptions!$C$27,Assumptions!$C$13*Assumptions!$C$28^(CV$5-1))*$O63)),0)</f>
        <v>0</v>
      </c>
      <c r="CX63" s="93">
        <f>IF(AND($T63=1,CX$5&lt;=$H63),CW63*(1-BH63)*(1-MIN(1,MAX(Assumptions!$C$27,Assumptions!$C$13*Assumptions!$C$28^(CW$5-1))*$O63)),0)</f>
        <v>0</v>
      </c>
      <c r="CY63" s="93">
        <f>IF(AND($T63=1,CY$5&lt;=$H63),CX63*(1-BI63)*(1-MIN(1,MAX(Assumptions!$C$27,Assumptions!$C$13*Assumptions!$C$28^(CX$5-1))*$O63)),0)</f>
        <v>0</v>
      </c>
      <c r="CZ63" s="93">
        <f>IF(AND($T63=1,CZ$5&lt;=$H63),CY63*(1-BJ63)*(1-MIN(1,MAX(Assumptions!$C$27,Assumptions!$C$13*Assumptions!$C$28^(CY$5-1))*$O63)),0)</f>
        <v>0</v>
      </c>
      <c r="DA63" s="93">
        <f>IF(AND($T63=1,DA$5&lt;=$H63),CZ63*(1-BK63)*(1-MIN(1,MAX(Assumptions!$C$27,Assumptions!$C$13*Assumptions!$C$28^(CZ$5-1))*$O63)),0)</f>
        <v>0</v>
      </c>
      <c r="DB63" s="93">
        <f>IF(AND($T63=1,DB$5&lt;=$H63),DA63*(1-BL63)*(1-MIN(1,MAX(Assumptions!$C$27,Assumptions!$C$13*Assumptions!$C$28^(DA$5-1))*$O63)),0)</f>
        <v>0</v>
      </c>
      <c r="DC63" s="93">
        <f>IF(AND($T63=1,DC$5&lt;=$H63),DB63*(1-BM63)*(1-MIN(1,MAX(Assumptions!$C$27,Assumptions!$C$13*Assumptions!$C$28^(DB$5-1))*$O63)),0)</f>
        <v>0</v>
      </c>
      <c r="DD63" s="93">
        <f>IF(AND($T63=1,DD$5&lt;=$H63),DC63*(1-BN63)*(1-MIN(1,MAX(Assumptions!$C$27,Assumptions!$C$13*Assumptions!$C$28^(DC$5-1))*$O63)),0)</f>
        <v>0</v>
      </c>
      <c r="DE63" s="93">
        <f>IF(AND($T63=1,DE$5&lt;=$H63),DD63*(1-BO63)*(1-MIN(1,MAX(Assumptions!$C$27,Assumptions!$C$13*Assumptions!$C$28^(DD$5-1))*$O63)),0)</f>
        <v>0</v>
      </c>
      <c r="DF63" s="93">
        <f>IF(AND($T63=1,DF$5&lt;=$H63),DE63*(1-BP63)*(1-MIN(1,MAX(Assumptions!$C$27,Assumptions!$C$13*Assumptions!$C$28^(DE$5-1))*$O63)),0)</f>
        <v>0</v>
      </c>
      <c r="DG63" s="93">
        <f>IF(AND($T63=1,DG$5&lt;=$H63),DF63*(1-BQ63)*(1-MIN(1,MAX(Assumptions!$C$27,Assumptions!$C$13*Assumptions!$C$28^(DF$5-1))*$O63)),0)</f>
        <v>0</v>
      </c>
      <c r="DH63" s="93">
        <f>IF(AND($T63=1,DH$5&lt;=$H63),DG63*(1-BR63)*(1-MIN(1,MAX(Assumptions!$C$27,Assumptions!$C$13*Assumptions!$C$28^(DG$5-1))*$O63)),0)</f>
        <v>0</v>
      </c>
      <c r="DI63" s="93">
        <f>IF(AND($T63=1,DI$5&lt;=$H63),DH63*(1-BS63)*(1-MIN(1,MAX(Assumptions!$C$27,Assumptions!$C$13*Assumptions!$C$28^(DH$5-1))*$O63)),0)</f>
        <v>0</v>
      </c>
      <c r="DJ63" s="93">
        <f>IF(AND($T63=1,DJ$5&lt;=$H63),DI63*(1-BT63)*(1-MIN(1,MAX(Assumptions!$C$27,Assumptions!$C$13*Assumptions!$C$28^(DI$5-1))*$O63)),0)</f>
        <v>0</v>
      </c>
      <c r="DK63" s="93">
        <f>IF(AND($T63=1,DK$5&lt;=$H63),DJ63*(1-BU63)*(1-MIN(1,MAX(Assumptions!$C$27,Assumptions!$C$13*Assumptions!$C$28^(DJ$5-1))*$O63)),0)</f>
        <v>0</v>
      </c>
      <c r="DL63" s="93">
        <f>IF(AND($T63=1,DL$5&lt;=$H63),DK63*(1-BV63)*(1-MIN(1,MAX(Assumptions!$C$27,Assumptions!$C$13*Assumptions!$C$28^(DK$5-1))*$O63)),0)</f>
        <v>0</v>
      </c>
      <c r="DM63" s="93">
        <f>IF(AND($T63=1,DM$5&lt;=$H63),DL63*(1-BW63)*(1-MIN(1,MAX(Assumptions!$C$27,Assumptions!$C$13*Assumptions!$C$28^(DL$5-1))*$O63)),0)</f>
        <v>0</v>
      </c>
      <c r="DN63" s="93">
        <f>IF(AND($T63=1,DN$5&lt;=$H63),DM63*(1-BX63)*(1-MIN(1,MAX(Assumptions!$C$27,Assumptions!$C$13*Assumptions!$C$28^(DM$5-1))*$O63)),0)</f>
        <v>0</v>
      </c>
      <c r="DO63" s="93">
        <f>IF(AND($T63=1,DO$5&lt;=$H63),DN63*(1-BY63)*(1-MIN(1,MAX(Assumptions!$C$27,Assumptions!$C$13*Assumptions!$C$28^(DN$5-1))*$O63)),0)</f>
        <v>0</v>
      </c>
      <c r="DP63" s="93">
        <f>IF(AND($T63=1,DP$5&lt;=$H63),DO63*(1-BZ63)*(1-MIN(1,MAX(Assumptions!$C$27,Assumptions!$C$13*Assumptions!$C$28^(DO$5-1))*$O63)),0)</f>
        <v>0</v>
      </c>
      <c r="DQ63" s="93">
        <f>IF(AND($T63=1,DQ$5&lt;=$H63),DP63*(1-CA63)*(1-MIN(1,MAX(Assumptions!$C$27,Assumptions!$C$13*Assumptions!$C$28^(DP$5-1))*$O63)),0)</f>
        <v>0</v>
      </c>
      <c r="DR63" s="93">
        <f>IF(AND($T63=1,DR$5&lt;=$H63),DQ63*(1-CB63)*(1-MIN(1,MAX(Assumptions!$C$27,Assumptions!$C$13*Assumptions!$C$28^(DQ$5-1))*$O63)),0)</f>
        <v>0</v>
      </c>
      <c r="DS63" s="93">
        <f>IF(AND($T63=1,DS$5&lt;=$H63),DR63*(1-CC63)*(1-MIN(1,MAX(Assumptions!$C$27,Assumptions!$C$13*Assumptions!$C$28^(DR$5-1))*$O63)),0)</f>
        <v>0</v>
      </c>
      <c r="DT63" s="93">
        <f>IF(AND($T63=1,DT$5&lt;=$H63),DS63*(1-CD63)*(1-MIN(1,MAX(Assumptions!$C$27,Assumptions!$C$13*Assumptions!$C$28^(DS$5-1))*$O63)),0)</f>
        <v>0</v>
      </c>
      <c r="DU63" s="93">
        <f>IF(AND($T63=1,DU$5&lt;=$H63),DT63*(1-CE63)*(1-MIN(1,MAX(Assumptions!$C$27,Assumptions!$C$13*Assumptions!$C$28^(DT$5-1))*$O63)),0)</f>
        <v>0</v>
      </c>
      <c r="DV63" s="93">
        <f>IF(AND($T63=1,DV$5&lt;=$H63),DU63*(1-CF63)*(1-MIN(1,MAX(Assumptions!$C$27,Assumptions!$C$13*Assumptions!$C$28^(DU$5-1))*$O63)),0)</f>
        <v>0</v>
      </c>
      <c r="DW63" s="94">
        <f>IF(AND($T63=1,DW$5&lt;=$H63),DV63*(1-CG63)*(1-MIN(1,MAX(Assumptions!$C$27,Assumptions!$C$13*Assumptions!$C$28^(DV$5-1))*$O63)),0)</f>
        <v>0</v>
      </c>
      <c r="DX63" s="26"/>
      <c r="DY63" s="399">
        <f>'Policy Data'!K37</f>
        <v>1</v>
      </c>
      <c r="DZ63" s="100">
        <f>'Policy Data'!L37</f>
        <v>0.88219999999999998</v>
      </c>
      <c r="EA63" s="100">
        <f>'Policy Data'!N37</f>
        <v>1.642E-3</v>
      </c>
      <c r="EB63" s="93" cm="1">
        <f t="array" ref="EB63">IFERROR(DZ63*INDEX(Mortality!$B$4:$E$64,MATCH(D63+DY63-1,Mortality!$A$4:$A$64,0),U63)*V63,0)</f>
        <v>1.6420045053518084E-3</v>
      </c>
      <c r="EC63" s="100">
        <f>'Policy Data'!O37</f>
        <v>0</v>
      </c>
      <c r="ED63" s="400">
        <f>'Policy Data'!Q37</f>
        <v>0</v>
      </c>
    </row>
    <row r="64" spans="1:134" x14ac:dyDescent="0.3">
      <c r="A64" s="399" t="str">
        <f>'Policy Data'!A38</f>
        <v>POL100034</v>
      </c>
      <c r="B64" s="26" t="s">
        <v>426</v>
      </c>
      <c r="C64" s="100" t="str">
        <f>'Policy Data'!B38</f>
        <v>Unit-Linked</v>
      </c>
      <c r="D64" s="100">
        <f>'Policy Data'!C38</f>
        <v>57</v>
      </c>
      <c r="E64" s="100" t="str">
        <f>'Policy Data'!D38</f>
        <v>Male</v>
      </c>
      <c r="F64" s="100" t="str">
        <f>'Policy Data'!E38</f>
        <v>Non-smoker</v>
      </c>
      <c r="G64" s="100" t="str">
        <f>'Policy Data'!F38</f>
        <v>Standard</v>
      </c>
      <c r="H64" s="100">
        <f>'Policy Data'!G38</f>
        <v>25</v>
      </c>
      <c r="I64" s="279">
        <f>'Policy Data'!H38</f>
        <v>1000000</v>
      </c>
      <c r="J64" s="100" t="str">
        <f>'Policy Data'!I38</f>
        <v>Monthly</v>
      </c>
      <c r="K64" s="100" t="str">
        <f>'Policy Data'!J38</f>
        <v>Bancassurance</v>
      </c>
      <c r="L64" s="26" t="s">
        <v>389</v>
      </c>
      <c r="M64" s="106">
        <f>'Policy Data'!R38</f>
        <v>9428.6200000000008</v>
      </c>
      <c r="N64" s="415">
        <f>Assumptions!$C$21</f>
        <v>1</v>
      </c>
      <c r="O64" s="415">
        <f>Assumptions!$C$22</f>
        <v>1</v>
      </c>
      <c r="P64" s="415">
        <f>Assumptions!$C$23</f>
        <v>1</v>
      </c>
      <c r="Q64" s="416">
        <f>Assumptions!$C$24</f>
        <v>0</v>
      </c>
      <c r="R64" s="416">
        <f>Assumptions!$C$6+Assumptions!$C$25</f>
        <v>3.5000000000000003E-2</v>
      </c>
      <c r="S64" s="416">
        <f>Assumptions!$C$15</f>
        <v>1.1000000000000001E-3</v>
      </c>
      <c r="T64" s="26">
        <f t="shared" si="18"/>
        <v>0</v>
      </c>
      <c r="U64" s="26">
        <f t="shared" si="19"/>
        <v>3</v>
      </c>
      <c r="V64" s="389">
        <f>IF($G64="Preferred",Assumptions!$C$30,IF($G64="Rated",Assumptions!$C$31,1))</f>
        <v>1</v>
      </c>
      <c r="W64" s="390">
        <f>IF($K64="Direct",Assumptions!$C$32,IF($K64="Broker",Assumptions!$C$33,IF($K64="Bancassurance",Assumptions!$C$34,Assumptions!$C$11)))+$Q64</f>
        <v>0.2</v>
      </c>
      <c r="X64" s="390">
        <f>Assumptions!$C$12+$Q64</f>
        <v>0.05</v>
      </c>
      <c r="Y64" s="131">
        <f>MIN($I64,Assumptions!$C$14)</f>
        <v>500000</v>
      </c>
      <c r="Z64" s="131">
        <f>MAX($I64-Assumptions!$C$14,0)</f>
        <v>500000</v>
      </c>
      <c r="AA64" s="389">
        <f t="shared" si="20"/>
        <v>0</v>
      </c>
      <c r="AB64" s="389">
        <f t="shared" si="21"/>
        <v>0</v>
      </c>
      <c r="AC64" s="389">
        <f>IF($T64=1,SUMPRODUCT($CJ64:$DW64,(1+Assumptions!$C$5)^($CJ$5:$DW$5-1),(1+$R64)^(-$CJ$5:$DW$5)),0)</f>
        <v>0</v>
      </c>
      <c r="AD64" s="389">
        <f t="shared" si="22"/>
        <v>0</v>
      </c>
      <c r="AE64" s="131">
        <f>IF($T64=1,$AB64*$Y64+(Assumptions!$C$9/(1+$R64)+Assumptions!$C$10*$AC64)*$P64+$S64*$Z64*$AA64,0)</f>
        <v>0</v>
      </c>
      <c r="AF64" s="131" t="str">
        <f>IF($T64=1,IF($AA64-$AD64-Assumptions!$C$16*$AA64&gt;0,$AE64/($AA64-$AD64-Assumptions!$C$16*$AA64)*IF($J64="Monthly",1+Assumptions!$C$29,1),"n.a."),"")</f>
        <v/>
      </c>
      <c r="AG64" s="131" t="str">
        <f t="shared" si="23"/>
        <v/>
      </c>
      <c r="AH64" s="131" t="str">
        <f t="shared" si="24"/>
        <v/>
      </c>
      <c r="AI64" s="131" t="str">
        <f t="shared" si="25"/>
        <v/>
      </c>
      <c r="AJ64" s="390" t="str">
        <f t="shared" si="26"/>
        <v/>
      </c>
      <c r="AK64" s="389" t="str">
        <f t="shared" si="27"/>
        <v/>
      </c>
      <c r="AL64" s="131" t="str">
        <f t="shared" si="28"/>
        <v/>
      </c>
      <c r="AM64" s="131" t="str">
        <f t="shared" si="29"/>
        <v/>
      </c>
      <c r="AN64" s="131" t="str">
        <f t="shared" si="30"/>
        <v/>
      </c>
      <c r="AO64" s="131" t="str">
        <f t="shared" si="31"/>
        <v/>
      </c>
      <c r="AP64" s="26" t="str">
        <f t="shared" si="32"/>
        <v>50-59</v>
      </c>
      <c r="AQ64" s="26" t="str">
        <f t="shared" si="33"/>
        <v>500k-1m</v>
      </c>
      <c r="AR64" s="26" t="str">
        <f>IF($T64=1,IF($AI64&lt;0,"Loss-making",IF($AJ64&lt;Assumptions!$C$16-0.00001,"Below target","At/above target")),"Excluded")</f>
        <v>Excluded</v>
      </c>
      <c r="AS64" s="103">
        <f t="shared" si="34"/>
        <v>9.9999999999999997E+98</v>
      </c>
      <c r="AT64" s="26"/>
      <c r="AU64" s="419">
        <f>IF(AND($T64=1,AU$5&lt;=$H64),INDEX(Mortality!$B$4:$E$64,MATCH($D64+AU$5-1,Mortality!$A$4:$A$64,0),$U64)*$V64*$N64,0)</f>
        <v>0</v>
      </c>
      <c r="AV64" s="93">
        <f>IF(AND($T64=1,AV$5&lt;=$H64),INDEX(Mortality!$B$4:$E$64,MATCH($D64+AV$5-1,Mortality!$A$4:$A$64,0),$U64)*$V64*$N64,0)</f>
        <v>0</v>
      </c>
      <c r="AW64" s="93">
        <f>IF(AND($T64=1,AW$5&lt;=$H64),INDEX(Mortality!$B$4:$E$64,MATCH($D64+AW$5-1,Mortality!$A$4:$A$64,0),$U64)*$V64*$N64,0)</f>
        <v>0</v>
      </c>
      <c r="AX64" s="93">
        <f>IF(AND($T64=1,AX$5&lt;=$H64),INDEX(Mortality!$B$4:$E$64,MATCH($D64+AX$5-1,Mortality!$A$4:$A$64,0),$U64)*$V64*$N64,0)</f>
        <v>0</v>
      </c>
      <c r="AY64" s="93">
        <f>IF(AND($T64=1,AY$5&lt;=$H64),INDEX(Mortality!$B$4:$E$64,MATCH($D64+AY$5-1,Mortality!$A$4:$A$64,0),$U64)*$V64*$N64,0)</f>
        <v>0</v>
      </c>
      <c r="AZ64" s="93">
        <f>IF(AND($T64=1,AZ$5&lt;=$H64),INDEX(Mortality!$B$4:$E$64,MATCH($D64+AZ$5-1,Mortality!$A$4:$A$64,0),$U64)*$V64*$N64,0)</f>
        <v>0</v>
      </c>
      <c r="BA64" s="93">
        <f>IF(AND($T64=1,BA$5&lt;=$H64),INDEX(Mortality!$B$4:$E$64,MATCH($D64+BA$5-1,Mortality!$A$4:$A$64,0),$U64)*$V64*$N64,0)</f>
        <v>0</v>
      </c>
      <c r="BB64" s="93">
        <f>IF(AND($T64=1,BB$5&lt;=$H64),INDEX(Mortality!$B$4:$E$64,MATCH($D64+BB$5-1,Mortality!$A$4:$A$64,0),$U64)*$V64*$N64,0)</f>
        <v>0</v>
      </c>
      <c r="BC64" s="93">
        <f>IF(AND($T64=1,BC$5&lt;=$H64),INDEX(Mortality!$B$4:$E$64,MATCH($D64+BC$5-1,Mortality!$A$4:$A$64,0),$U64)*$V64*$N64,0)</f>
        <v>0</v>
      </c>
      <c r="BD64" s="93">
        <f>IF(AND($T64=1,BD$5&lt;=$H64),INDEX(Mortality!$B$4:$E$64,MATCH($D64+BD$5-1,Mortality!$A$4:$A$64,0),$U64)*$V64*$N64,0)</f>
        <v>0</v>
      </c>
      <c r="BE64" s="93">
        <f>IF(AND($T64=1,BE$5&lt;=$H64),INDEX(Mortality!$B$4:$E$64,MATCH($D64+BE$5-1,Mortality!$A$4:$A$64,0),$U64)*$V64*$N64,0)</f>
        <v>0</v>
      </c>
      <c r="BF64" s="93">
        <f>IF(AND($T64=1,BF$5&lt;=$H64),INDEX(Mortality!$B$4:$E$64,MATCH($D64+BF$5-1,Mortality!$A$4:$A$64,0),$U64)*$V64*$N64,0)</f>
        <v>0</v>
      </c>
      <c r="BG64" s="93">
        <f>IF(AND($T64=1,BG$5&lt;=$H64),INDEX(Mortality!$B$4:$E$64,MATCH($D64+BG$5-1,Mortality!$A$4:$A$64,0),$U64)*$V64*$N64,0)</f>
        <v>0</v>
      </c>
      <c r="BH64" s="93">
        <f>IF(AND($T64=1,BH$5&lt;=$H64),INDEX(Mortality!$B$4:$E$64,MATCH($D64+BH$5-1,Mortality!$A$4:$A$64,0),$U64)*$V64*$N64,0)</f>
        <v>0</v>
      </c>
      <c r="BI64" s="93">
        <f>IF(AND($T64=1,BI$5&lt;=$H64),INDEX(Mortality!$B$4:$E$64,MATCH($D64+BI$5-1,Mortality!$A$4:$A$64,0),$U64)*$V64*$N64,0)</f>
        <v>0</v>
      </c>
      <c r="BJ64" s="93">
        <f>IF(AND($T64=1,BJ$5&lt;=$H64),INDEX(Mortality!$B$4:$E$64,MATCH($D64+BJ$5-1,Mortality!$A$4:$A$64,0),$U64)*$V64*$N64,0)</f>
        <v>0</v>
      </c>
      <c r="BK64" s="93">
        <f>IF(AND($T64=1,BK$5&lt;=$H64),INDEX(Mortality!$B$4:$E$64,MATCH($D64+BK$5-1,Mortality!$A$4:$A$64,0),$U64)*$V64*$N64,0)</f>
        <v>0</v>
      </c>
      <c r="BL64" s="93">
        <f>IF(AND($T64=1,BL$5&lt;=$H64),INDEX(Mortality!$B$4:$E$64,MATCH($D64+BL$5-1,Mortality!$A$4:$A$64,0),$U64)*$V64*$N64,0)</f>
        <v>0</v>
      </c>
      <c r="BM64" s="93">
        <f>IF(AND($T64=1,BM$5&lt;=$H64),INDEX(Mortality!$B$4:$E$64,MATCH($D64+BM$5-1,Mortality!$A$4:$A$64,0),$U64)*$V64*$N64,0)</f>
        <v>0</v>
      </c>
      <c r="BN64" s="93">
        <f>IF(AND($T64=1,BN$5&lt;=$H64),INDEX(Mortality!$B$4:$E$64,MATCH($D64+BN$5-1,Mortality!$A$4:$A$64,0),$U64)*$V64*$N64,0)</f>
        <v>0</v>
      </c>
      <c r="BO64" s="93">
        <f>IF(AND($T64=1,BO$5&lt;=$H64),INDEX(Mortality!$B$4:$E$64,MATCH($D64+BO$5-1,Mortality!$A$4:$A$64,0),$U64)*$V64*$N64,0)</f>
        <v>0</v>
      </c>
      <c r="BP64" s="93">
        <f>IF(AND($T64=1,BP$5&lt;=$H64),INDEX(Mortality!$B$4:$E$64,MATCH($D64+BP$5-1,Mortality!$A$4:$A$64,0),$U64)*$V64*$N64,0)</f>
        <v>0</v>
      </c>
      <c r="BQ64" s="93">
        <f>IF(AND($T64=1,BQ$5&lt;=$H64),INDEX(Mortality!$B$4:$E$64,MATCH($D64+BQ$5-1,Mortality!$A$4:$A$64,0),$U64)*$V64*$N64,0)</f>
        <v>0</v>
      </c>
      <c r="BR64" s="93">
        <f>IF(AND($T64=1,BR$5&lt;=$H64),INDEX(Mortality!$B$4:$E$64,MATCH($D64+BR$5-1,Mortality!$A$4:$A$64,0),$U64)*$V64*$N64,0)</f>
        <v>0</v>
      </c>
      <c r="BS64" s="93">
        <f>IF(AND($T64=1,BS$5&lt;=$H64),INDEX(Mortality!$B$4:$E$64,MATCH($D64+BS$5-1,Mortality!$A$4:$A$64,0),$U64)*$V64*$N64,0)</f>
        <v>0</v>
      </c>
      <c r="BT64" s="93">
        <f>IF(AND($T64=1,BT$5&lt;=$H64),INDEX(Mortality!$B$4:$E$64,MATCH($D64+BT$5-1,Mortality!$A$4:$A$64,0),$U64)*$V64*$N64,0)</f>
        <v>0</v>
      </c>
      <c r="BU64" s="93">
        <f>IF(AND($T64=1,BU$5&lt;=$H64),INDEX(Mortality!$B$4:$E$64,MATCH($D64+BU$5-1,Mortality!$A$4:$A$64,0),$U64)*$V64*$N64,0)</f>
        <v>0</v>
      </c>
      <c r="BV64" s="93">
        <f>IF(AND($T64=1,BV$5&lt;=$H64),INDEX(Mortality!$B$4:$E$64,MATCH($D64+BV$5-1,Mortality!$A$4:$A$64,0),$U64)*$V64*$N64,0)</f>
        <v>0</v>
      </c>
      <c r="BW64" s="93">
        <f>IF(AND($T64=1,BW$5&lt;=$H64),INDEX(Mortality!$B$4:$E$64,MATCH($D64+BW$5-1,Mortality!$A$4:$A$64,0),$U64)*$V64*$N64,0)</f>
        <v>0</v>
      </c>
      <c r="BX64" s="93">
        <f>IF(AND($T64=1,BX$5&lt;=$H64),INDEX(Mortality!$B$4:$E$64,MATCH($D64+BX$5-1,Mortality!$A$4:$A$64,0),$U64)*$V64*$N64,0)</f>
        <v>0</v>
      </c>
      <c r="BY64" s="93">
        <f>IF(AND($T64=1,BY$5&lt;=$H64),INDEX(Mortality!$B$4:$E$64,MATCH($D64+BY$5-1,Mortality!$A$4:$A$64,0),$U64)*$V64*$N64,0)</f>
        <v>0</v>
      </c>
      <c r="BZ64" s="93">
        <f>IF(AND($T64=1,BZ$5&lt;=$H64),INDEX(Mortality!$B$4:$E$64,MATCH($D64+BZ$5-1,Mortality!$A$4:$A$64,0),$U64)*$V64*$N64,0)</f>
        <v>0</v>
      </c>
      <c r="CA64" s="93">
        <f>IF(AND($T64=1,CA$5&lt;=$H64),INDEX(Mortality!$B$4:$E$64,MATCH($D64+CA$5-1,Mortality!$A$4:$A$64,0),$U64)*$V64*$N64,0)</f>
        <v>0</v>
      </c>
      <c r="CB64" s="93">
        <f>IF(AND($T64=1,CB$5&lt;=$H64),INDEX(Mortality!$B$4:$E$64,MATCH($D64+CB$5-1,Mortality!$A$4:$A$64,0),$U64)*$V64*$N64,0)</f>
        <v>0</v>
      </c>
      <c r="CC64" s="93">
        <f>IF(AND($T64=1,CC$5&lt;=$H64),INDEX(Mortality!$B$4:$E$64,MATCH($D64+CC$5-1,Mortality!$A$4:$A$64,0),$U64)*$V64*$N64,0)</f>
        <v>0</v>
      </c>
      <c r="CD64" s="93">
        <f>IF(AND($T64=1,CD$5&lt;=$H64),INDEX(Mortality!$B$4:$E$64,MATCH($D64+CD$5-1,Mortality!$A$4:$A$64,0),$U64)*$V64*$N64,0)</f>
        <v>0</v>
      </c>
      <c r="CE64" s="93">
        <f>IF(AND($T64=1,CE$5&lt;=$H64),INDEX(Mortality!$B$4:$E$64,MATCH($D64+CE$5-1,Mortality!$A$4:$A$64,0),$U64)*$V64*$N64,0)</f>
        <v>0</v>
      </c>
      <c r="CF64" s="93">
        <f>IF(AND($T64=1,CF$5&lt;=$H64),INDEX(Mortality!$B$4:$E$64,MATCH($D64+CF$5-1,Mortality!$A$4:$A$64,0),$U64)*$V64*$N64,0)</f>
        <v>0</v>
      </c>
      <c r="CG64" s="93">
        <f>IF(AND($T64=1,CG$5&lt;=$H64),INDEX(Mortality!$B$4:$E$64,MATCH($D64+CG$5-1,Mortality!$A$4:$A$64,0),$U64)*$V64*$N64,0)</f>
        <v>0</v>
      </c>
      <c r="CH64" s="94">
        <f>IF(AND($T64=1,CH$5&lt;=$H64),INDEX(Mortality!$B$4:$E$64,MATCH($D64+CH$5-1,Mortality!$A$4:$A$64,0),$U64)*$V64*$N64,0)</f>
        <v>0</v>
      </c>
      <c r="CI64" s="26"/>
      <c r="CJ64" s="419">
        <f t="shared" si="35"/>
        <v>0</v>
      </c>
      <c r="CK64" s="93">
        <f>IF(AND($T64=1,CK$5&lt;=$H64),CJ64*(1-AU64)*(1-MIN(1,MAX(Assumptions!$C$27,Assumptions!$C$13*Assumptions!$C$28^(CJ$5-1))*$O64)),0)</f>
        <v>0</v>
      </c>
      <c r="CL64" s="93">
        <f>IF(AND($T64=1,CL$5&lt;=$H64),CK64*(1-AV64)*(1-MIN(1,MAX(Assumptions!$C$27,Assumptions!$C$13*Assumptions!$C$28^(CK$5-1))*$O64)),0)</f>
        <v>0</v>
      </c>
      <c r="CM64" s="93">
        <f>IF(AND($T64=1,CM$5&lt;=$H64),CL64*(1-AW64)*(1-MIN(1,MAX(Assumptions!$C$27,Assumptions!$C$13*Assumptions!$C$28^(CL$5-1))*$O64)),0)</f>
        <v>0</v>
      </c>
      <c r="CN64" s="93">
        <f>IF(AND($T64=1,CN$5&lt;=$H64),CM64*(1-AX64)*(1-MIN(1,MAX(Assumptions!$C$27,Assumptions!$C$13*Assumptions!$C$28^(CM$5-1))*$O64)),0)</f>
        <v>0</v>
      </c>
      <c r="CO64" s="93">
        <f>IF(AND($T64=1,CO$5&lt;=$H64),CN64*(1-AY64)*(1-MIN(1,MAX(Assumptions!$C$27,Assumptions!$C$13*Assumptions!$C$28^(CN$5-1))*$O64)),0)</f>
        <v>0</v>
      </c>
      <c r="CP64" s="93">
        <f>IF(AND($T64=1,CP$5&lt;=$H64),CO64*(1-AZ64)*(1-MIN(1,MAX(Assumptions!$C$27,Assumptions!$C$13*Assumptions!$C$28^(CO$5-1))*$O64)),0)</f>
        <v>0</v>
      </c>
      <c r="CQ64" s="93">
        <f>IF(AND($T64=1,CQ$5&lt;=$H64),CP64*(1-BA64)*(1-MIN(1,MAX(Assumptions!$C$27,Assumptions!$C$13*Assumptions!$C$28^(CP$5-1))*$O64)),0)</f>
        <v>0</v>
      </c>
      <c r="CR64" s="93">
        <f>IF(AND($T64=1,CR$5&lt;=$H64),CQ64*(1-BB64)*(1-MIN(1,MAX(Assumptions!$C$27,Assumptions!$C$13*Assumptions!$C$28^(CQ$5-1))*$O64)),0)</f>
        <v>0</v>
      </c>
      <c r="CS64" s="93">
        <f>IF(AND($T64=1,CS$5&lt;=$H64),CR64*(1-BC64)*(1-MIN(1,MAX(Assumptions!$C$27,Assumptions!$C$13*Assumptions!$C$28^(CR$5-1))*$O64)),0)</f>
        <v>0</v>
      </c>
      <c r="CT64" s="93">
        <f>IF(AND($T64=1,CT$5&lt;=$H64),CS64*(1-BD64)*(1-MIN(1,MAX(Assumptions!$C$27,Assumptions!$C$13*Assumptions!$C$28^(CS$5-1))*$O64)),0)</f>
        <v>0</v>
      </c>
      <c r="CU64" s="93">
        <f>IF(AND($T64=1,CU$5&lt;=$H64),CT64*(1-BE64)*(1-MIN(1,MAX(Assumptions!$C$27,Assumptions!$C$13*Assumptions!$C$28^(CT$5-1))*$O64)),0)</f>
        <v>0</v>
      </c>
      <c r="CV64" s="93">
        <f>IF(AND($T64=1,CV$5&lt;=$H64),CU64*(1-BF64)*(1-MIN(1,MAX(Assumptions!$C$27,Assumptions!$C$13*Assumptions!$C$28^(CU$5-1))*$O64)),0)</f>
        <v>0</v>
      </c>
      <c r="CW64" s="93">
        <f>IF(AND($T64=1,CW$5&lt;=$H64),CV64*(1-BG64)*(1-MIN(1,MAX(Assumptions!$C$27,Assumptions!$C$13*Assumptions!$C$28^(CV$5-1))*$O64)),0)</f>
        <v>0</v>
      </c>
      <c r="CX64" s="93">
        <f>IF(AND($T64=1,CX$5&lt;=$H64),CW64*(1-BH64)*(1-MIN(1,MAX(Assumptions!$C$27,Assumptions!$C$13*Assumptions!$C$28^(CW$5-1))*$O64)),0)</f>
        <v>0</v>
      </c>
      <c r="CY64" s="93">
        <f>IF(AND($T64=1,CY$5&lt;=$H64),CX64*(1-BI64)*(1-MIN(1,MAX(Assumptions!$C$27,Assumptions!$C$13*Assumptions!$C$28^(CX$5-1))*$O64)),0)</f>
        <v>0</v>
      </c>
      <c r="CZ64" s="93">
        <f>IF(AND($T64=1,CZ$5&lt;=$H64),CY64*(1-BJ64)*(1-MIN(1,MAX(Assumptions!$C$27,Assumptions!$C$13*Assumptions!$C$28^(CY$5-1))*$O64)),0)</f>
        <v>0</v>
      </c>
      <c r="DA64" s="93">
        <f>IF(AND($T64=1,DA$5&lt;=$H64),CZ64*(1-BK64)*(1-MIN(1,MAX(Assumptions!$C$27,Assumptions!$C$13*Assumptions!$C$28^(CZ$5-1))*$O64)),0)</f>
        <v>0</v>
      </c>
      <c r="DB64" s="93">
        <f>IF(AND($T64=1,DB$5&lt;=$H64),DA64*(1-BL64)*(1-MIN(1,MAX(Assumptions!$C$27,Assumptions!$C$13*Assumptions!$C$28^(DA$5-1))*$O64)),0)</f>
        <v>0</v>
      </c>
      <c r="DC64" s="93">
        <f>IF(AND($T64=1,DC$5&lt;=$H64),DB64*(1-BM64)*(1-MIN(1,MAX(Assumptions!$C$27,Assumptions!$C$13*Assumptions!$C$28^(DB$5-1))*$O64)),0)</f>
        <v>0</v>
      </c>
      <c r="DD64" s="93">
        <f>IF(AND($T64=1,DD$5&lt;=$H64),DC64*(1-BN64)*(1-MIN(1,MAX(Assumptions!$C$27,Assumptions!$C$13*Assumptions!$C$28^(DC$5-1))*$O64)),0)</f>
        <v>0</v>
      </c>
      <c r="DE64" s="93">
        <f>IF(AND($T64=1,DE$5&lt;=$H64),DD64*(1-BO64)*(1-MIN(1,MAX(Assumptions!$C$27,Assumptions!$C$13*Assumptions!$C$28^(DD$5-1))*$O64)),0)</f>
        <v>0</v>
      </c>
      <c r="DF64" s="93">
        <f>IF(AND($T64=1,DF$5&lt;=$H64),DE64*(1-BP64)*(1-MIN(1,MAX(Assumptions!$C$27,Assumptions!$C$13*Assumptions!$C$28^(DE$5-1))*$O64)),0)</f>
        <v>0</v>
      </c>
      <c r="DG64" s="93">
        <f>IF(AND($T64=1,DG$5&lt;=$H64),DF64*(1-BQ64)*(1-MIN(1,MAX(Assumptions!$C$27,Assumptions!$C$13*Assumptions!$C$28^(DF$5-1))*$O64)),0)</f>
        <v>0</v>
      </c>
      <c r="DH64" s="93">
        <f>IF(AND($T64=1,DH$5&lt;=$H64),DG64*(1-BR64)*(1-MIN(1,MAX(Assumptions!$C$27,Assumptions!$C$13*Assumptions!$C$28^(DG$5-1))*$O64)),0)</f>
        <v>0</v>
      </c>
      <c r="DI64" s="93">
        <f>IF(AND($T64=1,DI$5&lt;=$H64),DH64*(1-BS64)*(1-MIN(1,MAX(Assumptions!$C$27,Assumptions!$C$13*Assumptions!$C$28^(DH$5-1))*$O64)),0)</f>
        <v>0</v>
      </c>
      <c r="DJ64" s="93">
        <f>IF(AND($T64=1,DJ$5&lt;=$H64),DI64*(1-BT64)*(1-MIN(1,MAX(Assumptions!$C$27,Assumptions!$C$13*Assumptions!$C$28^(DI$5-1))*$O64)),0)</f>
        <v>0</v>
      </c>
      <c r="DK64" s="93">
        <f>IF(AND($T64=1,DK$5&lt;=$H64),DJ64*(1-BU64)*(1-MIN(1,MAX(Assumptions!$C$27,Assumptions!$C$13*Assumptions!$C$28^(DJ$5-1))*$O64)),0)</f>
        <v>0</v>
      </c>
      <c r="DL64" s="93">
        <f>IF(AND($T64=1,DL$5&lt;=$H64),DK64*(1-BV64)*(1-MIN(1,MAX(Assumptions!$C$27,Assumptions!$C$13*Assumptions!$C$28^(DK$5-1))*$O64)),0)</f>
        <v>0</v>
      </c>
      <c r="DM64" s="93">
        <f>IF(AND($T64=1,DM$5&lt;=$H64),DL64*(1-BW64)*(1-MIN(1,MAX(Assumptions!$C$27,Assumptions!$C$13*Assumptions!$C$28^(DL$5-1))*$O64)),0)</f>
        <v>0</v>
      </c>
      <c r="DN64" s="93">
        <f>IF(AND($T64=1,DN$5&lt;=$H64),DM64*(1-BX64)*(1-MIN(1,MAX(Assumptions!$C$27,Assumptions!$C$13*Assumptions!$C$28^(DM$5-1))*$O64)),0)</f>
        <v>0</v>
      </c>
      <c r="DO64" s="93">
        <f>IF(AND($T64=1,DO$5&lt;=$H64),DN64*(1-BY64)*(1-MIN(1,MAX(Assumptions!$C$27,Assumptions!$C$13*Assumptions!$C$28^(DN$5-1))*$O64)),0)</f>
        <v>0</v>
      </c>
      <c r="DP64" s="93">
        <f>IF(AND($T64=1,DP$5&lt;=$H64),DO64*(1-BZ64)*(1-MIN(1,MAX(Assumptions!$C$27,Assumptions!$C$13*Assumptions!$C$28^(DO$5-1))*$O64)),0)</f>
        <v>0</v>
      </c>
      <c r="DQ64" s="93">
        <f>IF(AND($T64=1,DQ$5&lt;=$H64),DP64*(1-CA64)*(1-MIN(1,MAX(Assumptions!$C$27,Assumptions!$C$13*Assumptions!$C$28^(DP$5-1))*$O64)),0)</f>
        <v>0</v>
      </c>
      <c r="DR64" s="93">
        <f>IF(AND($T64=1,DR$5&lt;=$H64),DQ64*(1-CB64)*(1-MIN(1,MAX(Assumptions!$C$27,Assumptions!$C$13*Assumptions!$C$28^(DQ$5-1))*$O64)),0)</f>
        <v>0</v>
      </c>
      <c r="DS64" s="93">
        <f>IF(AND($T64=1,DS$5&lt;=$H64),DR64*(1-CC64)*(1-MIN(1,MAX(Assumptions!$C$27,Assumptions!$C$13*Assumptions!$C$28^(DR$5-1))*$O64)),0)</f>
        <v>0</v>
      </c>
      <c r="DT64" s="93">
        <f>IF(AND($T64=1,DT$5&lt;=$H64),DS64*(1-CD64)*(1-MIN(1,MAX(Assumptions!$C$27,Assumptions!$C$13*Assumptions!$C$28^(DS$5-1))*$O64)),0)</f>
        <v>0</v>
      </c>
      <c r="DU64" s="93">
        <f>IF(AND($T64=1,DU$5&lt;=$H64),DT64*(1-CE64)*(1-MIN(1,MAX(Assumptions!$C$27,Assumptions!$C$13*Assumptions!$C$28^(DT$5-1))*$O64)),0)</f>
        <v>0</v>
      </c>
      <c r="DV64" s="93">
        <f>IF(AND($T64=1,DV$5&lt;=$H64),DU64*(1-CF64)*(1-MIN(1,MAX(Assumptions!$C$27,Assumptions!$C$13*Assumptions!$C$28^(DU$5-1))*$O64)),0)</f>
        <v>0</v>
      </c>
      <c r="DW64" s="94">
        <f>IF(AND($T64=1,DW$5&lt;=$H64),DV64*(1-CG64)*(1-MIN(1,MAX(Assumptions!$C$27,Assumptions!$C$13*Assumptions!$C$28^(DV$5-1))*$O64)),0)</f>
        <v>0</v>
      </c>
      <c r="DX64" s="26"/>
      <c r="DY64" s="399">
        <f>'Policy Data'!K38</f>
        <v>1</v>
      </c>
      <c r="DZ64" s="100">
        <f>'Policy Data'!L38</f>
        <v>0.75670000000000004</v>
      </c>
      <c r="EA64" s="100">
        <f>'Policy Data'!N38</f>
        <v>3.395E-3</v>
      </c>
      <c r="EB64" s="93" cm="1">
        <f t="array" ref="EB64">IFERROR(DZ64*INDEX(Mortality!$B$4:$E$64,MATCH(D64+DY64-1,Mortality!$A$4:$A$64,0),U64)*V64,0)</f>
        <v>3.3955503057374373E-3</v>
      </c>
      <c r="EC64" s="100">
        <f>'Policy Data'!O38</f>
        <v>0</v>
      </c>
      <c r="ED64" s="400">
        <f>'Policy Data'!Q38</f>
        <v>0</v>
      </c>
    </row>
    <row r="65" spans="1:134" x14ac:dyDescent="0.3">
      <c r="A65" s="399" t="str">
        <f>'Policy Data'!A39</f>
        <v>POL100035</v>
      </c>
      <c r="B65" s="26" t="s">
        <v>426</v>
      </c>
      <c r="C65" s="100" t="str">
        <f>'Policy Data'!B39</f>
        <v>Term Life</v>
      </c>
      <c r="D65" s="100">
        <f>'Policy Data'!C39</f>
        <v>52</v>
      </c>
      <c r="E65" s="100" t="str">
        <f>'Policy Data'!D39</f>
        <v>Male</v>
      </c>
      <c r="F65" s="100" t="str">
        <f>'Policy Data'!E39</f>
        <v>Non-smoker</v>
      </c>
      <c r="G65" s="100" t="str">
        <f>'Policy Data'!F39</f>
        <v>Standard</v>
      </c>
      <c r="H65" s="100">
        <f>'Policy Data'!G39</f>
        <v>10</v>
      </c>
      <c r="I65" s="279">
        <f>'Policy Data'!H39</f>
        <v>1000000</v>
      </c>
      <c r="J65" s="100" t="str">
        <f>'Policy Data'!I39</f>
        <v>Monthly</v>
      </c>
      <c r="K65" s="100" t="str">
        <f>'Policy Data'!J39</f>
        <v>Bancassurance</v>
      </c>
      <c r="L65" s="26" t="s">
        <v>389</v>
      </c>
      <c r="M65" s="106">
        <f>'Policy Data'!R39</f>
        <v>4579.3599999999997</v>
      </c>
      <c r="N65" s="415">
        <f>Assumptions!$C$21</f>
        <v>1</v>
      </c>
      <c r="O65" s="415">
        <f>Assumptions!$C$22</f>
        <v>1</v>
      </c>
      <c r="P65" s="415">
        <f>Assumptions!$C$23</f>
        <v>1</v>
      </c>
      <c r="Q65" s="416">
        <f>Assumptions!$C$24</f>
        <v>0</v>
      </c>
      <c r="R65" s="416">
        <f>Assumptions!$C$6+Assumptions!$C$25</f>
        <v>3.5000000000000003E-2</v>
      </c>
      <c r="S65" s="416">
        <f>Assumptions!$C$15</f>
        <v>1.1000000000000001E-3</v>
      </c>
      <c r="T65" s="26">
        <f t="shared" si="18"/>
        <v>1</v>
      </c>
      <c r="U65" s="26">
        <f t="shared" si="19"/>
        <v>3</v>
      </c>
      <c r="V65" s="389">
        <f>IF($G65="Preferred",Assumptions!$C$30,IF($G65="Rated",Assumptions!$C$31,1))</f>
        <v>1</v>
      </c>
      <c r="W65" s="390">
        <f>IF($K65="Direct",Assumptions!$C$32,IF($K65="Broker",Assumptions!$C$33,IF($K65="Bancassurance",Assumptions!$C$34,Assumptions!$C$11)))+$Q65</f>
        <v>0.2</v>
      </c>
      <c r="X65" s="390">
        <f>Assumptions!$C$12+$Q65</f>
        <v>0.05</v>
      </c>
      <c r="Y65" s="131">
        <f>MIN($I65,Assumptions!$C$14)</f>
        <v>500000</v>
      </c>
      <c r="Z65" s="131">
        <f>MAX($I65-Assumptions!$C$14,0)</f>
        <v>500000</v>
      </c>
      <c r="AA65" s="389">
        <f t="shared" si="20"/>
        <v>5.7934103365273071</v>
      </c>
      <c r="AB65" s="389">
        <f t="shared" si="21"/>
        <v>2.3853760393104061E-2</v>
      </c>
      <c r="AC65" s="389">
        <f>IF($T65=1,SUMPRODUCT($CJ65:$DW65,(1+Assumptions!$C$5)^($CJ$5:$DW$5-1),(1+$R65)^(-$CJ$5:$DW$5)),0)</f>
        <v>6.7125767077345984</v>
      </c>
      <c r="AD65" s="389">
        <f t="shared" si="22"/>
        <v>0.43459805305824944</v>
      </c>
      <c r="AE65" s="131">
        <f>IF($T65=1,$AB65*$Y65+(Assumptions!$C$9/(1+$R65)+Assumptions!$C$10*$AC65)*$P65+$S65*$Z65*$AA65,0)</f>
        <v>17459.587974734968</v>
      </c>
      <c r="AF65" s="131">
        <f>IF($T65=1,IF($AA65-$AD65-Assumptions!$C$16*$AA65&gt;0,$AE65/($AA65-$AD65-Assumptions!$C$16*$AA65)*IF($J65="Monthly",1+Assumptions!$C$29,1),"n.a."),"")</f>
        <v>3673.570704055388</v>
      </c>
      <c r="AG65" s="131">
        <f t="shared" si="23"/>
        <v>4579.3599999999997</v>
      </c>
      <c r="AH65" s="131">
        <f t="shared" si="24"/>
        <v>26530.111558679688</v>
      </c>
      <c r="AI65" s="131">
        <f t="shared" si="25"/>
        <v>7080.3426436918926</v>
      </c>
      <c r="AJ65" s="390">
        <f t="shared" si="26"/>
        <v>0.26687949004780803</v>
      </c>
      <c r="AK65" s="389">
        <f t="shared" si="27"/>
        <v>1.2465691744940905</v>
      </c>
      <c r="AL65" s="131">
        <f t="shared" si="28"/>
        <v>11926.880196552031</v>
      </c>
      <c r="AM65" s="131">
        <f t="shared" si="29"/>
        <v>3186.375685090019</v>
      </c>
      <c r="AN65" s="131">
        <f t="shared" si="30"/>
        <v>8740.5045114620116</v>
      </c>
      <c r="AO65" s="131">
        <f t="shared" si="31"/>
        <v>-1660.161867770119</v>
      </c>
      <c r="AP65" s="26" t="str">
        <f t="shared" si="32"/>
        <v>50-59</v>
      </c>
      <c r="AQ65" s="26" t="str">
        <f t="shared" si="33"/>
        <v>500k-1m</v>
      </c>
      <c r="AR65" s="26" t="str">
        <f>IF($T65=1,IF($AI65&lt;0,"Loss-making",IF($AJ65&lt;Assumptions!$C$16-0.00001,"Below target","At/above target")),"Excluded")</f>
        <v>At/above target</v>
      </c>
      <c r="AS65" s="103">
        <f t="shared" si="34"/>
        <v>7080.3427086918928</v>
      </c>
      <c r="AT65" s="26"/>
      <c r="AU65" s="419">
        <f>IF(AND($T65=1,AU$5&lt;=$H65),INDEX(Mortality!$B$4:$E$64,MATCH($D65+AU$5-1,Mortality!$A$4:$A$64,0),$U65)*$V65*$N65,0)</f>
        <v>3.0079363516033399E-3</v>
      </c>
      <c r="AV65" s="93">
        <f>IF(AND($T65=1,AV$5&lt;=$H65),INDEX(Mortality!$B$4:$E$64,MATCH($D65+AV$5-1,Mortality!$A$4:$A$64,0),$U65)*$V65*$N65,0)</f>
        <v>3.2584585500813001E-3</v>
      </c>
      <c r="AW65" s="93">
        <f>IF(AND($T65=1,AW$5&lt;=$H65),INDEX(Mortality!$B$4:$E$64,MATCH($D65+AW$5-1,Mortality!$A$4:$A$64,0),$U65)*$V65*$N65,0)</f>
        <v>3.5298460078579601E-3</v>
      </c>
      <c r="AX65" s="93">
        <f>IF(AND($T65=1,AX$5&lt;=$H65),INDEX(Mortality!$B$4:$E$64,MATCH($D65+AX$5-1,Mortality!$A$4:$A$64,0),$U65)*$V65*$N65,0)</f>
        <v>3.8238365311966099E-3</v>
      </c>
      <c r="AY65" s="93">
        <f>IF(AND($T65=1,AY$5&lt;=$H65),INDEX(Mortality!$B$4:$E$64,MATCH($D65+AY$5-1,Mortality!$A$4:$A$64,0),$U65)*$V65*$N65,0)</f>
        <v>4.1423126631483596E-3</v>
      </c>
      <c r="AZ65" s="93">
        <f>IF(AND($T65=1,AZ$5&lt;=$H65),INDEX(Mortality!$B$4:$E$64,MATCH($D65+AZ$5-1,Mortality!$A$4:$A$64,0),$U65)*$V65*$N65,0)</f>
        <v>4.4873137382548398E-3</v>
      </c>
      <c r="BA65" s="93">
        <f>IF(AND($T65=1,BA$5&lt;=$H65),INDEX(Mortality!$B$4:$E$64,MATCH($D65+BA$5-1,Mortality!$A$4:$A$64,0),$U65)*$V65*$N65,0)</f>
        <v>4.8610489412516398E-3</v>
      </c>
      <c r="BB65" s="93">
        <f>IF(AND($T65=1,BB$5&lt;=$H65),INDEX(Mortality!$B$4:$E$64,MATCH($D65+BB$5-1,Mortality!$A$4:$A$64,0),$U65)*$V65*$N65,0)</f>
        <v>5.2659114533929498E-3</v>
      </c>
      <c r="BC65" s="93">
        <f>IF(AND($T65=1,BC$5&lt;=$H65),INDEX(Mortality!$B$4:$E$64,MATCH($D65+BC$5-1,Mortality!$A$4:$A$64,0),$U65)*$V65*$N65,0)</f>
        <v>5.7044937769820296E-3</v>
      </c>
      <c r="BD65" s="93">
        <f>IF(AND($T65=1,BD$5&lt;=$H65),INDEX(Mortality!$B$4:$E$64,MATCH($D65+BD$5-1,Mortality!$A$4:$A$64,0),$U65)*$V65*$N65,0)</f>
        <v>6.1796043362369098E-3</v>
      </c>
      <c r="BE65" s="93">
        <f>IF(AND($T65=1,BE$5&lt;=$H65),INDEX(Mortality!$B$4:$E$64,MATCH($D65+BE$5-1,Mortality!$A$4:$A$64,0),$U65)*$V65*$N65,0)</f>
        <v>0</v>
      </c>
      <c r="BF65" s="93">
        <f>IF(AND($T65=1,BF$5&lt;=$H65),INDEX(Mortality!$B$4:$E$64,MATCH($D65+BF$5-1,Mortality!$A$4:$A$64,0),$U65)*$V65*$N65,0)</f>
        <v>0</v>
      </c>
      <c r="BG65" s="93">
        <f>IF(AND($T65=1,BG$5&lt;=$H65),INDEX(Mortality!$B$4:$E$64,MATCH($D65+BG$5-1,Mortality!$A$4:$A$64,0),$U65)*$V65*$N65,0)</f>
        <v>0</v>
      </c>
      <c r="BH65" s="93">
        <f>IF(AND($T65=1,BH$5&lt;=$H65),INDEX(Mortality!$B$4:$E$64,MATCH($D65+BH$5-1,Mortality!$A$4:$A$64,0),$U65)*$V65*$N65,0)</f>
        <v>0</v>
      </c>
      <c r="BI65" s="93">
        <f>IF(AND($T65=1,BI$5&lt;=$H65),INDEX(Mortality!$B$4:$E$64,MATCH($D65+BI$5-1,Mortality!$A$4:$A$64,0),$U65)*$V65*$N65,0)</f>
        <v>0</v>
      </c>
      <c r="BJ65" s="93">
        <f>IF(AND($T65=1,BJ$5&lt;=$H65),INDEX(Mortality!$B$4:$E$64,MATCH($D65+BJ$5-1,Mortality!$A$4:$A$64,0),$U65)*$V65*$N65,0)</f>
        <v>0</v>
      </c>
      <c r="BK65" s="93">
        <f>IF(AND($T65=1,BK$5&lt;=$H65),INDEX(Mortality!$B$4:$E$64,MATCH($D65+BK$5-1,Mortality!$A$4:$A$64,0),$U65)*$V65*$N65,0)</f>
        <v>0</v>
      </c>
      <c r="BL65" s="93">
        <f>IF(AND($T65=1,BL$5&lt;=$H65),INDEX(Mortality!$B$4:$E$64,MATCH($D65+BL$5-1,Mortality!$A$4:$A$64,0),$U65)*$V65*$N65,0)</f>
        <v>0</v>
      </c>
      <c r="BM65" s="93">
        <f>IF(AND($T65=1,BM$5&lt;=$H65),INDEX(Mortality!$B$4:$E$64,MATCH($D65+BM$5-1,Mortality!$A$4:$A$64,0),$U65)*$V65*$N65,0)</f>
        <v>0</v>
      </c>
      <c r="BN65" s="93">
        <f>IF(AND($T65=1,BN$5&lt;=$H65),INDEX(Mortality!$B$4:$E$64,MATCH($D65+BN$5-1,Mortality!$A$4:$A$64,0),$U65)*$V65*$N65,0)</f>
        <v>0</v>
      </c>
      <c r="BO65" s="93">
        <f>IF(AND($T65=1,BO$5&lt;=$H65),INDEX(Mortality!$B$4:$E$64,MATCH($D65+BO$5-1,Mortality!$A$4:$A$64,0),$U65)*$V65*$N65,0)</f>
        <v>0</v>
      </c>
      <c r="BP65" s="93">
        <f>IF(AND($T65=1,BP$5&lt;=$H65),INDEX(Mortality!$B$4:$E$64,MATCH($D65+BP$5-1,Mortality!$A$4:$A$64,0),$U65)*$V65*$N65,0)</f>
        <v>0</v>
      </c>
      <c r="BQ65" s="93">
        <f>IF(AND($T65=1,BQ$5&lt;=$H65),INDEX(Mortality!$B$4:$E$64,MATCH($D65+BQ$5-1,Mortality!$A$4:$A$64,0),$U65)*$V65*$N65,0)</f>
        <v>0</v>
      </c>
      <c r="BR65" s="93">
        <f>IF(AND($T65=1,BR$5&lt;=$H65),INDEX(Mortality!$B$4:$E$64,MATCH($D65+BR$5-1,Mortality!$A$4:$A$64,0),$U65)*$V65*$N65,0)</f>
        <v>0</v>
      </c>
      <c r="BS65" s="93">
        <f>IF(AND($T65=1,BS$5&lt;=$H65),INDEX(Mortality!$B$4:$E$64,MATCH($D65+BS$5-1,Mortality!$A$4:$A$64,0),$U65)*$V65*$N65,0)</f>
        <v>0</v>
      </c>
      <c r="BT65" s="93">
        <f>IF(AND($T65=1,BT$5&lt;=$H65),INDEX(Mortality!$B$4:$E$64,MATCH($D65+BT$5-1,Mortality!$A$4:$A$64,0),$U65)*$V65*$N65,0)</f>
        <v>0</v>
      </c>
      <c r="BU65" s="93">
        <f>IF(AND($T65=1,BU$5&lt;=$H65),INDEX(Mortality!$B$4:$E$64,MATCH($D65+BU$5-1,Mortality!$A$4:$A$64,0),$U65)*$V65*$N65,0)</f>
        <v>0</v>
      </c>
      <c r="BV65" s="93">
        <f>IF(AND($T65=1,BV$5&lt;=$H65),INDEX(Mortality!$B$4:$E$64,MATCH($D65+BV$5-1,Mortality!$A$4:$A$64,0),$U65)*$V65*$N65,0)</f>
        <v>0</v>
      </c>
      <c r="BW65" s="93">
        <f>IF(AND($T65=1,BW$5&lt;=$H65),INDEX(Mortality!$B$4:$E$64,MATCH($D65+BW$5-1,Mortality!$A$4:$A$64,0),$U65)*$V65*$N65,0)</f>
        <v>0</v>
      </c>
      <c r="BX65" s="93">
        <f>IF(AND($T65=1,BX$5&lt;=$H65),INDEX(Mortality!$B$4:$E$64,MATCH($D65+BX$5-1,Mortality!$A$4:$A$64,0),$U65)*$V65*$N65,0)</f>
        <v>0</v>
      </c>
      <c r="BY65" s="93">
        <f>IF(AND($T65=1,BY$5&lt;=$H65),INDEX(Mortality!$B$4:$E$64,MATCH($D65+BY$5-1,Mortality!$A$4:$A$64,0),$U65)*$V65*$N65,0)</f>
        <v>0</v>
      </c>
      <c r="BZ65" s="93">
        <f>IF(AND($T65=1,BZ$5&lt;=$H65),INDEX(Mortality!$B$4:$E$64,MATCH($D65+BZ$5-1,Mortality!$A$4:$A$64,0),$U65)*$V65*$N65,0)</f>
        <v>0</v>
      </c>
      <c r="CA65" s="93">
        <f>IF(AND($T65=1,CA$5&lt;=$H65),INDEX(Mortality!$B$4:$E$64,MATCH($D65+CA$5-1,Mortality!$A$4:$A$64,0),$U65)*$V65*$N65,0)</f>
        <v>0</v>
      </c>
      <c r="CB65" s="93">
        <f>IF(AND($T65=1,CB$5&lt;=$H65),INDEX(Mortality!$B$4:$E$64,MATCH($D65+CB$5-1,Mortality!$A$4:$A$64,0),$U65)*$V65*$N65,0)</f>
        <v>0</v>
      </c>
      <c r="CC65" s="93">
        <f>IF(AND($T65=1,CC$5&lt;=$H65),INDEX(Mortality!$B$4:$E$64,MATCH($D65+CC$5-1,Mortality!$A$4:$A$64,0),$U65)*$V65*$N65,0)</f>
        <v>0</v>
      </c>
      <c r="CD65" s="93">
        <f>IF(AND($T65=1,CD$5&lt;=$H65),INDEX(Mortality!$B$4:$E$64,MATCH($D65+CD$5-1,Mortality!$A$4:$A$64,0),$U65)*$V65*$N65,0)</f>
        <v>0</v>
      </c>
      <c r="CE65" s="93">
        <f>IF(AND($T65=1,CE$5&lt;=$H65),INDEX(Mortality!$B$4:$E$64,MATCH($D65+CE$5-1,Mortality!$A$4:$A$64,0),$U65)*$V65*$N65,0)</f>
        <v>0</v>
      </c>
      <c r="CF65" s="93">
        <f>IF(AND($T65=1,CF$5&lt;=$H65),INDEX(Mortality!$B$4:$E$64,MATCH($D65+CF$5-1,Mortality!$A$4:$A$64,0),$U65)*$V65*$N65,0)</f>
        <v>0</v>
      </c>
      <c r="CG65" s="93">
        <f>IF(AND($T65=1,CG$5&lt;=$H65),INDEX(Mortality!$B$4:$E$64,MATCH($D65+CG$5-1,Mortality!$A$4:$A$64,0),$U65)*$V65*$N65,0)</f>
        <v>0</v>
      </c>
      <c r="CH65" s="94">
        <f>IF(AND($T65=1,CH$5&lt;=$H65),INDEX(Mortality!$B$4:$E$64,MATCH($D65+CH$5-1,Mortality!$A$4:$A$64,0),$U65)*$V65*$N65,0)</f>
        <v>0</v>
      </c>
      <c r="CI65" s="26"/>
      <c r="CJ65" s="419">
        <f t="shared" si="35"/>
        <v>1</v>
      </c>
      <c r="CK65" s="93">
        <f>IF(AND($T65=1,CK$5&lt;=$H65),CJ65*(1-AU65)*(1-MIN(1,MAX(Assumptions!$C$27,Assumptions!$C$13*Assumptions!$C$28^(CJ$5-1))*$O65)),0)</f>
        <v>0.87735301601058902</v>
      </c>
      <c r="CL65" s="93">
        <f>IF(AND($T65=1,CL$5&lt;=$H65),CK65*(1-AV65)*(1-MIN(1,MAX(Assumptions!$C$27,Assumptions!$C$13*Assumptions!$C$28^(CK$5-1))*$O65)),0)</f>
        <v>0.78529578942156852</v>
      </c>
      <c r="CM65" s="93">
        <f>IF(AND($T65=1,CM$5&lt;=$H65),CL65*(1-AW65)*(1-MIN(1,MAX(Assumptions!$C$27,Assumptions!$C$13*Assumptions!$C$28^(CL$5-1))*$O65)),0)</f>
        <v>0.71467900134851203</v>
      </c>
      <c r="CN65" s="93">
        <f>IF(AND($T65=1,CN$5&lt;=$H65),CM65*(1-AX65)*(1-MIN(1,MAX(Assumptions!$C$27,Assumptions!$C$13*Assumptions!$C$28^(CM$5-1))*$O65)),0)</f>
        <v>0.65947931152175177</v>
      </c>
      <c r="CO65" s="93">
        <f>IF(AND($T65=1,CO$5&lt;=$H65),CN65*(1-AY65)*(1-MIN(1,MAX(Assumptions!$C$27,Assumptions!$C$13*Assumptions!$C$28^(CN$5-1))*$O65)),0)</f>
        <v>0.61560838342585233</v>
      </c>
      <c r="CP65" s="93">
        <f>IF(AND($T65=1,CP$5&lt;=$H65),CO65*(1-AZ65)*(1-MIN(1,MAX(Assumptions!$C$27,Assumptions!$C$13*Assumptions!$C$28^(CO$5-1))*$O65)),0)</f>
        <v>0.58021519472720495</v>
      </c>
      <c r="CQ65" s="93">
        <f>IF(AND($T65=1,CQ$5&lt;=$H65),CP65*(1-BA65)*(1-MIN(1,MAX(Assumptions!$C$27,Assumptions!$C$13*Assumptions!$C$28^(CP$5-1))*$O65)),0)</f>
        <v>0.55126304267514492</v>
      </c>
      <c r="CR65" s="93">
        <f>IF(AND($T65=1,CR$5&lt;=$H65),CQ65*(1-BB65)*(1-MIN(1,MAX(Assumptions!$C$27,Assumptions!$C$13*Assumptions!$C$28^(CQ$5-1))*$O65)),0)</f>
        <v>0.52726513665187702</v>
      </c>
      <c r="CS65" s="93">
        <f>IF(AND($T65=1,CS$5&lt;=$H65),CR65*(1-BC65)*(1-MIN(1,MAX(Assumptions!$C$27,Assumptions!$C$13*Assumptions!$C$28^(CR$5-1))*$O65)),0)</f>
        <v>0.50711473649925753</v>
      </c>
      <c r="CT65" s="93">
        <f>IF(AND($T65=1,CT$5&lt;=$H65),CS65*(1-BD65)*(1-MIN(1,MAX(Assumptions!$C$27,Assumptions!$C$13*Assumptions!$C$28^(CS$5-1))*$O65)),0)</f>
        <v>0</v>
      </c>
      <c r="CU65" s="93">
        <f>IF(AND($T65=1,CU$5&lt;=$H65),CT65*(1-BE65)*(1-MIN(1,MAX(Assumptions!$C$27,Assumptions!$C$13*Assumptions!$C$28^(CT$5-1))*$O65)),0)</f>
        <v>0</v>
      </c>
      <c r="CV65" s="93">
        <f>IF(AND($T65=1,CV$5&lt;=$H65),CU65*(1-BF65)*(1-MIN(1,MAX(Assumptions!$C$27,Assumptions!$C$13*Assumptions!$C$28^(CU$5-1))*$O65)),0)</f>
        <v>0</v>
      </c>
      <c r="CW65" s="93">
        <f>IF(AND($T65=1,CW$5&lt;=$H65),CV65*(1-BG65)*(1-MIN(1,MAX(Assumptions!$C$27,Assumptions!$C$13*Assumptions!$C$28^(CV$5-1))*$O65)),0)</f>
        <v>0</v>
      </c>
      <c r="CX65" s="93">
        <f>IF(AND($T65=1,CX$5&lt;=$H65),CW65*(1-BH65)*(1-MIN(1,MAX(Assumptions!$C$27,Assumptions!$C$13*Assumptions!$C$28^(CW$5-1))*$O65)),0)</f>
        <v>0</v>
      </c>
      <c r="CY65" s="93">
        <f>IF(AND($T65=1,CY$5&lt;=$H65),CX65*(1-BI65)*(1-MIN(1,MAX(Assumptions!$C$27,Assumptions!$C$13*Assumptions!$C$28^(CX$5-1))*$O65)),0)</f>
        <v>0</v>
      </c>
      <c r="CZ65" s="93">
        <f>IF(AND($T65=1,CZ$5&lt;=$H65),CY65*(1-BJ65)*(1-MIN(1,MAX(Assumptions!$C$27,Assumptions!$C$13*Assumptions!$C$28^(CY$5-1))*$O65)),0)</f>
        <v>0</v>
      </c>
      <c r="DA65" s="93">
        <f>IF(AND($T65=1,DA$5&lt;=$H65),CZ65*(1-BK65)*(1-MIN(1,MAX(Assumptions!$C$27,Assumptions!$C$13*Assumptions!$C$28^(CZ$5-1))*$O65)),0)</f>
        <v>0</v>
      </c>
      <c r="DB65" s="93">
        <f>IF(AND($T65=1,DB$5&lt;=$H65),DA65*(1-BL65)*(1-MIN(1,MAX(Assumptions!$C$27,Assumptions!$C$13*Assumptions!$C$28^(DA$5-1))*$O65)),0)</f>
        <v>0</v>
      </c>
      <c r="DC65" s="93">
        <f>IF(AND($T65=1,DC$5&lt;=$H65),DB65*(1-BM65)*(1-MIN(1,MAX(Assumptions!$C$27,Assumptions!$C$13*Assumptions!$C$28^(DB$5-1))*$O65)),0)</f>
        <v>0</v>
      </c>
      <c r="DD65" s="93">
        <f>IF(AND($T65=1,DD$5&lt;=$H65),DC65*(1-BN65)*(1-MIN(1,MAX(Assumptions!$C$27,Assumptions!$C$13*Assumptions!$C$28^(DC$5-1))*$O65)),0)</f>
        <v>0</v>
      </c>
      <c r="DE65" s="93">
        <f>IF(AND($T65=1,DE$5&lt;=$H65),DD65*(1-BO65)*(1-MIN(1,MAX(Assumptions!$C$27,Assumptions!$C$13*Assumptions!$C$28^(DD$5-1))*$O65)),0)</f>
        <v>0</v>
      </c>
      <c r="DF65" s="93">
        <f>IF(AND($T65=1,DF$5&lt;=$H65),DE65*(1-BP65)*(1-MIN(1,MAX(Assumptions!$C$27,Assumptions!$C$13*Assumptions!$C$28^(DE$5-1))*$O65)),0)</f>
        <v>0</v>
      </c>
      <c r="DG65" s="93">
        <f>IF(AND($T65=1,DG$5&lt;=$H65),DF65*(1-BQ65)*(1-MIN(1,MAX(Assumptions!$C$27,Assumptions!$C$13*Assumptions!$C$28^(DF$5-1))*$O65)),0)</f>
        <v>0</v>
      </c>
      <c r="DH65" s="93">
        <f>IF(AND($T65=1,DH$5&lt;=$H65),DG65*(1-BR65)*(1-MIN(1,MAX(Assumptions!$C$27,Assumptions!$C$13*Assumptions!$C$28^(DG$5-1))*$O65)),0)</f>
        <v>0</v>
      </c>
      <c r="DI65" s="93">
        <f>IF(AND($T65=1,DI$5&lt;=$H65),DH65*(1-BS65)*(1-MIN(1,MAX(Assumptions!$C$27,Assumptions!$C$13*Assumptions!$C$28^(DH$5-1))*$O65)),0)</f>
        <v>0</v>
      </c>
      <c r="DJ65" s="93">
        <f>IF(AND($T65=1,DJ$5&lt;=$H65),DI65*(1-BT65)*(1-MIN(1,MAX(Assumptions!$C$27,Assumptions!$C$13*Assumptions!$C$28^(DI$5-1))*$O65)),0)</f>
        <v>0</v>
      </c>
      <c r="DK65" s="93">
        <f>IF(AND($T65=1,DK$5&lt;=$H65),DJ65*(1-BU65)*(1-MIN(1,MAX(Assumptions!$C$27,Assumptions!$C$13*Assumptions!$C$28^(DJ$5-1))*$O65)),0)</f>
        <v>0</v>
      </c>
      <c r="DL65" s="93">
        <f>IF(AND($T65=1,DL$5&lt;=$H65),DK65*(1-BV65)*(1-MIN(1,MAX(Assumptions!$C$27,Assumptions!$C$13*Assumptions!$C$28^(DK$5-1))*$O65)),0)</f>
        <v>0</v>
      </c>
      <c r="DM65" s="93">
        <f>IF(AND($T65=1,DM$5&lt;=$H65),DL65*(1-BW65)*(1-MIN(1,MAX(Assumptions!$C$27,Assumptions!$C$13*Assumptions!$C$28^(DL$5-1))*$O65)),0)</f>
        <v>0</v>
      </c>
      <c r="DN65" s="93">
        <f>IF(AND($T65=1,DN$5&lt;=$H65),DM65*(1-BX65)*(1-MIN(1,MAX(Assumptions!$C$27,Assumptions!$C$13*Assumptions!$C$28^(DM$5-1))*$O65)),0)</f>
        <v>0</v>
      </c>
      <c r="DO65" s="93">
        <f>IF(AND($T65=1,DO$5&lt;=$H65),DN65*(1-BY65)*(1-MIN(1,MAX(Assumptions!$C$27,Assumptions!$C$13*Assumptions!$C$28^(DN$5-1))*$O65)),0)</f>
        <v>0</v>
      </c>
      <c r="DP65" s="93">
        <f>IF(AND($T65=1,DP$5&lt;=$H65),DO65*(1-BZ65)*(1-MIN(1,MAX(Assumptions!$C$27,Assumptions!$C$13*Assumptions!$C$28^(DO$5-1))*$O65)),0)</f>
        <v>0</v>
      </c>
      <c r="DQ65" s="93">
        <f>IF(AND($T65=1,DQ$5&lt;=$H65),DP65*(1-CA65)*(1-MIN(1,MAX(Assumptions!$C$27,Assumptions!$C$13*Assumptions!$C$28^(DP$5-1))*$O65)),0)</f>
        <v>0</v>
      </c>
      <c r="DR65" s="93">
        <f>IF(AND($T65=1,DR$5&lt;=$H65),DQ65*(1-CB65)*(1-MIN(1,MAX(Assumptions!$C$27,Assumptions!$C$13*Assumptions!$C$28^(DQ$5-1))*$O65)),0)</f>
        <v>0</v>
      </c>
      <c r="DS65" s="93">
        <f>IF(AND($T65=1,DS$5&lt;=$H65),DR65*(1-CC65)*(1-MIN(1,MAX(Assumptions!$C$27,Assumptions!$C$13*Assumptions!$C$28^(DR$5-1))*$O65)),0)</f>
        <v>0</v>
      </c>
      <c r="DT65" s="93">
        <f>IF(AND($T65=1,DT$5&lt;=$H65),DS65*(1-CD65)*(1-MIN(1,MAX(Assumptions!$C$27,Assumptions!$C$13*Assumptions!$C$28^(DS$5-1))*$O65)),0)</f>
        <v>0</v>
      </c>
      <c r="DU65" s="93">
        <f>IF(AND($T65=1,DU$5&lt;=$H65),DT65*(1-CE65)*(1-MIN(1,MAX(Assumptions!$C$27,Assumptions!$C$13*Assumptions!$C$28^(DT$5-1))*$O65)),0)</f>
        <v>0</v>
      </c>
      <c r="DV65" s="93">
        <f>IF(AND($T65=1,DV$5&lt;=$H65),DU65*(1-CF65)*(1-MIN(1,MAX(Assumptions!$C$27,Assumptions!$C$13*Assumptions!$C$28^(DU$5-1))*$O65)),0)</f>
        <v>0</v>
      </c>
      <c r="DW65" s="94">
        <f>IF(AND($T65=1,DW$5&lt;=$H65),DV65*(1-CG65)*(1-MIN(1,MAX(Assumptions!$C$27,Assumptions!$C$13*Assumptions!$C$28^(DV$5-1))*$O65)),0)</f>
        <v>0</v>
      </c>
      <c r="DX65" s="26"/>
      <c r="DY65" s="399">
        <f>'Policy Data'!K39</f>
        <v>3</v>
      </c>
      <c r="DZ65" s="100">
        <f>'Policy Data'!L39</f>
        <v>0.87980000000000003</v>
      </c>
      <c r="EA65" s="100">
        <f>'Policy Data'!N39</f>
        <v>2.6459999999999999E-3</v>
      </c>
      <c r="EB65" s="93" cm="1">
        <f t="array" ref="EB65">IFERROR(DZ65*INDEX(Mortality!$B$4:$E$64,MATCH(D65+DY65-1,Mortality!$A$4:$A$64,0),U65)*V65,0)</f>
        <v>3.1055585177134333E-3</v>
      </c>
      <c r="EC65" s="100">
        <f>'Policy Data'!O39</f>
        <v>0</v>
      </c>
      <c r="ED65" s="400">
        <f>'Policy Data'!Q39</f>
        <v>0</v>
      </c>
    </row>
    <row r="66" spans="1:134" x14ac:dyDescent="0.3">
      <c r="A66" s="399" t="str">
        <f>'Policy Data'!A40</f>
        <v>POL100036</v>
      </c>
      <c r="B66" s="26" t="s">
        <v>426</v>
      </c>
      <c r="C66" s="100" t="str">
        <f>'Policy Data'!B40</f>
        <v>Unit-Linked</v>
      </c>
      <c r="D66" s="100">
        <f>'Policy Data'!C40</f>
        <v>41</v>
      </c>
      <c r="E66" s="100" t="str">
        <f>'Policy Data'!D40</f>
        <v>Female</v>
      </c>
      <c r="F66" s="100" t="str">
        <f>'Policy Data'!E40</f>
        <v>Non-smoker</v>
      </c>
      <c r="G66" s="100" t="str">
        <f>'Policy Data'!F40</f>
        <v>Standard</v>
      </c>
      <c r="H66" s="100">
        <f>'Policy Data'!G40</f>
        <v>20</v>
      </c>
      <c r="I66" s="279">
        <f>'Policy Data'!H40</f>
        <v>1000000</v>
      </c>
      <c r="J66" s="100" t="str">
        <f>'Policy Data'!I40</f>
        <v>Monthly</v>
      </c>
      <c r="K66" s="100" t="str">
        <f>'Policy Data'!J40</f>
        <v>Broker</v>
      </c>
      <c r="L66" s="26" t="s">
        <v>389</v>
      </c>
      <c r="M66" s="106">
        <f>'Policy Data'!R40</f>
        <v>10396.6</v>
      </c>
      <c r="N66" s="415">
        <f>Assumptions!$C$21</f>
        <v>1</v>
      </c>
      <c r="O66" s="415">
        <f>Assumptions!$C$22</f>
        <v>1</v>
      </c>
      <c r="P66" s="415">
        <f>Assumptions!$C$23</f>
        <v>1</v>
      </c>
      <c r="Q66" s="416">
        <f>Assumptions!$C$24</f>
        <v>0</v>
      </c>
      <c r="R66" s="416">
        <f>Assumptions!$C$6+Assumptions!$C$25</f>
        <v>3.5000000000000003E-2</v>
      </c>
      <c r="S66" s="416">
        <f>Assumptions!$C$15</f>
        <v>1.1000000000000001E-3</v>
      </c>
      <c r="T66" s="26">
        <f t="shared" si="18"/>
        <v>0</v>
      </c>
      <c r="U66" s="26">
        <f t="shared" si="19"/>
        <v>1</v>
      </c>
      <c r="V66" s="389">
        <f>IF($G66="Preferred",Assumptions!$C$30,IF($G66="Rated",Assumptions!$C$31,1))</f>
        <v>1</v>
      </c>
      <c r="W66" s="390">
        <f>IF($K66="Direct",Assumptions!$C$32,IF($K66="Broker",Assumptions!$C$33,IF($K66="Bancassurance",Assumptions!$C$34,Assumptions!$C$11)))+$Q66</f>
        <v>0.25</v>
      </c>
      <c r="X66" s="390">
        <f>Assumptions!$C$12+$Q66</f>
        <v>0.05</v>
      </c>
      <c r="Y66" s="131">
        <f>MIN($I66,Assumptions!$C$14)</f>
        <v>500000</v>
      </c>
      <c r="Z66" s="131">
        <f>MAX($I66-Assumptions!$C$14,0)</f>
        <v>500000</v>
      </c>
      <c r="AA66" s="389">
        <f t="shared" si="20"/>
        <v>0</v>
      </c>
      <c r="AB66" s="389">
        <f t="shared" si="21"/>
        <v>0</v>
      </c>
      <c r="AC66" s="389">
        <f>IF($T66=1,SUMPRODUCT($CJ66:$DW66,(1+Assumptions!$C$5)^($CJ$5:$DW$5-1),(1+$R66)^(-$CJ$5:$DW$5)),0)</f>
        <v>0</v>
      </c>
      <c r="AD66" s="389">
        <f t="shared" si="22"/>
        <v>0</v>
      </c>
      <c r="AE66" s="131">
        <f>IF($T66=1,$AB66*$Y66+(Assumptions!$C$9/(1+$R66)+Assumptions!$C$10*$AC66)*$P66+$S66*$Z66*$AA66,0)</f>
        <v>0</v>
      </c>
      <c r="AF66" s="131" t="str">
        <f>IF($T66=1,IF($AA66-$AD66-Assumptions!$C$16*$AA66&gt;0,$AE66/($AA66-$AD66-Assumptions!$C$16*$AA66)*IF($J66="Monthly",1+Assumptions!$C$29,1),"n.a."),"")</f>
        <v/>
      </c>
      <c r="AG66" s="131" t="str">
        <f t="shared" si="23"/>
        <v/>
      </c>
      <c r="AH66" s="131" t="str">
        <f t="shared" si="24"/>
        <v/>
      </c>
      <c r="AI66" s="131" t="str">
        <f t="shared" si="25"/>
        <v/>
      </c>
      <c r="AJ66" s="390" t="str">
        <f t="shared" si="26"/>
        <v/>
      </c>
      <c r="AK66" s="389" t="str">
        <f t="shared" si="27"/>
        <v/>
      </c>
      <c r="AL66" s="131" t="str">
        <f t="shared" si="28"/>
        <v/>
      </c>
      <c r="AM66" s="131" t="str">
        <f t="shared" si="29"/>
        <v/>
      </c>
      <c r="AN66" s="131" t="str">
        <f t="shared" si="30"/>
        <v/>
      </c>
      <c r="AO66" s="131" t="str">
        <f t="shared" si="31"/>
        <v/>
      </c>
      <c r="AP66" s="26" t="str">
        <f t="shared" si="32"/>
        <v>40-49</v>
      </c>
      <c r="AQ66" s="26" t="str">
        <f t="shared" si="33"/>
        <v>500k-1m</v>
      </c>
      <c r="AR66" s="26" t="str">
        <f>IF($T66=1,IF($AI66&lt;0,"Loss-making",IF($AJ66&lt;Assumptions!$C$16-0.00001,"Below target","At/above target")),"Excluded")</f>
        <v>Excluded</v>
      </c>
      <c r="AS66" s="103">
        <f t="shared" si="34"/>
        <v>9.9999999999999997E+98</v>
      </c>
      <c r="AT66" s="26"/>
      <c r="AU66" s="419">
        <f>IF(AND($T66=1,AU$5&lt;=$H66),INDEX(Mortality!$B$4:$E$64,MATCH($D66+AU$5-1,Mortality!$A$4:$A$64,0),$U66)*$V66*$N66,0)</f>
        <v>0</v>
      </c>
      <c r="AV66" s="93">
        <f>IF(AND($T66=1,AV$5&lt;=$H66),INDEX(Mortality!$B$4:$E$64,MATCH($D66+AV$5-1,Mortality!$A$4:$A$64,0),$U66)*$V66*$N66,0)</f>
        <v>0</v>
      </c>
      <c r="AW66" s="93">
        <f>IF(AND($T66=1,AW$5&lt;=$H66),INDEX(Mortality!$B$4:$E$64,MATCH($D66+AW$5-1,Mortality!$A$4:$A$64,0),$U66)*$V66*$N66,0)</f>
        <v>0</v>
      </c>
      <c r="AX66" s="93">
        <f>IF(AND($T66=1,AX$5&lt;=$H66),INDEX(Mortality!$B$4:$E$64,MATCH($D66+AX$5-1,Mortality!$A$4:$A$64,0),$U66)*$V66*$N66,0)</f>
        <v>0</v>
      </c>
      <c r="AY66" s="93">
        <f>IF(AND($T66=1,AY$5&lt;=$H66),INDEX(Mortality!$B$4:$E$64,MATCH($D66+AY$5-1,Mortality!$A$4:$A$64,0),$U66)*$V66*$N66,0)</f>
        <v>0</v>
      </c>
      <c r="AZ66" s="93">
        <f>IF(AND($T66=1,AZ$5&lt;=$H66),INDEX(Mortality!$B$4:$E$64,MATCH($D66+AZ$5-1,Mortality!$A$4:$A$64,0),$U66)*$V66*$N66,0)</f>
        <v>0</v>
      </c>
      <c r="BA66" s="93">
        <f>IF(AND($T66=1,BA$5&lt;=$H66),INDEX(Mortality!$B$4:$E$64,MATCH($D66+BA$5-1,Mortality!$A$4:$A$64,0),$U66)*$V66*$N66,0)</f>
        <v>0</v>
      </c>
      <c r="BB66" s="93">
        <f>IF(AND($T66=1,BB$5&lt;=$H66),INDEX(Mortality!$B$4:$E$64,MATCH($D66+BB$5-1,Mortality!$A$4:$A$64,0),$U66)*$V66*$N66,0)</f>
        <v>0</v>
      </c>
      <c r="BC66" s="93">
        <f>IF(AND($T66=1,BC$5&lt;=$H66),INDEX(Mortality!$B$4:$E$64,MATCH($D66+BC$5-1,Mortality!$A$4:$A$64,0),$U66)*$V66*$N66,0)</f>
        <v>0</v>
      </c>
      <c r="BD66" s="93">
        <f>IF(AND($T66=1,BD$5&lt;=$H66),INDEX(Mortality!$B$4:$E$64,MATCH($D66+BD$5-1,Mortality!$A$4:$A$64,0),$U66)*$V66*$N66,0)</f>
        <v>0</v>
      </c>
      <c r="BE66" s="93">
        <f>IF(AND($T66=1,BE$5&lt;=$H66),INDEX(Mortality!$B$4:$E$64,MATCH($D66+BE$5-1,Mortality!$A$4:$A$64,0),$U66)*$V66*$N66,0)</f>
        <v>0</v>
      </c>
      <c r="BF66" s="93">
        <f>IF(AND($T66=1,BF$5&lt;=$H66),INDEX(Mortality!$B$4:$E$64,MATCH($D66+BF$5-1,Mortality!$A$4:$A$64,0),$U66)*$V66*$N66,0)</f>
        <v>0</v>
      </c>
      <c r="BG66" s="93">
        <f>IF(AND($T66=1,BG$5&lt;=$H66),INDEX(Mortality!$B$4:$E$64,MATCH($D66+BG$5-1,Mortality!$A$4:$A$64,0),$U66)*$V66*$N66,0)</f>
        <v>0</v>
      </c>
      <c r="BH66" s="93">
        <f>IF(AND($T66=1,BH$5&lt;=$H66),INDEX(Mortality!$B$4:$E$64,MATCH($D66+BH$5-1,Mortality!$A$4:$A$64,0),$U66)*$V66*$N66,0)</f>
        <v>0</v>
      </c>
      <c r="BI66" s="93">
        <f>IF(AND($T66=1,BI$5&lt;=$H66),INDEX(Mortality!$B$4:$E$64,MATCH($D66+BI$5-1,Mortality!$A$4:$A$64,0),$U66)*$V66*$N66,0)</f>
        <v>0</v>
      </c>
      <c r="BJ66" s="93">
        <f>IF(AND($T66=1,BJ$5&lt;=$H66),INDEX(Mortality!$B$4:$E$64,MATCH($D66+BJ$5-1,Mortality!$A$4:$A$64,0),$U66)*$V66*$N66,0)</f>
        <v>0</v>
      </c>
      <c r="BK66" s="93">
        <f>IF(AND($T66=1,BK$5&lt;=$H66),INDEX(Mortality!$B$4:$E$64,MATCH($D66+BK$5-1,Mortality!$A$4:$A$64,0),$U66)*$V66*$N66,0)</f>
        <v>0</v>
      </c>
      <c r="BL66" s="93">
        <f>IF(AND($T66=1,BL$5&lt;=$H66),INDEX(Mortality!$B$4:$E$64,MATCH($D66+BL$5-1,Mortality!$A$4:$A$64,0),$U66)*$V66*$N66,0)</f>
        <v>0</v>
      </c>
      <c r="BM66" s="93">
        <f>IF(AND($T66=1,BM$5&lt;=$H66),INDEX(Mortality!$B$4:$E$64,MATCH($D66+BM$5-1,Mortality!$A$4:$A$64,0),$U66)*$V66*$N66,0)</f>
        <v>0</v>
      </c>
      <c r="BN66" s="93">
        <f>IF(AND($T66=1,BN$5&lt;=$H66),INDEX(Mortality!$B$4:$E$64,MATCH($D66+BN$5-1,Mortality!$A$4:$A$64,0),$U66)*$V66*$N66,0)</f>
        <v>0</v>
      </c>
      <c r="BO66" s="93">
        <f>IF(AND($T66=1,BO$5&lt;=$H66),INDEX(Mortality!$B$4:$E$64,MATCH($D66+BO$5-1,Mortality!$A$4:$A$64,0),$U66)*$V66*$N66,0)</f>
        <v>0</v>
      </c>
      <c r="BP66" s="93">
        <f>IF(AND($T66=1,BP$5&lt;=$H66),INDEX(Mortality!$B$4:$E$64,MATCH($D66+BP$5-1,Mortality!$A$4:$A$64,0),$U66)*$V66*$N66,0)</f>
        <v>0</v>
      </c>
      <c r="BQ66" s="93">
        <f>IF(AND($T66=1,BQ$5&lt;=$H66),INDEX(Mortality!$B$4:$E$64,MATCH($D66+BQ$5-1,Mortality!$A$4:$A$64,0),$U66)*$V66*$N66,0)</f>
        <v>0</v>
      </c>
      <c r="BR66" s="93">
        <f>IF(AND($T66=1,BR$5&lt;=$H66),INDEX(Mortality!$B$4:$E$64,MATCH($D66+BR$5-1,Mortality!$A$4:$A$64,0),$U66)*$V66*$N66,0)</f>
        <v>0</v>
      </c>
      <c r="BS66" s="93">
        <f>IF(AND($T66=1,BS$5&lt;=$H66),INDEX(Mortality!$B$4:$E$64,MATCH($D66+BS$5-1,Mortality!$A$4:$A$64,0),$U66)*$V66*$N66,0)</f>
        <v>0</v>
      </c>
      <c r="BT66" s="93">
        <f>IF(AND($T66=1,BT$5&lt;=$H66),INDEX(Mortality!$B$4:$E$64,MATCH($D66+BT$5-1,Mortality!$A$4:$A$64,0),$U66)*$V66*$N66,0)</f>
        <v>0</v>
      </c>
      <c r="BU66" s="93">
        <f>IF(AND($T66=1,BU$5&lt;=$H66),INDEX(Mortality!$B$4:$E$64,MATCH($D66+BU$5-1,Mortality!$A$4:$A$64,0),$U66)*$V66*$N66,0)</f>
        <v>0</v>
      </c>
      <c r="BV66" s="93">
        <f>IF(AND($T66=1,BV$5&lt;=$H66),INDEX(Mortality!$B$4:$E$64,MATCH($D66+BV$5-1,Mortality!$A$4:$A$64,0),$U66)*$V66*$N66,0)</f>
        <v>0</v>
      </c>
      <c r="BW66" s="93">
        <f>IF(AND($T66=1,BW$5&lt;=$H66),INDEX(Mortality!$B$4:$E$64,MATCH($D66+BW$5-1,Mortality!$A$4:$A$64,0),$U66)*$V66*$N66,0)</f>
        <v>0</v>
      </c>
      <c r="BX66" s="93">
        <f>IF(AND($T66=1,BX$5&lt;=$H66),INDEX(Mortality!$B$4:$E$64,MATCH($D66+BX$5-1,Mortality!$A$4:$A$64,0),$U66)*$V66*$N66,0)</f>
        <v>0</v>
      </c>
      <c r="BY66" s="93">
        <f>IF(AND($T66=1,BY$5&lt;=$H66),INDEX(Mortality!$B$4:$E$64,MATCH($D66+BY$5-1,Mortality!$A$4:$A$64,0),$U66)*$V66*$N66,0)</f>
        <v>0</v>
      </c>
      <c r="BZ66" s="93">
        <f>IF(AND($T66=1,BZ$5&lt;=$H66),INDEX(Mortality!$B$4:$E$64,MATCH($D66+BZ$5-1,Mortality!$A$4:$A$64,0),$U66)*$V66*$N66,0)</f>
        <v>0</v>
      </c>
      <c r="CA66" s="93">
        <f>IF(AND($T66=1,CA$5&lt;=$H66),INDEX(Mortality!$B$4:$E$64,MATCH($D66+CA$5-1,Mortality!$A$4:$A$64,0),$U66)*$V66*$N66,0)</f>
        <v>0</v>
      </c>
      <c r="CB66" s="93">
        <f>IF(AND($T66=1,CB$5&lt;=$H66),INDEX(Mortality!$B$4:$E$64,MATCH($D66+CB$5-1,Mortality!$A$4:$A$64,0),$U66)*$V66*$N66,0)</f>
        <v>0</v>
      </c>
      <c r="CC66" s="93">
        <f>IF(AND($T66=1,CC$5&lt;=$H66),INDEX(Mortality!$B$4:$E$64,MATCH($D66+CC$5-1,Mortality!$A$4:$A$64,0),$U66)*$V66*$N66,0)</f>
        <v>0</v>
      </c>
      <c r="CD66" s="93">
        <f>IF(AND($T66=1,CD$5&lt;=$H66),INDEX(Mortality!$B$4:$E$64,MATCH($D66+CD$5-1,Mortality!$A$4:$A$64,0),$U66)*$V66*$N66,0)</f>
        <v>0</v>
      </c>
      <c r="CE66" s="93">
        <f>IF(AND($T66=1,CE$5&lt;=$H66),INDEX(Mortality!$B$4:$E$64,MATCH($D66+CE$5-1,Mortality!$A$4:$A$64,0),$U66)*$V66*$N66,0)</f>
        <v>0</v>
      </c>
      <c r="CF66" s="93">
        <f>IF(AND($T66=1,CF$5&lt;=$H66),INDEX(Mortality!$B$4:$E$64,MATCH($D66+CF$5-1,Mortality!$A$4:$A$64,0),$U66)*$V66*$N66,0)</f>
        <v>0</v>
      </c>
      <c r="CG66" s="93">
        <f>IF(AND($T66=1,CG$5&lt;=$H66),INDEX(Mortality!$B$4:$E$64,MATCH($D66+CG$5-1,Mortality!$A$4:$A$64,0),$U66)*$V66*$N66,0)</f>
        <v>0</v>
      </c>
      <c r="CH66" s="94">
        <f>IF(AND($T66=1,CH$5&lt;=$H66),INDEX(Mortality!$B$4:$E$64,MATCH($D66+CH$5-1,Mortality!$A$4:$A$64,0),$U66)*$V66*$N66,0)</f>
        <v>0</v>
      </c>
      <c r="CI66" s="26"/>
      <c r="CJ66" s="419">
        <f t="shared" si="35"/>
        <v>0</v>
      </c>
      <c r="CK66" s="93">
        <f>IF(AND($T66=1,CK$5&lt;=$H66),CJ66*(1-AU66)*(1-MIN(1,MAX(Assumptions!$C$27,Assumptions!$C$13*Assumptions!$C$28^(CJ$5-1))*$O66)),0)</f>
        <v>0</v>
      </c>
      <c r="CL66" s="93">
        <f>IF(AND($T66=1,CL$5&lt;=$H66),CK66*(1-AV66)*(1-MIN(1,MAX(Assumptions!$C$27,Assumptions!$C$13*Assumptions!$C$28^(CK$5-1))*$O66)),0)</f>
        <v>0</v>
      </c>
      <c r="CM66" s="93">
        <f>IF(AND($T66=1,CM$5&lt;=$H66),CL66*(1-AW66)*(1-MIN(1,MAX(Assumptions!$C$27,Assumptions!$C$13*Assumptions!$C$28^(CL$5-1))*$O66)),0)</f>
        <v>0</v>
      </c>
      <c r="CN66" s="93">
        <f>IF(AND($T66=1,CN$5&lt;=$H66),CM66*(1-AX66)*(1-MIN(1,MAX(Assumptions!$C$27,Assumptions!$C$13*Assumptions!$C$28^(CM$5-1))*$O66)),0)</f>
        <v>0</v>
      </c>
      <c r="CO66" s="93">
        <f>IF(AND($T66=1,CO$5&lt;=$H66),CN66*(1-AY66)*(1-MIN(1,MAX(Assumptions!$C$27,Assumptions!$C$13*Assumptions!$C$28^(CN$5-1))*$O66)),0)</f>
        <v>0</v>
      </c>
      <c r="CP66" s="93">
        <f>IF(AND($T66=1,CP$5&lt;=$H66),CO66*(1-AZ66)*(1-MIN(1,MAX(Assumptions!$C$27,Assumptions!$C$13*Assumptions!$C$28^(CO$5-1))*$O66)),0)</f>
        <v>0</v>
      </c>
      <c r="CQ66" s="93">
        <f>IF(AND($T66=1,CQ$5&lt;=$H66),CP66*(1-BA66)*(1-MIN(1,MAX(Assumptions!$C$27,Assumptions!$C$13*Assumptions!$C$28^(CP$5-1))*$O66)),0)</f>
        <v>0</v>
      </c>
      <c r="CR66" s="93">
        <f>IF(AND($T66=1,CR$5&lt;=$H66),CQ66*(1-BB66)*(1-MIN(1,MAX(Assumptions!$C$27,Assumptions!$C$13*Assumptions!$C$28^(CQ$5-1))*$O66)),0)</f>
        <v>0</v>
      </c>
      <c r="CS66" s="93">
        <f>IF(AND($T66=1,CS$5&lt;=$H66),CR66*(1-BC66)*(1-MIN(1,MAX(Assumptions!$C$27,Assumptions!$C$13*Assumptions!$C$28^(CR$5-1))*$O66)),0)</f>
        <v>0</v>
      </c>
      <c r="CT66" s="93">
        <f>IF(AND($T66=1,CT$5&lt;=$H66),CS66*(1-BD66)*(1-MIN(1,MAX(Assumptions!$C$27,Assumptions!$C$13*Assumptions!$C$28^(CS$5-1))*$O66)),0)</f>
        <v>0</v>
      </c>
      <c r="CU66" s="93">
        <f>IF(AND($T66=1,CU$5&lt;=$H66),CT66*(1-BE66)*(1-MIN(1,MAX(Assumptions!$C$27,Assumptions!$C$13*Assumptions!$C$28^(CT$5-1))*$O66)),0)</f>
        <v>0</v>
      </c>
      <c r="CV66" s="93">
        <f>IF(AND($T66=1,CV$5&lt;=$H66),CU66*(1-BF66)*(1-MIN(1,MAX(Assumptions!$C$27,Assumptions!$C$13*Assumptions!$C$28^(CU$5-1))*$O66)),0)</f>
        <v>0</v>
      </c>
      <c r="CW66" s="93">
        <f>IF(AND($T66=1,CW$5&lt;=$H66),CV66*(1-BG66)*(1-MIN(1,MAX(Assumptions!$C$27,Assumptions!$C$13*Assumptions!$C$28^(CV$5-1))*$O66)),0)</f>
        <v>0</v>
      </c>
      <c r="CX66" s="93">
        <f>IF(AND($T66=1,CX$5&lt;=$H66),CW66*(1-BH66)*(1-MIN(1,MAX(Assumptions!$C$27,Assumptions!$C$13*Assumptions!$C$28^(CW$5-1))*$O66)),0)</f>
        <v>0</v>
      </c>
      <c r="CY66" s="93">
        <f>IF(AND($T66=1,CY$5&lt;=$H66),CX66*(1-BI66)*(1-MIN(1,MAX(Assumptions!$C$27,Assumptions!$C$13*Assumptions!$C$28^(CX$5-1))*$O66)),0)</f>
        <v>0</v>
      </c>
      <c r="CZ66" s="93">
        <f>IF(AND($T66=1,CZ$5&lt;=$H66),CY66*(1-BJ66)*(1-MIN(1,MAX(Assumptions!$C$27,Assumptions!$C$13*Assumptions!$C$28^(CY$5-1))*$O66)),0)</f>
        <v>0</v>
      </c>
      <c r="DA66" s="93">
        <f>IF(AND($T66=1,DA$5&lt;=$H66),CZ66*(1-BK66)*(1-MIN(1,MAX(Assumptions!$C$27,Assumptions!$C$13*Assumptions!$C$28^(CZ$5-1))*$O66)),0)</f>
        <v>0</v>
      </c>
      <c r="DB66" s="93">
        <f>IF(AND($T66=1,DB$5&lt;=$H66),DA66*(1-BL66)*(1-MIN(1,MAX(Assumptions!$C$27,Assumptions!$C$13*Assumptions!$C$28^(DA$5-1))*$O66)),0)</f>
        <v>0</v>
      </c>
      <c r="DC66" s="93">
        <f>IF(AND($T66=1,DC$5&lt;=$H66),DB66*(1-BM66)*(1-MIN(1,MAX(Assumptions!$C$27,Assumptions!$C$13*Assumptions!$C$28^(DB$5-1))*$O66)),0)</f>
        <v>0</v>
      </c>
      <c r="DD66" s="93">
        <f>IF(AND($T66=1,DD$5&lt;=$H66),DC66*(1-BN66)*(1-MIN(1,MAX(Assumptions!$C$27,Assumptions!$C$13*Assumptions!$C$28^(DC$5-1))*$O66)),0)</f>
        <v>0</v>
      </c>
      <c r="DE66" s="93">
        <f>IF(AND($T66=1,DE$5&lt;=$H66),DD66*(1-BO66)*(1-MIN(1,MAX(Assumptions!$C$27,Assumptions!$C$13*Assumptions!$C$28^(DD$5-1))*$O66)),0)</f>
        <v>0</v>
      </c>
      <c r="DF66" s="93">
        <f>IF(AND($T66=1,DF$5&lt;=$H66),DE66*(1-BP66)*(1-MIN(1,MAX(Assumptions!$C$27,Assumptions!$C$13*Assumptions!$C$28^(DE$5-1))*$O66)),0)</f>
        <v>0</v>
      </c>
      <c r="DG66" s="93">
        <f>IF(AND($T66=1,DG$5&lt;=$H66),DF66*(1-BQ66)*(1-MIN(1,MAX(Assumptions!$C$27,Assumptions!$C$13*Assumptions!$C$28^(DF$5-1))*$O66)),0)</f>
        <v>0</v>
      </c>
      <c r="DH66" s="93">
        <f>IF(AND($T66=1,DH$5&lt;=$H66),DG66*(1-BR66)*(1-MIN(1,MAX(Assumptions!$C$27,Assumptions!$C$13*Assumptions!$C$28^(DG$5-1))*$O66)),0)</f>
        <v>0</v>
      </c>
      <c r="DI66" s="93">
        <f>IF(AND($T66=1,DI$5&lt;=$H66),DH66*(1-BS66)*(1-MIN(1,MAX(Assumptions!$C$27,Assumptions!$C$13*Assumptions!$C$28^(DH$5-1))*$O66)),0)</f>
        <v>0</v>
      </c>
      <c r="DJ66" s="93">
        <f>IF(AND($T66=1,DJ$5&lt;=$H66),DI66*(1-BT66)*(1-MIN(1,MAX(Assumptions!$C$27,Assumptions!$C$13*Assumptions!$C$28^(DI$5-1))*$O66)),0)</f>
        <v>0</v>
      </c>
      <c r="DK66" s="93">
        <f>IF(AND($T66=1,DK$5&lt;=$H66),DJ66*(1-BU66)*(1-MIN(1,MAX(Assumptions!$C$27,Assumptions!$C$13*Assumptions!$C$28^(DJ$5-1))*$O66)),0)</f>
        <v>0</v>
      </c>
      <c r="DL66" s="93">
        <f>IF(AND($T66=1,DL$5&lt;=$H66),DK66*(1-BV66)*(1-MIN(1,MAX(Assumptions!$C$27,Assumptions!$C$13*Assumptions!$C$28^(DK$5-1))*$O66)),0)</f>
        <v>0</v>
      </c>
      <c r="DM66" s="93">
        <f>IF(AND($T66=1,DM$5&lt;=$H66),DL66*(1-BW66)*(1-MIN(1,MAX(Assumptions!$C$27,Assumptions!$C$13*Assumptions!$C$28^(DL$5-1))*$O66)),0)</f>
        <v>0</v>
      </c>
      <c r="DN66" s="93">
        <f>IF(AND($T66=1,DN$5&lt;=$H66),DM66*(1-BX66)*(1-MIN(1,MAX(Assumptions!$C$27,Assumptions!$C$13*Assumptions!$C$28^(DM$5-1))*$O66)),0)</f>
        <v>0</v>
      </c>
      <c r="DO66" s="93">
        <f>IF(AND($T66=1,DO$5&lt;=$H66),DN66*(1-BY66)*(1-MIN(1,MAX(Assumptions!$C$27,Assumptions!$C$13*Assumptions!$C$28^(DN$5-1))*$O66)),0)</f>
        <v>0</v>
      </c>
      <c r="DP66" s="93">
        <f>IF(AND($T66=1,DP$5&lt;=$H66),DO66*(1-BZ66)*(1-MIN(1,MAX(Assumptions!$C$27,Assumptions!$C$13*Assumptions!$C$28^(DO$5-1))*$O66)),0)</f>
        <v>0</v>
      </c>
      <c r="DQ66" s="93">
        <f>IF(AND($T66=1,DQ$5&lt;=$H66),DP66*(1-CA66)*(1-MIN(1,MAX(Assumptions!$C$27,Assumptions!$C$13*Assumptions!$C$28^(DP$5-1))*$O66)),0)</f>
        <v>0</v>
      </c>
      <c r="DR66" s="93">
        <f>IF(AND($T66=1,DR$5&lt;=$H66),DQ66*(1-CB66)*(1-MIN(1,MAX(Assumptions!$C$27,Assumptions!$C$13*Assumptions!$C$28^(DQ$5-1))*$O66)),0)</f>
        <v>0</v>
      </c>
      <c r="DS66" s="93">
        <f>IF(AND($T66=1,DS$5&lt;=$H66),DR66*(1-CC66)*(1-MIN(1,MAX(Assumptions!$C$27,Assumptions!$C$13*Assumptions!$C$28^(DR$5-1))*$O66)),0)</f>
        <v>0</v>
      </c>
      <c r="DT66" s="93">
        <f>IF(AND($T66=1,DT$5&lt;=$H66),DS66*(1-CD66)*(1-MIN(1,MAX(Assumptions!$C$27,Assumptions!$C$13*Assumptions!$C$28^(DS$5-1))*$O66)),0)</f>
        <v>0</v>
      </c>
      <c r="DU66" s="93">
        <f>IF(AND($T66=1,DU$5&lt;=$H66),DT66*(1-CE66)*(1-MIN(1,MAX(Assumptions!$C$27,Assumptions!$C$13*Assumptions!$C$28^(DT$5-1))*$O66)),0)</f>
        <v>0</v>
      </c>
      <c r="DV66" s="93">
        <f>IF(AND($T66=1,DV$5&lt;=$H66),DU66*(1-CF66)*(1-MIN(1,MAX(Assumptions!$C$27,Assumptions!$C$13*Assumptions!$C$28^(DU$5-1))*$O66)),0)</f>
        <v>0</v>
      </c>
      <c r="DW66" s="94">
        <f>IF(AND($T66=1,DW$5&lt;=$H66),DV66*(1-CG66)*(1-MIN(1,MAX(Assumptions!$C$27,Assumptions!$C$13*Assumptions!$C$28^(DV$5-1))*$O66)),0)</f>
        <v>0</v>
      </c>
      <c r="DX66" s="26"/>
      <c r="DY66" s="399">
        <f>'Policy Data'!K40</f>
        <v>6</v>
      </c>
      <c r="DZ66" s="100">
        <f>'Policy Data'!L40</f>
        <v>0.62939999999999996</v>
      </c>
      <c r="EA66" s="100">
        <f>'Policy Data'!N40</f>
        <v>5.8E-4</v>
      </c>
      <c r="EB66" s="93" cm="1">
        <f t="array" ref="EB66">IFERROR(DZ66*INDEX(Mortality!$B$4:$E$64,MATCH(D66+DY66-1,Mortality!$A$4:$A$64,0),U66)*V66,0)</f>
        <v>8.6587482905203935E-4</v>
      </c>
      <c r="EC66" s="100">
        <f>'Policy Data'!O40</f>
        <v>0</v>
      </c>
      <c r="ED66" s="400">
        <f>'Policy Data'!Q40</f>
        <v>0</v>
      </c>
    </row>
    <row r="67" spans="1:134" x14ac:dyDescent="0.3">
      <c r="A67" s="399" t="str">
        <f>'Policy Data'!A41</f>
        <v>POL100037</v>
      </c>
      <c r="B67" s="26" t="s">
        <v>426</v>
      </c>
      <c r="C67" s="100" t="str">
        <f>'Policy Data'!B41</f>
        <v>Term Life</v>
      </c>
      <c r="D67" s="100">
        <f>'Policy Data'!C41</f>
        <v>49</v>
      </c>
      <c r="E67" s="100" t="str">
        <f>'Policy Data'!D41</f>
        <v>Female</v>
      </c>
      <c r="F67" s="100" t="str">
        <f>'Policy Data'!E41</f>
        <v>Non-smoker</v>
      </c>
      <c r="G67" s="100" t="str">
        <f>'Policy Data'!F41</f>
        <v>Preferred</v>
      </c>
      <c r="H67" s="100">
        <f>'Policy Data'!G41</f>
        <v>25</v>
      </c>
      <c r="I67" s="279">
        <f>'Policy Data'!H41</f>
        <v>500000</v>
      </c>
      <c r="J67" s="100" t="str">
        <f>'Policy Data'!I41</f>
        <v>Monthly</v>
      </c>
      <c r="K67" s="100" t="str">
        <f>'Policy Data'!J41</f>
        <v>Broker</v>
      </c>
      <c r="L67" s="26" t="s">
        <v>389</v>
      </c>
      <c r="M67" s="106">
        <f>'Policy Data'!R41</f>
        <v>1580.47</v>
      </c>
      <c r="N67" s="415">
        <f>Assumptions!$C$21</f>
        <v>1</v>
      </c>
      <c r="O67" s="415">
        <f>Assumptions!$C$22</f>
        <v>1</v>
      </c>
      <c r="P67" s="415">
        <f>Assumptions!$C$23</f>
        <v>1</v>
      </c>
      <c r="Q67" s="416">
        <f>Assumptions!$C$24</f>
        <v>0</v>
      </c>
      <c r="R67" s="416">
        <f>Assumptions!$C$6+Assumptions!$C$25</f>
        <v>3.5000000000000003E-2</v>
      </c>
      <c r="S67" s="416">
        <f>Assumptions!$C$15</f>
        <v>1.1000000000000001E-3</v>
      </c>
      <c r="T67" s="26">
        <f t="shared" si="18"/>
        <v>1</v>
      </c>
      <c r="U67" s="26">
        <f t="shared" si="19"/>
        <v>1</v>
      </c>
      <c r="V67" s="389">
        <f>IF($G67="Preferred",Assumptions!$C$30,IF($G67="Rated",Assumptions!$C$31,1))</f>
        <v>0.8</v>
      </c>
      <c r="W67" s="390">
        <f>IF($K67="Direct",Assumptions!$C$32,IF($K67="Broker",Assumptions!$C$33,IF($K67="Bancassurance",Assumptions!$C$34,Assumptions!$C$11)))+$Q67</f>
        <v>0.25</v>
      </c>
      <c r="X67" s="390">
        <f>Assumptions!$C$12+$Q67</f>
        <v>0.05</v>
      </c>
      <c r="Y67" s="131">
        <f>MIN($I67,Assumptions!$C$14)</f>
        <v>500000</v>
      </c>
      <c r="Z67" s="131">
        <f>MAX($I67-Assumptions!$C$14,0)</f>
        <v>0</v>
      </c>
      <c r="AA67" s="389">
        <f t="shared" si="20"/>
        <v>9.3448261095194791</v>
      </c>
      <c r="AB67" s="389">
        <f t="shared" si="21"/>
        <v>2.9762621443897651E-2</v>
      </c>
      <c r="AC67" s="389">
        <f>IF($T67=1,SUMPRODUCT($CJ67:$DW67,(1+Assumptions!$C$5)^($CJ$5:$DW$5-1),(1+$R67)^(-$CJ$5:$DW$5)),0)</f>
        <v>13.404432529079596</v>
      </c>
      <c r="AD67" s="389">
        <f t="shared" si="22"/>
        <v>0.66047802045181936</v>
      </c>
      <c r="AE67" s="131">
        <f>IF($T67=1,$AB67*$Y67+(Assumptions!$C$9/(1+$R67)+Assumptions!$C$10*$AC67)*$P67+$S67*$Z67*$AA67,0)</f>
        <v>18699.851095737642</v>
      </c>
      <c r="AF67" s="131">
        <f>IF($T67=1,IF($AA67-$AD67-Assumptions!$C$16*$AA67&gt;0,$AE67/($AA67-$AD67-Assumptions!$C$16*$AA67)*IF($J67="Monthly",1+Assumptions!$C$29,1),"n.a."),"")</f>
        <v>2426.7889887421252</v>
      </c>
      <c r="AG67" s="131">
        <f t="shared" si="23"/>
        <v>1580.47</v>
      </c>
      <c r="AH67" s="131">
        <f t="shared" si="24"/>
        <v>14769.217321312251</v>
      </c>
      <c r="AI67" s="131">
        <f t="shared" si="25"/>
        <v>-4974.4994714088771</v>
      </c>
      <c r="AJ67" s="390">
        <f t="shared" si="26"/>
        <v>-0.33681537505921749</v>
      </c>
      <c r="AK67" s="389">
        <f t="shared" si="27"/>
        <v>0.65125975407495285</v>
      </c>
      <c r="AL67" s="131">
        <f t="shared" si="28"/>
        <v>0</v>
      </c>
      <c r="AM67" s="131">
        <f t="shared" si="29"/>
        <v>0</v>
      </c>
      <c r="AN67" s="131">
        <f t="shared" si="30"/>
        <v>0</v>
      </c>
      <c r="AO67" s="131">
        <f t="shared" si="31"/>
        <v>-4974.4994714088771</v>
      </c>
      <c r="AP67" s="26" t="str">
        <f t="shared" si="32"/>
        <v>40-49</v>
      </c>
      <c r="AQ67" s="26" t="str">
        <f t="shared" si="33"/>
        <v>250k-500k</v>
      </c>
      <c r="AR67" s="26" t="str">
        <f>IF($T67=1,IF($AI67&lt;0,"Loss-making",IF($AJ67&lt;Assumptions!$C$16-0.00001,"Below target","At/above target")),"Excluded")</f>
        <v>Loss-making</v>
      </c>
      <c r="AS67" s="103">
        <f t="shared" si="34"/>
        <v>-4974.4994044088771</v>
      </c>
      <c r="AT67" s="26"/>
      <c r="AU67" s="419">
        <f>IF(AND($T67=1,AU$5&lt;=$H67),INDEX(Mortality!$B$4:$E$64,MATCH($D67+AU$5-1,Mortality!$A$4:$A$64,0),$U67)*$V67*$N67,0)</f>
        <v>1.3991009097135041E-3</v>
      </c>
      <c r="AV67" s="93">
        <f>IF(AND($T67=1,AV$5&lt;=$H67),INDEX(Mortality!$B$4:$E$64,MATCH($D67+AV$5-1,Mortality!$A$4:$A$64,0),$U67)*$V67*$N67,0)</f>
        <v>1.5156279218649042E-3</v>
      </c>
      <c r="AW67" s="93">
        <f>IF(AND($T67=1,AW$5&lt;=$H67),INDEX(Mortality!$B$4:$E$64,MATCH($D67+AW$5-1,Mortality!$A$4:$A$64,0),$U67)*$V67*$N67,0)</f>
        <v>1.641860127163328E-3</v>
      </c>
      <c r="AX67" s="93">
        <f>IF(AND($T67=1,AX$5&lt;=$H67),INDEX(Mortality!$B$4:$E$64,MATCH($D67+AX$5-1,Mortality!$A$4:$A$64,0),$U67)*$V67*$N67,0)</f>
        <v>1.7786058426871921E-3</v>
      </c>
      <c r="AY67" s="93">
        <f>IF(AND($T67=1,AY$5&lt;=$H67),INDEX(Mortality!$B$4:$E$64,MATCH($D67+AY$5-1,Mortality!$A$4:$A$64,0),$U67)*$V67*$N67,0)</f>
        <v>1.92674070787416E-3</v>
      </c>
      <c r="AZ67" s="93">
        <f>IF(AND($T67=1,AZ$5&lt;=$H67),INDEX(Mortality!$B$4:$E$64,MATCH($D67+AZ$5-1,Mortality!$A$4:$A$64,0),$U67)*$V67*$N67,0)</f>
        <v>2.087213291602968E-3</v>
      </c>
      <c r="BA67" s="93">
        <f>IF(AND($T67=1,BA$5&lt;=$H67),INDEX(Mortality!$B$4:$E$64,MATCH($D67+BA$5-1,Mortality!$A$4:$A$64,0),$U67)*$V67*$N67,0)</f>
        <v>2.2610511662727764E-3</v>
      </c>
      <c r="BB67" s="93">
        <f>IF(AND($T67=1,BB$5&lt;=$H67),INDEX(Mortality!$B$4:$E$64,MATCH($D67+BB$5-1,Mortality!$A$4:$A$64,0),$U67)*$V67*$N67,0)</f>
        <v>2.4493674877746879E-3</v>
      </c>
      <c r="BC67" s="93">
        <f>IF(AND($T67=1,BC$5&lt;=$H67),INDEX(Mortality!$B$4:$E$64,MATCH($D67+BC$5-1,Mortality!$A$4:$A$64,0),$U67)*$V67*$N67,0)</f>
        <v>2.6533681234898162E-3</v>
      </c>
      <c r="BD67" s="93">
        <f>IF(AND($T67=1,BD$5&lt;=$H67),INDEX(Mortality!$B$4:$E$64,MATCH($D67+BD$5-1,Mortality!$A$4:$A$64,0),$U67)*$V67*$N67,0)</f>
        <v>2.8743593739574964E-3</v>
      </c>
      <c r="BE67" s="93">
        <f>IF(AND($T67=1,BE$5&lt;=$H67),INDEX(Mortality!$B$4:$E$64,MATCH($D67+BE$5-1,Mortality!$A$4:$A$64,0),$U67)*$V67*$N67,0)</f>
        <v>3.1137563376584399E-3</v>
      </c>
      <c r="BF67" s="93">
        <f>IF(AND($T67=1,BF$5&lt;=$H67),INDEX(Mortality!$B$4:$E$64,MATCH($D67+BF$5-1,Mortality!$A$4:$A$64,0),$U67)*$V67*$N67,0)</f>
        <v>3.3730919724763286E-3</v>
      </c>
      <c r="BG67" s="93">
        <f>IF(AND($T67=1,BG$5&lt;=$H67),INDEX(Mortality!$B$4:$E$64,MATCH($D67+BG$5-1,Mortality!$A$4:$A$64,0),$U67)*$V67*$N67,0)</f>
        <v>3.6540269118618242E-3</v>
      </c>
      <c r="BH67" s="93">
        <f>IF(AND($T67=1,BH$5&lt;=$H67),INDEX(Mortality!$B$4:$E$64,MATCH($D67+BH$5-1,Mortality!$A$4:$A$64,0),$U67)*$V67*$N67,0)</f>
        <v>3.9583600985561842E-3</v>
      </c>
      <c r="BI67" s="93">
        <f>IF(AND($T67=1,BI$5&lt;=$H67),INDEX(Mortality!$B$4:$E$64,MATCH($D67+BI$5-1,Mortality!$A$4:$A$64,0),$U67)*$V67*$N67,0)</f>
        <v>4.2880403039664882E-3</v>
      </c>
      <c r="BJ67" s="93">
        <f>IF(AND($T67=1,BJ$5&lt;=$H67),INDEX(Mortality!$B$4:$E$64,MATCH($D67+BJ$5-1,Mortality!$A$4:$A$64,0),$U67)*$V67*$N67,0)</f>
        <v>4.6451786069558959E-3</v>
      </c>
      <c r="BK67" s="93">
        <f>IF(AND($T67=1,BK$5&lt;=$H67),INDEX(Mortality!$B$4:$E$64,MATCH($D67+BK$5-1,Mortality!$A$4:$A$64,0),$U67)*$V67*$N67,0)</f>
        <v>5.0320619119556959E-3</v>
      </c>
      <c r="BL67" s="93">
        <f>IF(AND($T67=1,BL$5&lt;=$H67),INDEX(Mortality!$B$4:$E$64,MATCH($D67+BL$5-1,Mortality!$A$4:$A$64,0),$U67)*$V67*$N67,0)</f>
        <v>5.4511675929613361E-3</v>
      </c>
      <c r="BM67" s="93">
        <f>IF(AND($T67=1,BM$5&lt;=$H67),INDEX(Mortality!$B$4:$E$64,MATCH($D67+BM$5-1,Mortality!$A$4:$A$64,0),$U67)*$V67*$N67,0)</f>
        <v>5.9051793571838406E-3</v>
      </c>
      <c r="BN67" s="93">
        <f>IF(AND($T67=1,BN$5&lt;=$H67),INDEX(Mortality!$B$4:$E$64,MATCH($D67+BN$5-1,Mortality!$A$4:$A$64,0),$U67)*$V67*$N67,0)</f>
        <v>6.3970044299383848E-3</v>
      </c>
      <c r="BO67" s="93">
        <f>IF(AND($T67=1,BO$5&lt;=$H67),INDEX(Mortality!$B$4:$E$64,MATCH($D67+BO$5-1,Mortality!$A$4:$A$64,0),$U67)*$V67*$N67,0)</f>
        <v>6.9297921708116718E-3</v>
      </c>
      <c r="BP67" s="93">
        <f>IF(AND($T67=1,BP$5&lt;=$H67),INDEX(Mortality!$B$4:$E$64,MATCH($D67+BP$5-1,Mortality!$A$4:$A$64,0),$U67)*$V67*$N67,0)</f>
        <v>7.5069542403154643E-3</v>
      </c>
      <c r="BQ67" s="93">
        <f>IF(AND($T67=1,BQ$5&lt;=$H67),INDEX(Mortality!$B$4:$E$64,MATCH($D67+BQ$5-1,Mortality!$A$4:$A$64,0),$U67)*$V67*$N67,0)</f>
        <v>8.132186446161439E-3</v>
      </c>
      <c r="BR67" s="93">
        <f>IF(AND($T67=1,BR$5&lt;=$H67),INDEX(Mortality!$B$4:$E$64,MATCH($D67+BR$5-1,Mortality!$A$4:$A$64,0),$U67)*$V67*$N67,0)</f>
        <v>8.8094924090482401E-3</v>
      </c>
      <c r="BS67" s="93">
        <f>IF(AND($T67=1,BS$5&lt;=$H67),INDEX(Mortality!$B$4:$E$64,MATCH($D67+BS$5-1,Mortality!$A$4:$A$64,0),$U67)*$V67*$N67,0)</f>
        <v>9.5432091995027203E-3</v>
      </c>
      <c r="BT67" s="93">
        <f>IF(AND($T67=1,BT$5&lt;=$H67),INDEX(Mortality!$B$4:$E$64,MATCH($D67+BT$5-1,Mortality!$A$4:$A$64,0),$U67)*$V67*$N67,0)</f>
        <v>0</v>
      </c>
      <c r="BU67" s="93">
        <f>IF(AND($T67=1,BU$5&lt;=$H67),INDEX(Mortality!$B$4:$E$64,MATCH($D67+BU$5-1,Mortality!$A$4:$A$64,0),$U67)*$V67*$N67,0)</f>
        <v>0</v>
      </c>
      <c r="BV67" s="93">
        <f>IF(AND($T67=1,BV$5&lt;=$H67),INDEX(Mortality!$B$4:$E$64,MATCH($D67+BV$5-1,Mortality!$A$4:$A$64,0),$U67)*$V67*$N67,0)</f>
        <v>0</v>
      </c>
      <c r="BW67" s="93">
        <f>IF(AND($T67=1,BW$5&lt;=$H67),INDEX(Mortality!$B$4:$E$64,MATCH($D67+BW$5-1,Mortality!$A$4:$A$64,0),$U67)*$V67*$N67,0)</f>
        <v>0</v>
      </c>
      <c r="BX67" s="93">
        <f>IF(AND($T67=1,BX$5&lt;=$H67),INDEX(Mortality!$B$4:$E$64,MATCH($D67+BX$5-1,Mortality!$A$4:$A$64,0),$U67)*$V67*$N67,0)</f>
        <v>0</v>
      </c>
      <c r="BY67" s="93">
        <f>IF(AND($T67=1,BY$5&lt;=$H67),INDEX(Mortality!$B$4:$E$64,MATCH($D67+BY$5-1,Mortality!$A$4:$A$64,0),$U67)*$V67*$N67,0)</f>
        <v>0</v>
      </c>
      <c r="BZ67" s="93">
        <f>IF(AND($T67=1,BZ$5&lt;=$H67),INDEX(Mortality!$B$4:$E$64,MATCH($D67+BZ$5-1,Mortality!$A$4:$A$64,0),$U67)*$V67*$N67,0)</f>
        <v>0</v>
      </c>
      <c r="CA67" s="93">
        <f>IF(AND($T67=1,CA$5&lt;=$H67),INDEX(Mortality!$B$4:$E$64,MATCH($D67+CA$5-1,Mortality!$A$4:$A$64,0),$U67)*$V67*$N67,0)</f>
        <v>0</v>
      </c>
      <c r="CB67" s="93">
        <f>IF(AND($T67=1,CB$5&lt;=$H67),INDEX(Mortality!$B$4:$E$64,MATCH($D67+CB$5-1,Mortality!$A$4:$A$64,0),$U67)*$V67*$N67,0)</f>
        <v>0</v>
      </c>
      <c r="CC67" s="93">
        <f>IF(AND($T67=1,CC$5&lt;=$H67),INDEX(Mortality!$B$4:$E$64,MATCH($D67+CC$5-1,Mortality!$A$4:$A$64,0),$U67)*$V67*$N67,0)</f>
        <v>0</v>
      </c>
      <c r="CD67" s="93">
        <f>IF(AND($T67=1,CD$5&lt;=$H67),INDEX(Mortality!$B$4:$E$64,MATCH($D67+CD$5-1,Mortality!$A$4:$A$64,0),$U67)*$V67*$N67,0)</f>
        <v>0</v>
      </c>
      <c r="CE67" s="93">
        <f>IF(AND($T67=1,CE$5&lt;=$H67),INDEX(Mortality!$B$4:$E$64,MATCH($D67+CE$5-1,Mortality!$A$4:$A$64,0),$U67)*$V67*$N67,0)</f>
        <v>0</v>
      </c>
      <c r="CF67" s="93">
        <f>IF(AND($T67=1,CF$5&lt;=$H67),INDEX(Mortality!$B$4:$E$64,MATCH($D67+CF$5-1,Mortality!$A$4:$A$64,0),$U67)*$V67*$N67,0)</f>
        <v>0</v>
      </c>
      <c r="CG67" s="93">
        <f>IF(AND($T67=1,CG$5&lt;=$H67),INDEX(Mortality!$B$4:$E$64,MATCH($D67+CG$5-1,Mortality!$A$4:$A$64,0),$U67)*$V67*$N67,0)</f>
        <v>0</v>
      </c>
      <c r="CH67" s="94">
        <f>IF(AND($T67=1,CH$5&lt;=$H67),INDEX(Mortality!$B$4:$E$64,MATCH($D67+CH$5-1,Mortality!$A$4:$A$64,0),$U67)*$V67*$N67,0)</f>
        <v>0</v>
      </c>
      <c r="CI67" s="26"/>
      <c r="CJ67" s="419">
        <f t="shared" si="35"/>
        <v>1</v>
      </c>
      <c r="CK67" s="93">
        <f>IF(AND($T67=1,CK$5&lt;=$H67),CJ67*(1-AU67)*(1-MIN(1,MAX(Assumptions!$C$27,Assumptions!$C$13*Assumptions!$C$28^(CJ$5-1))*$O67)),0)</f>
        <v>0.87876879119945206</v>
      </c>
      <c r="CL67" s="93">
        <f>IF(AND($T67=1,CL$5&lt;=$H67),CK67*(1-AV67)*(1-MIN(1,MAX(Assumptions!$C$27,Assumptions!$C$13*Assumptions!$C$28^(CK$5-1))*$O67)),0)</f>
        <v>0.78793834040501676</v>
      </c>
      <c r="CM67" s="93">
        <f>IF(AND($T67=1,CM$5&lt;=$H67),CL67*(1-AW67)*(1-MIN(1,MAX(Assumptions!$C$27,Assumptions!$C$13*Assumptions!$C$28^(CL$5-1))*$O67)),0)</f>
        <v>0.71844256419807284</v>
      </c>
      <c r="CN67" s="93">
        <f>IF(AND($T67=1,CN$5&lt;=$H67),CM67*(1-AX67)*(1-MIN(1,MAX(Assumptions!$C$27,Assumptions!$C$13*Assumptions!$C$28^(CM$5-1))*$O67)),0)</f>
        <v>0.66431328268473611</v>
      </c>
      <c r="CO67" s="93">
        <f>IF(AND($T67=1,CO$5&lt;=$H67),CN67*(1-AY67)*(1-MIN(1,MAX(Assumptions!$C$27,Assumptions!$C$13*Assumptions!$C$28^(CN$5-1))*$O67)),0)</f>
        <v>0.62150041859744698</v>
      </c>
      <c r="CP67" s="93">
        <f>IF(AND($T67=1,CP$5&lt;=$H67),CO67*(1-AZ67)*(1-MIN(1,MAX(Assumptions!$C$27,Assumptions!$C$13*Assumptions!$C$28^(CO$5-1))*$O67)),0)</f>
        <v>0.58718071932194671</v>
      </c>
      <c r="CQ67" s="93">
        <f>IF(AND($T67=1,CQ$5&lt;=$H67),CP67*(1-BA67)*(1-MIN(1,MAX(Assumptions!$C$27,Assumptions!$C$13*Assumptions!$C$28^(CP$5-1))*$O67)),0)</f>
        <v>0.55933856931618653</v>
      </c>
      <c r="CR67" s="93">
        <f>IF(AND($T67=1,CR$5&lt;=$H67),CQ67*(1-BB67)*(1-MIN(1,MAX(Assumptions!$C$27,Assumptions!$C$13*Assumptions!$C$28^(CQ$5-1))*$O67)),0)</f>
        <v>0.53650391188228819</v>
      </c>
      <c r="CS67" s="93">
        <f>IF(AND($T67=1,CS$5&lt;=$H67),CR67*(1-BC67)*(1-MIN(1,MAX(Assumptions!$C$27,Assumptions!$C$13*Assumptions!$C$28^(CR$5-1))*$O67)),0)</f>
        <v>0.51758384980545102</v>
      </c>
      <c r="CT67" s="93">
        <f>IF(AND($T67=1,CT$5&lt;=$H67),CS67*(1-BD67)*(1-MIN(1,MAX(Assumptions!$C$27,Assumptions!$C$13*Assumptions!$C$28^(CS$5-1))*$O67)),0)</f>
        <v>0.50175173472138346</v>
      </c>
      <c r="CU67" s="93">
        <f>IF(AND($T67=1,CU$5&lt;=$H67),CT67*(1-BE67)*(1-MIN(1,MAX(Assumptions!$C$27,Assumptions!$C$13*Assumptions!$C$28^(CT$5-1))*$O67)),0)</f>
        <v>0.48837246320647854</v>
      </c>
      <c r="CV67" s="93">
        <f>IF(AND($T67=1,CV$5&lt;=$H67),CU67*(1-BF67)*(1-MIN(1,MAX(Assumptions!$C$27,Assumptions!$C$13*Assumptions!$C$28^(CU$5-1))*$O67)),0)</f>
        <v>0.47695111836645204</v>
      </c>
      <c r="CW67" s="93">
        <f>IF(AND($T67=1,CW$5&lt;=$H67),CV67*(1-BG67)*(1-MIN(1,MAX(Assumptions!$C$27,Assumptions!$C$13*Assumptions!$C$28^(CV$5-1))*$O67)),0)</f>
        <v>0.46570415962141248</v>
      </c>
      <c r="CX67" s="93">
        <f>IF(AND($T67=1,CX$5&lt;=$H67),CW67*(1-BH67)*(1-MIN(1,MAX(Assumptions!$C$27,Assumptions!$C$13*Assumptions!$C$28^(CW$5-1))*$O67)),0)</f>
        <v>0.45458352016107073</v>
      </c>
      <c r="CY67" s="93">
        <f>IF(AND($T67=1,CY$5&lt;=$H67),CX67*(1-BI67)*(1-MIN(1,MAX(Assumptions!$C$27,Assumptions!$C$13*Assumptions!$C$28^(CX$5-1))*$O67)),0)</f>
        <v>0.44358156275099908</v>
      </c>
      <c r="CZ67" s="93">
        <f>IF(AND($T67=1,CZ$5&lt;=$H67),CY67*(1-BJ67)*(1-MIN(1,MAX(Assumptions!$C$27,Assumptions!$C$13*Assumptions!$C$28^(CY$5-1))*$O67)),0)</f>
        <v>0.43269062622196269</v>
      </c>
      <c r="DA67" s="93">
        <f>IF(AND($T67=1,DA$5&lt;=$H67),CZ67*(1-BK67)*(1-MIN(1,MAX(Assumptions!$C$27,Assumptions!$C$13*Assumptions!$C$28^(CZ$5-1))*$O67)),0)</f>
        <v>0.42190303419804909</v>
      </c>
      <c r="DB67" s="93">
        <f>IF(AND($T67=1,DB$5&lt;=$H67),DA67*(1-BL67)*(1-MIN(1,MAX(Assumptions!$C$27,Assumptions!$C$13*Assumptions!$C$28^(DA$5-1))*$O67)),0)</f>
        <v>0.4112111066496435</v>
      </c>
      <c r="DC67" s="93">
        <f>IF(AND($T67=1,DC$5&lt;=$H67),DB67*(1-BM67)*(1-MIN(1,MAX(Assumptions!$C$27,Assumptions!$C$13*Assumptions!$C$28^(DB$5-1))*$O67)),0)</f>
        <v>0.40060717468498708</v>
      </c>
      <c r="DD67" s="93">
        <f>IF(AND($T67=1,DD$5&lt;=$H67),DC67*(1-BN67)*(1-MIN(1,MAX(Assumptions!$C$27,Assumptions!$C$13*Assumptions!$C$28^(DC$5-1))*$O67)),0)</f>
        <v>0.39008359903758488</v>
      </c>
      <c r="DE67" s="93">
        <f>IF(AND($T67=1,DE$5&lt;=$H67),DD67*(1-BO67)*(1-MIN(1,MAX(Assumptions!$C$27,Assumptions!$C$13*Assumptions!$C$28^(DD$5-1))*$O67)),0)</f>
        <v>0.37963279275167194</v>
      </c>
      <c r="DF67" s="93">
        <f>IF(AND($T67=1,DF$5&lt;=$H67),DE67*(1-BP67)*(1-MIN(1,MAX(Assumptions!$C$27,Assumptions!$C$13*Assumptions!$C$28^(DE$5-1))*$O67)),0)</f>
        <v>0.36924724861339475</v>
      </c>
      <c r="DG67" s="93">
        <f>IF(AND($T67=1,DG$5&lt;=$H67),DF67*(1-BQ67)*(1-MIN(1,MAX(Assumptions!$C$27,Assumptions!$C$13*Assumptions!$C$28^(DF$5-1))*$O67)),0)</f>
        <v>0.35891957192007973</v>
      </c>
      <c r="DH67" s="93">
        <f>IF(AND($T67=1,DH$5&lt;=$H67),DG67*(1-BR67)*(1-MIN(1,MAX(Assumptions!$C$27,Assumptions!$C$13*Assumptions!$C$28^(DG$5-1))*$O67)),0)</f>
        <v>0.34864251922227513</v>
      </c>
      <c r="DI67" s="93">
        <f>IF(AND($T67=1,DI$5&lt;=$H67),DH67*(1-BS67)*(1-MIN(1,MAX(Assumptions!$C$27,Assumptions!$C$13*Assumptions!$C$28^(DH$5-1))*$O67)),0)</f>
        <v>0</v>
      </c>
      <c r="DJ67" s="93">
        <f>IF(AND($T67=1,DJ$5&lt;=$H67),DI67*(1-BT67)*(1-MIN(1,MAX(Assumptions!$C$27,Assumptions!$C$13*Assumptions!$C$28^(DI$5-1))*$O67)),0)</f>
        <v>0</v>
      </c>
      <c r="DK67" s="93">
        <f>IF(AND($T67=1,DK$5&lt;=$H67),DJ67*(1-BU67)*(1-MIN(1,MAX(Assumptions!$C$27,Assumptions!$C$13*Assumptions!$C$28^(DJ$5-1))*$O67)),0)</f>
        <v>0</v>
      </c>
      <c r="DL67" s="93">
        <f>IF(AND($T67=1,DL$5&lt;=$H67),DK67*(1-BV67)*(1-MIN(1,MAX(Assumptions!$C$27,Assumptions!$C$13*Assumptions!$C$28^(DK$5-1))*$O67)),0)</f>
        <v>0</v>
      </c>
      <c r="DM67" s="93">
        <f>IF(AND($T67=1,DM$5&lt;=$H67),DL67*(1-BW67)*(1-MIN(1,MAX(Assumptions!$C$27,Assumptions!$C$13*Assumptions!$C$28^(DL$5-1))*$O67)),0)</f>
        <v>0</v>
      </c>
      <c r="DN67" s="93">
        <f>IF(AND($T67=1,DN$5&lt;=$H67),DM67*(1-BX67)*(1-MIN(1,MAX(Assumptions!$C$27,Assumptions!$C$13*Assumptions!$C$28^(DM$5-1))*$O67)),0)</f>
        <v>0</v>
      </c>
      <c r="DO67" s="93">
        <f>IF(AND($T67=1,DO$5&lt;=$H67),DN67*(1-BY67)*(1-MIN(1,MAX(Assumptions!$C$27,Assumptions!$C$13*Assumptions!$C$28^(DN$5-1))*$O67)),0)</f>
        <v>0</v>
      </c>
      <c r="DP67" s="93">
        <f>IF(AND($T67=1,DP$5&lt;=$H67),DO67*(1-BZ67)*(1-MIN(1,MAX(Assumptions!$C$27,Assumptions!$C$13*Assumptions!$C$28^(DO$5-1))*$O67)),0)</f>
        <v>0</v>
      </c>
      <c r="DQ67" s="93">
        <f>IF(AND($T67=1,DQ$5&lt;=$H67),DP67*(1-CA67)*(1-MIN(1,MAX(Assumptions!$C$27,Assumptions!$C$13*Assumptions!$C$28^(DP$5-1))*$O67)),0)</f>
        <v>0</v>
      </c>
      <c r="DR67" s="93">
        <f>IF(AND($T67=1,DR$5&lt;=$H67),DQ67*(1-CB67)*(1-MIN(1,MAX(Assumptions!$C$27,Assumptions!$C$13*Assumptions!$C$28^(DQ$5-1))*$O67)),0)</f>
        <v>0</v>
      </c>
      <c r="DS67" s="93">
        <f>IF(AND($T67=1,DS$5&lt;=$H67),DR67*(1-CC67)*(1-MIN(1,MAX(Assumptions!$C$27,Assumptions!$C$13*Assumptions!$C$28^(DR$5-1))*$O67)),0)</f>
        <v>0</v>
      </c>
      <c r="DT67" s="93">
        <f>IF(AND($T67=1,DT$5&lt;=$H67),DS67*(1-CD67)*(1-MIN(1,MAX(Assumptions!$C$27,Assumptions!$C$13*Assumptions!$C$28^(DS$5-1))*$O67)),0)</f>
        <v>0</v>
      </c>
      <c r="DU67" s="93">
        <f>IF(AND($T67=1,DU$5&lt;=$H67),DT67*(1-CE67)*(1-MIN(1,MAX(Assumptions!$C$27,Assumptions!$C$13*Assumptions!$C$28^(DT$5-1))*$O67)),0)</f>
        <v>0</v>
      </c>
      <c r="DV67" s="93">
        <f>IF(AND($T67=1,DV$5&lt;=$H67),DU67*(1-CF67)*(1-MIN(1,MAX(Assumptions!$C$27,Assumptions!$C$13*Assumptions!$C$28^(DU$5-1))*$O67)),0)</f>
        <v>0</v>
      </c>
      <c r="DW67" s="94">
        <f>IF(AND($T67=1,DW$5&lt;=$H67),DV67*(1-CG67)*(1-MIN(1,MAX(Assumptions!$C$27,Assumptions!$C$13*Assumptions!$C$28^(DV$5-1))*$O67)),0)</f>
        <v>0</v>
      </c>
      <c r="DX67" s="26"/>
      <c r="DY67" s="399">
        <f>'Policy Data'!K41</f>
        <v>1</v>
      </c>
      <c r="DZ67" s="100">
        <f>'Policy Data'!L41</f>
        <v>0.86270000000000002</v>
      </c>
      <c r="EA67" s="100">
        <f>'Policy Data'!N41</f>
        <v>1.207E-3</v>
      </c>
      <c r="EB67" s="93" cm="1">
        <f t="array" ref="EB67">IFERROR(DZ67*INDEX(Mortality!$B$4:$E$64,MATCH(D67+DY67-1,Mortality!$A$4:$A$64,0),U67)*V67,0)</f>
        <v>1.2070043548098399E-3</v>
      </c>
      <c r="EC67" s="100">
        <f>'Policy Data'!O41</f>
        <v>0</v>
      </c>
      <c r="ED67" s="400">
        <f>'Policy Data'!Q41</f>
        <v>0</v>
      </c>
    </row>
    <row r="68" spans="1:134" x14ac:dyDescent="0.3">
      <c r="A68" s="399" t="str">
        <f>'Policy Data'!A42</f>
        <v>POL100038</v>
      </c>
      <c r="B68" s="26" t="s">
        <v>426</v>
      </c>
      <c r="C68" s="100" t="str">
        <f>'Policy Data'!B42</f>
        <v>Unit-Linked</v>
      </c>
      <c r="D68" s="100">
        <f>'Policy Data'!C42</f>
        <v>62</v>
      </c>
      <c r="E68" s="100" t="str">
        <f>'Policy Data'!D42</f>
        <v>Male</v>
      </c>
      <c r="F68" s="100" t="str">
        <f>'Policy Data'!E42</f>
        <v>Smoker</v>
      </c>
      <c r="G68" s="100" t="str">
        <f>'Policy Data'!F42</f>
        <v>Standard</v>
      </c>
      <c r="H68" s="100">
        <f>'Policy Data'!G42</f>
        <v>25</v>
      </c>
      <c r="I68" s="279">
        <f>'Policy Data'!H42</f>
        <v>250000</v>
      </c>
      <c r="J68" s="100" t="str">
        <f>'Policy Data'!I42</f>
        <v>Monthly</v>
      </c>
      <c r="K68" s="100" t="str">
        <f>'Policy Data'!J42</f>
        <v>Bancassurance</v>
      </c>
      <c r="L68" s="26" t="s">
        <v>389</v>
      </c>
      <c r="M68" s="106">
        <f>'Policy Data'!R42</f>
        <v>15977.12</v>
      </c>
      <c r="N68" s="415">
        <f>Assumptions!$C$21</f>
        <v>1</v>
      </c>
      <c r="O68" s="415">
        <f>Assumptions!$C$22</f>
        <v>1</v>
      </c>
      <c r="P68" s="415">
        <f>Assumptions!$C$23</f>
        <v>1</v>
      </c>
      <c r="Q68" s="416">
        <f>Assumptions!$C$24</f>
        <v>0</v>
      </c>
      <c r="R68" s="416">
        <f>Assumptions!$C$6+Assumptions!$C$25</f>
        <v>3.5000000000000003E-2</v>
      </c>
      <c r="S68" s="416">
        <f>Assumptions!$C$15</f>
        <v>1.1000000000000001E-3</v>
      </c>
      <c r="T68" s="26">
        <f t="shared" si="18"/>
        <v>0</v>
      </c>
      <c r="U68" s="26">
        <f t="shared" si="19"/>
        <v>4</v>
      </c>
      <c r="V68" s="389">
        <f>IF($G68="Preferred",Assumptions!$C$30,IF($G68="Rated",Assumptions!$C$31,1))</f>
        <v>1</v>
      </c>
      <c r="W68" s="390">
        <f>IF($K68="Direct",Assumptions!$C$32,IF($K68="Broker",Assumptions!$C$33,IF($K68="Bancassurance",Assumptions!$C$34,Assumptions!$C$11)))+$Q68</f>
        <v>0.2</v>
      </c>
      <c r="X68" s="390">
        <f>Assumptions!$C$12+$Q68</f>
        <v>0.05</v>
      </c>
      <c r="Y68" s="131">
        <f>MIN($I68,Assumptions!$C$14)</f>
        <v>250000</v>
      </c>
      <c r="Z68" s="131">
        <f>MAX($I68-Assumptions!$C$14,0)</f>
        <v>0</v>
      </c>
      <c r="AA68" s="389">
        <f t="shared" si="20"/>
        <v>0</v>
      </c>
      <c r="AB68" s="389">
        <f t="shared" si="21"/>
        <v>0</v>
      </c>
      <c r="AC68" s="389">
        <f>IF($T68=1,SUMPRODUCT($CJ68:$DW68,(1+Assumptions!$C$5)^($CJ$5:$DW$5-1),(1+$R68)^(-$CJ$5:$DW$5)),0)</f>
        <v>0</v>
      </c>
      <c r="AD68" s="389">
        <f t="shared" si="22"/>
        <v>0</v>
      </c>
      <c r="AE68" s="131">
        <f>IF($T68=1,$AB68*$Y68+(Assumptions!$C$9/(1+$R68)+Assumptions!$C$10*$AC68)*$P68+$S68*$Z68*$AA68,0)</f>
        <v>0</v>
      </c>
      <c r="AF68" s="131" t="str">
        <f>IF($T68=1,IF($AA68-$AD68-Assumptions!$C$16*$AA68&gt;0,$AE68/($AA68-$AD68-Assumptions!$C$16*$AA68)*IF($J68="Monthly",1+Assumptions!$C$29,1),"n.a."),"")</f>
        <v/>
      </c>
      <c r="AG68" s="131" t="str">
        <f t="shared" si="23"/>
        <v/>
      </c>
      <c r="AH68" s="131" t="str">
        <f t="shared" si="24"/>
        <v/>
      </c>
      <c r="AI68" s="131" t="str">
        <f t="shared" si="25"/>
        <v/>
      </c>
      <c r="AJ68" s="390" t="str">
        <f t="shared" si="26"/>
        <v/>
      </c>
      <c r="AK68" s="389" t="str">
        <f t="shared" si="27"/>
        <v/>
      </c>
      <c r="AL68" s="131" t="str">
        <f t="shared" si="28"/>
        <v/>
      </c>
      <c r="AM68" s="131" t="str">
        <f t="shared" si="29"/>
        <v/>
      </c>
      <c r="AN68" s="131" t="str">
        <f t="shared" si="30"/>
        <v/>
      </c>
      <c r="AO68" s="131" t="str">
        <f t="shared" si="31"/>
        <v/>
      </c>
      <c r="AP68" s="26" t="str">
        <f t="shared" si="32"/>
        <v>60+</v>
      </c>
      <c r="AQ68" s="26" t="str">
        <f t="shared" si="33"/>
        <v>Up to 250k</v>
      </c>
      <c r="AR68" s="26" t="str">
        <f>IF($T68=1,IF($AI68&lt;0,"Loss-making",IF($AJ68&lt;Assumptions!$C$16-0.00001,"Below target","At/above target")),"Excluded")</f>
        <v>Excluded</v>
      </c>
      <c r="AS68" s="103">
        <f t="shared" si="34"/>
        <v>9.9999999999999997E+98</v>
      </c>
      <c r="AT68" s="26"/>
      <c r="AU68" s="419">
        <f>IF(AND($T68=1,AU$5&lt;=$H68),INDEX(Mortality!$B$4:$E$64,MATCH($D68+AU$5-1,Mortality!$A$4:$A$64,0),$U68)*$V68*$N68,0)</f>
        <v>0</v>
      </c>
      <c r="AV68" s="93">
        <f>IF(AND($T68=1,AV$5&lt;=$H68),INDEX(Mortality!$B$4:$E$64,MATCH($D68+AV$5-1,Mortality!$A$4:$A$64,0),$U68)*$V68*$N68,0)</f>
        <v>0</v>
      </c>
      <c r="AW68" s="93">
        <f>IF(AND($T68=1,AW$5&lt;=$H68),INDEX(Mortality!$B$4:$E$64,MATCH($D68+AW$5-1,Mortality!$A$4:$A$64,0),$U68)*$V68*$N68,0)</f>
        <v>0</v>
      </c>
      <c r="AX68" s="93">
        <f>IF(AND($T68=1,AX$5&lt;=$H68),INDEX(Mortality!$B$4:$E$64,MATCH($D68+AX$5-1,Mortality!$A$4:$A$64,0),$U68)*$V68*$N68,0)</f>
        <v>0</v>
      </c>
      <c r="AY68" s="93">
        <f>IF(AND($T68=1,AY$5&lt;=$H68),INDEX(Mortality!$B$4:$E$64,MATCH($D68+AY$5-1,Mortality!$A$4:$A$64,0),$U68)*$V68*$N68,0)</f>
        <v>0</v>
      </c>
      <c r="AZ68" s="93">
        <f>IF(AND($T68=1,AZ$5&lt;=$H68),INDEX(Mortality!$B$4:$E$64,MATCH($D68+AZ$5-1,Mortality!$A$4:$A$64,0),$U68)*$V68*$N68,0)</f>
        <v>0</v>
      </c>
      <c r="BA68" s="93">
        <f>IF(AND($T68=1,BA$5&lt;=$H68),INDEX(Mortality!$B$4:$E$64,MATCH($D68+BA$5-1,Mortality!$A$4:$A$64,0),$U68)*$V68*$N68,0)</f>
        <v>0</v>
      </c>
      <c r="BB68" s="93">
        <f>IF(AND($T68=1,BB$5&lt;=$H68),INDEX(Mortality!$B$4:$E$64,MATCH($D68+BB$5-1,Mortality!$A$4:$A$64,0),$U68)*$V68*$N68,0)</f>
        <v>0</v>
      </c>
      <c r="BC68" s="93">
        <f>IF(AND($T68=1,BC$5&lt;=$H68),INDEX(Mortality!$B$4:$E$64,MATCH($D68+BC$5-1,Mortality!$A$4:$A$64,0),$U68)*$V68*$N68,0)</f>
        <v>0</v>
      </c>
      <c r="BD68" s="93">
        <f>IF(AND($T68=1,BD$5&lt;=$H68),INDEX(Mortality!$B$4:$E$64,MATCH($D68+BD$5-1,Mortality!$A$4:$A$64,0),$U68)*$V68*$N68,0)</f>
        <v>0</v>
      </c>
      <c r="BE68" s="93">
        <f>IF(AND($T68=1,BE$5&lt;=$H68),INDEX(Mortality!$B$4:$E$64,MATCH($D68+BE$5-1,Mortality!$A$4:$A$64,0),$U68)*$V68*$N68,0)</f>
        <v>0</v>
      </c>
      <c r="BF68" s="93">
        <f>IF(AND($T68=1,BF$5&lt;=$H68),INDEX(Mortality!$B$4:$E$64,MATCH($D68+BF$5-1,Mortality!$A$4:$A$64,0),$U68)*$V68*$N68,0)</f>
        <v>0</v>
      </c>
      <c r="BG68" s="93">
        <f>IF(AND($T68=1,BG$5&lt;=$H68),INDEX(Mortality!$B$4:$E$64,MATCH($D68+BG$5-1,Mortality!$A$4:$A$64,0),$U68)*$V68*$N68,0)</f>
        <v>0</v>
      </c>
      <c r="BH68" s="93">
        <f>IF(AND($T68=1,BH$5&lt;=$H68),INDEX(Mortality!$B$4:$E$64,MATCH($D68+BH$5-1,Mortality!$A$4:$A$64,0),$U68)*$V68*$N68,0)</f>
        <v>0</v>
      </c>
      <c r="BI68" s="93">
        <f>IF(AND($T68=1,BI$5&lt;=$H68),INDEX(Mortality!$B$4:$E$64,MATCH($D68+BI$5-1,Mortality!$A$4:$A$64,0),$U68)*$V68*$N68,0)</f>
        <v>0</v>
      </c>
      <c r="BJ68" s="93">
        <f>IF(AND($T68=1,BJ$5&lt;=$H68),INDEX(Mortality!$B$4:$E$64,MATCH($D68+BJ$5-1,Mortality!$A$4:$A$64,0),$U68)*$V68*$N68,0)</f>
        <v>0</v>
      </c>
      <c r="BK68" s="93">
        <f>IF(AND($T68=1,BK$5&lt;=$H68),INDEX(Mortality!$B$4:$E$64,MATCH($D68+BK$5-1,Mortality!$A$4:$A$64,0),$U68)*$V68*$N68,0)</f>
        <v>0</v>
      </c>
      <c r="BL68" s="93">
        <f>IF(AND($T68=1,BL$5&lt;=$H68),INDEX(Mortality!$B$4:$E$64,MATCH($D68+BL$5-1,Mortality!$A$4:$A$64,0),$U68)*$V68*$N68,0)</f>
        <v>0</v>
      </c>
      <c r="BM68" s="93">
        <f>IF(AND($T68=1,BM$5&lt;=$H68),INDEX(Mortality!$B$4:$E$64,MATCH($D68+BM$5-1,Mortality!$A$4:$A$64,0),$U68)*$V68*$N68,0)</f>
        <v>0</v>
      </c>
      <c r="BN68" s="93">
        <f>IF(AND($T68=1,BN$5&lt;=$H68),INDEX(Mortality!$B$4:$E$64,MATCH($D68+BN$5-1,Mortality!$A$4:$A$64,0),$U68)*$V68*$N68,0)</f>
        <v>0</v>
      </c>
      <c r="BO68" s="93">
        <f>IF(AND($T68=1,BO$5&lt;=$H68),INDEX(Mortality!$B$4:$E$64,MATCH($D68+BO$5-1,Mortality!$A$4:$A$64,0),$U68)*$V68*$N68,0)</f>
        <v>0</v>
      </c>
      <c r="BP68" s="93">
        <f>IF(AND($T68=1,BP$5&lt;=$H68),INDEX(Mortality!$B$4:$E$64,MATCH($D68+BP$5-1,Mortality!$A$4:$A$64,0),$U68)*$V68*$N68,0)</f>
        <v>0</v>
      </c>
      <c r="BQ68" s="93">
        <f>IF(AND($T68=1,BQ$5&lt;=$H68),INDEX(Mortality!$B$4:$E$64,MATCH($D68+BQ$5-1,Mortality!$A$4:$A$64,0),$U68)*$V68*$N68,0)</f>
        <v>0</v>
      </c>
      <c r="BR68" s="93">
        <f>IF(AND($T68=1,BR$5&lt;=$H68),INDEX(Mortality!$B$4:$E$64,MATCH($D68+BR$5-1,Mortality!$A$4:$A$64,0),$U68)*$V68*$N68,0)</f>
        <v>0</v>
      </c>
      <c r="BS68" s="93">
        <f>IF(AND($T68=1,BS$5&lt;=$H68),INDEX(Mortality!$B$4:$E$64,MATCH($D68+BS$5-1,Mortality!$A$4:$A$64,0),$U68)*$V68*$N68,0)</f>
        <v>0</v>
      </c>
      <c r="BT68" s="93">
        <f>IF(AND($T68=1,BT$5&lt;=$H68),INDEX(Mortality!$B$4:$E$64,MATCH($D68+BT$5-1,Mortality!$A$4:$A$64,0),$U68)*$V68*$N68,0)</f>
        <v>0</v>
      </c>
      <c r="BU68" s="93">
        <f>IF(AND($T68=1,BU$5&lt;=$H68),INDEX(Mortality!$B$4:$E$64,MATCH($D68+BU$5-1,Mortality!$A$4:$A$64,0),$U68)*$V68*$N68,0)</f>
        <v>0</v>
      </c>
      <c r="BV68" s="93">
        <f>IF(AND($T68=1,BV$5&lt;=$H68),INDEX(Mortality!$B$4:$E$64,MATCH($D68+BV$5-1,Mortality!$A$4:$A$64,0),$U68)*$V68*$N68,0)</f>
        <v>0</v>
      </c>
      <c r="BW68" s="93">
        <f>IF(AND($T68=1,BW$5&lt;=$H68),INDEX(Mortality!$B$4:$E$64,MATCH($D68+BW$5-1,Mortality!$A$4:$A$64,0),$U68)*$V68*$N68,0)</f>
        <v>0</v>
      </c>
      <c r="BX68" s="93">
        <f>IF(AND($T68=1,BX$5&lt;=$H68),INDEX(Mortality!$B$4:$E$64,MATCH($D68+BX$5-1,Mortality!$A$4:$A$64,0),$U68)*$V68*$N68,0)</f>
        <v>0</v>
      </c>
      <c r="BY68" s="93">
        <f>IF(AND($T68=1,BY$5&lt;=$H68),INDEX(Mortality!$B$4:$E$64,MATCH($D68+BY$5-1,Mortality!$A$4:$A$64,0),$U68)*$V68*$N68,0)</f>
        <v>0</v>
      </c>
      <c r="BZ68" s="93">
        <f>IF(AND($T68=1,BZ$5&lt;=$H68),INDEX(Mortality!$B$4:$E$64,MATCH($D68+BZ$5-1,Mortality!$A$4:$A$64,0),$U68)*$V68*$N68,0)</f>
        <v>0</v>
      </c>
      <c r="CA68" s="93">
        <f>IF(AND($T68=1,CA$5&lt;=$H68),INDEX(Mortality!$B$4:$E$64,MATCH($D68+CA$5-1,Mortality!$A$4:$A$64,0),$U68)*$V68*$N68,0)</f>
        <v>0</v>
      </c>
      <c r="CB68" s="93">
        <f>IF(AND($T68=1,CB$5&lt;=$H68),INDEX(Mortality!$B$4:$E$64,MATCH($D68+CB$5-1,Mortality!$A$4:$A$64,0),$U68)*$V68*$N68,0)</f>
        <v>0</v>
      </c>
      <c r="CC68" s="93">
        <f>IF(AND($T68=1,CC$5&lt;=$H68),INDEX(Mortality!$B$4:$E$64,MATCH($D68+CC$5-1,Mortality!$A$4:$A$64,0),$U68)*$V68*$N68,0)</f>
        <v>0</v>
      </c>
      <c r="CD68" s="93">
        <f>IF(AND($T68=1,CD$5&lt;=$H68),INDEX(Mortality!$B$4:$E$64,MATCH($D68+CD$5-1,Mortality!$A$4:$A$64,0),$U68)*$V68*$N68,0)</f>
        <v>0</v>
      </c>
      <c r="CE68" s="93">
        <f>IF(AND($T68=1,CE$5&lt;=$H68),INDEX(Mortality!$B$4:$E$64,MATCH($D68+CE$5-1,Mortality!$A$4:$A$64,0),$U68)*$V68*$N68,0)</f>
        <v>0</v>
      </c>
      <c r="CF68" s="93">
        <f>IF(AND($T68=1,CF$5&lt;=$H68),INDEX(Mortality!$B$4:$E$64,MATCH($D68+CF$5-1,Mortality!$A$4:$A$64,0),$U68)*$V68*$N68,0)</f>
        <v>0</v>
      </c>
      <c r="CG68" s="93">
        <f>IF(AND($T68=1,CG$5&lt;=$H68),INDEX(Mortality!$B$4:$E$64,MATCH($D68+CG$5-1,Mortality!$A$4:$A$64,0),$U68)*$V68*$N68,0)</f>
        <v>0</v>
      </c>
      <c r="CH68" s="94">
        <f>IF(AND($T68=1,CH$5&lt;=$H68),INDEX(Mortality!$B$4:$E$64,MATCH($D68+CH$5-1,Mortality!$A$4:$A$64,0),$U68)*$V68*$N68,0)</f>
        <v>0</v>
      </c>
      <c r="CI68" s="26"/>
      <c r="CJ68" s="419">
        <f t="shared" si="35"/>
        <v>0</v>
      </c>
      <c r="CK68" s="93">
        <f>IF(AND($T68=1,CK$5&lt;=$H68),CJ68*(1-AU68)*(1-MIN(1,MAX(Assumptions!$C$27,Assumptions!$C$13*Assumptions!$C$28^(CJ$5-1))*$O68)),0)</f>
        <v>0</v>
      </c>
      <c r="CL68" s="93">
        <f>IF(AND($T68=1,CL$5&lt;=$H68),CK68*(1-AV68)*(1-MIN(1,MAX(Assumptions!$C$27,Assumptions!$C$13*Assumptions!$C$28^(CK$5-1))*$O68)),0)</f>
        <v>0</v>
      </c>
      <c r="CM68" s="93">
        <f>IF(AND($T68=1,CM$5&lt;=$H68),CL68*(1-AW68)*(1-MIN(1,MAX(Assumptions!$C$27,Assumptions!$C$13*Assumptions!$C$28^(CL$5-1))*$O68)),0)</f>
        <v>0</v>
      </c>
      <c r="CN68" s="93">
        <f>IF(AND($T68=1,CN$5&lt;=$H68),CM68*(1-AX68)*(1-MIN(1,MAX(Assumptions!$C$27,Assumptions!$C$13*Assumptions!$C$28^(CM$5-1))*$O68)),0)</f>
        <v>0</v>
      </c>
      <c r="CO68" s="93">
        <f>IF(AND($T68=1,CO$5&lt;=$H68),CN68*(1-AY68)*(1-MIN(1,MAX(Assumptions!$C$27,Assumptions!$C$13*Assumptions!$C$28^(CN$5-1))*$O68)),0)</f>
        <v>0</v>
      </c>
      <c r="CP68" s="93">
        <f>IF(AND($T68=1,CP$5&lt;=$H68),CO68*(1-AZ68)*(1-MIN(1,MAX(Assumptions!$C$27,Assumptions!$C$13*Assumptions!$C$28^(CO$5-1))*$O68)),0)</f>
        <v>0</v>
      </c>
      <c r="CQ68" s="93">
        <f>IF(AND($T68=1,CQ$5&lt;=$H68),CP68*(1-BA68)*(1-MIN(1,MAX(Assumptions!$C$27,Assumptions!$C$13*Assumptions!$C$28^(CP$5-1))*$O68)),0)</f>
        <v>0</v>
      </c>
      <c r="CR68" s="93">
        <f>IF(AND($T68=1,CR$5&lt;=$H68),CQ68*(1-BB68)*(1-MIN(1,MAX(Assumptions!$C$27,Assumptions!$C$13*Assumptions!$C$28^(CQ$5-1))*$O68)),0)</f>
        <v>0</v>
      </c>
      <c r="CS68" s="93">
        <f>IF(AND($T68=1,CS$5&lt;=$H68),CR68*(1-BC68)*(1-MIN(1,MAX(Assumptions!$C$27,Assumptions!$C$13*Assumptions!$C$28^(CR$5-1))*$O68)),0)</f>
        <v>0</v>
      </c>
      <c r="CT68" s="93">
        <f>IF(AND($T68=1,CT$5&lt;=$H68),CS68*(1-BD68)*(1-MIN(1,MAX(Assumptions!$C$27,Assumptions!$C$13*Assumptions!$C$28^(CS$5-1))*$O68)),0)</f>
        <v>0</v>
      </c>
      <c r="CU68" s="93">
        <f>IF(AND($T68=1,CU$5&lt;=$H68),CT68*(1-BE68)*(1-MIN(1,MAX(Assumptions!$C$27,Assumptions!$C$13*Assumptions!$C$28^(CT$5-1))*$O68)),0)</f>
        <v>0</v>
      </c>
      <c r="CV68" s="93">
        <f>IF(AND($T68=1,CV$5&lt;=$H68),CU68*(1-BF68)*(1-MIN(1,MAX(Assumptions!$C$27,Assumptions!$C$13*Assumptions!$C$28^(CU$5-1))*$O68)),0)</f>
        <v>0</v>
      </c>
      <c r="CW68" s="93">
        <f>IF(AND($T68=1,CW$5&lt;=$H68),CV68*(1-BG68)*(1-MIN(1,MAX(Assumptions!$C$27,Assumptions!$C$13*Assumptions!$C$28^(CV$5-1))*$O68)),0)</f>
        <v>0</v>
      </c>
      <c r="CX68" s="93">
        <f>IF(AND($T68=1,CX$5&lt;=$H68),CW68*(1-BH68)*(1-MIN(1,MAX(Assumptions!$C$27,Assumptions!$C$13*Assumptions!$C$28^(CW$5-1))*$O68)),0)</f>
        <v>0</v>
      </c>
      <c r="CY68" s="93">
        <f>IF(AND($T68=1,CY$5&lt;=$H68),CX68*(1-BI68)*(1-MIN(1,MAX(Assumptions!$C$27,Assumptions!$C$13*Assumptions!$C$28^(CX$5-1))*$O68)),0)</f>
        <v>0</v>
      </c>
      <c r="CZ68" s="93">
        <f>IF(AND($T68=1,CZ$5&lt;=$H68),CY68*(1-BJ68)*(1-MIN(1,MAX(Assumptions!$C$27,Assumptions!$C$13*Assumptions!$C$28^(CY$5-1))*$O68)),0)</f>
        <v>0</v>
      </c>
      <c r="DA68" s="93">
        <f>IF(AND($T68=1,DA$5&lt;=$H68),CZ68*(1-BK68)*(1-MIN(1,MAX(Assumptions!$C$27,Assumptions!$C$13*Assumptions!$C$28^(CZ$5-1))*$O68)),0)</f>
        <v>0</v>
      </c>
      <c r="DB68" s="93">
        <f>IF(AND($T68=1,DB$5&lt;=$H68),DA68*(1-BL68)*(1-MIN(1,MAX(Assumptions!$C$27,Assumptions!$C$13*Assumptions!$C$28^(DA$5-1))*$O68)),0)</f>
        <v>0</v>
      </c>
      <c r="DC68" s="93">
        <f>IF(AND($T68=1,DC$5&lt;=$H68),DB68*(1-BM68)*(1-MIN(1,MAX(Assumptions!$C$27,Assumptions!$C$13*Assumptions!$C$28^(DB$5-1))*$O68)),0)</f>
        <v>0</v>
      </c>
      <c r="DD68" s="93">
        <f>IF(AND($T68=1,DD$5&lt;=$H68),DC68*(1-BN68)*(1-MIN(1,MAX(Assumptions!$C$27,Assumptions!$C$13*Assumptions!$C$28^(DC$5-1))*$O68)),0)</f>
        <v>0</v>
      </c>
      <c r="DE68" s="93">
        <f>IF(AND($T68=1,DE$5&lt;=$H68),DD68*(1-BO68)*(1-MIN(1,MAX(Assumptions!$C$27,Assumptions!$C$13*Assumptions!$C$28^(DD$5-1))*$O68)),0)</f>
        <v>0</v>
      </c>
      <c r="DF68" s="93">
        <f>IF(AND($T68=1,DF$5&lt;=$H68),DE68*(1-BP68)*(1-MIN(1,MAX(Assumptions!$C$27,Assumptions!$C$13*Assumptions!$C$28^(DE$5-1))*$O68)),0)</f>
        <v>0</v>
      </c>
      <c r="DG68" s="93">
        <f>IF(AND($T68=1,DG$5&lt;=$H68),DF68*(1-BQ68)*(1-MIN(1,MAX(Assumptions!$C$27,Assumptions!$C$13*Assumptions!$C$28^(DF$5-1))*$O68)),0)</f>
        <v>0</v>
      </c>
      <c r="DH68" s="93">
        <f>IF(AND($T68=1,DH$5&lt;=$H68),DG68*(1-BR68)*(1-MIN(1,MAX(Assumptions!$C$27,Assumptions!$C$13*Assumptions!$C$28^(DG$5-1))*$O68)),0)</f>
        <v>0</v>
      </c>
      <c r="DI68" s="93">
        <f>IF(AND($T68=1,DI$5&lt;=$H68),DH68*(1-BS68)*(1-MIN(1,MAX(Assumptions!$C$27,Assumptions!$C$13*Assumptions!$C$28^(DH$5-1))*$O68)),0)</f>
        <v>0</v>
      </c>
      <c r="DJ68" s="93">
        <f>IF(AND($T68=1,DJ$5&lt;=$H68),DI68*(1-BT68)*(1-MIN(1,MAX(Assumptions!$C$27,Assumptions!$C$13*Assumptions!$C$28^(DI$5-1))*$O68)),0)</f>
        <v>0</v>
      </c>
      <c r="DK68" s="93">
        <f>IF(AND($T68=1,DK$5&lt;=$H68),DJ68*(1-BU68)*(1-MIN(1,MAX(Assumptions!$C$27,Assumptions!$C$13*Assumptions!$C$28^(DJ$5-1))*$O68)),0)</f>
        <v>0</v>
      </c>
      <c r="DL68" s="93">
        <f>IF(AND($T68=1,DL$5&lt;=$H68),DK68*(1-BV68)*(1-MIN(1,MAX(Assumptions!$C$27,Assumptions!$C$13*Assumptions!$C$28^(DK$5-1))*$O68)),0)</f>
        <v>0</v>
      </c>
      <c r="DM68" s="93">
        <f>IF(AND($T68=1,DM$5&lt;=$H68),DL68*(1-BW68)*(1-MIN(1,MAX(Assumptions!$C$27,Assumptions!$C$13*Assumptions!$C$28^(DL$5-1))*$O68)),0)</f>
        <v>0</v>
      </c>
      <c r="DN68" s="93">
        <f>IF(AND($T68=1,DN$5&lt;=$H68),DM68*(1-BX68)*(1-MIN(1,MAX(Assumptions!$C$27,Assumptions!$C$13*Assumptions!$C$28^(DM$5-1))*$O68)),0)</f>
        <v>0</v>
      </c>
      <c r="DO68" s="93">
        <f>IF(AND($T68=1,DO$5&lt;=$H68),DN68*(1-BY68)*(1-MIN(1,MAX(Assumptions!$C$27,Assumptions!$C$13*Assumptions!$C$28^(DN$5-1))*$O68)),0)</f>
        <v>0</v>
      </c>
      <c r="DP68" s="93">
        <f>IF(AND($T68=1,DP$5&lt;=$H68),DO68*(1-BZ68)*(1-MIN(1,MAX(Assumptions!$C$27,Assumptions!$C$13*Assumptions!$C$28^(DO$5-1))*$O68)),0)</f>
        <v>0</v>
      </c>
      <c r="DQ68" s="93">
        <f>IF(AND($T68=1,DQ$5&lt;=$H68),DP68*(1-CA68)*(1-MIN(1,MAX(Assumptions!$C$27,Assumptions!$C$13*Assumptions!$C$28^(DP$5-1))*$O68)),0)</f>
        <v>0</v>
      </c>
      <c r="DR68" s="93">
        <f>IF(AND($T68=1,DR$5&lt;=$H68),DQ68*(1-CB68)*(1-MIN(1,MAX(Assumptions!$C$27,Assumptions!$C$13*Assumptions!$C$28^(DQ$5-1))*$O68)),0)</f>
        <v>0</v>
      </c>
      <c r="DS68" s="93">
        <f>IF(AND($T68=1,DS$5&lt;=$H68),DR68*(1-CC68)*(1-MIN(1,MAX(Assumptions!$C$27,Assumptions!$C$13*Assumptions!$C$28^(DR$5-1))*$O68)),0)</f>
        <v>0</v>
      </c>
      <c r="DT68" s="93">
        <f>IF(AND($T68=1,DT$5&lt;=$H68),DS68*(1-CD68)*(1-MIN(1,MAX(Assumptions!$C$27,Assumptions!$C$13*Assumptions!$C$28^(DS$5-1))*$O68)),0)</f>
        <v>0</v>
      </c>
      <c r="DU68" s="93">
        <f>IF(AND($T68=1,DU$5&lt;=$H68),DT68*(1-CE68)*(1-MIN(1,MAX(Assumptions!$C$27,Assumptions!$C$13*Assumptions!$C$28^(DT$5-1))*$O68)),0)</f>
        <v>0</v>
      </c>
      <c r="DV68" s="93">
        <f>IF(AND($T68=1,DV$5&lt;=$H68),DU68*(1-CF68)*(1-MIN(1,MAX(Assumptions!$C$27,Assumptions!$C$13*Assumptions!$C$28^(DU$5-1))*$O68)),0)</f>
        <v>0</v>
      </c>
      <c r="DW68" s="94">
        <f>IF(AND($T68=1,DW$5&lt;=$H68),DV68*(1-CG68)*(1-MIN(1,MAX(Assumptions!$C$27,Assumptions!$C$13*Assumptions!$C$28^(DV$5-1))*$O68)),0)</f>
        <v>0</v>
      </c>
      <c r="DX68" s="26"/>
      <c r="DY68" s="399">
        <f>'Policy Data'!K42</f>
        <v>1</v>
      </c>
      <c r="DZ68" s="100">
        <f>'Policy Data'!L42</f>
        <v>0.52049999999999996</v>
      </c>
      <c r="EA68" s="100">
        <f>'Policy Data'!N42</f>
        <v>5.7489999999999998E-3</v>
      </c>
      <c r="EB68" s="93" cm="1">
        <f t="array" ref="EB68">IFERROR(DZ68*INDEX(Mortality!$B$4:$E$64,MATCH(D68+DY68-1,Mortality!$A$4:$A$64,0),U68)*V68,0)</f>
        <v>5.7492197108659909E-3</v>
      </c>
      <c r="EC68" s="100">
        <f>'Policy Data'!O42</f>
        <v>0</v>
      </c>
      <c r="ED68" s="400">
        <f>'Policy Data'!Q42</f>
        <v>0</v>
      </c>
    </row>
    <row r="69" spans="1:134" x14ac:dyDescent="0.3">
      <c r="A69" s="399" t="str">
        <f>'Policy Data'!A43</f>
        <v>POL100039</v>
      </c>
      <c r="B69" s="26" t="s">
        <v>426</v>
      </c>
      <c r="C69" s="100" t="str">
        <f>'Policy Data'!B43</f>
        <v>Unit-Linked</v>
      </c>
      <c r="D69" s="100">
        <f>'Policy Data'!C43</f>
        <v>50</v>
      </c>
      <c r="E69" s="100" t="str">
        <f>'Policy Data'!D43</f>
        <v>Male</v>
      </c>
      <c r="F69" s="100" t="str">
        <f>'Policy Data'!E43</f>
        <v>Non-smoker</v>
      </c>
      <c r="G69" s="100" t="str">
        <f>'Policy Data'!F43</f>
        <v>Standard</v>
      </c>
      <c r="H69" s="100">
        <f>'Policy Data'!G43</f>
        <v>15</v>
      </c>
      <c r="I69" s="279">
        <f>'Policy Data'!H43</f>
        <v>1000000</v>
      </c>
      <c r="J69" s="100" t="str">
        <f>'Policy Data'!I43</f>
        <v>Annual</v>
      </c>
      <c r="K69" s="100" t="str">
        <f>'Policy Data'!J43</f>
        <v>Broker</v>
      </c>
      <c r="L69" s="26" t="s">
        <v>389</v>
      </c>
      <c r="M69" s="106">
        <f>'Policy Data'!R43</f>
        <v>13912.8</v>
      </c>
      <c r="N69" s="415">
        <f>Assumptions!$C$21</f>
        <v>1</v>
      </c>
      <c r="O69" s="415">
        <f>Assumptions!$C$22</f>
        <v>1</v>
      </c>
      <c r="P69" s="415">
        <f>Assumptions!$C$23</f>
        <v>1</v>
      </c>
      <c r="Q69" s="416">
        <f>Assumptions!$C$24</f>
        <v>0</v>
      </c>
      <c r="R69" s="416">
        <f>Assumptions!$C$6+Assumptions!$C$25</f>
        <v>3.5000000000000003E-2</v>
      </c>
      <c r="S69" s="416">
        <f>Assumptions!$C$15</f>
        <v>1.1000000000000001E-3</v>
      </c>
      <c r="T69" s="26">
        <f t="shared" si="18"/>
        <v>0</v>
      </c>
      <c r="U69" s="26">
        <f t="shared" si="19"/>
        <v>3</v>
      </c>
      <c r="V69" s="389">
        <f>IF($G69="Preferred",Assumptions!$C$30,IF($G69="Rated",Assumptions!$C$31,1))</f>
        <v>1</v>
      </c>
      <c r="W69" s="390">
        <f>IF($K69="Direct",Assumptions!$C$32,IF($K69="Broker",Assumptions!$C$33,IF($K69="Bancassurance",Assumptions!$C$34,Assumptions!$C$11)))+$Q69</f>
        <v>0.25</v>
      </c>
      <c r="X69" s="390">
        <f>Assumptions!$C$12+$Q69</f>
        <v>0.05</v>
      </c>
      <c r="Y69" s="131">
        <f>MIN($I69,Assumptions!$C$14)</f>
        <v>500000</v>
      </c>
      <c r="Z69" s="131">
        <f>MAX($I69-Assumptions!$C$14,0)</f>
        <v>500000</v>
      </c>
      <c r="AA69" s="389">
        <f t="shared" si="20"/>
        <v>0</v>
      </c>
      <c r="AB69" s="389">
        <f t="shared" si="21"/>
        <v>0</v>
      </c>
      <c r="AC69" s="389">
        <f>IF($T69=1,SUMPRODUCT($CJ69:$DW69,(1+Assumptions!$C$5)^($CJ$5:$DW$5-1),(1+$R69)^(-$CJ$5:$DW$5)),0)</f>
        <v>0</v>
      </c>
      <c r="AD69" s="389">
        <f t="shared" si="22"/>
        <v>0</v>
      </c>
      <c r="AE69" s="131">
        <f>IF($T69=1,$AB69*$Y69+(Assumptions!$C$9/(1+$R69)+Assumptions!$C$10*$AC69)*$P69+$S69*$Z69*$AA69,0)</f>
        <v>0</v>
      </c>
      <c r="AF69" s="131" t="str">
        <f>IF($T69=1,IF($AA69-$AD69-Assumptions!$C$16*$AA69&gt;0,$AE69/($AA69-$AD69-Assumptions!$C$16*$AA69)*IF($J69="Monthly",1+Assumptions!$C$29,1),"n.a."),"")</f>
        <v/>
      </c>
      <c r="AG69" s="131" t="str">
        <f t="shared" si="23"/>
        <v/>
      </c>
      <c r="AH69" s="131" t="str">
        <f t="shared" si="24"/>
        <v/>
      </c>
      <c r="AI69" s="131" t="str">
        <f t="shared" si="25"/>
        <v/>
      </c>
      <c r="AJ69" s="390" t="str">
        <f t="shared" si="26"/>
        <v/>
      </c>
      <c r="AK69" s="389" t="str">
        <f t="shared" si="27"/>
        <v/>
      </c>
      <c r="AL69" s="131" t="str">
        <f t="shared" si="28"/>
        <v/>
      </c>
      <c r="AM69" s="131" t="str">
        <f t="shared" si="29"/>
        <v/>
      </c>
      <c r="AN69" s="131" t="str">
        <f t="shared" si="30"/>
        <v/>
      </c>
      <c r="AO69" s="131" t="str">
        <f t="shared" si="31"/>
        <v/>
      </c>
      <c r="AP69" s="26" t="str">
        <f t="shared" si="32"/>
        <v>50-59</v>
      </c>
      <c r="AQ69" s="26" t="str">
        <f t="shared" si="33"/>
        <v>500k-1m</v>
      </c>
      <c r="AR69" s="26" t="str">
        <f>IF($T69=1,IF($AI69&lt;0,"Loss-making",IF($AJ69&lt;Assumptions!$C$16-0.00001,"Below target","At/above target")),"Excluded")</f>
        <v>Excluded</v>
      </c>
      <c r="AS69" s="103">
        <f t="shared" si="34"/>
        <v>9.9999999999999997E+98</v>
      </c>
      <c r="AT69" s="26"/>
      <c r="AU69" s="419">
        <f>IF(AND($T69=1,AU$5&lt;=$H69),INDEX(Mortality!$B$4:$E$64,MATCH($D69+AU$5-1,Mortality!$A$4:$A$64,0),$U69)*$V69*$N69,0)</f>
        <v>0</v>
      </c>
      <c r="AV69" s="93">
        <f>IF(AND($T69=1,AV$5&lt;=$H69),INDEX(Mortality!$B$4:$E$64,MATCH($D69+AV$5-1,Mortality!$A$4:$A$64,0),$U69)*$V69*$N69,0)</f>
        <v>0</v>
      </c>
      <c r="AW69" s="93">
        <f>IF(AND($T69=1,AW$5&lt;=$H69),INDEX(Mortality!$B$4:$E$64,MATCH($D69+AW$5-1,Mortality!$A$4:$A$64,0),$U69)*$V69*$N69,0)</f>
        <v>0</v>
      </c>
      <c r="AX69" s="93">
        <f>IF(AND($T69=1,AX$5&lt;=$H69),INDEX(Mortality!$B$4:$E$64,MATCH($D69+AX$5-1,Mortality!$A$4:$A$64,0),$U69)*$V69*$N69,0)</f>
        <v>0</v>
      </c>
      <c r="AY69" s="93">
        <f>IF(AND($T69=1,AY$5&lt;=$H69),INDEX(Mortality!$B$4:$E$64,MATCH($D69+AY$5-1,Mortality!$A$4:$A$64,0),$U69)*$V69*$N69,0)</f>
        <v>0</v>
      </c>
      <c r="AZ69" s="93">
        <f>IF(AND($T69=1,AZ$5&lt;=$H69),INDEX(Mortality!$B$4:$E$64,MATCH($D69+AZ$5-1,Mortality!$A$4:$A$64,0),$U69)*$V69*$N69,0)</f>
        <v>0</v>
      </c>
      <c r="BA69" s="93">
        <f>IF(AND($T69=1,BA$5&lt;=$H69),INDEX(Mortality!$B$4:$E$64,MATCH($D69+BA$5-1,Mortality!$A$4:$A$64,0),$U69)*$V69*$N69,0)</f>
        <v>0</v>
      </c>
      <c r="BB69" s="93">
        <f>IF(AND($T69=1,BB$5&lt;=$H69),INDEX(Mortality!$B$4:$E$64,MATCH($D69+BB$5-1,Mortality!$A$4:$A$64,0),$U69)*$V69*$N69,0)</f>
        <v>0</v>
      </c>
      <c r="BC69" s="93">
        <f>IF(AND($T69=1,BC$5&lt;=$H69),INDEX(Mortality!$B$4:$E$64,MATCH($D69+BC$5-1,Mortality!$A$4:$A$64,0),$U69)*$V69*$N69,0)</f>
        <v>0</v>
      </c>
      <c r="BD69" s="93">
        <f>IF(AND($T69=1,BD$5&lt;=$H69),INDEX(Mortality!$B$4:$E$64,MATCH($D69+BD$5-1,Mortality!$A$4:$A$64,0),$U69)*$V69*$N69,0)</f>
        <v>0</v>
      </c>
      <c r="BE69" s="93">
        <f>IF(AND($T69=1,BE$5&lt;=$H69),INDEX(Mortality!$B$4:$E$64,MATCH($D69+BE$5-1,Mortality!$A$4:$A$64,0),$U69)*$V69*$N69,0)</f>
        <v>0</v>
      </c>
      <c r="BF69" s="93">
        <f>IF(AND($T69=1,BF$5&lt;=$H69),INDEX(Mortality!$B$4:$E$64,MATCH($D69+BF$5-1,Mortality!$A$4:$A$64,0),$U69)*$V69*$N69,0)</f>
        <v>0</v>
      </c>
      <c r="BG69" s="93">
        <f>IF(AND($T69=1,BG$5&lt;=$H69),INDEX(Mortality!$B$4:$E$64,MATCH($D69+BG$5-1,Mortality!$A$4:$A$64,0),$U69)*$V69*$N69,0)</f>
        <v>0</v>
      </c>
      <c r="BH69" s="93">
        <f>IF(AND($T69=1,BH$5&lt;=$H69),INDEX(Mortality!$B$4:$E$64,MATCH($D69+BH$5-1,Mortality!$A$4:$A$64,0),$U69)*$V69*$N69,0)</f>
        <v>0</v>
      </c>
      <c r="BI69" s="93">
        <f>IF(AND($T69=1,BI$5&lt;=$H69),INDEX(Mortality!$B$4:$E$64,MATCH($D69+BI$5-1,Mortality!$A$4:$A$64,0),$U69)*$V69*$N69,0)</f>
        <v>0</v>
      </c>
      <c r="BJ69" s="93">
        <f>IF(AND($T69=1,BJ$5&lt;=$H69),INDEX(Mortality!$B$4:$E$64,MATCH($D69+BJ$5-1,Mortality!$A$4:$A$64,0),$U69)*$V69*$N69,0)</f>
        <v>0</v>
      </c>
      <c r="BK69" s="93">
        <f>IF(AND($T69=1,BK$5&lt;=$H69),INDEX(Mortality!$B$4:$E$64,MATCH($D69+BK$5-1,Mortality!$A$4:$A$64,0),$U69)*$V69*$N69,0)</f>
        <v>0</v>
      </c>
      <c r="BL69" s="93">
        <f>IF(AND($T69=1,BL$5&lt;=$H69),INDEX(Mortality!$B$4:$E$64,MATCH($D69+BL$5-1,Mortality!$A$4:$A$64,0),$U69)*$V69*$N69,0)</f>
        <v>0</v>
      </c>
      <c r="BM69" s="93">
        <f>IF(AND($T69=1,BM$5&lt;=$H69),INDEX(Mortality!$B$4:$E$64,MATCH($D69+BM$5-1,Mortality!$A$4:$A$64,0),$U69)*$V69*$N69,0)</f>
        <v>0</v>
      </c>
      <c r="BN69" s="93">
        <f>IF(AND($T69=1,BN$5&lt;=$H69),INDEX(Mortality!$B$4:$E$64,MATCH($D69+BN$5-1,Mortality!$A$4:$A$64,0),$U69)*$V69*$N69,0)</f>
        <v>0</v>
      </c>
      <c r="BO69" s="93">
        <f>IF(AND($T69=1,BO$5&lt;=$H69),INDEX(Mortality!$B$4:$E$64,MATCH($D69+BO$5-1,Mortality!$A$4:$A$64,0),$U69)*$V69*$N69,0)</f>
        <v>0</v>
      </c>
      <c r="BP69" s="93">
        <f>IF(AND($T69=1,BP$5&lt;=$H69),INDEX(Mortality!$B$4:$E$64,MATCH($D69+BP$5-1,Mortality!$A$4:$A$64,0),$U69)*$V69*$N69,0)</f>
        <v>0</v>
      </c>
      <c r="BQ69" s="93">
        <f>IF(AND($T69=1,BQ$5&lt;=$H69),INDEX(Mortality!$B$4:$E$64,MATCH($D69+BQ$5-1,Mortality!$A$4:$A$64,0),$U69)*$V69*$N69,0)</f>
        <v>0</v>
      </c>
      <c r="BR69" s="93">
        <f>IF(AND($T69=1,BR$5&lt;=$H69),INDEX(Mortality!$B$4:$E$64,MATCH($D69+BR$5-1,Mortality!$A$4:$A$64,0),$U69)*$V69*$N69,0)</f>
        <v>0</v>
      </c>
      <c r="BS69" s="93">
        <f>IF(AND($T69=1,BS$5&lt;=$H69),INDEX(Mortality!$B$4:$E$64,MATCH($D69+BS$5-1,Mortality!$A$4:$A$64,0),$U69)*$V69*$N69,0)</f>
        <v>0</v>
      </c>
      <c r="BT69" s="93">
        <f>IF(AND($T69=1,BT$5&lt;=$H69),INDEX(Mortality!$B$4:$E$64,MATCH($D69+BT$5-1,Mortality!$A$4:$A$64,0),$U69)*$V69*$N69,0)</f>
        <v>0</v>
      </c>
      <c r="BU69" s="93">
        <f>IF(AND($T69=1,BU$5&lt;=$H69),INDEX(Mortality!$B$4:$E$64,MATCH($D69+BU$5-1,Mortality!$A$4:$A$64,0),$U69)*$V69*$N69,0)</f>
        <v>0</v>
      </c>
      <c r="BV69" s="93">
        <f>IF(AND($T69=1,BV$5&lt;=$H69),INDEX(Mortality!$B$4:$E$64,MATCH($D69+BV$5-1,Mortality!$A$4:$A$64,0),$U69)*$V69*$N69,0)</f>
        <v>0</v>
      </c>
      <c r="BW69" s="93">
        <f>IF(AND($T69=1,BW$5&lt;=$H69),INDEX(Mortality!$B$4:$E$64,MATCH($D69+BW$5-1,Mortality!$A$4:$A$64,0),$U69)*$V69*$N69,0)</f>
        <v>0</v>
      </c>
      <c r="BX69" s="93">
        <f>IF(AND($T69=1,BX$5&lt;=$H69),INDEX(Mortality!$B$4:$E$64,MATCH($D69+BX$5-1,Mortality!$A$4:$A$64,0),$U69)*$V69*$N69,0)</f>
        <v>0</v>
      </c>
      <c r="BY69" s="93">
        <f>IF(AND($T69=1,BY$5&lt;=$H69),INDEX(Mortality!$B$4:$E$64,MATCH($D69+BY$5-1,Mortality!$A$4:$A$64,0),$U69)*$V69*$N69,0)</f>
        <v>0</v>
      </c>
      <c r="BZ69" s="93">
        <f>IF(AND($T69=1,BZ$5&lt;=$H69),INDEX(Mortality!$B$4:$E$64,MATCH($D69+BZ$5-1,Mortality!$A$4:$A$64,0),$U69)*$V69*$N69,0)</f>
        <v>0</v>
      </c>
      <c r="CA69" s="93">
        <f>IF(AND($T69=1,CA$5&lt;=$H69),INDEX(Mortality!$B$4:$E$64,MATCH($D69+CA$5-1,Mortality!$A$4:$A$64,0),$U69)*$V69*$N69,0)</f>
        <v>0</v>
      </c>
      <c r="CB69" s="93">
        <f>IF(AND($T69=1,CB$5&lt;=$H69),INDEX(Mortality!$B$4:$E$64,MATCH($D69+CB$5-1,Mortality!$A$4:$A$64,0),$U69)*$V69*$N69,0)</f>
        <v>0</v>
      </c>
      <c r="CC69" s="93">
        <f>IF(AND($T69=1,CC$5&lt;=$H69),INDEX(Mortality!$B$4:$E$64,MATCH($D69+CC$5-1,Mortality!$A$4:$A$64,0),$U69)*$V69*$N69,0)</f>
        <v>0</v>
      </c>
      <c r="CD69" s="93">
        <f>IF(AND($T69=1,CD$5&lt;=$H69),INDEX(Mortality!$B$4:$E$64,MATCH($D69+CD$5-1,Mortality!$A$4:$A$64,0),$U69)*$V69*$N69,0)</f>
        <v>0</v>
      </c>
      <c r="CE69" s="93">
        <f>IF(AND($T69=1,CE$5&lt;=$H69),INDEX(Mortality!$B$4:$E$64,MATCH($D69+CE$5-1,Mortality!$A$4:$A$64,0),$U69)*$V69*$N69,0)</f>
        <v>0</v>
      </c>
      <c r="CF69" s="93">
        <f>IF(AND($T69=1,CF$5&lt;=$H69),INDEX(Mortality!$B$4:$E$64,MATCH($D69+CF$5-1,Mortality!$A$4:$A$64,0),$U69)*$V69*$N69,0)</f>
        <v>0</v>
      </c>
      <c r="CG69" s="93">
        <f>IF(AND($T69=1,CG$5&lt;=$H69),INDEX(Mortality!$B$4:$E$64,MATCH($D69+CG$5-1,Mortality!$A$4:$A$64,0),$U69)*$V69*$N69,0)</f>
        <v>0</v>
      </c>
      <c r="CH69" s="94">
        <f>IF(AND($T69=1,CH$5&lt;=$H69),INDEX(Mortality!$B$4:$E$64,MATCH($D69+CH$5-1,Mortality!$A$4:$A$64,0),$U69)*$V69*$N69,0)</f>
        <v>0</v>
      </c>
      <c r="CI69" s="26"/>
      <c r="CJ69" s="419">
        <f t="shared" si="35"/>
        <v>0</v>
      </c>
      <c r="CK69" s="93">
        <f>IF(AND($T69=1,CK$5&lt;=$H69),CJ69*(1-AU69)*(1-MIN(1,MAX(Assumptions!$C$27,Assumptions!$C$13*Assumptions!$C$28^(CJ$5-1))*$O69)),0)</f>
        <v>0</v>
      </c>
      <c r="CL69" s="93">
        <f>IF(AND($T69=1,CL$5&lt;=$H69),CK69*(1-AV69)*(1-MIN(1,MAX(Assumptions!$C$27,Assumptions!$C$13*Assumptions!$C$28^(CK$5-1))*$O69)),0)</f>
        <v>0</v>
      </c>
      <c r="CM69" s="93">
        <f>IF(AND($T69=1,CM$5&lt;=$H69),CL69*(1-AW69)*(1-MIN(1,MAX(Assumptions!$C$27,Assumptions!$C$13*Assumptions!$C$28^(CL$5-1))*$O69)),0)</f>
        <v>0</v>
      </c>
      <c r="CN69" s="93">
        <f>IF(AND($T69=1,CN$5&lt;=$H69),CM69*(1-AX69)*(1-MIN(1,MAX(Assumptions!$C$27,Assumptions!$C$13*Assumptions!$C$28^(CM$5-1))*$O69)),0)</f>
        <v>0</v>
      </c>
      <c r="CO69" s="93">
        <f>IF(AND($T69=1,CO$5&lt;=$H69),CN69*(1-AY69)*(1-MIN(1,MAX(Assumptions!$C$27,Assumptions!$C$13*Assumptions!$C$28^(CN$5-1))*$O69)),0)</f>
        <v>0</v>
      </c>
      <c r="CP69" s="93">
        <f>IF(AND($T69=1,CP$5&lt;=$H69),CO69*(1-AZ69)*(1-MIN(1,MAX(Assumptions!$C$27,Assumptions!$C$13*Assumptions!$C$28^(CO$5-1))*$O69)),0)</f>
        <v>0</v>
      </c>
      <c r="CQ69" s="93">
        <f>IF(AND($T69=1,CQ$5&lt;=$H69),CP69*(1-BA69)*(1-MIN(1,MAX(Assumptions!$C$27,Assumptions!$C$13*Assumptions!$C$28^(CP$5-1))*$O69)),0)</f>
        <v>0</v>
      </c>
      <c r="CR69" s="93">
        <f>IF(AND($T69=1,CR$5&lt;=$H69),CQ69*(1-BB69)*(1-MIN(1,MAX(Assumptions!$C$27,Assumptions!$C$13*Assumptions!$C$28^(CQ$5-1))*$O69)),0)</f>
        <v>0</v>
      </c>
      <c r="CS69" s="93">
        <f>IF(AND($T69=1,CS$5&lt;=$H69),CR69*(1-BC69)*(1-MIN(1,MAX(Assumptions!$C$27,Assumptions!$C$13*Assumptions!$C$28^(CR$5-1))*$O69)),0)</f>
        <v>0</v>
      </c>
      <c r="CT69" s="93">
        <f>IF(AND($T69=1,CT$5&lt;=$H69),CS69*(1-BD69)*(1-MIN(1,MAX(Assumptions!$C$27,Assumptions!$C$13*Assumptions!$C$28^(CS$5-1))*$O69)),0)</f>
        <v>0</v>
      </c>
      <c r="CU69" s="93">
        <f>IF(AND($T69=1,CU$5&lt;=$H69),CT69*(1-BE69)*(1-MIN(1,MAX(Assumptions!$C$27,Assumptions!$C$13*Assumptions!$C$28^(CT$5-1))*$O69)),0)</f>
        <v>0</v>
      </c>
      <c r="CV69" s="93">
        <f>IF(AND($T69=1,CV$5&lt;=$H69),CU69*(1-BF69)*(1-MIN(1,MAX(Assumptions!$C$27,Assumptions!$C$13*Assumptions!$C$28^(CU$5-1))*$O69)),0)</f>
        <v>0</v>
      </c>
      <c r="CW69" s="93">
        <f>IF(AND($T69=1,CW$5&lt;=$H69),CV69*(1-BG69)*(1-MIN(1,MAX(Assumptions!$C$27,Assumptions!$C$13*Assumptions!$C$28^(CV$5-1))*$O69)),0)</f>
        <v>0</v>
      </c>
      <c r="CX69" s="93">
        <f>IF(AND($T69=1,CX$5&lt;=$H69),CW69*(1-BH69)*(1-MIN(1,MAX(Assumptions!$C$27,Assumptions!$C$13*Assumptions!$C$28^(CW$5-1))*$O69)),0)</f>
        <v>0</v>
      </c>
      <c r="CY69" s="93">
        <f>IF(AND($T69=1,CY$5&lt;=$H69),CX69*(1-BI69)*(1-MIN(1,MAX(Assumptions!$C$27,Assumptions!$C$13*Assumptions!$C$28^(CX$5-1))*$O69)),0)</f>
        <v>0</v>
      </c>
      <c r="CZ69" s="93">
        <f>IF(AND($T69=1,CZ$5&lt;=$H69),CY69*(1-BJ69)*(1-MIN(1,MAX(Assumptions!$C$27,Assumptions!$C$13*Assumptions!$C$28^(CY$5-1))*$O69)),0)</f>
        <v>0</v>
      </c>
      <c r="DA69" s="93">
        <f>IF(AND($T69=1,DA$5&lt;=$H69),CZ69*(1-BK69)*(1-MIN(1,MAX(Assumptions!$C$27,Assumptions!$C$13*Assumptions!$C$28^(CZ$5-1))*$O69)),0)</f>
        <v>0</v>
      </c>
      <c r="DB69" s="93">
        <f>IF(AND($T69=1,DB$5&lt;=$H69),DA69*(1-BL69)*(1-MIN(1,MAX(Assumptions!$C$27,Assumptions!$C$13*Assumptions!$C$28^(DA$5-1))*$O69)),0)</f>
        <v>0</v>
      </c>
      <c r="DC69" s="93">
        <f>IF(AND($T69=1,DC$5&lt;=$H69),DB69*(1-BM69)*(1-MIN(1,MAX(Assumptions!$C$27,Assumptions!$C$13*Assumptions!$C$28^(DB$5-1))*$O69)),0)</f>
        <v>0</v>
      </c>
      <c r="DD69" s="93">
        <f>IF(AND($T69=1,DD$5&lt;=$H69),DC69*(1-BN69)*(1-MIN(1,MAX(Assumptions!$C$27,Assumptions!$C$13*Assumptions!$C$28^(DC$5-1))*$O69)),0)</f>
        <v>0</v>
      </c>
      <c r="DE69" s="93">
        <f>IF(AND($T69=1,DE$5&lt;=$H69),DD69*(1-BO69)*(1-MIN(1,MAX(Assumptions!$C$27,Assumptions!$C$13*Assumptions!$C$28^(DD$5-1))*$O69)),0)</f>
        <v>0</v>
      </c>
      <c r="DF69" s="93">
        <f>IF(AND($T69=1,DF$5&lt;=$H69),DE69*(1-BP69)*(1-MIN(1,MAX(Assumptions!$C$27,Assumptions!$C$13*Assumptions!$C$28^(DE$5-1))*$O69)),0)</f>
        <v>0</v>
      </c>
      <c r="DG69" s="93">
        <f>IF(AND($T69=1,DG$5&lt;=$H69),DF69*(1-BQ69)*(1-MIN(1,MAX(Assumptions!$C$27,Assumptions!$C$13*Assumptions!$C$28^(DF$5-1))*$O69)),0)</f>
        <v>0</v>
      </c>
      <c r="DH69" s="93">
        <f>IF(AND($T69=1,DH$5&lt;=$H69),DG69*(1-BR69)*(1-MIN(1,MAX(Assumptions!$C$27,Assumptions!$C$13*Assumptions!$C$28^(DG$5-1))*$O69)),0)</f>
        <v>0</v>
      </c>
      <c r="DI69" s="93">
        <f>IF(AND($T69=1,DI$5&lt;=$H69),DH69*(1-BS69)*(1-MIN(1,MAX(Assumptions!$C$27,Assumptions!$C$13*Assumptions!$C$28^(DH$5-1))*$O69)),0)</f>
        <v>0</v>
      </c>
      <c r="DJ69" s="93">
        <f>IF(AND($T69=1,DJ$5&lt;=$H69),DI69*(1-BT69)*(1-MIN(1,MAX(Assumptions!$C$27,Assumptions!$C$13*Assumptions!$C$28^(DI$5-1))*$O69)),0)</f>
        <v>0</v>
      </c>
      <c r="DK69" s="93">
        <f>IF(AND($T69=1,DK$5&lt;=$H69),DJ69*(1-BU69)*(1-MIN(1,MAX(Assumptions!$C$27,Assumptions!$C$13*Assumptions!$C$28^(DJ$5-1))*$O69)),0)</f>
        <v>0</v>
      </c>
      <c r="DL69" s="93">
        <f>IF(AND($T69=1,DL$5&lt;=$H69),DK69*(1-BV69)*(1-MIN(1,MAX(Assumptions!$C$27,Assumptions!$C$13*Assumptions!$C$28^(DK$5-1))*$O69)),0)</f>
        <v>0</v>
      </c>
      <c r="DM69" s="93">
        <f>IF(AND($T69=1,DM$5&lt;=$H69),DL69*(1-BW69)*(1-MIN(1,MAX(Assumptions!$C$27,Assumptions!$C$13*Assumptions!$C$28^(DL$5-1))*$O69)),0)</f>
        <v>0</v>
      </c>
      <c r="DN69" s="93">
        <f>IF(AND($T69=1,DN$5&lt;=$H69),DM69*(1-BX69)*(1-MIN(1,MAX(Assumptions!$C$27,Assumptions!$C$13*Assumptions!$C$28^(DM$5-1))*$O69)),0)</f>
        <v>0</v>
      </c>
      <c r="DO69" s="93">
        <f>IF(AND($T69=1,DO$5&lt;=$H69),DN69*(1-BY69)*(1-MIN(1,MAX(Assumptions!$C$27,Assumptions!$C$13*Assumptions!$C$28^(DN$5-1))*$O69)),0)</f>
        <v>0</v>
      </c>
      <c r="DP69" s="93">
        <f>IF(AND($T69=1,DP$5&lt;=$H69),DO69*(1-BZ69)*(1-MIN(1,MAX(Assumptions!$C$27,Assumptions!$C$13*Assumptions!$C$28^(DO$5-1))*$O69)),0)</f>
        <v>0</v>
      </c>
      <c r="DQ69" s="93">
        <f>IF(AND($T69=1,DQ$5&lt;=$H69),DP69*(1-CA69)*(1-MIN(1,MAX(Assumptions!$C$27,Assumptions!$C$13*Assumptions!$C$28^(DP$5-1))*$O69)),0)</f>
        <v>0</v>
      </c>
      <c r="DR69" s="93">
        <f>IF(AND($T69=1,DR$5&lt;=$H69),DQ69*(1-CB69)*(1-MIN(1,MAX(Assumptions!$C$27,Assumptions!$C$13*Assumptions!$C$28^(DQ$5-1))*$O69)),0)</f>
        <v>0</v>
      </c>
      <c r="DS69" s="93">
        <f>IF(AND($T69=1,DS$5&lt;=$H69),DR69*(1-CC69)*(1-MIN(1,MAX(Assumptions!$C$27,Assumptions!$C$13*Assumptions!$C$28^(DR$5-1))*$O69)),0)</f>
        <v>0</v>
      </c>
      <c r="DT69" s="93">
        <f>IF(AND($T69=1,DT$5&lt;=$H69),DS69*(1-CD69)*(1-MIN(1,MAX(Assumptions!$C$27,Assumptions!$C$13*Assumptions!$C$28^(DS$5-1))*$O69)),0)</f>
        <v>0</v>
      </c>
      <c r="DU69" s="93">
        <f>IF(AND($T69=1,DU$5&lt;=$H69),DT69*(1-CE69)*(1-MIN(1,MAX(Assumptions!$C$27,Assumptions!$C$13*Assumptions!$C$28^(DT$5-1))*$O69)),0)</f>
        <v>0</v>
      </c>
      <c r="DV69" s="93">
        <f>IF(AND($T69=1,DV$5&lt;=$H69),DU69*(1-CF69)*(1-MIN(1,MAX(Assumptions!$C$27,Assumptions!$C$13*Assumptions!$C$28^(DU$5-1))*$O69)),0)</f>
        <v>0</v>
      </c>
      <c r="DW69" s="94">
        <f>IF(AND($T69=1,DW$5&lt;=$H69),DV69*(1-CG69)*(1-MIN(1,MAX(Assumptions!$C$27,Assumptions!$C$13*Assumptions!$C$28^(DV$5-1))*$O69)),0)</f>
        <v>0</v>
      </c>
      <c r="DX69" s="26"/>
      <c r="DY69" s="399">
        <f>'Policy Data'!K43</f>
        <v>7</v>
      </c>
      <c r="DZ69" s="100">
        <f>'Policy Data'!L43</f>
        <v>0.81159999999999999</v>
      </c>
      <c r="EA69" s="100">
        <f>'Policy Data'!N43</f>
        <v>2.0799999999999998E-3</v>
      </c>
      <c r="EB69" s="93" cm="1">
        <f t="array" ref="EB69">IFERROR(DZ69*INDEX(Mortality!$B$4:$E$64,MATCH(D69+DY69-1,Mortality!$A$4:$A$64,0),U69)*V69,0)</f>
        <v>3.3619009574112086E-3</v>
      </c>
      <c r="EC69" s="100">
        <f>'Policy Data'!O43</f>
        <v>0</v>
      </c>
      <c r="ED69" s="400">
        <f>'Policy Data'!Q43</f>
        <v>0</v>
      </c>
    </row>
    <row r="70" spans="1:134" x14ac:dyDescent="0.3">
      <c r="A70" s="399" t="str">
        <f>'Policy Data'!A44</f>
        <v>POL100040</v>
      </c>
      <c r="B70" s="26" t="s">
        <v>426</v>
      </c>
      <c r="C70" s="100" t="str">
        <f>'Policy Data'!B44</f>
        <v>Unit-Linked</v>
      </c>
      <c r="D70" s="100">
        <f>'Policy Data'!C44</f>
        <v>28</v>
      </c>
      <c r="E70" s="100" t="str">
        <f>'Policy Data'!D44</f>
        <v>Female</v>
      </c>
      <c r="F70" s="100" t="str">
        <f>'Policy Data'!E44</f>
        <v>Non-smoker</v>
      </c>
      <c r="G70" s="100" t="str">
        <f>'Policy Data'!F44</f>
        <v>Standard</v>
      </c>
      <c r="H70" s="100">
        <f>'Policy Data'!G44</f>
        <v>15</v>
      </c>
      <c r="I70" s="279">
        <f>'Policy Data'!H44</f>
        <v>250000</v>
      </c>
      <c r="J70" s="100" t="str">
        <f>'Policy Data'!I44</f>
        <v>Annual</v>
      </c>
      <c r="K70" s="100" t="str">
        <f>'Policy Data'!J44</f>
        <v>Broker</v>
      </c>
      <c r="L70" s="26" t="s">
        <v>389</v>
      </c>
      <c r="M70" s="106">
        <f>'Policy Data'!R44</f>
        <v>11891.22</v>
      </c>
      <c r="N70" s="415">
        <f>Assumptions!$C$21</f>
        <v>1</v>
      </c>
      <c r="O70" s="415">
        <f>Assumptions!$C$22</f>
        <v>1</v>
      </c>
      <c r="P70" s="415">
        <f>Assumptions!$C$23</f>
        <v>1</v>
      </c>
      <c r="Q70" s="416">
        <f>Assumptions!$C$24</f>
        <v>0</v>
      </c>
      <c r="R70" s="416">
        <f>Assumptions!$C$6+Assumptions!$C$25</f>
        <v>3.5000000000000003E-2</v>
      </c>
      <c r="S70" s="416">
        <f>Assumptions!$C$15</f>
        <v>1.1000000000000001E-3</v>
      </c>
      <c r="T70" s="26">
        <f t="shared" si="18"/>
        <v>0</v>
      </c>
      <c r="U70" s="26">
        <f t="shared" si="19"/>
        <v>1</v>
      </c>
      <c r="V70" s="389">
        <f>IF($G70="Preferred",Assumptions!$C$30,IF($G70="Rated",Assumptions!$C$31,1))</f>
        <v>1</v>
      </c>
      <c r="W70" s="390">
        <f>IF($K70="Direct",Assumptions!$C$32,IF($K70="Broker",Assumptions!$C$33,IF($K70="Bancassurance",Assumptions!$C$34,Assumptions!$C$11)))+$Q70</f>
        <v>0.25</v>
      </c>
      <c r="X70" s="390">
        <f>Assumptions!$C$12+$Q70</f>
        <v>0.05</v>
      </c>
      <c r="Y70" s="131">
        <f>MIN($I70,Assumptions!$C$14)</f>
        <v>250000</v>
      </c>
      <c r="Z70" s="131">
        <f>MAX($I70-Assumptions!$C$14,0)</f>
        <v>0</v>
      </c>
      <c r="AA70" s="389">
        <f t="shared" si="20"/>
        <v>0</v>
      </c>
      <c r="AB70" s="389">
        <f t="shared" si="21"/>
        <v>0</v>
      </c>
      <c r="AC70" s="389">
        <f>IF($T70=1,SUMPRODUCT($CJ70:$DW70,(1+Assumptions!$C$5)^($CJ$5:$DW$5-1),(1+$R70)^(-$CJ$5:$DW$5)),0)</f>
        <v>0</v>
      </c>
      <c r="AD70" s="389">
        <f t="shared" si="22"/>
        <v>0</v>
      </c>
      <c r="AE70" s="131">
        <f>IF($T70=1,$AB70*$Y70+(Assumptions!$C$9/(1+$R70)+Assumptions!$C$10*$AC70)*$P70+$S70*$Z70*$AA70,0)</f>
        <v>0</v>
      </c>
      <c r="AF70" s="131" t="str">
        <f>IF($T70=1,IF($AA70-$AD70-Assumptions!$C$16*$AA70&gt;0,$AE70/($AA70-$AD70-Assumptions!$C$16*$AA70)*IF($J70="Monthly",1+Assumptions!$C$29,1),"n.a."),"")</f>
        <v/>
      </c>
      <c r="AG70" s="131" t="str">
        <f t="shared" si="23"/>
        <v/>
      </c>
      <c r="AH70" s="131" t="str">
        <f t="shared" si="24"/>
        <v/>
      </c>
      <c r="AI70" s="131" t="str">
        <f t="shared" si="25"/>
        <v/>
      </c>
      <c r="AJ70" s="390" t="str">
        <f t="shared" si="26"/>
        <v/>
      </c>
      <c r="AK70" s="389" t="str">
        <f t="shared" si="27"/>
        <v/>
      </c>
      <c r="AL70" s="131" t="str">
        <f t="shared" si="28"/>
        <v/>
      </c>
      <c r="AM70" s="131" t="str">
        <f t="shared" si="29"/>
        <v/>
      </c>
      <c r="AN70" s="131" t="str">
        <f t="shared" si="30"/>
        <v/>
      </c>
      <c r="AO70" s="131" t="str">
        <f t="shared" si="31"/>
        <v/>
      </c>
      <c r="AP70" s="26" t="str">
        <f t="shared" si="32"/>
        <v>20-29</v>
      </c>
      <c r="AQ70" s="26" t="str">
        <f t="shared" si="33"/>
        <v>Up to 250k</v>
      </c>
      <c r="AR70" s="26" t="str">
        <f>IF($T70=1,IF($AI70&lt;0,"Loss-making",IF($AJ70&lt;Assumptions!$C$16-0.00001,"Below target","At/above target")),"Excluded")</f>
        <v>Excluded</v>
      </c>
      <c r="AS70" s="103">
        <f t="shared" si="34"/>
        <v>9.9999999999999997E+98</v>
      </c>
      <c r="AT70" s="26"/>
      <c r="AU70" s="419">
        <f>IF(AND($T70=1,AU$5&lt;=$H70),INDEX(Mortality!$B$4:$E$64,MATCH($D70+AU$5-1,Mortality!$A$4:$A$64,0),$U70)*$V70*$N70,0)</f>
        <v>0</v>
      </c>
      <c r="AV70" s="93">
        <f>IF(AND($T70=1,AV$5&lt;=$H70),INDEX(Mortality!$B$4:$E$64,MATCH($D70+AV$5-1,Mortality!$A$4:$A$64,0),$U70)*$V70*$N70,0)</f>
        <v>0</v>
      </c>
      <c r="AW70" s="93">
        <f>IF(AND($T70=1,AW$5&lt;=$H70),INDEX(Mortality!$B$4:$E$64,MATCH($D70+AW$5-1,Mortality!$A$4:$A$64,0),$U70)*$V70*$N70,0)</f>
        <v>0</v>
      </c>
      <c r="AX70" s="93">
        <f>IF(AND($T70=1,AX$5&lt;=$H70),INDEX(Mortality!$B$4:$E$64,MATCH($D70+AX$5-1,Mortality!$A$4:$A$64,0),$U70)*$V70*$N70,0)</f>
        <v>0</v>
      </c>
      <c r="AY70" s="93">
        <f>IF(AND($T70=1,AY$5&lt;=$H70),INDEX(Mortality!$B$4:$E$64,MATCH($D70+AY$5-1,Mortality!$A$4:$A$64,0),$U70)*$V70*$N70,0)</f>
        <v>0</v>
      </c>
      <c r="AZ70" s="93">
        <f>IF(AND($T70=1,AZ$5&lt;=$H70),INDEX(Mortality!$B$4:$E$64,MATCH($D70+AZ$5-1,Mortality!$A$4:$A$64,0),$U70)*$V70*$N70,0)</f>
        <v>0</v>
      </c>
      <c r="BA70" s="93">
        <f>IF(AND($T70=1,BA$5&lt;=$H70),INDEX(Mortality!$B$4:$E$64,MATCH($D70+BA$5-1,Mortality!$A$4:$A$64,0),$U70)*$V70*$N70,0)</f>
        <v>0</v>
      </c>
      <c r="BB70" s="93">
        <f>IF(AND($T70=1,BB$5&lt;=$H70),INDEX(Mortality!$B$4:$E$64,MATCH($D70+BB$5-1,Mortality!$A$4:$A$64,0),$U70)*$V70*$N70,0)</f>
        <v>0</v>
      </c>
      <c r="BC70" s="93">
        <f>IF(AND($T70=1,BC$5&lt;=$H70),INDEX(Mortality!$B$4:$E$64,MATCH($D70+BC$5-1,Mortality!$A$4:$A$64,0),$U70)*$V70*$N70,0)</f>
        <v>0</v>
      </c>
      <c r="BD70" s="93">
        <f>IF(AND($T70=1,BD$5&lt;=$H70),INDEX(Mortality!$B$4:$E$64,MATCH($D70+BD$5-1,Mortality!$A$4:$A$64,0),$U70)*$V70*$N70,0)</f>
        <v>0</v>
      </c>
      <c r="BE70" s="93">
        <f>IF(AND($T70=1,BE$5&lt;=$H70),INDEX(Mortality!$B$4:$E$64,MATCH($D70+BE$5-1,Mortality!$A$4:$A$64,0),$U70)*$V70*$N70,0)</f>
        <v>0</v>
      </c>
      <c r="BF70" s="93">
        <f>IF(AND($T70=1,BF$5&lt;=$H70),INDEX(Mortality!$B$4:$E$64,MATCH($D70+BF$5-1,Mortality!$A$4:$A$64,0),$U70)*$V70*$N70,0)</f>
        <v>0</v>
      </c>
      <c r="BG70" s="93">
        <f>IF(AND($T70=1,BG$5&lt;=$H70),INDEX(Mortality!$B$4:$E$64,MATCH($D70+BG$5-1,Mortality!$A$4:$A$64,0),$U70)*$V70*$N70,0)</f>
        <v>0</v>
      </c>
      <c r="BH70" s="93">
        <f>IF(AND($T70=1,BH$5&lt;=$H70),INDEX(Mortality!$B$4:$E$64,MATCH($D70+BH$5-1,Mortality!$A$4:$A$64,0),$U70)*$V70*$N70,0)</f>
        <v>0</v>
      </c>
      <c r="BI70" s="93">
        <f>IF(AND($T70=1,BI$5&lt;=$H70),INDEX(Mortality!$B$4:$E$64,MATCH($D70+BI$5-1,Mortality!$A$4:$A$64,0),$U70)*$V70*$N70,0)</f>
        <v>0</v>
      </c>
      <c r="BJ70" s="93">
        <f>IF(AND($T70=1,BJ$5&lt;=$H70),INDEX(Mortality!$B$4:$E$64,MATCH($D70+BJ$5-1,Mortality!$A$4:$A$64,0),$U70)*$V70*$N70,0)</f>
        <v>0</v>
      </c>
      <c r="BK70" s="93">
        <f>IF(AND($T70=1,BK$5&lt;=$H70),INDEX(Mortality!$B$4:$E$64,MATCH($D70+BK$5-1,Mortality!$A$4:$A$64,0),$U70)*$V70*$N70,0)</f>
        <v>0</v>
      </c>
      <c r="BL70" s="93">
        <f>IF(AND($T70=1,BL$5&lt;=$H70),INDEX(Mortality!$B$4:$E$64,MATCH($D70+BL$5-1,Mortality!$A$4:$A$64,0),$U70)*$V70*$N70,0)</f>
        <v>0</v>
      </c>
      <c r="BM70" s="93">
        <f>IF(AND($T70=1,BM$5&lt;=$H70),INDEX(Mortality!$B$4:$E$64,MATCH($D70+BM$5-1,Mortality!$A$4:$A$64,0),$U70)*$V70*$N70,0)</f>
        <v>0</v>
      </c>
      <c r="BN70" s="93">
        <f>IF(AND($T70=1,BN$5&lt;=$H70),INDEX(Mortality!$B$4:$E$64,MATCH($D70+BN$5-1,Mortality!$A$4:$A$64,0),$U70)*$V70*$N70,0)</f>
        <v>0</v>
      </c>
      <c r="BO70" s="93">
        <f>IF(AND($T70=1,BO$5&lt;=$H70),INDEX(Mortality!$B$4:$E$64,MATCH($D70+BO$5-1,Mortality!$A$4:$A$64,0),$U70)*$V70*$N70,0)</f>
        <v>0</v>
      </c>
      <c r="BP70" s="93">
        <f>IF(AND($T70=1,BP$5&lt;=$H70),INDEX(Mortality!$B$4:$E$64,MATCH($D70+BP$5-1,Mortality!$A$4:$A$64,0),$U70)*$V70*$N70,0)</f>
        <v>0</v>
      </c>
      <c r="BQ70" s="93">
        <f>IF(AND($T70=1,BQ$5&lt;=$H70),INDEX(Mortality!$B$4:$E$64,MATCH($D70+BQ$5-1,Mortality!$A$4:$A$64,0),$U70)*$V70*$N70,0)</f>
        <v>0</v>
      </c>
      <c r="BR70" s="93">
        <f>IF(AND($T70=1,BR$5&lt;=$H70),INDEX(Mortality!$B$4:$E$64,MATCH($D70+BR$5-1,Mortality!$A$4:$A$64,0),$U70)*$V70*$N70,0)</f>
        <v>0</v>
      </c>
      <c r="BS70" s="93">
        <f>IF(AND($T70=1,BS$5&lt;=$H70),INDEX(Mortality!$B$4:$E$64,MATCH($D70+BS$5-1,Mortality!$A$4:$A$64,0),$U70)*$V70*$N70,0)</f>
        <v>0</v>
      </c>
      <c r="BT70" s="93">
        <f>IF(AND($T70=1,BT$5&lt;=$H70),INDEX(Mortality!$B$4:$E$64,MATCH($D70+BT$5-1,Mortality!$A$4:$A$64,0),$U70)*$V70*$N70,0)</f>
        <v>0</v>
      </c>
      <c r="BU70" s="93">
        <f>IF(AND($T70=1,BU$5&lt;=$H70),INDEX(Mortality!$B$4:$E$64,MATCH($D70+BU$5-1,Mortality!$A$4:$A$64,0),$U70)*$V70*$N70,0)</f>
        <v>0</v>
      </c>
      <c r="BV70" s="93">
        <f>IF(AND($T70=1,BV$5&lt;=$H70),INDEX(Mortality!$B$4:$E$64,MATCH($D70+BV$5-1,Mortality!$A$4:$A$64,0),$U70)*$V70*$N70,0)</f>
        <v>0</v>
      </c>
      <c r="BW70" s="93">
        <f>IF(AND($T70=1,BW$5&lt;=$H70),INDEX(Mortality!$B$4:$E$64,MATCH($D70+BW$5-1,Mortality!$A$4:$A$64,0),$U70)*$V70*$N70,0)</f>
        <v>0</v>
      </c>
      <c r="BX70" s="93">
        <f>IF(AND($T70=1,BX$5&lt;=$H70),INDEX(Mortality!$B$4:$E$64,MATCH($D70+BX$5-1,Mortality!$A$4:$A$64,0),$U70)*$V70*$N70,0)</f>
        <v>0</v>
      </c>
      <c r="BY70" s="93">
        <f>IF(AND($T70=1,BY$5&lt;=$H70),INDEX(Mortality!$B$4:$E$64,MATCH($D70+BY$5-1,Mortality!$A$4:$A$64,0),$U70)*$V70*$N70,0)</f>
        <v>0</v>
      </c>
      <c r="BZ70" s="93">
        <f>IF(AND($T70=1,BZ$5&lt;=$H70),INDEX(Mortality!$B$4:$E$64,MATCH($D70+BZ$5-1,Mortality!$A$4:$A$64,0),$U70)*$V70*$N70,0)</f>
        <v>0</v>
      </c>
      <c r="CA70" s="93">
        <f>IF(AND($T70=1,CA$5&lt;=$H70),INDEX(Mortality!$B$4:$E$64,MATCH($D70+CA$5-1,Mortality!$A$4:$A$64,0),$U70)*$V70*$N70,0)</f>
        <v>0</v>
      </c>
      <c r="CB70" s="93">
        <f>IF(AND($T70=1,CB$5&lt;=$H70),INDEX(Mortality!$B$4:$E$64,MATCH($D70+CB$5-1,Mortality!$A$4:$A$64,0),$U70)*$V70*$N70,0)</f>
        <v>0</v>
      </c>
      <c r="CC70" s="93">
        <f>IF(AND($T70=1,CC$5&lt;=$H70),INDEX(Mortality!$B$4:$E$64,MATCH($D70+CC$5-1,Mortality!$A$4:$A$64,0),$U70)*$V70*$N70,0)</f>
        <v>0</v>
      </c>
      <c r="CD70" s="93">
        <f>IF(AND($T70=1,CD$5&lt;=$H70),INDEX(Mortality!$B$4:$E$64,MATCH($D70+CD$5-1,Mortality!$A$4:$A$64,0),$U70)*$V70*$N70,0)</f>
        <v>0</v>
      </c>
      <c r="CE70" s="93">
        <f>IF(AND($T70=1,CE$5&lt;=$H70),INDEX(Mortality!$B$4:$E$64,MATCH($D70+CE$5-1,Mortality!$A$4:$A$64,0),$U70)*$V70*$N70,0)</f>
        <v>0</v>
      </c>
      <c r="CF70" s="93">
        <f>IF(AND($T70=1,CF$5&lt;=$H70),INDEX(Mortality!$B$4:$E$64,MATCH($D70+CF$5-1,Mortality!$A$4:$A$64,0),$U70)*$V70*$N70,0)</f>
        <v>0</v>
      </c>
      <c r="CG70" s="93">
        <f>IF(AND($T70=1,CG$5&lt;=$H70),INDEX(Mortality!$B$4:$E$64,MATCH($D70+CG$5-1,Mortality!$A$4:$A$64,0),$U70)*$V70*$N70,0)</f>
        <v>0</v>
      </c>
      <c r="CH70" s="94">
        <f>IF(AND($T70=1,CH$5&lt;=$H70),INDEX(Mortality!$B$4:$E$64,MATCH($D70+CH$5-1,Mortality!$A$4:$A$64,0),$U70)*$V70*$N70,0)</f>
        <v>0</v>
      </c>
      <c r="CI70" s="26"/>
      <c r="CJ70" s="419">
        <f t="shared" si="35"/>
        <v>0</v>
      </c>
      <c r="CK70" s="93">
        <f>IF(AND($T70=1,CK$5&lt;=$H70),CJ70*(1-AU70)*(1-MIN(1,MAX(Assumptions!$C$27,Assumptions!$C$13*Assumptions!$C$28^(CJ$5-1))*$O70)),0)</f>
        <v>0</v>
      </c>
      <c r="CL70" s="93">
        <f>IF(AND($T70=1,CL$5&lt;=$H70),CK70*(1-AV70)*(1-MIN(1,MAX(Assumptions!$C$27,Assumptions!$C$13*Assumptions!$C$28^(CK$5-1))*$O70)),0)</f>
        <v>0</v>
      </c>
      <c r="CM70" s="93">
        <f>IF(AND($T70=1,CM$5&lt;=$H70),CL70*(1-AW70)*(1-MIN(1,MAX(Assumptions!$C$27,Assumptions!$C$13*Assumptions!$C$28^(CL$5-1))*$O70)),0)</f>
        <v>0</v>
      </c>
      <c r="CN70" s="93">
        <f>IF(AND($T70=1,CN$5&lt;=$H70),CM70*(1-AX70)*(1-MIN(1,MAX(Assumptions!$C$27,Assumptions!$C$13*Assumptions!$C$28^(CM$5-1))*$O70)),0)</f>
        <v>0</v>
      </c>
      <c r="CO70" s="93">
        <f>IF(AND($T70=1,CO$5&lt;=$H70),CN70*(1-AY70)*(1-MIN(1,MAX(Assumptions!$C$27,Assumptions!$C$13*Assumptions!$C$28^(CN$5-1))*$O70)),0)</f>
        <v>0</v>
      </c>
      <c r="CP70" s="93">
        <f>IF(AND($T70=1,CP$5&lt;=$H70),CO70*(1-AZ70)*(1-MIN(1,MAX(Assumptions!$C$27,Assumptions!$C$13*Assumptions!$C$28^(CO$5-1))*$O70)),0)</f>
        <v>0</v>
      </c>
      <c r="CQ70" s="93">
        <f>IF(AND($T70=1,CQ$5&lt;=$H70),CP70*(1-BA70)*(1-MIN(1,MAX(Assumptions!$C$27,Assumptions!$C$13*Assumptions!$C$28^(CP$5-1))*$O70)),0)</f>
        <v>0</v>
      </c>
      <c r="CR70" s="93">
        <f>IF(AND($T70=1,CR$5&lt;=$H70),CQ70*(1-BB70)*(1-MIN(1,MAX(Assumptions!$C$27,Assumptions!$C$13*Assumptions!$C$28^(CQ$5-1))*$O70)),0)</f>
        <v>0</v>
      </c>
      <c r="CS70" s="93">
        <f>IF(AND($T70=1,CS$5&lt;=$H70),CR70*(1-BC70)*(1-MIN(1,MAX(Assumptions!$C$27,Assumptions!$C$13*Assumptions!$C$28^(CR$5-1))*$O70)),0)</f>
        <v>0</v>
      </c>
      <c r="CT70" s="93">
        <f>IF(AND($T70=1,CT$5&lt;=$H70),CS70*(1-BD70)*(1-MIN(1,MAX(Assumptions!$C$27,Assumptions!$C$13*Assumptions!$C$28^(CS$5-1))*$O70)),0)</f>
        <v>0</v>
      </c>
      <c r="CU70" s="93">
        <f>IF(AND($T70=1,CU$5&lt;=$H70),CT70*(1-BE70)*(1-MIN(1,MAX(Assumptions!$C$27,Assumptions!$C$13*Assumptions!$C$28^(CT$5-1))*$O70)),0)</f>
        <v>0</v>
      </c>
      <c r="CV70" s="93">
        <f>IF(AND($T70=1,CV$5&lt;=$H70),CU70*(1-BF70)*(1-MIN(1,MAX(Assumptions!$C$27,Assumptions!$C$13*Assumptions!$C$28^(CU$5-1))*$O70)),0)</f>
        <v>0</v>
      </c>
      <c r="CW70" s="93">
        <f>IF(AND($T70=1,CW$5&lt;=$H70),CV70*(1-BG70)*(1-MIN(1,MAX(Assumptions!$C$27,Assumptions!$C$13*Assumptions!$C$28^(CV$5-1))*$O70)),0)</f>
        <v>0</v>
      </c>
      <c r="CX70" s="93">
        <f>IF(AND($T70=1,CX$5&lt;=$H70),CW70*(1-BH70)*(1-MIN(1,MAX(Assumptions!$C$27,Assumptions!$C$13*Assumptions!$C$28^(CW$5-1))*$O70)),0)</f>
        <v>0</v>
      </c>
      <c r="CY70" s="93">
        <f>IF(AND($T70=1,CY$5&lt;=$H70),CX70*(1-BI70)*(1-MIN(1,MAX(Assumptions!$C$27,Assumptions!$C$13*Assumptions!$C$28^(CX$5-1))*$O70)),0)</f>
        <v>0</v>
      </c>
      <c r="CZ70" s="93">
        <f>IF(AND($T70=1,CZ$5&lt;=$H70),CY70*(1-BJ70)*(1-MIN(1,MAX(Assumptions!$C$27,Assumptions!$C$13*Assumptions!$C$28^(CY$5-1))*$O70)),0)</f>
        <v>0</v>
      </c>
      <c r="DA70" s="93">
        <f>IF(AND($T70=1,DA$5&lt;=$H70),CZ70*(1-BK70)*(1-MIN(1,MAX(Assumptions!$C$27,Assumptions!$C$13*Assumptions!$C$28^(CZ$5-1))*$O70)),0)</f>
        <v>0</v>
      </c>
      <c r="DB70" s="93">
        <f>IF(AND($T70=1,DB$5&lt;=$H70),DA70*(1-BL70)*(1-MIN(1,MAX(Assumptions!$C$27,Assumptions!$C$13*Assumptions!$C$28^(DA$5-1))*$O70)),0)</f>
        <v>0</v>
      </c>
      <c r="DC70" s="93">
        <f>IF(AND($T70=1,DC$5&lt;=$H70),DB70*(1-BM70)*(1-MIN(1,MAX(Assumptions!$C$27,Assumptions!$C$13*Assumptions!$C$28^(DB$5-1))*$O70)),0)</f>
        <v>0</v>
      </c>
      <c r="DD70" s="93">
        <f>IF(AND($T70=1,DD$5&lt;=$H70),DC70*(1-BN70)*(1-MIN(1,MAX(Assumptions!$C$27,Assumptions!$C$13*Assumptions!$C$28^(DC$5-1))*$O70)),0)</f>
        <v>0</v>
      </c>
      <c r="DE70" s="93">
        <f>IF(AND($T70=1,DE$5&lt;=$H70),DD70*(1-BO70)*(1-MIN(1,MAX(Assumptions!$C$27,Assumptions!$C$13*Assumptions!$C$28^(DD$5-1))*$O70)),0)</f>
        <v>0</v>
      </c>
      <c r="DF70" s="93">
        <f>IF(AND($T70=1,DF$5&lt;=$H70),DE70*(1-BP70)*(1-MIN(1,MAX(Assumptions!$C$27,Assumptions!$C$13*Assumptions!$C$28^(DE$5-1))*$O70)),0)</f>
        <v>0</v>
      </c>
      <c r="DG70" s="93">
        <f>IF(AND($T70=1,DG$5&lt;=$H70),DF70*(1-BQ70)*(1-MIN(1,MAX(Assumptions!$C$27,Assumptions!$C$13*Assumptions!$C$28^(DF$5-1))*$O70)),0)</f>
        <v>0</v>
      </c>
      <c r="DH70" s="93">
        <f>IF(AND($T70=1,DH$5&lt;=$H70),DG70*(1-BR70)*(1-MIN(1,MAX(Assumptions!$C$27,Assumptions!$C$13*Assumptions!$C$28^(DG$5-1))*$O70)),0)</f>
        <v>0</v>
      </c>
      <c r="DI70" s="93">
        <f>IF(AND($T70=1,DI$5&lt;=$H70),DH70*(1-BS70)*(1-MIN(1,MAX(Assumptions!$C$27,Assumptions!$C$13*Assumptions!$C$28^(DH$5-1))*$O70)),0)</f>
        <v>0</v>
      </c>
      <c r="DJ70" s="93">
        <f>IF(AND($T70=1,DJ$5&lt;=$H70),DI70*(1-BT70)*(1-MIN(1,MAX(Assumptions!$C$27,Assumptions!$C$13*Assumptions!$C$28^(DI$5-1))*$O70)),0)</f>
        <v>0</v>
      </c>
      <c r="DK70" s="93">
        <f>IF(AND($T70=1,DK$5&lt;=$H70),DJ70*(1-BU70)*(1-MIN(1,MAX(Assumptions!$C$27,Assumptions!$C$13*Assumptions!$C$28^(DJ$5-1))*$O70)),0)</f>
        <v>0</v>
      </c>
      <c r="DL70" s="93">
        <f>IF(AND($T70=1,DL$5&lt;=$H70),DK70*(1-BV70)*(1-MIN(1,MAX(Assumptions!$C$27,Assumptions!$C$13*Assumptions!$C$28^(DK$5-1))*$O70)),0)</f>
        <v>0</v>
      </c>
      <c r="DM70" s="93">
        <f>IF(AND($T70=1,DM$5&lt;=$H70),DL70*(1-BW70)*(1-MIN(1,MAX(Assumptions!$C$27,Assumptions!$C$13*Assumptions!$C$28^(DL$5-1))*$O70)),0)</f>
        <v>0</v>
      </c>
      <c r="DN70" s="93">
        <f>IF(AND($T70=1,DN$5&lt;=$H70),DM70*(1-BX70)*(1-MIN(1,MAX(Assumptions!$C$27,Assumptions!$C$13*Assumptions!$C$28^(DM$5-1))*$O70)),0)</f>
        <v>0</v>
      </c>
      <c r="DO70" s="93">
        <f>IF(AND($T70=1,DO$5&lt;=$H70),DN70*(1-BY70)*(1-MIN(1,MAX(Assumptions!$C$27,Assumptions!$C$13*Assumptions!$C$28^(DN$5-1))*$O70)),0)</f>
        <v>0</v>
      </c>
      <c r="DP70" s="93">
        <f>IF(AND($T70=1,DP$5&lt;=$H70),DO70*(1-BZ70)*(1-MIN(1,MAX(Assumptions!$C$27,Assumptions!$C$13*Assumptions!$C$28^(DO$5-1))*$O70)),0)</f>
        <v>0</v>
      </c>
      <c r="DQ70" s="93">
        <f>IF(AND($T70=1,DQ$5&lt;=$H70),DP70*(1-CA70)*(1-MIN(1,MAX(Assumptions!$C$27,Assumptions!$C$13*Assumptions!$C$28^(DP$5-1))*$O70)),0)</f>
        <v>0</v>
      </c>
      <c r="DR70" s="93">
        <f>IF(AND($T70=1,DR$5&lt;=$H70),DQ70*(1-CB70)*(1-MIN(1,MAX(Assumptions!$C$27,Assumptions!$C$13*Assumptions!$C$28^(DQ$5-1))*$O70)),0)</f>
        <v>0</v>
      </c>
      <c r="DS70" s="93">
        <f>IF(AND($T70=1,DS$5&lt;=$H70),DR70*(1-CC70)*(1-MIN(1,MAX(Assumptions!$C$27,Assumptions!$C$13*Assumptions!$C$28^(DR$5-1))*$O70)),0)</f>
        <v>0</v>
      </c>
      <c r="DT70" s="93">
        <f>IF(AND($T70=1,DT$5&lt;=$H70),DS70*(1-CD70)*(1-MIN(1,MAX(Assumptions!$C$27,Assumptions!$C$13*Assumptions!$C$28^(DS$5-1))*$O70)),0)</f>
        <v>0</v>
      </c>
      <c r="DU70" s="93">
        <f>IF(AND($T70=1,DU$5&lt;=$H70),DT70*(1-CE70)*(1-MIN(1,MAX(Assumptions!$C$27,Assumptions!$C$13*Assumptions!$C$28^(DT$5-1))*$O70)),0)</f>
        <v>0</v>
      </c>
      <c r="DV70" s="93">
        <f>IF(AND($T70=1,DV$5&lt;=$H70),DU70*(1-CF70)*(1-MIN(1,MAX(Assumptions!$C$27,Assumptions!$C$13*Assumptions!$C$28^(DU$5-1))*$O70)),0)</f>
        <v>0</v>
      </c>
      <c r="DW70" s="94">
        <f>IF(AND($T70=1,DW$5&lt;=$H70),DV70*(1-CG70)*(1-MIN(1,MAX(Assumptions!$C$27,Assumptions!$C$13*Assumptions!$C$28^(DV$5-1))*$O70)),0)</f>
        <v>0</v>
      </c>
      <c r="DX70" s="26"/>
      <c r="DY70" s="399">
        <f>'Policy Data'!K44</f>
        <v>4</v>
      </c>
      <c r="DZ70" s="100">
        <f>'Policy Data'!L44</f>
        <v>0.87670000000000003</v>
      </c>
      <c r="EA70" s="100">
        <f>'Policy Data'!N44</f>
        <v>2.8600000000000001E-4</v>
      </c>
      <c r="EB70" s="93" cm="1">
        <f t="array" ref="EB70">IFERROR(DZ70*INDEX(Mortality!$B$4:$E$64,MATCH(D70+DY70-1,Mortality!$A$4:$A$64,0),U70)*V70,0)</f>
        <v>3.6326704787821866E-4</v>
      </c>
      <c r="EC70" s="100">
        <f>'Policy Data'!O44</f>
        <v>0</v>
      </c>
      <c r="ED70" s="400">
        <f>'Policy Data'!Q44</f>
        <v>1</v>
      </c>
    </row>
    <row r="71" spans="1:134" x14ac:dyDescent="0.3">
      <c r="A71" s="399" t="str">
        <f>'Policy Data'!A45</f>
        <v>POL100041</v>
      </c>
      <c r="B71" s="26" t="s">
        <v>426</v>
      </c>
      <c r="C71" s="100" t="str">
        <f>'Policy Data'!B45</f>
        <v>Unit-Linked</v>
      </c>
      <c r="D71" s="100">
        <f>'Policy Data'!C45</f>
        <v>32</v>
      </c>
      <c r="E71" s="100" t="str">
        <f>'Policy Data'!D45</f>
        <v>Male</v>
      </c>
      <c r="F71" s="100" t="str">
        <f>'Policy Data'!E45</f>
        <v>Non-smoker</v>
      </c>
      <c r="G71" s="100" t="str">
        <f>'Policy Data'!F45</f>
        <v>Standard</v>
      </c>
      <c r="H71" s="100">
        <f>'Policy Data'!G45</f>
        <v>20</v>
      </c>
      <c r="I71" s="279">
        <f>'Policy Data'!H45</f>
        <v>500000</v>
      </c>
      <c r="J71" s="100" t="str">
        <f>'Policy Data'!I45</f>
        <v>Annual</v>
      </c>
      <c r="K71" s="100" t="str">
        <f>'Policy Data'!J45</f>
        <v>Direct</v>
      </c>
      <c r="L71" s="26" t="s">
        <v>389</v>
      </c>
      <c r="M71" s="106">
        <f>'Policy Data'!R45</f>
        <v>13520.04</v>
      </c>
      <c r="N71" s="415">
        <f>Assumptions!$C$21</f>
        <v>1</v>
      </c>
      <c r="O71" s="415">
        <f>Assumptions!$C$22</f>
        <v>1</v>
      </c>
      <c r="P71" s="415">
        <f>Assumptions!$C$23</f>
        <v>1</v>
      </c>
      <c r="Q71" s="416">
        <f>Assumptions!$C$24</f>
        <v>0</v>
      </c>
      <c r="R71" s="416">
        <f>Assumptions!$C$6+Assumptions!$C$25</f>
        <v>3.5000000000000003E-2</v>
      </c>
      <c r="S71" s="416">
        <f>Assumptions!$C$15</f>
        <v>1.1000000000000001E-3</v>
      </c>
      <c r="T71" s="26">
        <f t="shared" si="18"/>
        <v>0</v>
      </c>
      <c r="U71" s="26">
        <f t="shared" si="19"/>
        <v>3</v>
      </c>
      <c r="V71" s="389">
        <f>IF($G71="Preferred",Assumptions!$C$30,IF($G71="Rated",Assumptions!$C$31,1))</f>
        <v>1</v>
      </c>
      <c r="W71" s="390">
        <f>IF($K71="Direct",Assumptions!$C$32,IF($K71="Broker",Assumptions!$C$33,IF($K71="Bancassurance",Assumptions!$C$34,Assumptions!$C$11)))+$Q71</f>
        <v>0.1</v>
      </c>
      <c r="X71" s="390">
        <f>Assumptions!$C$12+$Q71</f>
        <v>0.05</v>
      </c>
      <c r="Y71" s="131">
        <f>MIN($I71,Assumptions!$C$14)</f>
        <v>500000</v>
      </c>
      <c r="Z71" s="131">
        <f>MAX($I71-Assumptions!$C$14,0)</f>
        <v>0</v>
      </c>
      <c r="AA71" s="389">
        <f t="shared" si="20"/>
        <v>0</v>
      </c>
      <c r="AB71" s="389">
        <f t="shared" si="21"/>
        <v>0</v>
      </c>
      <c r="AC71" s="389">
        <f>IF($T71=1,SUMPRODUCT($CJ71:$DW71,(1+Assumptions!$C$5)^($CJ$5:$DW$5-1),(1+$R71)^(-$CJ$5:$DW$5)),0)</f>
        <v>0</v>
      </c>
      <c r="AD71" s="389">
        <f t="shared" si="22"/>
        <v>0</v>
      </c>
      <c r="AE71" s="131">
        <f>IF($T71=1,$AB71*$Y71+(Assumptions!$C$9/(1+$R71)+Assumptions!$C$10*$AC71)*$P71+$S71*$Z71*$AA71,0)</f>
        <v>0</v>
      </c>
      <c r="AF71" s="131" t="str">
        <f>IF($T71=1,IF($AA71-$AD71-Assumptions!$C$16*$AA71&gt;0,$AE71/($AA71-$AD71-Assumptions!$C$16*$AA71)*IF($J71="Monthly",1+Assumptions!$C$29,1),"n.a."),"")</f>
        <v/>
      </c>
      <c r="AG71" s="131" t="str">
        <f t="shared" si="23"/>
        <v/>
      </c>
      <c r="AH71" s="131" t="str">
        <f t="shared" si="24"/>
        <v/>
      </c>
      <c r="AI71" s="131" t="str">
        <f t="shared" si="25"/>
        <v/>
      </c>
      <c r="AJ71" s="390" t="str">
        <f t="shared" si="26"/>
        <v/>
      </c>
      <c r="AK71" s="389" t="str">
        <f t="shared" si="27"/>
        <v/>
      </c>
      <c r="AL71" s="131" t="str">
        <f t="shared" si="28"/>
        <v/>
      </c>
      <c r="AM71" s="131" t="str">
        <f t="shared" si="29"/>
        <v/>
      </c>
      <c r="AN71" s="131" t="str">
        <f t="shared" si="30"/>
        <v/>
      </c>
      <c r="AO71" s="131" t="str">
        <f t="shared" si="31"/>
        <v/>
      </c>
      <c r="AP71" s="26" t="str">
        <f t="shared" si="32"/>
        <v>30-39</v>
      </c>
      <c r="AQ71" s="26" t="str">
        <f t="shared" si="33"/>
        <v>250k-500k</v>
      </c>
      <c r="AR71" s="26" t="str">
        <f>IF($T71=1,IF($AI71&lt;0,"Loss-making",IF($AJ71&lt;Assumptions!$C$16-0.00001,"Below target","At/above target")),"Excluded")</f>
        <v>Excluded</v>
      </c>
      <c r="AS71" s="103">
        <f t="shared" si="34"/>
        <v>9.9999999999999997E+98</v>
      </c>
      <c r="AT71" s="26"/>
      <c r="AU71" s="419">
        <f>IF(AND($T71=1,AU$5&lt;=$H71),INDEX(Mortality!$B$4:$E$64,MATCH($D71+AU$5-1,Mortality!$A$4:$A$64,0),$U71)*$V71*$N71,0)</f>
        <v>0</v>
      </c>
      <c r="AV71" s="93">
        <f>IF(AND($T71=1,AV$5&lt;=$H71),INDEX(Mortality!$B$4:$E$64,MATCH($D71+AV$5-1,Mortality!$A$4:$A$64,0),$U71)*$V71*$N71,0)</f>
        <v>0</v>
      </c>
      <c r="AW71" s="93">
        <f>IF(AND($T71=1,AW$5&lt;=$H71),INDEX(Mortality!$B$4:$E$64,MATCH($D71+AW$5-1,Mortality!$A$4:$A$64,0),$U71)*$V71*$N71,0)</f>
        <v>0</v>
      </c>
      <c r="AX71" s="93">
        <f>IF(AND($T71=1,AX$5&lt;=$H71),INDEX(Mortality!$B$4:$E$64,MATCH($D71+AX$5-1,Mortality!$A$4:$A$64,0),$U71)*$V71*$N71,0)</f>
        <v>0</v>
      </c>
      <c r="AY71" s="93">
        <f>IF(AND($T71=1,AY$5&lt;=$H71),INDEX(Mortality!$B$4:$E$64,MATCH($D71+AY$5-1,Mortality!$A$4:$A$64,0),$U71)*$V71*$N71,0)</f>
        <v>0</v>
      </c>
      <c r="AZ71" s="93">
        <f>IF(AND($T71=1,AZ$5&lt;=$H71),INDEX(Mortality!$B$4:$E$64,MATCH($D71+AZ$5-1,Mortality!$A$4:$A$64,0),$U71)*$V71*$N71,0)</f>
        <v>0</v>
      </c>
      <c r="BA71" s="93">
        <f>IF(AND($T71=1,BA$5&lt;=$H71),INDEX(Mortality!$B$4:$E$64,MATCH($D71+BA$5-1,Mortality!$A$4:$A$64,0),$U71)*$V71*$N71,0)</f>
        <v>0</v>
      </c>
      <c r="BB71" s="93">
        <f>IF(AND($T71=1,BB$5&lt;=$H71),INDEX(Mortality!$B$4:$E$64,MATCH($D71+BB$5-1,Mortality!$A$4:$A$64,0),$U71)*$V71*$N71,0)</f>
        <v>0</v>
      </c>
      <c r="BC71" s="93">
        <f>IF(AND($T71=1,BC$5&lt;=$H71),INDEX(Mortality!$B$4:$E$64,MATCH($D71+BC$5-1,Mortality!$A$4:$A$64,0),$U71)*$V71*$N71,0)</f>
        <v>0</v>
      </c>
      <c r="BD71" s="93">
        <f>IF(AND($T71=1,BD$5&lt;=$H71),INDEX(Mortality!$B$4:$E$64,MATCH($D71+BD$5-1,Mortality!$A$4:$A$64,0),$U71)*$V71*$N71,0)</f>
        <v>0</v>
      </c>
      <c r="BE71" s="93">
        <f>IF(AND($T71=1,BE$5&lt;=$H71),INDEX(Mortality!$B$4:$E$64,MATCH($D71+BE$5-1,Mortality!$A$4:$A$64,0),$U71)*$V71*$N71,0)</f>
        <v>0</v>
      </c>
      <c r="BF71" s="93">
        <f>IF(AND($T71=1,BF$5&lt;=$H71),INDEX(Mortality!$B$4:$E$64,MATCH($D71+BF$5-1,Mortality!$A$4:$A$64,0),$U71)*$V71*$N71,0)</f>
        <v>0</v>
      </c>
      <c r="BG71" s="93">
        <f>IF(AND($T71=1,BG$5&lt;=$H71),INDEX(Mortality!$B$4:$E$64,MATCH($D71+BG$5-1,Mortality!$A$4:$A$64,0),$U71)*$V71*$N71,0)</f>
        <v>0</v>
      </c>
      <c r="BH71" s="93">
        <f>IF(AND($T71=1,BH$5&lt;=$H71),INDEX(Mortality!$B$4:$E$64,MATCH($D71+BH$5-1,Mortality!$A$4:$A$64,0),$U71)*$V71*$N71,0)</f>
        <v>0</v>
      </c>
      <c r="BI71" s="93">
        <f>IF(AND($T71=1,BI$5&lt;=$H71),INDEX(Mortality!$B$4:$E$64,MATCH($D71+BI$5-1,Mortality!$A$4:$A$64,0),$U71)*$V71*$N71,0)</f>
        <v>0</v>
      </c>
      <c r="BJ71" s="93">
        <f>IF(AND($T71=1,BJ$5&lt;=$H71),INDEX(Mortality!$B$4:$E$64,MATCH($D71+BJ$5-1,Mortality!$A$4:$A$64,0),$U71)*$V71*$N71,0)</f>
        <v>0</v>
      </c>
      <c r="BK71" s="93">
        <f>IF(AND($T71=1,BK$5&lt;=$H71),INDEX(Mortality!$B$4:$E$64,MATCH($D71+BK$5-1,Mortality!$A$4:$A$64,0),$U71)*$V71*$N71,0)</f>
        <v>0</v>
      </c>
      <c r="BL71" s="93">
        <f>IF(AND($T71=1,BL$5&lt;=$H71),INDEX(Mortality!$B$4:$E$64,MATCH($D71+BL$5-1,Mortality!$A$4:$A$64,0),$U71)*$V71*$N71,0)</f>
        <v>0</v>
      </c>
      <c r="BM71" s="93">
        <f>IF(AND($T71=1,BM$5&lt;=$H71),INDEX(Mortality!$B$4:$E$64,MATCH($D71+BM$5-1,Mortality!$A$4:$A$64,0),$U71)*$V71*$N71,0)</f>
        <v>0</v>
      </c>
      <c r="BN71" s="93">
        <f>IF(AND($T71=1,BN$5&lt;=$H71),INDEX(Mortality!$B$4:$E$64,MATCH($D71+BN$5-1,Mortality!$A$4:$A$64,0),$U71)*$V71*$N71,0)</f>
        <v>0</v>
      </c>
      <c r="BO71" s="93">
        <f>IF(AND($T71=1,BO$5&lt;=$H71),INDEX(Mortality!$B$4:$E$64,MATCH($D71+BO$5-1,Mortality!$A$4:$A$64,0),$U71)*$V71*$N71,0)</f>
        <v>0</v>
      </c>
      <c r="BP71" s="93">
        <f>IF(AND($T71=1,BP$5&lt;=$H71),INDEX(Mortality!$B$4:$E$64,MATCH($D71+BP$5-1,Mortality!$A$4:$A$64,0),$U71)*$V71*$N71,0)</f>
        <v>0</v>
      </c>
      <c r="BQ71" s="93">
        <f>IF(AND($T71=1,BQ$5&lt;=$H71),INDEX(Mortality!$B$4:$E$64,MATCH($D71+BQ$5-1,Mortality!$A$4:$A$64,0),$U71)*$V71*$N71,0)</f>
        <v>0</v>
      </c>
      <c r="BR71" s="93">
        <f>IF(AND($T71=1,BR$5&lt;=$H71),INDEX(Mortality!$B$4:$E$64,MATCH($D71+BR$5-1,Mortality!$A$4:$A$64,0),$U71)*$V71*$N71,0)</f>
        <v>0</v>
      </c>
      <c r="BS71" s="93">
        <f>IF(AND($T71=1,BS$5&lt;=$H71),INDEX(Mortality!$B$4:$E$64,MATCH($D71+BS$5-1,Mortality!$A$4:$A$64,0),$U71)*$V71*$N71,0)</f>
        <v>0</v>
      </c>
      <c r="BT71" s="93">
        <f>IF(AND($T71=1,BT$5&lt;=$H71),INDEX(Mortality!$B$4:$E$64,MATCH($D71+BT$5-1,Mortality!$A$4:$A$64,0),$U71)*$V71*$N71,0)</f>
        <v>0</v>
      </c>
      <c r="BU71" s="93">
        <f>IF(AND($T71=1,BU$5&lt;=$H71),INDEX(Mortality!$B$4:$E$64,MATCH($D71+BU$5-1,Mortality!$A$4:$A$64,0),$U71)*$V71*$N71,0)</f>
        <v>0</v>
      </c>
      <c r="BV71" s="93">
        <f>IF(AND($T71=1,BV$5&lt;=$H71),INDEX(Mortality!$B$4:$E$64,MATCH($D71+BV$5-1,Mortality!$A$4:$A$64,0),$U71)*$V71*$N71,0)</f>
        <v>0</v>
      </c>
      <c r="BW71" s="93">
        <f>IF(AND($T71=1,BW$5&lt;=$H71),INDEX(Mortality!$B$4:$E$64,MATCH($D71+BW$5-1,Mortality!$A$4:$A$64,0),$U71)*$V71*$N71,0)</f>
        <v>0</v>
      </c>
      <c r="BX71" s="93">
        <f>IF(AND($T71=1,BX$5&lt;=$H71),INDEX(Mortality!$B$4:$E$64,MATCH($D71+BX$5-1,Mortality!$A$4:$A$64,0),$U71)*$V71*$N71,0)</f>
        <v>0</v>
      </c>
      <c r="BY71" s="93">
        <f>IF(AND($T71=1,BY$5&lt;=$H71),INDEX(Mortality!$B$4:$E$64,MATCH($D71+BY$5-1,Mortality!$A$4:$A$64,0),$U71)*$V71*$N71,0)</f>
        <v>0</v>
      </c>
      <c r="BZ71" s="93">
        <f>IF(AND($T71=1,BZ$5&lt;=$H71),INDEX(Mortality!$B$4:$E$64,MATCH($D71+BZ$5-1,Mortality!$A$4:$A$64,0),$U71)*$V71*$N71,0)</f>
        <v>0</v>
      </c>
      <c r="CA71" s="93">
        <f>IF(AND($T71=1,CA$5&lt;=$H71),INDEX(Mortality!$B$4:$E$64,MATCH($D71+CA$5-1,Mortality!$A$4:$A$64,0),$U71)*$V71*$N71,0)</f>
        <v>0</v>
      </c>
      <c r="CB71" s="93">
        <f>IF(AND($T71=1,CB$5&lt;=$H71),INDEX(Mortality!$B$4:$E$64,MATCH($D71+CB$5-1,Mortality!$A$4:$A$64,0),$U71)*$V71*$N71,0)</f>
        <v>0</v>
      </c>
      <c r="CC71" s="93">
        <f>IF(AND($T71=1,CC$5&lt;=$H71),INDEX(Mortality!$B$4:$E$64,MATCH($D71+CC$5-1,Mortality!$A$4:$A$64,0),$U71)*$V71*$N71,0)</f>
        <v>0</v>
      </c>
      <c r="CD71" s="93">
        <f>IF(AND($T71=1,CD$5&lt;=$H71),INDEX(Mortality!$B$4:$E$64,MATCH($D71+CD$5-1,Mortality!$A$4:$A$64,0),$U71)*$V71*$N71,0)</f>
        <v>0</v>
      </c>
      <c r="CE71" s="93">
        <f>IF(AND($T71=1,CE$5&lt;=$H71),INDEX(Mortality!$B$4:$E$64,MATCH($D71+CE$5-1,Mortality!$A$4:$A$64,0),$U71)*$V71*$N71,0)</f>
        <v>0</v>
      </c>
      <c r="CF71" s="93">
        <f>IF(AND($T71=1,CF$5&lt;=$H71),INDEX(Mortality!$B$4:$E$64,MATCH($D71+CF$5-1,Mortality!$A$4:$A$64,0),$U71)*$V71*$N71,0)</f>
        <v>0</v>
      </c>
      <c r="CG71" s="93">
        <f>IF(AND($T71=1,CG$5&lt;=$H71),INDEX(Mortality!$B$4:$E$64,MATCH($D71+CG$5-1,Mortality!$A$4:$A$64,0),$U71)*$V71*$N71,0)</f>
        <v>0</v>
      </c>
      <c r="CH71" s="94">
        <f>IF(AND($T71=1,CH$5&lt;=$H71),INDEX(Mortality!$B$4:$E$64,MATCH($D71+CH$5-1,Mortality!$A$4:$A$64,0),$U71)*$V71*$N71,0)</f>
        <v>0</v>
      </c>
      <c r="CI71" s="26"/>
      <c r="CJ71" s="419">
        <f t="shared" si="35"/>
        <v>0</v>
      </c>
      <c r="CK71" s="93">
        <f>IF(AND($T71=1,CK$5&lt;=$H71),CJ71*(1-AU71)*(1-MIN(1,MAX(Assumptions!$C$27,Assumptions!$C$13*Assumptions!$C$28^(CJ$5-1))*$O71)),0)</f>
        <v>0</v>
      </c>
      <c r="CL71" s="93">
        <f>IF(AND($T71=1,CL$5&lt;=$H71),CK71*(1-AV71)*(1-MIN(1,MAX(Assumptions!$C$27,Assumptions!$C$13*Assumptions!$C$28^(CK$5-1))*$O71)),0)</f>
        <v>0</v>
      </c>
      <c r="CM71" s="93">
        <f>IF(AND($T71=1,CM$5&lt;=$H71),CL71*(1-AW71)*(1-MIN(1,MAX(Assumptions!$C$27,Assumptions!$C$13*Assumptions!$C$28^(CL$5-1))*$O71)),0)</f>
        <v>0</v>
      </c>
      <c r="CN71" s="93">
        <f>IF(AND($T71=1,CN$5&lt;=$H71),CM71*(1-AX71)*(1-MIN(1,MAX(Assumptions!$C$27,Assumptions!$C$13*Assumptions!$C$28^(CM$5-1))*$O71)),0)</f>
        <v>0</v>
      </c>
      <c r="CO71" s="93">
        <f>IF(AND($T71=1,CO$5&lt;=$H71),CN71*(1-AY71)*(1-MIN(1,MAX(Assumptions!$C$27,Assumptions!$C$13*Assumptions!$C$28^(CN$5-1))*$O71)),0)</f>
        <v>0</v>
      </c>
      <c r="CP71" s="93">
        <f>IF(AND($T71=1,CP$5&lt;=$H71),CO71*(1-AZ71)*(1-MIN(1,MAX(Assumptions!$C$27,Assumptions!$C$13*Assumptions!$C$28^(CO$5-1))*$O71)),0)</f>
        <v>0</v>
      </c>
      <c r="CQ71" s="93">
        <f>IF(AND($T71=1,CQ$5&lt;=$H71),CP71*(1-BA71)*(1-MIN(1,MAX(Assumptions!$C$27,Assumptions!$C$13*Assumptions!$C$28^(CP$5-1))*$O71)),0)</f>
        <v>0</v>
      </c>
      <c r="CR71" s="93">
        <f>IF(AND($T71=1,CR$5&lt;=$H71),CQ71*(1-BB71)*(1-MIN(1,MAX(Assumptions!$C$27,Assumptions!$C$13*Assumptions!$C$28^(CQ$5-1))*$O71)),0)</f>
        <v>0</v>
      </c>
      <c r="CS71" s="93">
        <f>IF(AND($T71=1,CS$5&lt;=$H71),CR71*(1-BC71)*(1-MIN(1,MAX(Assumptions!$C$27,Assumptions!$C$13*Assumptions!$C$28^(CR$5-1))*$O71)),0)</f>
        <v>0</v>
      </c>
      <c r="CT71" s="93">
        <f>IF(AND($T71=1,CT$5&lt;=$H71),CS71*(1-BD71)*(1-MIN(1,MAX(Assumptions!$C$27,Assumptions!$C$13*Assumptions!$C$28^(CS$5-1))*$O71)),0)</f>
        <v>0</v>
      </c>
      <c r="CU71" s="93">
        <f>IF(AND($T71=1,CU$5&lt;=$H71),CT71*(1-BE71)*(1-MIN(1,MAX(Assumptions!$C$27,Assumptions!$C$13*Assumptions!$C$28^(CT$5-1))*$O71)),0)</f>
        <v>0</v>
      </c>
      <c r="CV71" s="93">
        <f>IF(AND($T71=1,CV$5&lt;=$H71),CU71*(1-BF71)*(1-MIN(1,MAX(Assumptions!$C$27,Assumptions!$C$13*Assumptions!$C$28^(CU$5-1))*$O71)),0)</f>
        <v>0</v>
      </c>
      <c r="CW71" s="93">
        <f>IF(AND($T71=1,CW$5&lt;=$H71),CV71*(1-BG71)*(1-MIN(1,MAX(Assumptions!$C$27,Assumptions!$C$13*Assumptions!$C$28^(CV$5-1))*$O71)),0)</f>
        <v>0</v>
      </c>
      <c r="CX71" s="93">
        <f>IF(AND($T71=1,CX$5&lt;=$H71),CW71*(1-BH71)*(1-MIN(1,MAX(Assumptions!$C$27,Assumptions!$C$13*Assumptions!$C$28^(CW$5-1))*$O71)),0)</f>
        <v>0</v>
      </c>
      <c r="CY71" s="93">
        <f>IF(AND($T71=1,CY$5&lt;=$H71),CX71*(1-BI71)*(1-MIN(1,MAX(Assumptions!$C$27,Assumptions!$C$13*Assumptions!$C$28^(CX$5-1))*$O71)),0)</f>
        <v>0</v>
      </c>
      <c r="CZ71" s="93">
        <f>IF(AND($T71=1,CZ$5&lt;=$H71),CY71*(1-BJ71)*(1-MIN(1,MAX(Assumptions!$C$27,Assumptions!$C$13*Assumptions!$C$28^(CY$5-1))*$O71)),0)</f>
        <v>0</v>
      </c>
      <c r="DA71" s="93">
        <f>IF(AND($T71=1,DA$5&lt;=$H71),CZ71*(1-BK71)*(1-MIN(1,MAX(Assumptions!$C$27,Assumptions!$C$13*Assumptions!$C$28^(CZ$5-1))*$O71)),0)</f>
        <v>0</v>
      </c>
      <c r="DB71" s="93">
        <f>IF(AND($T71=1,DB$5&lt;=$H71),DA71*(1-BL71)*(1-MIN(1,MAX(Assumptions!$C$27,Assumptions!$C$13*Assumptions!$C$28^(DA$5-1))*$O71)),0)</f>
        <v>0</v>
      </c>
      <c r="DC71" s="93">
        <f>IF(AND($T71=1,DC$5&lt;=$H71),DB71*(1-BM71)*(1-MIN(1,MAX(Assumptions!$C$27,Assumptions!$C$13*Assumptions!$C$28^(DB$5-1))*$O71)),0)</f>
        <v>0</v>
      </c>
      <c r="DD71" s="93">
        <f>IF(AND($T71=1,DD$5&lt;=$H71),DC71*(1-BN71)*(1-MIN(1,MAX(Assumptions!$C$27,Assumptions!$C$13*Assumptions!$C$28^(DC$5-1))*$O71)),0)</f>
        <v>0</v>
      </c>
      <c r="DE71" s="93">
        <f>IF(AND($T71=1,DE$5&lt;=$H71),DD71*(1-BO71)*(1-MIN(1,MAX(Assumptions!$C$27,Assumptions!$C$13*Assumptions!$C$28^(DD$5-1))*$O71)),0)</f>
        <v>0</v>
      </c>
      <c r="DF71" s="93">
        <f>IF(AND($T71=1,DF$5&lt;=$H71),DE71*(1-BP71)*(1-MIN(1,MAX(Assumptions!$C$27,Assumptions!$C$13*Assumptions!$C$28^(DE$5-1))*$O71)),0)</f>
        <v>0</v>
      </c>
      <c r="DG71" s="93">
        <f>IF(AND($T71=1,DG$5&lt;=$H71),DF71*(1-BQ71)*(1-MIN(1,MAX(Assumptions!$C$27,Assumptions!$C$13*Assumptions!$C$28^(DF$5-1))*$O71)),0)</f>
        <v>0</v>
      </c>
      <c r="DH71" s="93">
        <f>IF(AND($T71=1,DH$5&lt;=$H71),DG71*(1-BR71)*(1-MIN(1,MAX(Assumptions!$C$27,Assumptions!$C$13*Assumptions!$C$28^(DG$5-1))*$O71)),0)</f>
        <v>0</v>
      </c>
      <c r="DI71" s="93">
        <f>IF(AND($T71=1,DI$5&lt;=$H71),DH71*(1-BS71)*(1-MIN(1,MAX(Assumptions!$C$27,Assumptions!$C$13*Assumptions!$C$28^(DH$5-1))*$O71)),0)</f>
        <v>0</v>
      </c>
      <c r="DJ71" s="93">
        <f>IF(AND($T71=1,DJ$5&lt;=$H71),DI71*(1-BT71)*(1-MIN(1,MAX(Assumptions!$C$27,Assumptions!$C$13*Assumptions!$C$28^(DI$5-1))*$O71)),0)</f>
        <v>0</v>
      </c>
      <c r="DK71" s="93">
        <f>IF(AND($T71=1,DK$5&lt;=$H71),DJ71*(1-BU71)*(1-MIN(1,MAX(Assumptions!$C$27,Assumptions!$C$13*Assumptions!$C$28^(DJ$5-1))*$O71)),0)</f>
        <v>0</v>
      </c>
      <c r="DL71" s="93">
        <f>IF(AND($T71=1,DL$5&lt;=$H71),DK71*(1-BV71)*(1-MIN(1,MAX(Assumptions!$C$27,Assumptions!$C$13*Assumptions!$C$28^(DK$5-1))*$O71)),0)</f>
        <v>0</v>
      </c>
      <c r="DM71" s="93">
        <f>IF(AND($T71=1,DM$5&lt;=$H71),DL71*(1-BW71)*(1-MIN(1,MAX(Assumptions!$C$27,Assumptions!$C$13*Assumptions!$C$28^(DL$5-1))*$O71)),0)</f>
        <v>0</v>
      </c>
      <c r="DN71" s="93">
        <f>IF(AND($T71=1,DN$5&lt;=$H71),DM71*(1-BX71)*(1-MIN(1,MAX(Assumptions!$C$27,Assumptions!$C$13*Assumptions!$C$28^(DM$5-1))*$O71)),0)</f>
        <v>0</v>
      </c>
      <c r="DO71" s="93">
        <f>IF(AND($T71=1,DO$5&lt;=$H71),DN71*(1-BY71)*(1-MIN(1,MAX(Assumptions!$C$27,Assumptions!$C$13*Assumptions!$C$28^(DN$5-1))*$O71)),0)</f>
        <v>0</v>
      </c>
      <c r="DP71" s="93">
        <f>IF(AND($T71=1,DP$5&lt;=$H71),DO71*(1-BZ71)*(1-MIN(1,MAX(Assumptions!$C$27,Assumptions!$C$13*Assumptions!$C$28^(DO$5-1))*$O71)),0)</f>
        <v>0</v>
      </c>
      <c r="DQ71" s="93">
        <f>IF(AND($T71=1,DQ$5&lt;=$H71),DP71*(1-CA71)*(1-MIN(1,MAX(Assumptions!$C$27,Assumptions!$C$13*Assumptions!$C$28^(DP$5-1))*$O71)),0)</f>
        <v>0</v>
      </c>
      <c r="DR71" s="93">
        <f>IF(AND($T71=1,DR$5&lt;=$H71),DQ71*(1-CB71)*(1-MIN(1,MAX(Assumptions!$C$27,Assumptions!$C$13*Assumptions!$C$28^(DQ$5-1))*$O71)),0)</f>
        <v>0</v>
      </c>
      <c r="DS71" s="93">
        <f>IF(AND($T71=1,DS$5&lt;=$H71),DR71*(1-CC71)*(1-MIN(1,MAX(Assumptions!$C$27,Assumptions!$C$13*Assumptions!$C$28^(DR$5-1))*$O71)),0)</f>
        <v>0</v>
      </c>
      <c r="DT71" s="93">
        <f>IF(AND($T71=1,DT$5&lt;=$H71),DS71*(1-CD71)*(1-MIN(1,MAX(Assumptions!$C$27,Assumptions!$C$13*Assumptions!$C$28^(DS$5-1))*$O71)),0)</f>
        <v>0</v>
      </c>
      <c r="DU71" s="93">
        <f>IF(AND($T71=1,DU$5&lt;=$H71),DT71*(1-CE71)*(1-MIN(1,MAX(Assumptions!$C$27,Assumptions!$C$13*Assumptions!$C$28^(DT$5-1))*$O71)),0)</f>
        <v>0</v>
      </c>
      <c r="DV71" s="93">
        <f>IF(AND($T71=1,DV$5&lt;=$H71),DU71*(1-CF71)*(1-MIN(1,MAX(Assumptions!$C$27,Assumptions!$C$13*Assumptions!$C$28^(DU$5-1))*$O71)),0)</f>
        <v>0</v>
      </c>
      <c r="DW71" s="94">
        <f>IF(AND($T71=1,DW$5&lt;=$H71),DV71*(1-CG71)*(1-MIN(1,MAX(Assumptions!$C$27,Assumptions!$C$13*Assumptions!$C$28^(DV$5-1))*$O71)),0)</f>
        <v>0</v>
      </c>
      <c r="DX71" s="26"/>
      <c r="DY71" s="399">
        <f>'Policy Data'!K45</f>
        <v>7</v>
      </c>
      <c r="DZ71" s="100">
        <f>'Policy Data'!L45</f>
        <v>0.7077</v>
      </c>
      <c r="EA71" s="100">
        <f>'Policy Data'!N45</f>
        <v>4.2999999999999999E-4</v>
      </c>
      <c r="EB71" s="93" cm="1">
        <f t="array" ref="EB71">IFERROR(DZ71*INDEX(Mortality!$B$4:$E$64,MATCH(D71+DY71-1,Mortality!$A$4:$A$64,0),U71)*V71,0)</f>
        <v>6.9455720071202875E-4</v>
      </c>
      <c r="EC71" s="100">
        <f>'Policy Data'!O45</f>
        <v>0</v>
      </c>
      <c r="ED71" s="400">
        <f>'Policy Data'!Q45</f>
        <v>0</v>
      </c>
    </row>
    <row r="72" spans="1:134" x14ac:dyDescent="0.3">
      <c r="A72" s="399" t="str">
        <f>'Policy Data'!A46</f>
        <v>POL100042</v>
      </c>
      <c r="B72" s="26" t="s">
        <v>426</v>
      </c>
      <c r="C72" s="100" t="str">
        <f>'Policy Data'!B46</f>
        <v>Unit-Linked</v>
      </c>
      <c r="D72" s="100">
        <f>'Policy Data'!C46</f>
        <v>22</v>
      </c>
      <c r="E72" s="100" t="str">
        <f>'Policy Data'!D46</f>
        <v>Female</v>
      </c>
      <c r="F72" s="100" t="str">
        <f>'Policy Data'!E46</f>
        <v>Non-smoker</v>
      </c>
      <c r="G72" s="100" t="str">
        <f>'Policy Data'!F46</f>
        <v>Standard</v>
      </c>
      <c r="H72" s="100">
        <f>'Policy Data'!G46</f>
        <v>15</v>
      </c>
      <c r="I72" s="279">
        <f>'Policy Data'!H46</f>
        <v>250000</v>
      </c>
      <c r="J72" s="100" t="str">
        <f>'Policy Data'!I46</f>
        <v>Monthly</v>
      </c>
      <c r="K72" s="100" t="str">
        <f>'Policy Data'!J46</f>
        <v>Broker</v>
      </c>
      <c r="L72" s="26" t="s">
        <v>389</v>
      </c>
      <c r="M72" s="106">
        <f>'Policy Data'!R46</f>
        <v>9845.56</v>
      </c>
      <c r="N72" s="415">
        <f>Assumptions!$C$21</f>
        <v>1</v>
      </c>
      <c r="O72" s="415">
        <f>Assumptions!$C$22</f>
        <v>1</v>
      </c>
      <c r="P72" s="415">
        <f>Assumptions!$C$23</f>
        <v>1</v>
      </c>
      <c r="Q72" s="416">
        <f>Assumptions!$C$24</f>
        <v>0</v>
      </c>
      <c r="R72" s="416">
        <f>Assumptions!$C$6+Assumptions!$C$25</f>
        <v>3.5000000000000003E-2</v>
      </c>
      <c r="S72" s="416">
        <f>Assumptions!$C$15</f>
        <v>1.1000000000000001E-3</v>
      </c>
      <c r="T72" s="26">
        <f t="shared" si="18"/>
        <v>0</v>
      </c>
      <c r="U72" s="26">
        <f t="shared" si="19"/>
        <v>1</v>
      </c>
      <c r="V72" s="389">
        <f>IF($G72="Preferred",Assumptions!$C$30,IF($G72="Rated",Assumptions!$C$31,1))</f>
        <v>1</v>
      </c>
      <c r="W72" s="390">
        <f>IF($K72="Direct",Assumptions!$C$32,IF($K72="Broker",Assumptions!$C$33,IF($K72="Bancassurance",Assumptions!$C$34,Assumptions!$C$11)))+$Q72</f>
        <v>0.25</v>
      </c>
      <c r="X72" s="390">
        <f>Assumptions!$C$12+$Q72</f>
        <v>0.05</v>
      </c>
      <c r="Y72" s="131">
        <f>MIN($I72,Assumptions!$C$14)</f>
        <v>250000</v>
      </c>
      <c r="Z72" s="131">
        <f>MAX($I72-Assumptions!$C$14,0)</f>
        <v>0</v>
      </c>
      <c r="AA72" s="389">
        <f t="shared" si="20"/>
        <v>0</v>
      </c>
      <c r="AB72" s="389">
        <f t="shared" si="21"/>
        <v>0</v>
      </c>
      <c r="AC72" s="389">
        <f>IF($T72=1,SUMPRODUCT($CJ72:$DW72,(1+Assumptions!$C$5)^($CJ$5:$DW$5-1),(1+$R72)^(-$CJ$5:$DW$5)),0)</f>
        <v>0</v>
      </c>
      <c r="AD72" s="389">
        <f t="shared" si="22"/>
        <v>0</v>
      </c>
      <c r="AE72" s="131">
        <f>IF($T72=1,$AB72*$Y72+(Assumptions!$C$9/(1+$R72)+Assumptions!$C$10*$AC72)*$P72+$S72*$Z72*$AA72,0)</f>
        <v>0</v>
      </c>
      <c r="AF72" s="131" t="str">
        <f>IF($T72=1,IF($AA72-$AD72-Assumptions!$C$16*$AA72&gt;0,$AE72/($AA72-$AD72-Assumptions!$C$16*$AA72)*IF($J72="Monthly",1+Assumptions!$C$29,1),"n.a."),"")</f>
        <v/>
      </c>
      <c r="AG72" s="131" t="str">
        <f t="shared" si="23"/>
        <v/>
      </c>
      <c r="AH72" s="131" t="str">
        <f t="shared" si="24"/>
        <v/>
      </c>
      <c r="AI72" s="131" t="str">
        <f t="shared" si="25"/>
        <v/>
      </c>
      <c r="AJ72" s="390" t="str">
        <f t="shared" si="26"/>
        <v/>
      </c>
      <c r="AK72" s="389" t="str">
        <f t="shared" si="27"/>
        <v/>
      </c>
      <c r="AL72" s="131" t="str">
        <f t="shared" si="28"/>
        <v/>
      </c>
      <c r="AM72" s="131" t="str">
        <f t="shared" si="29"/>
        <v/>
      </c>
      <c r="AN72" s="131" t="str">
        <f t="shared" si="30"/>
        <v/>
      </c>
      <c r="AO72" s="131" t="str">
        <f t="shared" si="31"/>
        <v/>
      </c>
      <c r="AP72" s="26" t="str">
        <f t="shared" si="32"/>
        <v>20-29</v>
      </c>
      <c r="AQ72" s="26" t="str">
        <f t="shared" si="33"/>
        <v>Up to 250k</v>
      </c>
      <c r="AR72" s="26" t="str">
        <f>IF($T72=1,IF($AI72&lt;0,"Loss-making",IF($AJ72&lt;Assumptions!$C$16-0.00001,"Below target","At/above target")),"Excluded")</f>
        <v>Excluded</v>
      </c>
      <c r="AS72" s="103">
        <f t="shared" si="34"/>
        <v>9.9999999999999997E+98</v>
      </c>
      <c r="AT72" s="26"/>
      <c r="AU72" s="419">
        <f>IF(AND($T72=1,AU$5&lt;=$H72),INDEX(Mortality!$B$4:$E$64,MATCH($D72+AU$5-1,Mortality!$A$4:$A$64,0),$U72)*$V72*$N72,0)</f>
        <v>0</v>
      </c>
      <c r="AV72" s="93">
        <f>IF(AND($T72=1,AV$5&lt;=$H72),INDEX(Mortality!$B$4:$E$64,MATCH($D72+AV$5-1,Mortality!$A$4:$A$64,0),$U72)*$V72*$N72,0)</f>
        <v>0</v>
      </c>
      <c r="AW72" s="93">
        <f>IF(AND($T72=1,AW$5&lt;=$H72),INDEX(Mortality!$B$4:$E$64,MATCH($D72+AW$5-1,Mortality!$A$4:$A$64,0),$U72)*$V72*$N72,0)</f>
        <v>0</v>
      </c>
      <c r="AX72" s="93">
        <f>IF(AND($T72=1,AX$5&lt;=$H72),INDEX(Mortality!$B$4:$E$64,MATCH($D72+AX$5-1,Mortality!$A$4:$A$64,0),$U72)*$V72*$N72,0)</f>
        <v>0</v>
      </c>
      <c r="AY72" s="93">
        <f>IF(AND($T72=1,AY$5&lt;=$H72),INDEX(Mortality!$B$4:$E$64,MATCH($D72+AY$5-1,Mortality!$A$4:$A$64,0),$U72)*$V72*$N72,0)</f>
        <v>0</v>
      </c>
      <c r="AZ72" s="93">
        <f>IF(AND($T72=1,AZ$5&lt;=$H72),INDEX(Mortality!$B$4:$E$64,MATCH($D72+AZ$5-1,Mortality!$A$4:$A$64,0),$U72)*$V72*$N72,0)</f>
        <v>0</v>
      </c>
      <c r="BA72" s="93">
        <f>IF(AND($T72=1,BA$5&lt;=$H72),INDEX(Mortality!$B$4:$E$64,MATCH($D72+BA$5-1,Mortality!$A$4:$A$64,0),$U72)*$V72*$N72,0)</f>
        <v>0</v>
      </c>
      <c r="BB72" s="93">
        <f>IF(AND($T72=1,BB$5&lt;=$H72),INDEX(Mortality!$B$4:$E$64,MATCH($D72+BB$5-1,Mortality!$A$4:$A$64,0),$U72)*$V72*$N72,0)</f>
        <v>0</v>
      </c>
      <c r="BC72" s="93">
        <f>IF(AND($T72=1,BC$5&lt;=$H72),INDEX(Mortality!$B$4:$E$64,MATCH($D72+BC$5-1,Mortality!$A$4:$A$64,0),$U72)*$V72*$N72,0)</f>
        <v>0</v>
      </c>
      <c r="BD72" s="93">
        <f>IF(AND($T72=1,BD$5&lt;=$H72),INDEX(Mortality!$B$4:$E$64,MATCH($D72+BD$5-1,Mortality!$A$4:$A$64,0),$U72)*$V72*$N72,0)</f>
        <v>0</v>
      </c>
      <c r="BE72" s="93">
        <f>IF(AND($T72=1,BE$5&lt;=$H72),INDEX(Mortality!$B$4:$E$64,MATCH($D72+BE$5-1,Mortality!$A$4:$A$64,0),$U72)*$V72*$N72,0)</f>
        <v>0</v>
      </c>
      <c r="BF72" s="93">
        <f>IF(AND($T72=1,BF$5&lt;=$H72),INDEX(Mortality!$B$4:$E$64,MATCH($D72+BF$5-1,Mortality!$A$4:$A$64,0),$U72)*$V72*$N72,0)</f>
        <v>0</v>
      </c>
      <c r="BG72" s="93">
        <f>IF(AND($T72=1,BG$5&lt;=$H72),INDEX(Mortality!$B$4:$E$64,MATCH($D72+BG$5-1,Mortality!$A$4:$A$64,0),$U72)*$V72*$N72,0)</f>
        <v>0</v>
      </c>
      <c r="BH72" s="93">
        <f>IF(AND($T72=1,BH$5&lt;=$H72),INDEX(Mortality!$B$4:$E$64,MATCH($D72+BH$5-1,Mortality!$A$4:$A$64,0),$U72)*$V72*$N72,0)</f>
        <v>0</v>
      </c>
      <c r="BI72" s="93">
        <f>IF(AND($T72=1,BI$5&lt;=$H72),INDEX(Mortality!$B$4:$E$64,MATCH($D72+BI$5-1,Mortality!$A$4:$A$64,0),$U72)*$V72*$N72,0)</f>
        <v>0</v>
      </c>
      <c r="BJ72" s="93">
        <f>IF(AND($T72=1,BJ$5&lt;=$H72),INDEX(Mortality!$B$4:$E$64,MATCH($D72+BJ$5-1,Mortality!$A$4:$A$64,0),$U72)*$V72*$N72,0)</f>
        <v>0</v>
      </c>
      <c r="BK72" s="93">
        <f>IF(AND($T72=1,BK$5&lt;=$H72),INDEX(Mortality!$B$4:$E$64,MATCH($D72+BK$5-1,Mortality!$A$4:$A$64,0),$U72)*$V72*$N72,0)</f>
        <v>0</v>
      </c>
      <c r="BL72" s="93">
        <f>IF(AND($T72=1,BL$5&lt;=$H72),INDEX(Mortality!$B$4:$E$64,MATCH($D72+BL$5-1,Mortality!$A$4:$A$64,0),$U72)*$V72*$N72,0)</f>
        <v>0</v>
      </c>
      <c r="BM72" s="93">
        <f>IF(AND($T72=1,BM$5&lt;=$H72),INDEX(Mortality!$B$4:$E$64,MATCH($D72+BM$5-1,Mortality!$A$4:$A$64,0),$U72)*$V72*$N72,0)</f>
        <v>0</v>
      </c>
      <c r="BN72" s="93">
        <f>IF(AND($T72=1,BN$5&lt;=$H72),INDEX(Mortality!$B$4:$E$64,MATCH($D72+BN$5-1,Mortality!$A$4:$A$64,0),$U72)*$V72*$N72,0)</f>
        <v>0</v>
      </c>
      <c r="BO72" s="93">
        <f>IF(AND($T72=1,BO$5&lt;=$H72),INDEX(Mortality!$B$4:$E$64,MATCH($D72+BO$5-1,Mortality!$A$4:$A$64,0),$U72)*$V72*$N72,0)</f>
        <v>0</v>
      </c>
      <c r="BP72" s="93">
        <f>IF(AND($T72=1,BP$5&lt;=$H72),INDEX(Mortality!$B$4:$E$64,MATCH($D72+BP$5-1,Mortality!$A$4:$A$64,0),$U72)*$V72*$N72,0)</f>
        <v>0</v>
      </c>
      <c r="BQ72" s="93">
        <f>IF(AND($T72=1,BQ$5&lt;=$H72),INDEX(Mortality!$B$4:$E$64,MATCH($D72+BQ$5-1,Mortality!$A$4:$A$64,0),$U72)*$V72*$N72,0)</f>
        <v>0</v>
      </c>
      <c r="BR72" s="93">
        <f>IF(AND($T72=1,BR$5&lt;=$H72),INDEX(Mortality!$B$4:$E$64,MATCH($D72+BR$5-1,Mortality!$A$4:$A$64,0),$U72)*$V72*$N72,0)</f>
        <v>0</v>
      </c>
      <c r="BS72" s="93">
        <f>IF(AND($T72=1,BS$5&lt;=$H72),INDEX(Mortality!$B$4:$E$64,MATCH($D72+BS$5-1,Mortality!$A$4:$A$64,0),$U72)*$V72*$N72,0)</f>
        <v>0</v>
      </c>
      <c r="BT72" s="93">
        <f>IF(AND($T72=1,BT$5&lt;=$H72),INDEX(Mortality!$B$4:$E$64,MATCH($D72+BT$5-1,Mortality!$A$4:$A$64,0),$U72)*$V72*$N72,0)</f>
        <v>0</v>
      </c>
      <c r="BU72" s="93">
        <f>IF(AND($T72=1,BU$5&lt;=$H72),INDEX(Mortality!$B$4:$E$64,MATCH($D72+BU$5-1,Mortality!$A$4:$A$64,0),$U72)*$V72*$N72,0)</f>
        <v>0</v>
      </c>
      <c r="BV72" s="93">
        <f>IF(AND($T72=1,BV$5&lt;=$H72),INDEX(Mortality!$B$4:$E$64,MATCH($D72+BV$5-1,Mortality!$A$4:$A$64,0),$U72)*$V72*$N72,0)</f>
        <v>0</v>
      </c>
      <c r="BW72" s="93">
        <f>IF(AND($T72=1,BW$5&lt;=$H72),INDEX(Mortality!$B$4:$E$64,MATCH($D72+BW$5-1,Mortality!$A$4:$A$64,0),$U72)*$V72*$N72,0)</f>
        <v>0</v>
      </c>
      <c r="BX72" s="93">
        <f>IF(AND($T72=1,BX$5&lt;=$H72),INDEX(Mortality!$B$4:$E$64,MATCH($D72+BX$5-1,Mortality!$A$4:$A$64,0),$U72)*$V72*$N72,0)</f>
        <v>0</v>
      </c>
      <c r="BY72" s="93">
        <f>IF(AND($T72=1,BY$5&lt;=$H72),INDEX(Mortality!$B$4:$E$64,MATCH($D72+BY$5-1,Mortality!$A$4:$A$64,0),$U72)*$V72*$N72,0)</f>
        <v>0</v>
      </c>
      <c r="BZ72" s="93">
        <f>IF(AND($T72=1,BZ$5&lt;=$H72),INDEX(Mortality!$B$4:$E$64,MATCH($D72+BZ$5-1,Mortality!$A$4:$A$64,0),$U72)*$V72*$N72,0)</f>
        <v>0</v>
      </c>
      <c r="CA72" s="93">
        <f>IF(AND($T72=1,CA$5&lt;=$H72),INDEX(Mortality!$B$4:$E$64,MATCH($D72+CA$5-1,Mortality!$A$4:$A$64,0),$U72)*$V72*$N72,0)</f>
        <v>0</v>
      </c>
      <c r="CB72" s="93">
        <f>IF(AND($T72=1,CB$5&lt;=$H72),INDEX(Mortality!$B$4:$E$64,MATCH($D72+CB$5-1,Mortality!$A$4:$A$64,0),$U72)*$V72*$N72,0)</f>
        <v>0</v>
      </c>
      <c r="CC72" s="93">
        <f>IF(AND($T72=1,CC$5&lt;=$H72),INDEX(Mortality!$B$4:$E$64,MATCH($D72+CC$5-1,Mortality!$A$4:$A$64,0),$U72)*$V72*$N72,0)</f>
        <v>0</v>
      </c>
      <c r="CD72" s="93">
        <f>IF(AND($T72=1,CD$5&lt;=$H72),INDEX(Mortality!$B$4:$E$64,MATCH($D72+CD$5-1,Mortality!$A$4:$A$64,0),$U72)*$V72*$N72,0)</f>
        <v>0</v>
      </c>
      <c r="CE72" s="93">
        <f>IF(AND($T72=1,CE$5&lt;=$H72),INDEX(Mortality!$B$4:$E$64,MATCH($D72+CE$5-1,Mortality!$A$4:$A$64,0),$U72)*$V72*$N72,0)</f>
        <v>0</v>
      </c>
      <c r="CF72" s="93">
        <f>IF(AND($T72=1,CF$5&lt;=$H72),INDEX(Mortality!$B$4:$E$64,MATCH($D72+CF$5-1,Mortality!$A$4:$A$64,0),$U72)*$V72*$N72,0)</f>
        <v>0</v>
      </c>
      <c r="CG72" s="93">
        <f>IF(AND($T72=1,CG$5&lt;=$H72),INDEX(Mortality!$B$4:$E$64,MATCH($D72+CG$5-1,Mortality!$A$4:$A$64,0),$U72)*$V72*$N72,0)</f>
        <v>0</v>
      </c>
      <c r="CH72" s="94">
        <f>IF(AND($T72=1,CH$5&lt;=$H72),INDEX(Mortality!$B$4:$E$64,MATCH($D72+CH$5-1,Mortality!$A$4:$A$64,0),$U72)*$V72*$N72,0)</f>
        <v>0</v>
      </c>
      <c r="CI72" s="26"/>
      <c r="CJ72" s="419">
        <f t="shared" si="35"/>
        <v>0</v>
      </c>
      <c r="CK72" s="93">
        <f>IF(AND($T72=1,CK$5&lt;=$H72),CJ72*(1-AU72)*(1-MIN(1,MAX(Assumptions!$C$27,Assumptions!$C$13*Assumptions!$C$28^(CJ$5-1))*$O72)),0)</f>
        <v>0</v>
      </c>
      <c r="CL72" s="93">
        <f>IF(AND($T72=1,CL$5&lt;=$H72),CK72*(1-AV72)*(1-MIN(1,MAX(Assumptions!$C$27,Assumptions!$C$13*Assumptions!$C$28^(CK$5-1))*$O72)),0)</f>
        <v>0</v>
      </c>
      <c r="CM72" s="93">
        <f>IF(AND($T72=1,CM$5&lt;=$H72),CL72*(1-AW72)*(1-MIN(1,MAX(Assumptions!$C$27,Assumptions!$C$13*Assumptions!$C$28^(CL$5-1))*$O72)),0)</f>
        <v>0</v>
      </c>
      <c r="CN72" s="93">
        <f>IF(AND($T72=1,CN$5&lt;=$H72),CM72*(1-AX72)*(1-MIN(1,MAX(Assumptions!$C$27,Assumptions!$C$13*Assumptions!$C$28^(CM$5-1))*$O72)),0)</f>
        <v>0</v>
      </c>
      <c r="CO72" s="93">
        <f>IF(AND($T72=1,CO$5&lt;=$H72),CN72*(1-AY72)*(1-MIN(1,MAX(Assumptions!$C$27,Assumptions!$C$13*Assumptions!$C$28^(CN$5-1))*$O72)),0)</f>
        <v>0</v>
      </c>
      <c r="CP72" s="93">
        <f>IF(AND($T72=1,CP$5&lt;=$H72),CO72*(1-AZ72)*(1-MIN(1,MAX(Assumptions!$C$27,Assumptions!$C$13*Assumptions!$C$28^(CO$5-1))*$O72)),0)</f>
        <v>0</v>
      </c>
      <c r="CQ72" s="93">
        <f>IF(AND($T72=1,CQ$5&lt;=$H72),CP72*(1-BA72)*(1-MIN(1,MAX(Assumptions!$C$27,Assumptions!$C$13*Assumptions!$C$28^(CP$5-1))*$O72)),0)</f>
        <v>0</v>
      </c>
      <c r="CR72" s="93">
        <f>IF(AND($T72=1,CR$5&lt;=$H72),CQ72*(1-BB72)*(1-MIN(1,MAX(Assumptions!$C$27,Assumptions!$C$13*Assumptions!$C$28^(CQ$5-1))*$O72)),0)</f>
        <v>0</v>
      </c>
      <c r="CS72" s="93">
        <f>IF(AND($T72=1,CS$5&lt;=$H72),CR72*(1-BC72)*(1-MIN(1,MAX(Assumptions!$C$27,Assumptions!$C$13*Assumptions!$C$28^(CR$5-1))*$O72)),0)</f>
        <v>0</v>
      </c>
      <c r="CT72" s="93">
        <f>IF(AND($T72=1,CT$5&lt;=$H72),CS72*(1-BD72)*(1-MIN(1,MAX(Assumptions!$C$27,Assumptions!$C$13*Assumptions!$C$28^(CS$5-1))*$O72)),0)</f>
        <v>0</v>
      </c>
      <c r="CU72" s="93">
        <f>IF(AND($T72=1,CU$5&lt;=$H72),CT72*(1-BE72)*(1-MIN(1,MAX(Assumptions!$C$27,Assumptions!$C$13*Assumptions!$C$28^(CT$5-1))*$O72)),0)</f>
        <v>0</v>
      </c>
      <c r="CV72" s="93">
        <f>IF(AND($T72=1,CV$5&lt;=$H72),CU72*(1-BF72)*(1-MIN(1,MAX(Assumptions!$C$27,Assumptions!$C$13*Assumptions!$C$28^(CU$5-1))*$O72)),0)</f>
        <v>0</v>
      </c>
      <c r="CW72" s="93">
        <f>IF(AND($T72=1,CW$5&lt;=$H72),CV72*(1-BG72)*(1-MIN(1,MAX(Assumptions!$C$27,Assumptions!$C$13*Assumptions!$C$28^(CV$5-1))*$O72)),0)</f>
        <v>0</v>
      </c>
      <c r="CX72" s="93">
        <f>IF(AND($T72=1,CX$5&lt;=$H72),CW72*(1-BH72)*(1-MIN(1,MAX(Assumptions!$C$27,Assumptions!$C$13*Assumptions!$C$28^(CW$5-1))*$O72)),0)</f>
        <v>0</v>
      </c>
      <c r="CY72" s="93">
        <f>IF(AND($T72=1,CY$5&lt;=$H72),CX72*(1-BI72)*(1-MIN(1,MAX(Assumptions!$C$27,Assumptions!$C$13*Assumptions!$C$28^(CX$5-1))*$O72)),0)</f>
        <v>0</v>
      </c>
      <c r="CZ72" s="93">
        <f>IF(AND($T72=1,CZ$5&lt;=$H72),CY72*(1-BJ72)*(1-MIN(1,MAX(Assumptions!$C$27,Assumptions!$C$13*Assumptions!$C$28^(CY$5-1))*$O72)),0)</f>
        <v>0</v>
      </c>
      <c r="DA72" s="93">
        <f>IF(AND($T72=1,DA$5&lt;=$H72),CZ72*(1-BK72)*(1-MIN(1,MAX(Assumptions!$C$27,Assumptions!$C$13*Assumptions!$C$28^(CZ$5-1))*$O72)),0)</f>
        <v>0</v>
      </c>
      <c r="DB72" s="93">
        <f>IF(AND($T72=1,DB$5&lt;=$H72),DA72*(1-BL72)*(1-MIN(1,MAX(Assumptions!$C$27,Assumptions!$C$13*Assumptions!$C$28^(DA$5-1))*$O72)),0)</f>
        <v>0</v>
      </c>
      <c r="DC72" s="93">
        <f>IF(AND($T72=1,DC$5&lt;=$H72),DB72*(1-BM72)*(1-MIN(1,MAX(Assumptions!$C$27,Assumptions!$C$13*Assumptions!$C$28^(DB$5-1))*$O72)),0)</f>
        <v>0</v>
      </c>
      <c r="DD72" s="93">
        <f>IF(AND($T72=1,DD$5&lt;=$H72),DC72*(1-BN72)*(1-MIN(1,MAX(Assumptions!$C$27,Assumptions!$C$13*Assumptions!$C$28^(DC$5-1))*$O72)),0)</f>
        <v>0</v>
      </c>
      <c r="DE72" s="93">
        <f>IF(AND($T72=1,DE$5&lt;=$H72),DD72*(1-BO72)*(1-MIN(1,MAX(Assumptions!$C$27,Assumptions!$C$13*Assumptions!$C$28^(DD$5-1))*$O72)),0)</f>
        <v>0</v>
      </c>
      <c r="DF72" s="93">
        <f>IF(AND($T72=1,DF$5&lt;=$H72),DE72*(1-BP72)*(1-MIN(1,MAX(Assumptions!$C$27,Assumptions!$C$13*Assumptions!$C$28^(DE$5-1))*$O72)),0)</f>
        <v>0</v>
      </c>
      <c r="DG72" s="93">
        <f>IF(AND($T72=1,DG$5&lt;=$H72),DF72*(1-BQ72)*(1-MIN(1,MAX(Assumptions!$C$27,Assumptions!$C$13*Assumptions!$C$28^(DF$5-1))*$O72)),0)</f>
        <v>0</v>
      </c>
      <c r="DH72" s="93">
        <f>IF(AND($T72=1,DH$5&lt;=$H72),DG72*(1-BR72)*(1-MIN(1,MAX(Assumptions!$C$27,Assumptions!$C$13*Assumptions!$C$28^(DG$5-1))*$O72)),0)</f>
        <v>0</v>
      </c>
      <c r="DI72" s="93">
        <f>IF(AND($T72=1,DI$5&lt;=$H72),DH72*(1-BS72)*(1-MIN(1,MAX(Assumptions!$C$27,Assumptions!$C$13*Assumptions!$C$28^(DH$5-1))*$O72)),0)</f>
        <v>0</v>
      </c>
      <c r="DJ72" s="93">
        <f>IF(AND($T72=1,DJ$5&lt;=$H72),DI72*(1-BT72)*(1-MIN(1,MAX(Assumptions!$C$27,Assumptions!$C$13*Assumptions!$C$28^(DI$5-1))*$O72)),0)</f>
        <v>0</v>
      </c>
      <c r="DK72" s="93">
        <f>IF(AND($T72=1,DK$5&lt;=$H72),DJ72*(1-BU72)*(1-MIN(1,MAX(Assumptions!$C$27,Assumptions!$C$13*Assumptions!$C$28^(DJ$5-1))*$O72)),0)</f>
        <v>0</v>
      </c>
      <c r="DL72" s="93">
        <f>IF(AND($T72=1,DL$5&lt;=$H72),DK72*(1-BV72)*(1-MIN(1,MAX(Assumptions!$C$27,Assumptions!$C$13*Assumptions!$C$28^(DK$5-1))*$O72)),0)</f>
        <v>0</v>
      </c>
      <c r="DM72" s="93">
        <f>IF(AND($T72=1,DM$5&lt;=$H72),DL72*(1-BW72)*(1-MIN(1,MAX(Assumptions!$C$27,Assumptions!$C$13*Assumptions!$C$28^(DL$5-1))*$O72)),0)</f>
        <v>0</v>
      </c>
      <c r="DN72" s="93">
        <f>IF(AND($T72=1,DN$5&lt;=$H72),DM72*(1-BX72)*(1-MIN(1,MAX(Assumptions!$C$27,Assumptions!$C$13*Assumptions!$C$28^(DM$5-1))*$O72)),0)</f>
        <v>0</v>
      </c>
      <c r="DO72" s="93">
        <f>IF(AND($T72=1,DO$5&lt;=$H72),DN72*(1-BY72)*(1-MIN(1,MAX(Assumptions!$C$27,Assumptions!$C$13*Assumptions!$C$28^(DN$5-1))*$O72)),0)</f>
        <v>0</v>
      </c>
      <c r="DP72" s="93">
        <f>IF(AND($T72=1,DP$5&lt;=$H72),DO72*(1-BZ72)*(1-MIN(1,MAX(Assumptions!$C$27,Assumptions!$C$13*Assumptions!$C$28^(DO$5-1))*$O72)),0)</f>
        <v>0</v>
      </c>
      <c r="DQ72" s="93">
        <f>IF(AND($T72=1,DQ$5&lt;=$H72),DP72*(1-CA72)*(1-MIN(1,MAX(Assumptions!$C$27,Assumptions!$C$13*Assumptions!$C$28^(DP$5-1))*$O72)),0)</f>
        <v>0</v>
      </c>
      <c r="DR72" s="93">
        <f>IF(AND($T72=1,DR$5&lt;=$H72),DQ72*(1-CB72)*(1-MIN(1,MAX(Assumptions!$C$27,Assumptions!$C$13*Assumptions!$C$28^(DQ$5-1))*$O72)),0)</f>
        <v>0</v>
      </c>
      <c r="DS72" s="93">
        <f>IF(AND($T72=1,DS$5&lt;=$H72),DR72*(1-CC72)*(1-MIN(1,MAX(Assumptions!$C$27,Assumptions!$C$13*Assumptions!$C$28^(DR$5-1))*$O72)),0)</f>
        <v>0</v>
      </c>
      <c r="DT72" s="93">
        <f>IF(AND($T72=1,DT$5&lt;=$H72),DS72*(1-CD72)*(1-MIN(1,MAX(Assumptions!$C$27,Assumptions!$C$13*Assumptions!$C$28^(DS$5-1))*$O72)),0)</f>
        <v>0</v>
      </c>
      <c r="DU72" s="93">
        <f>IF(AND($T72=1,DU$5&lt;=$H72),DT72*(1-CE72)*(1-MIN(1,MAX(Assumptions!$C$27,Assumptions!$C$13*Assumptions!$C$28^(DT$5-1))*$O72)),0)</f>
        <v>0</v>
      </c>
      <c r="DV72" s="93">
        <f>IF(AND($T72=1,DV$5&lt;=$H72),DU72*(1-CF72)*(1-MIN(1,MAX(Assumptions!$C$27,Assumptions!$C$13*Assumptions!$C$28^(DU$5-1))*$O72)),0)</f>
        <v>0</v>
      </c>
      <c r="DW72" s="94">
        <f>IF(AND($T72=1,DW$5&lt;=$H72),DV72*(1-CG72)*(1-MIN(1,MAX(Assumptions!$C$27,Assumptions!$C$13*Assumptions!$C$28^(DV$5-1))*$O72)),0)</f>
        <v>0</v>
      </c>
      <c r="DX72" s="26"/>
      <c r="DY72" s="399">
        <f>'Policy Data'!K46</f>
        <v>5</v>
      </c>
      <c r="DZ72" s="100">
        <f>'Policy Data'!L46</f>
        <v>0.91379999999999995</v>
      </c>
      <c r="EA72" s="100">
        <f>'Policy Data'!N46</f>
        <v>1.84E-4</v>
      </c>
      <c r="EB72" s="93" cm="1">
        <f t="array" ref="EB72">IFERROR(DZ72*INDEX(Mortality!$B$4:$E$64,MATCH(D72+DY72-1,Mortality!$A$4:$A$64,0),U72)*V72,0)</f>
        <v>2.5380978370481179E-4</v>
      </c>
      <c r="EC72" s="100">
        <f>'Policy Data'!O46</f>
        <v>0</v>
      </c>
      <c r="ED72" s="400">
        <f>'Policy Data'!Q46</f>
        <v>0</v>
      </c>
    </row>
    <row r="73" spans="1:134" x14ac:dyDescent="0.3">
      <c r="A73" s="399" t="str">
        <f>'Policy Data'!A47</f>
        <v>POL100043</v>
      </c>
      <c r="B73" s="26" t="s">
        <v>426</v>
      </c>
      <c r="C73" s="100" t="str">
        <f>'Policy Data'!B47</f>
        <v>Unit-Linked</v>
      </c>
      <c r="D73" s="100">
        <f>'Policy Data'!C47</f>
        <v>29</v>
      </c>
      <c r="E73" s="100" t="str">
        <f>'Policy Data'!D47</f>
        <v>Male</v>
      </c>
      <c r="F73" s="100" t="str">
        <f>'Policy Data'!E47</f>
        <v>Non-smoker</v>
      </c>
      <c r="G73" s="100" t="str">
        <f>'Policy Data'!F47</f>
        <v>Rated</v>
      </c>
      <c r="H73" s="100">
        <f>'Policy Data'!G47</f>
        <v>15</v>
      </c>
      <c r="I73" s="279">
        <f>'Policy Data'!H47</f>
        <v>250000</v>
      </c>
      <c r="J73" s="100" t="str">
        <f>'Policy Data'!I47</f>
        <v>Monthly</v>
      </c>
      <c r="K73" s="100" t="str">
        <f>'Policy Data'!J47</f>
        <v>Bancassurance</v>
      </c>
      <c r="L73" s="26" t="s">
        <v>389</v>
      </c>
      <c r="M73" s="106">
        <f>'Policy Data'!R47</f>
        <v>9711.93</v>
      </c>
      <c r="N73" s="415">
        <f>Assumptions!$C$21</f>
        <v>1</v>
      </c>
      <c r="O73" s="415">
        <f>Assumptions!$C$22</f>
        <v>1</v>
      </c>
      <c r="P73" s="415">
        <f>Assumptions!$C$23</f>
        <v>1</v>
      </c>
      <c r="Q73" s="416">
        <f>Assumptions!$C$24</f>
        <v>0</v>
      </c>
      <c r="R73" s="416">
        <f>Assumptions!$C$6+Assumptions!$C$25</f>
        <v>3.5000000000000003E-2</v>
      </c>
      <c r="S73" s="416">
        <f>Assumptions!$C$15</f>
        <v>1.1000000000000001E-3</v>
      </c>
      <c r="T73" s="26">
        <f t="shared" si="18"/>
        <v>0</v>
      </c>
      <c r="U73" s="26">
        <f t="shared" si="19"/>
        <v>3</v>
      </c>
      <c r="V73" s="389">
        <f>IF($G73="Preferred",Assumptions!$C$30,IF($G73="Rated",Assumptions!$C$31,1))</f>
        <v>1.55</v>
      </c>
      <c r="W73" s="390">
        <f>IF($K73="Direct",Assumptions!$C$32,IF($K73="Broker",Assumptions!$C$33,IF($K73="Bancassurance",Assumptions!$C$34,Assumptions!$C$11)))+$Q73</f>
        <v>0.2</v>
      </c>
      <c r="X73" s="390">
        <f>Assumptions!$C$12+$Q73</f>
        <v>0.05</v>
      </c>
      <c r="Y73" s="131">
        <f>MIN($I73,Assumptions!$C$14)</f>
        <v>250000</v>
      </c>
      <c r="Z73" s="131">
        <f>MAX($I73-Assumptions!$C$14,0)</f>
        <v>0</v>
      </c>
      <c r="AA73" s="389">
        <f t="shared" si="20"/>
        <v>0</v>
      </c>
      <c r="AB73" s="389">
        <f t="shared" si="21"/>
        <v>0</v>
      </c>
      <c r="AC73" s="389">
        <f>IF($T73=1,SUMPRODUCT($CJ73:$DW73,(1+Assumptions!$C$5)^($CJ$5:$DW$5-1),(1+$R73)^(-$CJ$5:$DW$5)),0)</f>
        <v>0</v>
      </c>
      <c r="AD73" s="389">
        <f t="shared" si="22"/>
        <v>0</v>
      </c>
      <c r="AE73" s="131">
        <f>IF($T73=1,$AB73*$Y73+(Assumptions!$C$9/(1+$R73)+Assumptions!$C$10*$AC73)*$P73+$S73*$Z73*$AA73,0)</f>
        <v>0</v>
      </c>
      <c r="AF73" s="131" t="str">
        <f>IF($T73=1,IF($AA73-$AD73-Assumptions!$C$16*$AA73&gt;0,$AE73/($AA73-$AD73-Assumptions!$C$16*$AA73)*IF($J73="Monthly",1+Assumptions!$C$29,1),"n.a."),"")</f>
        <v/>
      </c>
      <c r="AG73" s="131" t="str">
        <f t="shared" si="23"/>
        <v/>
      </c>
      <c r="AH73" s="131" t="str">
        <f t="shared" si="24"/>
        <v/>
      </c>
      <c r="AI73" s="131" t="str">
        <f t="shared" si="25"/>
        <v/>
      </c>
      <c r="AJ73" s="390" t="str">
        <f t="shared" si="26"/>
        <v/>
      </c>
      <c r="AK73" s="389" t="str">
        <f t="shared" si="27"/>
        <v/>
      </c>
      <c r="AL73" s="131" t="str">
        <f t="shared" si="28"/>
        <v/>
      </c>
      <c r="AM73" s="131" t="str">
        <f t="shared" si="29"/>
        <v/>
      </c>
      <c r="AN73" s="131" t="str">
        <f t="shared" si="30"/>
        <v/>
      </c>
      <c r="AO73" s="131" t="str">
        <f t="shared" si="31"/>
        <v/>
      </c>
      <c r="AP73" s="26" t="str">
        <f t="shared" si="32"/>
        <v>20-29</v>
      </c>
      <c r="AQ73" s="26" t="str">
        <f t="shared" si="33"/>
        <v>Up to 250k</v>
      </c>
      <c r="AR73" s="26" t="str">
        <f>IF($T73=1,IF($AI73&lt;0,"Loss-making",IF($AJ73&lt;Assumptions!$C$16-0.00001,"Below target","At/above target")),"Excluded")</f>
        <v>Excluded</v>
      </c>
      <c r="AS73" s="103">
        <f t="shared" si="34"/>
        <v>9.9999999999999997E+98</v>
      </c>
      <c r="AT73" s="26"/>
      <c r="AU73" s="419">
        <f>IF(AND($T73=1,AU$5&lt;=$H73),INDEX(Mortality!$B$4:$E$64,MATCH($D73+AU$5-1,Mortality!$A$4:$A$64,0),$U73)*$V73*$N73,0)</f>
        <v>0</v>
      </c>
      <c r="AV73" s="93">
        <f>IF(AND($T73=1,AV$5&lt;=$H73),INDEX(Mortality!$B$4:$E$64,MATCH($D73+AV$5-1,Mortality!$A$4:$A$64,0),$U73)*$V73*$N73,0)</f>
        <v>0</v>
      </c>
      <c r="AW73" s="93">
        <f>IF(AND($T73=1,AW$5&lt;=$H73),INDEX(Mortality!$B$4:$E$64,MATCH($D73+AW$5-1,Mortality!$A$4:$A$64,0),$U73)*$V73*$N73,0)</f>
        <v>0</v>
      </c>
      <c r="AX73" s="93">
        <f>IF(AND($T73=1,AX$5&lt;=$H73),INDEX(Mortality!$B$4:$E$64,MATCH($D73+AX$5-1,Mortality!$A$4:$A$64,0),$U73)*$V73*$N73,0)</f>
        <v>0</v>
      </c>
      <c r="AY73" s="93">
        <f>IF(AND($T73=1,AY$5&lt;=$H73),INDEX(Mortality!$B$4:$E$64,MATCH($D73+AY$5-1,Mortality!$A$4:$A$64,0),$U73)*$V73*$N73,0)</f>
        <v>0</v>
      </c>
      <c r="AZ73" s="93">
        <f>IF(AND($T73=1,AZ$5&lt;=$H73),INDEX(Mortality!$B$4:$E$64,MATCH($D73+AZ$5-1,Mortality!$A$4:$A$64,0),$U73)*$V73*$N73,0)</f>
        <v>0</v>
      </c>
      <c r="BA73" s="93">
        <f>IF(AND($T73=1,BA$5&lt;=$H73),INDEX(Mortality!$B$4:$E$64,MATCH($D73+BA$5-1,Mortality!$A$4:$A$64,0),$U73)*$V73*$N73,0)</f>
        <v>0</v>
      </c>
      <c r="BB73" s="93">
        <f>IF(AND($T73=1,BB$5&lt;=$H73),INDEX(Mortality!$B$4:$E$64,MATCH($D73+BB$5-1,Mortality!$A$4:$A$64,0),$U73)*$V73*$N73,0)</f>
        <v>0</v>
      </c>
      <c r="BC73" s="93">
        <f>IF(AND($T73=1,BC$5&lt;=$H73),INDEX(Mortality!$B$4:$E$64,MATCH($D73+BC$5-1,Mortality!$A$4:$A$64,0),$U73)*$V73*$N73,0)</f>
        <v>0</v>
      </c>
      <c r="BD73" s="93">
        <f>IF(AND($T73=1,BD$5&lt;=$H73),INDEX(Mortality!$B$4:$E$64,MATCH($D73+BD$5-1,Mortality!$A$4:$A$64,0),$U73)*$V73*$N73,0)</f>
        <v>0</v>
      </c>
      <c r="BE73" s="93">
        <f>IF(AND($T73=1,BE$5&lt;=$H73),INDEX(Mortality!$B$4:$E$64,MATCH($D73+BE$5-1,Mortality!$A$4:$A$64,0),$U73)*$V73*$N73,0)</f>
        <v>0</v>
      </c>
      <c r="BF73" s="93">
        <f>IF(AND($T73=1,BF$5&lt;=$H73),INDEX(Mortality!$B$4:$E$64,MATCH($D73+BF$5-1,Mortality!$A$4:$A$64,0),$U73)*$V73*$N73,0)</f>
        <v>0</v>
      </c>
      <c r="BG73" s="93">
        <f>IF(AND($T73=1,BG$5&lt;=$H73),INDEX(Mortality!$B$4:$E$64,MATCH($D73+BG$5-1,Mortality!$A$4:$A$64,0),$U73)*$V73*$N73,0)</f>
        <v>0</v>
      </c>
      <c r="BH73" s="93">
        <f>IF(AND($T73=1,BH$5&lt;=$H73),INDEX(Mortality!$B$4:$E$64,MATCH($D73+BH$5-1,Mortality!$A$4:$A$64,0),$U73)*$V73*$N73,0)</f>
        <v>0</v>
      </c>
      <c r="BI73" s="93">
        <f>IF(AND($T73=1,BI$5&lt;=$H73),INDEX(Mortality!$B$4:$E$64,MATCH($D73+BI$5-1,Mortality!$A$4:$A$64,0),$U73)*$V73*$N73,0)</f>
        <v>0</v>
      </c>
      <c r="BJ73" s="93">
        <f>IF(AND($T73=1,BJ$5&lt;=$H73),INDEX(Mortality!$B$4:$E$64,MATCH($D73+BJ$5-1,Mortality!$A$4:$A$64,0),$U73)*$V73*$N73,0)</f>
        <v>0</v>
      </c>
      <c r="BK73" s="93">
        <f>IF(AND($T73=1,BK$5&lt;=$H73),INDEX(Mortality!$B$4:$E$64,MATCH($D73+BK$5-1,Mortality!$A$4:$A$64,0),$U73)*$V73*$N73,0)</f>
        <v>0</v>
      </c>
      <c r="BL73" s="93">
        <f>IF(AND($T73=1,BL$5&lt;=$H73),INDEX(Mortality!$B$4:$E$64,MATCH($D73+BL$5-1,Mortality!$A$4:$A$64,0),$U73)*$V73*$N73,0)</f>
        <v>0</v>
      </c>
      <c r="BM73" s="93">
        <f>IF(AND($T73=1,BM$5&lt;=$H73),INDEX(Mortality!$B$4:$E$64,MATCH($D73+BM$5-1,Mortality!$A$4:$A$64,0),$U73)*$V73*$N73,0)</f>
        <v>0</v>
      </c>
      <c r="BN73" s="93">
        <f>IF(AND($T73=1,BN$5&lt;=$H73),INDEX(Mortality!$B$4:$E$64,MATCH($D73+BN$5-1,Mortality!$A$4:$A$64,0),$U73)*$V73*$N73,0)</f>
        <v>0</v>
      </c>
      <c r="BO73" s="93">
        <f>IF(AND($T73=1,BO$5&lt;=$H73),INDEX(Mortality!$B$4:$E$64,MATCH($D73+BO$5-1,Mortality!$A$4:$A$64,0),$U73)*$V73*$N73,0)</f>
        <v>0</v>
      </c>
      <c r="BP73" s="93">
        <f>IF(AND($T73=1,BP$5&lt;=$H73),INDEX(Mortality!$B$4:$E$64,MATCH($D73+BP$5-1,Mortality!$A$4:$A$64,0),$U73)*$V73*$N73,0)</f>
        <v>0</v>
      </c>
      <c r="BQ73" s="93">
        <f>IF(AND($T73=1,BQ$5&lt;=$H73),INDEX(Mortality!$B$4:$E$64,MATCH($D73+BQ$5-1,Mortality!$A$4:$A$64,0),$U73)*$V73*$N73,0)</f>
        <v>0</v>
      </c>
      <c r="BR73" s="93">
        <f>IF(AND($T73=1,BR$5&lt;=$H73),INDEX(Mortality!$B$4:$E$64,MATCH($D73+BR$5-1,Mortality!$A$4:$A$64,0),$U73)*$V73*$N73,0)</f>
        <v>0</v>
      </c>
      <c r="BS73" s="93">
        <f>IF(AND($T73=1,BS$5&lt;=$H73),INDEX(Mortality!$B$4:$E$64,MATCH($D73+BS$5-1,Mortality!$A$4:$A$64,0),$U73)*$V73*$N73,0)</f>
        <v>0</v>
      </c>
      <c r="BT73" s="93">
        <f>IF(AND($T73=1,BT$5&lt;=$H73),INDEX(Mortality!$B$4:$E$64,MATCH($D73+BT$5-1,Mortality!$A$4:$A$64,0),$U73)*$V73*$N73,0)</f>
        <v>0</v>
      </c>
      <c r="BU73" s="93">
        <f>IF(AND($T73=1,BU$5&lt;=$H73),INDEX(Mortality!$B$4:$E$64,MATCH($D73+BU$5-1,Mortality!$A$4:$A$64,0),$U73)*$V73*$N73,0)</f>
        <v>0</v>
      </c>
      <c r="BV73" s="93">
        <f>IF(AND($T73=1,BV$5&lt;=$H73),INDEX(Mortality!$B$4:$E$64,MATCH($D73+BV$5-1,Mortality!$A$4:$A$64,0),$U73)*$V73*$N73,0)</f>
        <v>0</v>
      </c>
      <c r="BW73" s="93">
        <f>IF(AND($T73=1,BW$5&lt;=$H73),INDEX(Mortality!$B$4:$E$64,MATCH($D73+BW$5-1,Mortality!$A$4:$A$64,0),$U73)*$V73*$N73,0)</f>
        <v>0</v>
      </c>
      <c r="BX73" s="93">
        <f>IF(AND($T73=1,BX$5&lt;=$H73),INDEX(Mortality!$B$4:$E$64,MATCH($D73+BX$5-1,Mortality!$A$4:$A$64,0),$U73)*$V73*$N73,0)</f>
        <v>0</v>
      </c>
      <c r="BY73" s="93">
        <f>IF(AND($T73=1,BY$5&lt;=$H73),INDEX(Mortality!$B$4:$E$64,MATCH($D73+BY$5-1,Mortality!$A$4:$A$64,0),$U73)*$V73*$N73,0)</f>
        <v>0</v>
      </c>
      <c r="BZ73" s="93">
        <f>IF(AND($T73=1,BZ$5&lt;=$H73),INDEX(Mortality!$B$4:$E$64,MATCH($D73+BZ$5-1,Mortality!$A$4:$A$64,0),$U73)*$V73*$N73,0)</f>
        <v>0</v>
      </c>
      <c r="CA73" s="93">
        <f>IF(AND($T73=1,CA$5&lt;=$H73),INDEX(Mortality!$B$4:$E$64,MATCH($D73+CA$5-1,Mortality!$A$4:$A$64,0),$U73)*$V73*$N73,0)</f>
        <v>0</v>
      </c>
      <c r="CB73" s="93">
        <f>IF(AND($T73=1,CB$5&lt;=$H73),INDEX(Mortality!$B$4:$E$64,MATCH($D73+CB$5-1,Mortality!$A$4:$A$64,0),$U73)*$V73*$N73,0)</f>
        <v>0</v>
      </c>
      <c r="CC73" s="93">
        <f>IF(AND($T73=1,CC$5&lt;=$H73),INDEX(Mortality!$B$4:$E$64,MATCH($D73+CC$5-1,Mortality!$A$4:$A$64,0),$U73)*$V73*$N73,0)</f>
        <v>0</v>
      </c>
      <c r="CD73" s="93">
        <f>IF(AND($T73=1,CD$5&lt;=$H73),INDEX(Mortality!$B$4:$E$64,MATCH($D73+CD$5-1,Mortality!$A$4:$A$64,0),$U73)*$V73*$N73,0)</f>
        <v>0</v>
      </c>
      <c r="CE73" s="93">
        <f>IF(AND($T73=1,CE$5&lt;=$H73),INDEX(Mortality!$B$4:$E$64,MATCH($D73+CE$5-1,Mortality!$A$4:$A$64,0),$U73)*$V73*$N73,0)</f>
        <v>0</v>
      </c>
      <c r="CF73" s="93">
        <f>IF(AND($T73=1,CF$5&lt;=$H73),INDEX(Mortality!$B$4:$E$64,MATCH($D73+CF$5-1,Mortality!$A$4:$A$64,0),$U73)*$V73*$N73,0)</f>
        <v>0</v>
      </c>
      <c r="CG73" s="93">
        <f>IF(AND($T73=1,CG$5&lt;=$H73),INDEX(Mortality!$B$4:$E$64,MATCH($D73+CG$5-1,Mortality!$A$4:$A$64,0),$U73)*$V73*$N73,0)</f>
        <v>0</v>
      </c>
      <c r="CH73" s="94">
        <f>IF(AND($T73=1,CH$5&lt;=$H73),INDEX(Mortality!$B$4:$E$64,MATCH($D73+CH$5-1,Mortality!$A$4:$A$64,0),$U73)*$V73*$N73,0)</f>
        <v>0</v>
      </c>
      <c r="CI73" s="26"/>
      <c r="CJ73" s="419">
        <f t="shared" si="35"/>
        <v>0</v>
      </c>
      <c r="CK73" s="93">
        <f>IF(AND($T73=1,CK$5&lt;=$H73),CJ73*(1-AU73)*(1-MIN(1,MAX(Assumptions!$C$27,Assumptions!$C$13*Assumptions!$C$28^(CJ$5-1))*$O73)),0)</f>
        <v>0</v>
      </c>
      <c r="CL73" s="93">
        <f>IF(AND($T73=1,CL$5&lt;=$H73),CK73*(1-AV73)*(1-MIN(1,MAX(Assumptions!$C$27,Assumptions!$C$13*Assumptions!$C$28^(CK$5-1))*$O73)),0)</f>
        <v>0</v>
      </c>
      <c r="CM73" s="93">
        <f>IF(AND($T73=1,CM$5&lt;=$H73),CL73*(1-AW73)*(1-MIN(1,MAX(Assumptions!$C$27,Assumptions!$C$13*Assumptions!$C$28^(CL$5-1))*$O73)),0)</f>
        <v>0</v>
      </c>
      <c r="CN73" s="93">
        <f>IF(AND($T73=1,CN$5&lt;=$H73),CM73*(1-AX73)*(1-MIN(1,MAX(Assumptions!$C$27,Assumptions!$C$13*Assumptions!$C$28^(CM$5-1))*$O73)),0)</f>
        <v>0</v>
      </c>
      <c r="CO73" s="93">
        <f>IF(AND($T73=1,CO$5&lt;=$H73),CN73*(1-AY73)*(1-MIN(1,MAX(Assumptions!$C$27,Assumptions!$C$13*Assumptions!$C$28^(CN$5-1))*$O73)),0)</f>
        <v>0</v>
      </c>
      <c r="CP73" s="93">
        <f>IF(AND($T73=1,CP$5&lt;=$H73),CO73*(1-AZ73)*(1-MIN(1,MAX(Assumptions!$C$27,Assumptions!$C$13*Assumptions!$C$28^(CO$5-1))*$O73)),0)</f>
        <v>0</v>
      </c>
      <c r="CQ73" s="93">
        <f>IF(AND($T73=1,CQ$5&lt;=$H73),CP73*(1-BA73)*(1-MIN(1,MAX(Assumptions!$C$27,Assumptions!$C$13*Assumptions!$C$28^(CP$5-1))*$O73)),0)</f>
        <v>0</v>
      </c>
      <c r="CR73" s="93">
        <f>IF(AND($T73=1,CR$5&lt;=$H73),CQ73*(1-BB73)*(1-MIN(1,MAX(Assumptions!$C$27,Assumptions!$C$13*Assumptions!$C$28^(CQ$5-1))*$O73)),0)</f>
        <v>0</v>
      </c>
      <c r="CS73" s="93">
        <f>IF(AND($T73=1,CS$5&lt;=$H73),CR73*(1-BC73)*(1-MIN(1,MAX(Assumptions!$C$27,Assumptions!$C$13*Assumptions!$C$28^(CR$5-1))*$O73)),0)</f>
        <v>0</v>
      </c>
      <c r="CT73" s="93">
        <f>IF(AND($T73=1,CT$5&lt;=$H73),CS73*(1-BD73)*(1-MIN(1,MAX(Assumptions!$C$27,Assumptions!$C$13*Assumptions!$C$28^(CS$5-1))*$O73)),0)</f>
        <v>0</v>
      </c>
      <c r="CU73" s="93">
        <f>IF(AND($T73=1,CU$5&lt;=$H73),CT73*(1-BE73)*(1-MIN(1,MAX(Assumptions!$C$27,Assumptions!$C$13*Assumptions!$C$28^(CT$5-1))*$O73)),0)</f>
        <v>0</v>
      </c>
      <c r="CV73" s="93">
        <f>IF(AND($T73=1,CV$5&lt;=$H73),CU73*(1-BF73)*(1-MIN(1,MAX(Assumptions!$C$27,Assumptions!$C$13*Assumptions!$C$28^(CU$5-1))*$O73)),0)</f>
        <v>0</v>
      </c>
      <c r="CW73" s="93">
        <f>IF(AND($T73=1,CW$5&lt;=$H73),CV73*(1-BG73)*(1-MIN(1,MAX(Assumptions!$C$27,Assumptions!$C$13*Assumptions!$C$28^(CV$5-1))*$O73)),0)</f>
        <v>0</v>
      </c>
      <c r="CX73" s="93">
        <f>IF(AND($T73=1,CX$5&lt;=$H73),CW73*(1-BH73)*(1-MIN(1,MAX(Assumptions!$C$27,Assumptions!$C$13*Assumptions!$C$28^(CW$5-1))*$O73)),0)</f>
        <v>0</v>
      </c>
      <c r="CY73" s="93">
        <f>IF(AND($T73=1,CY$5&lt;=$H73),CX73*(1-BI73)*(1-MIN(1,MAX(Assumptions!$C$27,Assumptions!$C$13*Assumptions!$C$28^(CX$5-1))*$O73)),0)</f>
        <v>0</v>
      </c>
      <c r="CZ73" s="93">
        <f>IF(AND($T73=1,CZ$5&lt;=$H73),CY73*(1-BJ73)*(1-MIN(1,MAX(Assumptions!$C$27,Assumptions!$C$13*Assumptions!$C$28^(CY$5-1))*$O73)),0)</f>
        <v>0</v>
      </c>
      <c r="DA73" s="93">
        <f>IF(AND($T73=1,DA$5&lt;=$H73),CZ73*(1-BK73)*(1-MIN(1,MAX(Assumptions!$C$27,Assumptions!$C$13*Assumptions!$C$28^(CZ$5-1))*$O73)),0)</f>
        <v>0</v>
      </c>
      <c r="DB73" s="93">
        <f>IF(AND($T73=1,DB$5&lt;=$H73),DA73*(1-BL73)*(1-MIN(1,MAX(Assumptions!$C$27,Assumptions!$C$13*Assumptions!$C$28^(DA$5-1))*$O73)),0)</f>
        <v>0</v>
      </c>
      <c r="DC73" s="93">
        <f>IF(AND($T73=1,DC$5&lt;=$H73),DB73*(1-BM73)*(1-MIN(1,MAX(Assumptions!$C$27,Assumptions!$C$13*Assumptions!$C$28^(DB$5-1))*$O73)),0)</f>
        <v>0</v>
      </c>
      <c r="DD73" s="93">
        <f>IF(AND($T73=1,DD$5&lt;=$H73),DC73*(1-BN73)*(1-MIN(1,MAX(Assumptions!$C$27,Assumptions!$C$13*Assumptions!$C$28^(DC$5-1))*$O73)),0)</f>
        <v>0</v>
      </c>
      <c r="DE73" s="93">
        <f>IF(AND($T73=1,DE$5&lt;=$H73),DD73*(1-BO73)*(1-MIN(1,MAX(Assumptions!$C$27,Assumptions!$C$13*Assumptions!$C$28^(DD$5-1))*$O73)),0)</f>
        <v>0</v>
      </c>
      <c r="DF73" s="93">
        <f>IF(AND($T73=1,DF$5&lt;=$H73),DE73*(1-BP73)*(1-MIN(1,MAX(Assumptions!$C$27,Assumptions!$C$13*Assumptions!$C$28^(DE$5-1))*$O73)),0)</f>
        <v>0</v>
      </c>
      <c r="DG73" s="93">
        <f>IF(AND($T73=1,DG$5&lt;=$H73),DF73*(1-BQ73)*(1-MIN(1,MAX(Assumptions!$C$27,Assumptions!$C$13*Assumptions!$C$28^(DF$5-1))*$O73)),0)</f>
        <v>0</v>
      </c>
      <c r="DH73" s="93">
        <f>IF(AND($T73=1,DH$5&lt;=$H73),DG73*(1-BR73)*(1-MIN(1,MAX(Assumptions!$C$27,Assumptions!$C$13*Assumptions!$C$28^(DG$5-1))*$O73)),0)</f>
        <v>0</v>
      </c>
      <c r="DI73" s="93">
        <f>IF(AND($T73=1,DI$5&lt;=$H73),DH73*(1-BS73)*(1-MIN(1,MAX(Assumptions!$C$27,Assumptions!$C$13*Assumptions!$C$28^(DH$5-1))*$O73)),0)</f>
        <v>0</v>
      </c>
      <c r="DJ73" s="93">
        <f>IF(AND($T73=1,DJ$5&lt;=$H73),DI73*(1-BT73)*(1-MIN(1,MAX(Assumptions!$C$27,Assumptions!$C$13*Assumptions!$C$28^(DI$5-1))*$O73)),0)</f>
        <v>0</v>
      </c>
      <c r="DK73" s="93">
        <f>IF(AND($T73=1,DK$5&lt;=$H73),DJ73*(1-BU73)*(1-MIN(1,MAX(Assumptions!$C$27,Assumptions!$C$13*Assumptions!$C$28^(DJ$5-1))*$O73)),0)</f>
        <v>0</v>
      </c>
      <c r="DL73" s="93">
        <f>IF(AND($T73=1,DL$5&lt;=$H73),DK73*(1-BV73)*(1-MIN(1,MAX(Assumptions!$C$27,Assumptions!$C$13*Assumptions!$C$28^(DK$5-1))*$O73)),0)</f>
        <v>0</v>
      </c>
      <c r="DM73" s="93">
        <f>IF(AND($T73=1,DM$5&lt;=$H73),DL73*(1-BW73)*(1-MIN(1,MAX(Assumptions!$C$27,Assumptions!$C$13*Assumptions!$C$28^(DL$5-1))*$O73)),0)</f>
        <v>0</v>
      </c>
      <c r="DN73" s="93">
        <f>IF(AND($T73=1,DN$5&lt;=$H73),DM73*(1-BX73)*(1-MIN(1,MAX(Assumptions!$C$27,Assumptions!$C$13*Assumptions!$C$28^(DM$5-1))*$O73)),0)</f>
        <v>0</v>
      </c>
      <c r="DO73" s="93">
        <f>IF(AND($T73=1,DO$5&lt;=$H73),DN73*(1-BY73)*(1-MIN(1,MAX(Assumptions!$C$27,Assumptions!$C$13*Assumptions!$C$28^(DN$5-1))*$O73)),0)</f>
        <v>0</v>
      </c>
      <c r="DP73" s="93">
        <f>IF(AND($T73=1,DP$5&lt;=$H73),DO73*(1-BZ73)*(1-MIN(1,MAX(Assumptions!$C$27,Assumptions!$C$13*Assumptions!$C$28^(DO$5-1))*$O73)),0)</f>
        <v>0</v>
      </c>
      <c r="DQ73" s="93">
        <f>IF(AND($T73=1,DQ$5&lt;=$H73),DP73*(1-CA73)*(1-MIN(1,MAX(Assumptions!$C$27,Assumptions!$C$13*Assumptions!$C$28^(DP$5-1))*$O73)),0)</f>
        <v>0</v>
      </c>
      <c r="DR73" s="93">
        <f>IF(AND($T73=1,DR$5&lt;=$H73),DQ73*(1-CB73)*(1-MIN(1,MAX(Assumptions!$C$27,Assumptions!$C$13*Assumptions!$C$28^(DQ$5-1))*$O73)),0)</f>
        <v>0</v>
      </c>
      <c r="DS73" s="93">
        <f>IF(AND($T73=1,DS$5&lt;=$H73),DR73*(1-CC73)*(1-MIN(1,MAX(Assumptions!$C$27,Assumptions!$C$13*Assumptions!$C$28^(DR$5-1))*$O73)),0)</f>
        <v>0</v>
      </c>
      <c r="DT73" s="93">
        <f>IF(AND($T73=1,DT$5&lt;=$H73),DS73*(1-CD73)*(1-MIN(1,MAX(Assumptions!$C$27,Assumptions!$C$13*Assumptions!$C$28^(DS$5-1))*$O73)),0)</f>
        <v>0</v>
      </c>
      <c r="DU73" s="93">
        <f>IF(AND($T73=1,DU$5&lt;=$H73),DT73*(1-CE73)*(1-MIN(1,MAX(Assumptions!$C$27,Assumptions!$C$13*Assumptions!$C$28^(DT$5-1))*$O73)),0)</f>
        <v>0</v>
      </c>
      <c r="DV73" s="93">
        <f>IF(AND($T73=1,DV$5&lt;=$H73),DU73*(1-CF73)*(1-MIN(1,MAX(Assumptions!$C$27,Assumptions!$C$13*Assumptions!$C$28^(DU$5-1))*$O73)),0)</f>
        <v>0</v>
      </c>
      <c r="DW73" s="94">
        <f>IF(AND($T73=1,DW$5&lt;=$H73),DV73*(1-CG73)*(1-MIN(1,MAX(Assumptions!$C$27,Assumptions!$C$13*Assumptions!$C$28^(DV$5-1))*$O73)),0)</f>
        <v>0</v>
      </c>
      <c r="DX73" s="26"/>
      <c r="DY73" s="399">
        <f>'Policy Data'!K47</f>
        <v>6</v>
      </c>
      <c r="DZ73" s="100">
        <f>'Policy Data'!L47</f>
        <v>0.60599999999999998</v>
      </c>
      <c r="EA73" s="100">
        <f>'Policy Data'!N47</f>
        <v>4.4900000000000002E-4</v>
      </c>
      <c r="EB73" s="93" cm="1">
        <f t="array" ref="EB73">IFERROR(DZ73*INDEX(Mortality!$B$4:$E$64,MATCH(D73+DY73-1,Mortality!$A$4:$A$64,0),U73)*V73,0)</f>
        <v>6.6940493642859587E-4</v>
      </c>
      <c r="EC73" s="100">
        <f>'Policy Data'!O47</f>
        <v>0</v>
      </c>
      <c r="ED73" s="400">
        <f>'Policy Data'!Q47</f>
        <v>0</v>
      </c>
    </row>
    <row r="74" spans="1:134" x14ac:dyDescent="0.3">
      <c r="A74" s="399" t="str">
        <f>'Policy Data'!A48</f>
        <v>POL100044</v>
      </c>
      <c r="B74" s="26" t="s">
        <v>426</v>
      </c>
      <c r="C74" s="100" t="str">
        <f>'Policy Data'!B48</f>
        <v>Term Life</v>
      </c>
      <c r="D74" s="100">
        <f>'Policy Data'!C48</f>
        <v>59</v>
      </c>
      <c r="E74" s="100" t="str">
        <f>'Policy Data'!D48</f>
        <v>Male</v>
      </c>
      <c r="F74" s="100" t="str">
        <f>'Policy Data'!E48</f>
        <v>Non-smoker</v>
      </c>
      <c r="G74" s="100" t="str">
        <f>'Policy Data'!F48</f>
        <v>Standard</v>
      </c>
      <c r="H74" s="100">
        <f>'Policy Data'!G48</f>
        <v>20</v>
      </c>
      <c r="I74" s="279">
        <f>'Policy Data'!H48</f>
        <v>250000</v>
      </c>
      <c r="J74" s="100" t="str">
        <f>'Policy Data'!I48</f>
        <v>Annual</v>
      </c>
      <c r="K74" s="100" t="str">
        <f>'Policy Data'!J48</f>
        <v>Broker</v>
      </c>
      <c r="L74" s="26" t="s">
        <v>389</v>
      </c>
      <c r="M74" s="106">
        <f>'Policy Data'!R48</f>
        <v>2170.94</v>
      </c>
      <c r="N74" s="415">
        <f>Assumptions!$C$21</f>
        <v>1</v>
      </c>
      <c r="O74" s="415">
        <f>Assumptions!$C$22</f>
        <v>1</v>
      </c>
      <c r="P74" s="415">
        <f>Assumptions!$C$23</f>
        <v>1</v>
      </c>
      <c r="Q74" s="416">
        <f>Assumptions!$C$24</f>
        <v>0</v>
      </c>
      <c r="R74" s="416">
        <f>Assumptions!$C$6+Assumptions!$C$25</f>
        <v>3.5000000000000003E-2</v>
      </c>
      <c r="S74" s="416">
        <f>Assumptions!$C$15</f>
        <v>1.1000000000000001E-3</v>
      </c>
      <c r="T74" s="26">
        <f t="shared" si="18"/>
        <v>1</v>
      </c>
      <c r="U74" s="26">
        <f t="shared" si="19"/>
        <v>3</v>
      </c>
      <c r="V74" s="389">
        <f>IF($G74="Preferred",Assumptions!$C$30,IF($G74="Rated",Assumptions!$C$31,1))</f>
        <v>1</v>
      </c>
      <c r="W74" s="390">
        <f>IF($K74="Direct",Assumptions!$C$32,IF($K74="Broker",Assumptions!$C$33,IF($K74="Bancassurance",Assumptions!$C$34,Assumptions!$C$11)))+$Q74</f>
        <v>0.25</v>
      </c>
      <c r="X74" s="390">
        <f>Assumptions!$C$12+$Q74</f>
        <v>0.05</v>
      </c>
      <c r="Y74" s="131">
        <f>MIN($I74,Assumptions!$C$14)</f>
        <v>250000</v>
      </c>
      <c r="Z74" s="131">
        <f>MAX($I74-Assumptions!$C$14,0)</f>
        <v>0</v>
      </c>
      <c r="AA74" s="389">
        <f t="shared" si="20"/>
        <v>8.1518764024919346</v>
      </c>
      <c r="AB74" s="389">
        <f t="shared" si="21"/>
        <v>8.1020866462584745E-2</v>
      </c>
      <c r="AC74" s="389">
        <f>IF($T74=1,SUMPRODUCT($CJ74:$DW74,(1+Assumptions!$C$5)^($CJ$5:$DW$5-1),(1+$R74)^(-$CJ$5:$DW$5)),0)</f>
        <v>10.835777105089466</v>
      </c>
      <c r="AD74" s="389">
        <f t="shared" si="22"/>
        <v>0.60083053510044215</v>
      </c>
      <c r="AE74" s="131">
        <f>IF($T74=1,$AB74*$Y74+(Assumptions!$C$9/(1+$R74)+Assumptions!$C$10*$AC74)*$P74+$S74*$Z74*$AA74,0)</f>
        <v>23508.652796157174</v>
      </c>
      <c r="AF74" s="131">
        <f>IF($T74=1,IF($AA74-$AD74-Assumptions!$C$16*$AA74&gt;0,$AE74/($AA74-$AD74-Assumptions!$C$16*$AA74)*IF($J74="Monthly",1+Assumptions!$C$29,1),"n.a."),"")</f>
        <v>3407.5964662119245</v>
      </c>
      <c r="AG74" s="131">
        <f t="shared" si="23"/>
        <v>2170.94</v>
      </c>
      <c r="AH74" s="131">
        <f t="shared" si="24"/>
        <v>17697.234557225842</v>
      </c>
      <c r="AI74" s="131">
        <f t="shared" si="25"/>
        <v>-7115.7852808022872</v>
      </c>
      <c r="AJ74" s="390">
        <f t="shared" si="26"/>
        <v>-0.40208458885441439</v>
      </c>
      <c r="AK74" s="389">
        <f t="shared" si="27"/>
        <v>0.63708834702876038</v>
      </c>
      <c r="AL74" s="131">
        <f t="shared" si="28"/>
        <v>0</v>
      </c>
      <c r="AM74" s="131">
        <f t="shared" si="29"/>
        <v>0</v>
      </c>
      <c r="AN74" s="131">
        <f t="shared" si="30"/>
        <v>0</v>
      </c>
      <c r="AO74" s="131">
        <f t="shared" si="31"/>
        <v>-7115.7852808022872</v>
      </c>
      <c r="AP74" s="26" t="str">
        <f t="shared" si="32"/>
        <v>50-59</v>
      </c>
      <c r="AQ74" s="26" t="str">
        <f t="shared" si="33"/>
        <v>Up to 250k</v>
      </c>
      <c r="AR74" s="26" t="str">
        <f>IF($T74=1,IF($AI74&lt;0,"Loss-making",IF($AJ74&lt;Assumptions!$C$16-0.00001,"Below target","At/above target")),"Excluded")</f>
        <v>Loss-making</v>
      </c>
      <c r="AS74" s="103">
        <f t="shared" si="34"/>
        <v>-7115.7852068022876</v>
      </c>
      <c r="AT74" s="26"/>
      <c r="AU74" s="419">
        <f>IF(AND($T74=1,AU$5&lt;=$H74),INDEX(Mortality!$B$4:$E$64,MATCH($D74+AU$5-1,Mortality!$A$4:$A$64,0),$U74)*$V74*$N74,0)</f>
        <v>5.2659114533929498E-3</v>
      </c>
      <c r="AV74" s="93">
        <f>IF(AND($T74=1,AV$5&lt;=$H74),INDEX(Mortality!$B$4:$E$64,MATCH($D74+AV$5-1,Mortality!$A$4:$A$64,0),$U74)*$V74*$N74,0)</f>
        <v>5.7044937769820296E-3</v>
      </c>
      <c r="AW74" s="93">
        <f>IF(AND($T74=1,AW$5&lt;=$H74),INDEX(Mortality!$B$4:$E$64,MATCH($D74+AW$5-1,Mortality!$A$4:$A$64,0),$U74)*$V74*$N74,0)</f>
        <v>6.1796043362369098E-3</v>
      </c>
      <c r="AX74" s="93">
        <f>IF(AND($T74=1,AX$5&lt;=$H74),INDEX(Mortality!$B$4:$E$64,MATCH($D74+AX$5-1,Mortality!$A$4:$A$64,0),$U74)*$V74*$N74,0)</f>
        <v>6.6942854607935399E-3</v>
      </c>
      <c r="AY74" s="93">
        <f>IF(AND($T74=1,AY$5&lt;=$H74),INDEX(Mortality!$B$4:$E$64,MATCH($D74+AY$5-1,Mortality!$A$4:$A$64,0),$U74)*$V74*$N74,0)</f>
        <v>7.2518328670021504E-3</v>
      </c>
      <c r="AZ74" s="93">
        <f>IF(AND($T74=1,AZ$5&lt;=$H74),INDEX(Mortality!$B$4:$E$64,MATCH($D74+AZ$5-1,Mortality!$A$4:$A$64,0),$U74)*$V74*$N74,0)</f>
        <v>7.8558167617636399E-3</v>
      </c>
      <c r="BA74" s="93">
        <f>IF(AND($T74=1,BA$5&lt;=$H74),INDEX(Mortality!$B$4:$E$64,MATCH($D74+BA$5-1,Mortality!$A$4:$A$64,0),$U74)*$V74*$N74,0)</f>
        <v>8.5101047040427192E-3</v>
      </c>
      <c r="BB74" s="93">
        <f>IF(AND($T74=1,BB$5&lt;=$H74),INDEX(Mortality!$B$4:$E$64,MATCH($D74+BB$5-1,Mortality!$A$4:$A$64,0),$U74)*$V74*$N74,0)</f>
        <v>9.2188863704493092E-3</v>
      </c>
      <c r="BC74" s="93">
        <f>IF(AND($T74=1,BC$5&lt;=$H74),INDEX(Mortality!$B$4:$E$64,MATCH($D74+BC$5-1,Mortality!$A$4:$A$64,0),$U74)*$V74*$N74,0)</f>
        <v>9.9867003834726801E-3</v>
      </c>
      <c r="BD74" s="93">
        <f>IF(AND($T74=1,BD$5&lt;=$H74),INDEX(Mortality!$B$4:$E$64,MATCH($D74+BD$5-1,Mortality!$A$4:$A$64,0),$U74)*$V74*$N74,0)</f>
        <v>1.08184633741605E-2</v>
      </c>
      <c r="BE74" s="93">
        <f>IF(AND($T74=1,BE$5&lt;=$H74),INDEX(Mortality!$B$4:$E$64,MATCH($D74+BE$5-1,Mortality!$A$4:$A$64,0),$U74)*$V74*$N74,0)</f>
        <v>1.1719501465343301E-2</v>
      </c>
      <c r="BF74" s="93">
        <f>IF(AND($T74=1,BF$5&lt;=$H74),INDEX(Mortality!$B$4:$E$64,MATCH($D74+BF$5-1,Mortality!$A$4:$A$64,0),$U74)*$V74*$N74,0)</f>
        <v>1.2695584377004099E-2</v>
      </c>
      <c r="BG74" s="93">
        <f>IF(AND($T74=1,BG$5&lt;=$H74),INDEX(Mortality!$B$4:$E$64,MATCH($D74+BG$5-1,Mortality!$A$4:$A$64,0),$U74)*$V74*$N74,0)</f>
        <v>1.3752962372184801E-2</v>
      </c>
      <c r="BH74" s="93">
        <f>IF(AND($T74=1,BH$5&lt;=$H74),INDEX(Mortality!$B$4:$E$64,MATCH($D74+BH$5-1,Mortality!$A$4:$A$64,0),$U74)*$V74*$N74,0)</f>
        <v>1.4898406280008099E-2</v>
      </c>
      <c r="BI74" s="93">
        <f>IF(AND($T74=1,BI$5&lt;=$H74),INDEX(Mortality!$B$4:$E$64,MATCH($D74+BI$5-1,Mortality!$A$4:$A$64,0),$U74)*$V74*$N74,0)</f>
        <v>1.61392508521001E-2</v>
      </c>
      <c r="BJ74" s="93">
        <f>IF(AND($T74=1,BJ$5&lt;=$H74),INDEX(Mortality!$B$4:$E$64,MATCH($D74+BJ$5-1,Mortality!$A$4:$A$64,0),$U74)*$V74*$N74,0)</f>
        <v>1.7483441730042099E-2</v>
      </c>
      <c r="BK74" s="93">
        <f>IF(AND($T74=1,BK$5&lt;=$H74),INDEX(Mortality!$B$4:$E$64,MATCH($D74+BK$5-1,Mortality!$A$4:$A$64,0),$U74)*$V74*$N74,0)</f>
        <v>1.8939586324603401E-2</v>
      </c>
      <c r="BL74" s="93">
        <f>IF(AND($T74=1,BL$5&lt;=$H74),INDEX(Mortality!$B$4:$E$64,MATCH($D74+BL$5-1,Mortality!$A$4:$A$64,0),$U74)*$V74*$N74,0)</f>
        <v>2.0517008932556299E-2</v>
      </c>
      <c r="BM74" s="93">
        <f>IF(AND($T74=1,BM$5&lt;=$H74),INDEX(Mortality!$B$4:$E$64,MATCH($D74+BM$5-1,Mortality!$A$4:$A$64,0),$U74)*$V74*$N74,0)</f>
        <v>2.22258104440099E-2</v>
      </c>
      <c r="BN74" s="93">
        <f>IF(AND($T74=1,BN$5&lt;=$H74),INDEX(Mortality!$B$4:$E$64,MATCH($D74+BN$5-1,Mortality!$A$4:$A$64,0),$U74)*$V74*$N74,0)</f>
        <v>2.40769330225909E-2</v>
      </c>
      <c r="BO74" s="93">
        <f>IF(AND($T74=1,BO$5&lt;=$H74),INDEX(Mortality!$B$4:$E$64,MATCH($D74+BO$5-1,Mortality!$A$4:$A$64,0),$U74)*$V74*$N74,0)</f>
        <v>0</v>
      </c>
      <c r="BP74" s="93">
        <f>IF(AND($T74=1,BP$5&lt;=$H74),INDEX(Mortality!$B$4:$E$64,MATCH($D74+BP$5-1,Mortality!$A$4:$A$64,0),$U74)*$V74*$N74,0)</f>
        <v>0</v>
      </c>
      <c r="BQ74" s="93">
        <f>IF(AND($T74=1,BQ$5&lt;=$H74),INDEX(Mortality!$B$4:$E$64,MATCH($D74+BQ$5-1,Mortality!$A$4:$A$64,0),$U74)*$V74*$N74,0)</f>
        <v>0</v>
      </c>
      <c r="BR74" s="93">
        <f>IF(AND($T74=1,BR$5&lt;=$H74),INDEX(Mortality!$B$4:$E$64,MATCH($D74+BR$5-1,Mortality!$A$4:$A$64,0),$U74)*$V74*$N74,0)</f>
        <v>0</v>
      </c>
      <c r="BS74" s="93">
        <f>IF(AND($T74=1,BS$5&lt;=$H74),INDEX(Mortality!$B$4:$E$64,MATCH($D74+BS$5-1,Mortality!$A$4:$A$64,0),$U74)*$V74*$N74,0)</f>
        <v>0</v>
      </c>
      <c r="BT74" s="93">
        <f>IF(AND($T74=1,BT$5&lt;=$H74),INDEX(Mortality!$B$4:$E$64,MATCH($D74+BT$5-1,Mortality!$A$4:$A$64,0),$U74)*$V74*$N74,0)</f>
        <v>0</v>
      </c>
      <c r="BU74" s="93">
        <f>IF(AND($T74=1,BU$5&lt;=$H74),INDEX(Mortality!$B$4:$E$64,MATCH($D74+BU$5-1,Mortality!$A$4:$A$64,0),$U74)*$V74*$N74,0)</f>
        <v>0</v>
      </c>
      <c r="BV74" s="93">
        <f>IF(AND($T74=1,BV$5&lt;=$H74),INDEX(Mortality!$B$4:$E$64,MATCH($D74+BV$5-1,Mortality!$A$4:$A$64,0),$U74)*$V74*$N74,0)</f>
        <v>0</v>
      </c>
      <c r="BW74" s="93">
        <f>IF(AND($T74=1,BW$5&lt;=$H74),INDEX(Mortality!$B$4:$E$64,MATCH($D74+BW$5-1,Mortality!$A$4:$A$64,0),$U74)*$V74*$N74,0)</f>
        <v>0</v>
      </c>
      <c r="BX74" s="93">
        <f>IF(AND($T74=1,BX$5&lt;=$H74),INDEX(Mortality!$B$4:$E$64,MATCH($D74+BX$5-1,Mortality!$A$4:$A$64,0),$U74)*$V74*$N74,0)</f>
        <v>0</v>
      </c>
      <c r="BY74" s="93">
        <f>IF(AND($T74=1,BY$5&lt;=$H74),INDEX(Mortality!$B$4:$E$64,MATCH($D74+BY$5-1,Mortality!$A$4:$A$64,0),$U74)*$V74*$N74,0)</f>
        <v>0</v>
      </c>
      <c r="BZ74" s="93">
        <f>IF(AND($T74=1,BZ$5&lt;=$H74),INDEX(Mortality!$B$4:$E$64,MATCH($D74+BZ$5-1,Mortality!$A$4:$A$64,0),$U74)*$V74*$N74,0)</f>
        <v>0</v>
      </c>
      <c r="CA74" s="93">
        <f>IF(AND($T74=1,CA$5&lt;=$H74),INDEX(Mortality!$B$4:$E$64,MATCH($D74+CA$5-1,Mortality!$A$4:$A$64,0),$U74)*$V74*$N74,0)</f>
        <v>0</v>
      </c>
      <c r="CB74" s="93">
        <f>IF(AND($T74=1,CB$5&lt;=$H74),INDEX(Mortality!$B$4:$E$64,MATCH($D74+CB$5-1,Mortality!$A$4:$A$64,0),$U74)*$V74*$N74,0)</f>
        <v>0</v>
      </c>
      <c r="CC74" s="93">
        <f>IF(AND($T74=1,CC$5&lt;=$H74),INDEX(Mortality!$B$4:$E$64,MATCH($D74+CC$5-1,Mortality!$A$4:$A$64,0),$U74)*$V74*$N74,0)</f>
        <v>0</v>
      </c>
      <c r="CD74" s="93">
        <f>IF(AND($T74=1,CD$5&lt;=$H74),INDEX(Mortality!$B$4:$E$64,MATCH($D74+CD$5-1,Mortality!$A$4:$A$64,0),$U74)*$V74*$N74,0)</f>
        <v>0</v>
      </c>
      <c r="CE74" s="93">
        <f>IF(AND($T74=1,CE$5&lt;=$H74),INDEX(Mortality!$B$4:$E$64,MATCH($D74+CE$5-1,Mortality!$A$4:$A$64,0),$U74)*$V74*$N74,0)</f>
        <v>0</v>
      </c>
      <c r="CF74" s="93">
        <f>IF(AND($T74=1,CF$5&lt;=$H74),INDEX(Mortality!$B$4:$E$64,MATCH($D74+CF$5-1,Mortality!$A$4:$A$64,0),$U74)*$V74*$N74,0)</f>
        <v>0</v>
      </c>
      <c r="CG74" s="93">
        <f>IF(AND($T74=1,CG$5&lt;=$H74),INDEX(Mortality!$B$4:$E$64,MATCH($D74+CG$5-1,Mortality!$A$4:$A$64,0),$U74)*$V74*$N74,0)</f>
        <v>0</v>
      </c>
      <c r="CH74" s="94">
        <f>IF(AND($T74=1,CH$5&lt;=$H74),INDEX(Mortality!$B$4:$E$64,MATCH($D74+CH$5-1,Mortality!$A$4:$A$64,0),$U74)*$V74*$N74,0)</f>
        <v>0</v>
      </c>
      <c r="CI74" s="26"/>
      <c r="CJ74" s="419">
        <f t="shared" si="35"/>
        <v>1</v>
      </c>
      <c r="CK74" s="93">
        <f>IF(AND($T74=1,CK$5&lt;=$H74),CJ74*(1-AU74)*(1-MIN(1,MAX(Assumptions!$C$27,Assumptions!$C$13*Assumptions!$C$28^(CJ$5-1))*$O74)),0)</f>
        <v>0.87536599792101422</v>
      </c>
      <c r="CL74" s="93">
        <f>IF(AND($T74=1,CL$5&lt;=$H74),CK74*(1-AV74)*(1-MIN(1,MAX(Assumptions!$C$27,Assumptions!$C$13*Assumptions!$C$28^(CK$5-1))*$O74)),0)</f>
        <v>0.7815944852738963</v>
      </c>
      <c r="CM74" s="93">
        <f>IF(AND($T74=1,CM$5&lt;=$H74),CL74*(1-AW74)*(1-MIN(1,MAX(Assumptions!$C$27,Assumptions!$C$13*Assumptions!$C$28^(CL$5-1))*$O74)),0)</f>
        <v>0.70941905493319379</v>
      </c>
      <c r="CN74" s="93">
        <f>IF(AND($T74=1,CN$5&lt;=$H74),CM74*(1-AX74)*(1-MIN(1,MAX(Assumptions!$C$27,Assumptions!$C$13*Assumptions!$C$28^(CM$5-1))*$O74)),0)</f>
        <v>0.65273934552468871</v>
      </c>
      <c r="CO74" s="93">
        <f>IF(AND($T74=1,CO$5&lt;=$H74),CN74*(1-AY74)*(1-MIN(1,MAX(Assumptions!$C$27,Assumptions!$C$13*Assumptions!$C$28^(CN$5-1))*$O74)),0)</f>
        <v>0.60741422026511493</v>
      </c>
      <c r="CP74" s="93">
        <f>IF(AND($T74=1,CP$5&lt;=$H74),CO74*(1-AZ74)*(1-MIN(1,MAX(Assumptions!$C$27,Assumptions!$C$13*Assumptions!$C$28^(CO$5-1))*$O74)),0)</f>
        <v>0.5705550047722201</v>
      </c>
      <c r="CQ74" s="93">
        <f>IF(AND($T74=1,CQ$5&lt;=$H74),CP74*(1-BA74)*(1-MIN(1,MAX(Assumptions!$C$27,Assumptions!$C$13*Assumptions!$C$28^(CP$5-1))*$O74)),0)</f>
        <v>0.54009712585941794</v>
      </c>
      <c r="CR74" s="93">
        <f>IF(AND($T74=1,CR$5&lt;=$H74),CQ74*(1-BB74)*(1-MIN(1,MAX(Assumptions!$C$27,Assumptions!$C$13*Assumptions!$C$28^(CQ$5-1))*$O74)),0)</f>
        <v>0.51453244216352223</v>
      </c>
      <c r="CS74" s="93">
        <f>IF(AND($T74=1,CS$5&lt;=$H74),CR74*(1-BC74)*(1-MIN(1,MAX(Assumptions!$C$27,Assumptions!$C$13*Assumptions!$C$28^(CR$5-1))*$O74)),0)</f>
        <v>0.49273735748559216</v>
      </c>
      <c r="CT74" s="93">
        <f>IF(AND($T74=1,CT$5&lt;=$H74),CS74*(1-BD74)*(1-MIN(1,MAX(Assumptions!$C$27,Assumptions!$C$13*Assumptions!$C$28^(CS$5-1))*$O74)),0)</f>
        <v>0.47385969835552622</v>
      </c>
      <c r="CU74" s="93">
        <f>IF(AND($T74=1,CU$5&lt;=$H74),CT74*(1-BE74)*(1-MIN(1,MAX(Assumptions!$C$27,Assumptions!$C$13*Assumptions!$C$28^(CT$5-1))*$O74)),0)</f>
        <v>0.45724259608826712</v>
      </c>
      <c r="CV74" s="93">
        <f>IF(AND($T74=1,CV$5&lt;=$H74),CU74*(1-BF74)*(1-MIN(1,MAX(Assumptions!$C$27,Assumptions!$C$13*Assumptions!$C$28^(CU$5-1))*$O74)),0)</f>
        <v>0.44237222956662531</v>
      </c>
      <c r="CW74" s="93">
        <f>IF(AND($T74=1,CW$5&lt;=$H74),CV74*(1-BG74)*(1-MIN(1,MAX(Assumptions!$C$27,Assumptions!$C$13*Assumptions!$C$28^(CV$5-1))*$O74)),0)</f>
        <v>0.42756253492011803</v>
      </c>
      <c r="CX74" s="93">
        <f>IF(AND($T74=1,CX$5&lt;=$H74),CW74*(1-BH74)*(1-MIN(1,MAX(Assumptions!$C$27,Assumptions!$C$13*Assumptions!$C$28^(CW$5-1))*$O74)),0)</f>
        <v>0.4127686838734726</v>
      </c>
      <c r="CY74" s="93">
        <f>IF(AND($T74=1,CY$5&lt;=$H74),CX74*(1-BI74)*(1-MIN(1,MAX(Assumptions!$C$27,Assumptions!$C$13*Assumptions!$C$28^(CX$5-1))*$O74)),0)</f>
        <v>0.39798476840973646</v>
      </c>
      <c r="CZ74" s="93">
        <f>IF(AND($T74=1,CZ$5&lt;=$H74),CY74*(1-BJ74)*(1-MIN(1,MAX(Assumptions!$C$27,Assumptions!$C$13*Assumptions!$C$28^(CY$5-1))*$O74)),0)</f>
        <v>0.38320609240376452</v>
      </c>
      <c r="DA74" s="93">
        <f>IF(AND($T74=1,DA$5&lt;=$H74),CZ74*(1-BK74)*(1-MIN(1,MAX(Assumptions!$C$27,Assumptions!$C$13*Assumptions!$C$28^(CZ$5-1))*$O74)),0)</f>
        <v>0.36842936098583806</v>
      </c>
      <c r="DB74" s="93">
        <f>IF(AND($T74=1,DB$5&lt;=$H74),DA74*(1-BL74)*(1-MIN(1,MAX(Assumptions!$C$27,Assumptions!$C$13*Assumptions!$C$28^(DA$5-1))*$O74)),0)</f>
        <v>0.3536528866455661</v>
      </c>
      <c r="DC74" s="93">
        <f>IF(AND($T74=1,DC$5&lt;=$H74),DB74*(1-BM74)*(1-MIN(1,MAX(Assumptions!$C$27,Assumptions!$C$13*Assumptions!$C$28^(DB$5-1))*$O74)),0)</f>
        <v>0.3388768113315247</v>
      </c>
      <c r="DD74" s="93">
        <f>IF(AND($T74=1,DD$5&lt;=$H74),DC74*(1-BN74)*(1-MIN(1,MAX(Assumptions!$C$27,Assumptions!$C$13*Assumptions!$C$28^(DC$5-1))*$O74)),0)</f>
        <v>0</v>
      </c>
      <c r="DE74" s="93">
        <f>IF(AND($T74=1,DE$5&lt;=$H74),DD74*(1-BO74)*(1-MIN(1,MAX(Assumptions!$C$27,Assumptions!$C$13*Assumptions!$C$28^(DD$5-1))*$O74)),0)</f>
        <v>0</v>
      </c>
      <c r="DF74" s="93">
        <f>IF(AND($T74=1,DF$5&lt;=$H74),DE74*(1-BP74)*(1-MIN(1,MAX(Assumptions!$C$27,Assumptions!$C$13*Assumptions!$C$28^(DE$5-1))*$O74)),0)</f>
        <v>0</v>
      </c>
      <c r="DG74" s="93">
        <f>IF(AND($T74=1,DG$5&lt;=$H74),DF74*(1-BQ74)*(1-MIN(1,MAX(Assumptions!$C$27,Assumptions!$C$13*Assumptions!$C$28^(DF$5-1))*$O74)),0)</f>
        <v>0</v>
      </c>
      <c r="DH74" s="93">
        <f>IF(AND($T74=1,DH$5&lt;=$H74),DG74*(1-BR74)*(1-MIN(1,MAX(Assumptions!$C$27,Assumptions!$C$13*Assumptions!$C$28^(DG$5-1))*$O74)),0)</f>
        <v>0</v>
      </c>
      <c r="DI74" s="93">
        <f>IF(AND($T74=1,DI$5&lt;=$H74),DH74*(1-BS74)*(1-MIN(1,MAX(Assumptions!$C$27,Assumptions!$C$13*Assumptions!$C$28^(DH$5-1))*$O74)),0)</f>
        <v>0</v>
      </c>
      <c r="DJ74" s="93">
        <f>IF(AND($T74=1,DJ$5&lt;=$H74),DI74*(1-BT74)*(1-MIN(1,MAX(Assumptions!$C$27,Assumptions!$C$13*Assumptions!$C$28^(DI$5-1))*$O74)),0)</f>
        <v>0</v>
      </c>
      <c r="DK74" s="93">
        <f>IF(AND($T74=1,DK$5&lt;=$H74),DJ74*(1-BU74)*(1-MIN(1,MAX(Assumptions!$C$27,Assumptions!$C$13*Assumptions!$C$28^(DJ$5-1))*$O74)),0)</f>
        <v>0</v>
      </c>
      <c r="DL74" s="93">
        <f>IF(AND($T74=1,DL$5&lt;=$H74),DK74*(1-BV74)*(1-MIN(1,MAX(Assumptions!$C$27,Assumptions!$C$13*Assumptions!$C$28^(DK$5-1))*$O74)),0)</f>
        <v>0</v>
      </c>
      <c r="DM74" s="93">
        <f>IF(AND($T74=1,DM$5&lt;=$H74),DL74*(1-BW74)*(1-MIN(1,MAX(Assumptions!$C$27,Assumptions!$C$13*Assumptions!$C$28^(DL$5-1))*$O74)),0)</f>
        <v>0</v>
      </c>
      <c r="DN74" s="93">
        <f>IF(AND($T74=1,DN$5&lt;=$H74),DM74*(1-BX74)*(1-MIN(1,MAX(Assumptions!$C$27,Assumptions!$C$13*Assumptions!$C$28^(DM$5-1))*$O74)),0)</f>
        <v>0</v>
      </c>
      <c r="DO74" s="93">
        <f>IF(AND($T74=1,DO$5&lt;=$H74),DN74*(1-BY74)*(1-MIN(1,MAX(Assumptions!$C$27,Assumptions!$C$13*Assumptions!$C$28^(DN$5-1))*$O74)),0)</f>
        <v>0</v>
      </c>
      <c r="DP74" s="93">
        <f>IF(AND($T74=1,DP$5&lt;=$H74),DO74*(1-BZ74)*(1-MIN(1,MAX(Assumptions!$C$27,Assumptions!$C$13*Assumptions!$C$28^(DO$5-1))*$O74)),0)</f>
        <v>0</v>
      </c>
      <c r="DQ74" s="93">
        <f>IF(AND($T74=1,DQ$5&lt;=$H74),DP74*(1-CA74)*(1-MIN(1,MAX(Assumptions!$C$27,Assumptions!$C$13*Assumptions!$C$28^(DP$5-1))*$O74)),0)</f>
        <v>0</v>
      </c>
      <c r="DR74" s="93">
        <f>IF(AND($T74=1,DR$5&lt;=$H74),DQ74*(1-CB74)*(1-MIN(1,MAX(Assumptions!$C$27,Assumptions!$C$13*Assumptions!$C$28^(DQ$5-1))*$O74)),0)</f>
        <v>0</v>
      </c>
      <c r="DS74" s="93">
        <f>IF(AND($T74=1,DS$5&lt;=$H74),DR74*(1-CC74)*(1-MIN(1,MAX(Assumptions!$C$27,Assumptions!$C$13*Assumptions!$C$28^(DR$5-1))*$O74)),0)</f>
        <v>0</v>
      </c>
      <c r="DT74" s="93">
        <f>IF(AND($T74=1,DT$5&lt;=$H74),DS74*(1-CD74)*(1-MIN(1,MAX(Assumptions!$C$27,Assumptions!$C$13*Assumptions!$C$28^(DS$5-1))*$O74)),0)</f>
        <v>0</v>
      </c>
      <c r="DU74" s="93">
        <f>IF(AND($T74=1,DU$5&lt;=$H74),DT74*(1-CE74)*(1-MIN(1,MAX(Assumptions!$C$27,Assumptions!$C$13*Assumptions!$C$28^(DT$5-1))*$O74)),0)</f>
        <v>0</v>
      </c>
      <c r="DV74" s="93">
        <f>IF(AND($T74=1,DV$5&lt;=$H74),DU74*(1-CF74)*(1-MIN(1,MAX(Assumptions!$C$27,Assumptions!$C$13*Assumptions!$C$28^(DU$5-1))*$O74)),0)</f>
        <v>0</v>
      </c>
      <c r="DW74" s="94">
        <f>IF(AND($T74=1,DW$5&lt;=$H74),DV74*(1-CG74)*(1-MIN(1,MAX(Assumptions!$C$27,Assumptions!$C$13*Assumptions!$C$28^(DV$5-1))*$O74)),0)</f>
        <v>0</v>
      </c>
      <c r="DX74" s="26"/>
      <c r="DY74" s="399">
        <f>'Policy Data'!K48</f>
        <v>5</v>
      </c>
      <c r="DZ74" s="100">
        <f>'Policy Data'!L48</f>
        <v>0.72440000000000004</v>
      </c>
      <c r="EA74" s="100">
        <f>'Policy Data'!N48</f>
        <v>3.8149999999999998E-3</v>
      </c>
      <c r="EB74" s="93" cm="1">
        <f t="array" ref="EB74">IFERROR(DZ74*INDEX(Mortality!$B$4:$E$64,MATCH(D74+DY74-1,Mortality!$A$4:$A$64,0),U74)*V74,0)</f>
        <v>5.2532277288563582E-3</v>
      </c>
      <c r="EC74" s="100">
        <f>'Policy Data'!O48</f>
        <v>0</v>
      </c>
      <c r="ED74" s="400">
        <f>'Policy Data'!Q48</f>
        <v>0</v>
      </c>
    </row>
    <row r="75" spans="1:134" x14ac:dyDescent="0.3">
      <c r="A75" s="399" t="str">
        <f>'Policy Data'!A49</f>
        <v>POL100045</v>
      </c>
      <c r="B75" s="26" t="s">
        <v>426</v>
      </c>
      <c r="C75" s="100" t="str">
        <f>'Policy Data'!B49</f>
        <v>Term Life</v>
      </c>
      <c r="D75" s="100">
        <f>'Policy Data'!C49</f>
        <v>58</v>
      </c>
      <c r="E75" s="100" t="str">
        <f>'Policy Data'!D49</f>
        <v>Female</v>
      </c>
      <c r="F75" s="100" t="str">
        <f>'Policy Data'!E49</f>
        <v>Non-smoker</v>
      </c>
      <c r="G75" s="100" t="str">
        <f>'Policy Data'!F49</f>
        <v>Standard</v>
      </c>
      <c r="H75" s="100">
        <f>'Policy Data'!G49</f>
        <v>10</v>
      </c>
      <c r="I75" s="279">
        <f>'Policy Data'!H49</f>
        <v>250000</v>
      </c>
      <c r="J75" s="100" t="str">
        <f>'Policy Data'!I49</f>
        <v>Monthly</v>
      </c>
      <c r="K75" s="100" t="str">
        <f>'Policy Data'!J49</f>
        <v>Broker</v>
      </c>
      <c r="L75" s="26" t="s">
        <v>389</v>
      </c>
      <c r="M75" s="106">
        <f>'Policy Data'!R49</f>
        <v>1677.42</v>
      </c>
      <c r="N75" s="415">
        <f>Assumptions!$C$21</f>
        <v>1</v>
      </c>
      <c r="O75" s="415">
        <f>Assumptions!$C$22</f>
        <v>1</v>
      </c>
      <c r="P75" s="415">
        <f>Assumptions!$C$23</f>
        <v>1</v>
      </c>
      <c r="Q75" s="416">
        <f>Assumptions!$C$24</f>
        <v>0</v>
      </c>
      <c r="R75" s="416">
        <f>Assumptions!$C$6+Assumptions!$C$25</f>
        <v>3.5000000000000003E-2</v>
      </c>
      <c r="S75" s="416">
        <f>Assumptions!$C$15</f>
        <v>1.1000000000000001E-3</v>
      </c>
      <c r="T75" s="26">
        <f t="shared" si="18"/>
        <v>1</v>
      </c>
      <c r="U75" s="26">
        <f t="shared" si="19"/>
        <v>1</v>
      </c>
      <c r="V75" s="389">
        <f>IF($G75="Preferred",Assumptions!$C$30,IF($G75="Rated",Assumptions!$C$31,1))</f>
        <v>1</v>
      </c>
      <c r="W75" s="390">
        <f>IF($K75="Direct",Assumptions!$C$32,IF($K75="Broker",Assumptions!$C$33,IF($K75="Bancassurance",Assumptions!$C$34,Assumptions!$C$11)))+$Q75</f>
        <v>0.25</v>
      </c>
      <c r="X75" s="390">
        <f>Assumptions!$C$12+$Q75</f>
        <v>0.05</v>
      </c>
      <c r="Y75" s="131">
        <f>MIN($I75,Assumptions!$C$14)</f>
        <v>250000</v>
      </c>
      <c r="Z75" s="131">
        <f>MAX($I75-Assumptions!$C$14,0)</f>
        <v>0</v>
      </c>
      <c r="AA75" s="389">
        <f t="shared" si="20"/>
        <v>5.778372152382186</v>
      </c>
      <c r="AB75" s="389">
        <f t="shared" si="21"/>
        <v>2.8403838951555169E-2</v>
      </c>
      <c r="AC75" s="389">
        <f>IF($T75=1,SUMPRODUCT($CJ75:$DW75,(1+Assumptions!$C$5)^($CJ$5:$DW$5-1),(1+$R75)^(-$CJ$5:$DW$5)),0)</f>
        <v>6.6934232224415986</v>
      </c>
      <c r="AD75" s="389">
        <f t="shared" si="22"/>
        <v>0.48215532259495475</v>
      </c>
      <c r="AE75" s="131">
        <f>IF($T75=1,$AB75*$Y75+(Assumptions!$C$9/(1+$R75)+Assumptions!$C$10*$AC75)*$P75+$S75*$Z75*$AA75,0)</f>
        <v>9443.0780642172485</v>
      </c>
      <c r="AF75" s="131">
        <f>IF($T75=1,IF($AA75-$AD75-Assumptions!$C$16*$AA75&gt;0,$AE75/($AA75-$AD75-Assumptions!$C$16*$AA75)*IF($J75="Monthly",1+Assumptions!$C$29,1),"n.a."),"")</f>
        <v>2012.0970069083724</v>
      </c>
      <c r="AG75" s="131">
        <f t="shared" si="23"/>
        <v>1677.42</v>
      </c>
      <c r="AH75" s="131">
        <f t="shared" si="24"/>
        <v>9692.757015848927</v>
      </c>
      <c r="AI75" s="131">
        <f t="shared" si="25"/>
        <v>-559.09802959555054</v>
      </c>
      <c r="AJ75" s="390">
        <f t="shared" si="26"/>
        <v>-5.7682043270181234E-2</v>
      </c>
      <c r="AK75" s="389">
        <f t="shared" si="27"/>
        <v>0.83366755889040844</v>
      </c>
      <c r="AL75" s="131">
        <f t="shared" si="28"/>
        <v>0</v>
      </c>
      <c r="AM75" s="131">
        <f t="shared" si="29"/>
        <v>0</v>
      </c>
      <c r="AN75" s="131">
        <f t="shared" si="30"/>
        <v>0</v>
      </c>
      <c r="AO75" s="131">
        <f t="shared" si="31"/>
        <v>-559.09802959555054</v>
      </c>
      <c r="AP75" s="26" t="str">
        <f t="shared" si="32"/>
        <v>50-59</v>
      </c>
      <c r="AQ75" s="26" t="str">
        <f t="shared" si="33"/>
        <v>Up to 250k</v>
      </c>
      <c r="AR75" s="26" t="str">
        <f>IF($T75=1,IF($AI75&lt;0,"Loss-making",IF($AJ75&lt;Assumptions!$C$16-0.00001,"Below target","At/above target")),"Excluded")</f>
        <v>Loss-making</v>
      </c>
      <c r="AS75" s="103">
        <f t="shared" si="34"/>
        <v>-559.0979545955505</v>
      </c>
      <c r="AT75" s="26"/>
      <c r="AU75" s="419">
        <f>IF(AND($T75=1,AU$5&lt;=$H75),INDEX(Mortality!$B$4:$E$64,MATCH($D75+AU$5-1,Mortality!$A$4:$A$64,0),$U75)*$V75*$N75,0)</f>
        <v>3.5929492174468702E-3</v>
      </c>
      <c r="AV75" s="93">
        <f>IF(AND($T75=1,AV$5&lt;=$H75),INDEX(Mortality!$B$4:$E$64,MATCH($D75+AV$5-1,Mortality!$A$4:$A$64,0),$U75)*$V75*$N75,0)</f>
        <v>3.8921954220730499E-3</v>
      </c>
      <c r="AW75" s="93">
        <f>IF(AND($T75=1,AW$5&lt;=$H75),INDEX(Mortality!$B$4:$E$64,MATCH($D75+AW$5-1,Mortality!$A$4:$A$64,0),$U75)*$V75*$N75,0)</f>
        <v>4.2163649655954103E-3</v>
      </c>
      <c r="AX75" s="93">
        <f>IF(AND($T75=1,AX$5&lt;=$H75),INDEX(Mortality!$B$4:$E$64,MATCH($D75+AX$5-1,Mortality!$A$4:$A$64,0),$U75)*$V75*$N75,0)</f>
        <v>4.5675336398272801E-3</v>
      </c>
      <c r="AY75" s="93">
        <f>IF(AND($T75=1,AY$5&lt;=$H75),INDEX(Mortality!$B$4:$E$64,MATCH($D75+AY$5-1,Mortality!$A$4:$A$64,0),$U75)*$V75*$N75,0)</f>
        <v>4.9479501231952296E-3</v>
      </c>
      <c r="AZ75" s="93">
        <f>IF(AND($T75=1,AZ$5&lt;=$H75),INDEX(Mortality!$B$4:$E$64,MATCH($D75+AZ$5-1,Mortality!$A$4:$A$64,0),$U75)*$V75*$N75,0)</f>
        <v>5.36005037995811E-3</v>
      </c>
      <c r="BA75" s="93">
        <f>IF(AND($T75=1,BA$5&lt;=$H75),INDEX(Mortality!$B$4:$E$64,MATCH($D75+BA$5-1,Mortality!$A$4:$A$64,0),$U75)*$V75*$N75,0)</f>
        <v>5.8064732586948697E-3</v>
      </c>
      <c r="BB75" s="93">
        <f>IF(AND($T75=1,BB$5&lt;=$H75),INDEX(Mortality!$B$4:$E$64,MATCH($D75+BB$5-1,Mortality!$A$4:$A$64,0),$U75)*$V75*$N75,0)</f>
        <v>6.2900773899446198E-3</v>
      </c>
      <c r="BC75" s="93">
        <f>IF(AND($T75=1,BC$5&lt;=$H75),INDEX(Mortality!$B$4:$E$64,MATCH($D75+BC$5-1,Mortality!$A$4:$A$64,0),$U75)*$V75*$N75,0)</f>
        <v>6.8139594912016701E-3</v>
      </c>
      <c r="BD75" s="93">
        <f>IF(AND($T75=1,BD$5&lt;=$H75),INDEX(Mortality!$B$4:$E$64,MATCH($D75+BD$5-1,Mortality!$A$4:$A$64,0),$U75)*$V75*$N75,0)</f>
        <v>7.3814741964798002E-3</v>
      </c>
      <c r="BE75" s="93">
        <f>IF(AND($T75=1,BE$5&lt;=$H75),INDEX(Mortality!$B$4:$E$64,MATCH($D75+BE$5-1,Mortality!$A$4:$A$64,0),$U75)*$V75*$N75,0)</f>
        <v>0</v>
      </c>
      <c r="BF75" s="93">
        <f>IF(AND($T75=1,BF$5&lt;=$H75),INDEX(Mortality!$B$4:$E$64,MATCH($D75+BF$5-1,Mortality!$A$4:$A$64,0),$U75)*$V75*$N75,0)</f>
        <v>0</v>
      </c>
      <c r="BG75" s="93">
        <f>IF(AND($T75=1,BG$5&lt;=$H75),INDEX(Mortality!$B$4:$E$64,MATCH($D75+BG$5-1,Mortality!$A$4:$A$64,0),$U75)*$V75*$N75,0)</f>
        <v>0</v>
      </c>
      <c r="BH75" s="93">
        <f>IF(AND($T75=1,BH$5&lt;=$H75),INDEX(Mortality!$B$4:$E$64,MATCH($D75+BH$5-1,Mortality!$A$4:$A$64,0),$U75)*$V75*$N75,0)</f>
        <v>0</v>
      </c>
      <c r="BI75" s="93">
        <f>IF(AND($T75=1,BI$5&lt;=$H75),INDEX(Mortality!$B$4:$E$64,MATCH($D75+BI$5-1,Mortality!$A$4:$A$64,0),$U75)*$V75*$N75,0)</f>
        <v>0</v>
      </c>
      <c r="BJ75" s="93">
        <f>IF(AND($T75=1,BJ$5&lt;=$H75),INDEX(Mortality!$B$4:$E$64,MATCH($D75+BJ$5-1,Mortality!$A$4:$A$64,0),$U75)*$V75*$N75,0)</f>
        <v>0</v>
      </c>
      <c r="BK75" s="93">
        <f>IF(AND($T75=1,BK$5&lt;=$H75),INDEX(Mortality!$B$4:$E$64,MATCH($D75+BK$5-1,Mortality!$A$4:$A$64,0),$U75)*$V75*$N75,0)</f>
        <v>0</v>
      </c>
      <c r="BL75" s="93">
        <f>IF(AND($T75=1,BL$5&lt;=$H75),INDEX(Mortality!$B$4:$E$64,MATCH($D75+BL$5-1,Mortality!$A$4:$A$64,0),$U75)*$V75*$N75,0)</f>
        <v>0</v>
      </c>
      <c r="BM75" s="93">
        <f>IF(AND($T75=1,BM$5&lt;=$H75),INDEX(Mortality!$B$4:$E$64,MATCH($D75+BM$5-1,Mortality!$A$4:$A$64,0),$U75)*$V75*$N75,0)</f>
        <v>0</v>
      </c>
      <c r="BN75" s="93">
        <f>IF(AND($T75=1,BN$5&lt;=$H75),INDEX(Mortality!$B$4:$E$64,MATCH($D75+BN$5-1,Mortality!$A$4:$A$64,0),$U75)*$V75*$N75,0)</f>
        <v>0</v>
      </c>
      <c r="BO75" s="93">
        <f>IF(AND($T75=1,BO$5&lt;=$H75),INDEX(Mortality!$B$4:$E$64,MATCH($D75+BO$5-1,Mortality!$A$4:$A$64,0),$U75)*$V75*$N75,0)</f>
        <v>0</v>
      </c>
      <c r="BP75" s="93">
        <f>IF(AND($T75=1,BP$5&lt;=$H75),INDEX(Mortality!$B$4:$E$64,MATCH($D75+BP$5-1,Mortality!$A$4:$A$64,0),$U75)*$V75*$N75,0)</f>
        <v>0</v>
      </c>
      <c r="BQ75" s="93">
        <f>IF(AND($T75=1,BQ$5&lt;=$H75),INDEX(Mortality!$B$4:$E$64,MATCH($D75+BQ$5-1,Mortality!$A$4:$A$64,0),$U75)*$V75*$N75,0)</f>
        <v>0</v>
      </c>
      <c r="BR75" s="93">
        <f>IF(AND($T75=1,BR$5&lt;=$H75),INDEX(Mortality!$B$4:$E$64,MATCH($D75+BR$5-1,Mortality!$A$4:$A$64,0),$U75)*$V75*$N75,0)</f>
        <v>0</v>
      </c>
      <c r="BS75" s="93">
        <f>IF(AND($T75=1,BS$5&lt;=$H75),INDEX(Mortality!$B$4:$E$64,MATCH($D75+BS$5-1,Mortality!$A$4:$A$64,0),$U75)*$V75*$N75,0)</f>
        <v>0</v>
      </c>
      <c r="BT75" s="93">
        <f>IF(AND($T75=1,BT$5&lt;=$H75),INDEX(Mortality!$B$4:$E$64,MATCH($D75+BT$5-1,Mortality!$A$4:$A$64,0),$U75)*$V75*$N75,0)</f>
        <v>0</v>
      </c>
      <c r="BU75" s="93">
        <f>IF(AND($T75=1,BU$5&lt;=$H75),INDEX(Mortality!$B$4:$E$64,MATCH($D75+BU$5-1,Mortality!$A$4:$A$64,0),$U75)*$V75*$N75,0)</f>
        <v>0</v>
      </c>
      <c r="BV75" s="93">
        <f>IF(AND($T75=1,BV$5&lt;=$H75),INDEX(Mortality!$B$4:$E$64,MATCH($D75+BV$5-1,Mortality!$A$4:$A$64,0),$U75)*$V75*$N75,0)</f>
        <v>0</v>
      </c>
      <c r="BW75" s="93">
        <f>IF(AND($T75=1,BW$5&lt;=$H75),INDEX(Mortality!$B$4:$E$64,MATCH($D75+BW$5-1,Mortality!$A$4:$A$64,0),$U75)*$V75*$N75,0)</f>
        <v>0</v>
      </c>
      <c r="BX75" s="93">
        <f>IF(AND($T75=1,BX$5&lt;=$H75),INDEX(Mortality!$B$4:$E$64,MATCH($D75+BX$5-1,Mortality!$A$4:$A$64,0),$U75)*$V75*$N75,0)</f>
        <v>0</v>
      </c>
      <c r="BY75" s="93">
        <f>IF(AND($T75=1,BY$5&lt;=$H75),INDEX(Mortality!$B$4:$E$64,MATCH($D75+BY$5-1,Mortality!$A$4:$A$64,0),$U75)*$V75*$N75,0)</f>
        <v>0</v>
      </c>
      <c r="BZ75" s="93">
        <f>IF(AND($T75=1,BZ$5&lt;=$H75),INDEX(Mortality!$B$4:$E$64,MATCH($D75+BZ$5-1,Mortality!$A$4:$A$64,0),$U75)*$V75*$N75,0)</f>
        <v>0</v>
      </c>
      <c r="CA75" s="93">
        <f>IF(AND($T75=1,CA$5&lt;=$H75),INDEX(Mortality!$B$4:$E$64,MATCH($D75+CA$5-1,Mortality!$A$4:$A$64,0),$U75)*$V75*$N75,0)</f>
        <v>0</v>
      </c>
      <c r="CB75" s="93">
        <f>IF(AND($T75=1,CB$5&lt;=$H75),INDEX(Mortality!$B$4:$E$64,MATCH($D75+CB$5-1,Mortality!$A$4:$A$64,0),$U75)*$V75*$N75,0)</f>
        <v>0</v>
      </c>
      <c r="CC75" s="93">
        <f>IF(AND($T75=1,CC$5&lt;=$H75),INDEX(Mortality!$B$4:$E$64,MATCH($D75+CC$5-1,Mortality!$A$4:$A$64,0),$U75)*$V75*$N75,0)</f>
        <v>0</v>
      </c>
      <c r="CD75" s="93">
        <f>IF(AND($T75=1,CD$5&lt;=$H75),INDEX(Mortality!$B$4:$E$64,MATCH($D75+CD$5-1,Mortality!$A$4:$A$64,0),$U75)*$V75*$N75,0)</f>
        <v>0</v>
      </c>
      <c r="CE75" s="93">
        <f>IF(AND($T75=1,CE$5&lt;=$H75),INDEX(Mortality!$B$4:$E$64,MATCH($D75+CE$5-1,Mortality!$A$4:$A$64,0),$U75)*$V75*$N75,0)</f>
        <v>0</v>
      </c>
      <c r="CF75" s="93">
        <f>IF(AND($T75=1,CF$5&lt;=$H75),INDEX(Mortality!$B$4:$E$64,MATCH($D75+CF$5-1,Mortality!$A$4:$A$64,0),$U75)*$V75*$N75,0)</f>
        <v>0</v>
      </c>
      <c r="CG75" s="93">
        <f>IF(AND($T75=1,CG$5&lt;=$H75),INDEX(Mortality!$B$4:$E$64,MATCH($D75+CG$5-1,Mortality!$A$4:$A$64,0),$U75)*$V75*$N75,0)</f>
        <v>0</v>
      </c>
      <c r="CH75" s="94">
        <f>IF(AND($T75=1,CH$5&lt;=$H75),INDEX(Mortality!$B$4:$E$64,MATCH($D75+CH$5-1,Mortality!$A$4:$A$64,0),$U75)*$V75*$N75,0)</f>
        <v>0</v>
      </c>
      <c r="CI75" s="26"/>
      <c r="CJ75" s="419">
        <f t="shared" si="35"/>
        <v>1</v>
      </c>
      <c r="CK75" s="93">
        <f>IF(AND($T75=1,CK$5&lt;=$H75),CJ75*(1-AU75)*(1-MIN(1,MAX(Assumptions!$C$27,Assumptions!$C$13*Assumptions!$C$28^(CJ$5-1))*$O75)),0)</f>
        <v>0.87683820468864671</v>
      </c>
      <c r="CL75" s="93">
        <f>IF(AND($T75=1,CL$5&lt;=$H75),CK75*(1-AV75)*(1-MIN(1,MAX(Assumptions!$C$27,Assumptions!$C$13*Assumptions!$C$28^(CK$5-1))*$O75)),0)</f>
        <v>0.78433599038012802</v>
      </c>
      <c r="CM75" s="93">
        <f>IF(AND($T75=1,CM$5&lt;=$H75),CL75*(1-AW75)*(1-MIN(1,MAX(Assumptions!$C$27,Assumptions!$C$13*Assumptions!$C$28^(CL$5-1))*$O75)),0)</f>
        <v>0.71331373417986443</v>
      </c>
      <c r="CN75" s="93">
        <f>IF(AND($T75=1,CN$5&lt;=$H75),CM75*(1-AX75)*(1-MIN(1,MAX(Assumptions!$C$27,Assumptions!$C$13*Assumptions!$C$28^(CM$5-1))*$O75)),0)</f>
        <v>0.65772809859836634</v>
      </c>
      <c r="CO75" s="93">
        <f>IF(AND($T75=1,CO$5&lt;=$H75),CN75*(1-AY75)*(1-MIN(1,MAX(Assumptions!$C$27,Assumptions!$C$13*Assumptions!$C$28^(CN$5-1))*$O75)),0)</f>
        <v>0.61347696980137756</v>
      </c>
      <c r="CP75" s="93">
        <f>IF(AND($T75=1,CP$5&lt;=$H75),CO75*(1-AZ75)*(1-MIN(1,MAX(Assumptions!$C$27,Assumptions!$C$13*Assumptions!$C$28^(CO$5-1))*$O75)),0)</f>
        <v>0.57769942607380653</v>
      </c>
      <c r="CQ75" s="93">
        <f>IF(AND($T75=1,CQ$5&lt;=$H75),CP75*(1-BA75)*(1-MIN(1,MAX(Assumptions!$C$27,Assumptions!$C$13*Assumptions!$C$28^(CP$5-1))*$O75)),0)</f>
        <v>0.54835135582964722</v>
      </c>
      <c r="CR75" s="93">
        <f>IF(AND($T75=1,CR$5&lt;=$H75),CQ75*(1-BB75)*(1-MIN(1,MAX(Assumptions!$C$27,Assumptions!$C$13*Assumptions!$C$28^(CQ$5-1))*$O75)),0)</f>
        <v>0.52394020472366354</v>
      </c>
      <c r="CS75" s="93">
        <f>IF(AND($T75=1,CS$5&lt;=$H75),CR75*(1-BC75)*(1-MIN(1,MAX(Assumptions!$C$27,Assumptions!$C$13*Assumptions!$C$28^(CR$5-1))*$O75)),0)</f>
        <v>0.50335458686647938</v>
      </c>
      <c r="CT75" s="93">
        <f>IF(AND($T75=1,CT$5&lt;=$H75),CS75*(1-BD75)*(1-MIN(1,MAX(Assumptions!$C$27,Assumptions!$C$13*Assumptions!$C$28^(CS$5-1))*$O75)),0)</f>
        <v>0</v>
      </c>
      <c r="CU75" s="93">
        <f>IF(AND($T75=1,CU$5&lt;=$H75),CT75*(1-BE75)*(1-MIN(1,MAX(Assumptions!$C$27,Assumptions!$C$13*Assumptions!$C$28^(CT$5-1))*$O75)),0)</f>
        <v>0</v>
      </c>
      <c r="CV75" s="93">
        <f>IF(AND($T75=1,CV$5&lt;=$H75),CU75*(1-BF75)*(1-MIN(1,MAX(Assumptions!$C$27,Assumptions!$C$13*Assumptions!$C$28^(CU$5-1))*$O75)),0)</f>
        <v>0</v>
      </c>
      <c r="CW75" s="93">
        <f>IF(AND($T75=1,CW$5&lt;=$H75),CV75*(1-BG75)*(1-MIN(1,MAX(Assumptions!$C$27,Assumptions!$C$13*Assumptions!$C$28^(CV$5-1))*$O75)),0)</f>
        <v>0</v>
      </c>
      <c r="CX75" s="93">
        <f>IF(AND($T75=1,CX$5&lt;=$H75),CW75*(1-BH75)*(1-MIN(1,MAX(Assumptions!$C$27,Assumptions!$C$13*Assumptions!$C$28^(CW$5-1))*$O75)),0)</f>
        <v>0</v>
      </c>
      <c r="CY75" s="93">
        <f>IF(AND($T75=1,CY$5&lt;=$H75),CX75*(1-BI75)*(1-MIN(1,MAX(Assumptions!$C$27,Assumptions!$C$13*Assumptions!$C$28^(CX$5-1))*$O75)),0)</f>
        <v>0</v>
      </c>
      <c r="CZ75" s="93">
        <f>IF(AND($T75=1,CZ$5&lt;=$H75),CY75*(1-BJ75)*(1-MIN(1,MAX(Assumptions!$C$27,Assumptions!$C$13*Assumptions!$C$28^(CY$5-1))*$O75)),0)</f>
        <v>0</v>
      </c>
      <c r="DA75" s="93">
        <f>IF(AND($T75=1,DA$5&lt;=$H75),CZ75*(1-BK75)*(1-MIN(1,MAX(Assumptions!$C$27,Assumptions!$C$13*Assumptions!$C$28^(CZ$5-1))*$O75)),0)</f>
        <v>0</v>
      </c>
      <c r="DB75" s="93">
        <f>IF(AND($T75=1,DB$5&lt;=$H75),DA75*(1-BL75)*(1-MIN(1,MAX(Assumptions!$C$27,Assumptions!$C$13*Assumptions!$C$28^(DA$5-1))*$O75)),0)</f>
        <v>0</v>
      </c>
      <c r="DC75" s="93">
        <f>IF(AND($T75=1,DC$5&lt;=$H75),DB75*(1-BM75)*(1-MIN(1,MAX(Assumptions!$C$27,Assumptions!$C$13*Assumptions!$C$28^(DB$5-1))*$O75)),0)</f>
        <v>0</v>
      </c>
      <c r="DD75" s="93">
        <f>IF(AND($T75=1,DD$5&lt;=$H75),DC75*(1-BN75)*(1-MIN(1,MAX(Assumptions!$C$27,Assumptions!$C$13*Assumptions!$C$28^(DC$5-1))*$O75)),0)</f>
        <v>0</v>
      </c>
      <c r="DE75" s="93">
        <f>IF(AND($T75=1,DE$5&lt;=$H75),DD75*(1-BO75)*(1-MIN(1,MAX(Assumptions!$C$27,Assumptions!$C$13*Assumptions!$C$28^(DD$5-1))*$O75)),0)</f>
        <v>0</v>
      </c>
      <c r="DF75" s="93">
        <f>IF(AND($T75=1,DF$5&lt;=$H75),DE75*(1-BP75)*(1-MIN(1,MAX(Assumptions!$C$27,Assumptions!$C$13*Assumptions!$C$28^(DE$5-1))*$O75)),0)</f>
        <v>0</v>
      </c>
      <c r="DG75" s="93">
        <f>IF(AND($T75=1,DG$5&lt;=$H75),DF75*(1-BQ75)*(1-MIN(1,MAX(Assumptions!$C$27,Assumptions!$C$13*Assumptions!$C$28^(DF$5-1))*$O75)),0)</f>
        <v>0</v>
      </c>
      <c r="DH75" s="93">
        <f>IF(AND($T75=1,DH$5&lt;=$H75),DG75*(1-BR75)*(1-MIN(1,MAX(Assumptions!$C$27,Assumptions!$C$13*Assumptions!$C$28^(DG$5-1))*$O75)),0)</f>
        <v>0</v>
      </c>
      <c r="DI75" s="93">
        <f>IF(AND($T75=1,DI$5&lt;=$H75),DH75*(1-BS75)*(1-MIN(1,MAX(Assumptions!$C$27,Assumptions!$C$13*Assumptions!$C$28^(DH$5-1))*$O75)),0)</f>
        <v>0</v>
      </c>
      <c r="DJ75" s="93">
        <f>IF(AND($T75=1,DJ$5&lt;=$H75),DI75*(1-BT75)*(1-MIN(1,MAX(Assumptions!$C$27,Assumptions!$C$13*Assumptions!$C$28^(DI$5-1))*$O75)),0)</f>
        <v>0</v>
      </c>
      <c r="DK75" s="93">
        <f>IF(AND($T75=1,DK$5&lt;=$H75),DJ75*(1-BU75)*(1-MIN(1,MAX(Assumptions!$C$27,Assumptions!$C$13*Assumptions!$C$28^(DJ$5-1))*$O75)),0)</f>
        <v>0</v>
      </c>
      <c r="DL75" s="93">
        <f>IF(AND($T75=1,DL$5&lt;=$H75),DK75*(1-BV75)*(1-MIN(1,MAX(Assumptions!$C$27,Assumptions!$C$13*Assumptions!$C$28^(DK$5-1))*$O75)),0)</f>
        <v>0</v>
      </c>
      <c r="DM75" s="93">
        <f>IF(AND($T75=1,DM$5&lt;=$H75),DL75*(1-BW75)*(1-MIN(1,MAX(Assumptions!$C$27,Assumptions!$C$13*Assumptions!$C$28^(DL$5-1))*$O75)),0)</f>
        <v>0</v>
      </c>
      <c r="DN75" s="93">
        <f>IF(AND($T75=1,DN$5&lt;=$H75),DM75*(1-BX75)*(1-MIN(1,MAX(Assumptions!$C$27,Assumptions!$C$13*Assumptions!$C$28^(DM$5-1))*$O75)),0)</f>
        <v>0</v>
      </c>
      <c r="DO75" s="93">
        <f>IF(AND($T75=1,DO$5&lt;=$H75),DN75*(1-BY75)*(1-MIN(1,MAX(Assumptions!$C$27,Assumptions!$C$13*Assumptions!$C$28^(DN$5-1))*$O75)),0)</f>
        <v>0</v>
      </c>
      <c r="DP75" s="93">
        <f>IF(AND($T75=1,DP$5&lt;=$H75),DO75*(1-BZ75)*(1-MIN(1,MAX(Assumptions!$C$27,Assumptions!$C$13*Assumptions!$C$28^(DO$5-1))*$O75)),0)</f>
        <v>0</v>
      </c>
      <c r="DQ75" s="93">
        <f>IF(AND($T75=1,DQ$5&lt;=$H75),DP75*(1-CA75)*(1-MIN(1,MAX(Assumptions!$C$27,Assumptions!$C$13*Assumptions!$C$28^(DP$5-1))*$O75)),0)</f>
        <v>0</v>
      </c>
      <c r="DR75" s="93">
        <f>IF(AND($T75=1,DR$5&lt;=$H75),DQ75*(1-CB75)*(1-MIN(1,MAX(Assumptions!$C$27,Assumptions!$C$13*Assumptions!$C$28^(DQ$5-1))*$O75)),0)</f>
        <v>0</v>
      </c>
      <c r="DS75" s="93">
        <f>IF(AND($T75=1,DS$5&lt;=$H75),DR75*(1-CC75)*(1-MIN(1,MAX(Assumptions!$C$27,Assumptions!$C$13*Assumptions!$C$28^(DR$5-1))*$O75)),0)</f>
        <v>0</v>
      </c>
      <c r="DT75" s="93">
        <f>IF(AND($T75=1,DT$5&lt;=$H75),DS75*(1-CD75)*(1-MIN(1,MAX(Assumptions!$C$27,Assumptions!$C$13*Assumptions!$C$28^(DS$5-1))*$O75)),0)</f>
        <v>0</v>
      </c>
      <c r="DU75" s="93">
        <f>IF(AND($T75=1,DU$5&lt;=$H75),DT75*(1-CE75)*(1-MIN(1,MAX(Assumptions!$C$27,Assumptions!$C$13*Assumptions!$C$28^(DT$5-1))*$O75)),0)</f>
        <v>0</v>
      </c>
      <c r="DV75" s="93">
        <f>IF(AND($T75=1,DV$5&lt;=$H75),DU75*(1-CF75)*(1-MIN(1,MAX(Assumptions!$C$27,Assumptions!$C$13*Assumptions!$C$28^(DU$5-1))*$O75)),0)</f>
        <v>0</v>
      </c>
      <c r="DW75" s="94">
        <f>IF(AND($T75=1,DW$5&lt;=$H75),DV75*(1-CG75)*(1-MIN(1,MAX(Assumptions!$C$27,Assumptions!$C$13*Assumptions!$C$28^(DV$5-1))*$O75)),0)</f>
        <v>0</v>
      </c>
      <c r="DX75" s="26"/>
      <c r="DY75" s="399">
        <f>'Policy Data'!K49</f>
        <v>1</v>
      </c>
      <c r="DZ75" s="100">
        <f>'Policy Data'!L49</f>
        <v>0.87170000000000003</v>
      </c>
      <c r="EA75" s="100">
        <f>'Policy Data'!N49</f>
        <v>3.1319999999999998E-3</v>
      </c>
      <c r="EB75" s="93" cm="1">
        <f t="array" ref="EB75">IFERROR(DZ75*INDEX(Mortality!$B$4:$E$64,MATCH(D75+DY75-1,Mortality!$A$4:$A$64,0),U75)*V75,0)</f>
        <v>3.1319738328484371E-3</v>
      </c>
      <c r="EC75" s="100">
        <f>'Policy Data'!O49</f>
        <v>0</v>
      </c>
      <c r="ED75" s="400">
        <f>'Policy Data'!Q49</f>
        <v>0</v>
      </c>
    </row>
    <row r="76" spans="1:134" x14ac:dyDescent="0.3">
      <c r="A76" s="399" t="str">
        <f>'Policy Data'!A50</f>
        <v>POL100046</v>
      </c>
      <c r="B76" s="26" t="s">
        <v>426</v>
      </c>
      <c r="C76" s="100" t="str">
        <f>'Policy Data'!B50</f>
        <v>Term Life</v>
      </c>
      <c r="D76" s="100">
        <f>'Policy Data'!C50</f>
        <v>28</v>
      </c>
      <c r="E76" s="100" t="str">
        <f>'Policy Data'!D50</f>
        <v>Male</v>
      </c>
      <c r="F76" s="100" t="str">
        <f>'Policy Data'!E50</f>
        <v>Non-smoker</v>
      </c>
      <c r="G76" s="100" t="str">
        <f>'Policy Data'!F50</f>
        <v>Standard</v>
      </c>
      <c r="H76" s="100">
        <f>'Policy Data'!G50</f>
        <v>15</v>
      </c>
      <c r="I76" s="279">
        <f>'Policy Data'!H50</f>
        <v>500000</v>
      </c>
      <c r="J76" s="100" t="str">
        <f>'Policy Data'!I50</f>
        <v>Annual</v>
      </c>
      <c r="K76" s="100" t="str">
        <f>'Policy Data'!J50</f>
        <v>Bancassurance</v>
      </c>
      <c r="L76" s="26" t="s">
        <v>389</v>
      </c>
      <c r="M76" s="106">
        <f>'Policy Data'!R50</f>
        <v>1200</v>
      </c>
      <c r="N76" s="415">
        <f>Assumptions!$C$21</f>
        <v>1</v>
      </c>
      <c r="O76" s="415">
        <f>Assumptions!$C$22</f>
        <v>1</v>
      </c>
      <c r="P76" s="415">
        <f>Assumptions!$C$23</f>
        <v>1</v>
      </c>
      <c r="Q76" s="416">
        <f>Assumptions!$C$24</f>
        <v>0</v>
      </c>
      <c r="R76" s="416">
        <f>Assumptions!$C$6+Assumptions!$C$25</f>
        <v>3.5000000000000003E-2</v>
      </c>
      <c r="S76" s="416">
        <f>Assumptions!$C$15</f>
        <v>1.1000000000000001E-3</v>
      </c>
      <c r="T76" s="26">
        <f t="shared" si="18"/>
        <v>1</v>
      </c>
      <c r="U76" s="26">
        <f t="shared" si="19"/>
        <v>3</v>
      </c>
      <c r="V76" s="389">
        <f>IF($G76="Preferred",Assumptions!$C$30,IF($G76="Rated",Assumptions!$C$31,1))</f>
        <v>1</v>
      </c>
      <c r="W76" s="390">
        <f>IF($K76="Direct",Assumptions!$C$32,IF($K76="Broker",Assumptions!$C$33,IF($K76="Bancassurance",Assumptions!$C$34,Assumptions!$C$11)))+$Q76</f>
        <v>0.2</v>
      </c>
      <c r="X76" s="390">
        <f>Assumptions!$C$12+$Q76</f>
        <v>0.05</v>
      </c>
      <c r="Y76" s="131">
        <f>MIN($I76,Assumptions!$C$14)</f>
        <v>500000</v>
      </c>
      <c r="Z76" s="131">
        <f>MAX($I76-Assumptions!$C$14,0)</f>
        <v>0</v>
      </c>
      <c r="AA76" s="389">
        <f t="shared" si="20"/>
        <v>7.4195208668553319</v>
      </c>
      <c r="AB76" s="389">
        <f t="shared" si="21"/>
        <v>5.3370322839905978E-3</v>
      </c>
      <c r="AC76" s="389">
        <f>IF($T76=1,SUMPRODUCT($CJ76:$DW76,(1+Assumptions!$C$5)^($CJ$5:$DW$5-1),(1+$R76)^(-$CJ$5:$DW$5)),0)</f>
        <v>9.2870345826062586</v>
      </c>
      <c r="AD76" s="389">
        <f t="shared" si="22"/>
        <v>0.51590357957465072</v>
      </c>
      <c r="AE76" s="131">
        <f>IF($T76=1,$AB76*$Y76+(Assumptions!$C$9/(1+$R76)+Assumptions!$C$10*$AC76)*$P76+$S76*$Z76*$AA76,0)</f>
        <v>5581.2289675599804</v>
      </c>
      <c r="AF76" s="131">
        <f>IF($T76=1,IF($AA76-$AD76-Assumptions!$C$16*$AA76&gt;0,$AE76/($AA76-$AD76-Assumptions!$C$16*$AA76)*IF($J76="Monthly",1+Assumptions!$C$29,1),"n.a."),"")</f>
        <v>884.49758694661011</v>
      </c>
      <c r="AG76" s="131">
        <f t="shared" si="23"/>
        <v>1200</v>
      </c>
      <c r="AH76" s="131">
        <f t="shared" si="24"/>
        <v>8903.4250402263988</v>
      </c>
      <c r="AI76" s="131">
        <f t="shared" si="25"/>
        <v>2703.1117771768368</v>
      </c>
      <c r="AJ76" s="390">
        <f t="shared" si="26"/>
        <v>0.30360358681787714</v>
      </c>
      <c r="AK76" s="389">
        <f t="shared" si="27"/>
        <v>1.3567024011253004</v>
      </c>
      <c r="AL76" s="131">
        <f t="shared" si="28"/>
        <v>0</v>
      </c>
      <c r="AM76" s="131">
        <f t="shared" si="29"/>
        <v>0</v>
      </c>
      <c r="AN76" s="131">
        <f t="shared" si="30"/>
        <v>0</v>
      </c>
      <c r="AO76" s="131">
        <f t="shared" si="31"/>
        <v>2703.1117771768368</v>
      </c>
      <c r="AP76" s="26" t="str">
        <f t="shared" si="32"/>
        <v>20-29</v>
      </c>
      <c r="AQ76" s="26" t="str">
        <f t="shared" si="33"/>
        <v>250k-500k</v>
      </c>
      <c r="AR76" s="26" t="str">
        <f>IF($T76=1,IF($AI76&lt;0,"Loss-making",IF($AJ76&lt;Assumptions!$C$16-0.00001,"Below target","At/above target")),"Excluded")</f>
        <v>At/above target</v>
      </c>
      <c r="AS76" s="103">
        <f t="shared" si="34"/>
        <v>2703.1118531768366</v>
      </c>
      <c r="AT76" s="26"/>
      <c r="AU76" s="419">
        <f>IF(AND($T76=1,AU$5&lt;=$H76),INDEX(Mortality!$B$4:$E$64,MATCH($D76+AU$5-1,Mortality!$A$4:$A$64,0),$U76)*$V76*$N76,0)</f>
        <v>4.4098441079001399E-4</v>
      </c>
      <c r="AV76" s="93">
        <f>IF(AND($T76=1,AV$5&lt;=$H76),INDEX(Mortality!$B$4:$E$64,MATCH($D76+AV$5-1,Mortality!$A$4:$A$64,0),$U76)*$V76*$N76,0)</f>
        <v>4.7771270925508401E-4</v>
      </c>
      <c r="AW76" s="93">
        <f>IF(AND($T76=1,AW$5&lt;=$H76),INDEX(Mortality!$B$4:$E$64,MATCH($D76+AW$5-1,Mortality!$A$4:$A$64,0),$U76)*$V76*$N76,0)</f>
        <v>5.1749999999999995E-4</v>
      </c>
      <c r="AX76" s="93">
        <f>IF(AND($T76=1,AX$5&lt;=$H76),INDEX(Mortality!$B$4:$E$64,MATCH($D76+AX$5-1,Mortality!$A$4:$A$64,0),$U76)*$V76*$N76,0)</f>
        <v>5.6060105752179102E-4</v>
      </c>
      <c r="AY76" s="93">
        <f>IF(AND($T76=1,AY$5&lt;=$H76),INDEX(Mortality!$B$4:$E$64,MATCH($D76+AY$5-1,Mortality!$A$4:$A$64,0),$U76)*$V76*$N76,0)</f>
        <v>6.07291875738262E-4</v>
      </c>
      <c r="AZ76" s="93">
        <f>IF(AND($T76=1,AZ$5&lt;=$H76),INDEX(Mortality!$B$4:$E$64,MATCH($D76+AZ$5-1,Mortality!$A$4:$A$64,0),$U76)*$V76*$N76,0)</f>
        <v>6.5787143529132705E-4</v>
      </c>
      <c r="BA76" s="93">
        <f>IF(AND($T76=1,BA$5&lt;=$H76),INDEX(Mortality!$B$4:$E$64,MATCH($D76+BA$5-1,Mortality!$A$4:$A$64,0),$U76)*$V76*$N76,0)</f>
        <v>7.1266361804385805E-4</v>
      </c>
      <c r="BB76" s="93">
        <f>IF(AND($T76=1,BB$5&lt;=$H76),INDEX(Mortality!$B$4:$E$64,MATCH($D76+BB$5-1,Mortality!$A$4:$A$64,0),$U76)*$V76*$N76,0)</f>
        <v>7.7201928102935699E-4</v>
      </c>
      <c r="BC76" s="93">
        <f>IF(AND($T76=1,BC$5&lt;=$H76),INDEX(Mortality!$B$4:$E$64,MATCH($D76+BC$5-1,Mortality!$A$4:$A$64,0),$U76)*$V76*$N76,0)</f>
        <v>8.3631850313482196E-4</v>
      </c>
      <c r="BD76" s="93">
        <f>IF(AND($T76=1,BD$5&lt;=$H76),INDEX(Mortality!$B$4:$E$64,MATCH($D76+BD$5-1,Mortality!$A$4:$A$64,0),$U76)*$V76*$N76,0)</f>
        <v>9.0597301890323197E-4</v>
      </c>
      <c r="BE76" s="93">
        <f>IF(AND($T76=1,BE$5&lt;=$H76),INDEX(Mortality!$B$4:$E$64,MATCH($D76+BE$5-1,Mortality!$A$4:$A$64,0),$U76)*$V76*$N76,0)</f>
        <v>9.8142885504031189E-4</v>
      </c>
      <c r="BF76" s="93">
        <f>IF(AND($T76=1,BF$5&lt;=$H76),INDEX(Mortality!$B$4:$E$64,MATCH($D76+BF$5-1,Mortality!$A$4:$A$64,0),$U76)*$V76*$N76,0)</f>
        <v>1.06316918650821E-3</v>
      </c>
      <c r="BG76" s="93">
        <f>IF(AND($T76=1,BG$5&lt;=$H76),INDEX(Mortality!$B$4:$E$64,MATCH($D76+BG$5-1,Mortality!$A$4:$A$64,0),$U76)*$V76*$N76,0)</f>
        <v>1.1517174304948501E-3</v>
      </c>
      <c r="BH76" s="93">
        <f>IF(AND($T76=1,BH$5&lt;=$H76),INDEX(Mortality!$B$4:$E$64,MATCH($D76+BH$5-1,Mortality!$A$4:$A$64,0),$U76)*$V76*$N76,0)</f>
        <v>1.24764059807091E-3</v>
      </c>
      <c r="BI76" s="93">
        <f>IF(AND($T76=1,BI$5&lt;=$H76),INDEX(Mortality!$B$4:$E$64,MATCH($D76+BI$5-1,Mortality!$A$4:$A$64,0),$U76)*$V76*$N76,0)</f>
        <v>1.3515529249964601E-3</v>
      </c>
      <c r="BJ76" s="93">
        <f>IF(AND($T76=1,BJ$5&lt;=$H76),INDEX(Mortality!$B$4:$E$64,MATCH($D76+BJ$5-1,Mortality!$A$4:$A$64,0),$U76)*$V76*$N76,0)</f>
        <v>0</v>
      </c>
      <c r="BK76" s="93">
        <f>IF(AND($T76=1,BK$5&lt;=$H76),INDEX(Mortality!$B$4:$E$64,MATCH($D76+BK$5-1,Mortality!$A$4:$A$64,0),$U76)*$V76*$N76,0)</f>
        <v>0</v>
      </c>
      <c r="BL76" s="93">
        <f>IF(AND($T76=1,BL$5&lt;=$H76),INDEX(Mortality!$B$4:$E$64,MATCH($D76+BL$5-1,Mortality!$A$4:$A$64,0),$U76)*$V76*$N76,0)</f>
        <v>0</v>
      </c>
      <c r="BM76" s="93">
        <f>IF(AND($T76=1,BM$5&lt;=$H76),INDEX(Mortality!$B$4:$E$64,MATCH($D76+BM$5-1,Mortality!$A$4:$A$64,0),$U76)*$V76*$N76,0)</f>
        <v>0</v>
      </c>
      <c r="BN76" s="93">
        <f>IF(AND($T76=1,BN$5&lt;=$H76),INDEX(Mortality!$B$4:$E$64,MATCH($D76+BN$5-1,Mortality!$A$4:$A$64,0),$U76)*$V76*$N76,0)</f>
        <v>0</v>
      </c>
      <c r="BO76" s="93">
        <f>IF(AND($T76=1,BO$5&lt;=$H76),INDEX(Mortality!$B$4:$E$64,MATCH($D76+BO$5-1,Mortality!$A$4:$A$64,0),$U76)*$V76*$N76,0)</f>
        <v>0</v>
      </c>
      <c r="BP76" s="93">
        <f>IF(AND($T76=1,BP$5&lt;=$H76),INDEX(Mortality!$B$4:$E$64,MATCH($D76+BP$5-1,Mortality!$A$4:$A$64,0),$U76)*$V76*$N76,0)</f>
        <v>0</v>
      </c>
      <c r="BQ76" s="93">
        <f>IF(AND($T76=1,BQ$5&lt;=$H76),INDEX(Mortality!$B$4:$E$64,MATCH($D76+BQ$5-1,Mortality!$A$4:$A$64,0),$U76)*$V76*$N76,0)</f>
        <v>0</v>
      </c>
      <c r="BR76" s="93">
        <f>IF(AND($T76=1,BR$5&lt;=$H76),INDEX(Mortality!$B$4:$E$64,MATCH($D76+BR$5-1,Mortality!$A$4:$A$64,0),$U76)*$V76*$N76,0)</f>
        <v>0</v>
      </c>
      <c r="BS76" s="93">
        <f>IF(AND($T76=1,BS$5&lt;=$H76),INDEX(Mortality!$B$4:$E$64,MATCH($D76+BS$5-1,Mortality!$A$4:$A$64,0),$U76)*$V76*$N76,0)</f>
        <v>0</v>
      </c>
      <c r="BT76" s="93">
        <f>IF(AND($T76=1,BT$5&lt;=$H76),INDEX(Mortality!$B$4:$E$64,MATCH($D76+BT$5-1,Mortality!$A$4:$A$64,0),$U76)*$V76*$N76,0)</f>
        <v>0</v>
      </c>
      <c r="BU76" s="93">
        <f>IF(AND($T76=1,BU$5&lt;=$H76),INDEX(Mortality!$B$4:$E$64,MATCH($D76+BU$5-1,Mortality!$A$4:$A$64,0),$U76)*$V76*$N76,0)</f>
        <v>0</v>
      </c>
      <c r="BV76" s="93">
        <f>IF(AND($T76=1,BV$5&lt;=$H76),INDEX(Mortality!$B$4:$E$64,MATCH($D76+BV$5-1,Mortality!$A$4:$A$64,0),$U76)*$V76*$N76,0)</f>
        <v>0</v>
      </c>
      <c r="BW76" s="93">
        <f>IF(AND($T76=1,BW$5&lt;=$H76),INDEX(Mortality!$B$4:$E$64,MATCH($D76+BW$5-1,Mortality!$A$4:$A$64,0),$U76)*$V76*$N76,0)</f>
        <v>0</v>
      </c>
      <c r="BX76" s="93">
        <f>IF(AND($T76=1,BX$5&lt;=$H76),INDEX(Mortality!$B$4:$E$64,MATCH($D76+BX$5-1,Mortality!$A$4:$A$64,0),$U76)*$V76*$N76,0)</f>
        <v>0</v>
      </c>
      <c r="BY76" s="93">
        <f>IF(AND($T76=1,BY$5&lt;=$H76),INDEX(Mortality!$B$4:$E$64,MATCH($D76+BY$5-1,Mortality!$A$4:$A$64,0),$U76)*$V76*$N76,0)</f>
        <v>0</v>
      </c>
      <c r="BZ76" s="93">
        <f>IF(AND($T76=1,BZ$5&lt;=$H76),INDEX(Mortality!$B$4:$E$64,MATCH($D76+BZ$5-1,Mortality!$A$4:$A$64,0),$U76)*$V76*$N76,0)</f>
        <v>0</v>
      </c>
      <c r="CA76" s="93">
        <f>IF(AND($T76=1,CA$5&lt;=$H76),INDEX(Mortality!$B$4:$E$64,MATCH($D76+CA$5-1,Mortality!$A$4:$A$64,0),$U76)*$V76*$N76,0)</f>
        <v>0</v>
      </c>
      <c r="CB76" s="93">
        <f>IF(AND($T76=1,CB$5&lt;=$H76),INDEX(Mortality!$B$4:$E$64,MATCH($D76+CB$5-1,Mortality!$A$4:$A$64,0),$U76)*$V76*$N76,0)</f>
        <v>0</v>
      </c>
      <c r="CC76" s="93">
        <f>IF(AND($T76=1,CC$5&lt;=$H76),INDEX(Mortality!$B$4:$E$64,MATCH($D76+CC$5-1,Mortality!$A$4:$A$64,0),$U76)*$V76*$N76,0)</f>
        <v>0</v>
      </c>
      <c r="CD76" s="93">
        <f>IF(AND($T76=1,CD$5&lt;=$H76),INDEX(Mortality!$B$4:$E$64,MATCH($D76+CD$5-1,Mortality!$A$4:$A$64,0),$U76)*$V76*$N76,0)</f>
        <v>0</v>
      </c>
      <c r="CE76" s="93">
        <f>IF(AND($T76=1,CE$5&lt;=$H76),INDEX(Mortality!$B$4:$E$64,MATCH($D76+CE$5-1,Mortality!$A$4:$A$64,0),$U76)*$V76*$N76,0)</f>
        <v>0</v>
      </c>
      <c r="CF76" s="93">
        <f>IF(AND($T76=1,CF$5&lt;=$H76),INDEX(Mortality!$B$4:$E$64,MATCH($D76+CF$5-1,Mortality!$A$4:$A$64,0),$U76)*$V76*$N76,0)</f>
        <v>0</v>
      </c>
      <c r="CG76" s="93">
        <f>IF(AND($T76=1,CG$5&lt;=$H76),INDEX(Mortality!$B$4:$E$64,MATCH($D76+CG$5-1,Mortality!$A$4:$A$64,0),$U76)*$V76*$N76,0)</f>
        <v>0</v>
      </c>
      <c r="CH76" s="94">
        <f>IF(AND($T76=1,CH$5&lt;=$H76),INDEX(Mortality!$B$4:$E$64,MATCH($D76+CH$5-1,Mortality!$A$4:$A$64,0),$U76)*$V76*$N76,0)</f>
        <v>0</v>
      </c>
      <c r="CI76" s="26"/>
      <c r="CJ76" s="419">
        <f t="shared" si="35"/>
        <v>1</v>
      </c>
      <c r="CK76" s="93">
        <f>IF(AND($T76=1,CK$5&lt;=$H76),CJ76*(1-AU76)*(1-MIN(1,MAX(Assumptions!$C$27,Assumptions!$C$13*Assumptions!$C$28^(CJ$5-1))*$O76)),0)</f>
        <v>0.87961193371850477</v>
      </c>
      <c r="CL76" s="93">
        <f>IF(AND($T76=1,CL$5&lt;=$H76),CK76*(1-AV76)*(1-MIN(1,MAX(Assumptions!$C$27,Assumptions!$C$13*Assumptions!$C$28^(CK$5-1))*$O76)),0)</f>
        <v>0.78951417526286238</v>
      </c>
      <c r="CM76" s="93">
        <f>IF(AND($T76=1,CM$5&lt;=$H76),CL76*(1-AW76)*(1-MIN(1,MAX(Assumptions!$C$27,Assumptions!$C$13*Assumptions!$C$28^(CL$5-1))*$O76)),0)</f>
        <v>0.72069014601175385</v>
      </c>
      <c r="CN76" s="93">
        <f>IF(AND($T76=1,CN$5&lt;=$H76),CM76*(1-AX76)*(1-MIN(1,MAX(Assumptions!$C$27,Assumptions!$C$13*Assumptions!$C$28^(CM$5-1))*$O76)),0)</f>
        <v>0.66720464027211424</v>
      </c>
      <c r="CO76" s="93">
        <f>IF(AND($T76=1,CO$5&lt;=$H76),CN76*(1-AY76)*(1-MIN(1,MAX(Assumptions!$C$27,Assumptions!$C$13*Assumptions!$C$28^(CN$5-1))*$O76)),0)</f>
        <v>0.62503063452204499</v>
      </c>
      <c r="CP76" s="93">
        <f>IF(AND($T76=1,CP$5&lt;=$H76),CO76*(1-AZ76)*(1-MIN(1,MAX(Assumptions!$C$27,Assumptions!$C$13*Assumptions!$C$28^(CO$5-1))*$O76)),0)</f>
        <v>0.59136180881176814</v>
      </c>
      <c r="CQ76" s="93">
        <f>IF(AND($T76=1,CQ$5&lt;=$H76),CP76*(1-BA76)*(1-MIN(1,MAX(Assumptions!$C$27,Assumptions!$C$13*Assumptions!$C$28^(CP$5-1))*$O76)),0)</f>
        <v>0.56419562199486195</v>
      </c>
      <c r="CR76" s="93">
        <f>IF(AND($T76=1,CR$5&lt;=$H76),CQ76*(1-BB76)*(1-MIN(1,MAX(Assumptions!$C$27,Assumptions!$C$13*Assumptions!$C$28^(CQ$5-1))*$O76)),0)</f>
        <v>0.54207262537756729</v>
      </c>
      <c r="CS76" s="93">
        <f>IF(AND($T76=1,CS$5&lt;=$H76),CR76*(1-BC76)*(1-MIN(1,MAX(Assumptions!$C$27,Assumptions!$C$13*Assumptions!$C$28^(CR$5-1))*$O76)),0)</f>
        <v>0.52390894537314658</v>
      </c>
      <c r="CT76" s="93">
        <f>IF(AND($T76=1,CT$5&lt;=$H76),CS76*(1-BD76)*(1-MIN(1,MAX(Assumptions!$C$27,Assumptions!$C$13*Assumptions!$C$28^(CS$5-1))*$O76)),0)</f>
        <v>0.50888594756223937</v>
      </c>
      <c r="CU76" s="93">
        <f>IF(AND($T76=1,CU$5&lt;=$H76),CT76*(1-BE76)*(1-MIN(1,MAX(Assumptions!$C$27,Assumptions!$C$13*Assumptions!$C$28^(CT$5-1))*$O76)),0)</f>
        <v>0.49637591719744784</v>
      </c>
      <c r="CV76" s="93">
        <f>IF(AND($T76=1,CV$5&lt;=$H76),CU76*(1-BF76)*(1-MIN(1,MAX(Assumptions!$C$27,Assumptions!$C$13*Assumptions!$C$28^(CU$5-1))*$O76)),0)</f>
        <v>0.48589096436630053</v>
      </c>
      <c r="CW76" s="93">
        <f>IF(AND($T76=1,CW$5&lt;=$H76),CV76*(1-BG76)*(1-MIN(1,MAX(Assumptions!$C$27,Assumptions!$C$13*Assumptions!$C$28^(CV$5-1))*$O76)),0)</f>
        <v>0.47562472816785356</v>
      </c>
      <c r="CX76" s="93">
        <f>IF(AND($T76=1,CX$5&lt;=$H76),CW76*(1-BH76)*(1-MIN(1,MAX(Assumptions!$C$27,Assumptions!$C$13*Assumptions!$C$28^(CW$5-1))*$O76)),0)</f>
        <v>0.46553069305859401</v>
      </c>
      <c r="CY76" s="93">
        <f>IF(AND($T76=1,CY$5&lt;=$H76),CX76*(1-BI76)*(1-MIN(1,MAX(Assumptions!$C$27,Assumptions!$C$13*Assumptions!$C$28^(CX$5-1))*$O76)),0)</f>
        <v>0</v>
      </c>
      <c r="CZ76" s="93">
        <f>IF(AND($T76=1,CZ$5&lt;=$H76),CY76*(1-BJ76)*(1-MIN(1,MAX(Assumptions!$C$27,Assumptions!$C$13*Assumptions!$C$28^(CY$5-1))*$O76)),0)</f>
        <v>0</v>
      </c>
      <c r="DA76" s="93">
        <f>IF(AND($T76=1,DA$5&lt;=$H76),CZ76*(1-BK76)*(1-MIN(1,MAX(Assumptions!$C$27,Assumptions!$C$13*Assumptions!$C$28^(CZ$5-1))*$O76)),0)</f>
        <v>0</v>
      </c>
      <c r="DB76" s="93">
        <f>IF(AND($T76=1,DB$5&lt;=$H76),DA76*(1-BL76)*(1-MIN(1,MAX(Assumptions!$C$27,Assumptions!$C$13*Assumptions!$C$28^(DA$5-1))*$O76)),0)</f>
        <v>0</v>
      </c>
      <c r="DC76" s="93">
        <f>IF(AND($T76=1,DC$5&lt;=$H76),DB76*(1-BM76)*(1-MIN(1,MAX(Assumptions!$C$27,Assumptions!$C$13*Assumptions!$C$28^(DB$5-1))*$O76)),0)</f>
        <v>0</v>
      </c>
      <c r="DD76" s="93">
        <f>IF(AND($T76=1,DD$5&lt;=$H76),DC76*(1-BN76)*(1-MIN(1,MAX(Assumptions!$C$27,Assumptions!$C$13*Assumptions!$C$28^(DC$5-1))*$O76)),0)</f>
        <v>0</v>
      </c>
      <c r="DE76" s="93">
        <f>IF(AND($T76=1,DE$5&lt;=$H76),DD76*(1-BO76)*(1-MIN(1,MAX(Assumptions!$C$27,Assumptions!$C$13*Assumptions!$C$28^(DD$5-1))*$O76)),0)</f>
        <v>0</v>
      </c>
      <c r="DF76" s="93">
        <f>IF(AND($T76=1,DF$5&lt;=$H76),DE76*(1-BP76)*(1-MIN(1,MAX(Assumptions!$C$27,Assumptions!$C$13*Assumptions!$C$28^(DE$5-1))*$O76)),0)</f>
        <v>0</v>
      </c>
      <c r="DG76" s="93">
        <f>IF(AND($T76=1,DG$5&lt;=$H76),DF76*(1-BQ76)*(1-MIN(1,MAX(Assumptions!$C$27,Assumptions!$C$13*Assumptions!$C$28^(DF$5-1))*$O76)),0)</f>
        <v>0</v>
      </c>
      <c r="DH76" s="93">
        <f>IF(AND($T76=1,DH$5&lt;=$H76),DG76*(1-BR76)*(1-MIN(1,MAX(Assumptions!$C$27,Assumptions!$C$13*Assumptions!$C$28^(DG$5-1))*$O76)),0)</f>
        <v>0</v>
      </c>
      <c r="DI76" s="93">
        <f>IF(AND($T76=1,DI$5&lt;=$H76),DH76*(1-BS76)*(1-MIN(1,MAX(Assumptions!$C$27,Assumptions!$C$13*Assumptions!$C$28^(DH$5-1))*$O76)),0)</f>
        <v>0</v>
      </c>
      <c r="DJ76" s="93">
        <f>IF(AND($T76=1,DJ$5&lt;=$H76),DI76*(1-BT76)*(1-MIN(1,MAX(Assumptions!$C$27,Assumptions!$C$13*Assumptions!$C$28^(DI$5-1))*$O76)),0)</f>
        <v>0</v>
      </c>
      <c r="DK76" s="93">
        <f>IF(AND($T76=1,DK$5&lt;=$H76),DJ76*(1-BU76)*(1-MIN(1,MAX(Assumptions!$C$27,Assumptions!$C$13*Assumptions!$C$28^(DJ$5-1))*$O76)),0)</f>
        <v>0</v>
      </c>
      <c r="DL76" s="93">
        <f>IF(AND($T76=1,DL$5&lt;=$H76),DK76*(1-BV76)*(1-MIN(1,MAX(Assumptions!$C$27,Assumptions!$C$13*Assumptions!$C$28^(DK$5-1))*$O76)),0)</f>
        <v>0</v>
      </c>
      <c r="DM76" s="93">
        <f>IF(AND($T76=1,DM$5&lt;=$H76),DL76*(1-BW76)*(1-MIN(1,MAX(Assumptions!$C$27,Assumptions!$C$13*Assumptions!$C$28^(DL$5-1))*$O76)),0)</f>
        <v>0</v>
      </c>
      <c r="DN76" s="93">
        <f>IF(AND($T76=1,DN$5&lt;=$H76),DM76*(1-BX76)*(1-MIN(1,MAX(Assumptions!$C$27,Assumptions!$C$13*Assumptions!$C$28^(DM$5-1))*$O76)),0)</f>
        <v>0</v>
      </c>
      <c r="DO76" s="93">
        <f>IF(AND($T76=1,DO$5&lt;=$H76),DN76*(1-BY76)*(1-MIN(1,MAX(Assumptions!$C$27,Assumptions!$C$13*Assumptions!$C$28^(DN$5-1))*$O76)),0)</f>
        <v>0</v>
      </c>
      <c r="DP76" s="93">
        <f>IF(AND($T76=1,DP$5&lt;=$H76),DO76*(1-BZ76)*(1-MIN(1,MAX(Assumptions!$C$27,Assumptions!$C$13*Assumptions!$C$28^(DO$5-1))*$O76)),0)</f>
        <v>0</v>
      </c>
      <c r="DQ76" s="93">
        <f>IF(AND($T76=1,DQ$5&lt;=$H76),DP76*(1-CA76)*(1-MIN(1,MAX(Assumptions!$C$27,Assumptions!$C$13*Assumptions!$C$28^(DP$5-1))*$O76)),0)</f>
        <v>0</v>
      </c>
      <c r="DR76" s="93">
        <f>IF(AND($T76=1,DR$5&lt;=$H76),DQ76*(1-CB76)*(1-MIN(1,MAX(Assumptions!$C$27,Assumptions!$C$13*Assumptions!$C$28^(DQ$5-1))*$O76)),0)</f>
        <v>0</v>
      </c>
      <c r="DS76" s="93">
        <f>IF(AND($T76=1,DS$5&lt;=$H76),DR76*(1-CC76)*(1-MIN(1,MAX(Assumptions!$C$27,Assumptions!$C$13*Assumptions!$C$28^(DR$5-1))*$O76)),0)</f>
        <v>0</v>
      </c>
      <c r="DT76" s="93">
        <f>IF(AND($T76=1,DT$5&lt;=$H76),DS76*(1-CD76)*(1-MIN(1,MAX(Assumptions!$C$27,Assumptions!$C$13*Assumptions!$C$28^(DS$5-1))*$O76)),0)</f>
        <v>0</v>
      </c>
      <c r="DU76" s="93">
        <f>IF(AND($T76=1,DU$5&lt;=$H76),DT76*(1-CE76)*(1-MIN(1,MAX(Assumptions!$C$27,Assumptions!$C$13*Assumptions!$C$28^(DT$5-1))*$O76)),0)</f>
        <v>0</v>
      </c>
      <c r="DV76" s="93">
        <f>IF(AND($T76=1,DV$5&lt;=$H76),DU76*(1-CF76)*(1-MIN(1,MAX(Assumptions!$C$27,Assumptions!$C$13*Assumptions!$C$28^(DU$5-1))*$O76)),0)</f>
        <v>0</v>
      </c>
      <c r="DW76" s="94">
        <f>IF(AND($T76=1,DW$5&lt;=$H76),DV76*(1-CG76)*(1-MIN(1,MAX(Assumptions!$C$27,Assumptions!$C$13*Assumptions!$C$28^(DV$5-1))*$O76)),0)</f>
        <v>0</v>
      </c>
      <c r="DX76" s="26"/>
      <c r="DY76" s="399">
        <f>'Policy Data'!K50</f>
        <v>7</v>
      </c>
      <c r="DZ76" s="100">
        <f>'Policy Data'!L50</f>
        <v>0.70540000000000003</v>
      </c>
      <c r="EA76" s="100">
        <f>'Policy Data'!N50</f>
        <v>3.1100000000000002E-4</v>
      </c>
      <c r="EB76" s="93" cm="1">
        <f t="array" ref="EB76">IFERROR(DZ76*INDEX(Mortality!$B$4:$E$64,MATCH(D76+DY76-1,Mortality!$A$4:$A$64,0),U76)*V76,0)</f>
        <v>5.0271291616813744E-4</v>
      </c>
      <c r="EC76" s="100">
        <f>'Policy Data'!O50</f>
        <v>0</v>
      </c>
      <c r="ED76" s="400">
        <f>'Policy Data'!Q50</f>
        <v>0</v>
      </c>
    </row>
    <row r="77" spans="1:134" x14ac:dyDescent="0.3">
      <c r="A77" s="399" t="str">
        <f>'Policy Data'!A51</f>
        <v>POL100047</v>
      </c>
      <c r="B77" s="26" t="s">
        <v>426</v>
      </c>
      <c r="C77" s="100" t="str">
        <f>'Policy Data'!B51</f>
        <v>Unit-Linked</v>
      </c>
      <c r="D77" s="100">
        <f>'Policy Data'!C51</f>
        <v>50</v>
      </c>
      <c r="E77" s="100" t="str">
        <f>'Policy Data'!D51</f>
        <v>Male</v>
      </c>
      <c r="F77" s="100" t="str">
        <f>'Policy Data'!E51</f>
        <v>Non-smoker</v>
      </c>
      <c r="G77" s="100" t="str">
        <f>'Policy Data'!F51</f>
        <v>Standard</v>
      </c>
      <c r="H77" s="100">
        <f>'Policy Data'!G51</f>
        <v>15</v>
      </c>
      <c r="I77" s="279">
        <f>'Policy Data'!H51</f>
        <v>500000</v>
      </c>
      <c r="J77" s="100" t="str">
        <f>'Policy Data'!I51</f>
        <v>Monthly</v>
      </c>
      <c r="K77" s="100" t="str">
        <f>'Policy Data'!J51</f>
        <v>Broker</v>
      </c>
      <c r="L77" s="26" t="s">
        <v>389</v>
      </c>
      <c r="M77" s="106">
        <f>'Policy Data'!R51</f>
        <v>11702.21</v>
      </c>
      <c r="N77" s="415">
        <f>Assumptions!$C$21</f>
        <v>1</v>
      </c>
      <c r="O77" s="415">
        <f>Assumptions!$C$22</f>
        <v>1</v>
      </c>
      <c r="P77" s="415">
        <f>Assumptions!$C$23</f>
        <v>1</v>
      </c>
      <c r="Q77" s="416">
        <f>Assumptions!$C$24</f>
        <v>0</v>
      </c>
      <c r="R77" s="416">
        <f>Assumptions!$C$6+Assumptions!$C$25</f>
        <v>3.5000000000000003E-2</v>
      </c>
      <c r="S77" s="416">
        <f>Assumptions!$C$15</f>
        <v>1.1000000000000001E-3</v>
      </c>
      <c r="T77" s="26">
        <f t="shared" si="18"/>
        <v>0</v>
      </c>
      <c r="U77" s="26">
        <f t="shared" si="19"/>
        <v>3</v>
      </c>
      <c r="V77" s="389">
        <f>IF($G77="Preferred",Assumptions!$C$30,IF($G77="Rated",Assumptions!$C$31,1))</f>
        <v>1</v>
      </c>
      <c r="W77" s="390">
        <f>IF($K77="Direct",Assumptions!$C$32,IF($K77="Broker",Assumptions!$C$33,IF($K77="Bancassurance",Assumptions!$C$34,Assumptions!$C$11)))+$Q77</f>
        <v>0.25</v>
      </c>
      <c r="X77" s="390">
        <f>Assumptions!$C$12+$Q77</f>
        <v>0.05</v>
      </c>
      <c r="Y77" s="131">
        <f>MIN($I77,Assumptions!$C$14)</f>
        <v>500000</v>
      </c>
      <c r="Z77" s="131">
        <f>MAX($I77-Assumptions!$C$14,0)</f>
        <v>0</v>
      </c>
      <c r="AA77" s="389">
        <f t="shared" si="20"/>
        <v>0</v>
      </c>
      <c r="AB77" s="389">
        <f t="shared" si="21"/>
        <v>0</v>
      </c>
      <c r="AC77" s="389">
        <f>IF($T77=1,SUMPRODUCT($CJ77:$DW77,(1+Assumptions!$C$5)^($CJ$5:$DW$5-1),(1+$R77)^(-$CJ$5:$DW$5)),0)</f>
        <v>0</v>
      </c>
      <c r="AD77" s="389">
        <f t="shared" si="22"/>
        <v>0</v>
      </c>
      <c r="AE77" s="131">
        <f>IF($T77=1,$AB77*$Y77+(Assumptions!$C$9/(1+$R77)+Assumptions!$C$10*$AC77)*$P77+$S77*$Z77*$AA77,0)</f>
        <v>0</v>
      </c>
      <c r="AF77" s="131" t="str">
        <f>IF($T77=1,IF($AA77-$AD77-Assumptions!$C$16*$AA77&gt;0,$AE77/($AA77-$AD77-Assumptions!$C$16*$AA77)*IF($J77="Monthly",1+Assumptions!$C$29,1),"n.a."),"")</f>
        <v/>
      </c>
      <c r="AG77" s="131" t="str">
        <f t="shared" si="23"/>
        <v/>
      </c>
      <c r="AH77" s="131" t="str">
        <f t="shared" si="24"/>
        <v/>
      </c>
      <c r="AI77" s="131" t="str">
        <f t="shared" si="25"/>
        <v/>
      </c>
      <c r="AJ77" s="390" t="str">
        <f t="shared" si="26"/>
        <v/>
      </c>
      <c r="AK77" s="389" t="str">
        <f t="shared" si="27"/>
        <v/>
      </c>
      <c r="AL77" s="131" t="str">
        <f t="shared" si="28"/>
        <v/>
      </c>
      <c r="AM77" s="131" t="str">
        <f t="shared" si="29"/>
        <v/>
      </c>
      <c r="AN77" s="131" t="str">
        <f t="shared" si="30"/>
        <v/>
      </c>
      <c r="AO77" s="131" t="str">
        <f t="shared" si="31"/>
        <v/>
      </c>
      <c r="AP77" s="26" t="str">
        <f t="shared" si="32"/>
        <v>50-59</v>
      </c>
      <c r="AQ77" s="26" t="str">
        <f t="shared" si="33"/>
        <v>250k-500k</v>
      </c>
      <c r="AR77" s="26" t="str">
        <f>IF($T77=1,IF($AI77&lt;0,"Loss-making",IF($AJ77&lt;Assumptions!$C$16-0.00001,"Below target","At/above target")),"Excluded")</f>
        <v>Excluded</v>
      </c>
      <c r="AS77" s="103">
        <f t="shared" si="34"/>
        <v>9.9999999999999997E+98</v>
      </c>
      <c r="AT77" s="26"/>
      <c r="AU77" s="419">
        <f>IF(AND($T77=1,AU$5&lt;=$H77),INDEX(Mortality!$B$4:$E$64,MATCH($D77+AU$5-1,Mortality!$A$4:$A$64,0),$U77)*$V77*$N77,0)</f>
        <v>0</v>
      </c>
      <c r="AV77" s="93">
        <f>IF(AND($T77=1,AV$5&lt;=$H77),INDEX(Mortality!$B$4:$E$64,MATCH($D77+AV$5-1,Mortality!$A$4:$A$64,0),$U77)*$V77*$N77,0)</f>
        <v>0</v>
      </c>
      <c r="AW77" s="93">
        <f>IF(AND($T77=1,AW$5&lt;=$H77),INDEX(Mortality!$B$4:$E$64,MATCH($D77+AW$5-1,Mortality!$A$4:$A$64,0),$U77)*$V77*$N77,0)</f>
        <v>0</v>
      </c>
      <c r="AX77" s="93">
        <f>IF(AND($T77=1,AX$5&lt;=$H77),INDEX(Mortality!$B$4:$E$64,MATCH($D77+AX$5-1,Mortality!$A$4:$A$64,0),$U77)*$V77*$N77,0)</f>
        <v>0</v>
      </c>
      <c r="AY77" s="93">
        <f>IF(AND($T77=1,AY$5&lt;=$H77),INDEX(Mortality!$B$4:$E$64,MATCH($D77+AY$5-1,Mortality!$A$4:$A$64,0),$U77)*$V77*$N77,0)</f>
        <v>0</v>
      </c>
      <c r="AZ77" s="93">
        <f>IF(AND($T77=1,AZ$5&lt;=$H77),INDEX(Mortality!$B$4:$E$64,MATCH($D77+AZ$5-1,Mortality!$A$4:$A$64,0),$U77)*$V77*$N77,0)</f>
        <v>0</v>
      </c>
      <c r="BA77" s="93">
        <f>IF(AND($T77=1,BA$5&lt;=$H77),INDEX(Mortality!$B$4:$E$64,MATCH($D77+BA$5-1,Mortality!$A$4:$A$64,0),$U77)*$V77*$N77,0)</f>
        <v>0</v>
      </c>
      <c r="BB77" s="93">
        <f>IF(AND($T77=1,BB$5&lt;=$H77),INDEX(Mortality!$B$4:$E$64,MATCH($D77+BB$5-1,Mortality!$A$4:$A$64,0),$U77)*$V77*$N77,0)</f>
        <v>0</v>
      </c>
      <c r="BC77" s="93">
        <f>IF(AND($T77=1,BC$5&lt;=$H77),INDEX(Mortality!$B$4:$E$64,MATCH($D77+BC$5-1,Mortality!$A$4:$A$64,0),$U77)*$V77*$N77,0)</f>
        <v>0</v>
      </c>
      <c r="BD77" s="93">
        <f>IF(AND($T77=1,BD$5&lt;=$H77),INDEX(Mortality!$B$4:$E$64,MATCH($D77+BD$5-1,Mortality!$A$4:$A$64,0),$U77)*$V77*$N77,0)</f>
        <v>0</v>
      </c>
      <c r="BE77" s="93">
        <f>IF(AND($T77=1,BE$5&lt;=$H77),INDEX(Mortality!$B$4:$E$64,MATCH($D77+BE$5-1,Mortality!$A$4:$A$64,0),$U77)*$V77*$N77,0)</f>
        <v>0</v>
      </c>
      <c r="BF77" s="93">
        <f>IF(AND($T77=1,BF$5&lt;=$H77),INDEX(Mortality!$B$4:$E$64,MATCH($D77+BF$5-1,Mortality!$A$4:$A$64,0),$U77)*$V77*$N77,0)</f>
        <v>0</v>
      </c>
      <c r="BG77" s="93">
        <f>IF(AND($T77=1,BG$5&lt;=$H77),INDEX(Mortality!$B$4:$E$64,MATCH($D77+BG$5-1,Mortality!$A$4:$A$64,0),$U77)*$V77*$N77,0)</f>
        <v>0</v>
      </c>
      <c r="BH77" s="93">
        <f>IF(AND($T77=1,BH$5&lt;=$H77),INDEX(Mortality!$B$4:$E$64,MATCH($D77+BH$5-1,Mortality!$A$4:$A$64,0),$U77)*$V77*$N77,0)</f>
        <v>0</v>
      </c>
      <c r="BI77" s="93">
        <f>IF(AND($T77=1,BI$5&lt;=$H77),INDEX(Mortality!$B$4:$E$64,MATCH($D77+BI$5-1,Mortality!$A$4:$A$64,0),$U77)*$V77*$N77,0)</f>
        <v>0</v>
      </c>
      <c r="BJ77" s="93">
        <f>IF(AND($T77=1,BJ$5&lt;=$H77),INDEX(Mortality!$B$4:$E$64,MATCH($D77+BJ$5-1,Mortality!$A$4:$A$64,0),$U77)*$V77*$N77,0)</f>
        <v>0</v>
      </c>
      <c r="BK77" s="93">
        <f>IF(AND($T77=1,BK$5&lt;=$H77),INDEX(Mortality!$B$4:$E$64,MATCH($D77+BK$5-1,Mortality!$A$4:$A$64,0),$U77)*$V77*$N77,0)</f>
        <v>0</v>
      </c>
      <c r="BL77" s="93">
        <f>IF(AND($T77=1,BL$5&lt;=$H77),INDEX(Mortality!$B$4:$E$64,MATCH($D77+BL$5-1,Mortality!$A$4:$A$64,0),$U77)*$V77*$N77,0)</f>
        <v>0</v>
      </c>
      <c r="BM77" s="93">
        <f>IF(AND($T77=1,BM$5&lt;=$H77),INDEX(Mortality!$B$4:$E$64,MATCH($D77+BM$5-1,Mortality!$A$4:$A$64,0),$U77)*$V77*$N77,0)</f>
        <v>0</v>
      </c>
      <c r="BN77" s="93">
        <f>IF(AND($T77=1,BN$5&lt;=$H77),INDEX(Mortality!$B$4:$E$64,MATCH($D77+BN$5-1,Mortality!$A$4:$A$64,0),$U77)*$V77*$N77,0)</f>
        <v>0</v>
      </c>
      <c r="BO77" s="93">
        <f>IF(AND($T77=1,BO$5&lt;=$H77),INDEX(Mortality!$B$4:$E$64,MATCH($D77+BO$5-1,Mortality!$A$4:$A$64,0),$U77)*$V77*$N77,0)</f>
        <v>0</v>
      </c>
      <c r="BP77" s="93">
        <f>IF(AND($T77=1,BP$5&lt;=$H77),INDEX(Mortality!$B$4:$E$64,MATCH($D77+BP$5-1,Mortality!$A$4:$A$64,0),$U77)*$V77*$N77,0)</f>
        <v>0</v>
      </c>
      <c r="BQ77" s="93">
        <f>IF(AND($T77=1,BQ$5&lt;=$H77),INDEX(Mortality!$B$4:$E$64,MATCH($D77+BQ$5-1,Mortality!$A$4:$A$64,0),$U77)*$V77*$N77,0)</f>
        <v>0</v>
      </c>
      <c r="BR77" s="93">
        <f>IF(AND($T77=1,BR$5&lt;=$H77),INDEX(Mortality!$B$4:$E$64,MATCH($D77+BR$5-1,Mortality!$A$4:$A$64,0),$U77)*$V77*$N77,0)</f>
        <v>0</v>
      </c>
      <c r="BS77" s="93">
        <f>IF(AND($T77=1,BS$5&lt;=$H77),INDEX(Mortality!$B$4:$E$64,MATCH($D77+BS$5-1,Mortality!$A$4:$A$64,0),$U77)*$V77*$N77,0)</f>
        <v>0</v>
      </c>
      <c r="BT77" s="93">
        <f>IF(AND($T77=1,BT$5&lt;=$H77),INDEX(Mortality!$B$4:$E$64,MATCH($D77+BT$5-1,Mortality!$A$4:$A$64,0),$U77)*$V77*$N77,0)</f>
        <v>0</v>
      </c>
      <c r="BU77" s="93">
        <f>IF(AND($T77=1,BU$5&lt;=$H77),INDEX(Mortality!$B$4:$E$64,MATCH($D77+BU$5-1,Mortality!$A$4:$A$64,0),$U77)*$V77*$N77,0)</f>
        <v>0</v>
      </c>
      <c r="BV77" s="93">
        <f>IF(AND($T77=1,BV$5&lt;=$H77),INDEX(Mortality!$B$4:$E$64,MATCH($D77+BV$5-1,Mortality!$A$4:$A$64,0),$U77)*$V77*$N77,0)</f>
        <v>0</v>
      </c>
      <c r="BW77" s="93">
        <f>IF(AND($T77=1,BW$5&lt;=$H77),INDEX(Mortality!$B$4:$E$64,MATCH($D77+BW$5-1,Mortality!$A$4:$A$64,0),$U77)*$V77*$N77,0)</f>
        <v>0</v>
      </c>
      <c r="BX77" s="93">
        <f>IF(AND($T77=1,BX$5&lt;=$H77),INDEX(Mortality!$B$4:$E$64,MATCH($D77+BX$5-1,Mortality!$A$4:$A$64,0),$U77)*$V77*$N77,0)</f>
        <v>0</v>
      </c>
      <c r="BY77" s="93">
        <f>IF(AND($T77=1,BY$5&lt;=$H77),INDEX(Mortality!$B$4:$E$64,MATCH($D77+BY$5-1,Mortality!$A$4:$A$64,0),$U77)*$V77*$N77,0)</f>
        <v>0</v>
      </c>
      <c r="BZ77" s="93">
        <f>IF(AND($T77=1,BZ$5&lt;=$H77),INDEX(Mortality!$B$4:$E$64,MATCH($D77+BZ$5-1,Mortality!$A$4:$A$64,0),$U77)*$V77*$N77,0)</f>
        <v>0</v>
      </c>
      <c r="CA77" s="93">
        <f>IF(AND($T77=1,CA$5&lt;=$H77),INDEX(Mortality!$B$4:$E$64,MATCH($D77+CA$5-1,Mortality!$A$4:$A$64,0),$U77)*$V77*$N77,0)</f>
        <v>0</v>
      </c>
      <c r="CB77" s="93">
        <f>IF(AND($T77=1,CB$5&lt;=$H77),INDEX(Mortality!$B$4:$E$64,MATCH($D77+CB$5-1,Mortality!$A$4:$A$64,0),$U77)*$V77*$N77,0)</f>
        <v>0</v>
      </c>
      <c r="CC77" s="93">
        <f>IF(AND($T77=1,CC$5&lt;=$H77),INDEX(Mortality!$B$4:$E$64,MATCH($D77+CC$5-1,Mortality!$A$4:$A$64,0),$U77)*$V77*$N77,0)</f>
        <v>0</v>
      </c>
      <c r="CD77" s="93">
        <f>IF(AND($T77=1,CD$5&lt;=$H77),INDEX(Mortality!$B$4:$E$64,MATCH($D77+CD$5-1,Mortality!$A$4:$A$64,0),$U77)*$V77*$N77,0)</f>
        <v>0</v>
      </c>
      <c r="CE77" s="93">
        <f>IF(AND($T77=1,CE$5&lt;=$H77),INDEX(Mortality!$B$4:$E$64,MATCH($D77+CE$5-1,Mortality!$A$4:$A$64,0),$U77)*$V77*$N77,0)</f>
        <v>0</v>
      </c>
      <c r="CF77" s="93">
        <f>IF(AND($T77=1,CF$5&lt;=$H77),INDEX(Mortality!$B$4:$E$64,MATCH($D77+CF$5-1,Mortality!$A$4:$A$64,0),$U77)*$V77*$N77,0)</f>
        <v>0</v>
      </c>
      <c r="CG77" s="93">
        <f>IF(AND($T77=1,CG$5&lt;=$H77),INDEX(Mortality!$B$4:$E$64,MATCH($D77+CG$5-1,Mortality!$A$4:$A$64,0),$U77)*$V77*$N77,0)</f>
        <v>0</v>
      </c>
      <c r="CH77" s="94">
        <f>IF(AND($T77=1,CH$5&lt;=$H77),INDEX(Mortality!$B$4:$E$64,MATCH($D77+CH$5-1,Mortality!$A$4:$A$64,0),$U77)*$V77*$N77,0)</f>
        <v>0</v>
      </c>
      <c r="CI77" s="26"/>
      <c r="CJ77" s="419">
        <f t="shared" si="35"/>
        <v>0</v>
      </c>
      <c r="CK77" s="93">
        <f>IF(AND($T77=1,CK$5&lt;=$H77),CJ77*(1-AU77)*(1-MIN(1,MAX(Assumptions!$C$27,Assumptions!$C$13*Assumptions!$C$28^(CJ$5-1))*$O77)),0)</f>
        <v>0</v>
      </c>
      <c r="CL77" s="93">
        <f>IF(AND($T77=1,CL$5&lt;=$H77),CK77*(1-AV77)*(1-MIN(1,MAX(Assumptions!$C$27,Assumptions!$C$13*Assumptions!$C$28^(CK$5-1))*$O77)),0)</f>
        <v>0</v>
      </c>
      <c r="CM77" s="93">
        <f>IF(AND($T77=1,CM$5&lt;=$H77),CL77*(1-AW77)*(1-MIN(1,MAX(Assumptions!$C$27,Assumptions!$C$13*Assumptions!$C$28^(CL$5-1))*$O77)),0)</f>
        <v>0</v>
      </c>
      <c r="CN77" s="93">
        <f>IF(AND($T77=1,CN$5&lt;=$H77),CM77*(1-AX77)*(1-MIN(1,MAX(Assumptions!$C$27,Assumptions!$C$13*Assumptions!$C$28^(CM$5-1))*$O77)),0)</f>
        <v>0</v>
      </c>
      <c r="CO77" s="93">
        <f>IF(AND($T77=1,CO$5&lt;=$H77),CN77*(1-AY77)*(1-MIN(1,MAX(Assumptions!$C$27,Assumptions!$C$13*Assumptions!$C$28^(CN$5-1))*$O77)),0)</f>
        <v>0</v>
      </c>
      <c r="CP77" s="93">
        <f>IF(AND($T77=1,CP$5&lt;=$H77),CO77*(1-AZ77)*(1-MIN(1,MAX(Assumptions!$C$27,Assumptions!$C$13*Assumptions!$C$28^(CO$5-1))*$O77)),0)</f>
        <v>0</v>
      </c>
      <c r="CQ77" s="93">
        <f>IF(AND($T77=1,CQ$5&lt;=$H77),CP77*(1-BA77)*(1-MIN(1,MAX(Assumptions!$C$27,Assumptions!$C$13*Assumptions!$C$28^(CP$5-1))*$O77)),0)</f>
        <v>0</v>
      </c>
      <c r="CR77" s="93">
        <f>IF(AND($T77=1,CR$5&lt;=$H77),CQ77*(1-BB77)*(1-MIN(1,MAX(Assumptions!$C$27,Assumptions!$C$13*Assumptions!$C$28^(CQ$5-1))*$O77)),0)</f>
        <v>0</v>
      </c>
      <c r="CS77" s="93">
        <f>IF(AND($T77=1,CS$5&lt;=$H77),CR77*(1-BC77)*(1-MIN(1,MAX(Assumptions!$C$27,Assumptions!$C$13*Assumptions!$C$28^(CR$5-1))*$O77)),0)</f>
        <v>0</v>
      </c>
      <c r="CT77" s="93">
        <f>IF(AND($T77=1,CT$5&lt;=$H77),CS77*(1-BD77)*(1-MIN(1,MAX(Assumptions!$C$27,Assumptions!$C$13*Assumptions!$C$28^(CS$5-1))*$O77)),0)</f>
        <v>0</v>
      </c>
      <c r="CU77" s="93">
        <f>IF(AND($T77=1,CU$5&lt;=$H77),CT77*(1-BE77)*(1-MIN(1,MAX(Assumptions!$C$27,Assumptions!$C$13*Assumptions!$C$28^(CT$5-1))*$O77)),0)</f>
        <v>0</v>
      </c>
      <c r="CV77" s="93">
        <f>IF(AND($T77=1,CV$5&lt;=$H77),CU77*(1-BF77)*(1-MIN(1,MAX(Assumptions!$C$27,Assumptions!$C$13*Assumptions!$C$28^(CU$5-1))*$O77)),0)</f>
        <v>0</v>
      </c>
      <c r="CW77" s="93">
        <f>IF(AND($T77=1,CW$5&lt;=$H77),CV77*(1-BG77)*(1-MIN(1,MAX(Assumptions!$C$27,Assumptions!$C$13*Assumptions!$C$28^(CV$5-1))*$O77)),0)</f>
        <v>0</v>
      </c>
      <c r="CX77" s="93">
        <f>IF(AND($T77=1,CX$5&lt;=$H77),CW77*(1-BH77)*(1-MIN(1,MAX(Assumptions!$C$27,Assumptions!$C$13*Assumptions!$C$28^(CW$5-1))*$O77)),0)</f>
        <v>0</v>
      </c>
      <c r="CY77" s="93">
        <f>IF(AND($T77=1,CY$5&lt;=$H77),CX77*(1-BI77)*(1-MIN(1,MAX(Assumptions!$C$27,Assumptions!$C$13*Assumptions!$C$28^(CX$5-1))*$O77)),0)</f>
        <v>0</v>
      </c>
      <c r="CZ77" s="93">
        <f>IF(AND($T77=1,CZ$5&lt;=$H77),CY77*(1-BJ77)*(1-MIN(1,MAX(Assumptions!$C$27,Assumptions!$C$13*Assumptions!$C$28^(CY$5-1))*$O77)),0)</f>
        <v>0</v>
      </c>
      <c r="DA77" s="93">
        <f>IF(AND($T77=1,DA$5&lt;=$H77),CZ77*(1-BK77)*(1-MIN(1,MAX(Assumptions!$C$27,Assumptions!$C$13*Assumptions!$C$28^(CZ$5-1))*$O77)),0)</f>
        <v>0</v>
      </c>
      <c r="DB77" s="93">
        <f>IF(AND($T77=1,DB$5&lt;=$H77),DA77*(1-BL77)*(1-MIN(1,MAX(Assumptions!$C$27,Assumptions!$C$13*Assumptions!$C$28^(DA$5-1))*$O77)),0)</f>
        <v>0</v>
      </c>
      <c r="DC77" s="93">
        <f>IF(AND($T77=1,DC$5&lt;=$H77),DB77*(1-BM77)*(1-MIN(1,MAX(Assumptions!$C$27,Assumptions!$C$13*Assumptions!$C$28^(DB$5-1))*$O77)),0)</f>
        <v>0</v>
      </c>
      <c r="DD77" s="93">
        <f>IF(AND($T77=1,DD$5&lt;=$H77),DC77*(1-BN77)*(1-MIN(1,MAX(Assumptions!$C$27,Assumptions!$C$13*Assumptions!$C$28^(DC$5-1))*$O77)),0)</f>
        <v>0</v>
      </c>
      <c r="DE77" s="93">
        <f>IF(AND($T77=1,DE$5&lt;=$H77),DD77*(1-BO77)*(1-MIN(1,MAX(Assumptions!$C$27,Assumptions!$C$13*Assumptions!$C$28^(DD$5-1))*$O77)),0)</f>
        <v>0</v>
      </c>
      <c r="DF77" s="93">
        <f>IF(AND($T77=1,DF$5&lt;=$H77),DE77*(1-BP77)*(1-MIN(1,MAX(Assumptions!$C$27,Assumptions!$C$13*Assumptions!$C$28^(DE$5-1))*$O77)),0)</f>
        <v>0</v>
      </c>
      <c r="DG77" s="93">
        <f>IF(AND($T77=1,DG$5&lt;=$H77),DF77*(1-BQ77)*(1-MIN(1,MAX(Assumptions!$C$27,Assumptions!$C$13*Assumptions!$C$28^(DF$5-1))*$O77)),0)</f>
        <v>0</v>
      </c>
      <c r="DH77" s="93">
        <f>IF(AND($T77=1,DH$5&lt;=$H77),DG77*(1-BR77)*(1-MIN(1,MAX(Assumptions!$C$27,Assumptions!$C$13*Assumptions!$C$28^(DG$5-1))*$O77)),0)</f>
        <v>0</v>
      </c>
      <c r="DI77" s="93">
        <f>IF(AND($T77=1,DI$5&lt;=$H77),DH77*(1-BS77)*(1-MIN(1,MAX(Assumptions!$C$27,Assumptions!$C$13*Assumptions!$C$28^(DH$5-1))*$O77)),0)</f>
        <v>0</v>
      </c>
      <c r="DJ77" s="93">
        <f>IF(AND($T77=1,DJ$5&lt;=$H77),DI77*(1-BT77)*(1-MIN(1,MAX(Assumptions!$C$27,Assumptions!$C$13*Assumptions!$C$28^(DI$5-1))*$O77)),0)</f>
        <v>0</v>
      </c>
      <c r="DK77" s="93">
        <f>IF(AND($T77=1,DK$5&lt;=$H77),DJ77*(1-BU77)*(1-MIN(1,MAX(Assumptions!$C$27,Assumptions!$C$13*Assumptions!$C$28^(DJ$5-1))*$O77)),0)</f>
        <v>0</v>
      </c>
      <c r="DL77" s="93">
        <f>IF(AND($T77=1,DL$5&lt;=$H77),DK77*(1-BV77)*(1-MIN(1,MAX(Assumptions!$C$27,Assumptions!$C$13*Assumptions!$C$28^(DK$5-1))*$O77)),0)</f>
        <v>0</v>
      </c>
      <c r="DM77" s="93">
        <f>IF(AND($T77=1,DM$5&lt;=$H77),DL77*(1-BW77)*(1-MIN(1,MAX(Assumptions!$C$27,Assumptions!$C$13*Assumptions!$C$28^(DL$5-1))*$O77)),0)</f>
        <v>0</v>
      </c>
      <c r="DN77" s="93">
        <f>IF(AND($T77=1,DN$5&lt;=$H77),DM77*(1-BX77)*(1-MIN(1,MAX(Assumptions!$C$27,Assumptions!$C$13*Assumptions!$C$28^(DM$5-1))*$O77)),0)</f>
        <v>0</v>
      </c>
      <c r="DO77" s="93">
        <f>IF(AND($T77=1,DO$5&lt;=$H77),DN77*(1-BY77)*(1-MIN(1,MAX(Assumptions!$C$27,Assumptions!$C$13*Assumptions!$C$28^(DN$5-1))*$O77)),0)</f>
        <v>0</v>
      </c>
      <c r="DP77" s="93">
        <f>IF(AND($T77=1,DP$5&lt;=$H77),DO77*(1-BZ77)*(1-MIN(1,MAX(Assumptions!$C$27,Assumptions!$C$13*Assumptions!$C$28^(DO$5-1))*$O77)),0)</f>
        <v>0</v>
      </c>
      <c r="DQ77" s="93">
        <f>IF(AND($T77=1,DQ$5&lt;=$H77),DP77*(1-CA77)*(1-MIN(1,MAX(Assumptions!$C$27,Assumptions!$C$13*Assumptions!$C$28^(DP$5-1))*$O77)),0)</f>
        <v>0</v>
      </c>
      <c r="DR77" s="93">
        <f>IF(AND($T77=1,DR$5&lt;=$H77),DQ77*(1-CB77)*(1-MIN(1,MAX(Assumptions!$C$27,Assumptions!$C$13*Assumptions!$C$28^(DQ$5-1))*$O77)),0)</f>
        <v>0</v>
      </c>
      <c r="DS77" s="93">
        <f>IF(AND($T77=1,DS$5&lt;=$H77),DR77*(1-CC77)*(1-MIN(1,MAX(Assumptions!$C$27,Assumptions!$C$13*Assumptions!$C$28^(DR$5-1))*$O77)),0)</f>
        <v>0</v>
      </c>
      <c r="DT77" s="93">
        <f>IF(AND($T77=1,DT$5&lt;=$H77),DS77*(1-CD77)*(1-MIN(1,MAX(Assumptions!$C$27,Assumptions!$C$13*Assumptions!$C$28^(DS$5-1))*$O77)),0)</f>
        <v>0</v>
      </c>
      <c r="DU77" s="93">
        <f>IF(AND($T77=1,DU$5&lt;=$H77),DT77*(1-CE77)*(1-MIN(1,MAX(Assumptions!$C$27,Assumptions!$C$13*Assumptions!$C$28^(DT$5-1))*$O77)),0)</f>
        <v>0</v>
      </c>
      <c r="DV77" s="93">
        <f>IF(AND($T77=1,DV$5&lt;=$H77),DU77*(1-CF77)*(1-MIN(1,MAX(Assumptions!$C$27,Assumptions!$C$13*Assumptions!$C$28^(DU$5-1))*$O77)),0)</f>
        <v>0</v>
      </c>
      <c r="DW77" s="94">
        <f>IF(AND($T77=1,DW$5&lt;=$H77),DV77*(1-CG77)*(1-MIN(1,MAX(Assumptions!$C$27,Assumptions!$C$13*Assumptions!$C$28^(DV$5-1))*$O77)),0)</f>
        <v>0</v>
      </c>
      <c r="DX77" s="26"/>
      <c r="DY77" s="399">
        <f>'Policy Data'!K51</f>
        <v>1</v>
      </c>
      <c r="DZ77" s="100">
        <f>'Policy Data'!L51</f>
        <v>0.52980000000000005</v>
      </c>
      <c r="EA77" s="100">
        <f>'Policy Data'!N51</f>
        <v>1.358E-3</v>
      </c>
      <c r="EB77" s="93" cm="1">
        <f t="array" ref="EB77">IFERROR(DZ77*INDEX(Mortality!$B$4:$E$64,MATCH(D77+DY77-1,Mortality!$A$4:$A$64,0),U77)*V77,0)</f>
        <v>1.3579803293450442E-3</v>
      </c>
      <c r="EC77" s="100">
        <f>'Policy Data'!O51</f>
        <v>0</v>
      </c>
      <c r="ED77" s="400">
        <f>'Policy Data'!Q51</f>
        <v>0</v>
      </c>
    </row>
    <row r="78" spans="1:134" x14ac:dyDescent="0.3">
      <c r="A78" s="399" t="str">
        <f>'Policy Data'!A52</f>
        <v>POL100048</v>
      </c>
      <c r="B78" s="26" t="s">
        <v>426</v>
      </c>
      <c r="C78" s="100" t="str">
        <f>'Policy Data'!B52</f>
        <v>Term Life</v>
      </c>
      <c r="D78" s="100">
        <f>'Policy Data'!C52</f>
        <v>38</v>
      </c>
      <c r="E78" s="100" t="str">
        <f>'Policy Data'!D52</f>
        <v>Female</v>
      </c>
      <c r="F78" s="100" t="str">
        <f>'Policy Data'!E52</f>
        <v>Non-smoker</v>
      </c>
      <c r="G78" s="100" t="str">
        <f>'Policy Data'!F52</f>
        <v>Standard</v>
      </c>
      <c r="H78" s="100">
        <f>'Policy Data'!G52</f>
        <v>20</v>
      </c>
      <c r="I78" s="279">
        <f>'Policy Data'!H52</f>
        <v>1000000</v>
      </c>
      <c r="J78" s="100" t="str">
        <f>'Policy Data'!I52</f>
        <v>Monthly</v>
      </c>
      <c r="K78" s="100" t="str">
        <f>'Policy Data'!J52</f>
        <v>Bancassurance</v>
      </c>
      <c r="L78" s="26" t="s">
        <v>389</v>
      </c>
      <c r="M78" s="106">
        <f>'Policy Data'!R52</f>
        <v>1885.98</v>
      </c>
      <c r="N78" s="415">
        <f>Assumptions!$C$21</f>
        <v>1</v>
      </c>
      <c r="O78" s="415">
        <f>Assumptions!$C$22</f>
        <v>1</v>
      </c>
      <c r="P78" s="415">
        <f>Assumptions!$C$23</f>
        <v>1</v>
      </c>
      <c r="Q78" s="416">
        <f>Assumptions!$C$24</f>
        <v>0</v>
      </c>
      <c r="R78" s="416">
        <f>Assumptions!$C$6+Assumptions!$C$25</f>
        <v>3.5000000000000003E-2</v>
      </c>
      <c r="S78" s="416">
        <f>Assumptions!$C$15</f>
        <v>1.1000000000000001E-3</v>
      </c>
      <c r="T78" s="26">
        <f t="shared" si="18"/>
        <v>1</v>
      </c>
      <c r="U78" s="26">
        <f t="shared" si="19"/>
        <v>1</v>
      </c>
      <c r="V78" s="389">
        <f>IF($G78="Preferred",Assumptions!$C$30,IF($G78="Rated",Assumptions!$C$31,1))</f>
        <v>1</v>
      </c>
      <c r="W78" s="390">
        <f>IF($K78="Direct",Assumptions!$C$32,IF($K78="Broker",Assumptions!$C$33,IF($K78="Bancassurance",Assumptions!$C$34,Assumptions!$C$11)))+$Q78</f>
        <v>0.2</v>
      </c>
      <c r="X78" s="390">
        <f>Assumptions!$C$12+$Q78</f>
        <v>0.05</v>
      </c>
      <c r="Y78" s="131">
        <f>MIN($I78,Assumptions!$C$14)</f>
        <v>500000</v>
      </c>
      <c r="Z78" s="131">
        <f>MAX($I78-Assumptions!$C$14,0)</f>
        <v>500000</v>
      </c>
      <c r="AA78" s="389">
        <f t="shared" si="20"/>
        <v>8.5697858990251685</v>
      </c>
      <c r="AB78" s="389">
        <f t="shared" si="21"/>
        <v>1.2040883029680144E-2</v>
      </c>
      <c r="AC78" s="389">
        <f>IF($T78=1,SUMPRODUCT($CJ78:$DW78,(1+Assumptions!$C$5)^($CJ$5:$DW$5-1),(1+$R78)^(-$CJ$5:$DW$5)),0)</f>
        <v>11.528801146169867</v>
      </c>
      <c r="AD78" s="389">
        <f t="shared" si="22"/>
        <v>0.57341683118314246</v>
      </c>
      <c r="AE78" s="131">
        <f>IF($T78=1,$AB78*$Y78+(Assumptions!$C$9/(1+$R78)+Assumptions!$C$10*$AC78)*$P78+$S78*$Z78*$AA78,0)</f>
        <v>14139.725228852591</v>
      </c>
      <c r="AF78" s="131">
        <f>IF($T78=1,IF($AA78-$AD78-Assumptions!$C$16*$AA78&gt;0,$AE78/($AA78-$AD78-Assumptions!$C$16*$AA78)*IF($J78="Monthly",1+Assumptions!$C$29,1),"n.a."),"")</f>
        <v>1992.1136517227064</v>
      </c>
      <c r="AG78" s="131">
        <f t="shared" si="23"/>
        <v>1885.98</v>
      </c>
      <c r="AH78" s="131">
        <f t="shared" si="24"/>
        <v>16162.444809843488</v>
      </c>
      <c r="AI78" s="131">
        <f t="shared" si="25"/>
        <v>941.26690571611289</v>
      </c>
      <c r="AJ78" s="390">
        <f t="shared" si="26"/>
        <v>5.8237903781911064E-2</v>
      </c>
      <c r="AK78" s="389">
        <f t="shared" si="27"/>
        <v>0.94672309402080246</v>
      </c>
      <c r="AL78" s="131">
        <f t="shared" si="28"/>
        <v>6020.4415148400722</v>
      </c>
      <c r="AM78" s="131">
        <f t="shared" si="29"/>
        <v>4713.3822444638427</v>
      </c>
      <c r="AN78" s="131">
        <f t="shared" si="30"/>
        <v>1307.0592703762295</v>
      </c>
      <c r="AO78" s="131">
        <f t="shared" si="31"/>
        <v>-365.79236466011662</v>
      </c>
      <c r="AP78" s="26" t="str">
        <f t="shared" si="32"/>
        <v>30-39</v>
      </c>
      <c r="AQ78" s="26" t="str">
        <f t="shared" si="33"/>
        <v>500k-1m</v>
      </c>
      <c r="AR78" s="26" t="str">
        <f>IF($T78=1,IF($AI78&lt;0,"Loss-making",IF($AJ78&lt;Assumptions!$C$16-0.00001,"Below target","At/above target")),"Excluded")</f>
        <v>Below target</v>
      </c>
      <c r="AS78" s="103">
        <f t="shared" si="34"/>
        <v>941.26698371611292</v>
      </c>
      <c r="AT78" s="26"/>
      <c r="AU78" s="419">
        <f>IF(AND($T78=1,AU$5&lt;=$H78),INDEX(Mortality!$B$4:$E$64,MATCH($D78+AU$5-1,Mortality!$A$4:$A$64,0),$U78)*$V78*$N78,0)</f>
        <v>7.2540393633414402E-4</v>
      </c>
      <c r="AV78" s="93">
        <f>IF(AND($T78=1,AV$5&lt;=$H78),INDEX(Mortality!$B$4:$E$64,MATCH($D78+AV$5-1,Mortality!$A$4:$A$64,0),$U78)*$V78*$N78,0)</f>
        <v>7.8582070307128696E-4</v>
      </c>
      <c r="AW78" s="93">
        <f>IF(AND($T78=1,AW$5&lt;=$H78),INDEX(Mortality!$B$4:$E$64,MATCH($D78+AW$5-1,Mortality!$A$4:$A$64,0),$U78)*$V78*$N78,0)</f>
        <v>8.5126940514836905E-4</v>
      </c>
      <c r="AX78" s="93">
        <f>IF(AND($T78=1,AX$5&lt;=$H78),INDEX(Mortality!$B$4:$E$64,MATCH($D78+AX$5-1,Mortality!$A$4:$A$64,0),$U78)*$V78*$N78,0)</f>
        <v>9.2216913770458301E-4</v>
      </c>
      <c r="AY78" s="93">
        <f>IF(AND($T78=1,AY$5&lt;=$H78),INDEX(Mortality!$B$4:$E$64,MATCH($D78+AY$5-1,Mortality!$A$4:$A$64,0),$U78)*$V78*$N78,0)</f>
        <v>9.98973901084343E-4</v>
      </c>
      <c r="AZ78" s="93">
        <f>IF(AND($T78=1,AZ$5&lt;=$H78),INDEX(Mortality!$B$4:$E$64,MATCH($D78+AZ$5-1,Mortality!$A$4:$A$64,0),$U78)*$V78*$N78,0)</f>
        <v>1.08217550798947E-3</v>
      </c>
      <c r="BA78" s="93">
        <f>IF(AND($T78=1,BA$5&lt;=$H78),INDEX(Mortality!$B$4:$E$64,MATCH($D78+BA$5-1,Mortality!$A$4:$A$64,0),$U78)*$V78*$N78,0)</f>
        <v>1.1723067327595699E-3</v>
      </c>
      <c r="BB78" s="93">
        <f>IF(AND($T78=1,BB$5&lt;=$H78),INDEX(Mortality!$B$4:$E$64,MATCH($D78+BB$5-1,Mortality!$A$4:$A$64,0),$U78)*$V78*$N78,0)</f>
        <v>1.2699447229467301E-3</v>
      </c>
      <c r="BC78" s="93">
        <f>IF(AND($T78=1,BC$5&lt;=$H78),INDEX(Mortality!$B$4:$E$64,MATCH($D78+BC$5-1,Mortality!$A$4:$A$64,0),$U78)*$V78*$N78,0)</f>
        <v>1.37571469503025E-3</v>
      </c>
      <c r="BD78" s="93">
        <f>IF(AND($T78=1,BD$5&lt;=$H78),INDEX(Mortality!$B$4:$E$64,MATCH($D78+BD$5-1,Mortality!$A$4:$A$64,0),$U78)*$V78*$N78,0)</f>
        <v>1.4902939379366699E-3</v>
      </c>
      <c r="BE78" s="93">
        <f>IF(AND($T78=1,BE$5&lt;=$H78),INDEX(Mortality!$B$4:$E$64,MATCH($D78+BE$5-1,Mortality!$A$4:$A$64,0),$U78)*$V78*$N78,0)</f>
        <v>1.6144161500011799E-3</v>
      </c>
      <c r="BF78" s="93">
        <f>IF(AND($T78=1,BF$5&lt;=$H78),INDEX(Mortality!$B$4:$E$64,MATCH($D78+BF$5-1,Mortality!$A$4:$A$64,0),$U78)*$V78*$N78,0)</f>
        <v>1.74887613714188E-3</v>
      </c>
      <c r="BG78" s="93">
        <f>IF(AND($T78=1,BG$5&lt;=$H78),INDEX(Mortality!$B$4:$E$64,MATCH($D78+BG$5-1,Mortality!$A$4:$A$64,0),$U78)*$V78*$N78,0)</f>
        <v>1.89453490233113E-3</v>
      </c>
      <c r="BH78" s="93">
        <f>IF(AND($T78=1,BH$5&lt;=$H78),INDEX(Mortality!$B$4:$E$64,MATCH($D78+BH$5-1,Mortality!$A$4:$A$64,0),$U78)*$V78*$N78,0)</f>
        <v>2.05232515895416E-3</v>
      </c>
      <c r="BI78" s="93">
        <f>IF(AND($T78=1,BI$5&lt;=$H78),INDEX(Mortality!$B$4:$E$64,MATCH($D78+BI$5-1,Mortality!$A$4:$A$64,0),$U78)*$V78*$N78,0)</f>
        <v>2.22325730335899E-3</v>
      </c>
      <c r="BJ78" s="93">
        <f>IF(AND($T78=1,BJ$5&lt;=$H78),INDEX(Mortality!$B$4:$E$64,MATCH($D78+BJ$5-1,Mortality!$A$4:$A$64,0),$U78)*$V78*$N78,0)</f>
        <v>2.4084258848427E-3</v>
      </c>
      <c r="BK78" s="93">
        <f>IF(AND($T78=1,BK$5&lt;=$H78),INDEX(Mortality!$B$4:$E$64,MATCH($D78+BK$5-1,Mortality!$A$4:$A$64,0),$U78)*$V78*$N78,0)</f>
        <v>2.6090166145037101E-3</v>
      </c>
      <c r="BL78" s="93">
        <f>IF(AND($T78=1,BL$5&lt;=$H78),INDEX(Mortality!$B$4:$E$64,MATCH($D78+BL$5-1,Mortality!$A$4:$A$64,0),$U78)*$V78*$N78,0)</f>
        <v>2.8263139578409702E-3</v>
      </c>
      <c r="BM78" s="93">
        <f>IF(AND($T78=1,BM$5&lt;=$H78),INDEX(Mortality!$B$4:$E$64,MATCH($D78+BM$5-1,Mortality!$A$4:$A$64,0),$U78)*$V78*$N78,0)</f>
        <v>3.0617093597183598E-3</v>
      </c>
      <c r="BN78" s="93">
        <f>IF(AND($T78=1,BN$5&lt;=$H78),INDEX(Mortality!$B$4:$E$64,MATCH($D78+BN$5-1,Mortality!$A$4:$A$64,0),$U78)*$V78*$N78,0)</f>
        <v>3.31671015436227E-3</v>
      </c>
      <c r="BO78" s="93">
        <f>IF(AND($T78=1,BO$5&lt;=$H78),INDEX(Mortality!$B$4:$E$64,MATCH($D78+BO$5-1,Mortality!$A$4:$A$64,0),$U78)*$V78*$N78,0)</f>
        <v>0</v>
      </c>
      <c r="BP78" s="93">
        <f>IF(AND($T78=1,BP$5&lt;=$H78),INDEX(Mortality!$B$4:$E$64,MATCH($D78+BP$5-1,Mortality!$A$4:$A$64,0),$U78)*$V78*$N78,0)</f>
        <v>0</v>
      </c>
      <c r="BQ78" s="93">
        <f>IF(AND($T78=1,BQ$5&lt;=$H78),INDEX(Mortality!$B$4:$E$64,MATCH($D78+BQ$5-1,Mortality!$A$4:$A$64,0),$U78)*$V78*$N78,0)</f>
        <v>0</v>
      </c>
      <c r="BR78" s="93">
        <f>IF(AND($T78=1,BR$5&lt;=$H78),INDEX(Mortality!$B$4:$E$64,MATCH($D78+BR$5-1,Mortality!$A$4:$A$64,0),$U78)*$V78*$N78,0)</f>
        <v>0</v>
      </c>
      <c r="BS78" s="93">
        <f>IF(AND($T78=1,BS$5&lt;=$H78),INDEX(Mortality!$B$4:$E$64,MATCH($D78+BS$5-1,Mortality!$A$4:$A$64,0),$U78)*$V78*$N78,0)</f>
        <v>0</v>
      </c>
      <c r="BT78" s="93">
        <f>IF(AND($T78=1,BT$5&lt;=$H78),INDEX(Mortality!$B$4:$E$64,MATCH($D78+BT$5-1,Mortality!$A$4:$A$64,0),$U78)*$V78*$N78,0)</f>
        <v>0</v>
      </c>
      <c r="BU78" s="93">
        <f>IF(AND($T78=1,BU$5&lt;=$H78),INDEX(Mortality!$B$4:$E$64,MATCH($D78+BU$5-1,Mortality!$A$4:$A$64,0),$U78)*$V78*$N78,0)</f>
        <v>0</v>
      </c>
      <c r="BV78" s="93">
        <f>IF(AND($T78=1,BV$5&lt;=$H78),INDEX(Mortality!$B$4:$E$64,MATCH($D78+BV$5-1,Mortality!$A$4:$A$64,0),$U78)*$V78*$N78,0)</f>
        <v>0</v>
      </c>
      <c r="BW78" s="93">
        <f>IF(AND($T78=1,BW$5&lt;=$H78),INDEX(Mortality!$B$4:$E$64,MATCH($D78+BW$5-1,Mortality!$A$4:$A$64,0),$U78)*$V78*$N78,0)</f>
        <v>0</v>
      </c>
      <c r="BX78" s="93">
        <f>IF(AND($T78=1,BX$5&lt;=$H78),INDEX(Mortality!$B$4:$E$64,MATCH($D78+BX$5-1,Mortality!$A$4:$A$64,0),$U78)*$V78*$N78,0)</f>
        <v>0</v>
      </c>
      <c r="BY78" s="93">
        <f>IF(AND($T78=1,BY$5&lt;=$H78),INDEX(Mortality!$B$4:$E$64,MATCH($D78+BY$5-1,Mortality!$A$4:$A$64,0),$U78)*$V78*$N78,0)</f>
        <v>0</v>
      </c>
      <c r="BZ78" s="93">
        <f>IF(AND($T78=1,BZ$5&lt;=$H78),INDEX(Mortality!$B$4:$E$64,MATCH($D78+BZ$5-1,Mortality!$A$4:$A$64,0),$U78)*$V78*$N78,0)</f>
        <v>0</v>
      </c>
      <c r="CA78" s="93">
        <f>IF(AND($T78=1,CA$5&lt;=$H78),INDEX(Mortality!$B$4:$E$64,MATCH($D78+CA$5-1,Mortality!$A$4:$A$64,0),$U78)*$V78*$N78,0)</f>
        <v>0</v>
      </c>
      <c r="CB78" s="93">
        <f>IF(AND($T78=1,CB$5&lt;=$H78),INDEX(Mortality!$B$4:$E$64,MATCH($D78+CB$5-1,Mortality!$A$4:$A$64,0),$U78)*$V78*$N78,0)</f>
        <v>0</v>
      </c>
      <c r="CC78" s="93">
        <f>IF(AND($T78=1,CC$5&lt;=$H78),INDEX(Mortality!$B$4:$E$64,MATCH($D78+CC$5-1,Mortality!$A$4:$A$64,0),$U78)*$V78*$N78,0)</f>
        <v>0</v>
      </c>
      <c r="CD78" s="93">
        <f>IF(AND($T78=1,CD$5&lt;=$H78),INDEX(Mortality!$B$4:$E$64,MATCH($D78+CD$5-1,Mortality!$A$4:$A$64,0),$U78)*$V78*$N78,0)</f>
        <v>0</v>
      </c>
      <c r="CE78" s="93">
        <f>IF(AND($T78=1,CE$5&lt;=$H78),INDEX(Mortality!$B$4:$E$64,MATCH($D78+CE$5-1,Mortality!$A$4:$A$64,0),$U78)*$V78*$N78,0)</f>
        <v>0</v>
      </c>
      <c r="CF78" s="93">
        <f>IF(AND($T78=1,CF$5&lt;=$H78),INDEX(Mortality!$B$4:$E$64,MATCH($D78+CF$5-1,Mortality!$A$4:$A$64,0),$U78)*$V78*$N78,0)</f>
        <v>0</v>
      </c>
      <c r="CG78" s="93">
        <f>IF(AND($T78=1,CG$5&lt;=$H78),INDEX(Mortality!$B$4:$E$64,MATCH($D78+CG$5-1,Mortality!$A$4:$A$64,0),$U78)*$V78*$N78,0)</f>
        <v>0</v>
      </c>
      <c r="CH78" s="94">
        <f>IF(AND($T78=1,CH$5&lt;=$H78),INDEX(Mortality!$B$4:$E$64,MATCH($D78+CH$5-1,Mortality!$A$4:$A$64,0),$U78)*$V78*$N78,0)</f>
        <v>0</v>
      </c>
      <c r="CI78" s="26"/>
      <c r="CJ78" s="419">
        <f t="shared" si="35"/>
        <v>1</v>
      </c>
      <c r="CK78" s="93">
        <f>IF(AND($T78=1,CK$5&lt;=$H78),CJ78*(1-AU78)*(1-MIN(1,MAX(Assumptions!$C$27,Assumptions!$C$13*Assumptions!$C$28^(CJ$5-1))*$O78)),0)</f>
        <v>0.87936164453602594</v>
      </c>
      <c r="CL78" s="93">
        <f>IF(AND($T78=1,CL$5&lt;=$H78),CK78*(1-AV78)*(1-MIN(1,MAX(Assumptions!$C$27,Assumptions!$C$13*Assumptions!$C$28^(CK$5-1))*$O78)),0)</f>
        <v>0.78904622030733595</v>
      </c>
      <c r="CM78" s="93">
        <f>IF(AND($T78=1,CM$5&lt;=$H78),CL78*(1-AW78)*(1-MIN(1,MAX(Assumptions!$C$27,Assumptions!$C$13*Assumptions!$C$28^(CL$5-1))*$O78)),0)</f>
        <v>0.72002245770169615</v>
      </c>
      <c r="CN78" s="93">
        <f>IF(AND($T78=1,CN$5&lt;=$H78),CM78*(1-AX78)*(1-MIN(1,MAX(Assumptions!$C$27,Assumptions!$C$13*Assumptions!$C$28^(CM$5-1))*$O78)),0)</f>
        <v>0.66634535238194592</v>
      </c>
      <c r="CO78" s="93">
        <f>IF(AND($T78=1,CO$5&lt;=$H78),CN78*(1-AY78)*(1-MIN(1,MAX(Assumptions!$C$27,Assumptions!$C$13*Assumptions!$C$28^(CN$5-1))*$O78)),0)</f>
        <v>0.62398101567646924</v>
      </c>
      <c r="CP78" s="93">
        <f>IF(AND($T78=1,CP$5&lt;=$H78),CO78*(1-AZ78)*(1-MIN(1,MAX(Assumptions!$C$27,Assumptions!$C$13*Assumptions!$C$28^(CO$5-1))*$O78)),0)</f>
        <v>0.59011806953000456</v>
      </c>
      <c r="CQ78" s="93">
        <f>IF(AND($T78=1,CQ$5&lt;=$H78),CP78*(1-BA78)*(1-MIN(1,MAX(Assumptions!$C$27,Assumptions!$C$13*Assumptions!$C$28^(CP$5-1))*$O78)),0)</f>
        <v>0.56275005027019753</v>
      </c>
      <c r="CR78" s="93">
        <f>IF(AND($T78=1,CR$5&lt;=$H78),CQ78*(1-BB78)*(1-MIN(1,MAX(Assumptions!$C$27,Assumptions!$C$13*Assumptions!$C$28^(CQ$5-1))*$O78)),0)</f>
        <v>0.54041430859869599</v>
      </c>
      <c r="CS78" s="93">
        <f>IF(AND($T78=1,CS$5&lt;=$H78),CR78*(1-BC78)*(1-MIN(1,MAX(Assumptions!$C$27,Assumptions!$C$13*Assumptions!$C$28^(CR$5-1))*$O78)),0)</f>
        <v>0.52202422941312243</v>
      </c>
      <c r="CT78" s="93">
        <f>IF(AND($T78=1,CT$5&lt;=$H78),CS78*(1-BD78)*(1-MIN(1,MAX(Assumptions!$C$27,Assumptions!$C$13*Assumptions!$C$28^(CS$5-1))*$O78)),0)</f>
        <v>0.50675872383189602</v>
      </c>
      <c r="CU78" s="93">
        <f>IF(AND($T78=1,CU$5&lt;=$H78),CT78*(1-BE78)*(1-MIN(1,MAX(Assumptions!$C$27,Assumptions!$C$13*Assumptions!$C$28^(CT$5-1))*$O78)),0)</f>
        <v>0.49398779375007434</v>
      </c>
      <c r="CV78" s="93">
        <f>IF(AND($T78=1,CV$5&lt;=$H78),CU78*(1-BF78)*(1-MIN(1,MAX(Assumptions!$C$27,Assumptions!$C$13*Assumptions!$C$28^(CU$5-1))*$O78)),0)</f>
        <v>0.48322135652622228</v>
      </c>
      <c r="CW78" s="93">
        <f>IF(AND($T78=1,CW$5&lt;=$H78),CV78*(1-BG78)*(1-MIN(1,MAX(Assumptions!$C$27,Assumptions!$C$13*Assumptions!$C$28^(CV$5-1))*$O78)),0)</f>
        <v>0.47265975926471693</v>
      </c>
      <c r="CX78" s="93">
        <f>IF(AND($T78=1,CX$5&lt;=$H78),CW78*(1-BH78)*(1-MIN(1,MAX(Assumptions!$C$27,Assumptions!$C$13*Assumptions!$C$28^(CW$5-1))*$O78)),0)</f>
        <v>0.46225591359416968</v>
      </c>
      <c r="CY78" s="93">
        <f>IF(AND($T78=1,CY$5&lt;=$H78),CX78*(1-BI78)*(1-MIN(1,MAX(Assumptions!$C$27,Assumptions!$C$13*Assumptions!$C$28^(CX$5-1))*$O78)),0)</f>
        <v>0.4520036357630855</v>
      </c>
      <c r="CZ78" s="93">
        <f>IF(AND($T78=1,CZ$5&lt;=$H78),CY78*(1-BJ78)*(1-MIN(1,MAX(Assumptions!$C$27,Assumptions!$C$13*Assumptions!$C$28^(CY$5-1))*$O78)),0)</f>
        <v>0.44189671813653725</v>
      </c>
      <c r="DA78" s="93">
        <f>IF(AND($T78=1,DA$5&lt;=$H78),CZ78*(1-BK78)*(1-MIN(1,MAX(Assumptions!$C$27,Assumptions!$C$13*Assumptions!$C$28^(CZ$5-1))*$O78)),0)</f>
        <v>0.43192892621188389</v>
      </c>
      <c r="DB78" s="93">
        <f>IF(AND($T78=1,DB$5&lt;=$H78),DA78*(1-BL78)*(1-MIN(1,MAX(Assumptions!$C$27,Assumptions!$C$13*Assumptions!$C$28^(DA$5-1))*$O78)),0)</f>
        <v>0.42209399626975724</v>
      </c>
      <c r="DC78" s="93">
        <f>IF(AND($T78=1,DC$5&lt;=$H78),DB78*(1-BM78)*(1-MIN(1,MAX(Assumptions!$C$27,Assumptions!$C$13*Assumptions!$C$28^(DB$5-1))*$O78)),0)</f>
        <v>0.41238563378808324</v>
      </c>
      <c r="DD78" s="93">
        <f>IF(AND($T78=1,DD$5&lt;=$H78),DC78*(1-BN78)*(1-MIN(1,MAX(Assumptions!$C$27,Assumptions!$C$13*Assumptions!$C$28^(DC$5-1))*$O78)),0)</f>
        <v>0</v>
      </c>
      <c r="DE78" s="93">
        <f>IF(AND($T78=1,DE$5&lt;=$H78),DD78*(1-BO78)*(1-MIN(1,MAX(Assumptions!$C$27,Assumptions!$C$13*Assumptions!$C$28^(DD$5-1))*$O78)),0)</f>
        <v>0</v>
      </c>
      <c r="DF78" s="93">
        <f>IF(AND($T78=1,DF$5&lt;=$H78),DE78*(1-BP78)*(1-MIN(1,MAX(Assumptions!$C$27,Assumptions!$C$13*Assumptions!$C$28^(DE$5-1))*$O78)),0)</f>
        <v>0</v>
      </c>
      <c r="DG78" s="93">
        <f>IF(AND($T78=1,DG$5&lt;=$H78),DF78*(1-BQ78)*(1-MIN(1,MAX(Assumptions!$C$27,Assumptions!$C$13*Assumptions!$C$28^(DF$5-1))*$O78)),0)</f>
        <v>0</v>
      </c>
      <c r="DH78" s="93">
        <f>IF(AND($T78=1,DH$5&lt;=$H78),DG78*(1-BR78)*(1-MIN(1,MAX(Assumptions!$C$27,Assumptions!$C$13*Assumptions!$C$28^(DG$5-1))*$O78)),0)</f>
        <v>0</v>
      </c>
      <c r="DI78" s="93">
        <f>IF(AND($T78=1,DI$5&lt;=$H78),DH78*(1-BS78)*(1-MIN(1,MAX(Assumptions!$C$27,Assumptions!$C$13*Assumptions!$C$28^(DH$5-1))*$O78)),0)</f>
        <v>0</v>
      </c>
      <c r="DJ78" s="93">
        <f>IF(AND($T78=1,DJ$5&lt;=$H78),DI78*(1-BT78)*(1-MIN(1,MAX(Assumptions!$C$27,Assumptions!$C$13*Assumptions!$C$28^(DI$5-1))*$O78)),0)</f>
        <v>0</v>
      </c>
      <c r="DK78" s="93">
        <f>IF(AND($T78=1,DK$5&lt;=$H78),DJ78*(1-BU78)*(1-MIN(1,MAX(Assumptions!$C$27,Assumptions!$C$13*Assumptions!$C$28^(DJ$5-1))*$O78)),0)</f>
        <v>0</v>
      </c>
      <c r="DL78" s="93">
        <f>IF(AND($T78=1,DL$5&lt;=$H78),DK78*(1-BV78)*(1-MIN(1,MAX(Assumptions!$C$27,Assumptions!$C$13*Assumptions!$C$28^(DK$5-1))*$O78)),0)</f>
        <v>0</v>
      </c>
      <c r="DM78" s="93">
        <f>IF(AND($T78=1,DM$5&lt;=$H78),DL78*(1-BW78)*(1-MIN(1,MAX(Assumptions!$C$27,Assumptions!$C$13*Assumptions!$C$28^(DL$5-1))*$O78)),0)</f>
        <v>0</v>
      </c>
      <c r="DN78" s="93">
        <f>IF(AND($T78=1,DN$5&lt;=$H78),DM78*(1-BX78)*(1-MIN(1,MAX(Assumptions!$C$27,Assumptions!$C$13*Assumptions!$C$28^(DM$5-1))*$O78)),0)</f>
        <v>0</v>
      </c>
      <c r="DO78" s="93">
        <f>IF(AND($T78=1,DO$5&lt;=$H78),DN78*(1-BY78)*(1-MIN(1,MAX(Assumptions!$C$27,Assumptions!$C$13*Assumptions!$C$28^(DN$5-1))*$O78)),0)</f>
        <v>0</v>
      </c>
      <c r="DP78" s="93">
        <f>IF(AND($T78=1,DP$5&lt;=$H78),DO78*(1-BZ78)*(1-MIN(1,MAX(Assumptions!$C$27,Assumptions!$C$13*Assumptions!$C$28^(DO$5-1))*$O78)),0)</f>
        <v>0</v>
      </c>
      <c r="DQ78" s="93">
        <f>IF(AND($T78=1,DQ$5&lt;=$H78),DP78*(1-CA78)*(1-MIN(1,MAX(Assumptions!$C$27,Assumptions!$C$13*Assumptions!$C$28^(DP$5-1))*$O78)),0)</f>
        <v>0</v>
      </c>
      <c r="DR78" s="93">
        <f>IF(AND($T78=1,DR$5&lt;=$H78),DQ78*(1-CB78)*(1-MIN(1,MAX(Assumptions!$C$27,Assumptions!$C$13*Assumptions!$C$28^(DQ$5-1))*$O78)),0)</f>
        <v>0</v>
      </c>
      <c r="DS78" s="93">
        <f>IF(AND($T78=1,DS$5&lt;=$H78),DR78*(1-CC78)*(1-MIN(1,MAX(Assumptions!$C$27,Assumptions!$C$13*Assumptions!$C$28^(DR$5-1))*$O78)),0)</f>
        <v>0</v>
      </c>
      <c r="DT78" s="93">
        <f>IF(AND($T78=1,DT$5&lt;=$H78),DS78*(1-CD78)*(1-MIN(1,MAX(Assumptions!$C$27,Assumptions!$C$13*Assumptions!$C$28^(DS$5-1))*$O78)),0)</f>
        <v>0</v>
      </c>
      <c r="DU78" s="93">
        <f>IF(AND($T78=1,DU$5&lt;=$H78),DT78*(1-CE78)*(1-MIN(1,MAX(Assumptions!$C$27,Assumptions!$C$13*Assumptions!$C$28^(DT$5-1))*$O78)),0)</f>
        <v>0</v>
      </c>
      <c r="DV78" s="93">
        <f>IF(AND($T78=1,DV$5&lt;=$H78),DU78*(1-CF78)*(1-MIN(1,MAX(Assumptions!$C$27,Assumptions!$C$13*Assumptions!$C$28^(DU$5-1))*$O78)),0)</f>
        <v>0</v>
      </c>
      <c r="DW78" s="94">
        <f>IF(AND($T78=1,DW$5&lt;=$H78),DV78*(1-CG78)*(1-MIN(1,MAX(Assumptions!$C$27,Assumptions!$C$13*Assumptions!$C$28^(DV$5-1))*$O78)),0)</f>
        <v>0</v>
      </c>
      <c r="DX78" s="26"/>
      <c r="DY78" s="399">
        <f>'Policy Data'!K52</f>
        <v>4</v>
      </c>
      <c r="DZ78" s="100">
        <f>'Policy Data'!L52</f>
        <v>0.99490000000000001</v>
      </c>
      <c r="EA78" s="100">
        <f>'Policy Data'!N52</f>
        <v>7.2199999999999999E-4</v>
      </c>
      <c r="EB78" s="93" cm="1">
        <f t="array" ref="EB78">IFERROR(DZ78*INDEX(Mortality!$B$4:$E$64,MATCH(D78+DY78-1,Mortality!$A$4:$A$64,0),U78)*V78,0)</f>
        <v>9.1746607510228965E-4</v>
      </c>
      <c r="EC78" s="100">
        <f>'Policy Data'!O52</f>
        <v>0</v>
      </c>
      <c r="ED78" s="400">
        <f>'Policy Data'!Q52</f>
        <v>0</v>
      </c>
    </row>
    <row r="79" spans="1:134" x14ac:dyDescent="0.3">
      <c r="A79" s="399" t="str">
        <f>'Policy Data'!A53</f>
        <v>POL100049</v>
      </c>
      <c r="B79" s="26" t="s">
        <v>426</v>
      </c>
      <c r="C79" s="100" t="str">
        <f>'Policy Data'!B53</f>
        <v>Term Life</v>
      </c>
      <c r="D79" s="100">
        <f>'Policy Data'!C53</f>
        <v>29</v>
      </c>
      <c r="E79" s="100" t="str">
        <f>'Policy Data'!D53</f>
        <v>Female</v>
      </c>
      <c r="F79" s="100" t="str">
        <f>'Policy Data'!E53</f>
        <v>Non-smoker</v>
      </c>
      <c r="G79" s="100" t="str">
        <f>'Policy Data'!F53</f>
        <v>Standard</v>
      </c>
      <c r="H79" s="100">
        <f>'Policy Data'!G53</f>
        <v>25</v>
      </c>
      <c r="I79" s="279">
        <f>'Policy Data'!H53</f>
        <v>250000</v>
      </c>
      <c r="J79" s="100" t="str">
        <f>'Policy Data'!I53</f>
        <v>Annual</v>
      </c>
      <c r="K79" s="100" t="str">
        <f>'Policy Data'!J53</f>
        <v>Broker</v>
      </c>
      <c r="L79" s="26" t="s">
        <v>389</v>
      </c>
      <c r="M79" s="106">
        <f>'Policy Data'!R53</f>
        <v>1200</v>
      </c>
      <c r="N79" s="415">
        <f>Assumptions!$C$21</f>
        <v>1</v>
      </c>
      <c r="O79" s="415">
        <f>Assumptions!$C$22</f>
        <v>1</v>
      </c>
      <c r="P79" s="415">
        <f>Assumptions!$C$23</f>
        <v>1</v>
      </c>
      <c r="Q79" s="416">
        <f>Assumptions!$C$24</f>
        <v>0</v>
      </c>
      <c r="R79" s="416">
        <f>Assumptions!$C$6+Assumptions!$C$25</f>
        <v>3.5000000000000003E-2</v>
      </c>
      <c r="S79" s="416">
        <f>Assumptions!$C$15</f>
        <v>1.1000000000000001E-3</v>
      </c>
      <c r="T79" s="26">
        <f t="shared" si="18"/>
        <v>1</v>
      </c>
      <c r="U79" s="26">
        <f t="shared" si="19"/>
        <v>1</v>
      </c>
      <c r="V79" s="389">
        <f>IF($G79="Preferred",Assumptions!$C$30,IF($G79="Rated",Assumptions!$C$31,1))</f>
        <v>1</v>
      </c>
      <c r="W79" s="390">
        <f>IF($K79="Direct",Assumptions!$C$32,IF($K79="Broker",Assumptions!$C$33,IF($K79="Bancassurance",Assumptions!$C$34,Assumptions!$C$11)))+$Q79</f>
        <v>0.25</v>
      </c>
      <c r="X79" s="390">
        <f>Assumptions!$C$12+$Q79</f>
        <v>0.05</v>
      </c>
      <c r="Y79" s="131">
        <f>MIN($I79,Assumptions!$C$14)</f>
        <v>250000</v>
      </c>
      <c r="Z79" s="131">
        <f>MAX($I79-Assumptions!$C$14,0)</f>
        <v>0</v>
      </c>
      <c r="AA79" s="389">
        <f t="shared" si="20"/>
        <v>9.4977450094843405</v>
      </c>
      <c r="AB79" s="389">
        <f t="shared" si="21"/>
        <v>7.7238479769691009E-3</v>
      </c>
      <c r="AC79" s="389">
        <f>IF($T79=1,SUMPRODUCT($CJ79:$DW79,(1+Assumptions!$C$5)^($CJ$5:$DW$5-1),(1+$R79)^(-$CJ$5:$DW$5)),0)</f>
        <v>13.696501387312249</v>
      </c>
      <c r="AD79" s="389">
        <f t="shared" si="22"/>
        <v>0.66812396545006236</v>
      </c>
      <c r="AE79" s="131">
        <f>IF($T79=1,$AB79*$Y79+(Assumptions!$C$9/(1+$R79)+Assumptions!$C$10*$AC79)*$P79+$S79*$Z79*$AA79,0)</f>
        <v>5813.7575168422745</v>
      </c>
      <c r="AF79" s="131">
        <f>IF($T79=1,IF($AA79-$AD79-Assumptions!$C$16*$AA79&gt;0,$AE79/($AA79-$AD79-Assumptions!$C$16*$AA79)*IF($J79="Monthly",1+Assumptions!$C$29,1),"n.a."),"")</f>
        <v>720.43377494582717</v>
      </c>
      <c r="AG79" s="131">
        <f t="shared" si="23"/>
        <v>1200</v>
      </c>
      <c r="AH79" s="131">
        <f t="shared" si="24"/>
        <v>11397.294011381209</v>
      </c>
      <c r="AI79" s="131">
        <f t="shared" si="25"/>
        <v>4781.7877359988588</v>
      </c>
      <c r="AJ79" s="390">
        <f t="shared" si="26"/>
        <v>0.41955465316800811</v>
      </c>
      <c r="AK79" s="389">
        <f t="shared" si="27"/>
        <v>1.6656631625720681</v>
      </c>
      <c r="AL79" s="131">
        <f t="shared" si="28"/>
        <v>0</v>
      </c>
      <c r="AM79" s="131">
        <f t="shared" si="29"/>
        <v>0</v>
      </c>
      <c r="AN79" s="131">
        <f t="shared" si="30"/>
        <v>0</v>
      </c>
      <c r="AO79" s="131">
        <f t="shared" si="31"/>
        <v>4781.7877359988588</v>
      </c>
      <c r="AP79" s="26" t="str">
        <f t="shared" si="32"/>
        <v>20-29</v>
      </c>
      <c r="AQ79" s="26" t="str">
        <f t="shared" si="33"/>
        <v>Up to 250k</v>
      </c>
      <c r="AR79" s="26" t="str">
        <f>IF($T79=1,IF($AI79&lt;0,"Loss-making",IF($AJ79&lt;Assumptions!$C$16-0.00001,"Below target","At/above target")),"Excluded")</f>
        <v>At/above target</v>
      </c>
      <c r="AS79" s="103">
        <f t="shared" si="34"/>
        <v>4781.7878149988592</v>
      </c>
      <c r="AT79" s="26"/>
      <c r="AU79" s="419">
        <f>IF(AND($T79=1,AU$5&lt;=$H79),INDEX(Mortality!$B$4:$E$64,MATCH($D79+AU$5-1,Mortality!$A$4:$A$64,0),$U79)*$V79*$N79,0)</f>
        <v>3.53092002492888E-4</v>
      </c>
      <c r="AV79" s="93">
        <f>IF(AND($T79=1,AV$5&lt;=$H79),INDEX(Mortality!$B$4:$E$64,MATCH($D79+AV$5-1,Mortality!$A$4:$A$64,0),$U79)*$V79*$N79,0)</f>
        <v>3.8249999999999997E-4</v>
      </c>
      <c r="AW79" s="93">
        <f>IF(AND($T79=1,AW$5&lt;=$H79),INDEX(Mortality!$B$4:$E$64,MATCH($D79+AW$5-1,Mortality!$A$4:$A$64,0),$U79)*$V79*$N79,0)</f>
        <v>4.1435730338567202E-4</v>
      </c>
      <c r="AX79" s="93">
        <f>IF(AND($T79=1,AX$5&lt;=$H79),INDEX(Mortality!$B$4:$E$64,MATCH($D79+AX$5-1,Mortality!$A$4:$A$64,0),$U79)*$V79*$N79,0)</f>
        <v>4.4886790815436701E-4</v>
      </c>
      <c r="AY79" s="93">
        <f>IF(AND($T79=1,AY$5&lt;=$H79),INDEX(Mortality!$B$4:$E$64,MATCH($D79+AY$5-1,Mortality!$A$4:$A$64,0),$U79)*$V79*$N79,0)</f>
        <v>4.8625279999793699E-4</v>
      </c>
      <c r="AZ79" s="93">
        <f>IF(AND($T79=1,AZ$5&lt;=$H79),INDEX(Mortality!$B$4:$E$64,MATCH($D79+AZ$5-1,Mortality!$A$4:$A$64,0),$U79)*$V79*$N79,0)</f>
        <v>5.2675136985850396E-4</v>
      </c>
      <c r="BA79" s="93">
        <f>IF(AND($T79=1,BA$5&lt;=$H79),INDEX(Mortality!$B$4:$E$64,MATCH($D79+BA$5-1,Mortality!$A$4:$A$64,0),$U79)*$V79*$N79,0)</f>
        <v>5.7062294684778595E-4</v>
      </c>
      <c r="BB79" s="93">
        <f>IF(AND($T79=1,BB$5&lt;=$H79),INDEX(Mortality!$B$4:$E$64,MATCH($D79+BB$5-1,Mortality!$A$4:$A$64,0),$U79)*$V79*$N79,0)</f>
        <v>6.1814845883878197E-4</v>
      </c>
      <c r="BC79" s="93">
        <f>IF(AND($T79=1,BC$5&lt;=$H79),INDEX(Mortality!$B$4:$E$64,MATCH($D79+BC$5-1,Mortality!$A$4:$A$64,0),$U79)*$V79*$N79,0)</f>
        <v>6.6963223136325904E-4</v>
      </c>
      <c r="BD79" s="93">
        <f>IF(AND($T79=1,BD$5&lt;=$H79),INDEX(Mortality!$B$4:$E$64,MATCH($D79+BD$5-1,Mortality!$A$4:$A$64,0),$U79)*$V79*$N79,0)</f>
        <v>7.2540393633414402E-4</v>
      </c>
      <c r="BE79" s="93">
        <f>IF(AND($T79=1,BE$5&lt;=$H79),INDEX(Mortality!$B$4:$E$64,MATCH($D79+BE$5-1,Mortality!$A$4:$A$64,0),$U79)*$V79*$N79,0)</f>
        <v>7.8582070307128696E-4</v>
      </c>
      <c r="BF79" s="93">
        <f>IF(AND($T79=1,BF$5&lt;=$H79),INDEX(Mortality!$B$4:$E$64,MATCH($D79+BF$5-1,Mortality!$A$4:$A$64,0),$U79)*$V79*$N79,0)</f>
        <v>8.5126940514836905E-4</v>
      </c>
      <c r="BG79" s="93">
        <f>IF(AND($T79=1,BG$5&lt;=$H79),INDEX(Mortality!$B$4:$E$64,MATCH($D79+BG$5-1,Mortality!$A$4:$A$64,0),$U79)*$V79*$N79,0)</f>
        <v>9.2216913770458301E-4</v>
      </c>
      <c r="BH79" s="93">
        <f>IF(AND($T79=1,BH$5&lt;=$H79),INDEX(Mortality!$B$4:$E$64,MATCH($D79+BH$5-1,Mortality!$A$4:$A$64,0),$U79)*$V79*$N79,0)</f>
        <v>9.98973901084343E-4</v>
      </c>
      <c r="BI79" s="93">
        <f>IF(AND($T79=1,BI$5&lt;=$H79),INDEX(Mortality!$B$4:$E$64,MATCH($D79+BI$5-1,Mortality!$A$4:$A$64,0),$U79)*$V79*$N79,0)</f>
        <v>1.08217550798947E-3</v>
      </c>
      <c r="BJ79" s="93">
        <f>IF(AND($T79=1,BJ$5&lt;=$H79),INDEX(Mortality!$B$4:$E$64,MATCH($D79+BJ$5-1,Mortality!$A$4:$A$64,0),$U79)*$V79*$N79,0)</f>
        <v>1.1723067327595699E-3</v>
      </c>
      <c r="BK79" s="93">
        <f>IF(AND($T79=1,BK$5&lt;=$H79),INDEX(Mortality!$B$4:$E$64,MATCH($D79+BK$5-1,Mortality!$A$4:$A$64,0),$U79)*$V79*$N79,0)</f>
        <v>1.2699447229467301E-3</v>
      </c>
      <c r="BL79" s="93">
        <f>IF(AND($T79=1,BL$5&lt;=$H79),INDEX(Mortality!$B$4:$E$64,MATCH($D79+BL$5-1,Mortality!$A$4:$A$64,0),$U79)*$V79*$N79,0)</f>
        <v>1.37571469503025E-3</v>
      </c>
      <c r="BM79" s="93">
        <f>IF(AND($T79=1,BM$5&lt;=$H79),INDEX(Mortality!$B$4:$E$64,MATCH($D79+BM$5-1,Mortality!$A$4:$A$64,0),$U79)*$V79*$N79,0)</f>
        <v>1.4902939379366699E-3</v>
      </c>
      <c r="BN79" s="93">
        <f>IF(AND($T79=1,BN$5&lt;=$H79),INDEX(Mortality!$B$4:$E$64,MATCH($D79+BN$5-1,Mortality!$A$4:$A$64,0),$U79)*$V79*$N79,0)</f>
        <v>1.6144161500011799E-3</v>
      </c>
      <c r="BO79" s="93">
        <f>IF(AND($T79=1,BO$5&lt;=$H79),INDEX(Mortality!$B$4:$E$64,MATCH($D79+BO$5-1,Mortality!$A$4:$A$64,0),$U79)*$V79*$N79,0)</f>
        <v>1.74887613714188E-3</v>
      </c>
      <c r="BP79" s="93">
        <f>IF(AND($T79=1,BP$5&lt;=$H79),INDEX(Mortality!$B$4:$E$64,MATCH($D79+BP$5-1,Mortality!$A$4:$A$64,0),$U79)*$V79*$N79,0)</f>
        <v>1.89453490233113E-3</v>
      </c>
      <c r="BQ79" s="93">
        <f>IF(AND($T79=1,BQ$5&lt;=$H79),INDEX(Mortality!$B$4:$E$64,MATCH($D79+BQ$5-1,Mortality!$A$4:$A$64,0),$U79)*$V79*$N79,0)</f>
        <v>2.05232515895416E-3</v>
      </c>
      <c r="BR79" s="93">
        <f>IF(AND($T79=1,BR$5&lt;=$H79),INDEX(Mortality!$B$4:$E$64,MATCH($D79+BR$5-1,Mortality!$A$4:$A$64,0),$U79)*$V79*$N79,0)</f>
        <v>2.22325730335899E-3</v>
      </c>
      <c r="BS79" s="93">
        <f>IF(AND($T79=1,BS$5&lt;=$H79),INDEX(Mortality!$B$4:$E$64,MATCH($D79+BS$5-1,Mortality!$A$4:$A$64,0),$U79)*$V79*$N79,0)</f>
        <v>2.4084258848427E-3</v>
      </c>
      <c r="BT79" s="93">
        <f>IF(AND($T79=1,BT$5&lt;=$H79),INDEX(Mortality!$B$4:$E$64,MATCH($D79+BT$5-1,Mortality!$A$4:$A$64,0),$U79)*$V79*$N79,0)</f>
        <v>0</v>
      </c>
      <c r="BU79" s="93">
        <f>IF(AND($T79=1,BU$5&lt;=$H79),INDEX(Mortality!$B$4:$E$64,MATCH($D79+BU$5-1,Mortality!$A$4:$A$64,0),$U79)*$V79*$N79,0)</f>
        <v>0</v>
      </c>
      <c r="BV79" s="93">
        <f>IF(AND($T79=1,BV$5&lt;=$H79),INDEX(Mortality!$B$4:$E$64,MATCH($D79+BV$5-1,Mortality!$A$4:$A$64,0),$U79)*$V79*$N79,0)</f>
        <v>0</v>
      </c>
      <c r="BW79" s="93">
        <f>IF(AND($T79=1,BW$5&lt;=$H79),INDEX(Mortality!$B$4:$E$64,MATCH($D79+BW$5-1,Mortality!$A$4:$A$64,0),$U79)*$V79*$N79,0)</f>
        <v>0</v>
      </c>
      <c r="BX79" s="93">
        <f>IF(AND($T79=1,BX$5&lt;=$H79),INDEX(Mortality!$B$4:$E$64,MATCH($D79+BX$5-1,Mortality!$A$4:$A$64,0),$U79)*$V79*$N79,0)</f>
        <v>0</v>
      </c>
      <c r="BY79" s="93">
        <f>IF(AND($T79=1,BY$5&lt;=$H79),INDEX(Mortality!$B$4:$E$64,MATCH($D79+BY$5-1,Mortality!$A$4:$A$64,0),$U79)*$V79*$N79,0)</f>
        <v>0</v>
      </c>
      <c r="BZ79" s="93">
        <f>IF(AND($T79=1,BZ$5&lt;=$H79),INDEX(Mortality!$B$4:$E$64,MATCH($D79+BZ$5-1,Mortality!$A$4:$A$64,0),$U79)*$V79*$N79,0)</f>
        <v>0</v>
      </c>
      <c r="CA79" s="93">
        <f>IF(AND($T79=1,CA$5&lt;=$H79),INDEX(Mortality!$B$4:$E$64,MATCH($D79+CA$5-1,Mortality!$A$4:$A$64,0),$U79)*$V79*$N79,0)</f>
        <v>0</v>
      </c>
      <c r="CB79" s="93">
        <f>IF(AND($T79=1,CB$5&lt;=$H79),INDEX(Mortality!$B$4:$E$64,MATCH($D79+CB$5-1,Mortality!$A$4:$A$64,0),$U79)*$V79*$N79,0)</f>
        <v>0</v>
      </c>
      <c r="CC79" s="93">
        <f>IF(AND($T79=1,CC$5&lt;=$H79),INDEX(Mortality!$B$4:$E$64,MATCH($D79+CC$5-1,Mortality!$A$4:$A$64,0),$U79)*$V79*$N79,0)</f>
        <v>0</v>
      </c>
      <c r="CD79" s="93">
        <f>IF(AND($T79=1,CD$5&lt;=$H79),INDEX(Mortality!$B$4:$E$64,MATCH($D79+CD$5-1,Mortality!$A$4:$A$64,0),$U79)*$V79*$N79,0)</f>
        <v>0</v>
      </c>
      <c r="CE79" s="93">
        <f>IF(AND($T79=1,CE$5&lt;=$H79),INDEX(Mortality!$B$4:$E$64,MATCH($D79+CE$5-1,Mortality!$A$4:$A$64,0),$U79)*$V79*$N79,0)</f>
        <v>0</v>
      </c>
      <c r="CF79" s="93">
        <f>IF(AND($T79=1,CF$5&lt;=$H79),INDEX(Mortality!$B$4:$E$64,MATCH($D79+CF$5-1,Mortality!$A$4:$A$64,0),$U79)*$V79*$N79,0)</f>
        <v>0</v>
      </c>
      <c r="CG79" s="93">
        <f>IF(AND($T79=1,CG$5&lt;=$H79),INDEX(Mortality!$B$4:$E$64,MATCH($D79+CG$5-1,Mortality!$A$4:$A$64,0),$U79)*$V79*$N79,0)</f>
        <v>0</v>
      </c>
      <c r="CH79" s="94">
        <f>IF(AND($T79=1,CH$5&lt;=$H79),INDEX(Mortality!$B$4:$E$64,MATCH($D79+CH$5-1,Mortality!$A$4:$A$64,0),$U79)*$V79*$N79,0)</f>
        <v>0</v>
      </c>
      <c r="CI79" s="26"/>
      <c r="CJ79" s="419">
        <f t="shared" si="35"/>
        <v>1</v>
      </c>
      <c r="CK79" s="93">
        <f>IF(AND($T79=1,CK$5&lt;=$H79),CJ79*(1-AU79)*(1-MIN(1,MAX(Assumptions!$C$27,Assumptions!$C$13*Assumptions!$C$28^(CJ$5-1))*$O79)),0)</f>
        <v>0.87968927903780625</v>
      </c>
      <c r="CL79" s="93">
        <f>IF(AND($T79=1,CL$5&lt;=$H79),CK79*(1-AV79)*(1-MIN(1,MAX(Assumptions!$C$27,Assumptions!$C$13*Assumptions!$C$28^(CK$5-1))*$O79)),0)</f>
        <v>0.78965881250393977</v>
      </c>
      <c r="CM79" s="93">
        <f>IF(AND($T79=1,CM$5&lt;=$H79),CL79*(1-AW79)*(1-MIN(1,MAX(Assumptions!$C$27,Assumptions!$C$13*Assumptions!$C$28^(CL$5-1))*$O79)),0)</f>
        <v>0.72089656088139997</v>
      </c>
      <c r="CN79" s="93">
        <f>IF(AND($T79=1,CN$5&lt;=$H79),CM79*(1-AX79)*(1-MIN(1,MAX(Assumptions!$C$27,Assumptions!$C$13*Assumptions!$C$28^(CM$5-1))*$O79)),0)</f>
        <v>0.66747034826434537</v>
      </c>
      <c r="CO79" s="93">
        <f>IF(AND($T79=1,CO$5&lt;=$H79),CN79*(1-AY79)*(1-MIN(1,MAX(Assumptions!$C$27,Assumptions!$C$13*Assumptions!$C$28^(CN$5-1))*$O79)),0)</f>
        <v>0.62535527636013144</v>
      </c>
      <c r="CP79" s="93">
        <f>IF(AND($T79=1,CP$5&lt;=$H79),CO79*(1-AZ79)*(1-MIN(1,MAX(Assumptions!$C$27,Assumptions!$C$13*Assumptions!$C$28^(CO$5-1))*$O79)),0)</f>
        <v>0.59174659375606542</v>
      </c>
      <c r="CQ79" s="93">
        <f>IF(AND($T79=1,CQ$5&lt;=$H79),CP79*(1-BA79)*(1-MIN(1,MAX(Assumptions!$C$27,Assumptions!$C$13*Assumptions!$C$28^(CP$5-1))*$O79)),0)</f>
        <v>0.56464297861207124</v>
      </c>
      <c r="CR79" s="93">
        <f>IF(AND($T79=1,CR$5&lt;=$H79),CQ79*(1-BB79)*(1-MIN(1,MAX(Assumptions!$C$27,Assumptions!$C$13*Assumptions!$C$28^(CQ$5-1))*$O79)),0)</f>
        <v>0.54258598022995608</v>
      </c>
      <c r="CS79" s="93">
        <f>IF(AND($T79=1,CS$5&lt;=$H79),CR79*(1-BC79)*(1-MIN(1,MAX(Assumptions!$C$27,Assumptions!$C$13*Assumptions!$C$28^(CR$5-1))*$O79)),0)</f>
        <v>0.52449258311148006</v>
      </c>
      <c r="CT79" s="93">
        <f>IF(AND($T79=1,CT$5&lt;=$H79),CS79*(1-BD79)*(1-MIN(1,MAX(Assumptions!$C$27,Assumptions!$C$13*Assumptions!$C$28^(CS$5-1))*$O79)),0)</f>
        <v>0.50954492444101429</v>
      </c>
      <c r="CU79" s="93">
        <f>IF(AND($T79=1,CU$5&lt;=$H79),CT79*(1-BE79)*(1-MIN(1,MAX(Assumptions!$C$27,Assumptions!$C$13*Assumptions!$C$28^(CT$5-1))*$O79)),0)</f>
        <v>0.49711601075223494</v>
      </c>
      <c r="CV79" s="93">
        <f>IF(AND($T79=1,CV$5&lt;=$H79),CU79*(1-BF79)*(1-MIN(1,MAX(Assumptions!$C$27,Assumptions!$C$13*Assumptions!$C$28^(CU$5-1))*$O79)),0)</f>
        <v>0.48671864836460438</v>
      </c>
      <c r="CW79" s="93">
        <f>IF(AND($T79=1,CW$5&lt;=$H79),CV79*(1-BG79)*(1-MIN(1,MAX(Assumptions!$C$27,Assumptions!$C$13*Assumptions!$C$28^(CV$5-1))*$O79)),0)</f>
        <v>0.47654441521937052</v>
      </c>
      <c r="CX79" s="93">
        <f>IF(AND($T79=1,CX$5&lt;=$H79),CW79*(1-BH79)*(1-MIN(1,MAX(Assumptions!$C$27,Assumptions!$C$13*Assumptions!$C$28^(CW$5-1))*$O79)),0)</f>
        <v>0.46654699259014171</v>
      </c>
      <c r="CY79" s="93">
        <f>IF(AND($T79=1,CY$5&lt;=$H79),CX79*(1-BI79)*(1-MIN(1,MAX(Assumptions!$C$27,Assumptions!$C$13*Assumptions!$C$28^(CX$5-1))*$O79)),0)</f>
        <v>0.45672126472420577</v>
      </c>
      <c r="CZ79" s="93">
        <f>IF(AND($T79=1,CZ$5&lt;=$H79),CY79*(1-BJ79)*(1-MIN(1,MAX(Assumptions!$C$27,Assumptions!$C$13*Assumptions!$C$28^(CY$5-1))*$O79)),0)</f>
        <v>0.4470621303643636</v>
      </c>
      <c r="DA79" s="93">
        <f>IF(AND($T79=1,DA$5&lt;=$H79),CZ79*(1-BK79)*(1-MIN(1,MAX(Assumptions!$C$27,Assumptions!$C$13*Assumptions!$C$28^(CZ$5-1))*$O79)),0)</f>
        <v>0.43756449844765649</v>
      </c>
      <c r="DB79" s="93">
        <f>IF(AND($T79=1,DB$5&lt;=$H79),DA79*(1-BL79)*(1-MIN(1,MAX(Assumptions!$C$27,Assumptions!$C$13*Assumptions!$C$28^(DA$5-1))*$O79)),0)</f>
        <v>0.42822328384637609</v>
      </c>
      <c r="DC79" s="93">
        <f>IF(AND($T79=1,DC$5&lt;=$H79),DB79*(1-BM79)*(1-MIN(1,MAX(Assumptions!$C$27,Assumptions!$C$13*Assumptions!$C$28^(DB$5-1))*$O79)),0)</f>
        <v>0.41903340317672899</v>
      </c>
      <c r="DD79" s="93">
        <f>IF(AND($T79=1,DD$5&lt;=$H79),DC79*(1-BN79)*(1-MIN(1,MAX(Assumptions!$C$27,Assumptions!$C$13*Assumptions!$C$28^(DC$5-1))*$O79)),0)</f>
        <v>0.40998977070558551</v>
      </c>
      <c r="DE79" s="93">
        <f>IF(AND($T79=1,DE$5&lt;=$H79),DD79*(1-BO79)*(1-MIN(1,MAX(Assumptions!$C$27,Assumptions!$C$13*Assumptions!$C$28^(DD$5-1))*$O79)),0)</f>
        <v>0.40108729439154367</v>
      </c>
      <c r="DF79" s="93">
        <f>IF(AND($T79=1,DF$5&lt;=$H79),DE79*(1-BP79)*(1-MIN(1,MAX(Assumptions!$C$27,Assumptions!$C$13*Assumptions!$C$28^(DE$5-1))*$O79)),0)</f>
        <v>0.39232087210316857</v>
      </c>
      <c r="DG79" s="93">
        <f>IF(AND($T79=1,DG$5&lt;=$H79),DF79*(1-BQ79)*(1-MIN(1,MAX(Assumptions!$C$27,Assumptions!$C$13*Assumptions!$C$28^(DF$5-1))*$O79)),0)</f>
        <v>0.38368538806482905</v>
      </c>
      <c r="DH79" s="93">
        <f>IF(AND($T79=1,DH$5&lt;=$H79),DG79*(1-BR79)*(1-MIN(1,MAX(Assumptions!$C$27,Assumptions!$C$13*Assumptions!$C$28^(DG$5-1))*$O79)),0)</f>
        <v>0.37517570958914931</v>
      </c>
      <c r="DI79" s="93">
        <f>IF(AND($T79=1,DI$5&lt;=$H79),DH79*(1-BS79)*(1-MIN(1,MAX(Assumptions!$C$27,Assumptions!$C$13*Assumptions!$C$28^(DH$5-1))*$O79)),0)</f>
        <v>0</v>
      </c>
      <c r="DJ79" s="93">
        <f>IF(AND($T79=1,DJ$5&lt;=$H79),DI79*(1-BT79)*(1-MIN(1,MAX(Assumptions!$C$27,Assumptions!$C$13*Assumptions!$C$28^(DI$5-1))*$O79)),0)</f>
        <v>0</v>
      </c>
      <c r="DK79" s="93">
        <f>IF(AND($T79=1,DK$5&lt;=$H79),DJ79*(1-BU79)*(1-MIN(1,MAX(Assumptions!$C$27,Assumptions!$C$13*Assumptions!$C$28^(DJ$5-1))*$O79)),0)</f>
        <v>0</v>
      </c>
      <c r="DL79" s="93">
        <f>IF(AND($T79=1,DL$5&lt;=$H79),DK79*(1-BV79)*(1-MIN(1,MAX(Assumptions!$C$27,Assumptions!$C$13*Assumptions!$C$28^(DK$5-1))*$O79)),0)</f>
        <v>0</v>
      </c>
      <c r="DM79" s="93">
        <f>IF(AND($T79=1,DM$5&lt;=$H79),DL79*(1-BW79)*(1-MIN(1,MAX(Assumptions!$C$27,Assumptions!$C$13*Assumptions!$C$28^(DL$5-1))*$O79)),0)</f>
        <v>0</v>
      </c>
      <c r="DN79" s="93">
        <f>IF(AND($T79=1,DN$5&lt;=$H79),DM79*(1-BX79)*(1-MIN(1,MAX(Assumptions!$C$27,Assumptions!$C$13*Assumptions!$C$28^(DM$5-1))*$O79)),0)</f>
        <v>0</v>
      </c>
      <c r="DO79" s="93">
        <f>IF(AND($T79=1,DO$5&lt;=$H79),DN79*(1-BY79)*(1-MIN(1,MAX(Assumptions!$C$27,Assumptions!$C$13*Assumptions!$C$28^(DN$5-1))*$O79)),0)</f>
        <v>0</v>
      </c>
      <c r="DP79" s="93">
        <f>IF(AND($T79=1,DP$5&lt;=$H79),DO79*(1-BZ79)*(1-MIN(1,MAX(Assumptions!$C$27,Assumptions!$C$13*Assumptions!$C$28^(DO$5-1))*$O79)),0)</f>
        <v>0</v>
      </c>
      <c r="DQ79" s="93">
        <f>IF(AND($T79=1,DQ$5&lt;=$H79),DP79*(1-CA79)*(1-MIN(1,MAX(Assumptions!$C$27,Assumptions!$C$13*Assumptions!$C$28^(DP$5-1))*$O79)),0)</f>
        <v>0</v>
      </c>
      <c r="DR79" s="93">
        <f>IF(AND($T79=1,DR$5&lt;=$H79),DQ79*(1-CB79)*(1-MIN(1,MAX(Assumptions!$C$27,Assumptions!$C$13*Assumptions!$C$28^(DQ$5-1))*$O79)),0)</f>
        <v>0</v>
      </c>
      <c r="DS79" s="93">
        <f>IF(AND($T79=1,DS$5&lt;=$H79),DR79*(1-CC79)*(1-MIN(1,MAX(Assumptions!$C$27,Assumptions!$C$13*Assumptions!$C$28^(DR$5-1))*$O79)),0)</f>
        <v>0</v>
      </c>
      <c r="DT79" s="93">
        <f>IF(AND($T79=1,DT$5&lt;=$H79),DS79*(1-CD79)*(1-MIN(1,MAX(Assumptions!$C$27,Assumptions!$C$13*Assumptions!$C$28^(DS$5-1))*$O79)),0)</f>
        <v>0</v>
      </c>
      <c r="DU79" s="93">
        <f>IF(AND($T79=1,DU$5&lt;=$H79),DT79*(1-CE79)*(1-MIN(1,MAX(Assumptions!$C$27,Assumptions!$C$13*Assumptions!$C$28^(DT$5-1))*$O79)),0)</f>
        <v>0</v>
      </c>
      <c r="DV79" s="93">
        <f>IF(AND($T79=1,DV$5&lt;=$H79),DU79*(1-CF79)*(1-MIN(1,MAX(Assumptions!$C$27,Assumptions!$C$13*Assumptions!$C$28^(DU$5-1))*$O79)),0)</f>
        <v>0</v>
      </c>
      <c r="DW79" s="94">
        <f>IF(AND($T79=1,DW$5&lt;=$H79),DV79*(1-CG79)*(1-MIN(1,MAX(Assumptions!$C$27,Assumptions!$C$13*Assumptions!$C$28^(DV$5-1))*$O79)),0)</f>
        <v>0</v>
      </c>
      <c r="DX79" s="26"/>
      <c r="DY79" s="399">
        <f>'Policy Data'!K53</f>
        <v>7</v>
      </c>
      <c r="DZ79" s="100">
        <f>'Policy Data'!L53</f>
        <v>0.87860000000000005</v>
      </c>
      <c r="EA79" s="100">
        <f>'Policy Data'!N53</f>
        <v>3.1E-4</v>
      </c>
      <c r="EB79" s="93" cm="1">
        <f t="array" ref="EB79">IFERROR(DZ79*INDEX(Mortality!$B$4:$E$64,MATCH(D79+DY79-1,Mortality!$A$4:$A$64,0),U79)*V79,0)</f>
        <v>5.0134932110046479E-4</v>
      </c>
      <c r="EC79" s="100">
        <f>'Policy Data'!O53</f>
        <v>0</v>
      </c>
      <c r="ED79" s="400">
        <f>'Policy Data'!Q53</f>
        <v>0</v>
      </c>
    </row>
    <row r="80" spans="1:134" x14ac:dyDescent="0.3">
      <c r="A80" s="399" t="str">
        <f>'Policy Data'!A54</f>
        <v>POL100050</v>
      </c>
      <c r="B80" s="26" t="s">
        <v>426</v>
      </c>
      <c r="C80" s="100" t="str">
        <f>'Policy Data'!B54</f>
        <v>Term Life</v>
      </c>
      <c r="D80" s="100">
        <f>'Policy Data'!C54</f>
        <v>23</v>
      </c>
      <c r="E80" s="100" t="str">
        <f>'Policy Data'!D54</f>
        <v>Male</v>
      </c>
      <c r="F80" s="100" t="str">
        <f>'Policy Data'!E54</f>
        <v>Non-smoker</v>
      </c>
      <c r="G80" s="100" t="str">
        <f>'Policy Data'!F54</f>
        <v>Standard</v>
      </c>
      <c r="H80" s="100">
        <f>'Policy Data'!G54</f>
        <v>15</v>
      </c>
      <c r="I80" s="279">
        <f>'Policy Data'!H54</f>
        <v>250000</v>
      </c>
      <c r="J80" s="100" t="str">
        <f>'Policy Data'!I54</f>
        <v>Annual</v>
      </c>
      <c r="K80" s="100" t="str">
        <f>'Policy Data'!J54</f>
        <v>Broker</v>
      </c>
      <c r="L80" s="26" t="s">
        <v>389</v>
      </c>
      <c r="M80" s="106">
        <f>'Policy Data'!R54</f>
        <v>1200</v>
      </c>
      <c r="N80" s="415">
        <f>Assumptions!$C$21</f>
        <v>1</v>
      </c>
      <c r="O80" s="415">
        <f>Assumptions!$C$22</f>
        <v>1</v>
      </c>
      <c r="P80" s="415">
        <f>Assumptions!$C$23</f>
        <v>1</v>
      </c>
      <c r="Q80" s="416">
        <f>Assumptions!$C$24</f>
        <v>0</v>
      </c>
      <c r="R80" s="416">
        <f>Assumptions!$C$6+Assumptions!$C$25</f>
        <v>3.5000000000000003E-2</v>
      </c>
      <c r="S80" s="416">
        <f>Assumptions!$C$15</f>
        <v>1.1000000000000001E-3</v>
      </c>
      <c r="T80" s="26">
        <f t="shared" si="18"/>
        <v>1</v>
      </c>
      <c r="U80" s="26">
        <f t="shared" si="19"/>
        <v>3</v>
      </c>
      <c r="V80" s="389">
        <f>IF($G80="Preferred",Assumptions!$C$30,IF($G80="Rated",Assumptions!$C$31,1))</f>
        <v>1</v>
      </c>
      <c r="W80" s="390">
        <f>IF($K80="Direct",Assumptions!$C$32,IF($K80="Broker",Assumptions!$C$33,IF($K80="Bancassurance",Assumptions!$C$34,Assumptions!$C$11)))+$Q80</f>
        <v>0.25</v>
      </c>
      <c r="X80" s="390">
        <f>Assumptions!$C$12+$Q80</f>
        <v>0.05</v>
      </c>
      <c r="Y80" s="131">
        <f>MIN($I80,Assumptions!$C$14)</f>
        <v>250000</v>
      </c>
      <c r="Z80" s="131">
        <f>MAX($I80-Assumptions!$C$14,0)</f>
        <v>0</v>
      </c>
      <c r="AA80" s="389">
        <f t="shared" si="20"/>
        <v>7.4277085576963433</v>
      </c>
      <c r="AB80" s="389">
        <f t="shared" si="21"/>
        <v>3.5828242399292766E-3</v>
      </c>
      <c r="AC80" s="389">
        <f>IF($T80=1,SUMPRODUCT($CJ80:$DW80,(1+Assumptions!$C$5)^($CJ$5:$DW$5-1),(1+$R80)^(-$CJ$5:$DW$5)),0)</f>
        <v>9.2989515550778243</v>
      </c>
      <c r="AD80" s="389">
        <f t="shared" si="22"/>
        <v>0.56462214286066259</v>
      </c>
      <c r="AE80" s="131">
        <f>IF($T80=1,$AB80*$Y80+(Assumptions!$C$9/(1+$R80)+Assumptions!$C$10*$AC80)*$P80+$S80*$Z80*$AA80,0)</f>
        <v>3811.0406194907446</v>
      </c>
      <c r="AF80" s="131">
        <f>IF($T80=1,IF($AA80-$AD80-Assumptions!$C$16*$AA80&gt;0,$AE80/($AA80-$AD80-Assumptions!$C$16*$AA80)*IF($J80="Monthly",1+Assumptions!$C$29,1),"n.a."),"")</f>
        <v>607.93105990368315</v>
      </c>
      <c r="AG80" s="131">
        <f t="shared" si="23"/>
        <v>1200</v>
      </c>
      <c r="AH80" s="131">
        <f t="shared" si="24"/>
        <v>8913.250269235612</v>
      </c>
      <c r="AI80" s="131">
        <f t="shared" si="25"/>
        <v>4424.6630783120727</v>
      </c>
      <c r="AJ80" s="390">
        <f t="shared" si="26"/>
        <v>0.49641409639129608</v>
      </c>
      <c r="AK80" s="389">
        <f t="shared" si="27"/>
        <v>1.9739080286342345</v>
      </c>
      <c r="AL80" s="131">
        <f t="shared" si="28"/>
        <v>0</v>
      </c>
      <c r="AM80" s="131">
        <f t="shared" si="29"/>
        <v>0</v>
      </c>
      <c r="AN80" s="131">
        <f t="shared" si="30"/>
        <v>0</v>
      </c>
      <c r="AO80" s="131">
        <f t="shared" si="31"/>
        <v>4424.6630783120727</v>
      </c>
      <c r="AP80" s="26" t="str">
        <f t="shared" si="32"/>
        <v>20-29</v>
      </c>
      <c r="AQ80" s="26" t="str">
        <f t="shared" si="33"/>
        <v>Up to 250k</v>
      </c>
      <c r="AR80" s="26" t="str">
        <f>IF($T80=1,IF($AI80&lt;0,"Loss-making",IF($AJ80&lt;Assumptions!$C$16-0.00001,"Below target","At/above target")),"Excluded")</f>
        <v>At/above target</v>
      </c>
      <c r="AS80" s="103">
        <f t="shared" si="34"/>
        <v>4424.6631583120725</v>
      </c>
      <c r="AT80" s="26"/>
      <c r="AU80" s="419">
        <f>IF(AND($T80=1,AU$5&lt;=$H80),INDEX(Mortality!$B$4:$E$64,MATCH($D80+AU$5-1,Mortality!$A$4:$A$64,0),$U80)*$V80*$N80,0)</f>
        <v>2.9560069054176198E-4</v>
      </c>
      <c r="AV80" s="93">
        <f>IF(AND($T80=1,AV$5&lt;=$H80),INDEX(Mortality!$B$4:$E$64,MATCH($D80+AV$5-1,Mortality!$A$4:$A$64,0),$U80)*$V80*$N80,0)</f>
        <v>3.20220405259678E-4</v>
      </c>
      <c r="AW80" s="93">
        <f>IF(AND($T80=1,AW$5&lt;=$H80),INDEX(Mortality!$B$4:$E$64,MATCH($D80+AW$5-1,Mortality!$A$4:$A$64,0),$U80)*$V80*$N80,0)</f>
        <v>3.4689062382344302E-4</v>
      </c>
      <c r="AX80" s="93">
        <f>IF(AND($T80=1,AX$5&lt;=$H80),INDEX(Mortality!$B$4:$E$64,MATCH($D80+AX$5-1,Mortality!$A$4:$A$64,0),$U80)*$V80*$N80,0)</f>
        <v>3.7578212668563498E-4</v>
      </c>
      <c r="AY80" s="93">
        <f>IF(AND($T80=1,AY$5&lt;=$H80),INDEX(Mortality!$B$4:$E$64,MATCH($D80+AY$5-1,Mortality!$A$4:$A$64,0),$U80)*$V80*$N80,0)</f>
        <v>4.0707991810194101E-4</v>
      </c>
      <c r="AZ80" s="93">
        <f>IF(AND($T80=1,AZ$5&lt;=$H80),INDEX(Mortality!$B$4:$E$64,MATCH($D80+AZ$5-1,Mortality!$A$4:$A$64,0),$U80)*$V80*$N80,0)</f>
        <v>4.4098441079001399E-4</v>
      </c>
      <c r="BA80" s="93">
        <f>IF(AND($T80=1,BA$5&lt;=$H80),INDEX(Mortality!$B$4:$E$64,MATCH($D80+BA$5-1,Mortality!$A$4:$A$64,0),$U80)*$V80*$N80,0)</f>
        <v>4.7771270925508401E-4</v>
      </c>
      <c r="BB80" s="93">
        <f>IF(AND($T80=1,BB$5&lt;=$H80),INDEX(Mortality!$B$4:$E$64,MATCH($D80+BB$5-1,Mortality!$A$4:$A$64,0),$U80)*$V80*$N80,0)</f>
        <v>5.1749999999999995E-4</v>
      </c>
      <c r="BC80" s="93">
        <f>IF(AND($T80=1,BC$5&lt;=$H80),INDEX(Mortality!$B$4:$E$64,MATCH($D80+BC$5-1,Mortality!$A$4:$A$64,0),$U80)*$V80*$N80,0)</f>
        <v>5.6060105752179102E-4</v>
      </c>
      <c r="BD80" s="93">
        <f>IF(AND($T80=1,BD$5&lt;=$H80),INDEX(Mortality!$B$4:$E$64,MATCH($D80+BD$5-1,Mortality!$A$4:$A$64,0),$U80)*$V80*$N80,0)</f>
        <v>6.07291875738262E-4</v>
      </c>
      <c r="BE80" s="93">
        <f>IF(AND($T80=1,BE$5&lt;=$H80),INDEX(Mortality!$B$4:$E$64,MATCH($D80+BE$5-1,Mortality!$A$4:$A$64,0),$U80)*$V80*$N80,0)</f>
        <v>6.5787143529132705E-4</v>
      </c>
      <c r="BF80" s="93">
        <f>IF(AND($T80=1,BF$5&lt;=$H80),INDEX(Mortality!$B$4:$E$64,MATCH($D80+BF$5-1,Mortality!$A$4:$A$64,0),$U80)*$V80*$N80,0)</f>
        <v>7.1266361804385805E-4</v>
      </c>
      <c r="BG80" s="93">
        <f>IF(AND($T80=1,BG$5&lt;=$H80),INDEX(Mortality!$B$4:$E$64,MATCH($D80+BG$5-1,Mortality!$A$4:$A$64,0),$U80)*$V80*$N80,0)</f>
        <v>7.7201928102935699E-4</v>
      </c>
      <c r="BH80" s="93">
        <f>IF(AND($T80=1,BH$5&lt;=$H80),INDEX(Mortality!$B$4:$E$64,MATCH($D80+BH$5-1,Mortality!$A$4:$A$64,0),$U80)*$V80*$N80,0)</f>
        <v>8.3631850313482196E-4</v>
      </c>
      <c r="BI80" s="93">
        <f>IF(AND($T80=1,BI$5&lt;=$H80),INDEX(Mortality!$B$4:$E$64,MATCH($D80+BI$5-1,Mortality!$A$4:$A$64,0),$U80)*$V80*$N80,0)</f>
        <v>9.0597301890323197E-4</v>
      </c>
      <c r="BJ80" s="93">
        <f>IF(AND($T80=1,BJ$5&lt;=$H80),INDEX(Mortality!$B$4:$E$64,MATCH($D80+BJ$5-1,Mortality!$A$4:$A$64,0),$U80)*$V80*$N80,0)</f>
        <v>0</v>
      </c>
      <c r="BK80" s="93">
        <f>IF(AND($T80=1,BK$5&lt;=$H80),INDEX(Mortality!$B$4:$E$64,MATCH($D80+BK$5-1,Mortality!$A$4:$A$64,0),$U80)*$V80*$N80,0)</f>
        <v>0</v>
      </c>
      <c r="BL80" s="93">
        <f>IF(AND($T80=1,BL$5&lt;=$H80),INDEX(Mortality!$B$4:$E$64,MATCH($D80+BL$5-1,Mortality!$A$4:$A$64,0),$U80)*$V80*$N80,0)</f>
        <v>0</v>
      </c>
      <c r="BM80" s="93">
        <f>IF(AND($T80=1,BM$5&lt;=$H80),INDEX(Mortality!$B$4:$E$64,MATCH($D80+BM$5-1,Mortality!$A$4:$A$64,0),$U80)*$V80*$N80,0)</f>
        <v>0</v>
      </c>
      <c r="BN80" s="93">
        <f>IF(AND($T80=1,BN$5&lt;=$H80),INDEX(Mortality!$B$4:$E$64,MATCH($D80+BN$5-1,Mortality!$A$4:$A$64,0),$U80)*$V80*$N80,0)</f>
        <v>0</v>
      </c>
      <c r="BO80" s="93">
        <f>IF(AND($T80=1,BO$5&lt;=$H80),INDEX(Mortality!$B$4:$E$64,MATCH($D80+BO$5-1,Mortality!$A$4:$A$64,0),$U80)*$V80*$N80,0)</f>
        <v>0</v>
      </c>
      <c r="BP80" s="93">
        <f>IF(AND($T80=1,BP$5&lt;=$H80),INDEX(Mortality!$B$4:$E$64,MATCH($D80+BP$5-1,Mortality!$A$4:$A$64,0),$U80)*$V80*$N80,0)</f>
        <v>0</v>
      </c>
      <c r="BQ80" s="93">
        <f>IF(AND($T80=1,BQ$5&lt;=$H80),INDEX(Mortality!$B$4:$E$64,MATCH($D80+BQ$5-1,Mortality!$A$4:$A$64,0),$U80)*$V80*$N80,0)</f>
        <v>0</v>
      </c>
      <c r="BR80" s="93">
        <f>IF(AND($T80=1,BR$5&lt;=$H80),INDEX(Mortality!$B$4:$E$64,MATCH($D80+BR$5-1,Mortality!$A$4:$A$64,0),$U80)*$V80*$N80,0)</f>
        <v>0</v>
      </c>
      <c r="BS80" s="93">
        <f>IF(AND($T80=1,BS$5&lt;=$H80),INDEX(Mortality!$B$4:$E$64,MATCH($D80+BS$5-1,Mortality!$A$4:$A$64,0),$U80)*$V80*$N80,0)</f>
        <v>0</v>
      </c>
      <c r="BT80" s="93">
        <f>IF(AND($T80=1,BT$5&lt;=$H80),INDEX(Mortality!$B$4:$E$64,MATCH($D80+BT$5-1,Mortality!$A$4:$A$64,0),$U80)*$V80*$N80,0)</f>
        <v>0</v>
      </c>
      <c r="BU80" s="93">
        <f>IF(AND($T80=1,BU$5&lt;=$H80),INDEX(Mortality!$B$4:$E$64,MATCH($D80+BU$5-1,Mortality!$A$4:$A$64,0),$U80)*$V80*$N80,0)</f>
        <v>0</v>
      </c>
      <c r="BV80" s="93">
        <f>IF(AND($T80=1,BV$5&lt;=$H80),INDEX(Mortality!$B$4:$E$64,MATCH($D80+BV$5-1,Mortality!$A$4:$A$64,0),$U80)*$V80*$N80,0)</f>
        <v>0</v>
      </c>
      <c r="BW80" s="93">
        <f>IF(AND($T80=1,BW$5&lt;=$H80),INDEX(Mortality!$B$4:$E$64,MATCH($D80+BW$5-1,Mortality!$A$4:$A$64,0),$U80)*$V80*$N80,0)</f>
        <v>0</v>
      </c>
      <c r="BX80" s="93">
        <f>IF(AND($T80=1,BX$5&lt;=$H80),INDEX(Mortality!$B$4:$E$64,MATCH($D80+BX$5-1,Mortality!$A$4:$A$64,0),$U80)*$V80*$N80,0)</f>
        <v>0</v>
      </c>
      <c r="BY80" s="93">
        <f>IF(AND($T80=1,BY$5&lt;=$H80),INDEX(Mortality!$B$4:$E$64,MATCH($D80+BY$5-1,Mortality!$A$4:$A$64,0),$U80)*$V80*$N80,0)</f>
        <v>0</v>
      </c>
      <c r="BZ80" s="93">
        <f>IF(AND($T80=1,BZ$5&lt;=$H80),INDEX(Mortality!$B$4:$E$64,MATCH($D80+BZ$5-1,Mortality!$A$4:$A$64,0),$U80)*$V80*$N80,0)</f>
        <v>0</v>
      </c>
      <c r="CA80" s="93">
        <f>IF(AND($T80=1,CA$5&lt;=$H80),INDEX(Mortality!$B$4:$E$64,MATCH($D80+CA$5-1,Mortality!$A$4:$A$64,0),$U80)*$V80*$N80,0)</f>
        <v>0</v>
      </c>
      <c r="CB80" s="93">
        <f>IF(AND($T80=1,CB$5&lt;=$H80),INDEX(Mortality!$B$4:$E$64,MATCH($D80+CB$5-1,Mortality!$A$4:$A$64,0),$U80)*$V80*$N80,0)</f>
        <v>0</v>
      </c>
      <c r="CC80" s="93">
        <f>IF(AND($T80=1,CC$5&lt;=$H80),INDEX(Mortality!$B$4:$E$64,MATCH($D80+CC$5-1,Mortality!$A$4:$A$64,0),$U80)*$V80*$N80,0)</f>
        <v>0</v>
      </c>
      <c r="CD80" s="93">
        <f>IF(AND($T80=1,CD$5&lt;=$H80),INDEX(Mortality!$B$4:$E$64,MATCH($D80+CD$5-1,Mortality!$A$4:$A$64,0),$U80)*$V80*$N80,0)</f>
        <v>0</v>
      </c>
      <c r="CE80" s="93">
        <f>IF(AND($T80=1,CE$5&lt;=$H80),INDEX(Mortality!$B$4:$E$64,MATCH($D80+CE$5-1,Mortality!$A$4:$A$64,0),$U80)*$V80*$N80,0)</f>
        <v>0</v>
      </c>
      <c r="CF80" s="93">
        <f>IF(AND($T80=1,CF$5&lt;=$H80),INDEX(Mortality!$B$4:$E$64,MATCH($D80+CF$5-1,Mortality!$A$4:$A$64,0),$U80)*$V80*$N80,0)</f>
        <v>0</v>
      </c>
      <c r="CG80" s="93">
        <f>IF(AND($T80=1,CG$5&lt;=$H80),INDEX(Mortality!$B$4:$E$64,MATCH($D80+CG$5-1,Mortality!$A$4:$A$64,0),$U80)*$V80*$N80,0)</f>
        <v>0</v>
      </c>
      <c r="CH80" s="94">
        <f>IF(AND($T80=1,CH$5&lt;=$H80),INDEX(Mortality!$B$4:$E$64,MATCH($D80+CH$5-1,Mortality!$A$4:$A$64,0),$U80)*$V80*$N80,0)</f>
        <v>0</v>
      </c>
      <c r="CI80" s="26"/>
      <c r="CJ80" s="419">
        <f t="shared" si="35"/>
        <v>1</v>
      </c>
      <c r="CK80" s="93">
        <f>IF(AND($T80=1,CK$5&lt;=$H80),CJ80*(1-AU80)*(1-MIN(1,MAX(Assumptions!$C$27,Assumptions!$C$13*Assumptions!$C$28^(CJ$5-1))*$O80)),0)</f>
        <v>0.87973987139232324</v>
      </c>
      <c r="CL80" s="93">
        <f>IF(AND($T80=1,CL$5&lt;=$H80),CK80*(1-AV80)*(1-MIN(1,MAX(Assumptions!$C$27,Assumptions!$C$13*Assumptions!$C$28^(CK$5-1))*$O80)),0)</f>
        <v>0.78975342833929629</v>
      </c>
      <c r="CM80" s="93">
        <f>IF(AND($T80=1,CM$5&lt;=$H80),CL80*(1-AW80)*(1-MIN(1,MAX(Assumptions!$C$27,Assumptions!$C$13*Assumptions!$C$28^(CL$5-1))*$O80)),0)</f>
        <v>0.72103160020660795</v>
      </c>
      <c r="CN80" s="93">
        <f>IF(AND($T80=1,CN$5&lt;=$H80),CM80*(1-AX80)*(1-MIN(1,MAX(Assumptions!$C$27,Assumptions!$C$13*Assumptions!$C$28^(CM$5-1))*$O80)),0)</f>
        <v>0.66764419335958025</v>
      </c>
      <c r="CO80" s="93">
        <f>IF(AND($T80=1,CO$5&lt;=$H80),CN80*(1-AY80)*(1-MIN(1,MAX(Assumptions!$C$27,Assumptions!$C$13*Assumptions!$C$28^(CN$5-1))*$O80)),0)</f>
        <v>0.62556770059848366</v>
      </c>
      <c r="CP80" s="93">
        <f>IF(AND($T80=1,CP$5&lt;=$H80),CO80*(1-AZ80)*(1-MIN(1,MAX(Assumptions!$C$27,Assumptions!$C$13*Assumptions!$C$28^(CO$5-1))*$O80)),0)</f>
        <v>0.59199839790862741</v>
      </c>
      <c r="CQ80" s="93">
        <f>IF(AND($T80=1,CQ$5&lt;=$H80),CP80*(1-BA80)*(1-MIN(1,MAX(Assumptions!$C$27,Assumptions!$C$13*Assumptions!$C$28^(CP$5-1))*$O80)),0)</f>
        <v>0.56493576284687319</v>
      </c>
      <c r="CR80" s="93">
        <f>IF(AND($T80=1,CR$5&lt;=$H80),CQ80*(1-BB80)*(1-MIN(1,MAX(Assumptions!$C$27,Assumptions!$C$13*Assumptions!$C$28^(CQ$5-1))*$O80)),0)</f>
        <v>0.54292199980845746</v>
      </c>
      <c r="CS80" s="93">
        <f>IF(AND($T80=1,CS$5&lt;=$H80),CR80*(1-BC80)*(1-MIN(1,MAX(Assumptions!$C$27,Assumptions!$C$13*Assumptions!$C$28^(CR$5-1))*$O80)),0)</f>
        <v>0.52487465737975125</v>
      </c>
      <c r="CT80" s="93">
        <f>IF(AND($T80=1,CT$5&lt;=$H80),CS80*(1-BD80)*(1-MIN(1,MAX(Assumptions!$C$27,Assumptions!$C$13*Assumptions!$C$28^(CS$5-1))*$O80)),0)</f>
        <v>0.50997638083268026</v>
      </c>
      <c r="CU80" s="93">
        <f>IF(AND($T80=1,CU$5&lt;=$H80),CT80*(1-BE80)*(1-MIN(1,MAX(Assumptions!$C$27,Assumptions!$C$13*Assumptions!$C$28^(CT$5-1))*$O80)),0)</f>
        <v>0.49760065253192531</v>
      </c>
      <c r="CV80" s="93">
        <f>IF(AND($T80=1,CV$5&lt;=$H80),CU80*(1-BF80)*(1-MIN(1,MAX(Assumptions!$C$27,Assumptions!$C$13*Assumptions!$C$28^(CU$5-1))*$O80)),0)</f>
        <v>0.48726073900884909</v>
      </c>
      <c r="CW80" s="93">
        <f>IF(AND($T80=1,CW$5&lt;=$H80),CV80*(1-BG80)*(1-MIN(1,MAX(Assumptions!$C$27,Assumptions!$C$13*Assumptions!$C$28^(CV$5-1))*$O80)),0)</f>
        <v>0.47714687303697678</v>
      </c>
      <c r="CX80" s="93">
        <f>IF(AND($T80=1,CX$5&lt;=$H80),CW80*(1-BH80)*(1-MIN(1,MAX(Assumptions!$C$27,Assumptions!$C$13*Assumptions!$C$28^(CW$5-1))*$O80)),0)</f>
        <v>0.46721286975277621</v>
      </c>
      <c r="CY80" s="93">
        <f>IF(AND($T80=1,CY$5&lt;=$H80),CX80*(1-BI80)*(1-MIN(1,MAX(Assumptions!$C$27,Assumptions!$C$13*Assumptions!$C$28^(CX$5-1))*$O80)),0)</f>
        <v>0</v>
      </c>
      <c r="CZ80" s="93">
        <f>IF(AND($T80=1,CZ$5&lt;=$H80),CY80*(1-BJ80)*(1-MIN(1,MAX(Assumptions!$C$27,Assumptions!$C$13*Assumptions!$C$28^(CY$5-1))*$O80)),0)</f>
        <v>0</v>
      </c>
      <c r="DA80" s="93">
        <f>IF(AND($T80=1,DA$5&lt;=$H80),CZ80*(1-BK80)*(1-MIN(1,MAX(Assumptions!$C$27,Assumptions!$C$13*Assumptions!$C$28^(CZ$5-1))*$O80)),0)</f>
        <v>0</v>
      </c>
      <c r="DB80" s="93">
        <f>IF(AND($T80=1,DB$5&lt;=$H80),DA80*(1-BL80)*(1-MIN(1,MAX(Assumptions!$C$27,Assumptions!$C$13*Assumptions!$C$28^(DA$5-1))*$O80)),0)</f>
        <v>0</v>
      </c>
      <c r="DC80" s="93">
        <f>IF(AND($T80=1,DC$5&lt;=$H80),DB80*(1-BM80)*(1-MIN(1,MAX(Assumptions!$C$27,Assumptions!$C$13*Assumptions!$C$28^(DB$5-1))*$O80)),0)</f>
        <v>0</v>
      </c>
      <c r="DD80" s="93">
        <f>IF(AND($T80=1,DD$5&lt;=$H80),DC80*(1-BN80)*(1-MIN(1,MAX(Assumptions!$C$27,Assumptions!$C$13*Assumptions!$C$28^(DC$5-1))*$O80)),0)</f>
        <v>0</v>
      </c>
      <c r="DE80" s="93">
        <f>IF(AND($T80=1,DE$5&lt;=$H80),DD80*(1-BO80)*(1-MIN(1,MAX(Assumptions!$C$27,Assumptions!$C$13*Assumptions!$C$28^(DD$5-1))*$O80)),0)</f>
        <v>0</v>
      </c>
      <c r="DF80" s="93">
        <f>IF(AND($T80=1,DF$5&lt;=$H80),DE80*(1-BP80)*(1-MIN(1,MAX(Assumptions!$C$27,Assumptions!$C$13*Assumptions!$C$28^(DE$5-1))*$O80)),0)</f>
        <v>0</v>
      </c>
      <c r="DG80" s="93">
        <f>IF(AND($T80=1,DG$5&lt;=$H80),DF80*(1-BQ80)*(1-MIN(1,MAX(Assumptions!$C$27,Assumptions!$C$13*Assumptions!$C$28^(DF$5-1))*$O80)),0)</f>
        <v>0</v>
      </c>
      <c r="DH80" s="93">
        <f>IF(AND($T80=1,DH$5&lt;=$H80),DG80*(1-BR80)*(1-MIN(1,MAX(Assumptions!$C$27,Assumptions!$C$13*Assumptions!$C$28^(DG$5-1))*$O80)),0)</f>
        <v>0</v>
      </c>
      <c r="DI80" s="93">
        <f>IF(AND($T80=1,DI$5&lt;=$H80),DH80*(1-BS80)*(1-MIN(1,MAX(Assumptions!$C$27,Assumptions!$C$13*Assumptions!$C$28^(DH$5-1))*$O80)),0)</f>
        <v>0</v>
      </c>
      <c r="DJ80" s="93">
        <f>IF(AND($T80=1,DJ$5&lt;=$H80),DI80*(1-BT80)*(1-MIN(1,MAX(Assumptions!$C$27,Assumptions!$C$13*Assumptions!$C$28^(DI$5-1))*$O80)),0)</f>
        <v>0</v>
      </c>
      <c r="DK80" s="93">
        <f>IF(AND($T80=1,DK$5&lt;=$H80),DJ80*(1-BU80)*(1-MIN(1,MAX(Assumptions!$C$27,Assumptions!$C$13*Assumptions!$C$28^(DJ$5-1))*$O80)),0)</f>
        <v>0</v>
      </c>
      <c r="DL80" s="93">
        <f>IF(AND($T80=1,DL$5&lt;=$H80),DK80*(1-BV80)*(1-MIN(1,MAX(Assumptions!$C$27,Assumptions!$C$13*Assumptions!$C$28^(DK$5-1))*$O80)),0)</f>
        <v>0</v>
      </c>
      <c r="DM80" s="93">
        <f>IF(AND($T80=1,DM$5&lt;=$H80),DL80*(1-BW80)*(1-MIN(1,MAX(Assumptions!$C$27,Assumptions!$C$13*Assumptions!$C$28^(DL$5-1))*$O80)),0)</f>
        <v>0</v>
      </c>
      <c r="DN80" s="93">
        <f>IF(AND($T80=1,DN$5&lt;=$H80),DM80*(1-BX80)*(1-MIN(1,MAX(Assumptions!$C$27,Assumptions!$C$13*Assumptions!$C$28^(DM$5-1))*$O80)),0)</f>
        <v>0</v>
      </c>
      <c r="DO80" s="93">
        <f>IF(AND($T80=1,DO$5&lt;=$H80),DN80*(1-BY80)*(1-MIN(1,MAX(Assumptions!$C$27,Assumptions!$C$13*Assumptions!$C$28^(DN$5-1))*$O80)),0)</f>
        <v>0</v>
      </c>
      <c r="DP80" s="93">
        <f>IF(AND($T80=1,DP$5&lt;=$H80),DO80*(1-BZ80)*(1-MIN(1,MAX(Assumptions!$C$27,Assumptions!$C$13*Assumptions!$C$28^(DO$5-1))*$O80)),0)</f>
        <v>0</v>
      </c>
      <c r="DQ80" s="93">
        <f>IF(AND($T80=1,DQ$5&lt;=$H80),DP80*(1-CA80)*(1-MIN(1,MAX(Assumptions!$C$27,Assumptions!$C$13*Assumptions!$C$28^(DP$5-1))*$O80)),0)</f>
        <v>0</v>
      </c>
      <c r="DR80" s="93">
        <f>IF(AND($T80=1,DR$5&lt;=$H80),DQ80*(1-CB80)*(1-MIN(1,MAX(Assumptions!$C$27,Assumptions!$C$13*Assumptions!$C$28^(DQ$5-1))*$O80)),0)</f>
        <v>0</v>
      </c>
      <c r="DS80" s="93">
        <f>IF(AND($T80=1,DS$5&lt;=$H80),DR80*(1-CC80)*(1-MIN(1,MAX(Assumptions!$C$27,Assumptions!$C$13*Assumptions!$C$28^(DR$5-1))*$O80)),0)</f>
        <v>0</v>
      </c>
      <c r="DT80" s="93">
        <f>IF(AND($T80=1,DT$5&lt;=$H80),DS80*(1-CD80)*(1-MIN(1,MAX(Assumptions!$C$27,Assumptions!$C$13*Assumptions!$C$28^(DS$5-1))*$O80)),0)</f>
        <v>0</v>
      </c>
      <c r="DU80" s="93">
        <f>IF(AND($T80=1,DU$5&lt;=$H80),DT80*(1-CE80)*(1-MIN(1,MAX(Assumptions!$C$27,Assumptions!$C$13*Assumptions!$C$28^(DT$5-1))*$O80)),0)</f>
        <v>0</v>
      </c>
      <c r="DV80" s="93">
        <f>IF(AND($T80=1,DV$5&lt;=$H80),DU80*(1-CF80)*(1-MIN(1,MAX(Assumptions!$C$27,Assumptions!$C$13*Assumptions!$C$28^(DU$5-1))*$O80)),0)</f>
        <v>0</v>
      </c>
      <c r="DW80" s="94">
        <f>IF(AND($T80=1,DW$5&lt;=$H80),DV80*(1-CG80)*(1-MIN(1,MAX(Assumptions!$C$27,Assumptions!$C$13*Assumptions!$C$28^(DV$5-1))*$O80)),0)</f>
        <v>0</v>
      </c>
      <c r="DX80" s="26"/>
      <c r="DY80" s="399">
        <f>'Policy Data'!K54</f>
        <v>6</v>
      </c>
      <c r="DZ80" s="100">
        <f>'Policy Data'!L54</f>
        <v>0.64019999999999999</v>
      </c>
      <c r="EA80" s="100">
        <f>'Policy Data'!N54</f>
        <v>1.8900000000000001E-4</v>
      </c>
      <c r="EB80" s="93" cm="1">
        <f t="array" ref="EB80">IFERROR(DZ80*INDEX(Mortality!$B$4:$E$64,MATCH(D80+DY80-1,Mortality!$A$4:$A$64,0),U80)*V80,0)</f>
        <v>2.8231821978776697E-4</v>
      </c>
      <c r="EC80" s="100">
        <f>'Policy Data'!O54</f>
        <v>0</v>
      </c>
      <c r="ED80" s="400">
        <f>'Policy Data'!Q54</f>
        <v>0</v>
      </c>
    </row>
    <row r="81" spans="1:134" x14ac:dyDescent="0.3">
      <c r="A81" s="399" t="str">
        <f>'Policy Data'!A55</f>
        <v>POL100051</v>
      </c>
      <c r="B81" s="26" t="s">
        <v>426</v>
      </c>
      <c r="C81" s="100" t="str">
        <f>'Policy Data'!B55</f>
        <v>Term Life</v>
      </c>
      <c r="D81" s="100">
        <f>'Policy Data'!C55</f>
        <v>48</v>
      </c>
      <c r="E81" s="100" t="str">
        <f>'Policy Data'!D55</f>
        <v>Male</v>
      </c>
      <c r="F81" s="100" t="str">
        <f>'Policy Data'!E55</f>
        <v>Smoker</v>
      </c>
      <c r="G81" s="100" t="str">
        <f>'Policy Data'!F55</f>
        <v>Rated</v>
      </c>
      <c r="H81" s="100">
        <f>'Policy Data'!G55</f>
        <v>15</v>
      </c>
      <c r="I81" s="279">
        <f>'Policy Data'!H55</f>
        <v>1000000</v>
      </c>
      <c r="J81" s="100" t="str">
        <f>'Policy Data'!I55</f>
        <v>Monthly</v>
      </c>
      <c r="K81" s="100" t="str">
        <f>'Policy Data'!J55</f>
        <v>Bancassurance</v>
      </c>
      <c r="L81" s="26" t="s">
        <v>389</v>
      </c>
      <c r="M81" s="106">
        <f>'Policy Data'!R55</f>
        <v>7621.62</v>
      </c>
      <c r="N81" s="415">
        <f>Assumptions!$C$21</f>
        <v>1</v>
      </c>
      <c r="O81" s="415">
        <f>Assumptions!$C$22</f>
        <v>1</v>
      </c>
      <c r="P81" s="415">
        <f>Assumptions!$C$23</f>
        <v>1</v>
      </c>
      <c r="Q81" s="416">
        <f>Assumptions!$C$24</f>
        <v>0</v>
      </c>
      <c r="R81" s="416">
        <f>Assumptions!$C$6+Assumptions!$C$25</f>
        <v>3.5000000000000003E-2</v>
      </c>
      <c r="S81" s="416">
        <f>Assumptions!$C$15</f>
        <v>1.1000000000000001E-3</v>
      </c>
      <c r="T81" s="26">
        <f t="shared" si="18"/>
        <v>1</v>
      </c>
      <c r="U81" s="26">
        <f t="shared" si="19"/>
        <v>4</v>
      </c>
      <c r="V81" s="389">
        <f>IF($G81="Preferred",Assumptions!$C$30,IF($G81="Rated",Assumptions!$C$31,1))</f>
        <v>1.55</v>
      </c>
      <c r="W81" s="390">
        <f>IF($K81="Direct",Assumptions!$C$32,IF($K81="Broker",Assumptions!$C$33,IF($K81="Bancassurance",Assumptions!$C$34,Assumptions!$C$11)))+$Q81</f>
        <v>0.2</v>
      </c>
      <c r="X81" s="390">
        <f>Assumptions!$C$12+$Q81</f>
        <v>0.05</v>
      </c>
      <c r="Y81" s="131">
        <f>MIN($I81,Assumptions!$C$14)</f>
        <v>500000</v>
      </c>
      <c r="Z81" s="131">
        <f>MAX($I81-Assumptions!$C$14,0)</f>
        <v>500000</v>
      </c>
      <c r="AA81" s="389">
        <f t="shared" si="20"/>
        <v>7.1393123938642233</v>
      </c>
      <c r="AB81" s="389">
        <f t="shared" si="21"/>
        <v>6.4191656527394891E-2</v>
      </c>
      <c r="AC81" s="389">
        <f>IF($T81=1,SUMPRODUCT($CJ81:$DW81,(1+Assumptions!$C$5)^($CJ$5:$DW$5-1),(1+$R81)^(-$CJ$5:$DW$5)),0)</f>
        <v>8.8801663741129939</v>
      </c>
      <c r="AD81" s="389">
        <f t="shared" si="22"/>
        <v>0.5018931559250952</v>
      </c>
      <c r="AE81" s="131">
        <f>IF($T81=1,$AB81*$Y81+(Assumptions!$C$9/(1+$R81)+Assumptions!$C$10*$AC81)*$P81+$S81*$Z81*$AA81,0)</f>
        <v>38845.651900018936</v>
      </c>
      <c r="AF81" s="131">
        <f>IF($T81=1,IF($AA81-$AD81-Assumptions!$C$16*$AA81&gt;0,$AE81/($AA81-$AD81-Assumptions!$C$16*$AA81)*IF($J81="Monthly",1+Assumptions!$C$29,1),"n.a."),"")</f>
        <v>6595.6499544289545</v>
      </c>
      <c r="AG81" s="131">
        <f t="shared" si="23"/>
        <v>7621.62</v>
      </c>
      <c r="AH81" s="131">
        <f t="shared" si="24"/>
        <v>54413.126127323441</v>
      </c>
      <c r="AI81" s="131">
        <f t="shared" si="25"/>
        <v>11742.235312242679</v>
      </c>
      <c r="AJ81" s="390">
        <f t="shared" si="26"/>
        <v>0.21579784415926692</v>
      </c>
      <c r="AK81" s="389">
        <f t="shared" si="27"/>
        <v>1.1555525312379731</v>
      </c>
      <c r="AL81" s="131">
        <f t="shared" si="28"/>
        <v>32095.828263697447</v>
      </c>
      <c r="AM81" s="131">
        <f t="shared" si="29"/>
        <v>3926.6218166253229</v>
      </c>
      <c r="AN81" s="131">
        <f t="shared" si="30"/>
        <v>28169.206447072123</v>
      </c>
      <c r="AO81" s="131">
        <f t="shared" si="31"/>
        <v>-16426.971134829444</v>
      </c>
      <c r="AP81" s="26" t="str">
        <f t="shared" si="32"/>
        <v>40-49</v>
      </c>
      <c r="AQ81" s="26" t="str">
        <f t="shared" si="33"/>
        <v>500k-1m</v>
      </c>
      <c r="AR81" s="26" t="str">
        <f>IF($T81=1,IF($AI81&lt;0,"Loss-making",IF($AJ81&lt;Assumptions!$C$16-0.00001,"Below target","At/above target")),"Excluded")</f>
        <v>At/above target</v>
      </c>
      <c r="AS81" s="103">
        <f t="shared" si="34"/>
        <v>11742.235393242679</v>
      </c>
      <c r="AT81" s="26"/>
      <c r="AU81" s="419">
        <f>IF(AND($T81=1,AU$5&lt;=$H81),INDEX(Mortality!$B$4:$E$64,MATCH($D81+AU$5-1,Mortality!$A$4:$A$64,0),$U81)*$V81*$N81,0)</f>
        <v>5.5861172931437912E-3</v>
      </c>
      <c r="AV81" s="93">
        <f>IF(AND($T81=1,AV$5&lt;=$H81),INDEX(Mortality!$B$4:$E$64,MATCH($D81+AV$5-1,Mortality!$A$4:$A$64,0),$U81)*$V81*$N81,0)</f>
        <v>6.051368622178116E-3</v>
      </c>
      <c r="AW81" s="93">
        <f>IF(AND($T81=1,AW$5&lt;=$H81),INDEX(Mortality!$B$4:$E$64,MATCH($D81+AW$5-1,Mortality!$A$4:$A$64,0),$U81)*$V81*$N81,0)</f>
        <v>6.5553693701395892E-3</v>
      </c>
      <c r="AX81" s="93">
        <f>IF(AND($T81=1,AX$5&lt;=$H81),INDEX(Mortality!$B$4:$E$64,MATCH($D81+AX$5-1,Mortality!$A$4:$A$64,0),$U81)*$V81*$N81,0)</f>
        <v>7.10134686250476E-3</v>
      </c>
      <c r="AY81" s="93">
        <f>IF(AND($T81=1,AY$5&lt;=$H81),INDEX(Mortality!$B$4:$E$64,MATCH($D81+AY$5-1,Mortality!$A$4:$A$64,0),$U81)*$V81*$N81,0)</f>
        <v>7.6927972192255408E-3</v>
      </c>
      <c r="AZ81" s="93">
        <f>IF(AND($T81=1,AZ$5&lt;=$H81),INDEX(Mortality!$B$4:$E$64,MATCH($D81+AZ$5-1,Mortality!$A$4:$A$64,0),$U81)*$V81*$N81,0)</f>
        <v>8.3335077418329167E-3</v>
      </c>
      <c r="BA81" s="93">
        <f>IF(AND($T81=1,BA$5&lt;=$H81),INDEX(Mortality!$B$4:$E$64,MATCH($D81+BA$5-1,Mortality!$A$4:$A$64,0),$U81)*$V81*$N81,0)</f>
        <v>9.0275811650967434E-3</v>
      </c>
      <c r="BB81" s="93">
        <f>IF(AND($T81=1,BB$5&lt;=$H81),INDEX(Mortality!$B$4:$E$64,MATCH($D81+BB$5-1,Mortality!$A$4:$A$64,0),$U81)*$V81*$N81,0)</f>
        <v>9.7794619285353369E-3</v>
      </c>
      <c r="BC81" s="93">
        <f>IF(AND($T81=1,BC$5&lt;=$H81),INDEX(Mortality!$B$4:$E$64,MATCH($D81+BC$5-1,Mortality!$A$4:$A$64,0),$U81)*$V81*$N81,0)</f>
        <v>1.0593964636001939E-2</v>
      </c>
      <c r="BD81" s="93">
        <f>IF(AND($T81=1,BD$5&lt;=$H81),INDEX(Mortality!$B$4:$E$64,MATCH($D81+BD$5-1,Mortality!$A$4:$A$64,0),$U81)*$V81*$N81,0)</f>
        <v>1.1476304885586744E-2</v>
      </c>
      <c r="BE81" s="93">
        <f>IF(AND($T81=1,BE$5&lt;=$H81),INDEX(Mortality!$B$4:$E$64,MATCH($D81+BE$5-1,Mortality!$A$4:$A$64,0),$U81)*$V81*$N81,0)</f>
        <v>1.2432132667251074E-2</v>
      </c>
      <c r="BF81" s="93">
        <f>IF(AND($T81=1,BF$5&lt;=$H81),INDEX(Mortality!$B$4:$E$64,MATCH($D81+BF$5-1,Mortality!$A$4:$A$64,0),$U81)*$V81*$N81,0)</f>
        <v>1.3467568542052475E-2</v>
      </c>
      <c r="BG81" s="93">
        <f>IF(AND($T81=1,BG$5&lt;=$H81),INDEX(Mortality!$B$4:$E$64,MATCH($D81+BG$5-1,Mortality!$A$4:$A$64,0),$U81)*$V81*$N81,0)</f>
        <v>1.4589242834631543E-2</v>
      </c>
      <c r="BH81" s="93">
        <f>IF(AND($T81=1,BH$5&lt;=$H81),INDEX(Mortality!$B$4:$E$64,MATCH($D81+BH$5-1,Mortality!$A$4:$A$64,0),$U81)*$V81*$N81,0)</f>
        <v>1.5804338089925894E-2</v>
      </c>
      <c r="BI81" s="93">
        <f>IF(AND($T81=1,BI$5&lt;=$H81),INDEX(Mortality!$B$4:$E$64,MATCH($D81+BI$5-1,Mortality!$A$4:$A$64,0),$U81)*$V81*$N81,0)</f>
        <v>1.7120635065979418E-2</v>
      </c>
      <c r="BJ81" s="93">
        <f>IF(AND($T81=1,BJ$5&lt;=$H81),INDEX(Mortality!$B$4:$E$64,MATCH($D81+BJ$5-1,Mortality!$A$4:$A$64,0),$U81)*$V81*$N81,0)</f>
        <v>0</v>
      </c>
      <c r="BK81" s="93">
        <f>IF(AND($T81=1,BK$5&lt;=$H81),INDEX(Mortality!$B$4:$E$64,MATCH($D81+BK$5-1,Mortality!$A$4:$A$64,0),$U81)*$V81*$N81,0)</f>
        <v>0</v>
      </c>
      <c r="BL81" s="93">
        <f>IF(AND($T81=1,BL$5&lt;=$H81),INDEX(Mortality!$B$4:$E$64,MATCH($D81+BL$5-1,Mortality!$A$4:$A$64,0),$U81)*$V81*$N81,0)</f>
        <v>0</v>
      </c>
      <c r="BM81" s="93">
        <f>IF(AND($T81=1,BM$5&lt;=$H81),INDEX(Mortality!$B$4:$E$64,MATCH($D81+BM$5-1,Mortality!$A$4:$A$64,0),$U81)*$V81*$N81,0)</f>
        <v>0</v>
      </c>
      <c r="BN81" s="93">
        <f>IF(AND($T81=1,BN$5&lt;=$H81),INDEX(Mortality!$B$4:$E$64,MATCH($D81+BN$5-1,Mortality!$A$4:$A$64,0),$U81)*$V81*$N81,0)</f>
        <v>0</v>
      </c>
      <c r="BO81" s="93">
        <f>IF(AND($T81=1,BO$5&lt;=$H81),INDEX(Mortality!$B$4:$E$64,MATCH($D81+BO$5-1,Mortality!$A$4:$A$64,0),$U81)*$V81*$N81,0)</f>
        <v>0</v>
      </c>
      <c r="BP81" s="93">
        <f>IF(AND($T81=1,BP$5&lt;=$H81),INDEX(Mortality!$B$4:$E$64,MATCH($D81+BP$5-1,Mortality!$A$4:$A$64,0),$U81)*$V81*$N81,0)</f>
        <v>0</v>
      </c>
      <c r="BQ81" s="93">
        <f>IF(AND($T81=1,BQ$5&lt;=$H81),INDEX(Mortality!$B$4:$E$64,MATCH($D81+BQ$5-1,Mortality!$A$4:$A$64,0),$U81)*$V81*$N81,0)</f>
        <v>0</v>
      </c>
      <c r="BR81" s="93">
        <f>IF(AND($T81=1,BR$5&lt;=$H81),INDEX(Mortality!$B$4:$E$64,MATCH($D81+BR$5-1,Mortality!$A$4:$A$64,0),$U81)*$V81*$N81,0)</f>
        <v>0</v>
      </c>
      <c r="BS81" s="93">
        <f>IF(AND($T81=1,BS$5&lt;=$H81),INDEX(Mortality!$B$4:$E$64,MATCH($D81+BS$5-1,Mortality!$A$4:$A$64,0),$U81)*$V81*$N81,0)</f>
        <v>0</v>
      </c>
      <c r="BT81" s="93">
        <f>IF(AND($T81=1,BT$5&lt;=$H81),INDEX(Mortality!$B$4:$E$64,MATCH($D81+BT$5-1,Mortality!$A$4:$A$64,0),$U81)*$V81*$N81,0)</f>
        <v>0</v>
      </c>
      <c r="BU81" s="93">
        <f>IF(AND($T81=1,BU$5&lt;=$H81),INDEX(Mortality!$B$4:$E$64,MATCH($D81+BU$5-1,Mortality!$A$4:$A$64,0),$U81)*$V81*$N81,0)</f>
        <v>0</v>
      </c>
      <c r="BV81" s="93">
        <f>IF(AND($T81=1,BV$5&lt;=$H81),INDEX(Mortality!$B$4:$E$64,MATCH($D81+BV$5-1,Mortality!$A$4:$A$64,0),$U81)*$V81*$N81,0)</f>
        <v>0</v>
      </c>
      <c r="BW81" s="93">
        <f>IF(AND($T81=1,BW$5&lt;=$H81),INDEX(Mortality!$B$4:$E$64,MATCH($D81+BW$5-1,Mortality!$A$4:$A$64,0),$U81)*$V81*$N81,0)</f>
        <v>0</v>
      </c>
      <c r="BX81" s="93">
        <f>IF(AND($T81=1,BX$5&lt;=$H81),INDEX(Mortality!$B$4:$E$64,MATCH($D81+BX$5-1,Mortality!$A$4:$A$64,0),$U81)*$V81*$N81,0)</f>
        <v>0</v>
      </c>
      <c r="BY81" s="93">
        <f>IF(AND($T81=1,BY$5&lt;=$H81),INDEX(Mortality!$B$4:$E$64,MATCH($D81+BY$5-1,Mortality!$A$4:$A$64,0),$U81)*$V81*$N81,0)</f>
        <v>0</v>
      </c>
      <c r="BZ81" s="93">
        <f>IF(AND($T81=1,BZ$5&lt;=$H81),INDEX(Mortality!$B$4:$E$64,MATCH($D81+BZ$5-1,Mortality!$A$4:$A$64,0),$U81)*$V81*$N81,0)</f>
        <v>0</v>
      </c>
      <c r="CA81" s="93">
        <f>IF(AND($T81=1,CA$5&lt;=$H81),INDEX(Mortality!$B$4:$E$64,MATCH($D81+CA$5-1,Mortality!$A$4:$A$64,0),$U81)*$V81*$N81,0)</f>
        <v>0</v>
      </c>
      <c r="CB81" s="93">
        <f>IF(AND($T81=1,CB$5&lt;=$H81),INDEX(Mortality!$B$4:$E$64,MATCH($D81+CB$5-1,Mortality!$A$4:$A$64,0),$U81)*$V81*$N81,0)</f>
        <v>0</v>
      </c>
      <c r="CC81" s="93">
        <f>IF(AND($T81=1,CC$5&lt;=$H81),INDEX(Mortality!$B$4:$E$64,MATCH($D81+CC$5-1,Mortality!$A$4:$A$64,0),$U81)*$V81*$N81,0)</f>
        <v>0</v>
      </c>
      <c r="CD81" s="93">
        <f>IF(AND($T81=1,CD$5&lt;=$H81),INDEX(Mortality!$B$4:$E$64,MATCH($D81+CD$5-1,Mortality!$A$4:$A$64,0),$U81)*$V81*$N81,0)</f>
        <v>0</v>
      </c>
      <c r="CE81" s="93">
        <f>IF(AND($T81=1,CE$5&lt;=$H81),INDEX(Mortality!$B$4:$E$64,MATCH($D81+CE$5-1,Mortality!$A$4:$A$64,0),$U81)*$V81*$N81,0)</f>
        <v>0</v>
      </c>
      <c r="CF81" s="93">
        <f>IF(AND($T81=1,CF$5&lt;=$H81),INDEX(Mortality!$B$4:$E$64,MATCH($D81+CF$5-1,Mortality!$A$4:$A$64,0),$U81)*$V81*$N81,0)</f>
        <v>0</v>
      </c>
      <c r="CG81" s="93">
        <f>IF(AND($T81=1,CG$5&lt;=$H81),INDEX(Mortality!$B$4:$E$64,MATCH($D81+CG$5-1,Mortality!$A$4:$A$64,0),$U81)*$V81*$N81,0)</f>
        <v>0</v>
      </c>
      <c r="CH81" s="94">
        <f>IF(AND($T81=1,CH$5&lt;=$H81),INDEX(Mortality!$B$4:$E$64,MATCH($D81+CH$5-1,Mortality!$A$4:$A$64,0),$U81)*$V81*$N81,0)</f>
        <v>0</v>
      </c>
      <c r="CI81" s="26"/>
      <c r="CJ81" s="419">
        <f t="shared" si="35"/>
        <v>1</v>
      </c>
      <c r="CK81" s="93">
        <f>IF(AND($T81=1,CK$5&lt;=$H81),CJ81*(1-AU81)*(1-MIN(1,MAX(Assumptions!$C$27,Assumptions!$C$13*Assumptions!$C$28^(CJ$5-1))*$O81)),0)</f>
        <v>0.87508421678203341</v>
      </c>
      <c r="CL81" s="93">
        <f>IF(AND($T81=1,CL$5&lt;=$H81),CK81*(1-AV81)*(1-MIN(1,MAX(Assumptions!$C$27,Assumptions!$C$13*Assumptions!$C$28^(CK$5-1))*$O81)),0)</f>
        <v>0.78107030613053008</v>
      </c>
      <c r="CM81" s="93">
        <f>IF(AND($T81=1,CM$5&lt;=$H81),CL81*(1-AW81)*(1-MIN(1,MAX(Assumptions!$C$27,Assumptions!$C$13*Assumptions!$C$28^(CL$5-1))*$O81)),0)</f>
        <v>0.70867522794635518</v>
      </c>
      <c r="CN81" s="93">
        <f>IF(AND($T81=1,CN$5&lt;=$H81),CM81*(1-AX81)*(1-MIN(1,MAX(Assumptions!$C$27,Assumptions!$C$13*Assumptions!$C$28^(CM$5-1))*$O81)),0)</f>
        <v>0.6517877320858938</v>
      </c>
      <c r="CO81" s="93">
        <f>IF(AND($T81=1,CO$5&lt;=$H81),CN81*(1-AY81)*(1-MIN(1,MAX(Assumptions!$C$27,Assumptions!$C$13*Assumptions!$C$28^(CN$5-1))*$O81)),0)</f>
        <v>0.60625927401309843</v>
      </c>
      <c r="CP81" s="93">
        <f>IF(AND($T81=1,CP$5&lt;=$H81),CO81*(1-AZ81)*(1-MIN(1,MAX(Assumptions!$C$27,Assumptions!$C$13*Assumptions!$C$28^(CO$5-1))*$O81)),0)</f>
        <v>0.56919595847425974</v>
      </c>
      <c r="CQ81" s="93">
        <f>IF(AND($T81=1,CQ$5&lt;=$H81),CP81*(1-BA81)*(1-MIN(1,MAX(Assumptions!$C$27,Assumptions!$C$13*Assumptions!$C$28^(CP$5-1))*$O81)),0)</f>
        <v>0.53852941440301116</v>
      </c>
      <c r="CR81" s="93">
        <f>IF(AND($T81=1,CR$5&lt;=$H81),CQ81*(1-BB81)*(1-MIN(1,MAX(Assumptions!$C$27,Assumptions!$C$13*Assumptions!$C$28^(CQ$5-1))*$O81)),0)</f>
        <v>0.51274866288444332</v>
      </c>
      <c r="CS81" s="93">
        <f>IF(AND($T81=1,CS$5&lt;=$H81),CR81*(1-BC81)*(1-MIN(1,MAX(Assumptions!$C$27,Assumptions!$C$13*Assumptions!$C$28^(CR$5-1))*$O81)),0)</f>
        <v>0.4907279449702851</v>
      </c>
      <c r="CT81" s="93">
        <f>IF(AND($T81=1,CT$5&lt;=$H81),CS81*(1-BD81)*(1-MIN(1,MAX(Assumptions!$C$27,Assumptions!$C$13*Assumptions!$C$28^(CS$5-1))*$O81)),0)</f>
        <v>0.47161342135769668</v>
      </c>
      <c r="CU81" s="93">
        <f>IF(AND($T81=1,CU$5&lt;=$H81),CT81*(1-BE81)*(1-MIN(1,MAX(Assumptions!$C$27,Assumptions!$C$13*Assumptions!$C$28^(CT$5-1))*$O81)),0)</f>
        <v>0.45474694411725586</v>
      </c>
      <c r="CV81" s="93">
        <f>IF(AND($T81=1,CV$5&lt;=$H81),CU81*(1-BF81)*(1-MIN(1,MAX(Assumptions!$C$27,Assumptions!$C$13*Assumptions!$C$28^(CU$5-1))*$O81)),0)</f>
        <v>0.43961373297864198</v>
      </c>
      <c r="CW81" s="93">
        <f>IF(AND($T81=1,CW$5&lt;=$H81),CV81*(1-BG81)*(1-MIN(1,MAX(Assumptions!$C$27,Assumptions!$C$13*Assumptions!$C$28^(CV$5-1))*$O81)),0)</f>
        <v>0.42453609944528209</v>
      </c>
      <c r="CX81" s="93">
        <f>IF(AND($T81=1,CX$5&lt;=$H81),CW81*(1-BH81)*(1-MIN(1,MAX(Assumptions!$C$27,Assumptions!$C$13*Assumptions!$C$28^(CW$5-1))*$O81)),0)</f>
        <v>0.40947005565030503</v>
      </c>
      <c r="CY81" s="93">
        <f>IF(AND($T81=1,CY$5&lt;=$H81),CX81*(1-BI81)*(1-MIN(1,MAX(Assumptions!$C$27,Assumptions!$C$13*Assumptions!$C$28^(CX$5-1))*$O81)),0)</f>
        <v>0</v>
      </c>
      <c r="CZ81" s="93">
        <f>IF(AND($T81=1,CZ$5&lt;=$H81),CY81*(1-BJ81)*(1-MIN(1,MAX(Assumptions!$C$27,Assumptions!$C$13*Assumptions!$C$28^(CY$5-1))*$O81)),0)</f>
        <v>0</v>
      </c>
      <c r="DA81" s="93">
        <f>IF(AND($T81=1,DA$5&lt;=$H81),CZ81*(1-BK81)*(1-MIN(1,MAX(Assumptions!$C$27,Assumptions!$C$13*Assumptions!$C$28^(CZ$5-1))*$O81)),0)</f>
        <v>0</v>
      </c>
      <c r="DB81" s="93">
        <f>IF(AND($T81=1,DB$5&lt;=$H81),DA81*(1-BL81)*(1-MIN(1,MAX(Assumptions!$C$27,Assumptions!$C$13*Assumptions!$C$28^(DA$5-1))*$O81)),0)</f>
        <v>0</v>
      </c>
      <c r="DC81" s="93">
        <f>IF(AND($T81=1,DC$5&lt;=$H81),DB81*(1-BM81)*(1-MIN(1,MAX(Assumptions!$C$27,Assumptions!$C$13*Assumptions!$C$28^(DB$5-1))*$O81)),0)</f>
        <v>0</v>
      </c>
      <c r="DD81" s="93">
        <f>IF(AND($T81=1,DD$5&lt;=$H81),DC81*(1-BN81)*(1-MIN(1,MAX(Assumptions!$C$27,Assumptions!$C$13*Assumptions!$C$28^(DC$5-1))*$O81)),0)</f>
        <v>0</v>
      </c>
      <c r="DE81" s="93">
        <f>IF(AND($T81=1,DE$5&lt;=$H81),DD81*(1-BO81)*(1-MIN(1,MAX(Assumptions!$C$27,Assumptions!$C$13*Assumptions!$C$28^(DD$5-1))*$O81)),0)</f>
        <v>0</v>
      </c>
      <c r="DF81" s="93">
        <f>IF(AND($T81=1,DF$5&lt;=$H81),DE81*(1-BP81)*(1-MIN(1,MAX(Assumptions!$C$27,Assumptions!$C$13*Assumptions!$C$28^(DE$5-1))*$O81)),0)</f>
        <v>0</v>
      </c>
      <c r="DG81" s="93">
        <f>IF(AND($T81=1,DG$5&lt;=$H81),DF81*(1-BQ81)*(1-MIN(1,MAX(Assumptions!$C$27,Assumptions!$C$13*Assumptions!$C$28^(DF$5-1))*$O81)),0)</f>
        <v>0</v>
      </c>
      <c r="DH81" s="93">
        <f>IF(AND($T81=1,DH$5&lt;=$H81),DG81*(1-BR81)*(1-MIN(1,MAX(Assumptions!$C$27,Assumptions!$C$13*Assumptions!$C$28^(DG$5-1))*$O81)),0)</f>
        <v>0</v>
      </c>
      <c r="DI81" s="93">
        <f>IF(AND($T81=1,DI$5&lt;=$H81),DH81*(1-BS81)*(1-MIN(1,MAX(Assumptions!$C$27,Assumptions!$C$13*Assumptions!$C$28^(DH$5-1))*$O81)),0)</f>
        <v>0</v>
      </c>
      <c r="DJ81" s="93">
        <f>IF(AND($T81=1,DJ$5&lt;=$H81),DI81*(1-BT81)*(1-MIN(1,MAX(Assumptions!$C$27,Assumptions!$C$13*Assumptions!$C$28^(DI$5-1))*$O81)),0)</f>
        <v>0</v>
      </c>
      <c r="DK81" s="93">
        <f>IF(AND($T81=1,DK$5&lt;=$H81),DJ81*(1-BU81)*(1-MIN(1,MAX(Assumptions!$C$27,Assumptions!$C$13*Assumptions!$C$28^(DJ$5-1))*$O81)),0)</f>
        <v>0</v>
      </c>
      <c r="DL81" s="93">
        <f>IF(AND($T81=1,DL$5&lt;=$H81),DK81*(1-BV81)*(1-MIN(1,MAX(Assumptions!$C$27,Assumptions!$C$13*Assumptions!$C$28^(DK$5-1))*$O81)),0)</f>
        <v>0</v>
      </c>
      <c r="DM81" s="93">
        <f>IF(AND($T81=1,DM$5&lt;=$H81),DL81*(1-BW81)*(1-MIN(1,MAX(Assumptions!$C$27,Assumptions!$C$13*Assumptions!$C$28^(DL$5-1))*$O81)),0)</f>
        <v>0</v>
      </c>
      <c r="DN81" s="93">
        <f>IF(AND($T81=1,DN$5&lt;=$H81),DM81*(1-BX81)*(1-MIN(1,MAX(Assumptions!$C$27,Assumptions!$C$13*Assumptions!$C$28^(DM$5-1))*$O81)),0)</f>
        <v>0</v>
      </c>
      <c r="DO81" s="93">
        <f>IF(AND($T81=1,DO$5&lt;=$H81),DN81*(1-BY81)*(1-MIN(1,MAX(Assumptions!$C$27,Assumptions!$C$13*Assumptions!$C$28^(DN$5-1))*$O81)),0)</f>
        <v>0</v>
      </c>
      <c r="DP81" s="93">
        <f>IF(AND($T81=1,DP$5&lt;=$H81),DO81*(1-BZ81)*(1-MIN(1,MAX(Assumptions!$C$27,Assumptions!$C$13*Assumptions!$C$28^(DO$5-1))*$O81)),0)</f>
        <v>0</v>
      </c>
      <c r="DQ81" s="93">
        <f>IF(AND($T81=1,DQ$5&lt;=$H81),DP81*(1-CA81)*(1-MIN(1,MAX(Assumptions!$C$27,Assumptions!$C$13*Assumptions!$C$28^(DP$5-1))*$O81)),0)</f>
        <v>0</v>
      </c>
      <c r="DR81" s="93">
        <f>IF(AND($T81=1,DR$5&lt;=$H81),DQ81*(1-CB81)*(1-MIN(1,MAX(Assumptions!$C$27,Assumptions!$C$13*Assumptions!$C$28^(DQ$5-1))*$O81)),0)</f>
        <v>0</v>
      </c>
      <c r="DS81" s="93">
        <f>IF(AND($T81=1,DS$5&lt;=$H81),DR81*(1-CC81)*(1-MIN(1,MAX(Assumptions!$C$27,Assumptions!$C$13*Assumptions!$C$28^(DR$5-1))*$O81)),0)</f>
        <v>0</v>
      </c>
      <c r="DT81" s="93">
        <f>IF(AND($T81=1,DT$5&lt;=$H81),DS81*(1-CD81)*(1-MIN(1,MAX(Assumptions!$C$27,Assumptions!$C$13*Assumptions!$C$28^(DS$5-1))*$O81)),0)</f>
        <v>0</v>
      </c>
      <c r="DU81" s="93">
        <f>IF(AND($T81=1,DU$5&lt;=$H81),DT81*(1-CE81)*(1-MIN(1,MAX(Assumptions!$C$27,Assumptions!$C$13*Assumptions!$C$28^(DT$5-1))*$O81)),0)</f>
        <v>0</v>
      </c>
      <c r="DV81" s="93">
        <f>IF(AND($T81=1,DV$5&lt;=$H81),DU81*(1-CF81)*(1-MIN(1,MAX(Assumptions!$C$27,Assumptions!$C$13*Assumptions!$C$28^(DU$5-1))*$O81)),0)</f>
        <v>0</v>
      </c>
      <c r="DW81" s="94">
        <f>IF(AND($T81=1,DW$5&lt;=$H81),DV81*(1-CG81)*(1-MIN(1,MAX(Assumptions!$C$27,Assumptions!$C$13*Assumptions!$C$28^(DV$5-1))*$O81)),0)</f>
        <v>0</v>
      </c>
      <c r="DX81" s="26"/>
      <c r="DY81" s="399">
        <f>'Policy Data'!K55</f>
        <v>4</v>
      </c>
      <c r="DZ81" s="100">
        <f>'Policy Data'!L55</f>
        <v>0.72550000000000003</v>
      </c>
      <c r="EA81" s="100">
        <f>'Policy Data'!N55</f>
        <v>4.0530000000000002E-3</v>
      </c>
      <c r="EB81" s="93" cm="1">
        <f t="array" ref="EB81">IFERROR(DZ81*INDEX(Mortality!$B$4:$E$64,MATCH(D81+DY81-1,Mortality!$A$4:$A$64,0),U81)*V81,0)</f>
        <v>5.1520271487472038E-3</v>
      </c>
      <c r="EC81" s="100">
        <f>'Policy Data'!O55</f>
        <v>0</v>
      </c>
      <c r="ED81" s="400">
        <f>'Policy Data'!Q55</f>
        <v>0</v>
      </c>
    </row>
    <row r="82" spans="1:134" x14ac:dyDescent="0.3">
      <c r="A82" s="399" t="str">
        <f>'Policy Data'!A56</f>
        <v>POL100052</v>
      </c>
      <c r="B82" s="26" t="s">
        <v>426</v>
      </c>
      <c r="C82" s="100" t="str">
        <f>'Policy Data'!B56</f>
        <v>Term Life</v>
      </c>
      <c r="D82" s="100">
        <f>'Policy Data'!C56</f>
        <v>50</v>
      </c>
      <c r="E82" s="100" t="str">
        <f>'Policy Data'!D56</f>
        <v>Female</v>
      </c>
      <c r="F82" s="100" t="str">
        <f>'Policy Data'!E56</f>
        <v>Non-smoker</v>
      </c>
      <c r="G82" s="100" t="str">
        <f>'Policy Data'!F56</f>
        <v>Standard</v>
      </c>
      <c r="H82" s="100">
        <f>'Policy Data'!G56</f>
        <v>20</v>
      </c>
      <c r="I82" s="279">
        <f>'Policy Data'!H56</f>
        <v>1000000</v>
      </c>
      <c r="J82" s="100" t="str">
        <f>'Policy Data'!I56</f>
        <v>Annual</v>
      </c>
      <c r="K82" s="100" t="str">
        <f>'Policy Data'!J56</f>
        <v>Bancassurance</v>
      </c>
      <c r="L82" s="26" t="s">
        <v>389</v>
      </c>
      <c r="M82" s="106">
        <f>'Policy Data'!R56</f>
        <v>3265.55</v>
      </c>
      <c r="N82" s="415">
        <f>Assumptions!$C$21</f>
        <v>1</v>
      </c>
      <c r="O82" s="415">
        <f>Assumptions!$C$22</f>
        <v>1</v>
      </c>
      <c r="P82" s="415">
        <f>Assumptions!$C$23</f>
        <v>1</v>
      </c>
      <c r="Q82" s="416">
        <f>Assumptions!$C$24</f>
        <v>0</v>
      </c>
      <c r="R82" s="416">
        <f>Assumptions!$C$6+Assumptions!$C$25</f>
        <v>3.5000000000000003E-2</v>
      </c>
      <c r="S82" s="416">
        <f>Assumptions!$C$15</f>
        <v>1.1000000000000001E-3</v>
      </c>
      <c r="T82" s="26">
        <f t="shared" si="18"/>
        <v>1</v>
      </c>
      <c r="U82" s="26">
        <f t="shared" si="19"/>
        <v>1</v>
      </c>
      <c r="V82" s="389">
        <f>IF($G82="Preferred",Assumptions!$C$30,IF($G82="Rated",Assumptions!$C$31,1))</f>
        <v>1</v>
      </c>
      <c r="W82" s="390">
        <f>IF($K82="Direct",Assumptions!$C$32,IF($K82="Broker",Assumptions!$C$33,IF($K82="Bancassurance",Assumptions!$C$34,Assumptions!$C$11)))+$Q82</f>
        <v>0.2</v>
      </c>
      <c r="X82" s="390">
        <f>Assumptions!$C$12+$Q82</f>
        <v>0.05</v>
      </c>
      <c r="Y82" s="131">
        <f>MIN($I82,Assumptions!$C$14)</f>
        <v>500000</v>
      </c>
      <c r="Z82" s="131">
        <f>MAX($I82-Assumptions!$C$14,0)</f>
        <v>500000</v>
      </c>
      <c r="AA82" s="389">
        <f t="shared" si="20"/>
        <v>8.4583163205439167</v>
      </c>
      <c r="AB82" s="389">
        <f t="shared" si="21"/>
        <v>3.0830001489417024E-2</v>
      </c>
      <c r="AC82" s="389">
        <f>IF($T82=1,SUMPRODUCT($CJ82:$DW82,(1+Assumptions!$C$5)^($CJ$5:$DW$5-1),(1+$R82)^(-$CJ$5:$DW$5)),0)</f>
        <v>11.343303112160136</v>
      </c>
      <c r="AD82" s="389">
        <f t="shared" si="22"/>
        <v>0.56784335225908</v>
      </c>
      <c r="AE82" s="131">
        <f>IF($T82=1,$AB82*$Y82+(Assumptions!$C$9/(1+$R82)+Assumptions!$C$10*$AC82)*$P82+$S82*$Z82*$AA82,0)</f>
        <v>23432.166623074201</v>
      </c>
      <c r="AF82" s="131">
        <f>IF($T82=1,IF($AA82-$AD82-Assumptions!$C$16*$AA82&gt;0,$AE82/($AA82-$AD82-Assumptions!$C$16*$AA82)*IF($J82="Monthly",1+Assumptions!$C$29,1),"n.a."),"")</f>
        <v>3248.2383394312114</v>
      </c>
      <c r="AG82" s="131">
        <f t="shared" si="23"/>
        <v>3265.55</v>
      </c>
      <c r="AH82" s="131">
        <f t="shared" si="24"/>
        <v>27621.054860552187</v>
      </c>
      <c r="AI82" s="131">
        <f t="shared" si="25"/>
        <v>2334.5673785083454</v>
      </c>
      <c r="AJ82" s="390">
        <f t="shared" si="26"/>
        <v>8.45212968981328E-2</v>
      </c>
      <c r="AK82" s="389">
        <f t="shared" si="27"/>
        <v>1.0053295536717974</v>
      </c>
      <c r="AL82" s="131">
        <f t="shared" si="28"/>
        <v>15415.000744708512</v>
      </c>
      <c r="AM82" s="131">
        <f t="shared" si="29"/>
        <v>4652.0739762991543</v>
      </c>
      <c r="AN82" s="131">
        <f t="shared" si="30"/>
        <v>10762.926768409357</v>
      </c>
      <c r="AO82" s="131">
        <f t="shared" si="31"/>
        <v>-8428.359389901012</v>
      </c>
      <c r="AP82" s="26" t="str">
        <f t="shared" si="32"/>
        <v>50-59</v>
      </c>
      <c r="AQ82" s="26" t="str">
        <f t="shared" si="33"/>
        <v>500k-1m</v>
      </c>
      <c r="AR82" s="26" t="str">
        <f>IF($T82=1,IF($AI82&lt;0,"Loss-making",IF($AJ82&lt;Assumptions!$C$16-0.00001,"Below target","At/above target")),"Excluded")</f>
        <v>At/above target</v>
      </c>
      <c r="AS82" s="103">
        <f t="shared" si="34"/>
        <v>2334.5674605083454</v>
      </c>
      <c r="AT82" s="26"/>
      <c r="AU82" s="419">
        <f>IF(AND($T82=1,AU$5&lt;=$H82),INDEX(Mortality!$B$4:$E$64,MATCH($D82+AU$5-1,Mortality!$A$4:$A$64,0),$U82)*$V82*$N82,0)</f>
        <v>1.89453490233113E-3</v>
      </c>
      <c r="AV82" s="93">
        <f>IF(AND($T82=1,AV$5&lt;=$H82),INDEX(Mortality!$B$4:$E$64,MATCH($D82+AV$5-1,Mortality!$A$4:$A$64,0),$U82)*$V82*$N82,0)</f>
        <v>2.05232515895416E-3</v>
      </c>
      <c r="AW82" s="93">
        <f>IF(AND($T82=1,AW$5&lt;=$H82),INDEX(Mortality!$B$4:$E$64,MATCH($D82+AW$5-1,Mortality!$A$4:$A$64,0),$U82)*$V82*$N82,0)</f>
        <v>2.22325730335899E-3</v>
      </c>
      <c r="AX82" s="93">
        <f>IF(AND($T82=1,AX$5&lt;=$H82),INDEX(Mortality!$B$4:$E$64,MATCH($D82+AX$5-1,Mortality!$A$4:$A$64,0),$U82)*$V82*$N82,0)</f>
        <v>2.4084258848427E-3</v>
      </c>
      <c r="AY82" s="93">
        <f>IF(AND($T82=1,AY$5&lt;=$H82),INDEX(Mortality!$B$4:$E$64,MATCH($D82+AY$5-1,Mortality!$A$4:$A$64,0),$U82)*$V82*$N82,0)</f>
        <v>2.6090166145037101E-3</v>
      </c>
      <c r="AZ82" s="93">
        <f>IF(AND($T82=1,AZ$5&lt;=$H82),INDEX(Mortality!$B$4:$E$64,MATCH($D82+AZ$5-1,Mortality!$A$4:$A$64,0),$U82)*$V82*$N82,0)</f>
        <v>2.8263139578409702E-3</v>
      </c>
      <c r="BA82" s="93">
        <f>IF(AND($T82=1,BA$5&lt;=$H82),INDEX(Mortality!$B$4:$E$64,MATCH($D82+BA$5-1,Mortality!$A$4:$A$64,0),$U82)*$V82*$N82,0)</f>
        <v>3.0617093597183598E-3</v>
      </c>
      <c r="BB82" s="93">
        <f>IF(AND($T82=1,BB$5&lt;=$H82),INDEX(Mortality!$B$4:$E$64,MATCH($D82+BB$5-1,Mortality!$A$4:$A$64,0),$U82)*$V82*$N82,0)</f>
        <v>3.31671015436227E-3</v>
      </c>
      <c r="BC82" s="93">
        <f>IF(AND($T82=1,BC$5&lt;=$H82),INDEX(Mortality!$B$4:$E$64,MATCH($D82+BC$5-1,Mortality!$A$4:$A$64,0),$U82)*$V82*$N82,0)</f>
        <v>3.5929492174468702E-3</v>
      </c>
      <c r="BD82" s="93">
        <f>IF(AND($T82=1,BD$5&lt;=$H82),INDEX(Mortality!$B$4:$E$64,MATCH($D82+BD$5-1,Mortality!$A$4:$A$64,0),$U82)*$V82*$N82,0)</f>
        <v>3.8921954220730499E-3</v>
      </c>
      <c r="BE82" s="93">
        <f>IF(AND($T82=1,BE$5&lt;=$H82),INDEX(Mortality!$B$4:$E$64,MATCH($D82+BE$5-1,Mortality!$A$4:$A$64,0),$U82)*$V82*$N82,0)</f>
        <v>4.2163649655954103E-3</v>
      </c>
      <c r="BF82" s="93">
        <f>IF(AND($T82=1,BF$5&lt;=$H82),INDEX(Mortality!$B$4:$E$64,MATCH($D82+BF$5-1,Mortality!$A$4:$A$64,0),$U82)*$V82*$N82,0)</f>
        <v>4.5675336398272801E-3</v>
      </c>
      <c r="BG82" s="93">
        <f>IF(AND($T82=1,BG$5&lt;=$H82),INDEX(Mortality!$B$4:$E$64,MATCH($D82+BG$5-1,Mortality!$A$4:$A$64,0),$U82)*$V82*$N82,0)</f>
        <v>4.9479501231952296E-3</v>
      </c>
      <c r="BH82" s="93">
        <f>IF(AND($T82=1,BH$5&lt;=$H82),INDEX(Mortality!$B$4:$E$64,MATCH($D82+BH$5-1,Mortality!$A$4:$A$64,0),$U82)*$V82*$N82,0)</f>
        <v>5.36005037995811E-3</v>
      </c>
      <c r="BI82" s="93">
        <f>IF(AND($T82=1,BI$5&lt;=$H82),INDEX(Mortality!$B$4:$E$64,MATCH($D82+BI$5-1,Mortality!$A$4:$A$64,0),$U82)*$V82*$N82,0)</f>
        <v>5.8064732586948697E-3</v>
      </c>
      <c r="BJ82" s="93">
        <f>IF(AND($T82=1,BJ$5&lt;=$H82),INDEX(Mortality!$B$4:$E$64,MATCH($D82+BJ$5-1,Mortality!$A$4:$A$64,0),$U82)*$V82*$N82,0)</f>
        <v>6.2900773899446198E-3</v>
      </c>
      <c r="BK82" s="93">
        <f>IF(AND($T82=1,BK$5&lt;=$H82),INDEX(Mortality!$B$4:$E$64,MATCH($D82+BK$5-1,Mortality!$A$4:$A$64,0),$U82)*$V82*$N82,0)</f>
        <v>6.8139594912016701E-3</v>
      </c>
      <c r="BL82" s="93">
        <f>IF(AND($T82=1,BL$5&lt;=$H82),INDEX(Mortality!$B$4:$E$64,MATCH($D82+BL$5-1,Mortality!$A$4:$A$64,0),$U82)*$V82*$N82,0)</f>
        <v>7.3814741964798002E-3</v>
      </c>
      <c r="BM82" s="93">
        <f>IF(AND($T82=1,BM$5&lt;=$H82),INDEX(Mortality!$B$4:$E$64,MATCH($D82+BM$5-1,Mortality!$A$4:$A$64,0),$U82)*$V82*$N82,0)</f>
        <v>7.9962555374229801E-3</v>
      </c>
      <c r="BN82" s="93">
        <f>IF(AND($T82=1,BN$5&lt;=$H82),INDEX(Mortality!$B$4:$E$64,MATCH($D82+BN$5-1,Mortality!$A$4:$A$64,0),$U82)*$V82*$N82,0)</f>
        <v>8.6622402135145896E-3</v>
      </c>
      <c r="BO82" s="93">
        <f>IF(AND($T82=1,BO$5&lt;=$H82),INDEX(Mortality!$B$4:$E$64,MATCH($D82+BO$5-1,Mortality!$A$4:$A$64,0),$U82)*$V82*$N82,0)</f>
        <v>0</v>
      </c>
      <c r="BP82" s="93">
        <f>IF(AND($T82=1,BP$5&lt;=$H82),INDEX(Mortality!$B$4:$E$64,MATCH($D82+BP$5-1,Mortality!$A$4:$A$64,0),$U82)*$V82*$N82,0)</f>
        <v>0</v>
      </c>
      <c r="BQ82" s="93">
        <f>IF(AND($T82=1,BQ$5&lt;=$H82),INDEX(Mortality!$B$4:$E$64,MATCH($D82+BQ$5-1,Mortality!$A$4:$A$64,0),$U82)*$V82*$N82,0)</f>
        <v>0</v>
      </c>
      <c r="BR82" s="93">
        <f>IF(AND($T82=1,BR$5&lt;=$H82),INDEX(Mortality!$B$4:$E$64,MATCH($D82+BR$5-1,Mortality!$A$4:$A$64,0),$U82)*$V82*$N82,0)</f>
        <v>0</v>
      </c>
      <c r="BS82" s="93">
        <f>IF(AND($T82=1,BS$5&lt;=$H82),INDEX(Mortality!$B$4:$E$64,MATCH($D82+BS$5-1,Mortality!$A$4:$A$64,0),$U82)*$V82*$N82,0)</f>
        <v>0</v>
      </c>
      <c r="BT82" s="93">
        <f>IF(AND($T82=1,BT$5&lt;=$H82),INDEX(Mortality!$B$4:$E$64,MATCH($D82+BT$5-1,Mortality!$A$4:$A$64,0),$U82)*$V82*$N82,0)</f>
        <v>0</v>
      </c>
      <c r="BU82" s="93">
        <f>IF(AND($T82=1,BU$5&lt;=$H82),INDEX(Mortality!$B$4:$E$64,MATCH($D82+BU$5-1,Mortality!$A$4:$A$64,0),$U82)*$V82*$N82,0)</f>
        <v>0</v>
      </c>
      <c r="BV82" s="93">
        <f>IF(AND($T82=1,BV$5&lt;=$H82),INDEX(Mortality!$B$4:$E$64,MATCH($D82+BV$5-1,Mortality!$A$4:$A$64,0),$U82)*$V82*$N82,0)</f>
        <v>0</v>
      </c>
      <c r="BW82" s="93">
        <f>IF(AND($T82=1,BW$5&lt;=$H82),INDEX(Mortality!$B$4:$E$64,MATCH($D82+BW$5-1,Mortality!$A$4:$A$64,0),$U82)*$V82*$N82,0)</f>
        <v>0</v>
      </c>
      <c r="BX82" s="93">
        <f>IF(AND($T82=1,BX$5&lt;=$H82),INDEX(Mortality!$B$4:$E$64,MATCH($D82+BX$5-1,Mortality!$A$4:$A$64,0),$U82)*$V82*$N82,0)</f>
        <v>0</v>
      </c>
      <c r="BY82" s="93">
        <f>IF(AND($T82=1,BY$5&lt;=$H82),INDEX(Mortality!$B$4:$E$64,MATCH($D82+BY$5-1,Mortality!$A$4:$A$64,0),$U82)*$V82*$N82,0)</f>
        <v>0</v>
      </c>
      <c r="BZ82" s="93">
        <f>IF(AND($T82=1,BZ$5&lt;=$H82),INDEX(Mortality!$B$4:$E$64,MATCH($D82+BZ$5-1,Mortality!$A$4:$A$64,0),$U82)*$V82*$N82,0)</f>
        <v>0</v>
      </c>
      <c r="CA82" s="93">
        <f>IF(AND($T82=1,CA$5&lt;=$H82),INDEX(Mortality!$B$4:$E$64,MATCH($D82+CA$5-1,Mortality!$A$4:$A$64,0),$U82)*$V82*$N82,0)</f>
        <v>0</v>
      </c>
      <c r="CB82" s="93">
        <f>IF(AND($T82=1,CB$5&lt;=$H82),INDEX(Mortality!$B$4:$E$64,MATCH($D82+CB$5-1,Mortality!$A$4:$A$64,0),$U82)*$V82*$N82,0)</f>
        <v>0</v>
      </c>
      <c r="CC82" s="93">
        <f>IF(AND($T82=1,CC$5&lt;=$H82),INDEX(Mortality!$B$4:$E$64,MATCH($D82+CC$5-1,Mortality!$A$4:$A$64,0),$U82)*$V82*$N82,0)</f>
        <v>0</v>
      </c>
      <c r="CD82" s="93">
        <f>IF(AND($T82=1,CD$5&lt;=$H82),INDEX(Mortality!$B$4:$E$64,MATCH($D82+CD$5-1,Mortality!$A$4:$A$64,0),$U82)*$V82*$N82,0)</f>
        <v>0</v>
      </c>
      <c r="CE82" s="93">
        <f>IF(AND($T82=1,CE$5&lt;=$H82),INDEX(Mortality!$B$4:$E$64,MATCH($D82+CE$5-1,Mortality!$A$4:$A$64,0),$U82)*$V82*$N82,0)</f>
        <v>0</v>
      </c>
      <c r="CF82" s="93">
        <f>IF(AND($T82=1,CF$5&lt;=$H82),INDEX(Mortality!$B$4:$E$64,MATCH($D82+CF$5-1,Mortality!$A$4:$A$64,0),$U82)*$V82*$N82,0)</f>
        <v>0</v>
      </c>
      <c r="CG82" s="93">
        <f>IF(AND($T82=1,CG$5&lt;=$H82),INDEX(Mortality!$B$4:$E$64,MATCH($D82+CG$5-1,Mortality!$A$4:$A$64,0),$U82)*$V82*$N82,0)</f>
        <v>0</v>
      </c>
      <c r="CH82" s="94">
        <f>IF(AND($T82=1,CH$5&lt;=$H82),INDEX(Mortality!$B$4:$E$64,MATCH($D82+CH$5-1,Mortality!$A$4:$A$64,0),$U82)*$V82*$N82,0)</f>
        <v>0</v>
      </c>
      <c r="CI82" s="26"/>
      <c r="CJ82" s="419">
        <f t="shared" si="35"/>
        <v>1</v>
      </c>
      <c r="CK82" s="93">
        <f>IF(AND($T82=1,CK$5&lt;=$H82),CJ82*(1-AU82)*(1-MIN(1,MAX(Assumptions!$C$27,Assumptions!$C$13*Assumptions!$C$28^(CJ$5-1))*$O82)),0)</f>
        <v>0.87833280928594859</v>
      </c>
      <c r="CL82" s="93">
        <f>IF(AND($T82=1,CL$5&lt;=$H82),CK82*(1-AV82)*(1-MIN(1,MAX(Assumptions!$C$27,Assumptions!$C$13*Assumptions!$C$28^(CK$5-1))*$O82)),0)</f>
        <v>0.7871241059176376</v>
      </c>
      <c r="CM82" s="93">
        <f>IF(AND($T82=1,CM$5&lt;=$H82),CL82*(1-AW82)*(1-MIN(1,MAX(Assumptions!$C$27,Assumptions!$C$13*Assumptions!$C$28^(CL$5-1))*$O82)),0)</f>
        <v>0.71728218973291247</v>
      </c>
      <c r="CN82" s="93">
        <f>IF(AND($T82=1,CN$5&lt;=$H82),CM82*(1-AX82)*(1-MIN(1,MAX(Assumptions!$C$27,Assumptions!$C$13*Assumptions!$C$28^(CM$5-1))*$O82)),0)</f>
        <v>0.66282186742759763</v>
      </c>
      <c r="CO82" s="93">
        <f>IF(AND($T82=1,CO$5&lt;=$H82),CN82*(1-AY82)*(1-MIN(1,MAX(Assumptions!$C$27,Assumptions!$C$13*Assumptions!$C$28^(CN$5-1))*$O82)),0)</f>
        <v>0.6196812207508352</v>
      </c>
      <c r="CP82" s="93">
        <f>IF(AND($T82=1,CP$5&lt;=$H82),CO82*(1-AZ82)*(1-MIN(1,MAX(Assumptions!$C$27,Assumptions!$C$13*Assumptions!$C$28^(CO$5-1))*$O82)),0)</f>
        <v>0.58502835848947643</v>
      </c>
      <c r="CQ82" s="93">
        <f>IF(AND($T82=1,CQ$5&lt;=$H82),CP82*(1-BA82)*(1-MIN(1,MAX(Assumptions!$C$27,Assumptions!$C$13*Assumptions!$C$28^(CP$5-1))*$O82)),0)</f>
        <v>0.55684105767296699</v>
      </c>
      <c r="CR82" s="93">
        <f>IF(AND($T82=1,CR$5&lt;=$H82),CQ82*(1-BB82)*(1-MIN(1,MAX(Assumptions!$C$27,Assumptions!$C$13*Assumptions!$C$28^(CQ$5-1))*$O82)),0)</f>
        <v>0.53364396719866014</v>
      </c>
      <c r="CS82" s="93">
        <f>IF(AND($T82=1,CS$5&lt;=$H82),CR82*(1-BC82)*(1-MIN(1,MAX(Assumptions!$C$27,Assumptions!$C$13*Assumptions!$C$28^(CR$5-1))*$O82)),0)</f>
        <v>0.51433975589813807</v>
      </c>
      <c r="CT82" s="93">
        <f>IF(AND($T82=1,CT$5&lt;=$H82),CS82*(1-BD82)*(1-MIN(1,MAX(Assumptions!$C$27,Assumptions!$C$13*Assumptions!$C$28^(CS$5-1))*$O82)),0)</f>
        <v>0.49809790979841084</v>
      </c>
      <c r="CU82" s="93">
        <f>IF(AND($T82=1,CU$5&lt;=$H82),CT82*(1-BE82)*(1-MIN(1,MAX(Assumptions!$C$27,Assumptions!$C$13*Assumptions!$C$28^(CT$5-1))*$O82)),0)</f>
        <v>0.48427983589745754</v>
      </c>
      <c r="CV82" s="93">
        <f>IF(AND($T82=1,CV$5&lt;=$H82),CU82*(1-BF82)*(1-MIN(1,MAX(Assumptions!$C$27,Assumptions!$C$13*Assumptions!$C$28^(CU$5-1))*$O82)),0)</f>
        <v>0.47238737530134833</v>
      </c>
      <c r="CW82" s="93">
        <f>IF(AND($T82=1,CW$5&lt;=$H82),CV82*(1-BG82)*(1-MIN(1,MAX(Assumptions!$C$27,Assumptions!$C$13*Assumptions!$C$28^(CV$5-1))*$O82)),0)</f>
        <v>0.46064902560693949</v>
      </c>
      <c r="CX82" s="93">
        <f>IF(AND($T82=1,CX$5&lt;=$H82),CW82*(1-BH82)*(1-MIN(1,MAX(Assumptions!$C$27,Assumptions!$C$13*Assumptions!$C$28^(CW$5-1))*$O82)),0)</f>
        <v>0.44901632514976353</v>
      </c>
      <c r="CY82" s="93">
        <f>IF(AND($T82=1,CY$5&lt;=$H82),CX82*(1-BI82)*(1-MIN(1,MAX(Assumptions!$C$27,Assumptions!$C$13*Assumptions!$C$28^(CX$5-1))*$O82)),0)</f>
        <v>0.43748094138776272</v>
      </c>
      <c r="CZ82" s="93">
        <f>IF(AND($T82=1,CZ$5&lt;=$H82),CY82*(1-BJ82)*(1-MIN(1,MAX(Assumptions!$C$27,Assumptions!$C$13*Assumptions!$C$28^(CY$5-1))*$O82)),0)</f>
        <v>0.42603456936161171</v>
      </c>
      <c r="DA82" s="93">
        <f>IF(AND($T82=1,DA$5&lt;=$H82),CZ82*(1-BK82)*(1-MIN(1,MAX(Assumptions!$C$27,Assumptions!$C$13*Assumptions!$C$28^(CZ$5-1))*$O82)),0)</f>
        <v>0.41466895532284753</v>
      </c>
      <c r="DB82" s="93">
        <f>IF(AND($T82=1,DB$5&lt;=$H82),DA82*(1-BL82)*(1-MIN(1,MAX(Assumptions!$C$27,Assumptions!$C$13*Assumptions!$C$28^(DA$5-1))*$O82)),0)</f>
        <v>0.40337592538646966</v>
      </c>
      <c r="DC82" s="93">
        <f>IF(AND($T82=1,DC$5&lt;=$H82),DB82*(1-BM82)*(1-MIN(1,MAX(Assumptions!$C$27,Assumptions!$C$13*Assumptions!$C$28^(DB$5-1))*$O82)),0)</f>
        <v>0.39214741984124629</v>
      </c>
      <c r="DD82" s="93">
        <f>IF(AND($T82=1,DD$5&lt;=$H82),DC82*(1-BN82)*(1-MIN(1,MAX(Assumptions!$C$27,Assumptions!$C$13*Assumptions!$C$28^(DC$5-1))*$O82)),0)</f>
        <v>0</v>
      </c>
      <c r="DE82" s="93">
        <f>IF(AND($T82=1,DE$5&lt;=$H82),DD82*(1-BO82)*(1-MIN(1,MAX(Assumptions!$C$27,Assumptions!$C$13*Assumptions!$C$28^(DD$5-1))*$O82)),0)</f>
        <v>0</v>
      </c>
      <c r="DF82" s="93">
        <f>IF(AND($T82=1,DF$5&lt;=$H82),DE82*(1-BP82)*(1-MIN(1,MAX(Assumptions!$C$27,Assumptions!$C$13*Assumptions!$C$28^(DE$5-1))*$O82)),0)</f>
        <v>0</v>
      </c>
      <c r="DG82" s="93">
        <f>IF(AND($T82=1,DG$5&lt;=$H82),DF82*(1-BQ82)*(1-MIN(1,MAX(Assumptions!$C$27,Assumptions!$C$13*Assumptions!$C$28^(DF$5-1))*$O82)),0)</f>
        <v>0</v>
      </c>
      <c r="DH82" s="93">
        <f>IF(AND($T82=1,DH$5&lt;=$H82),DG82*(1-BR82)*(1-MIN(1,MAX(Assumptions!$C$27,Assumptions!$C$13*Assumptions!$C$28^(DG$5-1))*$O82)),0)</f>
        <v>0</v>
      </c>
      <c r="DI82" s="93">
        <f>IF(AND($T82=1,DI$5&lt;=$H82),DH82*(1-BS82)*(1-MIN(1,MAX(Assumptions!$C$27,Assumptions!$C$13*Assumptions!$C$28^(DH$5-1))*$O82)),0)</f>
        <v>0</v>
      </c>
      <c r="DJ82" s="93">
        <f>IF(AND($T82=1,DJ$5&lt;=$H82),DI82*(1-BT82)*(1-MIN(1,MAX(Assumptions!$C$27,Assumptions!$C$13*Assumptions!$C$28^(DI$5-1))*$O82)),0)</f>
        <v>0</v>
      </c>
      <c r="DK82" s="93">
        <f>IF(AND($T82=1,DK$5&lt;=$H82),DJ82*(1-BU82)*(1-MIN(1,MAX(Assumptions!$C$27,Assumptions!$C$13*Assumptions!$C$28^(DJ$5-1))*$O82)),0)</f>
        <v>0</v>
      </c>
      <c r="DL82" s="93">
        <f>IF(AND($T82=1,DL$5&lt;=$H82),DK82*(1-BV82)*(1-MIN(1,MAX(Assumptions!$C$27,Assumptions!$C$13*Assumptions!$C$28^(DK$5-1))*$O82)),0)</f>
        <v>0</v>
      </c>
      <c r="DM82" s="93">
        <f>IF(AND($T82=1,DM$5&lt;=$H82),DL82*(1-BW82)*(1-MIN(1,MAX(Assumptions!$C$27,Assumptions!$C$13*Assumptions!$C$28^(DL$5-1))*$O82)),0)</f>
        <v>0</v>
      </c>
      <c r="DN82" s="93">
        <f>IF(AND($T82=1,DN$5&lt;=$H82),DM82*(1-BX82)*(1-MIN(1,MAX(Assumptions!$C$27,Assumptions!$C$13*Assumptions!$C$28^(DM$5-1))*$O82)),0)</f>
        <v>0</v>
      </c>
      <c r="DO82" s="93">
        <f>IF(AND($T82=1,DO$5&lt;=$H82),DN82*(1-BY82)*(1-MIN(1,MAX(Assumptions!$C$27,Assumptions!$C$13*Assumptions!$C$28^(DN$5-1))*$O82)),0)</f>
        <v>0</v>
      </c>
      <c r="DP82" s="93">
        <f>IF(AND($T82=1,DP$5&lt;=$H82),DO82*(1-BZ82)*(1-MIN(1,MAX(Assumptions!$C$27,Assumptions!$C$13*Assumptions!$C$28^(DO$5-1))*$O82)),0)</f>
        <v>0</v>
      </c>
      <c r="DQ82" s="93">
        <f>IF(AND($T82=1,DQ$5&lt;=$H82),DP82*(1-CA82)*(1-MIN(1,MAX(Assumptions!$C$27,Assumptions!$C$13*Assumptions!$C$28^(DP$5-1))*$O82)),0)</f>
        <v>0</v>
      </c>
      <c r="DR82" s="93">
        <f>IF(AND($T82=1,DR$5&lt;=$H82),DQ82*(1-CB82)*(1-MIN(1,MAX(Assumptions!$C$27,Assumptions!$C$13*Assumptions!$C$28^(DQ$5-1))*$O82)),0)</f>
        <v>0</v>
      </c>
      <c r="DS82" s="93">
        <f>IF(AND($T82=1,DS$5&lt;=$H82),DR82*(1-CC82)*(1-MIN(1,MAX(Assumptions!$C$27,Assumptions!$C$13*Assumptions!$C$28^(DR$5-1))*$O82)),0)</f>
        <v>0</v>
      </c>
      <c r="DT82" s="93">
        <f>IF(AND($T82=1,DT$5&lt;=$H82),DS82*(1-CD82)*(1-MIN(1,MAX(Assumptions!$C$27,Assumptions!$C$13*Assumptions!$C$28^(DS$5-1))*$O82)),0)</f>
        <v>0</v>
      </c>
      <c r="DU82" s="93">
        <f>IF(AND($T82=1,DU$5&lt;=$H82),DT82*(1-CE82)*(1-MIN(1,MAX(Assumptions!$C$27,Assumptions!$C$13*Assumptions!$C$28^(DT$5-1))*$O82)),0)</f>
        <v>0</v>
      </c>
      <c r="DV82" s="93">
        <f>IF(AND($T82=1,DV$5&lt;=$H82),DU82*(1-CF82)*(1-MIN(1,MAX(Assumptions!$C$27,Assumptions!$C$13*Assumptions!$C$28^(DU$5-1))*$O82)),0)</f>
        <v>0</v>
      </c>
      <c r="DW82" s="94">
        <f>IF(AND($T82=1,DW$5&lt;=$H82),DV82*(1-CG82)*(1-MIN(1,MAX(Assumptions!$C$27,Assumptions!$C$13*Assumptions!$C$28^(DV$5-1))*$O82)),0)</f>
        <v>0</v>
      </c>
      <c r="DX82" s="26"/>
      <c r="DY82" s="399">
        <f>'Policy Data'!K56</f>
        <v>2</v>
      </c>
      <c r="DZ82" s="100">
        <f>'Policy Data'!L56</f>
        <v>0.97889999999999999</v>
      </c>
      <c r="EA82" s="100">
        <f>'Policy Data'!N56</f>
        <v>1.854E-3</v>
      </c>
      <c r="EB82" s="93" cm="1">
        <f t="array" ref="EB82">IFERROR(DZ82*INDEX(Mortality!$B$4:$E$64,MATCH(D82+DY82-1,Mortality!$A$4:$A$64,0),U82)*V82,0)</f>
        <v>2.0090210981002273E-3</v>
      </c>
      <c r="EC82" s="100">
        <f>'Policy Data'!O56</f>
        <v>0</v>
      </c>
      <c r="ED82" s="400">
        <f>'Policy Data'!Q56</f>
        <v>0</v>
      </c>
    </row>
    <row r="83" spans="1:134" x14ac:dyDescent="0.3">
      <c r="A83" s="399" t="str">
        <f>'Policy Data'!A57</f>
        <v>POL100053</v>
      </c>
      <c r="B83" s="26" t="s">
        <v>426</v>
      </c>
      <c r="C83" s="100" t="str">
        <f>'Policy Data'!B57</f>
        <v>Term Life</v>
      </c>
      <c r="D83" s="100">
        <f>'Policy Data'!C57</f>
        <v>37</v>
      </c>
      <c r="E83" s="100" t="str">
        <f>'Policy Data'!D57</f>
        <v>Female</v>
      </c>
      <c r="F83" s="100" t="str">
        <f>'Policy Data'!E57</f>
        <v>Non-smoker</v>
      </c>
      <c r="G83" s="100" t="str">
        <f>'Policy Data'!F57</f>
        <v>Standard</v>
      </c>
      <c r="H83" s="100">
        <f>'Policy Data'!G57</f>
        <v>20</v>
      </c>
      <c r="I83" s="279">
        <f>'Policy Data'!H57</f>
        <v>250000</v>
      </c>
      <c r="J83" s="100" t="str">
        <f>'Policy Data'!I57</f>
        <v>Annual</v>
      </c>
      <c r="K83" s="100" t="str">
        <f>'Policy Data'!J57</f>
        <v>Broker</v>
      </c>
      <c r="L83" s="26" t="s">
        <v>389</v>
      </c>
      <c r="M83" s="106">
        <f>'Policy Data'!R57</f>
        <v>1200</v>
      </c>
      <c r="N83" s="415">
        <f>Assumptions!$C$21</f>
        <v>1</v>
      </c>
      <c r="O83" s="415">
        <f>Assumptions!$C$22</f>
        <v>1</v>
      </c>
      <c r="P83" s="415">
        <f>Assumptions!$C$23</f>
        <v>1</v>
      </c>
      <c r="Q83" s="416">
        <f>Assumptions!$C$24</f>
        <v>0</v>
      </c>
      <c r="R83" s="416">
        <f>Assumptions!$C$6+Assumptions!$C$25</f>
        <v>3.5000000000000003E-2</v>
      </c>
      <c r="S83" s="416">
        <f>Assumptions!$C$15</f>
        <v>1.1000000000000001E-3</v>
      </c>
      <c r="T83" s="26">
        <f t="shared" si="18"/>
        <v>1</v>
      </c>
      <c r="U83" s="26">
        <f t="shared" si="19"/>
        <v>1</v>
      </c>
      <c r="V83" s="389">
        <f>IF($G83="Preferred",Assumptions!$C$30,IF($G83="Rated",Assumptions!$C$31,1))</f>
        <v>1</v>
      </c>
      <c r="W83" s="390">
        <f>IF($K83="Direct",Assumptions!$C$32,IF($K83="Broker",Assumptions!$C$33,IF($K83="Bancassurance",Assumptions!$C$34,Assumptions!$C$11)))+$Q83</f>
        <v>0.25</v>
      </c>
      <c r="X83" s="390">
        <f>Assumptions!$C$12+$Q83</f>
        <v>0.05</v>
      </c>
      <c r="Y83" s="131">
        <f>MIN($I83,Assumptions!$C$14)</f>
        <v>250000</v>
      </c>
      <c r="Z83" s="131">
        <f>MAX($I83-Assumptions!$C$14,0)</f>
        <v>0</v>
      </c>
      <c r="AA83" s="389">
        <f t="shared" si="20"/>
        <v>8.5751729981098261</v>
      </c>
      <c r="AB83" s="389">
        <f t="shared" si="21"/>
        <v>1.1125703938527721E-2</v>
      </c>
      <c r="AC83" s="389">
        <f>IF($T83=1,SUMPRODUCT($CJ83:$DW83,(1+Assumptions!$C$5)^($CJ$5:$DW$5-1),(1+$R83)^(-$CJ$5:$DW$5)),0)</f>
        <v>11.537777378423005</v>
      </c>
      <c r="AD83" s="389">
        <f t="shared" si="22"/>
        <v>0.62199536488133678</v>
      </c>
      <c r="AE83" s="131">
        <f>IF($T83=1,$AB83*$Y83+(Assumptions!$C$9/(1+$R83)+Assumptions!$C$10*$AC83)*$P83+$S83*$Z83*$AA83,0)</f>
        <v>6189.3022252762967</v>
      </c>
      <c r="AF83" s="131">
        <f>IF($T83=1,IF($AA83-$AD83-Assumptions!$C$16*$AA83&gt;0,$AE83/($AA83-$AD83-Assumptions!$C$16*$AA83)*IF($J83="Monthly",1+Assumptions!$C$29,1),"n.a."),"")</f>
        <v>851.68057322647314</v>
      </c>
      <c r="AG83" s="131">
        <f t="shared" si="23"/>
        <v>1200</v>
      </c>
      <c r="AH83" s="131">
        <f t="shared" si="24"/>
        <v>10290.207597731791</v>
      </c>
      <c r="AI83" s="131">
        <f t="shared" si="25"/>
        <v>3354.5109345978908</v>
      </c>
      <c r="AJ83" s="390">
        <f t="shared" si="26"/>
        <v>0.32599059860923563</v>
      </c>
      <c r="AK83" s="389">
        <f t="shared" si="27"/>
        <v>1.4089789502347896</v>
      </c>
      <c r="AL83" s="131">
        <f t="shared" si="28"/>
        <v>0</v>
      </c>
      <c r="AM83" s="131">
        <f t="shared" si="29"/>
        <v>0</v>
      </c>
      <c r="AN83" s="131">
        <f t="shared" si="30"/>
        <v>0</v>
      </c>
      <c r="AO83" s="131">
        <f t="shared" si="31"/>
        <v>3354.5109345978908</v>
      </c>
      <c r="AP83" s="26" t="str">
        <f t="shared" si="32"/>
        <v>30-39</v>
      </c>
      <c r="AQ83" s="26" t="str">
        <f t="shared" si="33"/>
        <v>Up to 250k</v>
      </c>
      <c r="AR83" s="26" t="str">
        <f>IF($T83=1,IF($AI83&lt;0,"Loss-making",IF($AJ83&lt;Assumptions!$C$16-0.00001,"Below target","At/above target")),"Excluded")</f>
        <v>At/above target</v>
      </c>
      <c r="AS83" s="103">
        <f t="shared" si="34"/>
        <v>3354.5110175978907</v>
      </c>
      <c r="AT83" s="26"/>
      <c r="AU83" s="419">
        <f>IF(AND($T83=1,AU$5&lt;=$H83),INDEX(Mortality!$B$4:$E$64,MATCH($D83+AU$5-1,Mortality!$A$4:$A$64,0),$U83)*$V83*$N83,0)</f>
        <v>6.6963223136325904E-4</v>
      </c>
      <c r="AV83" s="93">
        <f>IF(AND($T83=1,AV$5&lt;=$H83),INDEX(Mortality!$B$4:$E$64,MATCH($D83+AV$5-1,Mortality!$A$4:$A$64,0),$U83)*$V83*$N83,0)</f>
        <v>7.2540393633414402E-4</v>
      </c>
      <c r="AW83" s="93">
        <f>IF(AND($T83=1,AW$5&lt;=$H83),INDEX(Mortality!$B$4:$E$64,MATCH($D83+AW$5-1,Mortality!$A$4:$A$64,0),$U83)*$V83*$N83,0)</f>
        <v>7.8582070307128696E-4</v>
      </c>
      <c r="AX83" s="93">
        <f>IF(AND($T83=1,AX$5&lt;=$H83),INDEX(Mortality!$B$4:$E$64,MATCH($D83+AX$5-1,Mortality!$A$4:$A$64,0),$U83)*$V83*$N83,0)</f>
        <v>8.5126940514836905E-4</v>
      </c>
      <c r="AY83" s="93">
        <f>IF(AND($T83=1,AY$5&lt;=$H83),INDEX(Mortality!$B$4:$E$64,MATCH($D83+AY$5-1,Mortality!$A$4:$A$64,0),$U83)*$V83*$N83,0)</f>
        <v>9.2216913770458301E-4</v>
      </c>
      <c r="AZ83" s="93">
        <f>IF(AND($T83=1,AZ$5&lt;=$H83),INDEX(Mortality!$B$4:$E$64,MATCH($D83+AZ$5-1,Mortality!$A$4:$A$64,0),$U83)*$V83*$N83,0)</f>
        <v>9.98973901084343E-4</v>
      </c>
      <c r="BA83" s="93">
        <f>IF(AND($T83=1,BA$5&lt;=$H83),INDEX(Mortality!$B$4:$E$64,MATCH($D83+BA$5-1,Mortality!$A$4:$A$64,0),$U83)*$V83*$N83,0)</f>
        <v>1.08217550798947E-3</v>
      </c>
      <c r="BB83" s="93">
        <f>IF(AND($T83=1,BB$5&lt;=$H83),INDEX(Mortality!$B$4:$E$64,MATCH($D83+BB$5-1,Mortality!$A$4:$A$64,0),$U83)*$V83*$N83,0)</f>
        <v>1.1723067327595699E-3</v>
      </c>
      <c r="BC83" s="93">
        <f>IF(AND($T83=1,BC$5&lt;=$H83),INDEX(Mortality!$B$4:$E$64,MATCH($D83+BC$5-1,Mortality!$A$4:$A$64,0),$U83)*$V83*$N83,0)</f>
        <v>1.2699447229467301E-3</v>
      </c>
      <c r="BD83" s="93">
        <f>IF(AND($T83=1,BD$5&lt;=$H83),INDEX(Mortality!$B$4:$E$64,MATCH($D83+BD$5-1,Mortality!$A$4:$A$64,0),$U83)*$V83*$N83,0)</f>
        <v>1.37571469503025E-3</v>
      </c>
      <c r="BE83" s="93">
        <f>IF(AND($T83=1,BE$5&lt;=$H83),INDEX(Mortality!$B$4:$E$64,MATCH($D83+BE$5-1,Mortality!$A$4:$A$64,0),$U83)*$V83*$N83,0)</f>
        <v>1.4902939379366699E-3</v>
      </c>
      <c r="BF83" s="93">
        <f>IF(AND($T83=1,BF$5&lt;=$H83),INDEX(Mortality!$B$4:$E$64,MATCH($D83+BF$5-1,Mortality!$A$4:$A$64,0),$U83)*$V83*$N83,0)</f>
        <v>1.6144161500011799E-3</v>
      </c>
      <c r="BG83" s="93">
        <f>IF(AND($T83=1,BG$5&lt;=$H83),INDEX(Mortality!$B$4:$E$64,MATCH($D83+BG$5-1,Mortality!$A$4:$A$64,0),$U83)*$V83*$N83,0)</f>
        <v>1.74887613714188E-3</v>
      </c>
      <c r="BH83" s="93">
        <f>IF(AND($T83=1,BH$5&lt;=$H83),INDEX(Mortality!$B$4:$E$64,MATCH($D83+BH$5-1,Mortality!$A$4:$A$64,0),$U83)*$V83*$N83,0)</f>
        <v>1.89453490233113E-3</v>
      </c>
      <c r="BI83" s="93">
        <f>IF(AND($T83=1,BI$5&lt;=$H83),INDEX(Mortality!$B$4:$E$64,MATCH($D83+BI$5-1,Mortality!$A$4:$A$64,0),$U83)*$V83*$N83,0)</f>
        <v>2.05232515895416E-3</v>
      </c>
      <c r="BJ83" s="93">
        <f>IF(AND($T83=1,BJ$5&lt;=$H83),INDEX(Mortality!$B$4:$E$64,MATCH($D83+BJ$5-1,Mortality!$A$4:$A$64,0),$U83)*$V83*$N83,0)</f>
        <v>2.22325730335899E-3</v>
      </c>
      <c r="BK83" s="93">
        <f>IF(AND($T83=1,BK$5&lt;=$H83),INDEX(Mortality!$B$4:$E$64,MATCH($D83+BK$5-1,Mortality!$A$4:$A$64,0),$U83)*$V83*$N83,0)</f>
        <v>2.4084258848427E-3</v>
      </c>
      <c r="BL83" s="93">
        <f>IF(AND($T83=1,BL$5&lt;=$H83),INDEX(Mortality!$B$4:$E$64,MATCH($D83+BL$5-1,Mortality!$A$4:$A$64,0),$U83)*$V83*$N83,0)</f>
        <v>2.6090166145037101E-3</v>
      </c>
      <c r="BM83" s="93">
        <f>IF(AND($T83=1,BM$5&lt;=$H83),INDEX(Mortality!$B$4:$E$64,MATCH($D83+BM$5-1,Mortality!$A$4:$A$64,0),$U83)*$V83*$N83,0)</f>
        <v>2.8263139578409702E-3</v>
      </c>
      <c r="BN83" s="93">
        <f>IF(AND($T83=1,BN$5&lt;=$H83),INDEX(Mortality!$B$4:$E$64,MATCH($D83+BN$5-1,Mortality!$A$4:$A$64,0),$U83)*$V83*$N83,0)</f>
        <v>3.0617093597183598E-3</v>
      </c>
      <c r="BO83" s="93">
        <f>IF(AND($T83=1,BO$5&lt;=$H83),INDEX(Mortality!$B$4:$E$64,MATCH($D83+BO$5-1,Mortality!$A$4:$A$64,0),$U83)*$V83*$N83,0)</f>
        <v>0</v>
      </c>
      <c r="BP83" s="93">
        <f>IF(AND($T83=1,BP$5&lt;=$H83),INDEX(Mortality!$B$4:$E$64,MATCH($D83+BP$5-1,Mortality!$A$4:$A$64,0),$U83)*$V83*$N83,0)</f>
        <v>0</v>
      </c>
      <c r="BQ83" s="93">
        <f>IF(AND($T83=1,BQ$5&lt;=$H83),INDEX(Mortality!$B$4:$E$64,MATCH($D83+BQ$5-1,Mortality!$A$4:$A$64,0),$U83)*$V83*$N83,0)</f>
        <v>0</v>
      </c>
      <c r="BR83" s="93">
        <f>IF(AND($T83=1,BR$5&lt;=$H83),INDEX(Mortality!$B$4:$E$64,MATCH($D83+BR$5-1,Mortality!$A$4:$A$64,0),$U83)*$V83*$N83,0)</f>
        <v>0</v>
      </c>
      <c r="BS83" s="93">
        <f>IF(AND($T83=1,BS$5&lt;=$H83),INDEX(Mortality!$B$4:$E$64,MATCH($D83+BS$5-1,Mortality!$A$4:$A$64,0),$U83)*$V83*$N83,0)</f>
        <v>0</v>
      </c>
      <c r="BT83" s="93">
        <f>IF(AND($T83=1,BT$5&lt;=$H83),INDEX(Mortality!$B$4:$E$64,MATCH($D83+BT$5-1,Mortality!$A$4:$A$64,0),$U83)*$V83*$N83,0)</f>
        <v>0</v>
      </c>
      <c r="BU83" s="93">
        <f>IF(AND($T83=1,BU$5&lt;=$H83),INDEX(Mortality!$B$4:$E$64,MATCH($D83+BU$5-1,Mortality!$A$4:$A$64,0),$U83)*$V83*$N83,0)</f>
        <v>0</v>
      </c>
      <c r="BV83" s="93">
        <f>IF(AND($T83=1,BV$5&lt;=$H83),INDEX(Mortality!$B$4:$E$64,MATCH($D83+BV$5-1,Mortality!$A$4:$A$64,0),$U83)*$V83*$N83,0)</f>
        <v>0</v>
      </c>
      <c r="BW83" s="93">
        <f>IF(AND($T83=1,BW$5&lt;=$H83),INDEX(Mortality!$B$4:$E$64,MATCH($D83+BW$5-1,Mortality!$A$4:$A$64,0),$U83)*$V83*$N83,0)</f>
        <v>0</v>
      </c>
      <c r="BX83" s="93">
        <f>IF(AND($T83=1,BX$5&lt;=$H83),INDEX(Mortality!$B$4:$E$64,MATCH($D83+BX$5-1,Mortality!$A$4:$A$64,0),$U83)*$V83*$N83,0)</f>
        <v>0</v>
      </c>
      <c r="BY83" s="93">
        <f>IF(AND($T83=1,BY$5&lt;=$H83),INDEX(Mortality!$B$4:$E$64,MATCH($D83+BY$5-1,Mortality!$A$4:$A$64,0),$U83)*$V83*$N83,0)</f>
        <v>0</v>
      </c>
      <c r="BZ83" s="93">
        <f>IF(AND($T83=1,BZ$5&lt;=$H83),INDEX(Mortality!$B$4:$E$64,MATCH($D83+BZ$5-1,Mortality!$A$4:$A$64,0),$U83)*$V83*$N83,0)</f>
        <v>0</v>
      </c>
      <c r="CA83" s="93">
        <f>IF(AND($T83=1,CA$5&lt;=$H83),INDEX(Mortality!$B$4:$E$64,MATCH($D83+CA$5-1,Mortality!$A$4:$A$64,0),$U83)*$V83*$N83,0)</f>
        <v>0</v>
      </c>
      <c r="CB83" s="93">
        <f>IF(AND($T83=1,CB$5&lt;=$H83),INDEX(Mortality!$B$4:$E$64,MATCH($D83+CB$5-1,Mortality!$A$4:$A$64,0),$U83)*$V83*$N83,0)</f>
        <v>0</v>
      </c>
      <c r="CC83" s="93">
        <f>IF(AND($T83=1,CC$5&lt;=$H83),INDEX(Mortality!$B$4:$E$64,MATCH($D83+CC$5-1,Mortality!$A$4:$A$64,0),$U83)*$V83*$N83,0)</f>
        <v>0</v>
      </c>
      <c r="CD83" s="93">
        <f>IF(AND($T83=1,CD$5&lt;=$H83),INDEX(Mortality!$B$4:$E$64,MATCH($D83+CD$5-1,Mortality!$A$4:$A$64,0),$U83)*$V83*$N83,0)</f>
        <v>0</v>
      </c>
      <c r="CE83" s="93">
        <f>IF(AND($T83=1,CE$5&lt;=$H83),INDEX(Mortality!$B$4:$E$64,MATCH($D83+CE$5-1,Mortality!$A$4:$A$64,0),$U83)*$V83*$N83,0)</f>
        <v>0</v>
      </c>
      <c r="CF83" s="93">
        <f>IF(AND($T83=1,CF$5&lt;=$H83),INDEX(Mortality!$B$4:$E$64,MATCH($D83+CF$5-1,Mortality!$A$4:$A$64,0),$U83)*$V83*$N83,0)</f>
        <v>0</v>
      </c>
      <c r="CG83" s="93">
        <f>IF(AND($T83=1,CG$5&lt;=$H83),INDEX(Mortality!$B$4:$E$64,MATCH($D83+CG$5-1,Mortality!$A$4:$A$64,0),$U83)*$V83*$N83,0)</f>
        <v>0</v>
      </c>
      <c r="CH83" s="94">
        <f>IF(AND($T83=1,CH$5&lt;=$H83),INDEX(Mortality!$B$4:$E$64,MATCH($D83+CH$5-1,Mortality!$A$4:$A$64,0),$U83)*$V83*$N83,0)</f>
        <v>0</v>
      </c>
      <c r="CI83" s="26"/>
      <c r="CJ83" s="419">
        <f t="shared" si="35"/>
        <v>1</v>
      </c>
      <c r="CK83" s="93">
        <f>IF(AND($T83=1,CK$5&lt;=$H83),CJ83*(1-AU83)*(1-MIN(1,MAX(Assumptions!$C$27,Assumptions!$C$13*Assumptions!$C$28^(CJ$5-1))*$O83)),0)</f>
        <v>0.87941072363640027</v>
      </c>
      <c r="CL83" s="93">
        <f>IF(AND($T83=1,CL$5&lt;=$H83),CK83*(1-AV83)*(1-MIN(1,MAX(Assumptions!$C$27,Assumptions!$C$13*Assumptions!$C$28^(CK$5-1))*$O83)),0)</f>
        <v>0.78913797048096634</v>
      </c>
      <c r="CM83" s="93">
        <f>IF(AND($T83=1,CM$5&lt;=$H83),CL83*(1-AW83)*(1-MIN(1,MAX(Assumptions!$C$27,Assumptions!$C$13*Assumptions!$C$28^(CL$5-1))*$O83)),0)</f>
        <v>0.72015335197226271</v>
      </c>
      <c r="CN83" s="93">
        <f>IF(AND($T83=1,CN$5&lt;=$H83),CM83*(1-AX83)*(1-MIN(1,MAX(Assumptions!$C$27,Assumptions!$C$13*Assumptions!$C$28^(CM$5-1))*$O83)),0)</f>
        <v>0.66651378449869125</v>
      </c>
      <c r="CO83" s="93">
        <f>IF(AND($T83=1,CO$5&lt;=$H83),CN83*(1-AY83)*(1-MIN(1,MAX(Assumptions!$C$27,Assumptions!$C$13*Assumptions!$C$28^(CN$5-1))*$O83)),0)</f>
        <v>0.62418672412341614</v>
      </c>
      <c r="CP83" s="93">
        <f>IF(AND($T83=1,CP$5&lt;=$H83),CO83*(1-AZ83)*(1-MIN(1,MAX(Assumptions!$C$27,Assumptions!$C$13*Assumptions!$C$28^(CO$5-1))*$O83)),0)</f>
        <v>0.59036178251222526</v>
      </c>
      <c r="CQ83" s="93">
        <f>IF(AND($T83=1,CQ$5&lt;=$H83),CP83*(1-BA83)*(1-MIN(1,MAX(Assumptions!$C$27,Assumptions!$C$13*Assumptions!$C$28^(CP$5-1))*$O83)),0)</f>
        <v>0.5630332623825941</v>
      </c>
      <c r="CR83" s="93">
        <f>IF(AND($T83=1,CR$5&lt;=$H83),CQ83*(1-BB83)*(1-MIN(1,MAX(Assumptions!$C$27,Assumptions!$C$13*Assumptions!$C$28^(CQ$5-1))*$O83)),0)</f>
        <v>0.54073913857489231</v>
      </c>
      <c r="CS83" s="93">
        <f>IF(AND($T83=1,CS$5&lt;=$H83),CR83*(1-BC83)*(1-MIN(1,MAX(Assumptions!$C$27,Assumptions!$C$13*Assumptions!$C$28^(CR$5-1))*$O83)),0)</f>
        <v>0.52239332934331817</v>
      </c>
      <c r="CT83" s="93">
        <f>IF(AND($T83=1,CT$5&lt;=$H83),CS83*(1-BD83)*(1-MIN(1,MAX(Assumptions!$C$27,Assumptions!$C$13*Assumptions!$C$28^(CS$5-1))*$O83)),0)</f>
        <v>0.50717522201573539</v>
      </c>
      <c r="CU83" s="93">
        <f>IF(AND($T83=1,CU$5&lt;=$H83),CT83*(1-BE83)*(1-MIN(1,MAX(Assumptions!$C$27,Assumptions!$C$13*Assumptions!$C$28^(CT$5-1))*$O83)),0)</f>
        <v>0.49445526015893299</v>
      </c>
      <c r="CV83" s="93">
        <f>IF(AND($T83=1,CV$5&lt;=$H83),CU83*(1-BF83)*(1-MIN(1,MAX(Assumptions!$C$27,Assumptions!$C$13*Assumptions!$C$28^(CU$5-1))*$O83)),0)</f>
        <v>0.48374378389114736</v>
      </c>
      <c r="CW83" s="93">
        <f>IF(AND($T83=1,CW$5&lt;=$H83),CV83*(1-BG83)*(1-MIN(1,MAX(Assumptions!$C$27,Assumptions!$C$13*Assumptions!$C$28^(CV$5-1))*$O83)),0)</f>
        <v>0.47323982041238921</v>
      </c>
      <c r="CX83" s="93">
        <f>IF(AND($T83=1,CX$5&lt;=$H83),CW83*(1-BH83)*(1-MIN(1,MAX(Assumptions!$C$27,Assumptions!$C$13*Assumptions!$C$28^(CW$5-1))*$O83)),0)</f>
        <v>0.46289638603433608</v>
      </c>
      <c r="CY83" s="93">
        <f>IF(AND($T83=1,CY$5&lt;=$H83),CX83*(1-BI83)*(1-MIN(1,MAX(Assumptions!$C$27,Assumptions!$C$13*Assumptions!$C$28^(CX$5-1))*$O83)),0)</f>
        <v>0.45270744469258312</v>
      </c>
      <c r="CZ83" s="93">
        <f>IF(AND($T83=1,CZ$5&lt;=$H83),CY83*(1-BJ83)*(1-MIN(1,MAX(Assumptions!$C$27,Assumptions!$C$13*Assumptions!$C$28^(CY$5-1))*$O83)),0)</f>
        <v>0.44266694036868759</v>
      </c>
      <c r="DA83" s="93">
        <f>IF(AND($T83=1,DA$5&lt;=$H83),CZ83*(1-BK83)*(1-MIN(1,MAX(Assumptions!$C$27,Assumptions!$C$13*Assumptions!$C$28^(CZ$5-1))*$O83)),0)</f>
        <v>0.43276879365411675</v>
      </c>
      <c r="DB83" s="93">
        <f>IF(AND($T83=1,DB$5&lt;=$H83),DA83*(1-BL83)*(1-MIN(1,MAX(Assumptions!$C$27,Assumptions!$C$13*Assumptions!$C$28^(DA$5-1))*$O83)),0)</f>
        <v>0.42300689882760972</v>
      </c>
      <c r="DC83" s="93">
        <f>IF(AND($T83=1,DC$5&lt;=$H83),DB83*(1-BM83)*(1-MIN(1,MAX(Assumptions!$C$27,Assumptions!$C$13*Assumptions!$C$28^(DB$5-1))*$O83)),0)</f>
        <v>0.41337512155468642</v>
      </c>
      <c r="DD83" s="93">
        <f>IF(AND($T83=1,DD$5&lt;=$H83),DC83*(1-BN83)*(1-MIN(1,MAX(Assumptions!$C$27,Assumptions!$C$13*Assumptions!$C$28^(DC$5-1))*$O83)),0)</f>
        <v>0</v>
      </c>
      <c r="DE83" s="93">
        <f>IF(AND($T83=1,DE$5&lt;=$H83),DD83*(1-BO83)*(1-MIN(1,MAX(Assumptions!$C$27,Assumptions!$C$13*Assumptions!$C$28^(DD$5-1))*$O83)),0)</f>
        <v>0</v>
      </c>
      <c r="DF83" s="93">
        <f>IF(AND($T83=1,DF$5&lt;=$H83),DE83*(1-BP83)*(1-MIN(1,MAX(Assumptions!$C$27,Assumptions!$C$13*Assumptions!$C$28^(DE$5-1))*$O83)),0)</f>
        <v>0</v>
      </c>
      <c r="DG83" s="93">
        <f>IF(AND($T83=1,DG$5&lt;=$H83),DF83*(1-BQ83)*(1-MIN(1,MAX(Assumptions!$C$27,Assumptions!$C$13*Assumptions!$C$28^(DF$5-1))*$O83)),0)</f>
        <v>0</v>
      </c>
      <c r="DH83" s="93">
        <f>IF(AND($T83=1,DH$5&lt;=$H83),DG83*(1-BR83)*(1-MIN(1,MAX(Assumptions!$C$27,Assumptions!$C$13*Assumptions!$C$28^(DG$5-1))*$O83)),0)</f>
        <v>0</v>
      </c>
      <c r="DI83" s="93">
        <f>IF(AND($T83=1,DI$5&lt;=$H83),DH83*(1-BS83)*(1-MIN(1,MAX(Assumptions!$C$27,Assumptions!$C$13*Assumptions!$C$28^(DH$5-1))*$O83)),0)</f>
        <v>0</v>
      </c>
      <c r="DJ83" s="93">
        <f>IF(AND($T83=1,DJ$5&lt;=$H83),DI83*(1-BT83)*(1-MIN(1,MAX(Assumptions!$C$27,Assumptions!$C$13*Assumptions!$C$28^(DI$5-1))*$O83)),0)</f>
        <v>0</v>
      </c>
      <c r="DK83" s="93">
        <f>IF(AND($T83=1,DK$5&lt;=$H83),DJ83*(1-BU83)*(1-MIN(1,MAX(Assumptions!$C$27,Assumptions!$C$13*Assumptions!$C$28^(DJ$5-1))*$O83)),0)</f>
        <v>0</v>
      </c>
      <c r="DL83" s="93">
        <f>IF(AND($T83=1,DL$5&lt;=$H83),DK83*(1-BV83)*(1-MIN(1,MAX(Assumptions!$C$27,Assumptions!$C$13*Assumptions!$C$28^(DK$5-1))*$O83)),0)</f>
        <v>0</v>
      </c>
      <c r="DM83" s="93">
        <f>IF(AND($T83=1,DM$5&lt;=$H83),DL83*(1-BW83)*(1-MIN(1,MAX(Assumptions!$C$27,Assumptions!$C$13*Assumptions!$C$28^(DL$5-1))*$O83)),0)</f>
        <v>0</v>
      </c>
      <c r="DN83" s="93">
        <f>IF(AND($T83=1,DN$5&lt;=$H83),DM83*(1-BX83)*(1-MIN(1,MAX(Assumptions!$C$27,Assumptions!$C$13*Assumptions!$C$28^(DM$5-1))*$O83)),0)</f>
        <v>0</v>
      </c>
      <c r="DO83" s="93">
        <f>IF(AND($T83=1,DO$5&lt;=$H83),DN83*(1-BY83)*(1-MIN(1,MAX(Assumptions!$C$27,Assumptions!$C$13*Assumptions!$C$28^(DN$5-1))*$O83)),0)</f>
        <v>0</v>
      </c>
      <c r="DP83" s="93">
        <f>IF(AND($T83=1,DP$5&lt;=$H83),DO83*(1-BZ83)*(1-MIN(1,MAX(Assumptions!$C$27,Assumptions!$C$13*Assumptions!$C$28^(DO$5-1))*$O83)),0)</f>
        <v>0</v>
      </c>
      <c r="DQ83" s="93">
        <f>IF(AND($T83=1,DQ$5&lt;=$H83),DP83*(1-CA83)*(1-MIN(1,MAX(Assumptions!$C$27,Assumptions!$C$13*Assumptions!$C$28^(DP$5-1))*$O83)),0)</f>
        <v>0</v>
      </c>
      <c r="DR83" s="93">
        <f>IF(AND($T83=1,DR$5&lt;=$H83),DQ83*(1-CB83)*(1-MIN(1,MAX(Assumptions!$C$27,Assumptions!$C$13*Assumptions!$C$28^(DQ$5-1))*$O83)),0)</f>
        <v>0</v>
      </c>
      <c r="DS83" s="93">
        <f>IF(AND($T83=1,DS$5&lt;=$H83),DR83*(1-CC83)*(1-MIN(1,MAX(Assumptions!$C$27,Assumptions!$C$13*Assumptions!$C$28^(DR$5-1))*$O83)),0)</f>
        <v>0</v>
      </c>
      <c r="DT83" s="93">
        <f>IF(AND($T83=1,DT$5&lt;=$H83),DS83*(1-CD83)*(1-MIN(1,MAX(Assumptions!$C$27,Assumptions!$C$13*Assumptions!$C$28^(DS$5-1))*$O83)),0)</f>
        <v>0</v>
      </c>
      <c r="DU83" s="93">
        <f>IF(AND($T83=1,DU$5&lt;=$H83),DT83*(1-CE83)*(1-MIN(1,MAX(Assumptions!$C$27,Assumptions!$C$13*Assumptions!$C$28^(DT$5-1))*$O83)),0)</f>
        <v>0</v>
      </c>
      <c r="DV83" s="93">
        <f>IF(AND($T83=1,DV$5&lt;=$H83),DU83*(1-CF83)*(1-MIN(1,MAX(Assumptions!$C$27,Assumptions!$C$13*Assumptions!$C$28^(DU$5-1))*$O83)),0)</f>
        <v>0</v>
      </c>
      <c r="DW83" s="94">
        <f>IF(AND($T83=1,DW$5&lt;=$H83),DV83*(1-CG83)*(1-MIN(1,MAX(Assumptions!$C$27,Assumptions!$C$13*Assumptions!$C$28^(DV$5-1))*$O83)),0)</f>
        <v>0</v>
      </c>
      <c r="DX83" s="26"/>
      <c r="DY83" s="399">
        <f>'Policy Data'!K57</f>
        <v>2</v>
      </c>
      <c r="DZ83" s="100">
        <f>'Policy Data'!L57</f>
        <v>0.81379999999999997</v>
      </c>
      <c r="EA83" s="100">
        <f>'Policy Data'!N57</f>
        <v>5.4500000000000002E-4</v>
      </c>
      <c r="EB83" s="93" cm="1">
        <f t="array" ref="EB83">IFERROR(DZ83*INDEX(Mortality!$B$4:$E$64,MATCH(D83+DY83-1,Mortality!$A$4:$A$64,0),U83)*V83,0)</f>
        <v>5.9033372338872638E-4</v>
      </c>
      <c r="EC83" s="100">
        <f>'Policy Data'!O57</f>
        <v>0</v>
      </c>
      <c r="ED83" s="400">
        <f>'Policy Data'!Q57</f>
        <v>0</v>
      </c>
    </row>
    <row r="84" spans="1:134" x14ac:dyDescent="0.3">
      <c r="A84" s="399" t="str">
        <f>'Policy Data'!A58</f>
        <v>POL100054</v>
      </c>
      <c r="B84" s="26" t="s">
        <v>426</v>
      </c>
      <c r="C84" s="100" t="str">
        <f>'Policy Data'!B58</f>
        <v>Term Life</v>
      </c>
      <c r="D84" s="100">
        <f>'Policy Data'!C58</f>
        <v>53</v>
      </c>
      <c r="E84" s="100" t="str">
        <f>'Policy Data'!D58</f>
        <v>Male</v>
      </c>
      <c r="F84" s="100" t="str">
        <f>'Policy Data'!E58</f>
        <v>Non-smoker</v>
      </c>
      <c r="G84" s="100" t="str">
        <f>'Policy Data'!F58</f>
        <v>Standard</v>
      </c>
      <c r="H84" s="100">
        <f>'Policy Data'!G58</f>
        <v>20</v>
      </c>
      <c r="I84" s="279">
        <f>'Policy Data'!H58</f>
        <v>1000000</v>
      </c>
      <c r="J84" s="100" t="str">
        <f>'Policy Data'!I58</f>
        <v>Annual</v>
      </c>
      <c r="K84" s="100" t="str">
        <f>'Policy Data'!J58</f>
        <v>Bancassurance</v>
      </c>
      <c r="L84" s="26" t="s">
        <v>389</v>
      </c>
      <c r="M84" s="106">
        <f>'Policy Data'!R58</f>
        <v>4874.9799999999996</v>
      </c>
      <c r="N84" s="415">
        <f>Assumptions!$C$21</f>
        <v>1</v>
      </c>
      <c r="O84" s="415">
        <f>Assumptions!$C$22</f>
        <v>1</v>
      </c>
      <c r="P84" s="415">
        <f>Assumptions!$C$23</f>
        <v>1</v>
      </c>
      <c r="Q84" s="416">
        <f>Assumptions!$C$24</f>
        <v>0</v>
      </c>
      <c r="R84" s="416">
        <f>Assumptions!$C$6+Assumptions!$C$25</f>
        <v>3.5000000000000003E-2</v>
      </c>
      <c r="S84" s="416">
        <f>Assumptions!$C$15</f>
        <v>1.1000000000000001E-3</v>
      </c>
      <c r="T84" s="26">
        <f t="shared" si="18"/>
        <v>1</v>
      </c>
      <c r="U84" s="26">
        <f t="shared" si="19"/>
        <v>3</v>
      </c>
      <c r="V84" s="389">
        <f>IF($G84="Preferred",Assumptions!$C$30,IF($G84="Rated",Assumptions!$C$31,1))</f>
        <v>1</v>
      </c>
      <c r="W84" s="390">
        <f>IF($K84="Direct",Assumptions!$C$32,IF($K84="Broker",Assumptions!$C$33,IF($K84="Bancassurance",Assumptions!$C$34,Assumptions!$C$11)))+$Q84</f>
        <v>0.2</v>
      </c>
      <c r="X84" s="390">
        <f>Assumptions!$C$12+$Q84</f>
        <v>0.05</v>
      </c>
      <c r="Y84" s="131">
        <f>MIN($I84,Assumptions!$C$14)</f>
        <v>500000</v>
      </c>
      <c r="Z84" s="131">
        <f>MAX($I84-Assumptions!$C$14,0)</f>
        <v>500000</v>
      </c>
      <c r="AA84" s="389">
        <f t="shared" si="20"/>
        <v>8.3317177168909513</v>
      </c>
      <c r="AB84" s="389">
        <f t="shared" si="21"/>
        <v>5.1826081169380589E-2</v>
      </c>
      <c r="AC84" s="389">
        <f>IF($T84=1,SUMPRODUCT($CJ84:$DW84,(1+Assumptions!$C$5)^($CJ$5:$DW$5-1),(1+$R84)^(-$CJ$5:$DW$5)),0)</f>
        <v>11.13319034288835</v>
      </c>
      <c r="AD84" s="389">
        <f t="shared" si="22"/>
        <v>0.56151342207643173</v>
      </c>
      <c r="AE84" s="131">
        <f>IF($T84=1,$AB84*$Y84+(Assumptions!$C$9/(1+$R84)+Assumptions!$C$10*$AC84)*$P84+$S84*$Z84*$AA84,0)</f>
        <v>33814.35242180706</v>
      </c>
      <c r="AF84" s="131">
        <f>IF($T84=1,IF($AA84-$AD84-Assumptions!$C$16*$AA84&gt;0,$AE84/($AA84-$AD84-Assumptions!$C$16*$AA84)*IF($J84="Monthly",1+Assumptions!$C$29,1),"n.a."),"")</f>
        <v>4760.1264255626729</v>
      </c>
      <c r="AG84" s="131">
        <f t="shared" si="23"/>
        <v>4874.9799999999996</v>
      </c>
      <c r="AH84" s="131">
        <f t="shared" si="24"/>
        <v>40616.957235489048</v>
      </c>
      <c r="AI84" s="131">
        <f t="shared" si="25"/>
        <v>4065.2381113278243</v>
      </c>
      <c r="AJ84" s="390">
        <f t="shared" si="26"/>
        <v>0.10008721450399106</v>
      </c>
      <c r="AK84" s="389">
        <f t="shared" si="27"/>
        <v>1.0241282613462834</v>
      </c>
      <c r="AL84" s="131">
        <f t="shared" si="28"/>
        <v>25913.040584690294</v>
      </c>
      <c r="AM84" s="131">
        <f t="shared" si="29"/>
        <v>4582.4447442900237</v>
      </c>
      <c r="AN84" s="131">
        <f t="shared" si="30"/>
        <v>21330.59584040027</v>
      </c>
      <c r="AO84" s="131">
        <f t="shared" si="31"/>
        <v>-17265.357729072446</v>
      </c>
      <c r="AP84" s="26" t="str">
        <f t="shared" si="32"/>
        <v>50-59</v>
      </c>
      <c r="AQ84" s="26" t="str">
        <f t="shared" si="33"/>
        <v>500k-1m</v>
      </c>
      <c r="AR84" s="26" t="str">
        <f>IF($T84=1,IF($AI84&lt;0,"Loss-making",IF($AJ84&lt;Assumptions!$C$16-0.00001,"Below target","At/above target")),"Excluded")</f>
        <v>At/above target</v>
      </c>
      <c r="AS84" s="103">
        <f t="shared" si="34"/>
        <v>4065.2381953278241</v>
      </c>
      <c r="AT84" s="26"/>
      <c r="AU84" s="419">
        <f>IF(AND($T84=1,AU$5&lt;=$H84),INDEX(Mortality!$B$4:$E$64,MATCH($D84+AU$5-1,Mortality!$A$4:$A$64,0),$U84)*$V84*$N84,0)</f>
        <v>3.2584585500813001E-3</v>
      </c>
      <c r="AV84" s="93">
        <f>IF(AND($T84=1,AV$5&lt;=$H84),INDEX(Mortality!$B$4:$E$64,MATCH($D84+AV$5-1,Mortality!$A$4:$A$64,0),$U84)*$V84*$N84,0)</f>
        <v>3.5298460078579601E-3</v>
      </c>
      <c r="AW84" s="93">
        <f>IF(AND($T84=1,AW$5&lt;=$H84),INDEX(Mortality!$B$4:$E$64,MATCH($D84+AW$5-1,Mortality!$A$4:$A$64,0),$U84)*$V84*$N84,0)</f>
        <v>3.8238365311966099E-3</v>
      </c>
      <c r="AX84" s="93">
        <f>IF(AND($T84=1,AX$5&lt;=$H84),INDEX(Mortality!$B$4:$E$64,MATCH($D84+AX$5-1,Mortality!$A$4:$A$64,0),$U84)*$V84*$N84,0)</f>
        <v>4.1423126631483596E-3</v>
      </c>
      <c r="AY84" s="93">
        <f>IF(AND($T84=1,AY$5&lt;=$H84),INDEX(Mortality!$B$4:$E$64,MATCH($D84+AY$5-1,Mortality!$A$4:$A$64,0),$U84)*$V84*$N84,0)</f>
        <v>4.4873137382548398E-3</v>
      </c>
      <c r="AZ84" s="93">
        <f>IF(AND($T84=1,AZ$5&lt;=$H84),INDEX(Mortality!$B$4:$E$64,MATCH($D84+AZ$5-1,Mortality!$A$4:$A$64,0),$U84)*$V84*$N84,0)</f>
        <v>4.8610489412516398E-3</v>
      </c>
      <c r="BA84" s="93">
        <f>IF(AND($T84=1,BA$5&lt;=$H84),INDEX(Mortality!$B$4:$E$64,MATCH($D84+BA$5-1,Mortality!$A$4:$A$64,0),$U84)*$V84*$N84,0)</f>
        <v>5.2659114533929498E-3</v>
      </c>
      <c r="BB84" s="93">
        <f>IF(AND($T84=1,BB$5&lt;=$H84),INDEX(Mortality!$B$4:$E$64,MATCH($D84+BB$5-1,Mortality!$A$4:$A$64,0),$U84)*$V84*$N84,0)</f>
        <v>5.7044937769820296E-3</v>
      </c>
      <c r="BC84" s="93">
        <f>IF(AND($T84=1,BC$5&lt;=$H84),INDEX(Mortality!$B$4:$E$64,MATCH($D84+BC$5-1,Mortality!$A$4:$A$64,0),$U84)*$V84*$N84,0)</f>
        <v>6.1796043362369098E-3</v>
      </c>
      <c r="BD84" s="93">
        <f>IF(AND($T84=1,BD$5&lt;=$H84),INDEX(Mortality!$B$4:$E$64,MATCH($D84+BD$5-1,Mortality!$A$4:$A$64,0),$U84)*$V84*$N84,0)</f>
        <v>6.6942854607935399E-3</v>
      </c>
      <c r="BE84" s="93">
        <f>IF(AND($T84=1,BE$5&lt;=$H84),INDEX(Mortality!$B$4:$E$64,MATCH($D84+BE$5-1,Mortality!$A$4:$A$64,0),$U84)*$V84*$N84,0)</f>
        <v>7.2518328670021504E-3</v>
      </c>
      <c r="BF84" s="93">
        <f>IF(AND($T84=1,BF$5&lt;=$H84),INDEX(Mortality!$B$4:$E$64,MATCH($D84+BF$5-1,Mortality!$A$4:$A$64,0),$U84)*$V84*$N84,0)</f>
        <v>7.8558167617636399E-3</v>
      </c>
      <c r="BG84" s="93">
        <f>IF(AND($T84=1,BG$5&lt;=$H84),INDEX(Mortality!$B$4:$E$64,MATCH($D84+BG$5-1,Mortality!$A$4:$A$64,0),$U84)*$V84*$N84,0)</f>
        <v>8.5101047040427192E-3</v>
      </c>
      <c r="BH84" s="93">
        <f>IF(AND($T84=1,BH$5&lt;=$H84),INDEX(Mortality!$B$4:$E$64,MATCH($D84+BH$5-1,Mortality!$A$4:$A$64,0),$U84)*$V84*$N84,0)</f>
        <v>9.2188863704493092E-3</v>
      </c>
      <c r="BI84" s="93">
        <f>IF(AND($T84=1,BI$5&lt;=$H84),INDEX(Mortality!$B$4:$E$64,MATCH($D84+BI$5-1,Mortality!$A$4:$A$64,0),$U84)*$V84*$N84,0)</f>
        <v>9.9867003834726801E-3</v>
      </c>
      <c r="BJ84" s="93">
        <f>IF(AND($T84=1,BJ$5&lt;=$H84),INDEX(Mortality!$B$4:$E$64,MATCH($D84+BJ$5-1,Mortality!$A$4:$A$64,0),$U84)*$V84*$N84,0)</f>
        <v>1.08184633741605E-2</v>
      </c>
      <c r="BK84" s="93">
        <f>IF(AND($T84=1,BK$5&lt;=$H84),INDEX(Mortality!$B$4:$E$64,MATCH($D84+BK$5-1,Mortality!$A$4:$A$64,0),$U84)*$V84*$N84,0)</f>
        <v>1.1719501465343301E-2</v>
      </c>
      <c r="BL84" s="93">
        <f>IF(AND($T84=1,BL$5&lt;=$H84),INDEX(Mortality!$B$4:$E$64,MATCH($D84+BL$5-1,Mortality!$A$4:$A$64,0),$U84)*$V84*$N84,0)</f>
        <v>1.2695584377004099E-2</v>
      </c>
      <c r="BM84" s="93">
        <f>IF(AND($T84=1,BM$5&lt;=$H84),INDEX(Mortality!$B$4:$E$64,MATCH($D84+BM$5-1,Mortality!$A$4:$A$64,0),$U84)*$V84*$N84,0)</f>
        <v>1.3752962372184801E-2</v>
      </c>
      <c r="BN84" s="93">
        <f>IF(AND($T84=1,BN$5&lt;=$H84),INDEX(Mortality!$B$4:$E$64,MATCH($D84+BN$5-1,Mortality!$A$4:$A$64,0),$U84)*$V84*$N84,0)</f>
        <v>1.4898406280008099E-2</v>
      </c>
      <c r="BO84" s="93">
        <f>IF(AND($T84=1,BO$5&lt;=$H84),INDEX(Mortality!$B$4:$E$64,MATCH($D84+BO$5-1,Mortality!$A$4:$A$64,0),$U84)*$V84*$N84,0)</f>
        <v>0</v>
      </c>
      <c r="BP84" s="93">
        <f>IF(AND($T84=1,BP$5&lt;=$H84),INDEX(Mortality!$B$4:$E$64,MATCH($D84+BP$5-1,Mortality!$A$4:$A$64,0),$U84)*$V84*$N84,0)</f>
        <v>0</v>
      </c>
      <c r="BQ84" s="93">
        <f>IF(AND($T84=1,BQ$5&lt;=$H84),INDEX(Mortality!$B$4:$E$64,MATCH($D84+BQ$5-1,Mortality!$A$4:$A$64,0),$U84)*$V84*$N84,0)</f>
        <v>0</v>
      </c>
      <c r="BR84" s="93">
        <f>IF(AND($T84=1,BR$5&lt;=$H84),INDEX(Mortality!$B$4:$E$64,MATCH($D84+BR$5-1,Mortality!$A$4:$A$64,0),$U84)*$V84*$N84,0)</f>
        <v>0</v>
      </c>
      <c r="BS84" s="93">
        <f>IF(AND($T84=1,BS$5&lt;=$H84),INDEX(Mortality!$B$4:$E$64,MATCH($D84+BS$5-1,Mortality!$A$4:$A$64,0),$U84)*$V84*$N84,0)</f>
        <v>0</v>
      </c>
      <c r="BT84" s="93">
        <f>IF(AND($T84=1,BT$5&lt;=$H84),INDEX(Mortality!$B$4:$E$64,MATCH($D84+BT$5-1,Mortality!$A$4:$A$64,0),$U84)*$V84*$N84,0)</f>
        <v>0</v>
      </c>
      <c r="BU84" s="93">
        <f>IF(AND($T84=1,BU$5&lt;=$H84),INDEX(Mortality!$B$4:$E$64,MATCH($D84+BU$5-1,Mortality!$A$4:$A$64,0),$U84)*$V84*$N84,0)</f>
        <v>0</v>
      </c>
      <c r="BV84" s="93">
        <f>IF(AND($T84=1,BV$5&lt;=$H84),INDEX(Mortality!$B$4:$E$64,MATCH($D84+BV$5-1,Mortality!$A$4:$A$64,0),$U84)*$V84*$N84,0)</f>
        <v>0</v>
      </c>
      <c r="BW84" s="93">
        <f>IF(AND($T84=1,BW$5&lt;=$H84),INDEX(Mortality!$B$4:$E$64,MATCH($D84+BW$5-1,Mortality!$A$4:$A$64,0),$U84)*$V84*$N84,0)</f>
        <v>0</v>
      </c>
      <c r="BX84" s="93">
        <f>IF(AND($T84=1,BX$5&lt;=$H84),INDEX(Mortality!$B$4:$E$64,MATCH($D84+BX$5-1,Mortality!$A$4:$A$64,0),$U84)*$V84*$N84,0)</f>
        <v>0</v>
      </c>
      <c r="BY84" s="93">
        <f>IF(AND($T84=1,BY$5&lt;=$H84),INDEX(Mortality!$B$4:$E$64,MATCH($D84+BY$5-1,Mortality!$A$4:$A$64,0),$U84)*$V84*$N84,0)</f>
        <v>0</v>
      </c>
      <c r="BZ84" s="93">
        <f>IF(AND($T84=1,BZ$5&lt;=$H84),INDEX(Mortality!$B$4:$E$64,MATCH($D84+BZ$5-1,Mortality!$A$4:$A$64,0),$U84)*$V84*$N84,0)</f>
        <v>0</v>
      </c>
      <c r="CA84" s="93">
        <f>IF(AND($T84=1,CA$5&lt;=$H84),INDEX(Mortality!$B$4:$E$64,MATCH($D84+CA$5-1,Mortality!$A$4:$A$64,0),$U84)*$V84*$N84,0)</f>
        <v>0</v>
      </c>
      <c r="CB84" s="93">
        <f>IF(AND($T84=1,CB$5&lt;=$H84),INDEX(Mortality!$B$4:$E$64,MATCH($D84+CB$5-1,Mortality!$A$4:$A$64,0),$U84)*$V84*$N84,0)</f>
        <v>0</v>
      </c>
      <c r="CC84" s="93">
        <f>IF(AND($T84=1,CC$5&lt;=$H84),INDEX(Mortality!$B$4:$E$64,MATCH($D84+CC$5-1,Mortality!$A$4:$A$64,0),$U84)*$V84*$N84,0)</f>
        <v>0</v>
      </c>
      <c r="CD84" s="93">
        <f>IF(AND($T84=1,CD$5&lt;=$H84),INDEX(Mortality!$B$4:$E$64,MATCH($D84+CD$5-1,Mortality!$A$4:$A$64,0),$U84)*$V84*$N84,0)</f>
        <v>0</v>
      </c>
      <c r="CE84" s="93">
        <f>IF(AND($T84=1,CE$5&lt;=$H84),INDEX(Mortality!$B$4:$E$64,MATCH($D84+CE$5-1,Mortality!$A$4:$A$64,0),$U84)*$V84*$N84,0)</f>
        <v>0</v>
      </c>
      <c r="CF84" s="93">
        <f>IF(AND($T84=1,CF$5&lt;=$H84),INDEX(Mortality!$B$4:$E$64,MATCH($D84+CF$5-1,Mortality!$A$4:$A$64,0),$U84)*$V84*$N84,0)</f>
        <v>0</v>
      </c>
      <c r="CG84" s="93">
        <f>IF(AND($T84=1,CG$5&lt;=$H84),INDEX(Mortality!$B$4:$E$64,MATCH($D84+CG$5-1,Mortality!$A$4:$A$64,0),$U84)*$V84*$N84,0)</f>
        <v>0</v>
      </c>
      <c r="CH84" s="94">
        <f>IF(AND($T84=1,CH$5&lt;=$H84),INDEX(Mortality!$B$4:$E$64,MATCH($D84+CH$5-1,Mortality!$A$4:$A$64,0),$U84)*$V84*$N84,0)</f>
        <v>0</v>
      </c>
      <c r="CI84" s="26"/>
      <c r="CJ84" s="419">
        <f t="shared" si="35"/>
        <v>1</v>
      </c>
      <c r="CK84" s="93">
        <f>IF(AND($T84=1,CK$5&lt;=$H84),CJ84*(1-AU84)*(1-MIN(1,MAX(Assumptions!$C$27,Assumptions!$C$13*Assumptions!$C$28^(CJ$5-1))*$O84)),0)</f>
        <v>0.87713255647592847</v>
      </c>
      <c r="CL84" s="93">
        <f>IF(AND($T84=1,CL$5&lt;=$H84),CK84*(1-AV84)*(1-MIN(1,MAX(Assumptions!$C$27,Assumptions!$C$13*Assumptions!$C$28^(CK$5-1))*$O84)),0)</f>
        <v>0.78488469943353445</v>
      </c>
      <c r="CM84" s="93">
        <f>IF(AND($T84=1,CM$5&lt;=$H84),CL84*(1-AW84)*(1-MIN(1,MAX(Assumptions!$C$27,Assumptions!$C$13*Assumptions!$C$28^(CL$5-1))*$O84)),0)</f>
        <v>0.71409413538336286</v>
      </c>
      <c r="CN84" s="93">
        <f>IF(AND($T84=1,CN$5&lt;=$H84),CM84*(1-AX84)*(1-MIN(1,MAX(Assumptions!$C$27,Assumptions!$C$13*Assumptions!$C$28^(CM$5-1))*$O84)),0)</f>
        <v>0.65872895679354393</v>
      </c>
      <c r="CO84" s="93">
        <f>IF(AND($T84=1,CO$5&lt;=$H84),CN84*(1-AY84)*(1-MIN(1,MAX(Assumptions!$C$27,Assumptions!$C$13*Assumptions!$C$28^(CN$5-1))*$O84)),0)</f>
        <v>0.61469491866050541</v>
      </c>
      <c r="CP84" s="93">
        <f>IF(AND($T84=1,CP$5&lt;=$H84),CO84*(1-AZ84)*(1-MIN(1,MAX(Assumptions!$C$27,Assumptions!$C$13*Assumptions!$C$28^(CO$5-1))*$O84)),0)</f>
        <v>0.57913674674225335</v>
      </c>
      <c r="CQ84" s="93">
        <f>IF(AND($T84=1,CQ$5&lt;=$H84),CP84*(1-BA84)*(1-MIN(1,MAX(Assumptions!$C$27,Assumptions!$C$13*Assumptions!$C$28^(CP$5-1))*$O84)),0)</f>
        <v>0.55001454906092062</v>
      </c>
      <c r="CR84" s="93">
        <f>IF(AND($T84=1,CR$5&lt;=$H84),CQ84*(1-BB84)*(1-MIN(1,MAX(Assumptions!$C$27,Assumptions!$C$13*Assumptions!$C$28^(CQ$5-1))*$O84)),0)</f>
        <v>0.525839046343616</v>
      </c>
      <c r="CS84" s="93">
        <f>IF(AND($T84=1,CS$5&lt;=$H84),CR84*(1-BC84)*(1-MIN(1,MAX(Assumptions!$C$27,Assumptions!$C$13*Assumptions!$C$28^(CR$5-1))*$O84)),0)</f>
        <v>0.50550148436522846</v>
      </c>
      <c r="CT84" s="93">
        <f>IF(AND($T84=1,CT$5&lt;=$H84),CS84*(1-BD84)*(1-MIN(1,MAX(Assumptions!$C$27,Assumptions!$C$13*Assumptions!$C$28^(CS$5-1))*$O84)),0)</f>
        <v>0.48816164212010904</v>
      </c>
      <c r="CU84" s="93">
        <f>IF(AND($T84=1,CU$5&lt;=$H84),CT84*(1-BE84)*(1-MIN(1,MAX(Assumptions!$C$27,Assumptions!$C$13*Assumptions!$C$28^(CT$5-1))*$O84)),0)</f>
        <v>0.47317242539899301</v>
      </c>
      <c r="CV84" s="93">
        <f>IF(AND($T84=1,CV$5&lt;=$H84),CU84*(1-BF84)*(1-MIN(1,MAX(Assumptions!$C$27,Assumptions!$C$13*Assumptions!$C$28^(CU$5-1))*$O84)),0)</f>
        <v>0.46002804941993275</v>
      </c>
      <c r="CW84" s="93">
        <f>IF(AND($T84=1,CW$5&lt;=$H84),CV84*(1-BG84)*(1-MIN(1,MAX(Assumptions!$C$27,Assumptions!$C$13*Assumptions!$C$28^(CV$5-1))*$O84)),0)</f>
        <v>0.44699089930152114</v>
      </c>
      <c r="CX84" s="93">
        <f>IF(AND($T84=1,CX$5&lt;=$H84),CW84*(1-BH84)*(1-MIN(1,MAX(Assumptions!$C$27,Assumptions!$C$13*Assumptions!$C$28^(CW$5-1))*$O84)),0)</f>
        <v>0.43401273817239078</v>
      </c>
      <c r="CY84" s="93">
        <f>IF(AND($T84=1,CY$5&lt;=$H84),CX84*(1-BI84)*(1-MIN(1,MAX(Assumptions!$C$27,Assumptions!$C$13*Assumptions!$C$28^(CX$5-1))*$O84)),0)</f>
        <v>0.42108481533377945</v>
      </c>
      <c r="CZ84" s="93">
        <f>IF(AND($T84=1,CZ$5&lt;=$H84),CY84*(1-BJ84)*(1-MIN(1,MAX(Assumptions!$C$27,Assumptions!$C$13*Assumptions!$C$28^(CY$5-1))*$O84)),0)</f>
        <v>0.40819873818804231</v>
      </c>
      <c r="DA84" s="93">
        <f>IF(AND($T84=1,DA$5&lt;=$H84),CZ84*(1-BK84)*(1-MIN(1,MAX(Assumptions!$C$27,Assumptions!$C$13*Assumptions!$C$28^(CZ$5-1))*$O84)),0)</f>
        <v>0.39534655542814234</v>
      </c>
      <c r="DB84" s="93">
        <f>IF(AND($T84=1,DB$5&lt;=$H84),DA84*(1-BL84)*(1-MIN(1,MAX(Assumptions!$C$27,Assumptions!$C$13*Assumptions!$C$28^(DA$5-1))*$O84)),0)</f>
        <v>0.38252085187803547</v>
      </c>
      <c r="DC84" s="93">
        <f>IF(AND($T84=1,DC$5&lt;=$H84),DB84*(1-BM84)*(1-MIN(1,MAX(Assumptions!$C$27,Assumptions!$C$13*Assumptions!$C$28^(DB$5-1))*$O84)),0)</f>
        <v>0.36971485585566916</v>
      </c>
      <c r="DD84" s="93">
        <f>IF(AND($T84=1,DD$5&lt;=$H84),DC84*(1-BN84)*(1-MIN(1,MAX(Assumptions!$C$27,Assumptions!$C$13*Assumptions!$C$28^(DC$5-1))*$O84)),0)</f>
        <v>0</v>
      </c>
      <c r="DE84" s="93">
        <f>IF(AND($T84=1,DE$5&lt;=$H84),DD84*(1-BO84)*(1-MIN(1,MAX(Assumptions!$C$27,Assumptions!$C$13*Assumptions!$C$28^(DD$5-1))*$O84)),0)</f>
        <v>0</v>
      </c>
      <c r="DF84" s="93">
        <f>IF(AND($T84=1,DF$5&lt;=$H84),DE84*(1-BP84)*(1-MIN(1,MAX(Assumptions!$C$27,Assumptions!$C$13*Assumptions!$C$28^(DE$5-1))*$O84)),0)</f>
        <v>0</v>
      </c>
      <c r="DG84" s="93">
        <f>IF(AND($T84=1,DG$5&lt;=$H84),DF84*(1-BQ84)*(1-MIN(1,MAX(Assumptions!$C$27,Assumptions!$C$13*Assumptions!$C$28^(DF$5-1))*$O84)),0)</f>
        <v>0</v>
      </c>
      <c r="DH84" s="93">
        <f>IF(AND($T84=1,DH$5&lt;=$H84),DG84*(1-BR84)*(1-MIN(1,MAX(Assumptions!$C$27,Assumptions!$C$13*Assumptions!$C$28^(DG$5-1))*$O84)),0)</f>
        <v>0</v>
      </c>
      <c r="DI84" s="93">
        <f>IF(AND($T84=1,DI$5&lt;=$H84),DH84*(1-BS84)*(1-MIN(1,MAX(Assumptions!$C$27,Assumptions!$C$13*Assumptions!$C$28^(DH$5-1))*$O84)),0)</f>
        <v>0</v>
      </c>
      <c r="DJ84" s="93">
        <f>IF(AND($T84=1,DJ$5&lt;=$H84),DI84*(1-BT84)*(1-MIN(1,MAX(Assumptions!$C$27,Assumptions!$C$13*Assumptions!$C$28^(DI$5-1))*$O84)),0)</f>
        <v>0</v>
      </c>
      <c r="DK84" s="93">
        <f>IF(AND($T84=1,DK$5&lt;=$H84),DJ84*(1-BU84)*(1-MIN(1,MAX(Assumptions!$C$27,Assumptions!$C$13*Assumptions!$C$28^(DJ$5-1))*$O84)),0)</f>
        <v>0</v>
      </c>
      <c r="DL84" s="93">
        <f>IF(AND($T84=1,DL$5&lt;=$H84),DK84*(1-BV84)*(1-MIN(1,MAX(Assumptions!$C$27,Assumptions!$C$13*Assumptions!$C$28^(DK$5-1))*$O84)),0)</f>
        <v>0</v>
      </c>
      <c r="DM84" s="93">
        <f>IF(AND($T84=1,DM$5&lt;=$H84),DL84*(1-BW84)*(1-MIN(1,MAX(Assumptions!$C$27,Assumptions!$C$13*Assumptions!$C$28^(DL$5-1))*$O84)),0)</f>
        <v>0</v>
      </c>
      <c r="DN84" s="93">
        <f>IF(AND($T84=1,DN$5&lt;=$H84),DM84*(1-BX84)*(1-MIN(1,MAX(Assumptions!$C$27,Assumptions!$C$13*Assumptions!$C$28^(DM$5-1))*$O84)),0)</f>
        <v>0</v>
      </c>
      <c r="DO84" s="93">
        <f>IF(AND($T84=1,DO$5&lt;=$H84),DN84*(1-BY84)*(1-MIN(1,MAX(Assumptions!$C$27,Assumptions!$C$13*Assumptions!$C$28^(DN$5-1))*$O84)),0)</f>
        <v>0</v>
      </c>
      <c r="DP84" s="93">
        <f>IF(AND($T84=1,DP$5&lt;=$H84),DO84*(1-BZ84)*(1-MIN(1,MAX(Assumptions!$C$27,Assumptions!$C$13*Assumptions!$C$28^(DO$5-1))*$O84)),0)</f>
        <v>0</v>
      </c>
      <c r="DQ84" s="93">
        <f>IF(AND($T84=1,DQ$5&lt;=$H84),DP84*(1-CA84)*(1-MIN(1,MAX(Assumptions!$C$27,Assumptions!$C$13*Assumptions!$C$28^(DP$5-1))*$O84)),0)</f>
        <v>0</v>
      </c>
      <c r="DR84" s="93">
        <f>IF(AND($T84=1,DR$5&lt;=$H84),DQ84*(1-CB84)*(1-MIN(1,MAX(Assumptions!$C$27,Assumptions!$C$13*Assumptions!$C$28^(DQ$5-1))*$O84)),0)</f>
        <v>0</v>
      </c>
      <c r="DS84" s="93">
        <f>IF(AND($T84=1,DS$5&lt;=$H84),DR84*(1-CC84)*(1-MIN(1,MAX(Assumptions!$C$27,Assumptions!$C$13*Assumptions!$C$28^(DR$5-1))*$O84)),0)</f>
        <v>0</v>
      </c>
      <c r="DT84" s="93">
        <f>IF(AND($T84=1,DT$5&lt;=$H84),DS84*(1-CD84)*(1-MIN(1,MAX(Assumptions!$C$27,Assumptions!$C$13*Assumptions!$C$28^(DS$5-1))*$O84)),0)</f>
        <v>0</v>
      </c>
      <c r="DU84" s="93">
        <f>IF(AND($T84=1,DU$5&lt;=$H84),DT84*(1-CE84)*(1-MIN(1,MAX(Assumptions!$C$27,Assumptions!$C$13*Assumptions!$C$28^(DT$5-1))*$O84)),0)</f>
        <v>0</v>
      </c>
      <c r="DV84" s="93">
        <f>IF(AND($T84=1,DV$5&lt;=$H84),DU84*(1-CF84)*(1-MIN(1,MAX(Assumptions!$C$27,Assumptions!$C$13*Assumptions!$C$28^(DU$5-1))*$O84)),0)</f>
        <v>0</v>
      </c>
      <c r="DW84" s="94">
        <f>IF(AND($T84=1,DW$5&lt;=$H84),DV84*(1-CG84)*(1-MIN(1,MAX(Assumptions!$C$27,Assumptions!$C$13*Assumptions!$C$28^(DV$5-1))*$O84)),0)</f>
        <v>0</v>
      </c>
      <c r="DX84" s="26"/>
      <c r="DY84" s="399">
        <f>'Policy Data'!K58</f>
        <v>1</v>
      </c>
      <c r="DZ84" s="100">
        <f>'Policy Data'!L58</f>
        <v>0.55579999999999996</v>
      </c>
      <c r="EA84" s="100">
        <f>'Policy Data'!N58</f>
        <v>1.8109999999999999E-3</v>
      </c>
      <c r="EB84" s="93" cm="1">
        <f t="array" ref="EB84">IFERROR(DZ84*INDEX(Mortality!$B$4:$E$64,MATCH(D84+DY84-1,Mortality!$A$4:$A$64,0),U84)*V84,0)</f>
        <v>1.8110512621351865E-3</v>
      </c>
      <c r="EC84" s="100">
        <f>'Policy Data'!O58</f>
        <v>0</v>
      </c>
      <c r="ED84" s="400">
        <f>'Policy Data'!Q58</f>
        <v>0</v>
      </c>
    </row>
    <row r="85" spans="1:134" x14ac:dyDescent="0.3">
      <c r="A85" s="399" t="str">
        <f>'Policy Data'!A59</f>
        <v>POL100055</v>
      </c>
      <c r="B85" s="26" t="s">
        <v>426</v>
      </c>
      <c r="C85" s="100" t="str">
        <f>'Policy Data'!B59</f>
        <v>Term Life</v>
      </c>
      <c r="D85" s="100">
        <f>'Policy Data'!C59</f>
        <v>51</v>
      </c>
      <c r="E85" s="100" t="str">
        <f>'Policy Data'!D59</f>
        <v>Male</v>
      </c>
      <c r="F85" s="100" t="str">
        <f>'Policy Data'!E59</f>
        <v>Non-smoker</v>
      </c>
      <c r="G85" s="100" t="str">
        <f>'Policy Data'!F59</f>
        <v>Standard</v>
      </c>
      <c r="H85" s="100">
        <f>'Policy Data'!G59</f>
        <v>10</v>
      </c>
      <c r="I85" s="279">
        <f>'Policy Data'!H59</f>
        <v>500000</v>
      </c>
      <c r="J85" s="100" t="str">
        <f>'Policy Data'!I59</f>
        <v>Monthly</v>
      </c>
      <c r="K85" s="100" t="str">
        <f>'Policy Data'!J59</f>
        <v>Direct</v>
      </c>
      <c r="L85" s="26" t="s">
        <v>389</v>
      </c>
      <c r="M85" s="106">
        <f>'Policy Data'!R59</f>
        <v>2393.2399999999998</v>
      </c>
      <c r="N85" s="415">
        <f>Assumptions!$C$21</f>
        <v>1</v>
      </c>
      <c r="O85" s="415">
        <f>Assumptions!$C$22</f>
        <v>1</v>
      </c>
      <c r="P85" s="415">
        <f>Assumptions!$C$23</f>
        <v>1</v>
      </c>
      <c r="Q85" s="416">
        <f>Assumptions!$C$24</f>
        <v>0</v>
      </c>
      <c r="R85" s="416">
        <f>Assumptions!$C$6+Assumptions!$C$25</f>
        <v>3.5000000000000003E-2</v>
      </c>
      <c r="S85" s="416">
        <f>Assumptions!$C$15</f>
        <v>1.1000000000000001E-3</v>
      </c>
      <c r="T85" s="26">
        <f t="shared" si="18"/>
        <v>1</v>
      </c>
      <c r="U85" s="26">
        <f t="shared" si="19"/>
        <v>3</v>
      </c>
      <c r="V85" s="389">
        <f>IF($G85="Preferred",Assumptions!$C$30,IF($G85="Rated",Assumptions!$C$31,1))</f>
        <v>1</v>
      </c>
      <c r="W85" s="390">
        <f>IF($K85="Direct",Assumptions!$C$32,IF($K85="Broker",Assumptions!$C$33,IF($K85="Bancassurance",Assumptions!$C$34,Assumptions!$C$11)))+$Q85</f>
        <v>0.1</v>
      </c>
      <c r="X85" s="390">
        <f>Assumptions!$C$12+$Q85</f>
        <v>0.05</v>
      </c>
      <c r="Y85" s="131">
        <f>MIN($I85,Assumptions!$C$14)</f>
        <v>500000</v>
      </c>
      <c r="Z85" s="131">
        <f>MAX($I85-Assumptions!$C$14,0)</f>
        <v>0</v>
      </c>
      <c r="AA85" s="389">
        <f t="shared" si="20"/>
        <v>5.7993710547093071</v>
      </c>
      <c r="AB85" s="389">
        <f t="shared" si="21"/>
        <v>2.2047137074083234E-2</v>
      </c>
      <c r="AC85" s="389">
        <f>IF($T85=1,SUMPRODUCT($CJ85:$DW85,(1+Assumptions!$C$5)^($CJ$5:$DW$5-1),(1+$R85)^(-$CJ$5:$DW$5)),0)</f>
        <v>6.7201695450631806</v>
      </c>
      <c r="AD85" s="389">
        <f t="shared" si="22"/>
        <v>0.33827773147942675</v>
      </c>
      <c r="AE85" s="131">
        <f>IF($T85=1,$AB85*$Y85+(Assumptions!$C$9/(1+$R85)+Assumptions!$C$10*$AC85)*$P85+$S85*$Z85*$AA85,0)</f>
        <v>13371.571054346821</v>
      </c>
      <c r="AF85" s="131">
        <f>IF($T85=1,IF($AA85-$AD85-Assumptions!$C$16*$AA85&gt;0,$AE85/($AA85-$AD85-Assumptions!$C$16*$AA85)*IF($J85="Monthly",1+Assumptions!$C$29,1),"n.a."),"")</f>
        <v>2756.1181309445251</v>
      </c>
      <c r="AG85" s="131">
        <f t="shared" si="23"/>
        <v>2393.2399999999998</v>
      </c>
      <c r="AH85" s="131">
        <f t="shared" si="24"/>
        <v>13879.2867829725</v>
      </c>
      <c r="AI85" s="131">
        <f t="shared" si="25"/>
        <v>-301.86406946014358</v>
      </c>
      <c r="AJ85" s="390">
        <f t="shared" si="26"/>
        <v>-2.1749249380053081E-2</v>
      </c>
      <c r="AK85" s="389">
        <f t="shared" si="27"/>
        <v>0.86833723603125579</v>
      </c>
      <c r="AL85" s="131">
        <f t="shared" si="28"/>
        <v>0</v>
      </c>
      <c r="AM85" s="131">
        <f t="shared" si="29"/>
        <v>0</v>
      </c>
      <c r="AN85" s="131">
        <f t="shared" si="30"/>
        <v>0</v>
      </c>
      <c r="AO85" s="131">
        <f t="shared" si="31"/>
        <v>-301.86406946014358</v>
      </c>
      <c r="AP85" s="26" t="str">
        <f t="shared" si="32"/>
        <v>50-59</v>
      </c>
      <c r="AQ85" s="26" t="str">
        <f t="shared" si="33"/>
        <v>250k-500k</v>
      </c>
      <c r="AR85" s="26" t="str">
        <f>IF($T85=1,IF($AI85&lt;0,"Loss-making",IF($AJ85&lt;Assumptions!$C$16-0.00001,"Below target","At/above target")),"Excluded")</f>
        <v>Loss-making</v>
      </c>
      <c r="AS85" s="103">
        <f t="shared" si="34"/>
        <v>-301.86398446014357</v>
      </c>
      <c r="AT85" s="26"/>
      <c r="AU85" s="419">
        <f>IF(AND($T85=1,AU$5&lt;=$H85),INDEX(Mortality!$B$4:$E$64,MATCH($D85+AU$5-1,Mortality!$A$4:$A$64,0),$U85)*$V85*$N85,0)</f>
        <v>2.7766752150556202E-3</v>
      </c>
      <c r="AV85" s="93">
        <f>IF(AND($T85=1,AV$5&lt;=$H85),INDEX(Mortality!$B$4:$E$64,MATCH($D85+AV$5-1,Mortality!$A$4:$A$64,0),$U85)*$V85*$N85,0)</f>
        <v>3.0079363516033399E-3</v>
      </c>
      <c r="AW85" s="93">
        <f>IF(AND($T85=1,AW$5&lt;=$H85),INDEX(Mortality!$B$4:$E$64,MATCH($D85+AW$5-1,Mortality!$A$4:$A$64,0),$U85)*$V85*$N85,0)</f>
        <v>3.2584585500813001E-3</v>
      </c>
      <c r="AX85" s="93">
        <f>IF(AND($T85=1,AX$5&lt;=$H85),INDEX(Mortality!$B$4:$E$64,MATCH($D85+AX$5-1,Mortality!$A$4:$A$64,0),$U85)*$V85*$N85,0)</f>
        <v>3.5298460078579601E-3</v>
      </c>
      <c r="AY85" s="93">
        <f>IF(AND($T85=1,AY$5&lt;=$H85),INDEX(Mortality!$B$4:$E$64,MATCH($D85+AY$5-1,Mortality!$A$4:$A$64,0),$U85)*$V85*$N85,0)</f>
        <v>3.8238365311966099E-3</v>
      </c>
      <c r="AZ85" s="93">
        <f>IF(AND($T85=1,AZ$5&lt;=$H85),INDEX(Mortality!$B$4:$E$64,MATCH($D85+AZ$5-1,Mortality!$A$4:$A$64,0),$U85)*$V85*$N85,0)</f>
        <v>4.1423126631483596E-3</v>
      </c>
      <c r="BA85" s="93">
        <f>IF(AND($T85=1,BA$5&lt;=$H85),INDEX(Mortality!$B$4:$E$64,MATCH($D85+BA$5-1,Mortality!$A$4:$A$64,0),$U85)*$V85*$N85,0)</f>
        <v>4.4873137382548398E-3</v>
      </c>
      <c r="BB85" s="93">
        <f>IF(AND($T85=1,BB$5&lt;=$H85),INDEX(Mortality!$B$4:$E$64,MATCH($D85+BB$5-1,Mortality!$A$4:$A$64,0),$U85)*$V85*$N85,0)</f>
        <v>4.8610489412516398E-3</v>
      </c>
      <c r="BC85" s="93">
        <f>IF(AND($T85=1,BC$5&lt;=$H85),INDEX(Mortality!$B$4:$E$64,MATCH($D85+BC$5-1,Mortality!$A$4:$A$64,0),$U85)*$V85*$N85,0)</f>
        <v>5.2659114533929498E-3</v>
      </c>
      <c r="BD85" s="93">
        <f>IF(AND($T85=1,BD$5&lt;=$H85),INDEX(Mortality!$B$4:$E$64,MATCH($D85+BD$5-1,Mortality!$A$4:$A$64,0),$U85)*$V85*$N85,0)</f>
        <v>5.7044937769820296E-3</v>
      </c>
      <c r="BE85" s="93">
        <f>IF(AND($T85=1,BE$5&lt;=$H85),INDEX(Mortality!$B$4:$E$64,MATCH($D85+BE$5-1,Mortality!$A$4:$A$64,0),$U85)*$V85*$N85,0)</f>
        <v>0</v>
      </c>
      <c r="BF85" s="93">
        <f>IF(AND($T85=1,BF$5&lt;=$H85),INDEX(Mortality!$B$4:$E$64,MATCH($D85+BF$5-1,Mortality!$A$4:$A$64,0),$U85)*$V85*$N85,0)</f>
        <v>0</v>
      </c>
      <c r="BG85" s="93">
        <f>IF(AND($T85=1,BG$5&lt;=$H85),INDEX(Mortality!$B$4:$E$64,MATCH($D85+BG$5-1,Mortality!$A$4:$A$64,0),$U85)*$V85*$N85,0)</f>
        <v>0</v>
      </c>
      <c r="BH85" s="93">
        <f>IF(AND($T85=1,BH$5&lt;=$H85),INDEX(Mortality!$B$4:$E$64,MATCH($D85+BH$5-1,Mortality!$A$4:$A$64,0),$U85)*$V85*$N85,0)</f>
        <v>0</v>
      </c>
      <c r="BI85" s="93">
        <f>IF(AND($T85=1,BI$5&lt;=$H85),INDEX(Mortality!$B$4:$E$64,MATCH($D85+BI$5-1,Mortality!$A$4:$A$64,0),$U85)*$V85*$N85,0)</f>
        <v>0</v>
      </c>
      <c r="BJ85" s="93">
        <f>IF(AND($T85=1,BJ$5&lt;=$H85),INDEX(Mortality!$B$4:$E$64,MATCH($D85+BJ$5-1,Mortality!$A$4:$A$64,0),$U85)*$V85*$N85,0)</f>
        <v>0</v>
      </c>
      <c r="BK85" s="93">
        <f>IF(AND($T85=1,BK$5&lt;=$H85),INDEX(Mortality!$B$4:$E$64,MATCH($D85+BK$5-1,Mortality!$A$4:$A$64,0),$U85)*$V85*$N85,0)</f>
        <v>0</v>
      </c>
      <c r="BL85" s="93">
        <f>IF(AND($T85=1,BL$5&lt;=$H85),INDEX(Mortality!$B$4:$E$64,MATCH($D85+BL$5-1,Mortality!$A$4:$A$64,0),$U85)*$V85*$N85,0)</f>
        <v>0</v>
      </c>
      <c r="BM85" s="93">
        <f>IF(AND($T85=1,BM$5&lt;=$H85),INDEX(Mortality!$B$4:$E$64,MATCH($D85+BM$5-1,Mortality!$A$4:$A$64,0),$U85)*$V85*$N85,0)</f>
        <v>0</v>
      </c>
      <c r="BN85" s="93">
        <f>IF(AND($T85=1,BN$5&lt;=$H85),INDEX(Mortality!$B$4:$E$64,MATCH($D85+BN$5-1,Mortality!$A$4:$A$64,0),$U85)*$V85*$N85,0)</f>
        <v>0</v>
      </c>
      <c r="BO85" s="93">
        <f>IF(AND($T85=1,BO$5&lt;=$H85),INDEX(Mortality!$B$4:$E$64,MATCH($D85+BO$5-1,Mortality!$A$4:$A$64,0),$U85)*$V85*$N85,0)</f>
        <v>0</v>
      </c>
      <c r="BP85" s="93">
        <f>IF(AND($T85=1,BP$5&lt;=$H85),INDEX(Mortality!$B$4:$E$64,MATCH($D85+BP$5-1,Mortality!$A$4:$A$64,0),$U85)*$V85*$N85,0)</f>
        <v>0</v>
      </c>
      <c r="BQ85" s="93">
        <f>IF(AND($T85=1,BQ$5&lt;=$H85),INDEX(Mortality!$B$4:$E$64,MATCH($D85+BQ$5-1,Mortality!$A$4:$A$64,0),$U85)*$V85*$N85,0)</f>
        <v>0</v>
      </c>
      <c r="BR85" s="93">
        <f>IF(AND($T85=1,BR$5&lt;=$H85),INDEX(Mortality!$B$4:$E$64,MATCH($D85+BR$5-1,Mortality!$A$4:$A$64,0),$U85)*$V85*$N85,0)</f>
        <v>0</v>
      </c>
      <c r="BS85" s="93">
        <f>IF(AND($T85=1,BS$5&lt;=$H85),INDEX(Mortality!$B$4:$E$64,MATCH($D85+BS$5-1,Mortality!$A$4:$A$64,0),$U85)*$V85*$N85,0)</f>
        <v>0</v>
      </c>
      <c r="BT85" s="93">
        <f>IF(AND($T85=1,BT$5&lt;=$H85),INDEX(Mortality!$B$4:$E$64,MATCH($D85+BT$5-1,Mortality!$A$4:$A$64,0),$U85)*$V85*$N85,0)</f>
        <v>0</v>
      </c>
      <c r="BU85" s="93">
        <f>IF(AND($T85=1,BU$5&lt;=$H85),INDEX(Mortality!$B$4:$E$64,MATCH($D85+BU$5-1,Mortality!$A$4:$A$64,0),$U85)*$V85*$N85,0)</f>
        <v>0</v>
      </c>
      <c r="BV85" s="93">
        <f>IF(AND($T85=1,BV$5&lt;=$H85),INDEX(Mortality!$B$4:$E$64,MATCH($D85+BV$5-1,Mortality!$A$4:$A$64,0),$U85)*$V85*$N85,0)</f>
        <v>0</v>
      </c>
      <c r="BW85" s="93">
        <f>IF(AND($T85=1,BW$5&lt;=$H85),INDEX(Mortality!$B$4:$E$64,MATCH($D85+BW$5-1,Mortality!$A$4:$A$64,0),$U85)*$V85*$N85,0)</f>
        <v>0</v>
      </c>
      <c r="BX85" s="93">
        <f>IF(AND($T85=1,BX$5&lt;=$H85),INDEX(Mortality!$B$4:$E$64,MATCH($D85+BX$5-1,Mortality!$A$4:$A$64,0),$U85)*$V85*$N85,0)</f>
        <v>0</v>
      </c>
      <c r="BY85" s="93">
        <f>IF(AND($T85=1,BY$5&lt;=$H85),INDEX(Mortality!$B$4:$E$64,MATCH($D85+BY$5-1,Mortality!$A$4:$A$64,0),$U85)*$V85*$N85,0)</f>
        <v>0</v>
      </c>
      <c r="BZ85" s="93">
        <f>IF(AND($T85=1,BZ$5&lt;=$H85),INDEX(Mortality!$B$4:$E$64,MATCH($D85+BZ$5-1,Mortality!$A$4:$A$64,0),$U85)*$V85*$N85,0)</f>
        <v>0</v>
      </c>
      <c r="CA85" s="93">
        <f>IF(AND($T85=1,CA$5&lt;=$H85),INDEX(Mortality!$B$4:$E$64,MATCH($D85+CA$5-1,Mortality!$A$4:$A$64,0),$U85)*$V85*$N85,0)</f>
        <v>0</v>
      </c>
      <c r="CB85" s="93">
        <f>IF(AND($T85=1,CB$5&lt;=$H85),INDEX(Mortality!$B$4:$E$64,MATCH($D85+CB$5-1,Mortality!$A$4:$A$64,0),$U85)*$V85*$N85,0)</f>
        <v>0</v>
      </c>
      <c r="CC85" s="93">
        <f>IF(AND($T85=1,CC$5&lt;=$H85),INDEX(Mortality!$B$4:$E$64,MATCH($D85+CC$5-1,Mortality!$A$4:$A$64,0),$U85)*$V85*$N85,0)</f>
        <v>0</v>
      </c>
      <c r="CD85" s="93">
        <f>IF(AND($T85=1,CD$5&lt;=$H85),INDEX(Mortality!$B$4:$E$64,MATCH($D85+CD$5-1,Mortality!$A$4:$A$64,0),$U85)*$V85*$N85,0)</f>
        <v>0</v>
      </c>
      <c r="CE85" s="93">
        <f>IF(AND($T85=1,CE$5&lt;=$H85),INDEX(Mortality!$B$4:$E$64,MATCH($D85+CE$5-1,Mortality!$A$4:$A$64,0),$U85)*$V85*$N85,0)</f>
        <v>0</v>
      </c>
      <c r="CF85" s="93">
        <f>IF(AND($T85=1,CF$5&lt;=$H85),INDEX(Mortality!$B$4:$E$64,MATCH($D85+CF$5-1,Mortality!$A$4:$A$64,0),$U85)*$V85*$N85,0)</f>
        <v>0</v>
      </c>
      <c r="CG85" s="93">
        <f>IF(AND($T85=1,CG$5&lt;=$H85),INDEX(Mortality!$B$4:$E$64,MATCH($D85+CG$5-1,Mortality!$A$4:$A$64,0),$U85)*$V85*$N85,0)</f>
        <v>0</v>
      </c>
      <c r="CH85" s="94">
        <f>IF(AND($T85=1,CH$5&lt;=$H85),INDEX(Mortality!$B$4:$E$64,MATCH($D85+CH$5-1,Mortality!$A$4:$A$64,0),$U85)*$V85*$N85,0)</f>
        <v>0</v>
      </c>
      <c r="CI85" s="26"/>
      <c r="CJ85" s="419">
        <f t="shared" si="35"/>
        <v>1</v>
      </c>
      <c r="CK85" s="93">
        <f>IF(AND($T85=1,CK$5&lt;=$H85),CJ85*(1-AU85)*(1-MIN(1,MAX(Assumptions!$C$27,Assumptions!$C$13*Assumptions!$C$28^(CJ$5-1))*$O85)),0)</f>
        <v>0.87755652581075105</v>
      </c>
      <c r="CL85" s="93">
        <f>IF(AND($T85=1,CL$5&lt;=$H85),CK85*(1-AV85)*(1-MIN(1,MAX(Assumptions!$C$27,Assumptions!$C$13*Assumptions!$C$28^(CK$5-1))*$O85)),0)</f>
        <v>0.785675368689288</v>
      </c>
      <c r="CM85" s="93">
        <f>IF(AND($T85=1,CM$5&lt;=$H85),CL85*(1-AW85)*(1-MIN(1,MAX(Assumptions!$C$27,Assumptions!$C$13*Assumptions!$C$28^(CL$5-1))*$O85)),0)</f>
        <v>0.71521918345822033</v>
      </c>
      <c r="CN85" s="93">
        <f>IF(AND($T85=1,CN$5&lt;=$H85),CM85*(1-AX85)*(1-MIN(1,MAX(Assumptions!$C$27,Assumptions!$C$13*Assumptions!$C$28^(CM$5-1))*$O85)),0)</f>
        <v>0.66017254355153265</v>
      </c>
      <c r="CO85" s="93">
        <f>IF(AND($T85=1,CO$5&lt;=$H85),CN85*(1-AY85)*(1-MIN(1,MAX(Assumptions!$C$27,Assumptions!$C$13*Assumptions!$C$28^(CN$5-1))*$O85)),0)</f>
        <v>0.61645257820634791</v>
      </c>
      <c r="CP85" s="93">
        <f>IF(AND($T85=1,CP$5&lt;=$H85),CO85*(1-AZ85)*(1-MIN(1,MAX(Assumptions!$C$27,Assumptions!$C$13*Assumptions!$C$28^(CO$5-1))*$O85)),0)</f>
        <v>0.58121220709836108</v>
      </c>
      <c r="CQ85" s="93">
        <f>IF(AND($T85=1,CQ$5&lt;=$H85),CP85*(1-BA85)*(1-MIN(1,MAX(Assumptions!$C$27,Assumptions!$C$13*Assumptions!$C$28^(CP$5-1))*$O85)),0)</f>
        <v>0.55241769369262594</v>
      </c>
      <c r="CR85" s="93">
        <f>IF(AND($T85=1,CR$5&lt;=$H85),CQ85*(1-BB85)*(1-MIN(1,MAX(Assumptions!$C$27,Assumptions!$C$13*Assumptions!$C$28^(CQ$5-1))*$O85)),0)</f>
        <v>0.52858457216783827</v>
      </c>
      <c r="CS85" s="93">
        <f>IF(AND($T85=1,CS$5&lt;=$H85),CR85*(1-BC85)*(1-MIN(1,MAX(Assumptions!$C$27,Assumptions!$C$13*Assumptions!$C$28^(CR$5-1))*$O85)),0)</f>
        <v>0.50860799472003426</v>
      </c>
      <c r="CT85" s="93">
        <f>IF(AND($T85=1,CT$5&lt;=$H85),CS85*(1-BD85)*(1-MIN(1,MAX(Assumptions!$C$27,Assumptions!$C$13*Assumptions!$C$28^(CS$5-1))*$O85)),0)</f>
        <v>0</v>
      </c>
      <c r="CU85" s="93">
        <f>IF(AND($T85=1,CU$5&lt;=$H85),CT85*(1-BE85)*(1-MIN(1,MAX(Assumptions!$C$27,Assumptions!$C$13*Assumptions!$C$28^(CT$5-1))*$O85)),0)</f>
        <v>0</v>
      </c>
      <c r="CV85" s="93">
        <f>IF(AND($T85=1,CV$5&lt;=$H85),CU85*(1-BF85)*(1-MIN(1,MAX(Assumptions!$C$27,Assumptions!$C$13*Assumptions!$C$28^(CU$5-1))*$O85)),0)</f>
        <v>0</v>
      </c>
      <c r="CW85" s="93">
        <f>IF(AND($T85=1,CW$5&lt;=$H85),CV85*(1-BG85)*(1-MIN(1,MAX(Assumptions!$C$27,Assumptions!$C$13*Assumptions!$C$28^(CV$5-1))*$O85)),0)</f>
        <v>0</v>
      </c>
      <c r="CX85" s="93">
        <f>IF(AND($T85=1,CX$5&lt;=$H85),CW85*(1-BH85)*(1-MIN(1,MAX(Assumptions!$C$27,Assumptions!$C$13*Assumptions!$C$28^(CW$5-1))*$O85)),0)</f>
        <v>0</v>
      </c>
      <c r="CY85" s="93">
        <f>IF(AND($T85=1,CY$5&lt;=$H85),CX85*(1-BI85)*(1-MIN(1,MAX(Assumptions!$C$27,Assumptions!$C$13*Assumptions!$C$28^(CX$5-1))*$O85)),0)</f>
        <v>0</v>
      </c>
      <c r="CZ85" s="93">
        <f>IF(AND($T85=1,CZ$5&lt;=$H85),CY85*(1-BJ85)*(1-MIN(1,MAX(Assumptions!$C$27,Assumptions!$C$13*Assumptions!$C$28^(CY$5-1))*$O85)),0)</f>
        <v>0</v>
      </c>
      <c r="DA85" s="93">
        <f>IF(AND($T85=1,DA$5&lt;=$H85),CZ85*(1-BK85)*(1-MIN(1,MAX(Assumptions!$C$27,Assumptions!$C$13*Assumptions!$C$28^(CZ$5-1))*$O85)),0)</f>
        <v>0</v>
      </c>
      <c r="DB85" s="93">
        <f>IF(AND($T85=1,DB$5&lt;=$H85),DA85*(1-BL85)*(1-MIN(1,MAX(Assumptions!$C$27,Assumptions!$C$13*Assumptions!$C$28^(DA$5-1))*$O85)),0)</f>
        <v>0</v>
      </c>
      <c r="DC85" s="93">
        <f>IF(AND($T85=1,DC$5&lt;=$H85),DB85*(1-BM85)*(1-MIN(1,MAX(Assumptions!$C$27,Assumptions!$C$13*Assumptions!$C$28^(DB$5-1))*$O85)),0)</f>
        <v>0</v>
      </c>
      <c r="DD85" s="93">
        <f>IF(AND($T85=1,DD$5&lt;=$H85),DC85*(1-BN85)*(1-MIN(1,MAX(Assumptions!$C$27,Assumptions!$C$13*Assumptions!$C$28^(DC$5-1))*$O85)),0)</f>
        <v>0</v>
      </c>
      <c r="DE85" s="93">
        <f>IF(AND($T85=1,DE$5&lt;=$H85),DD85*(1-BO85)*(1-MIN(1,MAX(Assumptions!$C$27,Assumptions!$C$13*Assumptions!$C$28^(DD$5-1))*$O85)),0)</f>
        <v>0</v>
      </c>
      <c r="DF85" s="93">
        <f>IF(AND($T85=1,DF$5&lt;=$H85),DE85*(1-BP85)*(1-MIN(1,MAX(Assumptions!$C$27,Assumptions!$C$13*Assumptions!$C$28^(DE$5-1))*$O85)),0)</f>
        <v>0</v>
      </c>
      <c r="DG85" s="93">
        <f>IF(AND($T85=1,DG$5&lt;=$H85),DF85*(1-BQ85)*(1-MIN(1,MAX(Assumptions!$C$27,Assumptions!$C$13*Assumptions!$C$28^(DF$5-1))*$O85)),0)</f>
        <v>0</v>
      </c>
      <c r="DH85" s="93">
        <f>IF(AND($T85=1,DH$5&lt;=$H85),DG85*(1-BR85)*(1-MIN(1,MAX(Assumptions!$C$27,Assumptions!$C$13*Assumptions!$C$28^(DG$5-1))*$O85)),0)</f>
        <v>0</v>
      </c>
      <c r="DI85" s="93">
        <f>IF(AND($T85=1,DI$5&lt;=$H85),DH85*(1-BS85)*(1-MIN(1,MAX(Assumptions!$C$27,Assumptions!$C$13*Assumptions!$C$28^(DH$5-1))*$O85)),0)</f>
        <v>0</v>
      </c>
      <c r="DJ85" s="93">
        <f>IF(AND($T85=1,DJ$5&lt;=$H85),DI85*(1-BT85)*(1-MIN(1,MAX(Assumptions!$C$27,Assumptions!$C$13*Assumptions!$C$28^(DI$5-1))*$O85)),0)</f>
        <v>0</v>
      </c>
      <c r="DK85" s="93">
        <f>IF(AND($T85=1,DK$5&lt;=$H85),DJ85*(1-BU85)*(1-MIN(1,MAX(Assumptions!$C$27,Assumptions!$C$13*Assumptions!$C$28^(DJ$5-1))*$O85)),0)</f>
        <v>0</v>
      </c>
      <c r="DL85" s="93">
        <f>IF(AND($T85=1,DL$5&lt;=$H85),DK85*(1-BV85)*(1-MIN(1,MAX(Assumptions!$C$27,Assumptions!$C$13*Assumptions!$C$28^(DK$5-1))*$O85)),0)</f>
        <v>0</v>
      </c>
      <c r="DM85" s="93">
        <f>IF(AND($T85=1,DM$5&lt;=$H85),DL85*(1-BW85)*(1-MIN(1,MAX(Assumptions!$C$27,Assumptions!$C$13*Assumptions!$C$28^(DL$5-1))*$O85)),0)</f>
        <v>0</v>
      </c>
      <c r="DN85" s="93">
        <f>IF(AND($T85=1,DN$5&lt;=$H85),DM85*(1-BX85)*(1-MIN(1,MAX(Assumptions!$C$27,Assumptions!$C$13*Assumptions!$C$28^(DM$5-1))*$O85)),0)</f>
        <v>0</v>
      </c>
      <c r="DO85" s="93">
        <f>IF(AND($T85=1,DO$5&lt;=$H85),DN85*(1-BY85)*(1-MIN(1,MAX(Assumptions!$C$27,Assumptions!$C$13*Assumptions!$C$28^(DN$5-1))*$O85)),0)</f>
        <v>0</v>
      </c>
      <c r="DP85" s="93">
        <f>IF(AND($T85=1,DP$5&lt;=$H85),DO85*(1-BZ85)*(1-MIN(1,MAX(Assumptions!$C$27,Assumptions!$C$13*Assumptions!$C$28^(DO$5-1))*$O85)),0)</f>
        <v>0</v>
      </c>
      <c r="DQ85" s="93">
        <f>IF(AND($T85=1,DQ$5&lt;=$H85),DP85*(1-CA85)*(1-MIN(1,MAX(Assumptions!$C$27,Assumptions!$C$13*Assumptions!$C$28^(DP$5-1))*$O85)),0)</f>
        <v>0</v>
      </c>
      <c r="DR85" s="93">
        <f>IF(AND($T85=1,DR$5&lt;=$H85),DQ85*(1-CB85)*(1-MIN(1,MAX(Assumptions!$C$27,Assumptions!$C$13*Assumptions!$C$28^(DQ$5-1))*$O85)),0)</f>
        <v>0</v>
      </c>
      <c r="DS85" s="93">
        <f>IF(AND($T85=1,DS$5&lt;=$H85),DR85*(1-CC85)*(1-MIN(1,MAX(Assumptions!$C$27,Assumptions!$C$13*Assumptions!$C$28^(DR$5-1))*$O85)),0)</f>
        <v>0</v>
      </c>
      <c r="DT85" s="93">
        <f>IF(AND($T85=1,DT$5&lt;=$H85),DS85*(1-CD85)*(1-MIN(1,MAX(Assumptions!$C$27,Assumptions!$C$13*Assumptions!$C$28^(DS$5-1))*$O85)),0)</f>
        <v>0</v>
      </c>
      <c r="DU85" s="93">
        <f>IF(AND($T85=1,DU$5&lt;=$H85),DT85*(1-CE85)*(1-MIN(1,MAX(Assumptions!$C$27,Assumptions!$C$13*Assumptions!$C$28^(DT$5-1))*$O85)),0)</f>
        <v>0</v>
      </c>
      <c r="DV85" s="93">
        <f>IF(AND($T85=1,DV$5&lt;=$H85),DU85*(1-CF85)*(1-MIN(1,MAX(Assumptions!$C$27,Assumptions!$C$13*Assumptions!$C$28^(DU$5-1))*$O85)),0)</f>
        <v>0</v>
      </c>
      <c r="DW85" s="94">
        <f>IF(AND($T85=1,DW$5&lt;=$H85),DV85*(1-CG85)*(1-MIN(1,MAX(Assumptions!$C$27,Assumptions!$C$13*Assumptions!$C$28^(DV$5-1))*$O85)),0)</f>
        <v>0</v>
      </c>
      <c r="DX85" s="26"/>
      <c r="DY85" s="399">
        <f>'Policy Data'!K59</f>
        <v>4</v>
      </c>
      <c r="DZ85" s="100">
        <f>'Policy Data'!L59</f>
        <v>0.62290000000000001</v>
      </c>
      <c r="EA85" s="100">
        <f>'Policy Data'!N59</f>
        <v>1.73E-3</v>
      </c>
      <c r="EB85" s="93" cm="1">
        <f t="array" ref="EB85">IFERROR(DZ85*INDEX(Mortality!$B$4:$E$64,MATCH(D85+DY85-1,Mortality!$A$4:$A$64,0),U85)*V85,0)</f>
        <v>2.1987410782947233E-3</v>
      </c>
      <c r="EC85" s="100">
        <f>'Policy Data'!O59</f>
        <v>0</v>
      </c>
      <c r="ED85" s="400">
        <f>'Policy Data'!Q59</f>
        <v>0</v>
      </c>
    </row>
    <row r="86" spans="1:134" x14ac:dyDescent="0.3">
      <c r="A86" s="399" t="str">
        <f>'Policy Data'!A60</f>
        <v>POL100056</v>
      </c>
      <c r="B86" s="26" t="s">
        <v>426</v>
      </c>
      <c r="C86" s="100" t="str">
        <f>'Policy Data'!B60</f>
        <v>Term Life</v>
      </c>
      <c r="D86" s="100">
        <f>'Policy Data'!C60</f>
        <v>60</v>
      </c>
      <c r="E86" s="100" t="str">
        <f>'Policy Data'!D60</f>
        <v>Female</v>
      </c>
      <c r="F86" s="100" t="str">
        <f>'Policy Data'!E60</f>
        <v>Non-smoker</v>
      </c>
      <c r="G86" s="100" t="str">
        <f>'Policy Data'!F60</f>
        <v>Standard</v>
      </c>
      <c r="H86" s="100">
        <f>'Policy Data'!G60</f>
        <v>15</v>
      </c>
      <c r="I86" s="279">
        <f>'Policy Data'!H60</f>
        <v>500000</v>
      </c>
      <c r="J86" s="100" t="str">
        <f>'Policy Data'!I60</f>
        <v>Monthly</v>
      </c>
      <c r="K86" s="100" t="str">
        <f>'Policy Data'!J60</f>
        <v>Bancassurance</v>
      </c>
      <c r="L86" s="26" t="s">
        <v>389</v>
      </c>
      <c r="M86" s="106">
        <f>'Policy Data'!R60</f>
        <v>3242.66</v>
      </c>
      <c r="N86" s="415">
        <f>Assumptions!$C$21</f>
        <v>1</v>
      </c>
      <c r="O86" s="415">
        <f>Assumptions!$C$22</f>
        <v>1</v>
      </c>
      <c r="P86" s="415">
        <f>Assumptions!$C$23</f>
        <v>1</v>
      </c>
      <c r="Q86" s="416">
        <f>Assumptions!$C$24</f>
        <v>0</v>
      </c>
      <c r="R86" s="416">
        <f>Assumptions!$C$6+Assumptions!$C$25</f>
        <v>3.5000000000000003E-2</v>
      </c>
      <c r="S86" s="416">
        <f>Assumptions!$C$15</f>
        <v>1.1000000000000001E-3</v>
      </c>
      <c r="T86" s="26">
        <f t="shared" si="18"/>
        <v>1</v>
      </c>
      <c r="U86" s="26">
        <f t="shared" si="19"/>
        <v>1</v>
      </c>
      <c r="V86" s="389">
        <f>IF($G86="Preferred",Assumptions!$C$30,IF($G86="Rated",Assumptions!$C$31,1))</f>
        <v>1</v>
      </c>
      <c r="W86" s="390">
        <f>IF($K86="Direct",Assumptions!$C$32,IF($K86="Broker",Assumptions!$C$33,IF($K86="Bancassurance",Assumptions!$C$34,Assumptions!$C$11)))+$Q86</f>
        <v>0.2</v>
      </c>
      <c r="X86" s="390">
        <f>Assumptions!$C$12+$Q86</f>
        <v>0.05</v>
      </c>
      <c r="Y86" s="131">
        <f>MIN($I86,Assumptions!$C$14)</f>
        <v>500000</v>
      </c>
      <c r="Z86" s="131">
        <f>MAX($I86-Assumptions!$C$14,0)</f>
        <v>0</v>
      </c>
      <c r="AA86" s="389">
        <f t="shared" si="20"/>
        <v>7.2121296774393748</v>
      </c>
      <c r="AB86" s="389">
        <f t="shared" si="21"/>
        <v>4.9118892207765157E-2</v>
      </c>
      <c r="AC86" s="389">
        <f>IF($T86=1,SUMPRODUCT($CJ86:$DW86,(1+Assumptions!$C$5)^($CJ$5:$DW$5-1),(1+$R86)^(-$CJ$5:$DW$5)),0)</f>
        <v>8.9857138601266779</v>
      </c>
      <c r="AD86" s="389">
        <f t="shared" si="22"/>
        <v>0.50553402010385284</v>
      </c>
      <c r="AE86" s="131">
        <f>IF($T86=1,$AB86*$Y86+(Assumptions!$C$9/(1+$R86)+Assumptions!$C$10*$AC86)*$P86+$S86*$Z86*$AA86,0)</f>
        <v>27405.868370501754</v>
      </c>
      <c r="AF86" s="131">
        <f>IF($T86=1,IF($AA86-$AD86-Assumptions!$C$16*$AA86&gt;0,$AE86/($AA86-$AD86-Assumptions!$C$16*$AA86)*IF($J86="Monthly",1+Assumptions!$C$29,1),"n.a."),"")</f>
        <v>4605.1827179808979</v>
      </c>
      <c r="AG86" s="131">
        <f t="shared" si="23"/>
        <v>3242.66</v>
      </c>
      <c r="AH86" s="131">
        <f t="shared" si="24"/>
        <v>23386.484419845561</v>
      </c>
      <c r="AI86" s="131">
        <f t="shared" si="25"/>
        <v>-5658.6588962861497</v>
      </c>
      <c r="AJ86" s="390">
        <f t="shared" si="26"/>
        <v>-0.24196278477342506</v>
      </c>
      <c r="AK86" s="389">
        <f t="shared" si="27"/>
        <v>0.70413275619641769</v>
      </c>
      <c r="AL86" s="131">
        <f t="shared" si="28"/>
        <v>0</v>
      </c>
      <c r="AM86" s="131">
        <f t="shared" si="29"/>
        <v>0</v>
      </c>
      <c r="AN86" s="131">
        <f t="shared" si="30"/>
        <v>0</v>
      </c>
      <c r="AO86" s="131">
        <f t="shared" si="31"/>
        <v>-5658.6588962861497</v>
      </c>
      <c r="AP86" s="26" t="str">
        <f t="shared" si="32"/>
        <v>60+</v>
      </c>
      <c r="AQ86" s="26" t="str">
        <f t="shared" si="33"/>
        <v>250k-500k</v>
      </c>
      <c r="AR86" s="26" t="str">
        <f>IF($T86=1,IF($AI86&lt;0,"Loss-making",IF($AJ86&lt;Assumptions!$C$16-0.00001,"Below target","At/above target")),"Excluded")</f>
        <v>Loss-making</v>
      </c>
      <c r="AS86" s="103">
        <f t="shared" si="34"/>
        <v>-5658.6588102861497</v>
      </c>
      <c r="AT86" s="26"/>
      <c r="AU86" s="419">
        <f>IF(AND($T86=1,AU$5&lt;=$H86),INDEX(Mortality!$B$4:$E$64,MATCH($D86+AU$5-1,Mortality!$A$4:$A$64,0),$U86)*$V86*$N86,0)</f>
        <v>4.2163649655954103E-3</v>
      </c>
      <c r="AV86" s="93">
        <f>IF(AND($T86=1,AV$5&lt;=$H86),INDEX(Mortality!$B$4:$E$64,MATCH($D86+AV$5-1,Mortality!$A$4:$A$64,0),$U86)*$V86*$N86,0)</f>
        <v>4.5675336398272801E-3</v>
      </c>
      <c r="AW86" s="93">
        <f>IF(AND($T86=1,AW$5&lt;=$H86),INDEX(Mortality!$B$4:$E$64,MATCH($D86+AW$5-1,Mortality!$A$4:$A$64,0),$U86)*$V86*$N86,0)</f>
        <v>4.9479501231952296E-3</v>
      </c>
      <c r="AX86" s="93">
        <f>IF(AND($T86=1,AX$5&lt;=$H86),INDEX(Mortality!$B$4:$E$64,MATCH($D86+AX$5-1,Mortality!$A$4:$A$64,0),$U86)*$V86*$N86,0)</f>
        <v>5.36005037995811E-3</v>
      </c>
      <c r="AY86" s="93">
        <f>IF(AND($T86=1,AY$5&lt;=$H86),INDEX(Mortality!$B$4:$E$64,MATCH($D86+AY$5-1,Mortality!$A$4:$A$64,0),$U86)*$V86*$N86,0)</f>
        <v>5.8064732586948697E-3</v>
      </c>
      <c r="AZ86" s="93">
        <f>IF(AND($T86=1,AZ$5&lt;=$H86),INDEX(Mortality!$B$4:$E$64,MATCH($D86+AZ$5-1,Mortality!$A$4:$A$64,0),$U86)*$V86*$N86,0)</f>
        <v>6.2900773899446198E-3</v>
      </c>
      <c r="BA86" s="93">
        <f>IF(AND($T86=1,BA$5&lt;=$H86),INDEX(Mortality!$B$4:$E$64,MATCH($D86+BA$5-1,Mortality!$A$4:$A$64,0),$U86)*$V86*$N86,0)</f>
        <v>6.8139594912016701E-3</v>
      </c>
      <c r="BB86" s="93">
        <f>IF(AND($T86=1,BB$5&lt;=$H86),INDEX(Mortality!$B$4:$E$64,MATCH($D86+BB$5-1,Mortality!$A$4:$A$64,0),$U86)*$V86*$N86,0)</f>
        <v>7.3814741964798002E-3</v>
      </c>
      <c r="BC86" s="93">
        <f>IF(AND($T86=1,BC$5&lt;=$H86),INDEX(Mortality!$B$4:$E$64,MATCH($D86+BC$5-1,Mortality!$A$4:$A$64,0),$U86)*$V86*$N86,0)</f>
        <v>7.9962555374229801E-3</v>
      </c>
      <c r="BD86" s="93">
        <f>IF(AND($T86=1,BD$5&lt;=$H86),INDEX(Mortality!$B$4:$E$64,MATCH($D86+BD$5-1,Mortality!$A$4:$A$64,0),$U86)*$V86*$N86,0)</f>
        <v>8.6622402135145896E-3</v>
      </c>
      <c r="BE86" s="93">
        <f>IF(AND($T86=1,BE$5&lt;=$H86),INDEX(Mortality!$B$4:$E$64,MATCH($D86+BE$5-1,Mortality!$A$4:$A$64,0),$U86)*$V86*$N86,0)</f>
        <v>9.3836928003943297E-3</v>
      </c>
      <c r="BF86" s="93">
        <f>IF(AND($T86=1,BF$5&lt;=$H86),INDEX(Mortality!$B$4:$E$64,MATCH($D86+BF$5-1,Mortality!$A$4:$A$64,0),$U86)*$V86*$N86,0)</f>
        <v>1.0165233057701799E-2</v>
      </c>
      <c r="BG86" s="93">
        <f>IF(AND($T86=1,BG$5&lt;=$H86),INDEX(Mortality!$B$4:$E$64,MATCH($D86+BG$5-1,Mortality!$A$4:$A$64,0),$U86)*$V86*$N86,0)</f>
        <v>1.1011865511310301E-2</v>
      </c>
      <c r="BH86" s="93">
        <f>IF(AND($T86=1,BH$5&lt;=$H86),INDEX(Mortality!$B$4:$E$64,MATCH($D86+BH$5-1,Mortality!$A$4:$A$64,0),$U86)*$V86*$N86,0)</f>
        <v>1.19290114993784E-2</v>
      </c>
      <c r="BI86" s="93">
        <f>IF(AND($T86=1,BI$5&lt;=$H86),INDEX(Mortality!$B$4:$E$64,MATCH($D86+BI$5-1,Mortality!$A$4:$A$64,0),$U86)*$V86*$N86,0)</f>
        <v>1.29225438874225E-2</v>
      </c>
      <c r="BJ86" s="93">
        <f>IF(AND($T86=1,BJ$5&lt;=$H86),INDEX(Mortality!$B$4:$E$64,MATCH($D86+BJ$5-1,Mortality!$A$4:$A$64,0),$U86)*$V86*$N86,0)</f>
        <v>0</v>
      </c>
      <c r="BK86" s="93">
        <f>IF(AND($T86=1,BK$5&lt;=$H86),INDEX(Mortality!$B$4:$E$64,MATCH($D86+BK$5-1,Mortality!$A$4:$A$64,0),$U86)*$V86*$N86,0)</f>
        <v>0</v>
      </c>
      <c r="BL86" s="93">
        <f>IF(AND($T86=1,BL$5&lt;=$H86),INDEX(Mortality!$B$4:$E$64,MATCH($D86+BL$5-1,Mortality!$A$4:$A$64,0),$U86)*$V86*$N86,0)</f>
        <v>0</v>
      </c>
      <c r="BM86" s="93">
        <f>IF(AND($T86=1,BM$5&lt;=$H86),INDEX(Mortality!$B$4:$E$64,MATCH($D86+BM$5-1,Mortality!$A$4:$A$64,0),$U86)*$V86*$N86,0)</f>
        <v>0</v>
      </c>
      <c r="BN86" s="93">
        <f>IF(AND($T86=1,BN$5&lt;=$H86),INDEX(Mortality!$B$4:$E$64,MATCH($D86+BN$5-1,Mortality!$A$4:$A$64,0),$U86)*$V86*$N86,0)</f>
        <v>0</v>
      </c>
      <c r="BO86" s="93">
        <f>IF(AND($T86=1,BO$5&lt;=$H86),INDEX(Mortality!$B$4:$E$64,MATCH($D86+BO$5-1,Mortality!$A$4:$A$64,0),$U86)*$V86*$N86,0)</f>
        <v>0</v>
      </c>
      <c r="BP86" s="93">
        <f>IF(AND($T86=1,BP$5&lt;=$H86),INDEX(Mortality!$B$4:$E$64,MATCH($D86+BP$5-1,Mortality!$A$4:$A$64,0),$U86)*$V86*$N86,0)</f>
        <v>0</v>
      </c>
      <c r="BQ86" s="93">
        <f>IF(AND($T86=1,BQ$5&lt;=$H86),INDEX(Mortality!$B$4:$E$64,MATCH($D86+BQ$5-1,Mortality!$A$4:$A$64,0),$U86)*$V86*$N86,0)</f>
        <v>0</v>
      </c>
      <c r="BR86" s="93">
        <f>IF(AND($T86=1,BR$5&lt;=$H86),INDEX(Mortality!$B$4:$E$64,MATCH($D86+BR$5-1,Mortality!$A$4:$A$64,0),$U86)*$V86*$N86,0)</f>
        <v>0</v>
      </c>
      <c r="BS86" s="93">
        <f>IF(AND($T86=1,BS$5&lt;=$H86),INDEX(Mortality!$B$4:$E$64,MATCH($D86+BS$5-1,Mortality!$A$4:$A$64,0),$U86)*$V86*$N86,0)</f>
        <v>0</v>
      </c>
      <c r="BT86" s="93">
        <f>IF(AND($T86=1,BT$5&lt;=$H86),INDEX(Mortality!$B$4:$E$64,MATCH($D86+BT$5-1,Mortality!$A$4:$A$64,0),$U86)*$V86*$N86,0)</f>
        <v>0</v>
      </c>
      <c r="BU86" s="93">
        <f>IF(AND($T86=1,BU$5&lt;=$H86),INDEX(Mortality!$B$4:$E$64,MATCH($D86+BU$5-1,Mortality!$A$4:$A$64,0),$U86)*$V86*$N86,0)</f>
        <v>0</v>
      </c>
      <c r="BV86" s="93">
        <f>IF(AND($T86=1,BV$5&lt;=$H86),INDEX(Mortality!$B$4:$E$64,MATCH($D86+BV$5-1,Mortality!$A$4:$A$64,0),$U86)*$V86*$N86,0)</f>
        <v>0</v>
      </c>
      <c r="BW86" s="93">
        <f>IF(AND($T86=1,BW$5&lt;=$H86),INDEX(Mortality!$B$4:$E$64,MATCH($D86+BW$5-1,Mortality!$A$4:$A$64,0),$U86)*$V86*$N86,0)</f>
        <v>0</v>
      </c>
      <c r="BX86" s="93">
        <f>IF(AND($T86=1,BX$5&lt;=$H86),INDEX(Mortality!$B$4:$E$64,MATCH($D86+BX$5-1,Mortality!$A$4:$A$64,0),$U86)*$V86*$N86,0)</f>
        <v>0</v>
      </c>
      <c r="BY86" s="93">
        <f>IF(AND($T86=1,BY$5&lt;=$H86),INDEX(Mortality!$B$4:$E$64,MATCH($D86+BY$5-1,Mortality!$A$4:$A$64,0),$U86)*$V86*$N86,0)</f>
        <v>0</v>
      </c>
      <c r="BZ86" s="93">
        <f>IF(AND($T86=1,BZ$5&lt;=$H86),INDEX(Mortality!$B$4:$E$64,MATCH($D86+BZ$5-1,Mortality!$A$4:$A$64,0),$U86)*$V86*$N86,0)</f>
        <v>0</v>
      </c>
      <c r="CA86" s="93">
        <f>IF(AND($T86=1,CA$5&lt;=$H86),INDEX(Mortality!$B$4:$E$64,MATCH($D86+CA$5-1,Mortality!$A$4:$A$64,0),$U86)*$V86*$N86,0)</f>
        <v>0</v>
      </c>
      <c r="CB86" s="93">
        <f>IF(AND($T86=1,CB$5&lt;=$H86),INDEX(Mortality!$B$4:$E$64,MATCH($D86+CB$5-1,Mortality!$A$4:$A$64,0),$U86)*$V86*$N86,0)</f>
        <v>0</v>
      </c>
      <c r="CC86" s="93">
        <f>IF(AND($T86=1,CC$5&lt;=$H86),INDEX(Mortality!$B$4:$E$64,MATCH($D86+CC$5-1,Mortality!$A$4:$A$64,0),$U86)*$V86*$N86,0)</f>
        <v>0</v>
      </c>
      <c r="CD86" s="93">
        <f>IF(AND($T86=1,CD$5&lt;=$H86),INDEX(Mortality!$B$4:$E$64,MATCH($D86+CD$5-1,Mortality!$A$4:$A$64,0),$U86)*$V86*$N86,0)</f>
        <v>0</v>
      </c>
      <c r="CE86" s="93">
        <f>IF(AND($T86=1,CE$5&lt;=$H86),INDEX(Mortality!$B$4:$E$64,MATCH($D86+CE$5-1,Mortality!$A$4:$A$64,0),$U86)*$V86*$N86,0)</f>
        <v>0</v>
      </c>
      <c r="CF86" s="93">
        <f>IF(AND($T86=1,CF$5&lt;=$H86),INDEX(Mortality!$B$4:$E$64,MATCH($D86+CF$5-1,Mortality!$A$4:$A$64,0),$U86)*$V86*$N86,0)</f>
        <v>0</v>
      </c>
      <c r="CG86" s="93">
        <f>IF(AND($T86=1,CG$5&lt;=$H86),INDEX(Mortality!$B$4:$E$64,MATCH($D86+CG$5-1,Mortality!$A$4:$A$64,0),$U86)*$V86*$N86,0)</f>
        <v>0</v>
      </c>
      <c r="CH86" s="94">
        <f>IF(AND($T86=1,CH$5&lt;=$H86),INDEX(Mortality!$B$4:$E$64,MATCH($D86+CH$5-1,Mortality!$A$4:$A$64,0),$U86)*$V86*$N86,0)</f>
        <v>0</v>
      </c>
      <c r="CI86" s="26"/>
      <c r="CJ86" s="419">
        <f t="shared" si="35"/>
        <v>1</v>
      </c>
      <c r="CK86" s="93">
        <f>IF(AND($T86=1,CK$5&lt;=$H86),CJ86*(1-AU86)*(1-MIN(1,MAX(Assumptions!$C$27,Assumptions!$C$13*Assumptions!$C$28^(CJ$5-1))*$O86)),0)</f>
        <v>0.87628959883027602</v>
      </c>
      <c r="CL86" s="93">
        <f>IF(AND($T86=1,CL$5&lt;=$H86),CK86*(1-AV86)*(1-MIN(1,MAX(Assumptions!$C$27,Assumptions!$C$13*Assumptions!$C$28^(CK$5-1))*$O86)),0)</f>
        <v>0.78331383071523042</v>
      </c>
      <c r="CM86" s="93">
        <f>IF(AND($T86=1,CM$5&lt;=$H86),CL86*(1-AW86)*(1-MIN(1,MAX(Assumptions!$C$27,Assumptions!$C$13*Assumptions!$C$28^(CL$5-1))*$O86)),0)</f>
        <v>0.71186075549327377</v>
      </c>
      <c r="CN86" s="93">
        <f>IF(AND($T86=1,CN$5&lt;=$H86),CM86*(1-AX86)*(1-MIN(1,MAX(Assumptions!$C$27,Assumptions!$C$13*Assumptions!$C$28^(CM$5-1))*$O86)),0)</f>
        <v>0.65586575894729549</v>
      </c>
      <c r="CO86" s="93">
        <f>IF(AND($T86=1,CO$5&lt;=$H86),CN86*(1-AY86)*(1-MIN(1,MAX(Assumptions!$C$27,Assumptions!$C$13*Assumptions!$C$28^(CN$5-1))*$O86)),0)</f>
        <v>0.61121212161738936</v>
      </c>
      <c r="CP86" s="93">
        <f>IF(AND($T86=1,CP$5&lt;=$H86),CO86*(1-AZ86)*(1-MIN(1,MAX(Assumptions!$C$27,Assumptions!$C$13*Assumptions!$C$28^(CO$5-1))*$O86)),0)</f>
        <v>0.57502848503796389</v>
      </c>
      <c r="CQ86" s="93">
        <f>IF(AND($T86=1,CQ$5&lt;=$H86),CP86*(1-BA86)*(1-MIN(1,MAX(Assumptions!$C$27,Assumptions!$C$13*Assumptions!$C$28^(CP$5-1))*$O86)),0)</f>
        <v>0.54526298909168147</v>
      </c>
      <c r="CR86" s="93">
        <f>IF(AND($T86=1,CR$5&lt;=$H86),CQ86*(1-BB86)*(1-MIN(1,MAX(Assumptions!$C$27,Assumptions!$C$13*Assumptions!$C$28^(CQ$5-1))*$O86)),0)</f>
        <v>0.52041711859930107</v>
      </c>
      <c r="CS86" s="93">
        <f>IF(AND($T86=1,CS$5&lt;=$H86),CR86*(1-BC86)*(1-MIN(1,MAX(Assumptions!$C$27,Assumptions!$C$13*Assumptions!$C$28^(CR$5-1))*$O86)),0)</f>
        <v>0.49937475493139027</v>
      </c>
      <c r="CT86" s="93">
        <f>IF(AND($T86=1,CT$5&lt;=$H86),CS86*(1-BD86)*(1-MIN(1,MAX(Assumptions!$C$27,Assumptions!$C$13*Assumptions!$C$28^(CS$5-1))*$O86)),0)</f>
        <v>0.481289640917483</v>
      </c>
      <c r="CU86" s="93">
        <f>IF(AND($T86=1,CU$5&lt;=$H86),CT86*(1-BE86)*(1-MIN(1,MAX(Assumptions!$C$27,Assumptions!$C$13*Assumptions!$C$28^(CT$5-1))*$O86)),0)</f>
        <v>0.4655096300682825</v>
      </c>
      <c r="CV86" s="93">
        <f>IF(AND($T86=1,CV$5&lt;=$H86),CU86*(1-BF86)*(1-MIN(1,MAX(Assumptions!$C$27,Assumptions!$C$13*Assumptions!$C$28^(CU$5-1))*$O86)),0)</f>
        <v>0.451524653678537</v>
      </c>
      <c r="CW86" s="93">
        <f>IF(AND($T86=1,CW$5&lt;=$H86),CV86*(1-BG86)*(1-MIN(1,MAX(Assumptions!$C$27,Assumptions!$C$13*Assumptions!$C$28^(CV$5-1))*$O86)),0)</f>
        <v>0.43762147441884425</v>
      </c>
      <c r="CX86" s="93">
        <f>IF(AND($T86=1,CX$5&lt;=$H86),CW86*(1-BH86)*(1-MIN(1,MAX(Assumptions!$C$27,Assumptions!$C$13*Assumptions!$C$28^(CW$5-1))*$O86)),0)</f>
        <v>0.42375306116176437</v>
      </c>
      <c r="CY86" s="93">
        <f>IF(AND($T86=1,CY$5&lt;=$H86),CX86*(1-BI86)*(1-MIN(1,MAX(Assumptions!$C$27,Assumptions!$C$13*Assumptions!$C$28^(CX$5-1))*$O86)),0)</f>
        <v>0</v>
      </c>
      <c r="CZ86" s="93">
        <f>IF(AND($T86=1,CZ$5&lt;=$H86),CY86*(1-BJ86)*(1-MIN(1,MAX(Assumptions!$C$27,Assumptions!$C$13*Assumptions!$C$28^(CY$5-1))*$O86)),0)</f>
        <v>0</v>
      </c>
      <c r="DA86" s="93">
        <f>IF(AND($T86=1,DA$5&lt;=$H86),CZ86*(1-BK86)*(1-MIN(1,MAX(Assumptions!$C$27,Assumptions!$C$13*Assumptions!$C$28^(CZ$5-1))*$O86)),0)</f>
        <v>0</v>
      </c>
      <c r="DB86" s="93">
        <f>IF(AND($T86=1,DB$5&lt;=$H86),DA86*(1-BL86)*(1-MIN(1,MAX(Assumptions!$C$27,Assumptions!$C$13*Assumptions!$C$28^(DA$5-1))*$O86)),0)</f>
        <v>0</v>
      </c>
      <c r="DC86" s="93">
        <f>IF(AND($T86=1,DC$5&lt;=$H86),DB86*(1-BM86)*(1-MIN(1,MAX(Assumptions!$C$27,Assumptions!$C$13*Assumptions!$C$28^(DB$5-1))*$O86)),0)</f>
        <v>0</v>
      </c>
      <c r="DD86" s="93">
        <f>IF(AND($T86=1,DD$5&lt;=$H86),DC86*(1-BN86)*(1-MIN(1,MAX(Assumptions!$C$27,Assumptions!$C$13*Assumptions!$C$28^(DC$5-1))*$O86)),0)</f>
        <v>0</v>
      </c>
      <c r="DE86" s="93">
        <f>IF(AND($T86=1,DE$5&lt;=$H86),DD86*(1-BO86)*(1-MIN(1,MAX(Assumptions!$C$27,Assumptions!$C$13*Assumptions!$C$28^(DD$5-1))*$O86)),0)</f>
        <v>0</v>
      </c>
      <c r="DF86" s="93">
        <f>IF(AND($T86=1,DF$5&lt;=$H86),DE86*(1-BP86)*(1-MIN(1,MAX(Assumptions!$C$27,Assumptions!$C$13*Assumptions!$C$28^(DE$5-1))*$O86)),0)</f>
        <v>0</v>
      </c>
      <c r="DG86" s="93">
        <f>IF(AND($T86=1,DG$5&lt;=$H86),DF86*(1-BQ86)*(1-MIN(1,MAX(Assumptions!$C$27,Assumptions!$C$13*Assumptions!$C$28^(DF$5-1))*$O86)),0)</f>
        <v>0</v>
      </c>
      <c r="DH86" s="93">
        <f>IF(AND($T86=1,DH$5&lt;=$H86),DG86*(1-BR86)*(1-MIN(1,MAX(Assumptions!$C$27,Assumptions!$C$13*Assumptions!$C$28^(DG$5-1))*$O86)),0)</f>
        <v>0</v>
      </c>
      <c r="DI86" s="93">
        <f>IF(AND($T86=1,DI$5&lt;=$H86),DH86*(1-BS86)*(1-MIN(1,MAX(Assumptions!$C$27,Assumptions!$C$13*Assumptions!$C$28^(DH$5-1))*$O86)),0)</f>
        <v>0</v>
      </c>
      <c r="DJ86" s="93">
        <f>IF(AND($T86=1,DJ$5&lt;=$H86),DI86*(1-BT86)*(1-MIN(1,MAX(Assumptions!$C$27,Assumptions!$C$13*Assumptions!$C$28^(DI$5-1))*$O86)),0)</f>
        <v>0</v>
      </c>
      <c r="DK86" s="93">
        <f>IF(AND($T86=1,DK$5&lt;=$H86),DJ86*(1-BU86)*(1-MIN(1,MAX(Assumptions!$C$27,Assumptions!$C$13*Assumptions!$C$28^(DJ$5-1))*$O86)),0)</f>
        <v>0</v>
      </c>
      <c r="DL86" s="93">
        <f>IF(AND($T86=1,DL$5&lt;=$H86),DK86*(1-BV86)*(1-MIN(1,MAX(Assumptions!$C$27,Assumptions!$C$13*Assumptions!$C$28^(DK$5-1))*$O86)),0)</f>
        <v>0</v>
      </c>
      <c r="DM86" s="93">
        <f>IF(AND($T86=1,DM$5&lt;=$H86),DL86*(1-BW86)*(1-MIN(1,MAX(Assumptions!$C$27,Assumptions!$C$13*Assumptions!$C$28^(DL$5-1))*$O86)),0)</f>
        <v>0</v>
      </c>
      <c r="DN86" s="93">
        <f>IF(AND($T86=1,DN$5&lt;=$H86),DM86*(1-BX86)*(1-MIN(1,MAX(Assumptions!$C$27,Assumptions!$C$13*Assumptions!$C$28^(DM$5-1))*$O86)),0)</f>
        <v>0</v>
      </c>
      <c r="DO86" s="93">
        <f>IF(AND($T86=1,DO$5&lt;=$H86),DN86*(1-BY86)*(1-MIN(1,MAX(Assumptions!$C$27,Assumptions!$C$13*Assumptions!$C$28^(DN$5-1))*$O86)),0)</f>
        <v>0</v>
      </c>
      <c r="DP86" s="93">
        <f>IF(AND($T86=1,DP$5&lt;=$H86),DO86*(1-BZ86)*(1-MIN(1,MAX(Assumptions!$C$27,Assumptions!$C$13*Assumptions!$C$28^(DO$5-1))*$O86)),0)</f>
        <v>0</v>
      </c>
      <c r="DQ86" s="93">
        <f>IF(AND($T86=1,DQ$5&lt;=$H86),DP86*(1-CA86)*(1-MIN(1,MAX(Assumptions!$C$27,Assumptions!$C$13*Assumptions!$C$28^(DP$5-1))*$O86)),0)</f>
        <v>0</v>
      </c>
      <c r="DR86" s="93">
        <f>IF(AND($T86=1,DR$5&lt;=$H86),DQ86*(1-CB86)*(1-MIN(1,MAX(Assumptions!$C$27,Assumptions!$C$13*Assumptions!$C$28^(DQ$5-1))*$O86)),0)</f>
        <v>0</v>
      </c>
      <c r="DS86" s="93">
        <f>IF(AND($T86=1,DS$5&lt;=$H86),DR86*(1-CC86)*(1-MIN(1,MAX(Assumptions!$C$27,Assumptions!$C$13*Assumptions!$C$28^(DR$5-1))*$O86)),0)</f>
        <v>0</v>
      </c>
      <c r="DT86" s="93">
        <f>IF(AND($T86=1,DT$5&lt;=$H86),DS86*(1-CD86)*(1-MIN(1,MAX(Assumptions!$C$27,Assumptions!$C$13*Assumptions!$C$28^(DS$5-1))*$O86)),0)</f>
        <v>0</v>
      </c>
      <c r="DU86" s="93">
        <f>IF(AND($T86=1,DU$5&lt;=$H86),DT86*(1-CE86)*(1-MIN(1,MAX(Assumptions!$C$27,Assumptions!$C$13*Assumptions!$C$28^(DT$5-1))*$O86)),0)</f>
        <v>0</v>
      </c>
      <c r="DV86" s="93">
        <f>IF(AND($T86=1,DV$5&lt;=$H86),DU86*(1-CF86)*(1-MIN(1,MAX(Assumptions!$C$27,Assumptions!$C$13*Assumptions!$C$28^(DU$5-1))*$O86)),0)</f>
        <v>0</v>
      </c>
      <c r="DW86" s="94">
        <f>IF(AND($T86=1,DW$5&lt;=$H86),DV86*(1-CG86)*(1-MIN(1,MAX(Assumptions!$C$27,Assumptions!$C$13*Assumptions!$C$28^(DV$5-1))*$O86)),0)</f>
        <v>0</v>
      </c>
      <c r="DX86" s="26"/>
      <c r="DY86" s="399">
        <f>'Policy Data'!K60</f>
        <v>6</v>
      </c>
      <c r="DZ86" s="100">
        <f>'Policy Data'!L60</f>
        <v>0.71760000000000002</v>
      </c>
      <c r="EA86" s="100">
        <f>'Policy Data'!N60</f>
        <v>3.026E-3</v>
      </c>
      <c r="EB86" s="93" cm="1">
        <f t="array" ref="EB86">IFERROR(DZ86*INDEX(Mortality!$B$4:$E$64,MATCH(D86+DY86-1,Mortality!$A$4:$A$64,0),U86)*V86,0)</f>
        <v>4.5137595350242593E-3</v>
      </c>
      <c r="EC86" s="100">
        <f>'Policy Data'!O60</f>
        <v>0</v>
      </c>
      <c r="ED86" s="400">
        <f>'Policy Data'!Q60</f>
        <v>0</v>
      </c>
    </row>
    <row r="87" spans="1:134" x14ac:dyDescent="0.3">
      <c r="A87" s="399" t="str">
        <f>'Policy Data'!A61</f>
        <v>POL100057</v>
      </c>
      <c r="B87" s="26" t="s">
        <v>426</v>
      </c>
      <c r="C87" s="100" t="str">
        <f>'Policy Data'!B61</f>
        <v>Term Life</v>
      </c>
      <c r="D87" s="100">
        <f>'Policy Data'!C61</f>
        <v>60</v>
      </c>
      <c r="E87" s="100" t="str">
        <f>'Policy Data'!D61</f>
        <v>Male</v>
      </c>
      <c r="F87" s="100" t="str">
        <f>'Policy Data'!E61</f>
        <v>Smoker</v>
      </c>
      <c r="G87" s="100" t="str">
        <f>'Policy Data'!F61</f>
        <v>Standard</v>
      </c>
      <c r="H87" s="100">
        <f>'Policy Data'!G61</f>
        <v>10</v>
      </c>
      <c r="I87" s="279">
        <f>'Policy Data'!H61</f>
        <v>500000</v>
      </c>
      <c r="J87" s="100" t="str">
        <f>'Policy Data'!I61</f>
        <v>Monthly</v>
      </c>
      <c r="K87" s="100" t="str">
        <f>'Policy Data'!J61</f>
        <v>Bancassurance</v>
      </c>
      <c r="L87" s="26" t="s">
        <v>389</v>
      </c>
      <c r="M87" s="106">
        <f>'Policy Data'!R61</f>
        <v>6308.32</v>
      </c>
      <c r="N87" s="415">
        <f>Assumptions!$C$21</f>
        <v>1</v>
      </c>
      <c r="O87" s="415">
        <f>Assumptions!$C$22</f>
        <v>1</v>
      </c>
      <c r="P87" s="415">
        <f>Assumptions!$C$23</f>
        <v>1</v>
      </c>
      <c r="Q87" s="416">
        <f>Assumptions!$C$24</f>
        <v>0</v>
      </c>
      <c r="R87" s="416">
        <f>Assumptions!$C$6+Assumptions!$C$25</f>
        <v>3.5000000000000003E-2</v>
      </c>
      <c r="S87" s="416">
        <f>Assumptions!$C$15</f>
        <v>1.1000000000000001E-3</v>
      </c>
      <c r="T87" s="26">
        <f t="shared" si="18"/>
        <v>1</v>
      </c>
      <c r="U87" s="26">
        <f t="shared" si="19"/>
        <v>4</v>
      </c>
      <c r="V87" s="389">
        <f>IF($G87="Preferred",Assumptions!$C$30,IF($G87="Rated",Assumptions!$C$31,1))</f>
        <v>1</v>
      </c>
      <c r="W87" s="390">
        <f>IF($K87="Direct",Assumptions!$C$32,IF($K87="Broker",Assumptions!$C$33,IF($K87="Bancassurance",Assumptions!$C$34,Assumptions!$C$11)))+$Q87</f>
        <v>0.2</v>
      </c>
      <c r="X87" s="390">
        <f>Assumptions!$C$12+$Q87</f>
        <v>0.05</v>
      </c>
      <c r="Y87" s="131">
        <f>MIN($I87,Assumptions!$C$14)</f>
        <v>500000</v>
      </c>
      <c r="Z87" s="131">
        <f>MAX($I87-Assumptions!$C$14,0)</f>
        <v>0</v>
      </c>
      <c r="AA87" s="389">
        <f t="shared" si="20"/>
        <v>5.631885613430307</v>
      </c>
      <c r="AB87" s="389">
        <f t="shared" si="21"/>
        <v>7.213652363582472E-2</v>
      </c>
      <c r="AC87" s="389">
        <f>IF($T87=1,SUMPRODUCT($CJ87:$DW87,(1+Assumptions!$C$5)^($CJ$5:$DW$5-1),(1+$R87)^(-$CJ$5:$DW$5)),0)</f>
        <v>6.5070285592304833</v>
      </c>
      <c r="AD87" s="389">
        <f t="shared" si="22"/>
        <v>0.42652181690339946</v>
      </c>
      <c r="AE87" s="131">
        <f>IF($T87=1,$AB87*$Y87+(Assumptions!$C$9/(1+$R87)+Assumptions!$C$10*$AC87)*$P87+$S87*$Z87*$AA87,0)</f>
        <v>38369.373318334372</v>
      </c>
      <c r="AF87" s="131">
        <f>IF($T87=1,IF($AA87-$AD87-Assumptions!$C$16*$AA87&gt;0,$AE87/($AA87-$AD87-Assumptions!$C$16*$AA87)*IF($J87="Monthly",1+Assumptions!$C$29,1),"n.a."),"")</f>
        <v>8311.673867014797</v>
      </c>
      <c r="AG87" s="131">
        <f t="shared" si="23"/>
        <v>6308.32</v>
      </c>
      <c r="AH87" s="131">
        <f t="shared" si="24"/>
        <v>35527.736652914675</v>
      </c>
      <c r="AI87" s="131">
        <f t="shared" si="25"/>
        <v>-5532.2727734277505</v>
      </c>
      <c r="AJ87" s="390">
        <f t="shared" si="26"/>
        <v>-0.15571700577142975</v>
      </c>
      <c r="AK87" s="389">
        <f t="shared" si="27"/>
        <v>0.75897106899668121</v>
      </c>
      <c r="AL87" s="131">
        <f t="shared" si="28"/>
        <v>0</v>
      </c>
      <c r="AM87" s="131">
        <f t="shared" si="29"/>
        <v>0</v>
      </c>
      <c r="AN87" s="131">
        <f t="shared" si="30"/>
        <v>0</v>
      </c>
      <c r="AO87" s="131">
        <f t="shared" si="31"/>
        <v>-5532.2727734277505</v>
      </c>
      <c r="AP87" s="26" t="str">
        <f t="shared" si="32"/>
        <v>60+</v>
      </c>
      <c r="AQ87" s="26" t="str">
        <f t="shared" si="33"/>
        <v>250k-500k</v>
      </c>
      <c r="AR87" s="26" t="str">
        <f>IF($T87=1,IF($AI87&lt;0,"Loss-making",IF($AJ87&lt;Assumptions!$C$16-0.00001,"Below target","At/above target")),"Excluded")</f>
        <v>Loss-making</v>
      </c>
      <c r="AS87" s="103">
        <f t="shared" si="34"/>
        <v>-5532.2726864277502</v>
      </c>
      <c r="AT87" s="26"/>
      <c r="AU87" s="419">
        <f>IF(AND($T87=1,AU$5&lt;=$H87),INDEX(Mortality!$B$4:$E$64,MATCH($D87+AU$5-1,Mortality!$A$4:$A$64,0),$U87)*$V87*$N87,0)</f>
        <v>9.4124147320203497E-3</v>
      </c>
      <c r="AV87" s="93">
        <f>IF(AND($T87=1,AV$5&lt;=$H87),INDEX(Mortality!$B$4:$E$64,MATCH($D87+AV$5-1,Mortality!$A$4:$A$64,0),$U87)*$V87*$N87,0)</f>
        <v>1.01963471547909E-2</v>
      </c>
      <c r="AW87" s="93">
        <f>IF(AND($T87=1,AW$5&lt;=$H87),INDEX(Mortality!$B$4:$E$64,MATCH($D87+AW$5-1,Mortality!$A$4:$A$64,0),$U87)*$V87*$N87,0)</f>
        <v>1.1045571010309301E-2</v>
      </c>
      <c r="AX87" s="93">
        <f>IF(AND($T87=1,AX$5&lt;=$H87),INDEX(Mortality!$B$4:$E$64,MATCH($D87+AX$5-1,Mortality!$A$4:$A$64,0),$U87)*$V87*$N87,0)</f>
        <v>1.19655242305535E-2</v>
      </c>
      <c r="AY87" s="93">
        <f>IF(AND($T87=1,AY$5&lt;=$H87),INDEX(Mortality!$B$4:$E$64,MATCH($D87+AY$5-1,Mortality!$A$4:$A$64,0),$U87)*$V87*$N87,0)</f>
        <v>1.2962097656909999E-2</v>
      </c>
      <c r="AZ87" s="93">
        <f>IF(AND($T87=1,AZ$5&lt;=$H87),INDEX(Mortality!$B$4:$E$64,MATCH($D87+AZ$5-1,Mortality!$A$4:$A$64,0),$U87)*$V87*$N87,0)</f>
        <v>1.4041672761670501E-2</v>
      </c>
      <c r="BA87" s="93">
        <f>IF(AND($T87=1,BA$5&lt;=$H87),INDEX(Mortality!$B$4:$E$64,MATCH($D87+BA$5-1,Mortality!$A$4:$A$64,0),$U87)*$V87*$N87,0)</f>
        <v>1.52111625112414E-2</v>
      </c>
      <c r="BB87" s="93">
        <f>IF(AND($T87=1,BB$5&lt;=$H87),INDEX(Mortality!$B$4:$E$64,MATCH($D87+BB$5-1,Mortality!$A$4:$A$64,0),$U87)*$V87*$N87,0)</f>
        <v>1.6478055632729902E-2</v>
      </c>
      <c r="BC87" s="93">
        <f>IF(AND($T87=1,BC$5&lt;=$H87),INDEX(Mortality!$B$4:$E$64,MATCH($D87+BC$5-1,Mortality!$A$4:$A$64,0),$U87)*$V87*$N87,0)</f>
        <v>1.7850464567364801E-2</v>
      </c>
      <c r="BD87" s="93">
        <f>IF(AND($T87=1,BD$5&lt;=$H87),INDEX(Mortality!$B$4:$E$64,MATCH($D87+BD$5-1,Mortality!$A$4:$A$64,0),$U87)*$V87*$N87,0)</f>
        <v>1.93371774178164E-2</v>
      </c>
      <c r="BE87" s="93">
        <f>IF(AND($T87=1,BE$5&lt;=$H87),INDEX(Mortality!$B$4:$E$64,MATCH($D87+BE$5-1,Mortality!$A$4:$A$64,0),$U87)*$V87*$N87,0)</f>
        <v>0</v>
      </c>
      <c r="BF87" s="93">
        <f>IF(AND($T87=1,BF$5&lt;=$H87),INDEX(Mortality!$B$4:$E$64,MATCH($D87+BF$5-1,Mortality!$A$4:$A$64,0),$U87)*$V87*$N87,0)</f>
        <v>0</v>
      </c>
      <c r="BG87" s="93">
        <f>IF(AND($T87=1,BG$5&lt;=$H87),INDEX(Mortality!$B$4:$E$64,MATCH($D87+BG$5-1,Mortality!$A$4:$A$64,0),$U87)*$V87*$N87,0)</f>
        <v>0</v>
      </c>
      <c r="BH87" s="93">
        <f>IF(AND($T87=1,BH$5&lt;=$H87),INDEX(Mortality!$B$4:$E$64,MATCH($D87+BH$5-1,Mortality!$A$4:$A$64,0),$U87)*$V87*$N87,0)</f>
        <v>0</v>
      </c>
      <c r="BI87" s="93">
        <f>IF(AND($T87=1,BI$5&lt;=$H87),INDEX(Mortality!$B$4:$E$64,MATCH($D87+BI$5-1,Mortality!$A$4:$A$64,0),$U87)*$V87*$N87,0)</f>
        <v>0</v>
      </c>
      <c r="BJ87" s="93">
        <f>IF(AND($T87=1,BJ$5&lt;=$H87),INDEX(Mortality!$B$4:$E$64,MATCH($D87+BJ$5-1,Mortality!$A$4:$A$64,0),$U87)*$V87*$N87,0)</f>
        <v>0</v>
      </c>
      <c r="BK87" s="93">
        <f>IF(AND($T87=1,BK$5&lt;=$H87),INDEX(Mortality!$B$4:$E$64,MATCH($D87+BK$5-1,Mortality!$A$4:$A$64,0),$U87)*$V87*$N87,0)</f>
        <v>0</v>
      </c>
      <c r="BL87" s="93">
        <f>IF(AND($T87=1,BL$5&lt;=$H87),INDEX(Mortality!$B$4:$E$64,MATCH($D87+BL$5-1,Mortality!$A$4:$A$64,0),$U87)*$V87*$N87,0)</f>
        <v>0</v>
      </c>
      <c r="BM87" s="93">
        <f>IF(AND($T87=1,BM$5&lt;=$H87),INDEX(Mortality!$B$4:$E$64,MATCH($D87+BM$5-1,Mortality!$A$4:$A$64,0),$U87)*$V87*$N87,0)</f>
        <v>0</v>
      </c>
      <c r="BN87" s="93">
        <f>IF(AND($T87=1,BN$5&lt;=$H87),INDEX(Mortality!$B$4:$E$64,MATCH($D87+BN$5-1,Mortality!$A$4:$A$64,0),$U87)*$V87*$N87,0)</f>
        <v>0</v>
      </c>
      <c r="BO87" s="93">
        <f>IF(AND($T87=1,BO$5&lt;=$H87),INDEX(Mortality!$B$4:$E$64,MATCH($D87+BO$5-1,Mortality!$A$4:$A$64,0),$U87)*$V87*$N87,0)</f>
        <v>0</v>
      </c>
      <c r="BP87" s="93">
        <f>IF(AND($T87=1,BP$5&lt;=$H87),INDEX(Mortality!$B$4:$E$64,MATCH($D87+BP$5-1,Mortality!$A$4:$A$64,0),$U87)*$V87*$N87,0)</f>
        <v>0</v>
      </c>
      <c r="BQ87" s="93">
        <f>IF(AND($T87=1,BQ$5&lt;=$H87),INDEX(Mortality!$B$4:$E$64,MATCH($D87+BQ$5-1,Mortality!$A$4:$A$64,0),$U87)*$V87*$N87,0)</f>
        <v>0</v>
      </c>
      <c r="BR87" s="93">
        <f>IF(AND($T87=1,BR$5&lt;=$H87),INDEX(Mortality!$B$4:$E$64,MATCH($D87+BR$5-1,Mortality!$A$4:$A$64,0),$U87)*$V87*$N87,0)</f>
        <v>0</v>
      </c>
      <c r="BS87" s="93">
        <f>IF(AND($T87=1,BS$5&lt;=$H87),INDEX(Mortality!$B$4:$E$64,MATCH($D87+BS$5-1,Mortality!$A$4:$A$64,0),$U87)*$V87*$N87,0)</f>
        <v>0</v>
      </c>
      <c r="BT87" s="93">
        <f>IF(AND($T87=1,BT$5&lt;=$H87),INDEX(Mortality!$B$4:$E$64,MATCH($D87+BT$5-1,Mortality!$A$4:$A$64,0),$U87)*$V87*$N87,0)</f>
        <v>0</v>
      </c>
      <c r="BU87" s="93">
        <f>IF(AND($T87=1,BU$5&lt;=$H87),INDEX(Mortality!$B$4:$E$64,MATCH($D87+BU$5-1,Mortality!$A$4:$A$64,0),$U87)*$V87*$N87,0)</f>
        <v>0</v>
      </c>
      <c r="BV87" s="93">
        <f>IF(AND($T87=1,BV$5&lt;=$H87),INDEX(Mortality!$B$4:$E$64,MATCH($D87+BV$5-1,Mortality!$A$4:$A$64,0),$U87)*$V87*$N87,0)</f>
        <v>0</v>
      </c>
      <c r="BW87" s="93">
        <f>IF(AND($T87=1,BW$5&lt;=$H87),INDEX(Mortality!$B$4:$E$64,MATCH($D87+BW$5-1,Mortality!$A$4:$A$64,0),$U87)*$V87*$N87,0)</f>
        <v>0</v>
      </c>
      <c r="BX87" s="93">
        <f>IF(AND($T87=1,BX$5&lt;=$H87),INDEX(Mortality!$B$4:$E$64,MATCH($D87+BX$5-1,Mortality!$A$4:$A$64,0),$U87)*$V87*$N87,0)</f>
        <v>0</v>
      </c>
      <c r="BY87" s="93">
        <f>IF(AND($T87=1,BY$5&lt;=$H87),INDEX(Mortality!$B$4:$E$64,MATCH($D87+BY$5-1,Mortality!$A$4:$A$64,0),$U87)*$V87*$N87,0)</f>
        <v>0</v>
      </c>
      <c r="BZ87" s="93">
        <f>IF(AND($T87=1,BZ$5&lt;=$H87),INDEX(Mortality!$B$4:$E$64,MATCH($D87+BZ$5-1,Mortality!$A$4:$A$64,0),$U87)*$V87*$N87,0)</f>
        <v>0</v>
      </c>
      <c r="CA87" s="93">
        <f>IF(AND($T87=1,CA$5&lt;=$H87),INDEX(Mortality!$B$4:$E$64,MATCH($D87+CA$5-1,Mortality!$A$4:$A$64,0),$U87)*$V87*$N87,0)</f>
        <v>0</v>
      </c>
      <c r="CB87" s="93">
        <f>IF(AND($T87=1,CB$5&lt;=$H87),INDEX(Mortality!$B$4:$E$64,MATCH($D87+CB$5-1,Mortality!$A$4:$A$64,0),$U87)*$V87*$N87,0)</f>
        <v>0</v>
      </c>
      <c r="CC87" s="93">
        <f>IF(AND($T87=1,CC$5&lt;=$H87),INDEX(Mortality!$B$4:$E$64,MATCH($D87+CC$5-1,Mortality!$A$4:$A$64,0),$U87)*$V87*$N87,0)</f>
        <v>0</v>
      </c>
      <c r="CD87" s="93">
        <f>IF(AND($T87=1,CD$5&lt;=$H87),INDEX(Mortality!$B$4:$E$64,MATCH($D87+CD$5-1,Mortality!$A$4:$A$64,0),$U87)*$V87*$N87,0)</f>
        <v>0</v>
      </c>
      <c r="CE87" s="93">
        <f>IF(AND($T87=1,CE$5&lt;=$H87),INDEX(Mortality!$B$4:$E$64,MATCH($D87+CE$5-1,Mortality!$A$4:$A$64,0),$U87)*$V87*$N87,0)</f>
        <v>0</v>
      </c>
      <c r="CF87" s="93">
        <f>IF(AND($T87=1,CF$5&lt;=$H87),INDEX(Mortality!$B$4:$E$64,MATCH($D87+CF$5-1,Mortality!$A$4:$A$64,0),$U87)*$V87*$N87,0)</f>
        <v>0</v>
      </c>
      <c r="CG87" s="93">
        <f>IF(AND($T87=1,CG$5&lt;=$H87),INDEX(Mortality!$B$4:$E$64,MATCH($D87+CG$5-1,Mortality!$A$4:$A$64,0),$U87)*$V87*$N87,0)</f>
        <v>0</v>
      </c>
      <c r="CH87" s="94">
        <f>IF(AND($T87=1,CH$5&lt;=$H87),INDEX(Mortality!$B$4:$E$64,MATCH($D87+CH$5-1,Mortality!$A$4:$A$64,0),$U87)*$V87*$N87,0)</f>
        <v>0</v>
      </c>
      <c r="CI87" s="26"/>
      <c r="CJ87" s="419">
        <f t="shared" si="35"/>
        <v>1</v>
      </c>
      <c r="CK87" s="93">
        <f>IF(AND($T87=1,CK$5&lt;=$H87),CJ87*(1-AU87)*(1-MIN(1,MAX(Assumptions!$C$27,Assumptions!$C$13*Assumptions!$C$28^(CJ$5-1))*$O87)),0)</f>
        <v>0.87171707503582208</v>
      </c>
      <c r="CL87" s="93">
        <f>IF(AND($T87=1,CL$5&lt;=$H87),CK87*(1-AV87)*(1-MIN(1,MAX(Assumptions!$C$27,Assumptions!$C$13*Assumptions!$C$28^(CK$5-1))*$O87)),0)</f>
        <v>0.77482021311596216</v>
      </c>
      <c r="CM87" s="93">
        <f>IF(AND($T87=1,CM$5&lt;=$H87),CL87*(1-AW87)*(1-MIN(1,MAX(Assumptions!$C$27,Assumptions!$C$13*Assumptions!$C$28^(CL$5-1))*$O87)),0)</f>
        <v>0.6998269763116326</v>
      </c>
      <c r="CN87" s="93">
        <f>IF(AND($T87=1,CN$5&lt;=$H87),CM87*(1-AX87)*(1-MIN(1,MAX(Assumptions!$C$27,Assumptions!$C$13*Assumptions!$C$28^(CM$5-1))*$O87)),0)</f>
        <v>0.64049653759364578</v>
      </c>
      <c r="CO87" s="93">
        <f>IF(AND($T87=1,CO$5&lt;=$H87),CN87*(1-AY87)*(1-MIN(1,MAX(Assumptions!$C$27,Assumptions!$C$13*Assumptions!$C$28^(CN$5-1))*$O87)),0)</f>
        <v>0.5925932301356478</v>
      </c>
      <c r="CP87" s="93">
        <f>IF(AND($T87=1,CP$5&lt;=$H87),CO87*(1-AZ87)*(1-MIN(1,MAX(Assumptions!$C$27,Assumptions!$C$13*Assumptions!$C$28^(CO$5-1))*$O87)),0)</f>
        <v>0.55316286683403837</v>
      </c>
      <c r="CQ87" s="93">
        <f>IF(AND($T87=1,CQ$5&lt;=$H87),CP87*(1-BA87)*(1-MIN(1,MAX(Assumptions!$C$27,Assumptions!$C$13*Assumptions!$C$28^(CP$5-1))*$O87)),0)</f>
        <v>0.52009441534616463</v>
      </c>
      <c r="CR87" s="93">
        <f>IF(AND($T87=1,CR$5&lt;=$H87),CQ87*(1-BB87)*(1-MIN(1,MAX(Assumptions!$C$27,Assumptions!$C$13*Assumptions!$C$28^(CQ$5-1))*$O87)),0)</f>
        <v>0.49184631528394396</v>
      </c>
      <c r="CS87" s="93">
        <f>IF(AND($T87=1,CS$5&lt;=$H87),CR87*(1-BC87)*(1-MIN(1,MAX(Assumptions!$C$27,Assumptions!$C$13*Assumptions!$C$28^(CR$5-1))*$O87)),0)</f>
        <v>0.46727090050189857</v>
      </c>
      <c r="CT87" s="93">
        <f>IF(AND($T87=1,CT$5&lt;=$H87),CS87*(1-BD87)*(1-MIN(1,MAX(Assumptions!$C$27,Assumptions!$C$13*Assumptions!$C$28^(CS$5-1))*$O87)),0)</f>
        <v>0</v>
      </c>
      <c r="CU87" s="93">
        <f>IF(AND($T87=1,CU$5&lt;=$H87),CT87*(1-BE87)*(1-MIN(1,MAX(Assumptions!$C$27,Assumptions!$C$13*Assumptions!$C$28^(CT$5-1))*$O87)),0)</f>
        <v>0</v>
      </c>
      <c r="CV87" s="93">
        <f>IF(AND($T87=1,CV$5&lt;=$H87),CU87*(1-BF87)*(1-MIN(1,MAX(Assumptions!$C$27,Assumptions!$C$13*Assumptions!$C$28^(CU$5-1))*$O87)),0)</f>
        <v>0</v>
      </c>
      <c r="CW87" s="93">
        <f>IF(AND($T87=1,CW$5&lt;=$H87),CV87*(1-BG87)*(1-MIN(1,MAX(Assumptions!$C$27,Assumptions!$C$13*Assumptions!$C$28^(CV$5-1))*$O87)),0)</f>
        <v>0</v>
      </c>
      <c r="CX87" s="93">
        <f>IF(AND($T87=1,CX$5&lt;=$H87),CW87*(1-BH87)*(1-MIN(1,MAX(Assumptions!$C$27,Assumptions!$C$13*Assumptions!$C$28^(CW$5-1))*$O87)),0)</f>
        <v>0</v>
      </c>
      <c r="CY87" s="93">
        <f>IF(AND($T87=1,CY$5&lt;=$H87),CX87*(1-BI87)*(1-MIN(1,MAX(Assumptions!$C$27,Assumptions!$C$13*Assumptions!$C$28^(CX$5-1))*$O87)),0)</f>
        <v>0</v>
      </c>
      <c r="CZ87" s="93">
        <f>IF(AND($T87=1,CZ$5&lt;=$H87),CY87*(1-BJ87)*(1-MIN(1,MAX(Assumptions!$C$27,Assumptions!$C$13*Assumptions!$C$28^(CY$5-1))*$O87)),0)</f>
        <v>0</v>
      </c>
      <c r="DA87" s="93">
        <f>IF(AND($T87=1,DA$5&lt;=$H87),CZ87*(1-BK87)*(1-MIN(1,MAX(Assumptions!$C$27,Assumptions!$C$13*Assumptions!$C$28^(CZ$5-1))*$O87)),0)</f>
        <v>0</v>
      </c>
      <c r="DB87" s="93">
        <f>IF(AND($T87=1,DB$5&lt;=$H87),DA87*(1-BL87)*(1-MIN(1,MAX(Assumptions!$C$27,Assumptions!$C$13*Assumptions!$C$28^(DA$5-1))*$O87)),0)</f>
        <v>0</v>
      </c>
      <c r="DC87" s="93">
        <f>IF(AND($T87=1,DC$5&lt;=$H87),DB87*(1-BM87)*(1-MIN(1,MAX(Assumptions!$C$27,Assumptions!$C$13*Assumptions!$C$28^(DB$5-1))*$O87)),0)</f>
        <v>0</v>
      </c>
      <c r="DD87" s="93">
        <f>IF(AND($T87=1,DD$5&lt;=$H87),DC87*(1-BN87)*(1-MIN(1,MAX(Assumptions!$C$27,Assumptions!$C$13*Assumptions!$C$28^(DC$5-1))*$O87)),0)</f>
        <v>0</v>
      </c>
      <c r="DE87" s="93">
        <f>IF(AND($T87=1,DE$5&lt;=$H87),DD87*(1-BO87)*(1-MIN(1,MAX(Assumptions!$C$27,Assumptions!$C$13*Assumptions!$C$28^(DD$5-1))*$O87)),0)</f>
        <v>0</v>
      </c>
      <c r="DF87" s="93">
        <f>IF(AND($T87=1,DF$5&lt;=$H87),DE87*(1-BP87)*(1-MIN(1,MAX(Assumptions!$C$27,Assumptions!$C$13*Assumptions!$C$28^(DE$5-1))*$O87)),0)</f>
        <v>0</v>
      </c>
      <c r="DG87" s="93">
        <f>IF(AND($T87=1,DG$5&lt;=$H87),DF87*(1-BQ87)*(1-MIN(1,MAX(Assumptions!$C$27,Assumptions!$C$13*Assumptions!$C$28^(DF$5-1))*$O87)),0)</f>
        <v>0</v>
      </c>
      <c r="DH87" s="93">
        <f>IF(AND($T87=1,DH$5&lt;=$H87),DG87*(1-BR87)*(1-MIN(1,MAX(Assumptions!$C$27,Assumptions!$C$13*Assumptions!$C$28^(DG$5-1))*$O87)),0)</f>
        <v>0</v>
      </c>
      <c r="DI87" s="93">
        <f>IF(AND($T87=1,DI$5&lt;=$H87),DH87*(1-BS87)*(1-MIN(1,MAX(Assumptions!$C$27,Assumptions!$C$13*Assumptions!$C$28^(DH$5-1))*$O87)),0)</f>
        <v>0</v>
      </c>
      <c r="DJ87" s="93">
        <f>IF(AND($T87=1,DJ$5&lt;=$H87),DI87*(1-BT87)*(1-MIN(1,MAX(Assumptions!$C$27,Assumptions!$C$13*Assumptions!$C$28^(DI$5-1))*$O87)),0)</f>
        <v>0</v>
      </c>
      <c r="DK87" s="93">
        <f>IF(AND($T87=1,DK$5&lt;=$H87),DJ87*(1-BU87)*(1-MIN(1,MAX(Assumptions!$C$27,Assumptions!$C$13*Assumptions!$C$28^(DJ$5-1))*$O87)),0)</f>
        <v>0</v>
      </c>
      <c r="DL87" s="93">
        <f>IF(AND($T87=1,DL$5&lt;=$H87),DK87*(1-BV87)*(1-MIN(1,MAX(Assumptions!$C$27,Assumptions!$C$13*Assumptions!$C$28^(DK$5-1))*$O87)),0)</f>
        <v>0</v>
      </c>
      <c r="DM87" s="93">
        <f>IF(AND($T87=1,DM$5&lt;=$H87),DL87*(1-BW87)*(1-MIN(1,MAX(Assumptions!$C$27,Assumptions!$C$13*Assumptions!$C$28^(DL$5-1))*$O87)),0)</f>
        <v>0</v>
      </c>
      <c r="DN87" s="93">
        <f>IF(AND($T87=1,DN$5&lt;=$H87),DM87*(1-BX87)*(1-MIN(1,MAX(Assumptions!$C$27,Assumptions!$C$13*Assumptions!$C$28^(DM$5-1))*$O87)),0)</f>
        <v>0</v>
      </c>
      <c r="DO87" s="93">
        <f>IF(AND($T87=1,DO$5&lt;=$H87),DN87*(1-BY87)*(1-MIN(1,MAX(Assumptions!$C$27,Assumptions!$C$13*Assumptions!$C$28^(DN$5-1))*$O87)),0)</f>
        <v>0</v>
      </c>
      <c r="DP87" s="93">
        <f>IF(AND($T87=1,DP$5&lt;=$H87),DO87*(1-BZ87)*(1-MIN(1,MAX(Assumptions!$C$27,Assumptions!$C$13*Assumptions!$C$28^(DO$5-1))*$O87)),0)</f>
        <v>0</v>
      </c>
      <c r="DQ87" s="93">
        <f>IF(AND($T87=1,DQ$5&lt;=$H87),DP87*(1-CA87)*(1-MIN(1,MAX(Assumptions!$C$27,Assumptions!$C$13*Assumptions!$C$28^(DP$5-1))*$O87)),0)</f>
        <v>0</v>
      </c>
      <c r="DR87" s="93">
        <f>IF(AND($T87=1,DR$5&lt;=$H87),DQ87*(1-CB87)*(1-MIN(1,MAX(Assumptions!$C$27,Assumptions!$C$13*Assumptions!$C$28^(DQ$5-1))*$O87)),0)</f>
        <v>0</v>
      </c>
      <c r="DS87" s="93">
        <f>IF(AND($T87=1,DS$5&lt;=$H87),DR87*(1-CC87)*(1-MIN(1,MAX(Assumptions!$C$27,Assumptions!$C$13*Assumptions!$C$28^(DR$5-1))*$O87)),0)</f>
        <v>0</v>
      </c>
      <c r="DT87" s="93">
        <f>IF(AND($T87=1,DT$5&lt;=$H87),DS87*(1-CD87)*(1-MIN(1,MAX(Assumptions!$C$27,Assumptions!$C$13*Assumptions!$C$28^(DS$5-1))*$O87)),0)</f>
        <v>0</v>
      </c>
      <c r="DU87" s="93">
        <f>IF(AND($T87=1,DU$5&lt;=$H87),DT87*(1-CE87)*(1-MIN(1,MAX(Assumptions!$C$27,Assumptions!$C$13*Assumptions!$C$28^(DT$5-1))*$O87)),0)</f>
        <v>0</v>
      </c>
      <c r="DV87" s="93">
        <f>IF(AND($T87=1,DV$5&lt;=$H87),DU87*(1-CF87)*(1-MIN(1,MAX(Assumptions!$C$27,Assumptions!$C$13*Assumptions!$C$28^(DU$5-1))*$O87)),0)</f>
        <v>0</v>
      </c>
      <c r="DW87" s="94">
        <f>IF(AND($T87=1,DW$5&lt;=$H87),DV87*(1-CG87)*(1-MIN(1,MAX(Assumptions!$C$27,Assumptions!$C$13*Assumptions!$C$28^(DV$5-1))*$O87)),0)</f>
        <v>0</v>
      </c>
      <c r="DX87" s="26"/>
      <c r="DY87" s="399">
        <f>'Policy Data'!K61</f>
        <v>5</v>
      </c>
      <c r="DZ87" s="100">
        <f>'Policy Data'!L61</f>
        <v>0.76359999999999995</v>
      </c>
      <c r="EA87" s="100">
        <f>'Policy Data'!N61</f>
        <v>7.1869999999999998E-3</v>
      </c>
      <c r="EB87" s="93" cm="1">
        <f t="array" ref="EB87">IFERROR(DZ87*INDEX(Mortality!$B$4:$E$64,MATCH(D87+DY87-1,Mortality!$A$4:$A$64,0),U87)*V87,0)</f>
        <v>9.8978577708164744E-3</v>
      </c>
      <c r="EC87" s="100">
        <f>'Policy Data'!O61</f>
        <v>0</v>
      </c>
      <c r="ED87" s="400">
        <f>'Policy Data'!Q61</f>
        <v>0</v>
      </c>
    </row>
    <row r="88" spans="1:134" x14ac:dyDescent="0.3">
      <c r="A88" s="399" t="str">
        <f>'Policy Data'!A62</f>
        <v>POL100058</v>
      </c>
      <c r="B88" s="26" t="s">
        <v>426</v>
      </c>
      <c r="C88" s="100" t="str">
        <f>'Policy Data'!B62</f>
        <v>Term Life</v>
      </c>
      <c r="D88" s="100">
        <f>'Policy Data'!C62</f>
        <v>27</v>
      </c>
      <c r="E88" s="100" t="str">
        <f>'Policy Data'!D62</f>
        <v>Male</v>
      </c>
      <c r="F88" s="100" t="str">
        <f>'Policy Data'!E62</f>
        <v>Smoker</v>
      </c>
      <c r="G88" s="100" t="str">
        <f>'Policy Data'!F62</f>
        <v>Standard</v>
      </c>
      <c r="H88" s="100">
        <f>'Policy Data'!G62</f>
        <v>10</v>
      </c>
      <c r="I88" s="279">
        <f>'Policy Data'!H62</f>
        <v>500000</v>
      </c>
      <c r="J88" s="100" t="str">
        <f>'Policy Data'!I62</f>
        <v>Annual</v>
      </c>
      <c r="K88" s="100" t="str">
        <f>'Policy Data'!J62</f>
        <v>Bancassurance</v>
      </c>
      <c r="L88" s="26" t="s">
        <v>389</v>
      </c>
      <c r="M88" s="106">
        <f>'Policy Data'!R62</f>
        <v>1200</v>
      </c>
      <c r="N88" s="415">
        <f>Assumptions!$C$21</f>
        <v>1</v>
      </c>
      <c r="O88" s="415">
        <f>Assumptions!$C$22</f>
        <v>1</v>
      </c>
      <c r="P88" s="415">
        <f>Assumptions!$C$23</f>
        <v>1</v>
      </c>
      <c r="Q88" s="416">
        <f>Assumptions!$C$24</f>
        <v>0</v>
      </c>
      <c r="R88" s="416">
        <f>Assumptions!$C$6+Assumptions!$C$25</f>
        <v>3.5000000000000003E-2</v>
      </c>
      <c r="S88" s="416">
        <f>Assumptions!$C$15</f>
        <v>1.1000000000000001E-3</v>
      </c>
      <c r="T88" s="26">
        <f t="shared" si="18"/>
        <v>1</v>
      </c>
      <c r="U88" s="26">
        <f t="shared" si="19"/>
        <v>4</v>
      </c>
      <c r="V88" s="389">
        <f>IF($G88="Preferred",Assumptions!$C$30,IF($G88="Rated",Assumptions!$C$31,1))</f>
        <v>1</v>
      </c>
      <c r="W88" s="390">
        <f>IF($K88="Direct",Assumptions!$C$32,IF($K88="Broker",Assumptions!$C$33,IF($K88="Bancassurance",Assumptions!$C$34,Assumptions!$C$11)))+$Q88</f>
        <v>0.2</v>
      </c>
      <c r="X88" s="390">
        <f>Assumptions!$C$12+$Q88</f>
        <v>0.05</v>
      </c>
      <c r="Y88" s="131">
        <f>MIN($I88,Assumptions!$C$14)</f>
        <v>500000</v>
      </c>
      <c r="Z88" s="131">
        <f>MAX($I88-Assumptions!$C$14,0)</f>
        <v>0</v>
      </c>
      <c r="AA88" s="389">
        <f t="shared" si="20"/>
        <v>5.8540460936218617</v>
      </c>
      <c r="AB88" s="389">
        <f t="shared" si="21"/>
        <v>5.3939432342828813E-3</v>
      </c>
      <c r="AC88" s="389">
        <f>IF($T88=1,SUMPRODUCT($CJ88:$DW88,(1+Assumptions!$C$5)^($CJ$5:$DW$5-1),(1+$R88)^(-$CJ$5:$DW$5)),0)</f>
        <v>6.7898396645192634</v>
      </c>
      <c r="AD88" s="389">
        <f t="shared" si="22"/>
        <v>0.43762984091297719</v>
      </c>
      <c r="AE88" s="131">
        <f>IF($T88=1,$AB88*$Y88+(Assumptions!$C$9/(1+$R88)+Assumptions!$C$10*$AC88)*$P88+$S88*$Z88*$AA88,0)</f>
        <v>5060.3015607269826</v>
      </c>
      <c r="AF88" s="131">
        <f>IF($T88=1,IF($AA88-$AD88-Assumptions!$C$16*$AA88&gt;0,$AE88/($AA88-$AD88-Assumptions!$C$16*$AA88)*IF($J88="Monthly",1+Assumptions!$C$29,1),"n.a."),"")</f>
        <v>1022.6772223900134</v>
      </c>
      <c r="AG88" s="131">
        <f t="shared" si="23"/>
        <v>1200</v>
      </c>
      <c r="AH88" s="131">
        <f t="shared" si="24"/>
        <v>7024.8553123462343</v>
      </c>
      <c r="AI88" s="131">
        <f t="shared" si="25"/>
        <v>1439.3979425236794</v>
      </c>
      <c r="AJ88" s="390">
        <f t="shared" si="26"/>
        <v>0.2049007244311391</v>
      </c>
      <c r="AK88" s="389">
        <f t="shared" si="27"/>
        <v>1.1733907568563817</v>
      </c>
      <c r="AL88" s="131">
        <f t="shared" si="28"/>
        <v>0</v>
      </c>
      <c r="AM88" s="131">
        <f t="shared" si="29"/>
        <v>0</v>
      </c>
      <c r="AN88" s="131">
        <f t="shared" si="30"/>
        <v>0</v>
      </c>
      <c r="AO88" s="131">
        <f t="shared" si="31"/>
        <v>1439.3979425236794</v>
      </c>
      <c r="AP88" s="26" t="str">
        <f t="shared" si="32"/>
        <v>20-29</v>
      </c>
      <c r="AQ88" s="26" t="str">
        <f t="shared" si="33"/>
        <v>250k-500k</v>
      </c>
      <c r="AR88" s="26" t="str">
        <f>IF($T88=1,IF($AI88&lt;0,"Loss-making",IF($AJ88&lt;Assumptions!$C$16-0.00001,"Below target","At/above target")),"Excluded")</f>
        <v>At/above target</v>
      </c>
      <c r="AS88" s="103">
        <f t="shared" si="34"/>
        <v>1439.3980305236794</v>
      </c>
      <c r="AT88" s="26"/>
      <c r="AU88" s="419">
        <f>IF(AND($T88=1,AU$5&lt;=$H88),INDEX(Mortality!$B$4:$E$64,MATCH($D88+AU$5-1,Mortality!$A$4:$A$64,0),$U88)*$V88*$N88,0)</f>
        <v>6.7168186486820302E-4</v>
      </c>
      <c r="AV88" s="93">
        <f>IF(AND($T88=1,AV$5&lt;=$H88),INDEX(Mortality!$B$4:$E$64,MATCH($D88+AV$5-1,Mortality!$A$4:$A$64,0),$U88)*$V88*$N88,0)</f>
        <v>7.2762427780352396E-4</v>
      </c>
      <c r="AW88" s="93">
        <f>IF(AND($T88=1,AW$5&lt;=$H88),INDEX(Mortality!$B$4:$E$64,MATCH($D88+AW$5-1,Mortality!$A$4:$A$64,0),$U88)*$V88*$N88,0)</f>
        <v>7.8822597027088895E-4</v>
      </c>
      <c r="AX88" s="93">
        <f>IF(AND($T88=1,AX$5&lt;=$H88),INDEX(Mortality!$B$4:$E$64,MATCH($D88+AX$5-1,Mortality!$A$4:$A$64,0),$U88)*$V88*$N88,0)</f>
        <v>8.5387500000000003E-4</v>
      </c>
      <c r="AY88" s="93">
        <f>IF(AND($T88=1,AY$5&lt;=$H88),INDEX(Mortality!$B$4:$E$64,MATCH($D88+AY$5-1,Mortality!$A$4:$A$64,0),$U88)*$V88*$N88,0)</f>
        <v>9.2499174491095498E-4</v>
      </c>
      <c r="AZ88" s="93">
        <f>IF(AND($T88=1,AZ$5&lt;=$H88),INDEX(Mortality!$B$4:$E$64,MATCH($D88+AZ$5-1,Mortality!$A$4:$A$64,0),$U88)*$V88*$N88,0)</f>
        <v>1.0020315949681299E-3</v>
      </c>
      <c r="BA88" s="93">
        <f>IF(AND($T88=1,BA$5&lt;=$H88),INDEX(Mortality!$B$4:$E$64,MATCH($D88+BA$5-1,Mortality!$A$4:$A$64,0),$U88)*$V88*$N88,0)</f>
        <v>1.08548786823069E-3</v>
      </c>
      <c r="BB88" s="93">
        <f>IF(AND($T88=1,BB$5&lt;=$H88),INDEX(Mortality!$B$4:$E$64,MATCH($D88+BB$5-1,Mortality!$A$4:$A$64,0),$U88)*$V88*$N88,0)</f>
        <v>1.1758949697723701E-3</v>
      </c>
      <c r="BC88" s="93">
        <f>IF(AND($T88=1,BC$5&lt;=$H88),INDEX(Mortality!$B$4:$E$64,MATCH($D88+BC$5-1,Mortality!$A$4:$A$64,0),$U88)*$V88*$N88,0)</f>
        <v>1.27383181369844E-3</v>
      </c>
      <c r="BD88" s="93">
        <f>IF(AND($T88=1,BD$5&lt;=$H88),INDEX(Mortality!$B$4:$E$64,MATCH($D88+BD$5-1,Mortality!$A$4:$A$64,0),$U88)*$V88*$N88,0)</f>
        <v>1.3799255301724599E-3</v>
      </c>
      <c r="BE88" s="93">
        <f>IF(AND($T88=1,BE$5&lt;=$H88),INDEX(Mortality!$B$4:$E$64,MATCH($D88+BE$5-1,Mortality!$A$4:$A$64,0),$U88)*$V88*$N88,0)</f>
        <v>0</v>
      </c>
      <c r="BF88" s="93">
        <f>IF(AND($T88=1,BF$5&lt;=$H88),INDEX(Mortality!$B$4:$E$64,MATCH($D88+BF$5-1,Mortality!$A$4:$A$64,0),$U88)*$V88*$N88,0)</f>
        <v>0</v>
      </c>
      <c r="BG88" s="93">
        <f>IF(AND($T88=1,BG$5&lt;=$H88),INDEX(Mortality!$B$4:$E$64,MATCH($D88+BG$5-1,Mortality!$A$4:$A$64,0),$U88)*$V88*$N88,0)</f>
        <v>0</v>
      </c>
      <c r="BH88" s="93">
        <f>IF(AND($T88=1,BH$5&lt;=$H88),INDEX(Mortality!$B$4:$E$64,MATCH($D88+BH$5-1,Mortality!$A$4:$A$64,0),$U88)*$V88*$N88,0)</f>
        <v>0</v>
      </c>
      <c r="BI88" s="93">
        <f>IF(AND($T88=1,BI$5&lt;=$H88),INDEX(Mortality!$B$4:$E$64,MATCH($D88+BI$5-1,Mortality!$A$4:$A$64,0),$U88)*$V88*$N88,0)</f>
        <v>0</v>
      </c>
      <c r="BJ88" s="93">
        <f>IF(AND($T88=1,BJ$5&lt;=$H88),INDEX(Mortality!$B$4:$E$64,MATCH($D88+BJ$5-1,Mortality!$A$4:$A$64,0),$U88)*$V88*$N88,0)</f>
        <v>0</v>
      </c>
      <c r="BK88" s="93">
        <f>IF(AND($T88=1,BK$5&lt;=$H88),INDEX(Mortality!$B$4:$E$64,MATCH($D88+BK$5-1,Mortality!$A$4:$A$64,0),$U88)*$V88*$N88,0)</f>
        <v>0</v>
      </c>
      <c r="BL88" s="93">
        <f>IF(AND($T88=1,BL$5&lt;=$H88),INDEX(Mortality!$B$4:$E$64,MATCH($D88+BL$5-1,Mortality!$A$4:$A$64,0),$U88)*$V88*$N88,0)</f>
        <v>0</v>
      </c>
      <c r="BM88" s="93">
        <f>IF(AND($T88=1,BM$5&lt;=$H88),INDEX(Mortality!$B$4:$E$64,MATCH($D88+BM$5-1,Mortality!$A$4:$A$64,0),$U88)*$V88*$N88,0)</f>
        <v>0</v>
      </c>
      <c r="BN88" s="93">
        <f>IF(AND($T88=1,BN$5&lt;=$H88),INDEX(Mortality!$B$4:$E$64,MATCH($D88+BN$5-1,Mortality!$A$4:$A$64,0),$U88)*$V88*$N88,0)</f>
        <v>0</v>
      </c>
      <c r="BO88" s="93">
        <f>IF(AND($T88=1,BO$5&lt;=$H88),INDEX(Mortality!$B$4:$E$64,MATCH($D88+BO$5-1,Mortality!$A$4:$A$64,0),$U88)*$V88*$N88,0)</f>
        <v>0</v>
      </c>
      <c r="BP88" s="93">
        <f>IF(AND($T88=1,BP$5&lt;=$H88),INDEX(Mortality!$B$4:$E$64,MATCH($D88+BP$5-1,Mortality!$A$4:$A$64,0),$U88)*$V88*$N88,0)</f>
        <v>0</v>
      </c>
      <c r="BQ88" s="93">
        <f>IF(AND($T88=1,BQ$5&lt;=$H88),INDEX(Mortality!$B$4:$E$64,MATCH($D88+BQ$5-1,Mortality!$A$4:$A$64,0),$U88)*$V88*$N88,0)</f>
        <v>0</v>
      </c>
      <c r="BR88" s="93">
        <f>IF(AND($T88=1,BR$5&lt;=$H88),INDEX(Mortality!$B$4:$E$64,MATCH($D88+BR$5-1,Mortality!$A$4:$A$64,0),$U88)*$V88*$N88,0)</f>
        <v>0</v>
      </c>
      <c r="BS88" s="93">
        <f>IF(AND($T88=1,BS$5&lt;=$H88),INDEX(Mortality!$B$4:$E$64,MATCH($D88+BS$5-1,Mortality!$A$4:$A$64,0),$U88)*$V88*$N88,0)</f>
        <v>0</v>
      </c>
      <c r="BT88" s="93">
        <f>IF(AND($T88=1,BT$5&lt;=$H88),INDEX(Mortality!$B$4:$E$64,MATCH($D88+BT$5-1,Mortality!$A$4:$A$64,0),$U88)*$V88*$N88,0)</f>
        <v>0</v>
      </c>
      <c r="BU88" s="93">
        <f>IF(AND($T88=1,BU$5&lt;=$H88),INDEX(Mortality!$B$4:$E$64,MATCH($D88+BU$5-1,Mortality!$A$4:$A$64,0),$U88)*$V88*$N88,0)</f>
        <v>0</v>
      </c>
      <c r="BV88" s="93">
        <f>IF(AND($T88=1,BV$5&lt;=$H88),INDEX(Mortality!$B$4:$E$64,MATCH($D88+BV$5-1,Mortality!$A$4:$A$64,0),$U88)*$V88*$N88,0)</f>
        <v>0</v>
      </c>
      <c r="BW88" s="93">
        <f>IF(AND($T88=1,BW$5&lt;=$H88),INDEX(Mortality!$B$4:$E$64,MATCH($D88+BW$5-1,Mortality!$A$4:$A$64,0),$U88)*$V88*$N88,0)</f>
        <v>0</v>
      </c>
      <c r="BX88" s="93">
        <f>IF(AND($T88=1,BX$5&lt;=$H88),INDEX(Mortality!$B$4:$E$64,MATCH($D88+BX$5-1,Mortality!$A$4:$A$64,0),$U88)*$V88*$N88,0)</f>
        <v>0</v>
      </c>
      <c r="BY88" s="93">
        <f>IF(AND($T88=1,BY$5&lt;=$H88),INDEX(Mortality!$B$4:$E$64,MATCH($D88+BY$5-1,Mortality!$A$4:$A$64,0),$U88)*$V88*$N88,0)</f>
        <v>0</v>
      </c>
      <c r="BZ88" s="93">
        <f>IF(AND($T88=1,BZ$5&lt;=$H88),INDEX(Mortality!$B$4:$E$64,MATCH($D88+BZ$5-1,Mortality!$A$4:$A$64,0),$U88)*$V88*$N88,0)</f>
        <v>0</v>
      </c>
      <c r="CA88" s="93">
        <f>IF(AND($T88=1,CA$5&lt;=$H88),INDEX(Mortality!$B$4:$E$64,MATCH($D88+CA$5-1,Mortality!$A$4:$A$64,0),$U88)*$V88*$N88,0)</f>
        <v>0</v>
      </c>
      <c r="CB88" s="93">
        <f>IF(AND($T88=1,CB$5&lt;=$H88),INDEX(Mortality!$B$4:$E$64,MATCH($D88+CB$5-1,Mortality!$A$4:$A$64,0),$U88)*$V88*$N88,0)</f>
        <v>0</v>
      </c>
      <c r="CC88" s="93">
        <f>IF(AND($T88=1,CC$5&lt;=$H88),INDEX(Mortality!$B$4:$E$64,MATCH($D88+CC$5-1,Mortality!$A$4:$A$64,0),$U88)*$V88*$N88,0)</f>
        <v>0</v>
      </c>
      <c r="CD88" s="93">
        <f>IF(AND($T88=1,CD$5&lt;=$H88),INDEX(Mortality!$B$4:$E$64,MATCH($D88+CD$5-1,Mortality!$A$4:$A$64,0),$U88)*$V88*$N88,0)</f>
        <v>0</v>
      </c>
      <c r="CE88" s="93">
        <f>IF(AND($T88=1,CE$5&lt;=$H88),INDEX(Mortality!$B$4:$E$64,MATCH($D88+CE$5-1,Mortality!$A$4:$A$64,0),$U88)*$V88*$N88,0)</f>
        <v>0</v>
      </c>
      <c r="CF88" s="93">
        <f>IF(AND($T88=1,CF$5&lt;=$H88),INDEX(Mortality!$B$4:$E$64,MATCH($D88+CF$5-1,Mortality!$A$4:$A$64,0),$U88)*$V88*$N88,0)</f>
        <v>0</v>
      </c>
      <c r="CG88" s="93">
        <f>IF(AND($T88=1,CG$5&lt;=$H88),INDEX(Mortality!$B$4:$E$64,MATCH($D88+CG$5-1,Mortality!$A$4:$A$64,0),$U88)*$V88*$N88,0)</f>
        <v>0</v>
      </c>
      <c r="CH88" s="94">
        <f>IF(AND($T88=1,CH$5&lt;=$H88),INDEX(Mortality!$B$4:$E$64,MATCH($D88+CH$5-1,Mortality!$A$4:$A$64,0),$U88)*$V88*$N88,0)</f>
        <v>0</v>
      </c>
      <c r="CI88" s="26"/>
      <c r="CJ88" s="419">
        <f t="shared" si="35"/>
        <v>1</v>
      </c>
      <c r="CK88" s="93">
        <f>IF(AND($T88=1,CK$5&lt;=$H88),CJ88*(1-AU88)*(1-MIN(1,MAX(Assumptions!$C$27,Assumptions!$C$13*Assumptions!$C$28^(CJ$5-1))*$O88)),0)</f>
        <v>0.87940891995891601</v>
      </c>
      <c r="CL88" s="93">
        <f>IF(AND($T88=1,CL$5&lt;=$H88),CK88*(1-AV88)*(1-MIN(1,MAX(Assumptions!$C$27,Assumptions!$C$13*Assumptions!$C$28^(CK$5-1))*$O88)),0)</f>
        <v>0.78913459852941603</v>
      </c>
      <c r="CM88" s="93">
        <f>IF(AND($T88=1,CM$5&lt;=$H88),CL88*(1-AW88)*(1-MIN(1,MAX(Assumptions!$C$27,Assumptions!$C$13*Assumptions!$C$28^(CL$5-1))*$O88)),0)</f>
        <v>0.72014854127286032</v>
      </c>
      <c r="CN88" s="93">
        <f>IF(AND($T88=1,CN$5&lt;=$H88),CM88*(1-AX88)*(1-MIN(1,MAX(Assumptions!$C$27,Assumptions!$C$13*Assumptions!$C$28^(CM$5-1))*$O88)),0)</f>
        <v>0.66650759398428294</v>
      </c>
      <c r="CO88" s="93">
        <f>IF(AND($T88=1,CO$5&lt;=$H88),CN88*(1-AY88)*(1-MIN(1,MAX(Assumptions!$C$27,Assumptions!$C$13*Assumptions!$C$28^(CN$5-1))*$O88)),0)</f>
        <v>0.62417916329480194</v>
      </c>
      <c r="CP88" s="93">
        <f>IF(AND($T88=1,CP$5&lt;=$H88),CO88*(1-AZ88)*(1-MIN(1,MAX(Assumptions!$C$27,Assumptions!$C$13*Assumptions!$C$28^(CO$5-1))*$O88)),0)</f>
        <v>0.59035282447927928</v>
      </c>
      <c r="CQ88" s="93">
        <f>IF(AND($T88=1,CQ$5&lt;=$H88),CP88*(1-BA88)*(1-MIN(1,MAX(Assumptions!$C$27,Assumptions!$C$13*Assumptions!$C$28^(CP$5-1))*$O88)),0)</f>
        <v>0.56302285206613478</v>
      </c>
      <c r="CR88" s="93">
        <f>IF(AND($T88=1,CR$5&lt;=$H88),CQ88*(1-BB88)*(1-MIN(1,MAX(Assumptions!$C$27,Assumptions!$C$13*Assumptions!$C$28^(CQ$5-1))*$O88)),0)</f>
        <v>0.54072719792853752</v>
      </c>
      <c r="CS88" s="93">
        <f>IF(AND($T88=1,CS$5&lt;=$H88),CR88*(1-BC88)*(1-MIN(1,MAX(Assumptions!$C$27,Assumptions!$C$13*Assumptions!$C$28^(CR$5-1))*$O88)),0)</f>
        <v>0.52237976068324021</v>
      </c>
      <c r="CT88" s="93">
        <f>IF(AND($T88=1,CT$5&lt;=$H88),CS88*(1-BD88)*(1-MIN(1,MAX(Assumptions!$C$27,Assumptions!$C$13*Assumptions!$C$28^(CS$5-1))*$O88)),0)</f>
        <v>0</v>
      </c>
      <c r="CU88" s="93">
        <f>IF(AND($T88=1,CU$5&lt;=$H88),CT88*(1-BE88)*(1-MIN(1,MAX(Assumptions!$C$27,Assumptions!$C$13*Assumptions!$C$28^(CT$5-1))*$O88)),0)</f>
        <v>0</v>
      </c>
      <c r="CV88" s="93">
        <f>IF(AND($T88=1,CV$5&lt;=$H88),CU88*(1-BF88)*(1-MIN(1,MAX(Assumptions!$C$27,Assumptions!$C$13*Assumptions!$C$28^(CU$5-1))*$O88)),0)</f>
        <v>0</v>
      </c>
      <c r="CW88" s="93">
        <f>IF(AND($T88=1,CW$5&lt;=$H88),CV88*(1-BG88)*(1-MIN(1,MAX(Assumptions!$C$27,Assumptions!$C$13*Assumptions!$C$28^(CV$5-1))*$O88)),0)</f>
        <v>0</v>
      </c>
      <c r="CX88" s="93">
        <f>IF(AND($T88=1,CX$5&lt;=$H88),CW88*(1-BH88)*(1-MIN(1,MAX(Assumptions!$C$27,Assumptions!$C$13*Assumptions!$C$28^(CW$5-1))*$O88)),0)</f>
        <v>0</v>
      </c>
      <c r="CY88" s="93">
        <f>IF(AND($T88=1,CY$5&lt;=$H88),CX88*(1-BI88)*(1-MIN(1,MAX(Assumptions!$C$27,Assumptions!$C$13*Assumptions!$C$28^(CX$5-1))*$O88)),0)</f>
        <v>0</v>
      </c>
      <c r="CZ88" s="93">
        <f>IF(AND($T88=1,CZ$5&lt;=$H88),CY88*(1-BJ88)*(1-MIN(1,MAX(Assumptions!$C$27,Assumptions!$C$13*Assumptions!$C$28^(CY$5-1))*$O88)),0)</f>
        <v>0</v>
      </c>
      <c r="DA88" s="93">
        <f>IF(AND($T88=1,DA$5&lt;=$H88),CZ88*(1-BK88)*(1-MIN(1,MAX(Assumptions!$C$27,Assumptions!$C$13*Assumptions!$C$28^(CZ$5-1))*$O88)),0)</f>
        <v>0</v>
      </c>
      <c r="DB88" s="93">
        <f>IF(AND($T88=1,DB$5&lt;=$H88),DA88*(1-BL88)*(1-MIN(1,MAX(Assumptions!$C$27,Assumptions!$C$13*Assumptions!$C$28^(DA$5-1))*$O88)),0)</f>
        <v>0</v>
      </c>
      <c r="DC88" s="93">
        <f>IF(AND($T88=1,DC$5&lt;=$H88),DB88*(1-BM88)*(1-MIN(1,MAX(Assumptions!$C$27,Assumptions!$C$13*Assumptions!$C$28^(DB$5-1))*$O88)),0)</f>
        <v>0</v>
      </c>
      <c r="DD88" s="93">
        <f>IF(AND($T88=1,DD$5&lt;=$H88),DC88*(1-BN88)*(1-MIN(1,MAX(Assumptions!$C$27,Assumptions!$C$13*Assumptions!$C$28^(DC$5-1))*$O88)),0)</f>
        <v>0</v>
      </c>
      <c r="DE88" s="93">
        <f>IF(AND($T88=1,DE$5&lt;=$H88),DD88*(1-BO88)*(1-MIN(1,MAX(Assumptions!$C$27,Assumptions!$C$13*Assumptions!$C$28^(DD$5-1))*$O88)),0)</f>
        <v>0</v>
      </c>
      <c r="DF88" s="93">
        <f>IF(AND($T88=1,DF$5&lt;=$H88),DE88*(1-BP88)*(1-MIN(1,MAX(Assumptions!$C$27,Assumptions!$C$13*Assumptions!$C$28^(DE$5-1))*$O88)),0)</f>
        <v>0</v>
      </c>
      <c r="DG88" s="93">
        <f>IF(AND($T88=1,DG$5&lt;=$H88),DF88*(1-BQ88)*(1-MIN(1,MAX(Assumptions!$C$27,Assumptions!$C$13*Assumptions!$C$28^(DF$5-1))*$O88)),0)</f>
        <v>0</v>
      </c>
      <c r="DH88" s="93">
        <f>IF(AND($T88=1,DH$5&lt;=$H88),DG88*(1-BR88)*(1-MIN(1,MAX(Assumptions!$C$27,Assumptions!$C$13*Assumptions!$C$28^(DG$5-1))*$O88)),0)</f>
        <v>0</v>
      </c>
      <c r="DI88" s="93">
        <f>IF(AND($T88=1,DI$5&lt;=$H88),DH88*(1-BS88)*(1-MIN(1,MAX(Assumptions!$C$27,Assumptions!$C$13*Assumptions!$C$28^(DH$5-1))*$O88)),0)</f>
        <v>0</v>
      </c>
      <c r="DJ88" s="93">
        <f>IF(AND($T88=1,DJ$5&lt;=$H88),DI88*(1-BT88)*(1-MIN(1,MAX(Assumptions!$C$27,Assumptions!$C$13*Assumptions!$C$28^(DI$5-1))*$O88)),0)</f>
        <v>0</v>
      </c>
      <c r="DK88" s="93">
        <f>IF(AND($T88=1,DK$5&lt;=$H88),DJ88*(1-BU88)*(1-MIN(1,MAX(Assumptions!$C$27,Assumptions!$C$13*Assumptions!$C$28^(DJ$5-1))*$O88)),0)</f>
        <v>0</v>
      </c>
      <c r="DL88" s="93">
        <f>IF(AND($T88=1,DL$5&lt;=$H88),DK88*(1-BV88)*(1-MIN(1,MAX(Assumptions!$C$27,Assumptions!$C$13*Assumptions!$C$28^(DK$5-1))*$O88)),0)</f>
        <v>0</v>
      </c>
      <c r="DM88" s="93">
        <f>IF(AND($T88=1,DM$5&lt;=$H88),DL88*(1-BW88)*(1-MIN(1,MAX(Assumptions!$C$27,Assumptions!$C$13*Assumptions!$C$28^(DL$5-1))*$O88)),0)</f>
        <v>0</v>
      </c>
      <c r="DN88" s="93">
        <f>IF(AND($T88=1,DN$5&lt;=$H88),DM88*(1-BX88)*(1-MIN(1,MAX(Assumptions!$C$27,Assumptions!$C$13*Assumptions!$C$28^(DM$5-1))*$O88)),0)</f>
        <v>0</v>
      </c>
      <c r="DO88" s="93">
        <f>IF(AND($T88=1,DO$5&lt;=$H88),DN88*(1-BY88)*(1-MIN(1,MAX(Assumptions!$C$27,Assumptions!$C$13*Assumptions!$C$28^(DN$5-1))*$O88)),0)</f>
        <v>0</v>
      </c>
      <c r="DP88" s="93">
        <f>IF(AND($T88=1,DP$5&lt;=$H88),DO88*(1-BZ88)*(1-MIN(1,MAX(Assumptions!$C$27,Assumptions!$C$13*Assumptions!$C$28^(DO$5-1))*$O88)),0)</f>
        <v>0</v>
      </c>
      <c r="DQ88" s="93">
        <f>IF(AND($T88=1,DQ$5&lt;=$H88),DP88*(1-CA88)*(1-MIN(1,MAX(Assumptions!$C$27,Assumptions!$C$13*Assumptions!$C$28^(DP$5-1))*$O88)),0)</f>
        <v>0</v>
      </c>
      <c r="DR88" s="93">
        <f>IF(AND($T88=1,DR$5&lt;=$H88),DQ88*(1-CB88)*(1-MIN(1,MAX(Assumptions!$C$27,Assumptions!$C$13*Assumptions!$C$28^(DQ$5-1))*$O88)),0)</f>
        <v>0</v>
      </c>
      <c r="DS88" s="93">
        <f>IF(AND($T88=1,DS$5&lt;=$H88),DR88*(1-CC88)*(1-MIN(1,MAX(Assumptions!$C$27,Assumptions!$C$13*Assumptions!$C$28^(DR$5-1))*$O88)),0)</f>
        <v>0</v>
      </c>
      <c r="DT88" s="93">
        <f>IF(AND($T88=1,DT$5&lt;=$H88),DS88*(1-CD88)*(1-MIN(1,MAX(Assumptions!$C$27,Assumptions!$C$13*Assumptions!$C$28^(DS$5-1))*$O88)),0)</f>
        <v>0</v>
      </c>
      <c r="DU88" s="93">
        <f>IF(AND($T88=1,DU$5&lt;=$H88),DT88*(1-CE88)*(1-MIN(1,MAX(Assumptions!$C$27,Assumptions!$C$13*Assumptions!$C$28^(DT$5-1))*$O88)),0)</f>
        <v>0</v>
      </c>
      <c r="DV88" s="93">
        <f>IF(AND($T88=1,DV$5&lt;=$H88),DU88*(1-CF88)*(1-MIN(1,MAX(Assumptions!$C$27,Assumptions!$C$13*Assumptions!$C$28^(DU$5-1))*$O88)),0)</f>
        <v>0</v>
      </c>
      <c r="DW88" s="94">
        <f>IF(AND($T88=1,DW$5&lt;=$H88),DV88*(1-CG88)*(1-MIN(1,MAX(Assumptions!$C$27,Assumptions!$C$13*Assumptions!$C$28^(DV$5-1))*$O88)),0)</f>
        <v>0</v>
      </c>
      <c r="DX88" s="26"/>
      <c r="DY88" s="399">
        <f>'Policy Data'!K62</f>
        <v>2</v>
      </c>
      <c r="DZ88" s="100">
        <f>'Policy Data'!L62</f>
        <v>0.81079999999999997</v>
      </c>
      <c r="EA88" s="100">
        <f>'Policy Data'!N62</f>
        <v>5.4500000000000002E-4</v>
      </c>
      <c r="EB88" s="93" cm="1">
        <f t="array" ref="EB88">IFERROR(DZ88*INDEX(Mortality!$B$4:$E$64,MATCH(D88+DY88-1,Mortality!$A$4:$A$64,0),U88)*V88,0)</f>
        <v>5.8995776444309715E-4</v>
      </c>
      <c r="EC88" s="100">
        <f>'Policy Data'!O62</f>
        <v>0</v>
      </c>
      <c r="ED88" s="400">
        <f>'Policy Data'!Q62</f>
        <v>1</v>
      </c>
    </row>
    <row r="89" spans="1:134" x14ac:dyDescent="0.3">
      <c r="A89" s="399" t="str">
        <f>'Policy Data'!A63</f>
        <v>POL100059</v>
      </c>
      <c r="B89" s="26" t="s">
        <v>426</v>
      </c>
      <c r="C89" s="100" t="str">
        <f>'Policy Data'!B63</f>
        <v>Term Life</v>
      </c>
      <c r="D89" s="100">
        <f>'Policy Data'!C63</f>
        <v>35</v>
      </c>
      <c r="E89" s="100" t="str">
        <f>'Policy Data'!D63</f>
        <v>Male</v>
      </c>
      <c r="F89" s="100" t="str">
        <f>'Policy Data'!E63</f>
        <v>Non-smoker</v>
      </c>
      <c r="G89" s="100" t="str">
        <f>'Policy Data'!F63</f>
        <v>Standard</v>
      </c>
      <c r="H89" s="100">
        <f>'Policy Data'!G63</f>
        <v>25</v>
      </c>
      <c r="I89" s="279">
        <f>'Policy Data'!H63</f>
        <v>250000</v>
      </c>
      <c r="J89" s="100" t="str">
        <f>'Policy Data'!I63</f>
        <v>Annual</v>
      </c>
      <c r="K89" s="100" t="str">
        <f>'Policy Data'!J63</f>
        <v>Direct</v>
      </c>
      <c r="L89" s="26" t="s">
        <v>389</v>
      </c>
      <c r="M89" s="106">
        <f>'Policy Data'!R63</f>
        <v>1200</v>
      </c>
      <c r="N89" s="415">
        <f>Assumptions!$C$21</f>
        <v>1</v>
      </c>
      <c r="O89" s="415">
        <f>Assumptions!$C$22</f>
        <v>1</v>
      </c>
      <c r="P89" s="415">
        <f>Assumptions!$C$23</f>
        <v>1</v>
      </c>
      <c r="Q89" s="416">
        <f>Assumptions!$C$24</f>
        <v>0</v>
      </c>
      <c r="R89" s="416">
        <f>Assumptions!$C$6+Assumptions!$C$25</f>
        <v>3.5000000000000003E-2</v>
      </c>
      <c r="S89" s="416">
        <f>Assumptions!$C$15</f>
        <v>1.1000000000000001E-3</v>
      </c>
      <c r="T89" s="26">
        <f t="shared" si="18"/>
        <v>1</v>
      </c>
      <c r="U89" s="26">
        <f t="shared" si="19"/>
        <v>3</v>
      </c>
      <c r="V89" s="389">
        <f>IF($G89="Preferred",Assumptions!$C$30,IF($G89="Rated",Assumptions!$C$31,1))</f>
        <v>1</v>
      </c>
      <c r="W89" s="390">
        <f>IF($K89="Direct",Assumptions!$C$32,IF($K89="Broker",Assumptions!$C$33,IF($K89="Bancassurance",Assumptions!$C$34,Assumptions!$C$11)))+$Q89</f>
        <v>0.1</v>
      </c>
      <c r="X89" s="390">
        <f>Assumptions!$C$12+$Q89</f>
        <v>0.05</v>
      </c>
      <c r="Y89" s="131">
        <f>MIN($I89,Assumptions!$C$14)</f>
        <v>250000</v>
      </c>
      <c r="Z89" s="131">
        <f>MAX($I89-Assumptions!$C$14,0)</f>
        <v>0</v>
      </c>
      <c r="AA89" s="389">
        <f t="shared" si="20"/>
        <v>9.4358665698119211</v>
      </c>
      <c r="AB89" s="389">
        <f t="shared" si="21"/>
        <v>1.669922582795396E-2</v>
      </c>
      <c r="AC89" s="389">
        <f>IF($T89=1,SUMPRODUCT($CJ89:$DW89,(1+Assumptions!$C$5)^($CJ$5:$DW$5-1),(1+$R89)^(-$CJ$5:$DW$5)),0)</f>
        <v>13.578159371568304</v>
      </c>
      <c r="AD89" s="389">
        <f t="shared" si="22"/>
        <v>0.52010250723455742</v>
      </c>
      <c r="AE89" s="131">
        <f>IF($T89=1,$AB89*$Y89+(Assumptions!$C$9/(1+$R89)+Assumptions!$C$10*$AC89)*$P89+$S89*$Z89*$AA89,0)</f>
        <v>8031.5667361248215</v>
      </c>
      <c r="AF89" s="131">
        <f>IF($T89=1,IF($AA89-$AD89-Assumptions!$C$16*$AA89&gt;0,$AE89/($AA89-$AD89-Assumptions!$C$16*$AA89)*IF($J89="Monthly",1+Assumptions!$C$29,1),"n.a."),"")</f>
        <v>984.15271792670501</v>
      </c>
      <c r="AG89" s="131">
        <f t="shared" si="23"/>
        <v>1200</v>
      </c>
      <c r="AH89" s="131">
        <f t="shared" si="24"/>
        <v>11323.039883774305</v>
      </c>
      <c r="AI89" s="131">
        <f t="shared" si="25"/>
        <v>2667.350138968015</v>
      </c>
      <c r="AJ89" s="390">
        <f t="shared" si="26"/>
        <v>0.23556837795743135</v>
      </c>
      <c r="AK89" s="389">
        <f t="shared" si="27"/>
        <v>1.2193229548032101</v>
      </c>
      <c r="AL89" s="131">
        <f t="shared" si="28"/>
        <v>0</v>
      </c>
      <c r="AM89" s="131">
        <f t="shared" si="29"/>
        <v>0</v>
      </c>
      <c r="AN89" s="131">
        <f t="shared" si="30"/>
        <v>0</v>
      </c>
      <c r="AO89" s="131">
        <f t="shared" si="31"/>
        <v>2667.350138968015</v>
      </c>
      <c r="AP89" s="26" t="str">
        <f t="shared" si="32"/>
        <v>30-39</v>
      </c>
      <c r="AQ89" s="26" t="str">
        <f t="shared" si="33"/>
        <v>Up to 250k</v>
      </c>
      <c r="AR89" s="26" t="str">
        <f>IF($T89=1,IF($AI89&lt;0,"Loss-making",IF($AJ89&lt;Assumptions!$C$16-0.00001,"Below target","At/above target")),"Excluded")</f>
        <v>At/above target</v>
      </c>
      <c r="AS89" s="103">
        <f t="shared" si="34"/>
        <v>2667.3502279680151</v>
      </c>
      <c r="AT89" s="26"/>
      <c r="AU89" s="419">
        <f>IF(AND($T89=1,AU$5&lt;=$H89),INDEX(Mortality!$B$4:$E$64,MATCH($D89+AU$5-1,Mortality!$A$4:$A$64,0),$U89)*$V89*$N89,0)</f>
        <v>7.7201928102935699E-4</v>
      </c>
      <c r="AV89" s="93">
        <f>IF(AND($T89=1,AV$5&lt;=$H89),INDEX(Mortality!$B$4:$E$64,MATCH($D89+AV$5-1,Mortality!$A$4:$A$64,0),$U89)*$V89*$N89,0)</f>
        <v>8.3631850313482196E-4</v>
      </c>
      <c r="AW89" s="93">
        <f>IF(AND($T89=1,AW$5&lt;=$H89),INDEX(Mortality!$B$4:$E$64,MATCH($D89+AW$5-1,Mortality!$A$4:$A$64,0),$U89)*$V89*$N89,0)</f>
        <v>9.0597301890323197E-4</v>
      </c>
      <c r="AX89" s="93">
        <f>IF(AND($T89=1,AX$5&lt;=$H89),INDEX(Mortality!$B$4:$E$64,MATCH($D89+AX$5-1,Mortality!$A$4:$A$64,0),$U89)*$V89*$N89,0)</f>
        <v>9.8142885504031189E-4</v>
      </c>
      <c r="AY89" s="93">
        <f>IF(AND($T89=1,AY$5&lt;=$H89),INDEX(Mortality!$B$4:$E$64,MATCH($D89+AY$5-1,Mortality!$A$4:$A$64,0),$U89)*$V89*$N89,0)</f>
        <v>1.06316918650821E-3</v>
      </c>
      <c r="AZ89" s="93">
        <f>IF(AND($T89=1,AZ$5&lt;=$H89),INDEX(Mortality!$B$4:$E$64,MATCH($D89+AZ$5-1,Mortality!$A$4:$A$64,0),$U89)*$V89*$N89,0)</f>
        <v>1.1517174304948501E-3</v>
      </c>
      <c r="BA89" s="93">
        <f>IF(AND($T89=1,BA$5&lt;=$H89),INDEX(Mortality!$B$4:$E$64,MATCH($D89+BA$5-1,Mortality!$A$4:$A$64,0),$U89)*$V89*$N89,0)</f>
        <v>1.24764059807091E-3</v>
      </c>
      <c r="BB89" s="93">
        <f>IF(AND($T89=1,BB$5&lt;=$H89),INDEX(Mortality!$B$4:$E$64,MATCH($D89+BB$5-1,Mortality!$A$4:$A$64,0),$U89)*$V89*$N89,0)</f>
        <v>1.3515529249964601E-3</v>
      </c>
      <c r="BC89" s="93">
        <f>IF(AND($T89=1,BC$5&lt;=$H89),INDEX(Mortality!$B$4:$E$64,MATCH($D89+BC$5-1,Mortality!$A$4:$A$64,0),$U89)*$V89*$N89,0)</f>
        <v>1.4641198049269301E-3</v>
      </c>
      <c r="BD89" s="93">
        <f>IF(AND($T89=1,BD$5&lt;=$H89),INDEX(Mortality!$B$4:$E$64,MATCH($D89+BD$5-1,Mortality!$A$4:$A$64,0),$U89)*$V89*$N89,0)</f>
        <v>1.58606205020413E-3</v>
      </c>
      <c r="BE89" s="93">
        <f>IF(AND($T89=1,BE$5&lt;=$H89),INDEX(Mortality!$B$4:$E$64,MATCH($D89+BE$5-1,Mortality!$A$4:$A$64,0),$U89)*$V89*$N89,0)</f>
        <v>1.71816050751616E-3</v>
      </c>
      <c r="BF89" s="93">
        <f>IF(AND($T89=1,BF$5&lt;=$H89),INDEX(Mortality!$B$4:$E$64,MATCH($D89+BF$5-1,Mortality!$A$4:$A$64,0),$U89)*$V89*$N89,0)</f>
        <v>1.8612610579820999E-3</v>
      </c>
      <c r="BG89" s="93">
        <f>IF(AND($T89=1,BG$5&lt;=$H89),INDEX(Mortality!$B$4:$E$64,MATCH($D89+BG$5-1,Mortality!$A$4:$A$64,0),$U89)*$V89*$N89,0)</f>
        <v>2.0162800336790201E-3</v>
      </c>
      <c r="BH89" s="93">
        <f>IF(AND($T89=1,BH$5&lt;=$H89),INDEX(Mortality!$B$4:$E$64,MATCH($D89+BH$5-1,Mortality!$A$4:$A$64,0),$U89)*$V89*$N89,0)</f>
        <v>2.1842100852957199E-3</v>
      </c>
      <c r="BI89" s="93">
        <f>IF(AND($T89=1,BI$5&lt;=$H89),INDEX(Mortality!$B$4:$E$64,MATCH($D89+BI$5-1,Mortality!$A$4:$A$64,0),$U89)*$V89*$N89,0)</f>
        <v>2.3661265384860701E-3</v>
      </c>
      <c r="BJ89" s="93">
        <f>IF(AND($T89=1,BJ$5&lt;=$H89),INDEX(Mortality!$B$4:$E$64,MATCH($D89+BJ$5-1,Mortality!$A$4:$A$64,0),$U89)*$V89*$N89,0)</f>
        <v>2.5631942796244698E-3</v>
      </c>
      <c r="BK89" s="93">
        <f>IF(AND($T89=1,BK$5&lt;=$H89),INDEX(Mortality!$B$4:$E$64,MATCH($D89+BK$5-1,Mortality!$A$4:$A$64,0),$U89)*$V89*$N89,0)</f>
        <v>2.7766752150556202E-3</v>
      </c>
      <c r="BL89" s="93">
        <f>IF(AND($T89=1,BL$5&lt;=$H89),INDEX(Mortality!$B$4:$E$64,MATCH($D89+BL$5-1,Mortality!$A$4:$A$64,0),$U89)*$V89*$N89,0)</f>
        <v>3.0079363516033399E-3</v>
      </c>
      <c r="BM89" s="93">
        <f>IF(AND($T89=1,BM$5&lt;=$H89),INDEX(Mortality!$B$4:$E$64,MATCH($D89+BM$5-1,Mortality!$A$4:$A$64,0),$U89)*$V89*$N89,0)</f>
        <v>3.2584585500813001E-3</v>
      </c>
      <c r="BN89" s="93">
        <f>IF(AND($T89=1,BN$5&lt;=$H89),INDEX(Mortality!$B$4:$E$64,MATCH($D89+BN$5-1,Mortality!$A$4:$A$64,0),$U89)*$V89*$N89,0)</f>
        <v>3.5298460078579601E-3</v>
      </c>
      <c r="BO89" s="93">
        <f>IF(AND($T89=1,BO$5&lt;=$H89),INDEX(Mortality!$B$4:$E$64,MATCH($D89+BO$5-1,Mortality!$A$4:$A$64,0),$U89)*$V89*$N89,0)</f>
        <v>3.8238365311966099E-3</v>
      </c>
      <c r="BP89" s="93">
        <f>IF(AND($T89=1,BP$5&lt;=$H89),INDEX(Mortality!$B$4:$E$64,MATCH($D89+BP$5-1,Mortality!$A$4:$A$64,0),$U89)*$V89*$N89,0)</f>
        <v>4.1423126631483596E-3</v>
      </c>
      <c r="BQ89" s="93">
        <f>IF(AND($T89=1,BQ$5&lt;=$H89),INDEX(Mortality!$B$4:$E$64,MATCH($D89+BQ$5-1,Mortality!$A$4:$A$64,0),$U89)*$V89*$N89,0)</f>
        <v>4.4873137382548398E-3</v>
      </c>
      <c r="BR89" s="93">
        <f>IF(AND($T89=1,BR$5&lt;=$H89),INDEX(Mortality!$B$4:$E$64,MATCH($D89+BR$5-1,Mortality!$A$4:$A$64,0),$U89)*$V89*$N89,0)</f>
        <v>4.8610489412516398E-3</v>
      </c>
      <c r="BS89" s="93">
        <f>IF(AND($T89=1,BS$5&lt;=$H89),INDEX(Mortality!$B$4:$E$64,MATCH($D89+BS$5-1,Mortality!$A$4:$A$64,0),$U89)*$V89*$N89,0)</f>
        <v>5.2659114533929498E-3</v>
      </c>
      <c r="BT89" s="93">
        <f>IF(AND($T89=1,BT$5&lt;=$H89),INDEX(Mortality!$B$4:$E$64,MATCH($D89+BT$5-1,Mortality!$A$4:$A$64,0),$U89)*$V89*$N89,0)</f>
        <v>0</v>
      </c>
      <c r="BU89" s="93">
        <f>IF(AND($T89=1,BU$5&lt;=$H89),INDEX(Mortality!$B$4:$E$64,MATCH($D89+BU$5-1,Mortality!$A$4:$A$64,0),$U89)*$V89*$N89,0)</f>
        <v>0</v>
      </c>
      <c r="BV89" s="93">
        <f>IF(AND($T89=1,BV$5&lt;=$H89),INDEX(Mortality!$B$4:$E$64,MATCH($D89+BV$5-1,Mortality!$A$4:$A$64,0),$U89)*$V89*$N89,0)</f>
        <v>0</v>
      </c>
      <c r="BW89" s="93">
        <f>IF(AND($T89=1,BW$5&lt;=$H89),INDEX(Mortality!$B$4:$E$64,MATCH($D89+BW$5-1,Mortality!$A$4:$A$64,0),$U89)*$V89*$N89,0)</f>
        <v>0</v>
      </c>
      <c r="BX89" s="93">
        <f>IF(AND($T89=1,BX$5&lt;=$H89),INDEX(Mortality!$B$4:$E$64,MATCH($D89+BX$5-1,Mortality!$A$4:$A$64,0),$U89)*$V89*$N89,0)</f>
        <v>0</v>
      </c>
      <c r="BY89" s="93">
        <f>IF(AND($T89=1,BY$5&lt;=$H89),INDEX(Mortality!$B$4:$E$64,MATCH($D89+BY$5-1,Mortality!$A$4:$A$64,0),$U89)*$V89*$N89,0)</f>
        <v>0</v>
      </c>
      <c r="BZ89" s="93">
        <f>IF(AND($T89=1,BZ$5&lt;=$H89),INDEX(Mortality!$B$4:$E$64,MATCH($D89+BZ$5-1,Mortality!$A$4:$A$64,0),$U89)*$V89*$N89,0)</f>
        <v>0</v>
      </c>
      <c r="CA89" s="93">
        <f>IF(AND($T89=1,CA$5&lt;=$H89),INDEX(Mortality!$B$4:$E$64,MATCH($D89+CA$5-1,Mortality!$A$4:$A$64,0),$U89)*$V89*$N89,0)</f>
        <v>0</v>
      </c>
      <c r="CB89" s="93">
        <f>IF(AND($T89=1,CB$5&lt;=$H89),INDEX(Mortality!$B$4:$E$64,MATCH($D89+CB$5-1,Mortality!$A$4:$A$64,0),$U89)*$V89*$N89,0)</f>
        <v>0</v>
      </c>
      <c r="CC89" s="93">
        <f>IF(AND($T89=1,CC$5&lt;=$H89),INDEX(Mortality!$B$4:$E$64,MATCH($D89+CC$5-1,Mortality!$A$4:$A$64,0),$U89)*$V89*$N89,0)</f>
        <v>0</v>
      </c>
      <c r="CD89" s="93">
        <f>IF(AND($T89=1,CD$5&lt;=$H89),INDEX(Mortality!$B$4:$E$64,MATCH($D89+CD$5-1,Mortality!$A$4:$A$64,0),$U89)*$V89*$N89,0)</f>
        <v>0</v>
      </c>
      <c r="CE89" s="93">
        <f>IF(AND($T89=1,CE$5&lt;=$H89),INDEX(Mortality!$B$4:$E$64,MATCH($D89+CE$5-1,Mortality!$A$4:$A$64,0),$U89)*$V89*$N89,0)</f>
        <v>0</v>
      </c>
      <c r="CF89" s="93">
        <f>IF(AND($T89=1,CF$5&lt;=$H89),INDEX(Mortality!$B$4:$E$64,MATCH($D89+CF$5-1,Mortality!$A$4:$A$64,0),$U89)*$V89*$N89,0)</f>
        <v>0</v>
      </c>
      <c r="CG89" s="93">
        <f>IF(AND($T89=1,CG$5&lt;=$H89),INDEX(Mortality!$B$4:$E$64,MATCH($D89+CG$5-1,Mortality!$A$4:$A$64,0),$U89)*$V89*$N89,0)</f>
        <v>0</v>
      </c>
      <c r="CH89" s="94">
        <f>IF(AND($T89=1,CH$5&lt;=$H89),INDEX(Mortality!$B$4:$E$64,MATCH($D89+CH$5-1,Mortality!$A$4:$A$64,0),$U89)*$V89*$N89,0)</f>
        <v>0</v>
      </c>
      <c r="CI89" s="26"/>
      <c r="CJ89" s="419">
        <f t="shared" si="35"/>
        <v>1</v>
      </c>
      <c r="CK89" s="93">
        <f>IF(AND($T89=1,CK$5&lt;=$H89),CJ89*(1-AU89)*(1-MIN(1,MAX(Assumptions!$C$27,Assumptions!$C$13*Assumptions!$C$28^(CJ$5-1))*$O89)),0)</f>
        <v>0.8793206230326942</v>
      </c>
      <c r="CL89" s="93">
        <f>IF(AND($T89=1,CL$5&lt;=$H89),CK89*(1-AV89)*(1-MIN(1,MAX(Assumptions!$C$27,Assumptions!$C$13*Assumptions!$C$28^(CK$5-1))*$O89)),0)</f>
        <v>0.78896953737106656</v>
      </c>
      <c r="CM89" s="93">
        <f>IF(AND($T89=1,CM$5&lt;=$H89),CL89*(1-AW89)*(1-MIN(1,MAX(Assumptions!$C$27,Assumptions!$C$13*Assumptions!$C$28^(CL$5-1))*$O89)),0)</f>
        <v>0.71991306523674892</v>
      </c>
      <c r="CN89" s="93">
        <f>IF(AND($T89=1,CN$5&lt;=$H89),CM89*(1-AX89)*(1-MIN(1,MAX(Assumptions!$C$27,Assumptions!$C$13*Assumptions!$C$28^(CM$5-1))*$O89)),0)</f>
        <v>0.66620459715872449</v>
      </c>
      <c r="CO89" s="93">
        <f>IF(AND($T89=1,CO$5&lt;=$H89),CN89*(1-AY89)*(1-MIN(1,MAX(Assumptions!$C$27,Assumptions!$C$13*Assumptions!$C$28^(CN$5-1))*$O89)),0)</f>
        <v>0.62380912104368458</v>
      </c>
      <c r="CP89" s="93">
        <f>IF(AND($T89=1,CP$5&lt;=$H89),CO89*(1-AZ89)*(1-MIN(1,MAX(Assumptions!$C$27,Assumptions!$C$13*Assumptions!$C$28^(CO$5-1))*$O89)),0)</f>
        <v>0.58991443239418828</v>
      </c>
      <c r="CQ89" s="93">
        <f>IF(AND($T89=1,CQ$5&lt;=$H89),CP89*(1-BA89)*(1-MIN(1,MAX(Assumptions!$C$27,Assumptions!$C$13*Assumptions!$C$28^(CP$5-1))*$O89)),0)</f>
        <v>0.56251342800573978</v>
      </c>
      <c r="CR89" s="93">
        <f>IF(AND($T89=1,CR$5&lt;=$H89),CQ89*(1-BB89)*(1-MIN(1,MAX(Assumptions!$C$27,Assumptions!$C$13*Assumptions!$C$28^(CQ$5-1))*$O89)),0)</f>
        <v>0.54014293820147352</v>
      </c>
      <c r="CS89" s="93">
        <f>IF(AND($T89=1,CS$5&lt;=$H89),CR89*(1-BC89)*(1-MIN(1,MAX(Assumptions!$C$27,Assumptions!$C$13*Assumptions!$C$28^(CR$5-1))*$O89)),0)</f>
        <v>0.52171590366071485</v>
      </c>
      <c r="CT89" s="93">
        <f>IF(AND($T89=1,CT$5&lt;=$H89),CS89*(1-BD89)*(1-MIN(1,MAX(Assumptions!$C$27,Assumptions!$C$13*Assumptions!$C$28^(CS$5-1))*$O89)),0)</f>
        <v>0.50641083936738251</v>
      </c>
      <c r="CU89" s="93">
        <f>IF(AND($T89=1,CU$5&lt;=$H89),CT89*(1-BE89)*(1-MIN(1,MAX(Assumptions!$C$27,Assumptions!$C$13*Assumptions!$C$28^(CT$5-1))*$O89)),0)</f>
        <v>0.49359738031500344</v>
      </c>
      <c r="CV89" s="93">
        <f>IF(AND($T89=1,CV$5&lt;=$H89),CU89*(1-BF89)*(1-MIN(1,MAX(Assumptions!$C$27,Assumptions!$C$13*Assumptions!$C$28^(CU$5-1))*$O89)),0)</f>
        <v>0.48278509319017415</v>
      </c>
      <c r="CW89" s="93">
        <f>IF(AND($T89=1,CW$5&lt;=$H89),CV89*(1-BG89)*(1-MIN(1,MAX(Assumptions!$C$27,Assumptions!$C$13*Assumptions!$C$28^(CV$5-1))*$O89)),0)</f>
        <v>0.47217542998129258</v>
      </c>
      <c r="CX89" s="93">
        <f>IF(AND($T89=1,CX$5&lt;=$H89),CW89*(1-BH89)*(1-MIN(1,MAX(Assumptions!$C$27,Assumptions!$C$13*Assumptions!$C$28^(CW$5-1))*$O89)),0)</f>
        <v>0.46172121765219665</v>
      </c>
      <c r="CY89" s="93">
        <f>IF(AND($T89=1,CY$5&lt;=$H89),CX89*(1-BI89)*(1-MIN(1,MAX(Assumptions!$C$27,Assumptions!$C$13*Assumptions!$C$28^(CX$5-1))*$O89)),0)</f>
        <v>0.45141615228921306</v>
      </c>
      <c r="CZ89" s="93">
        <f>IF(AND($T89=1,CZ$5&lt;=$H89),CY89*(1-BJ89)*(1-MIN(1,MAX(Assumptions!$C$27,Assumptions!$C$13*Assumptions!$C$28^(CY$5-1))*$O89)),0)</f>
        <v>0.44125390329013658</v>
      </c>
      <c r="DA89" s="93">
        <f>IF(AND($T89=1,DA$5&lt;=$H89),CZ89*(1-BK89)*(1-MIN(1,MAX(Assumptions!$C$27,Assumptions!$C$13*Assumptions!$C$28^(CZ$5-1))*$O89)),0)</f>
        <v>0.43122811082305779</v>
      </c>
      <c r="DB89" s="93">
        <f>IF(AND($T89=1,DB$5&lt;=$H89),DA89*(1-BL89)*(1-MIN(1,MAX(Assumptions!$C$27,Assumptions!$C$13*Assumptions!$C$28^(DA$5-1))*$O89)),0)</f>
        <v>0.42133238403042628</v>
      </c>
      <c r="DC89" s="93">
        <f>IF(AND($T89=1,DC$5&lt;=$H89),DB89*(1-BM89)*(1-MIN(1,MAX(Assumptions!$C$27,Assumptions!$C$13*Assumptions!$C$28^(DB$5-1))*$O89)),0)</f>
        <v>0.41156030012283107</v>
      </c>
      <c r="DD89" s="93">
        <f>IF(AND($T89=1,DD$5&lt;=$H89),DC89*(1-BN89)*(1-MIN(1,MAX(Assumptions!$C$27,Assumptions!$C$13*Assumptions!$C$28^(DC$5-1))*$O89)),0)</f>
        <v>0.40190540452764068</v>
      </c>
      <c r="DE89" s="93">
        <f>IF(AND($T89=1,DE$5&lt;=$H89),DD89*(1-BO89)*(1-MIN(1,MAX(Assumptions!$C$27,Assumptions!$C$13*Assumptions!$C$28^(DD$5-1))*$O89)),0)</f>
        <v>0.39236121228052812</v>
      </c>
      <c r="DF89" s="93">
        <f>IF(AND($T89=1,DF$5&lt;=$H89),DE89*(1-BP89)*(1-MIN(1,MAX(Assumptions!$C$27,Assumptions!$C$13*Assumptions!$C$28^(DE$5-1))*$O89)),0)</f>
        <v>0.38292121087312281</v>
      </c>
      <c r="DG89" s="93">
        <f>IF(AND($T89=1,DG$5&lt;=$H89),DF89*(1-BQ89)*(1-MIN(1,MAX(Assumptions!$C$27,Assumptions!$C$13*Assumptions!$C$28^(DF$5-1))*$O89)),0)</f>
        <v>0.37357886479764463</v>
      </c>
      <c r="DH89" s="93">
        <f>IF(AND($T89=1,DH$5&lt;=$H89),DG89*(1-BR89)*(1-MIN(1,MAX(Assumptions!$C$27,Assumptions!$C$13*Assumptions!$C$28^(DG$5-1))*$O89)),0)</f>
        <v>0.36432762205939712</v>
      </c>
      <c r="DI89" s="93">
        <f>IF(AND($T89=1,DI$5&lt;=$H89),DH89*(1-BS89)*(1-MIN(1,MAX(Assumptions!$C$27,Assumptions!$C$13*Assumptions!$C$28^(DH$5-1))*$O89)),0)</f>
        <v>0</v>
      </c>
      <c r="DJ89" s="93">
        <f>IF(AND($T89=1,DJ$5&lt;=$H89),DI89*(1-BT89)*(1-MIN(1,MAX(Assumptions!$C$27,Assumptions!$C$13*Assumptions!$C$28^(DI$5-1))*$O89)),0)</f>
        <v>0</v>
      </c>
      <c r="DK89" s="93">
        <f>IF(AND($T89=1,DK$5&lt;=$H89),DJ89*(1-BU89)*(1-MIN(1,MAX(Assumptions!$C$27,Assumptions!$C$13*Assumptions!$C$28^(DJ$5-1))*$O89)),0)</f>
        <v>0</v>
      </c>
      <c r="DL89" s="93">
        <f>IF(AND($T89=1,DL$5&lt;=$H89),DK89*(1-BV89)*(1-MIN(1,MAX(Assumptions!$C$27,Assumptions!$C$13*Assumptions!$C$28^(DK$5-1))*$O89)),0)</f>
        <v>0</v>
      </c>
      <c r="DM89" s="93">
        <f>IF(AND($T89=1,DM$5&lt;=$H89),DL89*(1-BW89)*(1-MIN(1,MAX(Assumptions!$C$27,Assumptions!$C$13*Assumptions!$C$28^(DL$5-1))*$O89)),0)</f>
        <v>0</v>
      </c>
      <c r="DN89" s="93">
        <f>IF(AND($T89=1,DN$5&lt;=$H89),DM89*(1-BX89)*(1-MIN(1,MAX(Assumptions!$C$27,Assumptions!$C$13*Assumptions!$C$28^(DM$5-1))*$O89)),0)</f>
        <v>0</v>
      </c>
      <c r="DO89" s="93">
        <f>IF(AND($T89=1,DO$5&lt;=$H89),DN89*(1-BY89)*(1-MIN(1,MAX(Assumptions!$C$27,Assumptions!$C$13*Assumptions!$C$28^(DN$5-1))*$O89)),0)</f>
        <v>0</v>
      </c>
      <c r="DP89" s="93">
        <f>IF(AND($T89=1,DP$5&lt;=$H89),DO89*(1-BZ89)*(1-MIN(1,MAX(Assumptions!$C$27,Assumptions!$C$13*Assumptions!$C$28^(DO$5-1))*$O89)),0)</f>
        <v>0</v>
      </c>
      <c r="DQ89" s="93">
        <f>IF(AND($T89=1,DQ$5&lt;=$H89),DP89*(1-CA89)*(1-MIN(1,MAX(Assumptions!$C$27,Assumptions!$C$13*Assumptions!$C$28^(DP$5-1))*$O89)),0)</f>
        <v>0</v>
      </c>
      <c r="DR89" s="93">
        <f>IF(AND($T89=1,DR$5&lt;=$H89),DQ89*(1-CB89)*(1-MIN(1,MAX(Assumptions!$C$27,Assumptions!$C$13*Assumptions!$C$28^(DQ$5-1))*$O89)),0)</f>
        <v>0</v>
      </c>
      <c r="DS89" s="93">
        <f>IF(AND($T89=1,DS$5&lt;=$H89),DR89*(1-CC89)*(1-MIN(1,MAX(Assumptions!$C$27,Assumptions!$C$13*Assumptions!$C$28^(DR$5-1))*$O89)),0)</f>
        <v>0</v>
      </c>
      <c r="DT89" s="93">
        <f>IF(AND($T89=1,DT$5&lt;=$H89),DS89*(1-CD89)*(1-MIN(1,MAX(Assumptions!$C$27,Assumptions!$C$13*Assumptions!$C$28^(DS$5-1))*$O89)),0)</f>
        <v>0</v>
      </c>
      <c r="DU89" s="93">
        <f>IF(AND($T89=1,DU$5&lt;=$H89),DT89*(1-CE89)*(1-MIN(1,MAX(Assumptions!$C$27,Assumptions!$C$13*Assumptions!$C$28^(DT$5-1))*$O89)),0)</f>
        <v>0</v>
      </c>
      <c r="DV89" s="93">
        <f>IF(AND($T89=1,DV$5&lt;=$H89),DU89*(1-CF89)*(1-MIN(1,MAX(Assumptions!$C$27,Assumptions!$C$13*Assumptions!$C$28^(DU$5-1))*$O89)),0)</f>
        <v>0</v>
      </c>
      <c r="DW89" s="94">
        <f>IF(AND($T89=1,DW$5&lt;=$H89),DV89*(1-CG89)*(1-MIN(1,MAX(Assumptions!$C$27,Assumptions!$C$13*Assumptions!$C$28^(DV$5-1))*$O89)),0)</f>
        <v>0</v>
      </c>
      <c r="DX89" s="26"/>
      <c r="DY89" s="399">
        <f>'Policy Data'!K63</f>
        <v>2</v>
      </c>
      <c r="DZ89" s="100">
        <f>'Policy Data'!L63</f>
        <v>0.56950000000000001</v>
      </c>
      <c r="EA89" s="100">
        <f>'Policy Data'!N63</f>
        <v>4.4000000000000002E-4</v>
      </c>
      <c r="EB89" s="93" cm="1">
        <f t="array" ref="EB89">IFERROR(DZ89*INDEX(Mortality!$B$4:$E$64,MATCH(D89+DY89-1,Mortality!$A$4:$A$64,0),U89)*V89,0)</f>
        <v>4.7628338753528113E-4</v>
      </c>
      <c r="EC89" s="100">
        <f>'Policy Data'!O63</f>
        <v>0</v>
      </c>
      <c r="ED89" s="400">
        <f>'Policy Data'!Q63</f>
        <v>0</v>
      </c>
    </row>
    <row r="90" spans="1:134" x14ac:dyDescent="0.3">
      <c r="A90" s="399" t="str">
        <f>'Policy Data'!A64</f>
        <v>POL100060</v>
      </c>
      <c r="B90" s="26" t="s">
        <v>426</v>
      </c>
      <c r="C90" s="100" t="str">
        <f>'Policy Data'!B64</f>
        <v>Term Life</v>
      </c>
      <c r="D90" s="100">
        <f>'Policy Data'!C64</f>
        <v>39</v>
      </c>
      <c r="E90" s="100" t="str">
        <f>'Policy Data'!D64</f>
        <v>Male</v>
      </c>
      <c r="F90" s="100" t="str">
        <f>'Policy Data'!E64</f>
        <v>Smoker</v>
      </c>
      <c r="G90" s="100" t="str">
        <f>'Policy Data'!F64</f>
        <v>Standard</v>
      </c>
      <c r="H90" s="100">
        <f>'Policy Data'!G64</f>
        <v>15</v>
      </c>
      <c r="I90" s="279">
        <f>'Policy Data'!H64</f>
        <v>500000</v>
      </c>
      <c r="J90" s="100" t="str">
        <f>'Policy Data'!I64</f>
        <v>Monthly</v>
      </c>
      <c r="K90" s="100" t="str">
        <f>'Policy Data'!J64</f>
        <v>Broker</v>
      </c>
      <c r="L90" s="26" t="s">
        <v>389</v>
      </c>
      <c r="M90" s="106">
        <f>'Policy Data'!R64</f>
        <v>1790</v>
      </c>
      <c r="N90" s="415">
        <f>Assumptions!$C$21</f>
        <v>1</v>
      </c>
      <c r="O90" s="415">
        <f>Assumptions!$C$22</f>
        <v>1</v>
      </c>
      <c r="P90" s="415">
        <f>Assumptions!$C$23</f>
        <v>1</v>
      </c>
      <c r="Q90" s="416">
        <f>Assumptions!$C$24</f>
        <v>0</v>
      </c>
      <c r="R90" s="416">
        <f>Assumptions!$C$6+Assumptions!$C$25</f>
        <v>3.5000000000000003E-2</v>
      </c>
      <c r="S90" s="416">
        <f>Assumptions!$C$15</f>
        <v>1.1000000000000001E-3</v>
      </c>
      <c r="T90" s="26">
        <f t="shared" si="18"/>
        <v>1</v>
      </c>
      <c r="U90" s="26">
        <f t="shared" si="19"/>
        <v>4</v>
      </c>
      <c r="V90" s="389">
        <f>IF($G90="Preferred",Assumptions!$C$30,IF($G90="Rated",Assumptions!$C$31,1))</f>
        <v>1</v>
      </c>
      <c r="W90" s="390">
        <f>IF($K90="Direct",Assumptions!$C$32,IF($K90="Broker",Assumptions!$C$33,IF($K90="Bancassurance",Assumptions!$C$34,Assumptions!$C$11)))+$Q90</f>
        <v>0.25</v>
      </c>
      <c r="X90" s="390">
        <f>Assumptions!$C$12+$Q90</f>
        <v>0.05</v>
      </c>
      <c r="Y90" s="131">
        <f>MIN($I90,Assumptions!$C$14)</f>
        <v>500000</v>
      </c>
      <c r="Z90" s="131">
        <f>MAX($I90-Assumptions!$C$14,0)</f>
        <v>0</v>
      </c>
      <c r="AA90" s="389">
        <f t="shared" si="20"/>
        <v>7.3462467340280089</v>
      </c>
      <c r="AB90" s="389">
        <f t="shared" si="21"/>
        <v>2.0949277970326387E-2</v>
      </c>
      <c r="AC90" s="389">
        <f>IF($T90=1,SUMPRODUCT($CJ90:$DW90,(1+Assumptions!$C$5)^($CJ$5:$DW$5-1),(1+$R90)^(-$CJ$5:$DW$5)),0)</f>
        <v>9.1804560735821141</v>
      </c>
      <c r="AD90" s="389">
        <f t="shared" si="22"/>
        <v>0.56054905167724589</v>
      </c>
      <c r="AE90" s="131">
        <f>IF($T90=1,$AB90*$Y90+(Assumptions!$C$9/(1+$R90)+Assumptions!$C$10*$AC90)*$P90+$S90*$Z90*$AA90,0)</f>
        <v>13363.904538742563</v>
      </c>
      <c r="AF90" s="131">
        <f>IF($T90=1,IF($AA90-$AD90-Assumptions!$C$16*$AA90&gt;0,$AE90/($AA90-$AD90-Assumptions!$C$16*$AA90)*IF($J90="Monthly",1+Assumptions!$C$29,1),"n.a."),"")</f>
        <v>2220.8496679246132</v>
      </c>
      <c r="AG90" s="131">
        <f t="shared" si="23"/>
        <v>1790</v>
      </c>
      <c r="AH90" s="131">
        <f t="shared" si="24"/>
        <v>13149.781653910135</v>
      </c>
      <c r="AI90" s="131">
        <f t="shared" si="25"/>
        <v>-1217.5056873346966</v>
      </c>
      <c r="AJ90" s="390">
        <f t="shared" si="26"/>
        <v>-9.2587521175506893E-2</v>
      </c>
      <c r="AK90" s="389">
        <f t="shared" si="27"/>
        <v>0.80599782409979925</v>
      </c>
      <c r="AL90" s="131">
        <f t="shared" si="28"/>
        <v>0</v>
      </c>
      <c r="AM90" s="131">
        <f t="shared" si="29"/>
        <v>0</v>
      </c>
      <c r="AN90" s="131">
        <f t="shared" si="30"/>
        <v>0</v>
      </c>
      <c r="AO90" s="131">
        <f t="shared" si="31"/>
        <v>-1217.5056873346966</v>
      </c>
      <c r="AP90" s="26" t="str">
        <f t="shared" si="32"/>
        <v>30-39</v>
      </c>
      <c r="AQ90" s="26" t="str">
        <f t="shared" si="33"/>
        <v>250k-500k</v>
      </c>
      <c r="AR90" s="26" t="str">
        <f>IF($T90=1,IF($AI90&lt;0,"Loss-making",IF($AJ90&lt;Assumptions!$C$16-0.00001,"Below target","At/above target")),"Excluded")</f>
        <v>Loss-making</v>
      </c>
      <c r="AS90" s="103">
        <f t="shared" si="34"/>
        <v>-1217.5055973346966</v>
      </c>
      <c r="AT90" s="26"/>
      <c r="AU90" s="419">
        <f>IF(AND($T90=1,AU$5&lt;=$H90),INDEX(Mortality!$B$4:$E$64,MATCH($D90+AU$5-1,Mortality!$A$4:$A$64,0),$U90)*$V90*$N90,0)</f>
        <v>1.75422915773855E-3</v>
      </c>
      <c r="AV90" s="93">
        <f>IF(AND($T90=1,AV$5&lt;=$H90),INDEX(Mortality!$B$4:$E$64,MATCH($D90+AV$5-1,Mortality!$A$4:$A$64,0),$U90)*$V90*$N90,0)</f>
        <v>1.90033376031651E-3</v>
      </c>
      <c r="AW90" s="93">
        <f>IF(AND($T90=1,AW$5&lt;=$H90),INDEX(Mortality!$B$4:$E$64,MATCH($D90+AW$5-1,Mortality!$A$4:$A$64,0),$U90)*$V90*$N90,0)</f>
        <v>2.0586069868169998E-3</v>
      </c>
      <c r="AX90" s="93">
        <f>IF(AND($T90=1,AX$5&lt;=$H90),INDEX(Mortality!$B$4:$E$64,MATCH($D90+AX$5-1,Mortality!$A$4:$A$64,0),$U90)*$V90*$N90,0)</f>
        <v>2.2300623262441598E-3</v>
      </c>
      <c r="AY90" s="93">
        <f>IF(AND($T90=1,AY$5&lt;=$H90),INDEX(Mortality!$B$4:$E$64,MATCH($D90+AY$5-1,Mortality!$A$4:$A$64,0),$U90)*$V90*$N90,0)</f>
        <v>2.4157976781294401E-3</v>
      </c>
      <c r="AZ90" s="93">
        <f>IF(AND($T90=1,AZ$5&lt;=$H90),INDEX(Mortality!$B$4:$E$64,MATCH($D90+AZ$5-1,Mortality!$A$4:$A$64,0),$U90)*$V90*$N90,0)</f>
        <v>2.6170023828368102E-3</v>
      </c>
      <c r="BA90" s="93">
        <f>IF(AND($T90=1,BA$5&lt;=$H90),INDEX(Mortality!$B$4:$E$64,MATCH($D90+BA$5-1,Mortality!$A$4:$A$64,0),$U90)*$V90*$N90,0)</f>
        <v>2.8349648374016699E-3</v>
      </c>
      <c r="BB90" s="93">
        <f>IF(AND($T90=1,BB$5&lt;=$H90),INDEX(Mortality!$B$4:$E$64,MATCH($D90+BB$5-1,Mortality!$A$4:$A$64,0),$U90)*$V90*$N90,0)</f>
        <v>3.0710807456704702E-3</v>
      </c>
      <c r="BC90" s="93">
        <f>IF(AND($T90=1,BC$5&lt;=$H90),INDEX(Mortality!$B$4:$E$64,MATCH($D90+BC$5-1,Mortality!$A$4:$A$64,0),$U90)*$V90*$N90,0)</f>
        <v>3.3268620555703902E-3</v>
      </c>
      <c r="BD90" s="93">
        <f>IF(AND($T90=1,BD$5&lt;=$H90),INDEX(Mortality!$B$4:$E$64,MATCH($D90+BD$5-1,Mortality!$A$4:$A$64,0),$U90)*$V90*$N90,0)</f>
        <v>3.60394664073793E-3</v>
      </c>
      <c r="BE90" s="93">
        <f>IF(AND($T90=1,BE$5&lt;=$H90),INDEX(Mortality!$B$4:$E$64,MATCH($D90+BE$5-1,Mortality!$A$4:$A$64,0),$U90)*$V90*$N90,0)</f>
        <v>3.9041087885020101E-3</v>
      </c>
      <c r="BF90" s="93">
        <f>IF(AND($T90=1,BF$5&lt;=$H90),INDEX(Mortality!$B$4:$E$64,MATCH($D90+BF$5-1,Mortality!$A$4:$A$64,0),$U90)*$V90*$N90,0)</f>
        <v>4.2292705613803799E-3</v>
      </c>
      <c r="BG90" s="93">
        <f>IF(AND($T90=1,BG$5&lt;=$H90),INDEX(Mortality!$B$4:$E$64,MATCH($D90+BG$5-1,Mortality!$A$4:$A$64,0),$U90)*$V90*$N90,0)</f>
        <v>4.5815141048417803E-3</v>
      </c>
      <c r="BH90" s="93">
        <f>IF(AND($T90=1,BH$5&lt;=$H90),INDEX(Mortality!$B$4:$E$64,MATCH($D90+BH$5-1,Mortality!$A$4:$A$64,0),$U90)*$V90*$N90,0)</f>
        <v>4.9630949801455103E-3</v>
      </c>
      <c r="BI90" s="93">
        <f>IF(AND($T90=1,BI$5&lt;=$H90),INDEX(Mortality!$B$4:$E$64,MATCH($D90+BI$5-1,Mortality!$A$4:$A$64,0),$U90)*$V90*$N90,0)</f>
        <v>5.37645660763414E-3</v>
      </c>
      <c r="BJ90" s="93">
        <f>IF(AND($T90=1,BJ$5&lt;=$H90),INDEX(Mortality!$B$4:$E$64,MATCH($D90+BJ$5-1,Mortality!$A$4:$A$64,0),$U90)*$V90*$N90,0)</f>
        <v>0</v>
      </c>
      <c r="BK90" s="93">
        <f>IF(AND($T90=1,BK$5&lt;=$H90),INDEX(Mortality!$B$4:$E$64,MATCH($D90+BK$5-1,Mortality!$A$4:$A$64,0),$U90)*$V90*$N90,0)</f>
        <v>0</v>
      </c>
      <c r="BL90" s="93">
        <f>IF(AND($T90=1,BL$5&lt;=$H90),INDEX(Mortality!$B$4:$E$64,MATCH($D90+BL$5-1,Mortality!$A$4:$A$64,0),$U90)*$V90*$N90,0)</f>
        <v>0</v>
      </c>
      <c r="BM90" s="93">
        <f>IF(AND($T90=1,BM$5&lt;=$H90),INDEX(Mortality!$B$4:$E$64,MATCH($D90+BM$5-1,Mortality!$A$4:$A$64,0),$U90)*$V90*$N90,0)</f>
        <v>0</v>
      </c>
      <c r="BN90" s="93">
        <f>IF(AND($T90=1,BN$5&lt;=$H90),INDEX(Mortality!$B$4:$E$64,MATCH($D90+BN$5-1,Mortality!$A$4:$A$64,0),$U90)*$V90*$N90,0)</f>
        <v>0</v>
      </c>
      <c r="BO90" s="93">
        <f>IF(AND($T90=1,BO$5&lt;=$H90),INDEX(Mortality!$B$4:$E$64,MATCH($D90+BO$5-1,Mortality!$A$4:$A$64,0),$U90)*$V90*$N90,0)</f>
        <v>0</v>
      </c>
      <c r="BP90" s="93">
        <f>IF(AND($T90=1,BP$5&lt;=$H90),INDEX(Mortality!$B$4:$E$64,MATCH($D90+BP$5-1,Mortality!$A$4:$A$64,0),$U90)*$V90*$N90,0)</f>
        <v>0</v>
      </c>
      <c r="BQ90" s="93">
        <f>IF(AND($T90=1,BQ$5&lt;=$H90),INDEX(Mortality!$B$4:$E$64,MATCH($D90+BQ$5-1,Mortality!$A$4:$A$64,0),$U90)*$V90*$N90,0)</f>
        <v>0</v>
      </c>
      <c r="BR90" s="93">
        <f>IF(AND($T90=1,BR$5&lt;=$H90),INDEX(Mortality!$B$4:$E$64,MATCH($D90+BR$5-1,Mortality!$A$4:$A$64,0),$U90)*$V90*$N90,0)</f>
        <v>0</v>
      </c>
      <c r="BS90" s="93">
        <f>IF(AND($T90=1,BS$5&lt;=$H90),INDEX(Mortality!$B$4:$E$64,MATCH($D90+BS$5-1,Mortality!$A$4:$A$64,0),$U90)*$V90*$N90,0)</f>
        <v>0</v>
      </c>
      <c r="BT90" s="93">
        <f>IF(AND($T90=1,BT$5&lt;=$H90),INDEX(Mortality!$B$4:$E$64,MATCH($D90+BT$5-1,Mortality!$A$4:$A$64,0),$U90)*$V90*$N90,0)</f>
        <v>0</v>
      </c>
      <c r="BU90" s="93">
        <f>IF(AND($T90=1,BU$5&lt;=$H90),INDEX(Mortality!$B$4:$E$64,MATCH($D90+BU$5-1,Mortality!$A$4:$A$64,0),$U90)*$V90*$N90,0)</f>
        <v>0</v>
      </c>
      <c r="BV90" s="93">
        <f>IF(AND($T90=1,BV$5&lt;=$H90),INDEX(Mortality!$B$4:$E$64,MATCH($D90+BV$5-1,Mortality!$A$4:$A$64,0),$U90)*$V90*$N90,0)</f>
        <v>0</v>
      </c>
      <c r="BW90" s="93">
        <f>IF(AND($T90=1,BW$5&lt;=$H90),INDEX(Mortality!$B$4:$E$64,MATCH($D90+BW$5-1,Mortality!$A$4:$A$64,0),$U90)*$V90*$N90,0)</f>
        <v>0</v>
      </c>
      <c r="BX90" s="93">
        <f>IF(AND($T90=1,BX$5&lt;=$H90),INDEX(Mortality!$B$4:$E$64,MATCH($D90+BX$5-1,Mortality!$A$4:$A$64,0),$U90)*$V90*$N90,0)</f>
        <v>0</v>
      </c>
      <c r="BY90" s="93">
        <f>IF(AND($T90=1,BY$5&lt;=$H90),INDEX(Mortality!$B$4:$E$64,MATCH($D90+BY$5-1,Mortality!$A$4:$A$64,0),$U90)*$V90*$N90,0)</f>
        <v>0</v>
      </c>
      <c r="BZ90" s="93">
        <f>IF(AND($T90=1,BZ$5&lt;=$H90),INDEX(Mortality!$B$4:$E$64,MATCH($D90+BZ$5-1,Mortality!$A$4:$A$64,0),$U90)*$V90*$N90,0)</f>
        <v>0</v>
      </c>
      <c r="CA90" s="93">
        <f>IF(AND($T90=1,CA$5&lt;=$H90),INDEX(Mortality!$B$4:$E$64,MATCH($D90+CA$5-1,Mortality!$A$4:$A$64,0),$U90)*$V90*$N90,0)</f>
        <v>0</v>
      </c>
      <c r="CB90" s="93">
        <f>IF(AND($T90=1,CB$5&lt;=$H90),INDEX(Mortality!$B$4:$E$64,MATCH($D90+CB$5-1,Mortality!$A$4:$A$64,0),$U90)*$V90*$N90,0)</f>
        <v>0</v>
      </c>
      <c r="CC90" s="93">
        <f>IF(AND($T90=1,CC$5&lt;=$H90),INDEX(Mortality!$B$4:$E$64,MATCH($D90+CC$5-1,Mortality!$A$4:$A$64,0),$U90)*$V90*$N90,0)</f>
        <v>0</v>
      </c>
      <c r="CD90" s="93">
        <f>IF(AND($T90=1,CD$5&lt;=$H90),INDEX(Mortality!$B$4:$E$64,MATCH($D90+CD$5-1,Mortality!$A$4:$A$64,0),$U90)*$V90*$N90,0)</f>
        <v>0</v>
      </c>
      <c r="CE90" s="93">
        <f>IF(AND($T90=1,CE$5&lt;=$H90),INDEX(Mortality!$B$4:$E$64,MATCH($D90+CE$5-1,Mortality!$A$4:$A$64,0),$U90)*$V90*$N90,0)</f>
        <v>0</v>
      </c>
      <c r="CF90" s="93">
        <f>IF(AND($T90=1,CF$5&lt;=$H90),INDEX(Mortality!$B$4:$E$64,MATCH($D90+CF$5-1,Mortality!$A$4:$A$64,0),$U90)*$V90*$N90,0)</f>
        <v>0</v>
      </c>
      <c r="CG90" s="93">
        <f>IF(AND($T90=1,CG$5&lt;=$H90),INDEX(Mortality!$B$4:$E$64,MATCH($D90+CG$5-1,Mortality!$A$4:$A$64,0),$U90)*$V90*$N90,0)</f>
        <v>0</v>
      </c>
      <c r="CH90" s="94">
        <f>IF(AND($T90=1,CH$5&lt;=$H90),INDEX(Mortality!$B$4:$E$64,MATCH($D90+CH$5-1,Mortality!$A$4:$A$64,0),$U90)*$V90*$N90,0)</f>
        <v>0</v>
      </c>
      <c r="CI90" s="26"/>
      <c r="CJ90" s="419">
        <f t="shared" si="35"/>
        <v>1</v>
      </c>
      <c r="CK90" s="93">
        <f>IF(AND($T90=1,CK$5&lt;=$H90),CJ90*(1-AU90)*(1-MIN(1,MAX(Assumptions!$C$27,Assumptions!$C$13*Assumptions!$C$28^(CJ$5-1))*$O90)),0)</f>
        <v>0.87845627834119</v>
      </c>
      <c r="CL90" s="93">
        <f>IF(AND($T90=1,CL$5&lt;=$H90),CK90*(1-AV90)*(1-MIN(1,MAX(Assumptions!$C$27,Assumptions!$C$13*Assumptions!$C$28^(CK$5-1))*$O90)),0)</f>
        <v>0.78735465256020964</v>
      </c>
      <c r="CM90" s="93">
        <f>IF(AND($T90=1,CM$5&lt;=$H90),CL90*(1-AW90)*(1-MIN(1,MAX(Assumptions!$C$27,Assumptions!$C$13*Assumptions!$C$28^(CL$5-1))*$O90)),0)</f>
        <v>0.71761067841787063</v>
      </c>
      <c r="CN90" s="93">
        <f>IF(AND($T90=1,CN$5&lt;=$H90),CM90*(1-AX90)*(1-MIN(1,MAX(Assumptions!$C$27,Assumptions!$C$13*Assumptions!$C$28^(CM$5-1))*$O90)),0)</f>
        <v>0.66324397826034609</v>
      </c>
      <c r="CO90" s="93">
        <f>IF(AND($T90=1,CO$5&lt;=$H90),CN90*(1-AY90)*(1-MIN(1,MAX(Assumptions!$C$27,Assumptions!$C$13*Assumptions!$C$28^(CN$5-1))*$O90)),0)</f>
        <v>0.62019598173889345</v>
      </c>
      <c r="CP90" s="93">
        <f>IF(AND($T90=1,CP$5&lt;=$H90),CO90*(1-AZ90)*(1-MIN(1,MAX(Assumptions!$C$27,Assumptions!$C$13*Assumptions!$C$28^(CO$5-1))*$O90)),0)</f>
        <v>0.58563723609136242</v>
      </c>
      <c r="CQ90" s="93">
        <f>IF(AND($T90=1,CQ$5&lt;=$H90),CP90*(1-BA90)*(1-MIN(1,MAX(Assumptions!$C$27,Assumptions!$C$13*Assumptions!$C$28^(CP$5-1))*$O90)),0)</f>
        <v>0.55754737912327057</v>
      </c>
      <c r="CR90" s="93">
        <f>IF(AND($T90=1,CR$5&lt;=$H90),CQ90*(1-BB90)*(1-MIN(1,MAX(Assumptions!$C$27,Assumptions!$C$13*Assumptions!$C$28^(CQ$5-1))*$O90)),0)</f>
        <v>0.53445254611698756</v>
      </c>
      <c r="CS90" s="93">
        <f>IF(AND($T90=1,CS$5&lt;=$H90),CR90*(1-BC90)*(1-MIN(1,MAX(Assumptions!$C$27,Assumptions!$C$13*Assumptions!$C$28^(CR$5-1))*$O90)),0)</f>
        <v>0.51525664584279285</v>
      </c>
      <c r="CT90" s="93">
        <f>IF(AND($T90=1,CT$5&lt;=$H90),CS90*(1-BD90)*(1-MIN(1,MAX(Assumptions!$C$27,Assumptions!$C$13*Assumptions!$C$28^(CS$5-1))*$O90)),0)</f>
        <v>0.49913024021931507</v>
      </c>
      <c r="CU90" s="93">
        <f>IF(AND($T90=1,CU$5&lt;=$H90),CT90*(1-BE90)*(1-MIN(1,MAX(Assumptions!$C$27,Assumptions!$C$13*Assumptions!$C$28^(CT$5-1))*$O90)),0)</f>
        <v>0.48543570213792969</v>
      </c>
      <c r="CV90" s="93">
        <f>IF(AND($T90=1,CV$5&lt;=$H90),CU90*(1-BF90)*(1-MIN(1,MAX(Assumptions!$C$27,Assumptions!$C$13*Assumptions!$C$28^(CU$5-1))*$O90)),0)</f>
        <v>0.4736757644767795</v>
      </c>
      <c r="CW90" s="93">
        <f>IF(AND($T90=1,CW$5&lt;=$H90),CV90*(1-BG90)*(1-MIN(1,MAX(Assumptions!$C$27,Assumptions!$C$13*Assumptions!$C$28^(CV$5-1))*$O90)),0)</f>
        <v>0.46207550003509329</v>
      </c>
      <c r="CX90" s="93">
        <f>IF(AND($T90=1,CX$5&lt;=$H90),CW90*(1-BH90)*(1-MIN(1,MAX(Assumptions!$C$27,Assumptions!$C$13*Assumptions!$C$28^(CW$5-1))*$O90)),0)</f>
        <v>0.45058653193161252</v>
      </c>
      <c r="CY90" s="93">
        <f>IF(AND($T90=1,CY$5&lt;=$H90),CX90*(1-BI90)*(1-MIN(1,MAX(Assumptions!$C$27,Assumptions!$C$13*Assumptions!$C$28^(CX$5-1))*$O90)),0)</f>
        <v>0</v>
      </c>
      <c r="CZ90" s="93">
        <f>IF(AND($T90=1,CZ$5&lt;=$H90),CY90*(1-BJ90)*(1-MIN(1,MAX(Assumptions!$C$27,Assumptions!$C$13*Assumptions!$C$28^(CY$5-1))*$O90)),0)</f>
        <v>0</v>
      </c>
      <c r="DA90" s="93">
        <f>IF(AND($T90=1,DA$5&lt;=$H90),CZ90*(1-BK90)*(1-MIN(1,MAX(Assumptions!$C$27,Assumptions!$C$13*Assumptions!$C$28^(CZ$5-1))*$O90)),0)</f>
        <v>0</v>
      </c>
      <c r="DB90" s="93">
        <f>IF(AND($T90=1,DB$5&lt;=$H90),DA90*(1-BL90)*(1-MIN(1,MAX(Assumptions!$C$27,Assumptions!$C$13*Assumptions!$C$28^(DA$5-1))*$O90)),0)</f>
        <v>0</v>
      </c>
      <c r="DC90" s="93">
        <f>IF(AND($T90=1,DC$5&lt;=$H90),DB90*(1-BM90)*(1-MIN(1,MAX(Assumptions!$C$27,Assumptions!$C$13*Assumptions!$C$28^(DB$5-1))*$O90)),0)</f>
        <v>0</v>
      </c>
      <c r="DD90" s="93">
        <f>IF(AND($T90=1,DD$5&lt;=$H90),DC90*(1-BN90)*(1-MIN(1,MAX(Assumptions!$C$27,Assumptions!$C$13*Assumptions!$C$28^(DC$5-1))*$O90)),0)</f>
        <v>0</v>
      </c>
      <c r="DE90" s="93">
        <f>IF(AND($T90=1,DE$5&lt;=$H90),DD90*(1-BO90)*(1-MIN(1,MAX(Assumptions!$C$27,Assumptions!$C$13*Assumptions!$C$28^(DD$5-1))*$O90)),0)</f>
        <v>0</v>
      </c>
      <c r="DF90" s="93">
        <f>IF(AND($T90=1,DF$5&lt;=$H90),DE90*(1-BP90)*(1-MIN(1,MAX(Assumptions!$C$27,Assumptions!$C$13*Assumptions!$C$28^(DE$5-1))*$O90)),0)</f>
        <v>0</v>
      </c>
      <c r="DG90" s="93">
        <f>IF(AND($T90=1,DG$5&lt;=$H90),DF90*(1-BQ90)*(1-MIN(1,MAX(Assumptions!$C$27,Assumptions!$C$13*Assumptions!$C$28^(DF$5-1))*$O90)),0)</f>
        <v>0</v>
      </c>
      <c r="DH90" s="93">
        <f>IF(AND($T90=1,DH$5&lt;=$H90),DG90*(1-BR90)*(1-MIN(1,MAX(Assumptions!$C$27,Assumptions!$C$13*Assumptions!$C$28^(DG$5-1))*$O90)),0)</f>
        <v>0</v>
      </c>
      <c r="DI90" s="93">
        <f>IF(AND($T90=1,DI$5&lt;=$H90),DH90*(1-BS90)*(1-MIN(1,MAX(Assumptions!$C$27,Assumptions!$C$13*Assumptions!$C$28^(DH$5-1))*$O90)),0)</f>
        <v>0</v>
      </c>
      <c r="DJ90" s="93">
        <f>IF(AND($T90=1,DJ$5&lt;=$H90),DI90*(1-BT90)*(1-MIN(1,MAX(Assumptions!$C$27,Assumptions!$C$13*Assumptions!$C$28^(DI$5-1))*$O90)),0)</f>
        <v>0</v>
      </c>
      <c r="DK90" s="93">
        <f>IF(AND($T90=1,DK$5&lt;=$H90),DJ90*(1-BU90)*(1-MIN(1,MAX(Assumptions!$C$27,Assumptions!$C$13*Assumptions!$C$28^(DJ$5-1))*$O90)),0)</f>
        <v>0</v>
      </c>
      <c r="DL90" s="93">
        <f>IF(AND($T90=1,DL$5&lt;=$H90),DK90*(1-BV90)*(1-MIN(1,MAX(Assumptions!$C$27,Assumptions!$C$13*Assumptions!$C$28^(DK$5-1))*$O90)),0)</f>
        <v>0</v>
      </c>
      <c r="DM90" s="93">
        <f>IF(AND($T90=1,DM$5&lt;=$H90),DL90*(1-BW90)*(1-MIN(1,MAX(Assumptions!$C$27,Assumptions!$C$13*Assumptions!$C$28^(DL$5-1))*$O90)),0)</f>
        <v>0</v>
      </c>
      <c r="DN90" s="93">
        <f>IF(AND($T90=1,DN$5&lt;=$H90),DM90*(1-BX90)*(1-MIN(1,MAX(Assumptions!$C$27,Assumptions!$C$13*Assumptions!$C$28^(DM$5-1))*$O90)),0)</f>
        <v>0</v>
      </c>
      <c r="DO90" s="93">
        <f>IF(AND($T90=1,DO$5&lt;=$H90),DN90*(1-BY90)*(1-MIN(1,MAX(Assumptions!$C$27,Assumptions!$C$13*Assumptions!$C$28^(DN$5-1))*$O90)),0)</f>
        <v>0</v>
      </c>
      <c r="DP90" s="93">
        <f>IF(AND($T90=1,DP$5&lt;=$H90),DO90*(1-BZ90)*(1-MIN(1,MAX(Assumptions!$C$27,Assumptions!$C$13*Assumptions!$C$28^(DO$5-1))*$O90)),0)</f>
        <v>0</v>
      </c>
      <c r="DQ90" s="93">
        <f>IF(AND($T90=1,DQ$5&lt;=$H90),DP90*(1-CA90)*(1-MIN(1,MAX(Assumptions!$C$27,Assumptions!$C$13*Assumptions!$C$28^(DP$5-1))*$O90)),0)</f>
        <v>0</v>
      </c>
      <c r="DR90" s="93">
        <f>IF(AND($T90=1,DR$5&lt;=$H90),DQ90*(1-CB90)*(1-MIN(1,MAX(Assumptions!$C$27,Assumptions!$C$13*Assumptions!$C$28^(DQ$5-1))*$O90)),0)</f>
        <v>0</v>
      </c>
      <c r="DS90" s="93">
        <f>IF(AND($T90=1,DS$5&lt;=$H90),DR90*(1-CC90)*(1-MIN(1,MAX(Assumptions!$C$27,Assumptions!$C$13*Assumptions!$C$28^(DR$5-1))*$O90)),0)</f>
        <v>0</v>
      </c>
      <c r="DT90" s="93">
        <f>IF(AND($T90=1,DT$5&lt;=$H90),DS90*(1-CD90)*(1-MIN(1,MAX(Assumptions!$C$27,Assumptions!$C$13*Assumptions!$C$28^(DS$5-1))*$O90)),0)</f>
        <v>0</v>
      </c>
      <c r="DU90" s="93">
        <f>IF(AND($T90=1,DU$5&lt;=$H90),DT90*(1-CE90)*(1-MIN(1,MAX(Assumptions!$C$27,Assumptions!$C$13*Assumptions!$C$28^(DT$5-1))*$O90)),0)</f>
        <v>0</v>
      </c>
      <c r="DV90" s="93">
        <f>IF(AND($T90=1,DV$5&lt;=$H90),DU90*(1-CF90)*(1-MIN(1,MAX(Assumptions!$C$27,Assumptions!$C$13*Assumptions!$C$28^(DU$5-1))*$O90)),0)</f>
        <v>0</v>
      </c>
      <c r="DW90" s="94">
        <f>IF(AND($T90=1,DW$5&lt;=$H90),DV90*(1-CG90)*(1-MIN(1,MAX(Assumptions!$C$27,Assumptions!$C$13*Assumptions!$C$28^(DV$5-1))*$O90)),0)</f>
        <v>0</v>
      </c>
      <c r="DX90" s="26"/>
      <c r="DY90" s="399">
        <f>'Policy Data'!K64</f>
        <v>7</v>
      </c>
      <c r="DZ90" s="100">
        <f>'Policy Data'!L64</f>
        <v>0.97219999999999995</v>
      </c>
      <c r="EA90" s="100">
        <f>'Policy Data'!N64</f>
        <v>1.7049999999999999E-3</v>
      </c>
      <c r="EB90" s="93" cm="1">
        <f t="array" ref="EB90">IFERROR(DZ90*INDEX(Mortality!$B$4:$E$64,MATCH(D90+DY90-1,Mortality!$A$4:$A$64,0),U90)*V90,0)</f>
        <v>2.7561528149219034E-3</v>
      </c>
      <c r="EC90" s="100">
        <f>'Policy Data'!O64</f>
        <v>0</v>
      </c>
      <c r="ED90" s="400">
        <f>'Policy Data'!Q64</f>
        <v>0</v>
      </c>
    </row>
    <row r="91" spans="1:134" x14ac:dyDescent="0.3">
      <c r="A91" s="399" t="str">
        <f>'Policy Data'!A65</f>
        <v>POL100061</v>
      </c>
      <c r="B91" s="26" t="s">
        <v>426</v>
      </c>
      <c r="C91" s="100" t="str">
        <f>'Policy Data'!B65</f>
        <v>Term Life</v>
      </c>
      <c r="D91" s="100">
        <f>'Policy Data'!C65</f>
        <v>33</v>
      </c>
      <c r="E91" s="100" t="str">
        <f>'Policy Data'!D65</f>
        <v>Male</v>
      </c>
      <c r="F91" s="100" t="str">
        <f>'Policy Data'!E65</f>
        <v>Non-smoker</v>
      </c>
      <c r="G91" s="100" t="str">
        <f>'Policy Data'!F65</f>
        <v>Standard</v>
      </c>
      <c r="H91" s="100">
        <f>'Policy Data'!G65</f>
        <v>15</v>
      </c>
      <c r="I91" s="279">
        <f>'Policy Data'!H65</f>
        <v>250000</v>
      </c>
      <c r="J91" s="100" t="str">
        <f>'Policy Data'!I65</f>
        <v>Monthly</v>
      </c>
      <c r="K91" s="100" t="str">
        <f>'Policy Data'!J65</f>
        <v>Bancassurance</v>
      </c>
      <c r="L91" s="26" t="s">
        <v>389</v>
      </c>
      <c r="M91" s="106">
        <f>'Policy Data'!R65</f>
        <v>1200</v>
      </c>
      <c r="N91" s="415">
        <f>Assumptions!$C$21</f>
        <v>1</v>
      </c>
      <c r="O91" s="415">
        <f>Assumptions!$C$22</f>
        <v>1</v>
      </c>
      <c r="P91" s="415">
        <f>Assumptions!$C$23</f>
        <v>1</v>
      </c>
      <c r="Q91" s="416">
        <f>Assumptions!$C$24</f>
        <v>0</v>
      </c>
      <c r="R91" s="416">
        <f>Assumptions!$C$6+Assumptions!$C$25</f>
        <v>3.5000000000000003E-2</v>
      </c>
      <c r="S91" s="416">
        <f>Assumptions!$C$15</f>
        <v>1.1000000000000001E-3</v>
      </c>
      <c r="T91" s="26">
        <f t="shared" si="18"/>
        <v>1</v>
      </c>
      <c r="U91" s="26">
        <f t="shared" si="19"/>
        <v>3</v>
      </c>
      <c r="V91" s="389">
        <f>IF($G91="Preferred",Assumptions!$C$30,IF($G91="Rated",Assumptions!$C$31,1))</f>
        <v>1</v>
      </c>
      <c r="W91" s="390">
        <f>IF($K91="Direct",Assumptions!$C$32,IF($K91="Broker",Assumptions!$C$33,IF($K91="Bancassurance",Assumptions!$C$34,Assumptions!$C$11)))+$Q91</f>
        <v>0.2</v>
      </c>
      <c r="X91" s="390">
        <f>Assumptions!$C$12+$Q91</f>
        <v>0.05</v>
      </c>
      <c r="Y91" s="131">
        <f>MIN($I91,Assumptions!$C$14)</f>
        <v>250000</v>
      </c>
      <c r="Z91" s="131">
        <f>MAX($I91-Assumptions!$C$14,0)</f>
        <v>0</v>
      </c>
      <c r="AA91" s="389">
        <f t="shared" si="20"/>
        <v>7.4073345119595118</v>
      </c>
      <c r="AB91" s="389">
        <f t="shared" si="21"/>
        <v>7.9443513525915051E-3</v>
      </c>
      <c r="AC91" s="389">
        <f>IF($T91=1,SUMPRODUCT($CJ91:$DW91,(1+Assumptions!$C$5)^($CJ$5:$DW$5-1),(1+$R91)^(-$CJ$5:$DW$5)),0)</f>
        <v>9.2693005569678348</v>
      </c>
      <c r="AD91" s="389">
        <f t="shared" si="22"/>
        <v>0.51529426182985971</v>
      </c>
      <c r="AE91" s="131">
        <f>IF($T91=1,$AB91*$Y91+(Assumptions!$C$9/(1+$R91)+Assumptions!$C$10*$AC91)*$P91+$S91*$Z91*$AA91,0)</f>
        <v>4894.8991780721044</v>
      </c>
      <c r="AF91" s="131">
        <f>IF($T91=1,IF($AA91-$AD91-Assumptions!$C$16*$AA91&gt;0,$AE91/($AA91-$AD91-Assumptions!$C$16*$AA91)*IF($J91="Monthly",1+Assumptions!$C$29,1),"n.a."),"")</f>
        <v>800.34659547525962</v>
      </c>
      <c r="AG91" s="131">
        <f t="shared" si="23"/>
        <v>1200</v>
      </c>
      <c r="AH91" s="131">
        <f t="shared" si="24"/>
        <v>8888.8014143514138</v>
      </c>
      <c r="AI91" s="131">
        <f t="shared" si="25"/>
        <v>3375.5491220834774</v>
      </c>
      <c r="AJ91" s="390">
        <f t="shared" si="26"/>
        <v>0.37975301334030082</v>
      </c>
      <c r="AK91" s="389">
        <f t="shared" si="27"/>
        <v>1.4993504149129531</v>
      </c>
      <c r="AL91" s="131">
        <f t="shared" si="28"/>
        <v>0</v>
      </c>
      <c r="AM91" s="131">
        <f t="shared" si="29"/>
        <v>0</v>
      </c>
      <c r="AN91" s="131">
        <f t="shared" si="30"/>
        <v>0</v>
      </c>
      <c r="AO91" s="131">
        <f t="shared" si="31"/>
        <v>3375.5491220834774</v>
      </c>
      <c r="AP91" s="26" t="str">
        <f t="shared" si="32"/>
        <v>30-39</v>
      </c>
      <c r="AQ91" s="26" t="str">
        <f t="shared" si="33"/>
        <v>Up to 250k</v>
      </c>
      <c r="AR91" s="26" t="str">
        <f>IF($T91=1,IF($AI91&lt;0,"Loss-making",IF($AJ91&lt;Assumptions!$C$16-0.00001,"Below target","At/above target")),"Excluded")</f>
        <v>At/above target</v>
      </c>
      <c r="AS91" s="103">
        <f t="shared" si="34"/>
        <v>3375.5492130834773</v>
      </c>
      <c r="AT91" s="26"/>
      <c r="AU91" s="419">
        <f>IF(AND($T91=1,AU$5&lt;=$H91),INDEX(Mortality!$B$4:$E$64,MATCH($D91+AU$5-1,Mortality!$A$4:$A$64,0),$U91)*$V91*$N91,0)</f>
        <v>6.5787143529132705E-4</v>
      </c>
      <c r="AV91" s="93">
        <f>IF(AND($T91=1,AV$5&lt;=$H91),INDEX(Mortality!$B$4:$E$64,MATCH($D91+AV$5-1,Mortality!$A$4:$A$64,0),$U91)*$V91*$N91,0)</f>
        <v>7.1266361804385805E-4</v>
      </c>
      <c r="AW91" s="93">
        <f>IF(AND($T91=1,AW$5&lt;=$H91),INDEX(Mortality!$B$4:$E$64,MATCH($D91+AW$5-1,Mortality!$A$4:$A$64,0),$U91)*$V91*$N91,0)</f>
        <v>7.7201928102935699E-4</v>
      </c>
      <c r="AX91" s="93">
        <f>IF(AND($T91=1,AX$5&lt;=$H91),INDEX(Mortality!$B$4:$E$64,MATCH($D91+AX$5-1,Mortality!$A$4:$A$64,0),$U91)*$V91*$N91,0)</f>
        <v>8.3631850313482196E-4</v>
      </c>
      <c r="AY91" s="93">
        <f>IF(AND($T91=1,AY$5&lt;=$H91),INDEX(Mortality!$B$4:$E$64,MATCH($D91+AY$5-1,Mortality!$A$4:$A$64,0),$U91)*$V91*$N91,0)</f>
        <v>9.0597301890323197E-4</v>
      </c>
      <c r="AZ91" s="93">
        <f>IF(AND($T91=1,AZ$5&lt;=$H91),INDEX(Mortality!$B$4:$E$64,MATCH($D91+AZ$5-1,Mortality!$A$4:$A$64,0),$U91)*$V91*$N91,0)</f>
        <v>9.8142885504031189E-4</v>
      </c>
      <c r="BA91" s="93">
        <f>IF(AND($T91=1,BA$5&lt;=$H91),INDEX(Mortality!$B$4:$E$64,MATCH($D91+BA$5-1,Mortality!$A$4:$A$64,0),$U91)*$V91*$N91,0)</f>
        <v>1.06316918650821E-3</v>
      </c>
      <c r="BB91" s="93">
        <f>IF(AND($T91=1,BB$5&lt;=$H91),INDEX(Mortality!$B$4:$E$64,MATCH($D91+BB$5-1,Mortality!$A$4:$A$64,0),$U91)*$V91*$N91,0)</f>
        <v>1.1517174304948501E-3</v>
      </c>
      <c r="BC91" s="93">
        <f>IF(AND($T91=1,BC$5&lt;=$H91),INDEX(Mortality!$B$4:$E$64,MATCH($D91+BC$5-1,Mortality!$A$4:$A$64,0),$U91)*$V91*$N91,0)</f>
        <v>1.24764059807091E-3</v>
      </c>
      <c r="BD91" s="93">
        <f>IF(AND($T91=1,BD$5&lt;=$H91),INDEX(Mortality!$B$4:$E$64,MATCH($D91+BD$5-1,Mortality!$A$4:$A$64,0),$U91)*$V91*$N91,0)</f>
        <v>1.3515529249964601E-3</v>
      </c>
      <c r="BE91" s="93">
        <f>IF(AND($T91=1,BE$5&lt;=$H91),INDEX(Mortality!$B$4:$E$64,MATCH($D91+BE$5-1,Mortality!$A$4:$A$64,0),$U91)*$V91*$N91,0)</f>
        <v>1.4641198049269301E-3</v>
      </c>
      <c r="BF91" s="93">
        <f>IF(AND($T91=1,BF$5&lt;=$H91),INDEX(Mortality!$B$4:$E$64,MATCH($D91+BF$5-1,Mortality!$A$4:$A$64,0),$U91)*$V91*$N91,0)</f>
        <v>1.58606205020413E-3</v>
      </c>
      <c r="BG91" s="93">
        <f>IF(AND($T91=1,BG$5&lt;=$H91),INDEX(Mortality!$B$4:$E$64,MATCH($D91+BG$5-1,Mortality!$A$4:$A$64,0),$U91)*$V91*$N91,0)</f>
        <v>1.71816050751616E-3</v>
      </c>
      <c r="BH91" s="93">
        <f>IF(AND($T91=1,BH$5&lt;=$H91),INDEX(Mortality!$B$4:$E$64,MATCH($D91+BH$5-1,Mortality!$A$4:$A$64,0),$U91)*$V91*$N91,0)</f>
        <v>1.8612610579820999E-3</v>
      </c>
      <c r="BI91" s="93">
        <f>IF(AND($T91=1,BI$5&lt;=$H91),INDEX(Mortality!$B$4:$E$64,MATCH($D91+BI$5-1,Mortality!$A$4:$A$64,0),$U91)*$V91*$N91,0)</f>
        <v>2.0162800336790201E-3</v>
      </c>
      <c r="BJ91" s="93">
        <f>IF(AND($T91=1,BJ$5&lt;=$H91),INDEX(Mortality!$B$4:$E$64,MATCH($D91+BJ$5-1,Mortality!$A$4:$A$64,0),$U91)*$V91*$N91,0)</f>
        <v>0</v>
      </c>
      <c r="BK91" s="93">
        <f>IF(AND($T91=1,BK$5&lt;=$H91),INDEX(Mortality!$B$4:$E$64,MATCH($D91+BK$5-1,Mortality!$A$4:$A$64,0),$U91)*$V91*$N91,0)</f>
        <v>0</v>
      </c>
      <c r="BL91" s="93">
        <f>IF(AND($T91=1,BL$5&lt;=$H91),INDEX(Mortality!$B$4:$E$64,MATCH($D91+BL$5-1,Mortality!$A$4:$A$64,0),$U91)*$V91*$N91,0)</f>
        <v>0</v>
      </c>
      <c r="BM91" s="93">
        <f>IF(AND($T91=1,BM$5&lt;=$H91),INDEX(Mortality!$B$4:$E$64,MATCH($D91+BM$5-1,Mortality!$A$4:$A$64,0),$U91)*$V91*$N91,0)</f>
        <v>0</v>
      </c>
      <c r="BN91" s="93">
        <f>IF(AND($T91=1,BN$5&lt;=$H91),INDEX(Mortality!$B$4:$E$64,MATCH($D91+BN$5-1,Mortality!$A$4:$A$64,0),$U91)*$V91*$N91,0)</f>
        <v>0</v>
      </c>
      <c r="BO91" s="93">
        <f>IF(AND($T91=1,BO$5&lt;=$H91),INDEX(Mortality!$B$4:$E$64,MATCH($D91+BO$5-1,Mortality!$A$4:$A$64,0),$U91)*$V91*$N91,0)</f>
        <v>0</v>
      </c>
      <c r="BP91" s="93">
        <f>IF(AND($T91=1,BP$5&lt;=$H91),INDEX(Mortality!$B$4:$E$64,MATCH($D91+BP$5-1,Mortality!$A$4:$A$64,0),$U91)*$V91*$N91,0)</f>
        <v>0</v>
      </c>
      <c r="BQ91" s="93">
        <f>IF(AND($T91=1,BQ$5&lt;=$H91),INDEX(Mortality!$B$4:$E$64,MATCH($D91+BQ$5-1,Mortality!$A$4:$A$64,0),$U91)*$V91*$N91,0)</f>
        <v>0</v>
      </c>
      <c r="BR91" s="93">
        <f>IF(AND($T91=1,BR$5&lt;=$H91),INDEX(Mortality!$B$4:$E$64,MATCH($D91+BR$5-1,Mortality!$A$4:$A$64,0),$U91)*$V91*$N91,0)</f>
        <v>0</v>
      </c>
      <c r="BS91" s="93">
        <f>IF(AND($T91=1,BS$5&lt;=$H91),INDEX(Mortality!$B$4:$E$64,MATCH($D91+BS$5-1,Mortality!$A$4:$A$64,0),$U91)*$V91*$N91,0)</f>
        <v>0</v>
      </c>
      <c r="BT91" s="93">
        <f>IF(AND($T91=1,BT$5&lt;=$H91),INDEX(Mortality!$B$4:$E$64,MATCH($D91+BT$5-1,Mortality!$A$4:$A$64,0),$U91)*$V91*$N91,0)</f>
        <v>0</v>
      </c>
      <c r="BU91" s="93">
        <f>IF(AND($T91=1,BU$5&lt;=$H91),INDEX(Mortality!$B$4:$E$64,MATCH($D91+BU$5-1,Mortality!$A$4:$A$64,0),$U91)*$V91*$N91,0)</f>
        <v>0</v>
      </c>
      <c r="BV91" s="93">
        <f>IF(AND($T91=1,BV$5&lt;=$H91),INDEX(Mortality!$B$4:$E$64,MATCH($D91+BV$5-1,Mortality!$A$4:$A$64,0),$U91)*$V91*$N91,0)</f>
        <v>0</v>
      </c>
      <c r="BW91" s="93">
        <f>IF(AND($T91=1,BW$5&lt;=$H91),INDEX(Mortality!$B$4:$E$64,MATCH($D91+BW$5-1,Mortality!$A$4:$A$64,0),$U91)*$V91*$N91,0)</f>
        <v>0</v>
      </c>
      <c r="BX91" s="93">
        <f>IF(AND($T91=1,BX$5&lt;=$H91),INDEX(Mortality!$B$4:$E$64,MATCH($D91+BX$5-1,Mortality!$A$4:$A$64,0),$U91)*$V91*$N91,0)</f>
        <v>0</v>
      </c>
      <c r="BY91" s="93">
        <f>IF(AND($T91=1,BY$5&lt;=$H91),INDEX(Mortality!$B$4:$E$64,MATCH($D91+BY$5-1,Mortality!$A$4:$A$64,0),$U91)*$V91*$N91,0)</f>
        <v>0</v>
      </c>
      <c r="BZ91" s="93">
        <f>IF(AND($T91=1,BZ$5&lt;=$H91),INDEX(Mortality!$B$4:$E$64,MATCH($D91+BZ$5-1,Mortality!$A$4:$A$64,0),$U91)*$V91*$N91,0)</f>
        <v>0</v>
      </c>
      <c r="CA91" s="93">
        <f>IF(AND($T91=1,CA$5&lt;=$H91),INDEX(Mortality!$B$4:$E$64,MATCH($D91+CA$5-1,Mortality!$A$4:$A$64,0),$U91)*$V91*$N91,0)</f>
        <v>0</v>
      </c>
      <c r="CB91" s="93">
        <f>IF(AND($T91=1,CB$5&lt;=$H91),INDEX(Mortality!$B$4:$E$64,MATCH($D91+CB$5-1,Mortality!$A$4:$A$64,0),$U91)*$V91*$N91,0)</f>
        <v>0</v>
      </c>
      <c r="CC91" s="93">
        <f>IF(AND($T91=1,CC$5&lt;=$H91),INDEX(Mortality!$B$4:$E$64,MATCH($D91+CC$5-1,Mortality!$A$4:$A$64,0),$U91)*$V91*$N91,0)</f>
        <v>0</v>
      </c>
      <c r="CD91" s="93">
        <f>IF(AND($T91=1,CD$5&lt;=$H91),INDEX(Mortality!$B$4:$E$64,MATCH($D91+CD$5-1,Mortality!$A$4:$A$64,0),$U91)*$V91*$N91,0)</f>
        <v>0</v>
      </c>
      <c r="CE91" s="93">
        <f>IF(AND($T91=1,CE$5&lt;=$H91),INDEX(Mortality!$B$4:$E$64,MATCH($D91+CE$5-1,Mortality!$A$4:$A$64,0),$U91)*$V91*$N91,0)</f>
        <v>0</v>
      </c>
      <c r="CF91" s="93">
        <f>IF(AND($T91=1,CF$5&lt;=$H91),INDEX(Mortality!$B$4:$E$64,MATCH($D91+CF$5-1,Mortality!$A$4:$A$64,0),$U91)*$V91*$N91,0)</f>
        <v>0</v>
      </c>
      <c r="CG91" s="93">
        <f>IF(AND($T91=1,CG$5&lt;=$H91),INDEX(Mortality!$B$4:$E$64,MATCH($D91+CG$5-1,Mortality!$A$4:$A$64,0),$U91)*$V91*$N91,0)</f>
        <v>0</v>
      </c>
      <c r="CH91" s="94">
        <f>IF(AND($T91=1,CH$5&lt;=$H91),INDEX(Mortality!$B$4:$E$64,MATCH($D91+CH$5-1,Mortality!$A$4:$A$64,0),$U91)*$V91*$N91,0)</f>
        <v>0</v>
      </c>
      <c r="CI91" s="26"/>
      <c r="CJ91" s="419">
        <f t="shared" si="35"/>
        <v>1</v>
      </c>
      <c r="CK91" s="93">
        <f>IF(AND($T91=1,CK$5&lt;=$H91),CJ91*(1-AU91)*(1-MIN(1,MAX(Assumptions!$C$27,Assumptions!$C$13*Assumptions!$C$28^(CJ$5-1))*$O91)),0)</f>
        <v>0.87942107313694373</v>
      </c>
      <c r="CL91" s="93">
        <f>IF(AND($T91=1,CL$5&lt;=$H91),CK91*(1-AV91)*(1-MIN(1,MAX(Assumptions!$C$27,Assumptions!$C$13*Assumptions!$C$28^(CK$5-1))*$O91)),0)</f>
        <v>0.78915731887639384</v>
      </c>
      <c r="CM91" s="93">
        <f>IF(AND($T91=1,CM$5&lt;=$H91),CL91*(1-AW91)*(1-MIN(1,MAX(Assumptions!$C$27,Assumptions!$C$13*Assumptions!$C$28^(CL$5-1))*$O91)),0)</f>
        <v>0.72018095617640931</v>
      </c>
      <c r="CN91" s="93">
        <f>IF(AND($T91=1,CN$5&lt;=$H91),CM91*(1-AX91)*(1-MIN(1,MAX(Assumptions!$C$27,Assumptions!$C$13*Assumptions!$C$28^(CM$5-1))*$O91)),0)</f>
        <v>0.66654930649881705</v>
      </c>
      <c r="CO91" s="93">
        <f>IF(AND($T91=1,CO$5&lt;=$H91),CN91*(1-AY91)*(1-MIN(1,MAX(Assumptions!$C$27,Assumptions!$C$13*Assumptions!$C$28^(CN$5-1))*$O91)),0)</f>
        <v>0.62423010956626379</v>
      </c>
      <c r="CP91" s="93">
        <f>IF(AND($T91=1,CP$5&lt;=$H91),CO91*(1-AZ91)*(1-MIN(1,MAX(Assumptions!$C$27,Assumptions!$C$13*Assumptions!$C$28^(CO$5-1))*$O91)),0)</f>
        <v>0.59041318588261249</v>
      </c>
      <c r="CQ91" s="93">
        <f>IF(AND($T91=1,CQ$5&lt;=$H91),CP91*(1-BA91)*(1-MIN(1,MAX(Assumptions!$C$27,Assumptions!$C$13*Assumptions!$C$28^(CP$5-1))*$O91)),0)</f>
        <v>0.5630929999494233</v>
      </c>
      <c r="CR91" s="93">
        <f>IF(AND($T91=1,CR$5&lt;=$H91),CQ91*(1-BB91)*(1-MIN(1,MAX(Assumptions!$C$27,Assumptions!$C$13*Assumptions!$C$28^(CQ$5-1))*$O91)),0)</f>
        <v>0.54080765843690914</v>
      </c>
      <c r="CS91" s="93">
        <f>IF(AND($T91=1,CS$5&lt;=$H91),CR91*(1-BC91)*(1-MIN(1,MAX(Assumptions!$C$27,Assumptions!$C$13*Assumptions!$C$28^(CR$5-1))*$O91)),0)</f>
        <v>0.52247119233261885</v>
      </c>
      <c r="CT91" s="93">
        <f>IF(AND($T91=1,CT$5&lt;=$H91),CS91*(1-BD91)*(1-MIN(1,MAX(Assumptions!$C$27,Assumptions!$C$13*Assumptions!$C$28^(CS$5-1))*$O91)),0)</f>
        <v>0.50726308970013823</v>
      </c>
      <c r="CU91" s="93">
        <f>IF(AND($T91=1,CU$5&lt;=$H91),CT91*(1-BE91)*(1-MIN(1,MAX(Assumptions!$C$27,Assumptions!$C$13*Assumptions!$C$28^(CT$5-1))*$O91)),0)</f>
        <v>0.49455388761989938</v>
      </c>
      <c r="CV91" s="93">
        <f>IF(AND($T91=1,CV$5&lt;=$H91),CU91*(1-BF91)*(1-MIN(1,MAX(Assumptions!$C$27,Assumptions!$C$13*Assumptions!$C$28^(CU$5-1))*$O91)),0)</f>
        <v>0.48385401580627457</v>
      </c>
      <c r="CW91" s="93">
        <f>IF(AND($T91=1,CW$5&lt;=$H91),CV91*(1-BG91)*(1-MIN(1,MAX(Assumptions!$C$27,Assumptions!$C$13*Assumptions!$C$28^(CV$5-1))*$O91)),0)</f>
        <v>0.47336222340601486</v>
      </c>
      <c r="CX91" s="93">
        <f>IF(AND($T91=1,CX$5&lt;=$H91),CW91*(1-BH91)*(1-MIN(1,MAX(Assumptions!$C$27,Assumptions!$C$13*Assumptions!$C$28^(CW$5-1))*$O91)),0)</f>
        <v>0.46303154927860402</v>
      </c>
      <c r="CY91" s="93">
        <f>IF(AND($T91=1,CY$5&lt;=$H91),CX91*(1-BI91)*(1-MIN(1,MAX(Assumptions!$C$27,Assumptions!$C$13*Assumptions!$C$28^(CX$5-1))*$O91)),0)</f>
        <v>0</v>
      </c>
      <c r="CZ91" s="93">
        <f>IF(AND($T91=1,CZ$5&lt;=$H91),CY91*(1-BJ91)*(1-MIN(1,MAX(Assumptions!$C$27,Assumptions!$C$13*Assumptions!$C$28^(CY$5-1))*$O91)),0)</f>
        <v>0</v>
      </c>
      <c r="DA91" s="93">
        <f>IF(AND($T91=1,DA$5&lt;=$H91),CZ91*(1-BK91)*(1-MIN(1,MAX(Assumptions!$C$27,Assumptions!$C$13*Assumptions!$C$28^(CZ$5-1))*$O91)),0)</f>
        <v>0</v>
      </c>
      <c r="DB91" s="93">
        <f>IF(AND($T91=1,DB$5&lt;=$H91),DA91*(1-BL91)*(1-MIN(1,MAX(Assumptions!$C$27,Assumptions!$C$13*Assumptions!$C$28^(DA$5-1))*$O91)),0)</f>
        <v>0</v>
      </c>
      <c r="DC91" s="93">
        <f>IF(AND($T91=1,DC$5&lt;=$H91),DB91*(1-BM91)*(1-MIN(1,MAX(Assumptions!$C$27,Assumptions!$C$13*Assumptions!$C$28^(DB$5-1))*$O91)),0)</f>
        <v>0</v>
      </c>
      <c r="DD91" s="93">
        <f>IF(AND($T91=1,DD$5&lt;=$H91),DC91*(1-BN91)*(1-MIN(1,MAX(Assumptions!$C$27,Assumptions!$C$13*Assumptions!$C$28^(DC$5-1))*$O91)),0)</f>
        <v>0</v>
      </c>
      <c r="DE91" s="93">
        <f>IF(AND($T91=1,DE$5&lt;=$H91),DD91*(1-BO91)*(1-MIN(1,MAX(Assumptions!$C$27,Assumptions!$C$13*Assumptions!$C$28^(DD$5-1))*$O91)),0)</f>
        <v>0</v>
      </c>
      <c r="DF91" s="93">
        <f>IF(AND($T91=1,DF$5&lt;=$H91),DE91*(1-BP91)*(1-MIN(1,MAX(Assumptions!$C$27,Assumptions!$C$13*Assumptions!$C$28^(DE$5-1))*$O91)),0)</f>
        <v>0</v>
      </c>
      <c r="DG91" s="93">
        <f>IF(AND($T91=1,DG$5&lt;=$H91),DF91*(1-BQ91)*(1-MIN(1,MAX(Assumptions!$C$27,Assumptions!$C$13*Assumptions!$C$28^(DF$5-1))*$O91)),0)</f>
        <v>0</v>
      </c>
      <c r="DH91" s="93">
        <f>IF(AND($T91=1,DH$5&lt;=$H91),DG91*(1-BR91)*(1-MIN(1,MAX(Assumptions!$C$27,Assumptions!$C$13*Assumptions!$C$28^(DG$5-1))*$O91)),0)</f>
        <v>0</v>
      </c>
      <c r="DI91" s="93">
        <f>IF(AND($T91=1,DI$5&lt;=$H91),DH91*(1-BS91)*(1-MIN(1,MAX(Assumptions!$C$27,Assumptions!$C$13*Assumptions!$C$28^(DH$5-1))*$O91)),0)</f>
        <v>0</v>
      </c>
      <c r="DJ91" s="93">
        <f>IF(AND($T91=1,DJ$5&lt;=$H91),DI91*(1-BT91)*(1-MIN(1,MAX(Assumptions!$C$27,Assumptions!$C$13*Assumptions!$C$28^(DI$5-1))*$O91)),0)</f>
        <v>0</v>
      </c>
      <c r="DK91" s="93">
        <f>IF(AND($T91=1,DK$5&lt;=$H91),DJ91*(1-BU91)*(1-MIN(1,MAX(Assumptions!$C$27,Assumptions!$C$13*Assumptions!$C$28^(DJ$5-1))*$O91)),0)</f>
        <v>0</v>
      </c>
      <c r="DL91" s="93">
        <f>IF(AND($T91=1,DL$5&lt;=$H91),DK91*(1-BV91)*(1-MIN(1,MAX(Assumptions!$C$27,Assumptions!$C$13*Assumptions!$C$28^(DK$5-1))*$O91)),0)</f>
        <v>0</v>
      </c>
      <c r="DM91" s="93">
        <f>IF(AND($T91=1,DM$5&lt;=$H91),DL91*(1-BW91)*(1-MIN(1,MAX(Assumptions!$C$27,Assumptions!$C$13*Assumptions!$C$28^(DL$5-1))*$O91)),0)</f>
        <v>0</v>
      </c>
      <c r="DN91" s="93">
        <f>IF(AND($T91=1,DN$5&lt;=$H91),DM91*(1-BX91)*(1-MIN(1,MAX(Assumptions!$C$27,Assumptions!$C$13*Assumptions!$C$28^(DM$5-1))*$O91)),0)</f>
        <v>0</v>
      </c>
      <c r="DO91" s="93">
        <f>IF(AND($T91=1,DO$5&lt;=$H91),DN91*(1-BY91)*(1-MIN(1,MAX(Assumptions!$C$27,Assumptions!$C$13*Assumptions!$C$28^(DN$5-1))*$O91)),0)</f>
        <v>0</v>
      </c>
      <c r="DP91" s="93">
        <f>IF(AND($T91=1,DP$5&lt;=$H91),DO91*(1-BZ91)*(1-MIN(1,MAX(Assumptions!$C$27,Assumptions!$C$13*Assumptions!$C$28^(DO$5-1))*$O91)),0)</f>
        <v>0</v>
      </c>
      <c r="DQ91" s="93">
        <f>IF(AND($T91=1,DQ$5&lt;=$H91),DP91*(1-CA91)*(1-MIN(1,MAX(Assumptions!$C$27,Assumptions!$C$13*Assumptions!$C$28^(DP$5-1))*$O91)),0)</f>
        <v>0</v>
      </c>
      <c r="DR91" s="93">
        <f>IF(AND($T91=1,DR$5&lt;=$H91),DQ91*(1-CB91)*(1-MIN(1,MAX(Assumptions!$C$27,Assumptions!$C$13*Assumptions!$C$28^(DQ$5-1))*$O91)),0)</f>
        <v>0</v>
      </c>
      <c r="DS91" s="93">
        <f>IF(AND($T91=1,DS$5&lt;=$H91),DR91*(1-CC91)*(1-MIN(1,MAX(Assumptions!$C$27,Assumptions!$C$13*Assumptions!$C$28^(DR$5-1))*$O91)),0)</f>
        <v>0</v>
      </c>
      <c r="DT91" s="93">
        <f>IF(AND($T91=1,DT$5&lt;=$H91),DS91*(1-CD91)*(1-MIN(1,MAX(Assumptions!$C$27,Assumptions!$C$13*Assumptions!$C$28^(DS$5-1))*$O91)),0)</f>
        <v>0</v>
      </c>
      <c r="DU91" s="93">
        <f>IF(AND($T91=1,DU$5&lt;=$H91),DT91*(1-CE91)*(1-MIN(1,MAX(Assumptions!$C$27,Assumptions!$C$13*Assumptions!$C$28^(DT$5-1))*$O91)),0)</f>
        <v>0</v>
      </c>
      <c r="DV91" s="93">
        <f>IF(AND($T91=1,DV$5&lt;=$H91),DU91*(1-CF91)*(1-MIN(1,MAX(Assumptions!$C$27,Assumptions!$C$13*Assumptions!$C$28^(DU$5-1))*$O91)),0)</f>
        <v>0</v>
      </c>
      <c r="DW91" s="94">
        <f>IF(AND($T91=1,DW$5&lt;=$H91),DV91*(1-CG91)*(1-MIN(1,MAX(Assumptions!$C$27,Assumptions!$C$13*Assumptions!$C$28^(DV$5-1))*$O91)),0)</f>
        <v>0</v>
      </c>
      <c r="DX91" s="26"/>
      <c r="DY91" s="399">
        <f>'Policy Data'!K65</f>
        <v>3</v>
      </c>
      <c r="DZ91" s="100">
        <f>'Policy Data'!L65</f>
        <v>0.94399999999999995</v>
      </c>
      <c r="EA91" s="100">
        <f>'Policy Data'!N65</f>
        <v>6.2100000000000002E-4</v>
      </c>
      <c r="EB91" s="93" cm="1">
        <f t="array" ref="EB91">IFERROR(DZ91*INDEX(Mortality!$B$4:$E$64,MATCH(D91+DY91-1,Mortality!$A$4:$A$64,0),U91)*V91,0)</f>
        <v>7.2878620129171294E-4</v>
      </c>
      <c r="EC91" s="100">
        <f>'Policy Data'!O65</f>
        <v>0</v>
      </c>
      <c r="ED91" s="400">
        <f>'Policy Data'!Q65</f>
        <v>0</v>
      </c>
    </row>
    <row r="92" spans="1:134" x14ac:dyDescent="0.3">
      <c r="A92" s="399" t="str">
        <f>'Policy Data'!A66</f>
        <v>POL100062</v>
      </c>
      <c r="B92" s="26" t="s">
        <v>426</v>
      </c>
      <c r="C92" s="100" t="str">
        <f>'Policy Data'!B66</f>
        <v>Unit-Linked</v>
      </c>
      <c r="D92" s="100">
        <f>'Policy Data'!C66</f>
        <v>49</v>
      </c>
      <c r="E92" s="100" t="str">
        <f>'Policy Data'!D66</f>
        <v>Female</v>
      </c>
      <c r="F92" s="100" t="str">
        <f>'Policy Data'!E66</f>
        <v>Non-smoker</v>
      </c>
      <c r="G92" s="100" t="str">
        <f>'Policy Data'!F66</f>
        <v>Preferred</v>
      </c>
      <c r="H92" s="100">
        <f>'Policy Data'!G66</f>
        <v>15</v>
      </c>
      <c r="I92" s="279">
        <f>'Policy Data'!H66</f>
        <v>500000</v>
      </c>
      <c r="J92" s="100" t="str">
        <f>'Policy Data'!I66</f>
        <v>Monthly</v>
      </c>
      <c r="K92" s="100" t="str">
        <f>'Policy Data'!J66</f>
        <v>Bancassurance</v>
      </c>
      <c r="L92" s="26" t="s">
        <v>389</v>
      </c>
      <c r="M92" s="106">
        <f>'Policy Data'!R66</f>
        <v>13215.57</v>
      </c>
      <c r="N92" s="415">
        <f>Assumptions!$C$21</f>
        <v>1</v>
      </c>
      <c r="O92" s="415">
        <f>Assumptions!$C$22</f>
        <v>1</v>
      </c>
      <c r="P92" s="415">
        <f>Assumptions!$C$23</f>
        <v>1</v>
      </c>
      <c r="Q92" s="416">
        <f>Assumptions!$C$24</f>
        <v>0</v>
      </c>
      <c r="R92" s="416">
        <f>Assumptions!$C$6+Assumptions!$C$25</f>
        <v>3.5000000000000003E-2</v>
      </c>
      <c r="S92" s="416">
        <f>Assumptions!$C$15</f>
        <v>1.1000000000000001E-3</v>
      </c>
      <c r="T92" s="26">
        <f t="shared" si="18"/>
        <v>0</v>
      </c>
      <c r="U92" s="26">
        <f t="shared" si="19"/>
        <v>1</v>
      </c>
      <c r="V92" s="389">
        <f>IF($G92="Preferred",Assumptions!$C$30,IF($G92="Rated",Assumptions!$C$31,1))</f>
        <v>0.8</v>
      </c>
      <c r="W92" s="390">
        <f>IF($K92="Direct",Assumptions!$C$32,IF($K92="Broker",Assumptions!$C$33,IF($K92="Bancassurance",Assumptions!$C$34,Assumptions!$C$11)))+$Q92</f>
        <v>0.2</v>
      </c>
      <c r="X92" s="390">
        <f>Assumptions!$C$12+$Q92</f>
        <v>0.05</v>
      </c>
      <c r="Y92" s="131">
        <f>MIN($I92,Assumptions!$C$14)</f>
        <v>500000</v>
      </c>
      <c r="Z92" s="131">
        <f>MAX($I92-Assumptions!$C$14,0)</f>
        <v>0</v>
      </c>
      <c r="AA92" s="389">
        <f t="shared" si="20"/>
        <v>0</v>
      </c>
      <c r="AB92" s="389">
        <f t="shared" si="21"/>
        <v>0</v>
      </c>
      <c r="AC92" s="389">
        <f>IF($T92=1,SUMPRODUCT($CJ92:$DW92,(1+Assumptions!$C$5)^($CJ$5:$DW$5-1),(1+$R92)^(-$CJ$5:$DW$5)),0)</f>
        <v>0</v>
      </c>
      <c r="AD92" s="389">
        <f t="shared" si="22"/>
        <v>0</v>
      </c>
      <c r="AE92" s="131">
        <f>IF($T92=1,$AB92*$Y92+(Assumptions!$C$9/(1+$R92)+Assumptions!$C$10*$AC92)*$P92+$S92*$Z92*$AA92,0)</f>
        <v>0</v>
      </c>
      <c r="AF92" s="131" t="str">
        <f>IF($T92=1,IF($AA92-$AD92-Assumptions!$C$16*$AA92&gt;0,$AE92/($AA92-$AD92-Assumptions!$C$16*$AA92)*IF($J92="Monthly",1+Assumptions!$C$29,1),"n.a."),"")</f>
        <v/>
      </c>
      <c r="AG92" s="131" t="str">
        <f t="shared" si="23"/>
        <v/>
      </c>
      <c r="AH92" s="131" t="str">
        <f t="shared" si="24"/>
        <v/>
      </c>
      <c r="AI92" s="131" t="str">
        <f t="shared" si="25"/>
        <v/>
      </c>
      <c r="AJ92" s="390" t="str">
        <f t="shared" si="26"/>
        <v/>
      </c>
      <c r="AK92" s="389" t="str">
        <f t="shared" si="27"/>
        <v/>
      </c>
      <c r="AL92" s="131" t="str">
        <f t="shared" si="28"/>
        <v/>
      </c>
      <c r="AM92" s="131" t="str">
        <f t="shared" si="29"/>
        <v/>
      </c>
      <c r="AN92" s="131" t="str">
        <f t="shared" si="30"/>
        <v/>
      </c>
      <c r="AO92" s="131" t="str">
        <f t="shared" si="31"/>
        <v/>
      </c>
      <c r="AP92" s="26" t="str">
        <f t="shared" si="32"/>
        <v>40-49</v>
      </c>
      <c r="AQ92" s="26" t="str">
        <f t="shared" si="33"/>
        <v>250k-500k</v>
      </c>
      <c r="AR92" s="26" t="str">
        <f>IF($T92=1,IF($AI92&lt;0,"Loss-making",IF($AJ92&lt;Assumptions!$C$16-0.00001,"Below target","At/above target")),"Excluded")</f>
        <v>Excluded</v>
      </c>
      <c r="AS92" s="103">
        <f t="shared" si="34"/>
        <v>9.9999999999999997E+98</v>
      </c>
      <c r="AT92" s="26"/>
      <c r="AU92" s="419">
        <f>IF(AND($T92=1,AU$5&lt;=$H92),INDEX(Mortality!$B$4:$E$64,MATCH($D92+AU$5-1,Mortality!$A$4:$A$64,0),$U92)*$V92*$N92,0)</f>
        <v>0</v>
      </c>
      <c r="AV92" s="93">
        <f>IF(AND($T92=1,AV$5&lt;=$H92),INDEX(Mortality!$B$4:$E$64,MATCH($D92+AV$5-1,Mortality!$A$4:$A$64,0),$U92)*$V92*$N92,0)</f>
        <v>0</v>
      </c>
      <c r="AW92" s="93">
        <f>IF(AND($T92=1,AW$5&lt;=$H92),INDEX(Mortality!$B$4:$E$64,MATCH($D92+AW$5-1,Mortality!$A$4:$A$64,0),$U92)*$V92*$N92,0)</f>
        <v>0</v>
      </c>
      <c r="AX92" s="93">
        <f>IF(AND($T92=1,AX$5&lt;=$H92),INDEX(Mortality!$B$4:$E$64,MATCH($D92+AX$5-1,Mortality!$A$4:$A$64,0),$U92)*$V92*$N92,0)</f>
        <v>0</v>
      </c>
      <c r="AY92" s="93">
        <f>IF(AND($T92=1,AY$5&lt;=$H92),INDEX(Mortality!$B$4:$E$64,MATCH($D92+AY$5-1,Mortality!$A$4:$A$64,0),$U92)*$V92*$N92,0)</f>
        <v>0</v>
      </c>
      <c r="AZ92" s="93">
        <f>IF(AND($T92=1,AZ$5&lt;=$H92),INDEX(Mortality!$B$4:$E$64,MATCH($D92+AZ$5-1,Mortality!$A$4:$A$64,0),$U92)*$V92*$N92,0)</f>
        <v>0</v>
      </c>
      <c r="BA92" s="93">
        <f>IF(AND($T92=1,BA$5&lt;=$H92),INDEX(Mortality!$B$4:$E$64,MATCH($D92+BA$5-1,Mortality!$A$4:$A$64,0),$U92)*$V92*$N92,0)</f>
        <v>0</v>
      </c>
      <c r="BB92" s="93">
        <f>IF(AND($T92=1,BB$5&lt;=$H92),INDEX(Mortality!$B$4:$E$64,MATCH($D92+BB$5-1,Mortality!$A$4:$A$64,0),$U92)*$V92*$N92,0)</f>
        <v>0</v>
      </c>
      <c r="BC92" s="93">
        <f>IF(AND($T92=1,BC$5&lt;=$H92),INDEX(Mortality!$B$4:$E$64,MATCH($D92+BC$5-1,Mortality!$A$4:$A$64,0),$U92)*$V92*$N92,0)</f>
        <v>0</v>
      </c>
      <c r="BD92" s="93">
        <f>IF(AND($T92=1,BD$5&lt;=$H92),INDEX(Mortality!$B$4:$E$64,MATCH($D92+BD$5-1,Mortality!$A$4:$A$64,0),$U92)*$V92*$N92,0)</f>
        <v>0</v>
      </c>
      <c r="BE92" s="93">
        <f>IF(AND($T92=1,BE$5&lt;=$H92),INDEX(Mortality!$B$4:$E$64,MATCH($D92+BE$5-1,Mortality!$A$4:$A$64,0),$U92)*$V92*$N92,0)</f>
        <v>0</v>
      </c>
      <c r="BF92" s="93">
        <f>IF(AND($T92=1,BF$5&lt;=$H92),INDEX(Mortality!$B$4:$E$64,MATCH($D92+BF$5-1,Mortality!$A$4:$A$64,0),$U92)*$V92*$N92,0)</f>
        <v>0</v>
      </c>
      <c r="BG92" s="93">
        <f>IF(AND($T92=1,BG$5&lt;=$H92),INDEX(Mortality!$B$4:$E$64,MATCH($D92+BG$5-1,Mortality!$A$4:$A$64,0),$U92)*$V92*$N92,0)</f>
        <v>0</v>
      </c>
      <c r="BH92" s="93">
        <f>IF(AND($T92=1,BH$5&lt;=$H92),INDEX(Mortality!$B$4:$E$64,MATCH($D92+BH$5-1,Mortality!$A$4:$A$64,0),$U92)*$V92*$N92,0)</f>
        <v>0</v>
      </c>
      <c r="BI92" s="93">
        <f>IF(AND($T92=1,BI$5&lt;=$H92),INDEX(Mortality!$B$4:$E$64,MATCH($D92+BI$5-1,Mortality!$A$4:$A$64,0),$U92)*$V92*$N92,0)</f>
        <v>0</v>
      </c>
      <c r="BJ92" s="93">
        <f>IF(AND($T92=1,BJ$5&lt;=$H92),INDEX(Mortality!$B$4:$E$64,MATCH($D92+BJ$5-1,Mortality!$A$4:$A$64,0),$U92)*$V92*$N92,0)</f>
        <v>0</v>
      </c>
      <c r="BK92" s="93">
        <f>IF(AND($T92=1,BK$5&lt;=$H92),INDEX(Mortality!$B$4:$E$64,MATCH($D92+BK$5-1,Mortality!$A$4:$A$64,0),$U92)*$V92*$N92,0)</f>
        <v>0</v>
      </c>
      <c r="BL92" s="93">
        <f>IF(AND($T92=1,BL$5&lt;=$H92),INDEX(Mortality!$B$4:$E$64,MATCH($D92+BL$5-1,Mortality!$A$4:$A$64,0),$U92)*$V92*$N92,0)</f>
        <v>0</v>
      </c>
      <c r="BM92" s="93">
        <f>IF(AND($T92=1,BM$5&lt;=$H92),INDEX(Mortality!$B$4:$E$64,MATCH($D92+BM$5-1,Mortality!$A$4:$A$64,0),$U92)*$V92*$N92,0)</f>
        <v>0</v>
      </c>
      <c r="BN92" s="93">
        <f>IF(AND($T92=1,BN$5&lt;=$H92),INDEX(Mortality!$B$4:$E$64,MATCH($D92+BN$5-1,Mortality!$A$4:$A$64,0),$U92)*$V92*$N92,0)</f>
        <v>0</v>
      </c>
      <c r="BO92" s="93">
        <f>IF(AND($T92=1,BO$5&lt;=$H92),INDEX(Mortality!$B$4:$E$64,MATCH($D92+BO$5-1,Mortality!$A$4:$A$64,0),$U92)*$V92*$N92,0)</f>
        <v>0</v>
      </c>
      <c r="BP92" s="93">
        <f>IF(AND($T92=1,BP$5&lt;=$H92),INDEX(Mortality!$B$4:$E$64,MATCH($D92+BP$5-1,Mortality!$A$4:$A$64,0),$U92)*$V92*$N92,0)</f>
        <v>0</v>
      </c>
      <c r="BQ92" s="93">
        <f>IF(AND($T92=1,BQ$5&lt;=$H92),INDEX(Mortality!$B$4:$E$64,MATCH($D92+BQ$5-1,Mortality!$A$4:$A$64,0),$U92)*$V92*$N92,0)</f>
        <v>0</v>
      </c>
      <c r="BR92" s="93">
        <f>IF(AND($T92=1,BR$5&lt;=$H92),INDEX(Mortality!$B$4:$E$64,MATCH($D92+BR$5-1,Mortality!$A$4:$A$64,0),$U92)*$V92*$N92,0)</f>
        <v>0</v>
      </c>
      <c r="BS92" s="93">
        <f>IF(AND($T92=1,BS$5&lt;=$H92),INDEX(Mortality!$B$4:$E$64,MATCH($D92+BS$5-1,Mortality!$A$4:$A$64,0),$U92)*$V92*$N92,0)</f>
        <v>0</v>
      </c>
      <c r="BT92" s="93">
        <f>IF(AND($T92=1,BT$5&lt;=$H92),INDEX(Mortality!$B$4:$E$64,MATCH($D92+BT$5-1,Mortality!$A$4:$A$64,0),$U92)*$V92*$N92,0)</f>
        <v>0</v>
      </c>
      <c r="BU92" s="93">
        <f>IF(AND($T92=1,BU$5&lt;=$H92),INDEX(Mortality!$B$4:$E$64,MATCH($D92+BU$5-1,Mortality!$A$4:$A$64,0),$U92)*$V92*$N92,0)</f>
        <v>0</v>
      </c>
      <c r="BV92" s="93">
        <f>IF(AND($T92=1,BV$5&lt;=$H92),INDEX(Mortality!$B$4:$E$64,MATCH($D92+BV$5-1,Mortality!$A$4:$A$64,0),$U92)*$V92*$N92,0)</f>
        <v>0</v>
      </c>
      <c r="BW92" s="93">
        <f>IF(AND($T92=1,BW$5&lt;=$H92),INDEX(Mortality!$B$4:$E$64,MATCH($D92+BW$5-1,Mortality!$A$4:$A$64,0),$U92)*$V92*$N92,0)</f>
        <v>0</v>
      </c>
      <c r="BX92" s="93">
        <f>IF(AND($T92=1,BX$5&lt;=$H92),INDEX(Mortality!$B$4:$E$64,MATCH($D92+BX$5-1,Mortality!$A$4:$A$64,0),$U92)*$V92*$N92,0)</f>
        <v>0</v>
      </c>
      <c r="BY92" s="93">
        <f>IF(AND($T92=1,BY$5&lt;=$H92),INDEX(Mortality!$B$4:$E$64,MATCH($D92+BY$5-1,Mortality!$A$4:$A$64,0),$U92)*$V92*$N92,0)</f>
        <v>0</v>
      </c>
      <c r="BZ92" s="93">
        <f>IF(AND($T92=1,BZ$5&lt;=$H92),INDEX(Mortality!$B$4:$E$64,MATCH($D92+BZ$5-1,Mortality!$A$4:$A$64,0),$U92)*$V92*$N92,0)</f>
        <v>0</v>
      </c>
      <c r="CA92" s="93">
        <f>IF(AND($T92=1,CA$5&lt;=$H92),INDEX(Mortality!$B$4:$E$64,MATCH($D92+CA$5-1,Mortality!$A$4:$A$64,0),$U92)*$V92*$N92,0)</f>
        <v>0</v>
      </c>
      <c r="CB92" s="93">
        <f>IF(AND($T92=1,CB$5&lt;=$H92),INDEX(Mortality!$B$4:$E$64,MATCH($D92+CB$5-1,Mortality!$A$4:$A$64,0),$U92)*$V92*$N92,0)</f>
        <v>0</v>
      </c>
      <c r="CC92" s="93">
        <f>IF(AND($T92=1,CC$5&lt;=$H92),INDEX(Mortality!$B$4:$E$64,MATCH($D92+CC$5-1,Mortality!$A$4:$A$64,0),$U92)*$V92*$N92,0)</f>
        <v>0</v>
      </c>
      <c r="CD92" s="93">
        <f>IF(AND($T92=1,CD$5&lt;=$H92),INDEX(Mortality!$B$4:$E$64,MATCH($D92+CD$5-1,Mortality!$A$4:$A$64,0),$U92)*$V92*$N92,0)</f>
        <v>0</v>
      </c>
      <c r="CE92" s="93">
        <f>IF(AND($T92=1,CE$5&lt;=$H92),INDEX(Mortality!$B$4:$E$64,MATCH($D92+CE$5-1,Mortality!$A$4:$A$64,0),$U92)*$V92*$N92,0)</f>
        <v>0</v>
      </c>
      <c r="CF92" s="93">
        <f>IF(AND($T92=1,CF$5&lt;=$H92),INDEX(Mortality!$B$4:$E$64,MATCH($D92+CF$5-1,Mortality!$A$4:$A$64,0),$U92)*$V92*$N92,0)</f>
        <v>0</v>
      </c>
      <c r="CG92" s="93">
        <f>IF(AND($T92=1,CG$5&lt;=$H92),INDEX(Mortality!$B$4:$E$64,MATCH($D92+CG$5-1,Mortality!$A$4:$A$64,0),$U92)*$V92*$N92,0)</f>
        <v>0</v>
      </c>
      <c r="CH92" s="94">
        <f>IF(AND($T92=1,CH$5&lt;=$H92),INDEX(Mortality!$B$4:$E$64,MATCH($D92+CH$5-1,Mortality!$A$4:$A$64,0),$U92)*$V92*$N92,0)</f>
        <v>0</v>
      </c>
      <c r="CI92" s="26"/>
      <c r="CJ92" s="419">
        <f t="shared" si="35"/>
        <v>0</v>
      </c>
      <c r="CK92" s="93">
        <f>IF(AND($T92=1,CK$5&lt;=$H92),CJ92*(1-AU92)*(1-MIN(1,MAX(Assumptions!$C$27,Assumptions!$C$13*Assumptions!$C$28^(CJ$5-1))*$O92)),0)</f>
        <v>0</v>
      </c>
      <c r="CL92" s="93">
        <f>IF(AND($T92=1,CL$5&lt;=$H92),CK92*(1-AV92)*(1-MIN(1,MAX(Assumptions!$C$27,Assumptions!$C$13*Assumptions!$C$28^(CK$5-1))*$O92)),0)</f>
        <v>0</v>
      </c>
      <c r="CM92" s="93">
        <f>IF(AND($T92=1,CM$5&lt;=$H92),CL92*(1-AW92)*(1-MIN(1,MAX(Assumptions!$C$27,Assumptions!$C$13*Assumptions!$C$28^(CL$5-1))*$O92)),0)</f>
        <v>0</v>
      </c>
      <c r="CN92" s="93">
        <f>IF(AND($T92=1,CN$5&lt;=$H92),CM92*(1-AX92)*(1-MIN(1,MAX(Assumptions!$C$27,Assumptions!$C$13*Assumptions!$C$28^(CM$5-1))*$O92)),0)</f>
        <v>0</v>
      </c>
      <c r="CO92" s="93">
        <f>IF(AND($T92=1,CO$5&lt;=$H92),CN92*(1-AY92)*(1-MIN(1,MAX(Assumptions!$C$27,Assumptions!$C$13*Assumptions!$C$28^(CN$5-1))*$O92)),0)</f>
        <v>0</v>
      </c>
      <c r="CP92" s="93">
        <f>IF(AND($T92=1,CP$5&lt;=$H92),CO92*(1-AZ92)*(1-MIN(1,MAX(Assumptions!$C$27,Assumptions!$C$13*Assumptions!$C$28^(CO$5-1))*$O92)),0)</f>
        <v>0</v>
      </c>
      <c r="CQ92" s="93">
        <f>IF(AND($T92=1,CQ$5&lt;=$H92),CP92*(1-BA92)*(1-MIN(1,MAX(Assumptions!$C$27,Assumptions!$C$13*Assumptions!$C$28^(CP$5-1))*$O92)),0)</f>
        <v>0</v>
      </c>
      <c r="CR92" s="93">
        <f>IF(AND($T92=1,CR$5&lt;=$H92),CQ92*(1-BB92)*(1-MIN(1,MAX(Assumptions!$C$27,Assumptions!$C$13*Assumptions!$C$28^(CQ$5-1))*$O92)),0)</f>
        <v>0</v>
      </c>
      <c r="CS92" s="93">
        <f>IF(AND($T92=1,CS$5&lt;=$H92),CR92*(1-BC92)*(1-MIN(1,MAX(Assumptions!$C$27,Assumptions!$C$13*Assumptions!$C$28^(CR$5-1))*$O92)),0)</f>
        <v>0</v>
      </c>
      <c r="CT92" s="93">
        <f>IF(AND($T92=1,CT$5&lt;=$H92),CS92*(1-BD92)*(1-MIN(1,MAX(Assumptions!$C$27,Assumptions!$C$13*Assumptions!$C$28^(CS$5-1))*$O92)),0)</f>
        <v>0</v>
      </c>
      <c r="CU92" s="93">
        <f>IF(AND($T92=1,CU$5&lt;=$H92),CT92*(1-BE92)*(1-MIN(1,MAX(Assumptions!$C$27,Assumptions!$C$13*Assumptions!$C$28^(CT$5-1))*$O92)),0)</f>
        <v>0</v>
      </c>
      <c r="CV92" s="93">
        <f>IF(AND($T92=1,CV$5&lt;=$H92),CU92*(1-BF92)*(1-MIN(1,MAX(Assumptions!$C$27,Assumptions!$C$13*Assumptions!$C$28^(CU$5-1))*$O92)),0)</f>
        <v>0</v>
      </c>
      <c r="CW92" s="93">
        <f>IF(AND($T92=1,CW$5&lt;=$H92),CV92*(1-BG92)*(1-MIN(1,MAX(Assumptions!$C$27,Assumptions!$C$13*Assumptions!$C$28^(CV$5-1))*$O92)),0)</f>
        <v>0</v>
      </c>
      <c r="CX92" s="93">
        <f>IF(AND($T92=1,CX$5&lt;=$H92),CW92*(1-BH92)*(1-MIN(1,MAX(Assumptions!$C$27,Assumptions!$C$13*Assumptions!$C$28^(CW$5-1))*$O92)),0)</f>
        <v>0</v>
      </c>
      <c r="CY92" s="93">
        <f>IF(AND($T92=1,CY$5&lt;=$H92),CX92*(1-BI92)*(1-MIN(1,MAX(Assumptions!$C$27,Assumptions!$C$13*Assumptions!$C$28^(CX$5-1))*$O92)),0)</f>
        <v>0</v>
      </c>
      <c r="CZ92" s="93">
        <f>IF(AND($T92=1,CZ$5&lt;=$H92),CY92*(1-BJ92)*(1-MIN(1,MAX(Assumptions!$C$27,Assumptions!$C$13*Assumptions!$C$28^(CY$5-1))*$O92)),0)</f>
        <v>0</v>
      </c>
      <c r="DA92" s="93">
        <f>IF(AND($T92=1,DA$5&lt;=$H92),CZ92*(1-BK92)*(1-MIN(1,MAX(Assumptions!$C$27,Assumptions!$C$13*Assumptions!$C$28^(CZ$5-1))*$O92)),0)</f>
        <v>0</v>
      </c>
      <c r="DB92" s="93">
        <f>IF(AND($T92=1,DB$5&lt;=$H92),DA92*(1-BL92)*(1-MIN(1,MAX(Assumptions!$C$27,Assumptions!$C$13*Assumptions!$C$28^(DA$5-1))*$O92)),0)</f>
        <v>0</v>
      </c>
      <c r="DC92" s="93">
        <f>IF(AND($T92=1,DC$5&lt;=$H92),DB92*(1-BM92)*(1-MIN(1,MAX(Assumptions!$C$27,Assumptions!$C$13*Assumptions!$C$28^(DB$5-1))*$O92)),0)</f>
        <v>0</v>
      </c>
      <c r="DD92" s="93">
        <f>IF(AND($T92=1,DD$5&lt;=$H92),DC92*(1-BN92)*(1-MIN(1,MAX(Assumptions!$C$27,Assumptions!$C$13*Assumptions!$C$28^(DC$5-1))*$O92)),0)</f>
        <v>0</v>
      </c>
      <c r="DE92" s="93">
        <f>IF(AND($T92=1,DE$5&lt;=$H92),DD92*(1-BO92)*(1-MIN(1,MAX(Assumptions!$C$27,Assumptions!$C$13*Assumptions!$C$28^(DD$5-1))*$O92)),0)</f>
        <v>0</v>
      </c>
      <c r="DF92" s="93">
        <f>IF(AND($T92=1,DF$5&lt;=$H92),DE92*(1-BP92)*(1-MIN(1,MAX(Assumptions!$C$27,Assumptions!$C$13*Assumptions!$C$28^(DE$5-1))*$O92)),0)</f>
        <v>0</v>
      </c>
      <c r="DG92" s="93">
        <f>IF(AND($T92=1,DG$5&lt;=$H92),DF92*(1-BQ92)*(1-MIN(1,MAX(Assumptions!$C$27,Assumptions!$C$13*Assumptions!$C$28^(DF$5-1))*$O92)),0)</f>
        <v>0</v>
      </c>
      <c r="DH92" s="93">
        <f>IF(AND($T92=1,DH$5&lt;=$H92),DG92*(1-BR92)*(1-MIN(1,MAX(Assumptions!$C$27,Assumptions!$C$13*Assumptions!$C$28^(DG$5-1))*$O92)),0)</f>
        <v>0</v>
      </c>
      <c r="DI92" s="93">
        <f>IF(AND($T92=1,DI$5&lt;=$H92),DH92*(1-BS92)*(1-MIN(1,MAX(Assumptions!$C$27,Assumptions!$C$13*Assumptions!$C$28^(DH$5-1))*$O92)),0)</f>
        <v>0</v>
      </c>
      <c r="DJ92" s="93">
        <f>IF(AND($T92=1,DJ$5&lt;=$H92),DI92*(1-BT92)*(1-MIN(1,MAX(Assumptions!$C$27,Assumptions!$C$13*Assumptions!$C$28^(DI$5-1))*$O92)),0)</f>
        <v>0</v>
      </c>
      <c r="DK92" s="93">
        <f>IF(AND($T92=1,DK$5&lt;=$H92),DJ92*(1-BU92)*(1-MIN(1,MAX(Assumptions!$C$27,Assumptions!$C$13*Assumptions!$C$28^(DJ$5-1))*$O92)),0)</f>
        <v>0</v>
      </c>
      <c r="DL92" s="93">
        <f>IF(AND($T92=1,DL$5&lt;=$H92),DK92*(1-BV92)*(1-MIN(1,MAX(Assumptions!$C$27,Assumptions!$C$13*Assumptions!$C$28^(DK$5-1))*$O92)),0)</f>
        <v>0</v>
      </c>
      <c r="DM92" s="93">
        <f>IF(AND($T92=1,DM$5&lt;=$H92),DL92*(1-BW92)*(1-MIN(1,MAX(Assumptions!$C$27,Assumptions!$C$13*Assumptions!$C$28^(DL$5-1))*$O92)),0)</f>
        <v>0</v>
      </c>
      <c r="DN92" s="93">
        <f>IF(AND($T92=1,DN$5&lt;=$H92),DM92*(1-BX92)*(1-MIN(1,MAX(Assumptions!$C$27,Assumptions!$C$13*Assumptions!$C$28^(DM$5-1))*$O92)),0)</f>
        <v>0</v>
      </c>
      <c r="DO92" s="93">
        <f>IF(AND($T92=1,DO$5&lt;=$H92),DN92*(1-BY92)*(1-MIN(1,MAX(Assumptions!$C$27,Assumptions!$C$13*Assumptions!$C$28^(DN$5-1))*$O92)),0)</f>
        <v>0</v>
      </c>
      <c r="DP92" s="93">
        <f>IF(AND($T92=1,DP$5&lt;=$H92),DO92*(1-BZ92)*(1-MIN(1,MAX(Assumptions!$C$27,Assumptions!$C$13*Assumptions!$C$28^(DO$5-1))*$O92)),0)</f>
        <v>0</v>
      </c>
      <c r="DQ92" s="93">
        <f>IF(AND($T92=1,DQ$5&lt;=$H92),DP92*(1-CA92)*(1-MIN(1,MAX(Assumptions!$C$27,Assumptions!$C$13*Assumptions!$C$28^(DP$5-1))*$O92)),0)</f>
        <v>0</v>
      </c>
      <c r="DR92" s="93">
        <f>IF(AND($T92=1,DR$5&lt;=$H92),DQ92*(1-CB92)*(1-MIN(1,MAX(Assumptions!$C$27,Assumptions!$C$13*Assumptions!$C$28^(DQ$5-1))*$O92)),0)</f>
        <v>0</v>
      </c>
      <c r="DS92" s="93">
        <f>IF(AND($T92=1,DS$5&lt;=$H92),DR92*(1-CC92)*(1-MIN(1,MAX(Assumptions!$C$27,Assumptions!$C$13*Assumptions!$C$28^(DR$5-1))*$O92)),0)</f>
        <v>0</v>
      </c>
      <c r="DT92" s="93">
        <f>IF(AND($T92=1,DT$5&lt;=$H92),DS92*(1-CD92)*(1-MIN(1,MAX(Assumptions!$C$27,Assumptions!$C$13*Assumptions!$C$28^(DS$5-1))*$O92)),0)</f>
        <v>0</v>
      </c>
      <c r="DU92" s="93">
        <f>IF(AND($T92=1,DU$5&lt;=$H92),DT92*(1-CE92)*(1-MIN(1,MAX(Assumptions!$C$27,Assumptions!$C$13*Assumptions!$C$28^(DT$5-1))*$O92)),0)</f>
        <v>0</v>
      </c>
      <c r="DV92" s="93">
        <f>IF(AND($T92=1,DV$5&lt;=$H92),DU92*(1-CF92)*(1-MIN(1,MAX(Assumptions!$C$27,Assumptions!$C$13*Assumptions!$C$28^(DU$5-1))*$O92)),0)</f>
        <v>0</v>
      </c>
      <c r="DW92" s="94">
        <f>IF(AND($T92=1,DW$5&lt;=$H92),DV92*(1-CG92)*(1-MIN(1,MAX(Assumptions!$C$27,Assumptions!$C$13*Assumptions!$C$28^(DV$5-1))*$O92)),0)</f>
        <v>0</v>
      </c>
      <c r="DX92" s="26"/>
      <c r="DY92" s="399">
        <f>'Policy Data'!K66</f>
        <v>3</v>
      </c>
      <c r="DZ92" s="100">
        <f>'Policy Data'!L66</f>
        <v>0.65349999999999997</v>
      </c>
      <c r="EA92" s="100">
        <f>'Policy Data'!N66</f>
        <v>9.1399999999999999E-4</v>
      </c>
      <c r="EB92" s="93" cm="1">
        <f t="array" ref="EB92">IFERROR(DZ92*INDEX(Mortality!$B$4:$E$64,MATCH(D92+DY92-1,Mortality!$A$4:$A$64,0),U92)*V92,0)</f>
        <v>1.0729555931012348E-3</v>
      </c>
      <c r="EC92" s="100">
        <f>'Policy Data'!O66</f>
        <v>0</v>
      </c>
      <c r="ED92" s="400">
        <f>'Policy Data'!Q66</f>
        <v>0</v>
      </c>
    </row>
    <row r="93" spans="1:134" x14ac:dyDescent="0.3">
      <c r="A93" s="399" t="str">
        <f>'Policy Data'!A67</f>
        <v>POL100063</v>
      </c>
      <c r="B93" s="26" t="s">
        <v>426</v>
      </c>
      <c r="C93" s="100" t="str">
        <f>'Policy Data'!B67</f>
        <v>Term Life</v>
      </c>
      <c r="D93" s="100">
        <f>'Policy Data'!C67</f>
        <v>60</v>
      </c>
      <c r="E93" s="100" t="str">
        <f>'Policy Data'!D67</f>
        <v>Female</v>
      </c>
      <c r="F93" s="100" t="str">
        <f>'Policy Data'!E67</f>
        <v>Non-smoker</v>
      </c>
      <c r="G93" s="100" t="str">
        <f>'Policy Data'!F67</f>
        <v>Preferred</v>
      </c>
      <c r="H93" s="100">
        <f>'Policy Data'!G67</f>
        <v>25</v>
      </c>
      <c r="I93" s="279">
        <f>'Policy Data'!H67</f>
        <v>500000</v>
      </c>
      <c r="J93" s="100" t="str">
        <f>'Policy Data'!I67</f>
        <v>Annual</v>
      </c>
      <c r="K93" s="100" t="str">
        <f>'Policy Data'!J67</f>
        <v>Broker</v>
      </c>
      <c r="L93" s="26" t="s">
        <v>389</v>
      </c>
      <c r="M93" s="106">
        <f>'Policy Data'!R67</f>
        <v>2745.12</v>
      </c>
      <c r="N93" s="415">
        <f>Assumptions!$C$21</f>
        <v>1</v>
      </c>
      <c r="O93" s="415">
        <f>Assumptions!$C$22</f>
        <v>1</v>
      </c>
      <c r="P93" s="415">
        <f>Assumptions!$C$23</f>
        <v>1</v>
      </c>
      <c r="Q93" s="416">
        <f>Assumptions!$C$24</f>
        <v>0</v>
      </c>
      <c r="R93" s="416">
        <f>Assumptions!$C$6+Assumptions!$C$25</f>
        <v>3.5000000000000003E-2</v>
      </c>
      <c r="S93" s="416">
        <f>Assumptions!$C$15</f>
        <v>1.1000000000000001E-3</v>
      </c>
      <c r="T93" s="26">
        <f t="shared" si="18"/>
        <v>0</v>
      </c>
      <c r="U93" s="26">
        <f t="shared" si="19"/>
        <v>1</v>
      </c>
      <c r="V93" s="389">
        <f>IF($G93="Preferred",Assumptions!$C$30,IF($G93="Rated",Assumptions!$C$31,1))</f>
        <v>0.8</v>
      </c>
      <c r="W93" s="390">
        <f>IF($K93="Direct",Assumptions!$C$32,IF($K93="Broker",Assumptions!$C$33,IF($K93="Bancassurance",Assumptions!$C$34,Assumptions!$C$11)))+$Q93</f>
        <v>0.25</v>
      </c>
      <c r="X93" s="390">
        <f>Assumptions!$C$12+$Q93</f>
        <v>0.05</v>
      </c>
      <c r="Y93" s="131">
        <f>MIN($I93,Assumptions!$C$14)</f>
        <v>500000</v>
      </c>
      <c r="Z93" s="131">
        <f>MAX($I93-Assumptions!$C$14,0)</f>
        <v>0</v>
      </c>
      <c r="AA93" s="389">
        <f t="shared" si="20"/>
        <v>0</v>
      </c>
      <c r="AB93" s="389">
        <f t="shared" si="21"/>
        <v>0</v>
      </c>
      <c r="AC93" s="389">
        <f>IF($T93=1,SUMPRODUCT($CJ93:$DW93,(1+Assumptions!$C$5)^($CJ$5:$DW$5-1),(1+$R93)^(-$CJ$5:$DW$5)),0)</f>
        <v>0</v>
      </c>
      <c r="AD93" s="389">
        <f t="shared" si="22"/>
        <v>0</v>
      </c>
      <c r="AE93" s="131">
        <f>IF($T93=1,$AB93*$Y93+(Assumptions!$C$9/(1+$R93)+Assumptions!$C$10*$AC93)*$P93+$S93*$Z93*$AA93,0)</f>
        <v>0</v>
      </c>
      <c r="AF93" s="131" t="str">
        <f>IF($T93=1,IF($AA93-$AD93-Assumptions!$C$16*$AA93&gt;0,$AE93/($AA93-$AD93-Assumptions!$C$16*$AA93)*IF($J93="Monthly",1+Assumptions!$C$29,1),"n.a."),"")</f>
        <v/>
      </c>
      <c r="AG93" s="131" t="str">
        <f t="shared" si="23"/>
        <v/>
      </c>
      <c r="AH93" s="131" t="str">
        <f t="shared" si="24"/>
        <v/>
      </c>
      <c r="AI93" s="131" t="str">
        <f t="shared" si="25"/>
        <v/>
      </c>
      <c r="AJ93" s="390" t="str">
        <f t="shared" si="26"/>
        <v/>
      </c>
      <c r="AK93" s="389" t="str">
        <f t="shared" si="27"/>
        <v/>
      </c>
      <c r="AL93" s="131" t="str">
        <f t="shared" si="28"/>
        <v/>
      </c>
      <c r="AM93" s="131" t="str">
        <f t="shared" si="29"/>
        <v/>
      </c>
      <c r="AN93" s="131" t="str">
        <f t="shared" si="30"/>
        <v/>
      </c>
      <c r="AO93" s="131" t="str">
        <f t="shared" si="31"/>
        <v/>
      </c>
      <c r="AP93" s="26" t="str">
        <f t="shared" si="32"/>
        <v>60+</v>
      </c>
      <c r="AQ93" s="26" t="str">
        <f t="shared" si="33"/>
        <v>250k-500k</v>
      </c>
      <c r="AR93" s="26" t="str">
        <f>IF($T93=1,IF($AI93&lt;0,"Loss-making",IF($AJ93&lt;Assumptions!$C$16-0.00001,"Below target","At/above target")),"Excluded")</f>
        <v>Excluded</v>
      </c>
      <c r="AS93" s="103">
        <f t="shared" si="34"/>
        <v>9.9999999999999997E+98</v>
      </c>
      <c r="AT93" s="26"/>
      <c r="AU93" s="419">
        <f>IF(AND($T93=1,AU$5&lt;=$H93),INDEX(Mortality!$B$4:$E$64,MATCH($D93+AU$5-1,Mortality!$A$4:$A$64,0),$U93)*$V93*$N93,0)</f>
        <v>0</v>
      </c>
      <c r="AV93" s="93">
        <f>IF(AND($T93=1,AV$5&lt;=$H93),INDEX(Mortality!$B$4:$E$64,MATCH($D93+AV$5-1,Mortality!$A$4:$A$64,0),$U93)*$V93*$N93,0)</f>
        <v>0</v>
      </c>
      <c r="AW93" s="93">
        <f>IF(AND($T93=1,AW$5&lt;=$H93),INDEX(Mortality!$B$4:$E$64,MATCH($D93+AW$5-1,Mortality!$A$4:$A$64,0),$U93)*$V93*$N93,0)</f>
        <v>0</v>
      </c>
      <c r="AX93" s="93">
        <f>IF(AND($T93=1,AX$5&lt;=$H93),INDEX(Mortality!$B$4:$E$64,MATCH($D93+AX$5-1,Mortality!$A$4:$A$64,0),$U93)*$V93*$N93,0)</f>
        <v>0</v>
      </c>
      <c r="AY93" s="93">
        <f>IF(AND($T93=1,AY$5&lt;=$H93),INDEX(Mortality!$B$4:$E$64,MATCH($D93+AY$5-1,Mortality!$A$4:$A$64,0),$U93)*$V93*$N93,0)</f>
        <v>0</v>
      </c>
      <c r="AZ93" s="93">
        <f>IF(AND($T93=1,AZ$5&lt;=$H93),INDEX(Mortality!$B$4:$E$64,MATCH($D93+AZ$5-1,Mortality!$A$4:$A$64,0),$U93)*$V93*$N93,0)</f>
        <v>0</v>
      </c>
      <c r="BA93" s="93">
        <f>IF(AND($T93=1,BA$5&lt;=$H93),INDEX(Mortality!$B$4:$E$64,MATCH($D93+BA$5-1,Mortality!$A$4:$A$64,0),$U93)*$V93*$N93,0)</f>
        <v>0</v>
      </c>
      <c r="BB93" s="93">
        <f>IF(AND($T93=1,BB$5&lt;=$H93),INDEX(Mortality!$B$4:$E$64,MATCH($D93+BB$5-1,Mortality!$A$4:$A$64,0),$U93)*$V93*$N93,0)</f>
        <v>0</v>
      </c>
      <c r="BC93" s="93">
        <f>IF(AND($T93=1,BC$5&lt;=$H93),INDEX(Mortality!$B$4:$E$64,MATCH($D93+BC$5-1,Mortality!$A$4:$A$64,0),$U93)*$V93*$N93,0)</f>
        <v>0</v>
      </c>
      <c r="BD93" s="93">
        <f>IF(AND($T93=1,BD$5&lt;=$H93),INDEX(Mortality!$B$4:$E$64,MATCH($D93+BD$5-1,Mortality!$A$4:$A$64,0),$U93)*$V93*$N93,0)</f>
        <v>0</v>
      </c>
      <c r="BE93" s="93">
        <f>IF(AND($T93=1,BE$5&lt;=$H93),INDEX(Mortality!$B$4:$E$64,MATCH($D93+BE$5-1,Mortality!$A$4:$A$64,0),$U93)*$V93*$N93,0)</f>
        <v>0</v>
      </c>
      <c r="BF93" s="93">
        <f>IF(AND($T93=1,BF$5&lt;=$H93),INDEX(Mortality!$B$4:$E$64,MATCH($D93+BF$5-1,Mortality!$A$4:$A$64,0),$U93)*$V93*$N93,0)</f>
        <v>0</v>
      </c>
      <c r="BG93" s="93">
        <f>IF(AND($T93=1,BG$5&lt;=$H93),INDEX(Mortality!$B$4:$E$64,MATCH($D93+BG$5-1,Mortality!$A$4:$A$64,0),$U93)*$V93*$N93,0)</f>
        <v>0</v>
      </c>
      <c r="BH93" s="93">
        <f>IF(AND($T93=1,BH$5&lt;=$H93),INDEX(Mortality!$B$4:$E$64,MATCH($D93+BH$5-1,Mortality!$A$4:$A$64,0),$U93)*$V93*$N93,0)</f>
        <v>0</v>
      </c>
      <c r="BI93" s="93">
        <f>IF(AND($T93=1,BI$5&lt;=$H93),INDEX(Mortality!$B$4:$E$64,MATCH($D93+BI$5-1,Mortality!$A$4:$A$64,0),$U93)*$V93*$N93,0)</f>
        <v>0</v>
      </c>
      <c r="BJ93" s="93">
        <f>IF(AND($T93=1,BJ$5&lt;=$H93),INDEX(Mortality!$B$4:$E$64,MATCH($D93+BJ$5-1,Mortality!$A$4:$A$64,0),$U93)*$V93*$N93,0)</f>
        <v>0</v>
      </c>
      <c r="BK93" s="93">
        <f>IF(AND($T93=1,BK$5&lt;=$H93),INDEX(Mortality!$B$4:$E$64,MATCH($D93+BK$5-1,Mortality!$A$4:$A$64,0),$U93)*$V93*$N93,0)</f>
        <v>0</v>
      </c>
      <c r="BL93" s="93">
        <f>IF(AND($T93=1,BL$5&lt;=$H93),INDEX(Mortality!$B$4:$E$64,MATCH($D93+BL$5-1,Mortality!$A$4:$A$64,0),$U93)*$V93*$N93,0)</f>
        <v>0</v>
      </c>
      <c r="BM93" s="93">
        <f>IF(AND($T93=1,BM$5&lt;=$H93),INDEX(Mortality!$B$4:$E$64,MATCH($D93+BM$5-1,Mortality!$A$4:$A$64,0),$U93)*$V93*$N93,0)</f>
        <v>0</v>
      </c>
      <c r="BN93" s="93">
        <f>IF(AND($T93=1,BN$5&lt;=$H93),INDEX(Mortality!$B$4:$E$64,MATCH($D93+BN$5-1,Mortality!$A$4:$A$64,0),$U93)*$V93*$N93,0)</f>
        <v>0</v>
      </c>
      <c r="BO93" s="93">
        <f>IF(AND($T93=1,BO$5&lt;=$H93),INDEX(Mortality!$B$4:$E$64,MATCH($D93+BO$5-1,Mortality!$A$4:$A$64,0),$U93)*$V93*$N93,0)</f>
        <v>0</v>
      </c>
      <c r="BP93" s="93">
        <f>IF(AND($T93=1,BP$5&lt;=$H93),INDEX(Mortality!$B$4:$E$64,MATCH($D93+BP$5-1,Mortality!$A$4:$A$64,0),$U93)*$V93*$N93,0)</f>
        <v>0</v>
      </c>
      <c r="BQ93" s="93">
        <f>IF(AND($T93=1,BQ$5&lt;=$H93),INDEX(Mortality!$B$4:$E$64,MATCH($D93+BQ$5-1,Mortality!$A$4:$A$64,0),$U93)*$V93*$N93,0)</f>
        <v>0</v>
      </c>
      <c r="BR93" s="93">
        <f>IF(AND($T93=1,BR$5&lt;=$H93),INDEX(Mortality!$B$4:$E$64,MATCH($D93+BR$5-1,Mortality!$A$4:$A$64,0),$U93)*$V93*$N93,0)</f>
        <v>0</v>
      </c>
      <c r="BS93" s="93">
        <f>IF(AND($T93=1,BS$5&lt;=$H93),INDEX(Mortality!$B$4:$E$64,MATCH($D93+BS$5-1,Mortality!$A$4:$A$64,0),$U93)*$V93*$N93,0)</f>
        <v>0</v>
      </c>
      <c r="BT93" s="93">
        <f>IF(AND($T93=1,BT$5&lt;=$H93),INDEX(Mortality!$B$4:$E$64,MATCH($D93+BT$5-1,Mortality!$A$4:$A$64,0),$U93)*$V93*$N93,0)</f>
        <v>0</v>
      </c>
      <c r="BU93" s="93">
        <f>IF(AND($T93=1,BU$5&lt;=$H93),INDEX(Mortality!$B$4:$E$64,MATCH($D93+BU$5-1,Mortality!$A$4:$A$64,0),$U93)*$V93*$N93,0)</f>
        <v>0</v>
      </c>
      <c r="BV93" s="93">
        <f>IF(AND($T93=1,BV$5&lt;=$H93),INDEX(Mortality!$B$4:$E$64,MATCH($D93+BV$5-1,Mortality!$A$4:$A$64,0),$U93)*$V93*$N93,0)</f>
        <v>0</v>
      </c>
      <c r="BW93" s="93">
        <f>IF(AND($T93=1,BW$5&lt;=$H93),INDEX(Mortality!$B$4:$E$64,MATCH($D93+BW$5-1,Mortality!$A$4:$A$64,0),$U93)*$V93*$N93,0)</f>
        <v>0</v>
      </c>
      <c r="BX93" s="93">
        <f>IF(AND($T93=1,BX$5&lt;=$H93),INDEX(Mortality!$B$4:$E$64,MATCH($D93+BX$5-1,Mortality!$A$4:$A$64,0),$U93)*$V93*$N93,0)</f>
        <v>0</v>
      </c>
      <c r="BY93" s="93">
        <f>IF(AND($T93=1,BY$5&lt;=$H93),INDEX(Mortality!$B$4:$E$64,MATCH($D93+BY$5-1,Mortality!$A$4:$A$64,0),$U93)*$V93*$N93,0)</f>
        <v>0</v>
      </c>
      <c r="BZ93" s="93">
        <f>IF(AND($T93=1,BZ$5&lt;=$H93),INDEX(Mortality!$B$4:$E$64,MATCH($D93+BZ$5-1,Mortality!$A$4:$A$64,0),$U93)*$V93*$N93,0)</f>
        <v>0</v>
      </c>
      <c r="CA93" s="93">
        <f>IF(AND($T93=1,CA$5&lt;=$H93),INDEX(Mortality!$B$4:$E$64,MATCH($D93+CA$5-1,Mortality!$A$4:$A$64,0),$U93)*$V93*$N93,0)</f>
        <v>0</v>
      </c>
      <c r="CB93" s="93">
        <f>IF(AND($T93=1,CB$5&lt;=$H93),INDEX(Mortality!$B$4:$E$64,MATCH($D93+CB$5-1,Mortality!$A$4:$A$64,0),$U93)*$V93*$N93,0)</f>
        <v>0</v>
      </c>
      <c r="CC93" s="93">
        <f>IF(AND($T93=1,CC$5&lt;=$H93),INDEX(Mortality!$B$4:$E$64,MATCH($D93+CC$5-1,Mortality!$A$4:$A$64,0),$U93)*$V93*$N93,0)</f>
        <v>0</v>
      </c>
      <c r="CD93" s="93">
        <f>IF(AND($T93=1,CD$5&lt;=$H93),INDEX(Mortality!$B$4:$E$64,MATCH($D93+CD$5-1,Mortality!$A$4:$A$64,0),$U93)*$V93*$N93,0)</f>
        <v>0</v>
      </c>
      <c r="CE93" s="93">
        <f>IF(AND($T93=1,CE$5&lt;=$H93),INDEX(Mortality!$B$4:$E$64,MATCH($D93+CE$5-1,Mortality!$A$4:$A$64,0),$U93)*$V93*$N93,0)</f>
        <v>0</v>
      </c>
      <c r="CF93" s="93">
        <f>IF(AND($T93=1,CF$5&lt;=$H93),INDEX(Mortality!$B$4:$E$64,MATCH($D93+CF$5-1,Mortality!$A$4:$A$64,0),$U93)*$V93*$N93,0)</f>
        <v>0</v>
      </c>
      <c r="CG93" s="93">
        <f>IF(AND($T93=1,CG$5&lt;=$H93),INDEX(Mortality!$B$4:$E$64,MATCH($D93+CG$5-1,Mortality!$A$4:$A$64,0),$U93)*$V93*$N93,0)</f>
        <v>0</v>
      </c>
      <c r="CH93" s="94">
        <f>IF(AND($T93=1,CH$5&lt;=$H93),INDEX(Mortality!$B$4:$E$64,MATCH($D93+CH$5-1,Mortality!$A$4:$A$64,0),$U93)*$V93*$N93,0)</f>
        <v>0</v>
      </c>
      <c r="CI93" s="26"/>
      <c r="CJ93" s="419">
        <f t="shared" si="35"/>
        <v>0</v>
      </c>
      <c r="CK93" s="93">
        <f>IF(AND($T93=1,CK$5&lt;=$H93),CJ93*(1-AU93)*(1-MIN(1,MAX(Assumptions!$C$27,Assumptions!$C$13*Assumptions!$C$28^(CJ$5-1))*$O93)),0)</f>
        <v>0</v>
      </c>
      <c r="CL93" s="93">
        <f>IF(AND($T93=1,CL$5&lt;=$H93),CK93*(1-AV93)*(1-MIN(1,MAX(Assumptions!$C$27,Assumptions!$C$13*Assumptions!$C$28^(CK$5-1))*$O93)),0)</f>
        <v>0</v>
      </c>
      <c r="CM93" s="93">
        <f>IF(AND($T93=1,CM$5&lt;=$H93),CL93*(1-AW93)*(1-MIN(1,MAX(Assumptions!$C$27,Assumptions!$C$13*Assumptions!$C$28^(CL$5-1))*$O93)),0)</f>
        <v>0</v>
      </c>
      <c r="CN93" s="93">
        <f>IF(AND($T93=1,CN$5&lt;=$H93),CM93*(1-AX93)*(1-MIN(1,MAX(Assumptions!$C$27,Assumptions!$C$13*Assumptions!$C$28^(CM$5-1))*$O93)),0)</f>
        <v>0</v>
      </c>
      <c r="CO93" s="93">
        <f>IF(AND($T93=1,CO$5&lt;=$H93),CN93*(1-AY93)*(1-MIN(1,MAX(Assumptions!$C$27,Assumptions!$C$13*Assumptions!$C$28^(CN$5-1))*$O93)),0)</f>
        <v>0</v>
      </c>
      <c r="CP93" s="93">
        <f>IF(AND($T93=1,CP$5&lt;=$H93),CO93*(1-AZ93)*(1-MIN(1,MAX(Assumptions!$C$27,Assumptions!$C$13*Assumptions!$C$28^(CO$5-1))*$O93)),0)</f>
        <v>0</v>
      </c>
      <c r="CQ93" s="93">
        <f>IF(AND($T93=1,CQ$5&lt;=$H93),CP93*(1-BA93)*(1-MIN(1,MAX(Assumptions!$C$27,Assumptions!$C$13*Assumptions!$C$28^(CP$5-1))*$O93)),0)</f>
        <v>0</v>
      </c>
      <c r="CR93" s="93">
        <f>IF(AND($T93=1,CR$5&lt;=$H93),CQ93*(1-BB93)*(1-MIN(1,MAX(Assumptions!$C$27,Assumptions!$C$13*Assumptions!$C$28^(CQ$5-1))*$O93)),0)</f>
        <v>0</v>
      </c>
      <c r="CS93" s="93">
        <f>IF(AND($T93=1,CS$5&lt;=$H93),CR93*(1-BC93)*(1-MIN(1,MAX(Assumptions!$C$27,Assumptions!$C$13*Assumptions!$C$28^(CR$5-1))*$O93)),0)</f>
        <v>0</v>
      </c>
      <c r="CT93" s="93">
        <f>IF(AND($T93=1,CT$5&lt;=$H93),CS93*(1-BD93)*(1-MIN(1,MAX(Assumptions!$C$27,Assumptions!$C$13*Assumptions!$C$28^(CS$5-1))*$O93)),0)</f>
        <v>0</v>
      </c>
      <c r="CU93" s="93">
        <f>IF(AND($T93=1,CU$5&lt;=$H93),CT93*(1-BE93)*(1-MIN(1,MAX(Assumptions!$C$27,Assumptions!$C$13*Assumptions!$C$28^(CT$5-1))*$O93)),0)</f>
        <v>0</v>
      </c>
      <c r="CV93" s="93">
        <f>IF(AND($T93=1,CV$5&lt;=$H93),CU93*(1-BF93)*(1-MIN(1,MAX(Assumptions!$C$27,Assumptions!$C$13*Assumptions!$C$28^(CU$5-1))*$O93)),0)</f>
        <v>0</v>
      </c>
      <c r="CW93" s="93">
        <f>IF(AND($T93=1,CW$5&lt;=$H93),CV93*(1-BG93)*(1-MIN(1,MAX(Assumptions!$C$27,Assumptions!$C$13*Assumptions!$C$28^(CV$5-1))*$O93)),0)</f>
        <v>0</v>
      </c>
      <c r="CX93" s="93">
        <f>IF(AND($T93=1,CX$5&lt;=$H93),CW93*(1-BH93)*(1-MIN(1,MAX(Assumptions!$C$27,Assumptions!$C$13*Assumptions!$C$28^(CW$5-1))*$O93)),0)</f>
        <v>0</v>
      </c>
      <c r="CY93" s="93">
        <f>IF(AND($T93=1,CY$5&lt;=$H93),CX93*(1-BI93)*(1-MIN(1,MAX(Assumptions!$C$27,Assumptions!$C$13*Assumptions!$C$28^(CX$5-1))*$O93)),0)</f>
        <v>0</v>
      </c>
      <c r="CZ93" s="93">
        <f>IF(AND($T93=1,CZ$5&lt;=$H93),CY93*(1-BJ93)*(1-MIN(1,MAX(Assumptions!$C$27,Assumptions!$C$13*Assumptions!$C$28^(CY$5-1))*$O93)),0)</f>
        <v>0</v>
      </c>
      <c r="DA93" s="93">
        <f>IF(AND($T93=1,DA$5&lt;=$H93),CZ93*(1-BK93)*(1-MIN(1,MAX(Assumptions!$C$27,Assumptions!$C$13*Assumptions!$C$28^(CZ$5-1))*$O93)),0)</f>
        <v>0</v>
      </c>
      <c r="DB93" s="93">
        <f>IF(AND($T93=1,DB$5&lt;=$H93),DA93*(1-BL93)*(1-MIN(1,MAX(Assumptions!$C$27,Assumptions!$C$13*Assumptions!$C$28^(DA$5-1))*$O93)),0)</f>
        <v>0</v>
      </c>
      <c r="DC93" s="93">
        <f>IF(AND($T93=1,DC$5&lt;=$H93),DB93*(1-BM93)*(1-MIN(1,MAX(Assumptions!$C$27,Assumptions!$C$13*Assumptions!$C$28^(DB$5-1))*$O93)),0)</f>
        <v>0</v>
      </c>
      <c r="DD93" s="93">
        <f>IF(AND($T93=1,DD$5&lt;=$H93),DC93*(1-BN93)*(1-MIN(1,MAX(Assumptions!$C$27,Assumptions!$C$13*Assumptions!$C$28^(DC$5-1))*$O93)),0)</f>
        <v>0</v>
      </c>
      <c r="DE93" s="93">
        <f>IF(AND($T93=1,DE$5&lt;=$H93),DD93*(1-BO93)*(1-MIN(1,MAX(Assumptions!$C$27,Assumptions!$C$13*Assumptions!$C$28^(DD$5-1))*$O93)),0)</f>
        <v>0</v>
      </c>
      <c r="DF93" s="93">
        <f>IF(AND($T93=1,DF$5&lt;=$H93),DE93*(1-BP93)*(1-MIN(1,MAX(Assumptions!$C$27,Assumptions!$C$13*Assumptions!$C$28^(DE$5-1))*$O93)),0)</f>
        <v>0</v>
      </c>
      <c r="DG93" s="93">
        <f>IF(AND($T93=1,DG$5&lt;=$H93),DF93*(1-BQ93)*(1-MIN(1,MAX(Assumptions!$C$27,Assumptions!$C$13*Assumptions!$C$28^(DF$5-1))*$O93)),0)</f>
        <v>0</v>
      </c>
      <c r="DH93" s="93">
        <f>IF(AND($T93=1,DH$5&lt;=$H93),DG93*(1-BR93)*(1-MIN(1,MAX(Assumptions!$C$27,Assumptions!$C$13*Assumptions!$C$28^(DG$5-1))*$O93)),0)</f>
        <v>0</v>
      </c>
      <c r="DI93" s="93">
        <f>IF(AND($T93=1,DI$5&lt;=$H93),DH93*(1-BS93)*(1-MIN(1,MAX(Assumptions!$C$27,Assumptions!$C$13*Assumptions!$C$28^(DH$5-1))*$O93)),0)</f>
        <v>0</v>
      </c>
      <c r="DJ93" s="93">
        <f>IF(AND($T93=1,DJ$5&lt;=$H93),DI93*(1-BT93)*(1-MIN(1,MAX(Assumptions!$C$27,Assumptions!$C$13*Assumptions!$C$28^(DI$5-1))*$O93)),0)</f>
        <v>0</v>
      </c>
      <c r="DK93" s="93">
        <f>IF(AND($T93=1,DK$5&lt;=$H93),DJ93*(1-BU93)*(1-MIN(1,MAX(Assumptions!$C$27,Assumptions!$C$13*Assumptions!$C$28^(DJ$5-1))*$O93)),0)</f>
        <v>0</v>
      </c>
      <c r="DL93" s="93">
        <f>IF(AND($T93=1,DL$5&lt;=$H93),DK93*(1-BV93)*(1-MIN(1,MAX(Assumptions!$C$27,Assumptions!$C$13*Assumptions!$C$28^(DK$5-1))*$O93)),0)</f>
        <v>0</v>
      </c>
      <c r="DM93" s="93">
        <f>IF(AND($T93=1,DM$5&lt;=$H93),DL93*(1-BW93)*(1-MIN(1,MAX(Assumptions!$C$27,Assumptions!$C$13*Assumptions!$C$28^(DL$5-1))*$O93)),0)</f>
        <v>0</v>
      </c>
      <c r="DN93" s="93">
        <f>IF(AND($T93=1,DN$5&lt;=$H93),DM93*(1-BX93)*(1-MIN(1,MAX(Assumptions!$C$27,Assumptions!$C$13*Assumptions!$C$28^(DM$5-1))*$O93)),0)</f>
        <v>0</v>
      </c>
      <c r="DO93" s="93">
        <f>IF(AND($T93=1,DO$5&lt;=$H93),DN93*(1-BY93)*(1-MIN(1,MAX(Assumptions!$C$27,Assumptions!$C$13*Assumptions!$C$28^(DN$5-1))*$O93)),0)</f>
        <v>0</v>
      </c>
      <c r="DP93" s="93">
        <f>IF(AND($T93=1,DP$5&lt;=$H93),DO93*(1-BZ93)*(1-MIN(1,MAX(Assumptions!$C$27,Assumptions!$C$13*Assumptions!$C$28^(DO$5-1))*$O93)),0)</f>
        <v>0</v>
      </c>
      <c r="DQ93" s="93">
        <f>IF(AND($T93=1,DQ$5&lt;=$H93),DP93*(1-CA93)*(1-MIN(1,MAX(Assumptions!$C$27,Assumptions!$C$13*Assumptions!$C$28^(DP$5-1))*$O93)),0)</f>
        <v>0</v>
      </c>
      <c r="DR93" s="93">
        <f>IF(AND($T93=1,DR$5&lt;=$H93),DQ93*(1-CB93)*(1-MIN(1,MAX(Assumptions!$C$27,Assumptions!$C$13*Assumptions!$C$28^(DQ$5-1))*$O93)),0)</f>
        <v>0</v>
      </c>
      <c r="DS93" s="93">
        <f>IF(AND($T93=1,DS$5&lt;=$H93),DR93*(1-CC93)*(1-MIN(1,MAX(Assumptions!$C$27,Assumptions!$C$13*Assumptions!$C$28^(DR$5-1))*$O93)),0)</f>
        <v>0</v>
      </c>
      <c r="DT93" s="93">
        <f>IF(AND($T93=1,DT$5&lt;=$H93),DS93*(1-CD93)*(1-MIN(1,MAX(Assumptions!$C$27,Assumptions!$C$13*Assumptions!$C$28^(DS$5-1))*$O93)),0)</f>
        <v>0</v>
      </c>
      <c r="DU93" s="93">
        <f>IF(AND($T93=1,DU$5&lt;=$H93),DT93*(1-CE93)*(1-MIN(1,MAX(Assumptions!$C$27,Assumptions!$C$13*Assumptions!$C$28^(DT$5-1))*$O93)),0)</f>
        <v>0</v>
      </c>
      <c r="DV93" s="93">
        <f>IF(AND($T93=1,DV$5&lt;=$H93),DU93*(1-CF93)*(1-MIN(1,MAX(Assumptions!$C$27,Assumptions!$C$13*Assumptions!$C$28^(DU$5-1))*$O93)),0)</f>
        <v>0</v>
      </c>
      <c r="DW93" s="94">
        <f>IF(AND($T93=1,DW$5&lt;=$H93),DV93*(1-CG93)*(1-MIN(1,MAX(Assumptions!$C$27,Assumptions!$C$13*Assumptions!$C$28^(DV$5-1))*$O93)),0)</f>
        <v>0</v>
      </c>
      <c r="DX93" s="26"/>
      <c r="DY93" s="399">
        <f>'Policy Data'!K67</f>
        <v>2</v>
      </c>
      <c r="DZ93" s="100">
        <f>'Policy Data'!L67</f>
        <v>0.92169999999999996</v>
      </c>
      <c r="EA93" s="100">
        <f>'Policy Data'!N67</f>
        <v>3.1089999999999998E-3</v>
      </c>
      <c r="EB93" s="93" cm="1">
        <f t="array" ref="EB93">IFERROR(DZ93*INDEX(Mortality!$B$4:$E$64,MATCH(D93+DY93-1,Mortality!$A$4:$A$64,0),U93)*V93,0)</f>
        <v>3.3679166046630435E-3</v>
      </c>
      <c r="EC93" s="100">
        <f>'Policy Data'!O67</f>
        <v>0</v>
      </c>
      <c r="ED93" s="400">
        <f>'Policy Data'!Q67</f>
        <v>0</v>
      </c>
    </row>
    <row r="94" spans="1:134" x14ac:dyDescent="0.3">
      <c r="A94" s="399" t="str">
        <f>'Policy Data'!A68</f>
        <v>POL100064</v>
      </c>
      <c r="B94" s="26" t="s">
        <v>426</v>
      </c>
      <c r="C94" s="100" t="str">
        <f>'Policy Data'!B68</f>
        <v>Term Life</v>
      </c>
      <c r="D94" s="100">
        <f>'Policy Data'!C68</f>
        <v>63</v>
      </c>
      <c r="E94" s="100" t="str">
        <f>'Policy Data'!D68</f>
        <v>Female</v>
      </c>
      <c r="F94" s="100" t="str">
        <f>'Policy Data'!E68</f>
        <v>Smoker</v>
      </c>
      <c r="G94" s="100" t="str">
        <f>'Policy Data'!F68</f>
        <v>Standard</v>
      </c>
      <c r="H94" s="100">
        <f>'Policy Data'!G68</f>
        <v>15</v>
      </c>
      <c r="I94" s="279">
        <f>'Policy Data'!H68</f>
        <v>1000000</v>
      </c>
      <c r="J94" s="100" t="str">
        <f>'Policy Data'!I68</f>
        <v>Monthly</v>
      </c>
      <c r="K94" s="100" t="str">
        <f>'Policy Data'!J68</f>
        <v>Broker</v>
      </c>
      <c r="L94" s="26" t="s">
        <v>389</v>
      </c>
      <c r="M94" s="106">
        <f>'Policy Data'!R68</f>
        <v>11466.02</v>
      </c>
      <c r="N94" s="415">
        <f>Assumptions!$C$21</f>
        <v>1</v>
      </c>
      <c r="O94" s="415">
        <f>Assumptions!$C$22</f>
        <v>1</v>
      </c>
      <c r="P94" s="415">
        <f>Assumptions!$C$23</f>
        <v>1</v>
      </c>
      <c r="Q94" s="416">
        <f>Assumptions!$C$24</f>
        <v>0</v>
      </c>
      <c r="R94" s="416">
        <f>Assumptions!$C$6+Assumptions!$C$25</f>
        <v>3.5000000000000003E-2</v>
      </c>
      <c r="S94" s="416">
        <f>Assumptions!$C$15</f>
        <v>1.1000000000000001E-3</v>
      </c>
      <c r="T94" s="26">
        <f t="shared" ref="T94:T157" si="36">IF(AND($C94="Term Life",ISNUMBER($D94),$D94&gt;=20,$D94=INT($D94),$H94&gt;=1,$H94&lt;=40,$D94+$H94-1&lt;=80,$I94&gt;0,$N94&gt;=0,$O94&gt;=0,$P94&gt;=0,$R94&gt;-1),1,0)</f>
        <v>1</v>
      </c>
      <c r="U94" s="26">
        <f t="shared" ref="U94:U157" si="37">IF($E94="Female",IF($F94="Non-smoker",1,2),IF($F94="Non-smoker",3,4))</f>
        <v>2</v>
      </c>
      <c r="V94" s="389">
        <f>IF($G94="Preferred",Assumptions!$C$30,IF($G94="Rated",Assumptions!$C$31,1))</f>
        <v>1</v>
      </c>
      <c r="W94" s="390">
        <f>IF($K94="Direct",Assumptions!$C$32,IF($K94="Broker",Assumptions!$C$33,IF($K94="Bancassurance",Assumptions!$C$34,Assumptions!$C$11)))+$Q94</f>
        <v>0.25</v>
      </c>
      <c r="X94" s="390">
        <f>Assumptions!$C$12+$Q94</f>
        <v>0.05</v>
      </c>
      <c r="Y94" s="131">
        <f>MIN($I94,Assumptions!$C$14)</f>
        <v>500000</v>
      </c>
      <c r="Z94" s="131">
        <f>MAX($I94-Assumptions!$C$14,0)</f>
        <v>500000</v>
      </c>
      <c r="AA94" s="389">
        <f t="shared" ref="AA94:AA157" si="38">IF($T94=1,SUMPRODUCT($CJ94:$DW94,(1+$R94)^(-$CJ$5:$DW$5)),0)</f>
        <v>6.9710988348270426</v>
      </c>
      <c r="AB94" s="389">
        <f t="shared" ref="AB94:AB157" si="39">IF($T94=1,SUMPRODUCT($CJ94:$DW94,$AU94:$CH94,(1+$R94)^(-$CJ$5:$DW$5)),0)</f>
        <v>9.8409285386571649E-2</v>
      </c>
      <c r="AC94" s="389">
        <f>IF($T94=1,SUMPRODUCT($CJ94:$DW94,(1+Assumptions!$C$5)^($CJ$5:$DW$5-1),(1+$R94)^(-$CJ$5:$DW$5)),0)</f>
        <v>8.6368612300837206</v>
      </c>
      <c r="AD94" s="389">
        <f t="shared" ref="AD94:AD157" si="40">IF($T94=1,$W94/(1+$R94)+$X94*($AA94-1/(1+$R94)),0)</f>
        <v>0.54179165671719764</v>
      </c>
      <c r="AE94" s="131">
        <f>IF($T94=1,$AB94*$Y94+(Assumptions!$C$9/(1+$R94)+Assumptions!$C$10*$AC94)*$P94+$S94*$Z94*$AA94,0)</f>
        <v>55808.421740450416</v>
      </c>
      <c r="AF94" s="131">
        <f>IF($T94=1,IF($AA94-$AD94-Assumptions!$C$16*$AA94&gt;0,$AE94/($AA94-$AD94-Assumptions!$C$16*$AA94)*IF($J94="Monthly",1+Assumptions!$C$29,1),"n.a."),"")</f>
        <v>9789.9185448557182</v>
      </c>
      <c r="AG94" s="131">
        <f t="shared" ref="AG94:AG157" si="41">IF($T94=1,IF($L94="Technical",$AF94,$M94),"")</f>
        <v>11466.02</v>
      </c>
      <c r="AH94" s="131">
        <f t="shared" ref="AH94:AH157" si="42">IF($T94=1,$AG94*$AA94,"")</f>
        <v>79930.758662103573</v>
      </c>
      <c r="AI94" s="131">
        <f t="shared" ref="AI94:AI157" si="43">IF($T94=1,$AG94*($AA94-$AD94)-$AE94,"")</f>
        <v>17910.142949900634</v>
      </c>
      <c r="AJ94" s="390">
        <f t="shared" ref="AJ94:AJ157" si="44">IF($T94=1,IF($AH94=0,"",$AI94/$AH94),"")</f>
        <v>0.22407072383252774</v>
      </c>
      <c r="AK94" s="389">
        <f t="shared" ref="AK94:AK157" si="45">IF(AND($T94=1,ISNUMBER($AF94)),$M94/$AF94,"")</f>
        <v>1.1712068846604469</v>
      </c>
      <c r="AL94" s="131">
        <f t="shared" ref="AL94:AL157" si="46">IF($T94=1,$AB94*$Z94,"")</f>
        <v>49204.642693285823</v>
      </c>
      <c r="AM94" s="131">
        <f t="shared" ref="AM94:AM157" si="47">IF($T94=1,$S94*$Z94*$AA94,"")</f>
        <v>3834.1043591548732</v>
      </c>
      <c r="AN94" s="131">
        <f t="shared" ref="AN94:AN157" si="48">IF($T94=1,$AL94-$AM94,"")</f>
        <v>45370.53833413095</v>
      </c>
      <c r="AO94" s="131">
        <f t="shared" ref="AO94:AO157" si="49">IF($T94=1,$AI94-$AN94,"")</f>
        <v>-27460.395384230316</v>
      </c>
      <c r="AP94" s="26" t="str">
        <f t="shared" ref="AP94:AP157" si="50">IF($D94&lt;30,"20-29",IF($D94&lt;40,"30-39",IF($D94&lt;50,"40-49",IF($D94&lt;60,"50-59","60+"))))</f>
        <v>60+</v>
      </c>
      <c r="AQ94" s="26" t="str">
        <f t="shared" ref="AQ94:AQ157" si="51">IF($I94&lt;=250000,"Up to 250k",IF($I94&lt;=500000,"250k-500k",IF($I94&lt;=1000000,"500k-1m","Over 1m")))</f>
        <v>500k-1m</v>
      </c>
      <c r="AR94" s="26" t="str">
        <f>IF($T94=1,IF($AI94&lt;0,"Loss-making",IF($AJ94&lt;Assumptions!$C$16-0.00001,"Below target","At/above target")),"Excluded")</f>
        <v>At/above target</v>
      </c>
      <c r="AS94" s="103">
        <f t="shared" ref="AS94:AS157" si="52">IF($T94=1,$AI94+ROW()/1000000,1E+99)</f>
        <v>17910.143043900633</v>
      </c>
      <c r="AT94" s="26"/>
      <c r="AU94" s="419">
        <f>IF(AND($T94=1,AU$5&lt;=$H94),INDEX(Mortality!$B$4:$E$64,MATCH($D94+AU$5-1,Mortality!$A$4:$A$64,0),$U94)*$V94*$N94,0)</f>
        <v>8.8440831269308798E-3</v>
      </c>
      <c r="AV94" s="93">
        <f>IF(AND($T94=1,AV$5&lt;=$H94),INDEX(Mortality!$B$4:$E$64,MATCH($D94+AV$5-1,Mortality!$A$4:$A$64,0),$U94)*$V94*$N94,0)</f>
        <v>9.5806808768465306E-3</v>
      </c>
      <c r="AW94" s="93">
        <f>IF(AND($T94=1,AW$5&lt;=$H94),INDEX(Mortality!$B$4:$E$64,MATCH($D94+AW$5-1,Mortality!$A$4:$A$64,0),$U94)*$V94*$N94,0)</f>
        <v>1.0378627693408599E-2</v>
      </c>
      <c r="AX94" s="93">
        <f>IF(AND($T94=1,AX$5&lt;=$H94),INDEX(Mortality!$B$4:$E$64,MATCH($D94+AX$5-1,Mortality!$A$4:$A$64,0),$U94)*$V94*$N94,0)</f>
        <v>1.12430331604828E-2</v>
      </c>
      <c r="AY94" s="93">
        <f>IF(AND($T94=1,AY$5&lt;=$H94),INDEX(Mortality!$B$4:$E$64,MATCH($D94+AY$5-1,Mortality!$A$4:$A$64,0),$U94)*$V94*$N94,0)</f>
        <v>1.21794324241917E-2</v>
      </c>
      <c r="AZ94" s="93">
        <f>IF(AND($T94=1,AZ$5&lt;=$H94),INDEX(Mortality!$B$4:$E$64,MATCH($D94+AZ$5-1,Mortality!$A$4:$A$64,0),$U94)*$V94*$N94,0)</f>
        <v>1.3193821636747901E-2</v>
      </c>
      <c r="BA94" s="93">
        <f>IF(AND($T94=1,BA$5&lt;=$H94),INDEX(Mortality!$B$4:$E$64,MATCH($D94+BA$5-1,Mortality!$A$4:$A$64,0),$U94)*$V94*$N94,0)</f>
        <v>1.42926963522991E-2</v>
      </c>
      <c r="BB94" s="93">
        <f>IF(AND($T94=1,BB$5&lt;=$H94),INDEX(Mortality!$B$4:$E$64,MATCH($D94+BB$5-1,Mortality!$A$4:$A$64,0),$U94)*$V94*$N94,0)</f>
        <v>1.54830931206506E-2</v>
      </c>
      <c r="BC94" s="93">
        <f>IF(AND($T94=1,BC$5&lt;=$H94),INDEX(Mortality!$B$4:$E$64,MATCH($D94+BC$5-1,Mortality!$A$4:$A$64,0),$U94)*$V94*$N94,0)</f>
        <v>1.6772634545207998E-2</v>
      </c>
      <c r="BD94" s="93">
        <f>IF(AND($T94=1,BD$5&lt;=$H94),INDEX(Mortality!$B$4:$E$64,MATCH($D94+BD$5-1,Mortality!$A$4:$A$64,0),$U94)*$V94*$N94,0)</f>
        <v>1.8169578093662E-2</v>
      </c>
      <c r="BE94" s="93">
        <f>IF(AND($T94=1,BE$5&lt;=$H94),INDEX(Mortality!$B$4:$E$64,MATCH($D94+BE$5-1,Mortality!$A$4:$A$64,0),$U94)*$V94*$N94,0)</f>
        <v>1.96828689739743E-2</v>
      </c>
      <c r="BF94" s="93">
        <f>IF(AND($T94=1,BF$5&lt;=$H94),INDEX(Mortality!$B$4:$E$64,MATCH($D94+BF$5-1,Mortality!$A$4:$A$64,0),$U94)*$V94*$N94,0)</f>
        <v>2.1322197414247099E-2</v>
      </c>
      <c r="BG94" s="93">
        <f>IF(AND($T94=1,BG$5&lt;=$H94),INDEX(Mortality!$B$4:$E$64,MATCH($D94+BG$5-1,Mortality!$A$4:$A$64,0),$U94)*$V94*$N94,0)</f>
        <v>2.30980607132663E-2</v>
      </c>
      <c r="BH94" s="93">
        <f>IF(AND($T94=1,BH$5&lt;=$H94),INDEX(Mortality!$B$4:$E$64,MATCH($D94+BH$5-1,Mortality!$A$4:$A$64,0),$U94)*$V94*$N94,0)</f>
        <v>2.5021830459052399E-2</v>
      </c>
      <c r="BI94" s="93">
        <f>IF(AND($T94=1,BI$5&lt;=$H94),INDEX(Mortality!$B$4:$E$64,MATCH($D94+BI$5-1,Mortality!$A$4:$A$64,0),$U94)*$V94*$N94,0)</f>
        <v>2.7105825345846799E-2</v>
      </c>
      <c r="BJ94" s="93">
        <f>IF(AND($T94=1,BJ$5&lt;=$H94),INDEX(Mortality!$B$4:$E$64,MATCH($D94+BJ$5-1,Mortality!$A$4:$A$64,0),$U94)*$V94*$N94,0)</f>
        <v>0</v>
      </c>
      <c r="BK94" s="93">
        <f>IF(AND($T94=1,BK$5&lt;=$H94),INDEX(Mortality!$B$4:$E$64,MATCH($D94+BK$5-1,Mortality!$A$4:$A$64,0),$U94)*$V94*$N94,0)</f>
        <v>0</v>
      </c>
      <c r="BL94" s="93">
        <f>IF(AND($T94=1,BL$5&lt;=$H94),INDEX(Mortality!$B$4:$E$64,MATCH($D94+BL$5-1,Mortality!$A$4:$A$64,0),$U94)*$V94*$N94,0)</f>
        <v>0</v>
      </c>
      <c r="BM94" s="93">
        <f>IF(AND($T94=1,BM$5&lt;=$H94),INDEX(Mortality!$B$4:$E$64,MATCH($D94+BM$5-1,Mortality!$A$4:$A$64,0),$U94)*$V94*$N94,0)</f>
        <v>0</v>
      </c>
      <c r="BN94" s="93">
        <f>IF(AND($T94=1,BN$5&lt;=$H94),INDEX(Mortality!$B$4:$E$64,MATCH($D94+BN$5-1,Mortality!$A$4:$A$64,0),$U94)*$V94*$N94,0)</f>
        <v>0</v>
      </c>
      <c r="BO94" s="93">
        <f>IF(AND($T94=1,BO$5&lt;=$H94),INDEX(Mortality!$B$4:$E$64,MATCH($D94+BO$5-1,Mortality!$A$4:$A$64,0),$U94)*$V94*$N94,0)</f>
        <v>0</v>
      </c>
      <c r="BP94" s="93">
        <f>IF(AND($T94=1,BP$5&lt;=$H94),INDEX(Mortality!$B$4:$E$64,MATCH($D94+BP$5-1,Mortality!$A$4:$A$64,0),$U94)*$V94*$N94,0)</f>
        <v>0</v>
      </c>
      <c r="BQ94" s="93">
        <f>IF(AND($T94=1,BQ$5&lt;=$H94),INDEX(Mortality!$B$4:$E$64,MATCH($D94+BQ$5-1,Mortality!$A$4:$A$64,0),$U94)*$V94*$N94,0)</f>
        <v>0</v>
      </c>
      <c r="BR94" s="93">
        <f>IF(AND($T94=1,BR$5&lt;=$H94),INDEX(Mortality!$B$4:$E$64,MATCH($D94+BR$5-1,Mortality!$A$4:$A$64,0),$U94)*$V94*$N94,0)</f>
        <v>0</v>
      </c>
      <c r="BS94" s="93">
        <f>IF(AND($T94=1,BS$5&lt;=$H94),INDEX(Mortality!$B$4:$E$64,MATCH($D94+BS$5-1,Mortality!$A$4:$A$64,0),$U94)*$V94*$N94,0)</f>
        <v>0</v>
      </c>
      <c r="BT94" s="93">
        <f>IF(AND($T94=1,BT$5&lt;=$H94),INDEX(Mortality!$B$4:$E$64,MATCH($D94+BT$5-1,Mortality!$A$4:$A$64,0),$U94)*$V94*$N94,0)</f>
        <v>0</v>
      </c>
      <c r="BU94" s="93">
        <f>IF(AND($T94=1,BU$5&lt;=$H94),INDEX(Mortality!$B$4:$E$64,MATCH($D94+BU$5-1,Mortality!$A$4:$A$64,0),$U94)*$V94*$N94,0)</f>
        <v>0</v>
      </c>
      <c r="BV94" s="93">
        <f>IF(AND($T94=1,BV$5&lt;=$H94),INDEX(Mortality!$B$4:$E$64,MATCH($D94+BV$5-1,Mortality!$A$4:$A$64,0),$U94)*$V94*$N94,0)</f>
        <v>0</v>
      </c>
      <c r="BW94" s="93">
        <f>IF(AND($T94=1,BW$5&lt;=$H94),INDEX(Mortality!$B$4:$E$64,MATCH($D94+BW$5-1,Mortality!$A$4:$A$64,0),$U94)*$V94*$N94,0)</f>
        <v>0</v>
      </c>
      <c r="BX94" s="93">
        <f>IF(AND($T94=1,BX$5&lt;=$H94),INDEX(Mortality!$B$4:$E$64,MATCH($D94+BX$5-1,Mortality!$A$4:$A$64,0),$U94)*$V94*$N94,0)</f>
        <v>0</v>
      </c>
      <c r="BY94" s="93">
        <f>IF(AND($T94=1,BY$5&lt;=$H94),INDEX(Mortality!$B$4:$E$64,MATCH($D94+BY$5-1,Mortality!$A$4:$A$64,0),$U94)*$V94*$N94,0)</f>
        <v>0</v>
      </c>
      <c r="BZ94" s="93">
        <f>IF(AND($T94=1,BZ$5&lt;=$H94),INDEX(Mortality!$B$4:$E$64,MATCH($D94+BZ$5-1,Mortality!$A$4:$A$64,0),$U94)*$V94*$N94,0)</f>
        <v>0</v>
      </c>
      <c r="CA94" s="93">
        <f>IF(AND($T94=1,CA$5&lt;=$H94),INDEX(Mortality!$B$4:$E$64,MATCH($D94+CA$5-1,Mortality!$A$4:$A$64,0),$U94)*$V94*$N94,0)</f>
        <v>0</v>
      </c>
      <c r="CB94" s="93">
        <f>IF(AND($T94=1,CB$5&lt;=$H94),INDEX(Mortality!$B$4:$E$64,MATCH($D94+CB$5-1,Mortality!$A$4:$A$64,0),$U94)*$V94*$N94,0)</f>
        <v>0</v>
      </c>
      <c r="CC94" s="93">
        <f>IF(AND($T94=1,CC$5&lt;=$H94),INDEX(Mortality!$B$4:$E$64,MATCH($D94+CC$5-1,Mortality!$A$4:$A$64,0),$U94)*$V94*$N94,0)</f>
        <v>0</v>
      </c>
      <c r="CD94" s="93">
        <f>IF(AND($T94=1,CD$5&lt;=$H94),INDEX(Mortality!$B$4:$E$64,MATCH($D94+CD$5-1,Mortality!$A$4:$A$64,0),$U94)*$V94*$N94,0)</f>
        <v>0</v>
      </c>
      <c r="CE94" s="93">
        <f>IF(AND($T94=1,CE$5&lt;=$H94),INDEX(Mortality!$B$4:$E$64,MATCH($D94+CE$5-1,Mortality!$A$4:$A$64,0),$U94)*$V94*$N94,0)</f>
        <v>0</v>
      </c>
      <c r="CF94" s="93">
        <f>IF(AND($T94=1,CF$5&lt;=$H94),INDEX(Mortality!$B$4:$E$64,MATCH($D94+CF$5-1,Mortality!$A$4:$A$64,0),$U94)*$V94*$N94,0)</f>
        <v>0</v>
      </c>
      <c r="CG94" s="93">
        <f>IF(AND($T94=1,CG$5&lt;=$H94),INDEX(Mortality!$B$4:$E$64,MATCH($D94+CG$5-1,Mortality!$A$4:$A$64,0),$U94)*$V94*$N94,0)</f>
        <v>0</v>
      </c>
      <c r="CH94" s="94">
        <f>IF(AND($T94=1,CH$5&lt;=$H94),INDEX(Mortality!$B$4:$E$64,MATCH($D94+CH$5-1,Mortality!$A$4:$A$64,0),$U94)*$V94*$N94,0)</f>
        <v>0</v>
      </c>
      <c r="CI94" s="26"/>
      <c r="CJ94" s="419">
        <f t="shared" ref="CJ94:CJ157" si="53">IF($T94=1,1,0)</f>
        <v>1</v>
      </c>
      <c r="CK94" s="93">
        <f>IF(AND($T94=1,CK$5&lt;=$H94),CJ94*(1-AU94)*(1-MIN(1,MAX(Assumptions!$C$27,Assumptions!$C$13*Assumptions!$C$28^(CJ$5-1))*$O94)),0)</f>
        <v>0.87221720684830084</v>
      </c>
      <c r="CL94" s="93">
        <f>IF(AND($T94=1,CL$5&lt;=$H94),CK94*(1-AV94)*(1-MIN(1,MAX(Assumptions!$C$27,Assumptions!$C$13*Assumptions!$C$28^(CK$5-1))*$O94)),0)</f>
        <v>0.77574697337650522</v>
      </c>
      <c r="CM94" s="93">
        <f>IF(AND($T94=1,CM$5&lt;=$H94),CL94*(1-AW94)*(1-MIN(1,MAX(Assumptions!$C$27,Assumptions!$C$13*Assumptions!$C$28^(CL$5-1))*$O94)),0)</f>
        <v>0.70113655985191647</v>
      </c>
      <c r="CN94" s="93">
        <f>IF(AND($T94=1,CN$5&lt;=$H94),CM94*(1-AX94)*(1-MIN(1,MAX(Assumptions!$C$27,Assumptions!$C$13*Assumptions!$C$28^(CM$5-1))*$O94)),0)</f>
        <v>0.6421643299140426</v>
      </c>
      <c r="CO94" s="93">
        <f>IF(AND($T94=1,CO$5&lt;=$H94),CN94*(1-AY94)*(1-MIN(1,MAX(Assumptions!$C$27,Assumptions!$C$13*Assumptions!$C$28^(CN$5-1))*$O94)),0)</f>
        <v>0.59460740325338979</v>
      </c>
      <c r="CP94" s="93">
        <f>IF(AND($T94=1,CP$5&lt;=$H94),CO94*(1-AZ94)*(1-MIN(1,MAX(Assumptions!$C$27,Assumptions!$C$13*Assumptions!$C$28^(CO$5-1))*$O94)),0)</f>
        <v>0.55552031543954039</v>
      </c>
      <c r="CQ94" s="93">
        <f>IF(AND($T94=1,CQ$5&lt;=$H94),CP94*(1-BA94)*(1-MIN(1,MAX(Assumptions!$C$27,Assumptions!$C$13*Assumptions!$C$28^(CP$5-1))*$O94)),0)</f>
        <v>0.52279806887861646</v>
      </c>
      <c r="CR94" s="93">
        <f>IF(AND($T94=1,CR$5&lt;=$H94),CQ94*(1-BB94)*(1-MIN(1,MAX(Assumptions!$C$27,Assumptions!$C$13*Assumptions!$C$28^(CQ$5-1))*$O94)),0)</f>
        <v>0.49490327832179887</v>
      </c>
      <c r="CS94" s="93">
        <f>IF(AND($T94=1,CS$5&lt;=$H94),CR94*(1-BC94)*(1-MIN(1,MAX(Assumptions!$C$27,Assumptions!$C$13*Assumptions!$C$28^(CR$5-1))*$O94)),0)</f>
        <v>0.47069109976345624</v>
      </c>
      <c r="CT94" s="93">
        <f>IF(AND($T94=1,CT$5&lt;=$H94),CS94*(1-BD94)*(1-MIN(1,MAX(Assumptions!$C$27,Assumptions!$C$13*Assumptions!$C$28^(CS$5-1))*$O94)),0)</f>
        <v>0.44929413861306033</v>
      </c>
      <c r="CU94" s="93">
        <f>IF(AND($T94=1,CU$5&lt;=$H94),CT94*(1-BE94)*(1-MIN(1,MAX(Assumptions!$C$27,Assumptions!$C$13*Assumptions!$C$28^(CT$5-1))*$O94)),0)</f>
        <v>0.43004512368000303</v>
      </c>
      <c r="CV94" s="93">
        <f>IF(AND($T94=1,CV$5&lt;=$H94),CU94*(1-BF94)*(1-MIN(1,MAX(Assumptions!$C$27,Assumptions!$C$13*Assumptions!$C$28^(CU$5-1))*$O94)),0)</f>
        <v>0.41242393375013664</v>
      </c>
      <c r="CW94" s="93">
        <f>IF(AND($T94=1,CW$5&lt;=$H94),CV94*(1-BG94)*(1-MIN(1,MAX(Assumptions!$C$27,Assumptions!$C$13*Assumptions!$C$28^(CV$5-1))*$O94)),0)</f>
        <v>0.39483978587499641</v>
      </c>
      <c r="CX94" s="93">
        <f>IF(AND($T94=1,CX$5&lt;=$H94),CW94*(1-BH94)*(1-MIN(1,MAX(Assumptions!$C$27,Assumptions!$C$13*Assumptions!$C$28^(CW$5-1))*$O94)),0)</f>
        <v>0.37726096826045685</v>
      </c>
      <c r="CY94" s="93">
        <f>IF(AND($T94=1,CY$5&lt;=$H94),CX94*(1-BI94)*(1-MIN(1,MAX(Assumptions!$C$27,Assumptions!$C$13*Assumptions!$C$28^(CX$5-1))*$O94)),0)</f>
        <v>0</v>
      </c>
      <c r="CZ94" s="93">
        <f>IF(AND($T94=1,CZ$5&lt;=$H94),CY94*(1-BJ94)*(1-MIN(1,MAX(Assumptions!$C$27,Assumptions!$C$13*Assumptions!$C$28^(CY$5-1))*$O94)),0)</f>
        <v>0</v>
      </c>
      <c r="DA94" s="93">
        <f>IF(AND($T94=1,DA$5&lt;=$H94),CZ94*(1-BK94)*(1-MIN(1,MAX(Assumptions!$C$27,Assumptions!$C$13*Assumptions!$C$28^(CZ$5-1))*$O94)),0)</f>
        <v>0</v>
      </c>
      <c r="DB94" s="93">
        <f>IF(AND($T94=1,DB$5&lt;=$H94),DA94*(1-BL94)*(1-MIN(1,MAX(Assumptions!$C$27,Assumptions!$C$13*Assumptions!$C$28^(DA$5-1))*$O94)),0)</f>
        <v>0</v>
      </c>
      <c r="DC94" s="93">
        <f>IF(AND($T94=1,DC$5&lt;=$H94),DB94*(1-BM94)*(1-MIN(1,MAX(Assumptions!$C$27,Assumptions!$C$13*Assumptions!$C$28^(DB$5-1))*$O94)),0)</f>
        <v>0</v>
      </c>
      <c r="DD94" s="93">
        <f>IF(AND($T94=1,DD$5&lt;=$H94),DC94*(1-BN94)*(1-MIN(1,MAX(Assumptions!$C$27,Assumptions!$C$13*Assumptions!$C$28^(DC$5-1))*$O94)),0)</f>
        <v>0</v>
      </c>
      <c r="DE94" s="93">
        <f>IF(AND($T94=1,DE$5&lt;=$H94),DD94*(1-BO94)*(1-MIN(1,MAX(Assumptions!$C$27,Assumptions!$C$13*Assumptions!$C$28^(DD$5-1))*$O94)),0)</f>
        <v>0</v>
      </c>
      <c r="DF94" s="93">
        <f>IF(AND($T94=1,DF$5&lt;=$H94),DE94*(1-BP94)*(1-MIN(1,MAX(Assumptions!$C$27,Assumptions!$C$13*Assumptions!$C$28^(DE$5-1))*$O94)),0)</f>
        <v>0</v>
      </c>
      <c r="DG94" s="93">
        <f>IF(AND($T94=1,DG$5&lt;=$H94),DF94*(1-BQ94)*(1-MIN(1,MAX(Assumptions!$C$27,Assumptions!$C$13*Assumptions!$C$28^(DF$5-1))*$O94)),0)</f>
        <v>0</v>
      </c>
      <c r="DH94" s="93">
        <f>IF(AND($T94=1,DH$5&lt;=$H94),DG94*(1-BR94)*(1-MIN(1,MAX(Assumptions!$C$27,Assumptions!$C$13*Assumptions!$C$28^(DG$5-1))*$O94)),0)</f>
        <v>0</v>
      </c>
      <c r="DI94" s="93">
        <f>IF(AND($T94=1,DI$5&lt;=$H94),DH94*(1-BS94)*(1-MIN(1,MAX(Assumptions!$C$27,Assumptions!$C$13*Assumptions!$C$28^(DH$5-1))*$O94)),0)</f>
        <v>0</v>
      </c>
      <c r="DJ94" s="93">
        <f>IF(AND($T94=1,DJ$5&lt;=$H94),DI94*(1-BT94)*(1-MIN(1,MAX(Assumptions!$C$27,Assumptions!$C$13*Assumptions!$C$28^(DI$5-1))*$O94)),0)</f>
        <v>0</v>
      </c>
      <c r="DK94" s="93">
        <f>IF(AND($T94=1,DK$5&lt;=$H94),DJ94*(1-BU94)*(1-MIN(1,MAX(Assumptions!$C$27,Assumptions!$C$13*Assumptions!$C$28^(DJ$5-1))*$O94)),0)</f>
        <v>0</v>
      </c>
      <c r="DL94" s="93">
        <f>IF(AND($T94=1,DL$5&lt;=$H94),DK94*(1-BV94)*(1-MIN(1,MAX(Assumptions!$C$27,Assumptions!$C$13*Assumptions!$C$28^(DK$5-1))*$O94)),0)</f>
        <v>0</v>
      </c>
      <c r="DM94" s="93">
        <f>IF(AND($T94=1,DM$5&lt;=$H94),DL94*(1-BW94)*(1-MIN(1,MAX(Assumptions!$C$27,Assumptions!$C$13*Assumptions!$C$28^(DL$5-1))*$O94)),0)</f>
        <v>0</v>
      </c>
      <c r="DN94" s="93">
        <f>IF(AND($T94=1,DN$5&lt;=$H94),DM94*(1-BX94)*(1-MIN(1,MAX(Assumptions!$C$27,Assumptions!$C$13*Assumptions!$C$28^(DM$5-1))*$O94)),0)</f>
        <v>0</v>
      </c>
      <c r="DO94" s="93">
        <f>IF(AND($T94=1,DO$5&lt;=$H94),DN94*(1-BY94)*(1-MIN(1,MAX(Assumptions!$C$27,Assumptions!$C$13*Assumptions!$C$28^(DN$5-1))*$O94)),0)</f>
        <v>0</v>
      </c>
      <c r="DP94" s="93">
        <f>IF(AND($T94=1,DP$5&lt;=$H94),DO94*(1-BZ94)*(1-MIN(1,MAX(Assumptions!$C$27,Assumptions!$C$13*Assumptions!$C$28^(DO$5-1))*$O94)),0)</f>
        <v>0</v>
      </c>
      <c r="DQ94" s="93">
        <f>IF(AND($T94=1,DQ$5&lt;=$H94),DP94*(1-CA94)*(1-MIN(1,MAX(Assumptions!$C$27,Assumptions!$C$13*Assumptions!$C$28^(DP$5-1))*$O94)),0)</f>
        <v>0</v>
      </c>
      <c r="DR94" s="93">
        <f>IF(AND($T94=1,DR$5&lt;=$H94),DQ94*(1-CB94)*(1-MIN(1,MAX(Assumptions!$C$27,Assumptions!$C$13*Assumptions!$C$28^(DQ$5-1))*$O94)),0)</f>
        <v>0</v>
      </c>
      <c r="DS94" s="93">
        <f>IF(AND($T94=1,DS$5&lt;=$H94),DR94*(1-CC94)*(1-MIN(1,MAX(Assumptions!$C$27,Assumptions!$C$13*Assumptions!$C$28^(DR$5-1))*$O94)),0)</f>
        <v>0</v>
      </c>
      <c r="DT94" s="93">
        <f>IF(AND($T94=1,DT$5&lt;=$H94),DS94*(1-CD94)*(1-MIN(1,MAX(Assumptions!$C$27,Assumptions!$C$13*Assumptions!$C$28^(DS$5-1))*$O94)),0)</f>
        <v>0</v>
      </c>
      <c r="DU94" s="93">
        <f>IF(AND($T94=1,DU$5&lt;=$H94),DT94*(1-CE94)*(1-MIN(1,MAX(Assumptions!$C$27,Assumptions!$C$13*Assumptions!$C$28^(DT$5-1))*$O94)),0)</f>
        <v>0</v>
      </c>
      <c r="DV94" s="93">
        <f>IF(AND($T94=1,DV$5&lt;=$H94),DU94*(1-CF94)*(1-MIN(1,MAX(Assumptions!$C$27,Assumptions!$C$13*Assumptions!$C$28^(DU$5-1))*$O94)),0)</f>
        <v>0</v>
      </c>
      <c r="DW94" s="94">
        <f>IF(AND($T94=1,DW$5&lt;=$H94),DV94*(1-CG94)*(1-MIN(1,MAX(Assumptions!$C$27,Assumptions!$C$13*Assumptions!$C$28^(DV$5-1))*$O94)),0)</f>
        <v>0</v>
      </c>
      <c r="DX94" s="26"/>
      <c r="DY94" s="399">
        <f>'Policy Data'!K68</f>
        <v>5</v>
      </c>
      <c r="DZ94" s="100">
        <f>'Policy Data'!L68</f>
        <v>0.95109999999999995</v>
      </c>
      <c r="EA94" s="100">
        <f>'Policy Data'!N68</f>
        <v>8.4119999999999993E-3</v>
      </c>
      <c r="EB94" s="93" cm="1">
        <f t="array" ref="EB94">IFERROR(DZ94*INDEX(Mortality!$B$4:$E$64,MATCH(D94+DY94-1,Mortality!$A$4:$A$64,0),U94)*V94,0)</f>
        <v>1.1583858178648725E-2</v>
      </c>
      <c r="EC94" s="100">
        <f>'Policy Data'!O68</f>
        <v>0</v>
      </c>
      <c r="ED94" s="400">
        <f>'Policy Data'!Q68</f>
        <v>0</v>
      </c>
    </row>
    <row r="95" spans="1:134" x14ac:dyDescent="0.3">
      <c r="A95" s="399" t="str">
        <f>'Policy Data'!A69</f>
        <v>POL100065</v>
      </c>
      <c r="B95" s="26" t="s">
        <v>426</v>
      </c>
      <c r="C95" s="100" t="str">
        <f>'Policy Data'!B69</f>
        <v>Unit-Linked</v>
      </c>
      <c r="D95" s="100">
        <f>'Policy Data'!C69</f>
        <v>32</v>
      </c>
      <c r="E95" s="100" t="str">
        <f>'Policy Data'!D69</f>
        <v>Male</v>
      </c>
      <c r="F95" s="100" t="str">
        <f>'Policy Data'!E69</f>
        <v>Smoker</v>
      </c>
      <c r="G95" s="100" t="str">
        <f>'Policy Data'!F69</f>
        <v>Standard</v>
      </c>
      <c r="H95" s="100">
        <f>'Policy Data'!G69</f>
        <v>20</v>
      </c>
      <c r="I95" s="279">
        <f>'Policy Data'!H69</f>
        <v>1000000</v>
      </c>
      <c r="J95" s="100" t="str">
        <f>'Policy Data'!I69</f>
        <v>Monthly</v>
      </c>
      <c r="K95" s="100" t="str">
        <f>'Policy Data'!J69</f>
        <v>Direct</v>
      </c>
      <c r="L95" s="26" t="s">
        <v>389</v>
      </c>
      <c r="M95" s="106">
        <f>'Policy Data'!R69</f>
        <v>17341.89</v>
      </c>
      <c r="N95" s="415">
        <f>Assumptions!$C$21</f>
        <v>1</v>
      </c>
      <c r="O95" s="415">
        <f>Assumptions!$C$22</f>
        <v>1</v>
      </c>
      <c r="P95" s="415">
        <f>Assumptions!$C$23</f>
        <v>1</v>
      </c>
      <c r="Q95" s="416">
        <f>Assumptions!$C$24</f>
        <v>0</v>
      </c>
      <c r="R95" s="416">
        <f>Assumptions!$C$6+Assumptions!$C$25</f>
        <v>3.5000000000000003E-2</v>
      </c>
      <c r="S95" s="416">
        <f>Assumptions!$C$15</f>
        <v>1.1000000000000001E-3</v>
      </c>
      <c r="T95" s="26">
        <f t="shared" si="36"/>
        <v>0</v>
      </c>
      <c r="U95" s="26">
        <f t="shared" si="37"/>
        <v>4</v>
      </c>
      <c r="V95" s="389">
        <f>IF($G95="Preferred",Assumptions!$C$30,IF($G95="Rated",Assumptions!$C$31,1))</f>
        <v>1</v>
      </c>
      <c r="W95" s="390">
        <f>IF($K95="Direct",Assumptions!$C$32,IF($K95="Broker",Assumptions!$C$33,IF($K95="Bancassurance",Assumptions!$C$34,Assumptions!$C$11)))+$Q95</f>
        <v>0.1</v>
      </c>
      <c r="X95" s="390">
        <f>Assumptions!$C$12+$Q95</f>
        <v>0.05</v>
      </c>
      <c r="Y95" s="131">
        <f>MIN($I95,Assumptions!$C$14)</f>
        <v>500000</v>
      </c>
      <c r="Z95" s="131">
        <f>MAX($I95-Assumptions!$C$14,0)</f>
        <v>500000</v>
      </c>
      <c r="AA95" s="389">
        <f t="shared" si="38"/>
        <v>0</v>
      </c>
      <c r="AB95" s="389">
        <f t="shared" si="39"/>
        <v>0</v>
      </c>
      <c r="AC95" s="389">
        <f>IF($T95=1,SUMPRODUCT($CJ95:$DW95,(1+Assumptions!$C$5)^($CJ$5:$DW$5-1),(1+$R95)^(-$CJ$5:$DW$5)),0)</f>
        <v>0</v>
      </c>
      <c r="AD95" s="389">
        <f t="shared" si="40"/>
        <v>0</v>
      </c>
      <c r="AE95" s="131">
        <f>IF($T95=1,$AB95*$Y95+(Assumptions!$C$9/(1+$R95)+Assumptions!$C$10*$AC95)*$P95+$S95*$Z95*$AA95,0)</f>
        <v>0</v>
      </c>
      <c r="AF95" s="131" t="str">
        <f>IF($T95=1,IF($AA95-$AD95-Assumptions!$C$16*$AA95&gt;0,$AE95/($AA95-$AD95-Assumptions!$C$16*$AA95)*IF($J95="Monthly",1+Assumptions!$C$29,1),"n.a."),"")</f>
        <v/>
      </c>
      <c r="AG95" s="131" t="str">
        <f t="shared" si="41"/>
        <v/>
      </c>
      <c r="AH95" s="131" t="str">
        <f t="shared" si="42"/>
        <v/>
      </c>
      <c r="AI95" s="131" t="str">
        <f t="shared" si="43"/>
        <v/>
      </c>
      <c r="AJ95" s="390" t="str">
        <f t="shared" si="44"/>
        <v/>
      </c>
      <c r="AK95" s="389" t="str">
        <f t="shared" si="45"/>
        <v/>
      </c>
      <c r="AL95" s="131" t="str">
        <f t="shared" si="46"/>
        <v/>
      </c>
      <c r="AM95" s="131" t="str">
        <f t="shared" si="47"/>
        <v/>
      </c>
      <c r="AN95" s="131" t="str">
        <f t="shared" si="48"/>
        <v/>
      </c>
      <c r="AO95" s="131" t="str">
        <f t="shared" si="49"/>
        <v/>
      </c>
      <c r="AP95" s="26" t="str">
        <f t="shared" si="50"/>
        <v>30-39</v>
      </c>
      <c r="AQ95" s="26" t="str">
        <f t="shared" si="51"/>
        <v>500k-1m</v>
      </c>
      <c r="AR95" s="26" t="str">
        <f>IF($T95=1,IF($AI95&lt;0,"Loss-making",IF($AJ95&lt;Assumptions!$C$16-0.00001,"Below target","At/above target")),"Excluded")</f>
        <v>Excluded</v>
      </c>
      <c r="AS95" s="103">
        <f t="shared" si="52"/>
        <v>9.9999999999999997E+98</v>
      </c>
      <c r="AT95" s="26"/>
      <c r="AU95" s="419">
        <f>IF(AND($T95=1,AU$5&lt;=$H95),INDEX(Mortality!$B$4:$E$64,MATCH($D95+AU$5-1,Mortality!$A$4:$A$64,0),$U95)*$V95*$N95,0)</f>
        <v>0</v>
      </c>
      <c r="AV95" s="93">
        <f>IF(AND($T95=1,AV$5&lt;=$H95),INDEX(Mortality!$B$4:$E$64,MATCH($D95+AV$5-1,Mortality!$A$4:$A$64,0),$U95)*$V95*$N95,0)</f>
        <v>0</v>
      </c>
      <c r="AW95" s="93">
        <f>IF(AND($T95=1,AW$5&lt;=$H95),INDEX(Mortality!$B$4:$E$64,MATCH($D95+AW$5-1,Mortality!$A$4:$A$64,0),$U95)*$V95*$N95,0)</f>
        <v>0</v>
      </c>
      <c r="AX95" s="93">
        <f>IF(AND($T95=1,AX$5&lt;=$H95),INDEX(Mortality!$B$4:$E$64,MATCH($D95+AX$5-1,Mortality!$A$4:$A$64,0),$U95)*$V95*$N95,0)</f>
        <v>0</v>
      </c>
      <c r="AY95" s="93">
        <f>IF(AND($T95=1,AY$5&lt;=$H95),INDEX(Mortality!$B$4:$E$64,MATCH($D95+AY$5-1,Mortality!$A$4:$A$64,0),$U95)*$V95*$N95,0)</f>
        <v>0</v>
      </c>
      <c r="AZ95" s="93">
        <f>IF(AND($T95=1,AZ$5&lt;=$H95),INDEX(Mortality!$B$4:$E$64,MATCH($D95+AZ$5-1,Mortality!$A$4:$A$64,0),$U95)*$V95*$N95,0)</f>
        <v>0</v>
      </c>
      <c r="BA95" s="93">
        <f>IF(AND($T95=1,BA$5&lt;=$H95),INDEX(Mortality!$B$4:$E$64,MATCH($D95+BA$5-1,Mortality!$A$4:$A$64,0),$U95)*$V95*$N95,0)</f>
        <v>0</v>
      </c>
      <c r="BB95" s="93">
        <f>IF(AND($T95=1,BB$5&lt;=$H95),INDEX(Mortality!$B$4:$E$64,MATCH($D95+BB$5-1,Mortality!$A$4:$A$64,0),$U95)*$V95*$N95,0)</f>
        <v>0</v>
      </c>
      <c r="BC95" s="93">
        <f>IF(AND($T95=1,BC$5&lt;=$H95),INDEX(Mortality!$B$4:$E$64,MATCH($D95+BC$5-1,Mortality!$A$4:$A$64,0),$U95)*$V95*$N95,0)</f>
        <v>0</v>
      </c>
      <c r="BD95" s="93">
        <f>IF(AND($T95=1,BD$5&lt;=$H95),INDEX(Mortality!$B$4:$E$64,MATCH($D95+BD$5-1,Mortality!$A$4:$A$64,0),$U95)*$V95*$N95,0)</f>
        <v>0</v>
      </c>
      <c r="BE95" s="93">
        <f>IF(AND($T95=1,BE$5&lt;=$H95),INDEX(Mortality!$B$4:$E$64,MATCH($D95+BE$5-1,Mortality!$A$4:$A$64,0),$U95)*$V95*$N95,0)</f>
        <v>0</v>
      </c>
      <c r="BF95" s="93">
        <f>IF(AND($T95=1,BF$5&lt;=$H95),INDEX(Mortality!$B$4:$E$64,MATCH($D95+BF$5-1,Mortality!$A$4:$A$64,0),$U95)*$V95*$N95,0)</f>
        <v>0</v>
      </c>
      <c r="BG95" s="93">
        <f>IF(AND($T95=1,BG$5&lt;=$H95),INDEX(Mortality!$B$4:$E$64,MATCH($D95+BG$5-1,Mortality!$A$4:$A$64,0),$U95)*$V95*$N95,0)</f>
        <v>0</v>
      </c>
      <c r="BH95" s="93">
        <f>IF(AND($T95=1,BH$5&lt;=$H95),INDEX(Mortality!$B$4:$E$64,MATCH($D95+BH$5-1,Mortality!$A$4:$A$64,0),$U95)*$V95*$N95,0)</f>
        <v>0</v>
      </c>
      <c r="BI95" s="93">
        <f>IF(AND($T95=1,BI$5&lt;=$H95),INDEX(Mortality!$B$4:$E$64,MATCH($D95+BI$5-1,Mortality!$A$4:$A$64,0),$U95)*$V95*$N95,0)</f>
        <v>0</v>
      </c>
      <c r="BJ95" s="93">
        <f>IF(AND($T95=1,BJ$5&lt;=$H95),INDEX(Mortality!$B$4:$E$64,MATCH($D95+BJ$5-1,Mortality!$A$4:$A$64,0),$U95)*$V95*$N95,0)</f>
        <v>0</v>
      </c>
      <c r="BK95" s="93">
        <f>IF(AND($T95=1,BK$5&lt;=$H95),INDEX(Mortality!$B$4:$E$64,MATCH($D95+BK$5-1,Mortality!$A$4:$A$64,0),$U95)*$V95*$N95,0)</f>
        <v>0</v>
      </c>
      <c r="BL95" s="93">
        <f>IF(AND($T95=1,BL$5&lt;=$H95),INDEX(Mortality!$B$4:$E$64,MATCH($D95+BL$5-1,Mortality!$A$4:$A$64,0),$U95)*$V95*$N95,0)</f>
        <v>0</v>
      </c>
      <c r="BM95" s="93">
        <f>IF(AND($T95=1,BM$5&lt;=$H95),INDEX(Mortality!$B$4:$E$64,MATCH($D95+BM$5-1,Mortality!$A$4:$A$64,0),$U95)*$V95*$N95,0)</f>
        <v>0</v>
      </c>
      <c r="BN95" s="93">
        <f>IF(AND($T95=1,BN$5&lt;=$H95),INDEX(Mortality!$B$4:$E$64,MATCH($D95+BN$5-1,Mortality!$A$4:$A$64,0),$U95)*$V95*$N95,0)</f>
        <v>0</v>
      </c>
      <c r="BO95" s="93">
        <f>IF(AND($T95=1,BO$5&lt;=$H95),INDEX(Mortality!$B$4:$E$64,MATCH($D95+BO$5-1,Mortality!$A$4:$A$64,0),$U95)*$V95*$N95,0)</f>
        <v>0</v>
      </c>
      <c r="BP95" s="93">
        <f>IF(AND($T95=1,BP$5&lt;=$H95),INDEX(Mortality!$B$4:$E$64,MATCH($D95+BP$5-1,Mortality!$A$4:$A$64,0),$U95)*$V95*$N95,0)</f>
        <v>0</v>
      </c>
      <c r="BQ95" s="93">
        <f>IF(AND($T95=1,BQ$5&lt;=$H95),INDEX(Mortality!$B$4:$E$64,MATCH($D95+BQ$5-1,Mortality!$A$4:$A$64,0),$U95)*$V95*$N95,0)</f>
        <v>0</v>
      </c>
      <c r="BR95" s="93">
        <f>IF(AND($T95=1,BR$5&lt;=$H95),INDEX(Mortality!$B$4:$E$64,MATCH($D95+BR$5-1,Mortality!$A$4:$A$64,0),$U95)*$V95*$N95,0)</f>
        <v>0</v>
      </c>
      <c r="BS95" s="93">
        <f>IF(AND($T95=1,BS$5&lt;=$H95),INDEX(Mortality!$B$4:$E$64,MATCH($D95+BS$5-1,Mortality!$A$4:$A$64,0),$U95)*$V95*$N95,0)</f>
        <v>0</v>
      </c>
      <c r="BT95" s="93">
        <f>IF(AND($T95=1,BT$5&lt;=$H95),INDEX(Mortality!$B$4:$E$64,MATCH($D95+BT$5-1,Mortality!$A$4:$A$64,0),$U95)*$V95*$N95,0)</f>
        <v>0</v>
      </c>
      <c r="BU95" s="93">
        <f>IF(AND($T95=1,BU$5&lt;=$H95),INDEX(Mortality!$B$4:$E$64,MATCH($D95+BU$5-1,Mortality!$A$4:$A$64,0),$U95)*$V95*$N95,0)</f>
        <v>0</v>
      </c>
      <c r="BV95" s="93">
        <f>IF(AND($T95=1,BV$5&lt;=$H95),INDEX(Mortality!$B$4:$E$64,MATCH($D95+BV$5-1,Mortality!$A$4:$A$64,0),$U95)*$V95*$N95,0)</f>
        <v>0</v>
      </c>
      <c r="BW95" s="93">
        <f>IF(AND($T95=1,BW$5&lt;=$H95),INDEX(Mortality!$B$4:$E$64,MATCH($D95+BW$5-1,Mortality!$A$4:$A$64,0),$U95)*$V95*$N95,0)</f>
        <v>0</v>
      </c>
      <c r="BX95" s="93">
        <f>IF(AND($T95=1,BX$5&lt;=$H95),INDEX(Mortality!$B$4:$E$64,MATCH($D95+BX$5-1,Mortality!$A$4:$A$64,0),$U95)*$V95*$N95,0)</f>
        <v>0</v>
      </c>
      <c r="BY95" s="93">
        <f>IF(AND($T95=1,BY$5&lt;=$H95),INDEX(Mortality!$B$4:$E$64,MATCH($D95+BY$5-1,Mortality!$A$4:$A$64,0),$U95)*$V95*$N95,0)</f>
        <v>0</v>
      </c>
      <c r="BZ95" s="93">
        <f>IF(AND($T95=1,BZ$5&lt;=$H95),INDEX(Mortality!$B$4:$E$64,MATCH($D95+BZ$5-1,Mortality!$A$4:$A$64,0),$U95)*$V95*$N95,0)</f>
        <v>0</v>
      </c>
      <c r="CA95" s="93">
        <f>IF(AND($T95=1,CA$5&lt;=$H95),INDEX(Mortality!$B$4:$E$64,MATCH($D95+CA$5-1,Mortality!$A$4:$A$64,0),$U95)*$V95*$N95,0)</f>
        <v>0</v>
      </c>
      <c r="CB95" s="93">
        <f>IF(AND($T95=1,CB$5&lt;=$H95),INDEX(Mortality!$B$4:$E$64,MATCH($D95+CB$5-1,Mortality!$A$4:$A$64,0),$U95)*$V95*$N95,0)</f>
        <v>0</v>
      </c>
      <c r="CC95" s="93">
        <f>IF(AND($T95=1,CC$5&lt;=$H95),INDEX(Mortality!$B$4:$E$64,MATCH($D95+CC$5-1,Mortality!$A$4:$A$64,0),$U95)*$V95*$N95,0)</f>
        <v>0</v>
      </c>
      <c r="CD95" s="93">
        <f>IF(AND($T95=1,CD$5&lt;=$H95),INDEX(Mortality!$B$4:$E$64,MATCH($D95+CD$5-1,Mortality!$A$4:$A$64,0),$U95)*$V95*$N95,0)</f>
        <v>0</v>
      </c>
      <c r="CE95" s="93">
        <f>IF(AND($T95=1,CE$5&lt;=$H95),INDEX(Mortality!$B$4:$E$64,MATCH($D95+CE$5-1,Mortality!$A$4:$A$64,0),$U95)*$V95*$N95,0)</f>
        <v>0</v>
      </c>
      <c r="CF95" s="93">
        <f>IF(AND($T95=1,CF$5&lt;=$H95),INDEX(Mortality!$B$4:$E$64,MATCH($D95+CF$5-1,Mortality!$A$4:$A$64,0),$U95)*$V95*$N95,0)</f>
        <v>0</v>
      </c>
      <c r="CG95" s="93">
        <f>IF(AND($T95=1,CG$5&lt;=$H95),INDEX(Mortality!$B$4:$E$64,MATCH($D95+CG$5-1,Mortality!$A$4:$A$64,0),$U95)*$V95*$N95,0)</f>
        <v>0</v>
      </c>
      <c r="CH95" s="94">
        <f>IF(AND($T95=1,CH$5&lt;=$H95),INDEX(Mortality!$B$4:$E$64,MATCH($D95+CH$5-1,Mortality!$A$4:$A$64,0),$U95)*$V95*$N95,0)</f>
        <v>0</v>
      </c>
      <c r="CI95" s="26"/>
      <c r="CJ95" s="419">
        <f t="shared" si="53"/>
        <v>0</v>
      </c>
      <c r="CK95" s="93">
        <f>IF(AND($T95=1,CK$5&lt;=$H95),CJ95*(1-AU95)*(1-MIN(1,MAX(Assumptions!$C$27,Assumptions!$C$13*Assumptions!$C$28^(CJ$5-1))*$O95)),0)</f>
        <v>0</v>
      </c>
      <c r="CL95" s="93">
        <f>IF(AND($T95=1,CL$5&lt;=$H95),CK95*(1-AV95)*(1-MIN(1,MAX(Assumptions!$C$27,Assumptions!$C$13*Assumptions!$C$28^(CK$5-1))*$O95)),0)</f>
        <v>0</v>
      </c>
      <c r="CM95" s="93">
        <f>IF(AND($T95=1,CM$5&lt;=$H95),CL95*(1-AW95)*(1-MIN(1,MAX(Assumptions!$C$27,Assumptions!$C$13*Assumptions!$C$28^(CL$5-1))*$O95)),0)</f>
        <v>0</v>
      </c>
      <c r="CN95" s="93">
        <f>IF(AND($T95=1,CN$5&lt;=$H95),CM95*(1-AX95)*(1-MIN(1,MAX(Assumptions!$C$27,Assumptions!$C$13*Assumptions!$C$28^(CM$5-1))*$O95)),0)</f>
        <v>0</v>
      </c>
      <c r="CO95" s="93">
        <f>IF(AND($T95=1,CO$5&lt;=$H95),CN95*(1-AY95)*(1-MIN(1,MAX(Assumptions!$C$27,Assumptions!$C$13*Assumptions!$C$28^(CN$5-1))*$O95)),0)</f>
        <v>0</v>
      </c>
      <c r="CP95" s="93">
        <f>IF(AND($T95=1,CP$5&lt;=$H95),CO95*(1-AZ95)*(1-MIN(1,MAX(Assumptions!$C$27,Assumptions!$C$13*Assumptions!$C$28^(CO$5-1))*$O95)),0)</f>
        <v>0</v>
      </c>
      <c r="CQ95" s="93">
        <f>IF(AND($T95=1,CQ$5&lt;=$H95),CP95*(1-BA95)*(1-MIN(1,MAX(Assumptions!$C$27,Assumptions!$C$13*Assumptions!$C$28^(CP$5-1))*$O95)),0)</f>
        <v>0</v>
      </c>
      <c r="CR95" s="93">
        <f>IF(AND($T95=1,CR$5&lt;=$H95),CQ95*(1-BB95)*(1-MIN(1,MAX(Assumptions!$C$27,Assumptions!$C$13*Assumptions!$C$28^(CQ$5-1))*$O95)),0)</f>
        <v>0</v>
      </c>
      <c r="CS95" s="93">
        <f>IF(AND($T95=1,CS$5&lt;=$H95),CR95*(1-BC95)*(1-MIN(1,MAX(Assumptions!$C$27,Assumptions!$C$13*Assumptions!$C$28^(CR$5-1))*$O95)),0)</f>
        <v>0</v>
      </c>
      <c r="CT95" s="93">
        <f>IF(AND($T95=1,CT$5&lt;=$H95),CS95*(1-BD95)*(1-MIN(1,MAX(Assumptions!$C$27,Assumptions!$C$13*Assumptions!$C$28^(CS$5-1))*$O95)),0)</f>
        <v>0</v>
      </c>
      <c r="CU95" s="93">
        <f>IF(AND($T95=1,CU$5&lt;=$H95),CT95*(1-BE95)*(1-MIN(1,MAX(Assumptions!$C$27,Assumptions!$C$13*Assumptions!$C$28^(CT$5-1))*$O95)),0)</f>
        <v>0</v>
      </c>
      <c r="CV95" s="93">
        <f>IF(AND($T95=1,CV$5&lt;=$H95),CU95*(1-BF95)*(1-MIN(1,MAX(Assumptions!$C$27,Assumptions!$C$13*Assumptions!$C$28^(CU$5-1))*$O95)),0)</f>
        <v>0</v>
      </c>
      <c r="CW95" s="93">
        <f>IF(AND($T95=1,CW$5&lt;=$H95),CV95*(1-BG95)*(1-MIN(1,MAX(Assumptions!$C$27,Assumptions!$C$13*Assumptions!$C$28^(CV$5-1))*$O95)),0)</f>
        <v>0</v>
      </c>
      <c r="CX95" s="93">
        <f>IF(AND($T95=1,CX$5&lt;=$H95),CW95*(1-BH95)*(1-MIN(1,MAX(Assumptions!$C$27,Assumptions!$C$13*Assumptions!$C$28^(CW$5-1))*$O95)),0)</f>
        <v>0</v>
      </c>
      <c r="CY95" s="93">
        <f>IF(AND($T95=1,CY$5&lt;=$H95),CX95*(1-BI95)*(1-MIN(1,MAX(Assumptions!$C$27,Assumptions!$C$13*Assumptions!$C$28^(CX$5-1))*$O95)),0)</f>
        <v>0</v>
      </c>
      <c r="CZ95" s="93">
        <f>IF(AND($T95=1,CZ$5&lt;=$H95),CY95*(1-BJ95)*(1-MIN(1,MAX(Assumptions!$C$27,Assumptions!$C$13*Assumptions!$C$28^(CY$5-1))*$O95)),0)</f>
        <v>0</v>
      </c>
      <c r="DA95" s="93">
        <f>IF(AND($T95=1,DA$5&lt;=$H95),CZ95*(1-BK95)*(1-MIN(1,MAX(Assumptions!$C$27,Assumptions!$C$13*Assumptions!$C$28^(CZ$5-1))*$O95)),0)</f>
        <v>0</v>
      </c>
      <c r="DB95" s="93">
        <f>IF(AND($T95=1,DB$5&lt;=$H95),DA95*(1-BL95)*(1-MIN(1,MAX(Assumptions!$C$27,Assumptions!$C$13*Assumptions!$C$28^(DA$5-1))*$O95)),0)</f>
        <v>0</v>
      </c>
      <c r="DC95" s="93">
        <f>IF(AND($T95=1,DC$5&lt;=$H95),DB95*(1-BM95)*(1-MIN(1,MAX(Assumptions!$C$27,Assumptions!$C$13*Assumptions!$C$28^(DB$5-1))*$O95)),0)</f>
        <v>0</v>
      </c>
      <c r="DD95" s="93">
        <f>IF(AND($T95=1,DD$5&lt;=$H95),DC95*(1-BN95)*(1-MIN(1,MAX(Assumptions!$C$27,Assumptions!$C$13*Assumptions!$C$28^(DC$5-1))*$O95)),0)</f>
        <v>0</v>
      </c>
      <c r="DE95" s="93">
        <f>IF(AND($T95=1,DE$5&lt;=$H95),DD95*(1-BO95)*(1-MIN(1,MAX(Assumptions!$C$27,Assumptions!$C$13*Assumptions!$C$28^(DD$5-1))*$O95)),0)</f>
        <v>0</v>
      </c>
      <c r="DF95" s="93">
        <f>IF(AND($T95=1,DF$5&lt;=$H95),DE95*(1-BP95)*(1-MIN(1,MAX(Assumptions!$C$27,Assumptions!$C$13*Assumptions!$C$28^(DE$5-1))*$O95)),0)</f>
        <v>0</v>
      </c>
      <c r="DG95" s="93">
        <f>IF(AND($T95=1,DG$5&lt;=$H95),DF95*(1-BQ95)*(1-MIN(1,MAX(Assumptions!$C$27,Assumptions!$C$13*Assumptions!$C$28^(DF$5-1))*$O95)),0)</f>
        <v>0</v>
      </c>
      <c r="DH95" s="93">
        <f>IF(AND($T95=1,DH$5&lt;=$H95),DG95*(1-BR95)*(1-MIN(1,MAX(Assumptions!$C$27,Assumptions!$C$13*Assumptions!$C$28^(DG$5-1))*$O95)),0)</f>
        <v>0</v>
      </c>
      <c r="DI95" s="93">
        <f>IF(AND($T95=1,DI$5&lt;=$H95),DH95*(1-BS95)*(1-MIN(1,MAX(Assumptions!$C$27,Assumptions!$C$13*Assumptions!$C$28^(DH$5-1))*$O95)),0)</f>
        <v>0</v>
      </c>
      <c r="DJ95" s="93">
        <f>IF(AND($T95=1,DJ$5&lt;=$H95),DI95*(1-BT95)*(1-MIN(1,MAX(Assumptions!$C$27,Assumptions!$C$13*Assumptions!$C$28^(DI$5-1))*$O95)),0)</f>
        <v>0</v>
      </c>
      <c r="DK95" s="93">
        <f>IF(AND($T95=1,DK$5&lt;=$H95),DJ95*(1-BU95)*(1-MIN(1,MAX(Assumptions!$C$27,Assumptions!$C$13*Assumptions!$C$28^(DJ$5-1))*$O95)),0)</f>
        <v>0</v>
      </c>
      <c r="DL95" s="93">
        <f>IF(AND($T95=1,DL$5&lt;=$H95),DK95*(1-BV95)*(1-MIN(1,MAX(Assumptions!$C$27,Assumptions!$C$13*Assumptions!$C$28^(DK$5-1))*$O95)),0)</f>
        <v>0</v>
      </c>
      <c r="DM95" s="93">
        <f>IF(AND($T95=1,DM$5&lt;=$H95),DL95*(1-BW95)*(1-MIN(1,MAX(Assumptions!$C$27,Assumptions!$C$13*Assumptions!$C$28^(DL$5-1))*$O95)),0)</f>
        <v>0</v>
      </c>
      <c r="DN95" s="93">
        <f>IF(AND($T95=1,DN$5&lt;=$H95),DM95*(1-BX95)*(1-MIN(1,MAX(Assumptions!$C$27,Assumptions!$C$13*Assumptions!$C$28^(DM$5-1))*$O95)),0)</f>
        <v>0</v>
      </c>
      <c r="DO95" s="93">
        <f>IF(AND($T95=1,DO$5&lt;=$H95),DN95*(1-BY95)*(1-MIN(1,MAX(Assumptions!$C$27,Assumptions!$C$13*Assumptions!$C$28^(DN$5-1))*$O95)),0)</f>
        <v>0</v>
      </c>
      <c r="DP95" s="93">
        <f>IF(AND($T95=1,DP$5&lt;=$H95),DO95*(1-BZ95)*(1-MIN(1,MAX(Assumptions!$C$27,Assumptions!$C$13*Assumptions!$C$28^(DO$5-1))*$O95)),0)</f>
        <v>0</v>
      </c>
      <c r="DQ95" s="93">
        <f>IF(AND($T95=1,DQ$5&lt;=$H95),DP95*(1-CA95)*(1-MIN(1,MAX(Assumptions!$C$27,Assumptions!$C$13*Assumptions!$C$28^(DP$5-1))*$O95)),0)</f>
        <v>0</v>
      </c>
      <c r="DR95" s="93">
        <f>IF(AND($T95=1,DR$5&lt;=$H95),DQ95*(1-CB95)*(1-MIN(1,MAX(Assumptions!$C$27,Assumptions!$C$13*Assumptions!$C$28^(DQ$5-1))*$O95)),0)</f>
        <v>0</v>
      </c>
      <c r="DS95" s="93">
        <f>IF(AND($T95=1,DS$5&lt;=$H95),DR95*(1-CC95)*(1-MIN(1,MAX(Assumptions!$C$27,Assumptions!$C$13*Assumptions!$C$28^(DR$5-1))*$O95)),0)</f>
        <v>0</v>
      </c>
      <c r="DT95" s="93">
        <f>IF(AND($T95=1,DT$5&lt;=$H95),DS95*(1-CD95)*(1-MIN(1,MAX(Assumptions!$C$27,Assumptions!$C$13*Assumptions!$C$28^(DS$5-1))*$O95)),0)</f>
        <v>0</v>
      </c>
      <c r="DU95" s="93">
        <f>IF(AND($T95=1,DU$5&lt;=$H95),DT95*(1-CE95)*(1-MIN(1,MAX(Assumptions!$C$27,Assumptions!$C$13*Assumptions!$C$28^(DT$5-1))*$O95)),0)</f>
        <v>0</v>
      </c>
      <c r="DV95" s="93">
        <f>IF(AND($T95=1,DV$5&lt;=$H95),DU95*(1-CF95)*(1-MIN(1,MAX(Assumptions!$C$27,Assumptions!$C$13*Assumptions!$C$28^(DU$5-1))*$O95)),0)</f>
        <v>0</v>
      </c>
      <c r="DW95" s="94">
        <f>IF(AND($T95=1,DW$5&lt;=$H95),DV95*(1-CG95)*(1-MIN(1,MAX(Assumptions!$C$27,Assumptions!$C$13*Assumptions!$C$28^(DV$5-1))*$O95)),0)</f>
        <v>0</v>
      </c>
      <c r="DX95" s="26"/>
      <c r="DY95" s="399">
        <f>'Policy Data'!K69</f>
        <v>1</v>
      </c>
      <c r="DZ95" s="100">
        <f>'Policy Data'!L69</f>
        <v>0.52780000000000005</v>
      </c>
      <c r="EA95" s="100">
        <f>'Policy Data'!N69</f>
        <v>5.2899999999999996E-4</v>
      </c>
      <c r="EB95" s="93" cm="1">
        <f t="array" ref="EB95">IFERROR(DZ95*INDEX(Mortality!$B$4:$E$64,MATCH(D95+DY95-1,Mortality!$A$4:$A$64,0),U95)*V95,0)</f>
        <v>5.2887227582417904E-4</v>
      </c>
      <c r="EC95" s="100">
        <f>'Policy Data'!O69</f>
        <v>0</v>
      </c>
      <c r="ED95" s="400">
        <f>'Policy Data'!Q69</f>
        <v>0</v>
      </c>
    </row>
    <row r="96" spans="1:134" x14ac:dyDescent="0.3">
      <c r="A96" s="399" t="str">
        <f>'Policy Data'!A70</f>
        <v>POL100066</v>
      </c>
      <c r="B96" s="26" t="s">
        <v>426</v>
      </c>
      <c r="C96" s="100" t="str">
        <f>'Policy Data'!B70</f>
        <v>Term Life</v>
      </c>
      <c r="D96" s="100">
        <f>'Policy Data'!C70</f>
        <v>54</v>
      </c>
      <c r="E96" s="100" t="str">
        <f>'Policy Data'!D70</f>
        <v>Female</v>
      </c>
      <c r="F96" s="100" t="str">
        <f>'Policy Data'!E70</f>
        <v>Smoker</v>
      </c>
      <c r="G96" s="100" t="str">
        <f>'Policy Data'!F70</f>
        <v>Standard</v>
      </c>
      <c r="H96" s="100">
        <f>'Policy Data'!G70</f>
        <v>20</v>
      </c>
      <c r="I96" s="279">
        <f>'Policy Data'!H70</f>
        <v>500000</v>
      </c>
      <c r="J96" s="100" t="str">
        <f>'Policy Data'!I70</f>
        <v>Annual</v>
      </c>
      <c r="K96" s="100" t="str">
        <f>'Policy Data'!J70</f>
        <v>Direct</v>
      </c>
      <c r="L96" s="26" t="s">
        <v>389</v>
      </c>
      <c r="M96" s="106">
        <f>'Policy Data'!R70</f>
        <v>3294.88</v>
      </c>
      <c r="N96" s="415">
        <f>Assumptions!$C$21</f>
        <v>1</v>
      </c>
      <c r="O96" s="415">
        <f>Assumptions!$C$22</f>
        <v>1</v>
      </c>
      <c r="P96" s="415">
        <f>Assumptions!$C$23</f>
        <v>1</v>
      </c>
      <c r="Q96" s="416">
        <f>Assumptions!$C$24</f>
        <v>0</v>
      </c>
      <c r="R96" s="416">
        <f>Assumptions!$C$6+Assumptions!$C$25</f>
        <v>3.5000000000000003E-2</v>
      </c>
      <c r="S96" s="416">
        <f>Assumptions!$C$15</f>
        <v>1.1000000000000001E-3</v>
      </c>
      <c r="T96" s="26">
        <f t="shared" si="36"/>
        <v>1</v>
      </c>
      <c r="U96" s="26">
        <f t="shared" si="37"/>
        <v>2</v>
      </c>
      <c r="V96" s="389">
        <f>IF($G96="Preferred",Assumptions!$C$30,IF($G96="Rated",Assumptions!$C$31,1))</f>
        <v>1</v>
      </c>
      <c r="W96" s="390">
        <f>IF($K96="Direct",Assumptions!$C$32,IF($K96="Broker",Assumptions!$C$33,IF($K96="Bancassurance",Assumptions!$C$34,Assumptions!$C$11)))+$Q96</f>
        <v>0.1</v>
      </c>
      <c r="X96" s="390">
        <f>Assumptions!$C$12+$Q96</f>
        <v>0.05</v>
      </c>
      <c r="Y96" s="131">
        <f>MIN($I96,Assumptions!$C$14)</f>
        <v>500000</v>
      </c>
      <c r="Z96" s="131">
        <f>MAX($I96-Assumptions!$C$14,0)</f>
        <v>0</v>
      </c>
      <c r="AA96" s="389">
        <f t="shared" si="38"/>
        <v>8.2370278294429884</v>
      </c>
      <c r="AB96" s="389">
        <f t="shared" si="39"/>
        <v>6.7290369755854715E-2</v>
      </c>
      <c r="AC96" s="389">
        <f>IF($T96=1,SUMPRODUCT($CJ96:$DW96,(1+Assumptions!$C$5)^($CJ$5:$DW$5-1),(1+$R96)^(-$CJ$5:$DW$5)),0)</f>
        <v>10.976437693328057</v>
      </c>
      <c r="AD96" s="389">
        <f t="shared" si="40"/>
        <v>0.46016057021611079</v>
      </c>
      <c r="AE96" s="131">
        <f>IF($T96=1,$AB96*$Y96+(Assumptions!$C$9/(1+$R96)+Assumptions!$C$10*$AC96)*$P96+$S96*$Z96*$AA96,0)</f>
        <v>36929.566387850835</v>
      </c>
      <c r="AF96" s="131">
        <f>IF($T96=1,IF($AA96-$AD96-Assumptions!$C$16*$AA96&gt;0,$AE96/($AA96-$AD96-Assumptions!$C$16*$AA96)*IF($J96="Monthly",1+Assumptions!$C$29,1),"n.a."),"")</f>
        <v>5188.2634310664662</v>
      </c>
      <c r="AG96" s="131">
        <f t="shared" si="41"/>
        <v>3294.88</v>
      </c>
      <c r="AH96" s="131">
        <f t="shared" si="42"/>
        <v>27140.018254675113</v>
      </c>
      <c r="AI96" s="131">
        <f t="shared" si="43"/>
        <v>-11305.72199276938</v>
      </c>
      <c r="AJ96" s="390">
        <f t="shared" si="44"/>
        <v>-0.41657016906471195</v>
      </c>
      <c r="AK96" s="389">
        <f t="shared" si="45"/>
        <v>0.63506412960274949</v>
      </c>
      <c r="AL96" s="131">
        <f t="shared" si="46"/>
        <v>0</v>
      </c>
      <c r="AM96" s="131">
        <f t="shared" si="47"/>
        <v>0</v>
      </c>
      <c r="AN96" s="131">
        <f t="shared" si="48"/>
        <v>0</v>
      </c>
      <c r="AO96" s="131">
        <f t="shared" si="49"/>
        <v>-11305.72199276938</v>
      </c>
      <c r="AP96" s="26" t="str">
        <f t="shared" si="50"/>
        <v>50-59</v>
      </c>
      <c r="AQ96" s="26" t="str">
        <f t="shared" si="51"/>
        <v>250k-500k</v>
      </c>
      <c r="AR96" s="26" t="str">
        <f>IF($T96=1,IF($AI96&lt;0,"Loss-making",IF($AJ96&lt;Assumptions!$C$16-0.00001,"Below target","At/above target")),"Excluded")</f>
        <v>Loss-making</v>
      </c>
      <c r="AS96" s="103">
        <f t="shared" si="52"/>
        <v>-11305.721896769381</v>
      </c>
      <c r="AT96" s="26"/>
      <c r="AU96" s="419">
        <f>IF(AND($T96=1,AU$5&lt;=$H96),INDEX(Mortality!$B$4:$E$64,MATCH($D96+AU$5-1,Mortality!$A$4:$A$64,0),$U96)*$V96*$N96,0)</f>
        <v>4.3048774139311198E-3</v>
      </c>
      <c r="AV96" s="93">
        <f>IF(AND($T96=1,AV$5&lt;=$H96),INDEX(Mortality!$B$4:$E$64,MATCH($D96+AV$5-1,Mortality!$A$4:$A$64,0),$U96)*$V96*$N96,0)</f>
        <v>4.6634180304376098E-3</v>
      </c>
      <c r="AW96" s="93">
        <f>IF(AND($T96=1,AW$5&lt;=$H96),INDEX(Mortality!$B$4:$E$64,MATCH($D96+AW$5-1,Mortality!$A$4:$A$64,0),$U96)*$V96*$N96,0)</f>
        <v>5.0518204435352904E-3</v>
      </c>
      <c r="AX96" s="93">
        <f>IF(AND($T96=1,AX$5&lt;=$H96),INDEX(Mortality!$B$4:$E$64,MATCH($D96+AX$5-1,Mortality!$A$4:$A$64,0),$U96)*$V96*$N96,0)</f>
        <v>5.4725717546977503E-3</v>
      </c>
      <c r="AY96" s="93">
        <f>IF(AND($T96=1,AY$5&lt;=$H96),INDEX(Mortality!$B$4:$E$64,MATCH($D96+AY$5-1,Mortality!$A$4:$A$64,0),$U96)*$V96*$N96,0)</f>
        <v>5.9283662087873303E-3</v>
      </c>
      <c r="AZ96" s="93">
        <f>IF(AND($T96=1,AZ$5&lt;=$H96),INDEX(Mortality!$B$4:$E$64,MATCH($D96+AZ$5-1,Mortality!$A$4:$A$64,0),$U96)*$V96*$N96,0)</f>
        <v>6.4221224464205296E-3</v>
      </c>
      <c r="BA96" s="93">
        <f>IF(AND($T96=1,BA$5&lt;=$H96),INDEX(Mortality!$B$4:$E$64,MATCH($D96+BA$5-1,Mortality!$A$4:$A$64,0),$U96)*$V96*$N96,0)</f>
        <v>6.9570021932324304E-3</v>
      </c>
      <c r="BB96" s="93">
        <f>IF(AND($T96=1,BB$5&lt;=$H96),INDEX(Mortality!$B$4:$E$64,MATCH($D96+BB$5-1,Mortality!$A$4:$A$64,0),$U96)*$V96*$N96,0)</f>
        <v>7.53643050571501E-3</v>
      </c>
      <c r="BC96" s="93">
        <f>IF(AND($T96=1,BC$5&lt;=$H96),INDEX(Mortality!$B$4:$E$64,MATCH($D96+BC$5-1,Mortality!$A$4:$A$64,0),$U96)*$V96*$N96,0)</f>
        <v>8.1641177032721196E-3</v>
      </c>
      <c r="BD96" s="93">
        <f>IF(AND($T96=1,BD$5&lt;=$H96),INDEX(Mortality!$B$4:$E$64,MATCH($D96+BD$5-1,Mortality!$A$4:$A$64,0),$U96)*$V96*$N96,0)</f>
        <v>8.8440831269308798E-3</v>
      </c>
      <c r="BE96" s="93">
        <f>IF(AND($T96=1,BE$5&lt;=$H96),INDEX(Mortality!$B$4:$E$64,MATCH($D96+BE$5-1,Mortality!$A$4:$A$64,0),$U96)*$V96*$N96,0)</f>
        <v>9.5806808768465306E-3</v>
      </c>
      <c r="BF96" s="93">
        <f>IF(AND($T96=1,BF$5&lt;=$H96),INDEX(Mortality!$B$4:$E$64,MATCH($D96+BF$5-1,Mortality!$A$4:$A$64,0),$U96)*$V96*$N96,0)</f>
        <v>1.0378627693408599E-2</v>
      </c>
      <c r="BG96" s="93">
        <f>IF(AND($T96=1,BG$5&lt;=$H96),INDEX(Mortality!$B$4:$E$64,MATCH($D96+BG$5-1,Mortality!$A$4:$A$64,0),$U96)*$V96*$N96,0)</f>
        <v>1.12430331604828E-2</v>
      </c>
      <c r="BH96" s="93">
        <f>IF(AND($T96=1,BH$5&lt;=$H96),INDEX(Mortality!$B$4:$E$64,MATCH($D96+BH$5-1,Mortality!$A$4:$A$64,0),$U96)*$V96*$N96,0)</f>
        <v>1.21794324241917E-2</v>
      </c>
      <c r="BI96" s="93">
        <f>IF(AND($T96=1,BI$5&lt;=$H96),INDEX(Mortality!$B$4:$E$64,MATCH($D96+BI$5-1,Mortality!$A$4:$A$64,0),$U96)*$V96*$N96,0)</f>
        <v>1.3193821636747901E-2</v>
      </c>
      <c r="BJ96" s="93">
        <f>IF(AND($T96=1,BJ$5&lt;=$H96),INDEX(Mortality!$B$4:$E$64,MATCH($D96+BJ$5-1,Mortality!$A$4:$A$64,0),$U96)*$V96*$N96,0)</f>
        <v>1.42926963522991E-2</v>
      </c>
      <c r="BK96" s="93">
        <f>IF(AND($T96=1,BK$5&lt;=$H96),INDEX(Mortality!$B$4:$E$64,MATCH($D96+BK$5-1,Mortality!$A$4:$A$64,0),$U96)*$V96*$N96,0)</f>
        <v>1.54830931206506E-2</v>
      </c>
      <c r="BL96" s="93">
        <f>IF(AND($T96=1,BL$5&lt;=$H96),INDEX(Mortality!$B$4:$E$64,MATCH($D96+BL$5-1,Mortality!$A$4:$A$64,0),$U96)*$V96*$N96,0)</f>
        <v>1.6772634545207998E-2</v>
      </c>
      <c r="BM96" s="93">
        <f>IF(AND($T96=1,BM$5&lt;=$H96),INDEX(Mortality!$B$4:$E$64,MATCH($D96+BM$5-1,Mortality!$A$4:$A$64,0),$U96)*$V96*$N96,0)</f>
        <v>1.8169578093662E-2</v>
      </c>
      <c r="BN96" s="93">
        <f>IF(AND($T96=1,BN$5&lt;=$H96),INDEX(Mortality!$B$4:$E$64,MATCH($D96+BN$5-1,Mortality!$A$4:$A$64,0),$U96)*$V96*$N96,0)</f>
        <v>1.96828689739743E-2</v>
      </c>
      <c r="BO96" s="93">
        <f>IF(AND($T96=1,BO$5&lt;=$H96),INDEX(Mortality!$B$4:$E$64,MATCH($D96+BO$5-1,Mortality!$A$4:$A$64,0),$U96)*$V96*$N96,0)</f>
        <v>0</v>
      </c>
      <c r="BP96" s="93">
        <f>IF(AND($T96=1,BP$5&lt;=$H96),INDEX(Mortality!$B$4:$E$64,MATCH($D96+BP$5-1,Mortality!$A$4:$A$64,0),$U96)*$V96*$N96,0)</f>
        <v>0</v>
      </c>
      <c r="BQ96" s="93">
        <f>IF(AND($T96=1,BQ$5&lt;=$H96),INDEX(Mortality!$B$4:$E$64,MATCH($D96+BQ$5-1,Mortality!$A$4:$A$64,0),$U96)*$V96*$N96,0)</f>
        <v>0</v>
      </c>
      <c r="BR96" s="93">
        <f>IF(AND($T96=1,BR$5&lt;=$H96),INDEX(Mortality!$B$4:$E$64,MATCH($D96+BR$5-1,Mortality!$A$4:$A$64,0),$U96)*$V96*$N96,0)</f>
        <v>0</v>
      </c>
      <c r="BS96" s="93">
        <f>IF(AND($T96=1,BS$5&lt;=$H96),INDEX(Mortality!$B$4:$E$64,MATCH($D96+BS$5-1,Mortality!$A$4:$A$64,0),$U96)*$V96*$N96,0)</f>
        <v>0</v>
      </c>
      <c r="BT96" s="93">
        <f>IF(AND($T96=1,BT$5&lt;=$H96),INDEX(Mortality!$B$4:$E$64,MATCH($D96+BT$5-1,Mortality!$A$4:$A$64,0),$U96)*$V96*$N96,0)</f>
        <v>0</v>
      </c>
      <c r="BU96" s="93">
        <f>IF(AND($T96=1,BU$5&lt;=$H96),INDEX(Mortality!$B$4:$E$64,MATCH($D96+BU$5-1,Mortality!$A$4:$A$64,0),$U96)*$V96*$N96,0)</f>
        <v>0</v>
      </c>
      <c r="BV96" s="93">
        <f>IF(AND($T96=1,BV$5&lt;=$H96),INDEX(Mortality!$B$4:$E$64,MATCH($D96+BV$5-1,Mortality!$A$4:$A$64,0),$U96)*$V96*$N96,0)</f>
        <v>0</v>
      </c>
      <c r="BW96" s="93">
        <f>IF(AND($T96=1,BW$5&lt;=$H96),INDEX(Mortality!$B$4:$E$64,MATCH($D96+BW$5-1,Mortality!$A$4:$A$64,0),$U96)*$V96*$N96,0)</f>
        <v>0</v>
      </c>
      <c r="BX96" s="93">
        <f>IF(AND($T96=1,BX$5&lt;=$H96),INDEX(Mortality!$B$4:$E$64,MATCH($D96+BX$5-1,Mortality!$A$4:$A$64,0),$U96)*$V96*$N96,0)</f>
        <v>0</v>
      </c>
      <c r="BY96" s="93">
        <f>IF(AND($T96=1,BY$5&lt;=$H96),INDEX(Mortality!$B$4:$E$64,MATCH($D96+BY$5-1,Mortality!$A$4:$A$64,0),$U96)*$V96*$N96,0)</f>
        <v>0</v>
      </c>
      <c r="BZ96" s="93">
        <f>IF(AND($T96=1,BZ$5&lt;=$H96),INDEX(Mortality!$B$4:$E$64,MATCH($D96+BZ$5-1,Mortality!$A$4:$A$64,0),$U96)*$V96*$N96,0)</f>
        <v>0</v>
      </c>
      <c r="CA96" s="93">
        <f>IF(AND($T96=1,CA$5&lt;=$H96),INDEX(Mortality!$B$4:$E$64,MATCH($D96+CA$5-1,Mortality!$A$4:$A$64,0),$U96)*$V96*$N96,0)</f>
        <v>0</v>
      </c>
      <c r="CB96" s="93">
        <f>IF(AND($T96=1,CB$5&lt;=$H96),INDEX(Mortality!$B$4:$E$64,MATCH($D96+CB$5-1,Mortality!$A$4:$A$64,0),$U96)*$V96*$N96,0)</f>
        <v>0</v>
      </c>
      <c r="CC96" s="93">
        <f>IF(AND($T96=1,CC$5&lt;=$H96),INDEX(Mortality!$B$4:$E$64,MATCH($D96+CC$5-1,Mortality!$A$4:$A$64,0),$U96)*$V96*$N96,0)</f>
        <v>0</v>
      </c>
      <c r="CD96" s="93">
        <f>IF(AND($T96=1,CD$5&lt;=$H96),INDEX(Mortality!$B$4:$E$64,MATCH($D96+CD$5-1,Mortality!$A$4:$A$64,0),$U96)*$V96*$N96,0)</f>
        <v>0</v>
      </c>
      <c r="CE96" s="93">
        <f>IF(AND($T96=1,CE$5&lt;=$H96),INDEX(Mortality!$B$4:$E$64,MATCH($D96+CE$5-1,Mortality!$A$4:$A$64,0),$U96)*$V96*$N96,0)</f>
        <v>0</v>
      </c>
      <c r="CF96" s="93">
        <f>IF(AND($T96=1,CF$5&lt;=$H96),INDEX(Mortality!$B$4:$E$64,MATCH($D96+CF$5-1,Mortality!$A$4:$A$64,0),$U96)*$V96*$N96,0)</f>
        <v>0</v>
      </c>
      <c r="CG96" s="93">
        <f>IF(AND($T96=1,CG$5&lt;=$H96),INDEX(Mortality!$B$4:$E$64,MATCH($D96+CG$5-1,Mortality!$A$4:$A$64,0),$U96)*$V96*$N96,0)</f>
        <v>0</v>
      </c>
      <c r="CH96" s="94">
        <f>IF(AND($T96=1,CH$5&lt;=$H96),INDEX(Mortality!$B$4:$E$64,MATCH($D96+CH$5-1,Mortality!$A$4:$A$64,0),$U96)*$V96*$N96,0)</f>
        <v>0</v>
      </c>
      <c r="CI96" s="26"/>
      <c r="CJ96" s="419">
        <f t="shared" si="53"/>
        <v>1</v>
      </c>
      <c r="CK96" s="93">
        <f>IF(AND($T96=1,CK$5&lt;=$H96),CJ96*(1-AU96)*(1-MIN(1,MAX(Assumptions!$C$27,Assumptions!$C$13*Assumptions!$C$28^(CJ$5-1))*$O96)),0)</f>
        <v>0.87621170787574054</v>
      </c>
      <c r="CL96" s="93">
        <f>IF(AND($T96=1,CL$5&lt;=$H96),CK96*(1-AV96)*(1-MIN(1,MAX(Assumptions!$C$27,Assumptions!$C$13*Assumptions!$C$28^(CK$5-1))*$O96)),0)</f>
        <v>0.7831687586260796</v>
      </c>
      <c r="CM96" s="93">
        <f>IF(AND($T96=1,CM$5&lt;=$H96),CL96*(1-AW96)*(1-MIN(1,MAX(Assumptions!$C$27,Assumptions!$C$13*Assumptions!$C$28^(CL$5-1))*$O96)),0)</f>
        <v>0.71165462161051363</v>
      </c>
      <c r="CN96" s="93">
        <f>IF(AND($T96=1,CN$5&lt;=$H96),CM96*(1-AX96)*(1-MIN(1,MAX(Assumptions!$C$27,Assumptions!$C$13*Assumptions!$C$28^(CM$5-1))*$O96)),0)</f>
        <v>0.65560166443501988</v>
      </c>
      <c r="CO96" s="93">
        <f>IF(AND($T96=1,CO$5&lt;=$H96),CN96*(1-AY96)*(1-MIN(1,MAX(Assumptions!$C$27,Assumptions!$C$13*Assumptions!$C$28^(CN$5-1))*$O96)),0)</f>
        <v>0.61089110018734749</v>
      </c>
      <c r="CP96" s="93">
        <f>IF(AND($T96=1,CP$5&lt;=$H96),CO96*(1-AZ96)*(1-MIN(1,MAX(Assumptions!$C$27,Assumptions!$C$13*Assumptions!$C$28^(CO$5-1))*$O96)),0)</f>
        <v>0.57465009784985455</v>
      </c>
      <c r="CQ96" s="93">
        <f>IF(AND($T96=1,CQ$5&lt;=$H96),CP96*(1-BA96)*(1-MIN(1,MAX(Assumptions!$C$27,Assumptions!$C$13*Assumptions!$C$28^(CP$5-1))*$O96)),0)</f>
        <v>0.54482570923227802</v>
      </c>
      <c r="CR96" s="93">
        <f>IF(AND($T96=1,CR$5&lt;=$H96),CQ96*(1-BB96)*(1-MIN(1,MAX(Assumptions!$C$27,Assumptions!$C$13*Assumptions!$C$28^(CQ$5-1))*$O96)),0)</f>
        <v>0.51991858772239352</v>
      </c>
      <c r="CS96" s="93">
        <f>IF(AND($T96=1,CS$5&lt;=$H96),CR96*(1-BC96)*(1-MIN(1,MAX(Assumptions!$C$27,Assumptions!$C$13*Assumptions!$C$28^(CR$5-1))*$O96)),0)</f>
        <v>0.49881196059946997</v>
      </c>
      <c r="CT96" s="93">
        <f>IF(AND($T96=1,CT$5&lt;=$H96),CS96*(1-BD96)*(1-MIN(1,MAX(Assumptions!$C$27,Assumptions!$C$13*Assumptions!$C$28^(CS$5-1))*$O96)),0)</f>
        <v>0.48065904412155852</v>
      </c>
      <c r="CU96" s="93">
        <f>IF(AND($T96=1,CU$5&lt;=$H96),CT96*(1-BE96)*(1-MIN(1,MAX(Assumptions!$C$27,Assumptions!$C$13*Assumptions!$C$28^(CT$5-1))*$O96)),0)</f>
        <v>0.46480726141135903</v>
      </c>
      <c r="CV96" s="93">
        <f>IF(AND($T96=1,CV$5&lt;=$H96),CU96*(1-BF96)*(1-MIN(1,MAX(Assumptions!$C$27,Assumptions!$C$13*Assumptions!$C$28^(CU$5-1))*$O96)),0)</f>
        <v>0.45074619021037915</v>
      </c>
      <c r="CW96" s="93">
        <f>IF(AND($T96=1,CW$5&lt;=$H96),CV96*(1-BG96)*(1-MIN(1,MAX(Assumptions!$C$27,Assumptions!$C$13*Assumptions!$C$28^(CV$5-1))*$O96)),0)</f>
        <v>0.43676486712994489</v>
      </c>
      <c r="CX96" s="93">
        <f>IF(AND($T96=1,CX$5&lt;=$H96),CW96*(1-BH96)*(1-MIN(1,MAX(Assumptions!$C$27,Assumptions!$C$13*Assumptions!$C$28^(CW$5-1))*$O96)),0)</f>
        <v>0.42281641256656516</v>
      </c>
      <c r="CY96" s="93">
        <f>IF(AND($T96=1,CY$5&lt;=$H96),CX96*(1-BI96)*(1-MIN(1,MAX(Assumptions!$C$27,Assumptions!$C$13*Assumptions!$C$28^(CX$5-1))*$O96)),0)</f>
        <v>0.40889309126939083</v>
      </c>
      <c r="CZ96" s="93">
        <f>IF(AND($T96=1,CZ$5&lt;=$H96),CY96*(1-BJ96)*(1-MIN(1,MAX(Assumptions!$C$27,Assumptions!$C$13*Assumptions!$C$28^(CY$5-1))*$O96)),0)</f>
        <v>0.39498792834581797</v>
      </c>
      <c r="DA96" s="93">
        <f>IF(AND($T96=1,DA$5&lt;=$H96),CZ96*(1-BK96)*(1-MIN(1,MAX(Assumptions!$C$27,Assumptions!$C$13*Assumptions!$C$28^(CZ$5-1))*$O96)),0)</f>
        <v>0.38109484760031265</v>
      </c>
      <c r="DB96" s="93">
        <f>IF(AND($T96=1,DB$5&lt;=$H96),DA96*(1-BL96)*(1-MIN(1,MAX(Assumptions!$C$27,Assumptions!$C$13*Assumptions!$C$28^(DA$5-1))*$O96)),0)</f>
        <v>0.36720882533456184</v>
      </c>
      <c r="DC96" s="93">
        <f>IF(AND($T96=1,DC$5&lt;=$H96),DB96*(1-BM96)*(1-MIN(1,MAX(Assumptions!$C$27,Assumptions!$C$13*Assumptions!$C$28^(DB$5-1))*$O96)),0)</f>
        <v>0.35332605998784433</v>
      </c>
      <c r="DD96" s="93">
        <f>IF(AND($T96=1,DD$5&lt;=$H96),DC96*(1-BN96)*(1-MIN(1,MAX(Assumptions!$C$27,Assumptions!$C$13*Assumptions!$C$28^(DC$5-1))*$O96)),0)</f>
        <v>0</v>
      </c>
      <c r="DE96" s="93">
        <f>IF(AND($T96=1,DE$5&lt;=$H96),DD96*(1-BO96)*(1-MIN(1,MAX(Assumptions!$C$27,Assumptions!$C$13*Assumptions!$C$28^(DD$5-1))*$O96)),0)</f>
        <v>0</v>
      </c>
      <c r="DF96" s="93">
        <f>IF(AND($T96=1,DF$5&lt;=$H96),DE96*(1-BP96)*(1-MIN(1,MAX(Assumptions!$C$27,Assumptions!$C$13*Assumptions!$C$28^(DE$5-1))*$O96)),0)</f>
        <v>0</v>
      </c>
      <c r="DG96" s="93">
        <f>IF(AND($T96=1,DG$5&lt;=$H96),DF96*(1-BQ96)*(1-MIN(1,MAX(Assumptions!$C$27,Assumptions!$C$13*Assumptions!$C$28^(DF$5-1))*$O96)),0)</f>
        <v>0</v>
      </c>
      <c r="DH96" s="93">
        <f>IF(AND($T96=1,DH$5&lt;=$H96),DG96*(1-BR96)*(1-MIN(1,MAX(Assumptions!$C$27,Assumptions!$C$13*Assumptions!$C$28^(DG$5-1))*$O96)),0)</f>
        <v>0</v>
      </c>
      <c r="DI96" s="93">
        <f>IF(AND($T96=1,DI$5&lt;=$H96),DH96*(1-BS96)*(1-MIN(1,MAX(Assumptions!$C$27,Assumptions!$C$13*Assumptions!$C$28^(DH$5-1))*$O96)),0)</f>
        <v>0</v>
      </c>
      <c r="DJ96" s="93">
        <f>IF(AND($T96=1,DJ$5&lt;=$H96),DI96*(1-BT96)*(1-MIN(1,MAX(Assumptions!$C$27,Assumptions!$C$13*Assumptions!$C$28^(DI$5-1))*$O96)),0)</f>
        <v>0</v>
      </c>
      <c r="DK96" s="93">
        <f>IF(AND($T96=1,DK$5&lt;=$H96),DJ96*(1-BU96)*(1-MIN(1,MAX(Assumptions!$C$27,Assumptions!$C$13*Assumptions!$C$28^(DJ$5-1))*$O96)),0)</f>
        <v>0</v>
      </c>
      <c r="DL96" s="93">
        <f>IF(AND($T96=1,DL$5&lt;=$H96),DK96*(1-BV96)*(1-MIN(1,MAX(Assumptions!$C$27,Assumptions!$C$13*Assumptions!$C$28^(DK$5-1))*$O96)),0)</f>
        <v>0</v>
      </c>
      <c r="DM96" s="93">
        <f>IF(AND($T96=1,DM$5&lt;=$H96),DL96*(1-BW96)*(1-MIN(1,MAX(Assumptions!$C$27,Assumptions!$C$13*Assumptions!$C$28^(DL$5-1))*$O96)),0)</f>
        <v>0</v>
      </c>
      <c r="DN96" s="93">
        <f>IF(AND($T96=1,DN$5&lt;=$H96),DM96*(1-BX96)*(1-MIN(1,MAX(Assumptions!$C$27,Assumptions!$C$13*Assumptions!$C$28^(DM$5-1))*$O96)),0)</f>
        <v>0</v>
      </c>
      <c r="DO96" s="93">
        <f>IF(AND($T96=1,DO$5&lt;=$H96),DN96*(1-BY96)*(1-MIN(1,MAX(Assumptions!$C$27,Assumptions!$C$13*Assumptions!$C$28^(DN$5-1))*$O96)),0)</f>
        <v>0</v>
      </c>
      <c r="DP96" s="93">
        <f>IF(AND($T96=1,DP$5&lt;=$H96),DO96*(1-BZ96)*(1-MIN(1,MAX(Assumptions!$C$27,Assumptions!$C$13*Assumptions!$C$28^(DO$5-1))*$O96)),0)</f>
        <v>0</v>
      </c>
      <c r="DQ96" s="93">
        <f>IF(AND($T96=1,DQ$5&lt;=$H96),DP96*(1-CA96)*(1-MIN(1,MAX(Assumptions!$C$27,Assumptions!$C$13*Assumptions!$C$28^(DP$5-1))*$O96)),0)</f>
        <v>0</v>
      </c>
      <c r="DR96" s="93">
        <f>IF(AND($T96=1,DR$5&lt;=$H96),DQ96*(1-CB96)*(1-MIN(1,MAX(Assumptions!$C$27,Assumptions!$C$13*Assumptions!$C$28^(DQ$5-1))*$O96)),0)</f>
        <v>0</v>
      </c>
      <c r="DS96" s="93">
        <f>IF(AND($T96=1,DS$5&lt;=$H96),DR96*(1-CC96)*(1-MIN(1,MAX(Assumptions!$C$27,Assumptions!$C$13*Assumptions!$C$28^(DR$5-1))*$O96)),0)</f>
        <v>0</v>
      </c>
      <c r="DT96" s="93">
        <f>IF(AND($T96=1,DT$5&lt;=$H96),DS96*(1-CD96)*(1-MIN(1,MAX(Assumptions!$C$27,Assumptions!$C$13*Assumptions!$C$28^(DS$5-1))*$O96)),0)</f>
        <v>0</v>
      </c>
      <c r="DU96" s="93">
        <f>IF(AND($T96=1,DU$5&lt;=$H96),DT96*(1-CE96)*(1-MIN(1,MAX(Assumptions!$C$27,Assumptions!$C$13*Assumptions!$C$28^(DT$5-1))*$O96)),0)</f>
        <v>0</v>
      </c>
      <c r="DV96" s="93">
        <f>IF(AND($T96=1,DV$5&lt;=$H96),DU96*(1-CF96)*(1-MIN(1,MAX(Assumptions!$C$27,Assumptions!$C$13*Assumptions!$C$28^(DU$5-1))*$O96)),0)</f>
        <v>0</v>
      </c>
      <c r="DW96" s="94">
        <f>IF(AND($T96=1,DW$5&lt;=$H96),DV96*(1-CG96)*(1-MIN(1,MAX(Assumptions!$C$27,Assumptions!$C$13*Assumptions!$C$28^(DV$5-1))*$O96)),0)</f>
        <v>0</v>
      </c>
      <c r="DX96" s="26"/>
      <c r="DY96" s="399">
        <f>'Policy Data'!K70</f>
        <v>1</v>
      </c>
      <c r="DZ96" s="100">
        <f>'Policy Data'!L70</f>
        <v>0.55730000000000002</v>
      </c>
      <c r="EA96" s="100">
        <f>'Policy Data'!N70</f>
        <v>2.3990000000000001E-3</v>
      </c>
      <c r="EB96" s="93" cm="1">
        <f t="array" ref="EB96">IFERROR(DZ96*INDEX(Mortality!$B$4:$E$64,MATCH(D96+DY96-1,Mortality!$A$4:$A$64,0),U96)*V96,0)</f>
        <v>2.3991081827838133E-3</v>
      </c>
      <c r="EC96" s="100">
        <f>'Policy Data'!O70</f>
        <v>0</v>
      </c>
      <c r="ED96" s="400">
        <f>'Policy Data'!Q70</f>
        <v>0</v>
      </c>
    </row>
    <row r="97" spans="1:134" x14ac:dyDescent="0.3">
      <c r="A97" s="399" t="str">
        <f>'Policy Data'!A71</f>
        <v>POL100067</v>
      </c>
      <c r="B97" s="26" t="s">
        <v>426</v>
      </c>
      <c r="C97" s="100" t="str">
        <f>'Policy Data'!B71</f>
        <v>Term Life</v>
      </c>
      <c r="D97" s="100">
        <f>'Policy Data'!C71</f>
        <v>45</v>
      </c>
      <c r="E97" s="100" t="str">
        <f>'Policy Data'!D71</f>
        <v>Female</v>
      </c>
      <c r="F97" s="100" t="str">
        <f>'Policy Data'!E71</f>
        <v>Non-smoker</v>
      </c>
      <c r="G97" s="100" t="str">
        <f>'Policy Data'!F71</f>
        <v>Standard</v>
      </c>
      <c r="H97" s="100">
        <f>'Policy Data'!G71</f>
        <v>20</v>
      </c>
      <c r="I97" s="279">
        <f>'Policy Data'!H71</f>
        <v>250000</v>
      </c>
      <c r="J97" s="100" t="str">
        <f>'Policy Data'!I71</f>
        <v>Annual</v>
      </c>
      <c r="K97" s="100" t="str">
        <f>'Policy Data'!J71</f>
        <v>Direct</v>
      </c>
      <c r="L97" s="26" t="s">
        <v>389</v>
      </c>
      <c r="M97" s="106">
        <f>'Policy Data'!R71</f>
        <v>1200</v>
      </c>
      <c r="N97" s="415">
        <f>Assumptions!$C$21</f>
        <v>1</v>
      </c>
      <c r="O97" s="415">
        <f>Assumptions!$C$22</f>
        <v>1</v>
      </c>
      <c r="P97" s="415">
        <f>Assumptions!$C$23</f>
        <v>1</v>
      </c>
      <c r="Q97" s="416">
        <f>Assumptions!$C$24</f>
        <v>0</v>
      </c>
      <c r="R97" s="416">
        <f>Assumptions!$C$6+Assumptions!$C$25</f>
        <v>3.5000000000000003E-2</v>
      </c>
      <c r="S97" s="416">
        <f>Assumptions!$C$15</f>
        <v>1.1000000000000001E-3</v>
      </c>
      <c r="T97" s="26">
        <f t="shared" si="36"/>
        <v>1</v>
      </c>
      <c r="U97" s="26">
        <f t="shared" si="37"/>
        <v>1</v>
      </c>
      <c r="V97" s="389">
        <f>IF($G97="Preferred",Assumptions!$C$30,IF($G97="Rated",Assumptions!$C$31,1))</f>
        <v>1</v>
      </c>
      <c r="W97" s="390">
        <f>IF($K97="Direct",Assumptions!$C$32,IF($K97="Broker",Assumptions!$C$33,IF($K97="Bancassurance",Assumptions!$C$34,Assumptions!$C$11)))+$Q97</f>
        <v>0.1</v>
      </c>
      <c r="X97" s="390">
        <f>Assumptions!$C$12+$Q97</f>
        <v>0.05</v>
      </c>
      <c r="Y97" s="131">
        <f>MIN($I97,Assumptions!$C$14)</f>
        <v>250000</v>
      </c>
      <c r="Z97" s="131">
        <f>MAX($I97-Assumptions!$C$14,0)</f>
        <v>0</v>
      </c>
      <c r="AA97" s="389">
        <f t="shared" si="38"/>
        <v>8.5175224679293144</v>
      </c>
      <c r="AB97" s="389">
        <f t="shared" si="39"/>
        <v>2.0885441403531303E-2</v>
      </c>
      <c r="AC97" s="389">
        <f>IF($T97=1,SUMPRODUCT($CJ97:$DW97,(1+Assumptions!$C$5)^($CJ$5:$DW$5-1),(1+$R97)^(-$CJ$5:$DW$5)),0)</f>
        <v>11.441772117371453</v>
      </c>
      <c r="AD97" s="389">
        <f t="shared" si="40"/>
        <v>0.47418530214042709</v>
      </c>
      <c r="AE97" s="131">
        <f>IF($T97=1,$AB97*$Y97+(Assumptions!$C$9/(1+$R97)+Assumptions!$C$10*$AC97)*$P97+$S97*$Z97*$AA97,0)</f>
        <v>8608.1154340958492</v>
      </c>
      <c r="AF97" s="131">
        <f>IF($T97=1,IF($AA97-$AD97-Assumptions!$C$16*$AA97&gt;0,$AE97/($AA97-$AD97-Assumptions!$C$16*$AA97)*IF($J97="Monthly",1+Assumptions!$C$29,1),"n.a."),"")</f>
        <v>1169.2734319698109</v>
      </c>
      <c r="AG97" s="131">
        <f t="shared" si="41"/>
        <v>1200</v>
      </c>
      <c r="AH97" s="131">
        <f t="shared" si="42"/>
        <v>10221.026961515177</v>
      </c>
      <c r="AI97" s="131">
        <f t="shared" si="43"/>
        <v>1043.8891648508161</v>
      </c>
      <c r="AJ97" s="390">
        <f t="shared" si="44"/>
        <v>0.10213153421679935</v>
      </c>
      <c r="AK97" s="389">
        <f t="shared" si="45"/>
        <v>1.026278342764041</v>
      </c>
      <c r="AL97" s="131">
        <f t="shared" si="46"/>
        <v>0</v>
      </c>
      <c r="AM97" s="131">
        <f t="shared" si="47"/>
        <v>0</v>
      </c>
      <c r="AN97" s="131">
        <f t="shared" si="48"/>
        <v>0</v>
      </c>
      <c r="AO97" s="131">
        <f t="shared" si="49"/>
        <v>1043.8891648508161</v>
      </c>
      <c r="AP97" s="26" t="str">
        <f t="shared" si="50"/>
        <v>40-49</v>
      </c>
      <c r="AQ97" s="26" t="str">
        <f t="shared" si="51"/>
        <v>Up to 250k</v>
      </c>
      <c r="AR97" s="26" t="str">
        <f>IF($T97=1,IF($AI97&lt;0,"Loss-making",IF($AJ97&lt;Assumptions!$C$16-0.00001,"Below target","At/above target")),"Excluded")</f>
        <v>At/above target</v>
      </c>
      <c r="AS97" s="103">
        <f t="shared" si="52"/>
        <v>1043.8892618508162</v>
      </c>
      <c r="AT97" s="26"/>
      <c r="AU97" s="419">
        <f>IF(AND($T97=1,AU$5&lt;=$H97),INDEX(Mortality!$B$4:$E$64,MATCH($D97+AU$5-1,Mortality!$A$4:$A$64,0),$U97)*$V97*$N97,0)</f>
        <v>1.2699447229467301E-3</v>
      </c>
      <c r="AV97" s="93">
        <f>IF(AND($T97=1,AV$5&lt;=$H97),INDEX(Mortality!$B$4:$E$64,MATCH($D97+AV$5-1,Mortality!$A$4:$A$64,0),$U97)*$V97*$N97,0)</f>
        <v>1.37571469503025E-3</v>
      </c>
      <c r="AW97" s="93">
        <f>IF(AND($T97=1,AW$5&lt;=$H97),INDEX(Mortality!$B$4:$E$64,MATCH($D97+AW$5-1,Mortality!$A$4:$A$64,0),$U97)*$V97*$N97,0)</f>
        <v>1.4902939379366699E-3</v>
      </c>
      <c r="AX97" s="93">
        <f>IF(AND($T97=1,AX$5&lt;=$H97),INDEX(Mortality!$B$4:$E$64,MATCH($D97+AX$5-1,Mortality!$A$4:$A$64,0),$U97)*$V97*$N97,0)</f>
        <v>1.6144161500011799E-3</v>
      </c>
      <c r="AY97" s="93">
        <f>IF(AND($T97=1,AY$5&lt;=$H97),INDEX(Mortality!$B$4:$E$64,MATCH($D97+AY$5-1,Mortality!$A$4:$A$64,0),$U97)*$V97*$N97,0)</f>
        <v>1.74887613714188E-3</v>
      </c>
      <c r="AZ97" s="93">
        <f>IF(AND($T97=1,AZ$5&lt;=$H97),INDEX(Mortality!$B$4:$E$64,MATCH($D97+AZ$5-1,Mortality!$A$4:$A$64,0),$U97)*$V97*$N97,0)</f>
        <v>1.89453490233113E-3</v>
      </c>
      <c r="BA97" s="93">
        <f>IF(AND($T97=1,BA$5&lt;=$H97),INDEX(Mortality!$B$4:$E$64,MATCH($D97+BA$5-1,Mortality!$A$4:$A$64,0),$U97)*$V97*$N97,0)</f>
        <v>2.05232515895416E-3</v>
      </c>
      <c r="BB97" s="93">
        <f>IF(AND($T97=1,BB$5&lt;=$H97),INDEX(Mortality!$B$4:$E$64,MATCH($D97+BB$5-1,Mortality!$A$4:$A$64,0),$U97)*$V97*$N97,0)</f>
        <v>2.22325730335899E-3</v>
      </c>
      <c r="BC97" s="93">
        <f>IF(AND($T97=1,BC$5&lt;=$H97),INDEX(Mortality!$B$4:$E$64,MATCH($D97+BC$5-1,Mortality!$A$4:$A$64,0),$U97)*$V97*$N97,0)</f>
        <v>2.4084258848427E-3</v>
      </c>
      <c r="BD97" s="93">
        <f>IF(AND($T97=1,BD$5&lt;=$H97),INDEX(Mortality!$B$4:$E$64,MATCH($D97+BD$5-1,Mortality!$A$4:$A$64,0),$U97)*$V97*$N97,0)</f>
        <v>2.6090166145037101E-3</v>
      </c>
      <c r="BE97" s="93">
        <f>IF(AND($T97=1,BE$5&lt;=$H97),INDEX(Mortality!$B$4:$E$64,MATCH($D97+BE$5-1,Mortality!$A$4:$A$64,0),$U97)*$V97*$N97,0)</f>
        <v>2.8263139578409702E-3</v>
      </c>
      <c r="BF97" s="93">
        <f>IF(AND($T97=1,BF$5&lt;=$H97),INDEX(Mortality!$B$4:$E$64,MATCH($D97+BF$5-1,Mortality!$A$4:$A$64,0),$U97)*$V97*$N97,0)</f>
        <v>3.0617093597183598E-3</v>
      </c>
      <c r="BG97" s="93">
        <f>IF(AND($T97=1,BG$5&lt;=$H97),INDEX(Mortality!$B$4:$E$64,MATCH($D97+BG$5-1,Mortality!$A$4:$A$64,0),$U97)*$V97*$N97,0)</f>
        <v>3.31671015436227E-3</v>
      </c>
      <c r="BH97" s="93">
        <f>IF(AND($T97=1,BH$5&lt;=$H97),INDEX(Mortality!$B$4:$E$64,MATCH($D97+BH$5-1,Mortality!$A$4:$A$64,0),$U97)*$V97*$N97,0)</f>
        <v>3.5929492174468702E-3</v>
      </c>
      <c r="BI97" s="93">
        <f>IF(AND($T97=1,BI$5&lt;=$H97),INDEX(Mortality!$B$4:$E$64,MATCH($D97+BI$5-1,Mortality!$A$4:$A$64,0),$U97)*$V97*$N97,0)</f>
        <v>3.8921954220730499E-3</v>
      </c>
      <c r="BJ97" s="93">
        <f>IF(AND($T97=1,BJ$5&lt;=$H97),INDEX(Mortality!$B$4:$E$64,MATCH($D97+BJ$5-1,Mortality!$A$4:$A$64,0),$U97)*$V97*$N97,0)</f>
        <v>4.2163649655954103E-3</v>
      </c>
      <c r="BK97" s="93">
        <f>IF(AND($T97=1,BK$5&lt;=$H97),INDEX(Mortality!$B$4:$E$64,MATCH($D97+BK$5-1,Mortality!$A$4:$A$64,0),$U97)*$V97*$N97,0)</f>
        <v>4.5675336398272801E-3</v>
      </c>
      <c r="BL97" s="93">
        <f>IF(AND($T97=1,BL$5&lt;=$H97),INDEX(Mortality!$B$4:$E$64,MATCH($D97+BL$5-1,Mortality!$A$4:$A$64,0),$U97)*$V97*$N97,0)</f>
        <v>4.9479501231952296E-3</v>
      </c>
      <c r="BM97" s="93">
        <f>IF(AND($T97=1,BM$5&lt;=$H97),INDEX(Mortality!$B$4:$E$64,MATCH($D97+BM$5-1,Mortality!$A$4:$A$64,0),$U97)*$V97*$N97,0)</f>
        <v>5.36005037995811E-3</v>
      </c>
      <c r="BN97" s="93">
        <f>IF(AND($T97=1,BN$5&lt;=$H97),INDEX(Mortality!$B$4:$E$64,MATCH($D97+BN$5-1,Mortality!$A$4:$A$64,0),$U97)*$V97*$N97,0)</f>
        <v>5.8064732586948697E-3</v>
      </c>
      <c r="BO97" s="93">
        <f>IF(AND($T97=1,BO$5&lt;=$H97),INDEX(Mortality!$B$4:$E$64,MATCH($D97+BO$5-1,Mortality!$A$4:$A$64,0),$U97)*$V97*$N97,0)</f>
        <v>0</v>
      </c>
      <c r="BP97" s="93">
        <f>IF(AND($T97=1,BP$5&lt;=$H97),INDEX(Mortality!$B$4:$E$64,MATCH($D97+BP$5-1,Mortality!$A$4:$A$64,0),$U97)*$V97*$N97,0)</f>
        <v>0</v>
      </c>
      <c r="BQ97" s="93">
        <f>IF(AND($T97=1,BQ$5&lt;=$H97),INDEX(Mortality!$B$4:$E$64,MATCH($D97+BQ$5-1,Mortality!$A$4:$A$64,0),$U97)*$V97*$N97,0)</f>
        <v>0</v>
      </c>
      <c r="BR97" s="93">
        <f>IF(AND($T97=1,BR$5&lt;=$H97),INDEX(Mortality!$B$4:$E$64,MATCH($D97+BR$5-1,Mortality!$A$4:$A$64,0),$U97)*$V97*$N97,0)</f>
        <v>0</v>
      </c>
      <c r="BS97" s="93">
        <f>IF(AND($T97=1,BS$5&lt;=$H97),INDEX(Mortality!$B$4:$E$64,MATCH($D97+BS$5-1,Mortality!$A$4:$A$64,0),$U97)*$V97*$N97,0)</f>
        <v>0</v>
      </c>
      <c r="BT97" s="93">
        <f>IF(AND($T97=1,BT$5&lt;=$H97),INDEX(Mortality!$B$4:$E$64,MATCH($D97+BT$5-1,Mortality!$A$4:$A$64,0),$U97)*$V97*$N97,0)</f>
        <v>0</v>
      </c>
      <c r="BU97" s="93">
        <f>IF(AND($T97=1,BU$5&lt;=$H97),INDEX(Mortality!$B$4:$E$64,MATCH($D97+BU$5-1,Mortality!$A$4:$A$64,0),$U97)*$V97*$N97,0)</f>
        <v>0</v>
      </c>
      <c r="BV97" s="93">
        <f>IF(AND($T97=1,BV$5&lt;=$H97),INDEX(Mortality!$B$4:$E$64,MATCH($D97+BV$5-1,Mortality!$A$4:$A$64,0),$U97)*$V97*$N97,0)</f>
        <v>0</v>
      </c>
      <c r="BW97" s="93">
        <f>IF(AND($T97=1,BW$5&lt;=$H97),INDEX(Mortality!$B$4:$E$64,MATCH($D97+BW$5-1,Mortality!$A$4:$A$64,0),$U97)*$V97*$N97,0)</f>
        <v>0</v>
      </c>
      <c r="BX97" s="93">
        <f>IF(AND($T97=1,BX$5&lt;=$H97),INDEX(Mortality!$B$4:$E$64,MATCH($D97+BX$5-1,Mortality!$A$4:$A$64,0),$U97)*$V97*$N97,0)</f>
        <v>0</v>
      </c>
      <c r="BY97" s="93">
        <f>IF(AND($T97=1,BY$5&lt;=$H97),INDEX(Mortality!$B$4:$E$64,MATCH($D97+BY$5-1,Mortality!$A$4:$A$64,0),$U97)*$V97*$N97,0)</f>
        <v>0</v>
      </c>
      <c r="BZ97" s="93">
        <f>IF(AND($T97=1,BZ$5&lt;=$H97),INDEX(Mortality!$B$4:$E$64,MATCH($D97+BZ$5-1,Mortality!$A$4:$A$64,0),$U97)*$V97*$N97,0)</f>
        <v>0</v>
      </c>
      <c r="CA97" s="93">
        <f>IF(AND($T97=1,CA$5&lt;=$H97),INDEX(Mortality!$B$4:$E$64,MATCH($D97+CA$5-1,Mortality!$A$4:$A$64,0),$U97)*$V97*$N97,0)</f>
        <v>0</v>
      </c>
      <c r="CB97" s="93">
        <f>IF(AND($T97=1,CB$5&lt;=$H97),INDEX(Mortality!$B$4:$E$64,MATCH($D97+CB$5-1,Mortality!$A$4:$A$64,0),$U97)*$V97*$N97,0)</f>
        <v>0</v>
      </c>
      <c r="CC97" s="93">
        <f>IF(AND($T97=1,CC$5&lt;=$H97),INDEX(Mortality!$B$4:$E$64,MATCH($D97+CC$5-1,Mortality!$A$4:$A$64,0),$U97)*$V97*$N97,0)</f>
        <v>0</v>
      </c>
      <c r="CD97" s="93">
        <f>IF(AND($T97=1,CD$5&lt;=$H97),INDEX(Mortality!$B$4:$E$64,MATCH($D97+CD$5-1,Mortality!$A$4:$A$64,0),$U97)*$V97*$N97,0)</f>
        <v>0</v>
      </c>
      <c r="CE97" s="93">
        <f>IF(AND($T97=1,CE$5&lt;=$H97),INDEX(Mortality!$B$4:$E$64,MATCH($D97+CE$5-1,Mortality!$A$4:$A$64,0),$U97)*$V97*$N97,0)</f>
        <v>0</v>
      </c>
      <c r="CF97" s="93">
        <f>IF(AND($T97=1,CF$5&lt;=$H97),INDEX(Mortality!$B$4:$E$64,MATCH($D97+CF$5-1,Mortality!$A$4:$A$64,0),$U97)*$V97*$N97,0)</f>
        <v>0</v>
      </c>
      <c r="CG97" s="93">
        <f>IF(AND($T97=1,CG$5&lt;=$H97),INDEX(Mortality!$B$4:$E$64,MATCH($D97+CG$5-1,Mortality!$A$4:$A$64,0),$U97)*$V97*$N97,0)</f>
        <v>0</v>
      </c>
      <c r="CH97" s="94">
        <f>IF(AND($T97=1,CH$5&lt;=$H97),INDEX(Mortality!$B$4:$E$64,MATCH($D97+CH$5-1,Mortality!$A$4:$A$64,0),$U97)*$V97*$N97,0)</f>
        <v>0</v>
      </c>
      <c r="CI97" s="26"/>
      <c r="CJ97" s="419">
        <f t="shared" si="53"/>
        <v>1</v>
      </c>
      <c r="CK97" s="93">
        <f>IF(AND($T97=1,CK$5&lt;=$H97),CJ97*(1-AU97)*(1-MIN(1,MAX(Assumptions!$C$27,Assumptions!$C$13*Assumptions!$C$28^(CJ$5-1))*$O97)),0)</f>
        <v>0.87888244864380693</v>
      </c>
      <c r="CL97" s="93">
        <f>IF(AND($T97=1,CL$5&lt;=$H97),CK97*(1-AV97)*(1-MIN(1,MAX(Assumptions!$C$27,Assumptions!$C$13*Assumptions!$C$28^(CK$5-1))*$O97)),0)</f>
        <v>0.78815067471531508</v>
      </c>
      <c r="CM97" s="93">
        <f>IF(AND($T97=1,CM$5&lt;=$H97),CL97*(1-AW97)*(1-MIN(1,MAX(Assumptions!$C$27,Assumptions!$C$13*Assumptions!$C$28^(CL$5-1))*$O97)),0)</f>
        <v>0.71874527079896222</v>
      </c>
      <c r="CN97" s="93">
        <f>IF(AND($T97=1,CN$5&lt;=$H97),CM97*(1-AX97)*(1-MIN(1,MAX(Assumptions!$C$27,Assumptions!$C$13*Assumptions!$C$28^(CM$5-1))*$O97)),0)</f>
        <v>0.6647024963805519</v>
      </c>
      <c r="CO97" s="93">
        <f>IF(AND($T97=1,CO$5&lt;=$H97),CN97*(1-AY97)*(1-MIN(1,MAX(Assumptions!$C$27,Assumptions!$C$13*Assumptions!$C$28^(CN$5-1))*$O97)),0)</f>
        <v>0.62197536991146052</v>
      </c>
      <c r="CP97" s="93">
        <f>IF(AND($T97=1,CP$5&lt;=$H97),CO97*(1-AZ97)*(1-MIN(1,MAX(Assumptions!$C$27,Assumptions!$C$13*Assumptions!$C$28^(CO$5-1))*$O97)),0)</f>
        <v>0.58774290379397132</v>
      </c>
      <c r="CQ97" s="93">
        <f>IF(AND($T97=1,CQ$5&lt;=$H97),CP97*(1-BA97)*(1-MIN(1,MAX(Assumptions!$C$27,Assumptions!$C$13*Assumptions!$C$28^(CP$5-1))*$O97)),0)</f>
        <v>0.55999122198753815</v>
      </c>
      <c r="CR97" s="93">
        <f>IF(AND($T97=1,CR$5&lt;=$H97),CQ97*(1-BB97)*(1-MIN(1,MAX(Assumptions!$C$27,Assumptions!$C$13*Assumptions!$C$28^(CQ$5-1))*$O97)),0)</f>
        <v>0.53725166915745004</v>
      </c>
      <c r="CS97" s="93">
        <f>IF(AND($T97=1,CS$5&lt;=$H97),CR97*(1-BC97)*(1-MIN(1,MAX(Assumptions!$C$27,Assumptions!$C$13*Assumptions!$C$28^(CR$5-1))*$O97)),0)</f>
        <v>0.51843252966879616</v>
      </c>
      <c r="CT97" s="93">
        <f>IF(AND($T97=1,CT$5&lt;=$H97),CS97*(1-BD97)*(1-MIN(1,MAX(Assumptions!$C$27,Assumptions!$C$13*Assumptions!$C$28^(CS$5-1))*$O97)),0)</f>
        <v>0.50270819364460873</v>
      </c>
      <c r="CU97" s="93">
        <f>IF(AND($T97=1,CU$5&lt;=$H97),CT97*(1-BE97)*(1-MIN(1,MAX(Assumptions!$C$27,Assumptions!$C$13*Assumptions!$C$28^(CT$5-1))*$O97)),0)</f>
        <v>0.48944450388114563</v>
      </c>
      <c r="CV97" s="93">
        <f>IF(AND($T97=1,CV$5&lt;=$H97),CU97*(1-BF97)*(1-MIN(1,MAX(Assumptions!$C$27,Assumptions!$C$13*Assumptions!$C$28^(CU$5-1))*$O97)),0)</f>
        <v>0.47814743175772845</v>
      </c>
      <c r="CW97" s="93">
        <f>IF(AND($T97=1,CW$5&lt;=$H97),CV97*(1-BG97)*(1-MIN(1,MAX(Assumptions!$C$27,Assumptions!$C$13*Assumptions!$C$28^(CV$5-1))*$O97)),0)</f>
        <v>0.46703032420922463</v>
      </c>
      <c r="CX97" s="93">
        <f>IF(AND($T97=1,CX$5&lt;=$H97),CW97*(1-BH97)*(1-MIN(1,MAX(Assumptions!$C$27,Assumptions!$C$13*Assumptions!$C$28^(CW$5-1))*$O97)),0)</f>
        <v>0.45604526181190647</v>
      </c>
      <c r="CY97" s="93">
        <f>IF(AND($T97=1,CY$5&lt;=$H97),CX97*(1-BI97)*(1-MIN(1,MAX(Assumptions!$C$27,Assumptions!$C$13*Assumptions!$C$28^(CX$5-1))*$O97)),0)</f>
        <v>0.44518483964099159</v>
      </c>
      <c r="CZ97" s="93">
        <f>IF(AND($T97=1,CZ$5&lt;=$H97),CY97*(1-BJ97)*(1-MIN(1,MAX(Assumptions!$C$27,Assumptions!$C$13*Assumptions!$C$28^(CY$5-1))*$O97)),0)</f>
        <v>0.43444162232231681</v>
      </c>
      <c r="DA97" s="93">
        <f>IF(AND($T97=1,DA$5&lt;=$H97),CZ97*(1-BK97)*(1-MIN(1,MAX(Assumptions!$C$27,Assumptions!$C$13*Assumptions!$C$28^(CZ$5-1))*$O97)),0)</f>
        <v>0.42380814968586211</v>
      </c>
      <c r="DB97" s="93">
        <f>IF(AND($T97=1,DB$5&lt;=$H97),DA97*(1-BL97)*(1-MIN(1,MAX(Assumptions!$C$27,Assumptions!$C$13*Assumptions!$C$28^(DA$5-1))*$O97)),0)</f>
        <v>0.41327694473742455</v>
      </c>
      <c r="DC97" s="93">
        <f>IF(AND($T97=1,DC$5&lt;=$H97),DB97*(1-BM97)*(1-MIN(1,MAX(Assumptions!$C$27,Assumptions!$C$13*Assumptions!$C$28^(DB$5-1))*$O97)),0)</f>
        <v>0.40284052430290168</v>
      </c>
      <c r="DD97" s="93">
        <f>IF(AND($T97=1,DD$5&lt;=$H97),DC97*(1-BN97)*(1-MIN(1,MAX(Assumptions!$C$27,Assumptions!$C$13*Assumptions!$C$28^(DC$5-1))*$O97)),0)</f>
        <v>0</v>
      </c>
      <c r="DE97" s="93">
        <f>IF(AND($T97=1,DE$5&lt;=$H97),DD97*(1-BO97)*(1-MIN(1,MAX(Assumptions!$C$27,Assumptions!$C$13*Assumptions!$C$28^(DD$5-1))*$O97)),0)</f>
        <v>0</v>
      </c>
      <c r="DF97" s="93">
        <f>IF(AND($T97=1,DF$5&lt;=$H97),DE97*(1-BP97)*(1-MIN(1,MAX(Assumptions!$C$27,Assumptions!$C$13*Assumptions!$C$28^(DE$5-1))*$O97)),0)</f>
        <v>0</v>
      </c>
      <c r="DG97" s="93">
        <f>IF(AND($T97=1,DG$5&lt;=$H97),DF97*(1-BQ97)*(1-MIN(1,MAX(Assumptions!$C$27,Assumptions!$C$13*Assumptions!$C$28^(DF$5-1))*$O97)),0)</f>
        <v>0</v>
      </c>
      <c r="DH97" s="93">
        <f>IF(AND($T97=1,DH$5&lt;=$H97),DG97*(1-BR97)*(1-MIN(1,MAX(Assumptions!$C$27,Assumptions!$C$13*Assumptions!$C$28^(DG$5-1))*$O97)),0)</f>
        <v>0</v>
      </c>
      <c r="DI97" s="93">
        <f>IF(AND($T97=1,DI$5&lt;=$H97),DH97*(1-BS97)*(1-MIN(1,MAX(Assumptions!$C$27,Assumptions!$C$13*Assumptions!$C$28^(DH$5-1))*$O97)),0)</f>
        <v>0</v>
      </c>
      <c r="DJ97" s="93">
        <f>IF(AND($T97=1,DJ$5&lt;=$H97),DI97*(1-BT97)*(1-MIN(1,MAX(Assumptions!$C$27,Assumptions!$C$13*Assumptions!$C$28^(DI$5-1))*$O97)),0)</f>
        <v>0</v>
      </c>
      <c r="DK97" s="93">
        <f>IF(AND($T97=1,DK$5&lt;=$H97),DJ97*(1-BU97)*(1-MIN(1,MAX(Assumptions!$C$27,Assumptions!$C$13*Assumptions!$C$28^(DJ$5-1))*$O97)),0)</f>
        <v>0</v>
      </c>
      <c r="DL97" s="93">
        <f>IF(AND($T97=1,DL$5&lt;=$H97),DK97*(1-BV97)*(1-MIN(1,MAX(Assumptions!$C$27,Assumptions!$C$13*Assumptions!$C$28^(DK$5-1))*$O97)),0)</f>
        <v>0</v>
      </c>
      <c r="DM97" s="93">
        <f>IF(AND($T97=1,DM$5&lt;=$H97),DL97*(1-BW97)*(1-MIN(1,MAX(Assumptions!$C$27,Assumptions!$C$13*Assumptions!$C$28^(DL$5-1))*$O97)),0)</f>
        <v>0</v>
      </c>
      <c r="DN97" s="93">
        <f>IF(AND($T97=1,DN$5&lt;=$H97),DM97*(1-BX97)*(1-MIN(1,MAX(Assumptions!$C$27,Assumptions!$C$13*Assumptions!$C$28^(DM$5-1))*$O97)),0)</f>
        <v>0</v>
      </c>
      <c r="DO97" s="93">
        <f>IF(AND($T97=1,DO$5&lt;=$H97),DN97*(1-BY97)*(1-MIN(1,MAX(Assumptions!$C$27,Assumptions!$C$13*Assumptions!$C$28^(DN$5-1))*$O97)),0)</f>
        <v>0</v>
      </c>
      <c r="DP97" s="93">
        <f>IF(AND($T97=1,DP$5&lt;=$H97),DO97*(1-BZ97)*(1-MIN(1,MAX(Assumptions!$C$27,Assumptions!$C$13*Assumptions!$C$28^(DO$5-1))*$O97)),0)</f>
        <v>0</v>
      </c>
      <c r="DQ97" s="93">
        <f>IF(AND($T97=1,DQ$5&lt;=$H97),DP97*(1-CA97)*(1-MIN(1,MAX(Assumptions!$C$27,Assumptions!$C$13*Assumptions!$C$28^(DP$5-1))*$O97)),0)</f>
        <v>0</v>
      </c>
      <c r="DR97" s="93">
        <f>IF(AND($T97=1,DR$5&lt;=$H97),DQ97*(1-CB97)*(1-MIN(1,MAX(Assumptions!$C$27,Assumptions!$C$13*Assumptions!$C$28^(DQ$5-1))*$O97)),0)</f>
        <v>0</v>
      </c>
      <c r="DS97" s="93">
        <f>IF(AND($T97=1,DS$5&lt;=$H97),DR97*(1-CC97)*(1-MIN(1,MAX(Assumptions!$C$27,Assumptions!$C$13*Assumptions!$C$28^(DR$5-1))*$O97)),0)</f>
        <v>0</v>
      </c>
      <c r="DT97" s="93">
        <f>IF(AND($T97=1,DT$5&lt;=$H97),DS97*(1-CD97)*(1-MIN(1,MAX(Assumptions!$C$27,Assumptions!$C$13*Assumptions!$C$28^(DS$5-1))*$O97)),0)</f>
        <v>0</v>
      </c>
      <c r="DU97" s="93">
        <f>IF(AND($T97=1,DU$5&lt;=$H97),DT97*(1-CE97)*(1-MIN(1,MAX(Assumptions!$C$27,Assumptions!$C$13*Assumptions!$C$28^(DT$5-1))*$O97)),0)</f>
        <v>0</v>
      </c>
      <c r="DV97" s="93">
        <f>IF(AND($T97=1,DV$5&lt;=$H97),DU97*(1-CF97)*(1-MIN(1,MAX(Assumptions!$C$27,Assumptions!$C$13*Assumptions!$C$28^(DU$5-1))*$O97)),0)</f>
        <v>0</v>
      </c>
      <c r="DW97" s="94">
        <f>IF(AND($T97=1,DW$5&lt;=$H97),DV97*(1-CG97)*(1-MIN(1,MAX(Assumptions!$C$27,Assumptions!$C$13*Assumptions!$C$28^(DV$5-1))*$O97)),0)</f>
        <v>0</v>
      </c>
      <c r="DX97" s="26"/>
      <c r="DY97" s="399">
        <f>'Policy Data'!K71</f>
        <v>6</v>
      </c>
      <c r="DZ97" s="100">
        <f>'Policy Data'!L71</f>
        <v>0.99129999999999996</v>
      </c>
      <c r="EA97" s="100">
        <f>'Policy Data'!N71</f>
        <v>1.2589999999999999E-3</v>
      </c>
      <c r="EB97" s="93" cm="1">
        <f t="array" ref="EB97">IFERROR(DZ97*INDEX(Mortality!$B$4:$E$64,MATCH(D97+DY97-1,Mortality!$A$4:$A$64,0),U97)*V97,0)</f>
        <v>1.878052448680849E-3</v>
      </c>
      <c r="EC97" s="100">
        <f>'Policy Data'!O71</f>
        <v>0</v>
      </c>
      <c r="ED97" s="400">
        <f>'Policy Data'!Q71</f>
        <v>0</v>
      </c>
    </row>
    <row r="98" spans="1:134" x14ac:dyDescent="0.3">
      <c r="A98" s="399" t="str">
        <f>'Policy Data'!A72</f>
        <v>POL100068</v>
      </c>
      <c r="B98" s="26" t="s">
        <v>426</v>
      </c>
      <c r="C98" s="100" t="str">
        <f>'Policy Data'!B72</f>
        <v>Term Life</v>
      </c>
      <c r="D98" s="100">
        <f>'Policy Data'!C72</f>
        <v>62</v>
      </c>
      <c r="E98" s="100" t="str">
        <f>'Policy Data'!D72</f>
        <v>Male</v>
      </c>
      <c r="F98" s="100" t="str">
        <f>'Policy Data'!E72</f>
        <v>Non-smoker</v>
      </c>
      <c r="G98" s="100" t="str">
        <f>'Policy Data'!F72</f>
        <v>Preferred</v>
      </c>
      <c r="H98" s="100">
        <f>'Policy Data'!G72</f>
        <v>10</v>
      </c>
      <c r="I98" s="279">
        <f>'Policy Data'!H72</f>
        <v>500000</v>
      </c>
      <c r="J98" s="100" t="str">
        <f>'Policy Data'!I72</f>
        <v>Annual</v>
      </c>
      <c r="K98" s="100" t="str">
        <f>'Policy Data'!J72</f>
        <v>Broker</v>
      </c>
      <c r="L98" s="26" t="s">
        <v>389</v>
      </c>
      <c r="M98" s="106">
        <f>'Policy Data'!R72</f>
        <v>3914.7</v>
      </c>
      <c r="N98" s="415">
        <f>Assumptions!$C$21</f>
        <v>1</v>
      </c>
      <c r="O98" s="415">
        <f>Assumptions!$C$22</f>
        <v>1</v>
      </c>
      <c r="P98" s="415">
        <f>Assumptions!$C$23</f>
        <v>1</v>
      </c>
      <c r="Q98" s="416">
        <f>Assumptions!$C$24</f>
        <v>0</v>
      </c>
      <c r="R98" s="416">
        <f>Assumptions!$C$6+Assumptions!$C$25</f>
        <v>3.5000000000000003E-2</v>
      </c>
      <c r="S98" s="416">
        <f>Assumptions!$C$15</f>
        <v>1.1000000000000001E-3</v>
      </c>
      <c r="T98" s="26">
        <f t="shared" si="36"/>
        <v>1</v>
      </c>
      <c r="U98" s="26">
        <f t="shared" si="37"/>
        <v>3</v>
      </c>
      <c r="V98" s="389">
        <f>IF($G98="Preferred",Assumptions!$C$30,IF($G98="Rated",Assumptions!$C$31,1))</f>
        <v>0.8</v>
      </c>
      <c r="W98" s="390">
        <f>IF($K98="Direct",Assumptions!$C$32,IF($K98="Broker",Assumptions!$C$33,IF($K98="Bancassurance",Assumptions!$C$34,Assumptions!$C$11)))+$Q98</f>
        <v>0.25</v>
      </c>
      <c r="X98" s="390">
        <f>Assumptions!$C$12+$Q98</f>
        <v>0.05</v>
      </c>
      <c r="Y98" s="131">
        <f>MIN($I98,Assumptions!$C$14)</f>
        <v>500000</v>
      </c>
      <c r="Z98" s="131">
        <f>MAX($I98-Assumptions!$C$14,0)</f>
        <v>0</v>
      </c>
      <c r="AA98" s="389">
        <f t="shared" si="38"/>
        <v>5.733414510227564</v>
      </c>
      <c r="AB98" s="389">
        <f t="shared" si="39"/>
        <v>4.1939656879008233E-2</v>
      </c>
      <c r="AC98" s="389">
        <f>IF($T98=1,SUMPRODUCT($CJ98:$DW98,(1+Assumptions!$C$5)^($CJ$5:$DW$5-1),(1+$R98)^(-$CJ$5:$DW$5)),0)</f>
        <v>6.6361827705020344</v>
      </c>
      <c r="AD98" s="389">
        <f t="shared" si="40"/>
        <v>0.47990744048722367</v>
      </c>
      <c r="AE98" s="131">
        <f>IF($T98=1,$AB98*$Y98+(Assumptions!$C$9/(1+$R98)+Assumptions!$C$10*$AC98)*$P98+$S98*$Z98*$AA98,0)</f>
        <v>23299.353866405869</v>
      </c>
      <c r="AF98" s="131">
        <f>IF($T98=1,IF($AA98-$AD98-Assumptions!$C$16*$AA98&gt;0,$AE98/($AA98-$AD98-Assumptions!$C$16*$AA98)*IF($J98="Monthly",1+Assumptions!$C$29,1),"n.a."),"")</f>
        <v>4859.261928353947</v>
      </c>
      <c r="AG98" s="131">
        <f t="shared" si="41"/>
        <v>3914.7</v>
      </c>
      <c r="AH98" s="131">
        <f t="shared" si="42"/>
        <v>22444.597783187844</v>
      </c>
      <c r="AI98" s="131">
        <f t="shared" si="43"/>
        <v>-2733.4497404933572</v>
      </c>
      <c r="AJ98" s="390">
        <f t="shared" si="44"/>
        <v>-0.12178653263908572</v>
      </c>
      <c r="AK98" s="389">
        <f t="shared" si="45"/>
        <v>0.8056161733446805</v>
      </c>
      <c r="AL98" s="131">
        <f t="shared" si="46"/>
        <v>0</v>
      </c>
      <c r="AM98" s="131">
        <f t="shared" si="47"/>
        <v>0</v>
      </c>
      <c r="AN98" s="131">
        <f t="shared" si="48"/>
        <v>0</v>
      </c>
      <c r="AO98" s="131">
        <f t="shared" si="49"/>
        <v>-2733.4497404933572</v>
      </c>
      <c r="AP98" s="26" t="str">
        <f t="shared" si="50"/>
        <v>60+</v>
      </c>
      <c r="AQ98" s="26" t="str">
        <f t="shared" si="51"/>
        <v>250k-500k</v>
      </c>
      <c r="AR98" s="26" t="str">
        <f>IF($T98=1,IF($AI98&lt;0,"Loss-making",IF($AJ98&lt;Assumptions!$C$16-0.00001,"Below target","At/above target")),"Excluded")</f>
        <v>Loss-making</v>
      </c>
      <c r="AS98" s="103">
        <f t="shared" si="52"/>
        <v>-2733.4496424933573</v>
      </c>
      <c r="AT98" s="26"/>
      <c r="AU98" s="419">
        <f>IF(AND($T98=1,AU$5&lt;=$H98),INDEX(Mortality!$B$4:$E$64,MATCH($D98+AU$5-1,Mortality!$A$4:$A$64,0),$U98)*$V98*$N98,0)</f>
        <v>5.3554283686348325E-3</v>
      </c>
      <c r="AV98" s="93">
        <f>IF(AND($T98=1,AV$5&lt;=$H98),INDEX(Mortality!$B$4:$E$64,MATCH($D98+AV$5-1,Mortality!$A$4:$A$64,0),$U98)*$V98*$N98,0)</f>
        <v>5.801466293601721E-3</v>
      </c>
      <c r="AW98" s="93">
        <f>IF(AND($T98=1,AW$5&lt;=$H98),INDEX(Mortality!$B$4:$E$64,MATCH($D98+AW$5-1,Mortality!$A$4:$A$64,0),$U98)*$V98*$N98,0)</f>
        <v>6.2846534094109126E-3</v>
      </c>
      <c r="AX98" s="93">
        <f>IF(AND($T98=1,AX$5&lt;=$H98),INDEX(Mortality!$B$4:$E$64,MATCH($D98+AX$5-1,Mortality!$A$4:$A$64,0),$U98)*$V98*$N98,0)</f>
        <v>6.8080837632341759E-3</v>
      </c>
      <c r="AY98" s="93">
        <f>IF(AND($T98=1,AY$5&lt;=$H98),INDEX(Mortality!$B$4:$E$64,MATCH($D98+AY$5-1,Mortality!$A$4:$A$64,0),$U98)*$V98*$N98,0)</f>
        <v>7.3751090963594477E-3</v>
      </c>
      <c r="AZ98" s="93">
        <f>IF(AND($T98=1,AZ$5&lt;=$H98),INDEX(Mortality!$B$4:$E$64,MATCH($D98+AZ$5-1,Mortality!$A$4:$A$64,0),$U98)*$V98*$N98,0)</f>
        <v>7.9893603067781437E-3</v>
      </c>
      <c r="BA98" s="93">
        <f>IF(AND($T98=1,BA$5&lt;=$H98),INDEX(Mortality!$B$4:$E$64,MATCH($D98+BA$5-1,Mortality!$A$4:$A$64,0),$U98)*$V98*$N98,0)</f>
        <v>8.6547706993283999E-3</v>
      </c>
      <c r="BB98" s="93">
        <f>IF(AND($T98=1,BB$5&lt;=$H98),INDEX(Mortality!$B$4:$E$64,MATCH($D98+BB$5-1,Mortality!$A$4:$A$64,0),$U98)*$V98*$N98,0)</f>
        <v>9.3756011722746415E-3</v>
      </c>
      <c r="BC98" s="93">
        <f>IF(AND($T98=1,BC$5&lt;=$H98),INDEX(Mortality!$B$4:$E$64,MATCH($D98+BC$5-1,Mortality!$A$4:$A$64,0),$U98)*$V98*$N98,0)</f>
        <v>1.015646750160328E-2</v>
      </c>
      <c r="BD98" s="93">
        <f>IF(AND($T98=1,BD$5&lt;=$H98),INDEX(Mortality!$B$4:$E$64,MATCH($D98+BD$5-1,Mortality!$A$4:$A$64,0),$U98)*$V98*$N98,0)</f>
        <v>1.1002369897747841E-2</v>
      </c>
      <c r="BE98" s="93">
        <f>IF(AND($T98=1,BE$5&lt;=$H98),INDEX(Mortality!$B$4:$E$64,MATCH($D98+BE$5-1,Mortality!$A$4:$A$64,0),$U98)*$V98*$N98,0)</f>
        <v>0</v>
      </c>
      <c r="BF98" s="93">
        <f>IF(AND($T98=1,BF$5&lt;=$H98),INDEX(Mortality!$B$4:$E$64,MATCH($D98+BF$5-1,Mortality!$A$4:$A$64,0),$U98)*$V98*$N98,0)</f>
        <v>0</v>
      </c>
      <c r="BG98" s="93">
        <f>IF(AND($T98=1,BG$5&lt;=$H98),INDEX(Mortality!$B$4:$E$64,MATCH($D98+BG$5-1,Mortality!$A$4:$A$64,0),$U98)*$V98*$N98,0)</f>
        <v>0</v>
      </c>
      <c r="BH98" s="93">
        <f>IF(AND($T98=1,BH$5&lt;=$H98),INDEX(Mortality!$B$4:$E$64,MATCH($D98+BH$5-1,Mortality!$A$4:$A$64,0),$U98)*$V98*$N98,0)</f>
        <v>0</v>
      </c>
      <c r="BI98" s="93">
        <f>IF(AND($T98=1,BI$5&lt;=$H98),INDEX(Mortality!$B$4:$E$64,MATCH($D98+BI$5-1,Mortality!$A$4:$A$64,0),$U98)*$V98*$N98,0)</f>
        <v>0</v>
      </c>
      <c r="BJ98" s="93">
        <f>IF(AND($T98=1,BJ$5&lt;=$H98),INDEX(Mortality!$B$4:$E$64,MATCH($D98+BJ$5-1,Mortality!$A$4:$A$64,0),$U98)*$V98*$N98,0)</f>
        <v>0</v>
      </c>
      <c r="BK98" s="93">
        <f>IF(AND($T98=1,BK$5&lt;=$H98),INDEX(Mortality!$B$4:$E$64,MATCH($D98+BK$5-1,Mortality!$A$4:$A$64,0),$U98)*$V98*$N98,0)</f>
        <v>0</v>
      </c>
      <c r="BL98" s="93">
        <f>IF(AND($T98=1,BL$5&lt;=$H98),INDEX(Mortality!$B$4:$E$64,MATCH($D98+BL$5-1,Mortality!$A$4:$A$64,0),$U98)*$V98*$N98,0)</f>
        <v>0</v>
      </c>
      <c r="BM98" s="93">
        <f>IF(AND($T98=1,BM$5&lt;=$H98),INDEX(Mortality!$B$4:$E$64,MATCH($D98+BM$5-1,Mortality!$A$4:$A$64,0),$U98)*$V98*$N98,0)</f>
        <v>0</v>
      </c>
      <c r="BN98" s="93">
        <f>IF(AND($T98=1,BN$5&lt;=$H98),INDEX(Mortality!$B$4:$E$64,MATCH($D98+BN$5-1,Mortality!$A$4:$A$64,0),$U98)*$V98*$N98,0)</f>
        <v>0</v>
      </c>
      <c r="BO98" s="93">
        <f>IF(AND($T98=1,BO$5&lt;=$H98),INDEX(Mortality!$B$4:$E$64,MATCH($D98+BO$5-1,Mortality!$A$4:$A$64,0),$U98)*$V98*$N98,0)</f>
        <v>0</v>
      </c>
      <c r="BP98" s="93">
        <f>IF(AND($T98=1,BP$5&lt;=$H98),INDEX(Mortality!$B$4:$E$64,MATCH($D98+BP$5-1,Mortality!$A$4:$A$64,0),$U98)*$V98*$N98,0)</f>
        <v>0</v>
      </c>
      <c r="BQ98" s="93">
        <f>IF(AND($T98=1,BQ$5&lt;=$H98),INDEX(Mortality!$B$4:$E$64,MATCH($D98+BQ$5-1,Mortality!$A$4:$A$64,0),$U98)*$V98*$N98,0)</f>
        <v>0</v>
      </c>
      <c r="BR98" s="93">
        <f>IF(AND($T98=1,BR$5&lt;=$H98),INDEX(Mortality!$B$4:$E$64,MATCH($D98+BR$5-1,Mortality!$A$4:$A$64,0),$U98)*$V98*$N98,0)</f>
        <v>0</v>
      </c>
      <c r="BS98" s="93">
        <f>IF(AND($T98=1,BS$5&lt;=$H98),INDEX(Mortality!$B$4:$E$64,MATCH($D98+BS$5-1,Mortality!$A$4:$A$64,0),$U98)*$V98*$N98,0)</f>
        <v>0</v>
      </c>
      <c r="BT98" s="93">
        <f>IF(AND($T98=1,BT$5&lt;=$H98),INDEX(Mortality!$B$4:$E$64,MATCH($D98+BT$5-1,Mortality!$A$4:$A$64,0),$U98)*$V98*$N98,0)</f>
        <v>0</v>
      </c>
      <c r="BU98" s="93">
        <f>IF(AND($T98=1,BU$5&lt;=$H98),INDEX(Mortality!$B$4:$E$64,MATCH($D98+BU$5-1,Mortality!$A$4:$A$64,0),$U98)*$V98*$N98,0)</f>
        <v>0</v>
      </c>
      <c r="BV98" s="93">
        <f>IF(AND($T98=1,BV$5&lt;=$H98),INDEX(Mortality!$B$4:$E$64,MATCH($D98+BV$5-1,Mortality!$A$4:$A$64,0),$U98)*$V98*$N98,0)</f>
        <v>0</v>
      </c>
      <c r="BW98" s="93">
        <f>IF(AND($T98=1,BW$5&lt;=$H98),INDEX(Mortality!$B$4:$E$64,MATCH($D98+BW$5-1,Mortality!$A$4:$A$64,0),$U98)*$V98*$N98,0)</f>
        <v>0</v>
      </c>
      <c r="BX98" s="93">
        <f>IF(AND($T98=1,BX$5&lt;=$H98),INDEX(Mortality!$B$4:$E$64,MATCH($D98+BX$5-1,Mortality!$A$4:$A$64,0),$U98)*$V98*$N98,0)</f>
        <v>0</v>
      </c>
      <c r="BY98" s="93">
        <f>IF(AND($T98=1,BY$5&lt;=$H98),INDEX(Mortality!$B$4:$E$64,MATCH($D98+BY$5-1,Mortality!$A$4:$A$64,0),$U98)*$V98*$N98,0)</f>
        <v>0</v>
      </c>
      <c r="BZ98" s="93">
        <f>IF(AND($T98=1,BZ$5&lt;=$H98),INDEX(Mortality!$B$4:$E$64,MATCH($D98+BZ$5-1,Mortality!$A$4:$A$64,0),$U98)*$V98*$N98,0)</f>
        <v>0</v>
      </c>
      <c r="CA98" s="93">
        <f>IF(AND($T98=1,CA$5&lt;=$H98),INDEX(Mortality!$B$4:$E$64,MATCH($D98+CA$5-1,Mortality!$A$4:$A$64,0),$U98)*$V98*$N98,0)</f>
        <v>0</v>
      </c>
      <c r="CB98" s="93">
        <f>IF(AND($T98=1,CB$5&lt;=$H98),INDEX(Mortality!$B$4:$E$64,MATCH($D98+CB$5-1,Mortality!$A$4:$A$64,0),$U98)*$V98*$N98,0)</f>
        <v>0</v>
      </c>
      <c r="CC98" s="93">
        <f>IF(AND($T98=1,CC$5&lt;=$H98),INDEX(Mortality!$B$4:$E$64,MATCH($D98+CC$5-1,Mortality!$A$4:$A$64,0),$U98)*$V98*$N98,0)</f>
        <v>0</v>
      </c>
      <c r="CD98" s="93">
        <f>IF(AND($T98=1,CD$5&lt;=$H98),INDEX(Mortality!$B$4:$E$64,MATCH($D98+CD$5-1,Mortality!$A$4:$A$64,0),$U98)*$V98*$N98,0)</f>
        <v>0</v>
      </c>
      <c r="CE98" s="93">
        <f>IF(AND($T98=1,CE$5&lt;=$H98),INDEX(Mortality!$B$4:$E$64,MATCH($D98+CE$5-1,Mortality!$A$4:$A$64,0),$U98)*$V98*$N98,0)</f>
        <v>0</v>
      </c>
      <c r="CF98" s="93">
        <f>IF(AND($T98=1,CF$5&lt;=$H98),INDEX(Mortality!$B$4:$E$64,MATCH($D98+CF$5-1,Mortality!$A$4:$A$64,0),$U98)*$V98*$N98,0)</f>
        <v>0</v>
      </c>
      <c r="CG98" s="93">
        <f>IF(AND($T98=1,CG$5&lt;=$H98),INDEX(Mortality!$B$4:$E$64,MATCH($D98+CG$5-1,Mortality!$A$4:$A$64,0),$U98)*$V98*$N98,0)</f>
        <v>0</v>
      </c>
      <c r="CH98" s="94">
        <f>IF(AND($T98=1,CH$5&lt;=$H98),INDEX(Mortality!$B$4:$E$64,MATCH($D98+CH$5-1,Mortality!$A$4:$A$64,0),$U98)*$V98*$N98,0)</f>
        <v>0</v>
      </c>
      <c r="CI98" s="26"/>
      <c r="CJ98" s="419">
        <f t="shared" si="53"/>
        <v>1</v>
      </c>
      <c r="CK98" s="93">
        <f>IF(AND($T98=1,CK$5&lt;=$H98),CJ98*(1-AU98)*(1-MIN(1,MAX(Assumptions!$C$27,Assumptions!$C$13*Assumptions!$C$28^(CJ$5-1))*$O98)),0)</f>
        <v>0.87528722303560136</v>
      </c>
      <c r="CL98" s="93">
        <f>IF(AND($T98=1,CL$5&lt;=$H98),CK98*(1-AV98)*(1-MIN(1,MAX(Assumptions!$C$27,Assumptions!$C$13*Assumptions!$C$28^(CK$5-1))*$O98)),0)</f>
        <v>0.78144792779511818</v>
      </c>
      <c r="CM98" s="93">
        <f>IF(AND($T98=1,CM$5&lt;=$H98),CL98*(1-AW98)*(1-MIN(1,MAX(Assumptions!$C$27,Assumptions!$C$13*Assumptions!$C$28^(CL$5-1))*$O98)),0)</f>
        <v>0.70921105798915307</v>
      </c>
      <c r="CN98" s="93">
        <f>IF(AND($T98=1,CN$5&lt;=$H98),CM98*(1-AX98)*(1-MIN(1,MAX(Assumptions!$C$27,Assumptions!$C$13*Assumptions!$C$28^(CM$5-1))*$O98)),0)</f>
        <v>0.65247320738306891</v>
      </c>
      <c r="CO98" s="93">
        <f>IF(AND($T98=1,CO$5&lt;=$H98),CN98*(1-AY98)*(1-MIN(1,MAX(Assumptions!$C$27,Assumptions!$C$13*Assumptions!$C$28^(CN$5-1))*$O98)),0)</f>
        <v>0.60709116634631555</v>
      </c>
      <c r="CP98" s="93">
        <f>IF(AND($T98=1,CP$5&lt;=$H98),CO98*(1-AZ98)*(1-MIN(1,MAX(Assumptions!$C$27,Assumptions!$C$13*Assumptions!$C$28^(CO$5-1))*$O98)),0)</f>
        <v>0.57017479806924554</v>
      </c>
      <c r="CQ98" s="93">
        <f>IF(AND($T98=1,CQ$5&lt;=$H98),CP98*(1-BA98)*(1-MIN(1,MAX(Assumptions!$C$27,Assumptions!$C$13*Assumptions!$C$28^(CP$5-1))*$O98)),0)</f>
        <v>0.53965846388398442</v>
      </c>
      <c r="CR98" s="93">
        <f>IF(AND($T98=1,CR$5&lt;=$H98),CQ98*(1-BB98)*(1-MIN(1,MAX(Assumptions!$C$27,Assumptions!$C$13*Assumptions!$C$28^(CQ$5-1))*$O98)),0)</f>
        <v>0.51403322456206091</v>
      </c>
      <c r="CS98" s="93">
        <f>IF(AND($T98=1,CS$5&lt;=$H98),CR98*(1-BC98)*(1-MIN(1,MAX(Assumptions!$C$27,Assumptions!$C$13*Assumptions!$C$28^(CR$5-1))*$O98)),0)</f>
        <v>0.49217487380515612</v>
      </c>
      <c r="CT98" s="93">
        <f>IF(AND($T98=1,CT$5&lt;=$H98),CS98*(1-BD98)*(1-MIN(1,MAX(Assumptions!$C$27,Assumptions!$C$13*Assumptions!$C$28^(CS$5-1))*$O98)),0)</f>
        <v>0</v>
      </c>
      <c r="CU98" s="93">
        <f>IF(AND($T98=1,CU$5&lt;=$H98),CT98*(1-BE98)*(1-MIN(1,MAX(Assumptions!$C$27,Assumptions!$C$13*Assumptions!$C$28^(CT$5-1))*$O98)),0)</f>
        <v>0</v>
      </c>
      <c r="CV98" s="93">
        <f>IF(AND($T98=1,CV$5&lt;=$H98),CU98*(1-BF98)*(1-MIN(1,MAX(Assumptions!$C$27,Assumptions!$C$13*Assumptions!$C$28^(CU$5-1))*$O98)),0)</f>
        <v>0</v>
      </c>
      <c r="CW98" s="93">
        <f>IF(AND($T98=1,CW$5&lt;=$H98),CV98*(1-BG98)*(1-MIN(1,MAX(Assumptions!$C$27,Assumptions!$C$13*Assumptions!$C$28^(CV$5-1))*$O98)),0)</f>
        <v>0</v>
      </c>
      <c r="CX98" s="93">
        <f>IF(AND($T98=1,CX$5&lt;=$H98),CW98*(1-BH98)*(1-MIN(1,MAX(Assumptions!$C$27,Assumptions!$C$13*Assumptions!$C$28^(CW$5-1))*$O98)),0)</f>
        <v>0</v>
      </c>
      <c r="CY98" s="93">
        <f>IF(AND($T98=1,CY$5&lt;=$H98),CX98*(1-BI98)*(1-MIN(1,MAX(Assumptions!$C$27,Assumptions!$C$13*Assumptions!$C$28^(CX$5-1))*$O98)),0)</f>
        <v>0</v>
      </c>
      <c r="CZ98" s="93">
        <f>IF(AND($T98=1,CZ$5&lt;=$H98),CY98*(1-BJ98)*(1-MIN(1,MAX(Assumptions!$C$27,Assumptions!$C$13*Assumptions!$C$28^(CY$5-1))*$O98)),0)</f>
        <v>0</v>
      </c>
      <c r="DA98" s="93">
        <f>IF(AND($T98=1,DA$5&lt;=$H98),CZ98*(1-BK98)*(1-MIN(1,MAX(Assumptions!$C$27,Assumptions!$C$13*Assumptions!$C$28^(CZ$5-1))*$O98)),0)</f>
        <v>0</v>
      </c>
      <c r="DB98" s="93">
        <f>IF(AND($T98=1,DB$5&lt;=$H98),DA98*(1-BL98)*(1-MIN(1,MAX(Assumptions!$C$27,Assumptions!$C$13*Assumptions!$C$28^(DA$5-1))*$O98)),0)</f>
        <v>0</v>
      </c>
      <c r="DC98" s="93">
        <f>IF(AND($T98=1,DC$5&lt;=$H98),DB98*(1-BM98)*(1-MIN(1,MAX(Assumptions!$C$27,Assumptions!$C$13*Assumptions!$C$28^(DB$5-1))*$O98)),0)</f>
        <v>0</v>
      </c>
      <c r="DD98" s="93">
        <f>IF(AND($T98=1,DD$5&lt;=$H98),DC98*(1-BN98)*(1-MIN(1,MAX(Assumptions!$C$27,Assumptions!$C$13*Assumptions!$C$28^(DC$5-1))*$O98)),0)</f>
        <v>0</v>
      </c>
      <c r="DE98" s="93">
        <f>IF(AND($T98=1,DE$5&lt;=$H98),DD98*(1-BO98)*(1-MIN(1,MAX(Assumptions!$C$27,Assumptions!$C$13*Assumptions!$C$28^(DD$5-1))*$O98)),0)</f>
        <v>0</v>
      </c>
      <c r="DF98" s="93">
        <f>IF(AND($T98=1,DF$5&lt;=$H98),DE98*(1-BP98)*(1-MIN(1,MAX(Assumptions!$C$27,Assumptions!$C$13*Assumptions!$C$28^(DE$5-1))*$O98)),0)</f>
        <v>0</v>
      </c>
      <c r="DG98" s="93">
        <f>IF(AND($T98=1,DG$5&lt;=$H98),DF98*(1-BQ98)*(1-MIN(1,MAX(Assumptions!$C$27,Assumptions!$C$13*Assumptions!$C$28^(DF$5-1))*$O98)),0)</f>
        <v>0</v>
      </c>
      <c r="DH98" s="93">
        <f>IF(AND($T98=1,DH$5&lt;=$H98),DG98*(1-BR98)*(1-MIN(1,MAX(Assumptions!$C$27,Assumptions!$C$13*Assumptions!$C$28^(DG$5-1))*$O98)),0)</f>
        <v>0</v>
      </c>
      <c r="DI98" s="93">
        <f>IF(AND($T98=1,DI$5&lt;=$H98),DH98*(1-BS98)*(1-MIN(1,MAX(Assumptions!$C$27,Assumptions!$C$13*Assumptions!$C$28^(DH$5-1))*$O98)),0)</f>
        <v>0</v>
      </c>
      <c r="DJ98" s="93">
        <f>IF(AND($T98=1,DJ$5&lt;=$H98),DI98*(1-BT98)*(1-MIN(1,MAX(Assumptions!$C$27,Assumptions!$C$13*Assumptions!$C$28^(DI$5-1))*$O98)),0)</f>
        <v>0</v>
      </c>
      <c r="DK98" s="93">
        <f>IF(AND($T98=1,DK$5&lt;=$H98),DJ98*(1-BU98)*(1-MIN(1,MAX(Assumptions!$C$27,Assumptions!$C$13*Assumptions!$C$28^(DJ$5-1))*$O98)),0)</f>
        <v>0</v>
      </c>
      <c r="DL98" s="93">
        <f>IF(AND($T98=1,DL$5&lt;=$H98),DK98*(1-BV98)*(1-MIN(1,MAX(Assumptions!$C$27,Assumptions!$C$13*Assumptions!$C$28^(DK$5-1))*$O98)),0)</f>
        <v>0</v>
      </c>
      <c r="DM98" s="93">
        <f>IF(AND($T98=1,DM$5&lt;=$H98),DL98*(1-BW98)*(1-MIN(1,MAX(Assumptions!$C$27,Assumptions!$C$13*Assumptions!$C$28^(DL$5-1))*$O98)),0)</f>
        <v>0</v>
      </c>
      <c r="DN98" s="93">
        <f>IF(AND($T98=1,DN$5&lt;=$H98),DM98*(1-BX98)*(1-MIN(1,MAX(Assumptions!$C$27,Assumptions!$C$13*Assumptions!$C$28^(DM$5-1))*$O98)),0)</f>
        <v>0</v>
      </c>
      <c r="DO98" s="93">
        <f>IF(AND($T98=1,DO$5&lt;=$H98),DN98*(1-BY98)*(1-MIN(1,MAX(Assumptions!$C$27,Assumptions!$C$13*Assumptions!$C$28^(DN$5-1))*$O98)),0)</f>
        <v>0</v>
      </c>
      <c r="DP98" s="93">
        <f>IF(AND($T98=1,DP$5&lt;=$H98),DO98*(1-BZ98)*(1-MIN(1,MAX(Assumptions!$C$27,Assumptions!$C$13*Assumptions!$C$28^(DO$5-1))*$O98)),0)</f>
        <v>0</v>
      </c>
      <c r="DQ98" s="93">
        <f>IF(AND($T98=1,DQ$5&lt;=$H98),DP98*(1-CA98)*(1-MIN(1,MAX(Assumptions!$C$27,Assumptions!$C$13*Assumptions!$C$28^(DP$5-1))*$O98)),0)</f>
        <v>0</v>
      </c>
      <c r="DR98" s="93">
        <f>IF(AND($T98=1,DR$5&lt;=$H98),DQ98*(1-CB98)*(1-MIN(1,MAX(Assumptions!$C$27,Assumptions!$C$13*Assumptions!$C$28^(DQ$5-1))*$O98)),0)</f>
        <v>0</v>
      </c>
      <c r="DS98" s="93">
        <f>IF(AND($T98=1,DS$5&lt;=$H98),DR98*(1-CC98)*(1-MIN(1,MAX(Assumptions!$C$27,Assumptions!$C$13*Assumptions!$C$28^(DR$5-1))*$O98)),0)</f>
        <v>0</v>
      </c>
      <c r="DT98" s="93">
        <f>IF(AND($T98=1,DT$5&lt;=$H98),DS98*(1-CD98)*(1-MIN(1,MAX(Assumptions!$C$27,Assumptions!$C$13*Assumptions!$C$28^(DS$5-1))*$O98)),0)</f>
        <v>0</v>
      </c>
      <c r="DU98" s="93">
        <f>IF(AND($T98=1,DU$5&lt;=$H98),DT98*(1-CE98)*(1-MIN(1,MAX(Assumptions!$C$27,Assumptions!$C$13*Assumptions!$C$28^(DT$5-1))*$O98)),0)</f>
        <v>0</v>
      </c>
      <c r="DV98" s="93">
        <f>IF(AND($T98=1,DV$5&lt;=$H98),DU98*(1-CF98)*(1-MIN(1,MAX(Assumptions!$C$27,Assumptions!$C$13*Assumptions!$C$28^(DU$5-1))*$O98)),0)</f>
        <v>0</v>
      </c>
      <c r="DW98" s="94">
        <f>IF(AND($T98=1,DW$5&lt;=$H98),DV98*(1-CG98)*(1-MIN(1,MAX(Assumptions!$C$27,Assumptions!$C$13*Assumptions!$C$28^(DV$5-1))*$O98)),0)</f>
        <v>0</v>
      </c>
      <c r="DX98" s="26"/>
      <c r="DY98" s="399">
        <f>'Policy Data'!K72</f>
        <v>7</v>
      </c>
      <c r="DZ98" s="100">
        <f>'Policy Data'!L72</f>
        <v>0.93459999999999999</v>
      </c>
      <c r="EA98" s="100">
        <f>'Policy Data'!N72</f>
        <v>5.0049999999999999E-3</v>
      </c>
      <c r="EB98" s="93" cm="1">
        <f t="array" ref="EB98">IFERROR(DZ98*INDEX(Mortality!$B$4:$E$64,MATCH(D98+DY98-1,Mortality!$A$4:$A$64,0),U98)*V98,0)</f>
        <v>8.0887486955923231E-3</v>
      </c>
      <c r="EC98" s="100">
        <f>'Policy Data'!O72</f>
        <v>0</v>
      </c>
      <c r="ED98" s="400">
        <f>'Policy Data'!Q72</f>
        <v>0</v>
      </c>
    </row>
    <row r="99" spans="1:134" x14ac:dyDescent="0.3">
      <c r="A99" s="399" t="str">
        <f>'Policy Data'!A73</f>
        <v>POL100069</v>
      </c>
      <c r="B99" s="26" t="s">
        <v>426</v>
      </c>
      <c r="C99" s="100" t="str">
        <f>'Policy Data'!B73</f>
        <v>Term Life</v>
      </c>
      <c r="D99" s="100">
        <f>'Policy Data'!C73</f>
        <v>43</v>
      </c>
      <c r="E99" s="100" t="str">
        <f>'Policy Data'!D73</f>
        <v>Female</v>
      </c>
      <c r="F99" s="100" t="str">
        <f>'Policy Data'!E73</f>
        <v>Non-smoker</v>
      </c>
      <c r="G99" s="100" t="str">
        <f>'Policy Data'!F73</f>
        <v>Rated</v>
      </c>
      <c r="H99" s="100">
        <f>'Policy Data'!G73</f>
        <v>15</v>
      </c>
      <c r="I99" s="279">
        <f>'Policy Data'!H73</f>
        <v>1000000</v>
      </c>
      <c r="J99" s="100" t="str">
        <f>'Policy Data'!I73</f>
        <v>Annual</v>
      </c>
      <c r="K99" s="100" t="str">
        <f>'Policy Data'!J73</f>
        <v>Direct</v>
      </c>
      <c r="L99" s="26" t="s">
        <v>389</v>
      </c>
      <c r="M99" s="106">
        <f>'Policy Data'!R73</f>
        <v>3009.3</v>
      </c>
      <c r="N99" s="415">
        <f>Assumptions!$C$21</f>
        <v>1</v>
      </c>
      <c r="O99" s="415">
        <f>Assumptions!$C$22</f>
        <v>1</v>
      </c>
      <c r="P99" s="415">
        <f>Assumptions!$C$23</f>
        <v>1</v>
      </c>
      <c r="Q99" s="416">
        <f>Assumptions!$C$24</f>
        <v>0</v>
      </c>
      <c r="R99" s="416">
        <f>Assumptions!$C$6+Assumptions!$C$25</f>
        <v>3.5000000000000003E-2</v>
      </c>
      <c r="S99" s="416">
        <f>Assumptions!$C$15</f>
        <v>1.1000000000000001E-3</v>
      </c>
      <c r="T99" s="26">
        <f t="shared" si="36"/>
        <v>1</v>
      </c>
      <c r="U99" s="26">
        <f t="shared" si="37"/>
        <v>1</v>
      </c>
      <c r="V99" s="389">
        <f>IF($G99="Preferred",Assumptions!$C$30,IF($G99="Rated",Assumptions!$C$31,1))</f>
        <v>1.55</v>
      </c>
      <c r="W99" s="390">
        <f>IF($K99="Direct",Assumptions!$C$32,IF($K99="Broker",Assumptions!$C$33,IF($K99="Bancassurance",Assumptions!$C$34,Assumptions!$C$11)))+$Q99</f>
        <v>0.1</v>
      </c>
      <c r="X99" s="390">
        <f>Assumptions!$C$12+$Q99</f>
        <v>0.05</v>
      </c>
      <c r="Y99" s="131">
        <f>MIN($I99,Assumptions!$C$14)</f>
        <v>500000</v>
      </c>
      <c r="Z99" s="131">
        <f>MAX($I99-Assumptions!$C$14,0)</f>
        <v>500000</v>
      </c>
      <c r="AA99" s="389">
        <f t="shared" si="38"/>
        <v>7.3505013244039601</v>
      </c>
      <c r="AB99" s="389">
        <f t="shared" si="39"/>
        <v>2.0047041763436881E-2</v>
      </c>
      <c r="AC99" s="389">
        <f>IF($T99=1,SUMPRODUCT($CJ99:$DW99,(1+Assumptions!$C$5)^($CJ$5:$DW$5-1),(1+$R99)^(-$CJ$5:$DW$5)),0)</f>
        <v>9.1866409761241243</v>
      </c>
      <c r="AD99" s="389">
        <f t="shared" si="40"/>
        <v>0.41583424496415944</v>
      </c>
      <c r="AE99" s="131">
        <f>IF($T99=1,$AB99*$Y99+(Assumptions!$C$9/(1+$R99)+Assumptions!$C$10*$AC99)*$P99+$S99*$Z99*$AA99,0)</f>
        <v>16956.922842279229</v>
      </c>
      <c r="AF99" s="131">
        <f>IF($T99=1,IF($AA99-$AD99-Assumptions!$C$16*$AA99&gt;0,$AE99/($AA99-$AD99-Assumptions!$C$16*$AA99)*IF($J99="Monthly",1+Assumptions!$C$29,1),"n.a."),"")</f>
        <v>2671.8007711994719</v>
      </c>
      <c r="AG99" s="131">
        <f t="shared" si="41"/>
        <v>3009.3</v>
      </c>
      <c r="AH99" s="131">
        <f t="shared" si="42"/>
        <v>22119.86363552884</v>
      </c>
      <c r="AI99" s="131">
        <f t="shared" si="43"/>
        <v>3911.5707998789658</v>
      </c>
      <c r="AJ99" s="390">
        <f t="shared" si="44"/>
        <v>0.1768352131066584</v>
      </c>
      <c r="AK99" s="389">
        <f t="shared" si="45"/>
        <v>1.12631901017418</v>
      </c>
      <c r="AL99" s="131">
        <f t="shared" si="46"/>
        <v>10023.520881718441</v>
      </c>
      <c r="AM99" s="131">
        <f t="shared" si="47"/>
        <v>4042.775728422178</v>
      </c>
      <c r="AN99" s="131">
        <f t="shared" si="48"/>
        <v>5980.7451532962632</v>
      </c>
      <c r="AO99" s="131">
        <f t="shared" si="49"/>
        <v>-2069.1743534172974</v>
      </c>
      <c r="AP99" s="26" t="str">
        <f t="shared" si="50"/>
        <v>40-49</v>
      </c>
      <c r="AQ99" s="26" t="str">
        <f t="shared" si="51"/>
        <v>500k-1m</v>
      </c>
      <c r="AR99" s="26" t="str">
        <f>IF($T99=1,IF($AI99&lt;0,"Loss-making",IF($AJ99&lt;Assumptions!$C$16-0.00001,"Below target","At/above target")),"Excluded")</f>
        <v>At/above target</v>
      </c>
      <c r="AS99" s="103">
        <f t="shared" si="52"/>
        <v>3911.5708988789656</v>
      </c>
      <c r="AT99" s="26"/>
      <c r="AU99" s="419">
        <f>IF(AND($T99=1,AU$5&lt;=$H99),INDEX(Mortality!$B$4:$E$64,MATCH($D99+AU$5-1,Mortality!$A$4:$A$64,0),$U99)*$V99*$N99,0)</f>
        <v>1.6773720373836785E-3</v>
      </c>
      <c r="AV99" s="93">
        <f>IF(AND($T99=1,AV$5&lt;=$H99),INDEX(Mortality!$B$4:$E$64,MATCH($D99+AV$5-1,Mortality!$A$4:$A$64,0),$U99)*$V99*$N99,0)</f>
        <v>1.8170754357773335E-3</v>
      </c>
      <c r="AW99" s="93">
        <f>IF(AND($T99=1,AW$5&lt;=$H99),INDEX(Mortality!$B$4:$E$64,MATCH($D99+AW$5-1,Mortality!$A$4:$A$64,0),$U99)*$V99*$N99,0)</f>
        <v>1.9684143205674319E-3</v>
      </c>
      <c r="AX99" s="93">
        <f>IF(AND($T99=1,AX$5&lt;=$H99),INDEX(Mortality!$B$4:$E$64,MATCH($D99+AX$5-1,Mortality!$A$4:$A$64,0),$U99)*$V99*$N99,0)</f>
        <v>2.1323577772968875E-3</v>
      </c>
      <c r="AY99" s="93">
        <f>IF(AND($T99=1,AY$5&lt;=$H99),INDEX(Mortality!$B$4:$E$64,MATCH($D99+AY$5-1,Mortality!$A$4:$A$64,0),$U99)*$V99*$N99,0)</f>
        <v>2.3099556038018386E-3</v>
      </c>
      <c r="AZ99" s="93">
        <f>IF(AND($T99=1,AZ$5&lt;=$H99),INDEX(Mortality!$B$4:$E$64,MATCH($D99+AZ$5-1,Mortality!$A$4:$A$64,0),$U99)*$V99*$N99,0)</f>
        <v>2.5023450325018289E-3</v>
      </c>
      <c r="BA99" s="93">
        <f>IF(AND($T99=1,BA$5&lt;=$H99),INDEX(Mortality!$B$4:$E$64,MATCH($D99+BA$5-1,Mortality!$A$4:$A$64,0),$U99)*$V99*$N99,0)</f>
        <v>2.710758012569914E-3</v>
      </c>
      <c r="BB99" s="93">
        <f>IF(AND($T99=1,BB$5&lt;=$H99),INDEX(Mortality!$B$4:$E$64,MATCH($D99+BB$5-1,Mortality!$A$4:$A$64,0),$U99)*$V99*$N99,0)</f>
        <v>2.9365290986132515E-3</v>
      </c>
      <c r="BC99" s="93">
        <f>IF(AND($T99=1,BC$5&lt;=$H99),INDEX(Mortality!$B$4:$E$64,MATCH($D99+BC$5-1,Mortality!$A$4:$A$64,0),$U99)*$V99*$N99,0)</f>
        <v>3.1811039963789479E-3</v>
      </c>
      <c r="BD99" s="93">
        <f>IF(AND($T99=1,BD$5&lt;=$H99),INDEX(Mortality!$B$4:$E$64,MATCH($D99+BD$5-1,Mortality!$A$4:$A$64,0),$U99)*$V99*$N99,0)</f>
        <v>3.4460488202064346E-3</v>
      </c>
      <c r="BE99" s="93">
        <f>IF(AND($T99=1,BE$5&lt;=$H99),INDEX(Mortality!$B$4:$E$64,MATCH($D99+BE$5-1,Mortality!$A$4:$A$64,0),$U99)*$V99*$N99,0)</f>
        <v>3.7330601215061852E-3</v>
      </c>
      <c r="BF99" s="93">
        <f>IF(AND($T99=1,BF$5&lt;=$H99),INDEX(Mortality!$B$4:$E$64,MATCH($D99+BF$5-1,Mortality!$A$4:$A$64,0),$U99)*$V99*$N99,0)</f>
        <v>4.0439757524807505E-3</v>
      </c>
      <c r="BG99" s="93">
        <f>IF(AND($T99=1,BG$5&lt;=$H99),INDEX(Mortality!$B$4:$E$64,MATCH($D99+BG$5-1,Mortality!$A$4:$A$64,0),$U99)*$V99*$N99,0)</f>
        <v>4.3807866346535036E-3</v>
      </c>
      <c r="BH99" s="93">
        <f>IF(AND($T99=1,BH$5&lt;=$H99),INDEX(Mortality!$B$4:$E$64,MATCH($D99+BH$5-1,Mortality!$A$4:$A$64,0),$U99)*$V99*$N99,0)</f>
        <v>4.7456495075634576E-3</v>
      </c>
      <c r="BI99" s="93">
        <f>IF(AND($T99=1,BI$5&lt;=$H99),INDEX(Mortality!$B$4:$E$64,MATCH($D99+BI$5-1,Mortality!$A$4:$A$64,0),$U99)*$V99*$N99,0)</f>
        <v>5.1409007392615187E-3</v>
      </c>
      <c r="BJ99" s="93">
        <f>IF(AND($T99=1,BJ$5&lt;=$H99),INDEX(Mortality!$B$4:$E$64,MATCH($D99+BJ$5-1,Mortality!$A$4:$A$64,0),$U99)*$V99*$N99,0)</f>
        <v>0</v>
      </c>
      <c r="BK99" s="93">
        <f>IF(AND($T99=1,BK$5&lt;=$H99),INDEX(Mortality!$B$4:$E$64,MATCH($D99+BK$5-1,Mortality!$A$4:$A$64,0),$U99)*$V99*$N99,0)</f>
        <v>0</v>
      </c>
      <c r="BL99" s="93">
        <f>IF(AND($T99=1,BL$5&lt;=$H99),INDEX(Mortality!$B$4:$E$64,MATCH($D99+BL$5-1,Mortality!$A$4:$A$64,0),$U99)*$V99*$N99,0)</f>
        <v>0</v>
      </c>
      <c r="BM99" s="93">
        <f>IF(AND($T99=1,BM$5&lt;=$H99),INDEX(Mortality!$B$4:$E$64,MATCH($D99+BM$5-1,Mortality!$A$4:$A$64,0),$U99)*$V99*$N99,0)</f>
        <v>0</v>
      </c>
      <c r="BN99" s="93">
        <f>IF(AND($T99=1,BN$5&lt;=$H99),INDEX(Mortality!$B$4:$E$64,MATCH($D99+BN$5-1,Mortality!$A$4:$A$64,0),$U99)*$V99*$N99,0)</f>
        <v>0</v>
      </c>
      <c r="BO99" s="93">
        <f>IF(AND($T99=1,BO$5&lt;=$H99),INDEX(Mortality!$B$4:$E$64,MATCH($D99+BO$5-1,Mortality!$A$4:$A$64,0),$U99)*$V99*$N99,0)</f>
        <v>0</v>
      </c>
      <c r="BP99" s="93">
        <f>IF(AND($T99=1,BP$5&lt;=$H99),INDEX(Mortality!$B$4:$E$64,MATCH($D99+BP$5-1,Mortality!$A$4:$A$64,0),$U99)*$V99*$N99,0)</f>
        <v>0</v>
      </c>
      <c r="BQ99" s="93">
        <f>IF(AND($T99=1,BQ$5&lt;=$H99),INDEX(Mortality!$B$4:$E$64,MATCH($D99+BQ$5-1,Mortality!$A$4:$A$64,0),$U99)*$V99*$N99,0)</f>
        <v>0</v>
      </c>
      <c r="BR99" s="93">
        <f>IF(AND($T99=1,BR$5&lt;=$H99),INDEX(Mortality!$B$4:$E$64,MATCH($D99+BR$5-1,Mortality!$A$4:$A$64,0),$U99)*$V99*$N99,0)</f>
        <v>0</v>
      </c>
      <c r="BS99" s="93">
        <f>IF(AND($T99=1,BS$5&lt;=$H99),INDEX(Mortality!$B$4:$E$64,MATCH($D99+BS$5-1,Mortality!$A$4:$A$64,0),$U99)*$V99*$N99,0)</f>
        <v>0</v>
      </c>
      <c r="BT99" s="93">
        <f>IF(AND($T99=1,BT$5&lt;=$H99),INDEX(Mortality!$B$4:$E$64,MATCH($D99+BT$5-1,Mortality!$A$4:$A$64,0),$U99)*$V99*$N99,0)</f>
        <v>0</v>
      </c>
      <c r="BU99" s="93">
        <f>IF(AND($T99=1,BU$5&lt;=$H99),INDEX(Mortality!$B$4:$E$64,MATCH($D99+BU$5-1,Mortality!$A$4:$A$64,0),$U99)*$V99*$N99,0)</f>
        <v>0</v>
      </c>
      <c r="BV99" s="93">
        <f>IF(AND($T99=1,BV$5&lt;=$H99),INDEX(Mortality!$B$4:$E$64,MATCH($D99+BV$5-1,Mortality!$A$4:$A$64,0),$U99)*$V99*$N99,0)</f>
        <v>0</v>
      </c>
      <c r="BW99" s="93">
        <f>IF(AND($T99=1,BW$5&lt;=$H99),INDEX(Mortality!$B$4:$E$64,MATCH($D99+BW$5-1,Mortality!$A$4:$A$64,0),$U99)*$V99*$N99,0)</f>
        <v>0</v>
      </c>
      <c r="BX99" s="93">
        <f>IF(AND($T99=1,BX$5&lt;=$H99),INDEX(Mortality!$B$4:$E$64,MATCH($D99+BX$5-1,Mortality!$A$4:$A$64,0),$U99)*$V99*$N99,0)</f>
        <v>0</v>
      </c>
      <c r="BY99" s="93">
        <f>IF(AND($T99=1,BY$5&lt;=$H99),INDEX(Mortality!$B$4:$E$64,MATCH($D99+BY$5-1,Mortality!$A$4:$A$64,0),$U99)*$V99*$N99,0)</f>
        <v>0</v>
      </c>
      <c r="BZ99" s="93">
        <f>IF(AND($T99=1,BZ$5&lt;=$H99),INDEX(Mortality!$B$4:$E$64,MATCH($D99+BZ$5-1,Mortality!$A$4:$A$64,0),$U99)*$V99*$N99,0)</f>
        <v>0</v>
      </c>
      <c r="CA99" s="93">
        <f>IF(AND($T99=1,CA$5&lt;=$H99),INDEX(Mortality!$B$4:$E$64,MATCH($D99+CA$5-1,Mortality!$A$4:$A$64,0),$U99)*$V99*$N99,0)</f>
        <v>0</v>
      </c>
      <c r="CB99" s="93">
        <f>IF(AND($T99=1,CB$5&lt;=$H99),INDEX(Mortality!$B$4:$E$64,MATCH($D99+CB$5-1,Mortality!$A$4:$A$64,0),$U99)*$V99*$N99,0)</f>
        <v>0</v>
      </c>
      <c r="CC99" s="93">
        <f>IF(AND($T99=1,CC$5&lt;=$H99),INDEX(Mortality!$B$4:$E$64,MATCH($D99+CC$5-1,Mortality!$A$4:$A$64,0),$U99)*$V99*$N99,0)</f>
        <v>0</v>
      </c>
      <c r="CD99" s="93">
        <f>IF(AND($T99=1,CD$5&lt;=$H99),INDEX(Mortality!$B$4:$E$64,MATCH($D99+CD$5-1,Mortality!$A$4:$A$64,0),$U99)*$V99*$N99,0)</f>
        <v>0</v>
      </c>
      <c r="CE99" s="93">
        <f>IF(AND($T99=1,CE$5&lt;=$H99),INDEX(Mortality!$B$4:$E$64,MATCH($D99+CE$5-1,Mortality!$A$4:$A$64,0),$U99)*$V99*$N99,0)</f>
        <v>0</v>
      </c>
      <c r="CF99" s="93">
        <f>IF(AND($T99=1,CF$5&lt;=$H99),INDEX(Mortality!$B$4:$E$64,MATCH($D99+CF$5-1,Mortality!$A$4:$A$64,0),$U99)*$V99*$N99,0)</f>
        <v>0</v>
      </c>
      <c r="CG99" s="93">
        <f>IF(AND($T99=1,CG$5&lt;=$H99),INDEX(Mortality!$B$4:$E$64,MATCH($D99+CG$5-1,Mortality!$A$4:$A$64,0),$U99)*$V99*$N99,0)</f>
        <v>0</v>
      </c>
      <c r="CH99" s="94">
        <f>IF(AND($T99=1,CH$5&lt;=$H99),INDEX(Mortality!$B$4:$E$64,MATCH($D99+CH$5-1,Mortality!$A$4:$A$64,0),$U99)*$V99*$N99,0)</f>
        <v>0</v>
      </c>
      <c r="CI99" s="26"/>
      <c r="CJ99" s="419">
        <f t="shared" si="53"/>
        <v>1</v>
      </c>
      <c r="CK99" s="93">
        <f>IF(AND($T99=1,CK$5&lt;=$H99),CJ99*(1-AU99)*(1-MIN(1,MAX(Assumptions!$C$27,Assumptions!$C$13*Assumptions!$C$28^(CJ$5-1))*$O99)),0)</f>
        <v>0.87852391260710239</v>
      </c>
      <c r="CL99" s="93">
        <f>IF(AND($T99=1,CL$5&lt;=$H99),CK99*(1-AV99)*(1-MIN(1,MAX(Assumptions!$C$27,Assumptions!$C$13*Assumptions!$C$28^(CK$5-1))*$O99)),0)</f>
        <v>0.78748095641041338</v>
      </c>
      <c r="CM99" s="93">
        <f>IF(AND($T99=1,CM$5&lt;=$H99),CL99*(1-AW99)*(1-MIN(1,MAX(Assumptions!$C$27,Assumptions!$C$13*Assumptions!$C$28^(CL$5-1))*$O99)),0)</f>
        <v>0.71779066139610492</v>
      </c>
      <c r="CN99" s="93">
        <f>IF(AND($T99=1,CN$5&lt;=$H99),CM99*(1-AX99)*(1-MIN(1,MAX(Assumptions!$C$27,Assumptions!$C$13*Assumptions!$C$28^(CM$5-1))*$O99)),0)</f>
        <v>0.66347528867728578</v>
      </c>
      <c r="CO99" s="93">
        <f>IF(AND($T99=1,CO$5&lt;=$H99),CN99*(1-AY99)*(1-MIN(1,MAX(Assumptions!$C$27,Assumptions!$C$13*Assumptions!$C$28^(CN$5-1))*$O99)),0)</f>
        <v>0.62047810364405986</v>
      </c>
      <c r="CP99" s="93">
        <f>IF(AND($T99=1,CP$5&lt;=$H99),CO99*(1-AZ99)*(1-MIN(1,MAX(Assumptions!$C$27,Assumptions!$C$13*Assumptions!$C$28^(CO$5-1))*$O99)),0)</f>
        <v>0.58597099194082525</v>
      </c>
      <c r="CQ99" s="93">
        <f>IF(AND($T99=1,CQ$5&lt;=$H99),CP99*(1-BA99)*(1-MIN(1,MAX(Assumptions!$C$27,Assumptions!$C$13*Assumptions!$C$28^(CP$5-1))*$O99)),0)</f>
        <v>0.55793461415733092</v>
      </c>
      <c r="CR99" s="93">
        <f>IF(AND($T99=1,CR$5&lt;=$H99),CQ99*(1-BB99)*(1-MIN(1,MAX(Assumptions!$C$27,Assumptions!$C$13*Assumptions!$C$28^(CQ$5-1))*$O99)),0)</f>
        <v>0.53489592412357068</v>
      </c>
      <c r="CS99" s="93">
        <f>IF(AND($T99=1,CS$5&lt;=$H99),CR99*(1-BC99)*(1-MIN(1,MAX(Assumptions!$C$27,Assumptions!$C$13*Assumptions!$C$28^(CR$5-1))*$O99)),0)</f>
        <v>0.51575951508002005</v>
      </c>
      <c r="CT99" s="93">
        <f>IF(AND($T99=1,CT$5&lt;=$H99),CS99*(1-BD99)*(1-MIN(1,MAX(Assumptions!$C$27,Assumptions!$C$13*Assumptions!$C$28^(CS$5-1))*$O99)),0)</f>
        <v>0.49969654458191232</v>
      </c>
      <c r="CU99" s="93">
        <f>IF(AND($T99=1,CU$5&lt;=$H99),CT99*(1-BE99)*(1-MIN(1,MAX(Assumptions!$C$27,Assumptions!$C$13*Assumptions!$C$28^(CT$5-1))*$O99)),0)</f>
        <v>0.48606992206713651</v>
      </c>
      <c r="CV99" s="93">
        <f>IF(AND($T99=1,CV$5&lt;=$H99),CU99*(1-BF99)*(1-MIN(1,MAX(Assumptions!$C$27,Assumptions!$C$13*Assumptions!$C$28^(CU$5-1))*$O99)),0)</f>
        <v>0.47438287768766235</v>
      </c>
      <c r="CW99" s="93">
        <f>IF(AND($T99=1,CW$5&lt;=$H99),CV99*(1-BG99)*(1-MIN(1,MAX(Assumptions!$C$27,Assumptions!$C$13*Assumptions!$C$28^(CV$5-1))*$O99)),0)</f>
        <v>0.46285861336703221</v>
      </c>
      <c r="CX99" s="93">
        <f>IF(AND($T99=1,CX$5&lt;=$H99),CW99*(1-BH99)*(1-MIN(1,MAX(Assumptions!$C$27,Assumptions!$C$13*Assumptions!$C$28^(CW$5-1))*$O99)),0)</f>
        <v>0.45144880764410672</v>
      </c>
      <c r="CY99" s="93">
        <f>IF(AND($T99=1,CY$5&lt;=$H99),CX99*(1-BI99)*(1-MIN(1,MAX(Assumptions!$C$27,Assumptions!$C$13*Assumptions!$C$28^(CX$5-1))*$O99)),0)</f>
        <v>0</v>
      </c>
      <c r="CZ99" s="93">
        <f>IF(AND($T99=1,CZ$5&lt;=$H99),CY99*(1-BJ99)*(1-MIN(1,MAX(Assumptions!$C$27,Assumptions!$C$13*Assumptions!$C$28^(CY$5-1))*$O99)),0)</f>
        <v>0</v>
      </c>
      <c r="DA99" s="93">
        <f>IF(AND($T99=1,DA$5&lt;=$H99),CZ99*(1-BK99)*(1-MIN(1,MAX(Assumptions!$C$27,Assumptions!$C$13*Assumptions!$C$28^(CZ$5-1))*$O99)),0)</f>
        <v>0</v>
      </c>
      <c r="DB99" s="93">
        <f>IF(AND($T99=1,DB$5&lt;=$H99),DA99*(1-BL99)*(1-MIN(1,MAX(Assumptions!$C$27,Assumptions!$C$13*Assumptions!$C$28^(DA$5-1))*$O99)),0)</f>
        <v>0</v>
      </c>
      <c r="DC99" s="93">
        <f>IF(AND($T99=1,DC$5&lt;=$H99),DB99*(1-BM99)*(1-MIN(1,MAX(Assumptions!$C$27,Assumptions!$C$13*Assumptions!$C$28^(DB$5-1))*$O99)),0)</f>
        <v>0</v>
      </c>
      <c r="DD99" s="93">
        <f>IF(AND($T99=1,DD$5&lt;=$H99),DC99*(1-BN99)*(1-MIN(1,MAX(Assumptions!$C$27,Assumptions!$C$13*Assumptions!$C$28^(DC$5-1))*$O99)),0)</f>
        <v>0</v>
      </c>
      <c r="DE99" s="93">
        <f>IF(AND($T99=1,DE$5&lt;=$H99),DD99*(1-BO99)*(1-MIN(1,MAX(Assumptions!$C$27,Assumptions!$C$13*Assumptions!$C$28^(DD$5-1))*$O99)),0)</f>
        <v>0</v>
      </c>
      <c r="DF99" s="93">
        <f>IF(AND($T99=1,DF$5&lt;=$H99),DE99*(1-BP99)*(1-MIN(1,MAX(Assumptions!$C$27,Assumptions!$C$13*Assumptions!$C$28^(DE$5-1))*$O99)),0)</f>
        <v>0</v>
      </c>
      <c r="DG99" s="93">
        <f>IF(AND($T99=1,DG$5&lt;=$H99),DF99*(1-BQ99)*(1-MIN(1,MAX(Assumptions!$C$27,Assumptions!$C$13*Assumptions!$C$28^(DF$5-1))*$O99)),0)</f>
        <v>0</v>
      </c>
      <c r="DH99" s="93">
        <f>IF(AND($T99=1,DH$5&lt;=$H99),DG99*(1-BR99)*(1-MIN(1,MAX(Assumptions!$C$27,Assumptions!$C$13*Assumptions!$C$28^(DG$5-1))*$O99)),0)</f>
        <v>0</v>
      </c>
      <c r="DI99" s="93">
        <f>IF(AND($T99=1,DI$5&lt;=$H99),DH99*(1-BS99)*(1-MIN(1,MAX(Assumptions!$C$27,Assumptions!$C$13*Assumptions!$C$28^(DH$5-1))*$O99)),0)</f>
        <v>0</v>
      </c>
      <c r="DJ99" s="93">
        <f>IF(AND($T99=1,DJ$5&lt;=$H99),DI99*(1-BT99)*(1-MIN(1,MAX(Assumptions!$C$27,Assumptions!$C$13*Assumptions!$C$28^(DI$5-1))*$O99)),0)</f>
        <v>0</v>
      </c>
      <c r="DK99" s="93">
        <f>IF(AND($T99=1,DK$5&lt;=$H99),DJ99*(1-BU99)*(1-MIN(1,MAX(Assumptions!$C$27,Assumptions!$C$13*Assumptions!$C$28^(DJ$5-1))*$O99)),0)</f>
        <v>0</v>
      </c>
      <c r="DL99" s="93">
        <f>IF(AND($T99=1,DL$5&lt;=$H99),DK99*(1-BV99)*(1-MIN(1,MAX(Assumptions!$C$27,Assumptions!$C$13*Assumptions!$C$28^(DK$5-1))*$O99)),0)</f>
        <v>0</v>
      </c>
      <c r="DM99" s="93">
        <f>IF(AND($T99=1,DM$5&lt;=$H99),DL99*(1-BW99)*(1-MIN(1,MAX(Assumptions!$C$27,Assumptions!$C$13*Assumptions!$C$28^(DL$5-1))*$O99)),0)</f>
        <v>0</v>
      </c>
      <c r="DN99" s="93">
        <f>IF(AND($T99=1,DN$5&lt;=$H99),DM99*(1-BX99)*(1-MIN(1,MAX(Assumptions!$C$27,Assumptions!$C$13*Assumptions!$C$28^(DM$5-1))*$O99)),0)</f>
        <v>0</v>
      </c>
      <c r="DO99" s="93">
        <f>IF(AND($T99=1,DO$5&lt;=$H99),DN99*(1-BY99)*(1-MIN(1,MAX(Assumptions!$C$27,Assumptions!$C$13*Assumptions!$C$28^(DN$5-1))*$O99)),0)</f>
        <v>0</v>
      </c>
      <c r="DP99" s="93">
        <f>IF(AND($T99=1,DP$5&lt;=$H99),DO99*(1-BZ99)*(1-MIN(1,MAX(Assumptions!$C$27,Assumptions!$C$13*Assumptions!$C$28^(DO$5-1))*$O99)),0)</f>
        <v>0</v>
      </c>
      <c r="DQ99" s="93">
        <f>IF(AND($T99=1,DQ$5&lt;=$H99),DP99*(1-CA99)*(1-MIN(1,MAX(Assumptions!$C$27,Assumptions!$C$13*Assumptions!$C$28^(DP$5-1))*$O99)),0)</f>
        <v>0</v>
      </c>
      <c r="DR99" s="93">
        <f>IF(AND($T99=1,DR$5&lt;=$H99),DQ99*(1-CB99)*(1-MIN(1,MAX(Assumptions!$C$27,Assumptions!$C$13*Assumptions!$C$28^(DQ$5-1))*$O99)),0)</f>
        <v>0</v>
      </c>
      <c r="DS99" s="93">
        <f>IF(AND($T99=1,DS$5&lt;=$H99),DR99*(1-CC99)*(1-MIN(1,MAX(Assumptions!$C$27,Assumptions!$C$13*Assumptions!$C$28^(DR$5-1))*$O99)),0)</f>
        <v>0</v>
      </c>
      <c r="DT99" s="93">
        <f>IF(AND($T99=1,DT$5&lt;=$H99),DS99*(1-CD99)*(1-MIN(1,MAX(Assumptions!$C$27,Assumptions!$C$13*Assumptions!$C$28^(DS$5-1))*$O99)),0)</f>
        <v>0</v>
      </c>
      <c r="DU99" s="93">
        <f>IF(AND($T99=1,DU$5&lt;=$H99),DT99*(1-CE99)*(1-MIN(1,MAX(Assumptions!$C$27,Assumptions!$C$13*Assumptions!$C$28^(DT$5-1))*$O99)),0)</f>
        <v>0</v>
      </c>
      <c r="DV99" s="93">
        <f>IF(AND($T99=1,DV$5&lt;=$H99),DU99*(1-CF99)*(1-MIN(1,MAX(Assumptions!$C$27,Assumptions!$C$13*Assumptions!$C$28^(DU$5-1))*$O99)),0)</f>
        <v>0</v>
      </c>
      <c r="DW99" s="94">
        <f>IF(AND($T99=1,DW$5&lt;=$H99),DV99*(1-CG99)*(1-MIN(1,MAX(Assumptions!$C$27,Assumptions!$C$13*Assumptions!$C$28^(DV$5-1))*$O99)),0)</f>
        <v>0</v>
      </c>
      <c r="DX99" s="26"/>
      <c r="DY99" s="399">
        <f>'Policy Data'!K73</f>
        <v>7</v>
      </c>
      <c r="DZ99" s="100">
        <f>'Policy Data'!L73</f>
        <v>0.75309999999999999</v>
      </c>
      <c r="EA99" s="100">
        <f>'Policy Data'!N73</f>
        <v>1.263E-3</v>
      </c>
      <c r="EB99" s="93" cm="1">
        <f t="array" ref="EB99">IFERROR(DZ99*INDEX(Mortality!$B$4:$E$64,MATCH(D99+DY99-1,Mortality!$A$4:$A$64,0),U99)*V99,0)</f>
        <v>2.0414718592664024E-3</v>
      </c>
      <c r="EC99" s="100">
        <f>'Policy Data'!O73</f>
        <v>0</v>
      </c>
      <c r="ED99" s="400">
        <f>'Policy Data'!Q73</f>
        <v>0</v>
      </c>
    </row>
    <row r="100" spans="1:134" x14ac:dyDescent="0.3">
      <c r="A100" s="399" t="str">
        <f>'Policy Data'!A74</f>
        <v>POL100070</v>
      </c>
      <c r="B100" s="26" t="s">
        <v>426</v>
      </c>
      <c r="C100" s="100" t="str">
        <f>'Policy Data'!B74</f>
        <v>Unit-Linked</v>
      </c>
      <c r="D100" s="100">
        <f>'Policy Data'!C74</f>
        <v>31</v>
      </c>
      <c r="E100" s="100" t="str">
        <f>'Policy Data'!D74</f>
        <v>Male</v>
      </c>
      <c r="F100" s="100" t="str">
        <f>'Policy Data'!E74</f>
        <v>Non-smoker</v>
      </c>
      <c r="G100" s="100" t="str">
        <f>'Policy Data'!F74</f>
        <v>Standard</v>
      </c>
      <c r="H100" s="100">
        <f>'Policy Data'!G74</f>
        <v>25</v>
      </c>
      <c r="I100" s="279">
        <f>'Policy Data'!H74</f>
        <v>1000000</v>
      </c>
      <c r="J100" s="100" t="str">
        <f>'Policy Data'!I74</f>
        <v>Monthly</v>
      </c>
      <c r="K100" s="100" t="str">
        <f>'Policy Data'!J74</f>
        <v>Bancassurance</v>
      </c>
      <c r="L100" s="26" t="s">
        <v>389</v>
      </c>
      <c r="M100" s="106">
        <f>'Policy Data'!R74</f>
        <v>13862.96</v>
      </c>
      <c r="N100" s="415">
        <f>Assumptions!$C$21</f>
        <v>1</v>
      </c>
      <c r="O100" s="415">
        <f>Assumptions!$C$22</f>
        <v>1</v>
      </c>
      <c r="P100" s="415">
        <f>Assumptions!$C$23</f>
        <v>1</v>
      </c>
      <c r="Q100" s="416">
        <f>Assumptions!$C$24</f>
        <v>0</v>
      </c>
      <c r="R100" s="416">
        <f>Assumptions!$C$6+Assumptions!$C$25</f>
        <v>3.5000000000000003E-2</v>
      </c>
      <c r="S100" s="416">
        <f>Assumptions!$C$15</f>
        <v>1.1000000000000001E-3</v>
      </c>
      <c r="T100" s="26">
        <f t="shared" si="36"/>
        <v>0</v>
      </c>
      <c r="U100" s="26">
        <f t="shared" si="37"/>
        <v>3</v>
      </c>
      <c r="V100" s="389">
        <f>IF($G100="Preferred",Assumptions!$C$30,IF($G100="Rated",Assumptions!$C$31,1))</f>
        <v>1</v>
      </c>
      <c r="W100" s="390">
        <f>IF($K100="Direct",Assumptions!$C$32,IF($K100="Broker",Assumptions!$C$33,IF($K100="Bancassurance",Assumptions!$C$34,Assumptions!$C$11)))+$Q100</f>
        <v>0.2</v>
      </c>
      <c r="X100" s="390">
        <f>Assumptions!$C$12+$Q100</f>
        <v>0.05</v>
      </c>
      <c r="Y100" s="131">
        <f>MIN($I100,Assumptions!$C$14)</f>
        <v>500000</v>
      </c>
      <c r="Z100" s="131">
        <f>MAX($I100-Assumptions!$C$14,0)</f>
        <v>500000</v>
      </c>
      <c r="AA100" s="389">
        <f t="shared" si="38"/>
        <v>0</v>
      </c>
      <c r="AB100" s="389">
        <f t="shared" si="39"/>
        <v>0</v>
      </c>
      <c r="AC100" s="389">
        <f>IF($T100=1,SUMPRODUCT($CJ100:$DW100,(1+Assumptions!$C$5)^($CJ$5:$DW$5-1),(1+$R100)^(-$CJ$5:$DW$5)),0)</f>
        <v>0</v>
      </c>
      <c r="AD100" s="389">
        <f t="shared" si="40"/>
        <v>0</v>
      </c>
      <c r="AE100" s="131">
        <f>IF($T100=1,$AB100*$Y100+(Assumptions!$C$9/(1+$R100)+Assumptions!$C$10*$AC100)*$P100+$S100*$Z100*$AA100,0)</f>
        <v>0</v>
      </c>
      <c r="AF100" s="131" t="str">
        <f>IF($T100=1,IF($AA100-$AD100-Assumptions!$C$16*$AA100&gt;0,$AE100/($AA100-$AD100-Assumptions!$C$16*$AA100)*IF($J100="Monthly",1+Assumptions!$C$29,1),"n.a."),"")</f>
        <v/>
      </c>
      <c r="AG100" s="131" t="str">
        <f t="shared" si="41"/>
        <v/>
      </c>
      <c r="AH100" s="131" t="str">
        <f t="shared" si="42"/>
        <v/>
      </c>
      <c r="AI100" s="131" t="str">
        <f t="shared" si="43"/>
        <v/>
      </c>
      <c r="AJ100" s="390" t="str">
        <f t="shared" si="44"/>
        <v/>
      </c>
      <c r="AK100" s="389" t="str">
        <f t="shared" si="45"/>
        <v/>
      </c>
      <c r="AL100" s="131" t="str">
        <f t="shared" si="46"/>
        <v/>
      </c>
      <c r="AM100" s="131" t="str">
        <f t="shared" si="47"/>
        <v/>
      </c>
      <c r="AN100" s="131" t="str">
        <f t="shared" si="48"/>
        <v/>
      </c>
      <c r="AO100" s="131" t="str">
        <f t="shared" si="49"/>
        <v/>
      </c>
      <c r="AP100" s="26" t="str">
        <f t="shared" si="50"/>
        <v>30-39</v>
      </c>
      <c r="AQ100" s="26" t="str">
        <f t="shared" si="51"/>
        <v>500k-1m</v>
      </c>
      <c r="AR100" s="26" t="str">
        <f>IF($T100=1,IF($AI100&lt;0,"Loss-making",IF($AJ100&lt;Assumptions!$C$16-0.00001,"Below target","At/above target")),"Excluded")</f>
        <v>Excluded</v>
      </c>
      <c r="AS100" s="103">
        <f t="shared" si="52"/>
        <v>9.9999999999999997E+98</v>
      </c>
      <c r="AT100" s="26"/>
      <c r="AU100" s="419">
        <f>IF(AND($T100=1,AU$5&lt;=$H100),INDEX(Mortality!$B$4:$E$64,MATCH($D100+AU$5-1,Mortality!$A$4:$A$64,0),$U100)*$V100*$N100,0)</f>
        <v>0</v>
      </c>
      <c r="AV100" s="93">
        <f>IF(AND($T100=1,AV$5&lt;=$H100),INDEX(Mortality!$B$4:$E$64,MATCH($D100+AV$5-1,Mortality!$A$4:$A$64,0),$U100)*$V100*$N100,0)</f>
        <v>0</v>
      </c>
      <c r="AW100" s="93">
        <f>IF(AND($T100=1,AW$5&lt;=$H100),INDEX(Mortality!$B$4:$E$64,MATCH($D100+AW$5-1,Mortality!$A$4:$A$64,0),$U100)*$V100*$N100,0)</f>
        <v>0</v>
      </c>
      <c r="AX100" s="93">
        <f>IF(AND($T100=1,AX$5&lt;=$H100),INDEX(Mortality!$B$4:$E$64,MATCH($D100+AX$5-1,Mortality!$A$4:$A$64,0),$U100)*$V100*$N100,0)</f>
        <v>0</v>
      </c>
      <c r="AY100" s="93">
        <f>IF(AND($T100=1,AY$5&lt;=$H100),INDEX(Mortality!$B$4:$E$64,MATCH($D100+AY$5-1,Mortality!$A$4:$A$64,0),$U100)*$V100*$N100,0)</f>
        <v>0</v>
      </c>
      <c r="AZ100" s="93">
        <f>IF(AND($T100=1,AZ$5&lt;=$H100),INDEX(Mortality!$B$4:$E$64,MATCH($D100+AZ$5-1,Mortality!$A$4:$A$64,0),$U100)*$V100*$N100,0)</f>
        <v>0</v>
      </c>
      <c r="BA100" s="93">
        <f>IF(AND($T100=1,BA$5&lt;=$H100),INDEX(Mortality!$B$4:$E$64,MATCH($D100+BA$5-1,Mortality!$A$4:$A$64,0),$U100)*$V100*$N100,0)</f>
        <v>0</v>
      </c>
      <c r="BB100" s="93">
        <f>IF(AND($T100=1,BB$5&lt;=$H100),INDEX(Mortality!$B$4:$E$64,MATCH($D100+BB$5-1,Mortality!$A$4:$A$64,0),$U100)*$V100*$N100,0)</f>
        <v>0</v>
      </c>
      <c r="BC100" s="93">
        <f>IF(AND($T100=1,BC$5&lt;=$H100),INDEX(Mortality!$B$4:$E$64,MATCH($D100+BC$5-1,Mortality!$A$4:$A$64,0),$U100)*$V100*$N100,0)</f>
        <v>0</v>
      </c>
      <c r="BD100" s="93">
        <f>IF(AND($T100=1,BD$5&lt;=$H100),INDEX(Mortality!$B$4:$E$64,MATCH($D100+BD$5-1,Mortality!$A$4:$A$64,0),$U100)*$V100*$N100,0)</f>
        <v>0</v>
      </c>
      <c r="BE100" s="93">
        <f>IF(AND($T100=1,BE$5&lt;=$H100),INDEX(Mortality!$B$4:$E$64,MATCH($D100+BE$5-1,Mortality!$A$4:$A$64,0),$U100)*$V100*$N100,0)</f>
        <v>0</v>
      </c>
      <c r="BF100" s="93">
        <f>IF(AND($T100=1,BF$5&lt;=$H100),INDEX(Mortality!$B$4:$E$64,MATCH($D100+BF$5-1,Mortality!$A$4:$A$64,0),$U100)*$V100*$N100,0)</f>
        <v>0</v>
      </c>
      <c r="BG100" s="93">
        <f>IF(AND($T100=1,BG$5&lt;=$H100),INDEX(Mortality!$B$4:$E$64,MATCH($D100+BG$5-1,Mortality!$A$4:$A$64,0),$U100)*$V100*$N100,0)</f>
        <v>0</v>
      </c>
      <c r="BH100" s="93">
        <f>IF(AND($T100=1,BH$5&lt;=$H100),INDEX(Mortality!$B$4:$E$64,MATCH($D100+BH$5-1,Mortality!$A$4:$A$64,0),$U100)*$V100*$N100,0)</f>
        <v>0</v>
      </c>
      <c r="BI100" s="93">
        <f>IF(AND($T100=1,BI$5&lt;=$H100),INDEX(Mortality!$B$4:$E$64,MATCH($D100+BI$5-1,Mortality!$A$4:$A$64,0),$U100)*$V100*$N100,0)</f>
        <v>0</v>
      </c>
      <c r="BJ100" s="93">
        <f>IF(AND($T100=1,BJ$5&lt;=$H100),INDEX(Mortality!$B$4:$E$64,MATCH($D100+BJ$5-1,Mortality!$A$4:$A$64,0),$U100)*$V100*$N100,0)</f>
        <v>0</v>
      </c>
      <c r="BK100" s="93">
        <f>IF(AND($T100=1,BK$5&lt;=$H100),INDEX(Mortality!$B$4:$E$64,MATCH($D100+BK$5-1,Mortality!$A$4:$A$64,0),$U100)*$V100*$N100,0)</f>
        <v>0</v>
      </c>
      <c r="BL100" s="93">
        <f>IF(AND($T100=1,BL$5&lt;=$H100),INDEX(Mortality!$B$4:$E$64,MATCH($D100+BL$5-1,Mortality!$A$4:$A$64,0),$U100)*$V100*$N100,0)</f>
        <v>0</v>
      </c>
      <c r="BM100" s="93">
        <f>IF(AND($T100=1,BM$5&lt;=$H100),INDEX(Mortality!$B$4:$E$64,MATCH($D100+BM$5-1,Mortality!$A$4:$A$64,0),$U100)*$V100*$N100,0)</f>
        <v>0</v>
      </c>
      <c r="BN100" s="93">
        <f>IF(AND($T100=1,BN$5&lt;=$H100),INDEX(Mortality!$B$4:$E$64,MATCH($D100+BN$5-1,Mortality!$A$4:$A$64,0),$U100)*$V100*$N100,0)</f>
        <v>0</v>
      </c>
      <c r="BO100" s="93">
        <f>IF(AND($T100=1,BO$5&lt;=$H100),INDEX(Mortality!$B$4:$E$64,MATCH($D100+BO$5-1,Mortality!$A$4:$A$64,0),$U100)*$V100*$N100,0)</f>
        <v>0</v>
      </c>
      <c r="BP100" s="93">
        <f>IF(AND($T100=1,BP$5&lt;=$H100),INDEX(Mortality!$B$4:$E$64,MATCH($D100+BP$5-1,Mortality!$A$4:$A$64,0),$U100)*$V100*$N100,0)</f>
        <v>0</v>
      </c>
      <c r="BQ100" s="93">
        <f>IF(AND($T100=1,BQ$5&lt;=$H100),INDEX(Mortality!$B$4:$E$64,MATCH($D100+BQ$5-1,Mortality!$A$4:$A$64,0),$U100)*$V100*$N100,0)</f>
        <v>0</v>
      </c>
      <c r="BR100" s="93">
        <f>IF(AND($T100=1,BR$5&lt;=$H100),INDEX(Mortality!$B$4:$E$64,MATCH($D100+BR$5-1,Mortality!$A$4:$A$64,0),$U100)*$V100*$N100,0)</f>
        <v>0</v>
      </c>
      <c r="BS100" s="93">
        <f>IF(AND($T100=1,BS$5&lt;=$H100),INDEX(Mortality!$B$4:$E$64,MATCH($D100+BS$5-1,Mortality!$A$4:$A$64,0),$U100)*$V100*$N100,0)</f>
        <v>0</v>
      </c>
      <c r="BT100" s="93">
        <f>IF(AND($T100=1,BT$5&lt;=$H100),INDEX(Mortality!$B$4:$E$64,MATCH($D100+BT$5-1,Mortality!$A$4:$A$64,0),$U100)*$V100*$N100,0)</f>
        <v>0</v>
      </c>
      <c r="BU100" s="93">
        <f>IF(AND($T100=1,BU$5&lt;=$H100),INDEX(Mortality!$B$4:$E$64,MATCH($D100+BU$5-1,Mortality!$A$4:$A$64,0),$U100)*$V100*$N100,0)</f>
        <v>0</v>
      </c>
      <c r="BV100" s="93">
        <f>IF(AND($T100=1,BV$5&lt;=$H100),INDEX(Mortality!$B$4:$E$64,MATCH($D100+BV$5-1,Mortality!$A$4:$A$64,0),$U100)*$V100*$N100,0)</f>
        <v>0</v>
      </c>
      <c r="BW100" s="93">
        <f>IF(AND($T100=1,BW$5&lt;=$H100),INDEX(Mortality!$B$4:$E$64,MATCH($D100+BW$5-1,Mortality!$A$4:$A$64,0),$U100)*$V100*$N100,0)</f>
        <v>0</v>
      </c>
      <c r="BX100" s="93">
        <f>IF(AND($T100=1,BX$5&lt;=$H100),INDEX(Mortality!$B$4:$E$64,MATCH($D100+BX$5-1,Mortality!$A$4:$A$64,0),$U100)*$V100*$N100,0)</f>
        <v>0</v>
      </c>
      <c r="BY100" s="93">
        <f>IF(AND($T100=1,BY$5&lt;=$H100),INDEX(Mortality!$B$4:$E$64,MATCH($D100+BY$5-1,Mortality!$A$4:$A$64,0),$U100)*$V100*$N100,0)</f>
        <v>0</v>
      </c>
      <c r="BZ100" s="93">
        <f>IF(AND($T100=1,BZ$5&lt;=$H100),INDEX(Mortality!$B$4:$E$64,MATCH($D100+BZ$5-1,Mortality!$A$4:$A$64,0),$U100)*$V100*$N100,0)</f>
        <v>0</v>
      </c>
      <c r="CA100" s="93">
        <f>IF(AND($T100=1,CA$5&lt;=$H100),INDEX(Mortality!$B$4:$E$64,MATCH($D100+CA$5-1,Mortality!$A$4:$A$64,0),$U100)*$V100*$N100,0)</f>
        <v>0</v>
      </c>
      <c r="CB100" s="93">
        <f>IF(AND($T100=1,CB$5&lt;=$H100),INDEX(Mortality!$B$4:$E$64,MATCH($D100+CB$5-1,Mortality!$A$4:$A$64,0),$U100)*$V100*$N100,0)</f>
        <v>0</v>
      </c>
      <c r="CC100" s="93">
        <f>IF(AND($T100=1,CC$5&lt;=$H100),INDEX(Mortality!$B$4:$E$64,MATCH($D100+CC$5-1,Mortality!$A$4:$A$64,0),$U100)*$V100*$N100,0)</f>
        <v>0</v>
      </c>
      <c r="CD100" s="93">
        <f>IF(AND($T100=1,CD$5&lt;=$H100),INDEX(Mortality!$B$4:$E$64,MATCH($D100+CD$5-1,Mortality!$A$4:$A$64,0),$U100)*$V100*$N100,0)</f>
        <v>0</v>
      </c>
      <c r="CE100" s="93">
        <f>IF(AND($T100=1,CE$5&lt;=$H100),INDEX(Mortality!$B$4:$E$64,MATCH($D100+CE$5-1,Mortality!$A$4:$A$64,0),$U100)*$V100*$N100,0)</f>
        <v>0</v>
      </c>
      <c r="CF100" s="93">
        <f>IF(AND($T100=1,CF$5&lt;=$H100),INDEX(Mortality!$B$4:$E$64,MATCH($D100+CF$5-1,Mortality!$A$4:$A$64,0),$U100)*$V100*$N100,0)</f>
        <v>0</v>
      </c>
      <c r="CG100" s="93">
        <f>IF(AND($T100=1,CG$5&lt;=$H100),INDEX(Mortality!$B$4:$E$64,MATCH($D100+CG$5-1,Mortality!$A$4:$A$64,0),$U100)*$V100*$N100,0)</f>
        <v>0</v>
      </c>
      <c r="CH100" s="94">
        <f>IF(AND($T100=1,CH$5&lt;=$H100),INDEX(Mortality!$B$4:$E$64,MATCH($D100+CH$5-1,Mortality!$A$4:$A$64,0),$U100)*$V100*$N100,0)</f>
        <v>0</v>
      </c>
      <c r="CI100" s="26"/>
      <c r="CJ100" s="419">
        <f t="shared" si="53"/>
        <v>0</v>
      </c>
      <c r="CK100" s="93">
        <f>IF(AND($T100=1,CK$5&lt;=$H100),CJ100*(1-AU100)*(1-MIN(1,MAX(Assumptions!$C$27,Assumptions!$C$13*Assumptions!$C$28^(CJ$5-1))*$O100)),0)</f>
        <v>0</v>
      </c>
      <c r="CL100" s="93">
        <f>IF(AND($T100=1,CL$5&lt;=$H100),CK100*(1-AV100)*(1-MIN(1,MAX(Assumptions!$C$27,Assumptions!$C$13*Assumptions!$C$28^(CK$5-1))*$O100)),0)</f>
        <v>0</v>
      </c>
      <c r="CM100" s="93">
        <f>IF(AND($T100=1,CM$5&lt;=$H100),CL100*(1-AW100)*(1-MIN(1,MAX(Assumptions!$C$27,Assumptions!$C$13*Assumptions!$C$28^(CL$5-1))*$O100)),0)</f>
        <v>0</v>
      </c>
      <c r="CN100" s="93">
        <f>IF(AND($T100=1,CN$5&lt;=$H100),CM100*(1-AX100)*(1-MIN(1,MAX(Assumptions!$C$27,Assumptions!$C$13*Assumptions!$C$28^(CM$5-1))*$O100)),0)</f>
        <v>0</v>
      </c>
      <c r="CO100" s="93">
        <f>IF(AND($T100=1,CO$5&lt;=$H100),CN100*(1-AY100)*(1-MIN(1,MAX(Assumptions!$C$27,Assumptions!$C$13*Assumptions!$C$28^(CN$5-1))*$O100)),0)</f>
        <v>0</v>
      </c>
      <c r="CP100" s="93">
        <f>IF(AND($T100=1,CP$5&lt;=$H100),CO100*(1-AZ100)*(1-MIN(1,MAX(Assumptions!$C$27,Assumptions!$C$13*Assumptions!$C$28^(CO$5-1))*$O100)),0)</f>
        <v>0</v>
      </c>
      <c r="CQ100" s="93">
        <f>IF(AND($T100=1,CQ$5&lt;=$H100),CP100*(1-BA100)*(1-MIN(1,MAX(Assumptions!$C$27,Assumptions!$C$13*Assumptions!$C$28^(CP$5-1))*$O100)),0)</f>
        <v>0</v>
      </c>
      <c r="CR100" s="93">
        <f>IF(AND($T100=1,CR$5&lt;=$H100),CQ100*(1-BB100)*(1-MIN(1,MAX(Assumptions!$C$27,Assumptions!$C$13*Assumptions!$C$28^(CQ$5-1))*$O100)),0)</f>
        <v>0</v>
      </c>
      <c r="CS100" s="93">
        <f>IF(AND($T100=1,CS$5&lt;=$H100),CR100*(1-BC100)*(1-MIN(1,MAX(Assumptions!$C$27,Assumptions!$C$13*Assumptions!$C$28^(CR$5-1))*$O100)),0)</f>
        <v>0</v>
      </c>
      <c r="CT100" s="93">
        <f>IF(AND($T100=1,CT$5&lt;=$H100),CS100*(1-BD100)*(1-MIN(1,MAX(Assumptions!$C$27,Assumptions!$C$13*Assumptions!$C$28^(CS$5-1))*$O100)),0)</f>
        <v>0</v>
      </c>
      <c r="CU100" s="93">
        <f>IF(AND($T100=1,CU$5&lt;=$H100),CT100*(1-BE100)*(1-MIN(1,MAX(Assumptions!$C$27,Assumptions!$C$13*Assumptions!$C$28^(CT$5-1))*$O100)),0)</f>
        <v>0</v>
      </c>
      <c r="CV100" s="93">
        <f>IF(AND($T100=1,CV$5&lt;=$H100),CU100*(1-BF100)*(1-MIN(1,MAX(Assumptions!$C$27,Assumptions!$C$13*Assumptions!$C$28^(CU$5-1))*$O100)),0)</f>
        <v>0</v>
      </c>
      <c r="CW100" s="93">
        <f>IF(AND($T100=1,CW$5&lt;=$H100),CV100*(1-BG100)*(1-MIN(1,MAX(Assumptions!$C$27,Assumptions!$C$13*Assumptions!$C$28^(CV$5-1))*$O100)),0)</f>
        <v>0</v>
      </c>
      <c r="CX100" s="93">
        <f>IF(AND($T100=1,CX$5&lt;=$H100),CW100*(1-BH100)*(1-MIN(1,MAX(Assumptions!$C$27,Assumptions!$C$13*Assumptions!$C$28^(CW$5-1))*$O100)),0)</f>
        <v>0</v>
      </c>
      <c r="CY100" s="93">
        <f>IF(AND($T100=1,CY$5&lt;=$H100),CX100*(1-BI100)*(1-MIN(1,MAX(Assumptions!$C$27,Assumptions!$C$13*Assumptions!$C$28^(CX$5-1))*$O100)),0)</f>
        <v>0</v>
      </c>
      <c r="CZ100" s="93">
        <f>IF(AND($T100=1,CZ$5&lt;=$H100),CY100*(1-BJ100)*(1-MIN(1,MAX(Assumptions!$C$27,Assumptions!$C$13*Assumptions!$C$28^(CY$5-1))*$O100)),0)</f>
        <v>0</v>
      </c>
      <c r="DA100" s="93">
        <f>IF(AND($T100=1,DA$5&lt;=$H100),CZ100*(1-BK100)*(1-MIN(1,MAX(Assumptions!$C$27,Assumptions!$C$13*Assumptions!$C$28^(CZ$5-1))*$O100)),0)</f>
        <v>0</v>
      </c>
      <c r="DB100" s="93">
        <f>IF(AND($T100=1,DB$5&lt;=$H100),DA100*(1-BL100)*(1-MIN(1,MAX(Assumptions!$C$27,Assumptions!$C$13*Assumptions!$C$28^(DA$5-1))*$O100)),0)</f>
        <v>0</v>
      </c>
      <c r="DC100" s="93">
        <f>IF(AND($T100=1,DC$5&lt;=$H100),DB100*(1-BM100)*(1-MIN(1,MAX(Assumptions!$C$27,Assumptions!$C$13*Assumptions!$C$28^(DB$5-1))*$O100)),0)</f>
        <v>0</v>
      </c>
      <c r="DD100" s="93">
        <f>IF(AND($T100=1,DD$5&lt;=$H100),DC100*(1-BN100)*(1-MIN(1,MAX(Assumptions!$C$27,Assumptions!$C$13*Assumptions!$C$28^(DC$5-1))*$O100)),0)</f>
        <v>0</v>
      </c>
      <c r="DE100" s="93">
        <f>IF(AND($T100=1,DE$5&lt;=$H100),DD100*(1-BO100)*(1-MIN(1,MAX(Assumptions!$C$27,Assumptions!$C$13*Assumptions!$C$28^(DD$5-1))*$O100)),0)</f>
        <v>0</v>
      </c>
      <c r="DF100" s="93">
        <f>IF(AND($T100=1,DF$5&lt;=$H100),DE100*(1-BP100)*(1-MIN(1,MAX(Assumptions!$C$27,Assumptions!$C$13*Assumptions!$C$28^(DE$5-1))*$O100)),0)</f>
        <v>0</v>
      </c>
      <c r="DG100" s="93">
        <f>IF(AND($T100=1,DG$5&lt;=$H100),DF100*(1-BQ100)*(1-MIN(1,MAX(Assumptions!$C$27,Assumptions!$C$13*Assumptions!$C$28^(DF$5-1))*$O100)),0)</f>
        <v>0</v>
      </c>
      <c r="DH100" s="93">
        <f>IF(AND($T100=1,DH$5&lt;=$H100),DG100*(1-BR100)*(1-MIN(1,MAX(Assumptions!$C$27,Assumptions!$C$13*Assumptions!$C$28^(DG$5-1))*$O100)),0)</f>
        <v>0</v>
      </c>
      <c r="DI100" s="93">
        <f>IF(AND($T100=1,DI$5&lt;=$H100),DH100*(1-BS100)*(1-MIN(1,MAX(Assumptions!$C$27,Assumptions!$C$13*Assumptions!$C$28^(DH$5-1))*$O100)),0)</f>
        <v>0</v>
      </c>
      <c r="DJ100" s="93">
        <f>IF(AND($T100=1,DJ$5&lt;=$H100),DI100*(1-BT100)*(1-MIN(1,MAX(Assumptions!$C$27,Assumptions!$C$13*Assumptions!$C$28^(DI$5-1))*$O100)),0)</f>
        <v>0</v>
      </c>
      <c r="DK100" s="93">
        <f>IF(AND($T100=1,DK$5&lt;=$H100),DJ100*(1-BU100)*(1-MIN(1,MAX(Assumptions!$C$27,Assumptions!$C$13*Assumptions!$C$28^(DJ$5-1))*$O100)),0)</f>
        <v>0</v>
      </c>
      <c r="DL100" s="93">
        <f>IF(AND($T100=1,DL$5&lt;=$H100),DK100*(1-BV100)*(1-MIN(1,MAX(Assumptions!$C$27,Assumptions!$C$13*Assumptions!$C$28^(DK$5-1))*$O100)),0)</f>
        <v>0</v>
      </c>
      <c r="DM100" s="93">
        <f>IF(AND($T100=1,DM$5&lt;=$H100),DL100*(1-BW100)*(1-MIN(1,MAX(Assumptions!$C$27,Assumptions!$C$13*Assumptions!$C$28^(DL$5-1))*$O100)),0)</f>
        <v>0</v>
      </c>
      <c r="DN100" s="93">
        <f>IF(AND($T100=1,DN$5&lt;=$H100),DM100*(1-BX100)*(1-MIN(1,MAX(Assumptions!$C$27,Assumptions!$C$13*Assumptions!$C$28^(DM$5-1))*$O100)),0)</f>
        <v>0</v>
      </c>
      <c r="DO100" s="93">
        <f>IF(AND($T100=1,DO$5&lt;=$H100),DN100*(1-BY100)*(1-MIN(1,MAX(Assumptions!$C$27,Assumptions!$C$13*Assumptions!$C$28^(DN$5-1))*$O100)),0)</f>
        <v>0</v>
      </c>
      <c r="DP100" s="93">
        <f>IF(AND($T100=1,DP$5&lt;=$H100),DO100*(1-BZ100)*(1-MIN(1,MAX(Assumptions!$C$27,Assumptions!$C$13*Assumptions!$C$28^(DO$5-1))*$O100)),0)</f>
        <v>0</v>
      </c>
      <c r="DQ100" s="93">
        <f>IF(AND($T100=1,DQ$5&lt;=$H100),DP100*(1-CA100)*(1-MIN(1,MAX(Assumptions!$C$27,Assumptions!$C$13*Assumptions!$C$28^(DP$5-1))*$O100)),0)</f>
        <v>0</v>
      </c>
      <c r="DR100" s="93">
        <f>IF(AND($T100=1,DR$5&lt;=$H100),DQ100*(1-CB100)*(1-MIN(1,MAX(Assumptions!$C$27,Assumptions!$C$13*Assumptions!$C$28^(DQ$5-1))*$O100)),0)</f>
        <v>0</v>
      </c>
      <c r="DS100" s="93">
        <f>IF(AND($T100=1,DS$5&lt;=$H100),DR100*(1-CC100)*(1-MIN(1,MAX(Assumptions!$C$27,Assumptions!$C$13*Assumptions!$C$28^(DR$5-1))*$O100)),0)</f>
        <v>0</v>
      </c>
      <c r="DT100" s="93">
        <f>IF(AND($T100=1,DT$5&lt;=$H100),DS100*(1-CD100)*(1-MIN(1,MAX(Assumptions!$C$27,Assumptions!$C$13*Assumptions!$C$28^(DS$5-1))*$O100)),0)</f>
        <v>0</v>
      </c>
      <c r="DU100" s="93">
        <f>IF(AND($T100=1,DU$5&lt;=$H100),DT100*(1-CE100)*(1-MIN(1,MAX(Assumptions!$C$27,Assumptions!$C$13*Assumptions!$C$28^(DT$5-1))*$O100)),0)</f>
        <v>0</v>
      </c>
      <c r="DV100" s="93">
        <f>IF(AND($T100=1,DV$5&lt;=$H100),DU100*(1-CF100)*(1-MIN(1,MAX(Assumptions!$C$27,Assumptions!$C$13*Assumptions!$C$28^(DU$5-1))*$O100)),0)</f>
        <v>0</v>
      </c>
      <c r="DW100" s="94">
        <f>IF(AND($T100=1,DW$5&lt;=$H100),DV100*(1-CG100)*(1-MIN(1,MAX(Assumptions!$C$27,Assumptions!$C$13*Assumptions!$C$28^(DV$5-1))*$O100)),0)</f>
        <v>0</v>
      </c>
      <c r="DX100" s="26"/>
      <c r="DY100" s="399">
        <f>'Policy Data'!K74</f>
        <v>5</v>
      </c>
      <c r="DZ100" s="100">
        <f>'Policy Data'!L74</f>
        <v>0.57320000000000004</v>
      </c>
      <c r="EA100" s="100">
        <f>'Policy Data'!N74</f>
        <v>3.21E-4</v>
      </c>
      <c r="EB100" s="93" cm="1">
        <f t="array" ref="EB100">IFERROR(DZ100*INDEX(Mortality!$B$4:$E$64,MATCH(D100+DY100-1,Mortality!$A$4:$A$64,0),U100)*V100,0)</f>
        <v>4.4252145188602749E-4</v>
      </c>
      <c r="EC100" s="100">
        <f>'Policy Data'!O74</f>
        <v>0</v>
      </c>
      <c r="ED100" s="400">
        <f>'Policy Data'!Q74</f>
        <v>0</v>
      </c>
    </row>
    <row r="101" spans="1:134" x14ac:dyDescent="0.3">
      <c r="A101" s="399" t="str">
        <f>'Policy Data'!A75</f>
        <v>POL100071</v>
      </c>
      <c r="B101" s="26" t="s">
        <v>426</v>
      </c>
      <c r="C101" s="100" t="str">
        <f>'Policy Data'!B75</f>
        <v>Term Life</v>
      </c>
      <c r="D101" s="100">
        <f>'Policy Data'!C75</f>
        <v>22</v>
      </c>
      <c r="E101" s="100" t="str">
        <f>'Policy Data'!D75</f>
        <v>Male</v>
      </c>
      <c r="F101" s="100" t="str">
        <f>'Policy Data'!E75</f>
        <v>Smoker</v>
      </c>
      <c r="G101" s="100" t="str">
        <f>'Policy Data'!F75</f>
        <v>Standard</v>
      </c>
      <c r="H101" s="100">
        <f>'Policy Data'!G75</f>
        <v>25</v>
      </c>
      <c r="I101" s="279">
        <f>'Policy Data'!H75</f>
        <v>1000000</v>
      </c>
      <c r="J101" s="100" t="str">
        <f>'Policy Data'!I75</f>
        <v>Annual</v>
      </c>
      <c r="K101" s="100" t="str">
        <f>'Policy Data'!J75</f>
        <v>Direct</v>
      </c>
      <c r="L101" s="26" t="s">
        <v>389</v>
      </c>
      <c r="M101" s="106">
        <f>'Policy Data'!R75</f>
        <v>1561.29</v>
      </c>
      <c r="N101" s="415">
        <f>Assumptions!$C$21</f>
        <v>1</v>
      </c>
      <c r="O101" s="415">
        <f>Assumptions!$C$22</f>
        <v>1</v>
      </c>
      <c r="P101" s="415">
        <f>Assumptions!$C$23</f>
        <v>1</v>
      </c>
      <c r="Q101" s="416">
        <f>Assumptions!$C$24</f>
        <v>0</v>
      </c>
      <c r="R101" s="416">
        <f>Assumptions!$C$6+Assumptions!$C$25</f>
        <v>3.5000000000000003E-2</v>
      </c>
      <c r="S101" s="416">
        <f>Assumptions!$C$15</f>
        <v>1.1000000000000001E-3</v>
      </c>
      <c r="T101" s="26">
        <f t="shared" si="36"/>
        <v>1</v>
      </c>
      <c r="U101" s="26">
        <f t="shared" si="37"/>
        <v>4</v>
      </c>
      <c r="V101" s="389">
        <f>IF($G101="Preferred",Assumptions!$C$30,IF($G101="Rated",Assumptions!$C$31,1))</f>
        <v>1</v>
      </c>
      <c r="W101" s="390">
        <f>IF($K101="Direct",Assumptions!$C$32,IF($K101="Broker",Assumptions!$C$33,IF($K101="Bancassurance",Assumptions!$C$34,Assumptions!$C$11)))+$Q101</f>
        <v>0.1</v>
      </c>
      <c r="X101" s="390">
        <f>Assumptions!$C$12+$Q101</f>
        <v>0.05</v>
      </c>
      <c r="Y101" s="131">
        <f>MIN($I101,Assumptions!$C$14)</f>
        <v>500000</v>
      </c>
      <c r="Z101" s="131">
        <f>MAX($I101-Assumptions!$C$14,0)</f>
        <v>500000</v>
      </c>
      <c r="AA101" s="389">
        <f t="shared" si="38"/>
        <v>9.4833188361211036</v>
      </c>
      <c r="AB101" s="389">
        <f t="shared" si="39"/>
        <v>9.8233111957846866E-3</v>
      </c>
      <c r="AC101" s="389">
        <f>IF($T101=1,SUMPRODUCT($CJ101:$DW101,(1+Assumptions!$C$5)^($CJ$5:$DW$5-1),(1+$R101)^(-$CJ$5:$DW$5)),0)</f>
        <v>13.668892617561445</v>
      </c>
      <c r="AD101" s="389">
        <f t="shared" si="40"/>
        <v>0.52247512055001655</v>
      </c>
      <c r="AE101" s="131">
        <f>IF($T101=1,$AB101*$Y101+(Assumptions!$C$9/(1+$R101)+Assumptions!$C$10*$AC101)*$P101+$S101*$Z101*$AA101,0)</f>
        <v>14004.202551013774</v>
      </c>
      <c r="AF101" s="131">
        <f>IF($T101=1,IF($AA101-$AD101-Assumptions!$C$16*$AA101&gt;0,$AE101/($AA101-$AD101-Assumptions!$C$16*$AA101)*IF($J101="Monthly",1+Assumptions!$C$29,1),"n.a."),"")</f>
        <v>1707.3760402073879</v>
      </c>
      <c r="AG101" s="131">
        <f t="shared" si="41"/>
        <v>1561.29</v>
      </c>
      <c r="AH101" s="131">
        <f t="shared" si="42"/>
        <v>14806.210865647517</v>
      </c>
      <c r="AI101" s="131">
        <f t="shared" si="43"/>
        <v>-13.726866329790937</v>
      </c>
      <c r="AJ101" s="390">
        <f t="shared" si="44"/>
        <v>-9.2710190705436928E-4</v>
      </c>
      <c r="AK101" s="389">
        <f t="shared" si="45"/>
        <v>0.91443827442392633</v>
      </c>
      <c r="AL101" s="131">
        <f t="shared" si="46"/>
        <v>4911.6555978923434</v>
      </c>
      <c r="AM101" s="131">
        <f t="shared" si="47"/>
        <v>5215.825359866607</v>
      </c>
      <c r="AN101" s="131">
        <f t="shared" si="48"/>
        <v>-304.16976197426357</v>
      </c>
      <c r="AO101" s="131">
        <f t="shared" si="49"/>
        <v>290.44289564447263</v>
      </c>
      <c r="AP101" s="26" t="str">
        <f t="shared" si="50"/>
        <v>20-29</v>
      </c>
      <c r="AQ101" s="26" t="str">
        <f t="shared" si="51"/>
        <v>500k-1m</v>
      </c>
      <c r="AR101" s="26" t="str">
        <f>IF($T101=1,IF($AI101&lt;0,"Loss-making",IF($AJ101&lt;Assumptions!$C$16-0.00001,"Below target","At/above target")),"Excluded")</f>
        <v>Loss-making</v>
      </c>
      <c r="AS101" s="103">
        <f t="shared" si="52"/>
        <v>-13.726765329790936</v>
      </c>
      <c r="AT101" s="26"/>
      <c r="AU101" s="419">
        <f>IF(AND($T101=1,AU$5&lt;=$H101),INDEX(Mortality!$B$4:$E$64,MATCH($D101+AU$5-1,Mortality!$A$4:$A$64,0),$U101)*$V101*$N101,0)</f>
        <v>4.50241818579758E-4</v>
      </c>
      <c r="AV101" s="93">
        <f>IF(AND($T101=1,AV$5&lt;=$H101),INDEX(Mortality!$B$4:$E$64,MATCH($D101+AV$5-1,Mortality!$A$4:$A$64,0),$U101)*$V101*$N101,0)</f>
        <v>4.8774113939390698E-4</v>
      </c>
      <c r="AW101" s="93">
        <f>IF(AND($T101=1,AW$5&lt;=$H101),INDEX(Mortality!$B$4:$E$64,MATCH($D101+AW$5-1,Mortality!$A$4:$A$64,0),$U101)*$V101*$N101,0)</f>
        <v>5.2836366867846905E-4</v>
      </c>
      <c r="AX101" s="93">
        <f>IF(AND($T101=1,AX$5&lt;=$H101),INDEX(Mortality!$B$4:$E$64,MATCH($D101+AX$5-1,Mortality!$A$4:$A$64,0),$U101)*$V101*$N101,0)</f>
        <v>5.7236952930868096E-4</v>
      </c>
      <c r="AY101" s="93">
        <f>IF(AND($T101=1,AY$5&lt;=$H101),INDEX(Mortality!$B$4:$E$64,MATCH($D101+AY$5-1,Mortality!$A$4:$A$64,0),$U101)*$V101*$N101,0)</f>
        <v>6.2004050903129799E-4</v>
      </c>
      <c r="AZ101" s="93">
        <f>IF(AND($T101=1,AZ$5&lt;=$H101),INDEX(Mortality!$B$4:$E$64,MATCH($D101+AZ$5-1,Mortality!$A$4:$A$64,0),$U101)*$V101*$N101,0)</f>
        <v>6.7168186486820302E-4</v>
      </c>
      <c r="BA101" s="93">
        <f>IF(AND($T101=1,BA$5&lt;=$H101),INDEX(Mortality!$B$4:$E$64,MATCH($D101+BA$5-1,Mortality!$A$4:$A$64,0),$U101)*$V101*$N101,0)</f>
        <v>7.2762427780352396E-4</v>
      </c>
      <c r="BB101" s="93">
        <f>IF(AND($T101=1,BB$5&lt;=$H101),INDEX(Mortality!$B$4:$E$64,MATCH($D101+BB$5-1,Mortality!$A$4:$A$64,0),$U101)*$V101*$N101,0)</f>
        <v>7.8822597027088895E-4</v>
      </c>
      <c r="BC101" s="93">
        <f>IF(AND($T101=1,BC$5&lt;=$H101),INDEX(Mortality!$B$4:$E$64,MATCH($D101+BC$5-1,Mortality!$A$4:$A$64,0),$U101)*$V101*$N101,0)</f>
        <v>8.5387500000000003E-4</v>
      </c>
      <c r="BD101" s="93">
        <f>IF(AND($T101=1,BD$5&lt;=$H101),INDEX(Mortality!$B$4:$E$64,MATCH($D101+BD$5-1,Mortality!$A$4:$A$64,0),$U101)*$V101*$N101,0)</f>
        <v>9.2499174491095498E-4</v>
      </c>
      <c r="BE101" s="93">
        <f>IF(AND($T101=1,BE$5&lt;=$H101),INDEX(Mortality!$B$4:$E$64,MATCH($D101+BE$5-1,Mortality!$A$4:$A$64,0),$U101)*$V101*$N101,0)</f>
        <v>1.0020315949681299E-3</v>
      </c>
      <c r="BF101" s="93">
        <f>IF(AND($T101=1,BF$5&lt;=$H101),INDEX(Mortality!$B$4:$E$64,MATCH($D101+BF$5-1,Mortality!$A$4:$A$64,0),$U101)*$V101*$N101,0)</f>
        <v>1.08548786823069E-3</v>
      </c>
      <c r="BG101" s="93">
        <f>IF(AND($T101=1,BG$5&lt;=$H101),INDEX(Mortality!$B$4:$E$64,MATCH($D101+BG$5-1,Mortality!$A$4:$A$64,0),$U101)*$V101*$N101,0)</f>
        <v>1.1758949697723701E-3</v>
      </c>
      <c r="BH101" s="93">
        <f>IF(AND($T101=1,BH$5&lt;=$H101),INDEX(Mortality!$B$4:$E$64,MATCH($D101+BH$5-1,Mortality!$A$4:$A$64,0),$U101)*$V101*$N101,0)</f>
        <v>1.27383181369844E-3</v>
      </c>
      <c r="BI101" s="93">
        <f>IF(AND($T101=1,BI$5&lt;=$H101),INDEX(Mortality!$B$4:$E$64,MATCH($D101+BI$5-1,Mortality!$A$4:$A$64,0),$U101)*$V101*$N101,0)</f>
        <v>1.3799255301724599E-3</v>
      </c>
      <c r="BJ101" s="93">
        <f>IF(AND($T101=1,BJ$5&lt;=$H101),INDEX(Mortality!$B$4:$E$64,MATCH($D101+BJ$5-1,Mortality!$A$4:$A$64,0),$U101)*$V101*$N101,0)</f>
        <v>1.49485548119033E-3</v>
      </c>
      <c r="BK101" s="93">
        <f>IF(AND($T101=1,BK$5&lt;=$H101),INDEX(Mortality!$B$4:$E$64,MATCH($D101+BK$5-1,Mortality!$A$4:$A$64,0),$U101)*$V101*$N101,0)</f>
        <v>1.6193576108165201E-3</v>
      </c>
      <c r="BL101" s="93">
        <f>IF(AND($T101=1,BL$5&lt;=$H101),INDEX(Mortality!$B$4:$E$64,MATCH($D101+BL$5-1,Mortality!$A$4:$A$64,0),$U101)*$V101*$N101,0)</f>
        <v>1.75422915773855E-3</v>
      </c>
      <c r="BM101" s="93">
        <f>IF(AND($T101=1,BM$5&lt;=$H101),INDEX(Mortality!$B$4:$E$64,MATCH($D101+BM$5-1,Mortality!$A$4:$A$64,0),$U101)*$V101*$N101,0)</f>
        <v>1.90033376031651E-3</v>
      </c>
      <c r="BN101" s="93">
        <f>IF(AND($T101=1,BN$5&lt;=$H101),INDEX(Mortality!$B$4:$E$64,MATCH($D101+BN$5-1,Mortality!$A$4:$A$64,0),$U101)*$V101*$N101,0)</f>
        <v>2.0586069868169998E-3</v>
      </c>
      <c r="BO101" s="93">
        <f>IF(AND($T101=1,BO$5&lt;=$H101),INDEX(Mortality!$B$4:$E$64,MATCH($D101+BO$5-1,Mortality!$A$4:$A$64,0),$U101)*$V101*$N101,0)</f>
        <v>2.2300623262441598E-3</v>
      </c>
      <c r="BP101" s="93">
        <f>IF(AND($T101=1,BP$5&lt;=$H101),INDEX(Mortality!$B$4:$E$64,MATCH($D101+BP$5-1,Mortality!$A$4:$A$64,0),$U101)*$V101*$N101,0)</f>
        <v>2.4157976781294401E-3</v>
      </c>
      <c r="BQ101" s="93">
        <f>IF(AND($T101=1,BQ$5&lt;=$H101),INDEX(Mortality!$B$4:$E$64,MATCH($D101+BQ$5-1,Mortality!$A$4:$A$64,0),$U101)*$V101*$N101,0)</f>
        <v>2.6170023828368102E-3</v>
      </c>
      <c r="BR101" s="93">
        <f>IF(AND($T101=1,BR$5&lt;=$H101),INDEX(Mortality!$B$4:$E$64,MATCH($D101+BR$5-1,Mortality!$A$4:$A$64,0),$U101)*$V101*$N101,0)</f>
        <v>2.8349648374016699E-3</v>
      </c>
      <c r="BS101" s="93">
        <f>IF(AND($T101=1,BS$5&lt;=$H101),INDEX(Mortality!$B$4:$E$64,MATCH($D101+BS$5-1,Mortality!$A$4:$A$64,0),$U101)*$V101*$N101,0)</f>
        <v>3.0710807456704702E-3</v>
      </c>
      <c r="BT101" s="93">
        <f>IF(AND($T101=1,BT$5&lt;=$H101),INDEX(Mortality!$B$4:$E$64,MATCH($D101+BT$5-1,Mortality!$A$4:$A$64,0),$U101)*$V101*$N101,0)</f>
        <v>0</v>
      </c>
      <c r="BU101" s="93">
        <f>IF(AND($T101=1,BU$5&lt;=$H101),INDEX(Mortality!$B$4:$E$64,MATCH($D101+BU$5-1,Mortality!$A$4:$A$64,0),$U101)*$V101*$N101,0)</f>
        <v>0</v>
      </c>
      <c r="BV101" s="93">
        <f>IF(AND($T101=1,BV$5&lt;=$H101),INDEX(Mortality!$B$4:$E$64,MATCH($D101+BV$5-1,Mortality!$A$4:$A$64,0),$U101)*$V101*$N101,0)</f>
        <v>0</v>
      </c>
      <c r="BW101" s="93">
        <f>IF(AND($T101=1,BW$5&lt;=$H101),INDEX(Mortality!$B$4:$E$64,MATCH($D101+BW$5-1,Mortality!$A$4:$A$64,0),$U101)*$V101*$N101,0)</f>
        <v>0</v>
      </c>
      <c r="BX101" s="93">
        <f>IF(AND($T101=1,BX$5&lt;=$H101),INDEX(Mortality!$B$4:$E$64,MATCH($D101+BX$5-1,Mortality!$A$4:$A$64,0),$U101)*$V101*$N101,0)</f>
        <v>0</v>
      </c>
      <c r="BY101" s="93">
        <f>IF(AND($T101=1,BY$5&lt;=$H101),INDEX(Mortality!$B$4:$E$64,MATCH($D101+BY$5-1,Mortality!$A$4:$A$64,0),$U101)*$V101*$N101,0)</f>
        <v>0</v>
      </c>
      <c r="BZ101" s="93">
        <f>IF(AND($T101=1,BZ$5&lt;=$H101),INDEX(Mortality!$B$4:$E$64,MATCH($D101+BZ$5-1,Mortality!$A$4:$A$64,0),$U101)*$V101*$N101,0)</f>
        <v>0</v>
      </c>
      <c r="CA101" s="93">
        <f>IF(AND($T101=1,CA$5&lt;=$H101),INDEX(Mortality!$B$4:$E$64,MATCH($D101+CA$5-1,Mortality!$A$4:$A$64,0),$U101)*$V101*$N101,0)</f>
        <v>0</v>
      </c>
      <c r="CB101" s="93">
        <f>IF(AND($T101=1,CB$5&lt;=$H101),INDEX(Mortality!$B$4:$E$64,MATCH($D101+CB$5-1,Mortality!$A$4:$A$64,0),$U101)*$V101*$N101,0)</f>
        <v>0</v>
      </c>
      <c r="CC101" s="93">
        <f>IF(AND($T101=1,CC$5&lt;=$H101),INDEX(Mortality!$B$4:$E$64,MATCH($D101+CC$5-1,Mortality!$A$4:$A$64,0),$U101)*$V101*$N101,0)</f>
        <v>0</v>
      </c>
      <c r="CD101" s="93">
        <f>IF(AND($T101=1,CD$5&lt;=$H101),INDEX(Mortality!$B$4:$E$64,MATCH($D101+CD$5-1,Mortality!$A$4:$A$64,0),$U101)*$V101*$N101,0)</f>
        <v>0</v>
      </c>
      <c r="CE101" s="93">
        <f>IF(AND($T101=1,CE$5&lt;=$H101),INDEX(Mortality!$B$4:$E$64,MATCH($D101+CE$5-1,Mortality!$A$4:$A$64,0),$U101)*$V101*$N101,0)</f>
        <v>0</v>
      </c>
      <c r="CF101" s="93">
        <f>IF(AND($T101=1,CF$5&lt;=$H101),INDEX(Mortality!$B$4:$E$64,MATCH($D101+CF$5-1,Mortality!$A$4:$A$64,0),$U101)*$V101*$N101,0)</f>
        <v>0</v>
      </c>
      <c r="CG101" s="93">
        <f>IF(AND($T101=1,CG$5&lt;=$H101),INDEX(Mortality!$B$4:$E$64,MATCH($D101+CG$5-1,Mortality!$A$4:$A$64,0),$U101)*$V101*$N101,0)</f>
        <v>0</v>
      </c>
      <c r="CH101" s="94">
        <f>IF(AND($T101=1,CH$5&lt;=$H101),INDEX(Mortality!$B$4:$E$64,MATCH($D101+CH$5-1,Mortality!$A$4:$A$64,0),$U101)*$V101*$N101,0)</f>
        <v>0</v>
      </c>
      <c r="CI101" s="26"/>
      <c r="CJ101" s="419">
        <f t="shared" si="53"/>
        <v>1</v>
      </c>
      <c r="CK101" s="93">
        <f>IF(AND($T101=1,CK$5&lt;=$H101),CJ101*(1-AU101)*(1-MIN(1,MAX(Assumptions!$C$27,Assumptions!$C$13*Assumptions!$C$28^(CJ$5-1))*$O101)),0)</f>
        <v>0.87960378719964982</v>
      </c>
      <c r="CL101" s="93">
        <f>IF(AND($T101=1,CL$5&lt;=$H101),CK101*(1-AV101)*(1-MIN(1,MAX(Assumptions!$C$27,Assumptions!$C$13*Assumptions!$C$28^(CK$5-1))*$O101)),0)</f>
        <v>0.7894989418851468</v>
      </c>
      <c r="CM101" s="93">
        <f>IF(AND($T101=1,CM$5&lt;=$H101),CL101*(1-AW101)*(1-MIN(1,MAX(Assumptions!$C$27,Assumptions!$C$13*Assumptions!$C$28^(CL$5-1))*$O101)),0)</f>
        <v>0.72066840732607473</v>
      </c>
      <c r="CN101" s="93">
        <f>IF(AND($T101=1,CN$5&lt;=$H101),CM101*(1-AX101)*(1-MIN(1,MAX(Assumptions!$C$27,Assumptions!$C$13*Assumptions!$C$28^(CM$5-1))*$O101)),0)</f>
        <v>0.66717665876120114</v>
      </c>
      <c r="CO101" s="93">
        <f>IF(AND($T101=1,CO$5&lt;=$H101),CN101*(1-AY101)*(1-MIN(1,MAX(Assumptions!$C$27,Assumptions!$C$13*Assumptions!$C$28^(CN$5-1))*$O101)),0)</f>
        <v>0.62499644892846284</v>
      </c>
      <c r="CP101" s="93">
        <f>IF(AND($T101=1,CP$5&lt;=$H101),CO101*(1-AZ101)*(1-MIN(1,MAX(Assumptions!$C$27,Assumptions!$C$13*Assumptions!$C$28^(CO$5-1))*$O101)),0)</f>
        <v>0.59132129282001011</v>
      </c>
      <c r="CQ101" s="93">
        <f>IF(AND($T101=1,CQ$5&lt;=$H101),CP101*(1-BA101)*(1-MIN(1,MAX(Assumptions!$C$27,Assumptions!$C$13*Assumptions!$C$28^(CP$5-1))*$O101)),0)</f>
        <v>0.56414852106126412</v>
      </c>
      <c r="CR101" s="93">
        <f>IF(AND($T101=1,CR$5&lt;=$H101),CQ101*(1-BB101)*(1-MIN(1,MAX(Assumptions!$C$27,Assumptions!$C$13*Assumptions!$C$28^(CQ$5-1))*$O101)),0)</f>
        <v>0.54201858008937831</v>
      </c>
      <c r="CS101" s="93">
        <f>IF(AND($T101=1,CS$5&lt;=$H101),CR101*(1-BC101)*(1-MIN(1,MAX(Assumptions!$C$27,Assumptions!$C$13*Assumptions!$C$28^(CR$5-1))*$O101)),0)</f>
        <v>0.52384750623870979</v>
      </c>
      <c r="CT101" s="93">
        <f>IF(AND($T101=1,CT$5&lt;=$H101),CS101*(1-BD101)*(1-MIN(1,MAX(Assumptions!$C$27,Assumptions!$C$13*Assumptions!$C$28^(CS$5-1))*$O101)),0)</f>
        <v>0.50881658418161246</v>
      </c>
      <c r="CU101" s="93">
        <f>IF(AND($T101=1,CU$5&lt;=$H101),CT101*(1-BE101)*(1-MIN(1,MAX(Assumptions!$C$27,Assumptions!$C$13*Assumptions!$C$28^(CT$5-1))*$O101)),0)</f>
        <v>0.49629802363342412</v>
      </c>
      <c r="CV101" s="93">
        <f>IF(AND($T101=1,CV$5&lt;=$H101),CU101*(1-BF101)*(1-MIN(1,MAX(Assumptions!$C$27,Assumptions!$C$13*Assumptions!$C$28^(CU$5-1))*$O101)),0)</f>
        <v>0.48580386186474345</v>
      </c>
      <c r="CW101" s="93">
        <f>IF(AND($T101=1,CW$5&lt;=$H101),CV101*(1-BG101)*(1-MIN(1,MAX(Assumptions!$C$27,Assumptions!$C$13*Assumptions!$C$28^(CV$5-1))*$O101)),0)</f>
        <v>0.47552795539633508</v>
      </c>
      <c r="CX101" s="93">
        <f>IF(AND($T101=1,CX$5&lt;=$H101),CW101*(1-BH101)*(1-MIN(1,MAX(Assumptions!$C$27,Assumptions!$C$13*Assumptions!$C$28^(CW$5-1))*$O101)),0)</f>
        <v>0.46542376850327927</v>
      </c>
      <c r="CY101" s="93">
        <f>IF(AND($T101=1,CY$5&lt;=$H101),CX101*(1-BI101)*(1-MIN(1,MAX(Assumptions!$C$27,Assumptions!$C$13*Assumptions!$C$28^(CX$5-1))*$O101)),0)</f>
        <v>0.45548588799551709</v>
      </c>
      <c r="CZ101" s="93">
        <f>IF(AND($T101=1,CZ$5&lt;=$H101),CY101*(1-BJ101)*(1-MIN(1,MAX(Assumptions!$C$27,Assumptions!$C$13*Assumptions!$C$28^(CY$5-1))*$O101)),0)</f>
        <v>0.44570890237085731</v>
      </c>
      <c r="DA101" s="93">
        <f>IF(AND($T101=1,DA$5&lt;=$H101),CZ101*(1-BK101)*(1-MIN(1,MAX(Assumptions!$C$27,Assumptions!$C$13*Assumptions!$C$28^(CZ$5-1))*$O101)),0)</f>
        <v>0.43608739746224251</v>
      </c>
      <c r="DB101" s="93">
        <f>IF(AND($T101=1,DB$5&lt;=$H101),DA101*(1-BL101)*(1-MIN(1,MAX(Assumptions!$C$27,Assumptions!$C$13*Assumptions!$C$28^(DA$5-1))*$O101)),0)</f>
        <v>0.42661595222960608</v>
      </c>
      <c r="DC101" s="93">
        <f>IF(AND($T101=1,DC$5&lt;=$H101),DB101*(1-BM101)*(1-MIN(1,MAX(Assumptions!$C$27,Assumptions!$C$13*Assumptions!$C$28^(DB$5-1))*$O101)),0)</f>
        <v>0.41728913474223667</v>
      </c>
      <c r="DD101" s="93">
        <f>IF(AND($T101=1,DD$5&lt;=$H101),DC101*(1-BN101)*(1-MIN(1,MAX(Assumptions!$C$27,Assumptions!$C$13*Assumptions!$C$28^(DC$5-1))*$O101)),0)</f>
        <v>0.40810149840565479</v>
      </c>
      <c r="DE101" s="93">
        <f>IF(AND($T101=1,DE$5&lt;=$H101),DD101*(1-BO101)*(1-MIN(1,MAX(Assumptions!$C$27,Assumptions!$C$13*Assumptions!$C$28^(DD$5-1))*$O101)),0)</f>
        <v>0.39904757849620104</v>
      </c>
      <c r="DF101" s="93">
        <f>IF(AND($T101=1,DF$5&lt;=$H101),DE101*(1-BP101)*(1-MIN(1,MAX(Assumptions!$C$27,Assumptions!$C$13*Assumptions!$C$28^(DE$5-1))*$O101)),0)</f>
        <v>0.39012188907695455</v>
      </c>
      <c r="DG101" s="93">
        <f>IF(AND($T101=1,DG$5&lt;=$H101),DF101*(1-BQ101)*(1-MIN(1,MAX(Assumptions!$C$27,Assumptions!$C$13*Assumptions!$C$28^(DF$5-1))*$O101)),0)</f>
        <v>0.38131892038037046</v>
      </c>
      <c r="DH101" s="93">
        <f>IF(AND($T101=1,DH$5&lt;=$H101),DG101*(1-BR101)*(1-MIN(1,MAX(Assumptions!$C$27,Assumptions!$C$13*Assumptions!$C$28^(DG$5-1))*$O101)),0)</f>
        <v>0.37263313675627102</v>
      </c>
      <c r="DI101" s="93">
        <f>IF(AND($T101=1,DI$5&lt;=$H101),DH101*(1-BS101)*(1-MIN(1,MAX(Assumptions!$C$27,Assumptions!$C$13*Assumptions!$C$28^(DH$5-1))*$O101)),0)</f>
        <v>0</v>
      </c>
      <c r="DJ101" s="93">
        <f>IF(AND($T101=1,DJ$5&lt;=$H101),DI101*(1-BT101)*(1-MIN(1,MAX(Assumptions!$C$27,Assumptions!$C$13*Assumptions!$C$28^(DI$5-1))*$O101)),0)</f>
        <v>0</v>
      </c>
      <c r="DK101" s="93">
        <f>IF(AND($T101=1,DK$5&lt;=$H101),DJ101*(1-BU101)*(1-MIN(1,MAX(Assumptions!$C$27,Assumptions!$C$13*Assumptions!$C$28^(DJ$5-1))*$O101)),0)</f>
        <v>0</v>
      </c>
      <c r="DL101" s="93">
        <f>IF(AND($T101=1,DL$5&lt;=$H101),DK101*(1-BV101)*(1-MIN(1,MAX(Assumptions!$C$27,Assumptions!$C$13*Assumptions!$C$28^(DK$5-1))*$O101)),0)</f>
        <v>0</v>
      </c>
      <c r="DM101" s="93">
        <f>IF(AND($T101=1,DM$5&lt;=$H101),DL101*(1-BW101)*(1-MIN(1,MAX(Assumptions!$C$27,Assumptions!$C$13*Assumptions!$C$28^(DL$5-1))*$O101)),0)</f>
        <v>0</v>
      </c>
      <c r="DN101" s="93">
        <f>IF(AND($T101=1,DN$5&lt;=$H101),DM101*(1-BX101)*(1-MIN(1,MAX(Assumptions!$C$27,Assumptions!$C$13*Assumptions!$C$28^(DM$5-1))*$O101)),0)</f>
        <v>0</v>
      </c>
      <c r="DO101" s="93">
        <f>IF(AND($T101=1,DO$5&lt;=$H101),DN101*(1-BY101)*(1-MIN(1,MAX(Assumptions!$C$27,Assumptions!$C$13*Assumptions!$C$28^(DN$5-1))*$O101)),0)</f>
        <v>0</v>
      </c>
      <c r="DP101" s="93">
        <f>IF(AND($T101=1,DP$5&lt;=$H101),DO101*(1-BZ101)*(1-MIN(1,MAX(Assumptions!$C$27,Assumptions!$C$13*Assumptions!$C$28^(DO$5-1))*$O101)),0)</f>
        <v>0</v>
      </c>
      <c r="DQ101" s="93">
        <f>IF(AND($T101=1,DQ$5&lt;=$H101),DP101*(1-CA101)*(1-MIN(1,MAX(Assumptions!$C$27,Assumptions!$C$13*Assumptions!$C$28^(DP$5-1))*$O101)),0)</f>
        <v>0</v>
      </c>
      <c r="DR101" s="93">
        <f>IF(AND($T101=1,DR$5&lt;=$H101),DQ101*(1-CB101)*(1-MIN(1,MAX(Assumptions!$C$27,Assumptions!$C$13*Assumptions!$C$28^(DQ$5-1))*$O101)),0)</f>
        <v>0</v>
      </c>
      <c r="DS101" s="93">
        <f>IF(AND($T101=1,DS$5&lt;=$H101),DR101*(1-CC101)*(1-MIN(1,MAX(Assumptions!$C$27,Assumptions!$C$13*Assumptions!$C$28^(DR$5-1))*$O101)),0)</f>
        <v>0</v>
      </c>
      <c r="DT101" s="93">
        <f>IF(AND($T101=1,DT$5&lt;=$H101),DS101*(1-CD101)*(1-MIN(1,MAX(Assumptions!$C$27,Assumptions!$C$13*Assumptions!$C$28^(DS$5-1))*$O101)),0)</f>
        <v>0</v>
      </c>
      <c r="DU101" s="93">
        <f>IF(AND($T101=1,DU$5&lt;=$H101),DT101*(1-CE101)*(1-MIN(1,MAX(Assumptions!$C$27,Assumptions!$C$13*Assumptions!$C$28^(DT$5-1))*$O101)),0)</f>
        <v>0</v>
      </c>
      <c r="DV101" s="93">
        <f>IF(AND($T101=1,DV$5&lt;=$H101),DU101*(1-CF101)*(1-MIN(1,MAX(Assumptions!$C$27,Assumptions!$C$13*Assumptions!$C$28^(DU$5-1))*$O101)),0)</f>
        <v>0</v>
      </c>
      <c r="DW101" s="94">
        <f>IF(AND($T101=1,DW$5&lt;=$H101),DV101*(1-CG101)*(1-MIN(1,MAX(Assumptions!$C$27,Assumptions!$C$13*Assumptions!$C$28^(DV$5-1))*$O101)),0)</f>
        <v>0</v>
      </c>
      <c r="DX101" s="26"/>
      <c r="DY101" s="399">
        <f>'Policy Data'!K75</f>
        <v>7</v>
      </c>
      <c r="DZ101" s="100">
        <f>'Policy Data'!L75</f>
        <v>0.6956</v>
      </c>
      <c r="EA101" s="100">
        <f>'Policy Data'!N75</f>
        <v>3.1300000000000002E-4</v>
      </c>
      <c r="EB101" s="93" cm="1">
        <f t="array" ref="EB101">IFERROR(DZ101*INDEX(Mortality!$B$4:$E$64,MATCH(D101+DY101-1,Mortality!$A$4:$A$64,0),U101)*V101,0)</f>
        <v>5.0613544764013124E-4</v>
      </c>
      <c r="EC101" s="100">
        <f>'Policy Data'!O75</f>
        <v>0</v>
      </c>
      <c r="ED101" s="400">
        <f>'Policy Data'!Q75</f>
        <v>0</v>
      </c>
    </row>
    <row r="102" spans="1:134" x14ac:dyDescent="0.3">
      <c r="A102" s="399" t="str">
        <f>'Policy Data'!A76</f>
        <v>POL100072</v>
      </c>
      <c r="B102" s="26" t="s">
        <v>426</v>
      </c>
      <c r="C102" s="100" t="str">
        <f>'Policy Data'!B76</f>
        <v>Term Life</v>
      </c>
      <c r="D102" s="100">
        <f>'Policy Data'!C76</f>
        <v>49</v>
      </c>
      <c r="E102" s="100" t="str">
        <f>'Policy Data'!D76</f>
        <v>Male</v>
      </c>
      <c r="F102" s="100" t="str">
        <f>'Policy Data'!E76</f>
        <v>Non-smoker</v>
      </c>
      <c r="G102" s="100" t="str">
        <f>'Policy Data'!F76</f>
        <v>Standard</v>
      </c>
      <c r="H102" s="100">
        <f>'Policy Data'!G76</f>
        <v>15</v>
      </c>
      <c r="I102" s="279">
        <f>'Policy Data'!H76</f>
        <v>250000</v>
      </c>
      <c r="J102" s="100" t="str">
        <f>'Policy Data'!I76</f>
        <v>Annual</v>
      </c>
      <c r="K102" s="100" t="str">
        <f>'Policy Data'!J76</f>
        <v>Direct</v>
      </c>
      <c r="L102" s="26" t="s">
        <v>389</v>
      </c>
      <c r="M102" s="106">
        <f>'Policy Data'!R76</f>
        <v>1315.51</v>
      </c>
      <c r="N102" s="415">
        <f>Assumptions!$C$21</f>
        <v>1</v>
      </c>
      <c r="O102" s="415">
        <f>Assumptions!$C$22</f>
        <v>1</v>
      </c>
      <c r="P102" s="415">
        <f>Assumptions!$C$23</f>
        <v>1</v>
      </c>
      <c r="Q102" s="416">
        <f>Assumptions!$C$24</f>
        <v>0</v>
      </c>
      <c r="R102" s="416">
        <f>Assumptions!$C$6+Assumptions!$C$25</f>
        <v>3.5000000000000003E-2</v>
      </c>
      <c r="S102" s="416">
        <f>Assumptions!$C$15</f>
        <v>1.1000000000000001E-3</v>
      </c>
      <c r="T102" s="26">
        <f t="shared" si="36"/>
        <v>1</v>
      </c>
      <c r="U102" s="26">
        <f t="shared" si="37"/>
        <v>3</v>
      </c>
      <c r="V102" s="389">
        <f>IF($G102="Preferred",Assumptions!$C$30,IF($G102="Rated",Assumptions!$C$31,1))</f>
        <v>1</v>
      </c>
      <c r="W102" s="390">
        <f>IF($K102="Direct",Assumptions!$C$32,IF($K102="Broker",Assumptions!$C$33,IF($K102="Bancassurance",Assumptions!$C$34,Assumptions!$C$11)))+$Q102</f>
        <v>0.1</v>
      </c>
      <c r="X102" s="390">
        <f>Assumptions!$C$12+$Q102</f>
        <v>0.05</v>
      </c>
      <c r="Y102" s="131">
        <f>MIN($I102,Assumptions!$C$14)</f>
        <v>250000</v>
      </c>
      <c r="Z102" s="131">
        <f>MAX($I102-Assumptions!$C$14,0)</f>
        <v>0</v>
      </c>
      <c r="AA102" s="389">
        <f t="shared" si="38"/>
        <v>7.3125221239221156</v>
      </c>
      <c r="AB102" s="389">
        <f t="shared" si="39"/>
        <v>2.8082289640999823E-2</v>
      </c>
      <c r="AC102" s="389">
        <f>IF($T102=1,SUMPRODUCT($CJ102:$DW102,(1+Assumptions!$C$5)^($CJ$5:$DW$5-1),(1+$R102)^(-$CJ$5:$DW$5)),0)</f>
        <v>9.1314458771898614</v>
      </c>
      <c r="AD102" s="389">
        <f t="shared" si="40"/>
        <v>0.41393528494006715</v>
      </c>
      <c r="AE102" s="131">
        <f>IF($T102=1,$AB102*$Y102+(Assumptions!$C$9/(1+$R102)+Assumptions!$C$10*$AC102)*$P102+$S102*$Z102*$AA102,0)</f>
        <v>9899.0557206230296</v>
      </c>
      <c r="AF102" s="131">
        <f>IF($T102=1,IF($AA102-$AD102-Assumptions!$C$16*$AA102&gt;0,$AE102/($AA102-$AD102-Assumptions!$C$16*$AA102)*IF($J102="Monthly",1+Assumptions!$C$29,1),"n.a."),"")</f>
        <v>1567.8977335905088</v>
      </c>
      <c r="AG102" s="131">
        <f t="shared" si="41"/>
        <v>1315.51</v>
      </c>
      <c r="AH102" s="131">
        <f t="shared" si="42"/>
        <v>9619.6959792407815</v>
      </c>
      <c r="AI102" s="131">
        <f t="shared" si="43"/>
        <v>-823.89574807375539</v>
      </c>
      <c r="AJ102" s="390">
        <f t="shared" si="44"/>
        <v>-8.5646755349827589E-2</v>
      </c>
      <c r="AK102" s="389">
        <f t="shared" si="45"/>
        <v>0.83902793646334495</v>
      </c>
      <c r="AL102" s="131">
        <f t="shared" si="46"/>
        <v>0</v>
      </c>
      <c r="AM102" s="131">
        <f t="shared" si="47"/>
        <v>0</v>
      </c>
      <c r="AN102" s="131">
        <f t="shared" si="48"/>
        <v>0</v>
      </c>
      <c r="AO102" s="131">
        <f t="shared" si="49"/>
        <v>-823.89574807375539</v>
      </c>
      <c r="AP102" s="26" t="str">
        <f t="shared" si="50"/>
        <v>40-49</v>
      </c>
      <c r="AQ102" s="26" t="str">
        <f t="shared" si="51"/>
        <v>Up to 250k</v>
      </c>
      <c r="AR102" s="26" t="str">
        <f>IF($T102=1,IF($AI102&lt;0,"Loss-making",IF($AJ102&lt;Assumptions!$C$16-0.00001,"Below target","At/above target")),"Excluded")</f>
        <v>Loss-making</v>
      </c>
      <c r="AS102" s="103">
        <f t="shared" si="52"/>
        <v>-823.89564607375542</v>
      </c>
      <c r="AT102" s="26"/>
      <c r="AU102" s="419">
        <f>IF(AND($T102=1,AU$5&lt;=$H102),INDEX(Mortality!$B$4:$E$64,MATCH($D102+AU$5-1,Mortality!$A$4:$A$64,0),$U102)*$V102*$N102,0)</f>
        <v>2.3661265384860701E-3</v>
      </c>
      <c r="AV102" s="93">
        <f>IF(AND($T102=1,AV$5&lt;=$H102),INDEX(Mortality!$B$4:$E$64,MATCH($D102+AV$5-1,Mortality!$A$4:$A$64,0),$U102)*$V102*$N102,0)</f>
        <v>2.5631942796244698E-3</v>
      </c>
      <c r="AW102" s="93">
        <f>IF(AND($T102=1,AW$5&lt;=$H102),INDEX(Mortality!$B$4:$E$64,MATCH($D102+AW$5-1,Mortality!$A$4:$A$64,0),$U102)*$V102*$N102,0)</f>
        <v>2.7766752150556202E-3</v>
      </c>
      <c r="AX102" s="93">
        <f>IF(AND($T102=1,AX$5&lt;=$H102),INDEX(Mortality!$B$4:$E$64,MATCH($D102+AX$5-1,Mortality!$A$4:$A$64,0),$U102)*$V102*$N102,0)</f>
        <v>3.0079363516033399E-3</v>
      </c>
      <c r="AY102" s="93">
        <f>IF(AND($T102=1,AY$5&lt;=$H102),INDEX(Mortality!$B$4:$E$64,MATCH($D102+AY$5-1,Mortality!$A$4:$A$64,0),$U102)*$V102*$N102,0)</f>
        <v>3.2584585500813001E-3</v>
      </c>
      <c r="AZ102" s="93">
        <f>IF(AND($T102=1,AZ$5&lt;=$H102),INDEX(Mortality!$B$4:$E$64,MATCH($D102+AZ$5-1,Mortality!$A$4:$A$64,0),$U102)*$V102*$N102,0)</f>
        <v>3.5298460078579601E-3</v>
      </c>
      <c r="BA102" s="93">
        <f>IF(AND($T102=1,BA$5&lt;=$H102),INDEX(Mortality!$B$4:$E$64,MATCH($D102+BA$5-1,Mortality!$A$4:$A$64,0),$U102)*$V102*$N102,0)</f>
        <v>3.8238365311966099E-3</v>
      </c>
      <c r="BB102" s="93">
        <f>IF(AND($T102=1,BB$5&lt;=$H102),INDEX(Mortality!$B$4:$E$64,MATCH($D102+BB$5-1,Mortality!$A$4:$A$64,0),$U102)*$V102*$N102,0)</f>
        <v>4.1423126631483596E-3</v>
      </c>
      <c r="BC102" s="93">
        <f>IF(AND($T102=1,BC$5&lt;=$H102),INDEX(Mortality!$B$4:$E$64,MATCH($D102+BC$5-1,Mortality!$A$4:$A$64,0),$U102)*$V102*$N102,0)</f>
        <v>4.4873137382548398E-3</v>
      </c>
      <c r="BD102" s="93">
        <f>IF(AND($T102=1,BD$5&lt;=$H102),INDEX(Mortality!$B$4:$E$64,MATCH($D102+BD$5-1,Mortality!$A$4:$A$64,0),$U102)*$V102*$N102,0)</f>
        <v>4.8610489412516398E-3</v>
      </c>
      <c r="BE102" s="93">
        <f>IF(AND($T102=1,BE$5&lt;=$H102),INDEX(Mortality!$B$4:$E$64,MATCH($D102+BE$5-1,Mortality!$A$4:$A$64,0),$U102)*$V102*$N102,0)</f>
        <v>5.2659114533929498E-3</v>
      </c>
      <c r="BF102" s="93">
        <f>IF(AND($T102=1,BF$5&lt;=$H102),INDEX(Mortality!$B$4:$E$64,MATCH($D102+BF$5-1,Mortality!$A$4:$A$64,0),$U102)*$V102*$N102,0)</f>
        <v>5.7044937769820296E-3</v>
      </c>
      <c r="BG102" s="93">
        <f>IF(AND($T102=1,BG$5&lt;=$H102),INDEX(Mortality!$B$4:$E$64,MATCH($D102+BG$5-1,Mortality!$A$4:$A$64,0),$U102)*$V102*$N102,0)</f>
        <v>6.1796043362369098E-3</v>
      </c>
      <c r="BH102" s="93">
        <f>IF(AND($T102=1,BH$5&lt;=$H102),INDEX(Mortality!$B$4:$E$64,MATCH($D102+BH$5-1,Mortality!$A$4:$A$64,0),$U102)*$V102*$N102,0)</f>
        <v>6.6942854607935399E-3</v>
      </c>
      <c r="BI102" s="93">
        <f>IF(AND($T102=1,BI$5&lt;=$H102),INDEX(Mortality!$B$4:$E$64,MATCH($D102+BI$5-1,Mortality!$A$4:$A$64,0),$U102)*$V102*$N102,0)</f>
        <v>7.2518328670021504E-3</v>
      </c>
      <c r="BJ102" s="93">
        <f>IF(AND($T102=1,BJ$5&lt;=$H102),INDEX(Mortality!$B$4:$E$64,MATCH($D102+BJ$5-1,Mortality!$A$4:$A$64,0),$U102)*$V102*$N102,0)</f>
        <v>0</v>
      </c>
      <c r="BK102" s="93">
        <f>IF(AND($T102=1,BK$5&lt;=$H102),INDEX(Mortality!$B$4:$E$64,MATCH($D102+BK$5-1,Mortality!$A$4:$A$64,0),$U102)*$V102*$N102,0)</f>
        <v>0</v>
      </c>
      <c r="BL102" s="93">
        <f>IF(AND($T102=1,BL$5&lt;=$H102),INDEX(Mortality!$B$4:$E$64,MATCH($D102+BL$5-1,Mortality!$A$4:$A$64,0),$U102)*$V102*$N102,0)</f>
        <v>0</v>
      </c>
      <c r="BM102" s="93">
        <f>IF(AND($T102=1,BM$5&lt;=$H102),INDEX(Mortality!$B$4:$E$64,MATCH($D102+BM$5-1,Mortality!$A$4:$A$64,0),$U102)*$V102*$N102,0)</f>
        <v>0</v>
      </c>
      <c r="BN102" s="93">
        <f>IF(AND($T102=1,BN$5&lt;=$H102),INDEX(Mortality!$B$4:$E$64,MATCH($D102+BN$5-1,Mortality!$A$4:$A$64,0),$U102)*$V102*$N102,0)</f>
        <v>0</v>
      </c>
      <c r="BO102" s="93">
        <f>IF(AND($T102=1,BO$5&lt;=$H102),INDEX(Mortality!$B$4:$E$64,MATCH($D102+BO$5-1,Mortality!$A$4:$A$64,0),$U102)*$V102*$N102,0)</f>
        <v>0</v>
      </c>
      <c r="BP102" s="93">
        <f>IF(AND($T102=1,BP$5&lt;=$H102),INDEX(Mortality!$B$4:$E$64,MATCH($D102+BP$5-1,Mortality!$A$4:$A$64,0),$U102)*$V102*$N102,0)</f>
        <v>0</v>
      </c>
      <c r="BQ102" s="93">
        <f>IF(AND($T102=1,BQ$5&lt;=$H102),INDEX(Mortality!$B$4:$E$64,MATCH($D102+BQ$5-1,Mortality!$A$4:$A$64,0),$U102)*$V102*$N102,0)</f>
        <v>0</v>
      </c>
      <c r="BR102" s="93">
        <f>IF(AND($T102=1,BR$5&lt;=$H102),INDEX(Mortality!$B$4:$E$64,MATCH($D102+BR$5-1,Mortality!$A$4:$A$64,0),$U102)*$V102*$N102,0)</f>
        <v>0</v>
      </c>
      <c r="BS102" s="93">
        <f>IF(AND($T102=1,BS$5&lt;=$H102),INDEX(Mortality!$B$4:$E$64,MATCH($D102+BS$5-1,Mortality!$A$4:$A$64,0),$U102)*$V102*$N102,0)</f>
        <v>0</v>
      </c>
      <c r="BT102" s="93">
        <f>IF(AND($T102=1,BT$5&lt;=$H102),INDEX(Mortality!$B$4:$E$64,MATCH($D102+BT$5-1,Mortality!$A$4:$A$64,0),$U102)*$V102*$N102,0)</f>
        <v>0</v>
      </c>
      <c r="BU102" s="93">
        <f>IF(AND($T102=1,BU$5&lt;=$H102),INDEX(Mortality!$B$4:$E$64,MATCH($D102+BU$5-1,Mortality!$A$4:$A$64,0),$U102)*$V102*$N102,0)</f>
        <v>0</v>
      </c>
      <c r="BV102" s="93">
        <f>IF(AND($T102=1,BV$5&lt;=$H102),INDEX(Mortality!$B$4:$E$64,MATCH($D102+BV$5-1,Mortality!$A$4:$A$64,0),$U102)*$V102*$N102,0)</f>
        <v>0</v>
      </c>
      <c r="BW102" s="93">
        <f>IF(AND($T102=1,BW$5&lt;=$H102),INDEX(Mortality!$B$4:$E$64,MATCH($D102+BW$5-1,Mortality!$A$4:$A$64,0),$U102)*$V102*$N102,0)</f>
        <v>0</v>
      </c>
      <c r="BX102" s="93">
        <f>IF(AND($T102=1,BX$5&lt;=$H102),INDEX(Mortality!$B$4:$E$64,MATCH($D102+BX$5-1,Mortality!$A$4:$A$64,0),$U102)*$V102*$N102,0)</f>
        <v>0</v>
      </c>
      <c r="BY102" s="93">
        <f>IF(AND($T102=1,BY$5&lt;=$H102),INDEX(Mortality!$B$4:$E$64,MATCH($D102+BY$5-1,Mortality!$A$4:$A$64,0),$U102)*$V102*$N102,0)</f>
        <v>0</v>
      </c>
      <c r="BZ102" s="93">
        <f>IF(AND($T102=1,BZ$5&lt;=$H102),INDEX(Mortality!$B$4:$E$64,MATCH($D102+BZ$5-1,Mortality!$A$4:$A$64,0),$U102)*$V102*$N102,0)</f>
        <v>0</v>
      </c>
      <c r="CA102" s="93">
        <f>IF(AND($T102=1,CA$5&lt;=$H102),INDEX(Mortality!$B$4:$E$64,MATCH($D102+CA$5-1,Mortality!$A$4:$A$64,0),$U102)*$V102*$N102,0)</f>
        <v>0</v>
      </c>
      <c r="CB102" s="93">
        <f>IF(AND($T102=1,CB$5&lt;=$H102),INDEX(Mortality!$B$4:$E$64,MATCH($D102+CB$5-1,Mortality!$A$4:$A$64,0),$U102)*$V102*$N102,0)</f>
        <v>0</v>
      </c>
      <c r="CC102" s="93">
        <f>IF(AND($T102=1,CC$5&lt;=$H102),INDEX(Mortality!$B$4:$E$64,MATCH($D102+CC$5-1,Mortality!$A$4:$A$64,0),$U102)*$V102*$N102,0)</f>
        <v>0</v>
      </c>
      <c r="CD102" s="93">
        <f>IF(AND($T102=1,CD$5&lt;=$H102),INDEX(Mortality!$B$4:$E$64,MATCH($D102+CD$5-1,Mortality!$A$4:$A$64,0),$U102)*$V102*$N102,0)</f>
        <v>0</v>
      </c>
      <c r="CE102" s="93">
        <f>IF(AND($T102=1,CE$5&lt;=$H102),INDEX(Mortality!$B$4:$E$64,MATCH($D102+CE$5-1,Mortality!$A$4:$A$64,0),$U102)*$V102*$N102,0)</f>
        <v>0</v>
      </c>
      <c r="CF102" s="93">
        <f>IF(AND($T102=1,CF$5&lt;=$H102),INDEX(Mortality!$B$4:$E$64,MATCH($D102+CF$5-1,Mortality!$A$4:$A$64,0),$U102)*$V102*$N102,0)</f>
        <v>0</v>
      </c>
      <c r="CG102" s="93">
        <f>IF(AND($T102=1,CG$5&lt;=$H102),INDEX(Mortality!$B$4:$E$64,MATCH($D102+CG$5-1,Mortality!$A$4:$A$64,0),$U102)*$V102*$N102,0)</f>
        <v>0</v>
      </c>
      <c r="CH102" s="94">
        <f>IF(AND($T102=1,CH$5&lt;=$H102),INDEX(Mortality!$B$4:$E$64,MATCH($D102+CH$5-1,Mortality!$A$4:$A$64,0),$U102)*$V102*$N102,0)</f>
        <v>0</v>
      </c>
      <c r="CI102" s="26"/>
      <c r="CJ102" s="419">
        <f t="shared" si="53"/>
        <v>1</v>
      </c>
      <c r="CK102" s="93">
        <f>IF(AND($T102=1,CK$5&lt;=$H102),CJ102*(1-AU102)*(1-MIN(1,MAX(Assumptions!$C$27,Assumptions!$C$13*Assumptions!$C$28^(CJ$5-1))*$O102)),0)</f>
        <v>0.87791780864613223</v>
      </c>
      <c r="CL102" s="93">
        <f>IF(AND($T102=1,CL$5&lt;=$H102),CK102*(1-AV102)*(1-MIN(1,MAX(Assumptions!$C$27,Assumptions!$C$13*Assumptions!$C$28^(CK$5-1))*$O102)),0)</f>
        <v>0.78634944619744496</v>
      </c>
      <c r="CM102" s="93">
        <f>IF(AND($T102=1,CM$5&lt;=$H102),CL102*(1-AW102)*(1-MIN(1,MAX(Assumptions!$C$27,Assumptions!$C$13*Assumptions!$C$28^(CL$5-1))*$O102)),0)</f>
        <v>0.71617881618392576</v>
      </c>
      <c r="CN102" s="93">
        <f>IF(AND($T102=1,CN$5&lt;=$H102),CM102*(1-AX102)*(1-MIN(1,MAX(Assumptions!$C$27,Assumptions!$C$13*Assumptions!$C$28^(CM$5-1))*$O102)),0)</f>
        <v>0.66140455329447656</v>
      </c>
      <c r="CO102" s="93">
        <f>IF(AND($T102=1,CO$5&lt;=$H102),CN102*(1-AY102)*(1-MIN(1,MAX(Assumptions!$C$27,Assumptions!$C$13*Assumptions!$C$28^(CN$5-1))*$O102)),0)</f>
        <v>0.61795351749723404</v>
      </c>
      <c r="CP102" s="93">
        <f>IF(AND($T102=1,CP$5&lt;=$H102),CO102*(1-AZ102)*(1-MIN(1,MAX(Assumptions!$C$27,Assumptions!$C$13*Assumptions!$C$28^(CO$5-1))*$O102)),0)</f>
        <v>0.582985667212645</v>
      </c>
      <c r="CQ102" s="93">
        <f>IF(AND($T102=1,CQ$5&lt;=$H102),CP102*(1-BA102)*(1-MIN(1,MAX(Assumptions!$C$27,Assumptions!$C$13*Assumptions!$C$28^(CP$5-1))*$O102)),0)</f>
        <v>0.55447258478047401</v>
      </c>
      <c r="CR102" s="93">
        <f>IF(AND($T102=1,CR$5&lt;=$H102),CQ102*(1-BB102)*(1-MIN(1,MAX(Assumptions!$C$27,Assumptions!$C$13*Assumptions!$C$28^(CQ$5-1))*$O102)),0)</f>
        <v>0.5309339972888435</v>
      </c>
      <c r="CS102" s="93">
        <f>IF(AND($T102=1,CS$5&lt;=$H102),CR102*(1-BC102)*(1-MIN(1,MAX(Assumptions!$C$27,Assumptions!$C$13*Assumptions!$C$28^(CR$5-1))*$O102)),0)</f>
        <v>0.51126849580260803</v>
      </c>
      <c r="CT102" s="93">
        <f>IF(AND($T102=1,CT$5&lt;=$H102),CS102*(1-BD102)*(1-MIN(1,MAX(Assumptions!$C$27,Assumptions!$C$13*Assumptions!$C$28^(CS$5-1))*$O102)),0)</f>
        <v>0.4946420574393533</v>
      </c>
      <c r="CU102" s="93">
        <f>IF(AND($T102=1,CU$5&lt;=$H102),CT102*(1-BE102)*(1-MIN(1,MAX(Assumptions!$C$27,Assumptions!$C$13*Assumptions!$C$28^(CT$5-1))*$O102)),0)</f>
        <v>0.48041296973977593</v>
      </c>
      <c r="CV102" s="93">
        <f>IF(AND($T102=1,CV$5&lt;=$H102),CU102*(1-BF102)*(1-MIN(1,MAX(Assumptions!$C$27,Assumptions!$C$13*Assumptions!$C$28^(CU$5-1))*$O102)),0)</f>
        <v>0.46808022593958015</v>
      </c>
      <c r="CW102" s="93">
        <f>IF(AND($T102=1,CW$5&lt;=$H102),CV102*(1-BG102)*(1-MIN(1,MAX(Assumptions!$C$27,Assumptions!$C$13*Assumptions!$C$28^(CV$5-1))*$O102)),0)</f>
        <v>0.45588392183874404</v>
      </c>
      <c r="CX102" s="93">
        <f>IF(AND($T102=1,CX$5&lt;=$H102),CW102*(1-BH102)*(1-MIN(1,MAX(Assumptions!$C$27,Assumptions!$C$13*Assumptions!$C$28^(CW$5-1))*$O102)),0)</f>
        <v>0.44377546263438999</v>
      </c>
      <c r="CY102" s="93">
        <f>IF(AND($T102=1,CY$5&lt;=$H102),CX102*(1-BI102)*(1-MIN(1,MAX(Assumptions!$C$27,Assumptions!$C$13*Assumptions!$C$28^(CX$5-1))*$O102)),0)</f>
        <v>0</v>
      </c>
      <c r="CZ102" s="93">
        <f>IF(AND($T102=1,CZ$5&lt;=$H102),CY102*(1-BJ102)*(1-MIN(1,MAX(Assumptions!$C$27,Assumptions!$C$13*Assumptions!$C$28^(CY$5-1))*$O102)),0)</f>
        <v>0</v>
      </c>
      <c r="DA102" s="93">
        <f>IF(AND($T102=1,DA$5&lt;=$H102),CZ102*(1-BK102)*(1-MIN(1,MAX(Assumptions!$C$27,Assumptions!$C$13*Assumptions!$C$28^(CZ$5-1))*$O102)),0)</f>
        <v>0</v>
      </c>
      <c r="DB102" s="93">
        <f>IF(AND($T102=1,DB$5&lt;=$H102),DA102*(1-BL102)*(1-MIN(1,MAX(Assumptions!$C$27,Assumptions!$C$13*Assumptions!$C$28^(DA$5-1))*$O102)),0)</f>
        <v>0</v>
      </c>
      <c r="DC102" s="93">
        <f>IF(AND($T102=1,DC$5&lt;=$H102),DB102*(1-BM102)*(1-MIN(1,MAX(Assumptions!$C$27,Assumptions!$C$13*Assumptions!$C$28^(DB$5-1))*$O102)),0)</f>
        <v>0</v>
      </c>
      <c r="DD102" s="93">
        <f>IF(AND($T102=1,DD$5&lt;=$H102),DC102*(1-BN102)*(1-MIN(1,MAX(Assumptions!$C$27,Assumptions!$C$13*Assumptions!$C$28^(DC$5-1))*$O102)),0)</f>
        <v>0</v>
      </c>
      <c r="DE102" s="93">
        <f>IF(AND($T102=1,DE$5&lt;=$H102),DD102*(1-BO102)*(1-MIN(1,MAX(Assumptions!$C$27,Assumptions!$C$13*Assumptions!$C$28^(DD$5-1))*$O102)),0)</f>
        <v>0</v>
      </c>
      <c r="DF102" s="93">
        <f>IF(AND($T102=1,DF$5&lt;=$H102),DE102*(1-BP102)*(1-MIN(1,MAX(Assumptions!$C$27,Assumptions!$C$13*Assumptions!$C$28^(DE$5-1))*$O102)),0)</f>
        <v>0</v>
      </c>
      <c r="DG102" s="93">
        <f>IF(AND($T102=1,DG$5&lt;=$H102),DF102*(1-BQ102)*(1-MIN(1,MAX(Assumptions!$C$27,Assumptions!$C$13*Assumptions!$C$28^(DF$5-1))*$O102)),0)</f>
        <v>0</v>
      </c>
      <c r="DH102" s="93">
        <f>IF(AND($T102=1,DH$5&lt;=$H102),DG102*(1-BR102)*(1-MIN(1,MAX(Assumptions!$C$27,Assumptions!$C$13*Assumptions!$C$28^(DG$5-1))*$O102)),0)</f>
        <v>0</v>
      </c>
      <c r="DI102" s="93">
        <f>IF(AND($T102=1,DI$5&lt;=$H102),DH102*(1-BS102)*(1-MIN(1,MAX(Assumptions!$C$27,Assumptions!$C$13*Assumptions!$C$28^(DH$5-1))*$O102)),0)</f>
        <v>0</v>
      </c>
      <c r="DJ102" s="93">
        <f>IF(AND($T102=1,DJ$5&lt;=$H102),DI102*(1-BT102)*(1-MIN(1,MAX(Assumptions!$C$27,Assumptions!$C$13*Assumptions!$C$28^(DI$5-1))*$O102)),0)</f>
        <v>0</v>
      </c>
      <c r="DK102" s="93">
        <f>IF(AND($T102=1,DK$5&lt;=$H102),DJ102*(1-BU102)*(1-MIN(1,MAX(Assumptions!$C$27,Assumptions!$C$13*Assumptions!$C$28^(DJ$5-1))*$O102)),0)</f>
        <v>0</v>
      </c>
      <c r="DL102" s="93">
        <f>IF(AND($T102=1,DL$5&lt;=$H102),DK102*(1-BV102)*(1-MIN(1,MAX(Assumptions!$C$27,Assumptions!$C$13*Assumptions!$C$28^(DK$5-1))*$O102)),0)</f>
        <v>0</v>
      </c>
      <c r="DM102" s="93">
        <f>IF(AND($T102=1,DM$5&lt;=$H102),DL102*(1-BW102)*(1-MIN(1,MAX(Assumptions!$C$27,Assumptions!$C$13*Assumptions!$C$28^(DL$5-1))*$O102)),0)</f>
        <v>0</v>
      </c>
      <c r="DN102" s="93">
        <f>IF(AND($T102=1,DN$5&lt;=$H102),DM102*(1-BX102)*(1-MIN(1,MAX(Assumptions!$C$27,Assumptions!$C$13*Assumptions!$C$28^(DM$5-1))*$O102)),0)</f>
        <v>0</v>
      </c>
      <c r="DO102" s="93">
        <f>IF(AND($T102=1,DO$5&lt;=$H102),DN102*(1-BY102)*(1-MIN(1,MAX(Assumptions!$C$27,Assumptions!$C$13*Assumptions!$C$28^(DN$5-1))*$O102)),0)</f>
        <v>0</v>
      </c>
      <c r="DP102" s="93">
        <f>IF(AND($T102=1,DP$5&lt;=$H102),DO102*(1-BZ102)*(1-MIN(1,MAX(Assumptions!$C$27,Assumptions!$C$13*Assumptions!$C$28^(DO$5-1))*$O102)),0)</f>
        <v>0</v>
      </c>
      <c r="DQ102" s="93">
        <f>IF(AND($T102=1,DQ$5&lt;=$H102),DP102*(1-CA102)*(1-MIN(1,MAX(Assumptions!$C$27,Assumptions!$C$13*Assumptions!$C$28^(DP$5-1))*$O102)),0)</f>
        <v>0</v>
      </c>
      <c r="DR102" s="93">
        <f>IF(AND($T102=1,DR$5&lt;=$H102),DQ102*(1-CB102)*(1-MIN(1,MAX(Assumptions!$C$27,Assumptions!$C$13*Assumptions!$C$28^(DQ$5-1))*$O102)),0)</f>
        <v>0</v>
      </c>
      <c r="DS102" s="93">
        <f>IF(AND($T102=1,DS$5&lt;=$H102),DR102*(1-CC102)*(1-MIN(1,MAX(Assumptions!$C$27,Assumptions!$C$13*Assumptions!$C$28^(DR$5-1))*$O102)),0)</f>
        <v>0</v>
      </c>
      <c r="DT102" s="93">
        <f>IF(AND($T102=1,DT$5&lt;=$H102),DS102*(1-CD102)*(1-MIN(1,MAX(Assumptions!$C$27,Assumptions!$C$13*Assumptions!$C$28^(DS$5-1))*$O102)),0)</f>
        <v>0</v>
      </c>
      <c r="DU102" s="93">
        <f>IF(AND($T102=1,DU$5&lt;=$H102),DT102*(1-CE102)*(1-MIN(1,MAX(Assumptions!$C$27,Assumptions!$C$13*Assumptions!$C$28^(DT$5-1))*$O102)),0)</f>
        <v>0</v>
      </c>
      <c r="DV102" s="93">
        <f>IF(AND($T102=1,DV$5&lt;=$H102),DU102*(1-CF102)*(1-MIN(1,MAX(Assumptions!$C$27,Assumptions!$C$13*Assumptions!$C$28^(DU$5-1))*$O102)),0)</f>
        <v>0</v>
      </c>
      <c r="DW102" s="94">
        <f>IF(AND($T102=1,DW$5&lt;=$H102),DV102*(1-CG102)*(1-MIN(1,MAX(Assumptions!$C$27,Assumptions!$C$13*Assumptions!$C$28^(DV$5-1))*$O102)),0)</f>
        <v>0</v>
      </c>
      <c r="DX102" s="26"/>
      <c r="DY102" s="399">
        <f>'Policy Data'!K76</f>
        <v>2</v>
      </c>
      <c r="DZ102" s="100">
        <f>'Policy Data'!L76</f>
        <v>0.63770000000000004</v>
      </c>
      <c r="EA102" s="100">
        <f>'Policy Data'!N76</f>
        <v>1.5089999999999999E-3</v>
      </c>
      <c r="EB102" s="93" cm="1">
        <f t="array" ref="EB102">IFERROR(DZ102*INDEX(Mortality!$B$4:$E$64,MATCH(D102+DY102-1,Mortality!$A$4:$A$64,0),U102)*V102,0)</f>
        <v>1.6345489921165246E-3</v>
      </c>
      <c r="EC102" s="100">
        <f>'Policy Data'!O76</f>
        <v>0</v>
      </c>
      <c r="ED102" s="400">
        <f>'Policy Data'!Q76</f>
        <v>0</v>
      </c>
    </row>
    <row r="103" spans="1:134" x14ac:dyDescent="0.3">
      <c r="A103" s="399" t="str">
        <f>'Policy Data'!A77</f>
        <v>POL100073</v>
      </c>
      <c r="B103" s="26" t="s">
        <v>426</v>
      </c>
      <c r="C103" s="100" t="str">
        <f>'Policy Data'!B77</f>
        <v>Term Life</v>
      </c>
      <c r="D103" s="100">
        <f>'Policy Data'!C77</f>
        <v>49</v>
      </c>
      <c r="E103" s="100" t="str">
        <f>'Policy Data'!D77</f>
        <v>Female</v>
      </c>
      <c r="F103" s="100" t="str">
        <f>'Policy Data'!E77</f>
        <v>Non-smoker</v>
      </c>
      <c r="G103" s="100" t="str">
        <f>'Policy Data'!F77</f>
        <v>Rated</v>
      </c>
      <c r="H103" s="100">
        <f>'Policy Data'!G77</f>
        <v>15</v>
      </c>
      <c r="I103" s="279">
        <f>'Policy Data'!H77</f>
        <v>250000</v>
      </c>
      <c r="J103" s="100" t="str">
        <f>'Policy Data'!I77</f>
        <v>Monthly</v>
      </c>
      <c r="K103" s="100" t="str">
        <f>'Policy Data'!J77</f>
        <v>Broker</v>
      </c>
      <c r="L103" s="26" t="s">
        <v>389</v>
      </c>
      <c r="M103" s="106">
        <f>'Policy Data'!R77</f>
        <v>1417.17</v>
      </c>
      <c r="N103" s="415">
        <f>Assumptions!$C$21</f>
        <v>1</v>
      </c>
      <c r="O103" s="415">
        <f>Assumptions!$C$22</f>
        <v>1</v>
      </c>
      <c r="P103" s="415">
        <f>Assumptions!$C$23</f>
        <v>1</v>
      </c>
      <c r="Q103" s="416">
        <f>Assumptions!$C$24</f>
        <v>0</v>
      </c>
      <c r="R103" s="416">
        <f>Assumptions!$C$6+Assumptions!$C$25</f>
        <v>3.5000000000000003E-2</v>
      </c>
      <c r="S103" s="416">
        <f>Assumptions!$C$15</f>
        <v>1.1000000000000001E-3</v>
      </c>
      <c r="T103" s="26">
        <f t="shared" si="36"/>
        <v>1</v>
      </c>
      <c r="U103" s="26">
        <f t="shared" si="37"/>
        <v>1</v>
      </c>
      <c r="V103" s="389">
        <f>IF($G103="Preferred",Assumptions!$C$30,IF($G103="Rated",Assumptions!$C$31,1))</f>
        <v>1.55</v>
      </c>
      <c r="W103" s="390">
        <f>IF($K103="Direct",Assumptions!$C$32,IF($K103="Broker",Assumptions!$C$33,IF($K103="Bancassurance",Assumptions!$C$34,Assumptions!$C$11)))+$Q103</f>
        <v>0.25</v>
      </c>
      <c r="X103" s="390">
        <f>Assumptions!$C$12+$Q103</f>
        <v>0.05</v>
      </c>
      <c r="Y103" s="131">
        <f>MIN($I103,Assumptions!$C$14)</f>
        <v>250000</v>
      </c>
      <c r="Z103" s="131">
        <f>MAX($I103-Assumptions!$C$14,0)</f>
        <v>0</v>
      </c>
      <c r="AA103" s="389">
        <f t="shared" si="38"/>
        <v>7.2936432230207373</v>
      </c>
      <c r="AB103" s="389">
        <f t="shared" si="39"/>
        <v>3.2060808124451209E-2</v>
      </c>
      <c r="AC103" s="389">
        <f>IF($T103=1,SUMPRODUCT($CJ103:$DW103,(1+Assumptions!$C$5)^($CJ$5:$DW$5-1),(1+$R103)^(-$CJ$5:$DW$5)),0)</f>
        <v>9.1040220977210158</v>
      </c>
      <c r="AD103" s="389">
        <f t="shared" si="40"/>
        <v>0.55791887612688229</v>
      </c>
      <c r="AE103" s="131">
        <f>IF($T103=1,$AB103*$Y103+(Assumptions!$C$9/(1+$R103)+Assumptions!$C$10*$AC103)*$P103+$S103*$Z103*$AA103,0)</f>
        <v>10887.652110002731</v>
      </c>
      <c r="AF103" s="131">
        <f>IF($T103=1,IF($AA103-$AD103-Assumptions!$C$16*$AA103&gt;0,$AE103/($AA103-$AD103-Assumptions!$C$16*$AA103)*IF($J103="Monthly",1+Assumptions!$C$29,1),"n.a."),"")</f>
        <v>1822.7986286504945</v>
      </c>
      <c r="AG103" s="131">
        <f t="shared" si="41"/>
        <v>1417.17</v>
      </c>
      <c r="AH103" s="131">
        <f t="shared" si="42"/>
        <v>10336.332366368299</v>
      </c>
      <c r="AI103" s="131">
        <f t="shared" si="43"/>
        <v>-1341.9856373151651</v>
      </c>
      <c r="AJ103" s="390">
        <f t="shared" si="44"/>
        <v>-0.12983189682267113</v>
      </c>
      <c r="AK103" s="389">
        <f t="shared" si="45"/>
        <v>0.77746931434175981</v>
      </c>
      <c r="AL103" s="131">
        <f t="shared" si="46"/>
        <v>0</v>
      </c>
      <c r="AM103" s="131">
        <f t="shared" si="47"/>
        <v>0</v>
      </c>
      <c r="AN103" s="131">
        <f t="shared" si="48"/>
        <v>0</v>
      </c>
      <c r="AO103" s="131">
        <f t="shared" si="49"/>
        <v>-1341.9856373151651</v>
      </c>
      <c r="AP103" s="26" t="str">
        <f t="shared" si="50"/>
        <v>40-49</v>
      </c>
      <c r="AQ103" s="26" t="str">
        <f t="shared" si="51"/>
        <v>Up to 250k</v>
      </c>
      <c r="AR103" s="26" t="str">
        <f>IF($T103=1,IF($AI103&lt;0,"Loss-making",IF($AJ103&lt;Assumptions!$C$16-0.00001,"Below target","At/above target")),"Excluded")</f>
        <v>Loss-making</v>
      </c>
      <c r="AS103" s="103">
        <f t="shared" si="52"/>
        <v>-1341.9855343151651</v>
      </c>
      <c r="AT103" s="26"/>
      <c r="AU103" s="419">
        <f>IF(AND($T103=1,AU$5&lt;=$H103),INDEX(Mortality!$B$4:$E$64,MATCH($D103+AU$5-1,Mortality!$A$4:$A$64,0),$U103)*$V103*$N103,0)</f>
        <v>2.710758012569914E-3</v>
      </c>
      <c r="AV103" s="93">
        <f>IF(AND($T103=1,AV$5&lt;=$H103),INDEX(Mortality!$B$4:$E$64,MATCH($D103+AV$5-1,Mortality!$A$4:$A$64,0),$U103)*$V103*$N103,0)</f>
        <v>2.9365290986132515E-3</v>
      </c>
      <c r="AW103" s="93">
        <f>IF(AND($T103=1,AW$5&lt;=$H103),INDEX(Mortality!$B$4:$E$64,MATCH($D103+AW$5-1,Mortality!$A$4:$A$64,0),$U103)*$V103*$N103,0)</f>
        <v>3.1811039963789479E-3</v>
      </c>
      <c r="AX103" s="93">
        <f>IF(AND($T103=1,AX$5&lt;=$H103),INDEX(Mortality!$B$4:$E$64,MATCH($D103+AX$5-1,Mortality!$A$4:$A$64,0),$U103)*$V103*$N103,0)</f>
        <v>3.4460488202064346E-3</v>
      </c>
      <c r="AY103" s="93">
        <f>IF(AND($T103=1,AY$5&lt;=$H103),INDEX(Mortality!$B$4:$E$64,MATCH($D103+AY$5-1,Mortality!$A$4:$A$64,0),$U103)*$V103*$N103,0)</f>
        <v>3.7330601215061852E-3</v>
      </c>
      <c r="AZ103" s="93">
        <f>IF(AND($T103=1,AZ$5&lt;=$H103),INDEX(Mortality!$B$4:$E$64,MATCH($D103+AZ$5-1,Mortality!$A$4:$A$64,0),$U103)*$V103*$N103,0)</f>
        <v>4.0439757524807505E-3</v>
      </c>
      <c r="BA103" s="93">
        <f>IF(AND($T103=1,BA$5&lt;=$H103),INDEX(Mortality!$B$4:$E$64,MATCH($D103+BA$5-1,Mortality!$A$4:$A$64,0),$U103)*$V103*$N103,0)</f>
        <v>4.3807866346535036E-3</v>
      </c>
      <c r="BB103" s="93">
        <f>IF(AND($T103=1,BB$5&lt;=$H103),INDEX(Mortality!$B$4:$E$64,MATCH($D103+BB$5-1,Mortality!$A$4:$A$64,0),$U103)*$V103*$N103,0)</f>
        <v>4.7456495075634576E-3</v>
      </c>
      <c r="BC103" s="93">
        <f>IF(AND($T103=1,BC$5&lt;=$H103),INDEX(Mortality!$B$4:$E$64,MATCH($D103+BC$5-1,Mortality!$A$4:$A$64,0),$U103)*$V103*$N103,0)</f>
        <v>5.1409007392615187E-3</v>
      </c>
      <c r="BD103" s="93">
        <f>IF(AND($T103=1,BD$5&lt;=$H103),INDEX(Mortality!$B$4:$E$64,MATCH($D103+BD$5-1,Mortality!$A$4:$A$64,0),$U103)*$V103*$N103,0)</f>
        <v>5.5690712870426493E-3</v>
      </c>
      <c r="BE103" s="93">
        <f>IF(AND($T103=1,BE$5&lt;=$H103),INDEX(Mortality!$B$4:$E$64,MATCH($D103+BE$5-1,Mortality!$A$4:$A$64,0),$U103)*$V103*$N103,0)</f>
        <v>6.0329029042132274E-3</v>
      </c>
      <c r="BF103" s="93">
        <f>IF(AND($T103=1,BF$5&lt;=$H103),INDEX(Mortality!$B$4:$E$64,MATCH($D103+BF$5-1,Mortality!$A$4:$A$64,0),$U103)*$V103*$N103,0)</f>
        <v>6.5353656966728865E-3</v>
      </c>
      <c r="BG103" s="93">
        <f>IF(AND($T103=1,BG$5&lt;=$H103),INDEX(Mortality!$B$4:$E$64,MATCH($D103+BG$5-1,Mortality!$A$4:$A$64,0),$U103)*$V103*$N103,0)</f>
        <v>7.0796771417322843E-3</v>
      </c>
      <c r="BH103" s="93">
        <f>IF(AND($T103=1,BH$5&lt;=$H103),INDEX(Mortality!$B$4:$E$64,MATCH($D103+BH$5-1,Mortality!$A$4:$A$64,0),$U103)*$V103*$N103,0)</f>
        <v>7.669322690952606E-3</v>
      </c>
      <c r="BI103" s="93">
        <f>IF(AND($T103=1,BI$5&lt;=$H103),INDEX(Mortality!$B$4:$E$64,MATCH($D103+BI$5-1,Mortality!$A$4:$A$64,0),$U103)*$V103*$N103,0)</f>
        <v>8.3080780889350711E-3</v>
      </c>
      <c r="BJ103" s="93">
        <f>IF(AND($T103=1,BJ$5&lt;=$H103),INDEX(Mortality!$B$4:$E$64,MATCH($D103+BJ$5-1,Mortality!$A$4:$A$64,0),$U103)*$V103*$N103,0)</f>
        <v>0</v>
      </c>
      <c r="BK103" s="93">
        <f>IF(AND($T103=1,BK$5&lt;=$H103),INDEX(Mortality!$B$4:$E$64,MATCH($D103+BK$5-1,Mortality!$A$4:$A$64,0),$U103)*$V103*$N103,0)</f>
        <v>0</v>
      </c>
      <c r="BL103" s="93">
        <f>IF(AND($T103=1,BL$5&lt;=$H103),INDEX(Mortality!$B$4:$E$64,MATCH($D103+BL$5-1,Mortality!$A$4:$A$64,0),$U103)*$V103*$N103,0)</f>
        <v>0</v>
      </c>
      <c r="BM103" s="93">
        <f>IF(AND($T103=1,BM$5&lt;=$H103),INDEX(Mortality!$B$4:$E$64,MATCH($D103+BM$5-1,Mortality!$A$4:$A$64,0),$U103)*$V103*$N103,0)</f>
        <v>0</v>
      </c>
      <c r="BN103" s="93">
        <f>IF(AND($T103=1,BN$5&lt;=$H103),INDEX(Mortality!$B$4:$E$64,MATCH($D103+BN$5-1,Mortality!$A$4:$A$64,0),$U103)*$V103*$N103,0)</f>
        <v>0</v>
      </c>
      <c r="BO103" s="93">
        <f>IF(AND($T103=1,BO$5&lt;=$H103),INDEX(Mortality!$B$4:$E$64,MATCH($D103+BO$5-1,Mortality!$A$4:$A$64,0),$U103)*$V103*$N103,0)</f>
        <v>0</v>
      </c>
      <c r="BP103" s="93">
        <f>IF(AND($T103=1,BP$5&lt;=$H103),INDEX(Mortality!$B$4:$E$64,MATCH($D103+BP$5-1,Mortality!$A$4:$A$64,0),$U103)*$V103*$N103,0)</f>
        <v>0</v>
      </c>
      <c r="BQ103" s="93">
        <f>IF(AND($T103=1,BQ$5&lt;=$H103),INDEX(Mortality!$B$4:$E$64,MATCH($D103+BQ$5-1,Mortality!$A$4:$A$64,0),$U103)*$V103*$N103,0)</f>
        <v>0</v>
      </c>
      <c r="BR103" s="93">
        <f>IF(AND($T103=1,BR$5&lt;=$H103),INDEX(Mortality!$B$4:$E$64,MATCH($D103+BR$5-1,Mortality!$A$4:$A$64,0),$U103)*$V103*$N103,0)</f>
        <v>0</v>
      </c>
      <c r="BS103" s="93">
        <f>IF(AND($T103=1,BS$5&lt;=$H103),INDEX(Mortality!$B$4:$E$64,MATCH($D103+BS$5-1,Mortality!$A$4:$A$64,0),$U103)*$V103*$N103,0)</f>
        <v>0</v>
      </c>
      <c r="BT103" s="93">
        <f>IF(AND($T103=1,BT$5&lt;=$H103),INDEX(Mortality!$B$4:$E$64,MATCH($D103+BT$5-1,Mortality!$A$4:$A$64,0),$U103)*$V103*$N103,0)</f>
        <v>0</v>
      </c>
      <c r="BU103" s="93">
        <f>IF(AND($T103=1,BU$5&lt;=$H103),INDEX(Mortality!$B$4:$E$64,MATCH($D103+BU$5-1,Mortality!$A$4:$A$64,0),$U103)*$V103*$N103,0)</f>
        <v>0</v>
      </c>
      <c r="BV103" s="93">
        <f>IF(AND($T103=1,BV$5&lt;=$H103),INDEX(Mortality!$B$4:$E$64,MATCH($D103+BV$5-1,Mortality!$A$4:$A$64,0),$U103)*$V103*$N103,0)</f>
        <v>0</v>
      </c>
      <c r="BW103" s="93">
        <f>IF(AND($T103=1,BW$5&lt;=$H103),INDEX(Mortality!$B$4:$E$64,MATCH($D103+BW$5-1,Mortality!$A$4:$A$64,0),$U103)*$V103*$N103,0)</f>
        <v>0</v>
      </c>
      <c r="BX103" s="93">
        <f>IF(AND($T103=1,BX$5&lt;=$H103),INDEX(Mortality!$B$4:$E$64,MATCH($D103+BX$5-1,Mortality!$A$4:$A$64,0),$U103)*$V103*$N103,0)</f>
        <v>0</v>
      </c>
      <c r="BY103" s="93">
        <f>IF(AND($T103=1,BY$5&lt;=$H103),INDEX(Mortality!$B$4:$E$64,MATCH($D103+BY$5-1,Mortality!$A$4:$A$64,0),$U103)*$V103*$N103,0)</f>
        <v>0</v>
      </c>
      <c r="BZ103" s="93">
        <f>IF(AND($T103=1,BZ$5&lt;=$H103),INDEX(Mortality!$B$4:$E$64,MATCH($D103+BZ$5-1,Mortality!$A$4:$A$64,0),$U103)*$V103*$N103,0)</f>
        <v>0</v>
      </c>
      <c r="CA103" s="93">
        <f>IF(AND($T103=1,CA$5&lt;=$H103),INDEX(Mortality!$B$4:$E$64,MATCH($D103+CA$5-1,Mortality!$A$4:$A$64,0),$U103)*$V103*$N103,0)</f>
        <v>0</v>
      </c>
      <c r="CB103" s="93">
        <f>IF(AND($T103=1,CB$5&lt;=$H103),INDEX(Mortality!$B$4:$E$64,MATCH($D103+CB$5-1,Mortality!$A$4:$A$64,0),$U103)*$V103*$N103,0)</f>
        <v>0</v>
      </c>
      <c r="CC103" s="93">
        <f>IF(AND($T103=1,CC$5&lt;=$H103),INDEX(Mortality!$B$4:$E$64,MATCH($D103+CC$5-1,Mortality!$A$4:$A$64,0),$U103)*$V103*$N103,0)</f>
        <v>0</v>
      </c>
      <c r="CD103" s="93">
        <f>IF(AND($T103=1,CD$5&lt;=$H103),INDEX(Mortality!$B$4:$E$64,MATCH($D103+CD$5-1,Mortality!$A$4:$A$64,0),$U103)*$V103*$N103,0)</f>
        <v>0</v>
      </c>
      <c r="CE103" s="93">
        <f>IF(AND($T103=1,CE$5&lt;=$H103),INDEX(Mortality!$B$4:$E$64,MATCH($D103+CE$5-1,Mortality!$A$4:$A$64,0),$U103)*$V103*$N103,0)</f>
        <v>0</v>
      </c>
      <c r="CF103" s="93">
        <f>IF(AND($T103=1,CF$5&lt;=$H103),INDEX(Mortality!$B$4:$E$64,MATCH($D103+CF$5-1,Mortality!$A$4:$A$64,0),$U103)*$V103*$N103,0)</f>
        <v>0</v>
      </c>
      <c r="CG103" s="93">
        <f>IF(AND($T103=1,CG$5&lt;=$H103),INDEX(Mortality!$B$4:$E$64,MATCH($D103+CG$5-1,Mortality!$A$4:$A$64,0),$U103)*$V103*$N103,0)</f>
        <v>0</v>
      </c>
      <c r="CH103" s="94">
        <f>IF(AND($T103=1,CH$5&lt;=$H103),INDEX(Mortality!$B$4:$E$64,MATCH($D103+CH$5-1,Mortality!$A$4:$A$64,0),$U103)*$V103*$N103,0)</f>
        <v>0</v>
      </c>
      <c r="CI103" s="26"/>
      <c r="CJ103" s="419">
        <f t="shared" si="53"/>
        <v>1</v>
      </c>
      <c r="CK103" s="93">
        <f>IF(AND($T103=1,CK$5&lt;=$H103),CJ103*(1-AU103)*(1-MIN(1,MAX(Assumptions!$C$27,Assumptions!$C$13*Assumptions!$C$28^(CJ$5-1))*$O103)),0)</f>
        <v>0.87761453294893843</v>
      </c>
      <c r="CL103" s="93">
        <f>IF(AND($T103=1,CL$5&lt;=$H103),CK103*(1-AV103)*(1-MIN(1,MAX(Assumptions!$C$27,Assumptions!$C$13*Assumptions!$C$28^(CK$5-1))*$O103)),0)</f>
        <v>0.78578357831734003</v>
      </c>
      <c r="CM103" s="93">
        <f>IF(AND($T103=1,CM$5&lt;=$H103),CL103*(1-AW103)*(1-MIN(1,MAX(Assumptions!$C$27,Assumptions!$C$13*Assumptions!$C$28^(CL$5-1))*$O103)),0)</f>
        <v>0.7153732032556388</v>
      </c>
      <c r="CN103" s="93">
        <f>IF(AND($T103=1,CN$5&lt;=$H103),CM103*(1-AX103)*(1-MIN(1,MAX(Assumptions!$C$27,Assumptions!$C$13*Assumptions!$C$28^(CM$5-1))*$O103)),0)</f>
        <v>0.66037023778202675</v>
      </c>
      <c r="CO103" s="93">
        <f>IF(AND($T103=1,CO$5&lt;=$H103),CN103*(1-AY103)*(1-MIN(1,MAX(Assumptions!$C$27,Assumptions!$C$13*Assumptions!$C$28^(CN$5-1))*$O103)),0)</f>
        <v>0.61669337109924782</v>
      </c>
      <c r="CP103" s="93">
        <f>IF(AND($T103=1,CP$5&lt;=$H103),CO103*(1-AZ103)*(1-MIN(1,MAX(Assumptions!$C$27,Assumptions!$C$13*Assumptions!$C$28^(CO$5-1))*$O103)),0)</f>
        <v>0.58149664949782331</v>
      </c>
      <c r="CQ103" s="93">
        <f>IF(AND($T103=1,CQ$5&lt;=$H103),CP103*(1-BA103)*(1-MIN(1,MAX(Assumptions!$C$27,Assumptions!$C$13*Assumptions!$C$28^(CP$5-1))*$O103)),0)</f>
        <v>0.55274718584230864</v>
      </c>
      <c r="CR103" s="93">
        <f>IF(AND($T103=1,CR$5&lt;=$H103),CQ103*(1-BB103)*(1-MIN(1,MAX(Assumptions!$C$27,Assumptions!$C$13*Assumptions!$C$28^(CQ$5-1))*$O103)),0)</f>
        <v>0.52896118182451457</v>
      </c>
      <c r="CS103" s="93">
        <f>IF(AND($T103=1,CS$5&lt;=$H103),CR103*(1-BC103)*(1-MIN(1,MAX(Assumptions!$C$27,Assumptions!$C$13*Assumptions!$C$28^(CR$5-1))*$O103)),0)</f>
        <v>0.50903433490031491</v>
      </c>
      <c r="CT103" s="93">
        <f>IF(AND($T103=1,CT$5&lt;=$H103),CS103*(1-BD103)*(1-MIN(1,MAX(Assumptions!$C$27,Assumptions!$C$13*Assumptions!$C$28^(CS$5-1))*$O103)),0)</f>
        <v>0.49213016089164419</v>
      </c>
      <c r="CU103" s="93">
        <f>IF(AND($T103=1,CU$5&lt;=$H103),CT103*(1-BE103)*(1-MIN(1,MAX(Assumptions!$C$27,Assumptions!$C$13*Assumptions!$C$28^(CT$5-1))*$O103)),0)</f>
        <v>0.47760478932688455</v>
      </c>
      <c r="CV103" s="93">
        <f>IF(AND($T103=1,CV$5&lt;=$H103),CU103*(1-BF103)*(1-MIN(1,MAX(Assumptions!$C$27,Assumptions!$C$13*Assumptions!$C$28^(CU$5-1))*$O103)),0)</f>
        <v>0.46495527506933299</v>
      </c>
      <c r="CW103" s="93">
        <f>IF(AND($T103=1,CW$5&lt;=$H103),CV103*(1-BG103)*(1-MIN(1,MAX(Assumptions!$C$27,Assumptions!$C$13*Assumptions!$C$28^(CV$5-1))*$O103)),0)</f>
        <v>0.45243027099976685</v>
      </c>
      <c r="CX103" s="93">
        <f>IF(AND($T103=1,CX$5&lt;=$H103),CW103*(1-BH103)*(1-MIN(1,MAX(Assumptions!$C$27,Assumptions!$C$13*Assumptions!$C$28^(CW$5-1))*$O103)),0)</f>
        <v>0.4399812285111882</v>
      </c>
      <c r="CY103" s="93">
        <f>IF(AND($T103=1,CY$5&lt;=$H103),CX103*(1-BI103)*(1-MIN(1,MAX(Assumptions!$C$27,Assumptions!$C$13*Assumptions!$C$28^(CX$5-1))*$O103)),0)</f>
        <v>0</v>
      </c>
      <c r="CZ103" s="93">
        <f>IF(AND($T103=1,CZ$5&lt;=$H103),CY103*(1-BJ103)*(1-MIN(1,MAX(Assumptions!$C$27,Assumptions!$C$13*Assumptions!$C$28^(CY$5-1))*$O103)),0)</f>
        <v>0</v>
      </c>
      <c r="DA103" s="93">
        <f>IF(AND($T103=1,DA$5&lt;=$H103),CZ103*(1-BK103)*(1-MIN(1,MAX(Assumptions!$C$27,Assumptions!$C$13*Assumptions!$C$28^(CZ$5-1))*$O103)),0)</f>
        <v>0</v>
      </c>
      <c r="DB103" s="93">
        <f>IF(AND($T103=1,DB$5&lt;=$H103),DA103*(1-BL103)*(1-MIN(1,MAX(Assumptions!$C$27,Assumptions!$C$13*Assumptions!$C$28^(DA$5-1))*$O103)),0)</f>
        <v>0</v>
      </c>
      <c r="DC103" s="93">
        <f>IF(AND($T103=1,DC$5&lt;=$H103),DB103*(1-BM103)*(1-MIN(1,MAX(Assumptions!$C$27,Assumptions!$C$13*Assumptions!$C$28^(DB$5-1))*$O103)),0)</f>
        <v>0</v>
      </c>
      <c r="DD103" s="93">
        <f>IF(AND($T103=1,DD$5&lt;=$H103),DC103*(1-BN103)*(1-MIN(1,MAX(Assumptions!$C$27,Assumptions!$C$13*Assumptions!$C$28^(DC$5-1))*$O103)),0)</f>
        <v>0</v>
      </c>
      <c r="DE103" s="93">
        <f>IF(AND($T103=1,DE$5&lt;=$H103),DD103*(1-BO103)*(1-MIN(1,MAX(Assumptions!$C$27,Assumptions!$C$13*Assumptions!$C$28^(DD$5-1))*$O103)),0)</f>
        <v>0</v>
      </c>
      <c r="DF103" s="93">
        <f>IF(AND($T103=1,DF$5&lt;=$H103),DE103*(1-BP103)*(1-MIN(1,MAX(Assumptions!$C$27,Assumptions!$C$13*Assumptions!$C$28^(DE$5-1))*$O103)),0)</f>
        <v>0</v>
      </c>
      <c r="DG103" s="93">
        <f>IF(AND($T103=1,DG$5&lt;=$H103),DF103*(1-BQ103)*(1-MIN(1,MAX(Assumptions!$C$27,Assumptions!$C$13*Assumptions!$C$28^(DF$5-1))*$O103)),0)</f>
        <v>0</v>
      </c>
      <c r="DH103" s="93">
        <f>IF(AND($T103=1,DH$5&lt;=$H103),DG103*(1-BR103)*(1-MIN(1,MAX(Assumptions!$C$27,Assumptions!$C$13*Assumptions!$C$28^(DG$5-1))*$O103)),0)</f>
        <v>0</v>
      </c>
      <c r="DI103" s="93">
        <f>IF(AND($T103=1,DI$5&lt;=$H103),DH103*(1-BS103)*(1-MIN(1,MAX(Assumptions!$C$27,Assumptions!$C$13*Assumptions!$C$28^(DH$5-1))*$O103)),0)</f>
        <v>0</v>
      </c>
      <c r="DJ103" s="93">
        <f>IF(AND($T103=1,DJ$5&lt;=$H103),DI103*(1-BT103)*(1-MIN(1,MAX(Assumptions!$C$27,Assumptions!$C$13*Assumptions!$C$28^(DI$5-1))*$O103)),0)</f>
        <v>0</v>
      </c>
      <c r="DK103" s="93">
        <f>IF(AND($T103=1,DK$5&lt;=$H103),DJ103*(1-BU103)*(1-MIN(1,MAX(Assumptions!$C$27,Assumptions!$C$13*Assumptions!$C$28^(DJ$5-1))*$O103)),0)</f>
        <v>0</v>
      </c>
      <c r="DL103" s="93">
        <f>IF(AND($T103=1,DL$5&lt;=$H103),DK103*(1-BV103)*(1-MIN(1,MAX(Assumptions!$C$27,Assumptions!$C$13*Assumptions!$C$28^(DK$5-1))*$O103)),0)</f>
        <v>0</v>
      </c>
      <c r="DM103" s="93">
        <f>IF(AND($T103=1,DM$5&lt;=$H103),DL103*(1-BW103)*(1-MIN(1,MAX(Assumptions!$C$27,Assumptions!$C$13*Assumptions!$C$28^(DL$5-1))*$O103)),0)</f>
        <v>0</v>
      </c>
      <c r="DN103" s="93">
        <f>IF(AND($T103=1,DN$5&lt;=$H103),DM103*(1-BX103)*(1-MIN(1,MAX(Assumptions!$C$27,Assumptions!$C$13*Assumptions!$C$28^(DM$5-1))*$O103)),0)</f>
        <v>0</v>
      </c>
      <c r="DO103" s="93">
        <f>IF(AND($T103=1,DO$5&lt;=$H103),DN103*(1-BY103)*(1-MIN(1,MAX(Assumptions!$C$27,Assumptions!$C$13*Assumptions!$C$28^(DN$5-1))*$O103)),0)</f>
        <v>0</v>
      </c>
      <c r="DP103" s="93">
        <f>IF(AND($T103=1,DP$5&lt;=$H103),DO103*(1-BZ103)*(1-MIN(1,MAX(Assumptions!$C$27,Assumptions!$C$13*Assumptions!$C$28^(DO$5-1))*$O103)),0)</f>
        <v>0</v>
      </c>
      <c r="DQ103" s="93">
        <f>IF(AND($T103=1,DQ$5&lt;=$H103),DP103*(1-CA103)*(1-MIN(1,MAX(Assumptions!$C$27,Assumptions!$C$13*Assumptions!$C$28^(DP$5-1))*$O103)),0)</f>
        <v>0</v>
      </c>
      <c r="DR103" s="93">
        <f>IF(AND($T103=1,DR$5&lt;=$H103),DQ103*(1-CB103)*(1-MIN(1,MAX(Assumptions!$C$27,Assumptions!$C$13*Assumptions!$C$28^(DQ$5-1))*$O103)),0)</f>
        <v>0</v>
      </c>
      <c r="DS103" s="93">
        <f>IF(AND($T103=1,DS$5&lt;=$H103),DR103*(1-CC103)*(1-MIN(1,MAX(Assumptions!$C$27,Assumptions!$C$13*Assumptions!$C$28^(DR$5-1))*$O103)),0)</f>
        <v>0</v>
      </c>
      <c r="DT103" s="93">
        <f>IF(AND($T103=1,DT$5&lt;=$H103),DS103*(1-CD103)*(1-MIN(1,MAX(Assumptions!$C$27,Assumptions!$C$13*Assumptions!$C$28^(DS$5-1))*$O103)),0)</f>
        <v>0</v>
      </c>
      <c r="DU103" s="93">
        <f>IF(AND($T103=1,DU$5&lt;=$H103),DT103*(1-CE103)*(1-MIN(1,MAX(Assumptions!$C$27,Assumptions!$C$13*Assumptions!$C$28^(DT$5-1))*$O103)),0)</f>
        <v>0</v>
      </c>
      <c r="DV103" s="93">
        <f>IF(AND($T103=1,DV$5&lt;=$H103),DU103*(1-CF103)*(1-MIN(1,MAX(Assumptions!$C$27,Assumptions!$C$13*Assumptions!$C$28^(DU$5-1))*$O103)),0)</f>
        <v>0</v>
      </c>
      <c r="DW103" s="94">
        <f>IF(AND($T103=1,DW$5&lt;=$H103),DV103*(1-CG103)*(1-MIN(1,MAX(Assumptions!$C$27,Assumptions!$C$13*Assumptions!$C$28^(DV$5-1))*$O103)),0)</f>
        <v>0</v>
      </c>
      <c r="DX103" s="26"/>
      <c r="DY103" s="399">
        <f>'Policy Data'!K77</f>
        <v>5</v>
      </c>
      <c r="DZ103" s="100">
        <f>'Policy Data'!L77</f>
        <v>0.56399999999999995</v>
      </c>
      <c r="EA103" s="100">
        <f>'Policy Data'!N77</f>
        <v>1.529E-3</v>
      </c>
      <c r="EB103" s="93" cm="1">
        <f t="array" ref="EB103">IFERROR(DZ103*INDEX(Mortality!$B$4:$E$64,MATCH(D103+DY103-1,Mortality!$A$4:$A$64,0),U103)*V103,0)</f>
        <v>2.1054459085294882E-3</v>
      </c>
      <c r="EC103" s="100">
        <f>'Policy Data'!O77</f>
        <v>0</v>
      </c>
      <c r="ED103" s="400">
        <f>'Policy Data'!Q77</f>
        <v>0</v>
      </c>
    </row>
    <row r="104" spans="1:134" x14ac:dyDescent="0.3">
      <c r="A104" s="399" t="str">
        <f>'Policy Data'!A78</f>
        <v>POL100074</v>
      </c>
      <c r="B104" s="26" t="s">
        <v>426</v>
      </c>
      <c r="C104" s="100" t="str">
        <f>'Policy Data'!B78</f>
        <v>Term Life</v>
      </c>
      <c r="D104" s="100">
        <f>'Policy Data'!C78</f>
        <v>31</v>
      </c>
      <c r="E104" s="100" t="str">
        <f>'Policy Data'!D78</f>
        <v>Male</v>
      </c>
      <c r="F104" s="100" t="str">
        <f>'Policy Data'!E78</f>
        <v>Non-smoker</v>
      </c>
      <c r="G104" s="100" t="str">
        <f>'Policy Data'!F78</f>
        <v>Preferred</v>
      </c>
      <c r="H104" s="100">
        <f>'Policy Data'!G78</f>
        <v>20</v>
      </c>
      <c r="I104" s="279">
        <f>'Policy Data'!H78</f>
        <v>1000000</v>
      </c>
      <c r="J104" s="100" t="str">
        <f>'Policy Data'!I78</f>
        <v>Annual</v>
      </c>
      <c r="K104" s="100" t="str">
        <f>'Policy Data'!J78</f>
        <v>Direct</v>
      </c>
      <c r="L104" s="26" t="s">
        <v>389</v>
      </c>
      <c r="M104" s="106">
        <f>'Policy Data'!R78</f>
        <v>1559.21</v>
      </c>
      <c r="N104" s="415">
        <f>Assumptions!$C$21</f>
        <v>1</v>
      </c>
      <c r="O104" s="415">
        <f>Assumptions!$C$22</f>
        <v>1</v>
      </c>
      <c r="P104" s="415">
        <f>Assumptions!$C$23</f>
        <v>1</v>
      </c>
      <c r="Q104" s="416">
        <f>Assumptions!$C$24</f>
        <v>0</v>
      </c>
      <c r="R104" s="416">
        <f>Assumptions!$C$6+Assumptions!$C$25</f>
        <v>3.5000000000000003E-2</v>
      </c>
      <c r="S104" s="416">
        <f>Assumptions!$C$15</f>
        <v>1.1000000000000001E-3</v>
      </c>
      <c r="T104" s="26">
        <f t="shared" si="36"/>
        <v>1</v>
      </c>
      <c r="U104" s="26">
        <f t="shared" si="37"/>
        <v>3</v>
      </c>
      <c r="V104" s="389">
        <f>IF($G104="Preferred",Assumptions!$C$30,IF($G104="Rated",Assumptions!$C$31,1))</f>
        <v>0.8</v>
      </c>
      <c r="W104" s="390">
        <f>IF($K104="Direct",Assumptions!$C$32,IF($K104="Broker",Assumptions!$C$33,IF($K104="Bancassurance",Assumptions!$C$34,Assumptions!$C$11)))+$Q104</f>
        <v>0.1</v>
      </c>
      <c r="X104" s="390">
        <f>Assumptions!$C$12+$Q104</f>
        <v>0.05</v>
      </c>
      <c r="Y104" s="131">
        <f>MIN($I104,Assumptions!$C$14)</f>
        <v>500000</v>
      </c>
      <c r="Z104" s="131">
        <f>MAX($I104-Assumptions!$C$14,0)</f>
        <v>500000</v>
      </c>
      <c r="AA104" s="389">
        <f t="shared" si="38"/>
        <v>8.5965976191825035</v>
      </c>
      <c r="AB104" s="389">
        <f t="shared" si="39"/>
        <v>7.4795160638210017E-3</v>
      </c>
      <c r="AC104" s="389">
        <f>IF($T104=1,SUMPRODUCT($CJ104:$DW104,(1+Assumptions!$C$5)^($CJ$5:$DW$5-1),(1+$R104)^(-$CJ$5:$DW$5)),0)</f>
        <v>11.573486426462274</v>
      </c>
      <c r="AD104" s="389">
        <f t="shared" si="40"/>
        <v>0.47813905970308657</v>
      </c>
      <c r="AE104" s="131">
        <f>IF($T104=1,$AB104*$Y104+(Assumptions!$C$9/(1+$R104)+Assumptions!$C$10*$AC104)*$P104+$S104*$Z104*$AA104,0)</f>
        <v>11883.618953673882</v>
      </c>
      <c r="AF104" s="131">
        <f>IF($T104=1,IF($AA104-$AD104-Assumptions!$C$16*$AA104&gt;0,$AE104/($AA104-$AD104-Assumptions!$C$16*$AA104)*IF($J104="Monthly",1+Assumptions!$C$29,1),"n.a."),"")</f>
        <v>1599.2530685844231</v>
      </c>
      <c r="AG104" s="131">
        <f t="shared" si="41"/>
        <v>1559.21</v>
      </c>
      <c r="AH104" s="131">
        <f t="shared" si="42"/>
        <v>13403.900973805552</v>
      </c>
      <c r="AI104" s="131">
        <f t="shared" si="43"/>
        <v>774.76281685202048</v>
      </c>
      <c r="AJ104" s="390">
        <f t="shared" si="44"/>
        <v>5.7801293695476673E-2</v>
      </c>
      <c r="AK104" s="389">
        <f t="shared" si="45"/>
        <v>0.97496139330852305</v>
      </c>
      <c r="AL104" s="131">
        <f t="shared" si="46"/>
        <v>3739.7580319105009</v>
      </c>
      <c r="AM104" s="131">
        <f t="shared" si="47"/>
        <v>4728.1286905503766</v>
      </c>
      <c r="AN104" s="131">
        <f t="shared" si="48"/>
        <v>-988.37065863987573</v>
      </c>
      <c r="AO104" s="131">
        <f t="shared" si="49"/>
        <v>1763.1334754918962</v>
      </c>
      <c r="AP104" s="26" t="str">
        <f t="shared" si="50"/>
        <v>30-39</v>
      </c>
      <c r="AQ104" s="26" t="str">
        <f t="shared" si="51"/>
        <v>500k-1m</v>
      </c>
      <c r="AR104" s="26" t="str">
        <f>IF($T104=1,IF($AI104&lt;0,"Loss-making",IF($AJ104&lt;Assumptions!$C$16-0.00001,"Below target","At/above target")),"Excluded")</f>
        <v>Below target</v>
      </c>
      <c r="AS104" s="103">
        <f t="shared" si="52"/>
        <v>774.76292085202044</v>
      </c>
      <c r="AT104" s="26"/>
      <c r="AU104" s="419">
        <f>IF(AND($T104=1,AU$5&lt;=$H104),INDEX(Mortality!$B$4:$E$64,MATCH($D104+AU$5-1,Mortality!$A$4:$A$64,0),$U104)*$V104*$N104,0)</f>
        <v>4.4848084601743283E-4</v>
      </c>
      <c r="AV104" s="93">
        <f>IF(AND($T104=1,AV$5&lt;=$H104),INDEX(Mortality!$B$4:$E$64,MATCH($D104+AV$5-1,Mortality!$A$4:$A$64,0),$U104)*$V104*$N104,0)</f>
        <v>4.8583350059060962E-4</v>
      </c>
      <c r="AW104" s="93">
        <f>IF(AND($T104=1,AW$5&lt;=$H104),INDEX(Mortality!$B$4:$E$64,MATCH($D104+AW$5-1,Mortality!$A$4:$A$64,0),$U104)*$V104*$N104,0)</f>
        <v>5.2629714823306168E-4</v>
      </c>
      <c r="AX104" s="93">
        <f>IF(AND($T104=1,AX$5&lt;=$H104),INDEX(Mortality!$B$4:$E$64,MATCH($D104+AX$5-1,Mortality!$A$4:$A$64,0),$U104)*$V104*$N104,0)</f>
        <v>5.7013089443508651E-4</v>
      </c>
      <c r="AY104" s="93">
        <f>IF(AND($T104=1,AY$5&lt;=$H104),INDEX(Mortality!$B$4:$E$64,MATCH($D104+AY$5-1,Mortality!$A$4:$A$64,0),$U104)*$V104*$N104,0)</f>
        <v>6.176154248234856E-4</v>
      </c>
      <c r="AZ104" s="93">
        <f>IF(AND($T104=1,AZ$5&lt;=$H104),INDEX(Mortality!$B$4:$E$64,MATCH($D104+AZ$5-1,Mortality!$A$4:$A$64,0),$U104)*$V104*$N104,0)</f>
        <v>6.6905480250785757E-4</v>
      </c>
      <c r="BA104" s="93">
        <f>IF(AND($T104=1,BA$5&lt;=$H104),INDEX(Mortality!$B$4:$E$64,MATCH($D104+BA$5-1,Mortality!$A$4:$A$64,0),$U104)*$V104*$N104,0)</f>
        <v>7.2477841512258564E-4</v>
      </c>
      <c r="BB104" s="93">
        <f>IF(AND($T104=1,BB$5&lt;=$H104),INDEX(Mortality!$B$4:$E$64,MATCH($D104+BB$5-1,Mortality!$A$4:$A$64,0),$U104)*$V104*$N104,0)</f>
        <v>7.8514308403224956E-4</v>
      </c>
      <c r="BC104" s="93">
        <f>IF(AND($T104=1,BC$5&lt;=$H104),INDEX(Mortality!$B$4:$E$64,MATCH($D104+BC$5-1,Mortality!$A$4:$A$64,0),$U104)*$V104*$N104,0)</f>
        <v>8.505353492065681E-4</v>
      </c>
      <c r="BD104" s="93">
        <f>IF(AND($T104=1,BD$5&lt;=$H104),INDEX(Mortality!$B$4:$E$64,MATCH($D104+BD$5-1,Mortality!$A$4:$A$64,0),$U104)*$V104*$N104,0)</f>
        <v>9.2137394439588014E-4</v>
      </c>
      <c r="BE104" s="93">
        <f>IF(AND($T104=1,BE$5&lt;=$H104),INDEX(Mortality!$B$4:$E$64,MATCH($D104+BE$5-1,Mortality!$A$4:$A$64,0),$U104)*$V104*$N104,0)</f>
        <v>9.9811247845672801E-4</v>
      </c>
      <c r="BF104" s="93">
        <f>IF(AND($T104=1,BF$5&lt;=$H104),INDEX(Mortality!$B$4:$E$64,MATCH($D104+BF$5-1,Mortality!$A$4:$A$64,0),$U104)*$V104*$N104,0)</f>
        <v>1.0812423399971681E-3</v>
      </c>
      <c r="BG104" s="93">
        <f>IF(AND($T104=1,BG$5&lt;=$H104),INDEX(Mortality!$B$4:$E$64,MATCH($D104+BG$5-1,Mortality!$A$4:$A$64,0),$U104)*$V104*$N104,0)</f>
        <v>1.1712958439415442E-3</v>
      </c>
      <c r="BH104" s="93">
        <f>IF(AND($T104=1,BH$5&lt;=$H104),INDEX(Mortality!$B$4:$E$64,MATCH($D104+BH$5-1,Mortality!$A$4:$A$64,0),$U104)*$V104*$N104,0)</f>
        <v>1.2688496401633042E-3</v>
      </c>
      <c r="BI104" s="93">
        <f>IF(AND($T104=1,BI$5&lt;=$H104),INDEX(Mortality!$B$4:$E$64,MATCH($D104+BI$5-1,Mortality!$A$4:$A$64,0),$U104)*$V104*$N104,0)</f>
        <v>1.374528406012928E-3</v>
      </c>
      <c r="BJ104" s="93">
        <f>IF(AND($T104=1,BJ$5&lt;=$H104),INDEX(Mortality!$B$4:$E$64,MATCH($D104+BJ$5-1,Mortality!$A$4:$A$64,0),$U104)*$V104*$N104,0)</f>
        <v>1.4890088463856801E-3</v>
      </c>
      <c r="BK104" s="93">
        <f>IF(AND($T104=1,BK$5&lt;=$H104),INDEX(Mortality!$B$4:$E$64,MATCH($D104+BK$5-1,Mortality!$A$4:$A$64,0),$U104)*$V104*$N104,0)</f>
        <v>1.6130240269432161E-3</v>
      </c>
      <c r="BL104" s="93">
        <f>IF(AND($T104=1,BL$5&lt;=$H104),INDEX(Mortality!$B$4:$E$64,MATCH($D104+BL$5-1,Mortality!$A$4:$A$64,0),$U104)*$V104*$N104,0)</f>
        <v>1.7473680682365761E-3</v>
      </c>
      <c r="BM104" s="93">
        <f>IF(AND($T104=1,BM$5&lt;=$H104),INDEX(Mortality!$B$4:$E$64,MATCH($D104+BM$5-1,Mortality!$A$4:$A$64,0),$U104)*$V104*$N104,0)</f>
        <v>1.8929012307888561E-3</v>
      </c>
      <c r="BN104" s="93">
        <f>IF(AND($T104=1,BN$5&lt;=$H104),INDEX(Mortality!$B$4:$E$64,MATCH($D104+BN$5-1,Mortality!$A$4:$A$64,0),$U104)*$V104*$N104,0)</f>
        <v>2.0505554236995758E-3</v>
      </c>
      <c r="BO104" s="93">
        <f>IF(AND($T104=1,BO$5&lt;=$H104),INDEX(Mortality!$B$4:$E$64,MATCH($D104+BO$5-1,Mortality!$A$4:$A$64,0),$U104)*$V104*$N104,0)</f>
        <v>0</v>
      </c>
      <c r="BP104" s="93">
        <f>IF(AND($T104=1,BP$5&lt;=$H104),INDEX(Mortality!$B$4:$E$64,MATCH($D104+BP$5-1,Mortality!$A$4:$A$64,0),$U104)*$V104*$N104,0)</f>
        <v>0</v>
      </c>
      <c r="BQ104" s="93">
        <f>IF(AND($T104=1,BQ$5&lt;=$H104),INDEX(Mortality!$B$4:$E$64,MATCH($D104+BQ$5-1,Mortality!$A$4:$A$64,0),$U104)*$V104*$N104,0)</f>
        <v>0</v>
      </c>
      <c r="BR104" s="93">
        <f>IF(AND($T104=1,BR$5&lt;=$H104),INDEX(Mortality!$B$4:$E$64,MATCH($D104+BR$5-1,Mortality!$A$4:$A$64,0),$U104)*$V104*$N104,0)</f>
        <v>0</v>
      </c>
      <c r="BS104" s="93">
        <f>IF(AND($T104=1,BS$5&lt;=$H104),INDEX(Mortality!$B$4:$E$64,MATCH($D104+BS$5-1,Mortality!$A$4:$A$64,0),$U104)*$V104*$N104,0)</f>
        <v>0</v>
      </c>
      <c r="BT104" s="93">
        <f>IF(AND($T104=1,BT$5&lt;=$H104),INDEX(Mortality!$B$4:$E$64,MATCH($D104+BT$5-1,Mortality!$A$4:$A$64,0),$U104)*$V104*$N104,0)</f>
        <v>0</v>
      </c>
      <c r="BU104" s="93">
        <f>IF(AND($T104=1,BU$5&lt;=$H104),INDEX(Mortality!$B$4:$E$64,MATCH($D104+BU$5-1,Mortality!$A$4:$A$64,0),$U104)*$V104*$N104,0)</f>
        <v>0</v>
      </c>
      <c r="BV104" s="93">
        <f>IF(AND($T104=1,BV$5&lt;=$H104),INDEX(Mortality!$B$4:$E$64,MATCH($D104+BV$5-1,Mortality!$A$4:$A$64,0),$U104)*$V104*$N104,0)</f>
        <v>0</v>
      </c>
      <c r="BW104" s="93">
        <f>IF(AND($T104=1,BW$5&lt;=$H104),INDEX(Mortality!$B$4:$E$64,MATCH($D104+BW$5-1,Mortality!$A$4:$A$64,0),$U104)*$V104*$N104,0)</f>
        <v>0</v>
      </c>
      <c r="BX104" s="93">
        <f>IF(AND($T104=1,BX$5&lt;=$H104),INDEX(Mortality!$B$4:$E$64,MATCH($D104+BX$5-1,Mortality!$A$4:$A$64,0),$U104)*$V104*$N104,0)</f>
        <v>0</v>
      </c>
      <c r="BY104" s="93">
        <f>IF(AND($T104=1,BY$5&lt;=$H104),INDEX(Mortality!$B$4:$E$64,MATCH($D104+BY$5-1,Mortality!$A$4:$A$64,0),$U104)*$V104*$N104,0)</f>
        <v>0</v>
      </c>
      <c r="BZ104" s="93">
        <f>IF(AND($T104=1,BZ$5&lt;=$H104),INDEX(Mortality!$B$4:$E$64,MATCH($D104+BZ$5-1,Mortality!$A$4:$A$64,0),$U104)*$V104*$N104,0)</f>
        <v>0</v>
      </c>
      <c r="CA104" s="93">
        <f>IF(AND($T104=1,CA$5&lt;=$H104),INDEX(Mortality!$B$4:$E$64,MATCH($D104+CA$5-1,Mortality!$A$4:$A$64,0),$U104)*$V104*$N104,0)</f>
        <v>0</v>
      </c>
      <c r="CB104" s="93">
        <f>IF(AND($T104=1,CB$5&lt;=$H104),INDEX(Mortality!$B$4:$E$64,MATCH($D104+CB$5-1,Mortality!$A$4:$A$64,0),$U104)*$V104*$N104,0)</f>
        <v>0</v>
      </c>
      <c r="CC104" s="93">
        <f>IF(AND($T104=1,CC$5&lt;=$H104),INDEX(Mortality!$B$4:$E$64,MATCH($D104+CC$5-1,Mortality!$A$4:$A$64,0),$U104)*$V104*$N104,0)</f>
        <v>0</v>
      </c>
      <c r="CD104" s="93">
        <f>IF(AND($T104=1,CD$5&lt;=$H104),INDEX(Mortality!$B$4:$E$64,MATCH($D104+CD$5-1,Mortality!$A$4:$A$64,0),$U104)*$V104*$N104,0)</f>
        <v>0</v>
      </c>
      <c r="CE104" s="93">
        <f>IF(AND($T104=1,CE$5&lt;=$H104),INDEX(Mortality!$B$4:$E$64,MATCH($D104+CE$5-1,Mortality!$A$4:$A$64,0),$U104)*$V104*$N104,0)</f>
        <v>0</v>
      </c>
      <c r="CF104" s="93">
        <f>IF(AND($T104=1,CF$5&lt;=$H104),INDEX(Mortality!$B$4:$E$64,MATCH($D104+CF$5-1,Mortality!$A$4:$A$64,0),$U104)*$V104*$N104,0)</f>
        <v>0</v>
      </c>
      <c r="CG104" s="93">
        <f>IF(AND($T104=1,CG$5&lt;=$H104),INDEX(Mortality!$B$4:$E$64,MATCH($D104+CG$5-1,Mortality!$A$4:$A$64,0),$U104)*$V104*$N104,0)</f>
        <v>0</v>
      </c>
      <c r="CH104" s="94">
        <f>IF(AND($T104=1,CH$5&lt;=$H104),INDEX(Mortality!$B$4:$E$64,MATCH($D104+CH$5-1,Mortality!$A$4:$A$64,0),$U104)*$V104*$N104,0)</f>
        <v>0</v>
      </c>
      <c r="CI104" s="26"/>
      <c r="CJ104" s="419">
        <f t="shared" si="53"/>
        <v>1</v>
      </c>
      <c r="CK104" s="93">
        <f>IF(AND($T104=1,CK$5&lt;=$H104),CJ104*(1-AU104)*(1-MIN(1,MAX(Assumptions!$C$27,Assumptions!$C$13*Assumptions!$C$28^(CJ$5-1))*$O104)),0)</f>
        <v>0.87960533685550468</v>
      </c>
      <c r="CL104" s="93">
        <f>IF(AND($T104=1,CL$5&lt;=$H104),CK104*(1-AV104)*(1-MIN(1,MAX(Assumptions!$C$27,Assumptions!$C$13*Assumptions!$C$28^(CK$5-1))*$O104)),0)</f>
        <v>0.78950183961377463</v>
      </c>
      <c r="CM104" s="93">
        <f>IF(AND($T104=1,CM$5&lt;=$H104),CL104*(1-AW104)*(1-MIN(1,MAX(Assumptions!$C$27,Assumptions!$C$13*Assumptions!$C$28^(CL$5-1))*$O104)),0)</f>
        <v>0.72067254249208101</v>
      </c>
      <c r="CN104" s="93">
        <f>IF(AND($T104=1,CN$5&lt;=$H104),CM104*(1-AX104)*(1-MIN(1,MAX(Assumptions!$C$27,Assumptions!$C$13*Assumptions!$C$28^(CM$5-1))*$O104)),0)</f>
        <v>0.66718198142260077</v>
      </c>
      <c r="CO104" s="93">
        <f>IF(AND($T104=1,CO$5&lt;=$H104),CN104*(1-AY104)*(1-MIN(1,MAX(Assumptions!$C$27,Assumptions!$C$13*Assumptions!$C$28^(CN$5-1))*$O104)),0)</f>
        <v>0.6250029517023028</v>
      </c>
      <c r="CP104" s="93">
        <f>IF(AND($T104=1,CP$5&lt;=$H104),CO104*(1-AZ104)*(1-MIN(1,MAX(Assumptions!$C$27,Assumptions!$C$13*Assumptions!$C$28^(CO$5-1))*$O104)),0)</f>
        <v>0.5913289997189829</v>
      </c>
      <c r="CQ104" s="93">
        <f>IF(AND($T104=1,CQ$5&lt;=$H104),CP104*(1-BA104)*(1-MIN(1,MAX(Assumptions!$C$27,Assumptions!$C$13*Assumptions!$C$28^(CP$5-1))*$O104)),0)</f>
        <v>0.56415748048712477</v>
      </c>
      <c r="CR104" s="93">
        <f>IF(AND($T104=1,CR$5&lt;=$H104),CQ104*(1-BB104)*(1-MIN(1,MAX(Assumptions!$C$27,Assumptions!$C$13*Assumptions!$C$28^(CQ$5-1))*$O104)),0)</f>
        <v>0.54202886038879006</v>
      </c>
      <c r="CS104" s="93">
        <f>IF(AND($T104=1,CS$5&lt;=$H104),CR104*(1-BC104)*(1-MIN(1,MAX(Assumptions!$C$27,Assumptions!$C$13*Assumptions!$C$28^(CR$5-1))*$O104)),0)</f>
        <v>0.52385919288901572</v>
      </c>
      <c r="CT104" s="93">
        <f>IF(AND($T104=1,CT$5&lt;=$H104),CS104*(1-BD104)*(1-MIN(1,MAX(Assumptions!$C$27,Assumptions!$C$13*Assumptions!$C$28^(CS$5-1))*$O104)),0)</f>
        <v>0.50882977804547125</v>
      </c>
      <c r="CU104" s="93">
        <f>IF(AND($T104=1,CU$5&lt;=$H104),CT104*(1-BE104)*(1-MIN(1,MAX(Assumptions!$C$27,Assumptions!$C$13*Assumptions!$C$28^(CT$5-1))*$O104)),0)</f>
        <v>0.49631283993608322</v>
      </c>
      <c r="CV104" s="93">
        <f>IF(AND($T104=1,CV$5&lt;=$H104),CU104*(1-BF104)*(1-MIN(1,MAX(Assumptions!$C$27,Assumptions!$C$13*Assumptions!$C$28^(CU$5-1))*$O104)),0)</f>
        <v>0.48582042967536865</v>
      </c>
      <c r="CW104" s="93">
        <f>IF(AND($T104=1,CW$5&lt;=$H104),CV104*(1-BG104)*(1-MIN(1,MAX(Assumptions!$C$27,Assumptions!$C$13*Assumptions!$C$28^(CV$5-1))*$O104)),0)</f>
        <v>0.47554636242068427</v>
      </c>
      <c r="CX104" s="93">
        <f>IF(AND($T104=1,CX$5&lt;=$H104),CW104*(1-BH104)*(1-MIN(1,MAX(Assumptions!$C$27,Assumptions!$C$13*Assumptions!$C$28^(CW$5-1))*$O104)),0)</f>
        <v>0.46544410627804889</v>
      </c>
      <c r="CY104" s="93">
        <f>IF(AND($T104=1,CY$5&lt;=$H104),CX104*(1-BI104)*(1-MIN(1,MAX(Assumptions!$C$27,Assumptions!$C$13*Assumptions!$C$28^(CX$5-1))*$O104)),0)</f>
        <v>0.45550825332990724</v>
      </c>
      <c r="CZ104" s="93">
        <f>IF(AND($T104=1,CZ$5&lt;=$H104),CY104*(1-BJ104)*(1-MIN(1,MAX(Assumptions!$C$27,Assumptions!$C$13*Assumptions!$C$28^(CY$5-1))*$O104)),0)</f>
        <v>0.44573339756087538</v>
      </c>
      <c r="DA104" s="93">
        <f>IF(AND($T104=1,DA$5&lt;=$H104),CZ104*(1-BK104)*(1-MIN(1,MAX(Assumptions!$C$27,Assumptions!$C$13*Assumptions!$C$28^(CZ$5-1))*$O104)),0)</f>
        <v>0.43611413050337872</v>
      </c>
      <c r="DB104" s="93">
        <f>IF(AND($T104=1,DB$5&lt;=$H104),DA104*(1-BL104)*(1-MIN(1,MAX(Assumptions!$C$27,Assumptions!$C$13*Assumptions!$C$28^(DA$5-1))*$O104)),0)</f>
        <v>0.42664503702567774</v>
      </c>
      <c r="DC104" s="93">
        <f>IF(AND($T104=1,DC$5&lt;=$H104),DB104*(1-BM104)*(1-MIN(1,MAX(Assumptions!$C$27,Assumptions!$C$13*Assumptions!$C$28^(DB$5-1))*$O104)),0)</f>
        <v>0.41732069130778221</v>
      </c>
      <c r="DD104" s="93">
        <f>IF(AND($T104=1,DD$5&lt;=$H104),DC104*(1-BN104)*(1-MIN(1,MAX(Assumptions!$C$27,Assumptions!$C$13*Assumptions!$C$28^(DC$5-1))*$O104)),0)</f>
        <v>0</v>
      </c>
      <c r="DE104" s="93">
        <f>IF(AND($T104=1,DE$5&lt;=$H104),DD104*(1-BO104)*(1-MIN(1,MAX(Assumptions!$C$27,Assumptions!$C$13*Assumptions!$C$28^(DD$5-1))*$O104)),0)</f>
        <v>0</v>
      </c>
      <c r="DF104" s="93">
        <f>IF(AND($T104=1,DF$5&lt;=$H104),DE104*(1-BP104)*(1-MIN(1,MAX(Assumptions!$C$27,Assumptions!$C$13*Assumptions!$C$28^(DE$5-1))*$O104)),0)</f>
        <v>0</v>
      </c>
      <c r="DG104" s="93">
        <f>IF(AND($T104=1,DG$5&lt;=$H104),DF104*(1-BQ104)*(1-MIN(1,MAX(Assumptions!$C$27,Assumptions!$C$13*Assumptions!$C$28^(DF$5-1))*$O104)),0)</f>
        <v>0</v>
      </c>
      <c r="DH104" s="93">
        <f>IF(AND($T104=1,DH$5&lt;=$H104),DG104*(1-BR104)*(1-MIN(1,MAX(Assumptions!$C$27,Assumptions!$C$13*Assumptions!$C$28^(DG$5-1))*$O104)),0)</f>
        <v>0</v>
      </c>
      <c r="DI104" s="93">
        <f>IF(AND($T104=1,DI$5&lt;=$H104),DH104*(1-BS104)*(1-MIN(1,MAX(Assumptions!$C$27,Assumptions!$C$13*Assumptions!$C$28^(DH$5-1))*$O104)),0)</f>
        <v>0</v>
      </c>
      <c r="DJ104" s="93">
        <f>IF(AND($T104=1,DJ$5&lt;=$H104),DI104*(1-BT104)*(1-MIN(1,MAX(Assumptions!$C$27,Assumptions!$C$13*Assumptions!$C$28^(DI$5-1))*$O104)),0)</f>
        <v>0</v>
      </c>
      <c r="DK104" s="93">
        <f>IF(AND($T104=1,DK$5&lt;=$H104),DJ104*(1-BU104)*(1-MIN(1,MAX(Assumptions!$C$27,Assumptions!$C$13*Assumptions!$C$28^(DJ$5-1))*$O104)),0)</f>
        <v>0</v>
      </c>
      <c r="DL104" s="93">
        <f>IF(AND($T104=1,DL$5&lt;=$H104),DK104*(1-BV104)*(1-MIN(1,MAX(Assumptions!$C$27,Assumptions!$C$13*Assumptions!$C$28^(DK$5-1))*$O104)),0)</f>
        <v>0</v>
      </c>
      <c r="DM104" s="93">
        <f>IF(AND($T104=1,DM$5&lt;=$H104),DL104*(1-BW104)*(1-MIN(1,MAX(Assumptions!$C$27,Assumptions!$C$13*Assumptions!$C$28^(DL$5-1))*$O104)),0)</f>
        <v>0</v>
      </c>
      <c r="DN104" s="93">
        <f>IF(AND($T104=1,DN$5&lt;=$H104),DM104*(1-BX104)*(1-MIN(1,MAX(Assumptions!$C$27,Assumptions!$C$13*Assumptions!$C$28^(DM$5-1))*$O104)),0)</f>
        <v>0</v>
      </c>
      <c r="DO104" s="93">
        <f>IF(AND($T104=1,DO$5&lt;=$H104),DN104*(1-BY104)*(1-MIN(1,MAX(Assumptions!$C$27,Assumptions!$C$13*Assumptions!$C$28^(DN$5-1))*$O104)),0)</f>
        <v>0</v>
      </c>
      <c r="DP104" s="93">
        <f>IF(AND($T104=1,DP$5&lt;=$H104),DO104*(1-BZ104)*(1-MIN(1,MAX(Assumptions!$C$27,Assumptions!$C$13*Assumptions!$C$28^(DO$5-1))*$O104)),0)</f>
        <v>0</v>
      </c>
      <c r="DQ104" s="93">
        <f>IF(AND($T104=1,DQ$5&lt;=$H104),DP104*(1-CA104)*(1-MIN(1,MAX(Assumptions!$C$27,Assumptions!$C$13*Assumptions!$C$28^(DP$5-1))*$O104)),0)</f>
        <v>0</v>
      </c>
      <c r="DR104" s="93">
        <f>IF(AND($T104=1,DR$5&lt;=$H104),DQ104*(1-CB104)*(1-MIN(1,MAX(Assumptions!$C$27,Assumptions!$C$13*Assumptions!$C$28^(DQ$5-1))*$O104)),0)</f>
        <v>0</v>
      </c>
      <c r="DS104" s="93">
        <f>IF(AND($T104=1,DS$5&lt;=$H104),DR104*(1-CC104)*(1-MIN(1,MAX(Assumptions!$C$27,Assumptions!$C$13*Assumptions!$C$28^(DR$5-1))*$O104)),0)</f>
        <v>0</v>
      </c>
      <c r="DT104" s="93">
        <f>IF(AND($T104=1,DT$5&lt;=$H104),DS104*(1-CD104)*(1-MIN(1,MAX(Assumptions!$C$27,Assumptions!$C$13*Assumptions!$C$28^(DS$5-1))*$O104)),0)</f>
        <v>0</v>
      </c>
      <c r="DU104" s="93">
        <f>IF(AND($T104=1,DU$5&lt;=$H104),DT104*(1-CE104)*(1-MIN(1,MAX(Assumptions!$C$27,Assumptions!$C$13*Assumptions!$C$28^(DT$5-1))*$O104)),0)</f>
        <v>0</v>
      </c>
      <c r="DV104" s="93">
        <f>IF(AND($T104=1,DV$5&lt;=$H104),DU104*(1-CF104)*(1-MIN(1,MAX(Assumptions!$C$27,Assumptions!$C$13*Assumptions!$C$28^(DU$5-1))*$O104)),0)</f>
        <v>0</v>
      </c>
      <c r="DW104" s="94">
        <f>IF(AND($T104=1,DW$5&lt;=$H104),DV104*(1-CG104)*(1-MIN(1,MAX(Assumptions!$C$27,Assumptions!$C$13*Assumptions!$C$28^(DV$5-1))*$O104)),0)</f>
        <v>0</v>
      </c>
      <c r="DX104" s="26"/>
      <c r="DY104" s="399">
        <f>'Policy Data'!K78</f>
        <v>3</v>
      </c>
      <c r="DZ104" s="100">
        <f>'Policy Data'!L78</f>
        <v>0.99180000000000001</v>
      </c>
      <c r="EA104" s="100">
        <f>'Policy Data'!N78</f>
        <v>4.4499999999999997E-4</v>
      </c>
      <c r="EB104" s="93" cm="1">
        <f t="array" ref="EB104">IFERROR(DZ104*INDEX(Mortality!$B$4:$E$64,MATCH(D104+DY104-1,Mortality!$A$4:$A$64,0),U104)*V104,0)</f>
        <v>5.2198151161755055E-4</v>
      </c>
      <c r="EC104" s="100">
        <f>'Policy Data'!O78</f>
        <v>0</v>
      </c>
      <c r="ED104" s="400">
        <f>'Policy Data'!Q78</f>
        <v>0</v>
      </c>
    </row>
    <row r="105" spans="1:134" x14ac:dyDescent="0.3">
      <c r="A105" s="399" t="str">
        <f>'Policy Data'!A79</f>
        <v>POL100075</v>
      </c>
      <c r="B105" s="26" t="s">
        <v>426</v>
      </c>
      <c r="C105" s="100" t="str">
        <f>'Policy Data'!B79</f>
        <v>Unit-Linked</v>
      </c>
      <c r="D105" s="100">
        <f>'Policy Data'!C79</f>
        <v>34</v>
      </c>
      <c r="E105" s="100" t="str">
        <f>'Policy Data'!D79</f>
        <v>Male</v>
      </c>
      <c r="F105" s="100" t="str">
        <f>'Policy Data'!E79</f>
        <v>Non-smoker</v>
      </c>
      <c r="G105" s="100" t="str">
        <f>'Policy Data'!F79</f>
        <v>Standard</v>
      </c>
      <c r="H105" s="100">
        <f>'Policy Data'!G79</f>
        <v>25</v>
      </c>
      <c r="I105" s="279">
        <f>'Policy Data'!H79</f>
        <v>1000000</v>
      </c>
      <c r="J105" s="100" t="str">
        <f>'Policy Data'!I79</f>
        <v>Monthly</v>
      </c>
      <c r="K105" s="100" t="str">
        <f>'Policy Data'!J79</f>
        <v>Broker</v>
      </c>
      <c r="L105" s="26" t="s">
        <v>389</v>
      </c>
      <c r="M105" s="106">
        <f>'Policy Data'!R79</f>
        <v>6863.68</v>
      </c>
      <c r="N105" s="415">
        <f>Assumptions!$C$21</f>
        <v>1</v>
      </c>
      <c r="O105" s="415">
        <f>Assumptions!$C$22</f>
        <v>1</v>
      </c>
      <c r="P105" s="415">
        <f>Assumptions!$C$23</f>
        <v>1</v>
      </c>
      <c r="Q105" s="416">
        <f>Assumptions!$C$24</f>
        <v>0</v>
      </c>
      <c r="R105" s="416">
        <f>Assumptions!$C$6+Assumptions!$C$25</f>
        <v>3.5000000000000003E-2</v>
      </c>
      <c r="S105" s="416">
        <f>Assumptions!$C$15</f>
        <v>1.1000000000000001E-3</v>
      </c>
      <c r="T105" s="26">
        <f t="shared" si="36"/>
        <v>0</v>
      </c>
      <c r="U105" s="26">
        <f t="shared" si="37"/>
        <v>3</v>
      </c>
      <c r="V105" s="389">
        <f>IF($G105="Preferred",Assumptions!$C$30,IF($G105="Rated",Assumptions!$C$31,1))</f>
        <v>1</v>
      </c>
      <c r="W105" s="390">
        <f>IF($K105="Direct",Assumptions!$C$32,IF($K105="Broker",Assumptions!$C$33,IF($K105="Bancassurance",Assumptions!$C$34,Assumptions!$C$11)))+$Q105</f>
        <v>0.25</v>
      </c>
      <c r="X105" s="390">
        <f>Assumptions!$C$12+$Q105</f>
        <v>0.05</v>
      </c>
      <c r="Y105" s="131">
        <f>MIN($I105,Assumptions!$C$14)</f>
        <v>500000</v>
      </c>
      <c r="Z105" s="131">
        <f>MAX($I105-Assumptions!$C$14,0)</f>
        <v>500000</v>
      </c>
      <c r="AA105" s="389">
        <f t="shared" si="38"/>
        <v>0</v>
      </c>
      <c r="AB105" s="389">
        <f t="shared" si="39"/>
        <v>0</v>
      </c>
      <c r="AC105" s="389">
        <f>IF($T105=1,SUMPRODUCT($CJ105:$DW105,(1+Assumptions!$C$5)^($CJ$5:$DW$5-1),(1+$R105)^(-$CJ$5:$DW$5)),0)</f>
        <v>0</v>
      </c>
      <c r="AD105" s="389">
        <f t="shared" si="40"/>
        <v>0</v>
      </c>
      <c r="AE105" s="131">
        <f>IF($T105=1,$AB105*$Y105+(Assumptions!$C$9/(1+$R105)+Assumptions!$C$10*$AC105)*$P105+$S105*$Z105*$AA105,0)</f>
        <v>0</v>
      </c>
      <c r="AF105" s="131" t="str">
        <f>IF($T105=1,IF($AA105-$AD105-Assumptions!$C$16*$AA105&gt;0,$AE105/($AA105-$AD105-Assumptions!$C$16*$AA105)*IF($J105="Monthly",1+Assumptions!$C$29,1),"n.a."),"")</f>
        <v/>
      </c>
      <c r="AG105" s="131" t="str">
        <f t="shared" si="41"/>
        <v/>
      </c>
      <c r="AH105" s="131" t="str">
        <f t="shared" si="42"/>
        <v/>
      </c>
      <c r="AI105" s="131" t="str">
        <f t="shared" si="43"/>
        <v/>
      </c>
      <c r="AJ105" s="390" t="str">
        <f t="shared" si="44"/>
        <v/>
      </c>
      <c r="AK105" s="389" t="str">
        <f t="shared" si="45"/>
        <v/>
      </c>
      <c r="AL105" s="131" t="str">
        <f t="shared" si="46"/>
        <v/>
      </c>
      <c r="AM105" s="131" t="str">
        <f t="shared" si="47"/>
        <v/>
      </c>
      <c r="AN105" s="131" t="str">
        <f t="shared" si="48"/>
        <v/>
      </c>
      <c r="AO105" s="131" t="str">
        <f t="shared" si="49"/>
        <v/>
      </c>
      <c r="AP105" s="26" t="str">
        <f t="shared" si="50"/>
        <v>30-39</v>
      </c>
      <c r="AQ105" s="26" t="str">
        <f t="shared" si="51"/>
        <v>500k-1m</v>
      </c>
      <c r="AR105" s="26" t="str">
        <f>IF($T105=1,IF($AI105&lt;0,"Loss-making",IF($AJ105&lt;Assumptions!$C$16-0.00001,"Below target","At/above target")),"Excluded")</f>
        <v>Excluded</v>
      </c>
      <c r="AS105" s="103">
        <f t="shared" si="52"/>
        <v>9.9999999999999997E+98</v>
      </c>
      <c r="AT105" s="26"/>
      <c r="AU105" s="419">
        <f>IF(AND($T105=1,AU$5&lt;=$H105),INDEX(Mortality!$B$4:$E$64,MATCH($D105+AU$5-1,Mortality!$A$4:$A$64,0),$U105)*$V105*$N105,0)</f>
        <v>0</v>
      </c>
      <c r="AV105" s="93">
        <f>IF(AND($T105=1,AV$5&lt;=$H105),INDEX(Mortality!$B$4:$E$64,MATCH($D105+AV$5-1,Mortality!$A$4:$A$64,0),$U105)*$V105*$N105,0)</f>
        <v>0</v>
      </c>
      <c r="AW105" s="93">
        <f>IF(AND($T105=1,AW$5&lt;=$H105),INDEX(Mortality!$B$4:$E$64,MATCH($D105+AW$5-1,Mortality!$A$4:$A$64,0),$U105)*$V105*$N105,0)</f>
        <v>0</v>
      </c>
      <c r="AX105" s="93">
        <f>IF(AND($T105=1,AX$5&lt;=$H105),INDEX(Mortality!$B$4:$E$64,MATCH($D105+AX$5-1,Mortality!$A$4:$A$64,0),$U105)*$V105*$N105,0)</f>
        <v>0</v>
      </c>
      <c r="AY105" s="93">
        <f>IF(AND($T105=1,AY$5&lt;=$H105),INDEX(Mortality!$B$4:$E$64,MATCH($D105+AY$5-1,Mortality!$A$4:$A$64,0),$U105)*$V105*$N105,0)</f>
        <v>0</v>
      </c>
      <c r="AZ105" s="93">
        <f>IF(AND($T105=1,AZ$5&lt;=$H105),INDEX(Mortality!$B$4:$E$64,MATCH($D105+AZ$5-1,Mortality!$A$4:$A$64,0),$U105)*$V105*$N105,0)</f>
        <v>0</v>
      </c>
      <c r="BA105" s="93">
        <f>IF(AND($T105=1,BA$5&lt;=$H105),INDEX(Mortality!$B$4:$E$64,MATCH($D105+BA$5-1,Mortality!$A$4:$A$64,0),$U105)*$V105*$N105,0)</f>
        <v>0</v>
      </c>
      <c r="BB105" s="93">
        <f>IF(AND($T105=1,BB$5&lt;=$H105),INDEX(Mortality!$B$4:$E$64,MATCH($D105+BB$5-1,Mortality!$A$4:$A$64,0),$U105)*$V105*$N105,0)</f>
        <v>0</v>
      </c>
      <c r="BC105" s="93">
        <f>IF(AND($T105=1,BC$5&lt;=$H105),INDEX(Mortality!$B$4:$E$64,MATCH($D105+BC$5-1,Mortality!$A$4:$A$64,0),$U105)*$V105*$N105,0)</f>
        <v>0</v>
      </c>
      <c r="BD105" s="93">
        <f>IF(AND($T105=1,BD$5&lt;=$H105),INDEX(Mortality!$B$4:$E$64,MATCH($D105+BD$5-1,Mortality!$A$4:$A$64,0),$U105)*$V105*$N105,0)</f>
        <v>0</v>
      </c>
      <c r="BE105" s="93">
        <f>IF(AND($T105=1,BE$5&lt;=$H105),INDEX(Mortality!$B$4:$E$64,MATCH($D105+BE$5-1,Mortality!$A$4:$A$64,0),$U105)*$V105*$N105,0)</f>
        <v>0</v>
      </c>
      <c r="BF105" s="93">
        <f>IF(AND($T105=1,BF$5&lt;=$H105),INDEX(Mortality!$B$4:$E$64,MATCH($D105+BF$5-1,Mortality!$A$4:$A$64,0),$U105)*$V105*$N105,0)</f>
        <v>0</v>
      </c>
      <c r="BG105" s="93">
        <f>IF(AND($T105=1,BG$5&lt;=$H105),INDEX(Mortality!$B$4:$E$64,MATCH($D105+BG$5-1,Mortality!$A$4:$A$64,0),$U105)*$V105*$N105,0)</f>
        <v>0</v>
      </c>
      <c r="BH105" s="93">
        <f>IF(AND($T105=1,BH$5&lt;=$H105),INDEX(Mortality!$B$4:$E$64,MATCH($D105+BH$5-1,Mortality!$A$4:$A$64,0),$U105)*$V105*$N105,0)</f>
        <v>0</v>
      </c>
      <c r="BI105" s="93">
        <f>IF(AND($T105=1,BI$5&lt;=$H105),INDEX(Mortality!$B$4:$E$64,MATCH($D105+BI$5-1,Mortality!$A$4:$A$64,0),$U105)*$V105*$N105,0)</f>
        <v>0</v>
      </c>
      <c r="BJ105" s="93">
        <f>IF(AND($T105=1,BJ$5&lt;=$H105),INDEX(Mortality!$B$4:$E$64,MATCH($D105+BJ$5-1,Mortality!$A$4:$A$64,0),$U105)*$V105*$N105,0)</f>
        <v>0</v>
      </c>
      <c r="BK105" s="93">
        <f>IF(AND($T105=1,BK$5&lt;=$H105),INDEX(Mortality!$B$4:$E$64,MATCH($D105+BK$5-1,Mortality!$A$4:$A$64,0),$U105)*$V105*$N105,0)</f>
        <v>0</v>
      </c>
      <c r="BL105" s="93">
        <f>IF(AND($T105=1,BL$5&lt;=$H105),INDEX(Mortality!$B$4:$E$64,MATCH($D105+BL$5-1,Mortality!$A$4:$A$64,0),$U105)*$V105*$N105,0)</f>
        <v>0</v>
      </c>
      <c r="BM105" s="93">
        <f>IF(AND($T105=1,BM$5&lt;=$H105),INDEX(Mortality!$B$4:$E$64,MATCH($D105+BM$5-1,Mortality!$A$4:$A$64,0),$U105)*$V105*$N105,0)</f>
        <v>0</v>
      </c>
      <c r="BN105" s="93">
        <f>IF(AND($T105=1,BN$5&lt;=$H105),INDEX(Mortality!$B$4:$E$64,MATCH($D105+BN$5-1,Mortality!$A$4:$A$64,0),$U105)*$V105*$N105,0)</f>
        <v>0</v>
      </c>
      <c r="BO105" s="93">
        <f>IF(AND($T105=1,BO$5&lt;=$H105),INDEX(Mortality!$B$4:$E$64,MATCH($D105+BO$5-1,Mortality!$A$4:$A$64,0),$U105)*$V105*$N105,0)</f>
        <v>0</v>
      </c>
      <c r="BP105" s="93">
        <f>IF(AND($T105=1,BP$5&lt;=$H105),INDEX(Mortality!$B$4:$E$64,MATCH($D105+BP$5-1,Mortality!$A$4:$A$64,0),$U105)*$V105*$N105,0)</f>
        <v>0</v>
      </c>
      <c r="BQ105" s="93">
        <f>IF(AND($T105=1,BQ$5&lt;=$H105),INDEX(Mortality!$B$4:$E$64,MATCH($D105+BQ$5-1,Mortality!$A$4:$A$64,0),$U105)*$V105*$N105,0)</f>
        <v>0</v>
      </c>
      <c r="BR105" s="93">
        <f>IF(AND($T105=1,BR$5&lt;=$H105),INDEX(Mortality!$B$4:$E$64,MATCH($D105+BR$5-1,Mortality!$A$4:$A$64,0),$U105)*$V105*$N105,0)</f>
        <v>0</v>
      </c>
      <c r="BS105" s="93">
        <f>IF(AND($T105=1,BS$5&lt;=$H105),INDEX(Mortality!$B$4:$E$64,MATCH($D105+BS$5-1,Mortality!$A$4:$A$64,0),$U105)*$V105*$N105,0)</f>
        <v>0</v>
      </c>
      <c r="BT105" s="93">
        <f>IF(AND($T105=1,BT$5&lt;=$H105),INDEX(Mortality!$B$4:$E$64,MATCH($D105+BT$5-1,Mortality!$A$4:$A$64,0),$U105)*$V105*$N105,0)</f>
        <v>0</v>
      </c>
      <c r="BU105" s="93">
        <f>IF(AND($T105=1,BU$5&lt;=$H105),INDEX(Mortality!$B$4:$E$64,MATCH($D105+BU$5-1,Mortality!$A$4:$A$64,0),$U105)*$V105*$N105,0)</f>
        <v>0</v>
      </c>
      <c r="BV105" s="93">
        <f>IF(AND($T105=1,BV$5&lt;=$H105),INDEX(Mortality!$B$4:$E$64,MATCH($D105+BV$5-1,Mortality!$A$4:$A$64,0),$U105)*$V105*$N105,0)</f>
        <v>0</v>
      </c>
      <c r="BW105" s="93">
        <f>IF(AND($T105=1,BW$5&lt;=$H105),INDEX(Mortality!$B$4:$E$64,MATCH($D105+BW$5-1,Mortality!$A$4:$A$64,0),$U105)*$V105*$N105,0)</f>
        <v>0</v>
      </c>
      <c r="BX105" s="93">
        <f>IF(AND($T105=1,BX$5&lt;=$H105),INDEX(Mortality!$B$4:$E$64,MATCH($D105+BX$5-1,Mortality!$A$4:$A$64,0),$U105)*$V105*$N105,0)</f>
        <v>0</v>
      </c>
      <c r="BY105" s="93">
        <f>IF(AND($T105=1,BY$5&lt;=$H105),INDEX(Mortality!$B$4:$E$64,MATCH($D105+BY$5-1,Mortality!$A$4:$A$64,0),$U105)*$V105*$N105,0)</f>
        <v>0</v>
      </c>
      <c r="BZ105" s="93">
        <f>IF(AND($T105=1,BZ$5&lt;=$H105),INDEX(Mortality!$B$4:$E$64,MATCH($D105+BZ$5-1,Mortality!$A$4:$A$64,0),$U105)*$V105*$N105,0)</f>
        <v>0</v>
      </c>
      <c r="CA105" s="93">
        <f>IF(AND($T105=1,CA$5&lt;=$H105),INDEX(Mortality!$B$4:$E$64,MATCH($D105+CA$5-1,Mortality!$A$4:$A$64,0),$U105)*$V105*$N105,0)</f>
        <v>0</v>
      </c>
      <c r="CB105" s="93">
        <f>IF(AND($T105=1,CB$5&lt;=$H105),INDEX(Mortality!$B$4:$E$64,MATCH($D105+CB$5-1,Mortality!$A$4:$A$64,0),$U105)*$V105*$N105,0)</f>
        <v>0</v>
      </c>
      <c r="CC105" s="93">
        <f>IF(AND($T105=1,CC$5&lt;=$H105),INDEX(Mortality!$B$4:$E$64,MATCH($D105+CC$5-1,Mortality!$A$4:$A$64,0),$U105)*$V105*$N105,0)</f>
        <v>0</v>
      </c>
      <c r="CD105" s="93">
        <f>IF(AND($T105=1,CD$5&lt;=$H105),INDEX(Mortality!$B$4:$E$64,MATCH($D105+CD$5-1,Mortality!$A$4:$A$64,0),$U105)*$V105*$N105,0)</f>
        <v>0</v>
      </c>
      <c r="CE105" s="93">
        <f>IF(AND($T105=1,CE$5&lt;=$H105),INDEX(Mortality!$B$4:$E$64,MATCH($D105+CE$5-1,Mortality!$A$4:$A$64,0),$U105)*$V105*$N105,0)</f>
        <v>0</v>
      </c>
      <c r="CF105" s="93">
        <f>IF(AND($T105=1,CF$5&lt;=$H105),INDEX(Mortality!$B$4:$E$64,MATCH($D105+CF$5-1,Mortality!$A$4:$A$64,0),$U105)*$V105*$N105,0)</f>
        <v>0</v>
      </c>
      <c r="CG105" s="93">
        <f>IF(AND($T105=1,CG$5&lt;=$H105),INDEX(Mortality!$B$4:$E$64,MATCH($D105+CG$5-1,Mortality!$A$4:$A$64,0),$U105)*$V105*$N105,0)</f>
        <v>0</v>
      </c>
      <c r="CH105" s="94">
        <f>IF(AND($T105=1,CH$5&lt;=$H105),INDEX(Mortality!$B$4:$E$64,MATCH($D105+CH$5-1,Mortality!$A$4:$A$64,0),$U105)*$V105*$N105,0)</f>
        <v>0</v>
      </c>
      <c r="CI105" s="26"/>
      <c r="CJ105" s="419">
        <f t="shared" si="53"/>
        <v>0</v>
      </c>
      <c r="CK105" s="93">
        <f>IF(AND($T105=1,CK$5&lt;=$H105),CJ105*(1-AU105)*(1-MIN(1,MAX(Assumptions!$C$27,Assumptions!$C$13*Assumptions!$C$28^(CJ$5-1))*$O105)),0)</f>
        <v>0</v>
      </c>
      <c r="CL105" s="93">
        <f>IF(AND($T105=1,CL$5&lt;=$H105),CK105*(1-AV105)*(1-MIN(1,MAX(Assumptions!$C$27,Assumptions!$C$13*Assumptions!$C$28^(CK$5-1))*$O105)),0)</f>
        <v>0</v>
      </c>
      <c r="CM105" s="93">
        <f>IF(AND($T105=1,CM$5&lt;=$H105),CL105*(1-AW105)*(1-MIN(1,MAX(Assumptions!$C$27,Assumptions!$C$13*Assumptions!$C$28^(CL$5-1))*$O105)),0)</f>
        <v>0</v>
      </c>
      <c r="CN105" s="93">
        <f>IF(AND($T105=1,CN$5&lt;=$H105),CM105*(1-AX105)*(1-MIN(1,MAX(Assumptions!$C$27,Assumptions!$C$13*Assumptions!$C$28^(CM$5-1))*$O105)),0)</f>
        <v>0</v>
      </c>
      <c r="CO105" s="93">
        <f>IF(AND($T105=1,CO$5&lt;=$H105),CN105*(1-AY105)*(1-MIN(1,MAX(Assumptions!$C$27,Assumptions!$C$13*Assumptions!$C$28^(CN$5-1))*$O105)),0)</f>
        <v>0</v>
      </c>
      <c r="CP105" s="93">
        <f>IF(AND($T105=1,CP$5&lt;=$H105),CO105*(1-AZ105)*(1-MIN(1,MAX(Assumptions!$C$27,Assumptions!$C$13*Assumptions!$C$28^(CO$5-1))*$O105)),0)</f>
        <v>0</v>
      </c>
      <c r="CQ105" s="93">
        <f>IF(AND($T105=1,CQ$5&lt;=$H105),CP105*(1-BA105)*(1-MIN(1,MAX(Assumptions!$C$27,Assumptions!$C$13*Assumptions!$C$28^(CP$5-1))*$O105)),0)</f>
        <v>0</v>
      </c>
      <c r="CR105" s="93">
        <f>IF(AND($T105=1,CR$5&lt;=$H105),CQ105*(1-BB105)*(1-MIN(1,MAX(Assumptions!$C$27,Assumptions!$C$13*Assumptions!$C$28^(CQ$5-1))*$O105)),0)</f>
        <v>0</v>
      </c>
      <c r="CS105" s="93">
        <f>IF(AND($T105=1,CS$5&lt;=$H105),CR105*(1-BC105)*(1-MIN(1,MAX(Assumptions!$C$27,Assumptions!$C$13*Assumptions!$C$28^(CR$5-1))*$O105)),0)</f>
        <v>0</v>
      </c>
      <c r="CT105" s="93">
        <f>IF(AND($T105=1,CT$5&lt;=$H105),CS105*(1-BD105)*(1-MIN(1,MAX(Assumptions!$C$27,Assumptions!$C$13*Assumptions!$C$28^(CS$5-1))*$O105)),0)</f>
        <v>0</v>
      </c>
      <c r="CU105" s="93">
        <f>IF(AND($T105=1,CU$5&lt;=$H105),CT105*(1-BE105)*(1-MIN(1,MAX(Assumptions!$C$27,Assumptions!$C$13*Assumptions!$C$28^(CT$5-1))*$O105)),0)</f>
        <v>0</v>
      </c>
      <c r="CV105" s="93">
        <f>IF(AND($T105=1,CV$5&lt;=$H105),CU105*(1-BF105)*(1-MIN(1,MAX(Assumptions!$C$27,Assumptions!$C$13*Assumptions!$C$28^(CU$5-1))*$O105)),0)</f>
        <v>0</v>
      </c>
      <c r="CW105" s="93">
        <f>IF(AND($T105=1,CW$5&lt;=$H105),CV105*(1-BG105)*(1-MIN(1,MAX(Assumptions!$C$27,Assumptions!$C$13*Assumptions!$C$28^(CV$5-1))*$O105)),0)</f>
        <v>0</v>
      </c>
      <c r="CX105" s="93">
        <f>IF(AND($T105=1,CX$5&lt;=$H105),CW105*(1-BH105)*(1-MIN(1,MAX(Assumptions!$C$27,Assumptions!$C$13*Assumptions!$C$28^(CW$5-1))*$O105)),0)</f>
        <v>0</v>
      </c>
      <c r="CY105" s="93">
        <f>IF(AND($T105=1,CY$5&lt;=$H105),CX105*(1-BI105)*(1-MIN(1,MAX(Assumptions!$C$27,Assumptions!$C$13*Assumptions!$C$28^(CX$5-1))*$O105)),0)</f>
        <v>0</v>
      </c>
      <c r="CZ105" s="93">
        <f>IF(AND($T105=1,CZ$5&lt;=$H105),CY105*(1-BJ105)*(1-MIN(1,MAX(Assumptions!$C$27,Assumptions!$C$13*Assumptions!$C$28^(CY$5-1))*$O105)),0)</f>
        <v>0</v>
      </c>
      <c r="DA105" s="93">
        <f>IF(AND($T105=1,DA$5&lt;=$H105),CZ105*(1-BK105)*(1-MIN(1,MAX(Assumptions!$C$27,Assumptions!$C$13*Assumptions!$C$28^(CZ$5-1))*$O105)),0)</f>
        <v>0</v>
      </c>
      <c r="DB105" s="93">
        <f>IF(AND($T105=1,DB$5&lt;=$H105),DA105*(1-BL105)*(1-MIN(1,MAX(Assumptions!$C$27,Assumptions!$C$13*Assumptions!$C$28^(DA$5-1))*$O105)),0)</f>
        <v>0</v>
      </c>
      <c r="DC105" s="93">
        <f>IF(AND($T105=1,DC$5&lt;=$H105),DB105*(1-BM105)*(1-MIN(1,MAX(Assumptions!$C$27,Assumptions!$C$13*Assumptions!$C$28^(DB$5-1))*$O105)),0)</f>
        <v>0</v>
      </c>
      <c r="DD105" s="93">
        <f>IF(AND($T105=1,DD$5&lt;=$H105),DC105*(1-BN105)*(1-MIN(1,MAX(Assumptions!$C$27,Assumptions!$C$13*Assumptions!$C$28^(DC$5-1))*$O105)),0)</f>
        <v>0</v>
      </c>
      <c r="DE105" s="93">
        <f>IF(AND($T105=1,DE$5&lt;=$H105),DD105*(1-BO105)*(1-MIN(1,MAX(Assumptions!$C$27,Assumptions!$C$13*Assumptions!$C$28^(DD$5-1))*$O105)),0)</f>
        <v>0</v>
      </c>
      <c r="DF105" s="93">
        <f>IF(AND($T105=1,DF$5&lt;=$H105),DE105*(1-BP105)*(1-MIN(1,MAX(Assumptions!$C$27,Assumptions!$C$13*Assumptions!$C$28^(DE$5-1))*$O105)),0)</f>
        <v>0</v>
      </c>
      <c r="DG105" s="93">
        <f>IF(AND($T105=1,DG$5&lt;=$H105),DF105*(1-BQ105)*(1-MIN(1,MAX(Assumptions!$C$27,Assumptions!$C$13*Assumptions!$C$28^(DF$5-1))*$O105)),0)</f>
        <v>0</v>
      </c>
      <c r="DH105" s="93">
        <f>IF(AND($T105=1,DH$5&lt;=$H105),DG105*(1-BR105)*(1-MIN(1,MAX(Assumptions!$C$27,Assumptions!$C$13*Assumptions!$C$28^(DG$5-1))*$O105)),0)</f>
        <v>0</v>
      </c>
      <c r="DI105" s="93">
        <f>IF(AND($T105=1,DI$5&lt;=$H105),DH105*(1-BS105)*(1-MIN(1,MAX(Assumptions!$C$27,Assumptions!$C$13*Assumptions!$C$28^(DH$5-1))*$O105)),0)</f>
        <v>0</v>
      </c>
      <c r="DJ105" s="93">
        <f>IF(AND($T105=1,DJ$5&lt;=$H105),DI105*(1-BT105)*(1-MIN(1,MAX(Assumptions!$C$27,Assumptions!$C$13*Assumptions!$C$28^(DI$5-1))*$O105)),0)</f>
        <v>0</v>
      </c>
      <c r="DK105" s="93">
        <f>IF(AND($T105=1,DK$5&lt;=$H105),DJ105*(1-BU105)*(1-MIN(1,MAX(Assumptions!$C$27,Assumptions!$C$13*Assumptions!$C$28^(DJ$5-1))*$O105)),0)</f>
        <v>0</v>
      </c>
      <c r="DL105" s="93">
        <f>IF(AND($T105=1,DL$5&lt;=$H105),DK105*(1-BV105)*(1-MIN(1,MAX(Assumptions!$C$27,Assumptions!$C$13*Assumptions!$C$28^(DK$5-1))*$O105)),0)</f>
        <v>0</v>
      </c>
      <c r="DM105" s="93">
        <f>IF(AND($T105=1,DM$5&lt;=$H105),DL105*(1-BW105)*(1-MIN(1,MAX(Assumptions!$C$27,Assumptions!$C$13*Assumptions!$C$28^(DL$5-1))*$O105)),0)</f>
        <v>0</v>
      </c>
      <c r="DN105" s="93">
        <f>IF(AND($T105=1,DN$5&lt;=$H105),DM105*(1-BX105)*(1-MIN(1,MAX(Assumptions!$C$27,Assumptions!$C$13*Assumptions!$C$28^(DM$5-1))*$O105)),0)</f>
        <v>0</v>
      </c>
      <c r="DO105" s="93">
        <f>IF(AND($T105=1,DO$5&lt;=$H105),DN105*(1-BY105)*(1-MIN(1,MAX(Assumptions!$C$27,Assumptions!$C$13*Assumptions!$C$28^(DN$5-1))*$O105)),0)</f>
        <v>0</v>
      </c>
      <c r="DP105" s="93">
        <f>IF(AND($T105=1,DP$5&lt;=$H105),DO105*(1-BZ105)*(1-MIN(1,MAX(Assumptions!$C$27,Assumptions!$C$13*Assumptions!$C$28^(DO$5-1))*$O105)),0)</f>
        <v>0</v>
      </c>
      <c r="DQ105" s="93">
        <f>IF(AND($T105=1,DQ$5&lt;=$H105),DP105*(1-CA105)*(1-MIN(1,MAX(Assumptions!$C$27,Assumptions!$C$13*Assumptions!$C$28^(DP$5-1))*$O105)),0)</f>
        <v>0</v>
      </c>
      <c r="DR105" s="93">
        <f>IF(AND($T105=1,DR$5&lt;=$H105),DQ105*(1-CB105)*(1-MIN(1,MAX(Assumptions!$C$27,Assumptions!$C$13*Assumptions!$C$28^(DQ$5-1))*$O105)),0)</f>
        <v>0</v>
      </c>
      <c r="DS105" s="93">
        <f>IF(AND($T105=1,DS$5&lt;=$H105),DR105*(1-CC105)*(1-MIN(1,MAX(Assumptions!$C$27,Assumptions!$C$13*Assumptions!$C$28^(DR$5-1))*$O105)),0)</f>
        <v>0</v>
      </c>
      <c r="DT105" s="93">
        <f>IF(AND($T105=1,DT$5&lt;=$H105),DS105*(1-CD105)*(1-MIN(1,MAX(Assumptions!$C$27,Assumptions!$C$13*Assumptions!$C$28^(DS$5-1))*$O105)),0)</f>
        <v>0</v>
      </c>
      <c r="DU105" s="93">
        <f>IF(AND($T105=1,DU$5&lt;=$H105),DT105*(1-CE105)*(1-MIN(1,MAX(Assumptions!$C$27,Assumptions!$C$13*Assumptions!$C$28^(DT$5-1))*$O105)),0)</f>
        <v>0</v>
      </c>
      <c r="DV105" s="93">
        <f>IF(AND($T105=1,DV$5&lt;=$H105),DU105*(1-CF105)*(1-MIN(1,MAX(Assumptions!$C$27,Assumptions!$C$13*Assumptions!$C$28^(DU$5-1))*$O105)),0)</f>
        <v>0</v>
      </c>
      <c r="DW105" s="94">
        <f>IF(AND($T105=1,DW$5&lt;=$H105),DV105*(1-CG105)*(1-MIN(1,MAX(Assumptions!$C$27,Assumptions!$C$13*Assumptions!$C$28^(DV$5-1))*$O105)),0)</f>
        <v>0</v>
      </c>
      <c r="DX105" s="26"/>
      <c r="DY105" s="399">
        <f>'Policy Data'!K79</f>
        <v>7</v>
      </c>
      <c r="DZ105" s="100">
        <f>'Policy Data'!L79</f>
        <v>0.54059999999999997</v>
      </c>
      <c r="EA105" s="100">
        <f>'Policy Data'!N79</f>
        <v>3.8499999999999998E-4</v>
      </c>
      <c r="EB105" s="93" cm="1">
        <f t="array" ref="EB105">IFERROR(DZ105*INDEX(Mortality!$B$4:$E$64,MATCH(D105+DY105-1,Mortality!$A$4:$A$64,0),U105)*V105,0)</f>
        <v>6.2261844292551595E-4</v>
      </c>
      <c r="EC105" s="100">
        <f>'Policy Data'!O79</f>
        <v>0</v>
      </c>
      <c r="ED105" s="400">
        <f>'Policy Data'!Q79</f>
        <v>0</v>
      </c>
    </row>
    <row r="106" spans="1:134" x14ac:dyDescent="0.3">
      <c r="A106" s="399" t="str">
        <f>'Policy Data'!A80</f>
        <v>POL100076</v>
      </c>
      <c r="B106" s="26" t="s">
        <v>426</v>
      </c>
      <c r="C106" s="100" t="str">
        <f>'Policy Data'!B80</f>
        <v>Term Life</v>
      </c>
      <c r="D106" s="100">
        <f>'Policy Data'!C80</f>
        <v>34</v>
      </c>
      <c r="E106" s="100" t="str">
        <f>'Policy Data'!D80</f>
        <v>Male</v>
      </c>
      <c r="F106" s="100" t="str">
        <f>'Policy Data'!E80</f>
        <v>Non-smoker</v>
      </c>
      <c r="G106" s="100" t="str">
        <f>'Policy Data'!F80</f>
        <v>Standard</v>
      </c>
      <c r="H106" s="100">
        <f>'Policy Data'!G80</f>
        <v>10</v>
      </c>
      <c r="I106" s="279">
        <f>'Policy Data'!H80</f>
        <v>500000</v>
      </c>
      <c r="J106" s="100" t="str">
        <f>'Policy Data'!I80</f>
        <v>Monthly</v>
      </c>
      <c r="K106" s="100" t="str">
        <f>'Policy Data'!J80</f>
        <v>Direct</v>
      </c>
      <c r="L106" s="26" t="s">
        <v>389</v>
      </c>
      <c r="M106" s="106">
        <f>'Policy Data'!R80</f>
        <v>1200</v>
      </c>
      <c r="N106" s="415">
        <f>Assumptions!$C$21</f>
        <v>1</v>
      </c>
      <c r="O106" s="415">
        <f>Assumptions!$C$22</f>
        <v>1</v>
      </c>
      <c r="P106" s="415">
        <f>Assumptions!$C$23</f>
        <v>1</v>
      </c>
      <c r="Q106" s="416">
        <f>Assumptions!$C$24</f>
        <v>0</v>
      </c>
      <c r="R106" s="416">
        <f>Assumptions!$C$6+Assumptions!$C$25</f>
        <v>3.5000000000000003E-2</v>
      </c>
      <c r="S106" s="416">
        <f>Assumptions!$C$15</f>
        <v>1.1000000000000001E-3</v>
      </c>
      <c r="T106" s="26">
        <f t="shared" si="36"/>
        <v>1</v>
      </c>
      <c r="U106" s="26">
        <f t="shared" si="37"/>
        <v>3</v>
      </c>
      <c r="V106" s="389">
        <f>IF($G106="Preferred",Assumptions!$C$30,IF($G106="Rated",Assumptions!$C$31,1))</f>
        <v>1</v>
      </c>
      <c r="W106" s="390">
        <f>IF($K106="Direct",Assumptions!$C$32,IF($K106="Broker",Assumptions!$C$33,IF($K106="Bancassurance",Assumptions!$C$34,Assumptions!$C$11)))+$Q106</f>
        <v>0.1</v>
      </c>
      <c r="X106" s="390">
        <f>Assumptions!$C$12+$Q106</f>
        <v>0.05</v>
      </c>
      <c r="Y106" s="131">
        <f>MIN($I106,Assumptions!$C$14)</f>
        <v>500000</v>
      </c>
      <c r="Z106" s="131">
        <f>MAX($I106-Assumptions!$C$14,0)</f>
        <v>0</v>
      </c>
      <c r="AA106" s="389">
        <f t="shared" si="38"/>
        <v>5.8529743862114323</v>
      </c>
      <c r="AB106" s="389">
        <f t="shared" si="39"/>
        <v>5.7217839866158535E-3</v>
      </c>
      <c r="AC106" s="389">
        <f>IF($T106=1,SUMPRODUCT($CJ106:$DW106,(1+Assumptions!$C$5)^($CJ$5:$DW$5-1),(1+$R106)^(-$CJ$5:$DW$5)),0)</f>
        <v>6.7884736130644727</v>
      </c>
      <c r="AD106" s="389">
        <f t="shared" si="40"/>
        <v>0.34095789805453303</v>
      </c>
      <c r="AE106" s="131">
        <f>IF($T106=1,$AB106*$Y106+(Assumptions!$C$9/(1+$R106)+Assumptions!$C$10*$AC106)*$P106+$S106*$Z106*$AA106,0)</f>
        <v>5223.9214055734155</v>
      </c>
      <c r="AF106" s="131">
        <f>IF($T106=1,IF($AA106-$AD106-Assumptions!$C$16*$AA106&gt;0,$AE106/($AA106-$AD106-Assumptions!$C$16*$AA106)*IF($J106="Monthly",1+Assumptions!$C$29,1),"n.a."),"")</f>
        <v>1066.7873317577562</v>
      </c>
      <c r="AG106" s="131">
        <f t="shared" si="41"/>
        <v>1200</v>
      </c>
      <c r="AH106" s="131">
        <f t="shared" si="42"/>
        <v>7023.569263453719</v>
      </c>
      <c r="AI106" s="131">
        <f t="shared" si="43"/>
        <v>1390.4983802148636</v>
      </c>
      <c r="AJ106" s="390">
        <f t="shared" si="44"/>
        <v>0.19797603299082581</v>
      </c>
      <c r="AK106" s="389">
        <f t="shared" si="45"/>
        <v>1.1248727504316609</v>
      </c>
      <c r="AL106" s="131">
        <f t="shared" si="46"/>
        <v>0</v>
      </c>
      <c r="AM106" s="131">
        <f t="shared" si="47"/>
        <v>0</v>
      </c>
      <c r="AN106" s="131">
        <f t="shared" si="48"/>
        <v>0</v>
      </c>
      <c r="AO106" s="131">
        <f t="shared" si="49"/>
        <v>1390.4983802148636</v>
      </c>
      <c r="AP106" s="26" t="str">
        <f t="shared" si="50"/>
        <v>30-39</v>
      </c>
      <c r="AQ106" s="26" t="str">
        <f t="shared" si="51"/>
        <v>250k-500k</v>
      </c>
      <c r="AR106" s="26" t="str">
        <f>IF($T106=1,IF($AI106&lt;0,"Loss-making",IF($AJ106&lt;Assumptions!$C$16-0.00001,"Below target","At/above target")),"Excluded")</f>
        <v>At/above target</v>
      </c>
      <c r="AS106" s="103">
        <f t="shared" si="52"/>
        <v>1390.4984862148635</v>
      </c>
      <c r="AT106" s="26"/>
      <c r="AU106" s="419">
        <f>IF(AND($T106=1,AU$5&lt;=$H106),INDEX(Mortality!$B$4:$E$64,MATCH($D106+AU$5-1,Mortality!$A$4:$A$64,0),$U106)*$V106*$N106,0)</f>
        <v>7.1266361804385805E-4</v>
      </c>
      <c r="AV106" s="93">
        <f>IF(AND($T106=1,AV$5&lt;=$H106),INDEX(Mortality!$B$4:$E$64,MATCH($D106+AV$5-1,Mortality!$A$4:$A$64,0),$U106)*$V106*$N106,0)</f>
        <v>7.7201928102935699E-4</v>
      </c>
      <c r="AW106" s="93">
        <f>IF(AND($T106=1,AW$5&lt;=$H106),INDEX(Mortality!$B$4:$E$64,MATCH($D106+AW$5-1,Mortality!$A$4:$A$64,0),$U106)*$V106*$N106,0)</f>
        <v>8.3631850313482196E-4</v>
      </c>
      <c r="AX106" s="93">
        <f>IF(AND($T106=1,AX$5&lt;=$H106),INDEX(Mortality!$B$4:$E$64,MATCH($D106+AX$5-1,Mortality!$A$4:$A$64,0),$U106)*$V106*$N106,0)</f>
        <v>9.0597301890323197E-4</v>
      </c>
      <c r="AY106" s="93">
        <f>IF(AND($T106=1,AY$5&lt;=$H106),INDEX(Mortality!$B$4:$E$64,MATCH($D106+AY$5-1,Mortality!$A$4:$A$64,0),$U106)*$V106*$N106,0)</f>
        <v>9.8142885504031189E-4</v>
      </c>
      <c r="AZ106" s="93">
        <f>IF(AND($T106=1,AZ$5&lt;=$H106),INDEX(Mortality!$B$4:$E$64,MATCH($D106+AZ$5-1,Mortality!$A$4:$A$64,0),$U106)*$V106*$N106,0)</f>
        <v>1.06316918650821E-3</v>
      </c>
      <c r="BA106" s="93">
        <f>IF(AND($T106=1,BA$5&lt;=$H106),INDEX(Mortality!$B$4:$E$64,MATCH($D106+BA$5-1,Mortality!$A$4:$A$64,0),$U106)*$V106*$N106,0)</f>
        <v>1.1517174304948501E-3</v>
      </c>
      <c r="BB106" s="93">
        <f>IF(AND($T106=1,BB$5&lt;=$H106),INDEX(Mortality!$B$4:$E$64,MATCH($D106+BB$5-1,Mortality!$A$4:$A$64,0),$U106)*$V106*$N106,0)</f>
        <v>1.24764059807091E-3</v>
      </c>
      <c r="BC106" s="93">
        <f>IF(AND($T106=1,BC$5&lt;=$H106),INDEX(Mortality!$B$4:$E$64,MATCH($D106+BC$5-1,Mortality!$A$4:$A$64,0),$U106)*$V106*$N106,0)</f>
        <v>1.3515529249964601E-3</v>
      </c>
      <c r="BD106" s="93">
        <f>IF(AND($T106=1,BD$5&lt;=$H106),INDEX(Mortality!$B$4:$E$64,MATCH($D106+BD$5-1,Mortality!$A$4:$A$64,0),$U106)*$V106*$N106,0)</f>
        <v>1.4641198049269301E-3</v>
      </c>
      <c r="BE106" s="93">
        <f>IF(AND($T106=1,BE$5&lt;=$H106),INDEX(Mortality!$B$4:$E$64,MATCH($D106+BE$5-1,Mortality!$A$4:$A$64,0),$U106)*$V106*$N106,0)</f>
        <v>0</v>
      </c>
      <c r="BF106" s="93">
        <f>IF(AND($T106=1,BF$5&lt;=$H106),INDEX(Mortality!$B$4:$E$64,MATCH($D106+BF$5-1,Mortality!$A$4:$A$64,0),$U106)*$V106*$N106,0)</f>
        <v>0</v>
      </c>
      <c r="BG106" s="93">
        <f>IF(AND($T106=1,BG$5&lt;=$H106),INDEX(Mortality!$B$4:$E$64,MATCH($D106+BG$5-1,Mortality!$A$4:$A$64,0),$U106)*$V106*$N106,0)</f>
        <v>0</v>
      </c>
      <c r="BH106" s="93">
        <f>IF(AND($T106=1,BH$5&lt;=$H106),INDEX(Mortality!$B$4:$E$64,MATCH($D106+BH$5-1,Mortality!$A$4:$A$64,0),$U106)*$V106*$N106,0)</f>
        <v>0</v>
      </c>
      <c r="BI106" s="93">
        <f>IF(AND($T106=1,BI$5&lt;=$H106),INDEX(Mortality!$B$4:$E$64,MATCH($D106+BI$5-1,Mortality!$A$4:$A$64,0),$U106)*$V106*$N106,0)</f>
        <v>0</v>
      </c>
      <c r="BJ106" s="93">
        <f>IF(AND($T106=1,BJ$5&lt;=$H106),INDEX(Mortality!$B$4:$E$64,MATCH($D106+BJ$5-1,Mortality!$A$4:$A$64,0),$U106)*$V106*$N106,0)</f>
        <v>0</v>
      </c>
      <c r="BK106" s="93">
        <f>IF(AND($T106=1,BK$5&lt;=$H106),INDEX(Mortality!$B$4:$E$64,MATCH($D106+BK$5-1,Mortality!$A$4:$A$64,0),$U106)*$V106*$N106,0)</f>
        <v>0</v>
      </c>
      <c r="BL106" s="93">
        <f>IF(AND($T106=1,BL$5&lt;=$H106),INDEX(Mortality!$B$4:$E$64,MATCH($D106+BL$5-1,Mortality!$A$4:$A$64,0),$U106)*$V106*$N106,0)</f>
        <v>0</v>
      </c>
      <c r="BM106" s="93">
        <f>IF(AND($T106=1,BM$5&lt;=$H106),INDEX(Mortality!$B$4:$E$64,MATCH($D106+BM$5-1,Mortality!$A$4:$A$64,0),$U106)*$V106*$N106,0)</f>
        <v>0</v>
      </c>
      <c r="BN106" s="93">
        <f>IF(AND($T106=1,BN$5&lt;=$H106),INDEX(Mortality!$B$4:$E$64,MATCH($D106+BN$5-1,Mortality!$A$4:$A$64,0),$U106)*$V106*$N106,0)</f>
        <v>0</v>
      </c>
      <c r="BO106" s="93">
        <f>IF(AND($T106=1,BO$5&lt;=$H106),INDEX(Mortality!$B$4:$E$64,MATCH($D106+BO$5-1,Mortality!$A$4:$A$64,0),$U106)*$V106*$N106,0)</f>
        <v>0</v>
      </c>
      <c r="BP106" s="93">
        <f>IF(AND($T106=1,BP$5&lt;=$H106),INDEX(Mortality!$B$4:$E$64,MATCH($D106+BP$5-1,Mortality!$A$4:$A$64,0),$U106)*$V106*$N106,0)</f>
        <v>0</v>
      </c>
      <c r="BQ106" s="93">
        <f>IF(AND($T106=1,BQ$5&lt;=$H106),INDEX(Mortality!$B$4:$E$64,MATCH($D106+BQ$5-1,Mortality!$A$4:$A$64,0),$U106)*$V106*$N106,0)</f>
        <v>0</v>
      </c>
      <c r="BR106" s="93">
        <f>IF(AND($T106=1,BR$5&lt;=$H106),INDEX(Mortality!$B$4:$E$64,MATCH($D106+BR$5-1,Mortality!$A$4:$A$64,0),$U106)*$V106*$N106,0)</f>
        <v>0</v>
      </c>
      <c r="BS106" s="93">
        <f>IF(AND($T106=1,BS$5&lt;=$H106),INDEX(Mortality!$B$4:$E$64,MATCH($D106+BS$5-1,Mortality!$A$4:$A$64,0),$U106)*$V106*$N106,0)</f>
        <v>0</v>
      </c>
      <c r="BT106" s="93">
        <f>IF(AND($T106=1,BT$5&lt;=$H106),INDEX(Mortality!$B$4:$E$64,MATCH($D106+BT$5-1,Mortality!$A$4:$A$64,0),$U106)*$V106*$N106,0)</f>
        <v>0</v>
      </c>
      <c r="BU106" s="93">
        <f>IF(AND($T106=1,BU$5&lt;=$H106),INDEX(Mortality!$B$4:$E$64,MATCH($D106+BU$5-1,Mortality!$A$4:$A$64,0),$U106)*$V106*$N106,0)</f>
        <v>0</v>
      </c>
      <c r="BV106" s="93">
        <f>IF(AND($T106=1,BV$5&lt;=$H106),INDEX(Mortality!$B$4:$E$64,MATCH($D106+BV$5-1,Mortality!$A$4:$A$64,0),$U106)*$V106*$N106,0)</f>
        <v>0</v>
      </c>
      <c r="BW106" s="93">
        <f>IF(AND($T106=1,BW$5&lt;=$H106),INDEX(Mortality!$B$4:$E$64,MATCH($D106+BW$5-1,Mortality!$A$4:$A$64,0),$U106)*$V106*$N106,0)</f>
        <v>0</v>
      </c>
      <c r="BX106" s="93">
        <f>IF(AND($T106=1,BX$5&lt;=$H106),INDEX(Mortality!$B$4:$E$64,MATCH($D106+BX$5-1,Mortality!$A$4:$A$64,0),$U106)*$V106*$N106,0)</f>
        <v>0</v>
      </c>
      <c r="BY106" s="93">
        <f>IF(AND($T106=1,BY$5&lt;=$H106),INDEX(Mortality!$B$4:$E$64,MATCH($D106+BY$5-1,Mortality!$A$4:$A$64,0),$U106)*$V106*$N106,0)</f>
        <v>0</v>
      </c>
      <c r="BZ106" s="93">
        <f>IF(AND($T106=1,BZ$5&lt;=$H106),INDEX(Mortality!$B$4:$E$64,MATCH($D106+BZ$5-1,Mortality!$A$4:$A$64,0),$U106)*$V106*$N106,0)</f>
        <v>0</v>
      </c>
      <c r="CA106" s="93">
        <f>IF(AND($T106=1,CA$5&lt;=$H106),INDEX(Mortality!$B$4:$E$64,MATCH($D106+CA$5-1,Mortality!$A$4:$A$64,0),$U106)*$V106*$N106,0)</f>
        <v>0</v>
      </c>
      <c r="CB106" s="93">
        <f>IF(AND($T106=1,CB$5&lt;=$H106),INDEX(Mortality!$B$4:$E$64,MATCH($D106+CB$5-1,Mortality!$A$4:$A$64,0),$U106)*$V106*$N106,0)</f>
        <v>0</v>
      </c>
      <c r="CC106" s="93">
        <f>IF(AND($T106=1,CC$5&lt;=$H106),INDEX(Mortality!$B$4:$E$64,MATCH($D106+CC$5-1,Mortality!$A$4:$A$64,0),$U106)*$V106*$N106,0)</f>
        <v>0</v>
      </c>
      <c r="CD106" s="93">
        <f>IF(AND($T106=1,CD$5&lt;=$H106),INDEX(Mortality!$B$4:$E$64,MATCH($D106+CD$5-1,Mortality!$A$4:$A$64,0),$U106)*$V106*$N106,0)</f>
        <v>0</v>
      </c>
      <c r="CE106" s="93">
        <f>IF(AND($T106=1,CE$5&lt;=$H106),INDEX(Mortality!$B$4:$E$64,MATCH($D106+CE$5-1,Mortality!$A$4:$A$64,0),$U106)*$V106*$N106,0)</f>
        <v>0</v>
      </c>
      <c r="CF106" s="93">
        <f>IF(AND($T106=1,CF$5&lt;=$H106),INDEX(Mortality!$B$4:$E$64,MATCH($D106+CF$5-1,Mortality!$A$4:$A$64,0),$U106)*$V106*$N106,0)</f>
        <v>0</v>
      </c>
      <c r="CG106" s="93">
        <f>IF(AND($T106=1,CG$5&lt;=$H106),INDEX(Mortality!$B$4:$E$64,MATCH($D106+CG$5-1,Mortality!$A$4:$A$64,0),$U106)*$V106*$N106,0)</f>
        <v>0</v>
      </c>
      <c r="CH106" s="94">
        <f>IF(AND($T106=1,CH$5&lt;=$H106),INDEX(Mortality!$B$4:$E$64,MATCH($D106+CH$5-1,Mortality!$A$4:$A$64,0),$U106)*$V106*$N106,0)</f>
        <v>0</v>
      </c>
      <c r="CI106" s="26"/>
      <c r="CJ106" s="419">
        <f t="shared" si="53"/>
        <v>1</v>
      </c>
      <c r="CK106" s="93">
        <f>IF(AND($T106=1,CK$5&lt;=$H106),CJ106*(1-AU106)*(1-MIN(1,MAX(Assumptions!$C$27,Assumptions!$C$13*Assumptions!$C$28^(CJ$5-1))*$O106)),0)</f>
        <v>0.87937285601612136</v>
      </c>
      <c r="CL106" s="93">
        <f>IF(AND($T106=1,CL$5&lt;=$H106),CK106*(1-AV106)*(1-MIN(1,MAX(Assumptions!$C$27,Assumptions!$C$13*Assumptions!$C$28^(CK$5-1))*$O106)),0)</f>
        <v>0.7890671789680247</v>
      </c>
      <c r="CM106" s="93">
        <f>IF(AND($T106=1,CM$5&lt;=$H106),CL106*(1-AW106)*(1-MIN(1,MAX(Assumptions!$C$27,Assumptions!$C$13*Assumptions!$C$28^(CL$5-1))*$O106)),0)</f>
        <v>0.72005235739499795</v>
      </c>
      <c r="CN106" s="93">
        <f>IF(AND($T106=1,CN$5&lt;=$H106),CM106*(1-AX106)*(1-MIN(1,MAX(Assumptions!$C$27,Assumptions!$C$13*Assumptions!$C$28^(CM$5-1))*$O106)),0)</f>
        <v>0.66638382569522547</v>
      </c>
      <c r="CO106" s="93">
        <f>IF(AND($T106=1,CO$5&lt;=$H106),CN106*(1-AY106)*(1-MIN(1,MAX(Assumptions!$C$27,Assumptions!$C$13*Assumptions!$C$28^(CN$5-1))*$O106)),0)</f>
        <v>0.62402800232209998</v>
      </c>
      <c r="CP106" s="93">
        <f>IF(AND($T106=1,CP$5&lt;=$H106),CO106*(1-AZ106)*(1-MIN(1,MAX(Assumptions!$C$27,Assumptions!$C$13*Assumptions!$C$28^(CO$5-1))*$O106)),0)</f>
        <v>0.59017373521833316</v>
      </c>
      <c r="CQ106" s="93">
        <f>IF(AND($T106=1,CQ$5&lt;=$H106),CP106*(1-BA106)*(1-MIN(1,MAX(Assumptions!$C$27,Assumptions!$C$13*Assumptions!$C$28^(CP$5-1))*$O106)),0)</f>
        <v>0.56281473566434637</v>
      </c>
      <c r="CR106" s="93">
        <f>IF(AND($T106=1,CR$5&lt;=$H106),CQ106*(1-BB106)*(1-MIN(1,MAX(Assumptions!$C$27,Assumptions!$C$13*Assumptions!$C$28^(CQ$5-1))*$O106)),0)</f>
        <v>0.54048849678963695</v>
      </c>
      <c r="CS106" s="93">
        <f>IF(AND($T106=1,CS$5&lt;=$H106),CR106*(1-BC106)*(1-MIN(1,MAX(Assumptions!$C$27,Assumptions!$C$13*Assumptions!$C$28^(CR$5-1))*$O106)),0)</f>
        <v>0.52210852514921302</v>
      </c>
      <c r="CT106" s="93">
        <f>IF(AND($T106=1,CT$5&lt;=$H106),CS106*(1-BD106)*(1-MIN(1,MAX(Assumptions!$C$27,Assumptions!$C$13*Assumptions!$C$28^(CS$5-1))*$O106)),0)</f>
        <v>0</v>
      </c>
      <c r="CU106" s="93">
        <f>IF(AND($T106=1,CU$5&lt;=$H106),CT106*(1-BE106)*(1-MIN(1,MAX(Assumptions!$C$27,Assumptions!$C$13*Assumptions!$C$28^(CT$5-1))*$O106)),0)</f>
        <v>0</v>
      </c>
      <c r="CV106" s="93">
        <f>IF(AND($T106=1,CV$5&lt;=$H106),CU106*(1-BF106)*(1-MIN(1,MAX(Assumptions!$C$27,Assumptions!$C$13*Assumptions!$C$28^(CU$5-1))*$O106)),0)</f>
        <v>0</v>
      </c>
      <c r="CW106" s="93">
        <f>IF(AND($T106=1,CW$5&lt;=$H106),CV106*(1-BG106)*(1-MIN(1,MAX(Assumptions!$C$27,Assumptions!$C$13*Assumptions!$C$28^(CV$5-1))*$O106)),0)</f>
        <v>0</v>
      </c>
      <c r="CX106" s="93">
        <f>IF(AND($T106=1,CX$5&lt;=$H106),CW106*(1-BH106)*(1-MIN(1,MAX(Assumptions!$C$27,Assumptions!$C$13*Assumptions!$C$28^(CW$5-1))*$O106)),0)</f>
        <v>0</v>
      </c>
      <c r="CY106" s="93">
        <f>IF(AND($T106=1,CY$5&lt;=$H106),CX106*(1-BI106)*(1-MIN(1,MAX(Assumptions!$C$27,Assumptions!$C$13*Assumptions!$C$28^(CX$5-1))*$O106)),0)</f>
        <v>0</v>
      </c>
      <c r="CZ106" s="93">
        <f>IF(AND($T106=1,CZ$5&lt;=$H106),CY106*(1-BJ106)*(1-MIN(1,MAX(Assumptions!$C$27,Assumptions!$C$13*Assumptions!$C$28^(CY$5-1))*$O106)),0)</f>
        <v>0</v>
      </c>
      <c r="DA106" s="93">
        <f>IF(AND($T106=1,DA$5&lt;=$H106),CZ106*(1-BK106)*(1-MIN(1,MAX(Assumptions!$C$27,Assumptions!$C$13*Assumptions!$C$28^(CZ$5-1))*$O106)),0)</f>
        <v>0</v>
      </c>
      <c r="DB106" s="93">
        <f>IF(AND($T106=1,DB$5&lt;=$H106),DA106*(1-BL106)*(1-MIN(1,MAX(Assumptions!$C$27,Assumptions!$C$13*Assumptions!$C$28^(DA$5-1))*$O106)),0)</f>
        <v>0</v>
      </c>
      <c r="DC106" s="93">
        <f>IF(AND($T106=1,DC$5&lt;=$H106),DB106*(1-BM106)*(1-MIN(1,MAX(Assumptions!$C$27,Assumptions!$C$13*Assumptions!$C$28^(DB$5-1))*$O106)),0)</f>
        <v>0</v>
      </c>
      <c r="DD106" s="93">
        <f>IF(AND($T106=1,DD$5&lt;=$H106),DC106*(1-BN106)*(1-MIN(1,MAX(Assumptions!$C$27,Assumptions!$C$13*Assumptions!$C$28^(DC$5-1))*$O106)),0)</f>
        <v>0</v>
      </c>
      <c r="DE106" s="93">
        <f>IF(AND($T106=1,DE$5&lt;=$H106),DD106*(1-BO106)*(1-MIN(1,MAX(Assumptions!$C$27,Assumptions!$C$13*Assumptions!$C$28^(DD$5-1))*$O106)),0)</f>
        <v>0</v>
      </c>
      <c r="DF106" s="93">
        <f>IF(AND($T106=1,DF$5&lt;=$H106),DE106*(1-BP106)*(1-MIN(1,MAX(Assumptions!$C$27,Assumptions!$C$13*Assumptions!$C$28^(DE$5-1))*$O106)),0)</f>
        <v>0</v>
      </c>
      <c r="DG106" s="93">
        <f>IF(AND($T106=1,DG$5&lt;=$H106),DF106*(1-BQ106)*(1-MIN(1,MAX(Assumptions!$C$27,Assumptions!$C$13*Assumptions!$C$28^(DF$5-1))*$O106)),0)</f>
        <v>0</v>
      </c>
      <c r="DH106" s="93">
        <f>IF(AND($T106=1,DH$5&lt;=$H106),DG106*(1-BR106)*(1-MIN(1,MAX(Assumptions!$C$27,Assumptions!$C$13*Assumptions!$C$28^(DG$5-1))*$O106)),0)</f>
        <v>0</v>
      </c>
      <c r="DI106" s="93">
        <f>IF(AND($T106=1,DI$5&lt;=$H106),DH106*(1-BS106)*(1-MIN(1,MAX(Assumptions!$C$27,Assumptions!$C$13*Assumptions!$C$28^(DH$5-1))*$O106)),0)</f>
        <v>0</v>
      </c>
      <c r="DJ106" s="93">
        <f>IF(AND($T106=1,DJ$5&lt;=$H106),DI106*(1-BT106)*(1-MIN(1,MAX(Assumptions!$C$27,Assumptions!$C$13*Assumptions!$C$28^(DI$5-1))*$O106)),0)</f>
        <v>0</v>
      </c>
      <c r="DK106" s="93">
        <f>IF(AND($T106=1,DK$5&lt;=$H106),DJ106*(1-BU106)*(1-MIN(1,MAX(Assumptions!$C$27,Assumptions!$C$13*Assumptions!$C$28^(DJ$5-1))*$O106)),0)</f>
        <v>0</v>
      </c>
      <c r="DL106" s="93">
        <f>IF(AND($T106=1,DL$5&lt;=$H106),DK106*(1-BV106)*(1-MIN(1,MAX(Assumptions!$C$27,Assumptions!$C$13*Assumptions!$C$28^(DK$5-1))*$O106)),0)</f>
        <v>0</v>
      </c>
      <c r="DM106" s="93">
        <f>IF(AND($T106=1,DM$5&lt;=$H106),DL106*(1-BW106)*(1-MIN(1,MAX(Assumptions!$C$27,Assumptions!$C$13*Assumptions!$C$28^(DL$5-1))*$O106)),0)</f>
        <v>0</v>
      </c>
      <c r="DN106" s="93">
        <f>IF(AND($T106=1,DN$5&lt;=$H106),DM106*(1-BX106)*(1-MIN(1,MAX(Assumptions!$C$27,Assumptions!$C$13*Assumptions!$C$28^(DM$5-1))*$O106)),0)</f>
        <v>0</v>
      </c>
      <c r="DO106" s="93">
        <f>IF(AND($T106=1,DO$5&lt;=$H106),DN106*(1-BY106)*(1-MIN(1,MAX(Assumptions!$C$27,Assumptions!$C$13*Assumptions!$C$28^(DN$5-1))*$O106)),0)</f>
        <v>0</v>
      </c>
      <c r="DP106" s="93">
        <f>IF(AND($T106=1,DP$5&lt;=$H106),DO106*(1-BZ106)*(1-MIN(1,MAX(Assumptions!$C$27,Assumptions!$C$13*Assumptions!$C$28^(DO$5-1))*$O106)),0)</f>
        <v>0</v>
      </c>
      <c r="DQ106" s="93">
        <f>IF(AND($T106=1,DQ$5&lt;=$H106),DP106*(1-CA106)*(1-MIN(1,MAX(Assumptions!$C$27,Assumptions!$C$13*Assumptions!$C$28^(DP$5-1))*$O106)),0)</f>
        <v>0</v>
      </c>
      <c r="DR106" s="93">
        <f>IF(AND($T106=1,DR$5&lt;=$H106),DQ106*(1-CB106)*(1-MIN(1,MAX(Assumptions!$C$27,Assumptions!$C$13*Assumptions!$C$28^(DQ$5-1))*$O106)),0)</f>
        <v>0</v>
      </c>
      <c r="DS106" s="93">
        <f>IF(AND($T106=1,DS$5&lt;=$H106),DR106*(1-CC106)*(1-MIN(1,MAX(Assumptions!$C$27,Assumptions!$C$13*Assumptions!$C$28^(DR$5-1))*$O106)),0)</f>
        <v>0</v>
      </c>
      <c r="DT106" s="93">
        <f>IF(AND($T106=1,DT$5&lt;=$H106),DS106*(1-CD106)*(1-MIN(1,MAX(Assumptions!$C$27,Assumptions!$C$13*Assumptions!$C$28^(DS$5-1))*$O106)),0)</f>
        <v>0</v>
      </c>
      <c r="DU106" s="93">
        <f>IF(AND($T106=1,DU$5&lt;=$H106),DT106*(1-CE106)*(1-MIN(1,MAX(Assumptions!$C$27,Assumptions!$C$13*Assumptions!$C$28^(DT$5-1))*$O106)),0)</f>
        <v>0</v>
      </c>
      <c r="DV106" s="93">
        <f>IF(AND($T106=1,DV$5&lt;=$H106),DU106*(1-CF106)*(1-MIN(1,MAX(Assumptions!$C$27,Assumptions!$C$13*Assumptions!$C$28^(DU$5-1))*$O106)),0)</f>
        <v>0</v>
      </c>
      <c r="DW106" s="94">
        <f>IF(AND($T106=1,DW$5&lt;=$H106),DV106*(1-CG106)*(1-MIN(1,MAX(Assumptions!$C$27,Assumptions!$C$13*Assumptions!$C$28^(DV$5-1))*$O106)),0)</f>
        <v>0</v>
      </c>
      <c r="DX106" s="26"/>
      <c r="DY106" s="399">
        <f>'Policy Data'!K80</f>
        <v>7</v>
      </c>
      <c r="DZ106" s="100">
        <f>'Policy Data'!L80</f>
        <v>0.67169999999999996</v>
      </c>
      <c r="EA106" s="100">
        <f>'Policy Data'!N80</f>
        <v>4.7899999999999999E-4</v>
      </c>
      <c r="EB106" s="93" cm="1">
        <f t="array" ref="EB106">IFERROR(DZ106*INDEX(Mortality!$B$4:$E$64,MATCH(D106+DY106-1,Mortality!$A$4:$A$64,0),U106)*V106,0)</f>
        <v>7.7360859806339076E-4</v>
      </c>
      <c r="EC106" s="100">
        <f>'Policy Data'!O80</f>
        <v>0</v>
      </c>
      <c r="ED106" s="400">
        <f>'Policy Data'!Q80</f>
        <v>0</v>
      </c>
    </row>
    <row r="107" spans="1:134" x14ac:dyDescent="0.3">
      <c r="A107" s="399" t="str">
        <f>'Policy Data'!A81</f>
        <v>POL100077</v>
      </c>
      <c r="B107" s="26" t="s">
        <v>426</v>
      </c>
      <c r="C107" s="100" t="str">
        <f>'Policy Data'!B81</f>
        <v>Unit-Linked</v>
      </c>
      <c r="D107" s="100">
        <f>'Policy Data'!C81</f>
        <v>46</v>
      </c>
      <c r="E107" s="100" t="str">
        <f>'Policy Data'!D81</f>
        <v>Female</v>
      </c>
      <c r="F107" s="100" t="str">
        <f>'Policy Data'!E81</f>
        <v>Smoker</v>
      </c>
      <c r="G107" s="100" t="str">
        <f>'Policy Data'!F81</f>
        <v>Preferred</v>
      </c>
      <c r="H107" s="100">
        <f>'Policy Data'!G81</f>
        <v>20</v>
      </c>
      <c r="I107" s="279">
        <f>'Policy Data'!H81</f>
        <v>500000</v>
      </c>
      <c r="J107" s="100" t="str">
        <f>'Policy Data'!I81</f>
        <v>Monthly</v>
      </c>
      <c r="K107" s="100" t="str">
        <f>'Policy Data'!J81</f>
        <v>Bancassurance</v>
      </c>
      <c r="L107" s="26" t="s">
        <v>389</v>
      </c>
      <c r="M107" s="106">
        <f>'Policy Data'!R81</f>
        <v>12658.29</v>
      </c>
      <c r="N107" s="415">
        <f>Assumptions!$C$21</f>
        <v>1</v>
      </c>
      <c r="O107" s="415">
        <f>Assumptions!$C$22</f>
        <v>1</v>
      </c>
      <c r="P107" s="415">
        <f>Assumptions!$C$23</f>
        <v>1</v>
      </c>
      <c r="Q107" s="416">
        <f>Assumptions!$C$24</f>
        <v>0</v>
      </c>
      <c r="R107" s="416">
        <f>Assumptions!$C$6+Assumptions!$C$25</f>
        <v>3.5000000000000003E-2</v>
      </c>
      <c r="S107" s="416">
        <f>Assumptions!$C$15</f>
        <v>1.1000000000000001E-3</v>
      </c>
      <c r="T107" s="26">
        <f t="shared" si="36"/>
        <v>0</v>
      </c>
      <c r="U107" s="26">
        <f t="shared" si="37"/>
        <v>2</v>
      </c>
      <c r="V107" s="389">
        <f>IF($G107="Preferred",Assumptions!$C$30,IF($G107="Rated",Assumptions!$C$31,1))</f>
        <v>0.8</v>
      </c>
      <c r="W107" s="390">
        <f>IF($K107="Direct",Assumptions!$C$32,IF($K107="Broker",Assumptions!$C$33,IF($K107="Bancassurance",Assumptions!$C$34,Assumptions!$C$11)))+$Q107</f>
        <v>0.2</v>
      </c>
      <c r="X107" s="390">
        <f>Assumptions!$C$12+$Q107</f>
        <v>0.05</v>
      </c>
      <c r="Y107" s="131">
        <f>MIN($I107,Assumptions!$C$14)</f>
        <v>500000</v>
      </c>
      <c r="Z107" s="131">
        <f>MAX($I107-Assumptions!$C$14,0)</f>
        <v>0</v>
      </c>
      <c r="AA107" s="389">
        <f t="shared" si="38"/>
        <v>0</v>
      </c>
      <c r="AB107" s="389">
        <f t="shared" si="39"/>
        <v>0</v>
      </c>
      <c r="AC107" s="389">
        <f>IF($T107=1,SUMPRODUCT($CJ107:$DW107,(1+Assumptions!$C$5)^($CJ$5:$DW$5-1),(1+$R107)^(-$CJ$5:$DW$5)),0)</f>
        <v>0</v>
      </c>
      <c r="AD107" s="389">
        <f t="shared" si="40"/>
        <v>0</v>
      </c>
      <c r="AE107" s="131">
        <f>IF($T107=1,$AB107*$Y107+(Assumptions!$C$9/(1+$R107)+Assumptions!$C$10*$AC107)*$P107+$S107*$Z107*$AA107,0)</f>
        <v>0</v>
      </c>
      <c r="AF107" s="131" t="str">
        <f>IF($T107=1,IF($AA107-$AD107-Assumptions!$C$16*$AA107&gt;0,$AE107/($AA107-$AD107-Assumptions!$C$16*$AA107)*IF($J107="Monthly",1+Assumptions!$C$29,1),"n.a."),"")</f>
        <v/>
      </c>
      <c r="AG107" s="131" t="str">
        <f t="shared" si="41"/>
        <v/>
      </c>
      <c r="AH107" s="131" t="str">
        <f t="shared" si="42"/>
        <v/>
      </c>
      <c r="AI107" s="131" t="str">
        <f t="shared" si="43"/>
        <v/>
      </c>
      <c r="AJ107" s="390" t="str">
        <f t="shared" si="44"/>
        <v/>
      </c>
      <c r="AK107" s="389" t="str">
        <f t="shared" si="45"/>
        <v/>
      </c>
      <c r="AL107" s="131" t="str">
        <f t="shared" si="46"/>
        <v/>
      </c>
      <c r="AM107" s="131" t="str">
        <f t="shared" si="47"/>
        <v/>
      </c>
      <c r="AN107" s="131" t="str">
        <f t="shared" si="48"/>
        <v/>
      </c>
      <c r="AO107" s="131" t="str">
        <f t="shared" si="49"/>
        <v/>
      </c>
      <c r="AP107" s="26" t="str">
        <f t="shared" si="50"/>
        <v>40-49</v>
      </c>
      <c r="AQ107" s="26" t="str">
        <f t="shared" si="51"/>
        <v>250k-500k</v>
      </c>
      <c r="AR107" s="26" t="str">
        <f>IF($T107=1,IF($AI107&lt;0,"Loss-making",IF($AJ107&lt;Assumptions!$C$16-0.00001,"Below target","At/above target")),"Excluded")</f>
        <v>Excluded</v>
      </c>
      <c r="AS107" s="103">
        <f t="shared" si="52"/>
        <v>9.9999999999999997E+98</v>
      </c>
      <c r="AT107" s="26"/>
      <c r="AU107" s="419">
        <f>IF(AND($T107=1,AU$5&lt;=$H107),INDEX(Mortality!$B$4:$E$64,MATCH($D107+AU$5-1,Mortality!$A$4:$A$64,0),$U107)*$V107*$N107,0)</f>
        <v>0</v>
      </c>
      <c r="AV107" s="93">
        <f>IF(AND($T107=1,AV$5&lt;=$H107),INDEX(Mortality!$B$4:$E$64,MATCH($D107+AV$5-1,Mortality!$A$4:$A$64,0),$U107)*$V107*$N107,0)</f>
        <v>0</v>
      </c>
      <c r="AW107" s="93">
        <f>IF(AND($T107=1,AW$5&lt;=$H107),INDEX(Mortality!$B$4:$E$64,MATCH($D107+AW$5-1,Mortality!$A$4:$A$64,0),$U107)*$V107*$N107,0)</f>
        <v>0</v>
      </c>
      <c r="AX107" s="93">
        <f>IF(AND($T107=1,AX$5&lt;=$H107),INDEX(Mortality!$B$4:$E$64,MATCH($D107+AX$5-1,Mortality!$A$4:$A$64,0),$U107)*$V107*$N107,0)</f>
        <v>0</v>
      </c>
      <c r="AY107" s="93">
        <f>IF(AND($T107=1,AY$5&lt;=$H107),INDEX(Mortality!$B$4:$E$64,MATCH($D107+AY$5-1,Mortality!$A$4:$A$64,0),$U107)*$V107*$N107,0)</f>
        <v>0</v>
      </c>
      <c r="AZ107" s="93">
        <f>IF(AND($T107=1,AZ$5&lt;=$H107),INDEX(Mortality!$B$4:$E$64,MATCH($D107+AZ$5-1,Mortality!$A$4:$A$64,0),$U107)*$V107*$N107,0)</f>
        <v>0</v>
      </c>
      <c r="BA107" s="93">
        <f>IF(AND($T107=1,BA$5&lt;=$H107),INDEX(Mortality!$B$4:$E$64,MATCH($D107+BA$5-1,Mortality!$A$4:$A$64,0),$U107)*$V107*$N107,0)</f>
        <v>0</v>
      </c>
      <c r="BB107" s="93">
        <f>IF(AND($T107=1,BB$5&lt;=$H107),INDEX(Mortality!$B$4:$E$64,MATCH($D107+BB$5-1,Mortality!$A$4:$A$64,0),$U107)*$V107*$N107,0)</f>
        <v>0</v>
      </c>
      <c r="BC107" s="93">
        <f>IF(AND($T107=1,BC$5&lt;=$H107),INDEX(Mortality!$B$4:$E$64,MATCH($D107+BC$5-1,Mortality!$A$4:$A$64,0),$U107)*$V107*$N107,0)</f>
        <v>0</v>
      </c>
      <c r="BD107" s="93">
        <f>IF(AND($T107=1,BD$5&lt;=$H107),INDEX(Mortality!$B$4:$E$64,MATCH($D107+BD$5-1,Mortality!$A$4:$A$64,0),$U107)*$V107*$N107,0)</f>
        <v>0</v>
      </c>
      <c r="BE107" s="93">
        <f>IF(AND($T107=1,BE$5&lt;=$H107),INDEX(Mortality!$B$4:$E$64,MATCH($D107+BE$5-1,Mortality!$A$4:$A$64,0),$U107)*$V107*$N107,0)</f>
        <v>0</v>
      </c>
      <c r="BF107" s="93">
        <f>IF(AND($T107=1,BF$5&lt;=$H107),INDEX(Mortality!$B$4:$E$64,MATCH($D107+BF$5-1,Mortality!$A$4:$A$64,0),$U107)*$V107*$N107,0)</f>
        <v>0</v>
      </c>
      <c r="BG107" s="93">
        <f>IF(AND($T107=1,BG$5&lt;=$H107),INDEX(Mortality!$B$4:$E$64,MATCH($D107+BG$5-1,Mortality!$A$4:$A$64,0),$U107)*$V107*$N107,0)</f>
        <v>0</v>
      </c>
      <c r="BH107" s="93">
        <f>IF(AND($T107=1,BH$5&lt;=$H107),INDEX(Mortality!$B$4:$E$64,MATCH($D107+BH$5-1,Mortality!$A$4:$A$64,0),$U107)*$V107*$N107,0)</f>
        <v>0</v>
      </c>
      <c r="BI107" s="93">
        <f>IF(AND($T107=1,BI$5&lt;=$H107),INDEX(Mortality!$B$4:$E$64,MATCH($D107+BI$5-1,Mortality!$A$4:$A$64,0),$U107)*$V107*$N107,0)</f>
        <v>0</v>
      </c>
      <c r="BJ107" s="93">
        <f>IF(AND($T107=1,BJ$5&lt;=$H107),INDEX(Mortality!$B$4:$E$64,MATCH($D107+BJ$5-1,Mortality!$A$4:$A$64,0),$U107)*$V107*$N107,0)</f>
        <v>0</v>
      </c>
      <c r="BK107" s="93">
        <f>IF(AND($T107=1,BK$5&lt;=$H107),INDEX(Mortality!$B$4:$E$64,MATCH($D107+BK$5-1,Mortality!$A$4:$A$64,0),$U107)*$V107*$N107,0)</f>
        <v>0</v>
      </c>
      <c r="BL107" s="93">
        <f>IF(AND($T107=1,BL$5&lt;=$H107),INDEX(Mortality!$B$4:$E$64,MATCH($D107+BL$5-1,Mortality!$A$4:$A$64,0),$U107)*$V107*$N107,0)</f>
        <v>0</v>
      </c>
      <c r="BM107" s="93">
        <f>IF(AND($T107=1,BM$5&lt;=$H107),INDEX(Mortality!$B$4:$E$64,MATCH($D107+BM$5-1,Mortality!$A$4:$A$64,0),$U107)*$V107*$N107,0)</f>
        <v>0</v>
      </c>
      <c r="BN107" s="93">
        <f>IF(AND($T107=1,BN$5&lt;=$H107),INDEX(Mortality!$B$4:$E$64,MATCH($D107+BN$5-1,Mortality!$A$4:$A$64,0),$U107)*$V107*$N107,0)</f>
        <v>0</v>
      </c>
      <c r="BO107" s="93">
        <f>IF(AND($T107=1,BO$5&lt;=$H107),INDEX(Mortality!$B$4:$E$64,MATCH($D107+BO$5-1,Mortality!$A$4:$A$64,0),$U107)*$V107*$N107,0)</f>
        <v>0</v>
      </c>
      <c r="BP107" s="93">
        <f>IF(AND($T107=1,BP$5&lt;=$H107),INDEX(Mortality!$B$4:$E$64,MATCH($D107+BP$5-1,Mortality!$A$4:$A$64,0),$U107)*$V107*$N107,0)</f>
        <v>0</v>
      </c>
      <c r="BQ107" s="93">
        <f>IF(AND($T107=1,BQ$5&lt;=$H107),INDEX(Mortality!$B$4:$E$64,MATCH($D107+BQ$5-1,Mortality!$A$4:$A$64,0),$U107)*$V107*$N107,0)</f>
        <v>0</v>
      </c>
      <c r="BR107" s="93">
        <f>IF(AND($T107=1,BR$5&lt;=$H107),INDEX(Mortality!$B$4:$E$64,MATCH($D107+BR$5-1,Mortality!$A$4:$A$64,0),$U107)*$V107*$N107,0)</f>
        <v>0</v>
      </c>
      <c r="BS107" s="93">
        <f>IF(AND($T107=1,BS$5&lt;=$H107),INDEX(Mortality!$B$4:$E$64,MATCH($D107+BS$5-1,Mortality!$A$4:$A$64,0),$U107)*$V107*$N107,0)</f>
        <v>0</v>
      </c>
      <c r="BT107" s="93">
        <f>IF(AND($T107=1,BT$5&lt;=$H107),INDEX(Mortality!$B$4:$E$64,MATCH($D107+BT$5-1,Mortality!$A$4:$A$64,0),$U107)*$V107*$N107,0)</f>
        <v>0</v>
      </c>
      <c r="BU107" s="93">
        <f>IF(AND($T107=1,BU$5&lt;=$H107),INDEX(Mortality!$B$4:$E$64,MATCH($D107+BU$5-1,Mortality!$A$4:$A$64,0),$U107)*$V107*$N107,0)</f>
        <v>0</v>
      </c>
      <c r="BV107" s="93">
        <f>IF(AND($T107=1,BV$5&lt;=$H107),INDEX(Mortality!$B$4:$E$64,MATCH($D107+BV$5-1,Mortality!$A$4:$A$64,0),$U107)*$V107*$N107,0)</f>
        <v>0</v>
      </c>
      <c r="BW107" s="93">
        <f>IF(AND($T107=1,BW$5&lt;=$H107),INDEX(Mortality!$B$4:$E$64,MATCH($D107+BW$5-1,Mortality!$A$4:$A$64,0),$U107)*$V107*$N107,0)</f>
        <v>0</v>
      </c>
      <c r="BX107" s="93">
        <f>IF(AND($T107=1,BX$5&lt;=$H107),INDEX(Mortality!$B$4:$E$64,MATCH($D107+BX$5-1,Mortality!$A$4:$A$64,0),$U107)*$V107*$N107,0)</f>
        <v>0</v>
      </c>
      <c r="BY107" s="93">
        <f>IF(AND($T107=1,BY$5&lt;=$H107),INDEX(Mortality!$B$4:$E$64,MATCH($D107+BY$5-1,Mortality!$A$4:$A$64,0),$U107)*$V107*$N107,0)</f>
        <v>0</v>
      </c>
      <c r="BZ107" s="93">
        <f>IF(AND($T107=1,BZ$5&lt;=$H107),INDEX(Mortality!$B$4:$E$64,MATCH($D107+BZ$5-1,Mortality!$A$4:$A$64,0),$U107)*$V107*$N107,0)</f>
        <v>0</v>
      </c>
      <c r="CA107" s="93">
        <f>IF(AND($T107=1,CA$5&lt;=$H107),INDEX(Mortality!$B$4:$E$64,MATCH($D107+CA$5-1,Mortality!$A$4:$A$64,0),$U107)*$V107*$N107,0)</f>
        <v>0</v>
      </c>
      <c r="CB107" s="93">
        <f>IF(AND($T107=1,CB$5&lt;=$H107),INDEX(Mortality!$B$4:$E$64,MATCH($D107+CB$5-1,Mortality!$A$4:$A$64,0),$U107)*$V107*$N107,0)</f>
        <v>0</v>
      </c>
      <c r="CC107" s="93">
        <f>IF(AND($T107=1,CC$5&lt;=$H107),INDEX(Mortality!$B$4:$E$64,MATCH($D107+CC$5-1,Mortality!$A$4:$A$64,0),$U107)*$V107*$N107,0)</f>
        <v>0</v>
      </c>
      <c r="CD107" s="93">
        <f>IF(AND($T107=1,CD$5&lt;=$H107),INDEX(Mortality!$B$4:$E$64,MATCH($D107+CD$5-1,Mortality!$A$4:$A$64,0),$U107)*$V107*$N107,0)</f>
        <v>0</v>
      </c>
      <c r="CE107" s="93">
        <f>IF(AND($T107=1,CE$5&lt;=$H107),INDEX(Mortality!$B$4:$E$64,MATCH($D107+CE$5-1,Mortality!$A$4:$A$64,0),$U107)*$V107*$N107,0)</f>
        <v>0</v>
      </c>
      <c r="CF107" s="93">
        <f>IF(AND($T107=1,CF$5&lt;=$H107),INDEX(Mortality!$B$4:$E$64,MATCH($D107+CF$5-1,Mortality!$A$4:$A$64,0),$U107)*$V107*$N107,0)</f>
        <v>0</v>
      </c>
      <c r="CG107" s="93">
        <f>IF(AND($T107=1,CG$5&lt;=$H107),INDEX(Mortality!$B$4:$E$64,MATCH($D107+CG$5-1,Mortality!$A$4:$A$64,0),$U107)*$V107*$N107,0)</f>
        <v>0</v>
      </c>
      <c r="CH107" s="94">
        <f>IF(AND($T107=1,CH$5&lt;=$H107),INDEX(Mortality!$B$4:$E$64,MATCH($D107+CH$5-1,Mortality!$A$4:$A$64,0),$U107)*$V107*$N107,0)</f>
        <v>0</v>
      </c>
      <c r="CI107" s="26"/>
      <c r="CJ107" s="419">
        <f t="shared" si="53"/>
        <v>0</v>
      </c>
      <c r="CK107" s="93">
        <f>IF(AND($T107=1,CK$5&lt;=$H107),CJ107*(1-AU107)*(1-MIN(1,MAX(Assumptions!$C$27,Assumptions!$C$13*Assumptions!$C$28^(CJ$5-1))*$O107)),0)</f>
        <v>0</v>
      </c>
      <c r="CL107" s="93">
        <f>IF(AND($T107=1,CL$5&lt;=$H107),CK107*(1-AV107)*(1-MIN(1,MAX(Assumptions!$C$27,Assumptions!$C$13*Assumptions!$C$28^(CK$5-1))*$O107)),0)</f>
        <v>0</v>
      </c>
      <c r="CM107" s="93">
        <f>IF(AND($T107=1,CM$5&lt;=$H107),CL107*(1-AW107)*(1-MIN(1,MAX(Assumptions!$C$27,Assumptions!$C$13*Assumptions!$C$28^(CL$5-1))*$O107)),0)</f>
        <v>0</v>
      </c>
      <c r="CN107" s="93">
        <f>IF(AND($T107=1,CN$5&lt;=$H107),CM107*(1-AX107)*(1-MIN(1,MAX(Assumptions!$C$27,Assumptions!$C$13*Assumptions!$C$28^(CM$5-1))*$O107)),0)</f>
        <v>0</v>
      </c>
      <c r="CO107" s="93">
        <f>IF(AND($T107=1,CO$5&lt;=$H107),CN107*(1-AY107)*(1-MIN(1,MAX(Assumptions!$C$27,Assumptions!$C$13*Assumptions!$C$28^(CN$5-1))*$O107)),0)</f>
        <v>0</v>
      </c>
      <c r="CP107" s="93">
        <f>IF(AND($T107=1,CP$5&lt;=$H107),CO107*(1-AZ107)*(1-MIN(1,MAX(Assumptions!$C$27,Assumptions!$C$13*Assumptions!$C$28^(CO$5-1))*$O107)),0)</f>
        <v>0</v>
      </c>
      <c r="CQ107" s="93">
        <f>IF(AND($T107=1,CQ$5&lt;=$H107),CP107*(1-BA107)*(1-MIN(1,MAX(Assumptions!$C$27,Assumptions!$C$13*Assumptions!$C$28^(CP$5-1))*$O107)),0)</f>
        <v>0</v>
      </c>
      <c r="CR107" s="93">
        <f>IF(AND($T107=1,CR$5&lt;=$H107),CQ107*(1-BB107)*(1-MIN(1,MAX(Assumptions!$C$27,Assumptions!$C$13*Assumptions!$C$28^(CQ$5-1))*$O107)),0)</f>
        <v>0</v>
      </c>
      <c r="CS107" s="93">
        <f>IF(AND($T107=1,CS$5&lt;=$H107),CR107*(1-BC107)*(1-MIN(1,MAX(Assumptions!$C$27,Assumptions!$C$13*Assumptions!$C$28^(CR$5-1))*$O107)),0)</f>
        <v>0</v>
      </c>
      <c r="CT107" s="93">
        <f>IF(AND($T107=1,CT$5&lt;=$H107),CS107*(1-BD107)*(1-MIN(1,MAX(Assumptions!$C$27,Assumptions!$C$13*Assumptions!$C$28^(CS$5-1))*$O107)),0)</f>
        <v>0</v>
      </c>
      <c r="CU107" s="93">
        <f>IF(AND($T107=1,CU$5&lt;=$H107),CT107*(1-BE107)*(1-MIN(1,MAX(Assumptions!$C$27,Assumptions!$C$13*Assumptions!$C$28^(CT$5-1))*$O107)),0)</f>
        <v>0</v>
      </c>
      <c r="CV107" s="93">
        <f>IF(AND($T107=1,CV$5&lt;=$H107),CU107*(1-BF107)*(1-MIN(1,MAX(Assumptions!$C$27,Assumptions!$C$13*Assumptions!$C$28^(CU$5-1))*$O107)),0)</f>
        <v>0</v>
      </c>
      <c r="CW107" s="93">
        <f>IF(AND($T107=1,CW$5&lt;=$H107),CV107*(1-BG107)*(1-MIN(1,MAX(Assumptions!$C$27,Assumptions!$C$13*Assumptions!$C$28^(CV$5-1))*$O107)),0)</f>
        <v>0</v>
      </c>
      <c r="CX107" s="93">
        <f>IF(AND($T107=1,CX$5&lt;=$H107),CW107*(1-BH107)*(1-MIN(1,MAX(Assumptions!$C$27,Assumptions!$C$13*Assumptions!$C$28^(CW$5-1))*$O107)),0)</f>
        <v>0</v>
      </c>
      <c r="CY107" s="93">
        <f>IF(AND($T107=1,CY$5&lt;=$H107),CX107*(1-BI107)*(1-MIN(1,MAX(Assumptions!$C$27,Assumptions!$C$13*Assumptions!$C$28^(CX$5-1))*$O107)),0)</f>
        <v>0</v>
      </c>
      <c r="CZ107" s="93">
        <f>IF(AND($T107=1,CZ$5&lt;=$H107),CY107*(1-BJ107)*(1-MIN(1,MAX(Assumptions!$C$27,Assumptions!$C$13*Assumptions!$C$28^(CY$5-1))*$O107)),0)</f>
        <v>0</v>
      </c>
      <c r="DA107" s="93">
        <f>IF(AND($T107=1,DA$5&lt;=$H107),CZ107*(1-BK107)*(1-MIN(1,MAX(Assumptions!$C$27,Assumptions!$C$13*Assumptions!$C$28^(CZ$5-1))*$O107)),0)</f>
        <v>0</v>
      </c>
      <c r="DB107" s="93">
        <f>IF(AND($T107=1,DB$5&lt;=$H107),DA107*(1-BL107)*(1-MIN(1,MAX(Assumptions!$C$27,Assumptions!$C$13*Assumptions!$C$28^(DA$5-1))*$O107)),0)</f>
        <v>0</v>
      </c>
      <c r="DC107" s="93">
        <f>IF(AND($T107=1,DC$5&lt;=$H107),DB107*(1-BM107)*(1-MIN(1,MAX(Assumptions!$C$27,Assumptions!$C$13*Assumptions!$C$28^(DB$5-1))*$O107)),0)</f>
        <v>0</v>
      </c>
      <c r="DD107" s="93">
        <f>IF(AND($T107=1,DD$5&lt;=$H107),DC107*(1-BN107)*(1-MIN(1,MAX(Assumptions!$C$27,Assumptions!$C$13*Assumptions!$C$28^(DC$5-1))*$O107)),0)</f>
        <v>0</v>
      </c>
      <c r="DE107" s="93">
        <f>IF(AND($T107=1,DE$5&lt;=$H107),DD107*(1-BO107)*(1-MIN(1,MAX(Assumptions!$C$27,Assumptions!$C$13*Assumptions!$C$28^(DD$5-1))*$O107)),0)</f>
        <v>0</v>
      </c>
      <c r="DF107" s="93">
        <f>IF(AND($T107=1,DF$5&lt;=$H107),DE107*(1-BP107)*(1-MIN(1,MAX(Assumptions!$C$27,Assumptions!$C$13*Assumptions!$C$28^(DE$5-1))*$O107)),0)</f>
        <v>0</v>
      </c>
      <c r="DG107" s="93">
        <f>IF(AND($T107=1,DG$5&lt;=$H107),DF107*(1-BQ107)*(1-MIN(1,MAX(Assumptions!$C$27,Assumptions!$C$13*Assumptions!$C$28^(DF$5-1))*$O107)),0)</f>
        <v>0</v>
      </c>
      <c r="DH107" s="93">
        <f>IF(AND($T107=1,DH$5&lt;=$H107),DG107*(1-BR107)*(1-MIN(1,MAX(Assumptions!$C$27,Assumptions!$C$13*Assumptions!$C$28^(DG$5-1))*$O107)),0)</f>
        <v>0</v>
      </c>
      <c r="DI107" s="93">
        <f>IF(AND($T107=1,DI$5&lt;=$H107),DH107*(1-BS107)*(1-MIN(1,MAX(Assumptions!$C$27,Assumptions!$C$13*Assumptions!$C$28^(DH$5-1))*$O107)),0)</f>
        <v>0</v>
      </c>
      <c r="DJ107" s="93">
        <f>IF(AND($T107=1,DJ$5&lt;=$H107),DI107*(1-BT107)*(1-MIN(1,MAX(Assumptions!$C$27,Assumptions!$C$13*Assumptions!$C$28^(DI$5-1))*$O107)),0)</f>
        <v>0</v>
      </c>
      <c r="DK107" s="93">
        <f>IF(AND($T107=1,DK$5&lt;=$H107),DJ107*(1-BU107)*(1-MIN(1,MAX(Assumptions!$C$27,Assumptions!$C$13*Assumptions!$C$28^(DJ$5-1))*$O107)),0)</f>
        <v>0</v>
      </c>
      <c r="DL107" s="93">
        <f>IF(AND($T107=1,DL$5&lt;=$H107),DK107*(1-BV107)*(1-MIN(1,MAX(Assumptions!$C$27,Assumptions!$C$13*Assumptions!$C$28^(DK$5-1))*$O107)),0)</f>
        <v>0</v>
      </c>
      <c r="DM107" s="93">
        <f>IF(AND($T107=1,DM$5&lt;=$H107),DL107*(1-BW107)*(1-MIN(1,MAX(Assumptions!$C$27,Assumptions!$C$13*Assumptions!$C$28^(DL$5-1))*$O107)),0)</f>
        <v>0</v>
      </c>
      <c r="DN107" s="93">
        <f>IF(AND($T107=1,DN$5&lt;=$H107),DM107*(1-BX107)*(1-MIN(1,MAX(Assumptions!$C$27,Assumptions!$C$13*Assumptions!$C$28^(DM$5-1))*$O107)),0)</f>
        <v>0</v>
      </c>
      <c r="DO107" s="93">
        <f>IF(AND($T107=1,DO$5&lt;=$H107),DN107*(1-BY107)*(1-MIN(1,MAX(Assumptions!$C$27,Assumptions!$C$13*Assumptions!$C$28^(DN$5-1))*$O107)),0)</f>
        <v>0</v>
      </c>
      <c r="DP107" s="93">
        <f>IF(AND($T107=1,DP$5&lt;=$H107),DO107*(1-BZ107)*(1-MIN(1,MAX(Assumptions!$C$27,Assumptions!$C$13*Assumptions!$C$28^(DO$5-1))*$O107)),0)</f>
        <v>0</v>
      </c>
      <c r="DQ107" s="93">
        <f>IF(AND($T107=1,DQ$5&lt;=$H107),DP107*(1-CA107)*(1-MIN(1,MAX(Assumptions!$C$27,Assumptions!$C$13*Assumptions!$C$28^(DP$5-1))*$O107)),0)</f>
        <v>0</v>
      </c>
      <c r="DR107" s="93">
        <f>IF(AND($T107=1,DR$5&lt;=$H107),DQ107*(1-CB107)*(1-MIN(1,MAX(Assumptions!$C$27,Assumptions!$C$13*Assumptions!$C$28^(DQ$5-1))*$O107)),0)</f>
        <v>0</v>
      </c>
      <c r="DS107" s="93">
        <f>IF(AND($T107=1,DS$5&lt;=$H107),DR107*(1-CC107)*(1-MIN(1,MAX(Assumptions!$C$27,Assumptions!$C$13*Assumptions!$C$28^(DR$5-1))*$O107)),0)</f>
        <v>0</v>
      </c>
      <c r="DT107" s="93">
        <f>IF(AND($T107=1,DT$5&lt;=$H107),DS107*(1-CD107)*(1-MIN(1,MAX(Assumptions!$C$27,Assumptions!$C$13*Assumptions!$C$28^(DS$5-1))*$O107)),0)</f>
        <v>0</v>
      </c>
      <c r="DU107" s="93">
        <f>IF(AND($T107=1,DU$5&lt;=$H107),DT107*(1-CE107)*(1-MIN(1,MAX(Assumptions!$C$27,Assumptions!$C$13*Assumptions!$C$28^(DT$5-1))*$O107)),0)</f>
        <v>0</v>
      </c>
      <c r="DV107" s="93">
        <f>IF(AND($T107=1,DV$5&lt;=$H107),DU107*(1-CF107)*(1-MIN(1,MAX(Assumptions!$C$27,Assumptions!$C$13*Assumptions!$C$28^(DU$5-1))*$O107)),0)</f>
        <v>0</v>
      </c>
      <c r="DW107" s="94">
        <f>IF(AND($T107=1,DW$5&lt;=$H107),DV107*(1-CG107)*(1-MIN(1,MAX(Assumptions!$C$27,Assumptions!$C$13*Assumptions!$C$28^(DV$5-1))*$O107)),0)</f>
        <v>0</v>
      </c>
      <c r="DX107" s="26"/>
      <c r="DY107" s="399">
        <f>'Policy Data'!K81</f>
        <v>3</v>
      </c>
      <c r="DZ107" s="100">
        <f>'Policy Data'!L81</f>
        <v>0.74829999999999997</v>
      </c>
      <c r="EA107" s="100">
        <f>'Policy Data'!N81</f>
        <v>1.359E-3</v>
      </c>
      <c r="EB107" s="93" cm="1">
        <f t="array" ref="EB107">IFERROR(DZ107*INDEX(Mortality!$B$4:$E$64,MATCH(D107+DY107-1,Mortality!$A$4:$A$64,0),U107)*V107,0)</f>
        <v>1.5946492386605675E-3</v>
      </c>
      <c r="EC107" s="100">
        <f>'Policy Data'!O81</f>
        <v>0</v>
      </c>
      <c r="ED107" s="400">
        <f>'Policy Data'!Q81</f>
        <v>0</v>
      </c>
    </row>
    <row r="108" spans="1:134" x14ac:dyDescent="0.3">
      <c r="A108" s="399" t="str">
        <f>'Policy Data'!A82</f>
        <v>POL100078</v>
      </c>
      <c r="B108" s="26" t="s">
        <v>426</v>
      </c>
      <c r="C108" s="100" t="str">
        <f>'Policy Data'!B82</f>
        <v>Term Life</v>
      </c>
      <c r="D108" s="100">
        <f>'Policy Data'!C82</f>
        <v>25</v>
      </c>
      <c r="E108" s="100" t="str">
        <f>'Policy Data'!D82</f>
        <v>Female</v>
      </c>
      <c r="F108" s="100" t="str">
        <f>'Policy Data'!E82</f>
        <v>Smoker</v>
      </c>
      <c r="G108" s="100" t="str">
        <f>'Policy Data'!F82</f>
        <v>Standard</v>
      </c>
      <c r="H108" s="100">
        <f>'Policy Data'!G82</f>
        <v>25</v>
      </c>
      <c r="I108" s="279">
        <f>'Policy Data'!H82</f>
        <v>1000000</v>
      </c>
      <c r="J108" s="100" t="str">
        <f>'Policy Data'!I82</f>
        <v>Annual</v>
      </c>
      <c r="K108" s="100" t="str">
        <f>'Policy Data'!J82</f>
        <v>Direct</v>
      </c>
      <c r="L108" s="26" t="s">
        <v>389</v>
      </c>
      <c r="M108" s="106">
        <f>'Policy Data'!R82</f>
        <v>1529.21</v>
      </c>
      <c r="N108" s="415">
        <f>Assumptions!$C$21</f>
        <v>1</v>
      </c>
      <c r="O108" s="415">
        <f>Assumptions!$C$22</f>
        <v>1</v>
      </c>
      <c r="P108" s="415">
        <f>Assumptions!$C$23</f>
        <v>1</v>
      </c>
      <c r="Q108" s="416">
        <f>Assumptions!$C$24</f>
        <v>0</v>
      </c>
      <c r="R108" s="416">
        <f>Assumptions!$C$6+Assumptions!$C$25</f>
        <v>3.5000000000000003E-2</v>
      </c>
      <c r="S108" s="416">
        <f>Assumptions!$C$15</f>
        <v>1.1000000000000001E-3</v>
      </c>
      <c r="T108" s="26">
        <f t="shared" si="36"/>
        <v>1</v>
      </c>
      <c r="U108" s="26">
        <f t="shared" si="37"/>
        <v>2</v>
      </c>
      <c r="V108" s="389">
        <f>IF($G108="Preferred",Assumptions!$C$30,IF($G108="Rated",Assumptions!$C$31,1))</f>
        <v>1</v>
      </c>
      <c r="W108" s="390">
        <f>IF($K108="Direct",Assumptions!$C$32,IF($K108="Broker",Assumptions!$C$33,IF($K108="Bancassurance",Assumptions!$C$34,Assumptions!$C$11)))+$Q108</f>
        <v>0.1</v>
      </c>
      <c r="X108" s="390">
        <f>Assumptions!$C$12+$Q108</f>
        <v>0.05</v>
      </c>
      <c r="Y108" s="131">
        <f>MIN($I108,Assumptions!$C$14)</f>
        <v>500000</v>
      </c>
      <c r="Z108" s="131">
        <f>MAX($I108-Assumptions!$C$14,0)</f>
        <v>500000</v>
      </c>
      <c r="AA108" s="389">
        <f t="shared" si="38"/>
        <v>9.4873511324404252</v>
      </c>
      <c r="AB108" s="389">
        <f t="shared" si="39"/>
        <v>9.2369112741675415E-3</v>
      </c>
      <c r="AC108" s="389">
        <f>IF($T108=1,SUMPRODUCT($CJ108:$DW108,(1+Assumptions!$C$5)^($CJ$5:$DW$5-1),(1+$R108)^(-$CJ$5:$DW$5)),0)</f>
        <v>13.676608466830769</v>
      </c>
      <c r="AD108" s="389">
        <f t="shared" si="40"/>
        <v>0.52267673536598258</v>
      </c>
      <c r="AE108" s="131">
        <f>IF($T108=1,$AB108*$Y108+(Assumptions!$C$9/(1+$R108)+Assumptions!$C$10*$AC108)*$P108+$S108*$Z108*$AA108,0)</f>
        <v>13714.91784002008</v>
      </c>
      <c r="AF108" s="131">
        <f>IF($T108=1,IF($AA108-$AD108-Assumptions!$C$16*$AA108&gt;0,$AE108/($AA108-$AD108-Assumptions!$C$16*$AA108)*IF($J108="Monthly",1+Assumptions!$C$29,1),"n.a."),"")</f>
        <v>1671.3919260099894</v>
      </c>
      <c r="AG108" s="131">
        <f t="shared" si="41"/>
        <v>1529.21</v>
      </c>
      <c r="AH108" s="131">
        <f t="shared" si="42"/>
        <v>14508.152225239222</v>
      </c>
      <c r="AI108" s="131">
        <f t="shared" si="43"/>
        <v>-6.0481052698705753</v>
      </c>
      <c r="AJ108" s="390">
        <f t="shared" si="44"/>
        <v>-4.1687633104296637E-4</v>
      </c>
      <c r="AK108" s="389">
        <f t="shared" si="45"/>
        <v>0.91493202533925633</v>
      </c>
      <c r="AL108" s="131">
        <f t="shared" si="46"/>
        <v>4618.4556370837709</v>
      </c>
      <c r="AM108" s="131">
        <f t="shared" si="47"/>
        <v>5218.043122842234</v>
      </c>
      <c r="AN108" s="131">
        <f t="shared" si="48"/>
        <v>-599.58748575846312</v>
      </c>
      <c r="AO108" s="131">
        <f t="shared" si="49"/>
        <v>593.53938048859254</v>
      </c>
      <c r="AP108" s="26" t="str">
        <f t="shared" si="50"/>
        <v>20-29</v>
      </c>
      <c r="AQ108" s="26" t="str">
        <f t="shared" si="51"/>
        <v>500k-1m</v>
      </c>
      <c r="AR108" s="26" t="str">
        <f>IF($T108=1,IF($AI108&lt;0,"Loss-making",IF($AJ108&lt;Assumptions!$C$16-0.00001,"Below target","At/above target")),"Excluded")</f>
        <v>Loss-making</v>
      </c>
      <c r="AS108" s="103">
        <f t="shared" si="52"/>
        <v>-6.0479972698705753</v>
      </c>
      <c r="AT108" s="26"/>
      <c r="AU108" s="419">
        <f>IF(AND($T108=1,AU$5&lt;=$H108),INDEX(Mortality!$B$4:$E$64,MATCH($D108+AU$5-1,Mortality!$A$4:$A$64,0),$U108)*$V108*$N108,0)</f>
        <v>4.2305573905424302E-4</v>
      </c>
      <c r="AV108" s="93">
        <f>IF(AND($T108=1,AV$5&lt;=$H108),INDEX(Mortality!$B$4:$E$64,MATCH($D108+AV$5-1,Mortality!$A$4:$A$64,0),$U108)*$V108*$N108,0)</f>
        <v>4.5829081102313302E-4</v>
      </c>
      <c r="AW108" s="93">
        <f>IF(AND($T108=1,AW$5&lt;=$H108),INDEX(Mortality!$B$4:$E$64,MATCH($D108+AW$5-1,Mortality!$A$4:$A$64,0),$U108)*$V108*$N108,0)</f>
        <v>4.9646050881562895E-4</v>
      </c>
      <c r="AX108" s="93">
        <f>IF(AND($T108=1,AX$5&lt;=$H108),INDEX(Mortality!$B$4:$E$64,MATCH($D108+AX$5-1,Mortality!$A$4:$A$64,0),$U108)*$V108*$N108,0)</f>
        <v>5.378092488113E-4</v>
      </c>
      <c r="AY108" s="93">
        <f>IF(AND($T108=1,AY$5&lt;=$H108),INDEX(Mortality!$B$4:$E$64,MATCH($D108+AY$5-1,Mortality!$A$4:$A$64,0),$U108)*$V108*$N108,0)</f>
        <v>5.8260180411326499E-4</v>
      </c>
      <c r="AZ108" s="93">
        <f>IF(AND($T108=1,AZ$5&lt;=$H108),INDEX(Mortality!$B$4:$E$64,MATCH($D108+AZ$5-1,Mortality!$A$4:$A$64,0),$U108)*$V108*$N108,0)</f>
        <v>6.3112499999999996E-4</v>
      </c>
      <c r="BA108" s="93">
        <f>IF(AND($T108=1,BA$5&lt;=$H108),INDEX(Mortality!$B$4:$E$64,MATCH($D108+BA$5-1,Mortality!$A$4:$A$64,0),$U108)*$V108*$N108,0)</f>
        <v>6.8368955058635799E-4</v>
      </c>
      <c r="BB108" s="93">
        <f>IF(AND($T108=1,BB$5&lt;=$H108),INDEX(Mortality!$B$4:$E$64,MATCH($D108+BB$5-1,Mortality!$A$4:$A$64,0),$U108)*$V108*$N108,0)</f>
        <v>7.4063204845470603E-4</v>
      </c>
      <c r="BC108" s="93">
        <f>IF(AND($T108=1,BC$5&lt;=$H108),INDEX(Mortality!$B$4:$E$64,MATCH($D108+BC$5-1,Mortality!$A$4:$A$64,0),$U108)*$V108*$N108,0)</f>
        <v>8.0231711999659695E-4</v>
      </c>
      <c r="BD108" s="93">
        <f>IF(AND($T108=1,BD$5&lt;=$H108),INDEX(Mortality!$B$4:$E$64,MATCH($D108+BD$5-1,Mortality!$A$4:$A$64,0),$U108)*$V108*$N108,0)</f>
        <v>8.6913976026653105E-4</v>
      </c>
      <c r="BE108" s="93">
        <f>IF(AND($T108=1,BE$5&lt;=$H108),INDEX(Mortality!$B$4:$E$64,MATCH($D108+BE$5-1,Mortality!$A$4:$A$64,0),$U108)*$V108*$N108,0)</f>
        <v>9.4152786229884696E-4</v>
      </c>
      <c r="BF108" s="93">
        <f>IF(AND($T108=1,BF$5&lt;=$H108),INDEX(Mortality!$B$4:$E$64,MATCH($D108+BF$5-1,Mortality!$A$4:$A$64,0),$U108)*$V108*$N108,0)</f>
        <v>1.01994495708399E-3</v>
      </c>
      <c r="BG108" s="93">
        <f>IF(AND($T108=1,BG$5&lt;=$H108),INDEX(Mortality!$B$4:$E$64,MATCH($D108+BG$5-1,Mortality!$A$4:$A$64,0),$U108)*$V108*$N108,0)</f>
        <v>1.1048931817493801E-3</v>
      </c>
      <c r="BH108" s="93">
        <f>IF(AND($T108=1,BH$5&lt;=$H108),INDEX(Mortality!$B$4:$E$64,MATCH($D108+BH$5-1,Mortality!$A$4:$A$64,0),$U108)*$V108*$N108,0)</f>
        <v>1.19691649495134E-3</v>
      </c>
      <c r="BI108" s="93">
        <f>IF(AND($T108=1,BI$5&lt;=$H108),INDEX(Mortality!$B$4:$E$64,MATCH($D108+BI$5-1,Mortality!$A$4:$A$64,0),$U108)*$V108*$N108,0)</f>
        <v>1.29660416006762E-3</v>
      </c>
      <c r="BJ108" s="93">
        <f>IF(AND($T108=1,BJ$5&lt;=$H108),INDEX(Mortality!$B$4:$E$64,MATCH($D108+BJ$5-1,Mortality!$A$4:$A$64,0),$U108)*$V108*$N108,0)</f>
        <v>1.4045945184948099E-3</v>
      </c>
      <c r="BK108" s="93">
        <f>IF(AND($T108=1,BK$5&lt;=$H108),INDEX(Mortality!$B$4:$E$64,MATCH($D108+BK$5-1,Mortality!$A$4:$A$64,0),$U108)*$V108*$N108,0)</f>
        <v>1.52157907721256E-3</v>
      </c>
      <c r="BL108" s="93">
        <f>IF(AND($T108=1,BL$5&lt;=$H108),INDEX(Mortality!$B$4:$E$64,MATCH($D108+BL$5-1,Mortality!$A$4:$A$64,0),$U108)*$V108*$N108,0)</f>
        <v>1.6483069367891701E-3</v>
      </c>
      <c r="BM108" s="93">
        <f>IF(AND($T108=1,BM$5&lt;=$H108),INDEX(Mortality!$B$4:$E$64,MATCH($D108+BM$5-1,Mortality!$A$4:$A$64,0),$U108)*$V108*$N108,0)</f>
        <v>1.78558958818263E-3</v>
      </c>
      <c r="BN108" s="93">
        <f>IF(AND($T108=1,BN$5&lt;=$H108),INDEX(Mortality!$B$4:$E$64,MATCH($D108+BN$5-1,Mortality!$A$4:$A$64,0),$U108)*$V108*$N108,0)</f>
        <v>1.9343061090533E-3</v>
      </c>
      <c r="BO108" s="93">
        <f>IF(AND($T108=1,BO$5&lt;=$H108),INDEX(Mortality!$B$4:$E$64,MATCH($D108+BO$5-1,Mortality!$A$4:$A$64,0),$U108)*$V108*$N108,0)</f>
        <v>2.0954087928621002E-3</v>
      </c>
      <c r="BP108" s="93">
        <f>IF(AND($T108=1,BP$5&lt;=$H108),INDEX(Mortality!$B$4:$E$64,MATCH($D108+BP$5-1,Mortality!$A$4:$A$64,0),$U108)*$V108*$N108,0)</f>
        <v>2.2699292467999099E-3</v>
      </c>
      <c r="BQ108" s="93">
        <f>IF(AND($T108=1,BQ$5&lt;=$H108),INDEX(Mortality!$B$4:$E$64,MATCH($D108+BQ$5-1,Mortality!$A$4:$A$64,0),$U108)*$V108*$N108,0)</f>
        <v>2.4589849975955001E-3</v>
      </c>
      <c r="BR108" s="93">
        <f>IF(AND($T108=1,BR$5&lt;=$H108),INDEX(Mortality!$B$4:$E$64,MATCH($D108+BR$5-1,Mortality!$A$4:$A$64,0),$U108)*$V108*$N108,0)</f>
        <v>2.6637866475019501E-3</v>
      </c>
      <c r="BS108" s="93">
        <f>IF(AND($T108=1,BS$5&lt;=$H108),INDEX(Mortality!$B$4:$E$64,MATCH($D108+BS$5-1,Mortality!$A$4:$A$64,0),$U108)*$V108*$N108,0)</f>
        <v>2.8856456262841002E-3</v>
      </c>
      <c r="BT108" s="93">
        <f>IF(AND($T108=1,BT$5&lt;=$H108),INDEX(Mortality!$B$4:$E$64,MATCH($D108+BT$5-1,Mortality!$A$4:$A$64,0),$U108)*$V108*$N108,0)</f>
        <v>0</v>
      </c>
      <c r="BU108" s="93">
        <f>IF(AND($T108=1,BU$5&lt;=$H108),INDEX(Mortality!$B$4:$E$64,MATCH($D108+BU$5-1,Mortality!$A$4:$A$64,0),$U108)*$V108*$N108,0)</f>
        <v>0</v>
      </c>
      <c r="BV108" s="93">
        <f>IF(AND($T108=1,BV$5&lt;=$H108),INDEX(Mortality!$B$4:$E$64,MATCH($D108+BV$5-1,Mortality!$A$4:$A$64,0),$U108)*$V108*$N108,0)</f>
        <v>0</v>
      </c>
      <c r="BW108" s="93">
        <f>IF(AND($T108=1,BW$5&lt;=$H108),INDEX(Mortality!$B$4:$E$64,MATCH($D108+BW$5-1,Mortality!$A$4:$A$64,0),$U108)*$V108*$N108,0)</f>
        <v>0</v>
      </c>
      <c r="BX108" s="93">
        <f>IF(AND($T108=1,BX$5&lt;=$H108),INDEX(Mortality!$B$4:$E$64,MATCH($D108+BX$5-1,Mortality!$A$4:$A$64,0),$U108)*$V108*$N108,0)</f>
        <v>0</v>
      </c>
      <c r="BY108" s="93">
        <f>IF(AND($T108=1,BY$5&lt;=$H108),INDEX(Mortality!$B$4:$E$64,MATCH($D108+BY$5-1,Mortality!$A$4:$A$64,0),$U108)*$V108*$N108,0)</f>
        <v>0</v>
      </c>
      <c r="BZ108" s="93">
        <f>IF(AND($T108=1,BZ$5&lt;=$H108),INDEX(Mortality!$B$4:$E$64,MATCH($D108+BZ$5-1,Mortality!$A$4:$A$64,0),$U108)*$V108*$N108,0)</f>
        <v>0</v>
      </c>
      <c r="CA108" s="93">
        <f>IF(AND($T108=1,CA$5&lt;=$H108),INDEX(Mortality!$B$4:$E$64,MATCH($D108+CA$5-1,Mortality!$A$4:$A$64,0),$U108)*$V108*$N108,0)</f>
        <v>0</v>
      </c>
      <c r="CB108" s="93">
        <f>IF(AND($T108=1,CB$5&lt;=$H108),INDEX(Mortality!$B$4:$E$64,MATCH($D108+CB$5-1,Mortality!$A$4:$A$64,0),$U108)*$V108*$N108,0)</f>
        <v>0</v>
      </c>
      <c r="CC108" s="93">
        <f>IF(AND($T108=1,CC$5&lt;=$H108),INDEX(Mortality!$B$4:$E$64,MATCH($D108+CC$5-1,Mortality!$A$4:$A$64,0),$U108)*$V108*$N108,0)</f>
        <v>0</v>
      </c>
      <c r="CD108" s="93">
        <f>IF(AND($T108=1,CD$5&lt;=$H108),INDEX(Mortality!$B$4:$E$64,MATCH($D108+CD$5-1,Mortality!$A$4:$A$64,0),$U108)*$V108*$N108,0)</f>
        <v>0</v>
      </c>
      <c r="CE108" s="93">
        <f>IF(AND($T108=1,CE$5&lt;=$H108),INDEX(Mortality!$B$4:$E$64,MATCH($D108+CE$5-1,Mortality!$A$4:$A$64,0),$U108)*$V108*$N108,0)</f>
        <v>0</v>
      </c>
      <c r="CF108" s="93">
        <f>IF(AND($T108=1,CF$5&lt;=$H108),INDEX(Mortality!$B$4:$E$64,MATCH($D108+CF$5-1,Mortality!$A$4:$A$64,0),$U108)*$V108*$N108,0)</f>
        <v>0</v>
      </c>
      <c r="CG108" s="93">
        <f>IF(AND($T108=1,CG$5&lt;=$H108),INDEX(Mortality!$B$4:$E$64,MATCH($D108+CG$5-1,Mortality!$A$4:$A$64,0),$U108)*$V108*$N108,0)</f>
        <v>0</v>
      </c>
      <c r="CH108" s="94">
        <f>IF(AND($T108=1,CH$5&lt;=$H108),INDEX(Mortality!$B$4:$E$64,MATCH($D108+CH$5-1,Mortality!$A$4:$A$64,0),$U108)*$V108*$N108,0)</f>
        <v>0</v>
      </c>
      <c r="CI108" s="26"/>
      <c r="CJ108" s="419">
        <f t="shared" si="53"/>
        <v>1</v>
      </c>
      <c r="CK108" s="93">
        <f>IF(AND($T108=1,CK$5&lt;=$H108),CJ108*(1-AU108)*(1-MIN(1,MAX(Assumptions!$C$27,Assumptions!$C$13*Assumptions!$C$28^(CJ$5-1))*$O108)),0)</f>
        <v>0.87962771094963232</v>
      </c>
      <c r="CL108" s="93">
        <f>IF(AND($T108=1,CL$5&lt;=$H108),CK108*(1-AV108)*(1-MIN(1,MAX(Assumptions!$C$27,Assumptions!$C$13*Assumptions!$C$28^(CK$5-1))*$O108)),0)</f>
        <v>0.78954367791601932</v>
      </c>
      <c r="CM108" s="93">
        <f>IF(AND($T108=1,CM$5&lt;=$H108),CL108*(1-AW108)*(1-MIN(1,MAX(Assumptions!$C$27,Assumptions!$C$13*Assumptions!$C$28^(CL$5-1))*$O108)),0)</f>
        <v>0.72073224821273141</v>
      </c>
      <c r="CN108" s="93">
        <f>IF(AND($T108=1,CN$5&lt;=$H108),CM108*(1-AX108)*(1-MIN(1,MAX(Assumptions!$C$27,Assumptions!$C$13*Assumptions!$C$28^(CM$5-1))*$O108)),0)</f>
        <v>0.66725883410737208</v>
      </c>
      <c r="CO108" s="93">
        <f>IF(AND($T108=1,CO$5&lt;=$H108),CN108*(1-AY108)*(1-MIN(1,MAX(Assumptions!$C$27,Assumptions!$C$13*Assumptions!$C$28^(CN$5-1))*$O108)),0)</f>
        <v>0.62509684544776201</v>
      </c>
      <c r="CP108" s="93">
        <f>IF(AND($T108=1,CP$5&lt;=$H108),CO108*(1-AZ108)*(1-MIN(1,MAX(Assumptions!$C$27,Assumptions!$C$13*Assumptions!$C$28^(CO$5-1))*$O108)),0)</f>
        <v>0.5914402820309671</v>
      </c>
      <c r="CQ108" s="93">
        <f>IF(AND($T108=1,CQ$5&lt;=$H108),CP108*(1-BA108)*(1-MIN(1,MAX(Assumptions!$C$27,Assumptions!$C$13*Assumptions!$C$28^(CP$5-1))*$O108)),0)</f>
        <v>0.56428685115475752</v>
      </c>
      <c r="CR108" s="93">
        <f>IF(AND($T108=1,CR$5&lt;=$H108),CQ108*(1-BB108)*(1-MIN(1,MAX(Assumptions!$C$27,Assumptions!$C$13*Assumptions!$C$28^(CQ$5-1))*$O108)),0)</f>
        <v>0.54217730735704361</v>
      </c>
      <c r="CS108" s="93">
        <f>IF(AND($T108=1,CS$5&lt;=$H108),CR108*(1-BC108)*(1-MIN(1,MAX(Assumptions!$C$27,Assumptions!$C$13*Assumptions!$C$28^(CR$5-1))*$O108)),0)</f>
        <v>0.52402795166820781</v>
      </c>
      <c r="CT108" s="93">
        <f>IF(AND($T108=1,CT$5&lt;=$H108),CS108*(1-BD108)*(1-MIN(1,MAX(Assumptions!$C$27,Assumptions!$C$13*Assumptions!$C$28^(CS$5-1))*$O108)),0)</f>
        <v>0.50902030655867758</v>
      </c>
      <c r="CU108" s="93">
        <f>IF(AND($T108=1,CU$5&lt;=$H108),CT108*(1-BE108)*(1-MIN(1,MAX(Assumptions!$C$27,Assumptions!$C$13*Assumptions!$C$28^(CT$5-1))*$O108)),0)</f>
        <v>0.49652680380711717</v>
      </c>
      <c r="CV108" s="93">
        <f>IF(AND($T108=1,CV$5&lt;=$H108),CU108*(1-BF108)*(1-MIN(1,MAX(Assumptions!$C$27,Assumptions!$C$13*Assumptions!$C$28^(CU$5-1))*$O108)),0)</f>
        <v>0.48605969480302769</v>
      </c>
      <c r="CW108" s="93">
        <f>IF(AND($T108=1,CW$5&lt;=$H108),CV108*(1-BG108)*(1-MIN(1,MAX(Assumptions!$C$27,Assumptions!$C$13*Assumptions!$C$28^(CV$5-1))*$O108)),0)</f>
        <v>0.4758121977451103</v>
      </c>
      <c r="CX108" s="93">
        <f>IF(AND($T108=1,CX$5&lt;=$H108),CW108*(1-BH108)*(1-MIN(1,MAX(Assumptions!$C$27,Assumptions!$C$13*Assumptions!$C$28^(CW$5-1))*$O108)),0)</f>
        <v>0.46573783647158751</v>
      </c>
      <c r="CY108" s="93">
        <f>IF(AND($T108=1,CY$5&lt;=$H108),CX108*(1-BI108)*(1-MIN(1,MAX(Assumptions!$C$27,Assumptions!$C$13*Assumptions!$C$28^(CX$5-1))*$O108)),0)</f>
        <v>0.45583127967821119</v>
      </c>
      <c r="CZ108" s="93">
        <f>IF(AND($T108=1,CZ$5&lt;=$H108),CY108*(1-BJ108)*(1-MIN(1,MAX(Assumptions!$C$27,Assumptions!$C$13*Assumptions!$C$28^(CY$5-1))*$O108)),0)</f>
        <v>0.44608720113018835</v>
      </c>
      <c r="DA108" s="93">
        <f>IF(AND($T108=1,DA$5&lt;=$H108),CZ108*(1-BK108)*(1-MIN(1,MAX(Assumptions!$C$27,Assumptions!$C$13*Assumptions!$C$28^(CZ$5-1))*$O108)),0)</f>
        <v>0.43650027529476965</v>
      </c>
      <c r="DB108" s="93">
        <f>IF(AND($T108=1,DB$5&lt;=$H108),DA108*(1-BL108)*(1-MIN(1,MAX(Assumptions!$C$27,Assumptions!$C$13*Assumptions!$C$28^(DA$5-1))*$O108)),0)</f>
        <v>0.42706517308582909</v>
      </c>
      <c r="DC108" s="93">
        <f>IF(AND($T108=1,DC$5&lt;=$H108),DB108*(1-BM108)*(1-MIN(1,MAX(Assumptions!$C$27,Assumptions!$C$13*Assumptions!$C$28^(DB$5-1))*$O108)),0)</f>
        <v>0.41777655776010575</v>
      </c>
      <c r="DD108" s="93">
        <f>IF(AND($T108=1,DD$5&lt;=$H108),DC108*(1-BN108)*(1-MIN(1,MAX(Assumptions!$C$27,Assumptions!$C$13*Assumptions!$C$28^(DC$5-1))*$O108)),0)</f>
        <v>0.40862908101196688</v>
      </c>
      <c r="DE108" s="93">
        <f>IF(AND($T108=1,DE$5&lt;=$H108),DD108*(1-BO108)*(1-MIN(1,MAX(Assumptions!$C$27,Assumptions!$C$13*Assumptions!$C$28^(DD$5-1))*$O108)),0)</f>
        <v>0.39961737932174329</v>
      </c>
      <c r="DF108" s="93">
        <f>IF(AND($T108=1,DF$5&lt;=$H108),DE108*(1-BP108)*(1-MIN(1,MAX(Assumptions!$C$27,Assumptions!$C$13*Assumptions!$C$28^(DE$5-1))*$O108)),0)</f>
        <v>0.3907360706219935</v>
      </c>
      <c r="DG108" s="93">
        <f>IF(AND($T108=1,DG$5&lt;=$H108),DF108*(1-BQ108)*(1-MIN(1,MAX(Assumptions!$C$27,Assumptions!$C$13*Assumptions!$C$28^(DF$5-1))*$O108)),0)</f>
        <v>0.38197975135658829</v>
      </c>
      <c r="DH108" s="93">
        <f>IF(AND($T108=1,DH$5&lt;=$H108),DG108*(1-BR108)*(1-MIN(1,MAX(Assumptions!$C$27,Assumptions!$C$13*Assumptions!$C$28^(DG$5-1))*$O108)),0)</f>
        <v>0.3733429940194023</v>
      </c>
      <c r="DI108" s="93">
        <f>IF(AND($T108=1,DI$5&lt;=$H108),DH108*(1-BS108)*(1-MIN(1,MAX(Assumptions!$C$27,Assumptions!$C$13*Assumptions!$C$28^(DH$5-1))*$O108)),0)</f>
        <v>0</v>
      </c>
      <c r="DJ108" s="93">
        <f>IF(AND($T108=1,DJ$5&lt;=$H108),DI108*(1-BT108)*(1-MIN(1,MAX(Assumptions!$C$27,Assumptions!$C$13*Assumptions!$C$28^(DI$5-1))*$O108)),0)</f>
        <v>0</v>
      </c>
      <c r="DK108" s="93">
        <f>IF(AND($T108=1,DK$5&lt;=$H108),DJ108*(1-BU108)*(1-MIN(1,MAX(Assumptions!$C$27,Assumptions!$C$13*Assumptions!$C$28^(DJ$5-1))*$O108)),0)</f>
        <v>0</v>
      </c>
      <c r="DL108" s="93">
        <f>IF(AND($T108=1,DL$5&lt;=$H108),DK108*(1-BV108)*(1-MIN(1,MAX(Assumptions!$C$27,Assumptions!$C$13*Assumptions!$C$28^(DK$5-1))*$O108)),0)</f>
        <v>0</v>
      </c>
      <c r="DM108" s="93">
        <f>IF(AND($T108=1,DM$5&lt;=$H108),DL108*(1-BW108)*(1-MIN(1,MAX(Assumptions!$C$27,Assumptions!$C$13*Assumptions!$C$28^(DL$5-1))*$O108)),0)</f>
        <v>0</v>
      </c>
      <c r="DN108" s="93">
        <f>IF(AND($T108=1,DN$5&lt;=$H108),DM108*(1-BX108)*(1-MIN(1,MAX(Assumptions!$C$27,Assumptions!$C$13*Assumptions!$C$28^(DM$5-1))*$O108)),0)</f>
        <v>0</v>
      </c>
      <c r="DO108" s="93">
        <f>IF(AND($T108=1,DO$5&lt;=$H108),DN108*(1-BY108)*(1-MIN(1,MAX(Assumptions!$C$27,Assumptions!$C$13*Assumptions!$C$28^(DN$5-1))*$O108)),0)</f>
        <v>0</v>
      </c>
      <c r="DP108" s="93">
        <f>IF(AND($T108=1,DP$5&lt;=$H108),DO108*(1-BZ108)*(1-MIN(1,MAX(Assumptions!$C$27,Assumptions!$C$13*Assumptions!$C$28^(DO$5-1))*$O108)),0)</f>
        <v>0</v>
      </c>
      <c r="DQ108" s="93">
        <f>IF(AND($T108=1,DQ$5&lt;=$H108),DP108*(1-CA108)*(1-MIN(1,MAX(Assumptions!$C$27,Assumptions!$C$13*Assumptions!$C$28^(DP$5-1))*$O108)),0)</f>
        <v>0</v>
      </c>
      <c r="DR108" s="93">
        <f>IF(AND($T108=1,DR$5&lt;=$H108),DQ108*(1-CB108)*(1-MIN(1,MAX(Assumptions!$C$27,Assumptions!$C$13*Assumptions!$C$28^(DQ$5-1))*$O108)),0)</f>
        <v>0</v>
      </c>
      <c r="DS108" s="93">
        <f>IF(AND($T108=1,DS$5&lt;=$H108),DR108*(1-CC108)*(1-MIN(1,MAX(Assumptions!$C$27,Assumptions!$C$13*Assumptions!$C$28^(DR$5-1))*$O108)),0)</f>
        <v>0</v>
      </c>
      <c r="DT108" s="93">
        <f>IF(AND($T108=1,DT$5&lt;=$H108),DS108*(1-CD108)*(1-MIN(1,MAX(Assumptions!$C$27,Assumptions!$C$13*Assumptions!$C$28^(DS$5-1))*$O108)),0)</f>
        <v>0</v>
      </c>
      <c r="DU108" s="93">
        <f>IF(AND($T108=1,DU$5&lt;=$H108),DT108*(1-CE108)*(1-MIN(1,MAX(Assumptions!$C$27,Assumptions!$C$13*Assumptions!$C$28^(DT$5-1))*$O108)),0)</f>
        <v>0</v>
      </c>
      <c r="DV108" s="93">
        <f>IF(AND($T108=1,DV$5&lt;=$H108),DU108*(1-CF108)*(1-MIN(1,MAX(Assumptions!$C$27,Assumptions!$C$13*Assumptions!$C$28^(DU$5-1))*$O108)),0)</f>
        <v>0</v>
      </c>
      <c r="DW108" s="94">
        <f>IF(AND($T108=1,DW$5&lt;=$H108),DV108*(1-CG108)*(1-MIN(1,MAX(Assumptions!$C$27,Assumptions!$C$13*Assumptions!$C$28^(DV$5-1))*$O108)),0)</f>
        <v>0</v>
      </c>
      <c r="DX108" s="26"/>
      <c r="DY108" s="399">
        <f>'Policy Data'!K82</f>
        <v>5</v>
      </c>
      <c r="DZ108" s="100">
        <f>'Policy Data'!L82</f>
        <v>0.71709999999999996</v>
      </c>
      <c r="EA108" s="100">
        <f>'Policy Data'!N82</f>
        <v>3.0299999999999999E-4</v>
      </c>
      <c r="EB108" s="93" cm="1">
        <f t="array" ref="EB108">IFERROR(DZ108*INDEX(Mortality!$B$4:$E$64,MATCH(D108+DY108-1,Mortality!$A$4:$A$64,0),U108)*V108,0)</f>
        <v>4.177837537296223E-4</v>
      </c>
      <c r="EC108" s="100">
        <f>'Policy Data'!O82</f>
        <v>0</v>
      </c>
      <c r="ED108" s="400">
        <f>'Policy Data'!Q82</f>
        <v>0</v>
      </c>
    </row>
    <row r="109" spans="1:134" x14ac:dyDescent="0.3">
      <c r="A109" s="399" t="str">
        <f>'Policy Data'!A83</f>
        <v>POL100079</v>
      </c>
      <c r="B109" s="26" t="s">
        <v>426</v>
      </c>
      <c r="C109" s="100" t="str">
        <f>'Policy Data'!B83</f>
        <v>Term Life</v>
      </c>
      <c r="D109" s="100">
        <f>'Policy Data'!C83</f>
        <v>65</v>
      </c>
      <c r="E109" s="100" t="str">
        <f>'Policy Data'!D83</f>
        <v>Male</v>
      </c>
      <c r="F109" s="100" t="str">
        <f>'Policy Data'!E83</f>
        <v>Smoker</v>
      </c>
      <c r="G109" s="100" t="str">
        <f>'Policy Data'!F83</f>
        <v>Preferred</v>
      </c>
      <c r="H109" s="100">
        <f>'Policy Data'!G83</f>
        <v>20</v>
      </c>
      <c r="I109" s="279">
        <f>'Policy Data'!H83</f>
        <v>1000000</v>
      </c>
      <c r="J109" s="100" t="str">
        <f>'Policy Data'!I83</f>
        <v>Annual</v>
      </c>
      <c r="K109" s="100" t="str">
        <f>'Policy Data'!J83</f>
        <v>Direct</v>
      </c>
      <c r="L109" s="26" t="s">
        <v>389</v>
      </c>
      <c r="M109" s="106">
        <f>'Policy Data'!R83</f>
        <v>14285.34</v>
      </c>
      <c r="N109" s="415">
        <f>Assumptions!$C$21</f>
        <v>1</v>
      </c>
      <c r="O109" s="415">
        <f>Assumptions!$C$22</f>
        <v>1</v>
      </c>
      <c r="P109" s="415">
        <f>Assumptions!$C$23</f>
        <v>1</v>
      </c>
      <c r="Q109" s="416">
        <f>Assumptions!$C$24</f>
        <v>0</v>
      </c>
      <c r="R109" s="416">
        <f>Assumptions!$C$6+Assumptions!$C$25</f>
        <v>3.5000000000000003E-2</v>
      </c>
      <c r="S109" s="416">
        <f>Assumptions!$C$15</f>
        <v>1.1000000000000001E-3</v>
      </c>
      <c r="T109" s="26">
        <f t="shared" si="36"/>
        <v>0</v>
      </c>
      <c r="U109" s="26">
        <f t="shared" si="37"/>
        <v>4</v>
      </c>
      <c r="V109" s="389">
        <f>IF($G109="Preferred",Assumptions!$C$30,IF($G109="Rated",Assumptions!$C$31,1))</f>
        <v>0.8</v>
      </c>
      <c r="W109" s="390">
        <f>IF($K109="Direct",Assumptions!$C$32,IF($K109="Broker",Assumptions!$C$33,IF($K109="Bancassurance",Assumptions!$C$34,Assumptions!$C$11)))+$Q109</f>
        <v>0.1</v>
      </c>
      <c r="X109" s="390">
        <f>Assumptions!$C$12+$Q109</f>
        <v>0.05</v>
      </c>
      <c r="Y109" s="131">
        <f>MIN($I109,Assumptions!$C$14)</f>
        <v>500000</v>
      </c>
      <c r="Z109" s="131">
        <f>MAX($I109-Assumptions!$C$14,0)</f>
        <v>500000</v>
      </c>
      <c r="AA109" s="389">
        <f t="shared" si="38"/>
        <v>0</v>
      </c>
      <c r="AB109" s="389">
        <f t="shared" si="39"/>
        <v>0</v>
      </c>
      <c r="AC109" s="389">
        <f>IF($T109=1,SUMPRODUCT($CJ109:$DW109,(1+Assumptions!$C$5)^($CJ$5:$DW$5-1),(1+$R109)^(-$CJ$5:$DW$5)),0)</f>
        <v>0</v>
      </c>
      <c r="AD109" s="389">
        <f t="shared" si="40"/>
        <v>0</v>
      </c>
      <c r="AE109" s="131">
        <f>IF($T109=1,$AB109*$Y109+(Assumptions!$C$9/(1+$R109)+Assumptions!$C$10*$AC109)*$P109+$S109*$Z109*$AA109,0)</f>
        <v>0</v>
      </c>
      <c r="AF109" s="131" t="str">
        <f>IF($T109=1,IF($AA109-$AD109-Assumptions!$C$16*$AA109&gt;0,$AE109/($AA109-$AD109-Assumptions!$C$16*$AA109)*IF($J109="Monthly",1+Assumptions!$C$29,1),"n.a."),"")</f>
        <v/>
      </c>
      <c r="AG109" s="131" t="str">
        <f t="shared" si="41"/>
        <v/>
      </c>
      <c r="AH109" s="131" t="str">
        <f t="shared" si="42"/>
        <v/>
      </c>
      <c r="AI109" s="131" t="str">
        <f t="shared" si="43"/>
        <v/>
      </c>
      <c r="AJ109" s="390" t="str">
        <f t="shared" si="44"/>
        <v/>
      </c>
      <c r="AK109" s="389" t="str">
        <f t="shared" si="45"/>
        <v/>
      </c>
      <c r="AL109" s="131" t="str">
        <f t="shared" si="46"/>
        <v/>
      </c>
      <c r="AM109" s="131" t="str">
        <f t="shared" si="47"/>
        <v/>
      </c>
      <c r="AN109" s="131" t="str">
        <f t="shared" si="48"/>
        <v/>
      </c>
      <c r="AO109" s="131" t="str">
        <f t="shared" si="49"/>
        <v/>
      </c>
      <c r="AP109" s="26" t="str">
        <f t="shared" si="50"/>
        <v>60+</v>
      </c>
      <c r="AQ109" s="26" t="str">
        <f t="shared" si="51"/>
        <v>500k-1m</v>
      </c>
      <c r="AR109" s="26" t="str">
        <f>IF($T109=1,IF($AI109&lt;0,"Loss-making",IF($AJ109&lt;Assumptions!$C$16-0.00001,"Below target","At/above target")),"Excluded")</f>
        <v>Excluded</v>
      </c>
      <c r="AS109" s="103">
        <f t="shared" si="52"/>
        <v>9.9999999999999997E+98</v>
      </c>
      <c r="AT109" s="26"/>
      <c r="AU109" s="419">
        <f>IF(AND($T109=1,AU$5&lt;=$H109),INDEX(Mortality!$B$4:$E$64,MATCH($D109+AU$5-1,Mortality!$A$4:$A$64,0),$U109)*$V109*$N109,0)</f>
        <v>0</v>
      </c>
      <c r="AV109" s="93">
        <f>IF(AND($T109=1,AV$5&lt;=$H109),INDEX(Mortality!$B$4:$E$64,MATCH($D109+AV$5-1,Mortality!$A$4:$A$64,0),$U109)*$V109*$N109,0)</f>
        <v>0</v>
      </c>
      <c r="AW109" s="93">
        <f>IF(AND($T109=1,AW$5&lt;=$H109),INDEX(Mortality!$B$4:$E$64,MATCH($D109+AW$5-1,Mortality!$A$4:$A$64,0),$U109)*$V109*$N109,0)</f>
        <v>0</v>
      </c>
      <c r="AX109" s="93">
        <f>IF(AND($T109=1,AX$5&lt;=$H109),INDEX(Mortality!$B$4:$E$64,MATCH($D109+AX$5-1,Mortality!$A$4:$A$64,0),$U109)*$V109*$N109,0)</f>
        <v>0</v>
      </c>
      <c r="AY109" s="93">
        <f>IF(AND($T109=1,AY$5&lt;=$H109),INDEX(Mortality!$B$4:$E$64,MATCH($D109+AY$5-1,Mortality!$A$4:$A$64,0),$U109)*$V109*$N109,0)</f>
        <v>0</v>
      </c>
      <c r="AZ109" s="93">
        <f>IF(AND($T109=1,AZ$5&lt;=$H109),INDEX(Mortality!$B$4:$E$64,MATCH($D109+AZ$5-1,Mortality!$A$4:$A$64,0),$U109)*$V109*$N109,0)</f>
        <v>0</v>
      </c>
      <c r="BA109" s="93">
        <f>IF(AND($T109=1,BA$5&lt;=$H109),INDEX(Mortality!$B$4:$E$64,MATCH($D109+BA$5-1,Mortality!$A$4:$A$64,0),$U109)*$V109*$N109,0)</f>
        <v>0</v>
      </c>
      <c r="BB109" s="93">
        <f>IF(AND($T109=1,BB$5&lt;=$H109),INDEX(Mortality!$B$4:$E$64,MATCH($D109+BB$5-1,Mortality!$A$4:$A$64,0),$U109)*$V109*$N109,0)</f>
        <v>0</v>
      </c>
      <c r="BC109" s="93">
        <f>IF(AND($T109=1,BC$5&lt;=$H109),INDEX(Mortality!$B$4:$E$64,MATCH($D109+BC$5-1,Mortality!$A$4:$A$64,0),$U109)*$V109*$N109,0)</f>
        <v>0</v>
      </c>
      <c r="BD109" s="93">
        <f>IF(AND($T109=1,BD$5&lt;=$H109),INDEX(Mortality!$B$4:$E$64,MATCH($D109+BD$5-1,Mortality!$A$4:$A$64,0),$U109)*$V109*$N109,0)</f>
        <v>0</v>
      </c>
      <c r="BE109" s="93">
        <f>IF(AND($T109=1,BE$5&lt;=$H109),INDEX(Mortality!$B$4:$E$64,MATCH($D109+BE$5-1,Mortality!$A$4:$A$64,0),$U109)*$V109*$N109,0)</f>
        <v>0</v>
      </c>
      <c r="BF109" s="93">
        <f>IF(AND($T109=1,BF$5&lt;=$H109),INDEX(Mortality!$B$4:$E$64,MATCH($D109+BF$5-1,Mortality!$A$4:$A$64,0),$U109)*$V109*$N109,0)</f>
        <v>0</v>
      </c>
      <c r="BG109" s="93">
        <f>IF(AND($T109=1,BG$5&lt;=$H109),INDEX(Mortality!$B$4:$E$64,MATCH($D109+BG$5-1,Mortality!$A$4:$A$64,0),$U109)*$V109*$N109,0)</f>
        <v>0</v>
      </c>
      <c r="BH109" s="93">
        <f>IF(AND($T109=1,BH$5&lt;=$H109),INDEX(Mortality!$B$4:$E$64,MATCH($D109+BH$5-1,Mortality!$A$4:$A$64,0),$U109)*$V109*$N109,0)</f>
        <v>0</v>
      </c>
      <c r="BI109" s="93">
        <f>IF(AND($T109=1,BI$5&lt;=$H109),INDEX(Mortality!$B$4:$E$64,MATCH($D109+BI$5-1,Mortality!$A$4:$A$64,0),$U109)*$V109*$N109,0)</f>
        <v>0</v>
      </c>
      <c r="BJ109" s="93">
        <f>IF(AND($T109=1,BJ$5&lt;=$H109),INDEX(Mortality!$B$4:$E$64,MATCH($D109+BJ$5-1,Mortality!$A$4:$A$64,0),$U109)*$V109*$N109,0)</f>
        <v>0</v>
      </c>
      <c r="BK109" s="93">
        <f>IF(AND($T109=1,BK$5&lt;=$H109),INDEX(Mortality!$B$4:$E$64,MATCH($D109+BK$5-1,Mortality!$A$4:$A$64,0),$U109)*$V109*$N109,0)</f>
        <v>0</v>
      </c>
      <c r="BL109" s="93">
        <f>IF(AND($T109=1,BL$5&lt;=$H109),INDEX(Mortality!$B$4:$E$64,MATCH($D109+BL$5-1,Mortality!$A$4:$A$64,0),$U109)*$V109*$N109,0)</f>
        <v>0</v>
      </c>
      <c r="BM109" s="93">
        <f>IF(AND($T109=1,BM$5&lt;=$H109),INDEX(Mortality!$B$4:$E$64,MATCH($D109+BM$5-1,Mortality!$A$4:$A$64,0),$U109)*$V109*$N109,0)</f>
        <v>0</v>
      </c>
      <c r="BN109" s="93">
        <f>IF(AND($T109=1,BN$5&lt;=$H109),INDEX(Mortality!$B$4:$E$64,MATCH($D109+BN$5-1,Mortality!$A$4:$A$64,0),$U109)*$V109*$N109,0)</f>
        <v>0</v>
      </c>
      <c r="BO109" s="93">
        <f>IF(AND($T109=1,BO$5&lt;=$H109),INDEX(Mortality!$B$4:$E$64,MATCH($D109+BO$5-1,Mortality!$A$4:$A$64,0),$U109)*$V109*$N109,0)</f>
        <v>0</v>
      </c>
      <c r="BP109" s="93">
        <f>IF(AND($T109=1,BP$5&lt;=$H109),INDEX(Mortality!$B$4:$E$64,MATCH($D109+BP$5-1,Mortality!$A$4:$A$64,0),$U109)*$V109*$N109,0)</f>
        <v>0</v>
      </c>
      <c r="BQ109" s="93">
        <f>IF(AND($T109=1,BQ$5&lt;=$H109),INDEX(Mortality!$B$4:$E$64,MATCH($D109+BQ$5-1,Mortality!$A$4:$A$64,0),$U109)*$V109*$N109,0)</f>
        <v>0</v>
      </c>
      <c r="BR109" s="93">
        <f>IF(AND($T109=1,BR$5&lt;=$H109),INDEX(Mortality!$B$4:$E$64,MATCH($D109+BR$5-1,Mortality!$A$4:$A$64,0),$U109)*$V109*$N109,0)</f>
        <v>0</v>
      </c>
      <c r="BS109" s="93">
        <f>IF(AND($T109=1,BS$5&lt;=$H109),INDEX(Mortality!$B$4:$E$64,MATCH($D109+BS$5-1,Mortality!$A$4:$A$64,0),$U109)*$V109*$N109,0)</f>
        <v>0</v>
      </c>
      <c r="BT109" s="93">
        <f>IF(AND($T109=1,BT$5&lt;=$H109),INDEX(Mortality!$B$4:$E$64,MATCH($D109+BT$5-1,Mortality!$A$4:$A$64,0),$U109)*$V109*$N109,0)</f>
        <v>0</v>
      </c>
      <c r="BU109" s="93">
        <f>IF(AND($T109=1,BU$5&lt;=$H109),INDEX(Mortality!$B$4:$E$64,MATCH($D109+BU$5-1,Mortality!$A$4:$A$64,0),$U109)*$V109*$N109,0)</f>
        <v>0</v>
      </c>
      <c r="BV109" s="93">
        <f>IF(AND($T109=1,BV$5&lt;=$H109),INDEX(Mortality!$B$4:$E$64,MATCH($D109+BV$5-1,Mortality!$A$4:$A$64,0),$U109)*$V109*$N109,0)</f>
        <v>0</v>
      </c>
      <c r="BW109" s="93">
        <f>IF(AND($T109=1,BW$5&lt;=$H109),INDEX(Mortality!$B$4:$E$64,MATCH($D109+BW$5-1,Mortality!$A$4:$A$64,0),$U109)*$V109*$N109,0)</f>
        <v>0</v>
      </c>
      <c r="BX109" s="93">
        <f>IF(AND($T109=1,BX$5&lt;=$H109),INDEX(Mortality!$B$4:$E$64,MATCH($D109+BX$5-1,Mortality!$A$4:$A$64,0),$U109)*$V109*$N109,0)</f>
        <v>0</v>
      </c>
      <c r="BY109" s="93">
        <f>IF(AND($T109=1,BY$5&lt;=$H109),INDEX(Mortality!$B$4:$E$64,MATCH($D109+BY$5-1,Mortality!$A$4:$A$64,0),$U109)*$V109*$N109,0)</f>
        <v>0</v>
      </c>
      <c r="BZ109" s="93">
        <f>IF(AND($T109=1,BZ$5&lt;=$H109),INDEX(Mortality!$B$4:$E$64,MATCH($D109+BZ$5-1,Mortality!$A$4:$A$64,0),$U109)*$V109*$N109,0)</f>
        <v>0</v>
      </c>
      <c r="CA109" s="93">
        <f>IF(AND($T109=1,CA$5&lt;=$H109),INDEX(Mortality!$B$4:$E$64,MATCH($D109+CA$5-1,Mortality!$A$4:$A$64,0),$U109)*$V109*$N109,0)</f>
        <v>0</v>
      </c>
      <c r="CB109" s="93">
        <f>IF(AND($T109=1,CB$5&lt;=$H109),INDEX(Mortality!$B$4:$E$64,MATCH($D109+CB$5-1,Mortality!$A$4:$A$64,0),$U109)*$V109*$N109,0)</f>
        <v>0</v>
      </c>
      <c r="CC109" s="93">
        <f>IF(AND($T109=1,CC$5&lt;=$H109),INDEX(Mortality!$B$4:$E$64,MATCH($D109+CC$5-1,Mortality!$A$4:$A$64,0),$U109)*$V109*$N109,0)</f>
        <v>0</v>
      </c>
      <c r="CD109" s="93">
        <f>IF(AND($T109=1,CD$5&lt;=$H109),INDEX(Mortality!$B$4:$E$64,MATCH($D109+CD$5-1,Mortality!$A$4:$A$64,0),$U109)*$V109*$N109,0)</f>
        <v>0</v>
      </c>
      <c r="CE109" s="93">
        <f>IF(AND($T109=1,CE$5&lt;=$H109),INDEX(Mortality!$B$4:$E$64,MATCH($D109+CE$5-1,Mortality!$A$4:$A$64,0),$U109)*$V109*$N109,0)</f>
        <v>0</v>
      </c>
      <c r="CF109" s="93">
        <f>IF(AND($T109=1,CF$5&lt;=$H109),INDEX(Mortality!$B$4:$E$64,MATCH($D109+CF$5-1,Mortality!$A$4:$A$64,0),$U109)*$V109*$N109,0)</f>
        <v>0</v>
      </c>
      <c r="CG109" s="93">
        <f>IF(AND($T109=1,CG$5&lt;=$H109),INDEX(Mortality!$B$4:$E$64,MATCH($D109+CG$5-1,Mortality!$A$4:$A$64,0),$U109)*$V109*$N109,0)</f>
        <v>0</v>
      </c>
      <c r="CH109" s="94">
        <f>IF(AND($T109=1,CH$5&lt;=$H109),INDEX(Mortality!$B$4:$E$64,MATCH($D109+CH$5-1,Mortality!$A$4:$A$64,0),$U109)*$V109*$N109,0)</f>
        <v>0</v>
      </c>
      <c r="CI109" s="26"/>
      <c r="CJ109" s="419">
        <f t="shared" si="53"/>
        <v>0</v>
      </c>
      <c r="CK109" s="93">
        <f>IF(AND($T109=1,CK$5&lt;=$H109),CJ109*(1-AU109)*(1-MIN(1,MAX(Assumptions!$C$27,Assumptions!$C$13*Assumptions!$C$28^(CJ$5-1))*$O109)),0)</f>
        <v>0</v>
      </c>
      <c r="CL109" s="93">
        <f>IF(AND($T109=1,CL$5&lt;=$H109),CK109*(1-AV109)*(1-MIN(1,MAX(Assumptions!$C$27,Assumptions!$C$13*Assumptions!$C$28^(CK$5-1))*$O109)),0)</f>
        <v>0</v>
      </c>
      <c r="CM109" s="93">
        <f>IF(AND($T109=1,CM$5&lt;=$H109),CL109*(1-AW109)*(1-MIN(1,MAX(Assumptions!$C$27,Assumptions!$C$13*Assumptions!$C$28^(CL$5-1))*$O109)),0)</f>
        <v>0</v>
      </c>
      <c r="CN109" s="93">
        <f>IF(AND($T109=1,CN$5&lt;=$H109),CM109*(1-AX109)*(1-MIN(1,MAX(Assumptions!$C$27,Assumptions!$C$13*Assumptions!$C$28^(CM$5-1))*$O109)),0)</f>
        <v>0</v>
      </c>
      <c r="CO109" s="93">
        <f>IF(AND($T109=1,CO$5&lt;=$H109),CN109*(1-AY109)*(1-MIN(1,MAX(Assumptions!$C$27,Assumptions!$C$13*Assumptions!$C$28^(CN$5-1))*$O109)),0)</f>
        <v>0</v>
      </c>
      <c r="CP109" s="93">
        <f>IF(AND($T109=1,CP$5&lt;=$H109),CO109*(1-AZ109)*(1-MIN(1,MAX(Assumptions!$C$27,Assumptions!$C$13*Assumptions!$C$28^(CO$5-1))*$O109)),0)</f>
        <v>0</v>
      </c>
      <c r="CQ109" s="93">
        <f>IF(AND($T109=1,CQ$5&lt;=$H109),CP109*(1-BA109)*(1-MIN(1,MAX(Assumptions!$C$27,Assumptions!$C$13*Assumptions!$C$28^(CP$5-1))*$O109)),0)</f>
        <v>0</v>
      </c>
      <c r="CR109" s="93">
        <f>IF(AND($T109=1,CR$5&lt;=$H109),CQ109*(1-BB109)*(1-MIN(1,MAX(Assumptions!$C$27,Assumptions!$C$13*Assumptions!$C$28^(CQ$5-1))*$O109)),0)</f>
        <v>0</v>
      </c>
      <c r="CS109" s="93">
        <f>IF(AND($T109=1,CS$5&lt;=$H109),CR109*(1-BC109)*(1-MIN(1,MAX(Assumptions!$C$27,Assumptions!$C$13*Assumptions!$C$28^(CR$5-1))*$O109)),0)</f>
        <v>0</v>
      </c>
      <c r="CT109" s="93">
        <f>IF(AND($T109=1,CT$5&lt;=$H109),CS109*(1-BD109)*(1-MIN(1,MAX(Assumptions!$C$27,Assumptions!$C$13*Assumptions!$C$28^(CS$5-1))*$O109)),0)</f>
        <v>0</v>
      </c>
      <c r="CU109" s="93">
        <f>IF(AND($T109=1,CU$5&lt;=$H109),CT109*(1-BE109)*(1-MIN(1,MAX(Assumptions!$C$27,Assumptions!$C$13*Assumptions!$C$28^(CT$5-1))*$O109)),0)</f>
        <v>0</v>
      </c>
      <c r="CV109" s="93">
        <f>IF(AND($T109=1,CV$5&lt;=$H109),CU109*(1-BF109)*(1-MIN(1,MAX(Assumptions!$C$27,Assumptions!$C$13*Assumptions!$C$28^(CU$5-1))*$O109)),0)</f>
        <v>0</v>
      </c>
      <c r="CW109" s="93">
        <f>IF(AND($T109=1,CW$5&lt;=$H109),CV109*(1-BG109)*(1-MIN(1,MAX(Assumptions!$C$27,Assumptions!$C$13*Assumptions!$C$28^(CV$5-1))*$O109)),0)</f>
        <v>0</v>
      </c>
      <c r="CX109" s="93">
        <f>IF(AND($T109=1,CX$5&lt;=$H109),CW109*(1-BH109)*(1-MIN(1,MAX(Assumptions!$C$27,Assumptions!$C$13*Assumptions!$C$28^(CW$5-1))*$O109)),0)</f>
        <v>0</v>
      </c>
      <c r="CY109" s="93">
        <f>IF(AND($T109=1,CY$5&lt;=$H109),CX109*(1-BI109)*(1-MIN(1,MAX(Assumptions!$C$27,Assumptions!$C$13*Assumptions!$C$28^(CX$5-1))*$O109)),0)</f>
        <v>0</v>
      </c>
      <c r="CZ109" s="93">
        <f>IF(AND($T109=1,CZ$5&lt;=$H109),CY109*(1-BJ109)*(1-MIN(1,MAX(Assumptions!$C$27,Assumptions!$C$13*Assumptions!$C$28^(CY$5-1))*$O109)),0)</f>
        <v>0</v>
      </c>
      <c r="DA109" s="93">
        <f>IF(AND($T109=1,DA$5&lt;=$H109),CZ109*(1-BK109)*(1-MIN(1,MAX(Assumptions!$C$27,Assumptions!$C$13*Assumptions!$C$28^(CZ$5-1))*$O109)),0)</f>
        <v>0</v>
      </c>
      <c r="DB109" s="93">
        <f>IF(AND($T109=1,DB$5&lt;=$H109),DA109*(1-BL109)*(1-MIN(1,MAX(Assumptions!$C$27,Assumptions!$C$13*Assumptions!$C$28^(DA$5-1))*$O109)),0)</f>
        <v>0</v>
      </c>
      <c r="DC109" s="93">
        <f>IF(AND($T109=1,DC$5&lt;=$H109),DB109*(1-BM109)*(1-MIN(1,MAX(Assumptions!$C$27,Assumptions!$C$13*Assumptions!$C$28^(DB$5-1))*$O109)),0)</f>
        <v>0</v>
      </c>
      <c r="DD109" s="93">
        <f>IF(AND($T109=1,DD$5&lt;=$H109),DC109*(1-BN109)*(1-MIN(1,MAX(Assumptions!$C$27,Assumptions!$C$13*Assumptions!$C$28^(DC$5-1))*$O109)),0)</f>
        <v>0</v>
      </c>
      <c r="DE109" s="93">
        <f>IF(AND($T109=1,DE$5&lt;=$H109),DD109*(1-BO109)*(1-MIN(1,MAX(Assumptions!$C$27,Assumptions!$C$13*Assumptions!$C$28^(DD$5-1))*$O109)),0)</f>
        <v>0</v>
      </c>
      <c r="DF109" s="93">
        <f>IF(AND($T109=1,DF$5&lt;=$H109),DE109*(1-BP109)*(1-MIN(1,MAX(Assumptions!$C$27,Assumptions!$C$13*Assumptions!$C$28^(DE$5-1))*$O109)),0)</f>
        <v>0</v>
      </c>
      <c r="DG109" s="93">
        <f>IF(AND($T109=1,DG$5&lt;=$H109),DF109*(1-BQ109)*(1-MIN(1,MAX(Assumptions!$C$27,Assumptions!$C$13*Assumptions!$C$28^(DF$5-1))*$O109)),0)</f>
        <v>0</v>
      </c>
      <c r="DH109" s="93">
        <f>IF(AND($T109=1,DH$5&lt;=$H109),DG109*(1-BR109)*(1-MIN(1,MAX(Assumptions!$C$27,Assumptions!$C$13*Assumptions!$C$28^(DG$5-1))*$O109)),0)</f>
        <v>0</v>
      </c>
      <c r="DI109" s="93">
        <f>IF(AND($T109=1,DI$5&lt;=$H109),DH109*(1-BS109)*(1-MIN(1,MAX(Assumptions!$C$27,Assumptions!$C$13*Assumptions!$C$28^(DH$5-1))*$O109)),0)</f>
        <v>0</v>
      </c>
      <c r="DJ109" s="93">
        <f>IF(AND($T109=1,DJ$5&lt;=$H109),DI109*(1-BT109)*(1-MIN(1,MAX(Assumptions!$C$27,Assumptions!$C$13*Assumptions!$C$28^(DI$5-1))*$O109)),0)</f>
        <v>0</v>
      </c>
      <c r="DK109" s="93">
        <f>IF(AND($T109=1,DK$5&lt;=$H109),DJ109*(1-BU109)*(1-MIN(1,MAX(Assumptions!$C$27,Assumptions!$C$13*Assumptions!$C$28^(DJ$5-1))*$O109)),0)</f>
        <v>0</v>
      </c>
      <c r="DL109" s="93">
        <f>IF(AND($T109=1,DL$5&lt;=$H109),DK109*(1-BV109)*(1-MIN(1,MAX(Assumptions!$C$27,Assumptions!$C$13*Assumptions!$C$28^(DK$5-1))*$O109)),0)</f>
        <v>0</v>
      </c>
      <c r="DM109" s="93">
        <f>IF(AND($T109=1,DM$5&lt;=$H109),DL109*(1-BW109)*(1-MIN(1,MAX(Assumptions!$C$27,Assumptions!$C$13*Assumptions!$C$28^(DL$5-1))*$O109)),0)</f>
        <v>0</v>
      </c>
      <c r="DN109" s="93">
        <f>IF(AND($T109=1,DN$5&lt;=$H109),DM109*(1-BX109)*(1-MIN(1,MAX(Assumptions!$C$27,Assumptions!$C$13*Assumptions!$C$28^(DM$5-1))*$O109)),0)</f>
        <v>0</v>
      </c>
      <c r="DO109" s="93">
        <f>IF(AND($T109=1,DO$5&lt;=$H109),DN109*(1-BY109)*(1-MIN(1,MAX(Assumptions!$C$27,Assumptions!$C$13*Assumptions!$C$28^(DN$5-1))*$O109)),0)</f>
        <v>0</v>
      </c>
      <c r="DP109" s="93">
        <f>IF(AND($T109=1,DP$5&lt;=$H109),DO109*(1-BZ109)*(1-MIN(1,MAX(Assumptions!$C$27,Assumptions!$C$13*Assumptions!$C$28^(DO$5-1))*$O109)),0)</f>
        <v>0</v>
      </c>
      <c r="DQ109" s="93">
        <f>IF(AND($T109=1,DQ$5&lt;=$H109),DP109*(1-CA109)*(1-MIN(1,MAX(Assumptions!$C$27,Assumptions!$C$13*Assumptions!$C$28^(DP$5-1))*$O109)),0)</f>
        <v>0</v>
      </c>
      <c r="DR109" s="93">
        <f>IF(AND($T109=1,DR$5&lt;=$H109),DQ109*(1-CB109)*(1-MIN(1,MAX(Assumptions!$C$27,Assumptions!$C$13*Assumptions!$C$28^(DQ$5-1))*$O109)),0)</f>
        <v>0</v>
      </c>
      <c r="DS109" s="93">
        <f>IF(AND($T109=1,DS$5&lt;=$H109),DR109*(1-CC109)*(1-MIN(1,MAX(Assumptions!$C$27,Assumptions!$C$13*Assumptions!$C$28^(DR$5-1))*$O109)),0)</f>
        <v>0</v>
      </c>
      <c r="DT109" s="93">
        <f>IF(AND($T109=1,DT$5&lt;=$H109),DS109*(1-CD109)*(1-MIN(1,MAX(Assumptions!$C$27,Assumptions!$C$13*Assumptions!$C$28^(DS$5-1))*$O109)),0)</f>
        <v>0</v>
      </c>
      <c r="DU109" s="93">
        <f>IF(AND($T109=1,DU$5&lt;=$H109),DT109*(1-CE109)*(1-MIN(1,MAX(Assumptions!$C$27,Assumptions!$C$13*Assumptions!$C$28^(DT$5-1))*$O109)),0)</f>
        <v>0</v>
      </c>
      <c r="DV109" s="93">
        <f>IF(AND($T109=1,DV$5&lt;=$H109),DU109*(1-CF109)*(1-MIN(1,MAX(Assumptions!$C$27,Assumptions!$C$13*Assumptions!$C$28^(DU$5-1))*$O109)),0)</f>
        <v>0</v>
      </c>
      <c r="DW109" s="94">
        <f>IF(AND($T109=1,DW$5&lt;=$H109),DV109*(1-CG109)*(1-MIN(1,MAX(Assumptions!$C$27,Assumptions!$C$13*Assumptions!$C$28^(DV$5-1))*$O109)),0)</f>
        <v>0</v>
      </c>
      <c r="DX109" s="26"/>
      <c r="DY109" s="399">
        <f>'Policy Data'!K83</f>
        <v>7</v>
      </c>
      <c r="DZ109" s="100">
        <f>'Policy Data'!L83</f>
        <v>0.99829999999999997</v>
      </c>
      <c r="EA109" s="100">
        <f>'Policy Data'!N83</f>
        <v>1.1214E-2</v>
      </c>
      <c r="EB109" s="93" cm="1">
        <f t="array" ref="EB109">IFERROR(DZ109*INDEX(Mortality!$B$4:$E$64,MATCH(D109+DY109-1,Mortality!$A$4:$A$64,0),U109)*V109,0)</f>
        <v>1.8123048683720739E-2</v>
      </c>
      <c r="EC109" s="100">
        <f>'Policy Data'!O83</f>
        <v>0</v>
      </c>
      <c r="ED109" s="400">
        <f>'Policy Data'!Q83</f>
        <v>0</v>
      </c>
    </row>
    <row r="110" spans="1:134" x14ac:dyDescent="0.3">
      <c r="A110" s="399" t="str">
        <f>'Policy Data'!A84</f>
        <v>POL100080</v>
      </c>
      <c r="B110" s="26" t="s">
        <v>426</v>
      </c>
      <c r="C110" s="100" t="str">
        <f>'Policy Data'!B84</f>
        <v>Term Life</v>
      </c>
      <c r="D110" s="100">
        <f>'Policy Data'!C84</f>
        <v>61</v>
      </c>
      <c r="E110" s="100" t="str">
        <f>'Policy Data'!D84</f>
        <v>Male</v>
      </c>
      <c r="F110" s="100" t="str">
        <f>'Policy Data'!E84</f>
        <v>Non-smoker</v>
      </c>
      <c r="G110" s="100" t="str">
        <f>'Policy Data'!F84</f>
        <v>Preferred</v>
      </c>
      <c r="H110" s="100">
        <f>'Policy Data'!G84</f>
        <v>20</v>
      </c>
      <c r="I110" s="279">
        <f>'Policy Data'!H84</f>
        <v>1000000</v>
      </c>
      <c r="J110" s="100" t="str">
        <f>'Policy Data'!I84</f>
        <v>Annual</v>
      </c>
      <c r="K110" s="100" t="str">
        <f>'Policy Data'!J84</f>
        <v>Direct</v>
      </c>
      <c r="L110" s="26" t="s">
        <v>389</v>
      </c>
      <c r="M110" s="106">
        <f>'Policy Data'!R84</f>
        <v>6863.55</v>
      </c>
      <c r="N110" s="415">
        <f>Assumptions!$C$21</f>
        <v>1</v>
      </c>
      <c r="O110" s="415">
        <f>Assumptions!$C$22</f>
        <v>1</v>
      </c>
      <c r="P110" s="415">
        <f>Assumptions!$C$23</f>
        <v>1</v>
      </c>
      <c r="Q110" s="416">
        <f>Assumptions!$C$24</f>
        <v>0</v>
      </c>
      <c r="R110" s="416">
        <f>Assumptions!$C$6+Assumptions!$C$25</f>
        <v>3.5000000000000003E-2</v>
      </c>
      <c r="S110" s="416">
        <f>Assumptions!$C$15</f>
        <v>1.1000000000000001E-3</v>
      </c>
      <c r="T110" s="26">
        <f t="shared" si="36"/>
        <v>1</v>
      </c>
      <c r="U110" s="26">
        <f t="shared" si="37"/>
        <v>3</v>
      </c>
      <c r="V110" s="389">
        <f>IF($G110="Preferred",Assumptions!$C$30,IF($G110="Rated",Assumptions!$C$31,1))</f>
        <v>0.8</v>
      </c>
      <c r="W110" s="390">
        <f>IF($K110="Direct",Assumptions!$C$32,IF($K110="Broker",Assumptions!$C$33,IF($K110="Bancassurance",Assumptions!$C$34,Assumptions!$C$11)))+$Q110</f>
        <v>0.1</v>
      </c>
      <c r="X110" s="390">
        <f>Assumptions!$C$12+$Q110</f>
        <v>0.05</v>
      </c>
      <c r="Y110" s="131">
        <f>MIN($I110,Assumptions!$C$14)</f>
        <v>500000</v>
      </c>
      <c r="Z110" s="131">
        <f>MAX($I110-Assumptions!$C$14,0)</f>
        <v>500000</v>
      </c>
      <c r="AA110" s="389">
        <f t="shared" si="38"/>
        <v>8.1802365043747223</v>
      </c>
      <c r="AB110" s="389">
        <f t="shared" si="39"/>
        <v>7.6466406288448988E-2</v>
      </c>
      <c r="AC110" s="389">
        <f>IF($T110=1,SUMPRODUCT($CJ110:$DW110,(1+Assumptions!$C$5)^($CJ$5:$DW$5-1),(1+$R110)^(-$CJ$5:$DW$5)),0)</f>
        <v>10.882592637744949</v>
      </c>
      <c r="AD110" s="389">
        <f t="shared" si="40"/>
        <v>0.45732100396269748</v>
      </c>
      <c r="AE110" s="131">
        <f>IF($T110=1,$AB110*$Y110+(Assumptions!$C$9/(1+$R110)+Assumptions!$C$10*$AC110)*$P110+$S110*$Z110*$AA110,0)</f>
        <v>45996.068819325781</v>
      </c>
      <c r="AF110" s="131">
        <f>IF($T110=1,IF($AA110-$AD110-Assumptions!$C$16*$AA110&gt;0,$AE110/($AA110-$AD110-Assumptions!$C$16*$AA110)*IF($J110="Monthly",1+Assumptions!$C$29,1),"n.a."),"")</f>
        <v>6507.1926255246244</v>
      </c>
      <c r="AG110" s="131">
        <f t="shared" si="41"/>
        <v>6863.55</v>
      </c>
      <c r="AH110" s="131">
        <f t="shared" si="42"/>
        <v>56145.462259601125</v>
      </c>
      <c r="AI110" s="131">
        <f t="shared" si="43"/>
        <v>7010.547863527172</v>
      </c>
      <c r="AJ110" s="390">
        <f t="shared" si="44"/>
        <v>0.12486401538760752</v>
      </c>
      <c r="AK110" s="389">
        <f t="shared" si="45"/>
        <v>1.054763612356818</v>
      </c>
      <c r="AL110" s="131">
        <f t="shared" si="46"/>
        <v>38233.203144224492</v>
      </c>
      <c r="AM110" s="131">
        <f t="shared" si="47"/>
        <v>4499.1300774060974</v>
      </c>
      <c r="AN110" s="131">
        <f t="shared" si="48"/>
        <v>33734.073066818397</v>
      </c>
      <c r="AO110" s="131">
        <f t="shared" si="49"/>
        <v>-26723.525203291225</v>
      </c>
      <c r="AP110" s="26" t="str">
        <f t="shared" si="50"/>
        <v>60+</v>
      </c>
      <c r="AQ110" s="26" t="str">
        <f t="shared" si="51"/>
        <v>500k-1m</v>
      </c>
      <c r="AR110" s="26" t="str">
        <f>IF($T110=1,IF($AI110&lt;0,"Loss-making",IF($AJ110&lt;Assumptions!$C$16-0.00001,"Below target","At/above target")),"Excluded")</f>
        <v>At/above target</v>
      </c>
      <c r="AS110" s="103">
        <f t="shared" si="52"/>
        <v>7010.547973527172</v>
      </c>
      <c r="AT110" s="26"/>
      <c r="AU110" s="419">
        <f>IF(AND($T110=1,AU$5&lt;=$H110),INDEX(Mortality!$B$4:$E$64,MATCH($D110+AU$5-1,Mortality!$A$4:$A$64,0),$U110)*$V110*$N110,0)</f>
        <v>4.9436834689895286E-3</v>
      </c>
      <c r="AV110" s="93">
        <f>IF(AND($T110=1,AV$5&lt;=$H110),INDEX(Mortality!$B$4:$E$64,MATCH($D110+AV$5-1,Mortality!$A$4:$A$64,0),$U110)*$V110*$N110,0)</f>
        <v>5.3554283686348325E-3</v>
      </c>
      <c r="AW110" s="93">
        <f>IF(AND($T110=1,AW$5&lt;=$H110),INDEX(Mortality!$B$4:$E$64,MATCH($D110+AW$5-1,Mortality!$A$4:$A$64,0),$U110)*$V110*$N110,0)</f>
        <v>5.801466293601721E-3</v>
      </c>
      <c r="AX110" s="93">
        <f>IF(AND($T110=1,AX$5&lt;=$H110),INDEX(Mortality!$B$4:$E$64,MATCH($D110+AX$5-1,Mortality!$A$4:$A$64,0),$U110)*$V110*$N110,0)</f>
        <v>6.2846534094109126E-3</v>
      </c>
      <c r="AY110" s="93">
        <f>IF(AND($T110=1,AY$5&lt;=$H110),INDEX(Mortality!$B$4:$E$64,MATCH($D110+AY$5-1,Mortality!$A$4:$A$64,0),$U110)*$V110*$N110,0)</f>
        <v>6.8080837632341759E-3</v>
      </c>
      <c r="AZ110" s="93">
        <f>IF(AND($T110=1,AZ$5&lt;=$H110),INDEX(Mortality!$B$4:$E$64,MATCH($D110+AZ$5-1,Mortality!$A$4:$A$64,0),$U110)*$V110*$N110,0)</f>
        <v>7.3751090963594477E-3</v>
      </c>
      <c r="BA110" s="93">
        <f>IF(AND($T110=1,BA$5&lt;=$H110),INDEX(Mortality!$B$4:$E$64,MATCH($D110+BA$5-1,Mortality!$A$4:$A$64,0),$U110)*$V110*$N110,0)</f>
        <v>7.9893603067781437E-3</v>
      </c>
      <c r="BB110" s="93">
        <f>IF(AND($T110=1,BB$5&lt;=$H110),INDEX(Mortality!$B$4:$E$64,MATCH($D110+BB$5-1,Mortality!$A$4:$A$64,0),$U110)*$V110*$N110,0)</f>
        <v>8.6547706993283999E-3</v>
      </c>
      <c r="BC110" s="93">
        <f>IF(AND($T110=1,BC$5&lt;=$H110),INDEX(Mortality!$B$4:$E$64,MATCH($D110+BC$5-1,Mortality!$A$4:$A$64,0),$U110)*$V110*$N110,0)</f>
        <v>9.3756011722746415E-3</v>
      </c>
      <c r="BD110" s="93">
        <f>IF(AND($T110=1,BD$5&lt;=$H110),INDEX(Mortality!$B$4:$E$64,MATCH($D110+BD$5-1,Mortality!$A$4:$A$64,0),$U110)*$V110*$N110,0)</f>
        <v>1.015646750160328E-2</v>
      </c>
      <c r="BE110" s="93">
        <f>IF(AND($T110=1,BE$5&lt;=$H110),INDEX(Mortality!$B$4:$E$64,MATCH($D110+BE$5-1,Mortality!$A$4:$A$64,0),$U110)*$V110*$N110,0)</f>
        <v>1.1002369897747841E-2</v>
      </c>
      <c r="BF110" s="93">
        <f>IF(AND($T110=1,BF$5&lt;=$H110),INDEX(Mortality!$B$4:$E$64,MATCH($D110+BF$5-1,Mortality!$A$4:$A$64,0),$U110)*$V110*$N110,0)</f>
        <v>1.1918725024006481E-2</v>
      </c>
      <c r="BG110" s="93">
        <f>IF(AND($T110=1,BG$5&lt;=$H110),INDEX(Mortality!$B$4:$E$64,MATCH($D110+BG$5-1,Mortality!$A$4:$A$64,0),$U110)*$V110*$N110,0)</f>
        <v>1.291140068168008E-2</v>
      </c>
      <c r="BH110" s="93">
        <f>IF(AND($T110=1,BH$5&lt;=$H110),INDEX(Mortality!$B$4:$E$64,MATCH($D110+BH$5-1,Mortality!$A$4:$A$64,0),$U110)*$V110*$N110,0)</f>
        <v>1.3986753384033679E-2</v>
      </c>
      <c r="BI110" s="93">
        <f>IF(AND($T110=1,BI$5&lt;=$H110),INDEX(Mortality!$B$4:$E$64,MATCH($D110+BI$5-1,Mortality!$A$4:$A$64,0),$U110)*$V110*$N110,0)</f>
        <v>1.5151669059682722E-2</v>
      </c>
      <c r="BJ110" s="93">
        <f>IF(AND($T110=1,BJ$5&lt;=$H110),INDEX(Mortality!$B$4:$E$64,MATCH($D110+BJ$5-1,Mortality!$A$4:$A$64,0),$U110)*$V110*$N110,0)</f>
        <v>1.6413607146045041E-2</v>
      </c>
      <c r="BK110" s="93">
        <f>IF(AND($T110=1,BK$5&lt;=$H110),INDEX(Mortality!$B$4:$E$64,MATCH($D110+BK$5-1,Mortality!$A$4:$A$64,0),$U110)*$V110*$N110,0)</f>
        <v>1.7780648355207922E-2</v>
      </c>
      <c r="BL110" s="93">
        <f>IF(AND($T110=1,BL$5&lt;=$H110),INDEX(Mortality!$B$4:$E$64,MATCH($D110+BL$5-1,Mortality!$A$4:$A$64,0),$U110)*$V110*$N110,0)</f>
        <v>1.926154641807272E-2</v>
      </c>
      <c r="BM110" s="93">
        <f>IF(AND($T110=1,BM$5&lt;=$H110),INDEX(Mortality!$B$4:$E$64,MATCH($D110+BM$5-1,Mortality!$A$4:$A$64,0),$U110)*$V110*$N110,0)</f>
        <v>2.0865784138119122E-2</v>
      </c>
      <c r="BN110" s="93">
        <f>IF(AND($T110=1,BN$5&lt;=$H110),INDEX(Mortality!$B$4:$E$64,MATCH($D110+BN$5-1,Mortality!$A$4:$A$64,0),$U110)*$V110*$N110,0)</f>
        <v>2.2603634113721682E-2</v>
      </c>
      <c r="BO110" s="93">
        <f>IF(AND($T110=1,BO$5&lt;=$H110),INDEX(Mortality!$B$4:$E$64,MATCH($D110+BO$5-1,Mortality!$A$4:$A$64,0),$U110)*$V110*$N110,0)</f>
        <v>0</v>
      </c>
      <c r="BP110" s="93">
        <f>IF(AND($T110=1,BP$5&lt;=$H110),INDEX(Mortality!$B$4:$E$64,MATCH($D110+BP$5-1,Mortality!$A$4:$A$64,0),$U110)*$V110*$N110,0)</f>
        <v>0</v>
      </c>
      <c r="BQ110" s="93">
        <f>IF(AND($T110=1,BQ$5&lt;=$H110),INDEX(Mortality!$B$4:$E$64,MATCH($D110+BQ$5-1,Mortality!$A$4:$A$64,0),$U110)*$V110*$N110,0)</f>
        <v>0</v>
      </c>
      <c r="BR110" s="93">
        <f>IF(AND($T110=1,BR$5&lt;=$H110),INDEX(Mortality!$B$4:$E$64,MATCH($D110+BR$5-1,Mortality!$A$4:$A$64,0),$U110)*$V110*$N110,0)</f>
        <v>0</v>
      </c>
      <c r="BS110" s="93">
        <f>IF(AND($T110=1,BS$5&lt;=$H110),INDEX(Mortality!$B$4:$E$64,MATCH($D110+BS$5-1,Mortality!$A$4:$A$64,0),$U110)*$V110*$N110,0)</f>
        <v>0</v>
      </c>
      <c r="BT110" s="93">
        <f>IF(AND($T110=1,BT$5&lt;=$H110),INDEX(Mortality!$B$4:$E$64,MATCH($D110+BT$5-1,Mortality!$A$4:$A$64,0),$U110)*$V110*$N110,0)</f>
        <v>0</v>
      </c>
      <c r="BU110" s="93">
        <f>IF(AND($T110=1,BU$5&lt;=$H110),INDEX(Mortality!$B$4:$E$64,MATCH($D110+BU$5-1,Mortality!$A$4:$A$64,0),$U110)*$V110*$N110,0)</f>
        <v>0</v>
      </c>
      <c r="BV110" s="93">
        <f>IF(AND($T110=1,BV$5&lt;=$H110),INDEX(Mortality!$B$4:$E$64,MATCH($D110+BV$5-1,Mortality!$A$4:$A$64,0),$U110)*$V110*$N110,0)</f>
        <v>0</v>
      </c>
      <c r="BW110" s="93">
        <f>IF(AND($T110=1,BW$5&lt;=$H110),INDEX(Mortality!$B$4:$E$64,MATCH($D110+BW$5-1,Mortality!$A$4:$A$64,0),$U110)*$V110*$N110,0)</f>
        <v>0</v>
      </c>
      <c r="BX110" s="93">
        <f>IF(AND($T110=1,BX$5&lt;=$H110),INDEX(Mortality!$B$4:$E$64,MATCH($D110+BX$5-1,Mortality!$A$4:$A$64,0),$U110)*$V110*$N110,0)</f>
        <v>0</v>
      </c>
      <c r="BY110" s="93">
        <f>IF(AND($T110=1,BY$5&lt;=$H110),INDEX(Mortality!$B$4:$E$64,MATCH($D110+BY$5-1,Mortality!$A$4:$A$64,0),$U110)*$V110*$N110,0)</f>
        <v>0</v>
      </c>
      <c r="BZ110" s="93">
        <f>IF(AND($T110=1,BZ$5&lt;=$H110),INDEX(Mortality!$B$4:$E$64,MATCH($D110+BZ$5-1,Mortality!$A$4:$A$64,0),$U110)*$V110*$N110,0)</f>
        <v>0</v>
      </c>
      <c r="CA110" s="93">
        <f>IF(AND($T110=1,CA$5&lt;=$H110),INDEX(Mortality!$B$4:$E$64,MATCH($D110+CA$5-1,Mortality!$A$4:$A$64,0),$U110)*$V110*$N110,0)</f>
        <v>0</v>
      </c>
      <c r="CB110" s="93">
        <f>IF(AND($T110=1,CB$5&lt;=$H110),INDEX(Mortality!$B$4:$E$64,MATCH($D110+CB$5-1,Mortality!$A$4:$A$64,0),$U110)*$V110*$N110,0)</f>
        <v>0</v>
      </c>
      <c r="CC110" s="93">
        <f>IF(AND($T110=1,CC$5&lt;=$H110),INDEX(Mortality!$B$4:$E$64,MATCH($D110+CC$5-1,Mortality!$A$4:$A$64,0),$U110)*$V110*$N110,0)</f>
        <v>0</v>
      </c>
      <c r="CD110" s="93">
        <f>IF(AND($T110=1,CD$5&lt;=$H110),INDEX(Mortality!$B$4:$E$64,MATCH($D110+CD$5-1,Mortality!$A$4:$A$64,0),$U110)*$V110*$N110,0)</f>
        <v>0</v>
      </c>
      <c r="CE110" s="93">
        <f>IF(AND($T110=1,CE$5&lt;=$H110),INDEX(Mortality!$B$4:$E$64,MATCH($D110+CE$5-1,Mortality!$A$4:$A$64,0),$U110)*$V110*$N110,0)</f>
        <v>0</v>
      </c>
      <c r="CF110" s="93">
        <f>IF(AND($T110=1,CF$5&lt;=$H110),INDEX(Mortality!$B$4:$E$64,MATCH($D110+CF$5-1,Mortality!$A$4:$A$64,0),$U110)*$V110*$N110,0)</f>
        <v>0</v>
      </c>
      <c r="CG110" s="93">
        <f>IF(AND($T110=1,CG$5&lt;=$H110),INDEX(Mortality!$B$4:$E$64,MATCH($D110+CG$5-1,Mortality!$A$4:$A$64,0),$U110)*$V110*$N110,0)</f>
        <v>0</v>
      </c>
      <c r="CH110" s="94">
        <f>IF(AND($T110=1,CH$5&lt;=$H110),INDEX(Mortality!$B$4:$E$64,MATCH($D110+CH$5-1,Mortality!$A$4:$A$64,0),$U110)*$V110*$N110,0)</f>
        <v>0</v>
      </c>
      <c r="CI110" s="26"/>
      <c r="CJ110" s="419">
        <f t="shared" si="53"/>
        <v>1</v>
      </c>
      <c r="CK110" s="93">
        <f>IF(AND($T110=1,CK$5&lt;=$H110),CJ110*(1-AU110)*(1-MIN(1,MAX(Assumptions!$C$27,Assumptions!$C$13*Assumptions!$C$28^(CJ$5-1))*$O110)),0)</f>
        <v>0.87564955854728921</v>
      </c>
      <c r="CL110" s="93">
        <f>IF(AND($T110=1,CL$5&lt;=$H110),CK110*(1-AV110)*(1-MIN(1,MAX(Assumptions!$C$27,Assumptions!$C$13*Assumptions!$C$28^(CK$5-1))*$O110)),0)</f>
        <v>0.78212215189429535</v>
      </c>
      <c r="CM110" s="93">
        <f>IF(AND($T110=1,CM$5&lt;=$H110),CL110*(1-AW110)*(1-MIN(1,MAX(Assumptions!$C$27,Assumptions!$C$13*Assumptions!$C$28^(CL$5-1))*$O110)),0)</f>
        <v>0.71016810339802294</v>
      </c>
      <c r="CN110" s="93">
        <f>IF(AND($T110=1,CN$5&lt;=$H110),CM110*(1-AX110)*(1-MIN(1,MAX(Assumptions!$C$27,Assumptions!$C$13*Assumptions!$C$28^(CM$5-1))*$O110)),0)</f>
        <v>0.65369801723093912</v>
      </c>
      <c r="CO110" s="93">
        <f>IF(AND($T110=1,CO$5&lt;=$H110),CN110*(1-AY110)*(1-MIN(1,MAX(Assumptions!$C$27,Assumptions!$C$13*Assumptions!$C$28^(CN$5-1))*$O110)),0)</f>
        <v>0.60857823062762795</v>
      </c>
      <c r="CP110" s="93">
        <f>IF(AND($T110=1,CP$5&lt;=$H110),CO110*(1-AZ110)*(1-MIN(1,MAX(Assumptions!$C$27,Assumptions!$C$13*Assumptions!$C$28^(CO$5-1))*$O110)),0)</f>
        <v>0.57192535205171846</v>
      </c>
      <c r="CQ110" s="93">
        <f>IF(AND($T110=1,CQ$5&lt;=$H110),CP110*(1-BA110)*(1-MIN(1,MAX(Assumptions!$C$27,Assumptions!$C$13*Assumptions!$C$28^(CP$5-1))*$O110)),0)</f>
        <v>0.54167866792075281</v>
      </c>
      <c r="CR110" s="93">
        <f>IF(AND($T110=1,CR$5&lt;=$H110),CQ110*(1-BB110)*(1-MIN(1,MAX(Assumptions!$C$27,Assumptions!$C$13*Assumptions!$C$28^(CQ$5-1))*$O110)),0)</f>
        <v>0.51633293871276165</v>
      </c>
      <c r="CS110" s="93">
        <f>IF(AND($T110=1,CS$5&lt;=$H110),CR110*(1-BC110)*(1-MIN(1,MAX(Assumptions!$C$27,Assumptions!$C$13*Assumptions!$C$28^(CR$5-1))*$O110)),0)</f>
        <v>0.4947667999421585</v>
      </c>
      <c r="CT110" s="93">
        <f>IF(AND($T110=1,CT$5&lt;=$H110),CS110*(1-BD110)*(1-MIN(1,MAX(Assumptions!$C$27,Assumptions!$C$13*Assumptions!$C$28^(CS$5-1))*$O110)),0)</f>
        <v>0.47612981930209858</v>
      </c>
      <c r="CU110" s="93">
        <f>IF(AND($T110=1,CU$5&lt;=$H110),CT110*(1-BE110)*(1-MIN(1,MAX(Assumptions!$C$27,Assumptions!$C$13*Assumptions!$C$28^(CT$5-1))*$O110)),0)</f>
        <v>0.45976649048341156</v>
      </c>
      <c r="CV110" s="93">
        <f>IF(AND($T110=1,CV$5&lt;=$H110),CU110*(1-BF110)*(1-MIN(1,MAX(Assumptions!$C$27,Assumptions!$C$13*Assumptions!$C$28^(CU$5-1))*$O110)),0)</f>
        <v>0.44516404371599821</v>
      </c>
      <c r="CW110" s="93">
        <f>IF(AND($T110=1,CW$5&lt;=$H110),CV110*(1-BG110)*(1-MIN(1,MAX(Assumptions!$C$27,Assumptions!$C$13*Assumptions!$C$28^(CV$5-1))*$O110)),0)</f>
        <v>0.43062802533093392</v>
      </c>
      <c r="CX110" s="93">
        <f>IF(AND($T110=1,CX$5&lt;=$H110),CW110*(1-BH110)*(1-MIN(1,MAX(Assumptions!$C$27,Assumptions!$C$13*Assumptions!$C$28^(CW$5-1))*$O110)),0)</f>
        <v>0.41611283859356918</v>
      </c>
      <c r="CY110" s="93">
        <f>IF(AND($T110=1,CY$5&lt;=$H110),CX110*(1-BI110)*(1-MIN(1,MAX(Assumptions!$C$27,Assumptions!$C$13*Assumptions!$C$28^(CX$5-1))*$O110)),0)</f>
        <v>0.40161187388027997</v>
      </c>
      <c r="CZ110" s="93">
        <f>IF(AND($T110=1,CZ$5&lt;=$H110),CY110*(1-BJ110)*(1-MIN(1,MAX(Assumptions!$C$27,Assumptions!$C$13*Assumptions!$C$28^(CY$5-1))*$O110)),0)</f>
        <v>0.38711957487007764</v>
      </c>
      <c r="DA110" s="93">
        <f>IF(AND($T110=1,DA$5&lt;=$H110),CZ110*(1-BK110)*(1-MIN(1,MAX(Assumptions!$C$27,Assumptions!$C$13*Assumptions!$C$28^(CZ$5-1))*$O110)),0)</f>
        <v>0.37263161108113735</v>
      </c>
      <c r="DB110" s="93">
        <f>IF(AND($T110=1,DB$5&lt;=$H110),DA110*(1-BL110)*(1-MIN(1,MAX(Assumptions!$C$27,Assumptions!$C$13*Assumptions!$C$28^(DA$5-1))*$O110)),0)</f>
        <v>0.35814506700730764</v>
      </c>
      <c r="DC110" s="93">
        <f>IF(AND($T110=1,DC$5&lt;=$H110),DB110*(1-BM110)*(1-MIN(1,MAX(Assumptions!$C$27,Assumptions!$C$13*Assumptions!$C$28^(DB$5-1))*$O110)),0)</f>
        <v>0.34365864756202091</v>
      </c>
      <c r="DD110" s="93">
        <f>IF(AND($T110=1,DD$5&lt;=$H110),DC110*(1-BN110)*(1-MIN(1,MAX(Assumptions!$C$27,Assumptions!$C$13*Assumptions!$C$28^(DC$5-1))*$O110)),0)</f>
        <v>0</v>
      </c>
      <c r="DE110" s="93">
        <f>IF(AND($T110=1,DE$5&lt;=$H110),DD110*(1-BO110)*(1-MIN(1,MAX(Assumptions!$C$27,Assumptions!$C$13*Assumptions!$C$28^(DD$5-1))*$O110)),0)</f>
        <v>0</v>
      </c>
      <c r="DF110" s="93">
        <f>IF(AND($T110=1,DF$5&lt;=$H110),DE110*(1-BP110)*(1-MIN(1,MAX(Assumptions!$C$27,Assumptions!$C$13*Assumptions!$C$28^(DE$5-1))*$O110)),0)</f>
        <v>0</v>
      </c>
      <c r="DG110" s="93">
        <f>IF(AND($T110=1,DG$5&lt;=$H110),DF110*(1-BQ110)*(1-MIN(1,MAX(Assumptions!$C$27,Assumptions!$C$13*Assumptions!$C$28^(DF$5-1))*$O110)),0)</f>
        <v>0</v>
      </c>
      <c r="DH110" s="93">
        <f>IF(AND($T110=1,DH$5&lt;=$H110),DG110*(1-BR110)*(1-MIN(1,MAX(Assumptions!$C$27,Assumptions!$C$13*Assumptions!$C$28^(DG$5-1))*$O110)),0)</f>
        <v>0</v>
      </c>
      <c r="DI110" s="93">
        <f>IF(AND($T110=1,DI$5&lt;=$H110),DH110*(1-BS110)*(1-MIN(1,MAX(Assumptions!$C$27,Assumptions!$C$13*Assumptions!$C$28^(DH$5-1))*$O110)),0)</f>
        <v>0</v>
      </c>
      <c r="DJ110" s="93">
        <f>IF(AND($T110=1,DJ$5&lt;=$H110),DI110*(1-BT110)*(1-MIN(1,MAX(Assumptions!$C$27,Assumptions!$C$13*Assumptions!$C$28^(DI$5-1))*$O110)),0)</f>
        <v>0</v>
      </c>
      <c r="DK110" s="93">
        <f>IF(AND($T110=1,DK$5&lt;=$H110),DJ110*(1-BU110)*(1-MIN(1,MAX(Assumptions!$C$27,Assumptions!$C$13*Assumptions!$C$28^(DJ$5-1))*$O110)),0)</f>
        <v>0</v>
      </c>
      <c r="DL110" s="93">
        <f>IF(AND($T110=1,DL$5&lt;=$H110),DK110*(1-BV110)*(1-MIN(1,MAX(Assumptions!$C$27,Assumptions!$C$13*Assumptions!$C$28^(DK$5-1))*$O110)),0)</f>
        <v>0</v>
      </c>
      <c r="DM110" s="93">
        <f>IF(AND($T110=1,DM$5&lt;=$H110),DL110*(1-BW110)*(1-MIN(1,MAX(Assumptions!$C$27,Assumptions!$C$13*Assumptions!$C$28^(DL$5-1))*$O110)),0)</f>
        <v>0</v>
      </c>
      <c r="DN110" s="93">
        <f>IF(AND($T110=1,DN$5&lt;=$H110),DM110*(1-BX110)*(1-MIN(1,MAX(Assumptions!$C$27,Assumptions!$C$13*Assumptions!$C$28^(DM$5-1))*$O110)),0)</f>
        <v>0</v>
      </c>
      <c r="DO110" s="93">
        <f>IF(AND($T110=1,DO$5&lt;=$H110),DN110*(1-BY110)*(1-MIN(1,MAX(Assumptions!$C$27,Assumptions!$C$13*Assumptions!$C$28^(DN$5-1))*$O110)),0)</f>
        <v>0</v>
      </c>
      <c r="DP110" s="93">
        <f>IF(AND($T110=1,DP$5&lt;=$H110),DO110*(1-BZ110)*(1-MIN(1,MAX(Assumptions!$C$27,Assumptions!$C$13*Assumptions!$C$28^(DO$5-1))*$O110)),0)</f>
        <v>0</v>
      </c>
      <c r="DQ110" s="93">
        <f>IF(AND($T110=1,DQ$5&lt;=$H110),DP110*(1-CA110)*(1-MIN(1,MAX(Assumptions!$C$27,Assumptions!$C$13*Assumptions!$C$28^(DP$5-1))*$O110)),0)</f>
        <v>0</v>
      </c>
      <c r="DR110" s="93">
        <f>IF(AND($T110=1,DR$5&lt;=$H110),DQ110*(1-CB110)*(1-MIN(1,MAX(Assumptions!$C$27,Assumptions!$C$13*Assumptions!$C$28^(DQ$5-1))*$O110)),0)</f>
        <v>0</v>
      </c>
      <c r="DS110" s="93">
        <f>IF(AND($T110=1,DS$5&lt;=$H110),DR110*(1-CC110)*(1-MIN(1,MAX(Assumptions!$C$27,Assumptions!$C$13*Assumptions!$C$28^(DR$5-1))*$O110)),0)</f>
        <v>0</v>
      </c>
      <c r="DT110" s="93">
        <f>IF(AND($T110=1,DT$5&lt;=$H110),DS110*(1-CD110)*(1-MIN(1,MAX(Assumptions!$C$27,Assumptions!$C$13*Assumptions!$C$28^(DS$5-1))*$O110)),0)</f>
        <v>0</v>
      </c>
      <c r="DU110" s="93">
        <f>IF(AND($T110=1,DU$5&lt;=$H110),DT110*(1-CE110)*(1-MIN(1,MAX(Assumptions!$C$27,Assumptions!$C$13*Assumptions!$C$28^(DT$5-1))*$O110)),0)</f>
        <v>0</v>
      </c>
      <c r="DV110" s="93">
        <f>IF(AND($T110=1,DV$5&lt;=$H110),DU110*(1-CF110)*(1-MIN(1,MAX(Assumptions!$C$27,Assumptions!$C$13*Assumptions!$C$28^(DU$5-1))*$O110)),0)</f>
        <v>0</v>
      </c>
      <c r="DW110" s="94">
        <f>IF(AND($T110=1,DW$5&lt;=$H110),DV110*(1-CG110)*(1-MIN(1,MAX(Assumptions!$C$27,Assumptions!$C$13*Assumptions!$C$28^(DV$5-1))*$O110)),0)</f>
        <v>0</v>
      </c>
      <c r="DX110" s="26"/>
      <c r="DY110" s="399">
        <f>'Policy Data'!K84</f>
        <v>3</v>
      </c>
      <c r="DZ110" s="100">
        <f>'Policy Data'!L84</f>
        <v>0.59619999999999995</v>
      </c>
      <c r="EA110" s="100">
        <f>'Policy Data'!N84</f>
        <v>2.9480000000000001E-3</v>
      </c>
      <c r="EB110" s="93" cm="1">
        <f t="array" ref="EB110">IFERROR(DZ110*INDEX(Mortality!$B$4:$E$64,MATCH(D110+DY110-1,Mortality!$A$4:$A$64,0),U110)*V110,0)</f>
        <v>3.4588342042453455E-3</v>
      </c>
      <c r="EC110" s="100">
        <f>'Policy Data'!O84</f>
        <v>0</v>
      </c>
      <c r="ED110" s="400">
        <f>'Policy Data'!Q84</f>
        <v>0</v>
      </c>
    </row>
    <row r="111" spans="1:134" x14ac:dyDescent="0.3">
      <c r="A111" s="399" t="str">
        <f>'Policy Data'!A85</f>
        <v>POL100081</v>
      </c>
      <c r="B111" s="26" t="s">
        <v>426</v>
      </c>
      <c r="C111" s="100" t="str">
        <f>'Policy Data'!B85</f>
        <v>Term Life</v>
      </c>
      <c r="D111" s="100">
        <f>'Policy Data'!C85</f>
        <v>52</v>
      </c>
      <c r="E111" s="100" t="str">
        <f>'Policy Data'!D85</f>
        <v>Female</v>
      </c>
      <c r="F111" s="100" t="str">
        <f>'Policy Data'!E85</f>
        <v>Non-smoker</v>
      </c>
      <c r="G111" s="100" t="str">
        <f>'Policy Data'!F85</f>
        <v>Standard</v>
      </c>
      <c r="H111" s="100">
        <f>'Policy Data'!G85</f>
        <v>25</v>
      </c>
      <c r="I111" s="279">
        <f>'Policy Data'!H85</f>
        <v>250000</v>
      </c>
      <c r="J111" s="100" t="str">
        <f>'Policy Data'!I85</f>
        <v>Annual</v>
      </c>
      <c r="K111" s="100" t="str">
        <f>'Policy Data'!J85</f>
        <v>Broker</v>
      </c>
      <c r="L111" s="26" t="s">
        <v>389</v>
      </c>
      <c r="M111" s="106">
        <f>'Policy Data'!R85</f>
        <v>1273.3599999999999</v>
      </c>
      <c r="N111" s="415">
        <f>Assumptions!$C$21</f>
        <v>1</v>
      </c>
      <c r="O111" s="415">
        <f>Assumptions!$C$22</f>
        <v>1</v>
      </c>
      <c r="P111" s="415">
        <f>Assumptions!$C$23</f>
        <v>1</v>
      </c>
      <c r="Q111" s="416">
        <f>Assumptions!$C$24</f>
        <v>0</v>
      </c>
      <c r="R111" s="416">
        <f>Assumptions!$C$6+Assumptions!$C$25</f>
        <v>3.5000000000000003E-2</v>
      </c>
      <c r="S111" s="416">
        <f>Assumptions!$C$15</f>
        <v>1.1000000000000001E-3</v>
      </c>
      <c r="T111" s="26">
        <f t="shared" si="36"/>
        <v>1</v>
      </c>
      <c r="U111" s="26">
        <f t="shared" si="37"/>
        <v>1</v>
      </c>
      <c r="V111" s="389">
        <f>IF($G111="Preferred",Assumptions!$C$30,IF($G111="Rated",Assumptions!$C$31,1))</f>
        <v>1</v>
      </c>
      <c r="W111" s="390">
        <f>IF($K111="Direct",Assumptions!$C$32,IF($K111="Broker",Assumptions!$C$33,IF($K111="Bancassurance",Assumptions!$C$34,Assumptions!$C$11)))+$Q111</f>
        <v>0.25</v>
      </c>
      <c r="X111" s="390">
        <f>Assumptions!$C$12+$Q111</f>
        <v>0.05</v>
      </c>
      <c r="Y111" s="131">
        <f>MIN($I111,Assumptions!$C$14)</f>
        <v>250000</v>
      </c>
      <c r="Z111" s="131">
        <f>MAX($I111-Assumptions!$C$14,0)</f>
        <v>0</v>
      </c>
      <c r="AA111" s="389">
        <f t="shared" si="38"/>
        <v>9.2279884228468951</v>
      </c>
      <c r="AB111" s="389">
        <f t="shared" si="39"/>
        <v>4.6279541498904925E-2</v>
      </c>
      <c r="AC111" s="389">
        <f>IF($T111=1,SUMPRODUCT($CJ111:$DW111,(1+Assumptions!$C$5)^($CJ$5:$DW$5-1),(1+$R111)^(-$CJ$5:$DW$5)),0)</f>
        <v>13.18216926558846</v>
      </c>
      <c r="AD111" s="389">
        <f t="shared" si="40"/>
        <v>0.65463613611819016</v>
      </c>
      <c r="AE111" s="131">
        <f>IF($T111=1,$AB111*$Y111+(Assumptions!$C$9/(1+$R111)+Assumptions!$C$10*$AC111)*$P111+$S111*$Z111*$AA111,0)</f>
        <v>15339.527830546996</v>
      </c>
      <c r="AF111" s="131">
        <f>IF($T111=1,IF($AA111-$AD111-Assumptions!$C$16*$AA111&gt;0,$AE111/($AA111-$AD111-Assumptions!$C$16*$AA111)*IF($J111="Monthly",1+Assumptions!$C$29,1),"n.a."),"")</f>
        <v>1957.7927483280785</v>
      </c>
      <c r="AG111" s="131">
        <f t="shared" si="41"/>
        <v>1273.3599999999999</v>
      </c>
      <c r="AH111" s="131">
        <f t="shared" si="42"/>
        <v>11750.551338116322</v>
      </c>
      <c r="AI111" s="131">
        <f t="shared" si="43"/>
        <v>-4422.5639627181336</v>
      </c>
      <c r="AJ111" s="390">
        <f t="shared" si="44"/>
        <v>-0.37637076214222087</v>
      </c>
      <c r="AK111" s="389">
        <f t="shared" si="45"/>
        <v>0.65040592324566915</v>
      </c>
      <c r="AL111" s="131">
        <f t="shared" si="46"/>
        <v>0</v>
      </c>
      <c r="AM111" s="131">
        <f t="shared" si="47"/>
        <v>0</v>
      </c>
      <c r="AN111" s="131">
        <f t="shared" si="48"/>
        <v>0</v>
      </c>
      <c r="AO111" s="131">
        <f t="shared" si="49"/>
        <v>-4422.5639627181336</v>
      </c>
      <c r="AP111" s="26" t="str">
        <f t="shared" si="50"/>
        <v>50-59</v>
      </c>
      <c r="AQ111" s="26" t="str">
        <f t="shared" si="51"/>
        <v>Up to 250k</v>
      </c>
      <c r="AR111" s="26" t="str">
        <f>IF($T111=1,IF($AI111&lt;0,"Loss-making",IF($AJ111&lt;Assumptions!$C$16-0.00001,"Below target","At/above target")),"Excluded")</f>
        <v>Loss-making</v>
      </c>
      <c r="AS111" s="103">
        <f t="shared" si="52"/>
        <v>-4422.5638517181333</v>
      </c>
      <c r="AT111" s="26"/>
      <c r="AU111" s="419">
        <f>IF(AND($T111=1,AU$5&lt;=$H111),INDEX(Mortality!$B$4:$E$64,MATCH($D111+AU$5-1,Mortality!$A$4:$A$64,0),$U111)*$V111*$N111,0)</f>
        <v>2.22325730335899E-3</v>
      </c>
      <c r="AV111" s="93">
        <f>IF(AND($T111=1,AV$5&lt;=$H111),INDEX(Mortality!$B$4:$E$64,MATCH($D111+AV$5-1,Mortality!$A$4:$A$64,0),$U111)*$V111*$N111,0)</f>
        <v>2.4084258848427E-3</v>
      </c>
      <c r="AW111" s="93">
        <f>IF(AND($T111=1,AW$5&lt;=$H111),INDEX(Mortality!$B$4:$E$64,MATCH($D111+AW$5-1,Mortality!$A$4:$A$64,0),$U111)*$V111*$N111,0)</f>
        <v>2.6090166145037101E-3</v>
      </c>
      <c r="AX111" s="93">
        <f>IF(AND($T111=1,AX$5&lt;=$H111),INDEX(Mortality!$B$4:$E$64,MATCH($D111+AX$5-1,Mortality!$A$4:$A$64,0),$U111)*$V111*$N111,0)</f>
        <v>2.8263139578409702E-3</v>
      </c>
      <c r="AY111" s="93">
        <f>IF(AND($T111=1,AY$5&lt;=$H111),INDEX(Mortality!$B$4:$E$64,MATCH($D111+AY$5-1,Mortality!$A$4:$A$64,0),$U111)*$V111*$N111,0)</f>
        <v>3.0617093597183598E-3</v>
      </c>
      <c r="AZ111" s="93">
        <f>IF(AND($T111=1,AZ$5&lt;=$H111),INDEX(Mortality!$B$4:$E$64,MATCH($D111+AZ$5-1,Mortality!$A$4:$A$64,0),$U111)*$V111*$N111,0)</f>
        <v>3.31671015436227E-3</v>
      </c>
      <c r="BA111" s="93">
        <f>IF(AND($T111=1,BA$5&lt;=$H111),INDEX(Mortality!$B$4:$E$64,MATCH($D111+BA$5-1,Mortality!$A$4:$A$64,0),$U111)*$V111*$N111,0)</f>
        <v>3.5929492174468702E-3</v>
      </c>
      <c r="BB111" s="93">
        <f>IF(AND($T111=1,BB$5&lt;=$H111),INDEX(Mortality!$B$4:$E$64,MATCH($D111+BB$5-1,Mortality!$A$4:$A$64,0),$U111)*$V111*$N111,0)</f>
        <v>3.8921954220730499E-3</v>
      </c>
      <c r="BC111" s="93">
        <f>IF(AND($T111=1,BC$5&lt;=$H111),INDEX(Mortality!$B$4:$E$64,MATCH($D111+BC$5-1,Mortality!$A$4:$A$64,0),$U111)*$V111*$N111,0)</f>
        <v>4.2163649655954103E-3</v>
      </c>
      <c r="BD111" s="93">
        <f>IF(AND($T111=1,BD$5&lt;=$H111),INDEX(Mortality!$B$4:$E$64,MATCH($D111+BD$5-1,Mortality!$A$4:$A$64,0),$U111)*$V111*$N111,0)</f>
        <v>4.5675336398272801E-3</v>
      </c>
      <c r="BE111" s="93">
        <f>IF(AND($T111=1,BE$5&lt;=$H111),INDEX(Mortality!$B$4:$E$64,MATCH($D111+BE$5-1,Mortality!$A$4:$A$64,0),$U111)*$V111*$N111,0)</f>
        <v>4.9479501231952296E-3</v>
      </c>
      <c r="BF111" s="93">
        <f>IF(AND($T111=1,BF$5&lt;=$H111),INDEX(Mortality!$B$4:$E$64,MATCH($D111+BF$5-1,Mortality!$A$4:$A$64,0),$U111)*$V111*$N111,0)</f>
        <v>5.36005037995811E-3</v>
      </c>
      <c r="BG111" s="93">
        <f>IF(AND($T111=1,BG$5&lt;=$H111),INDEX(Mortality!$B$4:$E$64,MATCH($D111+BG$5-1,Mortality!$A$4:$A$64,0),$U111)*$V111*$N111,0)</f>
        <v>5.8064732586948697E-3</v>
      </c>
      <c r="BH111" s="93">
        <f>IF(AND($T111=1,BH$5&lt;=$H111),INDEX(Mortality!$B$4:$E$64,MATCH($D111+BH$5-1,Mortality!$A$4:$A$64,0),$U111)*$V111*$N111,0)</f>
        <v>6.2900773899446198E-3</v>
      </c>
      <c r="BI111" s="93">
        <f>IF(AND($T111=1,BI$5&lt;=$H111),INDEX(Mortality!$B$4:$E$64,MATCH($D111+BI$5-1,Mortality!$A$4:$A$64,0),$U111)*$V111*$N111,0)</f>
        <v>6.8139594912016701E-3</v>
      </c>
      <c r="BJ111" s="93">
        <f>IF(AND($T111=1,BJ$5&lt;=$H111),INDEX(Mortality!$B$4:$E$64,MATCH($D111+BJ$5-1,Mortality!$A$4:$A$64,0),$U111)*$V111*$N111,0)</f>
        <v>7.3814741964798002E-3</v>
      </c>
      <c r="BK111" s="93">
        <f>IF(AND($T111=1,BK$5&lt;=$H111),INDEX(Mortality!$B$4:$E$64,MATCH($D111+BK$5-1,Mortality!$A$4:$A$64,0),$U111)*$V111*$N111,0)</f>
        <v>7.9962555374229801E-3</v>
      </c>
      <c r="BL111" s="93">
        <f>IF(AND($T111=1,BL$5&lt;=$H111),INDEX(Mortality!$B$4:$E$64,MATCH($D111+BL$5-1,Mortality!$A$4:$A$64,0),$U111)*$V111*$N111,0)</f>
        <v>8.6622402135145896E-3</v>
      </c>
      <c r="BM111" s="93">
        <f>IF(AND($T111=1,BM$5&lt;=$H111),INDEX(Mortality!$B$4:$E$64,MATCH($D111+BM$5-1,Mortality!$A$4:$A$64,0),$U111)*$V111*$N111,0)</f>
        <v>9.3836928003943297E-3</v>
      </c>
      <c r="BN111" s="93">
        <f>IF(AND($T111=1,BN$5&lt;=$H111),INDEX(Mortality!$B$4:$E$64,MATCH($D111+BN$5-1,Mortality!$A$4:$A$64,0),$U111)*$V111*$N111,0)</f>
        <v>1.0165233057701799E-2</v>
      </c>
      <c r="BO111" s="93">
        <f>IF(AND($T111=1,BO$5&lt;=$H111),INDEX(Mortality!$B$4:$E$64,MATCH($D111+BO$5-1,Mortality!$A$4:$A$64,0),$U111)*$V111*$N111,0)</f>
        <v>1.1011865511310301E-2</v>
      </c>
      <c r="BP111" s="93">
        <f>IF(AND($T111=1,BP$5&lt;=$H111),INDEX(Mortality!$B$4:$E$64,MATCH($D111+BP$5-1,Mortality!$A$4:$A$64,0),$U111)*$V111*$N111,0)</f>
        <v>1.19290114993784E-2</v>
      </c>
      <c r="BQ111" s="93">
        <f>IF(AND($T111=1,BQ$5&lt;=$H111),INDEX(Mortality!$B$4:$E$64,MATCH($D111+BQ$5-1,Mortality!$A$4:$A$64,0),$U111)*$V111*$N111,0)</f>
        <v>1.29225438874225E-2</v>
      </c>
      <c r="BR111" s="93">
        <f>IF(AND($T111=1,BR$5&lt;=$H111),INDEX(Mortality!$B$4:$E$64,MATCH($D111+BR$5-1,Mortality!$A$4:$A$64,0),$U111)*$V111*$N111,0)</f>
        <v>1.3998824674706801E-2</v>
      </c>
      <c r="BS111" s="93">
        <f>IF(AND($T111=1,BS$5&lt;=$H111),INDEX(Mortality!$B$4:$E$64,MATCH($D111+BS$5-1,Mortality!$A$4:$A$64,0),$U111)*$V111*$N111,0)</f>
        <v>1.5164745732759E-2</v>
      </c>
      <c r="BT111" s="93">
        <f>IF(AND($T111=1,BT$5&lt;=$H111),INDEX(Mortality!$B$4:$E$64,MATCH($D111+BT$5-1,Mortality!$A$4:$A$64,0),$U111)*$V111*$N111,0)</f>
        <v>0</v>
      </c>
      <c r="BU111" s="93">
        <f>IF(AND($T111=1,BU$5&lt;=$H111),INDEX(Mortality!$B$4:$E$64,MATCH($D111+BU$5-1,Mortality!$A$4:$A$64,0),$U111)*$V111*$N111,0)</f>
        <v>0</v>
      </c>
      <c r="BV111" s="93">
        <f>IF(AND($T111=1,BV$5&lt;=$H111),INDEX(Mortality!$B$4:$E$64,MATCH($D111+BV$5-1,Mortality!$A$4:$A$64,0),$U111)*$V111*$N111,0)</f>
        <v>0</v>
      </c>
      <c r="BW111" s="93">
        <f>IF(AND($T111=1,BW$5&lt;=$H111),INDEX(Mortality!$B$4:$E$64,MATCH($D111+BW$5-1,Mortality!$A$4:$A$64,0),$U111)*$V111*$N111,0)</f>
        <v>0</v>
      </c>
      <c r="BX111" s="93">
        <f>IF(AND($T111=1,BX$5&lt;=$H111),INDEX(Mortality!$B$4:$E$64,MATCH($D111+BX$5-1,Mortality!$A$4:$A$64,0),$U111)*$V111*$N111,0)</f>
        <v>0</v>
      </c>
      <c r="BY111" s="93">
        <f>IF(AND($T111=1,BY$5&lt;=$H111),INDEX(Mortality!$B$4:$E$64,MATCH($D111+BY$5-1,Mortality!$A$4:$A$64,0),$U111)*$V111*$N111,0)</f>
        <v>0</v>
      </c>
      <c r="BZ111" s="93">
        <f>IF(AND($T111=1,BZ$5&lt;=$H111),INDEX(Mortality!$B$4:$E$64,MATCH($D111+BZ$5-1,Mortality!$A$4:$A$64,0),$U111)*$V111*$N111,0)</f>
        <v>0</v>
      </c>
      <c r="CA111" s="93">
        <f>IF(AND($T111=1,CA$5&lt;=$H111),INDEX(Mortality!$B$4:$E$64,MATCH($D111+CA$5-1,Mortality!$A$4:$A$64,0),$U111)*$V111*$N111,0)</f>
        <v>0</v>
      </c>
      <c r="CB111" s="93">
        <f>IF(AND($T111=1,CB$5&lt;=$H111),INDEX(Mortality!$B$4:$E$64,MATCH($D111+CB$5-1,Mortality!$A$4:$A$64,0),$U111)*$V111*$N111,0)</f>
        <v>0</v>
      </c>
      <c r="CC111" s="93">
        <f>IF(AND($T111=1,CC$5&lt;=$H111),INDEX(Mortality!$B$4:$E$64,MATCH($D111+CC$5-1,Mortality!$A$4:$A$64,0),$U111)*$V111*$N111,0)</f>
        <v>0</v>
      </c>
      <c r="CD111" s="93">
        <f>IF(AND($T111=1,CD$5&lt;=$H111),INDEX(Mortality!$B$4:$E$64,MATCH($D111+CD$5-1,Mortality!$A$4:$A$64,0),$U111)*$V111*$N111,0)</f>
        <v>0</v>
      </c>
      <c r="CE111" s="93">
        <f>IF(AND($T111=1,CE$5&lt;=$H111),INDEX(Mortality!$B$4:$E$64,MATCH($D111+CE$5-1,Mortality!$A$4:$A$64,0),$U111)*$V111*$N111,0)</f>
        <v>0</v>
      </c>
      <c r="CF111" s="93">
        <f>IF(AND($T111=1,CF$5&lt;=$H111),INDEX(Mortality!$B$4:$E$64,MATCH($D111+CF$5-1,Mortality!$A$4:$A$64,0),$U111)*$V111*$N111,0)</f>
        <v>0</v>
      </c>
      <c r="CG111" s="93">
        <f>IF(AND($T111=1,CG$5&lt;=$H111),INDEX(Mortality!$B$4:$E$64,MATCH($D111+CG$5-1,Mortality!$A$4:$A$64,0),$U111)*$V111*$N111,0)</f>
        <v>0</v>
      </c>
      <c r="CH111" s="94">
        <f>IF(AND($T111=1,CH$5&lt;=$H111),INDEX(Mortality!$B$4:$E$64,MATCH($D111+CH$5-1,Mortality!$A$4:$A$64,0),$U111)*$V111*$N111,0)</f>
        <v>0</v>
      </c>
      <c r="CI111" s="26"/>
      <c r="CJ111" s="419">
        <f t="shared" si="53"/>
        <v>1</v>
      </c>
      <c r="CK111" s="93">
        <f>IF(AND($T111=1,CK$5&lt;=$H111),CJ111*(1-AU111)*(1-MIN(1,MAX(Assumptions!$C$27,Assumptions!$C$13*Assumptions!$C$28^(CJ$5-1))*$O111)),0)</f>
        <v>0.8780435335730441</v>
      </c>
      <c r="CL111" s="93">
        <f>IF(AND($T111=1,CL$5&lt;=$H111),CK111*(1-AV111)*(1-MIN(1,MAX(Assumptions!$C$27,Assumptions!$C$13*Assumptions!$C$28^(CK$5-1))*$O111)),0)</f>
        <v>0.78658409005729368</v>
      </c>
      <c r="CM111" s="93">
        <f>IF(AND($T111=1,CM$5&lt;=$H111),CL111*(1-AW111)*(1-MIN(1,MAX(Assumptions!$C$27,Assumptions!$C$13*Assumptions!$C$28^(CL$5-1))*$O111)),0)</f>
        <v>0.7165129651798654</v>
      </c>
      <c r="CN111" s="93">
        <f>IF(AND($T111=1,CN$5&lt;=$H111),CM111*(1-AX111)*(1-MIN(1,MAX(Assumptions!$C$27,Assumptions!$C$13*Assumptions!$C$28^(CM$5-1))*$O111)),0)</f>
        <v>0.66183369066783226</v>
      </c>
      <c r="CO111" s="93">
        <f>IF(AND($T111=1,CO$5&lt;=$H111),CN111*(1-AY111)*(1-MIN(1,MAX(Assumptions!$C$27,Assumptions!$C$13*Assumptions!$C$28^(CN$5-1))*$O111)),0)</f>
        <v>0.61847652111186102</v>
      </c>
      <c r="CP111" s="93">
        <f>IF(AND($T111=1,CP$5&lt;=$H111),CO111*(1-AZ111)*(1-MIN(1,MAX(Assumptions!$C$27,Assumptions!$C$13*Assumptions!$C$28^(CO$5-1))*$O111)),0)</f>
        <v>0.58360387670186009</v>
      </c>
      <c r="CQ111" s="93">
        <f>IF(AND($T111=1,CQ$5&lt;=$H111),CP111*(1-BA111)*(1-MIN(1,MAX(Assumptions!$C$27,Assumptions!$C$13*Assumptions!$C$28^(CP$5-1))*$O111)),0)</f>
        <v>0.55518920680687789</v>
      </c>
      <c r="CR111" s="93">
        <f>IF(AND($T111=1,CR$5&lt;=$H111),CQ111*(1-BB111)*(1-MIN(1,MAX(Assumptions!$C$27,Assumptions!$C$13*Assumptions!$C$28^(CQ$5-1))*$O111)),0)</f>
        <v>0.53175371758584944</v>
      </c>
      <c r="CS111" s="93">
        <f>IF(AND($T111=1,CS$5&lt;=$H111),CR111*(1-BC111)*(1-MIN(1,MAX(Assumptions!$C$27,Assumptions!$C$13*Assumptions!$C$28^(CR$5-1))*$O111)),0)</f>
        <v>0.51219722094316833</v>
      </c>
      <c r="CT111" s="93">
        <f>IF(AND($T111=1,CT$5&lt;=$H111),CS111*(1-BD111)*(1-MIN(1,MAX(Assumptions!$C$27,Assumptions!$C$13*Assumptions!$C$28^(CS$5-1))*$O111)),0)</f>
        <v>0.49568673969218841</v>
      </c>
      <c r="CU111" s="93">
        <f>IF(AND($T111=1,CU$5&lt;=$H111),CT111*(1-BE111)*(1-MIN(1,MAX(Assumptions!$C$27,Assumptions!$C$13*Assumptions!$C$28^(CT$5-1))*$O111)),0)</f>
        <v>0.48158148591904998</v>
      </c>
      <c r="CV111" s="93">
        <f>IF(AND($T111=1,CV$5&lt;=$H111),CU111*(1-BF111)*(1-MIN(1,MAX(Assumptions!$C$27,Assumptions!$C$13*Assumptions!$C$28^(CU$5-1))*$O111)),0)</f>
        <v>0.4693812915323291</v>
      </c>
      <c r="CW111" s="93">
        <f>IF(AND($T111=1,CW$5&lt;=$H111),CV111*(1-BG111)*(1-MIN(1,MAX(Assumptions!$C$27,Assumptions!$C$13*Assumptions!$C$28^(CV$5-1))*$O111)),0)</f>
        <v>0.45732272478261665</v>
      </c>
      <c r="CX111" s="93">
        <f>IF(AND($T111=1,CX$5&lt;=$H111),CW111*(1-BH111)*(1-MIN(1,MAX(Assumptions!$C$27,Assumptions!$C$13*Assumptions!$C$28^(CW$5-1))*$O111)),0)</f>
        <v>0.44535720686252256</v>
      </c>
      <c r="CY111" s="93">
        <f>IF(AND($T111=1,CY$5&lt;=$H111),CX111*(1-BI111)*(1-MIN(1,MAX(Assumptions!$C$27,Assumptions!$C$13*Assumptions!$C$28^(CX$5-1))*$O111)),0)</f>
        <v>0.43347610967792966</v>
      </c>
      <c r="CZ111" s="93">
        <f>IF(AND($T111=1,CZ$5&lt;=$H111),CY111*(1-BJ111)*(1-MIN(1,MAX(Assumptions!$C$27,Assumptions!$C$13*Assumptions!$C$28^(CY$5-1))*$O111)),0)</f>
        <v>0.42167088862036051</v>
      </c>
      <c r="DA111" s="93">
        <f>IF(AND($T111=1,DA$5&lt;=$H111),CZ111*(1-BK111)*(1-MIN(1,MAX(Assumptions!$C$27,Assumptions!$C$13*Assumptions!$C$28^(CZ$5-1))*$O111)),0)</f>
        <v>0.40993311843341468</v>
      </c>
      <c r="DB111" s="93">
        <f>IF(AND($T111=1,DB$5&lt;=$H111),DA111*(1-BL111)*(1-MIN(1,MAX(Assumptions!$C$27,Assumptions!$C$13*Assumptions!$C$28^(DA$5-1))*$O111)),0)</f>
        <v>0.39825453570426794</v>
      </c>
      <c r="DC111" s="93">
        <f>IF(AND($T111=1,DC$5&lt;=$H111),DB111*(1-BM111)*(1-MIN(1,MAX(Assumptions!$C$27,Assumptions!$C$13*Assumptions!$C$28^(DB$5-1))*$O111)),0)</f>
        <v>0.38662708873515828</v>
      </c>
      <c r="DD111" s="93">
        <f>IF(AND($T111=1,DD$5&lt;=$H111),DC111*(1-BN111)*(1-MIN(1,MAX(Assumptions!$C$27,Assumptions!$C$13*Assumptions!$C$28^(DC$5-1))*$O111)),0)</f>
        <v>0.37504299558630977</v>
      </c>
      <c r="DE111" s="93">
        <f>IF(AND($T111=1,DE$5&lt;=$H111),DD111*(1-BO111)*(1-MIN(1,MAX(Assumptions!$C$27,Assumptions!$C$13*Assumptions!$C$28^(DD$5-1))*$O111)),0)</f>
        <v>0.36349481110679532</v>
      </c>
      <c r="DF111" s="93">
        <f>IF(AND($T111=1,DF$5&lt;=$H111),DE111*(1-BP111)*(1-MIN(1,MAX(Assumptions!$C$27,Assumptions!$C$13*Assumptions!$C$28^(DE$5-1))*$O111)),0)</f>
        <v>0.35197550377863518</v>
      </c>
      <c r="DG111" s="93">
        <f>IF(AND($T111=1,DG$5&lt;=$H111),DF111*(1-BQ111)*(1-MIN(1,MAX(Assumptions!$C$27,Assumptions!$C$13*Assumptions!$C$28^(DF$5-1))*$O111)),0)</f>
        <v>0.34047854318608295</v>
      </c>
      <c r="DH111" s="93">
        <f>IF(AND($T111=1,DH$5&lt;=$H111),DG111*(1-BR111)*(1-MIN(1,MAX(Assumptions!$C$27,Assumptions!$C$13*Assumptions!$C$28^(DG$5-1))*$O111)),0)</f>
        <v>0.32899799887943093</v>
      </c>
      <c r="DI111" s="93">
        <f>IF(AND($T111=1,DI$5&lt;=$H111),DH111*(1-BS111)*(1-MIN(1,MAX(Assumptions!$C$27,Assumptions!$C$13*Assumptions!$C$28^(DH$5-1))*$O111)),0)</f>
        <v>0</v>
      </c>
      <c r="DJ111" s="93">
        <f>IF(AND($T111=1,DJ$5&lt;=$H111),DI111*(1-BT111)*(1-MIN(1,MAX(Assumptions!$C$27,Assumptions!$C$13*Assumptions!$C$28^(DI$5-1))*$O111)),0)</f>
        <v>0</v>
      </c>
      <c r="DK111" s="93">
        <f>IF(AND($T111=1,DK$5&lt;=$H111),DJ111*(1-BU111)*(1-MIN(1,MAX(Assumptions!$C$27,Assumptions!$C$13*Assumptions!$C$28^(DJ$5-1))*$O111)),0)</f>
        <v>0</v>
      </c>
      <c r="DL111" s="93">
        <f>IF(AND($T111=1,DL$5&lt;=$H111),DK111*(1-BV111)*(1-MIN(1,MAX(Assumptions!$C$27,Assumptions!$C$13*Assumptions!$C$28^(DK$5-1))*$O111)),0)</f>
        <v>0</v>
      </c>
      <c r="DM111" s="93">
        <f>IF(AND($T111=1,DM$5&lt;=$H111),DL111*(1-BW111)*(1-MIN(1,MAX(Assumptions!$C$27,Assumptions!$C$13*Assumptions!$C$28^(DL$5-1))*$O111)),0)</f>
        <v>0</v>
      </c>
      <c r="DN111" s="93">
        <f>IF(AND($T111=1,DN$5&lt;=$H111),DM111*(1-BX111)*(1-MIN(1,MAX(Assumptions!$C$27,Assumptions!$C$13*Assumptions!$C$28^(DM$5-1))*$O111)),0)</f>
        <v>0</v>
      </c>
      <c r="DO111" s="93">
        <f>IF(AND($T111=1,DO$5&lt;=$H111),DN111*(1-BY111)*(1-MIN(1,MAX(Assumptions!$C$27,Assumptions!$C$13*Assumptions!$C$28^(DN$5-1))*$O111)),0)</f>
        <v>0</v>
      </c>
      <c r="DP111" s="93">
        <f>IF(AND($T111=1,DP$5&lt;=$H111),DO111*(1-BZ111)*(1-MIN(1,MAX(Assumptions!$C$27,Assumptions!$C$13*Assumptions!$C$28^(DO$5-1))*$O111)),0)</f>
        <v>0</v>
      </c>
      <c r="DQ111" s="93">
        <f>IF(AND($T111=1,DQ$5&lt;=$H111),DP111*(1-CA111)*(1-MIN(1,MAX(Assumptions!$C$27,Assumptions!$C$13*Assumptions!$C$28^(DP$5-1))*$O111)),0)</f>
        <v>0</v>
      </c>
      <c r="DR111" s="93">
        <f>IF(AND($T111=1,DR$5&lt;=$H111),DQ111*(1-CB111)*(1-MIN(1,MAX(Assumptions!$C$27,Assumptions!$C$13*Assumptions!$C$28^(DQ$5-1))*$O111)),0)</f>
        <v>0</v>
      </c>
      <c r="DS111" s="93">
        <f>IF(AND($T111=1,DS$5&lt;=$H111),DR111*(1-CC111)*(1-MIN(1,MAX(Assumptions!$C$27,Assumptions!$C$13*Assumptions!$C$28^(DR$5-1))*$O111)),0)</f>
        <v>0</v>
      </c>
      <c r="DT111" s="93">
        <f>IF(AND($T111=1,DT$5&lt;=$H111),DS111*(1-CD111)*(1-MIN(1,MAX(Assumptions!$C$27,Assumptions!$C$13*Assumptions!$C$28^(DS$5-1))*$O111)),0)</f>
        <v>0</v>
      </c>
      <c r="DU111" s="93">
        <f>IF(AND($T111=1,DU$5&lt;=$H111),DT111*(1-CE111)*(1-MIN(1,MAX(Assumptions!$C$27,Assumptions!$C$13*Assumptions!$C$28^(DT$5-1))*$O111)),0)</f>
        <v>0</v>
      </c>
      <c r="DV111" s="93">
        <f>IF(AND($T111=1,DV$5&lt;=$H111),DU111*(1-CF111)*(1-MIN(1,MAX(Assumptions!$C$27,Assumptions!$C$13*Assumptions!$C$28^(DU$5-1))*$O111)),0)</f>
        <v>0</v>
      </c>
      <c r="DW111" s="94">
        <f>IF(AND($T111=1,DW$5&lt;=$H111),DV111*(1-CG111)*(1-MIN(1,MAX(Assumptions!$C$27,Assumptions!$C$13*Assumptions!$C$28^(DV$5-1))*$O111)),0)</f>
        <v>0</v>
      </c>
      <c r="DX111" s="26"/>
      <c r="DY111" s="399">
        <f>'Policy Data'!K85</f>
        <v>5</v>
      </c>
      <c r="DZ111" s="100">
        <f>'Policy Data'!L85</f>
        <v>0.70169999999999999</v>
      </c>
      <c r="EA111" s="100">
        <f>'Policy Data'!N85</f>
        <v>1.56E-3</v>
      </c>
      <c r="EB111" s="93" cm="1">
        <f t="array" ref="EB111">IFERROR(DZ111*INDEX(Mortality!$B$4:$E$64,MATCH(D111+DY111-1,Mortality!$A$4:$A$64,0),U111)*V111,0)</f>
        <v>2.1484014577143732E-3</v>
      </c>
      <c r="EC111" s="100">
        <f>'Policy Data'!O85</f>
        <v>0</v>
      </c>
      <c r="ED111" s="400">
        <f>'Policy Data'!Q85</f>
        <v>0</v>
      </c>
    </row>
    <row r="112" spans="1:134" x14ac:dyDescent="0.3">
      <c r="A112" s="399" t="str">
        <f>'Policy Data'!A86</f>
        <v>POL100082</v>
      </c>
      <c r="B112" s="26" t="s">
        <v>426</v>
      </c>
      <c r="C112" s="100" t="str">
        <f>'Policy Data'!B86</f>
        <v>Term Life</v>
      </c>
      <c r="D112" s="100">
        <f>'Policy Data'!C86</f>
        <v>42</v>
      </c>
      <c r="E112" s="100" t="str">
        <f>'Policy Data'!D86</f>
        <v>Male</v>
      </c>
      <c r="F112" s="100" t="str">
        <f>'Policy Data'!E86</f>
        <v>Non-smoker</v>
      </c>
      <c r="G112" s="100" t="str">
        <f>'Policy Data'!F86</f>
        <v>Standard</v>
      </c>
      <c r="H112" s="100">
        <f>'Policy Data'!G86</f>
        <v>20</v>
      </c>
      <c r="I112" s="279">
        <f>'Policy Data'!H86</f>
        <v>2000000</v>
      </c>
      <c r="J112" s="100" t="str">
        <f>'Policy Data'!I86</f>
        <v>Annual</v>
      </c>
      <c r="K112" s="100" t="str">
        <f>'Policy Data'!J86</f>
        <v>Broker</v>
      </c>
      <c r="L112" s="26" t="s">
        <v>389</v>
      </c>
      <c r="M112" s="106">
        <f>'Policy Data'!R86</f>
        <v>4769.66</v>
      </c>
      <c r="N112" s="415">
        <f>Assumptions!$C$21</f>
        <v>1</v>
      </c>
      <c r="O112" s="415">
        <f>Assumptions!$C$22</f>
        <v>1</v>
      </c>
      <c r="P112" s="415">
        <f>Assumptions!$C$23</f>
        <v>1</v>
      </c>
      <c r="Q112" s="416">
        <f>Assumptions!$C$24</f>
        <v>0</v>
      </c>
      <c r="R112" s="416">
        <f>Assumptions!$C$6+Assumptions!$C$25</f>
        <v>3.5000000000000003E-2</v>
      </c>
      <c r="S112" s="416">
        <f>Assumptions!$C$15</f>
        <v>1.1000000000000001E-3</v>
      </c>
      <c r="T112" s="26">
        <f t="shared" si="36"/>
        <v>1</v>
      </c>
      <c r="U112" s="26">
        <f t="shared" si="37"/>
        <v>3</v>
      </c>
      <c r="V112" s="389">
        <f>IF($G112="Preferred",Assumptions!$C$30,IF($G112="Rated",Assumptions!$C$31,1))</f>
        <v>1</v>
      </c>
      <c r="W112" s="390">
        <f>IF($K112="Direct",Assumptions!$C$32,IF($K112="Broker",Assumptions!$C$33,IF($K112="Bancassurance",Assumptions!$C$34,Assumptions!$C$11)))+$Q112</f>
        <v>0.25</v>
      </c>
      <c r="X112" s="390">
        <f>Assumptions!$C$12+$Q112</f>
        <v>0.05</v>
      </c>
      <c r="Y112" s="131">
        <f>MIN($I112,Assumptions!$C$14)</f>
        <v>500000</v>
      </c>
      <c r="Z112" s="131">
        <f>MAX($I112-Assumptions!$C$14,0)</f>
        <v>1500000</v>
      </c>
      <c r="AA112" s="389">
        <f t="shared" si="38"/>
        <v>8.5097419878671445</v>
      </c>
      <c r="AB112" s="389">
        <f t="shared" si="39"/>
        <v>2.2196836182792661E-2</v>
      </c>
      <c r="AC112" s="389">
        <f>IF($T112=1,SUMPRODUCT($CJ112:$DW112,(1+Assumptions!$C$5)^($CJ$5:$DW$5-1),(1+$R112)^(-$CJ$5:$DW$5)),0)</f>
        <v>11.428824596911388</v>
      </c>
      <c r="AD112" s="389">
        <f t="shared" si="40"/>
        <v>0.61872381436920265</v>
      </c>
      <c r="AE112" s="131">
        <f>IF($T112=1,$AB112*$Y112+(Assumptions!$C$9/(1+$R112)+Assumptions!$C$10*$AC112)*$P112+$S112*$Z112*$AA112,0)</f>
        <v>28523.399000088928</v>
      </c>
      <c r="AF112" s="131">
        <f>IF($T112=1,IF($AA112-$AD112-Assumptions!$C$16*$AA112&gt;0,$AE112/($AA112-$AD112-Assumptions!$C$16*$AA112)*IF($J112="Monthly",1+Assumptions!$C$29,1),"n.a."),"")</f>
        <v>3955.9575950316485</v>
      </c>
      <c r="AG112" s="131">
        <f t="shared" si="41"/>
        <v>4769.66</v>
      </c>
      <c r="AH112" s="131">
        <f t="shared" si="42"/>
        <v>40588.575969850404</v>
      </c>
      <c r="AI112" s="131">
        <f t="shared" si="43"/>
        <v>9114.0747413172685</v>
      </c>
      <c r="AJ112" s="390">
        <f t="shared" si="44"/>
        <v>0.22454778280684923</v>
      </c>
      <c r="AK112" s="389">
        <f t="shared" si="45"/>
        <v>1.2056903759510196</v>
      </c>
      <c r="AL112" s="131">
        <f t="shared" si="46"/>
        <v>33295.254274188992</v>
      </c>
      <c r="AM112" s="131">
        <f t="shared" si="47"/>
        <v>14041.074279980789</v>
      </c>
      <c r="AN112" s="131">
        <f t="shared" si="48"/>
        <v>19254.179994208203</v>
      </c>
      <c r="AO112" s="131">
        <f t="shared" si="49"/>
        <v>-10140.105252890935</v>
      </c>
      <c r="AP112" s="26" t="str">
        <f t="shared" si="50"/>
        <v>40-49</v>
      </c>
      <c r="AQ112" s="26" t="str">
        <f t="shared" si="51"/>
        <v>Over 1m</v>
      </c>
      <c r="AR112" s="26" t="str">
        <f>IF($T112=1,IF($AI112&lt;0,"Loss-making",IF($AJ112&lt;Assumptions!$C$16-0.00001,"Below target","At/above target")),"Excluded")</f>
        <v>At/above target</v>
      </c>
      <c r="AS112" s="103">
        <f t="shared" si="52"/>
        <v>9114.0748533172682</v>
      </c>
      <c r="AT112" s="26"/>
      <c r="AU112" s="419">
        <f>IF(AND($T112=1,AU$5&lt;=$H112),INDEX(Mortality!$B$4:$E$64,MATCH($D112+AU$5-1,Mortality!$A$4:$A$64,0),$U112)*$V112*$N112,0)</f>
        <v>1.3515529249964601E-3</v>
      </c>
      <c r="AV112" s="93">
        <f>IF(AND($T112=1,AV$5&lt;=$H112),INDEX(Mortality!$B$4:$E$64,MATCH($D112+AV$5-1,Mortality!$A$4:$A$64,0),$U112)*$V112*$N112,0)</f>
        <v>1.4641198049269301E-3</v>
      </c>
      <c r="AW112" s="93">
        <f>IF(AND($T112=1,AW$5&lt;=$H112),INDEX(Mortality!$B$4:$E$64,MATCH($D112+AW$5-1,Mortality!$A$4:$A$64,0),$U112)*$V112*$N112,0)</f>
        <v>1.58606205020413E-3</v>
      </c>
      <c r="AX112" s="93">
        <f>IF(AND($T112=1,AX$5&lt;=$H112),INDEX(Mortality!$B$4:$E$64,MATCH($D112+AX$5-1,Mortality!$A$4:$A$64,0),$U112)*$V112*$N112,0)</f>
        <v>1.71816050751616E-3</v>
      </c>
      <c r="AY112" s="93">
        <f>IF(AND($T112=1,AY$5&lt;=$H112),INDEX(Mortality!$B$4:$E$64,MATCH($D112+AY$5-1,Mortality!$A$4:$A$64,0),$U112)*$V112*$N112,0)</f>
        <v>1.8612610579820999E-3</v>
      </c>
      <c r="AZ112" s="93">
        <f>IF(AND($T112=1,AZ$5&lt;=$H112),INDEX(Mortality!$B$4:$E$64,MATCH($D112+AZ$5-1,Mortality!$A$4:$A$64,0),$U112)*$V112*$N112,0)</f>
        <v>2.0162800336790201E-3</v>
      </c>
      <c r="BA112" s="93">
        <f>IF(AND($T112=1,BA$5&lt;=$H112),INDEX(Mortality!$B$4:$E$64,MATCH($D112+BA$5-1,Mortality!$A$4:$A$64,0),$U112)*$V112*$N112,0)</f>
        <v>2.1842100852957199E-3</v>
      </c>
      <c r="BB112" s="93">
        <f>IF(AND($T112=1,BB$5&lt;=$H112),INDEX(Mortality!$B$4:$E$64,MATCH($D112+BB$5-1,Mortality!$A$4:$A$64,0),$U112)*$V112*$N112,0)</f>
        <v>2.3661265384860701E-3</v>
      </c>
      <c r="BC112" s="93">
        <f>IF(AND($T112=1,BC$5&lt;=$H112),INDEX(Mortality!$B$4:$E$64,MATCH($D112+BC$5-1,Mortality!$A$4:$A$64,0),$U112)*$V112*$N112,0)</f>
        <v>2.5631942796244698E-3</v>
      </c>
      <c r="BD112" s="93">
        <f>IF(AND($T112=1,BD$5&lt;=$H112),INDEX(Mortality!$B$4:$E$64,MATCH($D112+BD$5-1,Mortality!$A$4:$A$64,0),$U112)*$V112*$N112,0)</f>
        <v>2.7766752150556202E-3</v>
      </c>
      <c r="BE112" s="93">
        <f>IF(AND($T112=1,BE$5&lt;=$H112),INDEX(Mortality!$B$4:$E$64,MATCH($D112+BE$5-1,Mortality!$A$4:$A$64,0),$U112)*$V112*$N112,0)</f>
        <v>3.0079363516033399E-3</v>
      </c>
      <c r="BF112" s="93">
        <f>IF(AND($T112=1,BF$5&lt;=$H112),INDEX(Mortality!$B$4:$E$64,MATCH($D112+BF$5-1,Mortality!$A$4:$A$64,0),$U112)*$V112*$N112,0)</f>
        <v>3.2584585500813001E-3</v>
      </c>
      <c r="BG112" s="93">
        <f>IF(AND($T112=1,BG$5&lt;=$H112),INDEX(Mortality!$B$4:$E$64,MATCH($D112+BG$5-1,Mortality!$A$4:$A$64,0),$U112)*$V112*$N112,0)</f>
        <v>3.5298460078579601E-3</v>
      </c>
      <c r="BH112" s="93">
        <f>IF(AND($T112=1,BH$5&lt;=$H112),INDEX(Mortality!$B$4:$E$64,MATCH($D112+BH$5-1,Mortality!$A$4:$A$64,0),$U112)*$V112*$N112,0)</f>
        <v>3.8238365311966099E-3</v>
      </c>
      <c r="BI112" s="93">
        <f>IF(AND($T112=1,BI$5&lt;=$H112),INDEX(Mortality!$B$4:$E$64,MATCH($D112+BI$5-1,Mortality!$A$4:$A$64,0),$U112)*$V112*$N112,0)</f>
        <v>4.1423126631483596E-3</v>
      </c>
      <c r="BJ112" s="93">
        <f>IF(AND($T112=1,BJ$5&lt;=$H112),INDEX(Mortality!$B$4:$E$64,MATCH($D112+BJ$5-1,Mortality!$A$4:$A$64,0),$U112)*$V112*$N112,0)</f>
        <v>4.4873137382548398E-3</v>
      </c>
      <c r="BK112" s="93">
        <f>IF(AND($T112=1,BK$5&lt;=$H112),INDEX(Mortality!$B$4:$E$64,MATCH($D112+BK$5-1,Mortality!$A$4:$A$64,0),$U112)*$V112*$N112,0)</f>
        <v>4.8610489412516398E-3</v>
      </c>
      <c r="BL112" s="93">
        <f>IF(AND($T112=1,BL$5&lt;=$H112),INDEX(Mortality!$B$4:$E$64,MATCH($D112+BL$5-1,Mortality!$A$4:$A$64,0),$U112)*$V112*$N112,0)</f>
        <v>5.2659114533929498E-3</v>
      </c>
      <c r="BM112" s="93">
        <f>IF(AND($T112=1,BM$5&lt;=$H112),INDEX(Mortality!$B$4:$E$64,MATCH($D112+BM$5-1,Mortality!$A$4:$A$64,0),$U112)*$V112*$N112,0)</f>
        <v>5.7044937769820296E-3</v>
      </c>
      <c r="BN112" s="93">
        <f>IF(AND($T112=1,BN$5&lt;=$H112),INDEX(Mortality!$B$4:$E$64,MATCH($D112+BN$5-1,Mortality!$A$4:$A$64,0),$U112)*$V112*$N112,0)</f>
        <v>6.1796043362369098E-3</v>
      </c>
      <c r="BO112" s="93">
        <f>IF(AND($T112=1,BO$5&lt;=$H112),INDEX(Mortality!$B$4:$E$64,MATCH($D112+BO$5-1,Mortality!$A$4:$A$64,0),$U112)*$V112*$N112,0)</f>
        <v>0</v>
      </c>
      <c r="BP112" s="93">
        <f>IF(AND($T112=1,BP$5&lt;=$H112),INDEX(Mortality!$B$4:$E$64,MATCH($D112+BP$5-1,Mortality!$A$4:$A$64,0),$U112)*$V112*$N112,0)</f>
        <v>0</v>
      </c>
      <c r="BQ112" s="93">
        <f>IF(AND($T112=1,BQ$5&lt;=$H112),INDEX(Mortality!$B$4:$E$64,MATCH($D112+BQ$5-1,Mortality!$A$4:$A$64,0),$U112)*$V112*$N112,0)</f>
        <v>0</v>
      </c>
      <c r="BR112" s="93">
        <f>IF(AND($T112=1,BR$5&lt;=$H112),INDEX(Mortality!$B$4:$E$64,MATCH($D112+BR$5-1,Mortality!$A$4:$A$64,0),$U112)*$V112*$N112,0)</f>
        <v>0</v>
      </c>
      <c r="BS112" s="93">
        <f>IF(AND($T112=1,BS$5&lt;=$H112),INDEX(Mortality!$B$4:$E$64,MATCH($D112+BS$5-1,Mortality!$A$4:$A$64,0),$U112)*$V112*$N112,0)</f>
        <v>0</v>
      </c>
      <c r="BT112" s="93">
        <f>IF(AND($T112=1,BT$5&lt;=$H112),INDEX(Mortality!$B$4:$E$64,MATCH($D112+BT$5-1,Mortality!$A$4:$A$64,0),$U112)*$V112*$N112,0)</f>
        <v>0</v>
      </c>
      <c r="BU112" s="93">
        <f>IF(AND($T112=1,BU$5&lt;=$H112),INDEX(Mortality!$B$4:$E$64,MATCH($D112+BU$5-1,Mortality!$A$4:$A$64,0),$U112)*$V112*$N112,0)</f>
        <v>0</v>
      </c>
      <c r="BV112" s="93">
        <f>IF(AND($T112=1,BV$5&lt;=$H112),INDEX(Mortality!$B$4:$E$64,MATCH($D112+BV$5-1,Mortality!$A$4:$A$64,0),$U112)*$V112*$N112,0)</f>
        <v>0</v>
      </c>
      <c r="BW112" s="93">
        <f>IF(AND($T112=1,BW$5&lt;=$H112),INDEX(Mortality!$B$4:$E$64,MATCH($D112+BW$5-1,Mortality!$A$4:$A$64,0),$U112)*$V112*$N112,0)</f>
        <v>0</v>
      </c>
      <c r="BX112" s="93">
        <f>IF(AND($T112=1,BX$5&lt;=$H112),INDEX(Mortality!$B$4:$E$64,MATCH($D112+BX$5-1,Mortality!$A$4:$A$64,0),$U112)*$V112*$N112,0)</f>
        <v>0</v>
      </c>
      <c r="BY112" s="93">
        <f>IF(AND($T112=1,BY$5&lt;=$H112),INDEX(Mortality!$B$4:$E$64,MATCH($D112+BY$5-1,Mortality!$A$4:$A$64,0),$U112)*$V112*$N112,0)</f>
        <v>0</v>
      </c>
      <c r="BZ112" s="93">
        <f>IF(AND($T112=1,BZ$5&lt;=$H112),INDEX(Mortality!$B$4:$E$64,MATCH($D112+BZ$5-1,Mortality!$A$4:$A$64,0),$U112)*$V112*$N112,0)</f>
        <v>0</v>
      </c>
      <c r="CA112" s="93">
        <f>IF(AND($T112=1,CA$5&lt;=$H112),INDEX(Mortality!$B$4:$E$64,MATCH($D112+CA$5-1,Mortality!$A$4:$A$64,0),$U112)*$V112*$N112,0)</f>
        <v>0</v>
      </c>
      <c r="CB112" s="93">
        <f>IF(AND($T112=1,CB$5&lt;=$H112),INDEX(Mortality!$B$4:$E$64,MATCH($D112+CB$5-1,Mortality!$A$4:$A$64,0),$U112)*$V112*$N112,0)</f>
        <v>0</v>
      </c>
      <c r="CC112" s="93">
        <f>IF(AND($T112=1,CC$5&lt;=$H112),INDEX(Mortality!$B$4:$E$64,MATCH($D112+CC$5-1,Mortality!$A$4:$A$64,0),$U112)*$V112*$N112,0)</f>
        <v>0</v>
      </c>
      <c r="CD112" s="93">
        <f>IF(AND($T112=1,CD$5&lt;=$H112),INDEX(Mortality!$B$4:$E$64,MATCH($D112+CD$5-1,Mortality!$A$4:$A$64,0),$U112)*$V112*$N112,0)</f>
        <v>0</v>
      </c>
      <c r="CE112" s="93">
        <f>IF(AND($T112=1,CE$5&lt;=$H112),INDEX(Mortality!$B$4:$E$64,MATCH($D112+CE$5-1,Mortality!$A$4:$A$64,0),$U112)*$V112*$N112,0)</f>
        <v>0</v>
      </c>
      <c r="CF112" s="93">
        <f>IF(AND($T112=1,CF$5&lt;=$H112),INDEX(Mortality!$B$4:$E$64,MATCH($D112+CF$5-1,Mortality!$A$4:$A$64,0),$U112)*$V112*$N112,0)</f>
        <v>0</v>
      </c>
      <c r="CG112" s="93">
        <f>IF(AND($T112=1,CG$5&lt;=$H112),INDEX(Mortality!$B$4:$E$64,MATCH($D112+CG$5-1,Mortality!$A$4:$A$64,0),$U112)*$V112*$N112,0)</f>
        <v>0</v>
      </c>
      <c r="CH112" s="94">
        <f>IF(AND($T112=1,CH$5&lt;=$H112),INDEX(Mortality!$B$4:$E$64,MATCH($D112+CH$5-1,Mortality!$A$4:$A$64,0),$U112)*$V112*$N112,0)</f>
        <v>0</v>
      </c>
      <c r="CI112" s="26"/>
      <c r="CJ112" s="419">
        <f t="shared" si="53"/>
        <v>1</v>
      </c>
      <c r="CK112" s="93">
        <f>IF(AND($T112=1,CK$5&lt;=$H112),CJ112*(1-AU112)*(1-MIN(1,MAX(Assumptions!$C$27,Assumptions!$C$13*Assumptions!$C$28^(CJ$5-1))*$O112)),0)</f>
        <v>0.87881063342600318</v>
      </c>
      <c r="CL112" s="93">
        <f>IF(AND($T112=1,CL$5&lt;=$H112),CK112*(1-AV112)*(1-MIN(1,MAX(Assumptions!$C$27,Assumptions!$C$13*Assumptions!$C$28^(CK$5-1))*$O112)),0)</f>
        <v>0.78801650653679589</v>
      </c>
      <c r="CM112" s="93">
        <f>IF(AND($T112=1,CM$5&lt;=$H112),CL112*(1-AW112)*(1-MIN(1,MAX(Assumptions!$C$27,Assumptions!$C$13*Assumptions!$C$28^(CL$5-1))*$O112)),0)</f>
        <v>0.71855399373878837</v>
      </c>
      <c r="CN112" s="93">
        <f>IF(AND($T112=1,CN$5&lt;=$H112),CM112*(1-AX112)*(1-MIN(1,MAX(Assumptions!$C$27,Assumptions!$C$13*Assumptions!$C$28^(CM$5-1))*$O112)),0)</f>
        <v>0.664456549266362</v>
      </c>
      <c r="CO112" s="93">
        <f>IF(AND($T112=1,CO$5&lt;=$H112),CN112*(1-AY112)*(1-MIN(1,MAX(Assumptions!$C$27,Assumptions!$C$13*Assumptions!$C$28^(CN$5-1))*$O112)),0)</f>
        <v>0.62167523509111566</v>
      </c>
      <c r="CP112" s="93">
        <f>IF(AND($T112=1,CP$5&lt;=$H112),CO112*(1-AZ112)*(1-MIN(1,MAX(Assumptions!$C$27,Assumptions!$C$13*Assumptions!$C$28^(CO$5-1))*$O112)),0)</f>
        <v>0.58738763182040499</v>
      </c>
      <c r="CQ112" s="93">
        <f>IF(AND($T112=1,CQ$5&lt;=$H112),CP112*(1-BA112)*(1-MIN(1,MAX(Assumptions!$C$27,Assumptions!$C$13*Assumptions!$C$28^(CP$5-1))*$O112)),0)</f>
        <v>0.55957876347525437</v>
      </c>
      <c r="CR112" s="93">
        <f>IF(AND($T112=1,CR$5&lt;=$H112),CQ112*(1-BB112)*(1-MIN(1,MAX(Assumptions!$C$27,Assumptions!$C$13*Assumptions!$C$28^(CQ$5-1))*$O112)),0)</f>
        <v>0.53677908823554898</v>
      </c>
      <c r="CS112" s="93">
        <f>IF(AND($T112=1,CS$5&lt;=$H112),CR112*(1-BC112)*(1-MIN(1,MAX(Assumptions!$C$27,Assumptions!$C$13*Assumptions!$C$28^(CR$5-1))*$O112)),0)</f>
        <v>0.5178961426319999</v>
      </c>
      <c r="CT112" s="93">
        <f>IF(AND($T112=1,CT$5&lt;=$H112),CS112*(1-BD112)*(1-MIN(1,MAX(Assumptions!$C$27,Assumptions!$C$13*Assumptions!$C$28^(CS$5-1))*$O112)),0)</f>
        <v>0.50210365911991661</v>
      </c>
      <c r="CU112" s="93">
        <f>IF(AND($T112=1,CU$5&lt;=$H112),CT112*(1-BE112)*(1-MIN(1,MAX(Assumptions!$C$27,Assumptions!$C$13*Assumptions!$C$28^(CT$5-1))*$O112)),0)</f>
        <v>0.48876688084606018</v>
      </c>
      <c r="CV112" s="93">
        <f>IF(AND($T112=1,CV$5&lt;=$H112),CU112*(1-BF112)*(1-MIN(1,MAX(Assumptions!$C$27,Assumptions!$C$13*Assumptions!$C$28^(CU$5-1))*$O112)),0)</f>
        <v>0.47739121583089777</v>
      </c>
      <c r="CW112" s="93">
        <f>IF(AND($T112=1,CW$5&lt;=$H112),CV112*(1-BG112)*(1-MIN(1,MAX(Assumptions!$C$27,Assumptions!$C$13*Assumptions!$C$28^(CV$5-1))*$O112)),0)</f>
        <v>0.46619197638644039</v>
      </c>
      <c r="CX112" s="93">
        <f>IF(AND($T112=1,CX$5&lt;=$H112),CW112*(1-BH112)*(1-MIN(1,MAX(Assumptions!$C$27,Assumptions!$C$13*Assumptions!$C$28^(CW$5-1))*$O112)),0)</f>
        <v>0.45512114778705148</v>
      </c>
      <c r="CY112" s="93">
        <f>IF(AND($T112=1,CY$5&lt;=$H112),CX112*(1-BI112)*(1-MIN(1,MAX(Assumptions!$C$27,Assumptions!$C$13*Assumptions!$C$28^(CX$5-1))*$O112)),0)</f>
        <v>0.44417117581944043</v>
      </c>
      <c r="CZ112" s="93">
        <f>IF(AND($T112=1,CZ$5&lt;=$H112),CY112*(1-BJ112)*(1-MIN(1,MAX(Assumptions!$C$27,Assumptions!$C$13*Assumptions!$C$28^(CY$5-1))*$O112)),0)</f>
        <v>0.43333447959204807</v>
      </c>
      <c r="DA112" s="93">
        <f>IF(AND($T112=1,DA$5&lt;=$H112),CZ112*(1-BK112)*(1-MIN(1,MAX(Assumptions!$C$27,Assumptions!$C$13*Assumptions!$C$28^(CZ$5-1))*$O112)),0)</f>
        <v>0.42260345908924296</v>
      </c>
      <c r="DB112" s="93">
        <f>IF(AND($T112=1,DB$5&lt;=$H112),DA112*(1-BL112)*(1-MIN(1,MAX(Assumptions!$C$27,Assumptions!$C$13*Assumptions!$C$28^(DA$5-1))*$O112)),0)</f>
        <v>0.41197050535990576</v>
      </c>
      <c r="DC112" s="93">
        <f>IF(AND($T112=1,DC$5&lt;=$H112),DB112*(1-BM112)*(1-MIN(1,MAX(Assumptions!$C$27,Assumptions!$C$13*Assumptions!$C$28^(DB$5-1))*$O112)),0)</f>
        <v>0.40142801373226444</v>
      </c>
      <c r="DD112" s="93">
        <f>IF(AND($T112=1,DD$5&lt;=$H112),DC112*(1-BN112)*(1-MIN(1,MAX(Assumptions!$C$27,Assumptions!$C$13*Assumptions!$C$28^(DC$5-1))*$O112)),0)</f>
        <v>0</v>
      </c>
      <c r="DE112" s="93">
        <f>IF(AND($T112=1,DE$5&lt;=$H112),DD112*(1-BO112)*(1-MIN(1,MAX(Assumptions!$C$27,Assumptions!$C$13*Assumptions!$C$28^(DD$5-1))*$O112)),0)</f>
        <v>0</v>
      </c>
      <c r="DF112" s="93">
        <f>IF(AND($T112=1,DF$5&lt;=$H112),DE112*(1-BP112)*(1-MIN(1,MAX(Assumptions!$C$27,Assumptions!$C$13*Assumptions!$C$28^(DE$5-1))*$O112)),0)</f>
        <v>0</v>
      </c>
      <c r="DG112" s="93">
        <f>IF(AND($T112=1,DG$5&lt;=$H112),DF112*(1-BQ112)*(1-MIN(1,MAX(Assumptions!$C$27,Assumptions!$C$13*Assumptions!$C$28^(DF$5-1))*$O112)),0)</f>
        <v>0</v>
      </c>
      <c r="DH112" s="93">
        <f>IF(AND($T112=1,DH$5&lt;=$H112),DG112*(1-BR112)*(1-MIN(1,MAX(Assumptions!$C$27,Assumptions!$C$13*Assumptions!$C$28^(DG$5-1))*$O112)),0)</f>
        <v>0</v>
      </c>
      <c r="DI112" s="93">
        <f>IF(AND($T112=1,DI$5&lt;=$H112),DH112*(1-BS112)*(1-MIN(1,MAX(Assumptions!$C$27,Assumptions!$C$13*Assumptions!$C$28^(DH$5-1))*$O112)),0)</f>
        <v>0</v>
      </c>
      <c r="DJ112" s="93">
        <f>IF(AND($T112=1,DJ$5&lt;=$H112),DI112*(1-BT112)*(1-MIN(1,MAX(Assumptions!$C$27,Assumptions!$C$13*Assumptions!$C$28^(DI$5-1))*$O112)),0)</f>
        <v>0</v>
      </c>
      <c r="DK112" s="93">
        <f>IF(AND($T112=1,DK$5&lt;=$H112),DJ112*(1-BU112)*(1-MIN(1,MAX(Assumptions!$C$27,Assumptions!$C$13*Assumptions!$C$28^(DJ$5-1))*$O112)),0)</f>
        <v>0</v>
      </c>
      <c r="DL112" s="93">
        <f>IF(AND($T112=1,DL$5&lt;=$H112),DK112*(1-BV112)*(1-MIN(1,MAX(Assumptions!$C$27,Assumptions!$C$13*Assumptions!$C$28^(DK$5-1))*$O112)),0)</f>
        <v>0</v>
      </c>
      <c r="DM112" s="93">
        <f>IF(AND($T112=1,DM$5&lt;=$H112),DL112*(1-BW112)*(1-MIN(1,MAX(Assumptions!$C$27,Assumptions!$C$13*Assumptions!$C$28^(DL$5-1))*$O112)),0)</f>
        <v>0</v>
      </c>
      <c r="DN112" s="93">
        <f>IF(AND($T112=1,DN$5&lt;=$H112),DM112*(1-BX112)*(1-MIN(1,MAX(Assumptions!$C$27,Assumptions!$C$13*Assumptions!$C$28^(DM$5-1))*$O112)),0)</f>
        <v>0</v>
      </c>
      <c r="DO112" s="93">
        <f>IF(AND($T112=1,DO$5&lt;=$H112),DN112*(1-BY112)*(1-MIN(1,MAX(Assumptions!$C$27,Assumptions!$C$13*Assumptions!$C$28^(DN$5-1))*$O112)),0)</f>
        <v>0</v>
      </c>
      <c r="DP112" s="93">
        <f>IF(AND($T112=1,DP$5&lt;=$H112),DO112*(1-BZ112)*(1-MIN(1,MAX(Assumptions!$C$27,Assumptions!$C$13*Assumptions!$C$28^(DO$5-1))*$O112)),0)</f>
        <v>0</v>
      </c>
      <c r="DQ112" s="93">
        <f>IF(AND($T112=1,DQ$5&lt;=$H112),DP112*(1-CA112)*(1-MIN(1,MAX(Assumptions!$C$27,Assumptions!$C$13*Assumptions!$C$28^(DP$5-1))*$O112)),0)</f>
        <v>0</v>
      </c>
      <c r="DR112" s="93">
        <f>IF(AND($T112=1,DR$5&lt;=$H112),DQ112*(1-CB112)*(1-MIN(1,MAX(Assumptions!$C$27,Assumptions!$C$13*Assumptions!$C$28^(DQ$5-1))*$O112)),0)</f>
        <v>0</v>
      </c>
      <c r="DS112" s="93">
        <f>IF(AND($T112=1,DS$5&lt;=$H112),DR112*(1-CC112)*(1-MIN(1,MAX(Assumptions!$C$27,Assumptions!$C$13*Assumptions!$C$28^(DR$5-1))*$O112)),0)</f>
        <v>0</v>
      </c>
      <c r="DT112" s="93">
        <f>IF(AND($T112=1,DT$5&lt;=$H112),DS112*(1-CD112)*(1-MIN(1,MAX(Assumptions!$C$27,Assumptions!$C$13*Assumptions!$C$28^(DS$5-1))*$O112)),0)</f>
        <v>0</v>
      </c>
      <c r="DU112" s="93">
        <f>IF(AND($T112=1,DU$5&lt;=$H112),DT112*(1-CE112)*(1-MIN(1,MAX(Assumptions!$C$27,Assumptions!$C$13*Assumptions!$C$28^(DT$5-1))*$O112)),0)</f>
        <v>0</v>
      </c>
      <c r="DV112" s="93">
        <f>IF(AND($T112=1,DV$5&lt;=$H112),DU112*(1-CF112)*(1-MIN(1,MAX(Assumptions!$C$27,Assumptions!$C$13*Assumptions!$C$28^(DU$5-1))*$O112)),0)</f>
        <v>0</v>
      </c>
      <c r="DW112" s="94">
        <f>IF(AND($T112=1,DW$5&lt;=$H112),DV112*(1-CG112)*(1-MIN(1,MAX(Assumptions!$C$27,Assumptions!$C$13*Assumptions!$C$28^(DV$5-1))*$O112)),0)</f>
        <v>0</v>
      </c>
      <c r="DX112" s="26"/>
      <c r="DY112" s="399">
        <f>'Policy Data'!K86</f>
        <v>2</v>
      </c>
      <c r="DZ112" s="100">
        <f>'Policy Data'!L86</f>
        <v>0.93149999999999999</v>
      </c>
      <c r="EA112" s="100">
        <f>'Policy Data'!N86</f>
        <v>1.2589999999999999E-3</v>
      </c>
      <c r="EB112" s="93" cm="1">
        <f t="array" ref="EB112">IFERROR(DZ112*INDEX(Mortality!$B$4:$E$64,MATCH(D112+DY112-1,Mortality!$A$4:$A$64,0),U112)*V112,0)</f>
        <v>1.3638275982894353E-3</v>
      </c>
      <c r="EC112" s="100">
        <f>'Policy Data'!O86</f>
        <v>0</v>
      </c>
      <c r="ED112" s="400">
        <f>'Policy Data'!Q86</f>
        <v>0</v>
      </c>
    </row>
    <row r="113" spans="1:134" x14ac:dyDescent="0.3">
      <c r="A113" s="399" t="str">
        <f>'Policy Data'!A87</f>
        <v>POL100083</v>
      </c>
      <c r="B113" s="26" t="s">
        <v>426</v>
      </c>
      <c r="C113" s="100" t="str">
        <f>'Policy Data'!B87</f>
        <v>Term Life</v>
      </c>
      <c r="D113" s="100">
        <f>'Policy Data'!C87</f>
        <v>35</v>
      </c>
      <c r="E113" s="100" t="str">
        <f>'Policy Data'!D87</f>
        <v>Female</v>
      </c>
      <c r="F113" s="100" t="str">
        <f>'Policy Data'!E87</f>
        <v>Smoker</v>
      </c>
      <c r="G113" s="100" t="str">
        <f>'Policy Data'!F87</f>
        <v>Standard</v>
      </c>
      <c r="H113" s="100">
        <f>'Policy Data'!G87</f>
        <v>20</v>
      </c>
      <c r="I113" s="279">
        <f>'Policy Data'!H87</f>
        <v>2000000</v>
      </c>
      <c r="J113" s="100" t="str">
        <f>'Policy Data'!I87</f>
        <v>Annual</v>
      </c>
      <c r="K113" s="100" t="str">
        <f>'Policy Data'!J87</f>
        <v>Broker</v>
      </c>
      <c r="L113" s="26" t="s">
        <v>389</v>
      </c>
      <c r="M113" s="106">
        <f>'Policy Data'!R87</f>
        <v>3802.01</v>
      </c>
      <c r="N113" s="415">
        <f>Assumptions!$C$21</f>
        <v>1</v>
      </c>
      <c r="O113" s="415">
        <f>Assumptions!$C$22</f>
        <v>1</v>
      </c>
      <c r="P113" s="415">
        <f>Assumptions!$C$23</f>
        <v>1</v>
      </c>
      <c r="Q113" s="416">
        <f>Assumptions!$C$24</f>
        <v>0</v>
      </c>
      <c r="R113" s="416">
        <f>Assumptions!$C$6+Assumptions!$C$25</f>
        <v>3.5000000000000003E-2</v>
      </c>
      <c r="S113" s="416">
        <f>Assumptions!$C$15</f>
        <v>1.1000000000000001E-3</v>
      </c>
      <c r="T113" s="26">
        <f t="shared" si="36"/>
        <v>1</v>
      </c>
      <c r="U113" s="26">
        <f t="shared" si="37"/>
        <v>2</v>
      </c>
      <c r="V113" s="389">
        <f>IF($G113="Preferred",Assumptions!$C$30,IF($G113="Rated",Assumptions!$C$31,1))</f>
        <v>1</v>
      </c>
      <c r="W113" s="390">
        <f>IF($K113="Direct",Assumptions!$C$32,IF($K113="Broker",Assumptions!$C$33,IF($K113="Bancassurance",Assumptions!$C$34,Assumptions!$C$11)))+$Q113</f>
        <v>0.25</v>
      </c>
      <c r="X113" s="390">
        <f>Assumptions!$C$12+$Q113</f>
        <v>0.05</v>
      </c>
      <c r="Y113" s="131">
        <f>MIN($I113,Assumptions!$C$14)</f>
        <v>500000</v>
      </c>
      <c r="Z113" s="131">
        <f>MAX($I113-Assumptions!$C$14,0)</f>
        <v>1500000</v>
      </c>
      <c r="AA113" s="389">
        <f t="shared" si="38"/>
        <v>8.5489704225076117</v>
      </c>
      <c r="AB113" s="389">
        <f t="shared" si="39"/>
        <v>1.5570912667775591E-2</v>
      </c>
      <c r="AC113" s="389">
        <f>IF($T113=1,SUMPRODUCT($CJ113:$DW113,(1+Assumptions!$C$5)^($CJ$5:$DW$5-1),(1+$R113)^(-$CJ$5:$DW$5)),0)</f>
        <v>11.494127317776917</v>
      </c>
      <c r="AD113" s="389">
        <f t="shared" si="40"/>
        <v>0.62068523610122606</v>
      </c>
      <c r="AE113" s="131">
        <f>IF($T113=1,$AB113*$Y113+(Assumptions!$C$9/(1+$R113)+Assumptions!$C$10*$AC113)*$P113+$S113*$Z113*$AA113,0)</f>
        <v>25289.530758327579</v>
      </c>
      <c r="AF113" s="131">
        <f>IF($T113=1,IF($AA113-$AD113-Assumptions!$C$16*$AA113&gt;0,$AE113/($AA113-$AD113-Assumptions!$C$16*$AA113)*IF($J113="Monthly",1+Assumptions!$C$29,1),"n.a."),"")</f>
        <v>3490.9231999460067</v>
      </c>
      <c r="AG113" s="131">
        <f t="shared" si="41"/>
        <v>3802.01</v>
      </c>
      <c r="AH113" s="131">
        <f t="shared" si="42"/>
        <v>32503.271036078168</v>
      </c>
      <c r="AI113" s="131">
        <f t="shared" si="43"/>
        <v>4853.888803241367</v>
      </c>
      <c r="AJ113" s="390">
        <f t="shared" si="44"/>
        <v>0.149335394516251</v>
      </c>
      <c r="AK113" s="389">
        <f t="shared" si="45"/>
        <v>1.0891130461016172</v>
      </c>
      <c r="AL113" s="131">
        <f t="shared" si="46"/>
        <v>23356.369001663388</v>
      </c>
      <c r="AM113" s="131">
        <f t="shared" si="47"/>
        <v>14105.80119713756</v>
      </c>
      <c r="AN113" s="131">
        <f t="shared" si="48"/>
        <v>9250.5678045258283</v>
      </c>
      <c r="AO113" s="131">
        <f t="shared" si="49"/>
        <v>-4396.6790012844613</v>
      </c>
      <c r="AP113" s="26" t="str">
        <f t="shared" si="50"/>
        <v>30-39</v>
      </c>
      <c r="AQ113" s="26" t="str">
        <f t="shared" si="51"/>
        <v>Over 1m</v>
      </c>
      <c r="AR113" s="26" t="str">
        <f>IF($T113=1,IF($AI113&lt;0,"Loss-making",IF($AJ113&lt;Assumptions!$C$16-0.00001,"Below target","At/above target")),"Excluded")</f>
        <v>At/above target</v>
      </c>
      <c r="AS113" s="103">
        <f t="shared" si="52"/>
        <v>4853.888916241367</v>
      </c>
      <c r="AT113" s="26"/>
      <c r="AU113" s="419">
        <f>IF(AND($T113=1,AU$5&lt;=$H113),INDEX(Mortality!$B$4:$E$64,MATCH($D113+AU$5-1,Mortality!$A$4:$A$64,0),$U113)*$V113*$N113,0)</f>
        <v>9.4152786229884696E-4</v>
      </c>
      <c r="AV113" s="93">
        <f>IF(AND($T113=1,AV$5&lt;=$H113),INDEX(Mortality!$B$4:$E$64,MATCH($D113+AV$5-1,Mortality!$A$4:$A$64,0),$U113)*$V113*$N113,0)</f>
        <v>1.01994495708399E-3</v>
      </c>
      <c r="AW113" s="93">
        <f>IF(AND($T113=1,AW$5&lt;=$H113),INDEX(Mortality!$B$4:$E$64,MATCH($D113+AW$5-1,Mortality!$A$4:$A$64,0),$U113)*$V113*$N113,0)</f>
        <v>1.1048931817493801E-3</v>
      </c>
      <c r="AX113" s="93">
        <f>IF(AND($T113=1,AX$5&lt;=$H113),INDEX(Mortality!$B$4:$E$64,MATCH($D113+AX$5-1,Mortality!$A$4:$A$64,0),$U113)*$V113*$N113,0)</f>
        <v>1.19691649495134E-3</v>
      </c>
      <c r="AY113" s="93">
        <f>IF(AND($T113=1,AY$5&lt;=$H113),INDEX(Mortality!$B$4:$E$64,MATCH($D113+AY$5-1,Mortality!$A$4:$A$64,0),$U113)*$V113*$N113,0)</f>
        <v>1.29660416006762E-3</v>
      </c>
      <c r="AZ113" s="93">
        <f>IF(AND($T113=1,AZ$5&lt;=$H113),INDEX(Mortality!$B$4:$E$64,MATCH($D113+AZ$5-1,Mortality!$A$4:$A$64,0),$U113)*$V113*$N113,0)</f>
        <v>1.4045945184948099E-3</v>
      </c>
      <c r="BA113" s="93">
        <f>IF(AND($T113=1,BA$5&lt;=$H113),INDEX(Mortality!$B$4:$E$64,MATCH($D113+BA$5-1,Mortality!$A$4:$A$64,0),$U113)*$V113*$N113,0)</f>
        <v>1.52157907721256E-3</v>
      </c>
      <c r="BB113" s="93">
        <f>IF(AND($T113=1,BB$5&lt;=$H113),INDEX(Mortality!$B$4:$E$64,MATCH($D113+BB$5-1,Mortality!$A$4:$A$64,0),$U113)*$V113*$N113,0)</f>
        <v>1.6483069367891701E-3</v>
      </c>
      <c r="BC113" s="93">
        <f>IF(AND($T113=1,BC$5&lt;=$H113),INDEX(Mortality!$B$4:$E$64,MATCH($D113+BC$5-1,Mortality!$A$4:$A$64,0),$U113)*$V113*$N113,0)</f>
        <v>1.78558958818263E-3</v>
      </c>
      <c r="BD113" s="93">
        <f>IF(AND($T113=1,BD$5&lt;=$H113),INDEX(Mortality!$B$4:$E$64,MATCH($D113+BD$5-1,Mortality!$A$4:$A$64,0),$U113)*$V113*$N113,0)</f>
        <v>1.9343061090533E-3</v>
      </c>
      <c r="BE113" s="93">
        <f>IF(AND($T113=1,BE$5&lt;=$H113),INDEX(Mortality!$B$4:$E$64,MATCH($D113+BE$5-1,Mortality!$A$4:$A$64,0),$U113)*$V113*$N113,0)</f>
        <v>2.0954087928621002E-3</v>
      </c>
      <c r="BF113" s="93">
        <f>IF(AND($T113=1,BF$5&lt;=$H113),INDEX(Mortality!$B$4:$E$64,MATCH($D113+BF$5-1,Mortality!$A$4:$A$64,0),$U113)*$V113*$N113,0)</f>
        <v>2.2699292467999099E-3</v>
      </c>
      <c r="BG113" s="93">
        <f>IF(AND($T113=1,BG$5&lt;=$H113),INDEX(Mortality!$B$4:$E$64,MATCH($D113+BG$5-1,Mortality!$A$4:$A$64,0),$U113)*$V113*$N113,0)</f>
        <v>2.4589849975955001E-3</v>
      </c>
      <c r="BH113" s="93">
        <f>IF(AND($T113=1,BH$5&lt;=$H113),INDEX(Mortality!$B$4:$E$64,MATCH($D113+BH$5-1,Mortality!$A$4:$A$64,0),$U113)*$V113*$N113,0)</f>
        <v>2.6637866475019501E-3</v>
      </c>
      <c r="BI113" s="93">
        <f>IF(AND($T113=1,BI$5&lt;=$H113),INDEX(Mortality!$B$4:$E$64,MATCH($D113+BI$5-1,Mortality!$A$4:$A$64,0),$U113)*$V113*$N113,0)</f>
        <v>2.8856456262841002E-3</v>
      </c>
      <c r="BJ113" s="93">
        <f>IF(AND($T113=1,BJ$5&lt;=$H113),INDEX(Mortality!$B$4:$E$64,MATCH($D113+BJ$5-1,Mortality!$A$4:$A$64,0),$U113)*$V113*$N113,0)</f>
        <v>3.1259825888463699E-3</v>
      </c>
      <c r="BK113" s="93">
        <f>IF(AND($T113=1,BK$5&lt;=$H113),INDEX(Mortality!$B$4:$E$64,MATCH($D113+BK$5-1,Mortality!$A$4:$A$64,0),$U113)*$V113*$N113,0)</f>
        <v>3.3863365122743599E-3</v>
      </c>
      <c r="BL113" s="93">
        <f>IF(AND($T113=1,BL$5&lt;=$H113),INDEX(Mortality!$B$4:$E$64,MATCH($D113+BL$5-1,Mortality!$A$4:$A$64,0),$U113)*$V113*$N113,0)</f>
        <v>3.6683745505423299E-3</v>
      </c>
      <c r="BM113" s="93">
        <f>IF(AND($T113=1,BM$5&lt;=$H113),INDEX(Mortality!$B$4:$E$64,MATCH($D113+BM$5-1,Mortality!$A$4:$A$64,0),$U113)*$V113*$N113,0)</f>
        <v>3.9739027099904498E-3</v>
      </c>
      <c r="BN113" s="93">
        <f>IF(AND($T113=1,BN$5&lt;=$H113),INDEX(Mortality!$B$4:$E$64,MATCH($D113+BN$5-1,Mortality!$A$4:$A$64,0),$U113)*$V113*$N113,0)</f>
        <v>4.3048774139311198E-3</v>
      </c>
      <c r="BO113" s="93">
        <f>IF(AND($T113=1,BO$5&lt;=$H113),INDEX(Mortality!$B$4:$E$64,MATCH($D113+BO$5-1,Mortality!$A$4:$A$64,0),$U113)*$V113*$N113,0)</f>
        <v>0</v>
      </c>
      <c r="BP113" s="93">
        <f>IF(AND($T113=1,BP$5&lt;=$H113),INDEX(Mortality!$B$4:$E$64,MATCH($D113+BP$5-1,Mortality!$A$4:$A$64,0),$U113)*$V113*$N113,0)</f>
        <v>0</v>
      </c>
      <c r="BQ113" s="93">
        <f>IF(AND($T113=1,BQ$5&lt;=$H113),INDEX(Mortality!$B$4:$E$64,MATCH($D113+BQ$5-1,Mortality!$A$4:$A$64,0),$U113)*$V113*$N113,0)</f>
        <v>0</v>
      </c>
      <c r="BR113" s="93">
        <f>IF(AND($T113=1,BR$5&lt;=$H113),INDEX(Mortality!$B$4:$E$64,MATCH($D113+BR$5-1,Mortality!$A$4:$A$64,0),$U113)*$V113*$N113,0)</f>
        <v>0</v>
      </c>
      <c r="BS113" s="93">
        <f>IF(AND($T113=1,BS$5&lt;=$H113),INDEX(Mortality!$B$4:$E$64,MATCH($D113+BS$5-1,Mortality!$A$4:$A$64,0),$U113)*$V113*$N113,0)</f>
        <v>0</v>
      </c>
      <c r="BT113" s="93">
        <f>IF(AND($T113=1,BT$5&lt;=$H113),INDEX(Mortality!$B$4:$E$64,MATCH($D113+BT$5-1,Mortality!$A$4:$A$64,0),$U113)*$V113*$N113,0)</f>
        <v>0</v>
      </c>
      <c r="BU113" s="93">
        <f>IF(AND($T113=1,BU$5&lt;=$H113),INDEX(Mortality!$B$4:$E$64,MATCH($D113+BU$5-1,Mortality!$A$4:$A$64,0),$U113)*$V113*$N113,0)</f>
        <v>0</v>
      </c>
      <c r="BV113" s="93">
        <f>IF(AND($T113=1,BV$5&lt;=$H113),INDEX(Mortality!$B$4:$E$64,MATCH($D113+BV$5-1,Mortality!$A$4:$A$64,0),$U113)*$V113*$N113,0)</f>
        <v>0</v>
      </c>
      <c r="BW113" s="93">
        <f>IF(AND($T113=1,BW$5&lt;=$H113),INDEX(Mortality!$B$4:$E$64,MATCH($D113+BW$5-1,Mortality!$A$4:$A$64,0),$U113)*$V113*$N113,0)</f>
        <v>0</v>
      </c>
      <c r="BX113" s="93">
        <f>IF(AND($T113=1,BX$5&lt;=$H113),INDEX(Mortality!$B$4:$E$64,MATCH($D113+BX$5-1,Mortality!$A$4:$A$64,0),$U113)*$V113*$N113,0)</f>
        <v>0</v>
      </c>
      <c r="BY113" s="93">
        <f>IF(AND($T113=1,BY$5&lt;=$H113),INDEX(Mortality!$B$4:$E$64,MATCH($D113+BY$5-1,Mortality!$A$4:$A$64,0),$U113)*$V113*$N113,0)</f>
        <v>0</v>
      </c>
      <c r="BZ113" s="93">
        <f>IF(AND($T113=1,BZ$5&lt;=$H113),INDEX(Mortality!$B$4:$E$64,MATCH($D113+BZ$5-1,Mortality!$A$4:$A$64,0),$U113)*$V113*$N113,0)</f>
        <v>0</v>
      </c>
      <c r="CA113" s="93">
        <f>IF(AND($T113=1,CA$5&lt;=$H113),INDEX(Mortality!$B$4:$E$64,MATCH($D113+CA$5-1,Mortality!$A$4:$A$64,0),$U113)*$V113*$N113,0)</f>
        <v>0</v>
      </c>
      <c r="CB113" s="93">
        <f>IF(AND($T113=1,CB$5&lt;=$H113),INDEX(Mortality!$B$4:$E$64,MATCH($D113+CB$5-1,Mortality!$A$4:$A$64,0),$U113)*$V113*$N113,0)</f>
        <v>0</v>
      </c>
      <c r="CC113" s="93">
        <f>IF(AND($T113=1,CC$5&lt;=$H113),INDEX(Mortality!$B$4:$E$64,MATCH($D113+CC$5-1,Mortality!$A$4:$A$64,0),$U113)*$V113*$N113,0)</f>
        <v>0</v>
      </c>
      <c r="CD113" s="93">
        <f>IF(AND($T113=1,CD$5&lt;=$H113),INDEX(Mortality!$B$4:$E$64,MATCH($D113+CD$5-1,Mortality!$A$4:$A$64,0),$U113)*$V113*$N113,0)</f>
        <v>0</v>
      </c>
      <c r="CE113" s="93">
        <f>IF(AND($T113=1,CE$5&lt;=$H113),INDEX(Mortality!$B$4:$E$64,MATCH($D113+CE$5-1,Mortality!$A$4:$A$64,0),$U113)*$V113*$N113,0)</f>
        <v>0</v>
      </c>
      <c r="CF113" s="93">
        <f>IF(AND($T113=1,CF$5&lt;=$H113),INDEX(Mortality!$B$4:$E$64,MATCH($D113+CF$5-1,Mortality!$A$4:$A$64,0),$U113)*$V113*$N113,0)</f>
        <v>0</v>
      </c>
      <c r="CG113" s="93">
        <f>IF(AND($T113=1,CG$5&lt;=$H113),INDEX(Mortality!$B$4:$E$64,MATCH($D113+CG$5-1,Mortality!$A$4:$A$64,0),$U113)*$V113*$N113,0)</f>
        <v>0</v>
      </c>
      <c r="CH113" s="94">
        <f>IF(AND($T113=1,CH$5&lt;=$H113),INDEX(Mortality!$B$4:$E$64,MATCH($D113+CH$5-1,Mortality!$A$4:$A$64,0),$U113)*$V113*$N113,0)</f>
        <v>0</v>
      </c>
      <c r="CI113" s="26"/>
      <c r="CJ113" s="419">
        <f t="shared" si="53"/>
        <v>1</v>
      </c>
      <c r="CK113" s="93">
        <f>IF(AND($T113=1,CK$5&lt;=$H113),CJ113*(1-AU113)*(1-MIN(1,MAX(Assumptions!$C$27,Assumptions!$C$13*Assumptions!$C$28^(CJ$5-1))*$O113)),0)</f>
        <v>0.87917145548117703</v>
      </c>
      <c r="CL113" s="93">
        <f>IF(AND($T113=1,CL$5&lt;=$H113),CK113*(1-AV113)*(1-MIN(1,MAX(Assumptions!$C$27,Assumptions!$C$13*Assumptions!$C$28^(CK$5-1))*$O113)),0)</f>
        <v>0.7886907245918946</v>
      </c>
      <c r="CM113" s="93">
        <f>IF(AND($T113=1,CM$5&lt;=$H113),CL113*(1-AW113)*(1-MIN(1,MAX(Assumptions!$C$27,Assumptions!$C$13*Assumptions!$C$28^(CL$5-1))*$O113)),0)</f>
        <v>0.71951537179332326</v>
      </c>
      <c r="CN113" s="93">
        <f>IF(AND($T113=1,CN$5&lt;=$H113),CM113*(1-AX113)*(1-MIN(1,MAX(Assumptions!$C$27,Assumptions!$C$13*Assumptions!$C$28^(CM$5-1))*$O113)),0)</f>
        <v>0.66569295277264806</v>
      </c>
      <c r="CO113" s="93">
        <f>IF(AND($T113=1,CO$5&lt;=$H113),CN113*(1-AY113)*(1-MIN(1,MAX(Assumptions!$C$27,Assumptions!$C$13*Assumptions!$C$28^(CN$5-1))*$O113)),0)</f>
        <v>0.62318437444209585</v>
      </c>
      <c r="CP113" s="93">
        <f>IF(AND($T113=1,CP$5&lt;=$H113),CO113*(1-AZ113)*(1-MIN(1,MAX(Assumptions!$C$27,Assumptions!$C$13*Assumptions!$C$28^(CO$5-1))*$O113)),0)</f>
        <v>0.5891744331412242</v>
      </c>
      <c r="CQ113" s="93">
        <f>IF(AND($T113=1,CQ$5&lt;=$H113),CP113*(1-BA113)*(1-MIN(1,MAX(Assumptions!$C$27,Assumptions!$C$13*Assumptions!$C$28^(CP$5-1))*$O113)),0)</f>
        <v>0.56165370803721859</v>
      </c>
      <c r="CR113" s="93">
        <f>IF(AND($T113=1,CR$5&lt;=$H113),CQ113*(1-BB113)*(1-MIN(1,MAX(Assumptions!$C$27,Assumptions!$C$13*Assumptions!$C$28^(CQ$5-1))*$O113)),0)</f>
        <v>0.53915714706724682</v>
      </c>
      <c r="CS113" s="93">
        <f>IF(AND($T113=1,CS$5&lt;=$H113),CR113*(1-BC113)*(1-MIN(1,MAX(Assumptions!$C$27,Assumptions!$C$13*Assumptions!$C$28^(CR$5-1))*$O113)),0)</f>
        <v>0.5205960876222927</v>
      </c>
      <c r="CT113" s="93">
        <f>IF(AND($T113=1,CT$5&lt;=$H113),CS113*(1-BD113)*(1-MIN(1,MAX(Assumptions!$C$27,Assumptions!$C$13*Assumptions!$C$28^(CS$5-1))*$O113)),0)</f>
        <v>0.50514761867699931</v>
      </c>
      <c r="CU113" s="93">
        <f>IF(AND($T113=1,CU$5&lt;=$H113),CT113*(1-BE113)*(1-MIN(1,MAX(Assumptions!$C$27,Assumptions!$C$13*Assumptions!$C$28^(CT$5-1))*$O113)),0)</f>
        <v>0.49218005829997907</v>
      </c>
      <c r="CV113" s="93">
        <f>IF(AND($T113=1,CV$5&lt;=$H113),CU113*(1-BF113)*(1-MIN(1,MAX(Assumptions!$C$27,Assumptions!$C$13*Assumptions!$C$28^(CU$5-1))*$O113)),0)</f>
        <v>0.48120171848265264</v>
      </c>
      <c r="CW113" s="93">
        <f>IF(AND($T113=1,CW$5&lt;=$H113),CV113*(1-BG113)*(1-MIN(1,MAX(Assumptions!$C$27,Assumptions!$C$13*Assumptions!$C$28^(CV$5-1))*$O113)),0)</f>
        <v>0.47041808166256494</v>
      </c>
      <c r="CX113" s="93">
        <f>IF(AND($T113=1,CX$5&lt;=$H113),CW113*(1-BH113)*(1-MIN(1,MAX(Assumptions!$C$27,Assumptions!$C$13*Assumptions!$C$28^(CW$5-1))*$O113)),0)</f>
        <v>0.45978168849273093</v>
      </c>
      <c r="CY113" s="93">
        <f>IF(AND($T113=1,CY$5&lt;=$H113),CX113*(1-BI113)*(1-MIN(1,MAX(Assumptions!$C$27,Assumptions!$C$13*Assumptions!$C$28^(CX$5-1))*$O113)),0)</f>
        <v>0.44928582304480064</v>
      </c>
      <c r="CZ113" s="93">
        <f>IF(AND($T113=1,CZ$5&lt;=$H113),CY113*(1-BJ113)*(1-MIN(1,MAX(Assumptions!$C$27,Assumptions!$C$13*Assumptions!$C$28^(CY$5-1))*$O113)),0)</f>
        <v>0.43892373611685614</v>
      </c>
      <c r="DA113" s="93">
        <f>IF(AND($T113=1,DA$5&lt;=$H113),CZ113*(1-BK113)*(1-MIN(1,MAX(Assumptions!$C$27,Assumptions!$C$13*Assumptions!$C$28^(CZ$5-1))*$O113)),0)</f>
        <v>0.42868864479027696</v>
      </c>
      <c r="DB113" s="93">
        <f>IF(AND($T113=1,DB$5&lt;=$H113),DA113*(1-BL113)*(1-MIN(1,MAX(Assumptions!$C$27,Assumptions!$C$13*Assumptions!$C$28^(DA$5-1))*$O113)),0)</f>
        <v>0.41857373319010938</v>
      </c>
      <c r="DC113" s="93">
        <f>IF(AND($T113=1,DC$5&lt;=$H113),DB113*(1-BM113)*(1-MIN(1,MAX(Assumptions!$C$27,Assumptions!$C$13*Assumptions!$C$28^(DB$5-1))*$O113)),0)</f>
        <v>0.4085721546595053</v>
      </c>
      <c r="DD113" s="93">
        <f>IF(AND($T113=1,DD$5&lt;=$H113),DC113*(1-BN113)*(1-MIN(1,MAX(Assumptions!$C$27,Assumptions!$C$13*Assumptions!$C$28^(DC$5-1))*$O113)),0)</f>
        <v>0</v>
      </c>
      <c r="DE113" s="93">
        <f>IF(AND($T113=1,DE$5&lt;=$H113),DD113*(1-BO113)*(1-MIN(1,MAX(Assumptions!$C$27,Assumptions!$C$13*Assumptions!$C$28^(DD$5-1))*$O113)),0)</f>
        <v>0</v>
      </c>
      <c r="DF113" s="93">
        <f>IF(AND($T113=1,DF$5&lt;=$H113),DE113*(1-BP113)*(1-MIN(1,MAX(Assumptions!$C$27,Assumptions!$C$13*Assumptions!$C$28^(DE$5-1))*$O113)),0)</f>
        <v>0</v>
      </c>
      <c r="DG113" s="93">
        <f>IF(AND($T113=1,DG$5&lt;=$H113),DF113*(1-BQ113)*(1-MIN(1,MAX(Assumptions!$C$27,Assumptions!$C$13*Assumptions!$C$28^(DF$5-1))*$O113)),0)</f>
        <v>0</v>
      </c>
      <c r="DH113" s="93">
        <f>IF(AND($T113=1,DH$5&lt;=$H113),DG113*(1-BR113)*(1-MIN(1,MAX(Assumptions!$C$27,Assumptions!$C$13*Assumptions!$C$28^(DG$5-1))*$O113)),0)</f>
        <v>0</v>
      </c>
      <c r="DI113" s="93">
        <f>IF(AND($T113=1,DI$5&lt;=$H113),DH113*(1-BS113)*(1-MIN(1,MAX(Assumptions!$C$27,Assumptions!$C$13*Assumptions!$C$28^(DH$5-1))*$O113)),0)</f>
        <v>0</v>
      </c>
      <c r="DJ113" s="93">
        <f>IF(AND($T113=1,DJ$5&lt;=$H113),DI113*(1-BT113)*(1-MIN(1,MAX(Assumptions!$C$27,Assumptions!$C$13*Assumptions!$C$28^(DI$5-1))*$O113)),0)</f>
        <v>0</v>
      </c>
      <c r="DK113" s="93">
        <f>IF(AND($T113=1,DK$5&lt;=$H113),DJ113*(1-BU113)*(1-MIN(1,MAX(Assumptions!$C$27,Assumptions!$C$13*Assumptions!$C$28^(DJ$5-1))*$O113)),0)</f>
        <v>0</v>
      </c>
      <c r="DL113" s="93">
        <f>IF(AND($T113=1,DL$5&lt;=$H113),DK113*(1-BV113)*(1-MIN(1,MAX(Assumptions!$C$27,Assumptions!$C$13*Assumptions!$C$28^(DK$5-1))*$O113)),0)</f>
        <v>0</v>
      </c>
      <c r="DM113" s="93">
        <f>IF(AND($T113=1,DM$5&lt;=$H113),DL113*(1-BW113)*(1-MIN(1,MAX(Assumptions!$C$27,Assumptions!$C$13*Assumptions!$C$28^(DL$5-1))*$O113)),0)</f>
        <v>0</v>
      </c>
      <c r="DN113" s="93">
        <f>IF(AND($T113=1,DN$5&lt;=$H113),DM113*(1-BX113)*(1-MIN(1,MAX(Assumptions!$C$27,Assumptions!$C$13*Assumptions!$C$28^(DM$5-1))*$O113)),0)</f>
        <v>0</v>
      </c>
      <c r="DO113" s="93">
        <f>IF(AND($T113=1,DO$5&lt;=$H113),DN113*(1-BY113)*(1-MIN(1,MAX(Assumptions!$C$27,Assumptions!$C$13*Assumptions!$C$28^(DN$5-1))*$O113)),0)</f>
        <v>0</v>
      </c>
      <c r="DP113" s="93">
        <f>IF(AND($T113=1,DP$5&lt;=$H113),DO113*(1-BZ113)*(1-MIN(1,MAX(Assumptions!$C$27,Assumptions!$C$13*Assumptions!$C$28^(DO$5-1))*$O113)),0)</f>
        <v>0</v>
      </c>
      <c r="DQ113" s="93">
        <f>IF(AND($T113=1,DQ$5&lt;=$H113),DP113*(1-CA113)*(1-MIN(1,MAX(Assumptions!$C$27,Assumptions!$C$13*Assumptions!$C$28^(DP$5-1))*$O113)),0)</f>
        <v>0</v>
      </c>
      <c r="DR113" s="93">
        <f>IF(AND($T113=1,DR$5&lt;=$H113),DQ113*(1-CB113)*(1-MIN(1,MAX(Assumptions!$C$27,Assumptions!$C$13*Assumptions!$C$28^(DQ$5-1))*$O113)),0)</f>
        <v>0</v>
      </c>
      <c r="DS113" s="93">
        <f>IF(AND($T113=1,DS$5&lt;=$H113),DR113*(1-CC113)*(1-MIN(1,MAX(Assumptions!$C$27,Assumptions!$C$13*Assumptions!$C$28^(DR$5-1))*$O113)),0)</f>
        <v>0</v>
      </c>
      <c r="DT113" s="93">
        <f>IF(AND($T113=1,DT$5&lt;=$H113),DS113*(1-CD113)*(1-MIN(1,MAX(Assumptions!$C$27,Assumptions!$C$13*Assumptions!$C$28^(DS$5-1))*$O113)),0)</f>
        <v>0</v>
      </c>
      <c r="DU113" s="93">
        <f>IF(AND($T113=1,DU$5&lt;=$H113),DT113*(1-CE113)*(1-MIN(1,MAX(Assumptions!$C$27,Assumptions!$C$13*Assumptions!$C$28^(DT$5-1))*$O113)),0)</f>
        <v>0</v>
      </c>
      <c r="DV113" s="93">
        <f>IF(AND($T113=1,DV$5&lt;=$H113),DU113*(1-CF113)*(1-MIN(1,MAX(Assumptions!$C$27,Assumptions!$C$13*Assumptions!$C$28^(DU$5-1))*$O113)),0)</f>
        <v>0</v>
      </c>
      <c r="DW113" s="94">
        <f>IF(AND($T113=1,DW$5&lt;=$H113),DV113*(1-CG113)*(1-MIN(1,MAX(Assumptions!$C$27,Assumptions!$C$13*Assumptions!$C$28^(DV$5-1))*$O113)),0)</f>
        <v>0</v>
      </c>
      <c r="DX113" s="26"/>
      <c r="DY113" s="399">
        <f>'Policy Data'!K87</f>
        <v>3</v>
      </c>
      <c r="DZ113" s="100">
        <f>'Policy Data'!L87</f>
        <v>0.80100000000000005</v>
      </c>
      <c r="EA113" s="100">
        <f>'Policy Data'!N87</f>
        <v>7.54E-4</v>
      </c>
      <c r="EB113" s="93" cm="1">
        <f t="array" ref="EB113">IFERROR(DZ113*INDEX(Mortality!$B$4:$E$64,MATCH(D113+DY113-1,Mortality!$A$4:$A$64,0),U113)*V113,0)</f>
        <v>8.8501943858125347E-4</v>
      </c>
      <c r="EC113" s="100">
        <f>'Policy Data'!O87</f>
        <v>0</v>
      </c>
      <c r="ED113" s="400">
        <f>'Policy Data'!Q87</f>
        <v>0</v>
      </c>
    </row>
    <row r="114" spans="1:134" x14ac:dyDescent="0.3">
      <c r="A114" s="399" t="str">
        <f>'Policy Data'!A88</f>
        <v>POL100084</v>
      </c>
      <c r="B114" s="26" t="s">
        <v>426</v>
      </c>
      <c r="C114" s="100" t="str">
        <f>'Policy Data'!B88</f>
        <v>Term Life</v>
      </c>
      <c r="D114" s="100">
        <f>'Policy Data'!C88</f>
        <v>29</v>
      </c>
      <c r="E114" s="100" t="str">
        <f>'Policy Data'!D88</f>
        <v>Male</v>
      </c>
      <c r="F114" s="100" t="str">
        <f>'Policy Data'!E88</f>
        <v>Non-smoker</v>
      </c>
      <c r="G114" s="100" t="str">
        <f>'Policy Data'!F88</f>
        <v>Standard</v>
      </c>
      <c r="H114" s="100">
        <f>'Policy Data'!G88</f>
        <v>20</v>
      </c>
      <c r="I114" s="279">
        <f>'Policy Data'!H88</f>
        <v>1000000</v>
      </c>
      <c r="J114" s="100" t="str">
        <f>'Policy Data'!I88</f>
        <v>Monthly</v>
      </c>
      <c r="K114" s="100" t="str">
        <f>'Policy Data'!J88</f>
        <v>Broker</v>
      </c>
      <c r="L114" s="26" t="s">
        <v>389</v>
      </c>
      <c r="M114" s="106">
        <f>'Policy Data'!R88</f>
        <v>1593.7</v>
      </c>
      <c r="N114" s="415">
        <f>Assumptions!$C$21</f>
        <v>1</v>
      </c>
      <c r="O114" s="415">
        <f>Assumptions!$C$22</f>
        <v>1</v>
      </c>
      <c r="P114" s="415">
        <f>Assumptions!$C$23</f>
        <v>1</v>
      </c>
      <c r="Q114" s="416">
        <f>Assumptions!$C$24</f>
        <v>0</v>
      </c>
      <c r="R114" s="416">
        <f>Assumptions!$C$6+Assumptions!$C$25</f>
        <v>3.5000000000000003E-2</v>
      </c>
      <c r="S114" s="416">
        <f>Assumptions!$C$15</f>
        <v>1.1000000000000001E-3</v>
      </c>
      <c r="T114" s="26">
        <f t="shared" si="36"/>
        <v>1</v>
      </c>
      <c r="U114" s="26">
        <f t="shared" si="37"/>
        <v>3</v>
      </c>
      <c r="V114" s="389">
        <f>IF($G114="Preferred",Assumptions!$C$30,IF($G114="Rated",Assumptions!$C$31,1))</f>
        <v>1</v>
      </c>
      <c r="W114" s="390">
        <f>IF($K114="Direct",Assumptions!$C$32,IF($K114="Broker",Assumptions!$C$33,IF($K114="Bancassurance",Assumptions!$C$34,Assumptions!$C$11)))+$Q114</f>
        <v>0.25</v>
      </c>
      <c r="X114" s="390">
        <f>Assumptions!$C$12+$Q114</f>
        <v>0.05</v>
      </c>
      <c r="Y114" s="131">
        <f>MIN($I114,Assumptions!$C$14)</f>
        <v>500000</v>
      </c>
      <c r="Z114" s="131">
        <f>MAX($I114-Assumptions!$C$14,0)</f>
        <v>500000</v>
      </c>
      <c r="AA114" s="389">
        <f t="shared" si="38"/>
        <v>8.5937599064217132</v>
      </c>
      <c r="AB114" s="389">
        <f t="shared" si="39"/>
        <v>7.9630538185947834E-3</v>
      </c>
      <c r="AC114" s="389">
        <f>IF($T114=1,SUMPRODUCT($CJ114:$DW114,(1+Assumptions!$C$5)^($CJ$5:$DW$5-1),(1+$R114)^(-$CJ$5:$DW$5)),0)</f>
        <v>11.568755777651687</v>
      </c>
      <c r="AD114" s="389">
        <f t="shared" si="40"/>
        <v>0.62292471029693108</v>
      </c>
      <c r="AE114" s="131">
        <f>IF($T114=1,$AB114*$Y114+(Assumptions!$C$9/(1+$R114)+Assumptions!$C$10*$AC114)*$P114+$S114*$Z114*$AA114,0)</f>
        <v>12122.786346304008</v>
      </c>
      <c r="AF114" s="131">
        <f>IF($T114=1,IF($AA114-$AD114-Assumptions!$C$16*$AA114&gt;0,$AE114/($AA114-$AD114-Assumptions!$C$16*$AA114)*IF($J114="Monthly",1+Assumptions!$C$29,1),"n.a."),"")</f>
        <v>1714.3892130646086</v>
      </c>
      <c r="AG114" s="131">
        <f t="shared" si="41"/>
        <v>1593.7</v>
      </c>
      <c r="AH114" s="131">
        <f t="shared" si="42"/>
        <v>13695.875162864284</v>
      </c>
      <c r="AI114" s="131">
        <f t="shared" si="43"/>
        <v>580.33370576005655</v>
      </c>
      <c r="AJ114" s="390">
        <f t="shared" si="44"/>
        <v>4.237288226265408E-2</v>
      </c>
      <c r="AK114" s="389">
        <f t="shared" si="45"/>
        <v>0.92960220926211568</v>
      </c>
      <c r="AL114" s="131">
        <f t="shared" si="46"/>
        <v>3981.5269092973917</v>
      </c>
      <c r="AM114" s="131">
        <f t="shared" si="47"/>
        <v>4726.5679485319424</v>
      </c>
      <c r="AN114" s="131">
        <f t="shared" si="48"/>
        <v>-745.04103923455068</v>
      </c>
      <c r="AO114" s="131">
        <f t="shared" si="49"/>
        <v>1325.3747449946072</v>
      </c>
      <c r="AP114" s="26" t="str">
        <f t="shared" si="50"/>
        <v>20-29</v>
      </c>
      <c r="AQ114" s="26" t="str">
        <f t="shared" si="51"/>
        <v>500k-1m</v>
      </c>
      <c r="AR114" s="26" t="str">
        <f>IF($T114=1,IF($AI114&lt;0,"Loss-making",IF($AJ114&lt;Assumptions!$C$16-0.00001,"Below target","At/above target")),"Excluded")</f>
        <v>Below target</v>
      </c>
      <c r="AS114" s="103">
        <f t="shared" si="52"/>
        <v>580.3338197600566</v>
      </c>
      <c r="AT114" s="26"/>
      <c r="AU114" s="419">
        <f>IF(AND($T114=1,AU$5&lt;=$H114),INDEX(Mortality!$B$4:$E$64,MATCH($D114+AU$5-1,Mortality!$A$4:$A$64,0),$U114)*$V114*$N114,0)</f>
        <v>4.7771270925508401E-4</v>
      </c>
      <c r="AV114" s="93">
        <f>IF(AND($T114=1,AV$5&lt;=$H114),INDEX(Mortality!$B$4:$E$64,MATCH($D114+AV$5-1,Mortality!$A$4:$A$64,0),$U114)*$V114*$N114,0)</f>
        <v>5.1749999999999995E-4</v>
      </c>
      <c r="AW114" s="93">
        <f>IF(AND($T114=1,AW$5&lt;=$H114),INDEX(Mortality!$B$4:$E$64,MATCH($D114+AW$5-1,Mortality!$A$4:$A$64,0),$U114)*$V114*$N114,0)</f>
        <v>5.6060105752179102E-4</v>
      </c>
      <c r="AX114" s="93">
        <f>IF(AND($T114=1,AX$5&lt;=$H114),INDEX(Mortality!$B$4:$E$64,MATCH($D114+AX$5-1,Mortality!$A$4:$A$64,0),$U114)*$V114*$N114,0)</f>
        <v>6.07291875738262E-4</v>
      </c>
      <c r="AY114" s="93">
        <f>IF(AND($T114=1,AY$5&lt;=$H114),INDEX(Mortality!$B$4:$E$64,MATCH($D114+AY$5-1,Mortality!$A$4:$A$64,0),$U114)*$V114*$N114,0)</f>
        <v>6.5787143529132705E-4</v>
      </c>
      <c r="AZ114" s="93">
        <f>IF(AND($T114=1,AZ$5&lt;=$H114),INDEX(Mortality!$B$4:$E$64,MATCH($D114+AZ$5-1,Mortality!$A$4:$A$64,0),$U114)*$V114*$N114,0)</f>
        <v>7.1266361804385805E-4</v>
      </c>
      <c r="BA114" s="93">
        <f>IF(AND($T114=1,BA$5&lt;=$H114),INDEX(Mortality!$B$4:$E$64,MATCH($D114+BA$5-1,Mortality!$A$4:$A$64,0),$U114)*$V114*$N114,0)</f>
        <v>7.7201928102935699E-4</v>
      </c>
      <c r="BB114" s="93">
        <f>IF(AND($T114=1,BB$5&lt;=$H114),INDEX(Mortality!$B$4:$E$64,MATCH($D114+BB$5-1,Mortality!$A$4:$A$64,0),$U114)*$V114*$N114,0)</f>
        <v>8.3631850313482196E-4</v>
      </c>
      <c r="BC114" s="93">
        <f>IF(AND($T114=1,BC$5&lt;=$H114),INDEX(Mortality!$B$4:$E$64,MATCH($D114+BC$5-1,Mortality!$A$4:$A$64,0),$U114)*$V114*$N114,0)</f>
        <v>9.0597301890323197E-4</v>
      </c>
      <c r="BD114" s="93">
        <f>IF(AND($T114=1,BD$5&lt;=$H114),INDEX(Mortality!$B$4:$E$64,MATCH($D114+BD$5-1,Mortality!$A$4:$A$64,0),$U114)*$V114*$N114,0)</f>
        <v>9.8142885504031189E-4</v>
      </c>
      <c r="BE114" s="93">
        <f>IF(AND($T114=1,BE$5&lt;=$H114),INDEX(Mortality!$B$4:$E$64,MATCH($D114+BE$5-1,Mortality!$A$4:$A$64,0),$U114)*$V114*$N114,0)</f>
        <v>1.06316918650821E-3</v>
      </c>
      <c r="BF114" s="93">
        <f>IF(AND($T114=1,BF$5&lt;=$H114),INDEX(Mortality!$B$4:$E$64,MATCH($D114+BF$5-1,Mortality!$A$4:$A$64,0),$U114)*$V114*$N114,0)</f>
        <v>1.1517174304948501E-3</v>
      </c>
      <c r="BG114" s="93">
        <f>IF(AND($T114=1,BG$5&lt;=$H114),INDEX(Mortality!$B$4:$E$64,MATCH($D114+BG$5-1,Mortality!$A$4:$A$64,0),$U114)*$V114*$N114,0)</f>
        <v>1.24764059807091E-3</v>
      </c>
      <c r="BH114" s="93">
        <f>IF(AND($T114=1,BH$5&lt;=$H114),INDEX(Mortality!$B$4:$E$64,MATCH($D114+BH$5-1,Mortality!$A$4:$A$64,0),$U114)*$V114*$N114,0)</f>
        <v>1.3515529249964601E-3</v>
      </c>
      <c r="BI114" s="93">
        <f>IF(AND($T114=1,BI$5&lt;=$H114),INDEX(Mortality!$B$4:$E$64,MATCH($D114+BI$5-1,Mortality!$A$4:$A$64,0),$U114)*$V114*$N114,0)</f>
        <v>1.4641198049269301E-3</v>
      </c>
      <c r="BJ114" s="93">
        <f>IF(AND($T114=1,BJ$5&lt;=$H114),INDEX(Mortality!$B$4:$E$64,MATCH($D114+BJ$5-1,Mortality!$A$4:$A$64,0),$U114)*$V114*$N114,0)</f>
        <v>1.58606205020413E-3</v>
      </c>
      <c r="BK114" s="93">
        <f>IF(AND($T114=1,BK$5&lt;=$H114),INDEX(Mortality!$B$4:$E$64,MATCH($D114+BK$5-1,Mortality!$A$4:$A$64,0),$U114)*$V114*$N114,0)</f>
        <v>1.71816050751616E-3</v>
      </c>
      <c r="BL114" s="93">
        <f>IF(AND($T114=1,BL$5&lt;=$H114),INDEX(Mortality!$B$4:$E$64,MATCH($D114+BL$5-1,Mortality!$A$4:$A$64,0),$U114)*$V114*$N114,0)</f>
        <v>1.8612610579820999E-3</v>
      </c>
      <c r="BM114" s="93">
        <f>IF(AND($T114=1,BM$5&lt;=$H114),INDEX(Mortality!$B$4:$E$64,MATCH($D114+BM$5-1,Mortality!$A$4:$A$64,0),$U114)*$V114*$N114,0)</f>
        <v>2.0162800336790201E-3</v>
      </c>
      <c r="BN114" s="93">
        <f>IF(AND($T114=1,BN$5&lt;=$H114),INDEX(Mortality!$B$4:$E$64,MATCH($D114+BN$5-1,Mortality!$A$4:$A$64,0),$U114)*$V114*$N114,0)</f>
        <v>2.1842100852957199E-3</v>
      </c>
      <c r="BO114" s="93">
        <f>IF(AND($T114=1,BO$5&lt;=$H114),INDEX(Mortality!$B$4:$E$64,MATCH($D114+BO$5-1,Mortality!$A$4:$A$64,0),$U114)*$V114*$N114,0)</f>
        <v>0</v>
      </c>
      <c r="BP114" s="93">
        <f>IF(AND($T114=1,BP$5&lt;=$H114),INDEX(Mortality!$B$4:$E$64,MATCH($D114+BP$5-1,Mortality!$A$4:$A$64,0),$U114)*$V114*$N114,0)</f>
        <v>0</v>
      </c>
      <c r="BQ114" s="93">
        <f>IF(AND($T114=1,BQ$5&lt;=$H114),INDEX(Mortality!$B$4:$E$64,MATCH($D114+BQ$5-1,Mortality!$A$4:$A$64,0),$U114)*$V114*$N114,0)</f>
        <v>0</v>
      </c>
      <c r="BR114" s="93">
        <f>IF(AND($T114=1,BR$5&lt;=$H114),INDEX(Mortality!$B$4:$E$64,MATCH($D114+BR$5-1,Mortality!$A$4:$A$64,0),$U114)*$V114*$N114,0)</f>
        <v>0</v>
      </c>
      <c r="BS114" s="93">
        <f>IF(AND($T114=1,BS$5&lt;=$H114),INDEX(Mortality!$B$4:$E$64,MATCH($D114+BS$5-1,Mortality!$A$4:$A$64,0),$U114)*$V114*$N114,0)</f>
        <v>0</v>
      </c>
      <c r="BT114" s="93">
        <f>IF(AND($T114=1,BT$5&lt;=$H114),INDEX(Mortality!$B$4:$E$64,MATCH($D114+BT$5-1,Mortality!$A$4:$A$64,0),$U114)*$V114*$N114,0)</f>
        <v>0</v>
      </c>
      <c r="BU114" s="93">
        <f>IF(AND($T114=1,BU$5&lt;=$H114),INDEX(Mortality!$B$4:$E$64,MATCH($D114+BU$5-1,Mortality!$A$4:$A$64,0),$U114)*$V114*$N114,0)</f>
        <v>0</v>
      </c>
      <c r="BV114" s="93">
        <f>IF(AND($T114=1,BV$5&lt;=$H114),INDEX(Mortality!$B$4:$E$64,MATCH($D114+BV$5-1,Mortality!$A$4:$A$64,0),$U114)*$V114*$N114,0)</f>
        <v>0</v>
      </c>
      <c r="BW114" s="93">
        <f>IF(AND($T114=1,BW$5&lt;=$H114),INDEX(Mortality!$B$4:$E$64,MATCH($D114+BW$5-1,Mortality!$A$4:$A$64,0),$U114)*$V114*$N114,0)</f>
        <v>0</v>
      </c>
      <c r="BX114" s="93">
        <f>IF(AND($T114=1,BX$5&lt;=$H114),INDEX(Mortality!$B$4:$E$64,MATCH($D114+BX$5-1,Mortality!$A$4:$A$64,0),$U114)*$V114*$N114,0)</f>
        <v>0</v>
      </c>
      <c r="BY114" s="93">
        <f>IF(AND($T114=1,BY$5&lt;=$H114),INDEX(Mortality!$B$4:$E$64,MATCH($D114+BY$5-1,Mortality!$A$4:$A$64,0),$U114)*$V114*$N114,0)</f>
        <v>0</v>
      </c>
      <c r="BZ114" s="93">
        <f>IF(AND($T114=1,BZ$5&lt;=$H114),INDEX(Mortality!$B$4:$E$64,MATCH($D114+BZ$5-1,Mortality!$A$4:$A$64,0),$U114)*$V114*$N114,0)</f>
        <v>0</v>
      </c>
      <c r="CA114" s="93">
        <f>IF(AND($T114=1,CA$5&lt;=$H114),INDEX(Mortality!$B$4:$E$64,MATCH($D114+CA$5-1,Mortality!$A$4:$A$64,0),$U114)*$V114*$N114,0)</f>
        <v>0</v>
      </c>
      <c r="CB114" s="93">
        <f>IF(AND($T114=1,CB$5&lt;=$H114),INDEX(Mortality!$B$4:$E$64,MATCH($D114+CB$5-1,Mortality!$A$4:$A$64,0),$U114)*$V114*$N114,0)</f>
        <v>0</v>
      </c>
      <c r="CC114" s="93">
        <f>IF(AND($T114=1,CC$5&lt;=$H114),INDEX(Mortality!$B$4:$E$64,MATCH($D114+CC$5-1,Mortality!$A$4:$A$64,0),$U114)*$V114*$N114,0)</f>
        <v>0</v>
      </c>
      <c r="CD114" s="93">
        <f>IF(AND($T114=1,CD$5&lt;=$H114),INDEX(Mortality!$B$4:$E$64,MATCH($D114+CD$5-1,Mortality!$A$4:$A$64,0),$U114)*$V114*$N114,0)</f>
        <v>0</v>
      </c>
      <c r="CE114" s="93">
        <f>IF(AND($T114=1,CE$5&lt;=$H114),INDEX(Mortality!$B$4:$E$64,MATCH($D114+CE$5-1,Mortality!$A$4:$A$64,0),$U114)*$V114*$N114,0)</f>
        <v>0</v>
      </c>
      <c r="CF114" s="93">
        <f>IF(AND($T114=1,CF$5&lt;=$H114),INDEX(Mortality!$B$4:$E$64,MATCH($D114+CF$5-1,Mortality!$A$4:$A$64,0),$U114)*$V114*$N114,0)</f>
        <v>0</v>
      </c>
      <c r="CG114" s="93">
        <f>IF(AND($T114=1,CG$5&lt;=$H114),INDEX(Mortality!$B$4:$E$64,MATCH($D114+CG$5-1,Mortality!$A$4:$A$64,0),$U114)*$V114*$N114,0)</f>
        <v>0</v>
      </c>
      <c r="CH114" s="94">
        <f>IF(AND($T114=1,CH$5&lt;=$H114),INDEX(Mortality!$B$4:$E$64,MATCH($D114+CH$5-1,Mortality!$A$4:$A$64,0),$U114)*$V114*$N114,0)</f>
        <v>0</v>
      </c>
      <c r="CI114" s="26"/>
      <c r="CJ114" s="419">
        <f t="shared" si="53"/>
        <v>1</v>
      </c>
      <c r="CK114" s="93">
        <f>IF(AND($T114=1,CK$5&lt;=$H114),CJ114*(1-AU114)*(1-MIN(1,MAX(Assumptions!$C$27,Assumptions!$C$13*Assumptions!$C$28^(CJ$5-1))*$O114)),0)</f>
        <v>0.8795796128158555</v>
      </c>
      <c r="CL114" s="93">
        <f>IF(AND($T114=1,CL$5&lt;=$H114),CK114*(1-AV114)*(1-MIN(1,MAX(Assumptions!$C$27,Assumptions!$C$13*Assumptions!$C$28^(CK$5-1))*$O114)),0)</f>
        <v>0.78945373846886857</v>
      </c>
      <c r="CM114" s="93">
        <f>IF(AND($T114=1,CM$5&lt;=$H114),CL114*(1-AW114)*(1-MIN(1,MAX(Assumptions!$C$27,Assumptions!$C$13*Assumptions!$C$28^(CL$5-1))*$O114)),0)</f>
        <v>0.7206039014406439</v>
      </c>
      <c r="CN114" s="93">
        <f>IF(AND($T114=1,CN$5&lt;=$H114),CM114*(1-AX114)*(1-MIN(1,MAX(Assumptions!$C$27,Assumptions!$C$13*Assumptions!$C$28^(CM$5-1))*$O114)),0)</f>
        <v>0.66709363020608026</v>
      </c>
      <c r="CO114" s="93">
        <f>IF(AND($T114=1,CO$5&lt;=$H114),CN114*(1-AY114)*(1-MIN(1,MAX(Assumptions!$C$27,Assumptions!$C$13*Assumptions!$C$28^(CN$5-1))*$O114)),0)</f>
        <v>0.62489501368082445</v>
      </c>
      <c r="CP114" s="93">
        <f>IF(AND($T114=1,CP$5&lt;=$H114),CO114*(1-AZ114)*(1-MIN(1,MAX(Assumptions!$C$27,Assumptions!$C$13*Assumptions!$C$28^(CO$5-1))*$O114)),0)</f>
        <v>0.59120107722422544</v>
      </c>
      <c r="CQ114" s="93">
        <f>IF(AND($T114=1,CQ$5&lt;=$H114),CP114*(1-BA114)*(1-MIN(1,MAX(Assumptions!$C$27,Assumptions!$C$13*Assumptions!$C$28^(CP$5-1))*$O114)),0)</f>
        <v>0.56400877117204518</v>
      </c>
      <c r="CR114" s="93">
        <f>IF(AND($T114=1,CR$5&lt;=$H114),CQ114*(1-BB114)*(1-MIN(1,MAX(Assumptions!$C$27,Assumptions!$C$13*Assumptions!$C$28^(CQ$5-1))*$O114)),0)</f>
        <v>0.54185823104366948</v>
      </c>
      <c r="CS114" s="93">
        <f>IF(AND($T114=1,CS$5&lt;=$H114),CR114*(1-BC114)*(1-MIN(1,MAX(Assumptions!$C$27,Assumptions!$C$13*Assumptions!$C$28^(CR$5-1))*$O114)),0)</f>
        <v>0.52366522620550571</v>
      </c>
      <c r="CT114" s="93">
        <f>IF(AND($T114=1,CT$5&lt;=$H114),CS114*(1-BD114)*(1-MIN(1,MAX(Assumptions!$C$27,Assumptions!$C$13*Assumptions!$C$28^(CS$5-1))*$O114)),0)</f>
        <v>0.50861080164406158</v>
      </c>
      <c r="CU114" s="93">
        <f>IF(AND($T114=1,CU$5&lt;=$H114),CT114*(1-BE114)*(1-MIN(1,MAX(Assumptions!$C$27,Assumptions!$C$13*Assumptions!$C$28^(CT$5-1))*$O114)),0)</f>
        <v>0.49606694340610896</v>
      </c>
      <c r="CV114" s="93">
        <f>IF(AND($T114=1,CV$5&lt;=$H114),CU114*(1-BF114)*(1-MIN(1,MAX(Assumptions!$C$27,Assumptions!$C$13*Assumptions!$C$28^(CU$5-1))*$O114)),0)</f>
        <v>0.4855454732577561</v>
      </c>
      <c r="CW114" s="93">
        <f>IF(AND($T114=1,CW$5&lt;=$H114),CV114*(1-BG114)*(1-MIN(1,MAX(Assumptions!$C$27,Assumptions!$C$13*Assumptions!$C$28^(CV$5-1))*$O114)),0)</f>
        <v>0.47524089327284796</v>
      </c>
      <c r="CX114" s="93">
        <f>IF(AND($T114=1,CX$5&lt;=$H114),CW114*(1-BH114)*(1-MIN(1,MAX(Assumptions!$C$27,Assumptions!$C$13*Assumptions!$C$28^(CW$5-1))*$O114)),0)</f>
        <v>0.46510660845239776</v>
      </c>
      <c r="CY114" s="93">
        <f>IF(AND($T114=1,CY$5&lt;=$H114),CX114*(1-BI114)*(1-MIN(1,MAX(Assumptions!$C$27,Assumptions!$C$13*Assumptions!$C$28^(CX$5-1))*$O114)),0)</f>
        <v>0.45513712392244904</v>
      </c>
      <c r="CZ114" s="93">
        <f>IF(AND($T114=1,CZ$5&lt;=$H114),CY114*(1-BJ114)*(1-MIN(1,MAX(Assumptions!$C$27,Assumptions!$C$13*Assumptions!$C$28^(CY$5-1))*$O114)),0)</f>
        <v>0.44532694323850541</v>
      </c>
      <c r="DA114" s="93">
        <f>IF(AND($T114=1,DA$5&lt;=$H114),CZ114*(1-BK114)*(1-MIN(1,MAX(Assumptions!$C$27,Assumptions!$C$13*Assumptions!$C$28^(CZ$5-1))*$O114)),0)</f>
        <v>0.43567056407026611</v>
      </c>
      <c r="DB114" s="93">
        <f>IF(AND($T114=1,DB$5&lt;=$H114),DA114*(1-BL114)*(1-MIN(1,MAX(Assumptions!$C$27,Assumptions!$C$13*Assumptions!$C$28^(DA$5-1))*$O114)),0)</f>
        <v>0.42616247406694796</v>
      </c>
      <c r="DC114" s="93">
        <f>IF(AND($T114=1,DC$5&lt;=$H114),DB114*(1-BM114)*(1-MIN(1,MAX(Assumptions!$C$27,Assumptions!$C$13*Assumptions!$C$28^(DB$5-1))*$O114)),0)</f>
        <v>0.41679714695579584</v>
      </c>
      <c r="DD114" s="93">
        <f>IF(AND($T114=1,DD$5&lt;=$H114),DC114*(1-BN114)*(1-MIN(1,MAX(Assumptions!$C$27,Assumptions!$C$13*Assumptions!$C$28^(DC$5-1))*$O114)),0)</f>
        <v>0</v>
      </c>
      <c r="DE114" s="93">
        <f>IF(AND($T114=1,DE$5&lt;=$H114),DD114*(1-BO114)*(1-MIN(1,MAX(Assumptions!$C$27,Assumptions!$C$13*Assumptions!$C$28^(DD$5-1))*$O114)),0)</f>
        <v>0</v>
      </c>
      <c r="DF114" s="93">
        <f>IF(AND($T114=1,DF$5&lt;=$H114),DE114*(1-BP114)*(1-MIN(1,MAX(Assumptions!$C$27,Assumptions!$C$13*Assumptions!$C$28^(DE$5-1))*$O114)),0)</f>
        <v>0</v>
      </c>
      <c r="DG114" s="93">
        <f>IF(AND($T114=1,DG$5&lt;=$H114),DF114*(1-BQ114)*(1-MIN(1,MAX(Assumptions!$C$27,Assumptions!$C$13*Assumptions!$C$28^(DF$5-1))*$O114)),0)</f>
        <v>0</v>
      </c>
      <c r="DH114" s="93">
        <f>IF(AND($T114=1,DH$5&lt;=$H114),DG114*(1-BR114)*(1-MIN(1,MAX(Assumptions!$C$27,Assumptions!$C$13*Assumptions!$C$28^(DG$5-1))*$O114)),0)</f>
        <v>0</v>
      </c>
      <c r="DI114" s="93">
        <f>IF(AND($T114=1,DI$5&lt;=$H114),DH114*(1-BS114)*(1-MIN(1,MAX(Assumptions!$C$27,Assumptions!$C$13*Assumptions!$C$28^(DH$5-1))*$O114)),0)</f>
        <v>0</v>
      </c>
      <c r="DJ114" s="93">
        <f>IF(AND($T114=1,DJ$5&lt;=$H114),DI114*(1-BT114)*(1-MIN(1,MAX(Assumptions!$C$27,Assumptions!$C$13*Assumptions!$C$28^(DI$5-1))*$O114)),0)</f>
        <v>0</v>
      </c>
      <c r="DK114" s="93">
        <f>IF(AND($T114=1,DK$5&lt;=$H114),DJ114*(1-BU114)*(1-MIN(1,MAX(Assumptions!$C$27,Assumptions!$C$13*Assumptions!$C$28^(DJ$5-1))*$O114)),0)</f>
        <v>0</v>
      </c>
      <c r="DL114" s="93">
        <f>IF(AND($T114=1,DL$5&lt;=$H114),DK114*(1-BV114)*(1-MIN(1,MAX(Assumptions!$C$27,Assumptions!$C$13*Assumptions!$C$28^(DK$5-1))*$O114)),0)</f>
        <v>0</v>
      </c>
      <c r="DM114" s="93">
        <f>IF(AND($T114=1,DM$5&lt;=$H114),DL114*(1-BW114)*(1-MIN(1,MAX(Assumptions!$C$27,Assumptions!$C$13*Assumptions!$C$28^(DL$5-1))*$O114)),0)</f>
        <v>0</v>
      </c>
      <c r="DN114" s="93">
        <f>IF(AND($T114=1,DN$5&lt;=$H114),DM114*(1-BX114)*(1-MIN(1,MAX(Assumptions!$C$27,Assumptions!$C$13*Assumptions!$C$28^(DM$5-1))*$O114)),0)</f>
        <v>0</v>
      </c>
      <c r="DO114" s="93">
        <f>IF(AND($T114=1,DO$5&lt;=$H114),DN114*(1-BY114)*(1-MIN(1,MAX(Assumptions!$C$27,Assumptions!$C$13*Assumptions!$C$28^(DN$5-1))*$O114)),0)</f>
        <v>0</v>
      </c>
      <c r="DP114" s="93">
        <f>IF(AND($T114=1,DP$5&lt;=$H114),DO114*(1-BZ114)*(1-MIN(1,MAX(Assumptions!$C$27,Assumptions!$C$13*Assumptions!$C$28^(DO$5-1))*$O114)),0)</f>
        <v>0</v>
      </c>
      <c r="DQ114" s="93">
        <f>IF(AND($T114=1,DQ$5&lt;=$H114),DP114*(1-CA114)*(1-MIN(1,MAX(Assumptions!$C$27,Assumptions!$C$13*Assumptions!$C$28^(DP$5-1))*$O114)),0)</f>
        <v>0</v>
      </c>
      <c r="DR114" s="93">
        <f>IF(AND($T114=1,DR$5&lt;=$H114),DQ114*(1-CB114)*(1-MIN(1,MAX(Assumptions!$C$27,Assumptions!$C$13*Assumptions!$C$28^(DQ$5-1))*$O114)),0)</f>
        <v>0</v>
      </c>
      <c r="DS114" s="93">
        <f>IF(AND($T114=1,DS$5&lt;=$H114),DR114*(1-CC114)*(1-MIN(1,MAX(Assumptions!$C$27,Assumptions!$C$13*Assumptions!$C$28^(DR$5-1))*$O114)),0)</f>
        <v>0</v>
      </c>
      <c r="DT114" s="93">
        <f>IF(AND($T114=1,DT$5&lt;=$H114),DS114*(1-CD114)*(1-MIN(1,MAX(Assumptions!$C$27,Assumptions!$C$13*Assumptions!$C$28^(DS$5-1))*$O114)),0)</f>
        <v>0</v>
      </c>
      <c r="DU114" s="93">
        <f>IF(AND($T114=1,DU$5&lt;=$H114),DT114*(1-CE114)*(1-MIN(1,MAX(Assumptions!$C$27,Assumptions!$C$13*Assumptions!$C$28^(DT$5-1))*$O114)),0)</f>
        <v>0</v>
      </c>
      <c r="DV114" s="93">
        <f>IF(AND($T114=1,DV$5&lt;=$H114),DU114*(1-CF114)*(1-MIN(1,MAX(Assumptions!$C$27,Assumptions!$C$13*Assumptions!$C$28^(DU$5-1))*$O114)),0)</f>
        <v>0</v>
      </c>
      <c r="DW114" s="94">
        <f>IF(AND($T114=1,DW$5&lt;=$H114),DV114*(1-CG114)*(1-MIN(1,MAX(Assumptions!$C$27,Assumptions!$C$13*Assumptions!$C$28^(DV$5-1))*$O114)),0)</f>
        <v>0</v>
      </c>
      <c r="DX114" s="26"/>
      <c r="DY114" s="399">
        <f>'Policy Data'!K88</f>
        <v>2</v>
      </c>
      <c r="DZ114" s="100">
        <f>'Policy Data'!L88</f>
        <v>0.57530000000000003</v>
      </c>
      <c r="EA114" s="100">
        <f>'Policy Data'!N88</f>
        <v>2.7500000000000002E-4</v>
      </c>
      <c r="EB114" s="93" cm="1">
        <f t="array" ref="EB114">IFERROR(DZ114*INDEX(Mortality!$B$4:$E$64,MATCH(D114+DY114-1,Mortality!$A$4:$A$64,0),U114)*V114,0)</f>
        <v>2.9771775000000001E-4</v>
      </c>
      <c r="EC114" s="100">
        <f>'Policy Data'!O88</f>
        <v>0</v>
      </c>
      <c r="ED114" s="400">
        <f>'Policy Data'!Q88</f>
        <v>0</v>
      </c>
    </row>
    <row r="115" spans="1:134" x14ac:dyDescent="0.3">
      <c r="A115" s="399" t="str">
        <f>'Policy Data'!A89</f>
        <v>POL100085</v>
      </c>
      <c r="B115" s="26" t="s">
        <v>426</v>
      </c>
      <c r="C115" s="100" t="str">
        <f>'Policy Data'!B89</f>
        <v>Term Life</v>
      </c>
      <c r="D115" s="100">
        <f>'Policy Data'!C89</f>
        <v>37</v>
      </c>
      <c r="E115" s="100" t="str">
        <f>'Policy Data'!D89</f>
        <v>Male</v>
      </c>
      <c r="F115" s="100" t="str">
        <f>'Policy Data'!E89</f>
        <v>Non-smoker</v>
      </c>
      <c r="G115" s="100" t="str">
        <f>'Policy Data'!F89</f>
        <v>Standard</v>
      </c>
      <c r="H115" s="100">
        <f>'Policy Data'!G89</f>
        <v>15</v>
      </c>
      <c r="I115" s="279">
        <f>'Policy Data'!H89</f>
        <v>2000000</v>
      </c>
      <c r="J115" s="100" t="str">
        <f>'Policy Data'!I89</f>
        <v>Monthly</v>
      </c>
      <c r="K115" s="100" t="str">
        <f>'Policy Data'!J89</f>
        <v>Direct</v>
      </c>
      <c r="L115" s="26" t="s">
        <v>389</v>
      </c>
      <c r="M115" s="106">
        <f>'Policy Data'!R89</f>
        <v>3718.1</v>
      </c>
      <c r="N115" s="415">
        <f>Assumptions!$C$21</f>
        <v>1</v>
      </c>
      <c r="O115" s="415">
        <f>Assumptions!$C$22</f>
        <v>1</v>
      </c>
      <c r="P115" s="415">
        <f>Assumptions!$C$23</f>
        <v>1</v>
      </c>
      <c r="Q115" s="416">
        <f>Assumptions!$C$24</f>
        <v>0</v>
      </c>
      <c r="R115" s="416">
        <f>Assumptions!$C$6+Assumptions!$C$25</f>
        <v>3.5000000000000003E-2</v>
      </c>
      <c r="S115" s="416">
        <f>Assumptions!$C$15</f>
        <v>1.1000000000000001E-3</v>
      </c>
      <c r="T115" s="26">
        <f t="shared" si="36"/>
        <v>1</v>
      </c>
      <c r="U115" s="26">
        <f t="shared" si="37"/>
        <v>3</v>
      </c>
      <c r="V115" s="389">
        <f>IF($G115="Preferred",Assumptions!$C$30,IF($G115="Rated",Assumptions!$C$31,1))</f>
        <v>1</v>
      </c>
      <c r="W115" s="390">
        <f>IF($K115="Direct",Assumptions!$C$32,IF($K115="Broker",Assumptions!$C$33,IF($K115="Bancassurance",Assumptions!$C$34,Assumptions!$C$11)))+$Q115</f>
        <v>0.1</v>
      </c>
      <c r="X115" s="390">
        <f>Assumptions!$C$12+$Q115</f>
        <v>0.05</v>
      </c>
      <c r="Y115" s="131">
        <f>MIN($I115,Assumptions!$C$14)</f>
        <v>500000</v>
      </c>
      <c r="Z115" s="131">
        <f>MAX($I115-Assumptions!$C$14,0)</f>
        <v>1500000</v>
      </c>
      <c r="AA115" s="389">
        <f t="shared" si="38"/>
        <v>7.3934356339877345</v>
      </c>
      <c r="AB115" s="389">
        <f t="shared" si="39"/>
        <v>1.0912809374873992E-2</v>
      </c>
      <c r="AC115" s="389">
        <f>IF($T115=1,SUMPRODUCT($CJ115:$DW115,(1+Assumptions!$C$5)^($CJ$5:$DW$5-1),(1+$R115)^(-$CJ$5:$DW$5)),0)</f>
        <v>9.2490786525622912</v>
      </c>
      <c r="AD115" s="389">
        <f t="shared" si="40"/>
        <v>0.41798096044334809</v>
      </c>
      <c r="AE115" s="131">
        <f>IF($T115=1,$AB115*$Y115+(Assumptions!$C$9/(1+$R115)+Assumptions!$C$10*$AC115)*$P115+$S115*$Z115*$AA115,0)</f>
        <v>20559.936004471769</v>
      </c>
      <c r="AF115" s="131">
        <f>IF($T115=1,IF($AA115-$AD115-Assumptions!$C$16*$AA115&gt;0,$AE115/($AA115-$AD115-Assumptions!$C$16*$AA115)*IF($J115="Monthly",1+Assumptions!$C$29,1),"n.a."),"")</f>
        <v>3317.1680788981098</v>
      </c>
      <c r="AG115" s="131">
        <f t="shared" si="41"/>
        <v>3718.1</v>
      </c>
      <c r="AH115" s="131">
        <f t="shared" si="42"/>
        <v>27489.533030729795</v>
      </c>
      <c r="AI115" s="131">
        <f t="shared" si="43"/>
        <v>5375.5020172336153</v>
      </c>
      <c r="AJ115" s="390">
        <f t="shared" si="44"/>
        <v>0.19554722923901577</v>
      </c>
      <c r="AK115" s="389">
        <f t="shared" si="45"/>
        <v>1.1208657238842932</v>
      </c>
      <c r="AL115" s="131">
        <f t="shared" si="46"/>
        <v>16369.214062310988</v>
      </c>
      <c r="AM115" s="131">
        <f t="shared" si="47"/>
        <v>12199.168796079763</v>
      </c>
      <c r="AN115" s="131">
        <f t="shared" si="48"/>
        <v>4170.0452662312255</v>
      </c>
      <c r="AO115" s="131">
        <f t="shared" si="49"/>
        <v>1205.4567510023899</v>
      </c>
      <c r="AP115" s="26" t="str">
        <f t="shared" si="50"/>
        <v>30-39</v>
      </c>
      <c r="AQ115" s="26" t="str">
        <f t="shared" si="51"/>
        <v>Over 1m</v>
      </c>
      <c r="AR115" s="26" t="str">
        <f>IF($T115=1,IF($AI115&lt;0,"Loss-making",IF($AJ115&lt;Assumptions!$C$16-0.00001,"Below target","At/above target")),"Excluded")</f>
        <v>At/above target</v>
      </c>
      <c r="AS115" s="103">
        <f t="shared" si="52"/>
        <v>5375.5021322336152</v>
      </c>
      <c r="AT115" s="26"/>
      <c r="AU115" s="419">
        <f>IF(AND($T115=1,AU$5&lt;=$H115),INDEX(Mortality!$B$4:$E$64,MATCH($D115+AU$5-1,Mortality!$A$4:$A$64,0),$U115)*$V115*$N115,0)</f>
        <v>9.0597301890323197E-4</v>
      </c>
      <c r="AV115" s="93">
        <f>IF(AND($T115=1,AV$5&lt;=$H115),INDEX(Mortality!$B$4:$E$64,MATCH($D115+AV$5-1,Mortality!$A$4:$A$64,0),$U115)*$V115*$N115,0)</f>
        <v>9.8142885504031189E-4</v>
      </c>
      <c r="AW115" s="93">
        <f>IF(AND($T115=1,AW$5&lt;=$H115),INDEX(Mortality!$B$4:$E$64,MATCH($D115+AW$5-1,Mortality!$A$4:$A$64,0),$U115)*$V115*$N115,0)</f>
        <v>1.06316918650821E-3</v>
      </c>
      <c r="AX115" s="93">
        <f>IF(AND($T115=1,AX$5&lt;=$H115),INDEX(Mortality!$B$4:$E$64,MATCH($D115+AX$5-1,Mortality!$A$4:$A$64,0),$U115)*$V115*$N115,0)</f>
        <v>1.1517174304948501E-3</v>
      </c>
      <c r="AY115" s="93">
        <f>IF(AND($T115=1,AY$5&lt;=$H115),INDEX(Mortality!$B$4:$E$64,MATCH($D115+AY$5-1,Mortality!$A$4:$A$64,0),$U115)*$V115*$N115,0)</f>
        <v>1.24764059807091E-3</v>
      </c>
      <c r="AZ115" s="93">
        <f>IF(AND($T115=1,AZ$5&lt;=$H115),INDEX(Mortality!$B$4:$E$64,MATCH($D115+AZ$5-1,Mortality!$A$4:$A$64,0),$U115)*$V115*$N115,0)</f>
        <v>1.3515529249964601E-3</v>
      </c>
      <c r="BA115" s="93">
        <f>IF(AND($T115=1,BA$5&lt;=$H115),INDEX(Mortality!$B$4:$E$64,MATCH($D115+BA$5-1,Mortality!$A$4:$A$64,0),$U115)*$V115*$N115,0)</f>
        <v>1.4641198049269301E-3</v>
      </c>
      <c r="BB115" s="93">
        <f>IF(AND($T115=1,BB$5&lt;=$H115),INDEX(Mortality!$B$4:$E$64,MATCH($D115+BB$5-1,Mortality!$A$4:$A$64,0),$U115)*$V115*$N115,0)</f>
        <v>1.58606205020413E-3</v>
      </c>
      <c r="BC115" s="93">
        <f>IF(AND($T115=1,BC$5&lt;=$H115),INDEX(Mortality!$B$4:$E$64,MATCH($D115+BC$5-1,Mortality!$A$4:$A$64,0),$U115)*$V115*$N115,0)</f>
        <v>1.71816050751616E-3</v>
      </c>
      <c r="BD115" s="93">
        <f>IF(AND($T115=1,BD$5&lt;=$H115),INDEX(Mortality!$B$4:$E$64,MATCH($D115+BD$5-1,Mortality!$A$4:$A$64,0),$U115)*$V115*$N115,0)</f>
        <v>1.8612610579820999E-3</v>
      </c>
      <c r="BE115" s="93">
        <f>IF(AND($T115=1,BE$5&lt;=$H115),INDEX(Mortality!$B$4:$E$64,MATCH($D115+BE$5-1,Mortality!$A$4:$A$64,0),$U115)*$V115*$N115,0)</f>
        <v>2.0162800336790201E-3</v>
      </c>
      <c r="BF115" s="93">
        <f>IF(AND($T115=1,BF$5&lt;=$H115),INDEX(Mortality!$B$4:$E$64,MATCH($D115+BF$5-1,Mortality!$A$4:$A$64,0),$U115)*$V115*$N115,0)</f>
        <v>2.1842100852957199E-3</v>
      </c>
      <c r="BG115" s="93">
        <f>IF(AND($T115=1,BG$5&lt;=$H115),INDEX(Mortality!$B$4:$E$64,MATCH($D115+BG$5-1,Mortality!$A$4:$A$64,0),$U115)*$V115*$N115,0)</f>
        <v>2.3661265384860701E-3</v>
      </c>
      <c r="BH115" s="93">
        <f>IF(AND($T115=1,BH$5&lt;=$H115),INDEX(Mortality!$B$4:$E$64,MATCH($D115+BH$5-1,Mortality!$A$4:$A$64,0),$U115)*$V115*$N115,0)</f>
        <v>2.5631942796244698E-3</v>
      </c>
      <c r="BI115" s="93">
        <f>IF(AND($T115=1,BI$5&lt;=$H115),INDEX(Mortality!$B$4:$E$64,MATCH($D115+BI$5-1,Mortality!$A$4:$A$64,0),$U115)*$V115*$N115,0)</f>
        <v>2.7766752150556202E-3</v>
      </c>
      <c r="BJ115" s="93">
        <f>IF(AND($T115=1,BJ$5&lt;=$H115),INDEX(Mortality!$B$4:$E$64,MATCH($D115+BJ$5-1,Mortality!$A$4:$A$64,0),$U115)*$V115*$N115,0)</f>
        <v>0</v>
      </c>
      <c r="BK115" s="93">
        <f>IF(AND($T115=1,BK$5&lt;=$H115),INDEX(Mortality!$B$4:$E$64,MATCH($D115+BK$5-1,Mortality!$A$4:$A$64,0),$U115)*$V115*$N115,0)</f>
        <v>0</v>
      </c>
      <c r="BL115" s="93">
        <f>IF(AND($T115=1,BL$5&lt;=$H115),INDEX(Mortality!$B$4:$E$64,MATCH($D115+BL$5-1,Mortality!$A$4:$A$64,0),$U115)*$V115*$N115,0)</f>
        <v>0</v>
      </c>
      <c r="BM115" s="93">
        <f>IF(AND($T115=1,BM$5&lt;=$H115),INDEX(Mortality!$B$4:$E$64,MATCH($D115+BM$5-1,Mortality!$A$4:$A$64,0),$U115)*$V115*$N115,0)</f>
        <v>0</v>
      </c>
      <c r="BN115" s="93">
        <f>IF(AND($T115=1,BN$5&lt;=$H115),INDEX(Mortality!$B$4:$E$64,MATCH($D115+BN$5-1,Mortality!$A$4:$A$64,0),$U115)*$V115*$N115,0)</f>
        <v>0</v>
      </c>
      <c r="BO115" s="93">
        <f>IF(AND($T115=1,BO$5&lt;=$H115),INDEX(Mortality!$B$4:$E$64,MATCH($D115+BO$5-1,Mortality!$A$4:$A$64,0),$U115)*$V115*$N115,0)</f>
        <v>0</v>
      </c>
      <c r="BP115" s="93">
        <f>IF(AND($T115=1,BP$5&lt;=$H115),INDEX(Mortality!$B$4:$E$64,MATCH($D115+BP$5-1,Mortality!$A$4:$A$64,0),$U115)*$V115*$N115,0)</f>
        <v>0</v>
      </c>
      <c r="BQ115" s="93">
        <f>IF(AND($T115=1,BQ$5&lt;=$H115),INDEX(Mortality!$B$4:$E$64,MATCH($D115+BQ$5-1,Mortality!$A$4:$A$64,0),$U115)*$V115*$N115,0)</f>
        <v>0</v>
      </c>
      <c r="BR115" s="93">
        <f>IF(AND($T115=1,BR$5&lt;=$H115),INDEX(Mortality!$B$4:$E$64,MATCH($D115+BR$5-1,Mortality!$A$4:$A$64,0),$U115)*$V115*$N115,0)</f>
        <v>0</v>
      </c>
      <c r="BS115" s="93">
        <f>IF(AND($T115=1,BS$5&lt;=$H115),INDEX(Mortality!$B$4:$E$64,MATCH($D115+BS$5-1,Mortality!$A$4:$A$64,0),$U115)*$V115*$N115,0)</f>
        <v>0</v>
      </c>
      <c r="BT115" s="93">
        <f>IF(AND($T115=1,BT$5&lt;=$H115),INDEX(Mortality!$B$4:$E$64,MATCH($D115+BT$5-1,Mortality!$A$4:$A$64,0),$U115)*$V115*$N115,0)</f>
        <v>0</v>
      </c>
      <c r="BU115" s="93">
        <f>IF(AND($T115=1,BU$5&lt;=$H115),INDEX(Mortality!$B$4:$E$64,MATCH($D115+BU$5-1,Mortality!$A$4:$A$64,0),$U115)*$V115*$N115,0)</f>
        <v>0</v>
      </c>
      <c r="BV115" s="93">
        <f>IF(AND($T115=1,BV$5&lt;=$H115),INDEX(Mortality!$B$4:$E$64,MATCH($D115+BV$5-1,Mortality!$A$4:$A$64,0),$U115)*$V115*$N115,0)</f>
        <v>0</v>
      </c>
      <c r="BW115" s="93">
        <f>IF(AND($T115=1,BW$5&lt;=$H115),INDEX(Mortality!$B$4:$E$64,MATCH($D115+BW$5-1,Mortality!$A$4:$A$64,0),$U115)*$V115*$N115,0)</f>
        <v>0</v>
      </c>
      <c r="BX115" s="93">
        <f>IF(AND($T115=1,BX$5&lt;=$H115),INDEX(Mortality!$B$4:$E$64,MATCH($D115+BX$5-1,Mortality!$A$4:$A$64,0),$U115)*$V115*$N115,0)</f>
        <v>0</v>
      </c>
      <c r="BY115" s="93">
        <f>IF(AND($T115=1,BY$5&lt;=$H115),INDEX(Mortality!$B$4:$E$64,MATCH($D115+BY$5-1,Mortality!$A$4:$A$64,0),$U115)*$V115*$N115,0)</f>
        <v>0</v>
      </c>
      <c r="BZ115" s="93">
        <f>IF(AND($T115=1,BZ$5&lt;=$H115),INDEX(Mortality!$B$4:$E$64,MATCH($D115+BZ$5-1,Mortality!$A$4:$A$64,0),$U115)*$V115*$N115,0)</f>
        <v>0</v>
      </c>
      <c r="CA115" s="93">
        <f>IF(AND($T115=1,CA$5&lt;=$H115),INDEX(Mortality!$B$4:$E$64,MATCH($D115+CA$5-1,Mortality!$A$4:$A$64,0),$U115)*$V115*$N115,0)</f>
        <v>0</v>
      </c>
      <c r="CB115" s="93">
        <f>IF(AND($T115=1,CB$5&lt;=$H115),INDEX(Mortality!$B$4:$E$64,MATCH($D115+CB$5-1,Mortality!$A$4:$A$64,0),$U115)*$V115*$N115,0)</f>
        <v>0</v>
      </c>
      <c r="CC115" s="93">
        <f>IF(AND($T115=1,CC$5&lt;=$H115),INDEX(Mortality!$B$4:$E$64,MATCH($D115+CC$5-1,Mortality!$A$4:$A$64,0),$U115)*$V115*$N115,0)</f>
        <v>0</v>
      </c>
      <c r="CD115" s="93">
        <f>IF(AND($T115=1,CD$5&lt;=$H115),INDEX(Mortality!$B$4:$E$64,MATCH($D115+CD$5-1,Mortality!$A$4:$A$64,0),$U115)*$V115*$N115,0)</f>
        <v>0</v>
      </c>
      <c r="CE115" s="93">
        <f>IF(AND($T115=1,CE$5&lt;=$H115),INDEX(Mortality!$B$4:$E$64,MATCH($D115+CE$5-1,Mortality!$A$4:$A$64,0),$U115)*$V115*$N115,0)</f>
        <v>0</v>
      </c>
      <c r="CF115" s="93">
        <f>IF(AND($T115=1,CF$5&lt;=$H115),INDEX(Mortality!$B$4:$E$64,MATCH($D115+CF$5-1,Mortality!$A$4:$A$64,0),$U115)*$V115*$N115,0)</f>
        <v>0</v>
      </c>
      <c r="CG115" s="93">
        <f>IF(AND($T115=1,CG$5&lt;=$H115),INDEX(Mortality!$B$4:$E$64,MATCH($D115+CG$5-1,Mortality!$A$4:$A$64,0),$U115)*$V115*$N115,0)</f>
        <v>0</v>
      </c>
      <c r="CH115" s="94">
        <f>IF(AND($T115=1,CH$5&lt;=$H115),INDEX(Mortality!$B$4:$E$64,MATCH($D115+CH$5-1,Mortality!$A$4:$A$64,0),$U115)*$V115*$N115,0)</f>
        <v>0</v>
      </c>
      <c r="CI115" s="26"/>
      <c r="CJ115" s="419">
        <f t="shared" si="53"/>
        <v>1</v>
      </c>
      <c r="CK115" s="93">
        <f>IF(AND($T115=1,CK$5&lt;=$H115),CJ115*(1-AU115)*(1-MIN(1,MAX(Assumptions!$C$27,Assumptions!$C$13*Assumptions!$C$28^(CJ$5-1))*$O115)),0)</f>
        <v>0.87920274374336516</v>
      </c>
      <c r="CL115" s="93">
        <f>IF(AND($T115=1,CL$5&lt;=$H115),CK115*(1-AV115)*(1-MIN(1,MAX(Assumptions!$C$27,Assumptions!$C$13*Assumptions!$C$28^(CK$5-1))*$O115)),0)</f>
        <v>0.78874920218349986</v>
      </c>
      <c r="CM115" s="93">
        <f>IF(AND($T115=1,CM$5&lt;=$H115),CL115*(1-AW115)*(1-MIN(1,MAX(Assumptions!$C$27,Assumptions!$C$13*Assumptions!$C$28^(CL$5-1))*$O115)),0)</f>
        <v>0.71959877685913676</v>
      </c>
      <c r="CN115" s="93">
        <f>IF(AND($T115=1,CN$5&lt;=$H115),CM115*(1-AX115)*(1-MIN(1,MAX(Assumptions!$C$27,Assumptions!$C$13*Assumptions!$C$28^(CM$5-1))*$O115)),0)</f>
        <v>0.66580024707763885</v>
      </c>
      <c r="CO115" s="93">
        <f>IF(AND($T115=1,CO$5&lt;=$H115),CN115*(1-AY115)*(1-MIN(1,MAX(Assumptions!$C$27,Assumptions!$C$13*Assumptions!$C$28^(CN$5-1))*$O115)),0)</f>
        <v>0.6233153752138324</v>
      </c>
      <c r="CP115" s="93">
        <f>IF(AND($T115=1,CP$5&lt;=$H115),CO115*(1-AZ115)*(1-MIN(1,MAX(Assumptions!$C$27,Assumptions!$C$13*Assumptions!$C$28^(CO$5-1))*$O115)),0)</f>
        <v>0.58932958590423901</v>
      </c>
      <c r="CQ115" s="93">
        <f>IF(AND($T115=1,CQ$5&lt;=$H115),CP115*(1-BA115)*(1-MIN(1,MAX(Assumptions!$C$27,Assumptions!$C$13*Assumptions!$C$28^(CP$5-1))*$O115)),0)</f>
        <v>0.56183394341706061</v>
      </c>
      <c r="CR115" s="93">
        <f>IF(AND($T115=1,CR$5&lt;=$H115),CQ115*(1-BB115)*(1-MIN(1,MAX(Assumptions!$C$27,Assumptions!$C$13*Assumptions!$C$28^(CQ$5-1))*$O115)),0)</f>
        <v>0.53936378924320372</v>
      </c>
      <c r="CS115" s="93">
        <f>IF(AND($T115=1,CS$5&lt;=$H115),CR115*(1-BC115)*(1-MIN(1,MAX(Assumptions!$C$27,Assumptions!$C$13*Assumptions!$C$28^(CR$5-1))*$O115)),0)</f>
        <v>0.52083079550699307</v>
      </c>
      <c r="CT115" s="93">
        <f>IF(AND($T115=1,CT$5&lt;=$H115),CS115*(1-BD115)*(1-MIN(1,MAX(Assumptions!$C$27,Assumptions!$C$13*Assumptions!$C$28^(CS$5-1))*$O115)),0)</f>
        <v>0.50541234841711702</v>
      </c>
      <c r="CU115" s="93">
        <f>IF(AND($T115=1,CU$5&lt;=$H115),CT115*(1-BE115)*(1-MIN(1,MAX(Assumptions!$C$27,Assumptions!$C$13*Assumptions!$C$28^(CT$5-1))*$O115)),0)</f>
        <v>0.49247704003549508</v>
      </c>
      <c r="CV115" s="93">
        <f>IF(AND($T115=1,CV$5&lt;=$H115),CU115*(1-BF115)*(1-MIN(1,MAX(Assumptions!$C$27,Assumptions!$C$13*Assumptions!$C$28^(CU$5-1))*$O115)),0)</f>
        <v>0.48153344287866356</v>
      </c>
      <c r="CW115" s="93">
        <f>IF(AND($T115=1,CW$5&lt;=$H115),CV115*(1-BG115)*(1-MIN(1,MAX(Assumptions!$C$27,Assumptions!$C$13*Assumptions!$C$28^(CV$5-1))*$O115)),0)</f>
        <v>0.47078619234389374</v>
      </c>
      <c r="CX115" s="93">
        <f>IF(AND($T115=1,CX$5&lt;=$H115),CW115*(1-BH115)*(1-MIN(1,MAX(Assumptions!$C$27,Assumptions!$C$13*Assumptions!$C$28^(CW$5-1))*$O115)),0)</f>
        <v>0.46018788635137664</v>
      </c>
      <c r="CY115" s="93">
        <f>IF(AND($T115=1,CY$5&lt;=$H115),CX115*(1-BI115)*(1-MIN(1,MAX(Assumptions!$C$27,Assumptions!$C$13*Assumptions!$C$28^(CX$5-1))*$O115)),0)</f>
        <v>0</v>
      </c>
      <c r="CZ115" s="93">
        <f>IF(AND($T115=1,CZ$5&lt;=$H115),CY115*(1-BJ115)*(1-MIN(1,MAX(Assumptions!$C$27,Assumptions!$C$13*Assumptions!$C$28^(CY$5-1))*$O115)),0)</f>
        <v>0</v>
      </c>
      <c r="DA115" s="93">
        <f>IF(AND($T115=1,DA$5&lt;=$H115),CZ115*(1-BK115)*(1-MIN(1,MAX(Assumptions!$C$27,Assumptions!$C$13*Assumptions!$C$28^(CZ$5-1))*$O115)),0)</f>
        <v>0</v>
      </c>
      <c r="DB115" s="93">
        <f>IF(AND($T115=1,DB$5&lt;=$H115),DA115*(1-BL115)*(1-MIN(1,MAX(Assumptions!$C$27,Assumptions!$C$13*Assumptions!$C$28^(DA$5-1))*$O115)),0)</f>
        <v>0</v>
      </c>
      <c r="DC115" s="93">
        <f>IF(AND($T115=1,DC$5&lt;=$H115),DB115*(1-BM115)*(1-MIN(1,MAX(Assumptions!$C$27,Assumptions!$C$13*Assumptions!$C$28^(DB$5-1))*$O115)),0)</f>
        <v>0</v>
      </c>
      <c r="DD115" s="93">
        <f>IF(AND($T115=1,DD$5&lt;=$H115),DC115*(1-BN115)*(1-MIN(1,MAX(Assumptions!$C$27,Assumptions!$C$13*Assumptions!$C$28^(DC$5-1))*$O115)),0)</f>
        <v>0</v>
      </c>
      <c r="DE115" s="93">
        <f>IF(AND($T115=1,DE$5&lt;=$H115),DD115*(1-BO115)*(1-MIN(1,MAX(Assumptions!$C$27,Assumptions!$C$13*Assumptions!$C$28^(DD$5-1))*$O115)),0)</f>
        <v>0</v>
      </c>
      <c r="DF115" s="93">
        <f>IF(AND($T115=1,DF$5&lt;=$H115),DE115*(1-BP115)*(1-MIN(1,MAX(Assumptions!$C$27,Assumptions!$C$13*Assumptions!$C$28^(DE$5-1))*$O115)),0)</f>
        <v>0</v>
      </c>
      <c r="DG115" s="93">
        <f>IF(AND($T115=1,DG$5&lt;=$H115),DF115*(1-BQ115)*(1-MIN(1,MAX(Assumptions!$C$27,Assumptions!$C$13*Assumptions!$C$28^(DF$5-1))*$O115)),0)</f>
        <v>0</v>
      </c>
      <c r="DH115" s="93">
        <f>IF(AND($T115=1,DH$5&lt;=$H115),DG115*(1-BR115)*(1-MIN(1,MAX(Assumptions!$C$27,Assumptions!$C$13*Assumptions!$C$28^(DG$5-1))*$O115)),0)</f>
        <v>0</v>
      </c>
      <c r="DI115" s="93">
        <f>IF(AND($T115=1,DI$5&lt;=$H115),DH115*(1-BS115)*(1-MIN(1,MAX(Assumptions!$C$27,Assumptions!$C$13*Assumptions!$C$28^(DH$5-1))*$O115)),0)</f>
        <v>0</v>
      </c>
      <c r="DJ115" s="93">
        <f>IF(AND($T115=1,DJ$5&lt;=$H115),DI115*(1-BT115)*(1-MIN(1,MAX(Assumptions!$C$27,Assumptions!$C$13*Assumptions!$C$28^(DI$5-1))*$O115)),0)</f>
        <v>0</v>
      </c>
      <c r="DK115" s="93">
        <f>IF(AND($T115=1,DK$5&lt;=$H115),DJ115*(1-BU115)*(1-MIN(1,MAX(Assumptions!$C$27,Assumptions!$C$13*Assumptions!$C$28^(DJ$5-1))*$O115)),0)</f>
        <v>0</v>
      </c>
      <c r="DL115" s="93">
        <f>IF(AND($T115=1,DL$5&lt;=$H115),DK115*(1-BV115)*(1-MIN(1,MAX(Assumptions!$C$27,Assumptions!$C$13*Assumptions!$C$28^(DK$5-1))*$O115)),0)</f>
        <v>0</v>
      </c>
      <c r="DM115" s="93">
        <f>IF(AND($T115=1,DM$5&lt;=$H115),DL115*(1-BW115)*(1-MIN(1,MAX(Assumptions!$C$27,Assumptions!$C$13*Assumptions!$C$28^(DL$5-1))*$O115)),0)</f>
        <v>0</v>
      </c>
      <c r="DN115" s="93">
        <f>IF(AND($T115=1,DN$5&lt;=$H115),DM115*(1-BX115)*(1-MIN(1,MAX(Assumptions!$C$27,Assumptions!$C$13*Assumptions!$C$28^(DM$5-1))*$O115)),0)</f>
        <v>0</v>
      </c>
      <c r="DO115" s="93">
        <f>IF(AND($T115=1,DO$5&lt;=$H115),DN115*(1-BY115)*(1-MIN(1,MAX(Assumptions!$C$27,Assumptions!$C$13*Assumptions!$C$28^(DN$5-1))*$O115)),0)</f>
        <v>0</v>
      </c>
      <c r="DP115" s="93">
        <f>IF(AND($T115=1,DP$5&lt;=$H115),DO115*(1-BZ115)*(1-MIN(1,MAX(Assumptions!$C$27,Assumptions!$C$13*Assumptions!$C$28^(DO$5-1))*$O115)),0)</f>
        <v>0</v>
      </c>
      <c r="DQ115" s="93">
        <f>IF(AND($T115=1,DQ$5&lt;=$H115),DP115*(1-CA115)*(1-MIN(1,MAX(Assumptions!$C$27,Assumptions!$C$13*Assumptions!$C$28^(DP$5-1))*$O115)),0)</f>
        <v>0</v>
      </c>
      <c r="DR115" s="93">
        <f>IF(AND($T115=1,DR$5&lt;=$H115),DQ115*(1-CB115)*(1-MIN(1,MAX(Assumptions!$C$27,Assumptions!$C$13*Assumptions!$C$28^(DQ$5-1))*$O115)),0)</f>
        <v>0</v>
      </c>
      <c r="DS115" s="93">
        <f>IF(AND($T115=1,DS$5&lt;=$H115),DR115*(1-CC115)*(1-MIN(1,MAX(Assumptions!$C$27,Assumptions!$C$13*Assumptions!$C$28^(DR$5-1))*$O115)),0)</f>
        <v>0</v>
      </c>
      <c r="DT115" s="93">
        <f>IF(AND($T115=1,DT$5&lt;=$H115),DS115*(1-CD115)*(1-MIN(1,MAX(Assumptions!$C$27,Assumptions!$C$13*Assumptions!$C$28^(DS$5-1))*$O115)),0)</f>
        <v>0</v>
      </c>
      <c r="DU115" s="93">
        <f>IF(AND($T115=1,DU$5&lt;=$H115),DT115*(1-CE115)*(1-MIN(1,MAX(Assumptions!$C$27,Assumptions!$C$13*Assumptions!$C$28^(DT$5-1))*$O115)),0)</f>
        <v>0</v>
      </c>
      <c r="DV115" s="93">
        <f>IF(AND($T115=1,DV$5&lt;=$H115),DU115*(1-CF115)*(1-MIN(1,MAX(Assumptions!$C$27,Assumptions!$C$13*Assumptions!$C$28^(DU$5-1))*$O115)),0)</f>
        <v>0</v>
      </c>
      <c r="DW115" s="94">
        <f>IF(AND($T115=1,DW$5&lt;=$H115),DV115*(1-CG115)*(1-MIN(1,MAX(Assumptions!$C$27,Assumptions!$C$13*Assumptions!$C$28^(DV$5-1))*$O115)),0)</f>
        <v>0</v>
      </c>
      <c r="DX115" s="26"/>
      <c r="DY115" s="399">
        <f>'Policy Data'!K89</f>
        <v>7</v>
      </c>
      <c r="DZ115" s="100">
        <f>'Policy Data'!L89</f>
        <v>0.8014</v>
      </c>
      <c r="EA115" s="100">
        <f>'Policy Data'!N89</f>
        <v>7.2599999999999997E-4</v>
      </c>
      <c r="EB115" s="93" cm="1">
        <f t="array" ref="EB115">IFERROR(DZ115*INDEX(Mortality!$B$4:$E$64,MATCH(D115+DY115-1,Mortality!$A$4:$A$64,0),U115)*V115,0)</f>
        <v>1.1733456116684417E-3</v>
      </c>
      <c r="EC115" s="100">
        <f>'Policy Data'!O89</f>
        <v>0</v>
      </c>
      <c r="ED115" s="400">
        <f>'Policy Data'!Q89</f>
        <v>0</v>
      </c>
    </row>
    <row r="116" spans="1:134" x14ac:dyDescent="0.3">
      <c r="A116" s="399" t="str">
        <f>'Policy Data'!A90</f>
        <v>POL100086</v>
      </c>
      <c r="B116" s="26" t="s">
        <v>426</v>
      </c>
      <c r="C116" s="100" t="str">
        <f>'Policy Data'!B90</f>
        <v>Unit-Linked</v>
      </c>
      <c r="D116" s="100">
        <f>'Policy Data'!C90</f>
        <v>32</v>
      </c>
      <c r="E116" s="100" t="str">
        <f>'Policy Data'!D90</f>
        <v>Male</v>
      </c>
      <c r="F116" s="100" t="str">
        <f>'Policy Data'!E90</f>
        <v>Non-smoker</v>
      </c>
      <c r="G116" s="100" t="str">
        <f>'Policy Data'!F90</f>
        <v>Standard</v>
      </c>
      <c r="H116" s="100">
        <f>'Policy Data'!G90</f>
        <v>15</v>
      </c>
      <c r="I116" s="279">
        <f>'Policy Data'!H90</f>
        <v>500000</v>
      </c>
      <c r="J116" s="100" t="str">
        <f>'Policy Data'!I90</f>
        <v>Annual</v>
      </c>
      <c r="K116" s="100" t="str">
        <f>'Policy Data'!J90</f>
        <v>Direct</v>
      </c>
      <c r="L116" s="26" t="s">
        <v>389</v>
      </c>
      <c r="M116" s="106">
        <f>'Policy Data'!R90</f>
        <v>14003.41</v>
      </c>
      <c r="N116" s="415">
        <f>Assumptions!$C$21</f>
        <v>1</v>
      </c>
      <c r="O116" s="415">
        <f>Assumptions!$C$22</f>
        <v>1</v>
      </c>
      <c r="P116" s="415">
        <f>Assumptions!$C$23</f>
        <v>1</v>
      </c>
      <c r="Q116" s="416">
        <f>Assumptions!$C$24</f>
        <v>0</v>
      </c>
      <c r="R116" s="416">
        <f>Assumptions!$C$6+Assumptions!$C$25</f>
        <v>3.5000000000000003E-2</v>
      </c>
      <c r="S116" s="416">
        <f>Assumptions!$C$15</f>
        <v>1.1000000000000001E-3</v>
      </c>
      <c r="T116" s="26">
        <f t="shared" si="36"/>
        <v>0</v>
      </c>
      <c r="U116" s="26">
        <f t="shared" si="37"/>
        <v>3</v>
      </c>
      <c r="V116" s="389">
        <f>IF($G116="Preferred",Assumptions!$C$30,IF($G116="Rated",Assumptions!$C$31,1))</f>
        <v>1</v>
      </c>
      <c r="W116" s="390">
        <f>IF($K116="Direct",Assumptions!$C$32,IF($K116="Broker",Assumptions!$C$33,IF($K116="Bancassurance",Assumptions!$C$34,Assumptions!$C$11)))+$Q116</f>
        <v>0.1</v>
      </c>
      <c r="X116" s="390">
        <f>Assumptions!$C$12+$Q116</f>
        <v>0.05</v>
      </c>
      <c r="Y116" s="131">
        <f>MIN($I116,Assumptions!$C$14)</f>
        <v>500000</v>
      </c>
      <c r="Z116" s="131">
        <f>MAX($I116-Assumptions!$C$14,0)</f>
        <v>0</v>
      </c>
      <c r="AA116" s="389">
        <f t="shared" si="38"/>
        <v>0</v>
      </c>
      <c r="AB116" s="389">
        <f t="shared" si="39"/>
        <v>0</v>
      </c>
      <c r="AC116" s="389">
        <f>IF($T116=1,SUMPRODUCT($CJ116:$DW116,(1+Assumptions!$C$5)^($CJ$5:$DW$5-1),(1+$R116)^(-$CJ$5:$DW$5)),0)</f>
        <v>0</v>
      </c>
      <c r="AD116" s="389">
        <f t="shared" si="40"/>
        <v>0</v>
      </c>
      <c r="AE116" s="131">
        <f>IF($T116=1,$AB116*$Y116+(Assumptions!$C$9/(1+$R116)+Assumptions!$C$10*$AC116)*$P116+$S116*$Z116*$AA116,0)</f>
        <v>0</v>
      </c>
      <c r="AF116" s="131" t="str">
        <f>IF($T116=1,IF($AA116-$AD116-Assumptions!$C$16*$AA116&gt;0,$AE116/($AA116-$AD116-Assumptions!$C$16*$AA116)*IF($J116="Monthly",1+Assumptions!$C$29,1),"n.a."),"")</f>
        <v/>
      </c>
      <c r="AG116" s="131" t="str">
        <f t="shared" si="41"/>
        <v/>
      </c>
      <c r="AH116" s="131" t="str">
        <f t="shared" si="42"/>
        <v/>
      </c>
      <c r="AI116" s="131" t="str">
        <f t="shared" si="43"/>
        <v/>
      </c>
      <c r="AJ116" s="390" t="str">
        <f t="shared" si="44"/>
        <v/>
      </c>
      <c r="AK116" s="389" t="str">
        <f t="shared" si="45"/>
        <v/>
      </c>
      <c r="AL116" s="131" t="str">
        <f t="shared" si="46"/>
        <v/>
      </c>
      <c r="AM116" s="131" t="str">
        <f t="shared" si="47"/>
        <v/>
      </c>
      <c r="AN116" s="131" t="str">
        <f t="shared" si="48"/>
        <v/>
      </c>
      <c r="AO116" s="131" t="str">
        <f t="shared" si="49"/>
        <v/>
      </c>
      <c r="AP116" s="26" t="str">
        <f t="shared" si="50"/>
        <v>30-39</v>
      </c>
      <c r="AQ116" s="26" t="str">
        <f t="shared" si="51"/>
        <v>250k-500k</v>
      </c>
      <c r="AR116" s="26" t="str">
        <f>IF($T116=1,IF($AI116&lt;0,"Loss-making",IF($AJ116&lt;Assumptions!$C$16-0.00001,"Below target","At/above target")),"Excluded")</f>
        <v>Excluded</v>
      </c>
      <c r="AS116" s="103">
        <f t="shared" si="52"/>
        <v>9.9999999999999997E+98</v>
      </c>
      <c r="AT116" s="26"/>
      <c r="AU116" s="419">
        <f>IF(AND($T116=1,AU$5&lt;=$H116),INDEX(Mortality!$B$4:$E$64,MATCH($D116+AU$5-1,Mortality!$A$4:$A$64,0),$U116)*$V116*$N116,0)</f>
        <v>0</v>
      </c>
      <c r="AV116" s="93">
        <f>IF(AND($T116=1,AV$5&lt;=$H116),INDEX(Mortality!$B$4:$E$64,MATCH($D116+AV$5-1,Mortality!$A$4:$A$64,0),$U116)*$V116*$N116,0)</f>
        <v>0</v>
      </c>
      <c r="AW116" s="93">
        <f>IF(AND($T116=1,AW$5&lt;=$H116),INDEX(Mortality!$B$4:$E$64,MATCH($D116+AW$5-1,Mortality!$A$4:$A$64,0),$U116)*$V116*$N116,0)</f>
        <v>0</v>
      </c>
      <c r="AX116" s="93">
        <f>IF(AND($T116=1,AX$5&lt;=$H116),INDEX(Mortality!$B$4:$E$64,MATCH($D116+AX$5-1,Mortality!$A$4:$A$64,0),$U116)*$V116*$N116,0)</f>
        <v>0</v>
      </c>
      <c r="AY116" s="93">
        <f>IF(AND($T116=1,AY$5&lt;=$H116),INDEX(Mortality!$B$4:$E$64,MATCH($D116+AY$5-1,Mortality!$A$4:$A$64,0),$U116)*$V116*$N116,0)</f>
        <v>0</v>
      </c>
      <c r="AZ116" s="93">
        <f>IF(AND($T116=1,AZ$5&lt;=$H116),INDEX(Mortality!$B$4:$E$64,MATCH($D116+AZ$5-1,Mortality!$A$4:$A$64,0),$U116)*$V116*$N116,0)</f>
        <v>0</v>
      </c>
      <c r="BA116" s="93">
        <f>IF(AND($T116=1,BA$5&lt;=$H116),INDEX(Mortality!$B$4:$E$64,MATCH($D116+BA$5-1,Mortality!$A$4:$A$64,0),$U116)*$V116*$N116,0)</f>
        <v>0</v>
      </c>
      <c r="BB116" s="93">
        <f>IF(AND($T116=1,BB$5&lt;=$H116),INDEX(Mortality!$B$4:$E$64,MATCH($D116+BB$5-1,Mortality!$A$4:$A$64,0),$U116)*$V116*$N116,0)</f>
        <v>0</v>
      </c>
      <c r="BC116" s="93">
        <f>IF(AND($T116=1,BC$5&lt;=$H116),INDEX(Mortality!$B$4:$E$64,MATCH($D116+BC$5-1,Mortality!$A$4:$A$64,0),$U116)*$V116*$N116,0)</f>
        <v>0</v>
      </c>
      <c r="BD116" s="93">
        <f>IF(AND($T116=1,BD$5&lt;=$H116),INDEX(Mortality!$B$4:$E$64,MATCH($D116+BD$5-1,Mortality!$A$4:$A$64,0),$U116)*$V116*$N116,0)</f>
        <v>0</v>
      </c>
      <c r="BE116" s="93">
        <f>IF(AND($T116=1,BE$5&lt;=$H116),INDEX(Mortality!$B$4:$E$64,MATCH($D116+BE$5-1,Mortality!$A$4:$A$64,0),$U116)*$V116*$N116,0)</f>
        <v>0</v>
      </c>
      <c r="BF116" s="93">
        <f>IF(AND($T116=1,BF$5&lt;=$H116),INDEX(Mortality!$B$4:$E$64,MATCH($D116+BF$5-1,Mortality!$A$4:$A$64,0),$U116)*$V116*$N116,0)</f>
        <v>0</v>
      </c>
      <c r="BG116" s="93">
        <f>IF(AND($T116=1,BG$5&lt;=$H116),INDEX(Mortality!$B$4:$E$64,MATCH($D116+BG$5-1,Mortality!$A$4:$A$64,0),$U116)*$V116*$N116,0)</f>
        <v>0</v>
      </c>
      <c r="BH116" s="93">
        <f>IF(AND($T116=1,BH$5&lt;=$H116),INDEX(Mortality!$B$4:$E$64,MATCH($D116+BH$5-1,Mortality!$A$4:$A$64,0),$U116)*$V116*$N116,0)</f>
        <v>0</v>
      </c>
      <c r="BI116" s="93">
        <f>IF(AND($T116=1,BI$5&lt;=$H116),INDEX(Mortality!$B$4:$E$64,MATCH($D116+BI$5-1,Mortality!$A$4:$A$64,0),$U116)*$V116*$N116,0)</f>
        <v>0</v>
      </c>
      <c r="BJ116" s="93">
        <f>IF(AND($T116=1,BJ$5&lt;=$H116),INDEX(Mortality!$B$4:$E$64,MATCH($D116+BJ$5-1,Mortality!$A$4:$A$64,0),$U116)*$V116*$N116,0)</f>
        <v>0</v>
      </c>
      <c r="BK116" s="93">
        <f>IF(AND($T116=1,BK$5&lt;=$H116),INDEX(Mortality!$B$4:$E$64,MATCH($D116+BK$5-1,Mortality!$A$4:$A$64,0),$U116)*$V116*$N116,0)</f>
        <v>0</v>
      </c>
      <c r="BL116" s="93">
        <f>IF(AND($T116=1,BL$5&lt;=$H116),INDEX(Mortality!$B$4:$E$64,MATCH($D116+BL$5-1,Mortality!$A$4:$A$64,0),$U116)*$V116*$N116,0)</f>
        <v>0</v>
      </c>
      <c r="BM116" s="93">
        <f>IF(AND($T116=1,BM$5&lt;=$H116),INDEX(Mortality!$B$4:$E$64,MATCH($D116+BM$5-1,Mortality!$A$4:$A$64,0),$U116)*$V116*$N116,0)</f>
        <v>0</v>
      </c>
      <c r="BN116" s="93">
        <f>IF(AND($T116=1,BN$5&lt;=$H116),INDEX(Mortality!$B$4:$E$64,MATCH($D116+BN$5-1,Mortality!$A$4:$A$64,0),$U116)*$V116*$N116,0)</f>
        <v>0</v>
      </c>
      <c r="BO116" s="93">
        <f>IF(AND($T116=1,BO$5&lt;=$H116),INDEX(Mortality!$B$4:$E$64,MATCH($D116+BO$5-1,Mortality!$A$4:$A$64,0),$U116)*$V116*$N116,0)</f>
        <v>0</v>
      </c>
      <c r="BP116" s="93">
        <f>IF(AND($T116=1,BP$5&lt;=$H116),INDEX(Mortality!$B$4:$E$64,MATCH($D116+BP$5-1,Mortality!$A$4:$A$64,0),$U116)*$V116*$N116,0)</f>
        <v>0</v>
      </c>
      <c r="BQ116" s="93">
        <f>IF(AND($T116=1,BQ$5&lt;=$H116),INDEX(Mortality!$B$4:$E$64,MATCH($D116+BQ$5-1,Mortality!$A$4:$A$64,0),$U116)*$V116*$N116,0)</f>
        <v>0</v>
      </c>
      <c r="BR116" s="93">
        <f>IF(AND($T116=1,BR$5&lt;=$H116),INDEX(Mortality!$B$4:$E$64,MATCH($D116+BR$5-1,Mortality!$A$4:$A$64,0),$U116)*$V116*$N116,0)</f>
        <v>0</v>
      </c>
      <c r="BS116" s="93">
        <f>IF(AND($T116=1,BS$5&lt;=$H116),INDEX(Mortality!$B$4:$E$64,MATCH($D116+BS$5-1,Mortality!$A$4:$A$64,0),$U116)*$V116*$N116,0)</f>
        <v>0</v>
      </c>
      <c r="BT116" s="93">
        <f>IF(AND($T116=1,BT$5&lt;=$H116),INDEX(Mortality!$B$4:$E$64,MATCH($D116+BT$5-1,Mortality!$A$4:$A$64,0),$U116)*$V116*$N116,0)</f>
        <v>0</v>
      </c>
      <c r="BU116" s="93">
        <f>IF(AND($T116=1,BU$5&lt;=$H116),INDEX(Mortality!$B$4:$E$64,MATCH($D116+BU$5-1,Mortality!$A$4:$A$64,0),$U116)*$V116*$N116,0)</f>
        <v>0</v>
      </c>
      <c r="BV116" s="93">
        <f>IF(AND($T116=1,BV$5&lt;=$H116),INDEX(Mortality!$B$4:$E$64,MATCH($D116+BV$5-1,Mortality!$A$4:$A$64,0),$U116)*$V116*$N116,0)</f>
        <v>0</v>
      </c>
      <c r="BW116" s="93">
        <f>IF(AND($T116=1,BW$5&lt;=$H116),INDEX(Mortality!$B$4:$E$64,MATCH($D116+BW$5-1,Mortality!$A$4:$A$64,0),$U116)*$V116*$N116,0)</f>
        <v>0</v>
      </c>
      <c r="BX116" s="93">
        <f>IF(AND($T116=1,BX$5&lt;=$H116),INDEX(Mortality!$B$4:$E$64,MATCH($D116+BX$5-1,Mortality!$A$4:$A$64,0),$U116)*$V116*$N116,0)</f>
        <v>0</v>
      </c>
      <c r="BY116" s="93">
        <f>IF(AND($T116=1,BY$5&lt;=$H116),INDEX(Mortality!$B$4:$E$64,MATCH($D116+BY$5-1,Mortality!$A$4:$A$64,0),$U116)*$V116*$N116,0)</f>
        <v>0</v>
      </c>
      <c r="BZ116" s="93">
        <f>IF(AND($T116=1,BZ$5&lt;=$H116),INDEX(Mortality!$B$4:$E$64,MATCH($D116+BZ$5-1,Mortality!$A$4:$A$64,0),$U116)*$V116*$N116,0)</f>
        <v>0</v>
      </c>
      <c r="CA116" s="93">
        <f>IF(AND($T116=1,CA$5&lt;=$H116),INDEX(Mortality!$B$4:$E$64,MATCH($D116+CA$5-1,Mortality!$A$4:$A$64,0),$U116)*$V116*$N116,0)</f>
        <v>0</v>
      </c>
      <c r="CB116" s="93">
        <f>IF(AND($T116=1,CB$5&lt;=$H116),INDEX(Mortality!$B$4:$E$64,MATCH($D116+CB$5-1,Mortality!$A$4:$A$64,0),$U116)*$V116*$N116,0)</f>
        <v>0</v>
      </c>
      <c r="CC116" s="93">
        <f>IF(AND($T116=1,CC$5&lt;=$H116),INDEX(Mortality!$B$4:$E$64,MATCH($D116+CC$5-1,Mortality!$A$4:$A$64,0),$U116)*$V116*$N116,0)</f>
        <v>0</v>
      </c>
      <c r="CD116" s="93">
        <f>IF(AND($T116=1,CD$5&lt;=$H116),INDEX(Mortality!$B$4:$E$64,MATCH($D116+CD$5-1,Mortality!$A$4:$A$64,0),$U116)*$V116*$N116,0)</f>
        <v>0</v>
      </c>
      <c r="CE116" s="93">
        <f>IF(AND($T116=1,CE$5&lt;=$H116),INDEX(Mortality!$B$4:$E$64,MATCH($D116+CE$5-1,Mortality!$A$4:$A$64,0),$U116)*$V116*$N116,0)</f>
        <v>0</v>
      </c>
      <c r="CF116" s="93">
        <f>IF(AND($T116=1,CF$5&lt;=$H116),INDEX(Mortality!$B$4:$E$64,MATCH($D116+CF$5-1,Mortality!$A$4:$A$64,0),$U116)*$V116*$N116,0)</f>
        <v>0</v>
      </c>
      <c r="CG116" s="93">
        <f>IF(AND($T116=1,CG$5&lt;=$H116),INDEX(Mortality!$B$4:$E$64,MATCH($D116+CG$5-1,Mortality!$A$4:$A$64,0),$U116)*$V116*$N116,0)</f>
        <v>0</v>
      </c>
      <c r="CH116" s="94">
        <f>IF(AND($T116=1,CH$5&lt;=$H116),INDEX(Mortality!$B$4:$E$64,MATCH($D116+CH$5-1,Mortality!$A$4:$A$64,0),$U116)*$V116*$N116,0)</f>
        <v>0</v>
      </c>
      <c r="CI116" s="26"/>
      <c r="CJ116" s="419">
        <f t="shared" si="53"/>
        <v>0</v>
      </c>
      <c r="CK116" s="93">
        <f>IF(AND($T116=1,CK$5&lt;=$H116),CJ116*(1-AU116)*(1-MIN(1,MAX(Assumptions!$C$27,Assumptions!$C$13*Assumptions!$C$28^(CJ$5-1))*$O116)),0)</f>
        <v>0</v>
      </c>
      <c r="CL116" s="93">
        <f>IF(AND($T116=1,CL$5&lt;=$H116),CK116*(1-AV116)*(1-MIN(1,MAX(Assumptions!$C$27,Assumptions!$C$13*Assumptions!$C$28^(CK$5-1))*$O116)),0)</f>
        <v>0</v>
      </c>
      <c r="CM116" s="93">
        <f>IF(AND($T116=1,CM$5&lt;=$H116),CL116*(1-AW116)*(1-MIN(1,MAX(Assumptions!$C$27,Assumptions!$C$13*Assumptions!$C$28^(CL$5-1))*$O116)),0)</f>
        <v>0</v>
      </c>
      <c r="CN116" s="93">
        <f>IF(AND($T116=1,CN$5&lt;=$H116),CM116*(1-AX116)*(1-MIN(1,MAX(Assumptions!$C$27,Assumptions!$C$13*Assumptions!$C$28^(CM$5-1))*$O116)),0)</f>
        <v>0</v>
      </c>
      <c r="CO116" s="93">
        <f>IF(AND($T116=1,CO$5&lt;=$H116),CN116*(1-AY116)*(1-MIN(1,MAX(Assumptions!$C$27,Assumptions!$C$13*Assumptions!$C$28^(CN$5-1))*$O116)),0)</f>
        <v>0</v>
      </c>
      <c r="CP116" s="93">
        <f>IF(AND($T116=1,CP$5&lt;=$H116),CO116*(1-AZ116)*(1-MIN(1,MAX(Assumptions!$C$27,Assumptions!$C$13*Assumptions!$C$28^(CO$5-1))*$O116)),0)</f>
        <v>0</v>
      </c>
      <c r="CQ116" s="93">
        <f>IF(AND($T116=1,CQ$5&lt;=$H116),CP116*(1-BA116)*(1-MIN(1,MAX(Assumptions!$C$27,Assumptions!$C$13*Assumptions!$C$28^(CP$5-1))*$O116)),0)</f>
        <v>0</v>
      </c>
      <c r="CR116" s="93">
        <f>IF(AND($T116=1,CR$5&lt;=$H116),CQ116*(1-BB116)*(1-MIN(1,MAX(Assumptions!$C$27,Assumptions!$C$13*Assumptions!$C$28^(CQ$5-1))*$O116)),0)</f>
        <v>0</v>
      </c>
      <c r="CS116" s="93">
        <f>IF(AND($T116=1,CS$5&lt;=$H116),CR116*(1-BC116)*(1-MIN(1,MAX(Assumptions!$C$27,Assumptions!$C$13*Assumptions!$C$28^(CR$5-1))*$O116)),0)</f>
        <v>0</v>
      </c>
      <c r="CT116" s="93">
        <f>IF(AND($T116=1,CT$5&lt;=$H116),CS116*(1-BD116)*(1-MIN(1,MAX(Assumptions!$C$27,Assumptions!$C$13*Assumptions!$C$28^(CS$5-1))*$O116)),0)</f>
        <v>0</v>
      </c>
      <c r="CU116" s="93">
        <f>IF(AND($T116=1,CU$5&lt;=$H116),CT116*(1-BE116)*(1-MIN(1,MAX(Assumptions!$C$27,Assumptions!$C$13*Assumptions!$C$28^(CT$5-1))*$O116)),0)</f>
        <v>0</v>
      </c>
      <c r="CV116" s="93">
        <f>IF(AND($T116=1,CV$5&lt;=$H116),CU116*(1-BF116)*(1-MIN(1,MAX(Assumptions!$C$27,Assumptions!$C$13*Assumptions!$C$28^(CU$5-1))*$O116)),0)</f>
        <v>0</v>
      </c>
      <c r="CW116" s="93">
        <f>IF(AND($T116=1,CW$5&lt;=$H116),CV116*(1-BG116)*(1-MIN(1,MAX(Assumptions!$C$27,Assumptions!$C$13*Assumptions!$C$28^(CV$5-1))*$O116)),0)</f>
        <v>0</v>
      </c>
      <c r="CX116" s="93">
        <f>IF(AND($T116=1,CX$5&lt;=$H116),CW116*(1-BH116)*(1-MIN(1,MAX(Assumptions!$C$27,Assumptions!$C$13*Assumptions!$C$28^(CW$5-1))*$O116)),0)</f>
        <v>0</v>
      </c>
      <c r="CY116" s="93">
        <f>IF(AND($T116=1,CY$5&lt;=$H116),CX116*(1-BI116)*(1-MIN(1,MAX(Assumptions!$C$27,Assumptions!$C$13*Assumptions!$C$28^(CX$5-1))*$O116)),0)</f>
        <v>0</v>
      </c>
      <c r="CZ116" s="93">
        <f>IF(AND($T116=1,CZ$5&lt;=$H116),CY116*(1-BJ116)*(1-MIN(1,MAX(Assumptions!$C$27,Assumptions!$C$13*Assumptions!$C$28^(CY$5-1))*$O116)),0)</f>
        <v>0</v>
      </c>
      <c r="DA116" s="93">
        <f>IF(AND($T116=1,DA$5&lt;=$H116),CZ116*(1-BK116)*(1-MIN(1,MAX(Assumptions!$C$27,Assumptions!$C$13*Assumptions!$C$28^(CZ$5-1))*$O116)),0)</f>
        <v>0</v>
      </c>
      <c r="DB116" s="93">
        <f>IF(AND($T116=1,DB$5&lt;=$H116),DA116*(1-BL116)*(1-MIN(1,MAX(Assumptions!$C$27,Assumptions!$C$13*Assumptions!$C$28^(DA$5-1))*$O116)),0)</f>
        <v>0</v>
      </c>
      <c r="DC116" s="93">
        <f>IF(AND($T116=1,DC$5&lt;=$H116),DB116*(1-BM116)*(1-MIN(1,MAX(Assumptions!$C$27,Assumptions!$C$13*Assumptions!$C$28^(DB$5-1))*$O116)),0)</f>
        <v>0</v>
      </c>
      <c r="DD116" s="93">
        <f>IF(AND($T116=1,DD$5&lt;=$H116),DC116*(1-BN116)*(1-MIN(1,MAX(Assumptions!$C$27,Assumptions!$C$13*Assumptions!$C$28^(DC$5-1))*$O116)),0)</f>
        <v>0</v>
      </c>
      <c r="DE116" s="93">
        <f>IF(AND($T116=1,DE$5&lt;=$H116),DD116*(1-BO116)*(1-MIN(1,MAX(Assumptions!$C$27,Assumptions!$C$13*Assumptions!$C$28^(DD$5-1))*$O116)),0)</f>
        <v>0</v>
      </c>
      <c r="DF116" s="93">
        <f>IF(AND($T116=1,DF$5&lt;=$H116),DE116*(1-BP116)*(1-MIN(1,MAX(Assumptions!$C$27,Assumptions!$C$13*Assumptions!$C$28^(DE$5-1))*$O116)),0)</f>
        <v>0</v>
      </c>
      <c r="DG116" s="93">
        <f>IF(AND($T116=1,DG$5&lt;=$H116),DF116*(1-BQ116)*(1-MIN(1,MAX(Assumptions!$C$27,Assumptions!$C$13*Assumptions!$C$28^(DF$5-1))*$O116)),0)</f>
        <v>0</v>
      </c>
      <c r="DH116" s="93">
        <f>IF(AND($T116=1,DH$5&lt;=$H116),DG116*(1-BR116)*(1-MIN(1,MAX(Assumptions!$C$27,Assumptions!$C$13*Assumptions!$C$28^(DG$5-1))*$O116)),0)</f>
        <v>0</v>
      </c>
      <c r="DI116" s="93">
        <f>IF(AND($T116=1,DI$5&lt;=$H116),DH116*(1-BS116)*(1-MIN(1,MAX(Assumptions!$C$27,Assumptions!$C$13*Assumptions!$C$28^(DH$5-1))*$O116)),0)</f>
        <v>0</v>
      </c>
      <c r="DJ116" s="93">
        <f>IF(AND($T116=1,DJ$5&lt;=$H116),DI116*(1-BT116)*(1-MIN(1,MAX(Assumptions!$C$27,Assumptions!$C$13*Assumptions!$C$28^(DI$5-1))*$O116)),0)</f>
        <v>0</v>
      </c>
      <c r="DK116" s="93">
        <f>IF(AND($T116=1,DK$5&lt;=$H116),DJ116*(1-BU116)*(1-MIN(1,MAX(Assumptions!$C$27,Assumptions!$C$13*Assumptions!$C$28^(DJ$5-1))*$O116)),0)</f>
        <v>0</v>
      </c>
      <c r="DL116" s="93">
        <f>IF(AND($T116=1,DL$5&lt;=$H116),DK116*(1-BV116)*(1-MIN(1,MAX(Assumptions!$C$27,Assumptions!$C$13*Assumptions!$C$28^(DK$5-1))*$O116)),0)</f>
        <v>0</v>
      </c>
      <c r="DM116" s="93">
        <f>IF(AND($T116=1,DM$5&lt;=$H116),DL116*(1-BW116)*(1-MIN(1,MAX(Assumptions!$C$27,Assumptions!$C$13*Assumptions!$C$28^(DL$5-1))*$O116)),0)</f>
        <v>0</v>
      </c>
      <c r="DN116" s="93">
        <f>IF(AND($T116=1,DN$5&lt;=$H116),DM116*(1-BX116)*(1-MIN(1,MAX(Assumptions!$C$27,Assumptions!$C$13*Assumptions!$C$28^(DM$5-1))*$O116)),0)</f>
        <v>0</v>
      </c>
      <c r="DO116" s="93">
        <f>IF(AND($T116=1,DO$5&lt;=$H116),DN116*(1-BY116)*(1-MIN(1,MAX(Assumptions!$C$27,Assumptions!$C$13*Assumptions!$C$28^(DN$5-1))*$O116)),0)</f>
        <v>0</v>
      </c>
      <c r="DP116" s="93">
        <f>IF(AND($T116=1,DP$5&lt;=$H116),DO116*(1-BZ116)*(1-MIN(1,MAX(Assumptions!$C$27,Assumptions!$C$13*Assumptions!$C$28^(DO$5-1))*$O116)),0)</f>
        <v>0</v>
      </c>
      <c r="DQ116" s="93">
        <f>IF(AND($T116=1,DQ$5&lt;=$H116),DP116*(1-CA116)*(1-MIN(1,MAX(Assumptions!$C$27,Assumptions!$C$13*Assumptions!$C$28^(DP$5-1))*$O116)),0)</f>
        <v>0</v>
      </c>
      <c r="DR116" s="93">
        <f>IF(AND($T116=1,DR$5&lt;=$H116),DQ116*(1-CB116)*(1-MIN(1,MAX(Assumptions!$C$27,Assumptions!$C$13*Assumptions!$C$28^(DQ$5-1))*$O116)),0)</f>
        <v>0</v>
      </c>
      <c r="DS116" s="93">
        <f>IF(AND($T116=1,DS$5&lt;=$H116),DR116*(1-CC116)*(1-MIN(1,MAX(Assumptions!$C$27,Assumptions!$C$13*Assumptions!$C$28^(DR$5-1))*$O116)),0)</f>
        <v>0</v>
      </c>
      <c r="DT116" s="93">
        <f>IF(AND($T116=1,DT$5&lt;=$H116),DS116*(1-CD116)*(1-MIN(1,MAX(Assumptions!$C$27,Assumptions!$C$13*Assumptions!$C$28^(DS$5-1))*$O116)),0)</f>
        <v>0</v>
      </c>
      <c r="DU116" s="93">
        <f>IF(AND($T116=1,DU$5&lt;=$H116),DT116*(1-CE116)*(1-MIN(1,MAX(Assumptions!$C$27,Assumptions!$C$13*Assumptions!$C$28^(DT$5-1))*$O116)),0)</f>
        <v>0</v>
      </c>
      <c r="DV116" s="93">
        <f>IF(AND($T116=1,DV$5&lt;=$H116),DU116*(1-CF116)*(1-MIN(1,MAX(Assumptions!$C$27,Assumptions!$C$13*Assumptions!$C$28^(DU$5-1))*$O116)),0)</f>
        <v>0</v>
      </c>
      <c r="DW116" s="94">
        <f>IF(AND($T116=1,DW$5&lt;=$H116),DV116*(1-CG116)*(1-MIN(1,MAX(Assumptions!$C$27,Assumptions!$C$13*Assumptions!$C$28^(DV$5-1))*$O116)),0)</f>
        <v>0</v>
      </c>
      <c r="DX116" s="26"/>
      <c r="DY116" s="399">
        <f>'Policy Data'!K90</f>
        <v>6</v>
      </c>
      <c r="DZ116" s="100">
        <f>'Policy Data'!L90</f>
        <v>0.94099999999999995</v>
      </c>
      <c r="EA116" s="100">
        <f>'Policy Data'!N90</f>
        <v>5.71E-4</v>
      </c>
      <c r="EB116" s="93" cm="1">
        <f t="array" ref="EB116">IFERROR(DZ116*INDEX(Mortality!$B$4:$E$64,MATCH(D116+DY116-1,Mortality!$A$4:$A$64,0),U116)*V116,0)</f>
        <v>8.5252061078794122E-4</v>
      </c>
      <c r="EC116" s="100">
        <f>'Policy Data'!O90</f>
        <v>0</v>
      </c>
      <c r="ED116" s="400">
        <f>'Policy Data'!Q90</f>
        <v>0</v>
      </c>
    </row>
    <row r="117" spans="1:134" x14ac:dyDescent="0.3">
      <c r="A117" s="399" t="str">
        <f>'Policy Data'!A91</f>
        <v>POL100087</v>
      </c>
      <c r="B117" s="26" t="s">
        <v>426</v>
      </c>
      <c r="C117" s="100" t="str">
        <f>'Policy Data'!B91</f>
        <v>Term Life</v>
      </c>
      <c r="D117" s="100">
        <f>'Policy Data'!C91</f>
        <v>63</v>
      </c>
      <c r="E117" s="100" t="str">
        <f>'Policy Data'!D91</f>
        <v>Male</v>
      </c>
      <c r="F117" s="100" t="str">
        <f>'Policy Data'!E91</f>
        <v>Non-smoker</v>
      </c>
      <c r="G117" s="100" t="str">
        <f>'Policy Data'!F91</f>
        <v>Standard</v>
      </c>
      <c r="H117" s="100">
        <f>'Policy Data'!G91</f>
        <v>20</v>
      </c>
      <c r="I117" s="279">
        <f>'Policy Data'!H91</f>
        <v>1000000</v>
      </c>
      <c r="J117" s="100" t="str">
        <f>'Policy Data'!I91</f>
        <v>Monthly</v>
      </c>
      <c r="K117" s="100" t="str">
        <f>'Policy Data'!J91</f>
        <v>Direct</v>
      </c>
      <c r="L117" s="26" t="s">
        <v>389</v>
      </c>
      <c r="M117" s="106">
        <f>'Policy Data'!R91</f>
        <v>9587.16</v>
      </c>
      <c r="N117" s="415">
        <f>Assumptions!$C$21</f>
        <v>1</v>
      </c>
      <c r="O117" s="415">
        <f>Assumptions!$C$22</f>
        <v>1</v>
      </c>
      <c r="P117" s="415">
        <f>Assumptions!$C$23</f>
        <v>1</v>
      </c>
      <c r="Q117" s="416">
        <f>Assumptions!$C$24</f>
        <v>0</v>
      </c>
      <c r="R117" s="416">
        <f>Assumptions!$C$6+Assumptions!$C$25</f>
        <v>3.5000000000000003E-2</v>
      </c>
      <c r="S117" s="416">
        <f>Assumptions!$C$15</f>
        <v>1.1000000000000001E-3</v>
      </c>
      <c r="T117" s="26">
        <f t="shared" si="36"/>
        <v>0</v>
      </c>
      <c r="U117" s="26">
        <f t="shared" si="37"/>
        <v>3</v>
      </c>
      <c r="V117" s="389">
        <f>IF($G117="Preferred",Assumptions!$C$30,IF($G117="Rated",Assumptions!$C$31,1))</f>
        <v>1</v>
      </c>
      <c r="W117" s="390">
        <f>IF($K117="Direct",Assumptions!$C$32,IF($K117="Broker",Assumptions!$C$33,IF($K117="Bancassurance",Assumptions!$C$34,Assumptions!$C$11)))+$Q117</f>
        <v>0.1</v>
      </c>
      <c r="X117" s="390">
        <f>Assumptions!$C$12+$Q117</f>
        <v>0.05</v>
      </c>
      <c r="Y117" s="131">
        <f>MIN($I117,Assumptions!$C$14)</f>
        <v>500000</v>
      </c>
      <c r="Z117" s="131">
        <f>MAX($I117-Assumptions!$C$14,0)</f>
        <v>500000</v>
      </c>
      <c r="AA117" s="389">
        <f t="shared" si="38"/>
        <v>0</v>
      </c>
      <c r="AB117" s="389">
        <f t="shared" si="39"/>
        <v>0</v>
      </c>
      <c r="AC117" s="389">
        <f>IF($T117=1,SUMPRODUCT($CJ117:$DW117,(1+Assumptions!$C$5)^($CJ$5:$DW$5-1),(1+$R117)^(-$CJ$5:$DW$5)),0)</f>
        <v>0</v>
      </c>
      <c r="AD117" s="389">
        <f t="shared" si="40"/>
        <v>0</v>
      </c>
      <c r="AE117" s="131">
        <f>IF($T117=1,$AB117*$Y117+(Assumptions!$C$9/(1+$R117)+Assumptions!$C$10*$AC117)*$P117+$S117*$Z117*$AA117,0)</f>
        <v>0</v>
      </c>
      <c r="AF117" s="131" t="str">
        <f>IF($T117=1,IF($AA117-$AD117-Assumptions!$C$16*$AA117&gt;0,$AE117/($AA117-$AD117-Assumptions!$C$16*$AA117)*IF($J117="Monthly",1+Assumptions!$C$29,1),"n.a."),"")</f>
        <v/>
      </c>
      <c r="AG117" s="131" t="str">
        <f t="shared" si="41"/>
        <v/>
      </c>
      <c r="AH117" s="131" t="str">
        <f t="shared" si="42"/>
        <v/>
      </c>
      <c r="AI117" s="131" t="str">
        <f t="shared" si="43"/>
        <v/>
      </c>
      <c r="AJ117" s="390" t="str">
        <f t="shared" si="44"/>
        <v/>
      </c>
      <c r="AK117" s="389" t="str">
        <f t="shared" si="45"/>
        <v/>
      </c>
      <c r="AL117" s="131" t="str">
        <f t="shared" si="46"/>
        <v/>
      </c>
      <c r="AM117" s="131" t="str">
        <f t="shared" si="47"/>
        <v/>
      </c>
      <c r="AN117" s="131" t="str">
        <f t="shared" si="48"/>
        <v/>
      </c>
      <c r="AO117" s="131" t="str">
        <f t="shared" si="49"/>
        <v/>
      </c>
      <c r="AP117" s="26" t="str">
        <f t="shared" si="50"/>
        <v>60+</v>
      </c>
      <c r="AQ117" s="26" t="str">
        <f t="shared" si="51"/>
        <v>500k-1m</v>
      </c>
      <c r="AR117" s="26" t="str">
        <f>IF($T117=1,IF($AI117&lt;0,"Loss-making",IF($AJ117&lt;Assumptions!$C$16-0.00001,"Below target","At/above target")),"Excluded")</f>
        <v>Excluded</v>
      </c>
      <c r="AS117" s="103">
        <f t="shared" si="52"/>
        <v>9.9999999999999997E+98</v>
      </c>
      <c r="AT117" s="26"/>
      <c r="AU117" s="419">
        <f>IF(AND($T117=1,AU$5&lt;=$H117),INDEX(Mortality!$B$4:$E$64,MATCH($D117+AU$5-1,Mortality!$A$4:$A$64,0),$U117)*$V117*$N117,0)</f>
        <v>0</v>
      </c>
      <c r="AV117" s="93">
        <f>IF(AND($T117=1,AV$5&lt;=$H117),INDEX(Mortality!$B$4:$E$64,MATCH($D117+AV$5-1,Mortality!$A$4:$A$64,0),$U117)*$V117*$N117,0)</f>
        <v>0</v>
      </c>
      <c r="AW117" s="93">
        <f>IF(AND($T117=1,AW$5&lt;=$H117),INDEX(Mortality!$B$4:$E$64,MATCH($D117+AW$5-1,Mortality!$A$4:$A$64,0),$U117)*$V117*$N117,0)</f>
        <v>0</v>
      </c>
      <c r="AX117" s="93">
        <f>IF(AND($T117=1,AX$5&lt;=$H117),INDEX(Mortality!$B$4:$E$64,MATCH($D117+AX$5-1,Mortality!$A$4:$A$64,0),$U117)*$V117*$N117,0)</f>
        <v>0</v>
      </c>
      <c r="AY117" s="93">
        <f>IF(AND($T117=1,AY$5&lt;=$H117),INDEX(Mortality!$B$4:$E$64,MATCH($D117+AY$5-1,Mortality!$A$4:$A$64,0),$U117)*$V117*$N117,0)</f>
        <v>0</v>
      </c>
      <c r="AZ117" s="93">
        <f>IF(AND($T117=1,AZ$5&lt;=$H117),INDEX(Mortality!$B$4:$E$64,MATCH($D117+AZ$5-1,Mortality!$A$4:$A$64,0),$U117)*$V117*$N117,0)</f>
        <v>0</v>
      </c>
      <c r="BA117" s="93">
        <f>IF(AND($T117=1,BA$5&lt;=$H117),INDEX(Mortality!$B$4:$E$64,MATCH($D117+BA$5-1,Mortality!$A$4:$A$64,0),$U117)*$V117*$N117,0)</f>
        <v>0</v>
      </c>
      <c r="BB117" s="93">
        <f>IF(AND($T117=1,BB$5&lt;=$H117),INDEX(Mortality!$B$4:$E$64,MATCH($D117+BB$5-1,Mortality!$A$4:$A$64,0),$U117)*$V117*$N117,0)</f>
        <v>0</v>
      </c>
      <c r="BC117" s="93">
        <f>IF(AND($T117=1,BC$5&lt;=$H117),INDEX(Mortality!$B$4:$E$64,MATCH($D117+BC$5-1,Mortality!$A$4:$A$64,0),$U117)*$V117*$N117,0)</f>
        <v>0</v>
      </c>
      <c r="BD117" s="93">
        <f>IF(AND($T117=1,BD$5&lt;=$H117),INDEX(Mortality!$B$4:$E$64,MATCH($D117+BD$5-1,Mortality!$A$4:$A$64,0),$U117)*$V117*$N117,0)</f>
        <v>0</v>
      </c>
      <c r="BE117" s="93">
        <f>IF(AND($T117=1,BE$5&lt;=$H117),INDEX(Mortality!$B$4:$E$64,MATCH($D117+BE$5-1,Mortality!$A$4:$A$64,0),$U117)*$V117*$N117,0)</f>
        <v>0</v>
      </c>
      <c r="BF117" s="93">
        <f>IF(AND($T117=1,BF$5&lt;=$H117),INDEX(Mortality!$B$4:$E$64,MATCH($D117+BF$5-1,Mortality!$A$4:$A$64,0),$U117)*$V117*$N117,0)</f>
        <v>0</v>
      </c>
      <c r="BG117" s="93">
        <f>IF(AND($T117=1,BG$5&lt;=$H117),INDEX(Mortality!$B$4:$E$64,MATCH($D117+BG$5-1,Mortality!$A$4:$A$64,0),$U117)*$V117*$N117,0)</f>
        <v>0</v>
      </c>
      <c r="BH117" s="93">
        <f>IF(AND($T117=1,BH$5&lt;=$H117),INDEX(Mortality!$B$4:$E$64,MATCH($D117+BH$5-1,Mortality!$A$4:$A$64,0),$U117)*$V117*$N117,0)</f>
        <v>0</v>
      </c>
      <c r="BI117" s="93">
        <f>IF(AND($T117=1,BI$5&lt;=$H117),INDEX(Mortality!$B$4:$E$64,MATCH($D117+BI$5-1,Mortality!$A$4:$A$64,0),$U117)*$V117*$N117,0)</f>
        <v>0</v>
      </c>
      <c r="BJ117" s="93">
        <f>IF(AND($T117=1,BJ$5&lt;=$H117),INDEX(Mortality!$B$4:$E$64,MATCH($D117+BJ$5-1,Mortality!$A$4:$A$64,0),$U117)*$V117*$N117,0)</f>
        <v>0</v>
      </c>
      <c r="BK117" s="93">
        <f>IF(AND($T117=1,BK$5&lt;=$H117),INDEX(Mortality!$B$4:$E$64,MATCH($D117+BK$5-1,Mortality!$A$4:$A$64,0),$U117)*$V117*$N117,0)</f>
        <v>0</v>
      </c>
      <c r="BL117" s="93">
        <f>IF(AND($T117=1,BL$5&lt;=$H117),INDEX(Mortality!$B$4:$E$64,MATCH($D117+BL$5-1,Mortality!$A$4:$A$64,0),$U117)*$V117*$N117,0)</f>
        <v>0</v>
      </c>
      <c r="BM117" s="93">
        <f>IF(AND($T117=1,BM$5&lt;=$H117),INDEX(Mortality!$B$4:$E$64,MATCH($D117+BM$5-1,Mortality!$A$4:$A$64,0),$U117)*$V117*$N117,0)</f>
        <v>0</v>
      </c>
      <c r="BN117" s="93">
        <f>IF(AND($T117=1,BN$5&lt;=$H117),INDEX(Mortality!$B$4:$E$64,MATCH($D117+BN$5-1,Mortality!$A$4:$A$64,0),$U117)*$V117*$N117,0)</f>
        <v>0</v>
      </c>
      <c r="BO117" s="93">
        <f>IF(AND($T117=1,BO$5&lt;=$H117),INDEX(Mortality!$B$4:$E$64,MATCH($D117+BO$5-1,Mortality!$A$4:$A$64,0),$U117)*$V117*$N117,0)</f>
        <v>0</v>
      </c>
      <c r="BP117" s="93">
        <f>IF(AND($T117=1,BP$5&lt;=$H117),INDEX(Mortality!$B$4:$E$64,MATCH($D117+BP$5-1,Mortality!$A$4:$A$64,0),$U117)*$V117*$N117,0)</f>
        <v>0</v>
      </c>
      <c r="BQ117" s="93">
        <f>IF(AND($T117=1,BQ$5&lt;=$H117),INDEX(Mortality!$B$4:$E$64,MATCH($D117+BQ$5-1,Mortality!$A$4:$A$64,0),$U117)*$V117*$N117,0)</f>
        <v>0</v>
      </c>
      <c r="BR117" s="93">
        <f>IF(AND($T117=1,BR$5&lt;=$H117),INDEX(Mortality!$B$4:$E$64,MATCH($D117+BR$5-1,Mortality!$A$4:$A$64,0),$U117)*$V117*$N117,0)</f>
        <v>0</v>
      </c>
      <c r="BS117" s="93">
        <f>IF(AND($T117=1,BS$5&lt;=$H117),INDEX(Mortality!$B$4:$E$64,MATCH($D117+BS$5-1,Mortality!$A$4:$A$64,0),$U117)*$V117*$N117,0)</f>
        <v>0</v>
      </c>
      <c r="BT117" s="93">
        <f>IF(AND($T117=1,BT$5&lt;=$H117),INDEX(Mortality!$B$4:$E$64,MATCH($D117+BT$5-1,Mortality!$A$4:$A$64,0),$U117)*$V117*$N117,0)</f>
        <v>0</v>
      </c>
      <c r="BU117" s="93">
        <f>IF(AND($T117=1,BU$5&lt;=$H117),INDEX(Mortality!$B$4:$E$64,MATCH($D117+BU$5-1,Mortality!$A$4:$A$64,0),$U117)*$V117*$N117,0)</f>
        <v>0</v>
      </c>
      <c r="BV117" s="93">
        <f>IF(AND($T117=1,BV$5&lt;=$H117),INDEX(Mortality!$B$4:$E$64,MATCH($D117+BV$5-1,Mortality!$A$4:$A$64,0),$U117)*$V117*$N117,0)</f>
        <v>0</v>
      </c>
      <c r="BW117" s="93">
        <f>IF(AND($T117=1,BW$5&lt;=$H117),INDEX(Mortality!$B$4:$E$64,MATCH($D117+BW$5-1,Mortality!$A$4:$A$64,0),$U117)*$V117*$N117,0)</f>
        <v>0</v>
      </c>
      <c r="BX117" s="93">
        <f>IF(AND($T117=1,BX$5&lt;=$H117),INDEX(Mortality!$B$4:$E$64,MATCH($D117+BX$5-1,Mortality!$A$4:$A$64,0),$U117)*$V117*$N117,0)</f>
        <v>0</v>
      </c>
      <c r="BY117" s="93">
        <f>IF(AND($T117=1,BY$5&lt;=$H117),INDEX(Mortality!$B$4:$E$64,MATCH($D117+BY$5-1,Mortality!$A$4:$A$64,0),$U117)*$V117*$N117,0)</f>
        <v>0</v>
      </c>
      <c r="BZ117" s="93">
        <f>IF(AND($T117=1,BZ$5&lt;=$H117),INDEX(Mortality!$B$4:$E$64,MATCH($D117+BZ$5-1,Mortality!$A$4:$A$64,0),$U117)*$V117*$N117,0)</f>
        <v>0</v>
      </c>
      <c r="CA117" s="93">
        <f>IF(AND($T117=1,CA$5&lt;=$H117),INDEX(Mortality!$B$4:$E$64,MATCH($D117+CA$5-1,Mortality!$A$4:$A$64,0),$U117)*$V117*$N117,0)</f>
        <v>0</v>
      </c>
      <c r="CB117" s="93">
        <f>IF(AND($T117=1,CB$5&lt;=$H117),INDEX(Mortality!$B$4:$E$64,MATCH($D117+CB$5-1,Mortality!$A$4:$A$64,0),$U117)*$V117*$N117,0)</f>
        <v>0</v>
      </c>
      <c r="CC117" s="93">
        <f>IF(AND($T117=1,CC$5&lt;=$H117),INDEX(Mortality!$B$4:$E$64,MATCH($D117+CC$5-1,Mortality!$A$4:$A$64,0),$U117)*$V117*$N117,0)</f>
        <v>0</v>
      </c>
      <c r="CD117" s="93">
        <f>IF(AND($T117=1,CD$5&lt;=$H117),INDEX(Mortality!$B$4:$E$64,MATCH($D117+CD$5-1,Mortality!$A$4:$A$64,0),$U117)*$V117*$N117,0)</f>
        <v>0</v>
      </c>
      <c r="CE117" s="93">
        <f>IF(AND($T117=1,CE$5&lt;=$H117),INDEX(Mortality!$B$4:$E$64,MATCH($D117+CE$5-1,Mortality!$A$4:$A$64,0),$U117)*$V117*$N117,0)</f>
        <v>0</v>
      </c>
      <c r="CF117" s="93">
        <f>IF(AND($T117=1,CF$5&lt;=$H117),INDEX(Mortality!$B$4:$E$64,MATCH($D117+CF$5-1,Mortality!$A$4:$A$64,0),$U117)*$V117*$N117,0)</f>
        <v>0</v>
      </c>
      <c r="CG117" s="93">
        <f>IF(AND($T117=1,CG$5&lt;=$H117),INDEX(Mortality!$B$4:$E$64,MATCH($D117+CG$5-1,Mortality!$A$4:$A$64,0),$U117)*$V117*$N117,0)</f>
        <v>0</v>
      </c>
      <c r="CH117" s="94">
        <f>IF(AND($T117=1,CH$5&lt;=$H117),INDEX(Mortality!$B$4:$E$64,MATCH($D117+CH$5-1,Mortality!$A$4:$A$64,0),$U117)*$V117*$N117,0)</f>
        <v>0</v>
      </c>
      <c r="CI117" s="26"/>
      <c r="CJ117" s="419">
        <f t="shared" si="53"/>
        <v>0</v>
      </c>
      <c r="CK117" s="93">
        <f>IF(AND($T117=1,CK$5&lt;=$H117),CJ117*(1-AU117)*(1-MIN(1,MAX(Assumptions!$C$27,Assumptions!$C$13*Assumptions!$C$28^(CJ$5-1))*$O117)),0)</f>
        <v>0</v>
      </c>
      <c r="CL117" s="93">
        <f>IF(AND($T117=1,CL$5&lt;=$H117),CK117*(1-AV117)*(1-MIN(1,MAX(Assumptions!$C$27,Assumptions!$C$13*Assumptions!$C$28^(CK$5-1))*$O117)),0)</f>
        <v>0</v>
      </c>
      <c r="CM117" s="93">
        <f>IF(AND($T117=1,CM$5&lt;=$H117),CL117*(1-AW117)*(1-MIN(1,MAX(Assumptions!$C$27,Assumptions!$C$13*Assumptions!$C$28^(CL$5-1))*$O117)),0)</f>
        <v>0</v>
      </c>
      <c r="CN117" s="93">
        <f>IF(AND($T117=1,CN$5&lt;=$H117),CM117*(1-AX117)*(1-MIN(1,MAX(Assumptions!$C$27,Assumptions!$C$13*Assumptions!$C$28^(CM$5-1))*$O117)),0)</f>
        <v>0</v>
      </c>
      <c r="CO117" s="93">
        <f>IF(AND($T117=1,CO$5&lt;=$H117),CN117*(1-AY117)*(1-MIN(1,MAX(Assumptions!$C$27,Assumptions!$C$13*Assumptions!$C$28^(CN$5-1))*$O117)),0)</f>
        <v>0</v>
      </c>
      <c r="CP117" s="93">
        <f>IF(AND($T117=1,CP$5&lt;=$H117),CO117*(1-AZ117)*(1-MIN(1,MAX(Assumptions!$C$27,Assumptions!$C$13*Assumptions!$C$28^(CO$5-1))*$O117)),0)</f>
        <v>0</v>
      </c>
      <c r="CQ117" s="93">
        <f>IF(AND($T117=1,CQ$5&lt;=$H117),CP117*(1-BA117)*(1-MIN(1,MAX(Assumptions!$C$27,Assumptions!$C$13*Assumptions!$C$28^(CP$5-1))*$O117)),0)</f>
        <v>0</v>
      </c>
      <c r="CR117" s="93">
        <f>IF(AND($T117=1,CR$5&lt;=$H117),CQ117*(1-BB117)*(1-MIN(1,MAX(Assumptions!$C$27,Assumptions!$C$13*Assumptions!$C$28^(CQ$5-1))*$O117)),0)</f>
        <v>0</v>
      </c>
      <c r="CS117" s="93">
        <f>IF(AND($T117=1,CS$5&lt;=$H117),CR117*(1-BC117)*(1-MIN(1,MAX(Assumptions!$C$27,Assumptions!$C$13*Assumptions!$C$28^(CR$5-1))*$O117)),0)</f>
        <v>0</v>
      </c>
      <c r="CT117" s="93">
        <f>IF(AND($T117=1,CT$5&lt;=$H117),CS117*(1-BD117)*(1-MIN(1,MAX(Assumptions!$C$27,Assumptions!$C$13*Assumptions!$C$28^(CS$5-1))*$O117)),0)</f>
        <v>0</v>
      </c>
      <c r="CU117" s="93">
        <f>IF(AND($T117=1,CU$5&lt;=$H117),CT117*(1-BE117)*(1-MIN(1,MAX(Assumptions!$C$27,Assumptions!$C$13*Assumptions!$C$28^(CT$5-1))*$O117)),0)</f>
        <v>0</v>
      </c>
      <c r="CV117" s="93">
        <f>IF(AND($T117=1,CV$5&lt;=$H117),CU117*(1-BF117)*(1-MIN(1,MAX(Assumptions!$C$27,Assumptions!$C$13*Assumptions!$C$28^(CU$5-1))*$O117)),0)</f>
        <v>0</v>
      </c>
      <c r="CW117" s="93">
        <f>IF(AND($T117=1,CW$5&lt;=$H117),CV117*(1-BG117)*(1-MIN(1,MAX(Assumptions!$C$27,Assumptions!$C$13*Assumptions!$C$28^(CV$5-1))*$O117)),0)</f>
        <v>0</v>
      </c>
      <c r="CX117" s="93">
        <f>IF(AND($T117=1,CX$5&lt;=$H117),CW117*(1-BH117)*(1-MIN(1,MAX(Assumptions!$C$27,Assumptions!$C$13*Assumptions!$C$28^(CW$5-1))*$O117)),0)</f>
        <v>0</v>
      </c>
      <c r="CY117" s="93">
        <f>IF(AND($T117=1,CY$5&lt;=$H117),CX117*(1-BI117)*(1-MIN(1,MAX(Assumptions!$C$27,Assumptions!$C$13*Assumptions!$C$28^(CX$5-1))*$O117)),0)</f>
        <v>0</v>
      </c>
      <c r="CZ117" s="93">
        <f>IF(AND($T117=1,CZ$5&lt;=$H117),CY117*(1-BJ117)*(1-MIN(1,MAX(Assumptions!$C$27,Assumptions!$C$13*Assumptions!$C$28^(CY$5-1))*$O117)),0)</f>
        <v>0</v>
      </c>
      <c r="DA117" s="93">
        <f>IF(AND($T117=1,DA$5&lt;=$H117),CZ117*(1-BK117)*(1-MIN(1,MAX(Assumptions!$C$27,Assumptions!$C$13*Assumptions!$C$28^(CZ$5-1))*$O117)),0)</f>
        <v>0</v>
      </c>
      <c r="DB117" s="93">
        <f>IF(AND($T117=1,DB$5&lt;=$H117),DA117*(1-BL117)*(1-MIN(1,MAX(Assumptions!$C$27,Assumptions!$C$13*Assumptions!$C$28^(DA$5-1))*$O117)),0)</f>
        <v>0</v>
      </c>
      <c r="DC117" s="93">
        <f>IF(AND($T117=1,DC$5&lt;=$H117),DB117*(1-BM117)*(1-MIN(1,MAX(Assumptions!$C$27,Assumptions!$C$13*Assumptions!$C$28^(DB$5-1))*$O117)),0)</f>
        <v>0</v>
      </c>
      <c r="DD117" s="93">
        <f>IF(AND($T117=1,DD$5&lt;=$H117),DC117*(1-BN117)*(1-MIN(1,MAX(Assumptions!$C$27,Assumptions!$C$13*Assumptions!$C$28^(DC$5-1))*$O117)),0)</f>
        <v>0</v>
      </c>
      <c r="DE117" s="93">
        <f>IF(AND($T117=1,DE$5&lt;=$H117),DD117*(1-BO117)*(1-MIN(1,MAX(Assumptions!$C$27,Assumptions!$C$13*Assumptions!$C$28^(DD$5-1))*$O117)),0)</f>
        <v>0</v>
      </c>
      <c r="DF117" s="93">
        <f>IF(AND($T117=1,DF$5&lt;=$H117),DE117*(1-BP117)*(1-MIN(1,MAX(Assumptions!$C$27,Assumptions!$C$13*Assumptions!$C$28^(DE$5-1))*$O117)),0)</f>
        <v>0</v>
      </c>
      <c r="DG117" s="93">
        <f>IF(AND($T117=1,DG$5&lt;=$H117),DF117*(1-BQ117)*(1-MIN(1,MAX(Assumptions!$C$27,Assumptions!$C$13*Assumptions!$C$28^(DF$5-1))*$O117)),0)</f>
        <v>0</v>
      </c>
      <c r="DH117" s="93">
        <f>IF(AND($T117=1,DH$5&lt;=$H117),DG117*(1-BR117)*(1-MIN(1,MAX(Assumptions!$C$27,Assumptions!$C$13*Assumptions!$C$28^(DG$5-1))*$O117)),0)</f>
        <v>0</v>
      </c>
      <c r="DI117" s="93">
        <f>IF(AND($T117=1,DI$5&lt;=$H117),DH117*(1-BS117)*(1-MIN(1,MAX(Assumptions!$C$27,Assumptions!$C$13*Assumptions!$C$28^(DH$5-1))*$O117)),0)</f>
        <v>0</v>
      </c>
      <c r="DJ117" s="93">
        <f>IF(AND($T117=1,DJ$5&lt;=$H117),DI117*(1-BT117)*(1-MIN(1,MAX(Assumptions!$C$27,Assumptions!$C$13*Assumptions!$C$28^(DI$5-1))*$O117)),0)</f>
        <v>0</v>
      </c>
      <c r="DK117" s="93">
        <f>IF(AND($T117=1,DK$5&lt;=$H117),DJ117*(1-BU117)*(1-MIN(1,MAX(Assumptions!$C$27,Assumptions!$C$13*Assumptions!$C$28^(DJ$5-1))*$O117)),0)</f>
        <v>0</v>
      </c>
      <c r="DL117" s="93">
        <f>IF(AND($T117=1,DL$5&lt;=$H117),DK117*(1-BV117)*(1-MIN(1,MAX(Assumptions!$C$27,Assumptions!$C$13*Assumptions!$C$28^(DK$5-1))*$O117)),0)</f>
        <v>0</v>
      </c>
      <c r="DM117" s="93">
        <f>IF(AND($T117=1,DM$5&lt;=$H117),DL117*(1-BW117)*(1-MIN(1,MAX(Assumptions!$C$27,Assumptions!$C$13*Assumptions!$C$28^(DL$5-1))*$O117)),0)</f>
        <v>0</v>
      </c>
      <c r="DN117" s="93">
        <f>IF(AND($T117=1,DN$5&lt;=$H117),DM117*(1-BX117)*(1-MIN(1,MAX(Assumptions!$C$27,Assumptions!$C$13*Assumptions!$C$28^(DM$5-1))*$O117)),0)</f>
        <v>0</v>
      </c>
      <c r="DO117" s="93">
        <f>IF(AND($T117=1,DO$5&lt;=$H117),DN117*(1-BY117)*(1-MIN(1,MAX(Assumptions!$C$27,Assumptions!$C$13*Assumptions!$C$28^(DN$5-1))*$O117)),0)</f>
        <v>0</v>
      </c>
      <c r="DP117" s="93">
        <f>IF(AND($T117=1,DP$5&lt;=$H117),DO117*(1-BZ117)*(1-MIN(1,MAX(Assumptions!$C$27,Assumptions!$C$13*Assumptions!$C$28^(DO$5-1))*$O117)),0)</f>
        <v>0</v>
      </c>
      <c r="DQ117" s="93">
        <f>IF(AND($T117=1,DQ$5&lt;=$H117),DP117*(1-CA117)*(1-MIN(1,MAX(Assumptions!$C$27,Assumptions!$C$13*Assumptions!$C$28^(DP$5-1))*$O117)),0)</f>
        <v>0</v>
      </c>
      <c r="DR117" s="93">
        <f>IF(AND($T117=1,DR$5&lt;=$H117),DQ117*(1-CB117)*(1-MIN(1,MAX(Assumptions!$C$27,Assumptions!$C$13*Assumptions!$C$28^(DQ$5-1))*$O117)),0)</f>
        <v>0</v>
      </c>
      <c r="DS117" s="93">
        <f>IF(AND($T117=1,DS$5&lt;=$H117),DR117*(1-CC117)*(1-MIN(1,MAX(Assumptions!$C$27,Assumptions!$C$13*Assumptions!$C$28^(DR$5-1))*$O117)),0)</f>
        <v>0</v>
      </c>
      <c r="DT117" s="93">
        <f>IF(AND($T117=1,DT$5&lt;=$H117),DS117*(1-CD117)*(1-MIN(1,MAX(Assumptions!$C$27,Assumptions!$C$13*Assumptions!$C$28^(DS$5-1))*$O117)),0)</f>
        <v>0</v>
      </c>
      <c r="DU117" s="93">
        <f>IF(AND($T117=1,DU$5&lt;=$H117),DT117*(1-CE117)*(1-MIN(1,MAX(Assumptions!$C$27,Assumptions!$C$13*Assumptions!$C$28^(DT$5-1))*$O117)),0)</f>
        <v>0</v>
      </c>
      <c r="DV117" s="93">
        <f>IF(AND($T117=1,DV$5&lt;=$H117),DU117*(1-CF117)*(1-MIN(1,MAX(Assumptions!$C$27,Assumptions!$C$13*Assumptions!$C$28^(DU$5-1))*$O117)),0)</f>
        <v>0</v>
      </c>
      <c r="DW117" s="94">
        <f>IF(AND($T117=1,DW$5&lt;=$H117),DV117*(1-CG117)*(1-MIN(1,MAX(Assumptions!$C$27,Assumptions!$C$13*Assumptions!$C$28^(DV$5-1))*$O117)),0)</f>
        <v>0</v>
      </c>
      <c r="DX117" s="26"/>
      <c r="DY117" s="399">
        <f>'Policy Data'!K91</f>
        <v>5</v>
      </c>
      <c r="DZ117" s="100">
        <f>'Policy Data'!L91</f>
        <v>0.93110000000000004</v>
      </c>
      <c r="EA117" s="100">
        <f>'Policy Data'!N91</f>
        <v>6.7520000000000002E-3</v>
      </c>
      <c r="EB117" s="93" cm="1">
        <f t="array" ref="EB117">IFERROR(DZ117*INDEX(Mortality!$B$4:$E$64,MATCH(D117+DY117-1,Mortality!$A$4:$A$64,0),U117)*V117,0)</f>
        <v>9.298616727051413E-3</v>
      </c>
      <c r="EC117" s="100">
        <f>'Policy Data'!O91</f>
        <v>0</v>
      </c>
      <c r="ED117" s="400">
        <f>'Policy Data'!Q91</f>
        <v>0</v>
      </c>
    </row>
    <row r="118" spans="1:134" x14ac:dyDescent="0.3">
      <c r="A118" s="399" t="str">
        <f>'Policy Data'!A92</f>
        <v>POL100088</v>
      </c>
      <c r="B118" s="26" t="s">
        <v>426</v>
      </c>
      <c r="C118" s="100" t="str">
        <f>'Policy Data'!B92</f>
        <v>Term Life</v>
      </c>
      <c r="D118" s="100">
        <f>'Policy Data'!C92</f>
        <v>28</v>
      </c>
      <c r="E118" s="100" t="str">
        <f>'Policy Data'!D92</f>
        <v>Male</v>
      </c>
      <c r="F118" s="100" t="str">
        <f>'Policy Data'!E92</f>
        <v>Non-smoker</v>
      </c>
      <c r="G118" s="100" t="str">
        <f>'Policy Data'!F92</f>
        <v>Standard</v>
      </c>
      <c r="H118" s="100">
        <f>'Policy Data'!G92</f>
        <v>25</v>
      </c>
      <c r="I118" s="279">
        <f>'Policy Data'!H92</f>
        <v>1000000</v>
      </c>
      <c r="J118" s="100" t="str">
        <f>'Policy Data'!I92</f>
        <v>Annual</v>
      </c>
      <c r="K118" s="100" t="str">
        <f>'Policy Data'!J92</f>
        <v>Direct</v>
      </c>
      <c r="L118" s="26" t="s">
        <v>389</v>
      </c>
      <c r="M118" s="106">
        <f>'Policy Data'!R92</f>
        <v>1550.36</v>
      </c>
      <c r="N118" s="415">
        <f>Assumptions!$C$21</f>
        <v>1</v>
      </c>
      <c r="O118" s="415">
        <f>Assumptions!$C$22</f>
        <v>1</v>
      </c>
      <c r="P118" s="415">
        <f>Assumptions!$C$23</f>
        <v>1</v>
      </c>
      <c r="Q118" s="416">
        <f>Assumptions!$C$24</f>
        <v>0</v>
      </c>
      <c r="R118" s="416">
        <f>Assumptions!$C$6+Assumptions!$C$25</f>
        <v>3.5000000000000003E-2</v>
      </c>
      <c r="S118" s="416">
        <f>Assumptions!$C$15</f>
        <v>1.1000000000000001E-3</v>
      </c>
      <c r="T118" s="26">
        <f t="shared" si="36"/>
        <v>1</v>
      </c>
      <c r="U118" s="26">
        <f t="shared" si="37"/>
        <v>3</v>
      </c>
      <c r="V118" s="389">
        <f>IF($G118="Preferred",Assumptions!$C$30,IF($G118="Rated",Assumptions!$C$31,1))</f>
        <v>1</v>
      </c>
      <c r="W118" s="390">
        <f>IF($K118="Direct",Assumptions!$C$32,IF($K118="Broker",Assumptions!$C$33,IF($K118="Bancassurance",Assumptions!$C$34,Assumptions!$C$11)))+$Q118</f>
        <v>0.1</v>
      </c>
      <c r="X118" s="390">
        <f>Assumptions!$C$12+$Q118</f>
        <v>0.05</v>
      </c>
      <c r="Y118" s="131">
        <f>MIN($I118,Assumptions!$C$14)</f>
        <v>500000</v>
      </c>
      <c r="Z118" s="131">
        <f>MAX($I118-Assumptions!$C$14,0)</f>
        <v>500000</v>
      </c>
      <c r="AA118" s="389">
        <f t="shared" si="38"/>
        <v>9.4846915067420365</v>
      </c>
      <c r="AB118" s="389">
        <f t="shared" si="39"/>
        <v>9.6237266164710695E-3</v>
      </c>
      <c r="AC118" s="389">
        <f>IF($T118=1,SUMPRODUCT($CJ118:$DW118,(1+Assumptions!$C$5)^($CJ$5:$DW$5-1),(1+$R118)^(-$CJ$5:$DW$5)),0)</f>
        <v>13.671519139797883</v>
      </c>
      <c r="AD118" s="389">
        <f t="shared" si="40"/>
        <v>0.52254375408106313</v>
      </c>
      <c r="AE118" s="131">
        <f>IF($T118=1,$AB118*$Y118+(Assumptions!$C$9/(1+$R118)+Assumptions!$C$10*$AC118)*$P118+$S118*$Z118*$AA118,0)</f>
        <v>13905.743065090493</v>
      </c>
      <c r="AF118" s="131">
        <f>IF($T118=1,IF($AA118-$AD118-Assumptions!$C$16*$AA118&gt;0,$AE118/($AA118-$AD118-Assumptions!$C$16*$AA118)*IF($J118="Monthly",1+Assumptions!$C$29,1),"n.a."),"")</f>
        <v>1695.1251671374009</v>
      </c>
      <c r="AG118" s="131">
        <f t="shared" si="41"/>
        <v>1550.36</v>
      </c>
      <c r="AH118" s="131">
        <f t="shared" si="42"/>
        <v>14704.686324392584</v>
      </c>
      <c r="AI118" s="131">
        <f t="shared" si="43"/>
        <v>-11.187675275026777</v>
      </c>
      <c r="AJ118" s="390">
        <f t="shared" si="44"/>
        <v>-7.6082379645652952E-4</v>
      </c>
      <c r="AK118" s="389">
        <f t="shared" si="45"/>
        <v>0.91459912816829358</v>
      </c>
      <c r="AL118" s="131">
        <f t="shared" si="46"/>
        <v>4811.8633082355345</v>
      </c>
      <c r="AM118" s="131">
        <f t="shared" si="47"/>
        <v>5216.5803287081199</v>
      </c>
      <c r="AN118" s="131">
        <f t="shared" si="48"/>
        <v>-404.71702047258532</v>
      </c>
      <c r="AO118" s="131">
        <f t="shared" si="49"/>
        <v>393.52934519755854</v>
      </c>
      <c r="AP118" s="26" t="str">
        <f t="shared" si="50"/>
        <v>20-29</v>
      </c>
      <c r="AQ118" s="26" t="str">
        <f t="shared" si="51"/>
        <v>500k-1m</v>
      </c>
      <c r="AR118" s="26" t="str">
        <f>IF($T118=1,IF($AI118&lt;0,"Loss-making",IF($AJ118&lt;Assumptions!$C$16-0.00001,"Below target","At/above target")),"Excluded")</f>
        <v>Loss-making</v>
      </c>
      <c r="AS118" s="103">
        <f t="shared" si="52"/>
        <v>-11.187557275026776</v>
      </c>
      <c r="AT118" s="26"/>
      <c r="AU118" s="419">
        <f>IF(AND($T118=1,AU$5&lt;=$H118),INDEX(Mortality!$B$4:$E$64,MATCH($D118+AU$5-1,Mortality!$A$4:$A$64,0),$U118)*$V118*$N118,0)</f>
        <v>4.4098441079001399E-4</v>
      </c>
      <c r="AV118" s="93">
        <f>IF(AND($T118=1,AV$5&lt;=$H118),INDEX(Mortality!$B$4:$E$64,MATCH($D118+AV$5-1,Mortality!$A$4:$A$64,0),$U118)*$V118*$N118,0)</f>
        <v>4.7771270925508401E-4</v>
      </c>
      <c r="AW118" s="93">
        <f>IF(AND($T118=1,AW$5&lt;=$H118),INDEX(Mortality!$B$4:$E$64,MATCH($D118+AW$5-1,Mortality!$A$4:$A$64,0),$U118)*$V118*$N118,0)</f>
        <v>5.1749999999999995E-4</v>
      </c>
      <c r="AX118" s="93">
        <f>IF(AND($T118=1,AX$5&lt;=$H118),INDEX(Mortality!$B$4:$E$64,MATCH($D118+AX$5-1,Mortality!$A$4:$A$64,0),$U118)*$V118*$N118,0)</f>
        <v>5.6060105752179102E-4</v>
      </c>
      <c r="AY118" s="93">
        <f>IF(AND($T118=1,AY$5&lt;=$H118),INDEX(Mortality!$B$4:$E$64,MATCH($D118+AY$5-1,Mortality!$A$4:$A$64,0),$U118)*$V118*$N118,0)</f>
        <v>6.07291875738262E-4</v>
      </c>
      <c r="AZ118" s="93">
        <f>IF(AND($T118=1,AZ$5&lt;=$H118),INDEX(Mortality!$B$4:$E$64,MATCH($D118+AZ$5-1,Mortality!$A$4:$A$64,0),$U118)*$V118*$N118,0)</f>
        <v>6.5787143529132705E-4</v>
      </c>
      <c r="BA118" s="93">
        <f>IF(AND($T118=1,BA$5&lt;=$H118),INDEX(Mortality!$B$4:$E$64,MATCH($D118+BA$5-1,Mortality!$A$4:$A$64,0),$U118)*$V118*$N118,0)</f>
        <v>7.1266361804385805E-4</v>
      </c>
      <c r="BB118" s="93">
        <f>IF(AND($T118=1,BB$5&lt;=$H118),INDEX(Mortality!$B$4:$E$64,MATCH($D118+BB$5-1,Mortality!$A$4:$A$64,0),$U118)*$V118*$N118,0)</f>
        <v>7.7201928102935699E-4</v>
      </c>
      <c r="BC118" s="93">
        <f>IF(AND($T118=1,BC$5&lt;=$H118),INDEX(Mortality!$B$4:$E$64,MATCH($D118+BC$5-1,Mortality!$A$4:$A$64,0),$U118)*$V118*$N118,0)</f>
        <v>8.3631850313482196E-4</v>
      </c>
      <c r="BD118" s="93">
        <f>IF(AND($T118=1,BD$5&lt;=$H118),INDEX(Mortality!$B$4:$E$64,MATCH($D118+BD$5-1,Mortality!$A$4:$A$64,0),$U118)*$V118*$N118,0)</f>
        <v>9.0597301890323197E-4</v>
      </c>
      <c r="BE118" s="93">
        <f>IF(AND($T118=1,BE$5&lt;=$H118),INDEX(Mortality!$B$4:$E$64,MATCH($D118+BE$5-1,Mortality!$A$4:$A$64,0),$U118)*$V118*$N118,0)</f>
        <v>9.8142885504031189E-4</v>
      </c>
      <c r="BF118" s="93">
        <f>IF(AND($T118=1,BF$5&lt;=$H118),INDEX(Mortality!$B$4:$E$64,MATCH($D118+BF$5-1,Mortality!$A$4:$A$64,0),$U118)*$V118*$N118,0)</f>
        <v>1.06316918650821E-3</v>
      </c>
      <c r="BG118" s="93">
        <f>IF(AND($T118=1,BG$5&lt;=$H118),INDEX(Mortality!$B$4:$E$64,MATCH($D118+BG$5-1,Mortality!$A$4:$A$64,0),$U118)*$V118*$N118,0)</f>
        <v>1.1517174304948501E-3</v>
      </c>
      <c r="BH118" s="93">
        <f>IF(AND($T118=1,BH$5&lt;=$H118),INDEX(Mortality!$B$4:$E$64,MATCH($D118+BH$5-1,Mortality!$A$4:$A$64,0),$U118)*$V118*$N118,0)</f>
        <v>1.24764059807091E-3</v>
      </c>
      <c r="BI118" s="93">
        <f>IF(AND($T118=1,BI$5&lt;=$H118),INDEX(Mortality!$B$4:$E$64,MATCH($D118+BI$5-1,Mortality!$A$4:$A$64,0),$U118)*$V118*$N118,0)</f>
        <v>1.3515529249964601E-3</v>
      </c>
      <c r="BJ118" s="93">
        <f>IF(AND($T118=1,BJ$5&lt;=$H118),INDEX(Mortality!$B$4:$E$64,MATCH($D118+BJ$5-1,Mortality!$A$4:$A$64,0),$U118)*$V118*$N118,0)</f>
        <v>1.4641198049269301E-3</v>
      </c>
      <c r="BK118" s="93">
        <f>IF(AND($T118=1,BK$5&lt;=$H118),INDEX(Mortality!$B$4:$E$64,MATCH($D118+BK$5-1,Mortality!$A$4:$A$64,0),$U118)*$V118*$N118,0)</f>
        <v>1.58606205020413E-3</v>
      </c>
      <c r="BL118" s="93">
        <f>IF(AND($T118=1,BL$5&lt;=$H118),INDEX(Mortality!$B$4:$E$64,MATCH($D118+BL$5-1,Mortality!$A$4:$A$64,0),$U118)*$V118*$N118,0)</f>
        <v>1.71816050751616E-3</v>
      </c>
      <c r="BM118" s="93">
        <f>IF(AND($T118=1,BM$5&lt;=$H118),INDEX(Mortality!$B$4:$E$64,MATCH($D118+BM$5-1,Mortality!$A$4:$A$64,0),$U118)*$V118*$N118,0)</f>
        <v>1.8612610579820999E-3</v>
      </c>
      <c r="BN118" s="93">
        <f>IF(AND($T118=1,BN$5&lt;=$H118),INDEX(Mortality!$B$4:$E$64,MATCH($D118+BN$5-1,Mortality!$A$4:$A$64,0),$U118)*$V118*$N118,0)</f>
        <v>2.0162800336790201E-3</v>
      </c>
      <c r="BO118" s="93">
        <f>IF(AND($T118=1,BO$5&lt;=$H118),INDEX(Mortality!$B$4:$E$64,MATCH($D118+BO$5-1,Mortality!$A$4:$A$64,0),$U118)*$V118*$N118,0)</f>
        <v>2.1842100852957199E-3</v>
      </c>
      <c r="BP118" s="93">
        <f>IF(AND($T118=1,BP$5&lt;=$H118),INDEX(Mortality!$B$4:$E$64,MATCH($D118+BP$5-1,Mortality!$A$4:$A$64,0),$U118)*$V118*$N118,0)</f>
        <v>2.3661265384860701E-3</v>
      </c>
      <c r="BQ118" s="93">
        <f>IF(AND($T118=1,BQ$5&lt;=$H118),INDEX(Mortality!$B$4:$E$64,MATCH($D118+BQ$5-1,Mortality!$A$4:$A$64,0),$U118)*$V118*$N118,0)</f>
        <v>2.5631942796244698E-3</v>
      </c>
      <c r="BR118" s="93">
        <f>IF(AND($T118=1,BR$5&lt;=$H118),INDEX(Mortality!$B$4:$E$64,MATCH($D118+BR$5-1,Mortality!$A$4:$A$64,0),$U118)*$V118*$N118,0)</f>
        <v>2.7766752150556202E-3</v>
      </c>
      <c r="BS118" s="93">
        <f>IF(AND($T118=1,BS$5&lt;=$H118),INDEX(Mortality!$B$4:$E$64,MATCH($D118+BS$5-1,Mortality!$A$4:$A$64,0),$U118)*$V118*$N118,0)</f>
        <v>3.0079363516033399E-3</v>
      </c>
      <c r="BT118" s="93">
        <f>IF(AND($T118=1,BT$5&lt;=$H118),INDEX(Mortality!$B$4:$E$64,MATCH($D118+BT$5-1,Mortality!$A$4:$A$64,0),$U118)*$V118*$N118,0)</f>
        <v>0</v>
      </c>
      <c r="BU118" s="93">
        <f>IF(AND($T118=1,BU$5&lt;=$H118),INDEX(Mortality!$B$4:$E$64,MATCH($D118+BU$5-1,Mortality!$A$4:$A$64,0),$U118)*$V118*$N118,0)</f>
        <v>0</v>
      </c>
      <c r="BV118" s="93">
        <f>IF(AND($T118=1,BV$5&lt;=$H118),INDEX(Mortality!$B$4:$E$64,MATCH($D118+BV$5-1,Mortality!$A$4:$A$64,0),$U118)*$V118*$N118,0)</f>
        <v>0</v>
      </c>
      <c r="BW118" s="93">
        <f>IF(AND($T118=1,BW$5&lt;=$H118),INDEX(Mortality!$B$4:$E$64,MATCH($D118+BW$5-1,Mortality!$A$4:$A$64,0),$U118)*$V118*$N118,0)</f>
        <v>0</v>
      </c>
      <c r="BX118" s="93">
        <f>IF(AND($T118=1,BX$5&lt;=$H118),INDEX(Mortality!$B$4:$E$64,MATCH($D118+BX$5-1,Mortality!$A$4:$A$64,0),$U118)*$V118*$N118,0)</f>
        <v>0</v>
      </c>
      <c r="BY118" s="93">
        <f>IF(AND($T118=1,BY$5&lt;=$H118),INDEX(Mortality!$B$4:$E$64,MATCH($D118+BY$5-1,Mortality!$A$4:$A$64,0),$U118)*$V118*$N118,0)</f>
        <v>0</v>
      </c>
      <c r="BZ118" s="93">
        <f>IF(AND($T118=1,BZ$5&lt;=$H118),INDEX(Mortality!$B$4:$E$64,MATCH($D118+BZ$5-1,Mortality!$A$4:$A$64,0),$U118)*$V118*$N118,0)</f>
        <v>0</v>
      </c>
      <c r="CA118" s="93">
        <f>IF(AND($T118=1,CA$5&lt;=$H118),INDEX(Mortality!$B$4:$E$64,MATCH($D118+CA$5-1,Mortality!$A$4:$A$64,0),$U118)*$V118*$N118,0)</f>
        <v>0</v>
      </c>
      <c r="CB118" s="93">
        <f>IF(AND($T118=1,CB$5&lt;=$H118),INDEX(Mortality!$B$4:$E$64,MATCH($D118+CB$5-1,Mortality!$A$4:$A$64,0),$U118)*$V118*$N118,0)</f>
        <v>0</v>
      </c>
      <c r="CC118" s="93">
        <f>IF(AND($T118=1,CC$5&lt;=$H118),INDEX(Mortality!$B$4:$E$64,MATCH($D118+CC$5-1,Mortality!$A$4:$A$64,0),$U118)*$V118*$N118,0)</f>
        <v>0</v>
      </c>
      <c r="CD118" s="93">
        <f>IF(AND($T118=1,CD$5&lt;=$H118),INDEX(Mortality!$B$4:$E$64,MATCH($D118+CD$5-1,Mortality!$A$4:$A$64,0),$U118)*$V118*$N118,0)</f>
        <v>0</v>
      </c>
      <c r="CE118" s="93">
        <f>IF(AND($T118=1,CE$5&lt;=$H118),INDEX(Mortality!$B$4:$E$64,MATCH($D118+CE$5-1,Mortality!$A$4:$A$64,0),$U118)*$V118*$N118,0)</f>
        <v>0</v>
      </c>
      <c r="CF118" s="93">
        <f>IF(AND($T118=1,CF$5&lt;=$H118),INDEX(Mortality!$B$4:$E$64,MATCH($D118+CF$5-1,Mortality!$A$4:$A$64,0),$U118)*$V118*$N118,0)</f>
        <v>0</v>
      </c>
      <c r="CG118" s="93">
        <f>IF(AND($T118=1,CG$5&lt;=$H118),INDEX(Mortality!$B$4:$E$64,MATCH($D118+CG$5-1,Mortality!$A$4:$A$64,0),$U118)*$V118*$N118,0)</f>
        <v>0</v>
      </c>
      <c r="CH118" s="94">
        <f>IF(AND($T118=1,CH$5&lt;=$H118),INDEX(Mortality!$B$4:$E$64,MATCH($D118+CH$5-1,Mortality!$A$4:$A$64,0),$U118)*$V118*$N118,0)</f>
        <v>0</v>
      </c>
      <c r="CI118" s="26"/>
      <c r="CJ118" s="419">
        <f t="shared" si="53"/>
        <v>1</v>
      </c>
      <c r="CK118" s="93">
        <f>IF(AND($T118=1,CK$5&lt;=$H118),CJ118*(1-AU118)*(1-MIN(1,MAX(Assumptions!$C$27,Assumptions!$C$13*Assumptions!$C$28^(CJ$5-1))*$O118)),0)</f>
        <v>0.87961193371850477</v>
      </c>
      <c r="CL118" s="93">
        <f>IF(AND($T118=1,CL$5&lt;=$H118),CK118*(1-AV118)*(1-MIN(1,MAX(Assumptions!$C$27,Assumptions!$C$13*Assumptions!$C$28^(CK$5-1))*$O118)),0)</f>
        <v>0.78951417526286238</v>
      </c>
      <c r="CM118" s="93">
        <f>IF(AND($T118=1,CM$5&lt;=$H118),CL118*(1-AW118)*(1-MIN(1,MAX(Assumptions!$C$27,Assumptions!$C$13*Assumptions!$C$28^(CL$5-1))*$O118)),0)</f>
        <v>0.72069014601175385</v>
      </c>
      <c r="CN118" s="93">
        <f>IF(AND($T118=1,CN$5&lt;=$H118),CM118*(1-AX118)*(1-MIN(1,MAX(Assumptions!$C$27,Assumptions!$C$13*Assumptions!$C$28^(CM$5-1))*$O118)),0)</f>
        <v>0.66720464027211424</v>
      </c>
      <c r="CO118" s="93">
        <f>IF(AND($T118=1,CO$5&lt;=$H118),CN118*(1-AY118)*(1-MIN(1,MAX(Assumptions!$C$27,Assumptions!$C$13*Assumptions!$C$28^(CN$5-1))*$O118)),0)</f>
        <v>0.62503063452204499</v>
      </c>
      <c r="CP118" s="93">
        <f>IF(AND($T118=1,CP$5&lt;=$H118),CO118*(1-AZ118)*(1-MIN(1,MAX(Assumptions!$C$27,Assumptions!$C$13*Assumptions!$C$28^(CO$5-1))*$O118)),0)</f>
        <v>0.59136180881176814</v>
      </c>
      <c r="CQ118" s="93">
        <f>IF(AND($T118=1,CQ$5&lt;=$H118),CP118*(1-BA118)*(1-MIN(1,MAX(Assumptions!$C$27,Assumptions!$C$13*Assumptions!$C$28^(CP$5-1))*$O118)),0)</f>
        <v>0.56419562199486195</v>
      </c>
      <c r="CR118" s="93">
        <f>IF(AND($T118=1,CR$5&lt;=$H118),CQ118*(1-BB118)*(1-MIN(1,MAX(Assumptions!$C$27,Assumptions!$C$13*Assumptions!$C$28^(CQ$5-1))*$O118)),0)</f>
        <v>0.54207262537756729</v>
      </c>
      <c r="CS118" s="93">
        <f>IF(AND($T118=1,CS$5&lt;=$H118),CR118*(1-BC118)*(1-MIN(1,MAX(Assumptions!$C$27,Assumptions!$C$13*Assumptions!$C$28^(CR$5-1))*$O118)),0)</f>
        <v>0.52390894537314658</v>
      </c>
      <c r="CT118" s="93">
        <f>IF(AND($T118=1,CT$5&lt;=$H118),CS118*(1-BD118)*(1-MIN(1,MAX(Assumptions!$C$27,Assumptions!$C$13*Assumptions!$C$28^(CS$5-1))*$O118)),0)</f>
        <v>0.50888594756223937</v>
      </c>
      <c r="CU118" s="93">
        <f>IF(AND($T118=1,CU$5&lt;=$H118),CT118*(1-BE118)*(1-MIN(1,MAX(Assumptions!$C$27,Assumptions!$C$13*Assumptions!$C$28^(CT$5-1))*$O118)),0)</f>
        <v>0.49637591719744784</v>
      </c>
      <c r="CV118" s="93">
        <f>IF(AND($T118=1,CV$5&lt;=$H118),CU118*(1-BF118)*(1-MIN(1,MAX(Assumptions!$C$27,Assumptions!$C$13*Assumptions!$C$28^(CU$5-1))*$O118)),0)</f>
        <v>0.48589096436630053</v>
      </c>
      <c r="CW118" s="93">
        <f>IF(AND($T118=1,CW$5&lt;=$H118),CV118*(1-BG118)*(1-MIN(1,MAX(Assumptions!$C$27,Assumptions!$C$13*Assumptions!$C$28^(CV$5-1))*$O118)),0)</f>
        <v>0.47562472816785356</v>
      </c>
      <c r="CX118" s="93">
        <f>IF(AND($T118=1,CX$5&lt;=$H118),CW118*(1-BH118)*(1-MIN(1,MAX(Assumptions!$C$27,Assumptions!$C$13*Assumptions!$C$28^(CW$5-1))*$O118)),0)</f>
        <v>0.46553069305859401</v>
      </c>
      <c r="CY118" s="93">
        <f>IF(AND($T118=1,CY$5&lt;=$H118),CX118*(1-BI118)*(1-MIN(1,MAX(Assumptions!$C$27,Assumptions!$C$13*Assumptions!$C$28^(CX$5-1))*$O118)),0)</f>
        <v>0.45560347361494069</v>
      </c>
      <c r="CZ118" s="93">
        <f>IF(AND($T118=1,CZ$5&lt;=$H118),CY118*(1-BJ118)*(1-MIN(1,MAX(Assumptions!$C$27,Assumptions!$C$13*Assumptions!$C$28^(CY$5-1))*$O118)),0)</f>
        <v>0.44583768723510703</v>
      </c>
      <c r="DA118" s="93">
        <f>IF(AND($T118=1,DA$5&lt;=$H118),CZ118*(1-BK118)*(1-MIN(1,MAX(Assumptions!$C$27,Assumptions!$C$13*Assumptions!$C$28^(CZ$5-1))*$O118)),0)</f>
        <v>0.43622794977885598</v>
      </c>
      <c r="DB118" s="93">
        <f>IF(AND($T118=1,DB$5&lt;=$H118),DA118*(1-BL118)*(1-MIN(1,MAX(Assumptions!$C$27,Assumptions!$C$13*Assumptions!$C$28^(DA$5-1))*$O118)),0)</f>
        <v>0.42676887134040575</v>
      </c>
      <c r="DC118" s="93">
        <f>IF(AND($T118=1,DC$5&lt;=$H118),DB118*(1-BM118)*(1-MIN(1,MAX(Assumptions!$C$27,Assumptions!$C$13*Assumptions!$C$28^(DB$5-1))*$O118)),0)</f>
        <v>0.41745505219823248</v>
      </c>
      <c r="DD118" s="93">
        <f>IF(AND($T118=1,DD$5&lt;=$H118),DC118*(1-BN118)*(1-MIN(1,MAX(Assumptions!$C$27,Assumptions!$C$13*Assumptions!$C$28^(DC$5-1))*$O118)),0)</f>
        <v>0.40828107899329624</v>
      </c>
      <c r="DE118" s="93">
        <f>IF(AND($T118=1,DE$5&lt;=$H118),DD118*(1-BO118)*(1-MIN(1,MAX(Assumptions!$C$27,Assumptions!$C$13*Assumptions!$C$28^(DD$5-1))*$O118)),0)</f>
        <v>0.39924152119606521</v>
      </c>
      <c r="DF118" s="93">
        <f>IF(AND($T118=1,DF$5&lt;=$H118),DE118*(1-BP118)*(1-MIN(1,MAX(Assumptions!$C$27,Assumptions!$C$13*Assumptions!$C$28^(DE$5-1))*$O118)),0)</f>
        <v>0.39033092793274765</v>
      </c>
      <c r="DG118" s="93">
        <f>IF(AND($T118=1,DG$5&lt;=$H118),DF118*(1-BQ118)*(1-MIN(1,MAX(Assumptions!$C$27,Assumptions!$C$13*Assumptions!$C$28^(DF$5-1))*$O118)),0)</f>
        <v>0.38154382525248776</v>
      </c>
      <c r="DH118" s="93">
        <f>IF(AND($T118=1,DH$5&lt;=$H118),DG118*(1-BR118)*(1-MIN(1,MAX(Assumptions!$C$27,Assumptions!$C$13*Assumptions!$C$28^(DG$5-1))*$O118)),0)</f>
        <v>0.37287471393006261</v>
      </c>
      <c r="DI118" s="93">
        <f>IF(AND($T118=1,DI$5&lt;=$H118),DH118*(1-BS118)*(1-MIN(1,MAX(Assumptions!$C$27,Assumptions!$C$13*Assumptions!$C$28^(DH$5-1))*$O118)),0)</f>
        <v>0</v>
      </c>
      <c r="DJ118" s="93">
        <f>IF(AND($T118=1,DJ$5&lt;=$H118),DI118*(1-BT118)*(1-MIN(1,MAX(Assumptions!$C$27,Assumptions!$C$13*Assumptions!$C$28^(DI$5-1))*$O118)),0)</f>
        <v>0</v>
      </c>
      <c r="DK118" s="93">
        <f>IF(AND($T118=1,DK$5&lt;=$H118),DJ118*(1-BU118)*(1-MIN(1,MAX(Assumptions!$C$27,Assumptions!$C$13*Assumptions!$C$28^(DJ$5-1))*$O118)),0)</f>
        <v>0</v>
      </c>
      <c r="DL118" s="93">
        <f>IF(AND($T118=1,DL$5&lt;=$H118),DK118*(1-BV118)*(1-MIN(1,MAX(Assumptions!$C$27,Assumptions!$C$13*Assumptions!$C$28^(DK$5-1))*$O118)),0)</f>
        <v>0</v>
      </c>
      <c r="DM118" s="93">
        <f>IF(AND($T118=1,DM$5&lt;=$H118),DL118*(1-BW118)*(1-MIN(1,MAX(Assumptions!$C$27,Assumptions!$C$13*Assumptions!$C$28^(DL$5-1))*$O118)),0)</f>
        <v>0</v>
      </c>
      <c r="DN118" s="93">
        <f>IF(AND($T118=1,DN$5&lt;=$H118),DM118*(1-BX118)*(1-MIN(1,MAX(Assumptions!$C$27,Assumptions!$C$13*Assumptions!$C$28^(DM$5-1))*$O118)),0)</f>
        <v>0</v>
      </c>
      <c r="DO118" s="93">
        <f>IF(AND($T118=1,DO$5&lt;=$H118),DN118*(1-BY118)*(1-MIN(1,MAX(Assumptions!$C$27,Assumptions!$C$13*Assumptions!$C$28^(DN$5-1))*$O118)),0)</f>
        <v>0</v>
      </c>
      <c r="DP118" s="93">
        <f>IF(AND($T118=1,DP$5&lt;=$H118),DO118*(1-BZ118)*(1-MIN(1,MAX(Assumptions!$C$27,Assumptions!$C$13*Assumptions!$C$28^(DO$5-1))*$O118)),0)</f>
        <v>0</v>
      </c>
      <c r="DQ118" s="93">
        <f>IF(AND($T118=1,DQ$5&lt;=$H118),DP118*(1-CA118)*(1-MIN(1,MAX(Assumptions!$C$27,Assumptions!$C$13*Assumptions!$C$28^(DP$5-1))*$O118)),0)</f>
        <v>0</v>
      </c>
      <c r="DR118" s="93">
        <f>IF(AND($T118=1,DR$5&lt;=$H118),DQ118*(1-CB118)*(1-MIN(1,MAX(Assumptions!$C$27,Assumptions!$C$13*Assumptions!$C$28^(DQ$5-1))*$O118)),0)</f>
        <v>0</v>
      </c>
      <c r="DS118" s="93">
        <f>IF(AND($T118=1,DS$5&lt;=$H118),DR118*(1-CC118)*(1-MIN(1,MAX(Assumptions!$C$27,Assumptions!$C$13*Assumptions!$C$28^(DR$5-1))*$O118)),0)</f>
        <v>0</v>
      </c>
      <c r="DT118" s="93">
        <f>IF(AND($T118=1,DT$5&lt;=$H118),DS118*(1-CD118)*(1-MIN(1,MAX(Assumptions!$C$27,Assumptions!$C$13*Assumptions!$C$28^(DS$5-1))*$O118)),0)</f>
        <v>0</v>
      </c>
      <c r="DU118" s="93">
        <f>IF(AND($T118=1,DU$5&lt;=$H118),DT118*(1-CE118)*(1-MIN(1,MAX(Assumptions!$C$27,Assumptions!$C$13*Assumptions!$C$28^(DT$5-1))*$O118)),0)</f>
        <v>0</v>
      </c>
      <c r="DV118" s="93">
        <f>IF(AND($T118=1,DV$5&lt;=$H118),DU118*(1-CF118)*(1-MIN(1,MAX(Assumptions!$C$27,Assumptions!$C$13*Assumptions!$C$28^(DU$5-1))*$O118)),0)</f>
        <v>0</v>
      </c>
      <c r="DW118" s="94">
        <f>IF(AND($T118=1,DW$5&lt;=$H118),DV118*(1-CG118)*(1-MIN(1,MAX(Assumptions!$C$27,Assumptions!$C$13*Assumptions!$C$28^(DV$5-1))*$O118)),0)</f>
        <v>0</v>
      </c>
      <c r="DX118" s="26"/>
      <c r="DY118" s="399">
        <f>'Policy Data'!K92</f>
        <v>3</v>
      </c>
      <c r="DZ118" s="100">
        <f>'Policy Data'!L92</f>
        <v>0.76219999999999999</v>
      </c>
      <c r="EA118" s="100">
        <f>'Policy Data'!N92</f>
        <v>3.3599999999999998E-4</v>
      </c>
      <c r="EB118" s="93" cm="1">
        <f t="array" ref="EB118">IFERROR(DZ118*INDEX(Mortality!$B$4:$E$64,MATCH(D118+DY118-1,Mortality!$A$4:$A$64,0),U118)*V118,0)</f>
        <v>3.9443849999999995E-4</v>
      </c>
      <c r="EC118" s="100">
        <f>'Policy Data'!O92</f>
        <v>0</v>
      </c>
      <c r="ED118" s="400">
        <f>'Policy Data'!Q92</f>
        <v>0</v>
      </c>
    </row>
    <row r="119" spans="1:134" x14ac:dyDescent="0.3">
      <c r="A119" s="399" t="str">
        <f>'Policy Data'!A93</f>
        <v>POL100089</v>
      </c>
      <c r="B119" s="26" t="s">
        <v>426</v>
      </c>
      <c r="C119" s="100" t="str">
        <f>'Policy Data'!B93</f>
        <v>Term Life</v>
      </c>
      <c r="D119" s="100">
        <f>'Policy Data'!C93</f>
        <v>44</v>
      </c>
      <c r="E119" s="100" t="str">
        <f>'Policy Data'!D93</f>
        <v>Male</v>
      </c>
      <c r="F119" s="100" t="str">
        <f>'Policy Data'!E93</f>
        <v>Smoker</v>
      </c>
      <c r="G119" s="100" t="str">
        <f>'Policy Data'!F93</f>
        <v>Preferred</v>
      </c>
      <c r="H119" s="100">
        <f>'Policy Data'!G93</f>
        <v>15</v>
      </c>
      <c r="I119" s="279">
        <f>'Policy Data'!H93</f>
        <v>500000</v>
      </c>
      <c r="J119" s="100" t="str">
        <f>'Policy Data'!I93</f>
        <v>Monthly</v>
      </c>
      <c r="K119" s="100" t="str">
        <f>'Policy Data'!J93</f>
        <v>Direct</v>
      </c>
      <c r="L119" s="26" t="s">
        <v>389</v>
      </c>
      <c r="M119" s="106">
        <f>'Policy Data'!R93</f>
        <v>1990.23</v>
      </c>
      <c r="N119" s="415">
        <f>Assumptions!$C$21</f>
        <v>1</v>
      </c>
      <c r="O119" s="415">
        <f>Assumptions!$C$22</f>
        <v>1</v>
      </c>
      <c r="P119" s="415">
        <f>Assumptions!$C$23</f>
        <v>1</v>
      </c>
      <c r="Q119" s="416">
        <f>Assumptions!$C$24</f>
        <v>0</v>
      </c>
      <c r="R119" s="416">
        <f>Assumptions!$C$6+Assumptions!$C$25</f>
        <v>3.5000000000000003E-2</v>
      </c>
      <c r="S119" s="416">
        <f>Assumptions!$C$15</f>
        <v>1.1000000000000001E-3</v>
      </c>
      <c r="T119" s="26">
        <f t="shared" si="36"/>
        <v>1</v>
      </c>
      <c r="U119" s="26">
        <f t="shared" si="37"/>
        <v>4</v>
      </c>
      <c r="V119" s="389">
        <f>IF($G119="Preferred",Assumptions!$C$30,IF($G119="Rated",Assumptions!$C$31,1))</f>
        <v>0.8</v>
      </c>
      <c r="W119" s="390">
        <f>IF($K119="Direct",Assumptions!$C$32,IF($K119="Broker",Assumptions!$C$33,IF($K119="Bancassurance",Assumptions!$C$34,Assumptions!$C$11)))+$Q119</f>
        <v>0.1</v>
      </c>
      <c r="X119" s="390">
        <f>Assumptions!$C$12+$Q119</f>
        <v>0.05</v>
      </c>
      <c r="Y119" s="131">
        <f>MIN($I119,Assumptions!$C$14)</f>
        <v>500000</v>
      </c>
      <c r="Z119" s="131">
        <f>MAX($I119-Assumptions!$C$14,0)</f>
        <v>0</v>
      </c>
      <c r="AA119" s="389">
        <f t="shared" si="38"/>
        <v>7.3275097941708331</v>
      </c>
      <c r="AB119" s="389">
        <f t="shared" si="39"/>
        <v>2.4916383668291471E-2</v>
      </c>
      <c r="AC119" s="389">
        <f>IF($T119=1,SUMPRODUCT($CJ119:$DW119,(1+Assumptions!$C$5)^($CJ$5:$DW$5-1),(1+$R119)^(-$CJ$5:$DW$5)),0)</f>
        <v>9.1532233045767981</v>
      </c>
      <c r="AD119" s="389">
        <f t="shared" si="40"/>
        <v>0.41468466845250307</v>
      </c>
      <c r="AE119" s="131">
        <f>IF($T119=1,$AB119*$Y119+(Assumptions!$C$9/(1+$R119)+Assumptions!$C$10*$AC119)*$P119+$S119*$Z119*$AA119,0)</f>
        <v>15341.466178543935</v>
      </c>
      <c r="AF119" s="131">
        <f>IF($T119=1,IF($AA119-$AD119-Assumptions!$C$16*$AA119&gt;0,$AE119/($AA119-$AD119-Assumptions!$C$16*$AA119)*IF($J119="Monthly",1+Assumptions!$C$29,1),"n.a."),"")</f>
        <v>2497.6526674007837</v>
      </c>
      <c r="AG119" s="131">
        <f t="shared" si="41"/>
        <v>1990.23</v>
      </c>
      <c r="AH119" s="131">
        <f t="shared" si="42"/>
        <v>14583.429817652617</v>
      </c>
      <c r="AI119" s="131">
        <f t="shared" si="43"/>
        <v>-1583.3542285855438</v>
      </c>
      <c r="AJ119" s="390">
        <f t="shared" si="44"/>
        <v>-0.10857214306808412</v>
      </c>
      <c r="AK119" s="389">
        <f t="shared" si="45"/>
        <v>0.79684017957194986</v>
      </c>
      <c r="AL119" s="131">
        <f t="shared" si="46"/>
        <v>0</v>
      </c>
      <c r="AM119" s="131">
        <f t="shared" si="47"/>
        <v>0</v>
      </c>
      <c r="AN119" s="131">
        <f t="shared" si="48"/>
        <v>0</v>
      </c>
      <c r="AO119" s="131">
        <f t="shared" si="49"/>
        <v>-1583.3542285855438</v>
      </c>
      <c r="AP119" s="26" t="str">
        <f t="shared" si="50"/>
        <v>40-49</v>
      </c>
      <c r="AQ119" s="26" t="str">
        <f t="shared" si="51"/>
        <v>250k-500k</v>
      </c>
      <c r="AR119" s="26" t="str">
        <f>IF($T119=1,IF($AI119&lt;0,"Loss-making",IF($AJ119&lt;Assumptions!$C$16-0.00001,"Below target","At/above target")),"Excluded")</f>
        <v>Loss-making</v>
      </c>
      <c r="AS119" s="103">
        <f t="shared" si="52"/>
        <v>-1583.3541095855437</v>
      </c>
      <c r="AT119" s="26"/>
      <c r="AU119" s="419">
        <f>IF(AND($T119=1,AU$5&lt;=$H119),INDEX(Mortality!$B$4:$E$64,MATCH($D119+AU$5-1,Mortality!$A$4:$A$64,0),$U119)*$V119*$N119,0)</f>
        <v>2.0936019062694484E-3</v>
      </c>
      <c r="AV119" s="93">
        <f>IF(AND($T119=1,AV$5&lt;=$H119),INDEX(Mortality!$B$4:$E$64,MATCH($D119+AV$5-1,Mortality!$A$4:$A$64,0),$U119)*$V119*$N119,0)</f>
        <v>2.2679718699213361E-3</v>
      </c>
      <c r="AW119" s="93">
        <f>IF(AND($T119=1,AW$5&lt;=$H119),INDEX(Mortality!$B$4:$E$64,MATCH($D119+AW$5-1,Mortality!$A$4:$A$64,0),$U119)*$V119*$N119,0)</f>
        <v>2.4568645965363763E-3</v>
      </c>
      <c r="AX119" s="93">
        <f>IF(AND($T119=1,AX$5&lt;=$H119),INDEX(Mortality!$B$4:$E$64,MATCH($D119+AX$5-1,Mortality!$A$4:$A$64,0),$U119)*$V119*$N119,0)</f>
        <v>2.6614896444563125E-3</v>
      </c>
      <c r="AY119" s="93">
        <f>IF(AND($T119=1,AY$5&lt;=$H119),INDEX(Mortality!$B$4:$E$64,MATCH($D119+AY$5-1,Mortality!$A$4:$A$64,0),$U119)*$V119*$N119,0)</f>
        <v>2.8831573125903441E-3</v>
      </c>
      <c r="AZ119" s="93">
        <f>IF(AND($T119=1,AZ$5&lt;=$H119),INDEX(Mortality!$B$4:$E$64,MATCH($D119+AZ$5-1,Mortality!$A$4:$A$64,0),$U119)*$V119*$N119,0)</f>
        <v>3.1232870308016084E-3</v>
      </c>
      <c r="BA119" s="93">
        <f>IF(AND($T119=1,BA$5&lt;=$H119),INDEX(Mortality!$B$4:$E$64,MATCH($D119+BA$5-1,Mortality!$A$4:$A$64,0),$U119)*$V119*$N119,0)</f>
        <v>3.3834164491043043E-3</v>
      </c>
      <c r="BB119" s="93">
        <f>IF(AND($T119=1,BB$5&lt;=$H119),INDEX(Mortality!$B$4:$E$64,MATCH($D119+BB$5-1,Mortality!$A$4:$A$64,0),$U119)*$V119*$N119,0)</f>
        <v>3.6652112838734246E-3</v>
      </c>
      <c r="BC119" s="93">
        <f>IF(AND($T119=1,BC$5&lt;=$H119),INDEX(Mortality!$B$4:$E$64,MATCH($D119+BC$5-1,Mortality!$A$4:$A$64,0),$U119)*$V119*$N119,0)</f>
        <v>3.9704759841164084E-3</v>
      </c>
      <c r="BD119" s="93">
        <f>IF(AND($T119=1,BD$5&lt;=$H119),INDEX(Mortality!$B$4:$E$64,MATCH($D119+BD$5-1,Mortality!$A$4:$A$64,0),$U119)*$V119*$N119,0)</f>
        <v>4.3011652861073123E-3</v>
      </c>
      <c r="BE119" s="93">
        <f>IF(AND($T119=1,BE$5&lt;=$H119),INDEX(Mortality!$B$4:$E$64,MATCH($D119+BE$5-1,Mortality!$A$4:$A$64,0),$U119)*$V119*$N119,0)</f>
        <v>4.6593967303725121E-3</v>
      </c>
      <c r="BF119" s="93">
        <f>IF(AND($T119=1,BF$5&lt;=$H119),INDEX(Mortality!$B$4:$E$64,MATCH($D119+BF$5-1,Mortality!$A$4:$A$64,0),$U119)*$V119*$N119,0)</f>
        <v>5.0474642211795285E-3</v>
      </c>
      <c r="BG119" s="93">
        <f>IF(AND($T119=1,BG$5&lt;=$H119),INDEX(Mortality!$B$4:$E$64,MATCH($D119+BG$5-1,Mortality!$A$4:$A$64,0),$U119)*$V119*$N119,0)</f>
        <v>5.4678527153558401E-3</v>
      </c>
      <c r="BH119" s="93">
        <f>IF(AND($T119=1,BH$5&lt;=$H119),INDEX(Mortality!$B$4:$E$64,MATCH($D119+BH$5-1,Mortality!$A$4:$A$64,0),$U119)*$V119*$N119,0)</f>
        <v>5.9232541344963847E-3</v>
      </c>
      <c r="BI119" s="93">
        <f>IF(AND($T119=1,BI$5&lt;=$H119),INDEX(Mortality!$B$4:$E$64,MATCH($D119+BI$5-1,Mortality!$A$4:$A$64,0),$U119)*$V119*$N119,0)</f>
        <v>6.4165846024521675E-3</v>
      </c>
      <c r="BJ119" s="93">
        <f>IF(AND($T119=1,BJ$5&lt;=$H119),INDEX(Mortality!$B$4:$E$64,MATCH($D119+BJ$5-1,Mortality!$A$4:$A$64,0),$U119)*$V119*$N119,0)</f>
        <v>0</v>
      </c>
      <c r="BK119" s="93">
        <f>IF(AND($T119=1,BK$5&lt;=$H119),INDEX(Mortality!$B$4:$E$64,MATCH($D119+BK$5-1,Mortality!$A$4:$A$64,0),$U119)*$V119*$N119,0)</f>
        <v>0</v>
      </c>
      <c r="BL119" s="93">
        <f>IF(AND($T119=1,BL$5&lt;=$H119),INDEX(Mortality!$B$4:$E$64,MATCH($D119+BL$5-1,Mortality!$A$4:$A$64,0),$U119)*$V119*$N119,0)</f>
        <v>0</v>
      </c>
      <c r="BM119" s="93">
        <f>IF(AND($T119=1,BM$5&lt;=$H119),INDEX(Mortality!$B$4:$E$64,MATCH($D119+BM$5-1,Mortality!$A$4:$A$64,0),$U119)*$V119*$N119,0)</f>
        <v>0</v>
      </c>
      <c r="BN119" s="93">
        <f>IF(AND($T119=1,BN$5&lt;=$H119),INDEX(Mortality!$B$4:$E$64,MATCH($D119+BN$5-1,Mortality!$A$4:$A$64,0),$U119)*$V119*$N119,0)</f>
        <v>0</v>
      </c>
      <c r="BO119" s="93">
        <f>IF(AND($T119=1,BO$5&lt;=$H119),INDEX(Mortality!$B$4:$E$64,MATCH($D119+BO$5-1,Mortality!$A$4:$A$64,0),$U119)*$V119*$N119,0)</f>
        <v>0</v>
      </c>
      <c r="BP119" s="93">
        <f>IF(AND($T119=1,BP$5&lt;=$H119),INDEX(Mortality!$B$4:$E$64,MATCH($D119+BP$5-1,Mortality!$A$4:$A$64,0),$U119)*$V119*$N119,0)</f>
        <v>0</v>
      </c>
      <c r="BQ119" s="93">
        <f>IF(AND($T119=1,BQ$5&lt;=$H119),INDEX(Mortality!$B$4:$E$64,MATCH($D119+BQ$5-1,Mortality!$A$4:$A$64,0),$U119)*$V119*$N119,0)</f>
        <v>0</v>
      </c>
      <c r="BR119" s="93">
        <f>IF(AND($T119=1,BR$5&lt;=$H119),INDEX(Mortality!$B$4:$E$64,MATCH($D119+BR$5-1,Mortality!$A$4:$A$64,0),$U119)*$V119*$N119,0)</f>
        <v>0</v>
      </c>
      <c r="BS119" s="93">
        <f>IF(AND($T119=1,BS$5&lt;=$H119),INDEX(Mortality!$B$4:$E$64,MATCH($D119+BS$5-1,Mortality!$A$4:$A$64,0),$U119)*$V119*$N119,0)</f>
        <v>0</v>
      </c>
      <c r="BT119" s="93">
        <f>IF(AND($T119=1,BT$5&lt;=$H119),INDEX(Mortality!$B$4:$E$64,MATCH($D119+BT$5-1,Mortality!$A$4:$A$64,0),$U119)*$V119*$N119,0)</f>
        <v>0</v>
      </c>
      <c r="BU119" s="93">
        <f>IF(AND($T119=1,BU$5&lt;=$H119),INDEX(Mortality!$B$4:$E$64,MATCH($D119+BU$5-1,Mortality!$A$4:$A$64,0),$U119)*$V119*$N119,0)</f>
        <v>0</v>
      </c>
      <c r="BV119" s="93">
        <f>IF(AND($T119=1,BV$5&lt;=$H119),INDEX(Mortality!$B$4:$E$64,MATCH($D119+BV$5-1,Mortality!$A$4:$A$64,0),$U119)*$V119*$N119,0)</f>
        <v>0</v>
      </c>
      <c r="BW119" s="93">
        <f>IF(AND($T119=1,BW$5&lt;=$H119),INDEX(Mortality!$B$4:$E$64,MATCH($D119+BW$5-1,Mortality!$A$4:$A$64,0),$U119)*$V119*$N119,0)</f>
        <v>0</v>
      </c>
      <c r="BX119" s="93">
        <f>IF(AND($T119=1,BX$5&lt;=$H119),INDEX(Mortality!$B$4:$E$64,MATCH($D119+BX$5-1,Mortality!$A$4:$A$64,0),$U119)*$V119*$N119,0)</f>
        <v>0</v>
      </c>
      <c r="BY119" s="93">
        <f>IF(AND($T119=1,BY$5&lt;=$H119),INDEX(Mortality!$B$4:$E$64,MATCH($D119+BY$5-1,Mortality!$A$4:$A$64,0),$U119)*$V119*$N119,0)</f>
        <v>0</v>
      </c>
      <c r="BZ119" s="93">
        <f>IF(AND($T119=1,BZ$5&lt;=$H119),INDEX(Mortality!$B$4:$E$64,MATCH($D119+BZ$5-1,Mortality!$A$4:$A$64,0),$U119)*$V119*$N119,0)</f>
        <v>0</v>
      </c>
      <c r="CA119" s="93">
        <f>IF(AND($T119=1,CA$5&lt;=$H119),INDEX(Mortality!$B$4:$E$64,MATCH($D119+CA$5-1,Mortality!$A$4:$A$64,0),$U119)*$V119*$N119,0)</f>
        <v>0</v>
      </c>
      <c r="CB119" s="93">
        <f>IF(AND($T119=1,CB$5&lt;=$H119),INDEX(Mortality!$B$4:$E$64,MATCH($D119+CB$5-1,Mortality!$A$4:$A$64,0),$U119)*$V119*$N119,0)</f>
        <v>0</v>
      </c>
      <c r="CC119" s="93">
        <f>IF(AND($T119=1,CC$5&lt;=$H119),INDEX(Mortality!$B$4:$E$64,MATCH($D119+CC$5-1,Mortality!$A$4:$A$64,0),$U119)*$V119*$N119,0)</f>
        <v>0</v>
      </c>
      <c r="CD119" s="93">
        <f>IF(AND($T119=1,CD$5&lt;=$H119),INDEX(Mortality!$B$4:$E$64,MATCH($D119+CD$5-1,Mortality!$A$4:$A$64,0),$U119)*$V119*$N119,0)</f>
        <v>0</v>
      </c>
      <c r="CE119" s="93">
        <f>IF(AND($T119=1,CE$5&lt;=$H119),INDEX(Mortality!$B$4:$E$64,MATCH($D119+CE$5-1,Mortality!$A$4:$A$64,0),$U119)*$V119*$N119,0)</f>
        <v>0</v>
      </c>
      <c r="CF119" s="93">
        <f>IF(AND($T119=1,CF$5&lt;=$H119),INDEX(Mortality!$B$4:$E$64,MATCH($D119+CF$5-1,Mortality!$A$4:$A$64,0),$U119)*$V119*$N119,0)</f>
        <v>0</v>
      </c>
      <c r="CG119" s="93">
        <f>IF(AND($T119=1,CG$5&lt;=$H119),INDEX(Mortality!$B$4:$E$64,MATCH($D119+CG$5-1,Mortality!$A$4:$A$64,0),$U119)*$V119*$N119,0)</f>
        <v>0</v>
      </c>
      <c r="CH119" s="94">
        <f>IF(AND($T119=1,CH$5&lt;=$H119),INDEX(Mortality!$B$4:$E$64,MATCH($D119+CH$5-1,Mortality!$A$4:$A$64,0),$U119)*$V119*$N119,0)</f>
        <v>0</v>
      </c>
      <c r="CI119" s="26"/>
      <c r="CJ119" s="419">
        <f t="shared" si="53"/>
        <v>1</v>
      </c>
      <c r="CK119" s="93">
        <f>IF(AND($T119=1,CK$5&lt;=$H119),CJ119*(1-AU119)*(1-MIN(1,MAX(Assumptions!$C$27,Assumptions!$C$13*Assumptions!$C$28^(CJ$5-1))*$O119)),0)</f>
        <v>0.87815763032248295</v>
      </c>
      <c r="CL119" s="93">
        <f>IF(AND($T119=1,CL$5&lt;=$H119),CK119*(1-AV119)*(1-MIN(1,MAX(Assumptions!$C$27,Assumptions!$C$13*Assumptions!$C$28^(CK$5-1))*$O119)),0)</f>
        <v>0.78679706218056022</v>
      </c>
      <c r="CM119" s="93">
        <f>IF(AND($T119=1,CM$5&lt;=$H119),CL119*(1-AW119)*(1-MIN(1,MAX(Assumptions!$C$27,Assumptions!$C$13*Assumptions!$C$28^(CL$5-1))*$O119)),0)</f>
        <v>0.71681629881128694</v>
      </c>
      <c r="CN119" s="93">
        <f>IF(AND($T119=1,CN$5&lt;=$H119),CM119*(1-AX119)*(1-MIN(1,MAX(Assumptions!$C$27,Assumptions!$C$13*Assumptions!$C$28^(CM$5-1))*$O119)),0)</f>
        <v>0.6622233177729463</v>
      </c>
      <c r="CO119" s="93">
        <f>IF(AND($T119=1,CO$5&lt;=$H119),CN119*(1-AY119)*(1-MIN(1,MAX(Assumptions!$C$27,Assumptions!$C$13*Assumptions!$C$28^(CN$5-1))*$O119)),0)</f>
        <v>0.61895145808716168</v>
      </c>
      <c r="CP119" s="93">
        <f>IF(AND($T119=1,CP$5&lt;=$H119),CO119*(1-AZ119)*(1-MIN(1,MAX(Assumptions!$C$27,Assumptions!$C$13*Assumptions!$C$28^(CO$5-1))*$O119)),0)</f>
        <v>0.58416537957592574</v>
      </c>
      <c r="CQ119" s="93">
        <f>IF(AND($T119=1,CQ$5&lt;=$H119),CP119*(1-BA119)*(1-MIN(1,MAX(Assumptions!$C$27,Assumptions!$C$13*Assumptions!$C$28^(CP$5-1))*$O119)),0)</f>
        <v>0.55584023320698217</v>
      </c>
      <c r="CR119" s="93">
        <f>IF(AND($T119=1,CR$5&lt;=$H119),CQ119*(1-BB119)*(1-MIN(1,MAX(Assumptions!$C$27,Assumptions!$C$13*Assumptions!$C$28^(CQ$5-1))*$O119)),0)</f>
        <v>0.53249857641392118</v>
      </c>
      <c r="CS119" s="93">
        <f>IF(AND($T119=1,CS$5&lt;=$H119),CR119*(1-BC119)*(1-MIN(1,MAX(Assumptions!$C$27,Assumptions!$C$13*Assumptions!$C$28^(CR$5-1))*$O119)),0)</f>
        <v>0.51304133992128709</v>
      </c>
      <c r="CT119" s="93">
        <f>IF(AND($T119=1,CT$5&lt;=$H119),CS119*(1-BD119)*(1-MIN(1,MAX(Assumptions!$C$27,Assumptions!$C$13*Assumptions!$C$28^(CS$5-1))*$O119)),0)</f>
        <v>0.49663650851904012</v>
      </c>
      <c r="CU119" s="93">
        <f>IF(AND($T119=1,CU$5&lt;=$H119),CT119*(1-BE119)*(1-MIN(1,MAX(Assumptions!$C$27,Assumptions!$C$13*Assumptions!$C$28^(CT$5-1))*$O119)),0)</f>
        <v>0.48264414869166222</v>
      </c>
      <c r="CV119" s="93">
        <f>IF(AND($T119=1,CV$5&lt;=$H119),CU119*(1-BF119)*(1-MIN(1,MAX(Assumptions!$C$27,Assumptions!$C$13*Assumptions!$C$28^(CU$5-1))*$O119)),0)</f>
        <v>0.47056487150171067</v>
      </c>
      <c r="CW119" s="93">
        <f>IF(AND($T119=1,CW$5&lt;=$H119),CV119*(1-BG119)*(1-MIN(1,MAX(Assumptions!$C$27,Assumptions!$C$13*Assumptions!$C$28^(CV$5-1))*$O119)),0)</f>
        <v>0.4586320542494926</v>
      </c>
      <c r="CX119" s="93">
        <f>IF(AND($T119=1,CX$5&lt;=$H119),CW119*(1-BH119)*(1-MIN(1,MAX(Assumptions!$C$27,Assumptions!$C$13*Assumptions!$C$28^(CW$5-1))*$O119)),0)</f>
        <v>0.4467971508371878</v>
      </c>
      <c r="CY119" s="93">
        <f>IF(AND($T119=1,CY$5&lt;=$H119),CX119*(1-BI119)*(1-MIN(1,MAX(Assumptions!$C$27,Assumptions!$C$13*Assumptions!$C$28^(CX$5-1))*$O119)),0)</f>
        <v>0</v>
      </c>
      <c r="CZ119" s="93">
        <f>IF(AND($T119=1,CZ$5&lt;=$H119),CY119*(1-BJ119)*(1-MIN(1,MAX(Assumptions!$C$27,Assumptions!$C$13*Assumptions!$C$28^(CY$5-1))*$O119)),0)</f>
        <v>0</v>
      </c>
      <c r="DA119" s="93">
        <f>IF(AND($T119=1,DA$5&lt;=$H119),CZ119*(1-BK119)*(1-MIN(1,MAX(Assumptions!$C$27,Assumptions!$C$13*Assumptions!$C$28^(CZ$5-1))*$O119)),0)</f>
        <v>0</v>
      </c>
      <c r="DB119" s="93">
        <f>IF(AND($T119=1,DB$5&lt;=$H119),DA119*(1-BL119)*(1-MIN(1,MAX(Assumptions!$C$27,Assumptions!$C$13*Assumptions!$C$28^(DA$5-1))*$O119)),0)</f>
        <v>0</v>
      </c>
      <c r="DC119" s="93">
        <f>IF(AND($T119=1,DC$5&lt;=$H119),DB119*(1-BM119)*(1-MIN(1,MAX(Assumptions!$C$27,Assumptions!$C$13*Assumptions!$C$28^(DB$5-1))*$O119)),0)</f>
        <v>0</v>
      </c>
      <c r="DD119" s="93">
        <f>IF(AND($T119=1,DD$5&lt;=$H119),DC119*(1-BN119)*(1-MIN(1,MAX(Assumptions!$C$27,Assumptions!$C$13*Assumptions!$C$28^(DC$5-1))*$O119)),0)</f>
        <v>0</v>
      </c>
      <c r="DE119" s="93">
        <f>IF(AND($T119=1,DE$5&lt;=$H119),DD119*(1-BO119)*(1-MIN(1,MAX(Assumptions!$C$27,Assumptions!$C$13*Assumptions!$C$28^(DD$5-1))*$O119)),0)</f>
        <v>0</v>
      </c>
      <c r="DF119" s="93">
        <f>IF(AND($T119=1,DF$5&lt;=$H119),DE119*(1-BP119)*(1-MIN(1,MAX(Assumptions!$C$27,Assumptions!$C$13*Assumptions!$C$28^(DE$5-1))*$O119)),0)</f>
        <v>0</v>
      </c>
      <c r="DG119" s="93">
        <f>IF(AND($T119=1,DG$5&lt;=$H119),DF119*(1-BQ119)*(1-MIN(1,MAX(Assumptions!$C$27,Assumptions!$C$13*Assumptions!$C$28^(DF$5-1))*$O119)),0)</f>
        <v>0</v>
      </c>
      <c r="DH119" s="93">
        <f>IF(AND($T119=1,DH$5&lt;=$H119),DG119*(1-BR119)*(1-MIN(1,MAX(Assumptions!$C$27,Assumptions!$C$13*Assumptions!$C$28^(DG$5-1))*$O119)),0)</f>
        <v>0</v>
      </c>
      <c r="DI119" s="93">
        <f>IF(AND($T119=1,DI$5&lt;=$H119),DH119*(1-BS119)*(1-MIN(1,MAX(Assumptions!$C$27,Assumptions!$C$13*Assumptions!$C$28^(DH$5-1))*$O119)),0)</f>
        <v>0</v>
      </c>
      <c r="DJ119" s="93">
        <f>IF(AND($T119=1,DJ$5&lt;=$H119),DI119*(1-BT119)*(1-MIN(1,MAX(Assumptions!$C$27,Assumptions!$C$13*Assumptions!$C$28^(DI$5-1))*$O119)),0)</f>
        <v>0</v>
      </c>
      <c r="DK119" s="93">
        <f>IF(AND($T119=1,DK$5&lt;=$H119),DJ119*(1-BU119)*(1-MIN(1,MAX(Assumptions!$C$27,Assumptions!$C$13*Assumptions!$C$28^(DJ$5-1))*$O119)),0)</f>
        <v>0</v>
      </c>
      <c r="DL119" s="93">
        <f>IF(AND($T119=1,DL$5&lt;=$H119),DK119*(1-BV119)*(1-MIN(1,MAX(Assumptions!$C$27,Assumptions!$C$13*Assumptions!$C$28^(DK$5-1))*$O119)),0)</f>
        <v>0</v>
      </c>
      <c r="DM119" s="93">
        <f>IF(AND($T119=1,DM$5&lt;=$H119),DL119*(1-BW119)*(1-MIN(1,MAX(Assumptions!$C$27,Assumptions!$C$13*Assumptions!$C$28^(DL$5-1))*$O119)),0)</f>
        <v>0</v>
      </c>
      <c r="DN119" s="93">
        <f>IF(AND($T119=1,DN$5&lt;=$H119),DM119*(1-BX119)*(1-MIN(1,MAX(Assumptions!$C$27,Assumptions!$C$13*Assumptions!$C$28^(DM$5-1))*$O119)),0)</f>
        <v>0</v>
      </c>
      <c r="DO119" s="93">
        <f>IF(AND($T119=1,DO$5&lt;=$H119),DN119*(1-BY119)*(1-MIN(1,MAX(Assumptions!$C$27,Assumptions!$C$13*Assumptions!$C$28^(DN$5-1))*$O119)),0)</f>
        <v>0</v>
      </c>
      <c r="DP119" s="93">
        <f>IF(AND($T119=1,DP$5&lt;=$H119),DO119*(1-BZ119)*(1-MIN(1,MAX(Assumptions!$C$27,Assumptions!$C$13*Assumptions!$C$28^(DO$5-1))*$O119)),0)</f>
        <v>0</v>
      </c>
      <c r="DQ119" s="93">
        <f>IF(AND($T119=1,DQ$5&lt;=$H119),DP119*(1-CA119)*(1-MIN(1,MAX(Assumptions!$C$27,Assumptions!$C$13*Assumptions!$C$28^(DP$5-1))*$O119)),0)</f>
        <v>0</v>
      </c>
      <c r="DR119" s="93">
        <f>IF(AND($T119=1,DR$5&lt;=$H119),DQ119*(1-CB119)*(1-MIN(1,MAX(Assumptions!$C$27,Assumptions!$C$13*Assumptions!$C$28^(DQ$5-1))*$O119)),0)</f>
        <v>0</v>
      </c>
      <c r="DS119" s="93">
        <f>IF(AND($T119=1,DS$5&lt;=$H119),DR119*(1-CC119)*(1-MIN(1,MAX(Assumptions!$C$27,Assumptions!$C$13*Assumptions!$C$28^(DR$5-1))*$O119)),0)</f>
        <v>0</v>
      </c>
      <c r="DT119" s="93">
        <f>IF(AND($T119=1,DT$5&lt;=$H119),DS119*(1-CD119)*(1-MIN(1,MAX(Assumptions!$C$27,Assumptions!$C$13*Assumptions!$C$28^(DS$5-1))*$O119)),0)</f>
        <v>0</v>
      </c>
      <c r="DU119" s="93">
        <f>IF(AND($T119=1,DU$5&lt;=$H119),DT119*(1-CE119)*(1-MIN(1,MAX(Assumptions!$C$27,Assumptions!$C$13*Assumptions!$C$28^(DT$5-1))*$O119)),0)</f>
        <v>0</v>
      </c>
      <c r="DV119" s="93">
        <f>IF(AND($T119=1,DV$5&lt;=$H119),DU119*(1-CF119)*(1-MIN(1,MAX(Assumptions!$C$27,Assumptions!$C$13*Assumptions!$C$28^(DU$5-1))*$O119)),0)</f>
        <v>0</v>
      </c>
      <c r="DW119" s="94">
        <f>IF(AND($T119=1,DW$5&lt;=$H119),DV119*(1-CG119)*(1-MIN(1,MAX(Assumptions!$C$27,Assumptions!$C$13*Assumptions!$C$28^(DV$5-1))*$O119)),0)</f>
        <v>0</v>
      </c>
      <c r="DX119" s="26"/>
      <c r="DY119" s="399">
        <f>'Policy Data'!K93</f>
        <v>5</v>
      </c>
      <c r="DZ119" s="100">
        <f>'Policy Data'!L93</f>
        <v>0.51029999999999998</v>
      </c>
      <c r="EA119" s="100">
        <f>'Policy Data'!N93</f>
        <v>1.0679999999999999E-3</v>
      </c>
      <c r="EB119" s="93" cm="1">
        <f t="array" ref="EB119">IFERROR(DZ119*INDEX(Mortality!$B$4:$E$64,MATCH(D119+DY119-1,Mortality!$A$4:$A$64,0),U119)*V119,0)</f>
        <v>1.4712751766148525E-3</v>
      </c>
      <c r="EC119" s="100">
        <f>'Policy Data'!O93</f>
        <v>0</v>
      </c>
      <c r="ED119" s="400">
        <f>'Policy Data'!Q93</f>
        <v>0</v>
      </c>
    </row>
    <row r="120" spans="1:134" x14ac:dyDescent="0.3">
      <c r="A120" s="399" t="str">
        <f>'Policy Data'!A94</f>
        <v>POL100090</v>
      </c>
      <c r="B120" s="26" t="s">
        <v>426</v>
      </c>
      <c r="C120" s="100" t="str">
        <f>'Policy Data'!B94</f>
        <v>Term Life</v>
      </c>
      <c r="D120" s="100">
        <f>'Policy Data'!C94</f>
        <v>61</v>
      </c>
      <c r="E120" s="100" t="str">
        <f>'Policy Data'!D94</f>
        <v>Female</v>
      </c>
      <c r="F120" s="100" t="str">
        <f>'Policy Data'!E94</f>
        <v>Non-smoker</v>
      </c>
      <c r="G120" s="100" t="str">
        <f>'Policy Data'!F94</f>
        <v>Standard</v>
      </c>
      <c r="H120" s="100">
        <f>'Policy Data'!G94</f>
        <v>15</v>
      </c>
      <c r="I120" s="279">
        <f>'Policy Data'!H94</f>
        <v>2000000</v>
      </c>
      <c r="J120" s="100" t="str">
        <f>'Policy Data'!I94</f>
        <v>Annual</v>
      </c>
      <c r="K120" s="100" t="str">
        <f>'Policy Data'!J94</f>
        <v>Broker</v>
      </c>
      <c r="L120" s="26" t="s">
        <v>389</v>
      </c>
      <c r="M120" s="106">
        <f>'Policy Data'!R94</f>
        <v>12359.38</v>
      </c>
      <c r="N120" s="415">
        <f>Assumptions!$C$21</f>
        <v>1</v>
      </c>
      <c r="O120" s="415">
        <f>Assumptions!$C$22</f>
        <v>1</v>
      </c>
      <c r="P120" s="415">
        <f>Assumptions!$C$23</f>
        <v>1</v>
      </c>
      <c r="Q120" s="416">
        <f>Assumptions!$C$24</f>
        <v>0</v>
      </c>
      <c r="R120" s="416">
        <f>Assumptions!$C$6+Assumptions!$C$25</f>
        <v>3.5000000000000003E-2</v>
      </c>
      <c r="S120" s="416">
        <f>Assumptions!$C$15</f>
        <v>1.1000000000000001E-3</v>
      </c>
      <c r="T120" s="26">
        <f t="shared" si="36"/>
        <v>1</v>
      </c>
      <c r="U120" s="26">
        <f t="shared" si="37"/>
        <v>1</v>
      </c>
      <c r="V120" s="389">
        <f>IF($G120="Preferred",Assumptions!$C$30,IF($G120="Rated",Assumptions!$C$31,1))</f>
        <v>1</v>
      </c>
      <c r="W120" s="390">
        <f>IF($K120="Direct",Assumptions!$C$32,IF($K120="Broker",Assumptions!$C$33,IF($K120="Bancassurance",Assumptions!$C$34,Assumptions!$C$11)))+$Q120</f>
        <v>0.25</v>
      </c>
      <c r="X120" s="390">
        <f>Assumptions!$C$12+$Q120</f>
        <v>0.05</v>
      </c>
      <c r="Y120" s="131">
        <f>MIN($I120,Assumptions!$C$14)</f>
        <v>500000</v>
      </c>
      <c r="Z120" s="131">
        <f>MAX($I120-Assumptions!$C$14,0)</f>
        <v>1500000</v>
      </c>
      <c r="AA120" s="389">
        <f t="shared" si="38"/>
        <v>7.1933405342457997</v>
      </c>
      <c r="AB120" s="389">
        <f t="shared" si="39"/>
        <v>5.302312271860949E-2</v>
      </c>
      <c r="AC120" s="389">
        <f>IF($T120=1,SUMPRODUCT($CJ120:$DW120,(1+Assumptions!$C$5)^($CJ$5:$DW$5-1),(1+$R120)^(-$CJ$5:$DW$5)),0)</f>
        <v>8.958466615386401</v>
      </c>
      <c r="AD120" s="389">
        <f t="shared" si="40"/>
        <v>0.5529037416881355</v>
      </c>
      <c r="AE120" s="131">
        <f>IF($T120=1,$AB120*$Y120+(Assumptions!$C$9/(1+$R120)+Assumptions!$C$10*$AC120)*$P120+$S120*$Z120*$AA120,0)</f>
        <v>41221.00111358663</v>
      </c>
      <c r="AF120" s="131">
        <f>IF($T120=1,IF($AA120-$AD120-Assumptions!$C$16*$AA120&gt;0,$AE120/($AA120-$AD120-Assumptions!$C$16*$AA120)*IF($J120="Monthly",1+Assumptions!$C$29,1),"n.a."),"")</f>
        <v>6796.5718170544815</v>
      </c>
      <c r="AG120" s="131">
        <f t="shared" si="41"/>
        <v>12359.38</v>
      </c>
      <c r="AH120" s="131">
        <f t="shared" si="42"/>
        <v>88905.229132146851</v>
      </c>
      <c r="AI120" s="131">
        <f t="shared" si="43"/>
        <v>40850.680571614714</v>
      </c>
      <c r="AJ120" s="390">
        <f t="shared" si="44"/>
        <v>0.45948569021620905</v>
      </c>
      <c r="AK120" s="389">
        <f t="shared" si="45"/>
        <v>1.8184726554329773</v>
      </c>
      <c r="AL120" s="131">
        <f t="shared" si="46"/>
        <v>79534.684077914237</v>
      </c>
      <c r="AM120" s="131">
        <f t="shared" si="47"/>
        <v>11869.01188150557</v>
      </c>
      <c r="AN120" s="131">
        <f t="shared" si="48"/>
        <v>67665.672196408661</v>
      </c>
      <c r="AO120" s="131">
        <f t="shared" si="49"/>
        <v>-26814.991624793947</v>
      </c>
      <c r="AP120" s="26" t="str">
        <f t="shared" si="50"/>
        <v>60+</v>
      </c>
      <c r="AQ120" s="26" t="str">
        <f t="shared" si="51"/>
        <v>Over 1m</v>
      </c>
      <c r="AR120" s="26" t="str">
        <f>IF($T120=1,IF($AI120&lt;0,"Loss-making",IF($AJ120&lt;Assumptions!$C$16-0.00001,"Below target","At/above target")),"Excluded")</f>
        <v>At/above target</v>
      </c>
      <c r="AS120" s="103">
        <f t="shared" si="52"/>
        <v>40850.680691614711</v>
      </c>
      <c r="AT120" s="26"/>
      <c r="AU120" s="419">
        <f>IF(AND($T120=1,AU$5&lt;=$H120),INDEX(Mortality!$B$4:$E$64,MATCH($D120+AU$5-1,Mortality!$A$4:$A$64,0),$U120)*$V120*$N120,0)</f>
        <v>4.5675336398272801E-3</v>
      </c>
      <c r="AV120" s="93">
        <f>IF(AND($T120=1,AV$5&lt;=$H120),INDEX(Mortality!$B$4:$E$64,MATCH($D120+AV$5-1,Mortality!$A$4:$A$64,0),$U120)*$V120*$N120,0)</f>
        <v>4.9479501231952296E-3</v>
      </c>
      <c r="AW120" s="93">
        <f>IF(AND($T120=1,AW$5&lt;=$H120),INDEX(Mortality!$B$4:$E$64,MATCH($D120+AW$5-1,Mortality!$A$4:$A$64,0),$U120)*$V120*$N120,0)</f>
        <v>5.36005037995811E-3</v>
      </c>
      <c r="AX120" s="93">
        <f>IF(AND($T120=1,AX$5&lt;=$H120),INDEX(Mortality!$B$4:$E$64,MATCH($D120+AX$5-1,Mortality!$A$4:$A$64,0),$U120)*$V120*$N120,0)</f>
        <v>5.8064732586948697E-3</v>
      </c>
      <c r="AY120" s="93">
        <f>IF(AND($T120=1,AY$5&lt;=$H120),INDEX(Mortality!$B$4:$E$64,MATCH($D120+AY$5-1,Mortality!$A$4:$A$64,0),$U120)*$V120*$N120,0)</f>
        <v>6.2900773899446198E-3</v>
      </c>
      <c r="AZ120" s="93">
        <f>IF(AND($T120=1,AZ$5&lt;=$H120),INDEX(Mortality!$B$4:$E$64,MATCH($D120+AZ$5-1,Mortality!$A$4:$A$64,0),$U120)*$V120*$N120,0)</f>
        <v>6.8139594912016701E-3</v>
      </c>
      <c r="BA120" s="93">
        <f>IF(AND($T120=1,BA$5&lt;=$H120),INDEX(Mortality!$B$4:$E$64,MATCH($D120+BA$5-1,Mortality!$A$4:$A$64,0),$U120)*$V120*$N120,0)</f>
        <v>7.3814741964798002E-3</v>
      </c>
      <c r="BB120" s="93">
        <f>IF(AND($T120=1,BB$5&lt;=$H120),INDEX(Mortality!$B$4:$E$64,MATCH($D120+BB$5-1,Mortality!$A$4:$A$64,0),$U120)*$V120*$N120,0)</f>
        <v>7.9962555374229801E-3</v>
      </c>
      <c r="BC120" s="93">
        <f>IF(AND($T120=1,BC$5&lt;=$H120),INDEX(Mortality!$B$4:$E$64,MATCH($D120+BC$5-1,Mortality!$A$4:$A$64,0),$U120)*$V120*$N120,0)</f>
        <v>8.6622402135145896E-3</v>
      </c>
      <c r="BD120" s="93">
        <f>IF(AND($T120=1,BD$5&lt;=$H120),INDEX(Mortality!$B$4:$E$64,MATCH($D120+BD$5-1,Mortality!$A$4:$A$64,0),$U120)*$V120*$N120,0)</f>
        <v>9.3836928003943297E-3</v>
      </c>
      <c r="BE120" s="93">
        <f>IF(AND($T120=1,BE$5&lt;=$H120),INDEX(Mortality!$B$4:$E$64,MATCH($D120+BE$5-1,Mortality!$A$4:$A$64,0),$U120)*$V120*$N120,0)</f>
        <v>1.0165233057701799E-2</v>
      </c>
      <c r="BF120" s="93">
        <f>IF(AND($T120=1,BF$5&lt;=$H120),INDEX(Mortality!$B$4:$E$64,MATCH($D120+BF$5-1,Mortality!$A$4:$A$64,0),$U120)*$V120*$N120,0)</f>
        <v>1.1011865511310301E-2</v>
      </c>
      <c r="BG120" s="93">
        <f>IF(AND($T120=1,BG$5&lt;=$H120),INDEX(Mortality!$B$4:$E$64,MATCH($D120+BG$5-1,Mortality!$A$4:$A$64,0),$U120)*$V120*$N120,0)</f>
        <v>1.19290114993784E-2</v>
      </c>
      <c r="BH120" s="93">
        <f>IF(AND($T120=1,BH$5&lt;=$H120),INDEX(Mortality!$B$4:$E$64,MATCH($D120+BH$5-1,Mortality!$A$4:$A$64,0),$U120)*$V120*$N120,0)</f>
        <v>1.29225438874225E-2</v>
      </c>
      <c r="BI120" s="93">
        <f>IF(AND($T120=1,BI$5&lt;=$H120),INDEX(Mortality!$B$4:$E$64,MATCH($D120+BI$5-1,Mortality!$A$4:$A$64,0),$U120)*$V120*$N120,0)</f>
        <v>1.3998824674706801E-2</v>
      </c>
      <c r="BJ120" s="93">
        <f>IF(AND($T120=1,BJ$5&lt;=$H120),INDEX(Mortality!$B$4:$E$64,MATCH($D120+BJ$5-1,Mortality!$A$4:$A$64,0),$U120)*$V120*$N120,0)</f>
        <v>0</v>
      </c>
      <c r="BK120" s="93">
        <f>IF(AND($T120=1,BK$5&lt;=$H120),INDEX(Mortality!$B$4:$E$64,MATCH($D120+BK$5-1,Mortality!$A$4:$A$64,0),$U120)*$V120*$N120,0)</f>
        <v>0</v>
      </c>
      <c r="BL120" s="93">
        <f>IF(AND($T120=1,BL$5&lt;=$H120),INDEX(Mortality!$B$4:$E$64,MATCH($D120+BL$5-1,Mortality!$A$4:$A$64,0),$U120)*$V120*$N120,0)</f>
        <v>0</v>
      </c>
      <c r="BM120" s="93">
        <f>IF(AND($T120=1,BM$5&lt;=$H120),INDEX(Mortality!$B$4:$E$64,MATCH($D120+BM$5-1,Mortality!$A$4:$A$64,0),$U120)*$V120*$N120,0)</f>
        <v>0</v>
      </c>
      <c r="BN120" s="93">
        <f>IF(AND($T120=1,BN$5&lt;=$H120),INDEX(Mortality!$B$4:$E$64,MATCH($D120+BN$5-1,Mortality!$A$4:$A$64,0),$U120)*$V120*$N120,0)</f>
        <v>0</v>
      </c>
      <c r="BO120" s="93">
        <f>IF(AND($T120=1,BO$5&lt;=$H120),INDEX(Mortality!$B$4:$E$64,MATCH($D120+BO$5-1,Mortality!$A$4:$A$64,0),$U120)*$V120*$N120,0)</f>
        <v>0</v>
      </c>
      <c r="BP120" s="93">
        <f>IF(AND($T120=1,BP$5&lt;=$H120),INDEX(Mortality!$B$4:$E$64,MATCH($D120+BP$5-1,Mortality!$A$4:$A$64,0),$U120)*$V120*$N120,0)</f>
        <v>0</v>
      </c>
      <c r="BQ120" s="93">
        <f>IF(AND($T120=1,BQ$5&lt;=$H120),INDEX(Mortality!$B$4:$E$64,MATCH($D120+BQ$5-1,Mortality!$A$4:$A$64,0),$U120)*$V120*$N120,0)</f>
        <v>0</v>
      </c>
      <c r="BR120" s="93">
        <f>IF(AND($T120=1,BR$5&lt;=$H120),INDEX(Mortality!$B$4:$E$64,MATCH($D120+BR$5-1,Mortality!$A$4:$A$64,0),$U120)*$V120*$N120,0)</f>
        <v>0</v>
      </c>
      <c r="BS120" s="93">
        <f>IF(AND($T120=1,BS$5&lt;=$H120),INDEX(Mortality!$B$4:$E$64,MATCH($D120+BS$5-1,Mortality!$A$4:$A$64,0),$U120)*$V120*$N120,0)</f>
        <v>0</v>
      </c>
      <c r="BT120" s="93">
        <f>IF(AND($T120=1,BT$5&lt;=$H120),INDEX(Mortality!$B$4:$E$64,MATCH($D120+BT$5-1,Mortality!$A$4:$A$64,0),$U120)*$V120*$N120,0)</f>
        <v>0</v>
      </c>
      <c r="BU120" s="93">
        <f>IF(AND($T120=1,BU$5&lt;=$H120),INDEX(Mortality!$B$4:$E$64,MATCH($D120+BU$5-1,Mortality!$A$4:$A$64,0),$U120)*$V120*$N120,0)</f>
        <v>0</v>
      </c>
      <c r="BV120" s="93">
        <f>IF(AND($T120=1,BV$5&lt;=$H120),INDEX(Mortality!$B$4:$E$64,MATCH($D120+BV$5-1,Mortality!$A$4:$A$64,0),$U120)*$V120*$N120,0)</f>
        <v>0</v>
      </c>
      <c r="BW120" s="93">
        <f>IF(AND($T120=1,BW$5&lt;=$H120),INDEX(Mortality!$B$4:$E$64,MATCH($D120+BW$5-1,Mortality!$A$4:$A$64,0),$U120)*$V120*$N120,0)</f>
        <v>0</v>
      </c>
      <c r="BX120" s="93">
        <f>IF(AND($T120=1,BX$5&lt;=$H120),INDEX(Mortality!$B$4:$E$64,MATCH($D120+BX$5-1,Mortality!$A$4:$A$64,0),$U120)*$V120*$N120,0)</f>
        <v>0</v>
      </c>
      <c r="BY120" s="93">
        <f>IF(AND($T120=1,BY$5&lt;=$H120),INDEX(Mortality!$B$4:$E$64,MATCH($D120+BY$5-1,Mortality!$A$4:$A$64,0),$U120)*$V120*$N120,0)</f>
        <v>0</v>
      </c>
      <c r="BZ120" s="93">
        <f>IF(AND($T120=1,BZ$5&lt;=$H120),INDEX(Mortality!$B$4:$E$64,MATCH($D120+BZ$5-1,Mortality!$A$4:$A$64,0),$U120)*$V120*$N120,0)</f>
        <v>0</v>
      </c>
      <c r="CA120" s="93">
        <f>IF(AND($T120=1,CA$5&lt;=$H120),INDEX(Mortality!$B$4:$E$64,MATCH($D120+CA$5-1,Mortality!$A$4:$A$64,0),$U120)*$V120*$N120,0)</f>
        <v>0</v>
      </c>
      <c r="CB120" s="93">
        <f>IF(AND($T120=1,CB$5&lt;=$H120),INDEX(Mortality!$B$4:$E$64,MATCH($D120+CB$5-1,Mortality!$A$4:$A$64,0),$U120)*$V120*$N120,0)</f>
        <v>0</v>
      </c>
      <c r="CC120" s="93">
        <f>IF(AND($T120=1,CC$5&lt;=$H120),INDEX(Mortality!$B$4:$E$64,MATCH($D120+CC$5-1,Mortality!$A$4:$A$64,0),$U120)*$V120*$N120,0)</f>
        <v>0</v>
      </c>
      <c r="CD120" s="93">
        <f>IF(AND($T120=1,CD$5&lt;=$H120),INDEX(Mortality!$B$4:$E$64,MATCH($D120+CD$5-1,Mortality!$A$4:$A$64,0),$U120)*$V120*$N120,0)</f>
        <v>0</v>
      </c>
      <c r="CE120" s="93">
        <f>IF(AND($T120=1,CE$5&lt;=$H120),INDEX(Mortality!$B$4:$E$64,MATCH($D120+CE$5-1,Mortality!$A$4:$A$64,0),$U120)*$V120*$N120,0)</f>
        <v>0</v>
      </c>
      <c r="CF120" s="93">
        <f>IF(AND($T120=1,CF$5&lt;=$H120),INDEX(Mortality!$B$4:$E$64,MATCH($D120+CF$5-1,Mortality!$A$4:$A$64,0),$U120)*$V120*$N120,0)</f>
        <v>0</v>
      </c>
      <c r="CG120" s="93">
        <f>IF(AND($T120=1,CG$5&lt;=$H120),INDEX(Mortality!$B$4:$E$64,MATCH($D120+CG$5-1,Mortality!$A$4:$A$64,0),$U120)*$V120*$N120,0)</f>
        <v>0</v>
      </c>
      <c r="CH120" s="94">
        <f>IF(AND($T120=1,CH$5&lt;=$H120),INDEX(Mortality!$B$4:$E$64,MATCH($D120+CH$5-1,Mortality!$A$4:$A$64,0),$U120)*$V120*$N120,0)</f>
        <v>0</v>
      </c>
      <c r="CI120" s="26"/>
      <c r="CJ120" s="419">
        <f t="shared" si="53"/>
        <v>1</v>
      </c>
      <c r="CK120" s="93">
        <f>IF(AND($T120=1,CK$5&lt;=$H120),CJ120*(1-AU120)*(1-MIN(1,MAX(Assumptions!$C$27,Assumptions!$C$13*Assumptions!$C$28^(CJ$5-1))*$O120)),0)</f>
        <v>0.87598057039695199</v>
      </c>
      <c r="CL120" s="93">
        <f>IF(AND($T120=1,CL$5&lt;=$H120),CK120*(1-AV120)*(1-MIN(1,MAX(Assumptions!$C$27,Assumptions!$C$13*Assumptions!$C$28^(CK$5-1))*$O120)),0)</f>
        <v>0.78273834347871429</v>
      </c>
      <c r="CM120" s="93">
        <f>IF(AND($T120=1,CM$5&lt;=$H120),CL120*(1-AW120)*(1-MIN(1,MAX(Assumptions!$C$27,Assumptions!$C$13*Assumptions!$C$28^(CL$5-1))*$O120)),0)</f>
        <v>0.7110431634637695</v>
      </c>
      <c r="CN120" s="93">
        <f>IF(AND($T120=1,CN$5&lt;=$H120),CM120*(1-AX120)*(1-MIN(1,MAX(Assumptions!$C$27,Assumptions!$C$13*Assumptions!$C$28^(CM$5-1))*$O120)),0)</f>
        <v>0.6548184455091447</v>
      </c>
      <c r="CO120" s="93">
        <f>IF(AND($T120=1,CO$5&lt;=$H120),CN120*(1-AY120)*(1-MIN(1,MAX(Assumptions!$C$27,Assumptions!$C$13*Assumptions!$C$28^(CN$5-1))*$O120)),0)</f>
        <v>0.60993927666802727</v>
      </c>
      <c r="CP120" s="93">
        <f>IF(AND($T120=1,CP$5&lt;=$H120),CO120*(1-AZ120)*(1-MIN(1,MAX(Assumptions!$C$27,Assumptions!$C$13*Assumptions!$C$28^(CO$5-1))*$O120)),0)</f>
        <v>0.57352846958053894</v>
      </c>
      <c r="CQ120" s="93">
        <f>IF(AND($T120=1,CQ$5&lt;=$H120),CP120*(1-BA120)*(1-MIN(1,MAX(Assumptions!$C$27,Assumptions!$C$13*Assumptions!$C$28^(CP$5-1))*$O120)),0)</f>
        <v>0.54352986468662512</v>
      </c>
      <c r="CR120" s="93">
        <f>IF(AND($T120=1,CR$5&lt;=$H120),CQ120*(1-BB120)*(1-MIN(1,MAX(Assumptions!$C$27,Assumptions!$C$13*Assumptions!$C$28^(CQ$5-1))*$O120)),0)</f>
        <v>0.51844166962544502</v>
      </c>
      <c r="CS120" s="93">
        <f>IF(AND($T120=1,CS$5&lt;=$H120),CR120*(1-BC120)*(1-MIN(1,MAX(Assumptions!$C$27,Assumptions!$C$13*Assumptions!$C$28^(CR$5-1))*$O120)),0)</f>
        <v>0.49714519643667904</v>
      </c>
      <c r="CT120" s="93">
        <f>IF(AND($T120=1,CT$5&lt;=$H120),CS120*(1-BD120)*(1-MIN(1,MAX(Assumptions!$C$27,Assumptions!$C$13*Assumptions!$C$28^(CS$5-1))*$O120)),0)</f>
        <v>0.47879212913820224</v>
      </c>
      <c r="CU120" s="93">
        <f>IF(AND($T120=1,CU$5&lt;=$H120),CT120*(1-BE120)*(1-MIN(1,MAX(Assumptions!$C$27,Assumptions!$C$13*Assumptions!$C$28^(CT$5-1))*$O120)),0)</f>
        <v>0.46272864905247585</v>
      </c>
      <c r="CV120" s="93">
        <f>IF(AND($T120=1,CV$5&lt;=$H120),CU120*(1-BF120)*(1-MIN(1,MAX(Assumptions!$C$27,Assumptions!$C$13*Assumptions!$C$28^(CU$5-1))*$O120)),0)</f>
        <v>0.44844332564449035</v>
      </c>
      <c r="CW120" s="93">
        <f>IF(AND($T120=1,CW$5&lt;=$H120),CV120*(1-BG120)*(1-MIN(1,MAX(Assumptions!$C$27,Assumptions!$C$13*Assumptions!$C$28^(CV$5-1))*$O120)),0)</f>
        <v>0.43423196325493657</v>
      </c>
      <c r="CX120" s="93">
        <f>IF(AND($T120=1,CX$5&lt;=$H120),CW120*(1-BH120)*(1-MIN(1,MAX(Assumptions!$C$27,Assumptions!$C$13*Assumptions!$C$28^(CW$5-1))*$O120)),0)</f>
        <v>0.42004817001940392</v>
      </c>
      <c r="CY120" s="93">
        <f>IF(AND($T120=1,CY$5&lt;=$H120),CX120*(1-BI120)*(1-MIN(1,MAX(Assumptions!$C$27,Assumptions!$C$13*Assumptions!$C$28^(CX$5-1))*$O120)),0)</f>
        <v>0</v>
      </c>
      <c r="CZ120" s="93">
        <f>IF(AND($T120=1,CZ$5&lt;=$H120),CY120*(1-BJ120)*(1-MIN(1,MAX(Assumptions!$C$27,Assumptions!$C$13*Assumptions!$C$28^(CY$5-1))*$O120)),0)</f>
        <v>0</v>
      </c>
      <c r="DA120" s="93">
        <f>IF(AND($T120=1,DA$5&lt;=$H120),CZ120*(1-BK120)*(1-MIN(1,MAX(Assumptions!$C$27,Assumptions!$C$13*Assumptions!$C$28^(CZ$5-1))*$O120)),0)</f>
        <v>0</v>
      </c>
      <c r="DB120" s="93">
        <f>IF(AND($T120=1,DB$5&lt;=$H120),DA120*(1-BL120)*(1-MIN(1,MAX(Assumptions!$C$27,Assumptions!$C$13*Assumptions!$C$28^(DA$5-1))*$O120)),0)</f>
        <v>0</v>
      </c>
      <c r="DC120" s="93">
        <f>IF(AND($T120=1,DC$5&lt;=$H120),DB120*(1-BM120)*(1-MIN(1,MAX(Assumptions!$C$27,Assumptions!$C$13*Assumptions!$C$28^(DB$5-1))*$O120)),0)</f>
        <v>0</v>
      </c>
      <c r="DD120" s="93">
        <f>IF(AND($T120=1,DD$5&lt;=$H120),DC120*(1-BN120)*(1-MIN(1,MAX(Assumptions!$C$27,Assumptions!$C$13*Assumptions!$C$28^(DC$5-1))*$O120)),0)</f>
        <v>0</v>
      </c>
      <c r="DE120" s="93">
        <f>IF(AND($T120=1,DE$5&lt;=$H120),DD120*(1-BO120)*(1-MIN(1,MAX(Assumptions!$C$27,Assumptions!$C$13*Assumptions!$C$28^(DD$5-1))*$O120)),0)</f>
        <v>0</v>
      </c>
      <c r="DF120" s="93">
        <f>IF(AND($T120=1,DF$5&lt;=$H120),DE120*(1-BP120)*(1-MIN(1,MAX(Assumptions!$C$27,Assumptions!$C$13*Assumptions!$C$28^(DE$5-1))*$O120)),0)</f>
        <v>0</v>
      </c>
      <c r="DG120" s="93">
        <f>IF(AND($T120=1,DG$5&lt;=$H120),DF120*(1-BQ120)*(1-MIN(1,MAX(Assumptions!$C$27,Assumptions!$C$13*Assumptions!$C$28^(DF$5-1))*$O120)),0)</f>
        <v>0</v>
      </c>
      <c r="DH120" s="93">
        <f>IF(AND($T120=1,DH$5&lt;=$H120),DG120*(1-BR120)*(1-MIN(1,MAX(Assumptions!$C$27,Assumptions!$C$13*Assumptions!$C$28^(DG$5-1))*$O120)),0)</f>
        <v>0</v>
      </c>
      <c r="DI120" s="93">
        <f>IF(AND($T120=1,DI$5&lt;=$H120),DH120*(1-BS120)*(1-MIN(1,MAX(Assumptions!$C$27,Assumptions!$C$13*Assumptions!$C$28^(DH$5-1))*$O120)),0)</f>
        <v>0</v>
      </c>
      <c r="DJ120" s="93">
        <f>IF(AND($T120=1,DJ$5&lt;=$H120),DI120*(1-BT120)*(1-MIN(1,MAX(Assumptions!$C$27,Assumptions!$C$13*Assumptions!$C$28^(DI$5-1))*$O120)),0)</f>
        <v>0</v>
      </c>
      <c r="DK120" s="93">
        <f>IF(AND($T120=1,DK$5&lt;=$H120),DJ120*(1-BU120)*(1-MIN(1,MAX(Assumptions!$C$27,Assumptions!$C$13*Assumptions!$C$28^(DJ$5-1))*$O120)),0)</f>
        <v>0</v>
      </c>
      <c r="DL120" s="93">
        <f>IF(AND($T120=1,DL$5&lt;=$H120),DK120*(1-BV120)*(1-MIN(1,MAX(Assumptions!$C$27,Assumptions!$C$13*Assumptions!$C$28^(DK$5-1))*$O120)),0)</f>
        <v>0</v>
      </c>
      <c r="DM120" s="93">
        <f>IF(AND($T120=1,DM$5&lt;=$H120),DL120*(1-BW120)*(1-MIN(1,MAX(Assumptions!$C$27,Assumptions!$C$13*Assumptions!$C$28^(DL$5-1))*$O120)),0)</f>
        <v>0</v>
      </c>
      <c r="DN120" s="93">
        <f>IF(AND($T120=1,DN$5&lt;=$H120),DM120*(1-BX120)*(1-MIN(1,MAX(Assumptions!$C$27,Assumptions!$C$13*Assumptions!$C$28^(DM$5-1))*$O120)),0)</f>
        <v>0</v>
      </c>
      <c r="DO120" s="93">
        <f>IF(AND($T120=1,DO$5&lt;=$H120),DN120*(1-BY120)*(1-MIN(1,MAX(Assumptions!$C$27,Assumptions!$C$13*Assumptions!$C$28^(DN$5-1))*$O120)),0)</f>
        <v>0</v>
      </c>
      <c r="DP120" s="93">
        <f>IF(AND($T120=1,DP$5&lt;=$H120),DO120*(1-BZ120)*(1-MIN(1,MAX(Assumptions!$C$27,Assumptions!$C$13*Assumptions!$C$28^(DO$5-1))*$O120)),0)</f>
        <v>0</v>
      </c>
      <c r="DQ120" s="93">
        <f>IF(AND($T120=1,DQ$5&lt;=$H120),DP120*(1-CA120)*(1-MIN(1,MAX(Assumptions!$C$27,Assumptions!$C$13*Assumptions!$C$28^(DP$5-1))*$O120)),0)</f>
        <v>0</v>
      </c>
      <c r="DR120" s="93">
        <f>IF(AND($T120=1,DR$5&lt;=$H120),DQ120*(1-CB120)*(1-MIN(1,MAX(Assumptions!$C$27,Assumptions!$C$13*Assumptions!$C$28^(DQ$5-1))*$O120)),0)</f>
        <v>0</v>
      </c>
      <c r="DS120" s="93">
        <f>IF(AND($T120=1,DS$5&lt;=$H120),DR120*(1-CC120)*(1-MIN(1,MAX(Assumptions!$C$27,Assumptions!$C$13*Assumptions!$C$28^(DR$5-1))*$O120)),0)</f>
        <v>0</v>
      </c>
      <c r="DT120" s="93">
        <f>IF(AND($T120=1,DT$5&lt;=$H120),DS120*(1-CD120)*(1-MIN(1,MAX(Assumptions!$C$27,Assumptions!$C$13*Assumptions!$C$28^(DS$5-1))*$O120)),0)</f>
        <v>0</v>
      </c>
      <c r="DU120" s="93">
        <f>IF(AND($T120=1,DU$5&lt;=$H120),DT120*(1-CE120)*(1-MIN(1,MAX(Assumptions!$C$27,Assumptions!$C$13*Assumptions!$C$28^(DT$5-1))*$O120)),0)</f>
        <v>0</v>
      </c>
      <c r="DV120" s="93">
        <f>IF(AND($T120=1,DV$5&lt;=$H120),DU120*(1-CF120)*(1-MIN(1,MAX(Assumptions!$C$27,Assumptions!$C$13*Assumptions!$C$28^(DU$5-1))*$O120)),0)</f>
        <v>0</v>
      </c>
      <c r="DW120" s="94">
        <f>IF(AND($T120=1,DW$5&lt;=$H120),DV120*(1-CG120)*(1-MIN(1,MAX(Assumptions!$C$27,Assumptions!$C$13*Assumptions!$C$28^(DV$5-1))*$O120)),0)</f>
        <v>0</v>
      </c>
      <c r="DX120" s="26"/>
      <c r="DY120" s="399">
        <f>'Policy Data'!K94</f>
        <v>2</v>
      </c>
      <c r="DZ120" s="100">
        <f>'Policy Data'!L94</f>
        <v>0.93330000000000002</v>
      </c>
      <c r="EA120" s="100">
        <f>'Policy Data'!N94</f>
        <v>4.2630000000000003E-3</v>
      </c>
      <c r="EB120" s="93" cm="1">
        <f t="array" ref="EB120">IFERROR(DZ120*INDEX(Mortality!$B$4:$E$64,MATCH(D120+DY120-1,Mortality!$A$4:$A$64,0),U120)*V120,0)</f>
        <v>4.6179218499781075E-3</v>
      </c>
      <c r="EC120" s="100">
        <f>'Policy Data'!O94</f>
        <v>0</v>
      </c>
      <c r="ED120" s="400">
        <f>'Policy Data'!Q94</f>
        <v>0</v>
      </c>
    </row>
    <row r="121" spans="1:134" x14ac:dyDescent="0.3">
      <c r="A121" s="399" t="str">
        <f>'Policy Data'!A95</f>
        <v>POL100091</v>
      </c>
      <c r="B121" s="26" t="s">
        <v>426</v>
      </c>
      <c r="C121" s="100" t="str">
        <f>'Policy Data'!B95</f>
        <v>Unit-Linked</v>
      </c>
      <c r="D121" s="100">
        <f>'Policy Data'!C95</f>
        <v>33</v>
      </c>
      <c r="E121" s="100" t="str">
        <f>'Policy Data'!D95</f>
        <v>Female</v>
      </c>
      <c r="F121" s="100" t="str">
        <f>'Policy Data'!E95</f>
        <v>Non-smoker</v>
      </c>
      <c r="G121" s="100" t="str">
        <f>'Policy Data'!F95</f>
        <v>Preferred</v>
      </c>
      <c r="H121" s="100">
        <f>'Policy Data'!G95</f>
        <v>20</v>
      </c>
      <c r="I121" s="279">
        <f>'Policy Data'!H95</f>
        <v>500000</v>
      </c>
      <c r="J121" s="100" t="str">
        <f>'Policy Data'!I95</f>
        <v>Monthly</v>
      </c>
      <c r="K121" s="100" t="str">
        <f>'Policy Data'!J95</f>
        <v>Broker</v>
      </c>
      <c r="L121" s="26" t="s">
        <v>389</v>
      </c>
      <c r="M121" s="106">
        <f>'Policy Data'!R95</f>
        <v>12114.62</v>
      </c>
      <c r="N121" s="415">
        <f>Assumptions!$C$21</f>
        <v>1</v>
      </c>
      <c r="O121" s="415">
        <f>Assumptions!$C$22</f>
        <v>1</v>
      </c>
      <c r="P121" s="415">
        <f>Assumptions!$C$23</f>
        <v>1</v>
      </c>
      <c r="Q121" s="416">
        <f>Assumptions!$C$24</f>
        <v>0</v>
      </c>
      <c r="R121" s="416">
        <f>Assumptions!$C$6+Assumptions!$C$25</f>
        <v>3.5000000000000003E-2</v>
      </c>
      <c r="S121" s="416">
        <f>Assumptions!$C$15</f>
        <v>1.1000000000000001E-3</v>
      </c>
      <c r="T121" s="26">
        <f t="shared" si="36"/>
        <v>0</v>
      </c>
      <c r="U121" s="26">
        <f t="shared" si="37"/>
        <v>1</v>
      </c>
      <c r="V121" s="389">
        <f>IF($G121="Preferred",Assumptions!$C$30,IF($G121="Rated",Assumptions!$C$31,1))</f>
        <v>0.8</v>
      </c>
      <c r="W121" s="390">
        <f>IF($K121="Direct",Assumptions!$C$32,IF($K121="Broker",Assumptions!$C$33,IF($K121="Bancassurance",Assumptions!$C$34,Assumptions!$C$11)))+$Q121</f>
        <v>0.25</v>
      </c>
      <c r="X121" s="390">
        <f>Assumptions!$C$12+$Q121</f>
        <v>0.05</v>
      </c>
      <c r="Y121" s="131">
        <f>MIN($I121,Assumptions!$C$14)</f>
        <v>500000</v>
      </c>
      <c r="Z121" s="131">
        <f>MAX($I121-Assumptions!$C$14,0)</f>
        <v>0</v>
      </c>
      <c r="AA121" s="389">
        <f t="shared" si="38"/>
        <v>0</v>
      </c>
      <c r="AB121" s="389">
        <f t="shared" si="39"/>
        <v>0</v>
      </c>
      <c r="AC121" s="389">
        <f>IF($T121=1,SUMPRODUCT($CJ121:$DW121,(1+Assumptions!$C$5)^($CJ$5:$DW$5-1),(1+$R121)^(-$CJ$5:$DW$5)),0)</f>
        <v>0</v>
      </c>
      <c r="AD121" s="389">
        <f t="shared" si="40"/>
        <v>0</v>
      </c>
      <c r="AE121" s="131">
        <f>IF($T121=1,$AB121*$Y121+(Assumptions!$C$9/(1+$R121)+Assumptions!$C$10*$AC121)*$P121+$S121*$Z121*$AA121,0)</f>
        <v>0</v>
      </c>
      <c r="AF121" s="131" t="str">
        <f>IF($T121=1,IF($AA121-$AD121-Assumptions!$C$16*$AA121&gt;0,$AE121/($AA121-$AD121-Assumptions!$C$16*$AA121)*IF($J121="Monthly",1+Assumptions!$C$29,1),"n.a."),"")</f>
        <v/>
      </c>
      <c r="AG121" s="131" t="str">
        <f t="shared" si="41"/>
        <v/>
      </c>
      <c r="AH121" s="131" t="str">
        <f t="shared" si="42"/>
        <v/>
      </c>
      <c r="AI121" s="131" t="str">
        <f t="shared" si="43"/>
        <v/>
      </c>
      <c r="AJ121" s="390" t="str">
        <f t="shared" si="44"/>
        <v/>
      </c>
      <c r="AK121" s="389" t="str">
        <f t="shared" si="45"/>
        <v/>
      </c>
      <c r="AL121" s="131" t="str">
        <f t="shared" si="46"/>
        <v/>
      </c>
      <c r="AM121" s="131" t="str">
        <f t="shared" si="47"/>
        <v/>
      </c>
      <c r="AN121" s="131" t="str">
        <f t="shared" si="48"/>
        <v/>
      </c>
      <c r="AO121" s="131" t="str">
        <f t="shared" si="49"/>
        <v/>
      </c>
      <c r="AP121" s="26" t="str">
        <f t="shared" si="50"/>
        <v>30-39</v>
      </c>
      <c r="AQ121" s="26" t="str">
        <f t="shared" si="51"/>
        <v>250k-500k</v>
      </c>
      <c r="AR121" s="26" t="str">
        <f>IF($T121=1,IF($AI121&lt;0,"Loss-making",IF($AJ121&lt;Assumptions!$C$16-0.00001,"Below target","At/above target")),"Excluded")</f>
        <v>Excluded</v>
      </c>
      <c r="AS121" s="103">
        <f t="shared" si="52"/>
        <v>9.9999999999999997E+98</v>
      </c>
      <c r="AT121" s="26"/>
      <c r="AU121" s="419">
        <f>IF(AND($T121=1,AU$5&lt;=$H121),INDEX(Mortality!$B$4:$E$64,MATCH($D121+AU$5-1,Mortality!$A$4:$A$64,0),$U121)*$V121*$N121,0)</f>
        <v>0</v>
      </c>
      <c r="AV121" s="93">
        <f>IF(AND($T121=1,AV$5&lt;=$H121),INDEX(Mortality!$B$4:$E$64,MATCH($D121+AV$5-1,Mortality!$A$4:$A$64,0),$U121)*$V121*$N121,0)</f>
        <v>0</v>
      </c>
      <c r="AW121" s="93">
        <f>IF(AND($T121=1,AW$5&lt;=$H121),INDEX(Mortality!$B$4:$E$64,MATCH($D121+AW$5-1,Mortality!$A$4:$A$64,0),$U121)*$V121*$N121,0)</f>
        <v>0</v>
      </c>
      <c r="AX121" s="93">
        <f>IF(AND($T121=1,AX$5&lt;=$H121),INDEX(Mortality!$B$4:$E$64,MATCH($D121+AX$5-1,Mortality!$A$4:$A$64,0),$U121)*$V121*$N121,0)</f>
        <v>0</v>
      </c>
      <c r="AY121" s="93">
        <f>IF(AND($T121=1,AY$5&lt;=$H121),INDEX(Mortality!$B$4:$E$64,MATCH($D121+AY$5-1,Mortality!$A$4:$A$64,0),$U121)*$V121*$N121,0)</f>
        <v>0</v>
      </c>
      <c r="AZ121" s="93">
        <f>IF(AND($T121=1,AZ$5&lt;=$H121),INDEX(Mortality!$B$4:$E$64,MATCH($D121+AZ$5-1,Mortality!$A$4:$A$64,0),$U121)*$V121*$N121,0)</f>
        <v>0</v>
      </c>
      <c r="BA121" s="93">
        <f>IF(AND($T121=1,BA$5&lt;=$H121),INDEX(Mortality!$B$4:$E$64,MATCH($D121+BA$5-1,Mortality!$A$4:$A$64,0),$U121)*$V121*$N121,0)</f>
        <v>0</v>
      </c>
      <c r="BB121" s="93">
        <f>IF(AND($T121=1,BB$5&lt;=$H121),INDEX(Mortality!$B$4:$E$64,MATCH($D121+BB$5-1,Mortality!$A$4:$A$64,0),$U121)*$V121*$N121,0)</f>
        <v>0</v>
      </c>
      <c r="BC121" s="93">
        <f>IF(AND($T121=1,BC$5&lt;=$H121),INDEX(Mortality!$B$4:$E$64,MATCH($D121+BC$5-1,Mortality!$A$4:$A$64,0),$U121)*$V121*$N121,0)</f>
        <v>0</v>
      </c>
      <c r="BD121" s="93">
        <f>IF(AND($T121=1,BD$5&lt;=$H121),INDEX(Mortality!$B$4:$E$64,MATCH($D121+BD$5-1,Mortality!$A$4:$A$64,0),$U121)*$V121*$N121,0)</f>
        <v>0</v>
      </c>
      <c r="BE121" s="93">
        <f>IF(AND($T121=1,BE$5&lt;=$H121),INDEX(Mortality!$B$4:$E$64,MATCH($D121+BE$5-1,Mortality!$A$4:$A$64,0),$U121)*$V121*$N121,0)</f>
        <v>0</v>
      </c>
      <c r="BF121" s="93">
        <f>IF(AND($T121=1,BF$5&lt;=$H121),INDEX(Mortality!$B$4:$E$64,MATCH($D121+BF$5-1,Mortality!$A$4:$A$64,0),$U121)*$V121*$N121,0)</f>
        <v>0</v>
      </c>
      <c r="BG121" s="93">
        <f>IF(AND($T121=1,BG$5&lt;=$H121),INDEX(Mortality!$B$4:$E$64,MATCH($D121+BG$5-1,Mortality!$A$4:$A$64,0),$U121)*$V121*$N121,0)</f>
        <v>0</v>
      </c>
      <c r="BH121" s="93">
        <f>IF(AND($T121=1,BH$5&lt;=$H121),INDEX(Mortality!$B$4:$E$64,MATCH($D121+BH$5-1,Mortality!$A$4:$A$64,0),$U121)*$V121*$N121,0)</f>
        <v>0</v>
      </c>
      <c r="BI121" s="93">
        <f>IF(AND($T121=1,BI$5&lt;=$H121),INDEX(Mortality!$B$4:$E$64,MATCH($D121+BI$5-1,Mortality!$A$4:$A$64,0),$U121)*$V121*$N121,0)</f>
        <v>0</v>
      </c>
      <c r="BJ121" s="93">
        <f>IF(AND($T121=1,BJ$5&lt;=$H121),INDEX(Mortality!$B$4:$E$64,MATCH($D121+BJ$5-1,Mortality!$A$4:$A$64,0),$U121)*$V121*$N121,0)</f>
        <v>0</v>
      </c>
      <c r="BK121" s="93">
        <f>IF(AND($T121=1,BK$5&lt;=$H121),INDEX(Mortality!$B$4:$E$64,MATCH($D121+BK$5-1,Mortality!$A$4:$A$64,0),$U121)*$V121*$N121,0)</f>
        <v>0</v>
      </c>
      <c r="BL121" s="93">
        <f>IF(AND($T121=1,BL$5&lt;=$H121),INDEX(Mortality!$B$4:$E$64,MATCH($D121+BL$5-1,Mortality!$A$4:$A$64,0),$U121)*$V121*$N121,0)</f>
        <v>0</v>
      </c>
      <c r="BM121" s="93">
        <f>IF(AND($T121=1,BM$5&lt;=$H121),INDEX(Mortality!$B$4:$E$64,MATCH($D121+BM$5-1,Mortality!$A$4:$A$64,0),$U121)*$V121*$N121,0)</f>
        <v>0</v>
      </c>
      <c r="BN121" s="93">
        <f>IF(AND($T121=1,BN$5&lt;=$H121),INDEX(Mortality!$B$4:$E$64,MATCH($D121+BN$5-1,Mortality!$A$4:$A$64,0),$U121)*$V121*$N121,0)</f>
        <v>0</v>
      </c>
      <c r="BO121" s="93">
        <f>IF(AND($T121=1,BO$5&lt;=$H121),INDEX(Mortality!$B$4:$E$64,MATCH($D121+BO$5-1,Mortality!$A$4:$A$64,0),$U121)*$V121*$N121,0)</f>
        <v>0</v>
      </c>
      <c r="BP121" s="93">
        <f>IF(AND($T121=1,BP$5&lt;=$H121),INDEX(Mortality!$B$4:$E$64,MATCH($D121+BP$5-1,Mortality!$A$4:$A$64,0),$U121)*$V121*$N121,0)</f>
        <v>0</v>
      </c>
      <c r="BQ121" s="93">
        <f>IF(AND($T121=1,BQ$5&lt;=$H121),INDEX(Mortality!$B$4:$E$64,MATCH($D121+BQ$5-1,Mortality!$A$4:$A$64,0),$U121)*$V121*$N121,0)</f>
        <v>0</v>
      </c>
      <c r="BR121" s="93">
        <f>IF(AND($T121=1,BR$5&lt;=$H121),INDEX(Mortality!$B$4:$E$64,MATCH($D121+BR$5-1,Mortality!$A$4:$A$64,0),$U121)*$V121*$N121,0)</f>
        <v>0</v>
      </c>
      <c r="BS121" s="93">
        <f>IF(AND($T121=1,BS$5&lt;=$H121),INDEX(Mortality!$B$4:$E$64,MATCH($D121+BS$5-1,Mortality!$A$4:$A$64,0),$U121)*$V121*$N121,0)</f>
        <v>0</v>
      </c>
      <c r="BT121" s="93">
        <f>IF(AND($T121=1,BT$5&lt;=$H121),INDEX(Mortality!$B$4:$E$64,MATCH($D121+BT$5-1,Mortality!$A$4:$A$64,0),$U121)*$V121*$N121,0)</f>
        <v>0</v>
      </c>
      <c r="BU121" s="93">
        <f>IF(AND($T121=1,BU$5&lt;=$H121),INDEX(Mortality!$B$4:$E$64,MATCH($D121+BU$5-1,Mortality!$A$4:$A$64,0),$U121)*$V121*$N121,0)</f>
        <v>0</v>
      </c>
      <c r="BV121" s="93">
        <f>IF(AND($T121=1,BV$5&lt;=$H121),INDEX(Mortality!$B$4:$E$64,MATCH($D121+BV$5-1,Mortality!$A$4:$A$64,0),$U121)*$V121*$N121,0)</f>
        <v>0</v>
      </c>
      <c r="BW121" s="93">
        <f>IF(AND($T121=1,BW$5&lt;=$H121),INDEX(Mortality!$B$4:$E$64,MATCH($D121+BW$5-1,Mortality!$A$4:$A$64,0),$U121)*$V121*$N121,0)</f>
        <v>0</v>
      </c>
      <c r="BX121" s="93">
        <f>IF(AND($T121=1,BX$5&lt;=$H121),INDEX(Mortality!$B$4:$E$64,MATCH($D121+BX$5-1,Mortality!$A$4:$A$64,0),$U121)*$V121*$N121,0)</f>
        <v>0</v>
      </c>
      <c r="BY121" s="93">
        <f>IF(AND($T121=1,BY$5&lt;=$H121),INDEX(Mortality!$B$4:$E$64,MATCH($D121+BY$5-1,Mortality!$A$4:$A$64,0),$U121)*$V121*$N121,0)</f>
        <v>0</v>
      </c>
      <c r="BZ121" s="93">
        <f>IF(AND($T121=1,BZ$5&lt;=$H121),INDEX(Mortality!$B$4:$E$64,MATCH($D121+BZ$5-1,Mortality!$A$4:$A$64,0),$U121)*$V121*$N121,0)</f>
        <v>0</v>
      </c>
      <c r="CA121" s="93">
        <f>IF(AND($T121=1,CA$5&lt;=$H121),INDEX(Mortality!$B$4:$E$64,MATCH($D121+CA$5-1,Mortality!$A$4:$A$64,0),$U121)*$V121*$N121,0)</f>
        <v>0</v>
      </c>
      <c r="CB121" s="93">
        <f>IF(AND($T121=1,CB$5&lt;=$H121),INDEX(Mortality!$B$4:$E$64,MATCH($D121+CB$5-1,Mortality!$A$4:$A$64,0),$U121)*$V121*$N121,0)</f>
        <v>0</v>
      </c>
      <c r="CC121" s="93">
        <f>IF(AND($T121=1,CC$5&lt;=$H121),INDEX(Mortality!$B$4:$E$64,MATCH($D121+CC$5-1,Mortality!$A$4:$A$64,0),$U121)*$V121*$N121,0)</f>
        <v>0</v>
      </c>
      <c r="CD121" s="93">
        <f>IF(AND($T121=1,CD$5&lt;=$H121),INDEX(Mortality!$B$4:$E$64,MATCH($D121+CD$5-1,Mortality!$A$4:$A$64,0),$U121)*$V121*$N121,0)</f>
        <v>0</v>
      </c>
      <c r="CE121" s="93">
        <f>IF(AND($T121=1,CE$5&lt;=$H121),INDEX(Mortality!$B$4:$E$64,MATCH($D121+CE$5-1,Mortality!$A$4:$A$64,0),$U121)*$V121*$N121,0)</f>
        <v>0</v>
      </c>
      <c r="CF121" s="93">
        <f>IF(AND($T121=1,CF$5&lt;=$H121),INDEX(Mortality!$B$4:$E$64,MATCH($D121+CF$5-1,Mortality!$A$4:$A$64,0),$U121)*$V121*$N121,0)</f>
        <v>0</v>
      </c>
      <c r="CG121" s="93">
        <f>IF(AND($T121=1,CG$5&lt;=$H121),INDEX(Mortality!$B$4:$E$64,MATCH($D121+CG$5-1,Mortality!$A$4:$A$64,0),$U121)*$V121*$N121,0)</f>
        <v>0</v>
      </c>
      <c r="CH121" s="94">
        <f>IF(AND($T121=1,CH$5&lt;=$H121),INDEX(Mortality!$B$4:$E$64,MATCH($D121+CH$5-1,Mortality!$A$4:$A$64,0),$U121)*$V121*$N121,0)</f>
        <v>0</v>
      </c>
      <c r="CI121" s="26"/>
      <c r="CJ121" s="419">
        <f t="shared" si="53"/>
        <v>0</v>
      </c>
      <c r="CK121" s="93">
        <f>IF(AND($T121=1,CK$5&lt;=$H121),CJ121*(1-AU121)*(1-MIN(1,MAX(Assumptions!$C$27,Assumptions!$C$13*Assumptions!$C$28^(CJ$5-1))*$O121)),0)</f>
        <v>0</v>
      </c>
      <c r="CL121" s="93">
        <f>IF(AND($T121=1,CL$5&lt;=$H121),CK121*(1-AV121)*(1-MIN(1,MAX(Assumptions!$C$27,Assumptions!$C$13*Assumptions!$C$28^(CK$5-1))*$O121)),0)</f>
        <v>0</v>
      </c>
      <c r="CM121" s="93">
        <f>IF(AND($T121=1,CM$5&lt;=$H121),CL121*(1-AW121)*(1-MIN(1,MAX(Assumptions!$C$27,Assumptions!$C$13*Assumptions!$C$28^(CL$5-1))*$O121)),0)</f>
        <v>0</v>
      </c>
      <c r="CN121" s="93">
        <f>IF(AND($T121=1,CN$5&lt;=$H121),CM121*(1-AX121)*(1-MIN(1,MAX(Assumptions!$C$27,Assumptions!$C$13*Assumptions!$C$28^(CM$5-1))*$O121)),0)</f>
        <v>0</v>
      </c>
      <c r="CO121" s="93">
        <f>IF(AND($T121=1,CO$5&lt;=$H121),CN121*(1-AY121)*(1-MIN(1,MAX(Assumptions!$C$27,Assumptions!$C$13*Assumptions!$C$28^(CN$5-1))*$O121)),0)</f>
        <v>0</v>
      </c>
      <c r="CP121" s="93">
        <f>IF(AND($T121=1,CP$5&lt;=$H121),CO121*(1-AZ121)*(1-MIN(1,MAX(Assumptions!$C$27,Assumptions!$C$13*Assumptions!$C$28^(CO$5-1))*$O121)),0)</f>
        <v>0</v>
      </c>
      <c r="CQ121" s="93">
        <f>IF(AND($T121=1,CQ$5&lt;=$H121),CP121*(1-BA121)*(1-MIN(1,MAX(Assumptions!$C$27,Assumptions!$C$13*Assumptions!$C$28^(CP$5-1))*$O121)),0)</f>
        <v>0</v>
      </c>
      <c r="CR121" s="93">
        <f>IF(AND($T121=1,CR$5&lt;=$H121),CQ121*(1-BB121)*(1-MIN(1,MAX(Assumptions!$C$27,Assumptions!$C$13*Assumptions!$C$28^(CQ$5-1))*$O121)),0)</f>
        <v>0</v>
      </c>
      <c r="CS121" s="93">
        <f>IF(AND($T121=1,CS$5&lt;=$H121),CR121*(1-BC121)*(1-MIN(1,MAX(Assumptions!$C$27,Assumptions!$C$13*Assumptions!$C$28^(CR$5-1))*$O121)),0)</f>
        <v>0</v>
      </c>
      <c r="CT121" s="93">
        <f>IF(AND($T121=1,CT$5&lt;=$H121),CS121*(1-BD121)*(1-MIN(1,MAX(Assumptions!$C$27,Assumptions!$C$13*Assumptions!$C$28^(CS$5-1))*$O121)),0)</f>
        <v>0</v>
      </c>
      <c r="CU121" s="93">
        <f>IF(AND($T121=1,CU$5&lt;=$H121),CT121*(1-BE121)*(1-MIN(1,MAX(Assumptions!$C$27,Assumptions!$C$13*Assumptions!$C$28^(CT$5-1))*$O121)),0)</f>
        <v>0</v>
      </c>
      <c r="CV121" s="93">
        <f>IF(AND($T121=1,CV$5&lt;=$H121),CU121*(1-BF121)*(1-MIN(1,MAX(Assumptions!$C$27,Assumptions!$C$13*Assumptions!$C$28^(CU$5-1))*$O121)),0)</f>
        <v>0</v>
      </c>
      <c r="CW121" s="93">
        <f>IF(AND($T121=1,CW$5&lt;=$H121),CV121*(1-BG121)*(1-MIN(1,MAX(Assumptions!$C$27,Assumptions!$C$13*Assumptions!$C$28^(CV$5-1))*$O121)),0)</f>
        <v>0</v>
      </c>
      <c r="CX121" s="93">
        <f>IF(AND($T121=1,CX$5&lt;=$H121),CW121*(1-BH121)*(1-MIN(1,MAX(Assumptions!$C$27,Assumptions!$C$13*Assumptions!$C$28^(CW$5-1))*$O121)),0)</f>
        <v>0</v>
      </c>
      <c r="CY121" s="93">
        <f>IF(AND($T121=1,CY$5&lt;=$H121),CX121*(1-BI121)*(1-MIN(1,MAX(Assumptions!$C$27,Assumptions!$C$13*Assumptions!$C$28^(CX$5-1))*$O121)),0)</f>
        <v>0</v>
      </c>
      <c r="CZ121" s="93">
        <f>IF(AND($T121=1,CZ$5&lt;=$H121),CY121*(1-BJ121)*(1-MIN(1,MAX(Assumptions!$C$27,Assumptions!$C$13*Assumptions!$C$28^(CY$5-1))*$O121)),0)</f>
        <v>0</v>
      </c>
      <c r="DA121" s="93">
        <f>IF(AND($T121=1,DA$5&lt;=$H121),CZ121*(1-BK121)*(1-MIN(1,MAX(Assumptions!$C$27,Assumptions!$C$13*Assumptions!$C$28^(CZ$5-1))*$O121)),0)</f>
        <v>0</v>
      </c>
      <c r="DB121" s="93">
        <f>IF(AND($T121=1,DB$5&lt;=$H121),DA121*(1-BL121)*(1-MIN(1,MAX(Assumptions!$C$27,Assumptions!$C$13*Assumptions!$C$28^(DA$5-1))*$O121)),0)</f>
        <v>0</v>
      </c>
      <c r="DC121" s="93">
        <f>IF(AND($T121=1,DC$5&lt;=$H121),DB121*(1-BM121)*(1-MIN(1,MAX(Assumptions!$C$27,Assumptions!$C$13*Assumptions!$C$28^(DB$5-1))*$O121)),0)</f>
        <v>0</v>
      </c>
      <c r="DD121" s="93">
        <f>IF(AND($T121=1,DD$5&lt;=$H121),DC121*(1-BN121)*(1-MIN(1,MAX(Assumptions!$C$27,Assumptions!$C$13*Assumptions!$C$28^(DC$5-1))*$O121)),0)</f>
        <v>0</v>
      </c>
      <c r="DE121" s="93">
        <f>IF(AND($T121=1,DE$5&lt;=$H121),DD121*(1-BO121)*(1-MIN(1,MAX(Assumptions!$C$27,Assumptions!$C$13*Assumptions!$C$28^(DD$5-1))*$O121)),0)</f>
        <v>0</v>
      </c>
      <c r="DF121" s="93">
        <f>IF(AND($T121=1,DF$5&lt;=$H121),DE121*(1-BP121)*(1-MIN(1,MAX(Assumptions!$C$27,Assumptions!$C$13*Assumptions!$C$28^(DE$5-1))*$O121)),0)</f>
        <v>0</v>
      </c>
      <c r="DG121" s="93">
        <f>IF(AND($T121=1,DG$5&lt;=$H121),DF121*(1-BQ121)*(1-MIN(1,MAX(Assumptions!$C$27,Assumptions!$C$13*Assumptions!$C$28^(DF$5-1))*$O121)),0)</f>
        <v>0</v>
      </c>
      <c r="DH121" s="93">
        <f>IF(AND($T121=1,DH$5&lt;=$H121),DG121*(1-BR121)*(1-MIN(1,MAX(Assumptions!$C$27,Assumptions!$C$13*Assumptions!$C$28^(DG$5-1))*$O121)),0)</f>
        <v>0</v>
      </c>
      <c r="DI121" s="93">
        <f>IF(AND($T121=1,DI$5&lt;=$H121),DH121*(1-BS121)*(1-MIN(1,MAX(Assumptions!$C$27,Assumptions!$C$13*Assumptions!$C$28^(DH$5-1))*$O121)),0)</f>
        <v>0</v>
      </c>
      <c r="DJ121" s="93">
        <f>IF(AND($T121=1,DJ$5&lt;=$H121),DI121*(1-BT121)*(1-MIN(1,MAX(Assumptions!$C$27,Assumptions!$C$13*Assumptions!$C$28^(DI$5-1))*$O121)),0)</f>
        <v>0</v>
      </c>
      <c r="DK121" s="93">
        <f>IF(AND($T121=1,DK$5&lt;=$H121),DJ121*(1-BU121)*(1-MIN(1,MAX(Assumptions!$C$27,Assumptions!$C$13*Assumptions!$C$28^(DJ$5-1))*$O121)),0)</f>
        <v>0</v>
      </c>
      <c r="DL121" s="93">
        <f>IF(AND($T121=1,DL$5&lt;=$H121),DK121*(1-BV121)*(1-MIN(1,MAX(Assumptions!$C$27,Assumptions!$C$13*Assumptions!$C$28^(DK$5-1))*$O121)),0)</f>
        <v>0</v>
      </c>
      <c r="DM121" s="93">
        <f>IF(AND($T121=1,DM$5&lt;=$H121),DL121*(1-BW121)*(1-MIN(1,MAX(Assumptions!$C$27,Assumptions!$C$13*Assumptions!$C$28^(DL$5-1))*$O121)),0)</f>
        <v>0</v>
      </c>
      <c r="DN121" s="93">
        <f>IF(AND($T121=1,DN$5&lt;=$H121),DM121*(1-BX121)*(1-MIN(1,MAX(Assumptions!$C$27,Assumptions!$C$13*Assumptions!$C$28^(DM$5-1))*$O121)),0)</f>
        <v>0</v>
      </c>
      <c r="DO121" s="93">
        <f>IF(AND($T121=1,DO$5&lt;=$H121),DN121*(1-BY121)*(1-MIN(1,MAX(Assumptions!$C$27,Assumptions!$C$13*Assumptions!$C$28^(DN$5-1))*$O121)),0)</f>
        <v>0</v>
      </c>
      <c r="DP121" s="93">
        <f>IF(AND($T121=1,DP$5&lt;=$H121),DO121*(1-BZ121)*(1-MIN(1,MAX(Assumptions!$C$27,Assumptions!$C$13*Assumptions!$C$28^(DO$5-1))*$O121)),0)</f>
        <v>0</v>
      </c>
      <c r="DQ121" s="93">
        <f>IF(AND($T121=1,DQ$5&lt;=$H121),DP121*(1-CA121)*(1-MIN(1,MAX(Assumptions!$C$27,Assumptions!$C$13*Assumptions!$C$28^(DP$5-1))*$O121)),0)</f>
        <v>0</v>
      </c>
      <c r="DR121" s="93">
        <f>IF(AND($T121=1,DR$5&lt;=$H121),DQ121*(1-CB121)*(1-MIN(1,MAX(Assumptions!$C$27,Assumptions!$C$13*Assumptions!$C$28^(DQ$5-1))*$O121)),0)</f>
        <v>0</v>
      </c>
      <c r="DS121" s="93">
        <f>IF(AND($T121=1,DS$5&lt;=$H121),DR121*(1-CC121)*(1-MIN(1,MAX(Assumptions!$C$27,Assumptions!$C$13*Assumptions!$C$28^(DR$5-1))*$O121)),0)</f>
        <v>0</v>
      </c>
      <c r="DT121" s="93">
        <f>IF(AND($T121=1,DT$5&lt;=$H121),DS121*(1-CD121)*(1-MIN(1,MAX(Assumptions!$C$27,Assumptions!$C$13*Assumptions!$C$28^(DS$5-1))*$O121)),0)</f>
        <v>0</v>
      </c>
      <c r="DU121" s="93">
        <f>IF(AND($T121=1,DU$5&lt;=$H121),DT121*(1-CE121)*(1-MIN(1,MAX(Assumptions!$C$27,Assumptions!$C$13*Assumptions!$C$28^(DT$5-1))*$O121)),0)</f>
        <v>0</v>
      </c>
      <c r="DV121" s="93">
        <f>IF(AND($T121=1,DV$5&lt;=$H121),DU121*(1-CF121)*(1-MIN(1,MAX(Assumptions!$C$27,Assumptions!$C$13*Assumptions!$C$28^(DU$5-1))*$O121)),0)</f>
        <v>0</v>
      </c>
      <c r="DW121" s="94">
        <f>IF(AND($T121=1,DW$5&lt;=$H121),DV121*(1-CG121)*(1-MIN(1,MAX(Assumptions!$C$27,Assumptions!$C$13*Assumptions!$C$28^(DV$5-1))*$O121)),0)</f>
        <v>0</v>
      </c>
      <c r="DX121" s="26"/>
      <c r="DY121" s="399">
        <f>'Policy Data'!K95</f>
        <v>7</v>
      </c>
      <c r="DZ121" s="100">
        <f>'Policy Data'!L95</f>
        <v>0.76319999999999999</v>
      </c>
      <c r="EA121" s="100">
        <f>'Policy Data'!N95</f>
        <v>2.9700000000000001E-4</v>
      </c>
      <c r="EB121" s="93" cm="1">
        <f t="array" ref="EB121">IFERROR(DZ121*INDEX(Mortality!$B$4:$E$64,MATCH(D121+DY121-1,Mortality!$A$4:$A$64,0),U121)*V121,0)</f>
        <v>4.7979068846720497E-4</v>
      </c>
      <c r="EC121" s="100">
        <f>'Policy Data'!O95</f>
        <v>0</v>
      </c>
      <c r="ED121" s="400">
        <f>'Policy Data'!Q95</f>
        <v>0</v>
      </c>
    </row>
    <row r="122" spans="1:134" x14ac:dyDescent="0.3">
      <c r="A122" s="399" t="str">
        <f>'Policy Data'!A96</f>
        <v>POL100092</v>
      </c>
      <c r="B122" s="26" t="s">
        <v>426</v>
      </c>
      <c r="C122" s="100" t="str">
        <f>'Policy Data'!B96</f>
        <v>Term Life</v>
      </c>
      <c r="D122" s="100">
        <f>'Policy Data'!C96</f>
        <v>23</v>
      </c>
      <c r="E122" s="100" t="str">
        <f>'Policy Data'!D96</f>
        <v>Female</v>
      </c>
      <c r="F122" s="100" t="str">
        <f>'Policy Data'!E96</f>
        <v>Smoker</v>
      </c>
      <c r="G122" s="100" t="str">
        <f>'Policy Data'!F96</f>
        <v>Standard</v>
      </c>
      <c r="H122" s="100">
        <f>'Policy Data'!G96</f>
        <v>20</v>
      </c>
      <c r="I122" s="279">
        <f>'Policy Data'!H96</f>
        <v>500000</v>
      </c>
      <c r="J122" s="100" t="str">
        <f>'Policy Data'!I96</f>
        <v>Annual</v>
      </c>
      <c r="K122" s="100" t="str">
        <f>'Policy Data'!J96</f>
        <v>Direct</v>
      </c>
      <c r="L122" s="26" t="s">
        <v>389</v>
      </c>
      <c r="M122" s="106">
        <f>'Policy Data'!R96</f>
        <v>1200</v>
      </c>
      <c r="N122" s="415">
        <f>Assumptions!$C$21</f>
        <v>1</v>
      </c>
      <c r="O122" s="415">
        <f>Assumptions!$C$22</f>
        <v>1</v>
      </c>
      <c r="P122" s="415">
        <f>Assumptions!$C$23</f>
        <v>1</v>
      </c>
      <c r="Q122" s="416">
        <f>Assumptions!$C$24</f>
        <v>0</v>
      </c>
      <c r="R122" s="416">
        <f>Assumptions!$C$6+Assumptions!$C$25</f>
        <v>3.5000000000000003E-2</v>
      </c>
      <c r="S122" s="416">
        <f>Assumptions!$C$15</f>
        <v>1.1000000000000001E-3</v>
      </c>
      <c r="T122" s="26">
        <f t="shared" si="36"/>
        <v>1</v>
      </c>
      <c r="U122" s="26">
        <f t="shared" si="37"/>
        <v>2</v>
      </c>
      <c r="V122" s="389">
        <f>IF($G122="Preferred",Assumptions!$C$30,IF($G122="Rated",Assumptions!$C$31,1))</f>
        <v>1</v>
      </c>
      <c r="W122" s="390">
        <f>IF($K122="Direct",Assumptions!$C$32,IF($K122="Broker",Assumptions!$C$33,IF($K122="Bancassurance",Assumptions!$C$34,Assumptions!$C$11)))+$Q122</f>
        <v>0.1</v>
      </c>
      <c r="X122" s="390">
        <f>Assumptions!$C$12+$Q122</f>
        <v>0.05</v>
      </c>
      <c r="Y122" s="131">
        <f>MIN($I122,Assumptions!$C$14)</f>
        <v>500000</v>
      </c>
      <c r="Z122" s="131">
        <f>MAX($I122-Assumptions!$C$14,0)</f>
        <v>0</v>
      </c>
      <c r="AA122" s="389">
        <f t="shared" si="38"/>
        <v>8.6051487169790946</v>
      </c>
      <c r="AB122" s="389">
        <f t="shared" si="39"/>
        <v>6.0213338586628112E-3</v>
      </c>
      <c r="AC122" s="389">
        <f>IF($T122=1,SUMPRODUCT($CJ122:$DW122,(1+Assumptions!$C$5)^($CJ$5:$DW$5-1),(1+$R122)^(-$CJ$5:$DW$5)),0)</f>
        <v>11.587743402023083</v>
      </c>
      <c r="AD122" s="389">
        <f t="shared" si="40"/>
        <v>0.47856661459291616</v>
      </c>
      <c r="AE122" s="131">
        <f>IF($T122=1,$AB122*$Y122+(Assumptions!$C$9/(1+$R122)+Assumptions!$C$10*$AC122)*$P122+$S122*$Z122*$AA122,0)</f>
        <v>6429.5356951677886</v>
      </c>
      <c r="AF122" s="131">
        <f>IF($T122=1,IF($AA122-$AD122-Assumptions!$C$16*$AA122&gt;0,$AE122/($AA122-$AD122-Assumptions!$C$16*$AA122)*IF($J122="Monthly",1+Assumptions!$C$29,1),"n.a."),"")</f>
        <v>864.39749534391228</v>
      </c>
      <c r="AG122" s="131">
        <f t="shared" si="41"/>
        <v>1200</v>
      </c>
      <c r="AH122" s="131">
        <f t="shared" si="42"/>
        <v>10326.178460374913</v>
      </c>
      <c r="AI122" s="131">
        <f t="shared" si="43"/>
        <v>3322.3628276956251</v>
      </c>
      <c r="AJ122" s="390">
        <f t="shared" si="44"/>
        <v>0.32174175959137935</v>
      </c>
      <c r="AK122" s="389">
        <f t="shared" si="45"/>
        <v>1.3882502048696517</v>
      </c>
      <c r="AL122" s="131">
        <f t="shared" si="46"/>
        <v>0</v>
      </c>
      <c r="AM122" s="131">
        <f t="shared" si="47"/>
        <v>0</v>
      </c>
      <c r="AN122" s="131">
        <f t="shared" si="48"/>
        <v>0</v>
      </c>
      <c r="AO122" s="131">
        <f t="shared" si="49"/>
        <v>3322.3628276956251</v>
      </c>
      <c r="AP122" s="26" t="str">
        <f t="shared" si="50"/>
        <v>20-29</v>
      </c>
      <c r="AQ122" s="26" t="str">
        <f t="shared" si="51"/>
        <v>250k-500k</v>
      </c>
      <c r="AR122" s="26" t="str">
        <f>IF($T122=1,IF($AI122&lt;0,"Loss-making",IF($AJ122&lt;Assumptions!$C$16-0.00001,"Below target","At/above target")),"Excluded")</f>
        <v>At/above target</v>
      </c>
      <c r="AS122" s="103">
        <f t="shared" si="52"/>
        <v>3322.362949695625</v>
      </c>
      <c r="AT122" s="26"/>
      <c r="AU122" s="419">
        <f>IF(AND($T122=1,AU$5&lt;=$H122),INDEX(Mortality!$B$4:$E$64,MATCH($D122+AU$5-1,Mortality!$A$4:$A$64,0),$U122)*$V122*$N122,0)</f>
        <v>3.6050432042158297E-4</v>
      </c>
      <c r="AV122" s="93">
        <f>IF(AND($T122=1,AV$5&lt;=$H122),INDEX(Mortality!$B$4:$E$64,MATCH($D122+AV$5-1,Mortality!$A$4:$A$64,0),$U122)*$V122*$N122,0)</f>
        <v>3.9052966815365098E-4</v>
      </c>
      <c r="AW122" s="93">
        <f>IF(AND($T122=1,AW$5&lt;=$H122),INDEX(Mortality!$B$4:$E$64,MATCH($D122+AW$5-1,Mortality!$A$4:$A$64,0),$U122)*$V122*$N122,0)</f>
        <v>4.2305573905424302E-4</v>
      </c>
      <c r="AX122" s="93">
        <f>IF(AND($T122=1,AX$5&lt;=$H122),INDEX(Mortality!$B$4:$E$64,MATCH($D122+AX$5-1,Mortality!$A$4:$A$64,0),$U122)*$V122*$N122,0)</f>
        <v>4.5829081102313302E-4</v>
      </c>
      <c r="AY122" s="93">
        <f>IF(AND($T122=1,AY$5&lt;=$H122),INDEX(Mortality!$B$4:$E$64,MATCH($D122+AY$5-1,Mortality!$A$4:$A$64,0),$U122)*$V122*$N122,0)</f>
        <v>4.9646050881562895E-4</v>
      </c>
      <c r="AZ122" s="93">
        <f>IF(AND($T122=1,AZ$5&lt;=$H122),INDEX(Mortality!$B$4:$E$64,MATCH($D122+AZ$5-1,Mortality!$A$4:$A$64,0),$U122)*$V122*$N122,0)</f>
        <v>5.378092488113E-4</v>
      </c>
      <c r="BA122" s="93">
        <f>IF(AND($T122=1,BA$5&lt;=$H122),INDEX(Mortality!$B$4:$E$64,MATCH($D122+BA$5-1,Mortality!$A$4:$A$64,0),$U122)*$V122*$N122,0)</f>
        <v>5.8260180411326499E-4</v>
      </c>
      <c r="BB122" s="93">
        <f>IF(AND($T122=1,BB$5&lt;=$H122),INDEX(Mortality!$B$4:$E$64,MATCH($D122+BB$5-1,Mortality!$A$4:$A$64,0),$U122)*$V122*$N122,0)</f>
        <v>6.3112499999999996E-4</v>
      </c>
      <c r="BC122" s="93">
        <f>IF(AND($T122=1,BC$5&lt;=$H122),INDEX(Mortality!$B$4:$E$64,MATCH($D122+BC$5-1,Mortality!$A$4:$A$64,0),$U122)*$V122*$N122,0)</f>
        <v>6.8368955058635799E-4</v>
      </c>
      <c r="BD122" s="93">
        <f>IF(AND($T122=1,BD$5&lt;=$H122),INDEX(Mortality!$B$4:$E$64,MATCH($D122+BD$5-1,Mortality!$A$4:$A$64,0),$U122)*$V122*$N122,0)</f>
        <v>7.4063204845470603E-4</v>
      </c>
      <c r="BE122" s="93">
        <f>IF(AND($T122=1,BE$5&lt;=$H122),INDEX(Mortality!$B$4:$E$64,MATCH($D122+BE$5-1,Mortality!$A$4:$A$64,0),$U122)*$V122*$N122,0)</f>
        <v>8.0231711999659695E-4</v>
      </c>
      <c r="BF122" s="93">
        <f>IF(AND($T122=1,BF$5&lt;=$H122),INDEX(Mortality!$B$4:$E$64,MATCH($D122+BF$5-1,Mortality!$A$4:$A$64,0),$U122)*$V122*$N122,0)</f>
        <v>8.6913976026653105E-4</v>
      </c>
      <c r="BG122" s="93">
        <f>IF(AND($T122=1,BG$5&lt;=$H122),INDEX(Mortality!$B$4:$E$64,MATCH($D122+BG$5-1,Mortality!$A$4:$A$64,0),$U122)*$V122*$N122,0)</f>
        <v>9.4152786229884696E-4</v>
      </c>
      <c r="BH122" s="93">
        <f>IF(AND($T122=1,BH$5&lt;=$H122),INDEX(Mortality!$B$4:$E$64,MATCH($D122+BH$5-1,Mortality!$A$4:$A$64,0),$U122)*$V122*$N122,0)</f>
        <v>1.01994495708399E-3</v>
      </c>
      <c r="BI122" s="93">
        <f>IF(AND($T122=1,BI$5&lt;=$H122),INDEX(Mortality!$B$4:$E$64,MATCH($D122+BI$5-1,Mortality!$A$4:$A$64,0),$U122)*$V122*$N122,0)</f>
        <v>1.1048931817493801E-3</v>
      </c>
      <c r="BJ122" s="93">
        <f>IF(AND($T122=1,BJ$5&lt;=$H122),INDEX(Mortality!$B$4:$E$64,MATCH($D122+BJ$5-1,Mortality!$A$4:$A$64,0),$U122)*$V122*$N122,0)</f>
        <v>1.19691649495134E-3</v>
      </c>
      <c r="BK122" s="93">
        <f>IF(AND($T122=1,BK$5&lt;=$H122),INDEX(Mortality!$B$4:$E$64,MATCH($D122+BK$5-1,Mortality!$A$4:$A$64,0),$U122)*$V122*$N122,0)</f>
        <v>1.29660416006762E-3</v>
      </c>
      <c r="BL122" s="93">
        <f>IF(AND($T122=1,BL$5&lt;=$H122),INDEX(Mortality!$B$4:$E$64,MATCH($D122+BL$5-1,Mortality!$A$4:$A$64,0),$U122)*$V122*$N122,0)</f>
        <v>1.4045945184948099E-3</v>
      </c>
      <c r="BM122" s="93">
        <f>IF(AND($T122=1,BM$5&lt;=$H122),INDEX(Mortality!$B$4:$E$64,MATCH($D122+BM$5-1,Mortality!$A$4:$A$64,0),$U122)*$V122*$N122,0)</f>
        <v>1.52157907721256E-3</v>
      </c>
      <c r="BN122" s="93">
        <f>IF(AND($T122=1,BN$5&lt;=$H122),INDEX(Mortality!$B$4:$E$64,MATCH($D122+BN$5-1,Mortality!$A$4:$A$64,0),$U122)*$V122*$N122,0)</f>
        <v>1.6483069367891701E-3</v>
      </c>
      <c r="BO122" s="93">
        <f>IF(AND($T122=1,BO$5&lt;=$H122),INDEX(Mortality!$B$4:$E$64,MATCH($D122+BO$5-1,Mortality!$A$4:$A$64,0),$U122)*$V122*$N122,0)</f>
        <v>0</v>
      </c>
      <c r="BP122" s="93">
        <f>IF(AND($T122=1,BP$5&lt;=$H122),INDEX(Mortality!$B$4:$E$64,MATCH($D122+BP$5-1,Mortality!$A$4:$A$64,0),$U122)*$V122*$N122,0)</f>
        <v>0</v>
      </c>
      <c r="BQ122" s="93">
        <f>IF(AND($T122=1,BQ$5&lt;=$H122),INDEX(Mortality!$B$4:$E$64,MATCH($D122+BQ$5-1,Mortality!$A$4:$A$64,0),$U122)*$V122*$N122,0)</f>
        <v>0</v>
      </c>
      <c r="BR122" s="93">
        <f>IF(AND($T122=1,BR$5&lt;=$H122),INDEX(Mortality!$B$4:$E$64,MATCH($D122+BR$5-1,Mortality!$A$4:$A$64,0),$U122)*$V122*$N122,0)</f>
        <v>0</v>
      </c>
      <c r="BS122" s="93">
        <f>IF(AND($T122=1,BS$5&lt;=$H122),INDEX(Mortality!$B$4:$E$64,MATCH($D122+BS$5-1,Mortality!$A$4:$A$64,0),$U122)*$V122*$N122,0)</f>
        <v>0</v>
      </c>
      <c r="BT122" s="93">
        <f>IF(AND($T122=1,BT$5&lt;=$H122),INDEX(Mortality!$B$4:$E$64,MATCH($D122+BT$5-1,Mortality!$A$4:$A$64,0),$U122)*$V122*$N122,0)</f>
        <v>0</v>
      </c>
      <c r="BU122" s="93">
        <f>IF(AND($T122=1,BU$5&lt;=$H122),INDEX(Mortality!$B$4:$E$64,MATCH($D122+BU$5-1,Mortality!$A$4:$A$64,0),$U122)*$V122*$N122,0)</f>
        <v>0</v>
      </c>
      <c r="BV122" s="93">
        <f>IF(AND($T122=1,BV$5&lt;=$H122),INDEX(Mortality!$B$4:$E$64,MATCH($D122+BV$5-1,Mortality!$A$4:$A$64,0),$U122)*$V122*$N122,0)</f>
        <v>0</v>
      </c>
      <c r="BW122" s="93">
        <f>IF(AND($T122=1,BW$5&lt;=$H122),INDEX(Mortality!$B$4:$E$64,MATCH($D122+BW$5-1,Mortality!$A$4:$A$64,0),$U122)*$V122*$N122,0)</f>
        <v>0</v>
      </c>
      <c r="BX122" s="93">
        <f>IF(AND($T122=1,BX$5&lt;=$H122),INDEX(Mortality!$B$4:$E$64,MATCH($D122+BX$5-1,Mortality!$A$4:$A$64,0),$U122)*$V122*$N122,0)</f>
        <v>0</v>
      </c>
      <c r="BY122" s="93">
        <f>IF(AND($T122=1,BY$5&lt;=$H122),INDEX(Mortality!$B$4:$E$64,MATCH($D122+BY$5-1,Mortality!$A$4:$A$64,0),$U122)*$V122*$N122,0)</f>
        <v>0</v>
      </c>
      <c r="BZ122" s="93">
        <f>IF(AND($T122=1,BZ$5&lt;=$H122),INDEX(Mortality!$B$4:$E$64,MATCH($D122+BZ$5-1,Mortality!$A$4:$A$64,0),$U122)*$V122*$N122,0)</f>
        <v>0</v>
      </c>
      <c r="CA122" s="93">
        <f>IF(AND($T122=1,CA$5&lt;=$H122),INDEX(Mortality!$B$4:$E$64,MATCH($D122+CA$5-1,Mortality!$A$4:$A$64,0),$U122)*$V122*$N122,0)</f>
        <v>0</v>
      </c>
      <c r="CB122" s="93">
        <f>IF(AND($T122=1,CB$5&lt;=$H122),INDEX(Mortality!$B$4:$E$64,MATCH($D122+CB$5-1,Mortality!$A$4:$A$64,0),$U122)*$V122*$N122,0)</f>
        <v>0</v>
      </c>
      <c r="CC122" s="93">
        <f>IF(AND($T122=1,CC$5&lt;=$H122),INDEX(Mortality!$B$4:$E$64,MATCH($D122+CC$5-1,Mortality!$A$4:$A$64,0),$U122)*$V122*$N122,0)</f>
        <v>0</v>
      </c>
      <c r="CD122" s="93">
        <f>IF(AND($T122=1,CD$5&lt;=$H122),INDEX(Mortality!$B$4:$E$64,MATCH($D122+CD$5-1,Mortality!$A$4:$A$64,0),$U122)*$V122*$N122,0)</f>
        <v>0</v>
      </c>
      <c r="CE122" s="93">
        <f>IF(AND($T122=1,CE$5&lt;=$H122),INDEX(Mortality!$B$4:$E$64,MATCH($D122+CE$5-1,Mortality!$A$4:$A$64,0),$U122)*$V122*$N122,0)</f>
        <v>0</v>
      </c>
      <c r="CF122" s="93">
        <f>IF(AND($T122=1,CF$5&lt;=$H122),INDEX(Mortality!$B$4:$E$64,MATCH($D122+CF$5-1,Mortality!$A$4:$A$64,0),$U122)*$V122*$N122,0)</f>
        <v>0</v>
      </c>
      <c r="CG122" s="93">
        <f>IF(AND($T122=1,CG$5&lt;=$H122),INDEX(Mortality!$B$4:$E$64,MATCH($D122+CG$5-1,Mortality!$A$4:$A$64,0),$U122)*$V122*$N122,0)</f>
        <v>0</v>
      </c>
      <c r="CH122" s="94">
        <f>IF(AND($T122=1,CH$5&lt;=$H122),INDEX(Mortality!$B$4:$E$64,MATCH($D122+CH$5-1,Mortality!$A$4:$A$64,0),$U122)*$V122*$N122,0)</f>
        <v>0</v>
      </c>
      <c r="CI122" s="26"/>
      <c r="CJ122" s="419">
        <f t="shared" si="53"/>
        <v>1</v>
      </c>
      <c r="CK122" s="93">
        <f>IF(AND($T122=1,CK$5&lt;=$H122),CJ122*(1-AU122)*(1-MIN(1,MAX(Assumptions!$C$27,Assumptions!$C$13*Assumptions!$C$28^(CJ$5-1))*$O122)),0)</f>
        <v>0.87968275619802905</v>
      </c>
      <c r="CL122" s="93">
        <f>IF(AND($T122=1,CL$5&lt;=$H122),CK122*(1-AV122)*(1-MIN(1,MAX(Assumptions!$C$27,Assumptions!$C$13*Assumptions!$C$28^(CK$5-1))*$O122)),0)</f>
        <v>0.78964661415688708</v>
      </c>
      <c r="CM122" s="93">
        <f>IF(AND($T122=1,CM$5&lt;=$H122),CL122*(1-AW122)*(1-MIN(1,MAX(Assumptions!$C$27,Assumptions!$C$13*Assumptions!$C$28^(CL$5-1))*$O122)),0)</f>
        <v>0.72087915157246063</v>
      </c>
      <c r="CN122" s="93">
        <f>IF(AND($T122=1,CN$5&lt;=$H122),CM122*(1-AX122)*(1-MIN(1,MAX(Assumptions!$C$27,Assumptions!$C$13*Assumptions!$C$28^(CM$5-1))*$O122)),0)</f>
        <v>0.66744793699229132</v>
      </c>
      <c r="CO122" s="93">
        <f>IF(AND($T122=1,CO$5&lt;=$H122),CN122*(1-AY122)*(1-MIN(1,MAX(Assumptions!$C$27,Assumptions!$C$13*Assumptions!$C$28^(CN$5-1))*$O122)),0)</f>
        <v>0.62532789282627188</v>
      </c>
      <c r="CP122" s="93">
        <f>IF(AND($T122=1,CP$5&lt;=$H122),CO122*(1-AZ122)*(1-MIN(1,MAX(Assumptions!$C$27,Assumptions!$C$13*Assumptions!$C$28^(CO$5-1))*$O122)),0)</f>
        <v>0.5917141352807187</v>
      </c>
      <c r="CQ122" s="93">
        <f>IF(AND($T122=1,CQ$5&lt;=$H122),CP122*(1-BA122)*(1-MIN(1,MAX(Assumptions!$C$27,Assumptions!$C$13*Assumptions!$C$28^(CP$5-1))*$O122)),0)</f>
        <v>0.56460523955562003</v>
      </c>
      <c r="CR122" s="93">
        <f>IF(AND($T122=1,CR$5&lt;=$H122),CQ122*(1-BB122)*(1-MIN(1,MAX(Assumptions!$C$27,Assumptions!$C$13*Assumptions!$C$28^(CQ$5-1))*$O122)),0)</f>
        <v>0.54254267062421069</v>
      </c>
      <c r="CS122" s="93">
        <f>IF(AND($T122=1,CS$5&lt;=$H122),CR122*(1-BC122)*(1-MIN(1,MAX(Assumptions!$C$27,Assumptions!$C$13*Assumptions!$C$28^(CR$5-1))*$O122)),0)</f>
        <v>0.52444334042254992</v>
      </c>
      <c r="CT122" s="93">
        <f>IF(AND($T122=1,CT$5&lt;=$H122),CS122*(1-BD122)*(1-MIN(1,MAX(Assumptions!$C$27,Assumptions!$C$13*Assumptions!$C$28^(CS$5-1))*$O122)),0)</f>
        <v>0.50948932082204745</v>
      </c>
      <c r="CU122" s="93">
        <f>IF(AND($T122=1,CU$5&lt;=$H122),CT122*(1-BE122)*(1-MIN(1,MAX(Assumptions!$C$27,Assumptions!$C$13*Assumptions!$C$28^(CT$5-1))*$O122)),0)</f>
        <v>0.49705355724030942</v>
      </c>
      <c r="CV122" s="93">
        <f>IF(AND($T122=1,CV$5&lt;=$H122),CU122*(1-BF122)*(1-MIN(1,MAX(Assumptions!$C$27,Assumptions!$C$13*Assumptions!$C$28^(CU$5-1))*$O122)),0)</f>
        <v>0.48664879693867935</v>
      </c>
      <c r="CW122" s="93">
        <f>IF(AND($T122=1,CW$5&lt;=$H122),CV122*(1-BG122)*(1-MIN(1,MAX(Assumptions!$C$27,Assumptions!$C$13*Assumptions!$C$28^(CV$5-1))*$O122)),0)</f>
        <v>0.47646679146646326</v>
      </c>
      <c r="CX122" s="93">
        <f>IF(AND($T122=1,CX$5&lt;=$H122),CW122*(1-BH122)*(1-MIN(1,MAX(Assumptions!$C$27,Assumptions!$C$13*Assumptions!$C$28^(CW$5-1))*$O122)),0)</f>
        <v>0.46646120513398326</v>
      </c>
      <c r="CY122" s="93">
        <f>IF(AND($T122=1,CY$5&lt;=$H122),CX122*(1-BI122)*(1-MIN(1,MAX(Assumptions!$C$27,Assumptions!$C$13*Assumptions!$C$28^(CX$5-1))*$O122)),0)</f>
        <v>0.45662689902230252</v>
      </c>
      <c r="CZ122" s="93">
        <f>IF(AND($T122=1,CZ$5&lt;=$H122),CY122*(1-BJ122)*(1-MIN(1,MAX(Assumptions!$C$27,Assumptions!$C$13*Assumptions!$C$28^(CY$5-1))*$O122)),0)</f>
        <v>0.44695874765972771</v>
      </c>
      <c r="DA122" s="93">
        <f>IF(AND($T122=1,DA$5&lt;=$H122),CZ122*(1-BK122)*(1-MIN(1,MAX(Assumptions!$C$27,Assumptions!$C$13*Assumptions!$C$28^(CZ$5-1))*$O122)),0)</f>
        <v>0.43745163470637083</v>
      </c>
      <c r="DB122" s="93">
        <f>IF(AND($T122=1,DB$5&lt;=$H122),DA122*(1-BL122)*(1-MIN(1,MAX(Assumptions!$C$27,Assumptions!$C$13*Assumptions!$C$28^(DA$5-1))*$O122)),0)</f>
        <v>0.42810044868739255</v>
      </c>
      <c r="DC122" s="93">
        <f>IF(AND($T122=1,DC$5&lt;=$H122),DB122*(1-BM122)*(1-MIN(1,MAX(Assumptions!$C$27,Assumptions!$C$13*Assumptions!$C$28^(DB$5-1))*$O122)),0)</f>
        <v>0.41890007880169006</v>
      </c>
      <c r="DD122" s="93">
        <f>IF(AND($T122=1,DD$5&lt;=$H122),DC122*(1-BN122)*(1-MIN(1,MAX(Assumptions!$C$27,Assumptions!$C$13*Assumptions!$C$28^(DC$5-1))*$O122)),0)</f>
        <v>0</v>
      </c>
      <c r="DE122" s="93">
        <f>IF(AND($T122=1,DE$5&lt;=$H122),DD122*(1-BO122)*(1-MIN(1,MAX(Assumptions!$C$27,Assumptions!$C$13*Assumptions!$C$28^(DD$5-1))*$O122)),0)</f>
        <v>0</v>
      </c>
      <c r="DF122" s="93">
        <f>IF(AND($T122=1,DF$5&lt;=$H122),DE122*(1-BP122)*(1-MIN(1,MAX(Assumptions!$C$27,Assumptions!$C$13*Assumptions!$C$28^(DE$5-1))*$O122)),0)</f>
        <v>0</v>
      </c>
      <c r="DG122" s="93">
        <f>IF(AND($T122=1,DG$5&lt;=$H122),DF122*(1-BQ122)*(1-MIN(1,MAX(Assumptions!$C$27,Assumptions!$C$13*Assumptions!$C$28^(DF$5-1))*$O122)),0)</f>
        <v>0</v>
      </c>
      <c r="DH122" s="93">
        <f>IF(AND($T122=1,DH$5&lt;=$H122),DG122*(1-BR122)*(1-MIN(1,MAX(Assumptions!$C$27,Assumptions!$C$13*Assumptions!$C$28^(DG$5-1))*$O122)),0)</f>
        <v>0</v>
      </c>
      <c r="DI122" s="93">
        <f>IF(AND($T122=1,DI$5&lt;=$H122),DH122*(1-BS122)*(1-MIN(1,MAX(Assumptions!$C$27,Assumptions!$C$13*Assumptions!$C$28^(DH$5-1))*$O122)),0)</f>
        <v>0</v>
      </c>
      <c r="DJ122" s="93">
        <f>IF(AND($T122=1,DJ$5&lt;=$H122),DI122*(1-BT122)*(1-MIN(1,MAX(Assumptions!$C$27,Assumptions!$C$13*Assumptions!$C$28^(DI$5-1))*$O122)),0)</f>
        <v>0</v>
      </c>
      <c r="DK122" s="93">
        <f>IF(AND($T122=1,DK$5&lt;=$H122),DJ122*(1-BU122)*(1-MIN(1,MAX(Assumptions!$C$27,Assumptions!$C$13*Assumptions!$C$28^(DJ$5-1))*$O122)),0)</f>
        <v>0</v>
      </c>
      <c r="DL122" s="93">
        <f>IF(AND($T122=1,DL$5&lt;=$H122),DK122*(1-BV122)*(1-MIN(1,MAX(Assumptions!$C$27,Assumptions!$C$13*Assumptions!$C$28^(DK$5-1))*$O122)),0)</f>
        <v>0</v>
      </c>
      <c r="DM122" s="93">
        <f>IF(AND($T122=1,DM$5&lt;=$H122),DL122*(1-BW122)*(1-MIN(1,MAX(Assumptions!$C$27,Assumptions!$C$13*Assumptions!$C$28^(DL$5-1))*$O122)),0)</f>
        <v>0</v>
      </c>
      <c r="DN122" s="93">
        <f>IF(AND($T122=1,DN$5&lt;=$H122),DM122*(1-BX122)*(1-MIN(1,MAX(Assumptions!$C$27,Assumptions!$C$13*Assumptions!$C$28^(DM$5-1))*$O122)),0)</f>
        <v>0</v>
      </c>
      <c r="DO122" s="93">
        <f>IF(AND($T122=1,DO$5&lt;=$H122),DN122*(1-BY122)*(1-MIN(1,MAX(Assumptions!$C$27,Assumptions!$C$13*Assumptions!$C$28^(DN$5-1))*$O122)),0)</f>
        <v>0</v>
      </c>
      <c r="DP122" s="93">
        <f>IF(AND($T122=1,DP$5&lt;=$H122),DO122*(1-BZ122)*(1-MIN(1,MAX(Assumptions!$C$27,Assumptions!$C$13*Assumptions!$C$28^(DO$5-1))*$O122)),0)</f>
        <v>0</v>
      </c>
      <c r="DQ122" s="93">
        <f>IF(AND($T122=1,DQ$5&lt;=$H122),DP122*(1-CA122)*(1-MIN(1,MAX(Assumptions!$C$27,Assumptions!$C$13*Assumptions!$C$28^(DP$5-1))*$O122)),0)</f>
        <v>0</v>
      </c>
      <c r="DR122" s="93">
        <f>IF(AND($T122=1,DR$5&lt;=$H122),DQ122*(1-CB122)*(1-MIN(1,MAX(Assumptions!$C$27,Assumptions!$C$13*Assumptions!$C$28^(DQ$5-1))*$O122)),0)</f>
        <v>0</v>
      </c>
      <c r="DS122" s="93">
        <f>IF(AND($T122=1,DS$5&lt;=$H122),DR122*(1-CC122)*(1-MIN(1,MAX(Assumptions!$C$27,Assumptions!$C$13*Assumptions!$C$28^(DR$5-1))*$O122)),0)</f>
        <v>0</v>
      </c>
      <c r="DT122" s="93">
        <f>IF(AND($T122=1,DT$5&lt;=$H122),DS122*(1-CD122)*(1-MIN(1,MAX(Assumptions!$C$27,Assumptions!$C$13*Assumptions!$C$28^(DS$5-1))*$O122)),0)</f>
        <v>0</v>
      </c>
      <c r="DU122" s="93">
        <f>IF(AND($T122=1,DU$5&lt;=$H122),DT122*(1-CE122)*(1-MIN(1,MAX(Assumptions!$C$27,Assumptions!$C$13*Assumptions!$C$28^(DT$5-1))*$O122)),0)</f>
        <v>0</v>
      </c>
      <c r="DV122" s="93">
        <f>IF(AND($T122=1,DV$5&lt;=$H122),DU122*(1-CF122)*(1-MIN(1,MAX(Assumptions!$C$27,Assumptions!$C$13*Assumptions!$C$28^(DU$5-1))*$O122)),0)</f>
        <v>0</v>
      </c>
      <c r="DW122" s="94">
        <f>IF(AND($T122=1,DW$5&lt;=$H122),DV122*(1-CG122)*(1-MIN(1,MAX(Assumptions!$C$27,Assumptions!$C$13*Assumptions!$C$28^(DV$5-1))*$O122)),0)</f>
        <v>0</v>
      </c>
      <c r="DX122" s="26"/>
      <c r="DY122" s="399">
        <f>'Policy Data'!K96</f>
        <v>5</v>
      </c>
      <c r="DZ122" s="100">
        <f>'Policy Data'!L96</f>
        <v>0.81759999999999999</v>
      </c>
      <c r="EA122" s="100">
        <f>'Policy Data'!N96</f>
        <v>2.9500000000000001E-4</v>
      </c>
      <c r="EB122" s="93" cm="1">
        <f t="array" ref="EB122">IFERROR(DZ122*INDEX(Mortality!$B$4:$E$64,MATCH(D122+DY122-1,Mortality!$A$4:$A$64,0),U122)*V122,0)</f>
        <v>4.0590611200765823E-4</v>
      </c>
      <c r="EC122" s="100">
        <f>'Policy Data'!O96</f>
        <v>0</v>
      </c>
      <c r="ED122" s="400">
        <f>'Policy Data'!Q96</f>
        <v>0</v>
      </c>
    </row>
    <row r="123" spans="1:134" x14ac:dyDescent="0.3">
      <c r="A123" s="399" t="str">
        <f>'Policy Data'!A97</f>
        <v>POL100093</v>
      </c>
      <c r="B123" s="26" t="s">
        <v>426</v>
      </c>
      <c r="C123" s="100" t="str">
        <f>'Policy Data'!B97</f>
        <v>Term Life</v>
      </c>
      <c r="D123" s="100">
        <f>'Policy Data'!C97</f>
        <v>47</v>
      </c>
      <c r="E123" s="100" t="str">
        <f>'Policy Data'!D97</f>
        <v>Male</v>
      </c>
      <c r="F123" s="100" t="str">
        <f>'Policy Data'!E97</f>
        <v>Non-smoker</v>
      </c>
      <c r="G123" s="100" t="str">
        <f>'Policy Data'!F97</f>
        <v>Standard</v>
      </c>
      <c r="H123" s="100">
        <f>'Policy Data'!G97</f>
        <v>10</v>
      </c>
      <c r="I123" s="279">
        <f>'Policy Data'!H97</f>
        <v>500000</v>
      </c>
      <c r="J123" s="100" t="str">
        <f>'Policy Data'!I97</f>
        <v>Monthly</v>
      </c>
      <c r="K123" s="100" t="str">
        <f>'Policy Data'!J97</f>
        <v>Bancassurance</v>
      </c>
      <c r="L123" s="26" t="s">
        <v>389</v>
      </c>
      <c r="M123" s="106">
        <f>'Policy Data'!R97</f>
        <v>1944.61</v>
      </c>
      <c r="N123" s="415">
        <f>Assumptions!$C$21</f>
        <v>1</v>
      </c>
      <c r="O123" s="415">
        <f>Assumptions!$C$22</f>
        <v>1</v>
      </c>
      <c r="P123" s="415">
        <f>Assumptions!$C$23</f>
        <v>1</v>
      </c>
      <c r="Q123" s="416">
        <f>Assumptions!$C$24</f>
        <v>0</v>
      </c>
      <c r="R123" s="416">
        <f>Assumptions!$C$6+Assumptions!$C$25</f>
        <v>3.5000000000000003E-2</v>
      </c>
      <c r="S123" s="416">
        <f>Assumptions!$C$15</f>
        <v>1.1000000000000001E-3</v>
      </c>
      <c r="T123" s="26">
        <f t="shared" si="36"/>
        <v>1</v>
      </c>
      <c r="U123" s="26">
        <f t="shared" si="37"/>
        <v>3</v>
      </c>
      <c r="V123" s="389">
        <f>IF($G123="Preferred",Assumptions!$C$30,IF($G123="Rated",Assumptions!$C$31,1))</f>
        <v>1</v>
      </c>
      <c r="W123" s="390">
        <f>IF($K123="Direct",Assumptions!$C$32,IF($K123="Broker",Assumptions!$C$33,IF($K123="Bancassurance",Assumptions!$C$34,Assumptions!$C$11)))+$Q123</f>
        <v>0.2</v>
      </c>
      <c r="X123" s="390">
        <f>Assumptions!$C$12+$Q123</f>
        <v>0.05</v>
      </c>
      <c r="Y123" s="131">
        <f>MIN($I123,Assumptions!$C$14)</f>
        <v>500000</v>
      </c>
      <c r="Z123" s="131">
        <f>MAX($I123-Assumptions!$C$14,0)</f>
        <v>0</v>
      </c>
      <c r="AA123" s="389">
        <f t="shared" si="38"/>
        <v>5.8190341886898898</v>
      </c>
      <c r="AB123" s="389">
        <f t="shared" si="39"/>
        <v>1.6075019526919251E-2</v>
      </c>
      <c r="AC123" s="389">
        <f>IF($T123=1,SUMPRODUCT($CJ123:$DW123,(1+Assumptions!$C$5)^($CJ$5:$DW$5-1),(1+$R123)^(-$CJ$5:$DW$5)),0)</f>
        <v>6.7452204096695443</v>
      </c>
      <c r="AD123" s="389">
        <f t="shared" si="40"/>
        <v>0.43587924566637859</v>
      </c>
      <c r="AE123" s="131">
        <f>IF($T123=1,$AB123*$Y123+(Assumptions!$C$9/(1+$R123)+Assumptions!$C$10*$AC123)*$P123+$S123*$Z123*$AA123,0)</f>
        <v>10391.023470978229</v>
      </c>
      <c r="AF123" s="131">
        <f>IF($T123=1,IF($AA123-$AD123-Assumptions!$C$16*$AA123&gt;0,$AE123/($AA123-$AD123-Assumptions!$C$16*$AA123)*IF($J123="Monthly",1+Assumptions!$C$29,1),"n.a."),"")</f>
        <v>2176.4039526689994</v>
      </c>
      <c r="AG123" s="131">
        <f t="shared" si="41"/>
        <v>1944.61</v>
      </c>
      <c r="AH123" s="131">
        <f t="shared" si="42"/>
        <v>11315.752073668245</v>
      </c>
      <c r="AI123" s="131">
        <f t="shared" si="43"/>
        <v>77.113462774719665</v>
      </c>
      <c r="AJ123" s="390">
        <f t="shared" si="44"/>
        <v>6.8147006290605015E-3</v>
      </c>
      <c r="AK123" s="389">
        <f t="shared" si="45"/>
        <v>0.89349681506287348</v>
      </c>
      <c r="AL123" s="131">
        <f t="shared" si="46"/>
        <v>0</v>
      </c>
      <c r="AM123" s="131">
        <f t="shared" si="47"/>
        <v>0</v>
      </c>
      <c r="AN123" s="131">
        <f t="shared" si="48"/>
        <v>0</v>
      </c>
      <c r="AO123" s="131">
        <f t="shared" si="49"/>
        <v>77.113462774719665</v>
      </c>
      <c r="AP123" s="26" t="str">
        <f t="shared" si="50"/>
        <v>40-49</v>
      </c>
      <c r="AQ123" s="26" t="str">
        <f t="shared" si="51"/>
        <v>250k-500k</v>
      </c>
      <c r="AR123" s="26" t="str">
        <f>IF($T123=1,IF($AI123&lt;0,"Loss-making",IF($AJ123&lt;Assumptions!$C$16-0.00001,"Below target","At/above target")),"Excluded")</f>
        <v>Below target</v>
      </c>
      <c r="AS123" s="103">
        <f t="shared" si="52"/>
        <v>77.113585774719667</v>
      </c>
      <c r="AT123" s="26"/>
      <c r="AU123" s="419">
        <f>IF(AND($T123=1,AU$5&lt;=$H123),INDEX(Mortality!$B$4:$E$64,MATCH($D123+AU$5-1,Mortality!$A$4:$A$64,0),$U123)*$V123*$N123,0)</f>
        <v>2.0162800336790201E-3</v>
      </c>
      <c r="AV123" s="93">
        <f>IF(AND($T123=1,AV$5&lt;=$H123),INDEX(Mortality!$B$4:$E$64,MATCH($D123+AV$5-1,Mortality!$A$4:$A$64,0),$U123)*$V123*$N123,0)</f>
        <v>2.1842100852957199E-3</v>
      </c>
      <c r="AW123" s="93">
        <f>IF(AND($T123=1,AW$5&lt;=$H123),INDEX(Mortality!$B$4:$E$64,MATCH($D123+AW$5-1,Mortality!$A$4:$A$64,0),$U123)*$V123*$N123,0)</f>
        <v>2.3661265384860701E-3</v>
      </c>
      <c r="AX123" s="93">
        <f>IF(AND($T123=1,AX$5&lt;=$H123),INDEX(Mortality!$B$4:$E$64,MATCH($D123+AX$5-1,Mortality!$A$4:$A$64,0),$U123)*$V123*$N123,0)</f>
        <v>2.5631942796244698E-3</v>
      </c>
      <c r="AY123" s="93">
        <f>IF(AND($T123=1,AY$5&lt;=$H123),INDEX(Mortality!$B$4:$E$64,MATCH($D123+AY$5-1,Mortality!$A$4:$A$64,0),$U123)*$V123*$N123,0)</f>
        <v>2.7766752150556202E-3</v>
      </c>
      <c r="AZ123" s="93">
        <f>IF(AND($T123=1,AZ$5&lt;=$H123),INDEX(Mortality!$B$4:$E$64,MATCH($D123+AZ$5-1,Mortality!$A$4:$A$64,0),$U123)*$V123*$N123,0)</f>
        <v>3.0079363516033399E-3</v>
      </c>
      <c r="BA123" s="93">
        <f>IF(AND($T123=1,BA$5&lt;=$H123),INDEX(Mortality!$B$4:$E$64,MATCH($D123+BA$5-1,Mortality!$A$4:$A$64,0),$U123)*$V123*$N123,0)</f>
        <v>3.2584585500813001E-3</v>
      </c>
      <c r="BB123" s="93">
        <f>IF(AND($T123=1,BB$5&lt;=$H123),INDEX(Mortality!$B$4:$E$64,MATCH($D123+BB$5-1,Mortality!$A$4:$A$64,0),$U123)*$V123*$N123,0)</f>
        <v>3.5298460078579601E-3</v>
      </c>
      <c r="BC123" s="93">
        <f>IF(AND($T123=1,BC$5&lt;=$H123),INDEX(Mortality!$B$4:$E$64,MATCH($D123+BC$5-1,Mortality!$A$4:$A$64,0),$U123)*$V123*$N123,0)</f>
        <v>3.8238365311966099E-3</v>
      </c>
      <c r="BD123" s="93">
        <f>IF(AND($T123=1,BD$5&lt;=$H123),INDEX(Mortality!$B$4:$E$64,MATCH($D123+BD$5-1,Mortality!$A$4:$A$64,0),$U123)*$V123*$N123,0)</f>
        <v>4.1423126631483596E-3</v>
      </c>
      <c r="BE123" s="93">
        <f>IF(AND($T123=1,BE$5&lt;=$H123),INDEX(Mortality!$B$4:$E$64,MATCH($D123+BE$5-1,Mortality!$A$4:$A$64,0),$U123)*$V123*$N123,0)</f>
        <v>0</v>
      </c>
      <c r="BF123" s="93">
        <f>IF(AND($T123=1,BF$5&lt;=$H123),INDEX(Mortality!$B$4:$E$64,MATCH($D123+BF$5-1,Mortality!$A$4:$A$64,0),$U123)*$V123*$N123,0)</f>
        <v>0</v>
      </c>
      <c r="BG123" s="93">
        <f>IF(AND($T123=1,BG$5&lt;=$H123),INDEX(Mortality!$B$4:$E$64,MATCH($D123+BG$5-1,Mortality!$A$4:$A$64,0),$U123)*$V123*$N123,0)</f>
        <v>0</v>
      </c>
      <c r="BH123" s="93">
        <f>IF(AND($T123=1,BH$5&lt;=$H123),INDEX(Mortality!$B$4:$E$64,MATCH($D123+BH$5-1,Mortality!$A$4:$A$64,0),$U123)*$V123*$N123,0)</f>
        <v>0</v>
      </c>
      <c r="BI123" s="93">
        <f>IF(AND($T123=1,BI$5&lt;=$H123),INDEX(Mortality!$B$4:$E$64,MATCH($D123+BI$5-1,Mortality!$A$4:$A$64,0),$U123)*$V123*$N123,0)</f>
        <v>0</v>
      </c>
      <c r="BJ123" s="93">
        <f>IF(AND($T123=1,BJ$5&lt;=$H123),INDEX(Mortality!$B$4:$E$64,MATCH($D123+BJ$5-1,Mortality!$A$4:$A$64,0),$U123)*$V123*$N123,0)</f>
        <v>0</v>
      </c>
      <c r="BK123" s="93">
        <f>IF(AND($T123=1,BK$5&lt;=$H123),INDEX(Mortality!$B$4:$E$64,MATCH($D123+BK$5-1,Mortality!$A$4:$A$64,0),$U123)*$V123*$N123,0)</f>
        <v>0</v>
      </c>
      <c r="BL123" s="93">
        <f>IF(AND($T123=1,BL$5&lt;=$H123),INDEX(Mortality!$B$4:$E$64,MATCH($D123+BL$5-1,Mortality!$A$4:$A$64,0),$U123)*$V123*$N123,0)</f>
        <v>0</v>
      </c>
      <c r="BM123" s="93">
        <f>IF(AND($T123=1,BM$5&lt;=$H123),INDEX(Mortality!$B$4:$E$64,MATCH($D123+BM$5-1,Mortality!$A$4:$A$64,0),$U123)*$V123*$N123,0)</f>
        <v>0</v>
      </c>
      <c r="BN123" s="93">
        <f>IF(AND($T123=1,BN$5&lt;=$H123),INDEX(Mortality!$B$4:$E$64,MATCH($D123+BN$5-1,Mortality!$A$4:$A$64,0),$U123)*$V123*$N123,0)</f>
        <v>0</v>
      </c>
      <c r="BO123" s="93">
        <f>IF(AND($T123=1,BO$5&lt;=$H123),INDEX(Mortality!$B$4:$E$64,MATCH($D123+BO$5-1,Mortality!$A$4:$A$64,0),$U123)*$V123*$N123,0)</f>
        <v>0</v>
      </c>
      <c r="BP123" s="93">
        <f>IF(AND($T123=1,BP$5&lt;=$H123),INDEX(Mortality!$B$4:$E$64,MATCH($D123+BP$5-1,Mortality!$A$4:$A$64,0),$U123)*$V123*$N123,0)</f>
        <v>0</v>
      </c>
      <c r="BQ123" s="93">
        <f>IF(AND($T123=1,BQ$5&lt;=$H123),INDEX(Mortality!$B$4:$E$64,MATCH($D123+BQ$5-1,Mortality!$A$4:$A$64,0),$U123)*$V123*$N123,0)</f>
        <v>0</v>
      </c>
      <c r="BR123" s="93">
        <f>IF(AND($T123=1,BR$5&lt;=$H123),INDEX(Mortality!$B$4:$E$64,MATCH($D123+BR$5-1,Mortality!$A$4:$A$64,0),$U123)*$V123*$N123,0)</f>
        <v>0</v>
      </c>
      <c r="BS123" s="93">
        <f>IF(AND($T123=1,BS$5&lt;=$H123),INDEX(Mortality!$B$4:$E$64,MATCH($D123+BS$5-1,Mortality!$A$4:$A$64,0),$U123)*$V123*$N123,0)</f>
        <v>0</v>
      </c>
      <c r="BT123" s="93">
        <f>IF(AND($T123=1,BT$5&lt;=$H123),INDEX(Mortality!$B$4:$E$64,MATCH($D123+BT$5-1,Mortality!$A$4:$A$64,0),$U123)*$V123*$N123,0)</f>
        <v>0</v>
      </c>
      <c r="BU123" s="93">
        <f>IF(AND($T123=1,BU$5&lt;=$H123),INDEX(Mortality!$B$4:$E$64,MATCH($D123+BU$5-1,Mortality!$A$4:$A$64,0),$U123)*$V123*$N123,0)</f>
        <v>0</v>
      </c>
      <c r="BV123" s="93">
        <f>IF(AND($T123=1,BV$5&lt;=$H123),INDEX(Mortality!$B$4:$E$64,MATCH($D123+BV$5-1,Mortality!$A$4:$A$64,0),$U123)*$V123*$N123,0)</f>
        <v>0</v>
      </c>
      <c r="BW123" s="93">
        <f>IF(AND($T123=1,BW$5&lt;=$H123),INDEX(Mortality!$B$4:$E$64,MATCH($D123+BW$5-1,Mortality!$A$4:$A$64,0),$U123)*$V123*$N123,0)</f>
        <v>0</v>
      </c>
      <c r="BX123" s="93">
        <f>IF(AND($T123=1,BX$5&lt;=$H123),INDEX(Mortality!$B$4:$E$64,MATCH($D123+BX$5-1,Mortality!$A$4:$A$64,0),$U123)*$V123*$N123,0)</f>
        <v>0</v>
      </c>
      <c r="BY123" s="93">
        <f>IF(AND($T123=1,BY$5&lt;=$H123),INDEX(Mortality!$B$4:$E$64,MATCH($D123+BY$5-1,Mortality!$A$4:$A$64,0),$U123)*$V123*$N123,0)</f>
        <v>0</v>
      </c>
      <c r="BZ123" s="93">
        <f>IF(AND($T123=1,BZ$5&lt;=$H123),INDEX(Mortality!$B$4:$E$64,MATCH($D123+BZ$5-1,Mortality!$A$4:$A$64,0),$U123)*$V123*$N123,0)</f>
        <v>0</v>
      </c>
      <c r="CA123" s="93">
        <f>IF(AND($T123=1,CA$5&lt;=$H123),INDEX(Mortality!$B$4:$E$64,MATCH($D123+CA$5-1,Mortality!$A$4:$A$64,0),$U123)*$V123*$N123,0)</f>
        <v>0</v>
      </c>
      <c r="CB123" s="93">
        <f>IF(AND($T123=1,CB$5&lt;=$H123),INDEX(Mortality!$B$4:$E$64,MATCH($D123+CB$5-1,Mortality!$A$4:$A$64,0),$U123)*$V123*$N123,0)</f>
        <v>0</v>
      </c>
      <c r="CC123" s="93">
        <f>IF(AND($T123=1,CC$5&lt;=$H123),INDEX(Mortality!$B$4:$E$64,MATCH($D123+CC$5-1,Mortality!$A$4:$A$64,0),$U123)*$V123*$N123,0)</f>
        <v>0</v>
      </c>
      <c r="CD123" s="93">
        <f>IF(AND($T123=1,CD$5&lt;=$H123),INDEX(Mortality!$B$4:$E$64,MATCH($D123+CD$5-1,Mortality!$A$4:$A$64,0),$U123)*$V123*$N123,0)</f>
        <v>0</v>
      </c>
      <c r="CE123" s="93">
        <f>IF(AND($T123=1,CE$5&lt;=$H123),INDEX(Mortality!$B$4:$E$64,MATCH($D123+CE$5-1,Mortality!$A$4:$A$64,0),$U123)*$V123*$N123,0)</f>
        <v>0</v>
      </c>
      <c r="CF123" s="93">
        <f>IF(AND($T123=1,CF$5&lt;=$H123),INDEX(Mortality!$B$4:$E$64,MATCH($D123+CF$5-1,Mortality!$A$4:$A$64,0),$U123)*$V123*$N123,0)</f>
        <v>0</v>
      </c>
      <c r="CG123" s="93">
        <f>IF(AND($T123=1,CG$5&lt;=$H123),INDEX(Mortality!$B$4:$E$64,MATCH($D123+CG$5-1,Mortality!$A$4:$A$64,0),$U123)*$V123*$N123,0)</f>
        <v>0</v>
      </c>
      <c r="CH123" s="94">
        <f>IF(AND($T123=1,CH$5&lt;=$H123),INDEX(Mortality!$B$4:$E$64,MATCH($D123+CH$5-1,Mortality!$A$4:$A$64,0),$U123)*$V123*$N123,0)</f>
        <v>0</v>
      </c>
      <c r="CI123" s="26"/>
      <c r="CJ123" s="419">
        <f t="shared" si="53"/>
        <v>1</v>
      </c>
      <c r="CK123" s="93">
        <f>IF(AND($T123=1,CK$5&lt;=$H123),CJ123*(1-AU123)*(1-MIN(1,MAX(Assumptions!$C$27,Assumptions!$C$13*Assumptions!$C$28^(CJ$5-1))*$O123)),0)</f>
        <v>0.87822567357036241</v>
      </c>
      <c r="CL123" s="93">
        <f>IF(AND($T123=1,CL$5&lt;=$H123),CK123*(1-AV123)*(1-MIN(1,MAX(Assumptions!$C$27,Assumptions!$C$13*Assumptions!$C$28^(CK$5-1))*$O123)),0)</f>
        <v>0.78692408488889209</v>
      </c>
      <c r="CM123" s="93">
        <f>IF(AND($T123=1,CM$5&lt;=$H123),CL123*(1-AW123)*(1-MIN(1,MAX(Assumptions!$C$27,Assumptions!$C$13*Assumptions!$C$28^(CL$5-1))*$O123)),0)</f>
        <v>0.71699723687001693</v>
      </c>
      <c r="CN123" s="93">
        <f>IF(AND($T123=1,CN$5&lt;=$H123),CM123*(1-AX123)*(1-MIN(1,MAX(Assumptions!$C$27,Assumptions!$C$13*Assumptions!$C$28^(CM$5-1))*$O123)),0)</f>
        <v>0.66245575919083621</v>
      </c>
      <c r="CO123" s="93">
        <f>IF(AND($T123=1,CO$5&lt;=$H123),CN123*(1-AY123)*(1-MIN(1,MAX(Assumptions!$C$27,Assumptions!$C$13*Assumptions!$C$28^(CN$5-1))*$O123)),0)</f>
        <v>0.61923483203515939</v>
      </c>
      <c r="CP123" s="93">
        <f>IF(AND($T123=1,CP$5&lt;=$H123),CO123*(1-AZ123)*(1-MIN(1,MAX(Assumptions!$C$27,Assumptions!$C$13*Assumptions!$C$28^(CO$5-1))*$O123)),0)</f>
        <v>0.58450045338601986</v>
      </c>
      <c r="CQ123" s="93">
        <f>IF(AND($T123=1,CQ$5&lt;=$H123),CP123*(1-BA123)*(1-MIN(1,MAX(Assumptions!$C$27,Assumptions!$C$13*Assumptions!$C$28^(CP$5-1))*$O123)),0)</f>
        <v>0.55622879228188171</v>
      </c>
      <c r="CR123" s="93">
        <f>IF(AND($T123=1,CR$5&lt;=$H123),CQ123*(1-BB123)*(1-MIN(1,MAX(Assumptions!$C$27,Assumptions!$C$13*Assumptions!$C$28^(CQ$5-1))*$O123)),0)</f>
        <v>0.53294321610509698</v>
      </c>
      <c r="CS123" s="93">
        <f>IF(AND($T123=1,CS$5&lt;=$H123),CR123*(1-BC123)*(1-MIN(1,MAX(Assumptions!$C$27,Assumptions!$C$13*Assumptions!$C$28^(CR$5-1))*$O123)),0)</f>
        <v>0.51354532776559259</v>
      </c>
      <c r="CT123" s="93">
        <f>IF(AND($T123=1,CT$5&lt;=$H123),CS123*(1-BD123)*(1-MIN(1,MAX(Assumptions!$C$27,Assumptions!$C$13*Assumptions!$C$28^(CS$5-1))*$O123)),0)</f>
        <v>0</v>
      </c>
      <c r="CU123" s="93">
        <f>IF(AND($T123=1,CU$5&lt;=$H123),CT123*(1-BE123)*(1-MIN(1,MAX(Assumptions!$C$27,Assumptions!$C$13*Assumptions!$C$28^(CT$5-1))*$O123)),0)</f>
        <v>0</v>
      </c>
      <c r="CV123" s="93">
        <f>IF(AND($T123=1,CV$5&lt;=$H123),CU123*(1-BF123)*(1-MIN(1,MAX(Assumptions!$C$27,Assumptions!$C$13*Assumptions!$C$28^(CU$5-1))*$O123)),0)</f>
        <v>0</v>
      </c>
      <c r="CW123" s="93">
        <f>IF(AND($T123=1,CW$5&lt;=$H123),CV123*(1-BG123)*(1-MIN(1,MAX(Assumptions!$C$27,Assumptions!$C$13*Assumptions!$C$28^(CV$5-1))*$O123)),0)</f>
        <v>0</v>
      </c>
      <c r="CX123" s="93">
        <f>IF(AND($T123=1,CX$5&lt;=$H123),CW123*(1-BH123)*(1-MIN(1,MAX(Assumptions!$C$27,Assumptions!$C$13*Assumptions!$C$28^(CW$5-1))*$O123)),0)</f>
        <v>0</v>
      </c>
      <c r="CY123" s="93">
        <f>IF(AND($T123=1,CY$5&lt;=$H123),CX123*(1-BI123)*(1-MIN(1,MAX(Assumptions!$C$27,Assumptions!$C$13*Assumptions!$C$28^(CX$5-1))*$O123)),0)</f>
        <v>0</v>
      </c>
      <c r="CZ123" s="93">
        <f>IF(AND($T123=1,CZ$5&lt;=$H123),CY123*(1-BJ123)*(1-MIN(1,MAX(Assumptions!$C$27,Assumptions!$C$13*Assumptions!$C$28^(CY$5-1))*$O123)),0)</f>
        <v>0</v>
      </c>
      <c r="DA123" s="93">
        <f>IF(AND($T123=1,DA$5&lt;=$H123),CZ123*(1-BK123)*(1-MIN(1,MAX(Assumptions!$C$27,Assumptions!$C$13*Assumptions!$C$28^(CZ$5-1))*$O123)),0)</f>
        <v>0</v>
      </c>
      <c r="DB123" s="93">
        <f>IF(AND($T123=1,DB$5&lt;=$H123),DA123*(1-BL123)*(1-MIN(1,MAX(Assumptions!$C$27,Assumptions!$C$13*Assumptions!$C$28^(DA$5-1))*$O123)),0)</f>
        <v>0</v>
      </c>
      <c r="DC123" s="93">
        <f>IF(AND($T123=1,DC$5&lt;=$H123),DB123*(1-BM123)*(1-MIN(1,MAX(Assumptions!$C$27,Assumptions!$C$13*Assumptions!$C$28^(DB$5-1))*$O123)),0)</f>
        <v>0</v>
      </c>
      <c r="DD123" s="93">
        <f>IF(AND($T123=1,DD$5&lt;=$H123),DC123*(1-BN123)*(1-MIN(1,MAX(Assumptions!$C$27,Assumptions!$C$13*Assumptions!$C$28^(DC$5-1))*$O123)),0)</f>
        <v>0</v>
      </c>
      <c r="DE123" s="93">
        <f>IF(AND($T123=1,DE$5&lt;=$H123),DD123*(1-BO123)*(1-MIN(1,MAX(Assumptions!$C$27,Assumptions!$C$13*Assumptions!$C$28^(DD$5-1))*$O123)),0)</f>
        <v>0</v>
      </c>
      <c r="DF123" s="93">
        <f>IF(AND($T123=1,DF$5&lt;=$H123),DE123*(1-BP123)*(1-MIN(1,MAX(Assumptions!$C$27,Assumptions!$C$13*Assumptions!$C$28^(DE$5-1))*$O123)),0)</f>
        <v>0</v>
      </c>
      <c r="DG123" s="93">
        <f>IF(AND($T123=1,DG$5&lt;=$H123),DF123*(1-BQ123)*(1-MIN(1,MAX(Assumptions!$C$27,Assumptions!$C$13*Assumptions!$C$28^(DF$5-1))*$O123)),0)</f>
        <v>0</v>
      </c>
      <c r="DH123" s="93">
        <f>IF(AND($T123=1,DH$5&lt;=$H123),DG123*(1-BR123)*(1-MIN(1,MAX(Assumptions!$C$27,Assumptions!$C$13*Assumptions!$C$28^(DG$5-1))*$O123)),0)</f>
        <v>0</v>
      </c>
      <c r="DI123" s="93">
        <f>IF(AND($T123=1,DI$5&lt;=$H123),DH123*(1-BS123)*(1-MIN(1,MAX(Assumptions!$C$27,Assumptions!$C$13*Assumptions!$C$28^(DH$5-1))*$O123)),0)</f>
        <v>0</v>
      </c>
      <c r="DJ123" s="93">
        <f>IF(AND($T123=1,DJ$5&lt;=$H123),DI123*(1-BT123)*(1-MIN(1,MAX(Assumptions!$C$27,Assumptions!$C$13*Assumptions!$C$28^(DI$5-1))*$O123)),0)</f>
        <v>0</v>
      </c>
      <c r="DK123" s="93">
        <f>IF(AND($T123=1,DK$5&lt;=$H123),DJ123*(1-BU123)*(1-MIN(1,MAX(Assumptions!$C$27,Assumptions!$C$13*Assumptions!$C$28^(DJ$5-1))*$O123)),0)</f>
        <v>0</v>
      </c>
      <c r="DL123" s="93">
        <f>IF(AND($T123=1,DL$5&lt;=$H123),DK123*(1-BV123)*(1-MIN(1,MAX(Assumptions!$C$27,Assumptions!$C$13*Assumptions!$C$28^(DK$5-1))*$O123)),0)</f>
        <v>0</v>
      </c>
      <c r="DM123" s="93">
        <f>IF(AND($T123=1,DM$5&lt;=$H123),DL123*(1-BW123)*(1-MIN(1,MAX(Assumptions!$C$27,Assumptions!$C$13*Assumptions!$C$28^(DL$5-1))*$O123)),0)</f>
        <v>0</v>
      </c>
      <c r="DN123" s="93">
        <f>IF(AND($T123=1,DN$5&lt;=$H123),DM123*(1-BX123)*(1-MIN(1,MAX(Assumptions!$C$27,Assumptions!$C$13*Assumptions!$C$28^(DM$5-1))*$O123)),0)</f>
        <v>0</v>
      </c>
      <c r="DO123" s="93">
        <f>IF(AND($T123=1,DO$5&lt;=$H123),DN123*(1-BY123)*(1-MIN(1,MAX(Assumptions!$C$27,Assumptions!$C$13*Assumptions!$C$28^(DN$5-1))*$O123)),0)</f>
        <v>0</v>
      </c>
      <c r="DP123" s="93">
        <f>IF(AND($T123=1,DP$5&lt;=$H123),DO123*(1-BZ123)*(1-MIN(1,MAX(Assumptions!$C$27,Assumptions!$C$13*Assumptions!$C$28^(DO$5-1))*$O123)),0)</f>
        <v>0</v>
      </c>
      <c r="DQ123" s="93">
        <f>IF(AND($T123=1,DQ$5&lt;=$H123),DP123*(1-CA123)*(1-MIN(1,MAX(Assumptions!$C$27,Assumptions!$C$13*Assumptions!$C$28^(DP$5-1))*$O123)),0)</f>
        <v>0</v>
      </c>
      <c r="DR123" s="93">
        <f>IF(AND($T123=1,DR$5&lt;=$H123),DQ123*(1-CB123)*(1-MIN(1,MAX(Assumptions!$C$27,Assumptions!$C$13*Assumptions!$C$28^(DQ$5-1))*$O123)),0)</f>
        <v>0</v>
      </c>
      <c r="DS123" s="93">
        <f>IF(AND($T123=1,DS$5&lt;=$H123),DR123*(1-CC123)*(1-MIN(1,MAX(Assumptions!$C$27,Assumptions!$C$13*Assumptions!$C$28^(DR$5-1))*$O123)),0)</f>
        <v>0</v>
      </c>
      <c r="DT123" s="93">
        <f>IF(AND($T123=1,DT$5&lt;=$H123),DS123*(1-CD123)*(1-MIN(1,MAX(Assumptions!$C$27,Assumptions!$C$13*Assumptions!$C$28^(DS$5-1))*$O123)),0)</f>
        <v>0</v>
      </c>
      <c r="DU123" s="93">
        <f>IF(AND($T123=1,DU$5&lt;=$H123),DT123*(1-CE123)*(1-MIN(1,MAX(Assumptions!$C$27,Assumptions!$C$13*Assumptions!$C$28^(DT$5-1))*$O123)),0)</f>
        <v>0</v>
      </c>
      <c r="DV123" s="93">
        <f>IF(AND($T123=1,DV$5&lt;=$H123),DU123*(1-CF123)*(1-MIN(1,MAX(Assumptions!$C$27,Assumptions!$C$13*Assumptions!$C$28^(DU$5-1))*$O123)),0)</f>
        <v>0</v>
      </c>
      <c r="DW123" s="94">
        <f>IF(AND($T123=1,DW$5&lt;=$H123),DV123*(1-CG123)*(1-MIN(1,MAX(Assumptions!$C$27,Assumptions!$C$13*Assumptions!$C$28^(DV$5-1))*$O123)),0)</f>
        <v>0</v>
      </c>
      <c r="DX123" s="26"/>
      <c r="DY123" s="399">
        <f>'Policy Data'!K97</f>
        <v>5</v>
      </c>
      <c r="DZ123" s="100">
        <f>'Policy Data'!L97</f>
        <v>0.75109999999999999</v>
      </c>
      <c r="EA123" s="100">
        <f>'Policy Data'!N97</f>
        <v>1.5139999999999999E-3</v>
      </c>
      <c r="EB123" s="93" cm="1">
        <f t="array" ref="EB123">IFERROR(DZ123*INDEX(Mortality!$B$4:$E$64,MATCH(D123+DY123-1,Mortality!$A$4:$A$64,0),U123)*V123,0)</f>
        <v>2.0855607540282762E-3</v>
      </c>
      <c r="EC123" s="100">
        <f>'Policy Data'!O97</f>
        <v>0</v>
      </c>
      <c r="ED123" s="400">
        <f>'Policy Data'!Q97</f>
        <v>0</v>
      </c>
    </row>
    <row r="124" spans="1:134" x14ac:dyDescent="0.3">
      <c r="A124" s="399" t="str">
        <f>'Policy Data'!A98</f>
        <v>POL100094</v>
      </c>
      <c r="B124" s="26" t="s">
        <v>426</v>
      </c>
      <c r="C124" s="100" t="str">
        <f>'Policy Data'!B98</f>
        <v>Term Life</v>
      </c>
      <c r="D124" s="100">
        <f>'Policy Data'!C98</f>
        <v>60</v>
      </c>
      <c r="E124" s="100" t="str">
        <f>'Policy Data'!D98</f>
        <v>Female</v>
      </c>
      <c r="F124" s="100" t="str">
        <f>'Policy Data'!E98</f>
        <v>Non-smoker</v>
      </c>
      <c r="G124" s="100" t="str">
        <f>'Policy Data'!F98</f>
        <v>Standard</v>
      </c>
      <c r="H124" s="100">
        <f>'Policy Data'!G98</f>
        <v>15</v>
      </c>
      <c r="I124" s="279">
        <f>'Policy Data'!H98</f>
        <v>500000</v>
      </c>
      <c r="J124" s="100" t="str">
        <f>'Policy Data'!I98</f>
        <v>Annual</v>
      </c>
      <c r="K124" s="100" t="str">
        <f>'Policy Data'!J98</f>
        <v>Bancassurance</v>
      </c>
      <c r="L124" s="26" t="s">
        <v>389</v>
      </c>
      <c r="M124" s="106">
        <f>'Policy Data'!R98</f>
        <v>3242.66</v>
      </c>
      <c r="N124" s="415">
        <f>Assumptions!$C$21</f>
        <v>1</v>
      </c>
      <c r="O124" s="415">
        <f>Assumptions!$C$22</f>
        <v>1</v>
      </c>
      <c r="P124" s="415">
        <f>Assumptions!$C$23</f>
        <v>1</v>
      </c>
      <c r="Q124" s="416">
        <f>Assumptions!$C$24</f>
        <v>0</v>
      </c>
      <c r="R124" s="416">
        <f>Assumptions!$C$6+Assumptions!$C$25</f>
        <v>3.5000000000000003E-2</v>
      </c>
      <c r="S124" s="416">
        <f>Assumptions!$C$15</f>
        <v>1.1000000000000001E-3</v>
      </c>
      <c r="T124" s="26">
        <f t="shared" si="36"/>
        <v>1</v>
      </c>
      <c r="U124" s="26">
        <f t="shared" si="37"/>
        <v>1</v>
      </c>
      <c r="V124" s="389">
        <f>IF($G124="Preferred",Assumptions!$C$30,IF($G124="Rated",Assumptions!$C$31,1))</f>
        <v>1</v>
      </c>
      <c r="W124" s="390">
        <f>IF($K124="Direct",Assumptions!$C$32,IF($K124="Broker",Assumptions!$C$33,IF($K124="Bancassurance",Assumptions!$C$34,Assumptions!$C$11)))+$Q124</f>
        <v>0.2</v>
      </c>
      <c r="X124" s="390">
        <f>Assumptions!$C$12+$Q124</f>
        <v>0.05</v>
      </c>
      <c r="Y124" s="131">
        <f>MIN($I124,Assumptions!$C$14)</f>
        <v>500000</v>
      </c>
      <c r="Z124" s="131">
        <f>MAX($I124-Assumptions!$C$14,0)</f>
        <v>0</v>
      </c>
      <c r="AA124" s="389">
        <f t="shared" si="38"/>
        <v>7.2121296774393748</v>
      </c>
      <c r="AB124" s="389">
        <f t="shared" si="39"/>
        <v>4.9118892207765157E-2</v>
      </c>
      <c r="AC124" s="389">
        <f>IF($T124=1,SUMPRODUCT($CJ124:$DW124,(1+Assumptions!$C$5)^($CJ$5:$DW$5-1),(1+$R124)^(-$CJ$5:$DW$5)),0)</f>
        <v>8.9857138601266779</v>
      </c>
      <c r="AD124" s="389">
        <f t="shared" si="40"/>
        <v>0.50553402010385284</v>
      </c>
      <c r="AE124" s="131">
        <f>IF($T124=1,$AB124*$Y124+(Assumptions!$C$9/(1+$R124)+Assumptions!$C$10*$AC124)*$P124+$S124*$Z124*$AA124,0)</f>
        <v>27405.868370501754</v>
      </c>
      <c r="AF124" s="131">
        <f>IF($T124=1,IF($AA124-$AD124-Assumptions!$C$16*$AA124&gt;0,$AE124/($AA124-$AD124-Assumptions!$C$16*$AA124)*IF($J124="Monthly",1+Assumptions!$C$29,1),"n.a."),"")</f>
        <v>4471.0511825057256</v>
      </c>
      <c r="AG124" s="131">
        <f t="shared" si="41"/>
        <v>3242.66</v>
      </c>
      <c r="AH124" s="131">
        <f t="shared" si="42"/>
        <v>23386.484419845561</v>
      </c>
      <c r="AI124" s="131">
        <f t="shared" si="43"/>
        <v>-5658.6588962861497</v>
      </c>
      <c r="AJ124" s="390">
        <f t="shared" si="44"/>
        <v>-0.24196278477342506</v>
      </c>
      <c r="AK124" s="389">
        <f t="shared" si="45"/>
        <v>0.72525673888231035</v>
      </c>
      <c r="AL124" s="131">
        <f t="shared" si="46"/>
        <v>0</v>
      </c>
      <c r="AM124" s="131">
        <f t="shared" si="47"/>
        <v>0</v>
      </c>
      <c r="AN124" s="131">
        <f t="shared" si="48"/>
        <v>0</v>
      </c>
      <c r="AO124" s="131">
        <f t="shared" si="49"/>
        <v>-5658.6588962861497</v>
      </c>
      <c r="AP124" s="26" t="str">
        <f t="shared" si="50"/>
        <v>60+</v>
      </c>
      <c r="AQ124" s="26" t="str">
        <f t="shared" si="51"/>
        <v>250k-500k</v>
      </c>
      <c r="AR124" s="26" t="str">
        <f>IF($T124=1,IF($AI124&lt;0,"Loss-making",IF($AJ124&lt;Assumptions!$C$16-0.00001,"Below target","At/above target")),"Excluded")</f>
        <v>Loss-making</v>
      </c>
      <c r="AS124" s="103">
        <f t="shared" si="52"/>
        <v>-5658.6587722861495</v>
      </c>
      <c r="AT124" s="26"/>
      <c r="AU124" s="419">
        <f>IF(AND($T124=1,AU$5&lt;=$H124),INDEX(Mortality!$B$4:$E$64,MATCH($D124+AU$5-1,Mortality!$A$4:$A$64,0),$U124)*$V124*$N124,0)</f>
        <v>4.2163649655954103E-3</v>
      </c>
      <c r="AV124" s="93">
        <f>IF(AND($T124=1,AV$5&lt;=$H124),INDEX(Mortality!$B$4:$E$64,MATCH($D124+AV$5-1,Mortality!$A$4:$A$64,0),$U124)*$V124*$N124,0)</f>
        <v>4.5675336398272801E-3</v>
      </c>
      <c r="AW124" s="93">
        <f>IF(AND($T124=1,AW$5&lt;=$H124),INDEX(Mortality!$B$4:$E$64,MATCH($D124+AW$5-1,Mortality!$A$4:$A$64,0),$U124)*$V124*$N124,0)</f>
        <v>4.9479501231952296E-3</v>
      </c>
      <c r="AX124" s="93">
        <f>IF(AND($T124=1,AX$5&lt;=$H124),INDEX(Mortality!$B$4:$E$64,MATCH($D124+AX$5-1,Mortality!$A$4:$A$64,0),$U124)*$V124*$N124,0)</f>
        <v>5.36005037995811E-3</v>
      </c>
      <c r="AY124" s="93">
        <f>IF(AND($T124=1,AY$5&lt;=$H124),INDEX(Mortality!$B$4:$E$64,MATCH($D124+AY$5-1,Mortality!$A$4:$A$64,0),$U124)*$V124*$N124,0)</f>
        <v>5.8064732586948697E-3</v>
      </c>
      <c r="AZ124" s="93">
        <f>IF(AND($T124=1,AZ$5&lt;=$H124),INDEX(Mortality!$B$4:$E$64,MATCH($D124+AZ$5-1,Mortality!$A$4:$A$64,0),$U124)*$V124*$N124,0)</f>
        <v>6.2900773899446198E-3</v>
      </c>
      <c r="BA124" s="93">
        <f>IF(AND($T124=1,BA$5&lt;=$H124),INDEX(Mortality!$B$4:$E$64,MATCH($D124+BA$5-1,Mortality!$A$4:$A$64,0),$U124)*$V124*$N124,0)</f>
        <v>6.8139594912016701E-3</v>
      </c>
      <c r="BB124" s="93">
        <f>IF(AND($T124=1,BB$5&lt;=$H124),INDEX(Mortality!$B$4:$E$64,MATCH($D124+BB$5-1,Mortality!$A$4:$A$64,0),$U124)*$V124*$N124,0)</f>
        <v>7.3814741964798002E-3</v>
      </c>
      <c r="BC124" s="93">
        <f>IF(AND($T124=1,BC$5&lt;=$H124),INDEX(Mortality!$B$4:$E$64,MATCH($D124+BC$5-1,Mortality!$A$4:$A$64,0),$U124)*$V124*$N124,0)</f>
        <v>7.9962555374229801E-3</v>
      </c>
      <c r="BD124" s="93">
        <f>IF(AND($T124=1,BD$5&lt;=$H124),INDEX(Mortality!$B$4:$E$64,MATCH($D124+BD$5-1,Mortality!$A$4:$A$64,0),$U124)*$V124*$N124,0)</f>
        <v>8.6622402135145896E-3</v>
      </c>
      <c r="BE124" s="93">
        <f>IF(AND($T124=1,BE$5&lt;=$H124),INDEX(Mortality!$B$4:$E$64,MATCH($D124+BE$5-1,Mortality!$A$4:$A$64,0),$U124)*$V124*$N124,0)</f>
        <v>9.3836928003943297E-3</v>
      </c>
      <c r="BF124" s="93">
        <f>IF(AND($T124=1,BF$5&lt;=$H124),INDEX(Mortality!$B$4:$E$64,MATCH($D124+BF$5-1,Mortality!$A$4:$A$64,0),$U124)*$V124*$N124,0)</f>
        <v>1.0165233057701799E-2</v>
      </c>
      <c r="BG124" s="93">
        <f>IF(AND($T124=1,BG$5&lt;=$H124),INDEX(Mortality!$B$4:$E$64,MATCH($D124+BG$5-1,Mortality!$A$4:$A$64,0),$U124)*$V124*$N124,0)</f>
        <v>1.1011865511310301E-2</v>
      </c>
      <c r="BH124" s="93">
        <f>IF(AND($T124=1,BH$5&lt;=$H124),INDEX(Mortality!$B$4:$E$64,MATCH($D124+BH$5-1,Mortality!$A$4:$A$64,0),$U124)*$V124*$N124,0)</f>
        <v>1.19290114993784E-2</v>
      </c>
      <c r="BI124" s="93">
        <f>IF(AND($T124=1,BI$5&lt;=$H124),INDEX(Mortality!$B$4:$E$64,MATCH($D124+BI$5-1,Mortality!$A$4:$A$64,0),$U124)*$V124*$N124,0)</f>
        <v>1.29225438874225E-2</v>
      </c>
      <c r="BJ124" s="93">
        <f>IF(AND($T124=1,BJ$5&lt;=$H124),INDEX(Mortality!$B$4:$E$64,MATCH($D124+BJ$5-1,Mortality!$A$4:$A$64,0),$U124)*$V124*$N124,0)</f>
        <v>0</v>
      </c>
      <c r="BK124" s="93">
        <f>IF(AND($T124=1,BK$5&lt;=$H124),INDEX(Mortality!$B$4:$E$64,MATCH($D124+BK$5-1,Mortality!$A$4:$A$64,0),$U124)*$V124*$N124,0)</f>
        <v>0</v>
      </c>
      <c r="BL124" s="93">
        <f>IF(AND($T124=1,BL$5&lt;=$H124),INDEX(Mortality!$B$4:$E$64,MATCH($D124+BL$5-1,Mortality!$A$4:$A$64,0),$U124)*$V124*$N124,0)</f>
        <v>0</v>
      </c>
      <c r="BM124" s="93">
        <f>IF(AND($T124=1,BM$5&lt;=$H124),INDEX(Mortality!$B$4:$E$64,MATCH($D124+BM$5-1,Mortality!$A$4:$A$64,0),$U124)*$V124*$N124,0)</f>
        <v>0</v>
      </c>
      <c r="BN124" s="93">
        <f>IF(AND($T124=1,BN$5&lt;=$H124),INDEX(Mortality!$B$4:$E$64,MATCH($D124+BN$5-1,Mortality!$A$4:$A$64,0),$U124)*$V124*$N124,0)</f>
        <v>0</v>
      </c>
      <c r="BO124" s="93">
        <f>IF(AND($T124=1,BO$5&lt;=$H124),INDEX(Mortality!$B$4:$E$64,MATCH($D124+BO$5-1,Mortality!$A$4:$A$64,0),$U124)*$V124*$N124,0)</f>
        <v>0</v>
      </c>
      <c r="BP124" s="93">
        <f>IF(AND($T124=1,BP$5&lt;=$H124),INDEX(Mortality!$B$4:$E$64,MATCH($D124+BP$5-1,Mortality!$A$4:$A$64,0),$U124)*$V124*$N124,0)</f>
        <v>0</v>
      </c>
      <c r="BQ124" s="93">
        <f>IF(AND($T124=1,BQ$5&lt;=$H124),INDEX(Mortality!$B$4:$E$64,MATCH($D124+BQ$5-1,Mortality!$A$4:$A$64,0),$U124)*$V124*$N124,0)</f>
        <v>0</v>
      </c>
      <c r="BR124" s="93">
        <f>IF(AND($T124=1,BR$5&lt;=$H124),INDEX(Mortality!$B$4:$E$64,MATCH($D124+BR$5-1,Mortality!$A$4:$A$64,0),$U124)*$V124*$N124,0)</f>
        <v>0</v>
      </c>
      <c r="BS124" s="93">
        <f>IF(AND($T124=1,BS$5&lt;=$H124),INDEX(Mortality!$B$4:$E$64,MATCH($D124+BS$5-1,Mortality!$A$4:$A$64,0),$U124)*$V124*$N124,0)</f>
        <v>0</v>
      </c>
      <c r="BT124" s="93">
        <f>IF(AND($T124=1,BT$5&lt;=$H124),INDEX(Mortality!$B$4:$E$64,MATCH($D124+BT$5-1,Mortality!$A$4:$A$64,0),$U124)*$V124*$N124,0)</f>
        <v>0</v>
      </c>
      <c r="BU124" s="93">
        <f>IF(AND($T124=1,BU$5&lt;=$H124),INDEX(Mortality!$B$4:$E$64,MATCH($D124+BU$5-1,Mortality!$A$4:$A$64,0),$U124)*$V124*$N124,0)</f>
        <v>0</v>
      </c>
      <c r="BV124" s="93">
        <f>IF(AND($T124=1,BV$5&lt;=$H124),INDEX(Mortality!$B$4:$E$64,MATCH($D124+BV$5-1,Mortality!$A$4:$A$64,0),$U124)*$V124*$N124,0)</f>
        <v>0</v>
      </c>
      <c r="BW124" s="93">
        <f>IF(AND($T124=1,BW$5&lt;=$H124),INDEX(Mortality!$B$4:$E$64,MATCH($D124+BW$5-1,Mortality!$A$4:$A$64,0),$U124)*$V124*$N124,0)</f>
        <v>0</v>
      </c>
      <c r="BX124" s="93">
        <f>IF(AND($T124=1,BX$5&lt;=$H124),INDEX(Mortality!$B$4:$E$64,MATCH($D124+BX$5-1,Mortality!$A$4:$A$64,0),$U124)*$V124*$N124,0)</f>
        <v>0</v>
      </c>
      <c r="BY124" s="93">
        <f>IF(AND($T124=1,BY$5&lt;=$H124),INDEX(Mortality!$B$4:$E$64,MATCH($D124+BY$5-1,Mortality!$A$4:$A$64,0),$U124)*$V124*$N124,0)</f>
        <v>0</v>
      </c>
      <c r="BZ124" s="93">
        <f>IF(AND($T124=1,BZ$5&lt;=$H124),INDEX(Mortality!$B$4:$E$64,MATCH($D124+BZ$5-1,Mortality!$A$4:$A$64,0),$U124)*$V124*$N124,0)</f>
        <v>0</v>
      </c>
      <c r="CA124" s="93">
        <f>IF(AND($T124=1,CA$5&lt;=$H124),INDEX(Mortality!$B$4:$E$64,MATCH($D124+CA$5-1,Mortality!$A$4:$A$64,0),$U124)*$V124*$N124,0)</f>
        <v>0</v>
      </c>
      <c r="CB124" s="93">
        <f>IF(AND($T124=1,CB$5&lt;=$H124),INDEX(Mortality!$B$4:$E$64,MATCH($D124+CB$5-1,Mortality!$A$4:$A$64,0),$U124)*$V124*$N124,0)</f>
        <v>0</v>
      </c>
      <c r="CC124" s="93">
        <f>IF(AND($T124=1,CC$5&lt;=$H124),INDEX(Mortality!$B$4:$E$64,MATCH($D124+CC$5-1,Mortality!$A$4:$A$64,0),$U124)*$V124*$N124,0)</f>
        <v>0</v>
      </c>
      <c r="CD124" s="93">
        <f>IF(AND($T124=1,CD$5&lt;=$H124),INDEX(Mortality!$B$4:$E$64,MATCH($D124+CD$5-1,Mortality!$A$4:$A$64,0),$U124)*$V124*$N124,0)</f>
        <v>0</v>
      </c>
      <c r="CE124" s="93">
        <f>IF(AND($T124=1,CE$5&lt;=$H124),INDEX(Mortality!$B$4:$E$64,MATCH($D124+CE$5-1,Mortality!$A$4:$A$64,0),$U124)*$V124*$N124,0)</f>
        <v>0</v>
      </c>
      <c r="CF124" s="93">
        <f>IF(AND($T124=1,CF$5&lt;=$H124),INDEX(Mortality!$B$4:$E$64,MATCH($D124+CF$5-1,Mortality!$A$4:$A$64,0),$U124)*$V124*$N124,0)</f>
        <v>0</v>
      </c>
      <c r="CG124" s="93">
        <f>IF(AND($T124=1,CG$5&lt;=$H124),INDEX(Mortality!$B$4:$E$64,MATCH($D124+CG$5-1,Mortality!$A$4:$A$64,0),$U124)*$V124*$N124,0)</f>
        <v>0</v>
      </c>
      <c r="CH124" s="94">
        <f>IF(AND($T124=1,CH$5&lt;=$H124),INDEX(Mortality!$B$4:$E$64,MATCH($D124+CH$5-1,Mortality!$A$4:$A$64,0),$U124)*$V124*$N124,0)</f>
        <v>0</v>
      </c>
      <c r="CI124" s="26"/>
      <c r="CJ124" s="419">
        <f t="shared" si="53"/>
        <v>1</v>
      </c>
      <c r="CK124" s="93">
        <f>IF(AND($T124=1,CK$5&lt;=$H124),CJ124*(1-AU124)*(1-MIN(1,MAX(Assumptions!$C$27,Assumptions!$C$13*Assumptions!$C$28^(CJ$5-1))*$O124)),0)</f>
        <v>0.87628959883027602</v>
      </c>
      <c r="CL124" s="93">
        <f>IF(AND($T124=1,CL$5&lt;=$H124),CK124*(1-AV124)*(1-MIN(1,MAX(Assumptions!$C$27,Assumptions!$C$13*Assumptions!$C$28^(CK$5-1))*$O124)),0)</f>
        <v>0.78331383071523042</v>
      </c>
      <c r="CM124" s="93">
        <f>IF(AND($T124=1,CM$5&lt;=$H124),CL124*(1-AW124)*(1-MIN(1,MAX(Assumptions!$C$27,Assumptions!$C$13*Assumptions!$C$28^(CL$5-1))*$O124)),0)</f>
        <v>0.71186075549327377</v>
      </c>
      <c r="CN124" s="93">
        <f>IF(AND($T124=1,CN$5&lt;=$H124),CM124*(1-AX124)*(1-MIN(1,MAX(Assumptions!$C$27,Assumptions!$C$13*Assumptions!$C$28^(CM$5-1))*$O124)),0)</f>
        <v>0.65586575894729549</v>
      </c>
      <c r="CO124" s="93">
        <f>IF(AND($T124=1,CO$5&lt;=$H124),CN124*(1-AY124)*(1-MIN(1,MAX(Assumptions!$C$27,Assumptions!$C$13*Assumptions!$C$28^(CN$5-1))*$O124)),0)</f>
        <v>0.61121212161738936</v>
      </c>
      <c r="CP124" s="93">
        <f>IF(AND($T124=1,CP$5&lt;=$H124),CO124*(1-AZ124)*(1-MIN(1,MAX(Assumptions!$C$27,Assumptions!$C$13*Assumptions!$C$28^(CO$5-1))*$O124)),0)</f>
        <v>0.57502848503796389</v>
      </c>
      <c r="CQ124" s="93">
        <f>IF(AND($T124=1,CQ$5&lt;=$H124),CP124*(1-BA124)*(1-MIN(1,MAX(Assumptions!$C$27,Assumptions!$C$13*Assumptions!$C$28^(CP$5-1))*$O124)),0)</f>
        <v>0.54526298909168147</v>
      </c>
      <c r="CR124" s="93">
        <f>IF(AND($T124=1,CR$5&lt;=$H124),CQ124*(1-BB124)*(1-MIN(1,MAX(Assumptions!$C$27,Assumptions!$C$13*Assumptions!$C$28^(CQ$5-1))*$O124)),0)</f>
        <v>0.52041711859930107</v>
      </c>
      <c r="CS124" s="93">
        <f>IF(AND($T124=1,CS$5&lt;=$H124),CR124*(1-BC124)*(1-MIN(1,MAX(Assumptions!$C$27,Assumptions!$C$13*Assumptions!$C$28^(CR$5-1))*$O124)),0)</f>
        <v>0.49937475493139027</v>
      </c>
      <c r="CT124" s="93">
        <f>IF(AND($T124=1,CT$5&lt;=$H124),CS124*(1-BD124)*(1-MIN(1,MAX(Assumptions!$C$27,Assumptions!$C$13*Assumptions!$C$28^(CS$5-1))*$O124)),0)</f>
        <v>0.481289640917483</v>
      </c>
      <c r="CU124" s="93">
        <f>IF(AND($T124=1,CU$5&lt;=$H124),CT124*(1-BE124)*(1-MIN(1,MAX(Assumptions!$C$27,Assumptions!$C$13*Assumptions!$C$28^(CT$5-1))*$O124)),0)</f>
        <v>0.4655096300682825</v>
      </c>
      <c r="CV124" s="93">
        <f>IF(AND($T124=1,CV$5&lt;=$H124),CU124*(1-BF124)*(1-MIN(1,MAX(Assumptions!$C$27,Assumptions!$C$13*Assumptions!$C$28^(CU$5-1))*$O124)),0)</f>
        <v>0.451524653678537</v>
      </c>
      <c r="CW124" s="93">
        <f>IF(AND($T124=1,CW$5&lt;=$H124),CV124*(1-BG124)*(1-MIN(1,MAX(Assumptions!$C$27,Assumptions!$C$13*Assumptions!$C$28^(CV$5-1))*$O124)),0)</f>
        <v>0.43762147441884425</v>
      </c>
      <c r="CX124" s="93">
        <f>IF(AND($T124=1,CX$5&lt;=$H124),CW124*(1-BH124)*(1-MIN(1,MAX(Assumptions!$C$27,Assumptions!$C$13*Assumptions!$C$28^(CW$5-1))*$O124)),0)</f>
        <v>0.42375306116176437</v>
      </c>
      <c r="CY124" s="93">
        <f>IF(AND($T124=1,CY$5&lt;=$H124),CX124*(1-BI124)*(1-MIN(1,MAX(Assumptions!$C$27,Assumptions!$C$13*Assumptions!$C$28^(CX$5-1))*$O124)),0)</f>
        <v>0</v>
      </c>
      <c r="CZ124" s="93">
        <f>IF(AND($T124=1,CZ$5&lt;=$H124),CY124*(1-BJ124)*(1-MIN(1,MAX(Assumptions!$C$27,Assumptions!$C$13*Assumptions!$C$28^(CY$5-1))*$O124)),0)</f>
        <v>0</v>
      </c>
      <c r="DA124" s="93">
        <f>IF(AND($T124=1,DA$5&lt;=$H124),CZ124*(1-BK124)*(1-MIN(1,MAX(Assumptions!$C$27,Assumptions!$C$13*Assumptions!$C$28^(CZ$5-1))*$O124)),0)</f>
        <v>0</v>
      </c>
      <c r="DB124" s="93">
        <f>IF(AND($T124=1,DB$5&lt;=$H124),DA124*(1-BL124)*(1-MIN(1,MAX(Assumptions!$C$27,Assumptions!$C$13*Assumptions!$C$28^(DA$5-1))*$O124)),0)</f>
        <v>0</v>
      </c>
      <c r="DC124" s="93">
        <f>IF(AND($T124=1,DC$5&lt;=$H124),DB124*(1-BM124)*(1-MIN(1,MAX(Assumptions!$C$27,Assumptions!$C$13*Assumptions!$C$28^(DB$5-1))*$O124)),0)</f>
        <v>0</v>
      </c>
      <c r="DD124" s="93">
        <f>IF(AND($T124=1,DD$5&lt;=$H124),DC124*(1-BN124)*(1-MIN(1,MAX(Assumptions!$C$27,Assumptions!$C$13*Assumptions!$C$28^(DC$5-1))*$O124)),0)</f>
        <v>0</v>
      </c>
      <c r="DE124" s="93">
        <f>IF(AND($T124=1,DE$5&lt;=$H124),DD124*(1-BO124)*(1-MIN(1,MAX(Assumptions!$C$27,Assumptions!$C$13*Assumptions!$C$28^(DD$5-1))*$O124)),0)</f>
        <v>0</v>
      </c>
      <c r="DF124" s="93">
        <f>IF(AND($T124=1,DF$5&lt;=$H124),DE124*(1-BP124)*(1-MIN(1,MAX(Assumptions!$C$27,Assumptions!$C$13*Assumptions!$C$28^(DE$5-1))*$O124)),0)</f>
        <v>0</v>
      </c>
      <c r="DG124" s="93">
        <f>IF(AND($T124=1,DG$5&lt;=$H124),DF124*(1-BQ124)*(1-MIN(1,MAX(Assumptions!$C$27,Assumptions!$C$13*Assumptions!$C$28^(DF$5-1))*$O124)),0)</f>
        <v>0</v>
      </c>
      <c r="DH124" s="93">
        <f>IF(AND($T124=1,DH$5&lt;=$H124),DG124*(1-BR124)*(1-MIN(1,MAX(Assumptions!$C$27,Assumptions!$C$13*Assumptions!$C$28^(DG$5-1))*$O124)),0)</f>
        <v>0</v>
      </c>
      <c r="DI124" s="93">
        <f>IF(AND($T124=1,DI$5&lt;=$H124),DH124*(1-BS124)*(1-MIN(1,MAX(Assumptions!$C$27,Assumptions!$C$13*Assumptions!$C$28^(DH$5-1))*$O124)),0)</f>
        <v>0</v>
      </c>
      <c r="DJ124" s="93">
        <f>IF(AND($T124=1,DJ$5&lt;=$H124),DI124*(1-BT124)*(1-MIN(1,MAX(Assumptions!$C$27,Assumptions!$C$13*Assumptions!$C$28^(DI$5-1))*$O124)),0)</f>
        <v>0</v>
      </c>
      <c r="DK124" s="93">
        <f>IF(AND($T124=1,DK$5&lt;=$H124),DJ124*(1-BU124)*(1-MIN(1,MAX(Assumptions!$C$27,Assumptions!$C$13*Assumptions!$C$28^(DJ$5-1))*$O124)),0)</f>
        <v>0</v>
      </c>
      <c r="DL124" s="93">
        <f>IF(AND($T124=1,DL$5&lt;=$H124),DK124*(1-BV124)*(1-MIN(1,MAX(Assumptions!$C$27,Assumptions!$C$13*Assumptions!$C$28^(DK$5-1))*$O124)),0)</f>
        <v>0</v>
      </c>
      <c r="DM124" s="93">
        <f>IF(AND($T124=1,DM$5&lt;=$H124),DL124*(1-BW124)*(1-MIN(1,MAX(Assumptions!$C$27,Assumptions!$C$13*Assumptions!$C$28^(DL$5-1))*$O124)),0)</f>
        <v>0</v>
      </c>
      <c r="DN124" s="93">
        <f>IF(AND($T124=1,DN$5&lt;=$H124),DM124*(1-BX124)*(1-MIN(1,MAX(Assumptions!$C$27,Assumptions!$C$13*Assumptions!$C$28^(DM$5-1))*$O124)),0)</f>
        <v>0</v>
      </c>
      <c r="DO124" s="93">
        <f>IF(AND($T124=1,DO$5&lt;=$H124),DN124*(1-BY124)*(1-MIN(1,MAX(Assumptions!$C$27,Assumptions!$C$13*Assumptions!$C$28^(DN$5-1))*$O124)),0)</f>
        <v>0</v>
      </c>
      <c r="DP124" s="93">
        <f>IF(AND($T124=1,DP$5&lt;=$H124),DO124*(1-BZ124)*(1-MIN(1,MAX(Assumptions!$C$27,Assumptions!$C$13*Assumptions!$C$28^(DO$5-1))*$O124)),0)</f>
        <v>0</v>
      </c>
      <c r="DQ124" s="93">
        <f>IF(AND($T124=1,DQ$5&lt;=$H124),DP124*(1-CA124)*(1-MIN(1,MAX(Assumptions!$C$27,Assumptions!$C$13*Assumptions!$C$28^(DP$5-1))*$O124)),0)</f>
        <v>0</v>
      </c>
      <c r="DR124" s="93">
        <f>IF(AND($T124=1,DR$5&lt;=$H124),DQ124*(1-CB124)*(1-MIN(1,MAX(Assumptions!$C$27,Assumptions!$C$13*Assumptions!$C$28^(DQ$5-1))*$O124)),0)</f>
        <v>0</v>
      </c>
      <c r="DS124" s="93">
        <f>IF(AND($T124=1,DS$5&lt;=$H124),DR124*(1-CC124)*(1-MIN(1,MAX(Assumptions!$C$27,Assumptions!$C$13*Assumptions!$C$28^(DR$5-1))*$O124)),0)</f>
        <v>0</v>
      </c>
      <c r="DT124" s="93">
        <f>IF(AND($T124=1,DT$5&lt;=$H124),DS124*(1-CD124)*(1-MIN(1,MAX(Assumptions!$C$27,Assumptions!$C$13*Assumptions!$C$28^(DS$5-1))*$O124)),0)</f>
        <v>0</v>
      </c>
      <c r="DU124" s="93">
        <f>IF(AND($T124=1,DU$5&lt;=$H124),DT124*(1-CE124)*(1-MIN(1,MAX(Assumptions!$C$27,Assumptions!$C$13*Assumptions!$C$28^(DT$5-1))*$O124)),0)</f>
        <v>0</v>
      </c>
      <c r="DV124" s="93">
        <f>IF(AND($T124=1,DV$5&lt;=$H124),DU124*(1-CF124)*(1-MIN(1,MAX(Assumptions!$C$27,Assumptions!$C$13*Assumptions!$C$28^(DU$5-1))*$O124)),0)</f>
        <v>0</v>
      </c>
      <c r="DW124" s="94">
        <f>IF(AND($T124=1,DW$5&lt;=$H124),DV124*(1-CG124)*(1-MIN(1,MAX(Assumptions!$C$27,Assumptions!$C$13*Assumptions!$C$28^(DV$5-1))*$O124)),0)</f>
        <v>0</v>
      </c>
      <c r="DX124" s="26"/>
      <c r="DY124" s="399">
        <f>'Policy Data'!K98</f>
        <v>5</v>
      </c>
      <c r="DZ124" s="100">
        <f>'Policy Data'!L98</f>
        <v>0.7772</v>
      </c>
      <c r="EA124" s="100">
        <f>'Policy Data'!N98</f>
        <v>3.277E-3</v>
      </c>
      <c r="EB124" s="93" cm="1">
        <f t="array" ref="EB124">IFERROR(DZ124*INDEX(Mortality!$B$4:$E$64,MATCH(D124+DY124-1,Mortality!$A$4:$A$64,0),U124)*V124,0)</f>
        <v>4.5127910166576531E-3</v>
      </c>
      <c r="EC124" s="100">
        <f>'Policy Data'!O98</f>
        <v>0</v>
      </c>
      <c r="ED124" s="400">
        <f>'Policy Data'!Q98</f>
        <v>0</v>
      </c>
    </row>
    <row r="125" spans="1:134" x14ac:dyDescent="0.3">
      <c r="A125" s="399" t="str">
        <f>'Policy Data'!A99</f>
        <v>POL100095</v>
      </c>
      <c r="B125" s="26" t="s">
        <v>426</v>
      </c>
      <c r="C125" s="100" t="str">
        <f>'Policy Data'!B99</f>
        <v>Term Life</v>
      </c>
      <c r="D125" s="100">
        <f>'Policy Data'!C99</f>
        <v>41</v>
      </c>
      <c r="E125" s="100" t="str">
        <f>'Policy Data'!D99</f>
        <v>Male</v>
      </c>
      <c r="F125" s="100" t="str">
        <f>'Policy Data'!E99</f>
        <v>Smoker</v>
      </c>
      <c r="G125" s="100" t="str">
        <f>'Policy Data'!F99</f>
        <v>Preferred</v>
      </c>
      <c r="H125" s="100">
        <f>'Policy Data'!G99</f>
        <v>20</v>
      </c>
      <c r="I125" s="279">
        <f>'Policy Data'!H99</f>
        <v>1000000</v>
      </c>
      <c r="J125" s="100" t="str">
        <f>'Policy Data'!I99</f>
        <v>Annual</v>
      </c>
      <c r="K125" s="100" t="str">
        <f>'Policy Data'!J99</f>
        <v>Bancassurance</v>
      </c>
      <c r="L125" s="26" t="s">
        <v>389</v>
      </c>
      <c r="M125" s="106">
        <f>'Policy Data'!R99</f>
        <v>2973.32</v>
      </c>
      <c r="N125" s="415">
        <f>Assumptions!$C$21</f>
        <v>1</v>
      </c>
      <c r="O125" s="415">
        <f>Assumptions!$C$22</f>
        <v>1</v>
      </c>
      <c r="P125" s="415">
        <f>Assumptions!$C$23</f>
        <v>1</v>
      </c>
      <c r="Q125" s="416">
        <f>Assumptions!$C$24</f>
        <v>0</v>
      </c>
      <c r="R125" s="416">
        <f>Assumptions!$C$6+Assumptions!$C$25</f>
        <v>3.5000000000000003E-2</v>
      </c>
      <c r="S125" s="416">
        <f>Assumptions!$C$15</f>
        <v>1.1000000000000001E-3</v>
      </c>
      <c r="T125" s="26">
        <f t="shared" si="36"/>
        <v>1</v>
      </c>
      <c r="U125" s="26">
        <f t="shared" si="37"/>
        <v>4</v>
      </c>
      <c r="V125" s="389">
        <f>IF($G125="Preferred",Assumptions!$C$30,IF($G125="Rated",Assumptions!$C$31,1))</f>
        <v>0.8</v>
      </c>
      <c r="W125" s="390">
        <f>IF($K125="Direct",Assumptions!$C$32,IF($K125="Broker",Assumptions!$C$33,IF($K125="Bancassurance",Assumptions!$C$34,Assumptions!$C$11)))+$Q125</f>
        <v>0.2</v>
      </c>
      <c r="X125" s="390">
        <f>Assumptions!$C$12+$Q125</f>
        <v>0.05</v>
      </c>
      <c r="Y125" s="131">
        <f>MIN($I125,Assumptions!$C$14)</f>
        <v>500000</v>
      </c>
      <c r="Z125" s="131">
        <f>MAX($I125-Assumptions!$C$14,0)</f>
        <v>500000</v>
      </c>
      <c r="AA125" s="389">
        <f t="shared" si="38"/>
        <v>8.4816976131189161</v>
      </c>
      <c r="AB125" s="389">
        <f t="shared" si="39"/>
        <v>2.6912285245321885E-2</v>
      </c>
      <c r="AC125" s="389">
        <f>IF($T125=1,SUMPRODUCT($CJ125:$DW125,(1+Assumptions!$C$5)^($CJ$5:$DW$5-1),(1+$R125)^(-$CJ$5:$DW$5)),0)</f>
        <v>11.382174350241394</v>
      </c>
      <c r="AD125" s="389">
        <f t="shared" si="40"/>
        <v>0.56901241688782989</v>
      </c>
      <c r="AE125" s="131">
        <f>IF($T125=1,$AB125*$Y125+(Assumptions!$C$9/(1+$R125)+Assumptions!$C$10*$AC125)*$P125+$S125*$Z125*$AA125,0)</f>
        <v>21494.719884320759</v>
      </c>
      <c r="AF125" s="131">
        <f>IF($T125=1,IF($AA125-$AD125-Assumptions!$C$16*$AA125&gt;0,$AE125/($AA125-$AD125-Assumptions!$C$16*$AA125)*IF($J125="Monthly",1+Assumptions!$C$29,1),"n.a."),"")</f>
        <v>2971.2850445704039</v>
      </c>
      <c r="AG125" s="131">
        <f t="shared" si="41"/>
        <v>2973.32</v>
      </c>
      <c r="AH125" s="131">
        <f t="shared" si="42"/>
        <v>25218.801147038736</v>
      </c>
      <c r="AI125" s="131">
        <f t="shared" si="43"/>
        <v>2032.2252633370554</v>
      </c>
      <c r="AJ125" s="390">
        <f t="shared" si="44"/>
        <v>8.0583737961536089E-2</v>
      </c>
      <c r="AK125" s="389">
        <f t="shared" si="45"/>
        <v>1.0006848738505634</v>
      </c>
      <c r="AL125" s="131">
        <f t="shared" si="46"/>
        <v>13456.142622660942</v>
      </c>
      <c r="AM125" s="131">
        <f t="shared" si="47"/>
        <v>4664.9336872154036</v>
      </c>
      <c r="AN125" s="131">
        <f t="shared" si="48"/>
        <v>8791.2089354455384</v>
      </c>
      <c r="AO125" s="131">
        <f t="shared" si="49"/>
        <v>-6758.983672108483</v>
      </c>
      <c r="AP125" s="26" t="str">
        <f t="shared" si="50"/>
        <v>40-49</v>
      </c>
      <c r="AQ125" s="26" t="str">
        <f t="shared" si="51"/>
        <v>500k-1m</v>
      </c>
      <c r="AR125" s="26" t="str">
        <f>IF($T125=1,IF($AI125&lt;0,"Loss-making",IF($AJ125&lt;Assumptions!$C$16-0.00001,"Below target","At/above target")),"Excluded")</f>
        <v>At/above target</v>
      </c>
      <c r="AS125" s="103">
        <f t="shared" si="52"/>
        <v>2032.2253883370554</v>
      </c>
      <c r="AT125" s="26"/>
      <c r="AU125" s="419">
        <f>IF(AND($T125=1,AU$5&lt;=$H125),INDEX(Mortality!$B$4:$E$64,MATCH($D125+AU$5-1,Mortality!$A$4:$A$64,0),$U125)*$V125*$N125,0)</f>
        <v>1.6468855894535999E-3</v>
      </c>
      <c r="AV125" s="93">
        <f>IF(AND($T125=1,AV$5&lt;=$H125),INDEX(Mortality!$B$4:$E$64,MATCH($D125+AV$5-1,Mortality!$A$4:$A$64,0),$U125)*$V125*$N125,0)</f>
        <v>1.784049860995328E-3</v>
      </c>
      <c r="AW125" s="93">
        <f>IF(AND($T125=1,AW$5&lt;=$H125),INDEX(Mortality!$B$4:$E$64,MATCH($D125+AW$5-1,Mortality!$A$4:$A$64,0),$U125)*$V125*$N125,0)</f>
        <v>1.9326381425035521E-3</v>
      </c>
      <c r="AX125" s="93">
        <f>IF(AND($T125=1,AX$5&lt;=$H125),INDEX(Mortality!$B$4:$E$64,MATCH($D125+AX$5-1,Mortality!$A$4:$A$64,0),$U125)*$V125*$N125,0)</f>
        <v>2.0936019062694484E-3</v>
      </c>
      <c r="AY125" s="93">
        <f>IF(AND($T125=1,AY$5&lt;=$H125),INDEX(Mortality!$B$4:$E$64,MATCH($D125+AY$5-1,Mortality!$A$4:$A$64,0),$U125)*$V125*$N125,0)</f>
        <v>2.2679718699213361E-3</v>
      </c>
      <c r="AZ125" s="93">
        <f>IF(AND($T125=1,AZ$5&lt;=$H125),INDEX(Mortality!$B$4:$E$64,MATCH($D125+AZ$5-1,Mortality!$A$4:$A$64,0),$U125)*$V125*$N125,0)</f>
        <v>2.4568645965363763E-3</v>
      </c>
      <c r="BA125" s="93">
        <f>IF(AND($T125=1,BA$5&lt;=$H125),INDEX(Mortality!$B$4:$E$64,MATCH($D125+BA$5-1,Mortality!$A$4:$A$64,0),$U125)*$V125*$N125,0)</f>
        <v>2.6614896444563125E-3</v>
      </c>
      <c r="BB125" s="93">
        <f>IF(AND($T125=1,BB$5&lt;=$H125),INDEX(Mortality!$B$4:$E$64,MATCH($D125+BB$5-1,Mortality!$A$4:$A$64,0),$U125)*$V125*$N125,0)</f>
        <v>2.8831573125903441E-3</v>
      </c>
      <c r="BC125" s="93">
        <f>IF(AND($T125=1,BC$5&lt;=$H125),INDEX(Mortality!$B$4:$E$64,MATCH($D125+BC$5-1,Mortality!$A$4:$A$64,0),$U125)*$V125*$N125,0)</f>
        <v>3.1232870308016084E-3</v>
      </c>
      <c r="BD125" s="93">
        <f>IF(AND($T125=1,BD$5&lt;=$H125),INDEX(Mortality!$B$4:$E$64,MATCH($D125+BD$5-1,Mortality!$A$4:$A$64,0),$U125)*$V125*$N125,0)</f>
        <v>3.3834164491043043E-3</v>
      </c>
      <c r="BE125" s="93">
        <f>IF(AND($T125=1,BE$5&lt;=$H125),INDEX(Mortality!$B$4:$E$64,MATCH($D125+BE$5-1,Mortality!$A$4:$A$64,0),$U125)*$V125*$N125,0)</f>
        <v>3.6652112838734246E-3</v>
      </c>
      <c r="BF125" s="93">
        <f>IF(AND($T125=1,BF$5&lt;=$H125),INDEX(Mortality!$B$4:$E$64,MATCH($D125+BF$5-1,Mortality!$A$4:$A$64,0),$U125)*$V125*$N125,0)</f>
        <v>3.9704759841164084E-3</v>
      </c>
      <c r="BG125" s="93">
        <f>IF(AND($T125=1,BG$5&lt;=$H125),INDEX(Mortality!$B$4:$E$64,MATCH($D125+BG$5-1,Mortality!$A$4:$A$64,0),$U125)*$V125*$N125,0)</f>
        <v>4.3011652861073123E-3</v>
      </c>
      <c r="BH125" s="93">
        <f>IF(AND($T125=1,BH$5&lt;=$H125),INDEX(Mortality!$B$4:$E$64,MATCH($D125+BH$5-1,Mortality!$A$4:$A$64,0),$U125)*$V125*$N125,0)</f>
        <v>4.6593967303725121E-3</v>
      </c>
      <c r="BI125" s="93">
        <f>IF(AND($T125=1,BI$5&lt;=$H125),INDEX(Mortality!$B$4:$E$64,MATCH($D125+BI$5-1,Mortality!$A$4:$A$64,0),$U125)*$V125*$N125,0)</f>
        <v>5.0474642211795285E-3</v>
      </c>
      <c r="BJ125" s="93">
        <f>IF(AND($T125=1,BJ$5&lt;=$H125),INDEX(Mortality!$B$4:$E$64,MATCH($D125+BJ$5-1,Mortality!$A$4:$A$64,0),$U125)*$V125*$N125,0)</f>
        <v>5.4678527153558401E-3</v>
      </c>
      <c r="BK125" s="93">
        <f>IF(AND($T125=1,BK$5&lt;=$H125),INDEX(Mortality!$B$4:$E$64,MATCH($D125+BK$5-1,Mortality!$A$4:$A$64,0),$U125)*$V125*$N125,0)</f>
        <v>5.9232541344963847E-3</v>
      </c>
      <c r="BL125" s="93">
        <f>IF(AND($T125=1,BL$5&lt;=$H125),INDEX(Mortality!$B$4:$E$64,MATCH($D125+BL$5-1,Mortality!$A$4:$A$64,0),$U125)*$V125*$N125,0)</f>
        <v>6.4165846024521675E-3</v>
      </c>
      <c r="BM125" s="93">
        <f>IF(AND($T125=1,BM$5&lt;=$H125),INDEX(Mortality!$B$4:$E$64,MATCH($D125+BM$5-1,Mortality!$A$4:$A$64,0),$U125)*$V125*$N125,0)</f>
        <v>6.9510031184786963E-3</v>
      </c>
      <c r="BN125" s="93">
        <f>IF(AND($T125=1,BN$5&lt;=$H125),INDEX(Mortality!$B$4:$E$64,MATCH($D125+BN$5-1,Mortality!$A$4:$A$64,0),$U125)*$V125*$N125,0)</f>
        <v>7.5299317856162805E-3</v>
      </c>
      <c r="BO125" s="93">
        <f>IF(AND($T125=1,BO$5&lt;=$H125),INDEX(Mortality!$B$4:$E$64,MATCH($D125+BO$5-1,Mortality!$A$4:$A$64,0),$U125)*$V125*$N125,0)</f>
        <v>0</v>
      </c>
      <c r="BP125" s="93">
        <f>IF(AND($T125=1,BP$5&lt;=$H125),INDEX(Mortality!$B$4:$E$64,MATCH($D125+BP$5-1,Mortality!$A$4:$A$64,0),$U125)*$V125*$N125,0)</f>
        <v>0</v>
      </c>
      <c r="BQ125" s="93">
        <f>IF(AND($T125=1,BQ$5&lt;=$H125),INDEX(Mortality!$B$4:$E$64,MATCH($D125+BQ$5-1,Mortality!$A$4:$A$64,0),$U125)*$V125*$N125,0)</f>
        <v>0</v>
      </c>
      <c r="BR125" s="93">
        <f>IF(AND($T125=1,BR$5&lt;=$H125),INDEX(Mortality!$B$4:$E$64,MATCH($D125+BR$5-1,Mortality!$A$4:$A$64,0),$U125)*$V125*$N125,0)</f>
        <v>0</v>
      </c>
      <c r="BS125" s="93">
        <f>IF(AND($T125=1,BS$5&lt;=$H125),INDEX(Mortality!$B$4:$E$64,MATCH($D125+BS$5-1,Mortality!$A$4:$A$64,0),$U125)*$V125*$N125,0)</f>
        <v>0</v>
      </c>
      <c r="BT125" s="93">
        <f>IF(AND($T125=1,BT$5&lt;=$H125),INDEX(Mortality!$B$4:$E$64,MATCH($D125+BT$5-1,Mortality!$A$4:$A$64,0),$U125)*$V125*$N125,0)</f>
        <v>0</v>
      </c>
      <c r="BU125" s="93">
        <f>IF(AND($T125=1,BU$5&lt;=$H125),INDEX(Mortality!$B$4:$E$64,MATCH($D125+BU$5-1,Mortality!$A$4:$A$64,0),$U125)*$V125*$N125,0)</f>
        <v>0</v>
      </c>
      <c r="BV125" s="93">
        <f>IF(AND($T125=1,BV$5&lt;=$H125),INDEX(Mortality!$B$4:$E$64,MATCH($D125+BV$5-1,Mortality!$A$4:$A$64,0),$U125)*$V125*$N125,0)</f>
        <v>0</v>
      </c>
      <c r="BW125" s="93">
        <f>IF(AND($T125=1,BW$5&lt;=$H125),INDEX(Mortality!$B$4:$E$64,MATCH($D125+BW$5-1,Mortality!$A$4:$A$64,0),$U125)*$V125*$N125,0)</f>
        <v>0</v>
      </c>
      <c r="BX125" s="93">
        <f>IF(AND($T125=1,BX$5&lt;=$H125),INDEX(Mortality!$B$4:$E$64,MATCH($D125+BX$5-1,Mortality!$A$4:$A$64,0),$U125)*$V125*$N125,0)</f>
        <v>0</v>
      </c>
      <c r="BY125" s="93">
        <f>IF(AND($T125=1,BY$5&lt;=$H125),INDEX(Mortality!$B$4:$E$64,MATCH($D125+BY$5-1,Mortality!$A$4:$A$64,0),$U125)*$V125*$N125,0)</f>
        <v>0</v>
      </c>
      <c r="BZ125" s="93">
        <f>IF(AND($T125=1,BZ$5&lt;=$H125),INDEX(Mortality!$B$4:$E$64,MATCH($D125+BZ$5-1,Mortality!$A$4:$A$64,0),$U125)*$V125*$N125,0)</f>
        <v>0</v>
      </c>
      <c r="CA125" s="93">
        <f>IF(AND($T125=1,CA$5&lt;=$H125),INDEX(Mortality!$B$4:$E$64,MATCH($D125+CA$5-1,Mortality!$A$4:$A$64,0),$U125)*$V125*$N125,0)</f>
        <v>0</v>
      </c>
      <c r="CB125" s="93">
        <f>IF(AND($T125=1,CB$5&lt;=$H125),INDEX(Mortality!$B$4:$E$64,MATCH($D125+CB$5-1,Mortality!$A$4:$A$64,0),$U125)*$V125*$N125,0)</f>
        <v>0</v>
      </c>
      <c r="CC125" s="93">
        <f>IF(AND($T125=1,CC$5&lt;=$H125),INDEX(Mortality!$B$4:$E$64,MATCH($D125+CC$5-1,Mortality!$A$4:$A$64,0),$U125)*$V125*$N125,0)</f>
        <v>0</v>
      </c>
      <c r="CD125" s="93">
        <f>IF(AND($T125=1,CD$5&lt;=$H125),INDEX(Mortality!$B$4:$E$64,MATCH($D125+CD$5-1,Mortality!$A$4:$A$64,0),$U125)*$V125*$N125,0)</f>
        <v>0</v>
      </c>
      <c r="CE125" s="93">
        <f>IF(AND($T125=1,CE$5&lt;=$H125),INDEX(Mortality!$B$4:$E$64,MATCH($D125+CE$5-1,Mortality!$A$4:$A$64,0),$U125)*$V125*$N125,0)</f>
        <v>0</v>
      </c>
      <c r="CF125" s="93">
        <f>IF(AND($T125=1,CF$5&lt;=$H125),INDEX(Mortality!$B$4:$E$64,MATCH($D125+CF$5-1,Mortality!$A$4:$A$64,0),$U125)*$V125*$N125,0)</f>
        <v>0</v>
      </c>
      <c r="CG125" s="93">
        <f>IF(AND($T125=1,CG$5&lt;=$H125),INDEX(Mortality!$B$4:$E$64,MATCH($D125+CG$5-1,Mortality!$A$4:$A$64,0),$U125)*$V125*$N125,0)</f>
        <v>0</v>
      </c>
      <c r="CH125" s="94">
        <f>IF(AND($T125=1,CH$5&lt;=$H125),INDEX(Mortality!$B$4:$E$64,MATCH($D125+CH$5-1,Mortality!$A$4:$A$64,0),$U125)*$V125*$N125,0)</f>
        <v>0</v>
      </c>
      <c r="CI125" s="26"/>
      <c r="CJ125" s="419">
        <f t="shared" si="53"/>
        <v>1</v>
      </c>
      <c r="CK125" s="93">
        <f>IF(AND($T125=1,CK$5&lt;=$H125),CJ125*(1-AU125)*(1-MIN(1,MAX(Assumptions!$C$27,Assumptions!$C$13*Assumptions!$C$28^(CJ$5-1))*$O125)),0)</f>
        <v>0.87855074068128081</v>
      </c>
      <c r="CL125" s="93">
        <f>IF(AND($T125=1,CL$5&lt;=$H125),CK125*(1-AV125)*(1-MIN(1,MAX(Assumptions!$C$27,Assumptions!$C$13*Assumptions!$C$28^(CK$5-1))*$O125)),0)</f>
        <v>0.78753105939433299</v>
      </c>
      <c r="CM125" s="93">
        <f>IF(AND($T125=1,CM$5&lt;=$H125),CL125*(1-AW125)*(1-MIN(1,MAX(Assumptions!$C$27,Assumptions!$C$13*Assumptions!$C$28^(CL$5-1))*$O125)),0)</f>
        <v>0.71786206247033335</v>
      </c>
      <c r="CN125" s="93">
        <f>IF(AND($T125=1,CN$5&lt;=$H125),CM125*(1-AX125)*(1-MIN(1,MAX(Assumptions!$C$27,Assumptions!$C$13*Assumptions!$C$28^(CM$5-1))*$O125)),0)</f>
        <v>0.66356705789065373</v>
      </c>
      <c r="CO125" s="93">
        <f>IF(AND($T125=1,CO$5&lt;=$H125),CN125*(1-AY125)*(1-MIN(1,MAX(Assumptions!$C$27,Assumptions!$C$13*Assumptions!$C$28^(CN$5-1))*$O125)),0)</f>
        <v>0.62059003957371861</v>
      </c>
      <c r="CP125" s="93">
        <f>IF(AND($T125=1,CP$5&lt;=$H125),CO125*(1-AZ125)*(1-MIN(1,MAX(Assumptions!$C$27,Assumptions!$C$13*Assumptions!$C$28^(CO$5-1))*$O125)),0)</f>
        <v>0.58610342458545472</v>
      </c>
      <c r="CQ125" s="93">
        <f>IF(AND($T125=1,CQ$5&lt;=$H125),CP125*(1-BA125)*(1-MIN(1,MAX(Assumptions!$C$27,Assumptions!$C$13*Assumptions!$C$28^(CP$5-1))*$O125)),0)</f>
        <v>0.55808827990213805</v>
      </c>
      <c r="CR125" s="93">
        <f>IF(AND($T125=1,CR$5&lt;=$H125),CQ125*(1-BB125)*(1-MIN(1,MAX(Assumptions!$C$27,Assumptions!$C$13*Assumptions!$C$28^(CQ$5-1))*$O125)),0)</f>
        <v>0.53507188489410384</v>
      </c>
      <c r="CS125" s="93">
        <f>IF(AND($T125=1,CS$5&lt;=$H125),CR125*(1-BC125)*(1-MIN(1,MAX(Assumptions!$C$27,Assumptions!$C$13*Assumptions!$C$28^(CR$5-1))*$O125)),0)</f>
        <v>0.5159591053401994</v>
      </c>
      <c r="CT125" s="93">
        <f>IF(AND($T125=1,CT$5&lt;=$H125),CS125*(1-BD125)*(1-MIN(1,MAX(Assumptions!$C$27,Assumptions!$C$13*Assumptions!$C$28^(CS$5-1))*$O125)),0)</f>
        <v>0.4999213362999344</v>
      </c>
      <c r="CU125" s="93">
        <f>IF(AND($T125=1,CU$5&lt;=$H125),CT125*(1-BE125)*(1-MIN(1,MAX(Assumptions!$C$27,Assumptions!$C$13*Assumptions!$C$28^(CT$5-1))*$O125)),0)</f>
        <v>0.48632170150670673</v>
      </c>
      <c r="CV125" s="93">
        <f>IF(AND($T125=1,CV$5&lt;=$H125),CU125*(1-BF125)*(1-MIN(1,MAX(Assumptions!$C$27,Assumptions!$C$13*Assumptions!$C$28^(CU$5-1))*$O125)),0)</f>
        <v>0.47466363009286711</v>
      </c>
      <c r="CW125" s="93">
        <f>IF(AND($T125=1,CW$5&lt;=$H125),CV125*(1-BG125)*(1-MIN(1,MAX(Assumptions!$C$27,Assumptions!$C$13*Assumptions!$C$28^(CV$5-1))*$O125)),0)</f>
        <v>0.46316958289724325</v>
      </c>
      <c r="CX125" s="93">
        <f>IF(AND($T125=1,CX$5&lt;=$H125),CW125*(1-BH125)*(1-MIN(1,MAX(Assumptions!$C$27,Assumptions!$C$13*Assumptions!$C$28^(CW$5-1))*$O125)),0)</f>
        <v>0.45179126221594212</v>
      </c>
      <c r="CY125" s="93">
        <f>IF(AND($T125=1,CY$5&lt;=$H125),CX125*(1-BI125)*(1-MIN(1,MAX(Assumptions!$C$27,Assumptions!$C$13*Assumptions!$C$28^(CX$5-1))*$O125)),0)</f>
        <v>0.44052064474477626</v>
      </c>
      <c r="CZ125" s="93">
        <f>IF(AND($T125=1,CZ$5&lt;=$H125),CY125*(1-BJ125)*(1-MIN(1,MAX(Assumptions!$C$27,Assumptions!$C$13*Assumptions!$C$28^(CY$5-1))*$O125)),0)</f>
        <v>0.42934970388641347</v>
      </c>
      <c r="DA125" s="93">
        <f>IF(AND($T125=1,DA$5&lt;=$H125),CZ125*(1-BK125)*(1-MIN(1,MAX(Assumptions!$C$27,Assumptions!$C$13*Assumptions!$C$28^(CZ$5-1))*$O125)),0)</f>
        <v>0.41827042534816899</v>
      </c>
      <c r="DB125" s="93">
        <f>IF(AND($T125=1,DB$5&lt;=$H125),DA125*(1-BL125)*(1-MIN(1,MAX(Assumptions!$C$27,Assumptions!$C$13*Assumptions!$C$28^(DA$5-1))*$O125)),0)</f>
        <v>0.40727482662167441</v>
      </c>
      <c r="DC125" s="93">
        <f>IF(AND($T125=1,DC$5&lt;=$H125),DB125*(1-BM125)*(1-MIN(1,MAX(Assumptions!$C$27,Assumptions!$C$13*Assumptions!$C$28^(DB$5-1))*$O125)),0)</f>
        <v>0.39635498087111426</v>
      </c>
      <c r="DD125" s="93">
        <f>IF(AND($T125=1,DD$5&lt;=$H125),DC125*(1-BN125)*(1-MIN(1,MAX(Assumptions!$C$27,Assumptions!$C$13*Assumptions!$C$28^(DC$5-1))*$O125)),0)</f>
        <v>0</v>
      </c>
      <c r="DE125" s="93">
        <f>IF(AND($T125=1,DE$5&lt;=$H125),DD125*(1-BO125)*(1-MIN(1,MAX(Assumptions!$C$27,Assumptions!$C$13*Assumptions!$C$28^(DD$5-1))*$O125)),0)</f>
        <v>0</v>
      </c>
      <c r="DF125" s="93">
        <f>IF(AND($T125=1,DF$5&lt;=$H125),DE125*(1-BP125)*(1-MIN(1,MAX(Assumptions!$C$27,Assumptions!$C$13*Assumptions!$C$28^(DE$5-1))*$O125)),0)</f>
        <v>0</v>
      </c>
      <c r="DG125" s="93">
        <f>IF(AND($T125=1,DG$5&lt;=$H125),DF125*(1-BQ125)*(1-MIN(1,MAX(Assumptions!$C$27,Assumptions!$C$13*Assumptions!$C$28^(DF$5-1))*$O125)),0)</f>
        <v>0</v>
      </c>
      <c r="DH125" s="93">
        <f>IF(AND($T125=1,DH$5&lt;=$H125),DG125*(1-BR125)*(1-MIN(1,MAX(Assumptions!$C$27,Assumptions!$C$13*Assumptions!$C$28^(DG$5-1))*$O125)),0)</f>
        <v>0</v>
      </c>
      <c r="DI125" s="93">
        <f>IF(AND($T125=1,DI$5&lt;=$H125),DH125*(1-BS125)*(1-MIN(1,MAX(Assumptions!$C$27,Assumptions!$C$13*Assumptions!$C$28^(DH$5-1))*$O125)),0)</f>
        <v>0</v>
      </c>
      <c r="DJ125" s="93">
        <f>IF(AND($T125=1,DJ$5&lt;=$H125),DI125*(1-BT125)*(1-MIN(1,MAX(Assumptions!$C$27,Assumptions!$C$13*Assumptions!$C$28^(DI$5-1))*$O125)),0)</f>
        <v>0</v>
      </c>
      <c r="DK125" s="93">
        <f>IF(AND($T125=1,DK$5&lt;=$H125),DJ125*(1-BU125)*(1-MIN(1,MAX(Assumptions!$C$27,Assumptions!$C$13*Assumptions!$C$28^(DJ$5-1))*$O125)),0)</f>
        <v>0</v>
      </c>
      <c r="DL125" s="93">
        <f>IF(AND($T125=1,DL$5&lt;=$H125),DK125*(1-BV125)*(1-MIN(1,MAX(Assumptions!$C$27,Assumptions!$C$13*Assumptions!$C$28^(DK$5-1))*$O125)),0)</f>
        <v>0</v>
      </c>
      <c r="DM125" s="93">
        <f>IF(AND($T125=1,DM$5&lt;=$H125),DL125*(1-BW125)*(1-MIN(1,MAX(Assumptions!$C$27,Assumptions!$C$13*Assumptions!$C$28^(DL$5-1))*$O125)),0)</f>
        <v>0</v>
      </c>
      <c r="DN125" s="93">
        <f>IF(AND($T125=1,DN$5&lt;=$H125),DM125*(1-BX125)*(1-MIN(1,MAX(Assumptions!$C$27,Assumptions!$C$13*Assumptions!$C$28^(DM$5-1))*$O125)),0)</f>
        <v>0</v>
      </c>
      <c r="DO125" s="93">
        <f>IF(AND($T125=1,DO$5&lt;=$H125),DN125*(1-BY125)*(1-MIN(1,MAX(Assumptions!$C$27,Assumptions!$C$13*Assumptions!$C$28^(DN$5-1))*$O125)),0)</f>
        <v>0</v>
      </c>
      <c r="DP125" s="93">
        <f>IF(AND($T125=1,DP$5&lt;=$H125),DO125*(1-BZ125)*(1-MIN(1,MAX(Assumptions!$C$27,Assumptions!$C$13*Assumptions!$C$28^(DO$5-1))*$O125)),0)</f>
        <v>0</v>
      </c>
      <c r="DQ125" s="93">
        <f>IF(AND($T125=1,DQ$5&lt;=$H125),DP125*(1-CA125)*(1-MIN(1,MAX(Assumptions!$C$27,Assumptions!$C$13*Assumptions!$C$28^(DP$5-1))*$O125)),0)</f>
        <v>0</v>
      </c>
      <c r="DR125" s="93">
        <f>IF(AND($T125=1,DR$5&lt;=$H125),DQ125*(1-CB125)*(1-MIN(1,MAX(Assumptions!$C$27,Assumptions!$C$13*Assumptions!$C$28^(DQ$5-1))*$O125)),0)</f>
        <v>0</v>
      </c>
      <c r="DS125" s="93">
        <f>IF(AND($T125=1,DS$5&lt;=$H125),DR125*(1-CC125)*(1-MIN(1,MAX(Assumptions!$C$27,Assumptions!$C$13*Assumptions!$C$28^(DR$5-1))*$O125)),0)</f>
        <v>0</v>
      </c>
      <c r="DT125" s="93">
        <f>IF(AND($T125=1,DT$5&lt;=$H125),DS125*(1-CD125)*(1-MIN(1,MAX(Assumptions!$C$27,Assumptions!$C$13*Assumptions!$C$28^(DS$5-1))*$O125)),0)</f>
        <v>0</v>
      </c>
      <c r="DU125" s="93">
        <f>IF(AND($T125=1,DU$5&lt;=$H125),DT125*(1-CE125)*(1-MIN(1,MAX(Assumptions!$C$27,Assumptions!$C$13*Assumptions!$C$28^(DT$5-1))*$O125)),0)</f>
        <v>0</v>
      </c>
      <c r="DV125" s="93">
        <f>IF(AND($T125=1,DV$5&lt;=$H125),DU125*(1-CF125)*(1-MIN(1,MAX(Assumptions!$C$27,Assumptions!$C$13*Assumptions!$C$28^(DU$5-1))*$O125)),0)</f>
        <v>0</v>
      </c>
      <c r="DW125" s="94">
        <f>IF(AND($T125=1,DW$5&lt;=$H125),DV125*(1-CG125)*(1-MIN(1,MAX(Assumptions!$C$27,Assumptions!$C$13*Assumptions!$C$28^(DV$5-1))*$O125)),0)</f>
        <v>0</v>
      </c>
      <c r="DX125" s="26"/>
      <c r="DY125" s="399">
        <f>'Policy Data'!K99</f>
        <v>3</v>
      </c>
      <c r="DZ125" s="100">
        <f>'Policy Data'!L99</f>
        <v>0.90139999999999998</v>
      </c>
      <c r="EA125" s="100">
        <f>'Policy Data'!N99</f>
        <v>1.4840000000000001E-3</v>
      </c>
      <c r="EB125" s="93" cm="1">
        <f t="array" ref="EB125">IFERROR(DZ125*INDEX(Mortality!$B$4:$E$64,MATCH(D125+DY125-1,Mortality!$A$4:$A$64,0),U125)*V125,0)</f>
        <v>1.742080021652702E-3</v>
      </c>
      <c r="EC125" s="100">
        <f>'Policy Data'!O99</f>
        <v>0</v>
      </c>
      <c r="ED125" s="400">
        <f>'Policy Data'!Q99</f>
        <v>0</v>
      </c>
    </row>
    <row r="126" spans="1:134" x14ac:dyDescent="0.3">
      <c r="A126" s="399" t="str">
        <f>'Policy Data'!A100</f>
        <v>POL100096</v>
      </c>
      <c r="B126" s="26" t="s">
        <v>426</v>
      </c>
      <c r="C126" s="100" t="str">
        <f>'Policy Data'!B100</f>
        <v>Unit-Linked</v>
      </c>
      <c r="D126" s="100">
        <f>'Policy Data'!C100</f>
        <v>45</v>
      </c>
      <c r="E126" s="100" t="str">
        <f>'Policy Data'!D100</f>
        <v>Female</v>
      </c>
      <c r="F126" s="100" t="str">
        <f>'Policy Data'!E100</f>
        <v>Non-smoker</v>
      </c>
      <c r="G126" s="100" t="str">
        <f>'Policy Data'!F100</f>
        <v>Standard</v>
      </c>
      <c r="H126" s="100">
        <f>'Policy Data'!G100</f>
        <v>20</v>
      </c>
      <c r="I126" s="279">
        <f>'Policy Data'!H100</f>
        <v>500000</v>
      </c>
      <c r="J126" s="100" t="str">
        <f>'Policy Data'!I100</f>
        <v>Annual</v>
      </c>
      <c r="K126" s="100" t="str">
        <f>'Policy Data'!J100</f>
        <v>Broker</v>
      </c>
      <c r="L126" s="26" t="s">
        <v>389</v>
      </c>
      <c r="M126" s="106">
        <f>'Policy Data'!R100</f>
        <v>16168.5</v>
      </c>
      <c r="N126" s="415">
        <f>Assumptions!$C$21</f>
        <v>1</v>
      </c>
      <c r="O126" s="415">
        <f>Assumptions!$C$22</f>
        <v>1</v>
      </c>
      <c r="P126" s="415">
        <f>Assumptions!$C$23</f>
        <v>1</v>
      </c>
      <c r="Q126" s="416">
        <f>Assumptions!$C$24</f>
        <v>0</v>
      </c>
      <c r="R126" s="416">
        <f>Assumptions!$C$6+Assumptions!$C$25</f>
        <v>3.5000000000000003E-2</v>
      </c>
      <c r="S126" s="416">
        <f>Assumptions!$C$15</f>
        <v>1.1000000000000001E-3</v>
      </c>
      <c r="T126" s="26">
        <f t="shared" si="36"/>
        <v>0</v>
      </c>
      <c r="U126" s="26">
        <f t="shared" si="37"/>
        <v>1</v>
      </c>
      <c r="V126" s="389">
        <f>IF($G126="Preferred",Assumptions!$C$30,IF($G126="Rated",Assumptions!$C$31,1))</f>
        <v>1</v>
      </c>
      <c r="W126" s="390">
        <f>IF($K126="Direct",Assumptions!$C$32,IF($K126="Broker",Assumptions!$C$33,IF($K126="Bancassurance",Assumptions!$C$34,Assumptions!$C$11)))+$Q126</f>
        <v>0.25</v>
      </c>
      <c r="X126" s="390">
        <f>Assumptions!$C$12+$Q126</f>
        <v>0.05</v>
      </c>
      <c r="Y126" s="131">
        <f>MIN($I126,Assumptions!$C$14)</f>
        <v>500000</v>
      </c>
      <c r="Z126" s="131">
        <f>MAX($I126-Assumptions!$C$14,0)</f>
        <v>0</v>
      </c>
      <c r="AA126" s="389">
        <f t="shared" si="38"/>
        <v>0</v>
      </c>
      <c r="AB126" s="389">
        <f t="shared" si="39"/>
        <v>0</v>
      </c>
      <c r="AC126" s="389">
        <f>IF($T126=1,SUMPRODUCT($CJ126:$DW126,(1+Assumptions!$C$5)^($CJ$5:$DW$5-1),(1+$R126)^(-$CJ$5:$DW$5)),0)</f>
        <v>0</v>
      </c>
      <c r="AD126" s="389">
        <f t="shared" si="40"/>
        <v>0</v>
      </c>
      <c r="AE126" s="131">
        <f>IF($T126=1,$AB126*$Y126+(Assumptions!$C$9/(1+$R126)+Assumptions!$C$10*$AC126)*$P126+$S126*$Z126*$AA126,0)</f>
        <v>0</v>
      </c>
      <c r="AF126" s="131" t="str">
        <f>IF($T126=1,IF($AA126-$AD126-Assumptions!$C$16*$AA126&gt;0,$AE126/($AA126-$AD126-Assumptions!$C$16*$AA126)*IF($J126="Monthly",1+Assumptions!$C$29,1),"n.a."),"")</f>
        <v/>
      </c>
      <c r="AG126" s="131" t="str">
        <f t="shared" si="41"/>
        <v/>
      </c>
      <c r="AH126" s="131" t="str">
        <f t="shared" si="42"/>
        <v/>
      </c>
      <c r="AI126" s="131" t="str">
        <f t="shared" si="43"/>
        <v/>
      </c>
      <c r="AJ126" s="390" t="str">
        <f t="shared" si="44"/>
        <v/>
      </c>
      <c r="AK126" s="389" t="str">
        <f t="shared" si="45"/>
        <v/>
      </c>
      <c r="AL126" s="131" t="str">
        <f t="shared" si="46"/>
        <v/>
      </c>
      <c r="AM126" s="131" t="str">
        <f t="shared" si="47"/>
        <v/>
      </c>
      <c r="AN126" s="131" t="str">
        <f t="shared" si="48"/>
        <v/>
      </c>
      <c r="AO126" s="131" t="str">
        <f t="shared" si="49"/>
        <v/>
      </c>
      <c r="AP126" s="26" t="str">
        <f t="shared" si="50"/>
        <v>40-49</v>
      </c>
      <c r="AQ126" s="26" t="str">
        <f t="shared" si="51"/>
        <v>250k-500k</v>
      </c>
      <c r="AR126" s="26" t="str">
        <f>IF($T126=1,IF($AI126&lt;0,"Loss-making",IF($AJ126&lt;Assumptions!$C$16-0.00001,"Below target","At/above target")),"Excluded")</f>
        <v>Excluded</v>
      </c>
      <c r="AS126" s="103">
        <f t="shared" si="52"/>
        <v>9.9999999999999997E+98</v>
      </c>
      <c r="AT126" s="26"/>
      <c r="AU126" s="419">
        <f>IF(AND($T126=1,AU$5&lt;=$H126),INDEX(Mortality!$B$4:$E$64,MATCH($D126+AU$5-1,Mortality!$A$4:$A$64,0),$U126)*$V126*$N126,0)</f>
        <v>0</v>
      </c>
      <c r="AV126" s="93">
        <f>IF(AND($T126=1,AV$5&lt;=$H126),INDEX(Mortality!$B$4:$E$64,MATCH($D126+AV$5-1,Mortality!$A$4:$A$64,0),$U126)*$V126*$N126,0)</f>
        <v>0</v>
      </c>
      <c r="AW126" s="93">
        <f>IF(AND($T126=1,AW$5&lt;=$H126),INDEX(Mortality!$B$4:$E$64,MATCH($D126+AW$5-1,Mortality!$A$4:$A$64,0),$U126)*$V126*$N126,0)</f>
        <v>0</v>
      </c>
      <c r="AX126" s="93">
        <f>IF(AND($T126=1,AX$5&lt;=$H126),INDEX(Mortality!$B$4:$E$64,MATCH($D126+AX$5-1,Mortality!$A$4:$A$64,0),$U126)*$V126*$N126,0)</f>
        <v>0</v>
      </c>
      <c r="AY126" s="93">
        <f>IF(AND($T126=1,AY$5&lt;=$H126),INDEX(Mortality!$B$4:$E$64,MATCH($D126+AY$5-1,Mortality!$A$4:$A$64,0),$U126)*$V126*$N126,0)</f>
        <v>0</v>
      </c>
      <c r="AZ126" s="93">
        <f>IF(AND($T126=1,AZ$5&lt;=$H126),INDEX(Mortality!$B$4:$E$64,MATCH($D126+AZ$5-1,Mortality!$A$4:$A$64,0),$U126)*$V126*$N126,0)</f>
        <v>0</v>
      </c>
      <c r="BA126" s="93">
        <f>IF(AND($T126=1,BA$5&lt;=$H126),INDEX(Mortality!$B$4:$E$64,MATCH($D126+BA$5-1,Mortality!$A$4:$A$64,0),$U126)*$V126*$N126,0)</f>
        <v>0</v>
      </c>
      <c r="BB126" s="93">
        <f>IF(AND($T126=1,BB$5&lt;=$H126),INDEX(Mortality!$B$4:$E$64,MATCH($D126+BB$5-1,Mortality!$A$4:$A$64,0),$U126)*$V126*$N126,0)</f>
        <v>0</v>
      </c>
      <c r="BC126" s="93">
        <f>IF(AND($T126=1,BC$5&lt;=$H126),INDEX(Mortality!$B$4:$E$64,MATCH($D126+BC$5-1,Mortality!$A$4:$A$64,0),$U126)*$V126*$N126,0)</f>
        <v>0</v>
      </c>
      <c r="BD126" s="93">
        <f>IF(AND($T126=1,BD$5&lt;=$H126),INDEX(Mortality!$B$4:$E$64,MATCH($D126+BD$5-1,Mortality!$A$4:$A$64,0),$U126)*$V126*$N126,0)</f>
        <v>0</v>
      </c>
      <c r="BE126" s="93">
        <f>IF(AND($T126=1,BE$5&lt;=$H126),INDEX(Mortality!$B$4:$E$64,MATCH($D126+BE$5-1,Mortality!$A$4:$A$64,0),$U126)*$V126*$N126,0)</f>
        <v>0</v>
      </c>
      <c r="BF126" s="93">
        <f>IF(AND($T126=1,BF$5&lt;=$H126),INDEX(Mortality!$B$4:$E$64,MATCH($D126+BF$5-1,Mortality!$A$4:$A$64,0),$U126)*$V126*$N126,0)</f>
        <v>0</v>
      </c>
      <c r="BG126" s="93">
        <f>IF(AND($T126=1,BG$5&lt;=$H126),INDEX(Mortality!$B$4:$E$64,MATCH($D126+BG$5-1,Mortality!$A$4:$A$64,0),$U126)*$V126*$N126,0)</f>
        <v>0</v>
      </c>
      <c r="BH126" s="93">
        <f>IF(AND($T126=1,BH$5&lt;=$H126),INDEX(Mortality!$B$4:$E$64,MATCH($D126+BH$5-1,Mortality!$A$4:$A$64,0),$U126)*$V126*$N126,0)</f>
        <v>0</v>
      </c>
      <c r="BI126" s="93">
        <f>IF(AND($T126=1,BI$5&lt;=$H126),INDEX(Mortality!$B$4:$E$64,MATCH($D126+BI$5-1,Mortality!$A$4:$A$64,0),$U126)*$V126*$N126,0)</f>
        <v>0</v>
      </c>
      <c r="BJ126" s="93">
        <f>IF(AND($T126=1,BJ$5&lt;=$H126),INDEX(Mortality!$B$4:$E$64,MATCH($D126+BJ$5-1,Mortality!$A$4:$A$64,0),$U126)*$V126*$N126,0)</f>
        <v>0</v>
      </c>
      <c r="BK126" s="93">
        <f>IF(AND($T126=1,BK$5&lt;=$H126),INDEX(Mortality!$B$4:$E$64,MATCH($D126+BK$5-1,Mortality!$A$4:$A$64,0),$U126)*$V126*$N126,0)</f>
        <v>0</v>
      </c>
      <c r="BL126" s="93">
        <f>IF(AND($T126=1,BL$5&lt;=$H126),INDEX(Mortality!$B$4:$E$64,MATCH($D126+BL$5-1,Mortality!$A$4:$A$64,0),$U126)*$V126*$N126,0)</f>
        <v>0</v>
      </c>
      <c r="BM126" s="93">
        <f>IF(AND($T126=1,BM$5&lt;=$H126),INDEX(Mortality!$B$4:$E$64,MATCH($D126+BM$5-1,Mortality!$A$4:$A$64,0),$U126)*$V126*$N126,0)</f>
        <v>0</v>
      </c>
      <c r="BN126" s="93">
        <f>IF(AND($T126=1,BN$5&lt;=$H126),INDEX(Mortality!$B$4:$E$64,MATCH($D126+BN$5-1,Mortality!$A$4:$A$64,0),$U126)*$V126*$N126,0)</f>
        <v>0</v>
      </c>
      <c r="BO126" s="93">
        <f>IF(AND($T126=1,BO$5&lt;=$H126),INDEX(Mortality!$B$4:$E$64,MATCH($D126+BO$5-1,Mortality!$A$4:$A$64,0),$U126)*$V126*$N126,0)</f>
        <v>0</v>
      </c>
      <c r="BP126" s="93">
        <f>IF(AND($T126=1,BP$5&lt;=$H126),INDEX(Mortality!$B$4:$E$64,MATCH($D126+BP$5-1,Mortality!$A$4:$A$64,0),$U126)*$V126*$N126,0)</f>
        <v>0</v>
      </c>
      <c r="BQ126" s="93">
        <f>IF(AND($T126=1,BQ$5&lt;=$H126),INDEX(Mortality!$B$4:$E$64,MATCH($D126+BQ$5-1,Mortality!$A$4:$A$64,0),$U126)*$V126*$N126,0)</f>
        <v>0</v>
      </c>
      <c r="BR126" s="93">
        <f>IF(AND($T126=1,BR$5&lt;=$H126),INDEX(Mortality!$B$4:$E$64,MATCH($D126+BR$5-1,Mortality!$A$4:$A$64,0),$U126)*$V126*$N126,0)</f>
        <v>0</v>
      </c>
      <c r="BS126" s="93">
        <f>IF(AND($T126=1,BS$5&lt;=$H126),INDEX(Mortality!$B$4:$E$64,MATCH($D126+BS$5-1,Mortality!$A$4:$A$64,0),$U126)*$V126*$N126,0)</f>
        <v>0</v>
      </c>
      <c r="BT126" s="93">
        <f>IF(AND($T126=1,BT$5&lt;=$H126),INDEX(Mortality!$B$4:$E$64,MATCH($D126+BT$5-1,Mortality!$A$4:$A$64,0),$U126)*$V126*$N126,0)</f>
        <v>0</v>
      </c>
      <c r="BU126" s="93">
        <f>IF(AND($T126=1,BU$5&lt;=$H126),INDEX(Mortality!$B$4:$E$64,MATCH($D126+BU$5-1,Mortality!$A$4:$A$64,0),$U126)*$V126*$N126,0)</f>
        <v>0</v>
      </c>
      <c r="BV126" s="93">
        <f>IF(AND($T126=1,BV$5&lt;=$H126),INDEX(Mortality!$B$4:$E$64,MATCH($D126+BV$5-1,Mortality!$A$4:$A$64,0),$U126)*$V126*$N126,0)</f>
        <v>0</v>
      </c>
      <c r="BW126" s="93">
        <f>IF(AND($T126=1,BW$5&lt;=$H126),INDEX(Mortality!$B$4:$E$64,MATCH($D126+BW$5-1,Mortality!$A$4:$A$64,0),$U126)*$V126*$N126,0)</f>
        <v>0</v>
      </c>
      <c r="BX126" s="93">
        <f>IF(AND($T126=1,BX$5&lt;=$H126),INDEX(Mortality!$B$4:$E$64,MATCH($D126+BX$5-1,Mortality!$A$4:$A$64,0),$U126)*$V126*$N126,0)</f>
        <v>0</v>
      </c>
      <c r="BY126" s="93">
        <f>IF(AND($T126=1,BY$5&lt;=$H126),INDEX(Mortality!$B$4:$E$64,MATCH($D126+BY$5-1,Mortality!$A$4:$A$64,0),$U126)*$V126*$N126,0)</f>
        <v>0</v>
      </c>
      <c r="BZ126" s="93">
        <f>IF(AND($T126=1,BZ$5&lt;=$H126),INDEX(Mortality!$B$4:$E$64,MATCH($D126+BZ$5-1,Mortality!$A$4:$A$64,0),$U126)*$V126*$N126,0)</f>
        <v>0</v>
      </c>
      <c r="CA126" s="93">
        <f>IF(AND($T126=1,CA$5&lt;=$H126),INDEX(Mortality!$B$4:$E$64,MATCH($D126+CA$5-1,Mortality!$A$4:$A$64,0),$U126)*$V126*$N126,0)</f>
        <v>0</v>
      </c>
      <c r="CB126" s="93">
        <f>IF(AND($T126=1,CB$5&lt;=$H126),INDEX(Mortality!$B$4:$E$64,MATCH($D126+CB$5-1,Mortality!$A$4:$A$64,0),$U126)*$V126*$N126,0)</f>
        <v>0</v>
      </c>
      <c r="CC126" s="93">
        <f>IF(AND($T126=1,CC$5&lt;=$H126),INDEX(Mortality!$B$4:$E$64,MATCH($D126+CC$5-1,Mortality!$A$4:$A$64,0),$U126)*$V126*$N126,0)</f>
        <v>0</v>
      </c>
      <c r="CD126" s="93">
        <f>IF(AND($T126=1,CD$5&lt;=$H126),INDEX(Mortality!$B$4:$E$64,MATCH($D126+CD$5-1,Mortality!$A$4:$A$64,0),$U126)*$V126*$N126,0)</f>
        <v>0</v>
      </c>
      <c r="CE126" s="93">
        <f>IF(AND($T126=1,CE$5&lt;=$H126),INDEX(Mortality!$B$4:$E$64,MATCH($D126+CE$5-1,Mortality!$A$4:$A$64,0),$U126)*$V126*$N126,0)</f>
        <v>0</v>
      </c>
      <c r="CF126" s="93">
        <f>IF(AND($T126=1,CF$5&lt;=$H126),INDEX(Mortality!$B$4:$E$64,MATCH($D126+CF$5-1,Mortality!$A$4:$A$64,0),$U126)*$V126*$N126,0)</f>
        <v>0</v>
      </c>
      <c r="CG126" s="93">
        <f>IF(AND($T126=1,CG$5&lt;=$H126),INDEX(Mortality!$B$4:$E$64,MATCH($D126+CG$5-1,Mortality!$A$4:$A$64,0),$U126)*$V126*$N126,0)</f>
        <v>0</v>
      </c>
      <c r="CH126" s="94">
        <f>IF(AND($T126=1,CH$5&lt;=$H126),INDEX(Mortality!$B$4:$E$64,MATCH($D126+CH$5-1,Mortality!$A$4:$A$64,0),$U126)*$V126*$N126,0)</f>
        <v>0</v>
      </c>
      <c r="CI126" s="26"/>
      <c r="CJ126" s="419">
        <f t="shared" si="53"/>
        <v>0</v>
      </c>
      <c r="CK126" s="93">
        <f>IF(AND($T126=1,CK$5&lt;=$H126),CJ126*(1-AU126)*(1-MIN(1,MAX(Assumptions!$C$27,Assumptions!$C$13*Assumptions!$C$28^(CJ$5-1))*$O126)),0)</f>
        <v>0</v>
      </c>
      <c r="CL126" s="93">
        <f>IF(AND($T126=1,CL$5&lt;=$H126),CK126*(1-AV126)*(1-MIN(1,MAX(Assumptions!$C$27,Assumptions!$C$13*Assumptions!$C$28^(CK$5-1))*$O126)),0)</f>
        <v>0</v>
      </c>
      <c r="CM126" s="93">
        <f>IF(AND($T126=1,CM$5&lt;=$H126),CL126*(1-AW126)*(1-MIN(1,MAX(Assumptions!$C$27,Assumptions!$C$13*Assumptions!$C$28^(CL$5-1))*$O126)),0)</f>
        <v>0</v>
      </c>
      <c r="CN126" s="93">
        <f>IF(AND($T126=1,CN$5&lt;=$H126),CM126*(1-AX126)*(1-MIN(1,MAX(Assumptions!$C$27,Assumptions!$C$13*Assumptions!$C$28^(CM$5-1))*$O126)),0)</f>
        <v>0</v>
      </c>
      <c r="CO126" s="93">
        <f>IF(AND($T126=1,CO$5&lt;=$H126),CN126*(1-AY126)*(1-MIN(1,MAX(Assumptions!$C$27,Assumptions!$C$13*Assumptions!$C$28^(CN$5-1))*$O126)),0)</f>
        <v>0</v>
      </c>
      <c r="CP126" s="93">
        <f>IF(AND($T126=1,CP$5&lt;=$H126),CO126*(1-AZ126)*(1-MIN(1,MAX(Assumptions!$C$27,Assumptions!$C$13*Assumptions!$C$28^(CO$5-1))*$O126)),0)</f>
        <v>0</v>
      </c>
      <c r="CQ126" s="93">
        <f>IF(AND($T126=1,CQ$5&lt;=$H126),CP126*(1-BA126)*(1-MIN(1,MAX(Assumptions!$C$27,Assumptions!$C$13*Assumptions!$C$28^(CP$5-1))*$O126)),0)</f>
        <v>0</v>
      </c>
      <c r="CR126" s="93">
        <f>IF(AND($T126=1,CR$5&lt;=$H126),CQ126*(1-BB126)*(1-MIN(1,MAX(Assumptions!$C$27,Assumptions!$C$13*Assumptions!$C$28^(CQ$5-1))*$O126)),0)</f>
        <v>0</v>
      </c>
      <c r="CS126" s="93">
        <f>IF(AND($T126=1,CS$5&lt;=$H126),CR126*(1-BC126)*(1-MIN(1,MAX(Assumptions!$C$27,Assumptions!$C$13*Assumptions!$C$28^(CR$5-1))*$O126)),0)</f>
        <v>0</v>
      </c>
      <c r="CT126" s="93">
        <f>IF(AND($T126=1,CT$5&lt;=$H126),CS126*(1-BD126)*(1-MIN(1,MAX(Assumptions!$C$27,Assumptions!$C$13*Assumptions!$C$28^(CS$5-1))*$O126)),0)</f>
        <v>0</v>
      </c>
      <c r="CU126" s="93">
        <f>IF(AND($T126=1,CU$5&lt;=$H126),CT126*(1-BE126)*(1-MIN(1,MAX(Assumptions!$C$27,Assumptions!$C$13*Assumptions!$C$28^(CT$5-1))*$O126)),0)</f>
        <v>0</v>
      </c>
      <c r="CV126" s="93">
        <f>IF(AND($T126=1,CV$5&lt;=$H126),CU126*(1-BF126)*(1-MIN(1,MAX(Assumptions!$C$27,Assumptions!$C$13*Assumptions!$C$28^(CU$5-1))*$O126)),0)</f>
        <v>0</v>
      </c>
      <c r="CW126" s="93">
        <f>IF(AND($T126=1,CW$5&lt;=$H126),CV126*(1-BG126)*(1-MIN(1,MAX(Assumptions!$C$27,Assumptions!$C$13*Assumptions!$C$28^(CV$5-1))*$O126)),0)</f>
        <v>0</v>
      </c>
      <c r="CX126" s="93">
        <f>IF(AND($T126=1,CX$5&lt;=$H126),CW126*(1-BH126)*(1-MIN(1,MAX(Assumptions!$C$27,Assumptions!$C$13*Assumptions!$C$28^(CW$5-1))*$O126)),0)</f>
        <v>0</v>
      </c>
      <c r="CY126" s="93">
        <f>IF(AND($T126=1,CY$5&lt;=$H126),CX126*(1-BI126)*(1-MIN(1,MAX(Assumptions!$C$27,Assumptions!$C$13*Assumptions!$C$28^(CX$5-1))*$O126)),0)</f>
        <v>0</v>
      </c>
      <c r="CZ126" s="93">
        <f>IF(AND($T126=1,CZ$5&lt;=$H126),CY126*(1-BJ126)*(1-MIN(1,MAX(Assumptions!$C$27,Assumptions!$C$13*Assumptions!$C$28^(CY$5-1))*$O126)),0)</f>
        <v>0</v>
      </c>
      <c r="DA126" s="93">
        <f>IF(AND($T126=1,DA$5&lt;=$H126),CZ126*(1-BK126)*(1-MIN(1,MAX(Assumptions!$C$27,Assumptions!$C$13*Assumptions!$C$28^(CZ$5-1))*$O126)),0)</f>
        <v>0</v>
      </c>
      <c r="DB126" s="93">
        <f>IF(AND($T126=1,DB$5&lt;=$H126),DA126*(1-BL126)*(1-MIN(1,MAX(Assumptions!$C$27,Assumptions!$C$13*Assumptions!$C$28^(DA$5-1))*$O126)),0)</f>
        <v>0</v>
      </c>
      <c r="DC126" s="93">
        <f>IF(AND($T126=1,DC$5&lt;=$H126),DB126*(1-BM126)*(1-MIN(1,MAX(Assumptions!$C$27,Assumptions!$C$13*Assumptions!$C$28^(DB$5-1))*$O126)),0)</f>
        <v>0</v>
      </c>
      <c r="DD126" s="93">
        <f>IF(AND($T126=1,DD$5&lt;=$H126),DC126*(1-BN126)*(1-MIN(1,MAX(Assumptions!$C$27,Assumptions!$C$13*Assumptions!$C$28^(DC$5-1))*$O126)),0)</f>
        <v>0</v>
      </c>
      <c r="DE126" s="93">
        <f>IF(AND($T126=1,DE$5&lt;=$H126),DD126*(1-BO126)*(1-MIN(1,MAX(Assumptions!$C$27,Assumptions!$C$13*Assumptions!$C$28^(DD$5-1))*$O126)),0)</f>
        <v>0</v>
      </c>
      <c r="DF126" s="93">
        <f>IF(AND($T126=1,DF$5&lt;=$H126),DE126*(1-BP126)*(1-MIN(1,MAX(Assumptions!$C$27,Assumptions!$C$13*Assumptions!$C$28^(DE$5-1))*$O126)),0)</f>
        <v>0</v>
      </c>
      <c r="DG126" s="93">
        <f>IF(AND($T126=1,DG$5&lt;=$H126),DF126*(1-BQ126)*(1-MIN(1,MAX(Assumptions!$C$27,Assumptions!$C$13*Assumptions!$C$28^(DF$5-1))*$O126)),0)</f>
        <v>0</v>
      </c>
      <c r="DH126" s="93">
        <f>IF(AND($T126=1,DH$5&lt;=$H126),DG126*(1-BR126)*(1-MIN(1,MAX(Assumptions!$C$27,Assumptions!$C$13*Assumptions!$C$28^(DG$5-1))*$O126)),0)</f>
        <v>0</v>
      </c>
      <c r="DI126" s="93">
        <f>IF(AND($T126=1,DI$5&lt;=$H126),DH126*(1-BS126)*(1-MIN(1,MAX(Assumptions!$C$27,Assumptions!$C$13*Assumptions!$C$28^(DH$5-1))*$O126)),0)</f>
        <v>0</v>
      </c>
      <c r="DJ126" s="93">
        <f>IF(AND($T126=1,DJ$5&lt;=$H126),DI126*(1-BT126)*(1-MIN(1,MAX(Assumptions!$C$27,Assumptions!$C$13*Assumptions!$C$28^(DI$5-1))*$O126)),0)</f>
        <v>0</v>
      </c>
      <c r="DK126" s="93">
        <f>IF(AND($T126=1,DK$5&lt;=$H126),DJ126*(1-BU126)*(1-MIN(1,MAX(Assumptions!$C$27,Assumptions!$C$13*Assumptions!$C$28^(DJ$5-1))*$O126)),0)</f>
        <v>0</v>
      </c>
      <c r="DL126" s="93">
        <f>IF(AND($T126=1,DL$5&lt;=$H126),DK126*(1-BV126)*(1-MIN(1,MAX(Assumptions!$C$27,Assumptions!$C$13*Assumptions!$C$28^(DK$5-1))*$O126)),0)</f>
        <v>0</v>
      </c>
      <c r="DM126" s="93">
        <f>IF(AND($T126=1,DM$5&lt;=$H126),DL126*(1-BW126)*(1-MIN(1,MAX(Assumptions!$C$27,Assumptions!$C$13*Assumptions!$C$28^(DL$5-1))*$O126)),0)</f>
        <v>0</v>
      </c>
      <c r="DN126" s="93">
        <f>IF(AND($T126=1,DN$5&lt;=$H126),DM126*(1-BX126)*(1-MIN(1,MAX(Assumptions!$C$27,Assumptions!$C$13*Assumptions!$C$28^(DM$5-1))*$O126)),0)</f>
        <v>0</v>
      </c>
      <c r="DO126" s="93">
        <f>IF(AND($T126=1,DO$5&lt;=$H126),DN126*(1-BY126)*(1-MIN(1,MAX(Assumptions!$C$27,Assumptions!$C$13*Assumptions!$C$28^(DN$5-1))*$O126)),0)</f>
        <v>0</v>
      </c>
      <c r="DP126" s="93">
        <f>IF(AND($T126=1,DP$5&lt;=$H126),DO126*(1-BZ126)*(1-MIN(1,MAX(Assumptions!$C$27,Assumptions!$C$13*Assumptions!$C$28^(DO$5-1))*$O126)),0)</f>
        <v>0</v>
      </c>
      <c r="DQ126" s="93">
        <f>IF(AND($T126=1,DQ$5&lt;=$H126),DP126*(1-CA126)*(1-MIN(1,MAX(Assumptions!$C$27,Assumptions!$C$13*Assumptions!$C$28^(DP$5-1))*$O126)),0)</f>
        <v>0</v>
      </c>
      <c r="DR126" s="93">
        <f>IF(AND($T126=1,DR$5&lt;=$H126),DQ126*(1-CB126)*(1-MIN(1,MAX(Assumptions!$C$27,Assumptions!$C$13*Assumptions!$C$28^(DQ$5-1))*$O126)),0)</f>
        <v>0</v>
      </c>
      <c r="DS126" s="93">
        <f>IF(AND($T126=1,DS$5&lt;=$H126),DR126*(1-CC126)*(1-MIN(1,MAX(Assumptions!$C$27,Assumptions!$C$13*Assumptions!$C$28^(DR$5-1))*$O126)),0)</f>
        <v>0</v>
      </c>
      <c r="DT126" s="93">
        <f>IF(AND($T126=1,DT$5&lt;=$H126),DS126*(1-CD126)*(1-MIN(1,MAX(Assumptions!$C$27,Assumptions!$C$13*Assumptions!$C$28^(DS$5-1))*$O126)),0)</f>
        <v>0</v>
      </c>
      <c r="DU126" s="93">
        <f>IF(AND($T126=1,DU$5&lt;=$H126),DT126*(1-CE126)*(1-MIN(1,MAX(Assumptions!$C$27,Assumptions!$C$13*Assumptions!$C$28^(DT$5-1))*$O126)),0)</f>
        <v>0</v>
      </c>
      <c r="DV126" s="93">
        <f>IF(AND($T126=1,DV$5&lt;=$H126),DU126*(1-CF126)*(1-MIN(1,MAX(Assumptions!$C$27,Assumptions!$C$13*Assumptions!$C$28^(DU$5-1))*$O126)),0)</f>
        <v>0</v>
      </c>
      <c r="DW126" s="94">
        <f>IF(AND($T126=1,DW$5&lt;=$H126),DV126*(1-CG126)*(1-MIN(1,MAX(Assumptions!$C$27,Assumptions!$C$13*Assumptions!$C$28^(DV$5-1))*$O126)),0)</f>
        <v>0</v>
      </c>
      <c r="DX126" s="26"/>
      <c r="DY126" s="399">
        <f>'Policy Data'!K100</f>
        <v>1</v>
      </c>
      <c r="DZ126" s="100">
        <f>'Policy Data'!L100</f>
        <v>0.53449999999999998</v>
      </c>
      <c r="EA126" s="100">
        <f>'Policy Data'!N100</f>
        <v>6.7900000000000002E-4</v>
      </c>
      <c r="EB126" s="93" cm="1">
        <f t="array" ref="EB126">IFERROR(DZ126*INDEX(Mortality!$B$4:$E$64,MATCH(D126+DY126-1,Mortality!$A$4:$A$64,0),U126)*V126,0)</f>
        <v>6.787854544150272E-4</v>
      </c>
      <c r="EC126" s="100">
        <f>'Policy Data'!O100</f>
        <v>0</v>
      </c>
      <c r="ED126" s="400">
        <f>'Policy Data'!Q100</f>
        <v>0</v>
      </c>
    </row>
    <row r="127" spans="1:134" x14ac:dyDescent="0.3">
      <c r="A127" s="399" t="str">
        <f>'Policy Data'!A101</f>
        <v>POL100097</v>
      </c>
      <c r="B127" s="26" t="s">
        <v>426</v>
      </c>
      <c r="C127" s="100" t="str">
        <f>'Policy Data'!B101</f>
        <v>Term Life</v>
      </c>
      <c r="D127" s="100">
        <f>'Policy Data'!C101</f>
        <v>31</v>
      </c>
      <c r="E127" s="100" t="str">
        <f>'Policy Data'!D101</f>
        <v>Male</v>
      </c>
      <c r="F127" s="100" t="str">
        <f>'Policy Data'!E101</f>
        <v>Non-smoker</v>
      </c>
      <c r="G127" s="100" t="str">
        <f>'Policy Data'!F101</f>
        <v>Standard</v>
      </c>
      <c r="H127" s="100">
        <f>'Policy Data'!G101</f>
        <v>15</v>
      </c>
      <c r="I127" s="279">
        <f>'Policy Data'!H101</f>
        <v>250000</v>
      </c>
      <c r="J127" s="100" t="str">
        <f>'Policy Data'!I101</f>
        <v>Monthly</v>
      </c>
      <c r="K127" s="100" t="str">
        <f>'Policy Data'!J101</f>
        <v>Broker</v>
      </c>
      <c r="L127" s="26" t="s">
        <v>389</v>
      </c>
      <c r="M127" s="106">
        <f>'Policy Data'!R101</f>
        <v>1200</v>
      </c>
      <c r="N127" s="415">
        <f>Assumptions!$C$21</f>
        <v>1</v>
      </c>
      <c r="O127" s="415">
        <f>Assumptions!$C$22</f>
        <v>1</v>
      </c>
      <c r="P127" s="415">
        <f>Assumptions!$C$23</f>
        <v>1</v>
      </c>
      <c r="Q127" s="416">
        <f>Assumptions!$C$24</f>
        <v>0</v>
      </c>
      <c r="R127" s="416">
        <f>Assumptions!$C$6+Assumptions!$C$25</f>
        <v>3.5000000000000003E-2</v>
      </c>
      <c r="S127" s="416">
        <f>Assumptions!$C$15</f>
        <v>1.1000000000000001E-3</v>
      </c>
      <c r="T127" s="26">
        <f t="shared" si="36"/>
        <v>1</v>
      </c>
      <c r="U127" s="26">
        <f t="shared" si="37"/>
        <v>3</v>
      </c>
      <c r="V127" s="389">
        <f>IF($G127="Preferred",Assumptions!$C$30,IF($G127="Rated",Assumptions!$C$31,1))</f>
        <v>1</v>
      </c>
      <c r="W127" s="390">
        <f>IF($K127="Direct",Assumptions!$C$32,IF($K127="Broker",Assumptions!$C$33,IF($K127="Bancassurance",Assumptions!$C$34,Assumptions!$C$11)))+$Q127</f>
        <v>0.25</v>
      </c>
      <c r="X127" s="390">
        <f>Assumptions!$C$12+$Q127</f>
        <v>0.05</v>
      </c>
      <c r="Y127" s="131">
        <f>MIN($I127,Assumptions!$C$14)</f>
        <v>250000</v>
      </c>
      <c r="Z127" s="131">
        <f>MAX($I127-Assumptions!$C$14,0)</f>
        <v>0</v>
      </c>
      <c r="AA127" s="389">
        <f t="shared" si="38"/>
        <v>7.4127957210033069</v>
      </c>
      <c r="AB127" s="389">
        <f t="shared" si="39"/>
        <v>6.7764367691514182E-3</v>
      </c>
      <c r="AC127" s="389">
        <f>IF($T127=1,SUMPRODUCT($CJ127:$DW127,(1+Assumptions!$C$5)^($CJ$5:$DW$5-1),(1+$R127)^(-$CJ$5:$DW$5)),0)</f>
        <v>9.2772474770049449</v>
      </c>
      <c r="AD127" s="389">
        <f t="shared" si="40"/>
        <v>0.56387650102601072</v>
      </c>
      <c r="AE127" s="131">
        <f>IF($T127=1,$AB127*$Y127+(Assumptions!$C$9/(1+$R127)+Assumptions!$C$10*$AC127)*$P127+$S127*$Z127*$AA127,0)</f>
        <v>4604.6688546202467</v>
      </c>
      <c r="AF127" s="131">
        <f>IF($T127=1,IF($AA127-$AD127-Assumptions!$C$16*$AA127&gt;0,$AE127/($AA127-$AD127-Assumptions!$C$16*$AA127)*IF($J127="Monthly",1+Assumptions!$C$29,1),"n.a."),"")</f>
        <v>758.13428677466538</v>
      </c>
      <c r="AG127" s="131">
        <f t="shared" si="41"/>
        <v>1200</v>
      </c>
      <c r="AH127" s="131">
        <f t="shared" si="42"/>
        <v>8895.3548652039681</v>
      </c>
      <c r="AI127" s="131">
        <f t="shared" si="43"/>
        <v>3614.0342093525096</v>
      </c>
      <c r="AJ127" s="390">
        <f t="shared" si="44"/>
        <v>0.4062833089986726</v>
      </c>
      <c r="AK127" s="389">
        <f t="shared" si="45"/>
        <v>1.5828330428177391</v>
      </c>
      <c r="AL127" s="131">
        <f t="shared" si="46"/>
        <v>0</v>
      </c>
      <c r="AM127" s="131">
        <f t="shared" si="47"/>
        <v>0</v>
      </c>
      <c r="AN127" s="131">
        <f t="shared" si="48"/>
        <v>0</v>
      </c>
      <c r="AO127" s="131">
        <f t="shared" si="49"/>
        <v>3614.0342093525096</v>
      </c>
      <c r="AP127" s="26" t="str">
        <f t="shared" si="50"/>
        <v>30-39</v>
      </c>
      <c r="AQ127" s="26" t="str">
        <f t="shared" si="51"/>
        <v>Up to 250k</v>
      </c>
      <c r="AR127" s="26" t="str">
        <f>IF($T127=1,IF($AI127&lt;0,"Loss-making",IF($AJ127&lt;Assumptions!$C$16-0.00001,"Below target","At/above target")),"Excluded")</f>
        <v>At/above target</v>
      </c>
      <c r="AS127" s="103">
        <f t="shared" si="52"/>
        <v>3614.0343363525094</v>
      </c>
      <c r="AT127" s="26"/>
      <c r="AU127" s="419">
        <f>IF(AND($T127=1,AU$5&lt;=$H127),INDEX(Mortality!$B$4:$E$64,MATCH($D127+AU$5-1,Mortality!$A$4:$A$64,0),$U127)*$V127*$N127,0)</f>
        <v>5.6060105752179102E-4</v>
      </c>
      <c r="AV127" s="93">
        <f>IF(AND($T127=1,AV$5&lt;=$H127),INDEX(Mortality!$B$4:$E$64,MATCH($D127+AV$5-1,Mortality!$A$4:$A$64,0),$U127)*$V127*$N127,0)</f>
        <v>6.07291875738262E-4</v>
      </c>
      <c r="AW127" s="93">
        <f>IF(AND($T127=1,AW$5&lt;=$H127),INDEX(Mortality!$B$4:$E$64,MATCH($D127+AW$5-1,Mortality!$A$4:$A$64,0),$U127)*$V127*$N127,0)</f>
        <v>6.5787143529132705E-4</v>
      </c>
      <c r="AX127" s="93">
        <f>IF(AND($T127=1,AX$5&lt;=$H127),INDEX(Mortality!$B$4:$E$64,MATCH($D127+AX$5-1,Mortality!$A$4:$A$64,0),$U127)*$V127*$N127,0)</f>
        <v>7.1266361804385805E-4</v>
      </c>
      <c r="AY127" s="93">
        <f>IF(AND($T127=1,AY$5&lt;=$H127),INDEX(Mortality!$B$4:$E$64,MATCH($D127+AY$5-1,Mortality!$A$4:$A$64,0),$U127)*$V127*$N127,0)</f>
        <v>7.7201928102935699E-4</v>
      </c>
      <c r="AZ127" s="93">
        <f>IF(AND($T127=1,AZ$5&lt;=$H127),INDEX(Mortality!$B$4:$E$64,MATCH($D127+AZ$5-1,Mortality!$A$4:$A$64,0),$U127)*$V127*$N127,0)</f>
        <v>8.3631850313482196E-4</v>
      </c>
      <c r="BA127" s="93">
        <f>IF(AND($T127=1,BA$5&lt;=$H127),INDEX(Mortality!$B$4:$E$64,MATCH($D127+BA$5-1,Mortality!$A$4:$A$64,0),$U127)*$V127*$N127,0)</f>
        <v>9.0597301890323197E-4</v>
      </c>
      <c r="BB127" s="93">
        <f>IF(AND($T127=1,BB$5&lt;=$H127),INDEX(Mortality!$B$4:$E$64,MATCH($D127+BB$5-1,Mortality!$A$4:$A$64,0),$U127)*$V127*$N127,0)</f>
        <v>9.8142885504031189E-4</v>
      </c>
      <c r="BC127" s="93">
        <f>IF(AND($T127=1,BC$5&lt;=$H127),INDEX(Mortality!$B$4:$E$64,MATCH($D127+BC$5-1,Mortality!$A$4:$A$64,0),$U127)*$V127*$N127,0)</f>
        <v>1.06316918650821E-3</v>
      </c>
      <c r="BD127" s="93">
        <f>IF(AND($T127=1,BD$5&lt;=$H127),INDEX(Mortality!$B$4:$E$64,MATCH($D127+BD$5-1,Mortality!$A$4:$A$64,0),$U127)*$V127*$N127,0)</f>
        <v>1.1517174304948501E-3</v>
      </c>
      <c r="BE127" s="93">
        <f>IF(AND($T127=1,BE$5&lt;=$H127),INDEX(Mortality!$B$4:$E$64,MATCH($D127+BE$5-1,Mortality!$A$4:$A$64,0),$U127)*$V127*$N127,0)</f>
        <v>1.24764059807091E-3</v>
      </c>
      <c r="BF127" s="93">
        <f>IF(AND($T127=1,BF$5&lt;=$H127),INDEX(Mortality!$B$4:$E$64,MATCH($D127+BF$5-1,Mortality!$A$4:$A$64,0),$U127)*$V127*$N127,0)</f>
        <v>1.3515529249964601E-3</v>
      </c>
      <c r="BG127" s="93">
        <f>IF(AND($T127=1,BG$5&lt;=$H127),INDEX(Mortality!$B$4:$E$64,MATCH($D127+BG$5-1,Mortality!$A$4:$A$64,0),$U127)*$V127*$N127,0)</f>
        <v>1.4641198049269301E-3</v>
      </c>
      <c r="BH127" s="93">
        <f>IF(AND($T127=1,BH$5&lt;=$H127),INDEX(Mortality!$B$4:$E$64,MATCH($D127+BH$5-1,Mortality!$A$4:$A$64,0),$U127)*$V127*$N127,0)</f>
        <v>1.58606205020413E-3</v>
      </c>
      <c r="BI127" s="93">
        <f>IF(AND($T127=1,BI$5&lt;=$H127),INDEX(Mortality!$B$4:$E$64,MATCH($D127+BI$5-1,Mortality!$A$4:$A$64,0),$U127)*$V127*$N127,0)</f>
        <v>1.71816050751616E-3</v>
      </c>
      <c r="BJ127" s="93">
        <f>IF(AND($T127=1,BJ$5&lt;=$H127),INDEX(Mortality!$B$4:$E$64,MATCH($D127+BJ$5-1,Mortality!$A$4:$A$64,0),$U127)*$V127*$N127,0)</f>
        <v>0</v>
      </c>
      <c r="BK127" s="93">
        <f>IF(AND($T127=1,BK$5&lt;=$H127),INDEX(Mortality!$B$4:$E$64,MATCH($D127+BK$5-1,Mortality!$A$4:$A$64,0),$U127)*$V127*$N127,0)</f>
        <v>0</v>
      </c>
      <c r="BL127" s="93">
        <f>IF(AND($T127=1,BL$5&lt;=$H127),INDEX(Mortality!$B$4:$E$64,MATCH($D127+BL$5-1,Mortality!$A$4:$A$64,0),$U127)*$V127*$N127,0)</f>
        <v>0</v>
      </c>
      <c r="BM127" s="93">
        <f>IF(AND($T127=1,BM$5&lt;=$H127),INDEX(Mortality!$B$4:$E$64,MATCH($D127+BM$5-1,Mortality!$A$4:$A$64,0),$U127)*$V127*$N127,0)</f>
        <v>0</v>
      </c>
      <c r="BN127" s="93">
        <f>IF(AND($T127=1,BN$5&lt;=$H127),INDEX(Mortality!$B$4:$E$64,MATCH($D127+BN$5-1,Mortality!$A$4:$A$64,0),$U127)*$V127*$N127,0)</f>
        <v>0</v>
      </c>
      <c r="BO127" s="93">
        <f>IF(AND($T127=1,BO$5&lt;=$H127),INDEX(Mortality!$B$4:$E$64,MATCH($D127+BO$5-1,Mortality!$A$4:$A$64,0),$U127)*$V127*$N127,0)</f>
        <v>0</v>
      </c>
      <c r="BP127" s="93">
        <f>IF(AND($T127=1,BP$5&lt;=$H127),INDEX(Mortality!$B$4:$E$64,MATCH($D127+BP$5-1,Mortality!$A$4:$A$64,0),$U127)*$V127*$N127,0)</f>
        <v>0</v>
      </c>
      <c r="BQ127" s="93">
        <f>IF(AND($T127=1,BQ$5&lt;=$H127),INDEX(Mortality!$B$4:$E$64,MATCH($D127+BQ$5-1,Mortality!$A$4:$A$64,0),$U127)*$V127*$N127,0)</f>
        <v>0</v>
      </c>
      <c r="BR127" s="93">
        <f>IF(AND($T127=1,BR$5&lt;=$H127),INDEX(Mortality!$B$4:$E$64,MATCH($D127+BR$5-1,Mortality!$A$4:$A$64,0),$U127)*$V127*$N127,0)</f>
        <v>0</v>
      </c>
      <c r="BS127" s="93">
        <f>IF(AND($T127=1,BS$5&lt;=$H127),INDEX(Mortality!$B$4:$E$64,MATCH($D127+BS$5-1,Mortality!$A$4:$A$64,0),$U127)*$V127*$N127,0)</f>
        <v>0</v>
      </c>
      <c r="BT127" s="93">
        <f>IF(AND($T127=1,BT$5&lt;=$H127),INDEX(Mortality!$B$4:$E$64,MATCH($D127+BT$5-1,Mortality!$A$4:$A$64,0),$U127)*$V127*$N127,0)</f>
        <v>0</v>
      </c>
      <c r="BU127" s="93">
        <f>IF(AND($T127=1,BU$5&lt;=$H127),INDEX(Mortality!$B$4:$E$64,MATCH($D127+BU$5-1,Mortality!$A$4:$A$64,0),$U127)*$V127*$N127,0)</f>
        <v>0</v>
      </c>
      <c r="BV127" s="93">
        <f>IF(AND($T127=1,BV$5&lt;=$H127),INDEX(Mortality!$B$4:$E$64,MATCH($D127+BV$5-1,Mortality!$A$4:$A$64,0),$U127)*$V127*$N127,0)</f>
        <v>0</v>
      </c>
      <c r="BW127" s="93">
        <f>IF(AND($T127=1,BW$5&lt;=$H127),INDEX(Mortality!$B$4:$E$64,MATCH($D127+BW$5-1,Mortality!$A$4:$A$64,0),$U127)*$V127*$N127,0)</f>
        <v>0</v>
      </c>
      <c r="BX127" s="93">
        <f>IF(AND($T127=1,BX$5&lt;=$H127),INDEX(Mortality!$B$4:$E$64,MATCH($D127+BX$5-1,Mortality!$A$4:$A$64,0),$U127)*$V127*$N127,0)</f>
        <v>0</v>
      </c>
      <c r="BY127" s="93">
        <f>IF(AND($T127=1,BY$5&lt;=$H127),INDEX(Mortality!$B$4:$E$64,MATCH($D127+BY$5-1,Mortality!$A$4:$A$64,0),$U127)*$V127*$N127,0)</f>
        <v>0</v>
      </c>
      <c r="BZ127" s="93">
        <f>IF(AND($T127=1,BZ$5&lt;=$H127),INDEX(Mortality!$B$4:$E$64,MATCH($D127+BZ$5-1,Mortality!$A$4:$A$64,0),$U127)*$V127*$N127,0)</f>
        <v>0</v>
      </c>
      <c r="CA127" s="93">
        <f>IF(AND($T127=1,CA$5&lt;=$H127),INDEX(Mortality!$B$4:$E$64,MATCH($D127+CA$5-1,Mortality!$A$4:$A$64,0),$U127)*$V127*$N127,0)</f>
        <v>0</v>
      </c>
      <c r="CB127" s="93">
        <f>IF(AND($T127=1,CB$5&lt;=$H127),INDEX(Mortality!$B$4:$E$64,MATCH($D127+CB$5-1,Mortality!$A$4:$A$64,0),$U127)*$V127*$N127,0)</f>
        <v>0</v>
      </c>
      <c r="CC127" s="93">
        <f>IF(AND($T127=1,CC$5&lt;=$H127),INDEX(Mortality!$B$4:$E$64,MATCH($D127+CC$5-1,Mortality!$A$4:$A$64,0),$U127)*$V127*$N127,0)</f>
        <v>0</v>
      </c>
      <c r="CD127" s="93">
        <f>IF(AND($T127=1,CD$5&lt;=$H127),INDEX(Mortality!$B$4:$E$64,MATCH($D127+CD$5-1,Mortality!$A$4:$A$64,0),$U127)*$V127*$N127,0)</f>
        <v>0</v>
      </c>
      <c r="CE127" s="93">
        <f>IF(AND($T127=1,CE$5&lt;=$H127),INDEX(Mortality!$B$4:$E$64,MATCH($D127+CE$5-1,Mortality!$A$4:$A$64,0),$U127)*$V127*$N127,0)</f>
        <v>0</v>
      </c>
      <c r="CF127" s="93">
        <f>IF(AND($T127=1,CF$5&lt;=$H127),INDEX(Mortality!$B$4:$E$64,MATCH($D127+CF$5-1,Mortality!$A$4:$A$64,0),$U127)*$V127*$N127,0)</f>
        <v>0</v>
      </c>
      <c r="CG127" s="93">
        <f>IF(AND($T127=1,CG$5&lt;=$H127),INDEX(Mortality!$B$4:$E$64,MATCH($D127+CG$5-1,Mortality!$A$4:$A$64,0),$U127)*$V127*$N127,0)</f>
        <v>0</v>
      </c>
      <c r="CH127" s="94">
        <f>IF(AND($T127=1,CH$5&lt;=$H127),INDEX(Mortality!$B$4:$E$64,MATCH($D127+CH$5-1,Mortality!$A$4:$A$64,0),$U127)*$V127*$N127,0)</f>
        <v>0</v>
      </c>
      <c r="CI127" s="26"/>
      <c r="CJ127" s="419">
        <f t="shared" si="53"/>
        <v>1</v>
      </c>
      <c r="CK127" s="93">
        <f>IF(AND($T127=1,CK$5&lt;=$H127),CJ127*(1-AU127)*(1-MIN(1,MAX(Assumptions!$C$27,Assumptions!$C$13*Assumptions!$C$28^(CJ$5-1))*$O127)),0)</f>
        <v>0.87950667106938085</v>
      </c>
      <c r="CL127" s="93">
        <f>IF(AND($T127=1,CL$5&lt;=$H127),CK127*(1-AV127)*(1-MIN(1,MAX(Assumptions!$C$27,Assumptions!$C$13*Assumptions!$C$28^(CK$5-1))*$O127)),0)</f>
        <v>0.78931735332441777</v>
      </c>
      <c r="CM127" s="93">
        <f>IF(AND($T127=1,CM$5&lt;=$H127),CL127*(1-AW127)*(1-MIN(1,MAX(Assumptions!$C$27,Assumptions!$C$13*Assumptions!$C$28^(CL$5-1))*$O127)),0)</f>
        <v>0.72040929010284838</v>
      </c>
      <c r="CN127" s="93">
        <f>IF(AND($T127=1,CN$5&lt;=$H127),CM127*(1-AX127)*(1-MIN(1,MAX(Assumptions!$C$27,Assumptions!$C$13*Assumptions!$C$28^(CM$5-1))*$O127)),0)</f>
        <v>0.66684315369001279</v>
      </c>
      <c r="CO127" s="93">
        <f>IF(AND($T127=1,CO$5&lt;=$H127),CN127*(1-AY127)*(1-MIN(1,MAX(Assumptions!$C$27,Assumptions!$C$13*Assumptions!$C$28^(CN$5-1))*$O127)),0)</f>
        <v>0.62458903108450836</v>
      </c>
      <c r="CP127" s="93">
        <f>IF(AND($T127=1,CP$5&lt;=$H127),CO127*(1-AZ127)*(1-MIN(1,MAX(Assumptions!$C$27,Assumptions!$C$13*Assumptions!$C$28^(CO$5-1))*$O127)),0)</f>
        <v>0.59083847179636495</v>
      </c>
      <c r="CQ127" s="93">
        <f>IF(AND($T127=1,CQ$5&lt;=$H127),CP127*(1-BA127)*(1-MIN(1,MAX(Assumptions!$C$27,Assumptions!$C$13*Assumptions!$C$28^(CP$5-1))*$O127)),0)</f>
        <v>0.5635872807075275</v>
      </c>
      <c r="CR127" s="93">
        <f>IF(AND($T127=1,CR$5&lt;=$H127),CQ127*(1-BB127)*(1-MIN(1,MAX(Assumptions!$C$27,Assumptions!$C$13*Assumptions!$C$28^(CQ$5-1))*$O127)),0)</f>
        <v>0.54137465769833815</v>
      </c>
      <c r="CS127" s="93">
        <f>IF(AND($T127=1,CS$5&lt;=$H127),CR127*(1-BC127)*(1-MIN(1,MAX(Assumptions!$C$27,Assumptions!$C$13*Assumptions!$C$28^(CR$5-1))*$O127)),0)</f>
        <v>0.52311556965554518</v>
      </c>
      <c r="CT127" s="93">
        <f>IF(AND($T127=1,CT$5&lt;=$H127),CS127*(1-BD127)*(1-MIN(1,MAX(Assumptions!$C$27,Assumptions!$C$13*Assumptions!$C$28^(CS$5-1))*$O127)),0)</f>
        <v>0.50799034202620819</v>
      </c>
      <c r="CU127" s="93">
        <f>IF(AND($T127=1,CU$5&lt;=$H127),CT127*(1-BE127)*(1-MIN(1,MAX(Assumptions!$C$27,Assumptions!$C$13*Assumptions!$C$28^(CT$5-1))*$O127)),0)</f>
        <v>0.49537029036105973</v>
      </c>
      <c r="CV127" s="93">
        <f>IF(AND($T127=1,CV$5&lt;=$H127),CU127*(1-BF127)*(1-MIN(1,MAX(Assumptions!$C$27,Assumptions!$C$13*Assumptions!$C$28^(CU$5-1))*$O127)),0)</f>
        <v>0.48476659139123951</v>
      </c>
      <c r="CW127" s="93">
        <f>IF(AND($T127=1,CW$5&lt;=$H127),CV127*(1-BG127)*(1-MIN(1,MAX(Assumptions!$C$27,Assumptions!$C$13*Assumptions!$C$28^(CV$5-1))*$O127)),0)</f>
        <v>0.47437569832353638</v>
      </c>
      <c r="CX127" s="93">
        <f>IF(AND($T127=1,CX$5&lt;=$H127),CW127*(1-BH127)*(1-MIN(1,MAX(Assumptions!$C$27,Assumptions!$C$13*Assumptions!$C$28^(CW$5-1))*$O127)),0)</f>
        <v>0.46415084285026853</v>
      </c>
      <c r="CY127" s="93">
        <f>IF(AND($T127=1,CY$5&lt;=$H127),CX127*(1-BI127)*(1-MIN(1,MAX(Assumptions!$C$27,Assumptions!$C$13*Assumptions!$C$28^(CX$5-1))*$O127)),0)</f>
        <v>0</v>
      </c>
      <c r="CZ127" s="93">
        <f>IF(AND($T127=1,CZ$5&lt;=$H127),CY127*(1-BJ127)*(1-MIN(1,MAX(Assumptions!$C$27,Assumptions!$C$13*Assumptions!$C$28^(CY$5-1))*$O127)),0)</f>
        <v>0</v>
      </c>
      <c r="DA127" s="93">
        <f>IF(AND($T127=1,DA$5&lt;=$H127),CZ127*(1-BK127)*(1-MIN(1,MAX(Assumptions!$C$27,Assumptions!$C$13*Assumptions!$C$28^(CZ$5-1))*$O127)),0)</f>
        <v>0</v>
      </c>
      <c r="DB127" s="93">
        <f>IF(AND($T127=1,DB$5&lt;=$H127),DA127*(1-BL127)*(1-MIN(1,MAX(Assumptions!$C$27,Assumptions!$C$13*Assumptions!$C$28^(DA$5-1))*$O127)),0)</f>
        <v>0</v>
      </c>
      <c r="DC127" s="93">
        <f>IF(AND($T127=1,DC$5&lt;=$H127),DB127*(1-BM127)*(1-MIN(1,MAX(Assumptions!$C$27,Assumptions!$C$13*Assumptions!$C$28^(DB$5-1))*$O127)),0)</f>
        <v>0</v>
      </c>
      <c r="DD127" s="93">
        <f>IF(AND($T127=1,DD$5&lt;=$H127),DC127*(1-BN127)*(1-MIN(1,MAX(Assumptions!$C$27,Assumptions!$C$13*Assumptions!$C$28^(DC$5-1))*$O127)),0)</f>
        <v>0</v>
      </c>
      <c r="DE127" s="93">
        <f>IF(AND($T127=1,DE$5&lt;=$H127),DD127*(1-BO127)*(1-MIN(1,MAX(Assumptions!$C$27,Assumptions!$C$13*Assumptions!$C$28^(DD$5-1))*$O127)),0)</f>
        <v>0</v>
      </c>
      <c r="DF127" s="93">
        <f>IF(AND($T127=1,DF$5&lt;=$H127),DE127*(1-BP127)*(1-MIN(1,MAX(Assumptions!$C$27,Assumptions!$C$13*Assumptions!$C$28^(DE$5-1))*$O127)),0)</f>
        <v>0</v>
      </c>
      <c r="DG127" s="93">
        <f>IF(AND($T127=1,DG$5&lt;=$H127),DF127*(1-BQ127)*(1-MIN(1,MAX(Assumptions!$C$27,Assumptions!$C$13*Assumptions!$C$28^(DF$5-1))*$O127)),0)</f>
        <v>0</v>
      </c>
      <c r="DH127" s="93">
        <f>IF(AND($T127=1,DH$5&lt;=$H127),DG127*(1-BR127)*(1-MIN(1,MAX(Assumptions!$C$27,Assumptions!$C$13*Assumptions!$C$28^(DG$5-1))*$O127)),0)</f>
        <v>0</v>
      </c>
      <c r="DI127" s="93">
        <f>IF(AND($T127=1,DI$5&lt;=$H127),DH127*(1-BS127)*(1-MIN(1,MAX(Assumptions!$C$27,Assumptions!$C$13*Assumptions!$C$28^(DH$5-1))*$O127)),0)</f>
        <v>0</v>
      </c>
      <c r="DJ127" s="93">
        <f>IF(AND($T127=1,DJ$5&lt;=$H127),DI127*(1-BT127)*(1-MIN(1,MAX(Assumptions!$C$27,Assumptions!$C$13*Assumptions!$C$28^(DI$5-1))*$O127)),0)</f>
        <v>0</v>
      </c>
      <c r="DK127" s="93">
        <f>IF(AND($T127=1,DK$5&lt;=$H127),DJ127*(1-BU127)*(1-MIN(1,MAX(Assumptions!$C$27,Assumptions!$C$13*Assumptions!$C$28^(DJ$5-1))*$O127)),0)</f>
        <v>0</v>
      </c>
      <c r="DL127" s="93">
        <f>IF(AND($T127=1,DL$5&lt;=$H127),DK127*(1-BV127)*(1-MIN(1,MAX(Assumptions!$C$27,Assumptions!$C$13*Assumptions!$C$28^(DK$5-1))*$O127)),0)</f>
        <v>0</v>
      </c>
      <c r="DM127" s="93">
        <f>IF(AND($T127=1,DM$5&lt;=$H127),DL127*(1-BW127)*(1-MIN(1,MAX(Assumptions!$C$27,Assumptions!$C$13*Assumptions!$C$28^(DL$5-1))*$O127)),0)</f>
        <v>0</v>
      </c>
      <c r="DN127" s="93">
        <f>IF(AND($T127=1,DN$5&lt;=$H127),DM127*(1-BX127)*(1-MIN(1,MAX(Assumptions!$C$27,Assumptions!$C$13*Assumptions!$C$28^(DM$5-1))*$O127)),0)</f>
        <v>0</v>
      </c>
      <c r="DO127" s="93">
        <f>IF(AND($T127=1,DO$5&lt;=$H127),DN127*(1-BY127)*(1-MIN(1,MAX(Assumptions!$C$27,Assumptions!$C$13*Assumptions!$C$28^(DN$5-1))*$O127)),0)</f>
        <v>0</v>
      </c>
      <c r="DP127" s="93">
        <f>IF(AND($T127=1,DP$5&lt;=$H127),DO127*(1-BZ127)*(1-MIN(1,MAX(Assumptions!$C$27,Assumptions!$C$13*Assumptions!$C$28^(DO$5-1))*$O127)),0)</f>
        <v>0</v>
      </c>
      <c r="DQ127" s="93">
        <f>IF(AND($T127=1,DQ$5&lt;=$H127),DP127*(1-CA127)*(1-MIN(1,MAX(Assumptions!$C$27,Assumptions!$C$13*Assumptions!$C$28^(DP$5-1))*$O127)),0)</f>
        <v>0</v>
      </c>
      <c r="DR127" s="93">
        <f>IF(AND($T127=1,DR$5&lt;=$H127),DQ127*(1-CB127)*(1-MIN(1,MAX(Assumptions!$C$27,Assumptions!$C$13*Assumptions!$C$28^(DQ$5-1))*$O127)),0)</f>
        <v>0</v>
      </c>
      <c r="DS127" s="93">
        <f>IF(AND($T127=1,DS$5&lt;=$H127),DR127*(1-CC127)*(1-MIN(1,MAX(Assumptions!$C$27,Assumptions!$C$13*Assumptions!$C$28^(DR$5-1))*$O127)),0)</f>
        <v>0</v>
      </c>
      <c r="DT127" s="93">
        <f>IF(AND($T127=1,DT$5&lt;=$H127),DS127*(1-CD127)*(1-MIN(1,MAX(Assumptions!$C$27,Assumptions!$C$13*Assumptions!$C$28^(DS$5-1))*$O127)),0)</f>
        <v>0</v>
      </c>
      <c r="DU127" s="93">
        <f>IF(AND($T127=1,DU$5&lt;=$H127),DT127*(1-CE127)*(1-MIN(1,MAX(Assumptions!$C$27,Assumptions!$C$13*Assumptions!$C$28^(DT$5-1))*$O127)),0)</f>
        <v>0</v>
      </c>
      <c r="DV127" s="93">
        <f>IF(AND($T127=1,DV$5&lt;=$H127),DU127*(1-CF127)*(1-MIN(1,MAX(Assumptions!$C$27,Assumptions!$C$13*Assumptions!$C$28^(DU$5-1))*$O127)),0)</f>
        <v>0</v>
      </c>
      <c r="DW127" s="94">
        <f>IF(AND($T127=1,DW$5&lt;=$H127),DV127*(1-CG127)*(1-MIN(1,MAX(Assumptions!$C$27,Assumptions!$C$13*Assumptions!$C$28^(DV$5-1))*$O127)),0)</f>
        <v>0</v>
      </c>
      <c r="DX127" s="26"/>
      <c r="DY127" s="399">
        <f>'Policy Data'!K101</f>
        <v>5</v>
      </c>
      <c r="DZ127" s="100">
        <f>'Policy Data'!L101</f>
        <v>0.75160000000000005</v>
      </c>
      <c r="EA127" s="100">
        <f>'Policy Data'!N101</f>
        <v>4.2099999999999999E-4</v>
      </c>
      <c r="EB127" s="93" cm="1">
        <f t="array" ref="EB127">IFERROR(DZ127*INDEX(Mortality!$B$4:$E$64,MATCH(D127+DY127-1,Mortality!$A$4:$A$64,0),U127)*V127,0)</f>
        <v>5.802496916216648E-4</v>
      </c>
      <c r="EC127" s="100">
        <f>'Policy Data'!O101</f>
        <v>0</v>
      </c>
      <c r="ED127" s="400">
        <f>'Policy Data'!Q101</f>
        <v>0</v>
      </c>
    </row>
    <row r="128" spans="1:134" x14ac:dyDescent="0.3">
      <c r="A128" s="399" t="str">
        <f>'Policy Data'!A102</f>
        <v>POL100098</v>
      </c>
      <c r="B128" s="26" t="s">
        <v>426</v>
      </c>
      <c r="C128" s="100" t="str">
        <f>'Policy Data'!B102</f>
        <v>Term Life</v>
      </c>
      <c r="D128" s="100">
        <f>'Policy Data'!C102</f>
        <v>64</v>
      </c>
      <c r="E128" s="100" t="str">
        <f>'Policy Data'!D102</f>
        <v>Male</v>
      </c>
      <c r="F128" s="100" t="str">
        <f>'Policy Data'!E102</f>
        <v>Non-smoker</v>
      </c>
      <c r="G128" s="100" t="str">
        <f>'Policy Data'!F102</f>
        <v>Standard</v>
      </c>
      <c r="H128" s="100">
        <f>'Policy Data'!G102</f>
        <v>15</v>
      </c>
      <c r="I128" s="279">
        <f>'Policy Data'!H102</f>
        <v>1000000</v>
      </c>
      <c r="J128" s="100" t="str">
        <f>'Policy Data'!I102</f>
        <v>Monthly</v>
      </c>
      <c r="K128" s="100" t="str">
        <f>'Policy Data'!J102</f>
        <v>Broker</v>
      </c>
      <c r="L128" s="26" t="s">
        <v>389</v>
      </c>
      <c r="M128" s="106">
        <f>'Policy Data'!R102</f>
        <v>10299.86</v>
      </c>
      <c r="N128" s="415">
        <f>Assumptions!$C$21</f>
        <v>1</v>
      </c>
      <c r="O128" s="415">
        <f>Assumptions!$C$22</f>
        <v>1</v>
      </c>
      <c r="P128" s="415">
        <f>Assumptions!$C$23</f>
        <v>1</v>
      </c>
      <c r="Q128" s="416">
        <f>Assumptions!$C$24</f>
        <v>0</v>
      </c>
      <c r="R128" s="416">
        <f>Assumptions!$C$6+Assumptions!$C$25</f>
        <v>3.5000000000000003E-2</v>
      </c>
      <c r="S128" s="416">
        <f>Assumptions!$C$15</f>
        <v>1.1000000000000001E-3</v>
      </c>
      <c r="T128" s="26">
        <f t="shared" si="36"/>
        <v>1</v>
      </c>
      <c r="U128" s="26">
        <f t="shared" si="37"/>
        <v>3</v>
      </c>
      <c r="V128" s="389">
        <f>IF($G128="Preferred",Assumptions!$C$30,IF($G128="Rated",Assumptions!$C$31,1))</f>
        <v>1</v>
      </c>
      <c r="W128" s="390">
        <f>IF($K128="Direct",Assumptions!$C$32,IF($K128="Broker",Assumptions!$C$33,IF($K128="Bancassurance",Assumptions!$C$34,Assumptions!$C$11)))+$Q128</f>
        <v>0.25</v>
      </c>
      <c r="X128" s="390">
        <f>Assumptions!$C$12+$Q128</f>
        <v>0.05</v>
      </c>
      <c r="Y128" s="131">
        <f>MIN($I128,Assumptions!$C$14)</f>
        <v>500000</v>
      </c>
      <c r="Z128" s="131">
        <f>MAX($I128-Assumptions!$C$14,0)</f>
        <v>500000</v>
      </c>
      <c r="AA128" s="389">
        <f t="shared" si="38"/>
        <v>7.021396222224273</v>
      </c>
      <c r="AB128" s="389">
        <f t="shared" si="39"/>
        <v>8.8266296464290031E-2</v>
      </c>
      <c r="AC128" s="389">
        <f>IF($T128=1,SUMPRODUCT($CJ128:$DW128,(1+Assumptions!$C$5)^($CJ$5:$DW$5-1),(1+$R128)^(-$CJ$5:$DW$5)),0)</f>
        <v>8.70953452529203</v>
      </c>
      <c r="AD128" s="389">
        <f t="shared" si="40"/>
        <v>0.54430652608705909</v>
      </c>
      <c r="AE128" s="131">
        <f>IF($T128=1,$AB128*$Y128+(Assumptions!$C$9/(1+$R128)+Assumptions!$C$10*$AC128)*$P128+$S128*$Z128*$AA128,0)</f>
        <v>50780.57896732392</v>
      </c>
      <c r="AF128" s="131">
        <f>IF($T128=1,IF($AA128-$AD128-Assumptions!$C$16*$AA128&gt;0,$AE128/($AA128-$AD128-Assumptions!$C$16*$AA128)*IF($J128="Monthly",1+Assumptions!$C$29,1),"n.a."),"")</f>
        <v>8842.0378800561884</v>
      </c>
      <c r="AG128" s="131">
        <f t="shared" si="41"/>
        <v>10299.86</v>
      </c>
      <c r="AH128" s="131">
        <f t="shared" si="42"/>
        <v>72319.398093438911</v>
      </c>
      <c r="AI128" s="131">
        <f t="shared" si="43"/>
        <v>15932.538110331923</v>
      </c>
      <c r="AJ128" s="390">
        <f t="shared" si="44"/>
        <v>0.22030794683532334</v>
      </c>
      <c r="AK128" s="389">
        <f t="shared" si="45"/>
        <v>1.1648739962121208</v>
      </c>
      <c r="AL128" s="131">
        <f t="shared" si="46"/>
        <v>44133.148232145017</v>
      </c>
      <c r="AM128" s="131">
        <f t="shared" si="47"/>
        <v>3861.7679222233501</v>
      </c>
      <c r="AN128" s="131">
        <f t="shared" si="48"/>
        <v>40271.380309921668</v>
      </c>
      <c r="AO128" s="131">
        <f t="shared" si="49"/>
        <v>-24338.842199589744</v>
      </c>
      <c r="AP128" s="26" t="str">
        <f t="shared" si="50"/>
        <v>60+</v>
      </c>
      <c r="AQ128" s="26" t="str">
        <f t="shared" si="51"/>
        <v>500k-1m</v>
      </c>
      <c r="AR128" s="26" t="str">
        <f>IF($T128=1,IF($AI128&lt;0,"Loss-making",IF($AJ128&lt;Assumptions!$C$16-0.00001,"Below target","At/above target")),"Excluded")</f>
        <v>At/above target</v>
      </c>
      <c r="AS128" s="103">
        <f t="shared" si="52"/>
        <v>15932.538238331923</v>
      </c>
      <c r="AT128" s="26"/>
      <c r="AU128" s="419">
        <f>IF(AND($T128=1,AU$5&lt;=$H128),INDEX(Mortality!$B$4:$E$64,MATCH($D128+AU$5-1,Mortality!$A$4:$A$64,0),$U128)*$V128*$N128,0)</f>
        <v>7.8558167617636399E-3</v>
      </c>
      <c r="AV128" s="93">
        <f>IF(AND($T128=1,AV$5&lt;=$H128),INDEX(Mortality!$B$4:$E$64,MATCH($D128+AV$5-1,Mortality!$A$4:$A$64,0),$U128)*$V128*$N128,0)</f>
        <v>8.5101047040427192E-3</v>
      </c>
      <c r="AW128" s="93">
        <f>IF(AND($T128=1,AW$5&lt;=$H128),INDEX(Mortality!$B$4:$E$64,MATCH($D128+AW$5-1,Mortality!$A$4:$A$64,0),$U128)*$V128*$N128,0)</f>
        <v>9.2188863704493092E-3</v>
      </c>
      <c r="AX128" s="93">
        <f>IF(AND($T128=1,AX$5&lt;=$H128),INDEX(Mortality!$B$4:$E$64,MATCH($D128+AX$5-1,Mortality!$A$4:$A$64,0),$U128)*$V128*$N128,0)</f>
        <v>9.9867003834726801E-3</v>
      </c>
      <c r="AY128" s="93">
        <f>IF(AND($T128=1,AY$5&lt;=$H128),INDEX(Mortality!$B$4:$E$64,MATCH($D128+AY$5-1,Mortality!$A$4:$A$64,0),$U128)*$V128*$N128,0)</f>
        <v>1.08184633741605E-2</v>
      </c>
      <c r="AZ128" s="93">
        <f>IF(AND($T128=1,AZ$5&lt;=$H128),INDEX(Mortality!$B$4:$E$64,MATCH($D128+AZ$5-1,Mortality!$A$4:$A$64,0),$U128)*$V128*$N128,0)</f>
        <v>1.1719501465343301E-2</v>
      </c>
      <c r="BA128" s="93">
        <f>IF(AND($T128=1,BA$5&lt;=$H128),INDEX(Mortality!$B$4:$E$64,MATCH($D128+BA$5-1,Mortality!$A$4:$A$64,0),$U128)*$V128*$N128,0)</f>
        <v>1.2695584377004099E-2</v>
      </c>
      <c r="BB128" s="93">
        <f>IF(AND($T128=1,BB$5&lt;=$H128),INDEX(Mortality!$B$4:$E$64,MATCH($D128+BB$5-1,Mortality!$A$4:$A$64,0),$U128)*$V128*$N128,0)</f>
        <v>1.3752962372184801E-2</v>
      </c>
      <c r="BC128" s="93">
        <f>IF(AND($T128=1,BC$5&lt;=$H128),INDEX(Mortality!$B$4:$E$64,MATCH($D128+BC$5-1,Mortality!$A$4:$A$64,0),$U128)*$V128*$N128,0)</f>
        <v>1.4898406280008099E-2</v>
      </c>
      <c r="BD128" s="93">
        <f>IF(AND($T128=1,BD$5&lt;=$H128),INDEX(Mortality!$B$4:$E$64,MATCH($D128+BD$5-1,Mortality!$A$4:$A$64,0),$U128)*$V128*$N128,0)</f>
        <v>1.61392508521001E-2</v>
      </c>
      <c r="BE128" s="93">
        <f>IF(AND($T128=1,BE$5&lt;=$H128),INDEX(Mortality!$B$4:$E$64,MATCH($D128+BE$5-1,Mortality!$A$4:$A$64,0),$U128)*$V128*$N128,0)</f>
        <v>1.7483441730042099E-2</v>
      </c>
      <c r="BF128" s="93">
        <f>IF(AND($T128=1,BF$5&lt;=$H128),INDEX(Mortality!$B$4:$E$64,MATCH($D128+BF$5-1,Mortality!$A$4:$A$64,0),$U128)*$V128*$N128,0)</f>
        <v>1.8939586324603401E-2</v>
      </c>
      <c r="BG128" s="93">
        <f>IF(AND($T128=1,BG$5&lt;=$H128),INDEX(Mortality!$B$4:$E$64,MATCH($D128+BG$5-1,Mortality!$A$4:$A$64,0),$U128)*$V128*$N128,0)</f>
        <v>2.0517008932556299E-2</v>
      </c>
      <c r="BH128" s="93">
        <f>IF(AND($T128=1,BH$5&lt;=$H128),INDEX(Mortality!$B$4:$E$64,MATCH($D128+BH$5-1,Mortality!$A$4:$A$64,0),$U128)*$V128*$N128,0)</f>
        <v>2.22258104440099E-2</v>
      </c>
      <c r="BI128" s="93">
        <f>IF(AND($T128=1,BI$5&lt;=$H128),INDEX(Mortality!$B$4:$E$64,MATCH($D128+BI$5-1,Mortality!$A$4:$A$64,0),$U128)*$V128*$N128,0)</f>
        <v>2.40769330225909E-2</v>
      </c>
      <c r="BJ128" s="93">
        <f>IF(AND($T128=1,BJ$5&lt;=$H128),INDEX(Mortality!$B$4:$E$64,MATCH($D128+BJ$5-1,Mortality!$A$4:$A$64,0),$U128)*$V128*$N128,0)</f>
        <v>0</v>
      </c>
      <c r="BK128" s="93">
        <f>IF(AND($T128=1,BK$5&lt;=$H128),INDEX(Mortality!$B$4:$E$64,MATCH($D128+BK$5-1,Mortality!$A$4:$A$64,0),$U128)*$V128*$N128,0)</f>
        <v>0</v>
      </c>
      <c r="BL128" s="93">
        <f>IF(AND($T128=1,BL$5&lt;=$H128),INDEX(Mortality!$B$4:$E$64,MATCH($D128+BL$5-1,Mortality!$A$4:$A$64,0),$U128)*$V128*$N128,0)</f>
        <v>0</v>
      </c>
      <c r="BM128" s="93">
        <f>IF(AND($T128=1,BM$5&lt;=$H128),INDEX(Mortality!$B$4:$E$64,MATCH($D128+BM$5-1,Mortality!$A$4:$A$64,0),$U128)*$V128*$N128,0)</f>
        <v>0</v>
      </c>
      <c r="BN128" s="93">
        <f>IF(AND($T128=1,BN$5&lt;=$H128),INDEX(Mortality!$B$4:$E$64,MATCH($D128+BN$5-1,Mortality!$A$4:$A$64,0),$U128)*$V128*$N128,0)</f>
        <v>0</v>
      </c>
      <c r="BO128" s="93">
        <f>IF(AND($T128=1,BO$5&lt;=$H128),INDEX(Mortality!$B$4:$E$64,MATCH($D128+BO$5-1,Mortality!$A$4:$A$64,0),$U128)*$V128*$N128,0)</f>
        <v>0</v>
      </c>
      <c r="BP128" s="93">
        <f>IF(AND($T128=1,BP$5&lt;=$H128),INDEX(Mortality!$B$4:$E$64,MATCH($D128+BP$5-1,Mortality!$A$4:$A$64,0),$U128)*$V128*$N128,0)</f>
        <v>0</v>
      </c>
      <c r="BQ128" s="93">
        <f>IF(AND($T128=1,BQ$5&lt;=$H128),INDEX(Mortality!$B$4:$E$64,MATCH($D128+BQ$5-1,Mortality!$A$4:$A$64,0),$U128)*$V128*$N128,0)</f>
        <v>0</v>
      </c>
      <c r="BR128" s="93">
        <f>IF(AND($T128=1,BR$5&lt;=$H128),INDEX(Mortality!$B$4:$E$64,MATCH($D128+BR$5-1,Mortality!$A$4:$A$64,0),$U128)*$V128*$N128,0)</f>
        <v>0</v>
      </c>
      <c r="BS128" s="93">
        <f>IF(AND($T128=1,BS$5&lt;=$H128),INDEX(Mortality!$B$4:$E$64,MATCH($D128+BS$5-1,Mortality!$A$4:$A$64,0),$U128)*$V128*$N128,0)</f>
        <v>0</v>
      </c>
      <c r="BT128" s="93">
        <f>IF(AND($T128=1,BT$5&lt;=$H128),INDEX(Mortality!$B$4:$E$64,MATCH($D128+BT$5-1,Mortality!$A$4:$A$64,0),$U128)*$V128*$N128,0)</f>
        <v>0</v>
      </c>
      <c r="BU128" s="93">
        <f>IF(AND($T128=1,BU$5&lt;=$H128),INDEX(Mortality!$B$4:$E$64,MATCH($D128+BU$5-1,Mortality!$A$4:$A$64,0),$U128)*$V128*$N128,0)</f>
        <v>0</v>
      </c>
      <c r="BV128" s="93">
        <f>IF(AND($T128=1,BV$5&lt;=$H128),INDEX(Mortality!$B$4:$E$64,MATCH($D128+BV$5-1,Mortality!$A$4:$A$64,0),$U128)*$V128*$N128,0)</f>
        <v>0</v>
      </c>
      <c r="BW128" s="93">
        <f>IF(AND($T128=1,BW$5&lt;=$H128),INDEX(Mortality!$B$4:$E$64,MATCH($D128+BW$5-1,Mortality!$A$4:$A$64,0),$U128)*$V128*$N128,0)</f>
        <v>0</v>
      </c>
      <c r="BX128" s="93">
        <f>IF(AND($T128=1,BX$5&lt;=$H128),INDEX(Mortality!$B$4:$E$64,MATCH($D128+BX$5-1,Mortality!$A$4:$A$64,0),$U128)*$V128*$N128,0)</f>
        <v>0</v>
      </c>
      <c r="BY128" s="93">
        <f>IF(AND($T128=1,BY$5&lt;=$H128),INDEX(Mortality!$B$4:$E$64,MATCH($D128+BY$5-1,Mortality!$A$4:$A$64,0),$U128)*$V128*$N128,0)</f>
        <v>0</v>
      </c>
      <c r="BZ128" s="93">
        <f>IF(AND($T128=1,BZ$5&lt;=$H128),INDEX(Mortality!$B$4:$E$64,MATCH($D128+BZ$5-1,Mortality!$A$4:$A$64,0),$U128)*$V128*$N128,0)</f>
        <v>0</v>
      </c>
      <c r="CA128" s="93">
        <f>IF(AND($T128=1,CA$5&lt;=$H128),INDEX(Mortality!$B$4:$E$64,MATCH($D128+CA$5-1,Mortality!$A$4:$A$64,0),$U128)*$V128*$N128,0)</f>
        <v>0</v>
      </c>
      <c r="CB128" s="93">
        <f>IF(AND($T128=1,CB$5&lt;=$H128),INDEX(Mortality!$B$4:$E$64,MATCH($D128+CB$5-1,Mortality!$A$4:$A$64,0),$U128)*$V128*$N128,0)</f>
        <v>0</v>
      </c>
      <c r="CC128" s="93">
        <f>IF(AND($T128=1,CC$5&lt;=$H128),INDEX(Mortality!$B$4:$E$64,MATCH($D128+CC$5-1,Mortality!$A$4:$A$64,0),$U128)*$V128*$N128,0)</f>
        <v>0</v>
      </c>
      <c r="CD128" s="93">
        <f>IF(AND($T128=1,CD$5&lt;=$H128),INDEX(Mortality!$B$4:$E$64,MATCH($D128+CD$5-1,Mortality!$A$4:$A$64,0),$U128)*$V128*$N128,0)</f>
        <v>0</v>
      </c>
      <c r="CE128" s="93">
        <f>IF(AND($T128=1,CE$5&lt;=$H128),INDEX(Mortality!$B$4:$E$64,MATCH($D128+CE$5-1,Mortality!$A$4:$A$64,0),$U128)*$V128*$N128,0)</f>
        <v>0</v>
      </c>
      <c r="CF128" s="93">
        <f>IF(AND($T128=1,CF$5&lt;=$H128),INDEX(Mortality!$B$4:$E$64,MATCH($D128+CF$5-1,Mortality!$A$4:$A$64,0),$U128)*$V128*$N128,0)</f>
        <v>0</v>
      </c>
      <c r="CG128" s="93">
        <f>IF(AND($T128=1,CG$5&lt;=$H128),INDEX(Mortality!$B$4:$E$64,MATCH($D128+CG$5-1,Mortality!$A$4:$A$64,0),$U128)*$V128*$N128,0)</f>
        <v>0</v>
      </c>
      <c r="CH128" s="94">
        <f>IF(AND($T128=1,CH$5&lt;=$H128),INDEX(Mortality!$B$4:$E$64,MATCH($D128+CH$5-1,Mortality!$A$4:$A$64,0),$U128)*$V128*$N128,0)</f>
        <v>0</v>
      </c>
      <c r="CI128" s="26"/>
      <c r="CJ128" s="419">
        <f t="shared" si="53"/>
        <v>1</v>
      </c>
      <c r="CK128" s="93">
        <f>IF(AND($T128=1,CK$5&lt;=$H128),CJ128*(1-AU128)*(1-MIN(1,MAX(Assumptions!$C$27,Assumptions!$C$13*Assumptions!$C$28^(CJ$5-1))*$O128)),0)</f>
        <v>0.87308688124964806</v>
      </c>
      <c r="CL128" s="93">
        <f>IF(AND($T128=1,CL$5&lt;=$H128),CK128*(1-AV128)*(1-MIN(1,MAX(Assumptions!$C$27,Assumptions!$C$13*Assumptions!$C$28^(CK$5-1))*$O128)),0)</f>
        <v>0.77735982478608978</v>
      </c>
      <c r="CM128" s="93">
        <f>IF(AND($T128=1,CM$5&lt;=$H128),CL128*(1-AW128)*(1-MIN(1,MAX(Assumptions!$C$27,Assumptions!$C$13*Assumptions!$C$28^(CL$5-1))*$O128)),0)</f>
        <v>0.70341766226066038</v>
      </c>
      <c r="CN128" s="93">
        <f>IF(AND($T128=1,CN$5&lt;=$H128),CM128*(1-AX128)*(1-MIN(1,MAX(Assumptions!$C$27,Assumptions!$C$13*Assumptions!$C$28^(CM$5-1))*$O128)),0)</f>
        <v>0.6450721704187532</v>
      </c>
      <c r="CO128" s="93">
        <f>IF(AND($T128=1,CO$5&lt;=$H128),CN128*(1-AY128)*(1-MIN(1,MAX(Assumptions!$C$27,Assumptions!$C$13*Assumptions!$C$28^(CN$5-1))*$O128)),0)</f>
        <v>0.5981228265638826</v>
      </c>
      <c r="CP128" s="93">
        <f>IF(AND($T128=1,CP$5&lt;=$H128),CO128*(1-AZ128)*(1-MIN(1,MAX(Assumptions!$C$27,Assumptions!$C$13*Assumptions!$C$28^(CO$5-1))*$O128)),0)</f>
        <v>0.55963952114760041</v>
      </c>
      <c r="CQ128" s="93">
        <f>IF(AND($T128=1,CQ$5&lt;=$H128),CP128*(1-BA128)*(1-MIN(1,MAX(Assumptions!$C$27,Assumptions!$C$13*Assumptions!$C$28^(CP$5-1))*$O128)),0)</f>
        <v>0.52752799291569974</v>
      </c>
      <c r="CR128" s="93">
        <f>IF(AND($T128=1,CR$5&lt;=$H128),CQ128*(1-BB128)*(1-MIN(1,MAX(Assumptions!$C$27,Assumptions!$C$13*Assumptions!$C$28^(CQ$5-1))*$O128)),0)</f>
        <v>0.50025841093150658</v>
      </c>
      <c r="CS128" s="93">
        <f>IF(AND($T128=1,CS$5&lt;=$H128),CR128*(1-BC128)*(1-MIN(1,MAX(Assumptions!$C$27,Assumptions!$C$13*Assumptions!$C$28^(CR$5-1))*$O128)),0)</f>
        <v>0.47669118299514868</v>
      </c>
      <c r="CT128" s="93">
        <f>IF(AND($T128=1,CT$5&lt;=$H128),CS128*(1-BD128)*(1-MIN(1,MAX(Assumptions!$C$27,Assumptions!$C$13*Assumptions!$C$28^(CS$5-1))*$O128)),0)</f>
        <v>0.45596240536882532</v>
      </c>
      <c r="CU128" s="93">
        <f>IF(AND($T128=1,CU$5&lt;=$H128),CT128*(1-BE128)*(1-MIN(1,MAX(Assumptions!$C$27,Assumptions!$C$13*Assumptions!$C$28^(CT$5-1))*$O128)),0)</f>
        <v>0.43740686700803694</v>
      </c>
      <c r="CV128" s="93">
        <f>IF(AND($T128=1,CV$5&lt;=$H128),CU128*(1-BF128)*(1-MIN(1,MAX(Assumptions!$C$27,Assumptions!$C$13*Assumptions!$C$28^(CU$5-1))*$O128)),0)</f>
        <v>0.42050527051768816</v>
      </c>
      <c r="CW128" s="93">
        <f>IF(AND($T128=1,CW$5&lt;=$H128),CV128*(1-BG128)*(1-MIN(1,MAX(Assumptions!$C$27,Assumptions!$C$13*Assumptions!$C$28^(CV$5-1))*$O128)),0)</f>
        <v>0.40364020492376396</v>
      </c>
      <c r="CX128" s="93">
        <f>IF(AND($T128=1,CX$5&lt;=$H128),CW128*(1-BH128)*(1-MIN(1,MAX(Assumptions!$C$27,Assumptions!$C$13*Assumptions!$C$28^(CW$5-1))*$O128)),0)</f>
        <v>0.38677559475671613</v>
      </c>
      <c r="CY128" s="93">
        <f>IF(AND($T128=1,CY$5&lt;=$H128),CX128*(1-BI128)*(1-MIN(1,MAX(Assumptions!$C$27,Assumptions!$C$13*Assumptions!$C$28^(CX$5-1))*$O128)),0)</f>
        <v>0</v>
      </c>
      <c r="CZ128" s="93">
        <f>IF(AND($T128=1,CZ$5&lt;=$H128),CY128*(1-BJ128)*(1-MIN(1,MAX(Assumptions!$C$27,Assumptions!$C$13*Assumptions!$C$28^(CY$5-1))*$O128)),0)</f>
        <v>0</v>
      </c>
      <c r="DA128" s="93">
        <f>IF(AND($T128=1,DA$5&lt;=$H128),CZ128*(1-BK128)*(1-MIN(1,MAX(Assumptions!$C$27,Assumptions!$C$13*Assumptions!$C$28^(CZ$5-1))*$O128)),0)</f>
        <v>0</v>
      </c>
      <c r="DB128" s="93">
        <f>IF(AND($T128=1,DB$5&lt;=$H128),DA128*(1-BL128)*(1-MIN(1,MAX(Assumptions!$C$27,Assumptions!$C$13*Assumptions!$C$28^(DA$5-1))*$O128)),0)</f>
        <v>0</v>
      </c>
      <c r="DC128" s="93">
        <f>IF(AND($T128=1,DC$5&lt;=$H128),DB128*(1-BM128)*(1-MIN(1,MAX(Assumptions!$C$27,Assumptions!$C$13*Assumptions!$C$28^(DB$5-1))*$O128)),0)</f>
        <v>0</v>
      </c>
      <c r="DD128" s="93">
        <f>IF(AND($T128=1,DD$5&lt;=$H128),DC128*(1-BN128)*(1-MIN(1,MAX(Assumptions!$C$27,Assumptions!$C$13*Assumptions!$C$28^(DC$5-1))*$O128)),0)</f>
        <v>0</v>
      </c>
      <c r="DE128" s="93">
        <f>IF(AND($T128=1,DE$5&lt;=$H128),DD128*(1-BO128)*(1-MIN(1,MAX(Assumptions!$C$27,Assumptions!$C$13*Assumptions!$C$28^(DD$5-1))*$O128)),0)</f>
        <v>0</v>
      </c>
      <c r="DF128" s="93">
        <f>IF(AND($T128=1,DF$5&lt;=$H128),DE128*(1-BP128)*(1-MIN(1,MAX(Assumptions!$C$27,Assumptions!$C$13*Assumptions!$C$28^(DE$5-1))*$O128)),0)</f>
        <v>0</v>
      </c>
      <c r="DG128" s="93">
        <f>IF(AND($T128=1,DG$5&lt;=$H128),DF128*(1-BQ128)*(1-MIN(1,MAX(Assumptions!$C$27,Assumptions!$C$13*Assumptions!$C$28^(DF$5-1))*$O128)),0)</f>
        <v>0</v>
      </c>
      <c r="DH128" s="93">
        <f>IF(AND($T128=1,DH$5&lt;=$H128),DG128*(1-BR128)*(1-MIN(1,MAX(Assumptions!$C$27,Assumptions!$C$13*Assumptions!$C$28^(DG$5-1))*$O128)),0)</f>
        <v>0</v>
      </c>
      <c r="DI128" s="93">
        <f>IF(AND($T128=1,DI$5&lt;=$H128),DH128*(1-BS128)*(1-MIN(1,MAX(Assumptions!$C$27,Assumptions!$C$13*Assumptions!$C$28^(DH$5-1))*$O128)),0)</f>
        <v>0</v>
      </c>
      <c r="DJ128" s="93">
        <f>IF(AND($T128=1,DJ$5&lt;=$H128),DI128*(1-BT128)*(1-MIN(1,MAX(Assumptions!$C$27,Assumptions!$C$13*Assumptions!$C$28^(DI$5-1))*$O128)),0)</f>
        <v>0</v>
      </c>
      <c r="DK128" s="93">
        <f>IF(AND($T128=1,DK$5&lt;=$H128),DJ128*(1-BU128)*(1-MIN(1,MAX(Assumptions!$C$27,Assumptions!$C$13*Assumptions!$C$28^(DJ$5-1))*$O128)),0)</f>
        <v>0</v>
      </c>
      <c r="DL128" s="93">
        <f>IF(AND($T128=1,DL$5&lt;=$H128),DK128*(1-BV128)*(1-MIN(1,MAX(Assumptions!$C$27,Assumptions!$C$13*Assumptions!$C$28^(DK$5-1))*$O128)),0)</f>
        <v>0</v>
      </c>
      <c r="DM128" s="93">
        <f>IF(AND($T128=1,DM$5&lt;=$H128),DL128*(1-BW128)*(1-MIN(1,MAX(Assumptions!$C$27,Assumptions!$C$13*Assumptions!$C$28^(DL$5-1))*$O128)),0)</f>
        <v>0</v>
      </c>
      <c r="DN128" s="93">
        <f>IF(AND($T128=1,DN$5&lt;=$H128),DM128*(1-BX128)*(1-MIN(1,MAX(Assumptions!$C$27,Assumptions!$C$13*Assumptions!$C$28^(DM$5-1))*$O128)),0)</f>
        <v>0</v>
      </c>
      <c r="DO128" s="93">
        <f>IF(AND($T128=1,DO$5&lt;=$H128),DN128*(1-BY128)*(1-MIN(1,MAX(Assumptions!$C$27,Assumptions!$C$13*Assumptions!$C$28^(DN$5-1))*$O128)),0)</f>
        <v>0</v>
      </c>
      <c r="DP128" s="93">
        <f>IF(AND($T128=1,DP$5&lt;=$H128),DO128*(1-BZ128)*(1-MIN(1,MAX(Assumptions!$C$27,Assumptions!$C$13*Assumptions!$C$28^(DO$5-1))*$O128)),0)</f>
        <v>0</v>
      </c>
      <c r="DQ128" s="93">
        <f>IF(AND($T128=1,DQ$5&lt;=$H128),DP128*(1-CA128)*(1-MIN(1,MAX(Assumptions!$C$27,Assumptions!$C$13*Assumptions!$C$28^(DP$5-1))*$O128)),0)</f>
        <v>0</v>
      </c>
      <c r="DR128" s="93">
        <f>IF(AND($T128=1,DR$5&lt;=$H128),DQ128*(1-CB128)*(1-MIN(1,MAX(Assumptions!$C$27,Assumptions!$C$13*Assumptions!$C$28^(DQ$5-1))*$O128)),0)</f>
        <v>0</v>
      </c>
      <c r="DS128" s="93">
        <f>IF(AND($T128=1,DS$5&lt;=$H128),DR128*(1-CC128)*(1-MIN(1,MAX(Assumptions!$C$27,Assumptions!$C$13*Assumptions!$C$28^(DR$5-1))*$O128)),0)</f>
        <v>0</v>
      </c>
      <c r="DT128" s="93">
        <f>IF(AND($T128=1,DT$5&lt;=$H128),DS128*(1-CD128)*(1-MIN(1,MAX(Assumptions!$C$27,Assumptions!$C$13*Assumptions!$C$28^(DS$5-1))*$O128)),0)</f>
        <v>0</v>
      </c>
      <c r="DU128" s="93">
        <f>IF(AND($T128=1,DU$5&lt;=$H128),DT128*(1-CE128)*(1-MIN(1,MAX(Assumptions!$C$27,Assumptions!$C$13*Assumptions!$C$28^(DT$5-1))*$O128)),0)</f>
        <v>0</v>
      </c>
      <c r="DV128" s="93">
        <f>IF(AND($T128=1,DV$5&lt;=$H128),DU128*(1-CF128)*(1-MIN(1,MAX(Assumptions!$C$27,Assumptions!$C$13*Assumptions!$C$28^(DU$5-1))*$O128)),0)</f>
        <v>0</v>
      </c>
      <c r="DW128" s="94">
        <f>IF(AND($T128=1,DW$5&lt;=$H128),DV128*(1-CG128)*(1-MIN(1,MAX(Assumptions!$C$27,Assumptions!$C$13*Assumptions!$C$28^(DV$5-1))*$O128)),0)</f>
        <v>0</v>
      </c>
      <c r="DX128" s="26"/>
      <c r="DY128" s="399">
        <f>'Policy Data'!K102</f>
        <v>6</v>
      </c>
      <c r="DZ128" s="100">
        <f>'Policy Data'!L102</f>
        <v>0.83740000000000003</v>
      </c>
      <c r="EA128" s="100">
        <f>'Policy Data'!N102</f>
        <v>6.5779999999999996E-3</v>
      </c>
      <c r="EB128" s="93" cm="1">
        <f t="array" ref="EB128">IFERROR(DZ128*INDEX(Mortality!$B$4:$E$64,MATCH(D128+DY128-1,Mortality!$A$4:$A$64,0),U128)*V128,0)</f>
        <v>9.8139105270784802E-3</v>
      </c>
      <c r="EC128" s="100">
        <f>'Policy Data'!O102</f>
        <v>0</v>
      </c>
      <c r="ED128" s="400">
        <f>'Policy Data'!Q102</f>
        <v>0</v>
      </c>
    </row>
    <row r="129" spans="1:134" x14ac:dyDescent="0.3">
      <c r="A129" s="399" t="str">
        <f>'Policy Data'!A103</f>
        <v>POL100099</v>
      </c>
      <c r="B129" s="26" t="s">
        <v>426</v>
      </c>
      <c r="C129" s="100" t="str">
        <f>'Policy Data'!B103</f>
        <v>Term Life</v>
      </c>
      <c r="D129" s="100">
        <f>'Policy Data'!C103</f>
        <v>64</v>
      </c>
      <c r="E129" s="100" t="str">
        <f>'Policy Data'!D103</f>
        <v>Male</v>
      </c>
      <c r="F129" s="100" t="str">
        <f>'Policy Data'!E103</f>
        <v>Non-smoker</v>
      </c>
      <c r="G129" s="100" t="str">
        <f>'Policy Data'!F103</f>
        <v>Standard</v>
      </c>
      <c r="H129" s="100">
        <f>'Policy Data'!G103</f>
        <v>15</v>
      </c>
      <c r="I129" s="279">
        <f>'Policy Data'!H103</f>
        <v>250000</v>
      </c>
      <c r="J129" s="100" t="str">
        <f>'Policy Data'!I103</f>
        <v>Annual</v>
      </c>
      <c r="K129" s="100" t="str">
        <f>'Policy Data'!J103</f>
        <v>Direct</v>
      </c>
      <c r="L129" s="26" t="s">
        <v>389</v>
      </c>
      <c r="M129" s="106">
        <f>'Policy Data'!R103</f>
        <v>2934.97</v>
      </c>
      <c r="N129" s="415">
        <f>Assumptions!$C$21</f>
        <v>1</v>
      </c>
      <c r="O129" s="415">
        <f>Assumptions!$C$22</f>
        <v>1</v>
      </c>
      <c r="P129" s="415">
        <f>Assumptions!$C$23</f>
        <v>1</v>
      </c>
      <c r="Q129" s="416">
        <f>Assumptions!$C$24</f>
        <v>0</v>
      </c>
      <c r="R129" s="416">
        <f>Assumptions!$C$6+Assumptions!$C$25</f>
        <v>3.5000000000000003E-2</v>
      </c>
      <c r="S129" s="416">
        <f>Assumptions!$C$15</f>
        <v>1.1000000000000001E-3</v>
      </c>
      <c r="T129" s="26">
        <f t="shared" si="36"/>
        <v>1</v>
      </c>
      <c r="U129" s="26">
        <f t="shared" si="37"/>
        <v>3</v>
      </c>
      <c r="V129" s="389">
        <f>IF($G129="Preferred",Assumptions!$C$30,IF($G129="Rated",Assumptions!$C$31,1))</f>
        <v>1</v>
      </c>
      <c r="W129" s="390">
        <f>IF($K129="Direct",Assumptions!$C$32,IF($K129="Broker",Assumptions!$C$33,IF($K129="Bancassurance",Assumptions!$C$34,Assumptions!$C$11)))+$Q129</f>
        <v>0.1</v>
      </c>
      <c r="X129" s="390">
        <f>Assumptions!$C$12+$Q129</f>
        <v>0.05</v>
      </c>
      <c r="Y129" s="131">
        <f>MIN($I129,Assumptions!$C$14)</f>
        <v>250000</v>
      </c>
      <c r="Z129" s="131">
        <f>MAX($I129-Assumptions!$C$14,0)</f>
        <v>0</v>
      </c>
      <c r="AA129" s="389">
        <f t="shared" si="38"/>
        <v>7.021396222224273</v>
      </c>
      <c r="AB129" s="389">
        <f t="shared" si="39"/>
        <v>8.8266296464290031E-2</v>
      </c>
      <c r="AC129" s="389">
        <f>IF($T129=1,SUMPRODUCT($CJ129:$DW129,(1+Assumptions!$C$5)^($CJ$5:$DW$5-1),(1+$R129)^(-$CJ$5:$DW$5)),0)</f>
        <v>8.70953452529203</v>
      </c>
      <c r="AD129" s="389">
        <f t="shared" si="40"/>
        <v>0.39937898985517506</v>
      </c>
      <c r="AE129" s="131">
        <f>IF($T129=1,$AB129*$Y129+(Assumptions!$C$9/(1+$R129)+Assumptions!$C$10*$AC129)*$P129+$S129*$Z129*$AA129,0)</f>
        <v>24852.236929028059</v>
      </c>
      <c r="AF129" s="131">
        <f>IF($T129=1,IF($AA129-$AD129-Assumptions!$C$16*$AA129&gt;0,$AE129/($AA129-$AD129-Assumptions!$C$16*$AA129)*IF($J129="Monthly",1+Assumptions!$C$29,1),"n.a."),"")</f>
        <v>4100.8224399208702</v>
      </c>
      <c r="AG129" s="131">
        <f t="shared" si="41"/>
        <v>2934.97</v>
      </c>
      <c r="AH129" s="131">
        <f t="shared" si="42"/>
        <v>20607.587270341573</v>
      </c>
      <c r="AI129" s="131">
        <f t="shared" si="43"/>
        <v>-5416.8150125417305</v>
      </c>
      <c r="AJ129" s="390">
        <f t="shared" si="44"/>
        <v>-0.26285537173668105</v>
      </c>
      <c r="AK129" s="389">
        <f t="shared" si="45"/>
        <v>0.71570277499179735</v>
      </c>
      <c r="AL129" s="131">
        <f t="shared" si="46"/>
        <v>0</v>
      </c>
      <c r="AM129" s="131">
        <f t="shared" si="47"/>
        <v>0</v>
      </c>
      <c r="AN129" s="131">
        <f t="shared" si="48"/>
        <v>0</v>
      </c>
      <c r="AO129" s="131">
        <f t="shared" si="49"/>
        <v>-5416.8150125417305</v>
      </c>
      <c r="AP129" s="26" t="str">
        <f t="shared" si="50"/>
        <v>60+</v>
      </c>
      <c r="AQ129" s="26" t="str">
        <f t="shared" si="51"/>
        <v>Up to 250k</v>
      </c>
      <c r="AR129" s="26" t="str">
        <f>IF($T129=1,IF($AI129&lt;0,"Loss-making",IF($AJ129&lt;Assumptions!$C$16-0.00001,"Below target","At/above target")),"Excluded")</f>
        <v>Loss-making</v>
      </c>
      <c r="AS129" s="103">
        <f t="shared" si="52"/>
        <v>-5416.8148835417305</v>
      </c>
      <c r="AT129" s="26"/>
      <c r="AU129" s="419">
        <f>IF(AND($T129=1,AU$5&lt;=$H129),INDEX(Mortality!$B$4:$E$64,MATCH($D129+AU$5-1,Mortality!$A$4:$A$64,0),$U129)*$V129*$N129,0)</f>
        <v>7.8558167617636399E-3</v>
      </c>
      <c r="AV129" s="93">
        <f>IF(AND($T129=1,AV$5&lt;=$H129),INDEX(Mortality!$B$4:$E$64,MATCH($D129+AV$5-1,Mortality!$A$4:$A$64,0),$U129)*$V129*$N129,0)</f>
        <v>8.5101047040427192E-3</v>
      </c>
      <c r="AW129" s="93">
        <f>IF(AND($T129=1,AW$5&lt;=$H129),INDEX(Mortality!$B$4:$E$64,MATCH($D129+AW$5-1,Mortality!$A$4:$A$64,0),$U129)*$V129*$N129,0)</f>
        <v>9.2188863704493092E-3</v>
      </c>
      <c r="AX129" s="93">
        <f>IF(AND($T129=1,AX$5&lt;=$H129),INDEX(Mortality!$B$4:$E$64,MATCH($D129+AX$5-1,Mortality!$A$4:$A$64,0),$U129)*$V129*$N129,0)</f>
        <v>9.9867003834726801E-3</v>
      </c>
      <c r="AY129" s="93">
        <f>IF(AND($T129=1,AY$5&lt;=$H129),INDEX(Mortality!$B$4:$E$64,MATCH($D129+AY$5-1,Mortality!$A$4:$A$64,0),$U129)*$V129*$N129,0)</f>
        <v>1.08184633741605E-2</v>
      </c>
      <c r="AZ129" s="93">
        <f>IF(AND($T129=1,AZ$5&lt;=$H129),INDEX(Mortality!$B$4:$E$64,MATCH($D129+AZ$5-1,Mortality!$A$4:$A$64,0),$U129)*$V129*$N129,0)</f>
        <v>1.1719501465343301E-2</v>
      </c>
      <c r="BA129" s="93">
        <f>IF(AND($T129=1,BA$5&lt;=$H129),INDEX(Mortality!$B$4:$E$64,MATCH($D129+BA$5-1,Mortality!$A$4:$A$64,0),$U129)*$V129*$N129,0)</f>
        <v>1.2695584377004099E-2</v>
      </c>
      <c r="BB129" s="93">
        <f>IF(AND($T129=1,BB$5&lt;=$H129),INDEX(Mortality!$B$4:$E$64,MATCH($D129+BB$5-1,Mortality!$A$4:$A$64,0),$U129)*$V129*$N129,0)</f>
        <v>1.3752962372184801E-2</v>
      </c>
      <c r="BC129" s="93">
        <f>IF(AND($T129=1,BC$5&lt;=$H129),INDEX(Mortality!$B$4:$E$64,MATCH($D129+BC$5-1,Mortality!$A$4:$A$64,0),$U129)*$V129*$N129,0)</f>
        <v>1.4898406280008099E-2</v>
      </c>
      <c r="BD129" s="93">
        <f>IF(AND($T129=1,BD$5&lt;=$H129),INDEX(Mortality!$B$4:$E$64,MATCH($D129+BD$5-1,Mortality!$A$4:$A$64,0),$U129)*$V129*$N129,0)</f>
        <v>1.61392508521001E-2</v>
      </c>
      <c r="BE129" s="93">
        <f>IF(AND($T129=1,BE$5&lt;=$H129),INDEX(Mortality!$B$4:$E$64,MATCH($D129+BE$5-1,Mortality!$A$4:$A$64,0),$U129)*$V129*$N129,0)</f>
        <v>1.7483441730042099E-2</v>
      </c>
      <c r="BF129" s="93">
        <f>IF(AND($T129=1,BF$5&lt;=$H129),INDEX(Mortality!$B$4:$E$64,MATCH($D129+BF$5-1,Mortality!$A$4:$A$64,0),$U129)*$V129*$N129,0)</f>
        <v>1.8939586324603401E-2</v>
      </c>
      <c r="BG129" s="93">
        <f>IF(AND($T129=1,BG$5&lt;=$H129),INDEX(Mortality!$B$4:$E$64,MATCH($D129+BG$5-1,Mortality!$A$4:$A$64,0),$U129)*$V129*$N129,0)</f>
        <v>2.0517008932556299E-2</v>
      </c>
      <c r="BH129" s="93">
        <f>IF(AND($T129=1,BH$5&lt;=$H129),INDEX(Mortality!$B$4:$E$64,MATCH($D129+BH$5-1,Mortality!$A$4:$A$64,0),$U129)*$V129*$N129,0)</f>
        <v>2.22258104440099E-2</v>
      </c>
      <c r="BI129" s="93">
        <f>IF(AND($T129=1,BI$5&lt;=$H129),INDEX(Mortality!$B$4:$E$64,MATCH($D129+BI$5-1,Mortality!$A$4:$A$64,0),$U129)*$V129*$N129,0)</f>
        <v>2.40769330225909E-2</v>
      </c>
      <c r="BJ129" s="93">
        <f>IF(AND($T129=1,BJ$5&lt;=$H129),INDEX(Mortality!$B$4:$E$64,MATCH($D129+BJ$5-1,Mortality!$A$4:$A$64,0),$U129)*$V129*$N129,0)</f>
        <v>0</v>
      </c>
      <c r="BK129" s="93">
        <f>IF(AND($T129=1,BK$5&lt;=$H129),INDEX(Mortality!$B$4:$E$64,MATCH($D129+BK$5-1,Mortality!$A$4:$A$64,0),$U129)*$V129*$N129,0)</f>
        <v>0</v>
      </c>
      <c r="BL129" s="93">
        <f>IF(AND($T129=1,BL$5&lt;=$H129),INDEX(Mortality!$B$4:$E$64,MATCH($D129+BL$5-1,Mortality!$A$4:$A$64,0),$U129)*$V129*$N129,0)</f>
        <v>0</v>
      </c>
      <c r="BM129" s="93">
        <f>IF(AND($T129=1,BM$5&lt;=$H129),INDEX(Mortality!$B$4:$E$64,MATCH($D129+BM$5-1,Mortality!$A$4:$A$64,0),$U129)*$V129*$N129,0)</f>
        <v>0</v>
      </c>
      <c r="BN129" s="93">
        <f>IF(AND($T129=1,BN$5&lt;=$H129),INDEX(Mortality!$B$4:$E$64,MATCH($D129+BN$5-1,Mortality!$A$4:$A$64,0),$U129)*$V129*$N129,0)</f>
        <v>0</v>
      </c>
      <c r="BO129" s="93">
        <f>IF(AND($T129=1,BO$5&lt;=$H129),INDEX(Mortality!$B$4:$E$64,MATCH($D129+BO$5-1,Mortality!$A$4:$A$64,0),$U129)*$V129*$N129,0)</f>
        <v>0</v>
      </c>
      <c r="BP129" s="93">
        <f>IF(AND($T129=1,BP$5&lt;=$H129),INDEX(Mortality!$B$4:$E$64,MATCH($D129+BP$5-1,Mortality!$A$4:$A$64,0),$U129)*$V129*$N129,0)</f>
        <v>0</v>
      </c>
      <c r="BQ129" s="93">
        <f>IF(AND($T129=1,BQ$5&lt;=$H129),INDEX(Mortality!$B$4:$E$64,MATCH($D129+BQ$5-1,Mortality!$A$4:$A$64,0),$U129)*$V129*$N129,0)</f>
        <v>0</v>
      </c>
      <c r="BR129" s="93">
        <f>IF(AND($T129=1,BR$5&lt;=$H129),INDEX(Mortality!$B$4:$E$64,MATCH($D129+BR$5-1,Mortality!$A$4:$A$64,0),$U129)*$V129*$N129,0)</f>
        <v>0</v>
      </c>
      <c r="BS129" s="93">
        <f>IF(AND($T129=1,BS$5&lt;=$H129),INDEX(Mortality!$B$4:$E$64,MATCH($D129+BS$5-1,Mortality!$A$4:$A$64,0),$U129)*$V129*$N129,0)</f>
        <v>0</v>
      </c>
      <c r="BT129" s="93">
        <f>IF(AND($T129=1,BT$5&lt;=$H129),INDEX(Mortality!$B$4:$E$64,MATCH($D129+BT$5-1,Mortality!$A$4:$A$64,0),$U129)*$V129*$N129,0)</f>
        <v>0</v>
      </c>
      <c r="BU129" s="93">
        <f>IF(AND($T129=1,BU$5&lt;=$H129),INDEX(Mortality!$B$4:$E$64,MATCH($D129+BU$5-1,Mortality!$A$4:$A$64,0),$U129)*$V129*$N129,0)</f>
        <v>0</v>
      </c>
      <c r="BV129" s="93">
        <f>IF(AND($T129=1,BV$5&lt;=$H129),INDEX(Mortality!$B$4:$E$64,MATCH($D129+BV$5-1,Mortality!$A$4:$A$64,0),$U129)*$V129*$N129,0)</f>
        <v>0</v>
      </c>
      <c r="BW129" s="93">
        <f>IF(AND($T129=1,BW$5&lt;=$H129),INDEX(Mortality!$B$4:$E$64,MATCH($D129+BW$5-1,Mortality!$A$4:$A$64,0),$U129)*$V129*$N129,0)</f>
        <v>0</v>
      </c>
      <c r="BX129" s="93">
        <f>IF(AND($T129=1,BX$5&lt;=$H129),INDEX(Mortality!$B$4:$E$64,MATCH($D129+BX$5-1,Mortality!$A$4:$A$64,0),$U129)*$V129*$N129,0)</f>
        <v>0</v>
      </c>
      <c r="BY129" s="93">
        <f>IF(AND($T129=1,BY$5&lt;=$H129),INDEX(Mortality!$B$4:$E$64,MATCH($D129+BY$5-1,Mortality!$A$4:$A$64,0),$U129)*$V129*$N129,0)</f>
        <v>0</v>
      </c>
      <c r="BZ129" s="93">
        <f>IF(AND($T129=1,BZ$5&lt;=$H129),INDEX(Mortality!$B$4:$E$64,MATCH($D129+BZ$5-1,Mortality!$A$4:$A$64,0),$U129)*$V129*$N129,0)</f>
        <v>0</v>
      </c>
      <c r="CA129" s="93">
        <f>IF(AND($T129=1,CA$5&lt;=$H129),INDEX(Mortality!$B$4:$E$64,MATCH($D129+CA$5-1,Mortality!$A$4:$A$64,0),$U129)*$V129*$N129,0)</f>
        <v>0</v>
      </c>
      <c r="CB129" s="93">
        <f>IF(AND($T129=1,CB$5&lt;=$H129),INDEX(Mortality!$B$4:$E$64,MATCH($D129+CB$5-1,Mortality!$A$4:$A$64,0),$U129)*$V129*$N129,0)</f>
        <v>0</v>
      </c>
      <c r="CC129" s="93">
        <f>IF(AND($T129=1,CC$5&lt;=$H129),INDEX(Mortality!$B$4:$E$64,MATCH($D129+CC$5-1,Mortality!$A$4:$A$64,0),$U129)*$V129*$N129,0)</f>
        <v>0</v>
      </c>
      <c r="CD129" s="93">
        <f>IF(AND($T129=1,CD$5&lt;=$H129),INDEX(Mortality!$B$4:$E$64,MATCH($D129+CD$5-1,Mortality!$A$4:$A$64,0),$U129)*$V129*$N129,0)</f>
        <v>0</v>
      </c>
      <c r="CE129" s="93">
        <f>IF(AND($T129=1,CE$5&lt;=$H129),INDEX(Mortality!$B$4:$E$64,MATCH($D129+CE$5-1,Mortality!$A$4:$A$64,0),$U129)*$V129*$N129,0)</f>
        <v>0</v>
      </c>
      <c r="CF129" s="93">
        <f>IF(AND($T129=1,CF$5&lt;=$H129),INDEX(Mortality!$B$4:$E$64,MATCH($D129+CF$5-1,Mortality!$A$4:$A$64,0),$U129)*$V129*$N129,0)</f>
        <v>0</v>
      </c>
      <c r="CG129" s="93">
        <f>IF(AND($T129=1,CG$5&lt;=$H129),INDEX(Mortality!$B$4:$E$64,MATCH($D129+CG$5-1,Mortality!$A$4:$A$64,0),$U129)*$V129*$N129,0)</f>
        <v>0</v>
      </c>
      <c r="CH129" s="94">
        <f>IF(AND($T129=1,CH$5&lt;=$H129),INDEX(Mortality!$B$4:$E$64,MATCH($D129+CH$5-1,Mortality!$A$4:$A$64,0),$U129)*$V129*$N129,0)</f>
        <v>0</v>
      </c>
      <c r="CI129" s="26"/>
      <c r="CJ129" s="419">
        <f t="shared" si="53"/>
        <v>1</v>
      </c>
      <c r="CK129" s="93">
        <f>IF(AND($T129=1,CK$5&lt;=$H129),CJ129*(1-AU129)*(1-MIN(1,MAX(Assumptions!$C$27,Assumptions!$C$13*Assumptions!$C$28^(CJ$5-1))*$O129)),0)</f>
        <v>0.87308688124964806</v>
      </c>
      <c r="CL129" s="93">
        <f>IF(AND($T129=1,CL$5&lt;=$H129),CK129*(1-AV129)*(1-MIN(1,MAX(Assumptions!$C$27,Assumptions!$C$13*Assumptions!$C$28^(CK$5-1))*$O129)),0)</f>
        <v>0.77735982478608978</v>
      </c>
      <c r="CM129" s="93">
        <f>IF(AND($T129=1,CM$5&lt;=$H129),CL129*(1-AW129)*(1-MIN(1,MAX(Assumptions!$C$27,Assumptions!$C$13*Assumptions!$C$28^(CL$5-1))*$O129)),0)</f>
        <v>0.70341766226066038</v>
      </c>
      <c r="CN129" s="93">
        <f>IF(AND($T129=1,CN$5&lt;=$H129),CM129*(1-AX129)*(1-MIN(1,MAX(Assumptions!$C$27,Assumptions!$C$13*Assumptions!$C$28^(CM$5-1))*$O129)),0)</f>
        <v>0.6450721704187532</v>
      </c>
      <c r="CO129" s="93">
        <f>IF(AND($T129=1,CO$5&lt;=$H129),CN129*(1-AY129)*(1-MIN(1,MAX(Assumptions!$C$27,Assumptions!$C$13*Assumptions!$C$28^(CN$5-1))*$O129)),0)</f>
        <v>0.5981228265638826</v>
      </c>
      <c r="CP129" s="93">
        <f>IF(AND($T129=1,CP$5&lt;=$H129),CO129*(1-AZ129)*(1-MIN(1,MAX(Assumptions!$C$27,Assumptions!$C$13*Assumptions!$C$28^(CO$5-1))*$O129)),0)</f>
        <v>0.55963952114760041</v>
      </c>
      <c r="CQ129" s="93">
        <f>IF(AND($T129=1,CQ$5&lt;=$H129),CP129*(1-BA129)*(1-MIN(1,MAX(Assumptions!$C$27,Assumptions!$C$13*Assumptions!$C$28^(CP$5-1))*$O129)),0)</f>
        <v>0.52752799291569974</v>
      </c>
      <c r="CR129" s="93">
        <f>IF(AND($T129=1,CR$5&lt;=$H129),CQ129*(1-BB129)*(1-MIN(1,MAX(Assumptions!$C$27,Assumptions!$C$13*Assumptions!$C$28^(CQ$5-1))*$O129)),0)</f>
        <v>0.50025841093150658</v>
      </c>
      <c r="CS129" s="93">
        <f>IF(AND($T129=1,CS$5&lt;=$H129),CR129*(1-BC129)*(1-MIN(1,MAX(Assumptions!$C$27,Assumptions!$C$13*Assumptions!$C$28^(CR$5-1))*$O129)),0)</f>
        <v>0.47669118299514868</v>
      </c>
      <c r="CT129" s="93">
        <f>IF(AND($T129=1,CT$5&lt;=$H129),CS129*(1-BD129)*(1-MIN(1,MAX(Assumptions!$C$27,Assumptions!$C$13*Assumptions!$C$28^(CS$5-1))*$O129)),0)</f>
        <v>0.45596240536882532</v>
      </c>
      <c r="CU129" s="93">
        <f>IF(AND($T129=1,CU$5&lt;=$H129),CT129*(1-BE129)*(1-MIN(1,MAX(Assumptions!$C$27,Assumptions!$C$13*Assumptions!$C$28^(CT$5-1))*$O129)),0)</f>
        <v>0.43740686700803694</v>
      </c>
      <c r="CV129" s="93">
        <f>IF(AND($T129=1,CV$5&lt;=$H129),CU129*(1-BF129)*(1-MIN(1,MAX(Assumptions!$C$27,Assumptions!$C$13*Assumptions!$C$28^(CU$5-1))*$O129)),0)</f>
        <v>0.42050527051768816</v>
      </c>
      <c r="CW129" s="93">
        <f>IF(AND($T129=1,CW$5&lt;=$H129),CV129*(1-BG129)*(1-MIN(1,MAX(Assumptions!$C$27,Assumptions!$C$13*Assumptions!$C$28^(CV$5-1))*$O129)),0)</f>
        <v>0.40364020492376396</v>
      </c>
      <c r="CX129" s="93">
        <f>IF(AND($T129=1,CX$5&lt;=$H129),CW129*(1-BH129)*(1-MIN(1,MAX(Assumptions!$C$27,Assumptions!$C$13*Assumptions!$C$28^(CW$5-1))*$O129)),0)</f>
        <v>0.38677559475671613</v>
      </c>
      <c r="CY129" s="93">
        <f>IF(AND($T129=1,CY$5&lt;=$H129),CX129*(1-BI129)*(1-MIN(1,MAX(Assumptions!$C$27,Assumptions!$C$13*Assumptions!$C$28^(CX$5-1))*$O129)),0)</f>
        <v>0</v>
      </c>
      <c r="CZ129" s="93">
        <f>IF(AND($T129=1,CZ$5&lt;=$H129),CY129*(1-BJ129)*(1-MIN(1,MAX(Assumptions!$C$27,Assumptions!$C$13*Assumptions!$C$28^(CY$5-1))*$O129)),0)</f>
        <v>0</v>
      </c>
      <c r="DA129" s="93">
        <f>IF(AND($T129=1,DA$5&lt;=$H129),CZ129*(1-BK129)*(1-MIN(1,MAX(Assumptions!$C$27,Assumptions!$C$13*Assumptions!$C$28^(CZ$5-1))*$O129)),0)</f>
        <v>0</v>
      </c>
      <c r="DB129" s="93">
        <f>IF(AND($T129=1,DB$5&lt;=$H129),DA129*(1-BL129)*(1-MIN(1,MAX(Assumptions!$C$27,Assumptions!$C$13*Assumptions!$C$28^(DA$5-1))*$O129)),0)</f>
        <v>0</v>
      </c>
      <c r="DC129" s="93">
        <f>IF(AND($T129=1,DC$5&lt;=$H129),DB129*(1-BM129)*(1-MIN(1,MAX(Assumptions!$C$27,Assumptions!$C$13*Assumptions!$C$28^(DB$5-1))*$O129)),0)</f>
        <v>0</v>
      </c>
      <c r="DD129" s="93">
        <f>IF(AND($T129=1,DD$5&lt;=$H129),DC129*(1-BN129)*(1-MIN(1,MAX(Assumptions!$C$27,Assumptions!$C$13*Assumptions!$C$28^(DC$5-1))*$O129)),0)</f>
        <v>0</v>
      </c>
      <c r="DE129" s="93">
        <f>IF(AND($T129=1,DE$5&lt;=$H129),DD129*(1-BO129)*(1-MIN(1,MAX(Assumptions!$C$27,Assumptions!$C$13*Assumptions!$C$28^(DD$5-1))*$O129)),0)</f>
        <v>0</v>
      </c>
      <c r="DF129" s="93">
        <f>IF(AND($T129=1,DF$5&lt;=$H129),DE129*(1-BP129)*(1-MIN(1,MAX(Assumptions!$C$27,Assumptions!$C$13*Assumptions!$C$28^(DE$5-1))*$O129)),0)</f>
        <v>0</v>
      </c>
      <c r="DG129" s="93">
        <f>IF(AND($T129=1,DG$5&lt;=$H129),DF129*(1-BQ129)*(1-MIN(1,MAX(Assumptions!$C$27,Assumptions!$C$13*Assumptions!$C$28^(DF$5-1))*$O129)),0)</f>
        <v>0</v>
      </c>
      <c r="DH129" s="93">
        <f>IF(AND($T129=1,DH$5&lt;=$H129),DG129*(1-BR129)*(1-MIN(1,MAX(Assumptions!$C$27,Assumptions!$C$13*Assumptions!$C$28^(DG$5-1))*$O129)),0)</f>
        <v>0</v>
      </c>
      <c r="DI129" s="93">
        <f>IF(AND($T129=1,DI$5&lt;=$H129),DH129*(1-BS129)*(1-MIN(1,MAX(Assumptions!$C$27,Assumptions!$C$13*Assumptions!$C$28^(DH$5-1))*$O129)),0)</f>
        <v>0</v>
      </c>
      <c r="DJ129" s="93">
        <f>IF(AND($T129=1,DJ$5&lt;=$H129),DI129*(1-BT129)*(1-MIN(1,MAX(Assumptions!$C$27,Assumptions!$C$13*Assumptions!$C$28^(DI$5-1))*$O129)),0)</f>
        <v>0</v>
      </c>
      <c r="DK129" s="93">
        <f>IF(AND($T129=1,DK$5&lt;=$H129),DJ129*(1-BU129)*(1-MIN(1,MAX(Assumptions!$C$27,Assumptions!$C$13*Assumptions!$C$28^(DJ$5-1))*$O129)),0)</f>
        <v>0</v>
      </c>
      <c r="DL129" s="93">
        <f>IF(AND($T129=1,DL$5&lt;=$H129),DK129*(1-BV129)*(1-MIN(1,MAX(Assumptions!$C$27,Assumptions!$C$13*Assumptions!$C$28^(DK$5-1))*$O129)),0)</f>
        <v>0</v>
      </c>
      <c r="DM129" s="93">
        <f>IF(AND($T129=1,DM$5&lt;=$H129),DL129*(1-BW129)*(1-MIN(1,MAX(Assumptions!$C$27,Assumptions!$C$13*Assumptions!$C$28^(DL$5-1))*$O129)),0)</f>
        <v>0</v>
      </c>
      <c r="DN129" s="93">
        <f>IF(AND($T129=1,DN$5&lt;=$H129),DM129*(1-BX129)*(1-MIN(1,MAX(Assumptions!$C$27,Assumptions!$C$13*Assumptions!$C$28^(DM$5-1))*$O129)),0)</f>
        <v>0</v>
      </c>
      <c r="DO129" s="93">
        <f>IF(AND($T129=1,DO$5&lt;=$H129),DN129*(1-BY129)*(1-MIN(1,MAX(Assumptions!$C$27,Assumptions!$C$13*Assumptions!$C$28^(DN$5-1))*$O129)),0)</f>
        <v>0</v>
      </c>
      <c r="DP129" s="93">
        <f>IF(AND($T129=1,DP$5&lt;=$H129),DO129*(1-BZ129)*(1-MIN(1,MAX(Assumptions!$C$27,Assumptions!$C$13*Assumptions!$C$28^(DO$5-1))*$O129)),0)</f>
        <v>0</v>
      </c>
      <c r="DQ129" s="93">
        <f>IF(AND($T129=1,DQ$5&lt;=$H129),DP129*(1-CA129)*(1-MIN(1,MAX(Assumptions!$C$27,Assumptions!$C$13*Assumptions!$C$28^(DP$5-1))*$O129)),0)</f>
        <v>0</v>
      </c>
      <c r="DR129" s="93">
        <f>IF(AND($T129=1,DR$5&lt;=$H129),DQ129*(1-CB129)*(1-MIN(1,MAX(Assumptions!$C$27,Assumptions!$C$13*Assumptions!$C$28^(DQ$5-1))*$O129)),0)</f>
        <v>0</v>
      </c>
      <c r="DS129" s="93">
        <f>IF(AND($T129=1,DS$5&lt;=$H129),DR129*(1-CC129)*(1-MIN(1,MAX(Assumptions!$C$27,Assumptions!$C$13*Assumptions!$C$28^(DR$5-1))*$O129)),0)</f>
        <v>0</v>
      </c>
      <c r="DT129" s="93">
        <f>IF(AND($T129=1,DT$5&lt;=$H129),DS129*(1-CD129)*(1-MIN(1,MAX(Assumptions!$C$27,Assumptions!$C$13*Assumptions!$C$28^(DS$5-1))*$O129)),0)</f>
        <v>0</v>
      </c>
      <c r="DU129" s="93">
        <f>IF(AND($T129=1,DU$5&lt;=$H129),DT129*(1-CE129)*(1-MIN(1,MAX(Assumptions!$C$27,Assumptions!$C$13*Assumptions!$C$28^(DT$5-1))*$O129)),0)</f>
        <v>0</v>
      </c>
      <c r="DV129" s="93">
        <f>IF(AND($T129=1,DV$5&lt;=$H129),DU129*(1-CF129)*(1-MIN(1,MAX(Assumptions!$C$27,Assumptions!$C$13*Assumptions!$C$28^(DU$5-1))*$O129)),0)</f>
        <v>0</v>
      </c>
      <c r="DW129" s="94">
        <f>IF(AND($T129=1,DW$5&lt;=$H129),DV129*(1-CG129)*(1-MIN(1,MAX(Assumptions!$C$27,Assumptions!$C$13*Assumptions!$C$28^(DV$5-1))*$O129)),0)</f>
        <v>0</v>
      </c>
      <c r="DX129" s="26"/>
      <c r="DY129" s="399">
        <f>'Policy Data'!K103</f>
        <v>7</v>
      </c>
      <c r="DZ129" s="100">
        <f>'Policy Data'!L103</f>
        <v>0.65510000000000002</v>
      </c>
      <c r="EA129" s="100">
        <f>'Policy Data'!N103</f>
        <v>5.1469999999999997E-3</v>
      </c>
      <c r="EB129" s="93" cm="1">
        <f t="array" ref="EB129">IFERROR(DZ129*INDEX(Mortality!$B$4:$E$64,MATCH(D129+DY129-1,Mortality!$A$4:$A$64,0),U129)*V129,0)</f>
        <v>8.3168773253753849E-3</v>
      </c>
      <c r="EC129" s="100">
        <f>'Policy Data'!O103</f>
        <v>0</v>
      </c>
      <c r="ED129" s="400">
        <f>'Policy Data'!Q103</f>
        <v>0</v>
      </c>
    </row>
    <row r="130" spans="1:134" x14ac:dyDescent="0.3">
      <c r="A130" s="399" t="str">
        <f>'Policy Data'!A104</f>
        <v>POL100100</v>
      </c>
      <c r="B130" s="26" t="s">
        <v>426</v>
      </c>
      <c r="C130" s="100" t="str">
        <f>'Policy Data'!B104</f>
        <v>Unit-Linked</v>
      </c>
      <c r="D130" s="100">
        <f>'Policy Data'!C104</f>
        <v>62</v>
      </c>
      <c r="E130" s="100" t="str">
        <f>'Policy Data'!D104</f>
        <v>Male</v>
      </c>
      <c r="F130" s="100" t="str">
        <f>'Policy Data'!E104</f>
        <v>Non-smoker</v>
      </c>
      <c r="G130" s="100" t="str">
        <f>'Policy Data'!F104</f>
        <v>Standard</v>
      </c>
      <c r="H130" s="100">
        <f>'Policy Data'!G104</f>
        <v>10</v>
      </c>
      <c r="I130" s="279">
        <f>'Policy Data'!H104</f>
        <v>1000000</v>
      </c>
      <c r="J130" s="100" t="str">
        <f>'Policy Data'!I104</f>
        <v>Monthly</v>
      </c>
      <c r="K130" s="100" t="str">
        <f>'Policy Data'!J104</f>
        <v>Broker</v>
      </c>
      <c r="L130" s="26" t="s">
        <v>389</v>
      </c>
      <c r="M130" s="106">
        <f>'Policy Data'!R104</f>
        <v>13219.65</v>
      </c>
      <c r="N130" s="415">
        <f>Assumptions!$C$21</f>
        <v>1</v>
      </c>
      <c r="O130" s="415">
        <f>Assumptions!$C$22</f>
        <v>1</v>
      </c>
      <c r="P130" s="415">
        <f>Assumptions!$C$23</f>
        <v>1</v>
      </c>
      <c r="Q130" s="416">
        <f>Assumptions!$C$24</f>
        <v>0</v>
      </c>
      <c r="R130" s="416">
        <f>Assumptions!$C$6+Assumptions!$C$25</f>
        <v>3.5000000000000003E-2</v>
      </c>
      <c r="S130" s="416">
        <f>Assumptions!$C$15</f>
        <v>1.1000000000000001E-3</v>
      </c>
      <c r="T130" s="26">
        <f t="shared" si="36"/>
        <v>0</v>
      </c>
      <c r="U130" s="26">
        <f t="shared" si="37"/>
        <v>3</v>
      </c>
      <c r="V130" s="389">
        <f>IF($G130="Preferred",Assumptions!$C$30,IF($G130="Rated",Assumptions!$C$31,1))</f>
        <v>1</v>
      </c>
      <c r="W130" s="390">
        <f>IF($K130="Direct",Assumptions!$C$32,IF($K130="Broker",Assumptions!$C$33,IF($K130="Bancassurance",Assumptions!$C$34,Assumptions!$C$11)))+$Q130</f>
        <v>0.25</v>
      </c>
      <c r="X130" s="390">
        <f>Assumptions!$C$12+$Q130</f>
        <v>0.05</v>
      </c>
      <c r="Y130" s="131">
        <f>MIN($I130,Assumptions!$C$14)</f>
        <v>500000</v>
      </c>
      <c r="Z130" s="131">
        <f>MAX($I130-Assumptions!$C$14,0)</f>
        <v>500000</v>
      </c>
      <c r="AA130" s="389">
        <f t="shared" si="38"/>
        <v>0</v>
      </c>
      <c r="AB130" s="389">
        <f t="shared" si="39"/>
        <v>0</v>
      </c>
      <c r="AC130" s="389">
        <f>IF($T130=1,SUMPRODUCT($CJ130:$DW130,(1+Assumptions!$C$5)^($CJ$5:$DW$5-1),(1+$R130)^(-$CJ$5:$DW$5)),0)</f>
        <v>0</v>
      </c>
      <c r="AD130" s="389">
        <f t="shared" si="40"/>
        <v>0</v>
      </c>
      <c r="AE130" s="131">
        <f>IF($T130=1,$AB130*$Y130+(Assumptions!$C$9/(1+$R130)+Assumptions!$C$10*$AC130)*$P130+$S130*$Z130*$AA130,0)</f>
        <v>0</v>
      </c>
      <c r="AF130" s="131" t="str">
        <f>IF($T130=1,IF($AA130-$AD130-Assumptions!$C$16*$AA130&gt;0,$AE130/($AA130-$AD130-Assumptions!$C$16*$AA130)*IF($J130="Monthly",1+Assumptions!$C$29,1),"n.a."),"")</f>
        <v/>
      </c>
      <c r="AG130" s="131" t="str">
        <f t="shared" si="41"/>
        <v/>
      </c>
      <c r="AH130" s="131" t="str">
        <f t="shared" si="42"/>
        <v/>
      </c>
      <c r="AI130" s="131" t="str">
        <f t="shared" si="43"/>
        <v/>
      </c>
      <c r="AJ130" s="390" t="str">
        <f t="shared" si="44"/>
        <v/>
      </c>
      <c r="AK130" s="389" t="str">
        <f t="shared" si="45"/>
        <v/>
      </c>
      <c r="AL130" s="131" t="str">
        <f t="shared" si="46"/>
        <v/>
      </c>
      <c r="AM130" s="131" t="str">
        <f t="shared" si="47"/>
        <v/>
      </c>
      <c r="AN130" s="131" t="str">
        <f t="shared" si="48"/>
        <v/>
      </c>
      <c r="AO130" s="131" t="str">
        <f t="shared" si="49"/>
        <v/>
      </c>
      <c r="AP130" s="26" t="str">
        <f t="shared" si="50"/>
        <v>60+</v>
      </c>
      <c r="AQ130" s="26" t="str">
        <f t="shared" si="51"/>
        <v>500k-1m</v>
      </c>
      <c r="AR130" s="26" t="str">
        <f>IF($T130=1,IF($AI130&lt;0,"Loss-making",IF($AJ130&lt;Assumptions!$C$16-0.00001,"Below target","At/above target")),"Excluded")</f>
        <v>Excluded</v>
      </c>
      <c r="AS130" s="103">
        <f t="shared" si="52"/>
        <v>9.9999999999999997E+98</v>
      </c>
      <c r="AT130" s="26"/>
      <c r="AU130" s="419">
        <f>IF(AND($T130=1,AU$5&lt;=$H130),INDEX(Mortality!$B$4:$E$64,MATCH($D130+AU$5-1,Mortality!$A$4:$A$64,0),$U130)*$V130*$N130,0)</f>
        <v>0</v>
      </c>
      <c r="AV130" s="93">
        <f>IF(AND($T130=1,AV$5&lt;=$H130),INDEX(Mortality!$B$4:$E$64,MATCH($D130+AV$5-1,Mortality!$A$4:$A$64,0),$U130)*$V130*$N130,0)</f>
        <v>0</v>
      </c>
      <c r="AW130" s="93">
        <f>IF(AND($T130=1,AW$5&lt;=$H130),INDEX(Mortality!$B$4:$E$64,MATCH($D130+AW$5-1,Mortality!$A$4:$A$64,0),$U130)*$V130*$N130,0)</f>
        <v>0</v>
      </c>
      <c r="AX130" s="93">
        <f>IF(AND($T130=1,AX$5&lt;=$H130),INDEX(Mortality!$B$4:$E$64,MATCH($D130+AX$5-1,Mortality!$A$4:$A$64,0),$U130)*$V130*$N130,0)</f>
        <v>0</v>
      </c>
      <c r="AY130" s="93">
        <f>IF(AND($T130=1,AY$5&lt;=$H130),INDEX(Mortality!$B$4:$E$64,MATCH($D130+AY$5-1,Mortality!$A$4:$A$64,0),$U130)*$V130*$N130,0)</f>
        <v>0</v>
      </c>
      <c r="AZ130" s="93">
        <f>IF(AND($T130=1,AZ$5&lt;=$H130),INDEX(Mortality!$B$4:$E$64,MATCH($D130+AZ$5-1,Mortality!$A$4:$A$64,0),$U130)*$V130*$N130,0)</f>
        <v>0</v>
      </c>
      <c r="BA130" s="93">
        <f>IF(AND($T130=1,BA$5&lt;=$H130),INDEX(Mortality!$B$4:$E$64,MATCH($D130+BA$5-1,Mortality!$A$4:$A$64,0),$U130)*$V130*$N130,0)</f>
        <v>0</v>
      </c>
      <c r="BB130" s="93">
        <f>IF(AND($T130=1,BB$5&lt;=$H130),INDEX(Mortality!$B$4:$E$64,MATCH($D130+BB$5-1,Mortality!$A$4:$A$64,0),$U130)*$V130*$N130,0)</f>
        <v>0</v>
      </c>
      <c r="BC130" s="93">
        <f>IF(AND($T130=1,BC$5&lt;=$H130),INDEX(Mortality!$B$4:$E$64,MATCH($D130+BC$5-1,Mortality!$A$4:$A$64,0),$U130)*$V130*$N130,0)</f>
        <v>0</v>
      </c>
      <c r="BD130" s="93">
        <f>IF(AND($T130=1,BD$5&lt;=$H130),INDEX(Mortality!$B$4:$E$64,MATCH($D130+BD$5-1,Mortality!$A$4:$A$64,0),$U130)*$V130*$N130,0)</f>
        <v>0</v>
      </c>
      <c r="BE130" s="93">
        <f>IF(AND($T130=1,BE$5&lt;=$H130),INDEX(Mortality!$B$4:$E$64,MATCH($D130+BE$5-1,Mortality!$A$4:$A$64,0),$U130)*$V130*$N130,0)</f>
        <v>0</v>
      </c>
      <c r="BF130" s="93">
        <f>IF(AND($T130=1,BF$5&lt;=$H130),INDEX(Mortality!$B$4:$E$64,MATCH($D130+BF$5-1,Mortality!$A$4:$A$64,0),$U130)*$V130*$N130,0)</f>
        <v>0</v>
      </c>
      <c r="BG130" s="93">
        <f>IF(AND($T130=1,BG$5&lt;=$H130),INDEX(Mortality!$B$4:$E$64,MATCH($D130+BG$5-1,Mortality!$A$4:$A$64,0),$U130)*$V130*$N130,0)</f>
        <v>0</v>
      </c>
      <c r="BH130" s="93">
        <f>IF(AND($T130=1,BH$5&lt;=$H130),INDEX(Mortality!$B$4:$E$64,MATCH($D130+BH$5-1,Mortality!$A$4:$A$64,0),$U130)*$V130*$N130,0)</f>
        <v>0</v>
      </c>
      <c r="BI130" s="93">
        <f>IF(AND($T130=1,BI$5&lt;=$H130),INDEX(Mortality!$B$4:$E$64,MATCH($D130+BI$5-1,Mortality!$A$4:$A$64,0),$U130)*$V130*$N130,0)</f>
        <v>0</v>
      </c>
      <c r="BJ130" s="93">
        <f>IF(AND($T130=1,BJ$5&lt;=$H130),INDEX(Mortality!$B$4:$E$64,MATCH($D130+BJ$5-1,Mortality!$A$4:$A$64,0),$U130)*$V130*$N130,0)</f>
        <v>0</v>
      </c>
      <c r="BK130" s="93">
        <f>IF(AND($T130=1,BK$5&lt;=$H130),INDEX(Mortality!$B$4:$E$64,MATCH($D130+BK$5-1,Mortality!$A$4:$A$64,0),$U130)*$V130*$N130,0)</f>
        <v>0</v>
      </c>
      <c r="BL130" s="93">
        <f>IF(AND($T130=1,BL$5&lt;=$H130),INDEX(Mortality!$B$4:$E$64,MATCH($D130+BL$5-1,Mortality!$A$4:$A$64,0),$U130)*$V130*$N130,0)</f>
        <v>0</v>
      </c>
      <c r="BM130" s="93">
        <f>IF(AND($T130=1,BM$5&lt;=$H130),INDEX(Mortality!$B$4:$E$64,MATCH($D130+BM$5-1,Mortality!$A$4:$A$64,0),$U130)*$V130*$N130,0)</f>
        <v>0</v>
      </c>
      <c r="BN130" s="93">
        <f>IF(AND($T130=1,BN$5&lt;=$H130),INDEX(Mortality!$B$4:$E$64,MATCH($D130+BN$5-1,Mortality!$A$4:$A$64,0),$U130)*$V130*$N130,0)</f>
        <v>0</v>
      </c>
      <c r="BO130" s="93">
        <f>IF(AND($T130=1,BO$5&lt;=$H130),INDEX(Mortality!$B$4:$E$64,MATCH($D130+BO$5-1,Mortality!$A$4:$A$64,0),$U130)*$V130*$N130,0)</f>
        <v>0</v>
      </c>
      <c r="BP130" s="93">
        <f>IF(AND($T130=1,BP$5&lt;=$H130),INDEX(Mortality!$B$4:$E$64,MATCH($D130+BP$5-1,Mortality!$A$4:$A$64,0),$U130)*$V130*$N130,0)</f>
        <v>0</v>
      </c>
      <c r="BQ130" s="93">
        <f>IF(AND($T130=1,BQ$5&lt;=$H130),INDEX(Mortality!$B$4:$E$64,MATCH($D130+BQ$5-1,Mortality!$A$4:$A$64,0),$U130)*$V130*$N130,0)</f>
        <v>0</v>
      </c>
      <c r="BR130" s="93">
        <f>IF(AND($T130=1,BR$5&lt;=$H130),INDEX(Mortality!$B$4:$E$64,MATCH($D130+BR$5-1,Mortality!$A$4:$A$64,0),$U130)*$V130*$N130,0)</f>
        <v>0</v>
      </c>
      <c r="BS130" s="93">
        <f>IF(AND($T130=1,BS$5&lt;=$H130),INDEX(Mortality!$B$4:$E$64,MATCH($D130+BS$5-1,Mortality!$A$4:$A$64,0),$U130)*$V130*$N130,0)</f>
        <v>0</v>
      </c>
      <c r="BT130" s="93">
        <f>IF(AND($T130=1,BT$5&lt;=$H130),INDEX(Mortality!$B$4:$E$64,MATCH($D130+BT$5-1,Mortality!$A$4:$A$64,0),$U130)*$V130*$N130,0)</f>
        <v>0</v>
      </c>
      <c r="BU130" s="93">
        <f>IF(AND($T130=1,BU$5&lt;=$H130),INDEX(Mortality!$B$4:$E$64,MATCH($D130+BU$5-1,Mortality!$A$4:$A$64,0),$U130)*$V130*$N130,0)</f>
        <v>0</v>
      </c>
      <c r="BV130" s="93">
        <f>IF(AND($T130=1,BV$5&lt;=$H130),INDEX(Mortality!$B$4:$E$64,MATCH($D130+BV$5-1,Mortality!$A$4:$A$64,0),$U130)*$V130*$N130,0)</f>
        <v>0</v>
      </c>
      <c r="BW130" s="93">
        <f>IF(AND($T130=1,BW$5&lt;=$H130),INDEX(Mortality!$B$4:$E$64,MATCH($D130+BW$5-1,Mortality!$A$4:$A$64,0),$U130)*$V130*$N130,0)</f>
        <v>0</v>
      </c>
      <c r="BX130" s="93">
        <f>IF(AND($T130=1,BX$5&lt;=$H130),INDEX(Mortality!$B$4:$E$64,MATCH($D130+BX$5-1,Mortality!$A$4:$A$64,0),$U130)*$V130*$N130,0)</f>
        <v>0</v>
      </c>
      <c r="BY130" s="93">
        <f>IF(AND($T130=1,BY$5&lt;=$H130),INDEX(Mortality!$B$4:$E$64,MATCH($D130+BY$5-1,Mortality!$A$4:$A$64,0),$U130)*$V130*$N130,0)</f>
        <v>0</v>
      </c>
      <c r="BZ130" s="93">
        <f>IF(AND($T130=1,BZ$5&lt;=$H130),INDEX(Mortality!$B$4:$E$64,MATCH($D130+BZ$5-1,Mortality!$A$4:$A$64,0),$U130)*$V130*$N130,0)</f>
        <v>0</v>
      </c>
      <c r="CA130" s="93">
        <f>IF(AND($T130=1,CA$5&lt;=$H130),INDEX(Mortality!$B$4:$E$64,MATCH($D130+CA$5-1,Mortality!$A$4:$A$64,0),$U130)*$V130*$N130,0)</f>
        <v>0</v>
      </c>
      <c r="CB130" s="93">
        <f>IF(AND($T130=1,CB$5&lt;=$H130),INDEX(Mortality!$B$4:$E$64,MATCH($D130+CB$5-1,Mortality!$A$4:$A$64,0),$U130)*$V130*$N130,0)</f>
        <v>0</v>
      </c>
      <c r="CC130" s="93">
        <f>IF(AND($T130=1,CC$5&lt;=$H130),INDEX(Mortality!$B$4:$E$64,MATCH($D130+CC$5-1,Mortality!$A$4:$A$64,0),$U130)*$V130*$N130,0)</f>
        <v>0</v>
      </c>
      <c r="CD130" s="93">
        <f>IF(AND($T130=1,CD$5&lt;=$H130),INDEX(Mortality!$B$4:$E$64,MATCH($D130+CD$5-1,Mortality!$A$4:$A$64,0),$U130)*$V130*$N130,0)</f>
        <v>0</v>
      </c>
      <c r="CE130" s="93">
        <f>IF(AND($T130=1,CE$5&lt;=$H130),INDEX(Mortality!$B$4:$E$64,MATCH($D130+CE$5-1,Mortality!$A$4:$A$64,0),$U130)*$V130*$N130,0)</f>
        <v>0</v>
      </c>
      <c r="CF130" s="93">
        <f>IF(AND($T130=1,CF$5&lt;=$H130),INDEX(Mortality!$B$4:$E$64,MATCH($D130+CF$5-1,Mortality!$A$4:$A$64,0),$U130)*$V130*$N130,0)</f>
        <v>0</v>
      </c>
      <c r="CG130" s="93">
        <f>IF(AND($T130=1,CG$5&lt;=$H130),INDEX(Mortality!$B$4:$E$64,MATCH($D130+CG$5-1,Mortality!$A$4:$A$64,0),$U130)*$V130*$N130,0)</f>
        <v>0</v>
      </c>
      <c r="CH130" s="94">
        <f>IF(AND($T130=1,CH$5&lt;=$H130),INDEX(Mortality!$B$4:$E$64,MATCH($D130+CH$5-1,Mortality!$A$4:$A$64,0),$U130)*$V130*$N130,0)</f>
        <v>0</v>
      </c>
      <c r="CI130" s="26"/>
      <c r="CJ130" s="419">
        <f t="shared" si="53"/>
        <v>0</v>
      </c>
      <c r="CK130" s="93">
        <f>IF(AND($T130=1,CK$5&lt;=$H130),CJ130*(1-AU130)*(1-MIN(1,MAX(Assumptions!$C$27,Assumptions!$C$13*Assumptions!$C$28^(CJ$5-1))*$O130)),0)</f>
        <v>0</v>
      </c>
      <c r="CL130" s="93">
        <f>IF(AND($T130=1,CL$5&lt;=$H130),CK130*(1-AV130)*(1-MIN(1,MAX(Assumptions!$C$27,Assumptions!$C$13*Assumptions!$C$28^(CK$5-1))*$O130)),0)</f>
        <v>0</v>
      </c>
      <c r="CM130" s="93">
        <f>IF(AND($T130=1,CM$5&lt;=$H130),CL130*(1-AW130)*(1-MIN(1,MAX(Assumptions!$C$27,Assumptions!$C$13*Assumptions!$C$28^(CL$5-1))*$O130)),0)</f>
        <v>0</v>
      </c>
      <c r="CN130" s="93">
        <f>IF(AND($T130=1,CN$5&lt;=$H130),CM130*(1-AX130)*(1-MIN(1,MAX(Assumptions!$C$27,Assumptions!$C$13*Assumptions!$C$28^(CM$5-1))*$O130)),0)</f>
        <v>0</v>
      </c>
      <c r="CO130" s="93">
        <f>IF(AND($T130=1,CO$5&lt;=$H130),CN130*(1-AY130)*(1-MIN(1,MAX(Assumptions!$C$27,Assumptions!$C$13*Assumptions!$C$28^(CN$5-1))*$O130)),0)</f>
        <v>0</v>
      </c>
      <c r="CP130" s="93">
        <f>IF(AND($T130=1,CP$5&lt;=$H130),CO130*(1-AZ130)*(1-MIN(1,MAX(Assumptions!$C$27,Assumptions!$C$13*Assumptions!$C$28^(CO$5-1))*$O130)),0)</f>
        <v>0</v>
      </c>
      <c r="CQ130" s="93">
        <f>IF(AND($T130=1,CQ$5&lt;=$H130),CP130*(1-BA130)*(1-MIN(1,MAX(Assumptions!$C$27,Assumptions!$C$13*Assumptions!$C$28^(CP$5-1))*$O130)),0)</f>
        <v>0</v>
      </c>
      <c r="CR130" s="93">
        <f>IF(AND($T130=1,CR$5&lt;=$H130),CQ130*(1-BB130)*(1-MIN(1,MAX(Assumptions!$C$27,Assumptions!$C$13*Assumptions!$C$28^(CQ$5-1))*$O130)),0)</f>
        <v>0</v>
      </c>
      <c r="CS130" s="93">
        <f>IF(AND($T130=1,CS$5&lt;=$H130),CR130*(1-BC130)*(1-MIN(1,MAX(Assumptions!$C$27,Assumptions!$C$13*Assumptions!$C$28^(CR$5-1))*$O130)),0)</f>
        <v>0</v>
      </c>
      <c r="CT130" s="93">
        <f>IF(AND($T130=1,CT$5&lt;=$H130),CS130*(1-BD130)*(1-MIN(1,MAX(Assumptions!$C$27,Assumptions!$C$13*Assumptions!$C$28^(CS$5-1))*$O130)),0)</f>
        <v>0</v>
      </c>
      <c r="CU130" s="93">
        <f>IF(AND($T130=1,CU$5&lt;=$H130),CT130*(1-BE130)*(1-MIN(1,MAX(Assumptions!$C$27,Assumptions!$C$13*Assumptions!$C$28^(CT$5-1))*$O130)),0)</f>
        <v>0</v>
      </c>
      <c r="CV130" s="93">
        <f>IF(AND($T130=1,CV$5&lt;=$H130),CU130*(1-BF130)*(1-MIN(1,MAX(Assumptions!$C$27,Assumptions!$C$13*Assumptions!$C$28^(CU$5-1))*$O130)),0)</f>
        <v>0</v>
      </c>
      <c r="CW130" s="93">
        <f>IF(AND($T130=1,CW$5&lt;=$H130),CV130*(1-BG130)*(1-MIN(1,MAX(Assumptions!$C$27,Assumptions!$C$13*Assumptions!$C$28^(CV$5-1))*$O130)),0)</f>
        <v>0</v>
      </c>
      <c r="CX130" s="93">
        <f>IF(AND($T130=1,CX$5&lt;=$H130),CW130*(1-BH130)*(1-MIN(1,MAX(Assumptions!$C$27,Assumptions!$C$13*Assumptions!$C$28^(CW$5-1))*$O130)),0)</f>
        <v>0</v>
      </c>
      <c r="CY130" s="93">
        <f>IF(AND($T130=1,CY$5&lt;=$H130),CX130*(1-BI130)*(1-MIN(1,MAX(Assumptions!$C$27,Assumptions!$C$13*Assumptions!$C$28^(CX$5-1))*$O130)),0)</f>
        <v>0</v>
      </c>
      <c r="CZ130" s="93">
        <f>IF(AND($T130=1,CZ$5&lt;=$H130),CY130*(1-BJ130)*(1-MIN(1,MAX(Assumptions!$C$27,Assumptions!$C$13*Assumptions!$C$28^(CY$5-1))*$O130)),0)</f>
        <v>0</v>
      </c>
      <c r="DA130" s="93">
        <f>IF(AND($T130=1,DA$5&lt;=$H130),CZ130*(1-BK130)*(1-MIN(1,MAX(Assumptions!$C$27,Assumptions!$C$13*Assumptions!$C$28^(CZ$5-1))*$O130)),0)</f>
        <v>0</v>
      </c>
      <c r="DB130" s="93">
        <f>IF(AND($T130=1,DB$5&lt;=$H130),DA130*(1-BL130)*(1-MIN(1,MAX(Assumptions!$C$27,Assumptions!$C$13*Assumptions!$C$28^(DA$5-1))*$O130)),0)</f>
        <v>0</v>
      </c>
      <c r="DC130" s="93">
        <f>IF(AND($T130=1,DC$5&lt;=$H130),DB130*(1-BM130)*(1-MIN(1,MAX(Assumptions!$C$27,Assumptions!$C$13*Assumptions!$C$28^(DB$5-1))*$O130)),0)</f>
        <v>0</v>
      </c>
      <c r="DD130" s="93">
        <f>IF(AND($T130=1,DD$5&lt;=$H130),DC130*(1-BN130)*(1-MIN(1,MAX(Assumptions!$C$27,Assumptions!$C$13*Assumptions!$C$28^(DC$5-1))*$O130)),0)</f>
        <v>0</v>
      </c>
      <c r="DE130" s="93">
        <f>IF(AND($T130=1,DE$5&lt;=$H130),DD130*(1-BO130)*(1-MIN(1,MAX(Assumptions!$C$27,Assumptions!$C$13*Assumptions!$C$28^(DD$5-1))*$O130)),0)</f>
        <v>0</v>
      </c>
      <c r="DF130" s="93">
        <f>IF(AND($T130=1,DF$5&lt;=$H130),DE130*(1-BP130)*(1-MIN(1,MAX(Assumptions!$C$27,Assumptions!$C$13*Assumptions!$C$28^(DE$5-1))*$O130)),0)</f>
        <v>0</v>
      </c>
      <c r="DG130" s="93">
        <f>IF(AND($T130=1,DG$5&lt;=$H130),DF130*(1-BQ130)*(1-MIN(1,MAX(Assumptions!$C$27,Assumptions!$C$13*Assumptions!$C$28^(DF$5-1))*$O130)),0)</f>
        <v>0</v>
      </c>
      <c r="DH130" s="93">
        <f>IF(AND($T130=1,DH$5&lt;=$H130),DG130*(1-BR130)*(1-MIN(1,MAX(Assumptions!$C$27,Assumptions!$C$13*Assumptions!$C$28^(DG$5-1))*$O130)),0)</f>
        <v>0</v>
      </c>
      <c r="DI130" s="93">
        <f>IF(AND($T130=1,DI$5&lt;=$H130),DH130*(1-BS130)*(1-MIN(1,MAX(Assumptions!$C$27,Assumptions!$C$13*Assumptions!$C$28^(DH$5-1))*$O130)),0)</f>
        <v>0</v>
      </c>
      <c r="DJ130" s="93">
        <f>IF(AND($T130=1,DJ$5&lt;=$H130),DI130*(1-BT130)*(1-MIN(1,MAX(Assumptions!$C$27,Assumptions!$C$13*Assumptions!$C$28^(DI$5-1))*$O130)),0)</f>
        <v>0</v>
      </c>
      <c r="DK130" s="93">
        <f>IF(AND($T130=1,DK$5&lt;=$H130),DJ130*(1-BU130)*(1-MIN(1,MAX(Assumptions!$C$27,Assumptions!$C$13*Assumptions!$C$28^(DJ$5-1))*$O130)),0)</f>
        <v>0</v>
      </c>
      <c r="DL130" s="93">
        <f>IF(AND($T130=1,DL$5&lt;=$H130),DK130*(1-BV130)*(1-MIN(1,MAX(Assumptions!$C$27,Assumptions!$C$13*Assumptions!$C$28^(DK$5-1))*$O130)),0)</f>
        <v>0</v>
      </c>
      <c r="DM130" s="93">
        <f>IF(AND($T130=1,DM$5&lt;=$H130),DL130*(1-BW130)*(1-MIN(1,MAX(Assumptions!$C$27,Assumptions!$C$13*Assumptions!$C$28^(DL$5-1))*$O130)),0)</f>
        <v>0</v>
      </c>
      <c r="DN130" s="93">
        <f>IF(AND($T130=1,DN$5&lt;=$H130),DM130*(1-BX130)*(1-MIN(1,MAX(Assumptions!$C$27,Assumptions!$C$13*Assumptions!$C$28^(DM$5-1))*$O130)),0)</f>
        <v>0</v>
      </c>
      <c r="DO130" s="93">
        <f>IF(AND($T130=1,DO$5&lt;=$H130),DN130*(1-BY130)*(1-MIN(1,MAX(Assumptions!$C$27,Assumptions!$C$13*Assumptions!$C$28^(DN$5-1))*$O130)),0)</f>
        <v>0</v>
      </c>
      <c r="DP130" s="93">
        <f>IF(AND($T130=1,DP$5&lt;=$H130),DO130*(1-BZ130)*(1-MIN(1,MAX(Assumptions!$C$27,Assumptions!$C$13*Assumptions!$C$28^(DO$5-1))*$O130)),0)</f>
        <v>0</v>
      </c>
      <c r="DQ130" s="93">
        <f>IF(AND($T130=1,DQ$5&lt;=$H130),DP130*(1-CA130)*(1-MIN(1,MAX(Assumptions!$C$27,Assumptions!$C$13*Assumptions!$C$28^(DP$5-1))*$O130)),0)</f>
        <v>0</v>
      </c>
      <c r="DR130" s="93">
        <f>IF(AND($T130=1,DR$5&lt;=$H130),DQ130*(1-CB130)*(1-MIN(1,MAX(Assumptions!$C$27,Assumptions!$C$13*Assumptions!$C$28^(DQ$5-1))*$O130)),0)</f>
        <v>0</v>
      </c>
      <c r="DS130" s="93">
        <f>IF(AND($T130=1,DS$5&lt;=$H130),DR130*(1-CC130)*(1-MIN(1,MAX(Assumptions!$C$27,Assumptions!$C$13*Assumptions!$C$28^(DR$5-1))*$O130)),0)</f>
        <v>0</v>
      </c>
      <c r="DT130" s="93">
        <f>IF(AND($T130=1,DT$5&lt;=$H130),DS130*(1-CD130)*(1-MIN(1,MAX(Assumptions!$C$27,Assumptions!$C$13*Assumptions!$C$28^(DS$5-1))*$O130)),0)</f>
        <v>0</v>
      </c>
      <c r="DU130" s="93">
        <f>IF(AND($T130=1,DU$5&lt;=$H130),DT130*(1-CE130)*(1-MIN(1,MAX(Assumptions!$C$27,Assumptions!$C$13*Assumptions!$C$28^(DT$5-1))*$O130)),0)</f>
        <v>0</v>
      </c>
      <c r="DV130" s="93">
        <f>IF(AND($T130=1,DV$5&lt;=$H130),DU130*(1-CF130)*(1-MIN(1,MAX(Assumptions!$C$27,Assumptions!$C$13*Assumptions!$C$28^(DU$5-1))*$O130)),0)</f>
        <v>0</v>
      </c>
      <c r="DW130" s="94">
        <f>IF(AND($T130=1,DW$5&lt;=$H130),DV130*(1-CG130)*(1-MIN(1,MAX(Assumptions!$C$27,Assumptions!$C$13*Assumptions!$C$28^(DV$5-1))*$O130)),0)</f>
        <v>0</v>
      </c>
      <c r="DX130" s="26"/>
      <c r="DY130" s="399">
        <f>'Policy Data'!K104</f>
        <v>4</v>
      </c>
      <c r="DZ130" s="100">
        <f>'Policy Data'!L104</f>
        <v>0.64249999999999996</v>
      </c>
      <c r="EA130" s="100">
        <f>'Policy Data'!N104</f>
        <v>4.3010000000000001E-3</v>
      </c>
      <c r="EB130" s="93" cm="1">
        <f t="array" ref="EB130">IFERROR(DZ130*INDEX(Mortality!$B$4:$E$64,MATCH(D130+DY130-1,Mortality!$A$4:$A$64,0),U130)*V130,0)</f>
        <v>5.4677422723474469E-3</v>
      </c>
      <c r="EC130" s="100">
        <f>'Policy Data'!O104</f>
        <v>0</v>
      </c>
      <c r="ED130" s="400">
        <f>'Policy Data'!Q104</f>
        <v>0</v>
      </c>
    </row>
    <row r="131" spans="1:134" x14ac:dyDescent="0.3">
      <c r="A131" s="399" t="str">
        <f>'Policy Data'!A105</f>
        <v>POL100101</v>
      </c>
      <c r="B131" s="26" t="s">
        <v>426</v>
      </c>
      <c r="C131" s="100" t="str">
        <f>'Policy Data'!B105</f>
        <v>Term Life</v>
      </c>
      <c r="D131" s="100">
        <f>'Policy Data'!C105</f>
        <v>52</v>
      </c>
      <c r="E131" s="100" t="str">
        <f>'Policy Data'!D105</f>
        <v>Female</v>
      </c>
      <c r="F131" s="100" t="str">
        <f>'Policy Data'!E105</f>
        <v>Smoker</v>
      </c>
      <c r="G131" s="100" t="str">
        <f>'Policy Data'!F105</f>
        <v>Standard</v>
      </c>
      <c r="H131" s="100">
        <f>'Policy Data'!G105</f>
        <v>15</v>
      </c>
      <c r="I131" s="279">
        <f>'Policy Data'!H105</f>
        <v>250000</v>
      </c>
      <c r="J131" s="100" t="str">
        <f>'Policy Data'!I105</f>
        <v>Annual</v>
      </c>
      <c r="K131" s="100" t="str">
        <f>'Policy Data'!J105</f>
        <v>Bancassurance</v>
      </c>
      <c r="L131" s="26" t="s">
        <v>389</v>
      </c>
      <c r="M131" s="106">
        <f>'Policy Data'!R105</f>
        <v>1699.67</v>
      </c>
      <c r="N131" s="415">
        <f>Assumptions!$C$21</f>
        <v>1</v>
      </c>
      <c r="O131" s="415">
        <f>Assumptions!$C$22</f>
        <v>1</v>
      </c>
      <c r="P131" s="415">
        <f>Assumptions!$C$23</f>
        <v>1</v>
      </c>
      <c r="Q131" s="416">
        <f>Assumptions!$C$24</f>
        <v>0</v>
      </c>
      <c r="R131" s="416">
        <f>Assumptions!$C$6+Assumptions!$C$25</f>
        <v>3.5000000000000003E-2</v>
      </c>
      <c r="S131" s="416">
        <f>Assumptions!$C$15</f>
        <v>1.1000000000000001E-3</v>
      </c>
      <c r="T131" s="26">
        <f t="shared" si="36"/>
        <v>1</v>
      </c>
      <c r="U131" s="26">
        <f t="shared" si="37"/>
        <v>2</v>
      </c>
      <c r="V131" s="389">
        <f>IF($G131="Preferred",Assumptions!$C$30,IF($G131="Rated",Assumptions!$C$31,1))</f>
        <v>1</v>
      </c>
      <c r="W131" s="390">
        <f>IF($K131="Direct",Assumptions!$C$32,IF($K131="Broker",Assumptions!$C$33,IF($K131="Bancassurance",Assumptions!$C$34,Assumptions!$C$11)))+$Q131</f>
        <v>0.2</v>
      </c>
      <c r="X131" s="390">
        <f>Assumptions!$C$12+$Q131</f>
        <v>0.05</v>
      </c>
      <c r="Y131" s="131">
        <f>MIN($I131,Assumptions!$C$14)</f>
        <v>250000</v>
      </c>
      <c r="Z131" s="131">
        <f>MAX($I131-Assumptions!$C$14,0)</f>
        <v>0</v>
      </c>
      <c r="AA131" s="389">
        <f t="shared" si="38"/>
        <v>7.2416175132805449</v>
      </c>
      <c r="AB131" s="389">
        <f t="shared" si="39"/>
        <v>4.2970599112721115E-2</v>
      </c>
      <c r="AC131" s="389">
        <f>IF($T131=1,SUMPRODUCT($CJ131:$DW131,(1+Assumptions!$C$5)^($CJ$5:$DW$5-1),(1+$R131)^(-$CJ$5:$DW$5)),0)</f>
        <v>9.0284935203883858</v>
      </c>
      <c r="AD131" s="389">
        <f t="shared" si="40"/>
        <v>0.50700841189591128</v>
      </c>
      <c r="AE131" s="131">
        <f>IF($T131=1,$AB131*$Y131+(Assumptions!$C$9/(1+$R131)+Assumptions!$C$10*$AC131)*$P131+$S131*$Z131*$AA131,0)</f>
        <v>13598.483570057029</v>
      </c>
      <c r="AF131" s="131">
        <f>IF($T131=1,IF($AA131-$AD131-Assumptions!$C$16*$AA131&gt;0,$AE131/($AA131-$AD131-Assumptions!$C$16*$AA131)*IF($J131="Monthly",1+Assumptions!$C$29,1),"n.a."),"")</f>
        <v>2209.2389350471326</v>
      </c>
      <c r="AG131" s="131">
        <f t="shared" si="41"/>
        <v>1699.67</v>
      </c>
      <c r="AH131" s="131">
        <f t="shared" si="42"/>
        <v>12308.360038797544</v>
      </c>
      <c r="AI131" s="131">
        <f t="shared" si="43"/>
        <v>-2151.870518706608</v>
      </c>
      <c r="AJ131" s="390">
        <f t="shared" si="44"/>
        <v>-0.17482999456658999</v>
      </c>
      <c r="AK131" s="389">
        <f t="shared" si="45"/>
        <v>0.76934639030510243</v>
      </c>
      <c r="AL131" s="131">
        <f t="shared" si="46"/>
        <v>0</v>
      </c>
      <c r="AM131" s="131">
        <f t="shared" si="47"/>
        <v>0</v>
      </c>
      <c r="AN131" s="131">
        <f t="shared" si="48"/>
        <v>0</v>
      </c>
      <c r="AO131" s="131">
        <f t="shared" si="49"/>
        <v>-2151.870518706608</v>
      </c>
      <c r="AP131" s="26" t="str">
        <f t="shared" si="50"/>
        <v>50-59</v>
      </c>
      <c r="AQ131" s="26" t="str">
        <f t="shared" si="51"/>
        <v>Up to 250k</v>
      </c>
      <c r="AR131" s="26" t="str">
        <f>IF($T131=1,IF($AI131&lt;0,"Loss-making",IF($AJ131&lt;Assumptions!$C$16-0.00001,"Below target","At/above target")),"Excluded")</f>
        <v>Loss-making</v>
      </c>
      <c r="AS131" s="103">
        <f t="shared" si="52"/>
        <v>-2151.8703877066082</v>
      </c>
      <c r="AT131" s="26"/>
      <c r="AU131" s="419">
        <f>IF(AND($T131=1,AU$5&lt;=$H131),INDEX(Mortality!$B$4:$E$64,MATCH($D131+AU$5-1,Mortality!$A$4:$A$64,0),$U131)*$V131*$N131,0)</f>
        <v>3.6683745505423299E-3</v>
      </c>
      <c r="AV131" s="93">
        <f>IF(AND($T131=1,AV$5&lt;=$H131),INDEX(Mortality!$B$4:$E$64,MATCH($D131+AV$5-1,Mortality!$A$4:$A$64,0),$U131)*$V131*$N131,0)</f>
        <v>3.9739027099904498E-3</v>
      </c>
      <c r="AW131" s="93">
        <f>IF(AND($T131=1,AW$5&lt;=$H131),INDEX(Mortality!$B$4:$E$64,MATCH($D131+AW$5-1,Mortality!$A$4:$A$64,0),$U131)*$V131*$N131,0)</f>
        <v>4.3048774139311198E-3</v>
      </c>
      <c r="AX131" s="93">
        <f>IF(AND($T131=1,AX$5&lt;=$H131),INDEX(Mortality!$B$4:$E$64,MATCH($D131+AX$5-1,Mortality!$A$4:$A$64,0),$U131)*$V131*$N131,0)</f>
        <v>4.6634180304376098E-3</v>
      </c>
      <c r="AY131" s="93">
        <f>IF(AND($T131=1,AY$5&lt;=$H131),INDEX(Mortality!$B$4:$E$64,MATCH($D131+AY$5-1,Mortality!$A$4:$A$64,0),$U131)*$V131*$N131,0)</f>
        <v>5.0518204435352904E-3</v>
      </c>
      <c r="AZ131" s="93">
        <f>IF(AND($T131=1,AZ$5&lt;=$H131),INDEX(Mortality!$B$4:$E$64,MATCH($D131+AZ$5-1,Mortality!$A$4:$A$64,0),$U131)*$V131*$N131,0)</f>
        <v>5.4725717546977503E-3</v>
      </c>
      <c r="BA131" s="93">
        <f>IF(AND($T131=1,BA$5&lt;=$H131),INDEX(Mortality!$B$4:$E$64,MATCH($D131+BA$5-1,Mortality!$A$4:$A$64,0),$U131)*$V131*$N131,0)</f>
        <v>5.9283662087873303E-3</v>
      </c>
      <c r="BB131" s="93">
        <f>IF(AND($T131=1,BB$5&lt;=$H131),INDEX(Mortality!$B$4:$E$64,MATCH($D131+BB$5-1,Mortality!$A$4:$A$64,0),$U131)*$V131*$N131,0)</f>
        <v>6.4221224464205296E-3</v>
      </c>
      <c r="BC131" s="93">
        <f>IF(AND($T131=1,BC$5&lt;=$H131),INDEX(Mortality!$B$4:$E$64,MATCH($D131+BC$5-1,Mortality!$A$4:$A$64,0),$U131)*$V131*$N131,0)</f>
        <v>6.9570021932324304E-3</v>
      </c>
      <c r="BD131" s="93">
        <f>IF(AND($T131=1,BD$5&lt;=$H131),INDEX(Mortality!$B$4:$E$64,MATCH($D131+BD$5-1,Mortality!$A$4:$A$64,0),$U131)*$V131*$N131,0)</f>
        <v>7.53643050571501E-3</v>
      </c>
      <c r="BE131" s="93">
        <f>IF(AND($T131=1,BE$5&lt;=$H131),INDEX(Mortality!$B$4:$E$64,MATCH($D131+BE$5-1,Mortality!$A$4:$A$64,0),$U131)*$V131*$N131,0)</f>
        <v>8.1641177032721196E-3</v>
      </c>
      <c r="BF131" s="93">
        <f>IF(AND($T131=1,BF$5&lt;=$H131),INDEX(Mortality!$B$4:$E$64,MATCH($D131+BF$5-1,Mortality!$A$4:$A$64,0),$U131)*$V131*$N131,0)</f>
        <v>8.8440831269308798E-3</v>
      </c>
      <c r="BG131" s="93">
        <f>IF(AND($T131=1,BG$5&lt;=$H131),INDEX(Mortality!$B$4:$E$64,MATCH($D131+BG$5-1,Mortality!$A$4:$A$64,0),$U131)*$V131*$N131,0)</f>
        <v>9.5806808768465306E-3</v>
      </c>
      <c r="BH131" s="93">
        <f>IF(AND($T131=1,BH$5&lt;=$H131),INDEX(Mortality!$B$4:$E$64,MATCH($D131+BH$5-1,Mortality!$A$4:$A$64,0),$U131)*$V131*$N131,0)</f>
        <v>1.0378627693408599E-2</v>
      </c>
      <c r="BI131" s="93">
        <f>IF(AND($T131=1,BI$5&lt;=$H131),INDEX(Mortality!$B$4:$E$64,MATCH($D131+BI$5-1,Mortality!$A$4:$A$64,0),$U131)*$V131*$N131,0)</f>
        <v>1.12430331604828E-2</v>
      </c>
      <c r="BJ131" s="93">
        <f>IF(AND($T131=1,BJ$5&lt;=$H131),INDEX(Mortality!$B$4:$E$64,MATCH($D131+BJ$5-1,Mortality!$A$4:$A$64,0),$U131)*$V131*$N131,0)</f>
        <v>0</v>
      </c>
      <c r="BK131" s="93">
        <f>IF(AND($T131=1,BK$5&lt;=$H131),INDEX(Mortality!$B$4:$E$64,MATCH($D131+BK$5-1,Mortality!$A$4:$A$64,0),$U131)*$V131*$N131,0)</f>
        <v>0</v>
      </c>
      <c r="BL131" s="93">
        <f>IF(AND($T131=1,BL$5&lt;=$H131),INDEX(Mortality!$B$4:$E$64,MATCH($D131+BL$5-1,Mortality!$A$4:$A$64,0),$U131)*$V131*$N131,0)</f>
        <v>0</v>
      </c>
      <c r="BM131" s="93">
        <f>IF(AND($T131=1,BM$5&lt;=$H131),INDEX(Mortality!$B$4:$E$64,MATCH($D131+BM$5-1,Mortality!$A$4:$A$64,0),$U131)*$V131*$N131,0)</f>
        <v>0</v>
      </c>
      <c r="BN131" s="93">
        <f>IF(AND($T131=1,BN$5&lt;=$H131),INDEX(Mortality!$B$4:$E$64,MATCH($D131+BN$5-1,Mortality!$A$4:$A$64,0),$U131)*$V131*$N131,0)</f>
        <v>0</v>
      </c>
      <c r="BO131" s="93">
        <f>IF(AND($T131=1,BO$5&lt;=$H131),INDEX(Mortality!$B$4:$E$64,MATCH($D131+BO$5-1,Mortality!$A$4:$A$64,0),$U131)*$V131*$N131,0)</f>
        <v>0</v>
      </c>
      <c r="BP131" s="93">
        <f>IF(AND($T131=1,BP$5&lt;=$H131),INDEX(Mortality!$B$4:$E$64,MATCH($D131+BP$5-1,Mortality!$A$4:$A$64,0),$U131)*$V131*$N131,0)</f>
        <v>0</v>
      </c>
      <c r="BQ131" s="93">
        <f>IF(AND($T131=1,BQ$5&lt;=$H131),INDEX(Mortality!$B$4:$E$64,MATCH($D131+BQ$5-1,Mortality!$A$4:$A$64,0),$U131)*$V131*$N131,0)</f>
        <v>0</v>
      </c>
      <c r="BR131" s="93">
        <f>IF(AND($T131=1,BR$5&lt;=$H131),INDEX(Mortality!$B$4:$E$64,MATCH($D131+BR$5-1,Mortality!$A$4:$A$64,0),$U131)*$V131*$N131,0)</f>
        <v>0</v>
      </c>
      <c r="BS131" s="93">
        <f>IF(AND($T131=1,BS$5&lt;=$H131),INDEX(Mortality!$B$4:$E$64,MATCH($D131+BS$5-1,Mortality!$A$4:$A$64,0),$U131)*$V131*$N131,0)</f>
        <v>0</v>
      </c>
      <c r="BT131" s="93">
        <f>IF(AND($T131=1,BT$5&lt;=$H131),INDEX(Mortality!$B$4:$E$64,MATCH($D131+BT$5-1,Mortality!$A$4:$A$64,0),$U131)*$V131*$N131,0)</f>
        <v>0</v>
      </c>
      <c r="BU131" s="93">
        <f>IF(AND($T131=1,BU$5&lt;=$H131),INDEX(Mortality!$B$4:$E$64,MATCH($D131+BU$5-1,Mortality!$A$4:$A$64,0),$U131)*$V131*$N131,0)</f>
        <v>0</v>
      </c>
      <c r="BV131" s="93">
        <f>IF(AND($T131=1,BV$5&lt;=$H131),INDEX(Mortality!$B$4:$E$64,MATCH($D131+BV$5-1,Mortality!$A$4:$A$64,0),$U131)*$V131*$N131,0)</f>
        <v>0</v>
      </c>
      <c r="BW131" s="93">
        <f>IF(AND($T131=1,BW$5&lt;=$H131),INDEX(Mortality!$B$4:$E$64,MATCH($D131+BW$5-1,Mortality!$A$4:$A$64,0),$U131)*$V131*$N131,0)</f>
        <v>0</v>
      </c>
      <c r="BX131" s="93">
        <f>IF(AND($T131=1,BX$5&lt;=$H131),INDEX(Mortality!$B$4:$E$64,MATCH($D131+BX$5-1,Mortality!$A$4:$A$64,0),$U131)*$V131*$N131,0)</f>
        <v>0</v>
      </c>
      <c r="BY131" s="93">
        <f>IF(AND($T131=1,BY$5&lt;=$H131),INDEX(Mortality!$B$4:$E$64,MATCH($D131+BY$5-1,Mortality!$A$4:$A$64,0),$U131)*$V131*$N131,0)</f>
        <v>0</v>
      </c>
      <c r="BZ131" s="93">
        <f>IF(AND($T131=1,BZ$5&lt;=$H131),INDEX(Mortality!$B$4:$E$64,MATCH($D131+BZ$5-1,Mortality!$A$4:$A$64,0),$U131)*$V131*$N131,0)</f>
        <v>0</v>
      </c>
      <c r="CA131" s="93">
        <f>IF(AND($T131=1,CA$5&lt;=$H131),INDEX(Mortality!$B$4:$E$64,MATCH($D131+CA$5-1,Mortality!$A$4:$A$64,0),$U131)*$V131*$N131,0)</f>
        <v>0</v>
      </c>
      <c r="CB131" s="93">
        <f>IF(AND($T131=1,CB$5&lt;=$H131),INDEX(Mortality!$B$4:$E$64,MATCH($D131+CB$5-1,Mortality!$A$4:$A$64,0),$U131)*$V131*$N131,0)</f>
        <v>0</v>
      </c>
      <c r="CC131" s="93">
        <f>IF(AND($T131=1,CC$5&lt;=$H131),INDEX(Mortality!$B$4:$E$64,MATCH($D131+CC$5-1,Mortality!$A$4:$A$64,0),$U131)*$V131*$N131,0)</f>
        <v>0</v>
      </c>
      <c r="CD131" s="93">
        <f>IF(AND($T131=1,CD$5&lt;=$H131),INDEX(Mortality!$B$4:$E$64,MATCH($D131+CD$5-1,Mortality!$A$4:$A$64,0),$U131)*$V131*$N131,0)</f>
        <v>0</v>
      </c>
      <c r="CE131" s="93">
        <f>IF(AND($T131=1,CE$5&lt;=$H131),INDEX(Mortality!$B$4:$E$64,MATCH($D131+CE$5-1,Mortality!$A$4:$A$64,0),$U131)*$V131*$N131,0)</f>
        <v>0</v>
      </c>
      <c r="CF131" s="93">
        <f>IF(AND($T131=1,CF$5&lt;=$H131),INDEX(Mortality!$B$4:$E$64,MATCH($D131+CF$5-1,Mortality!$A$4:$A$64,0),$U131)*$V131*$N131,0)</f>
        <v>0</v>
      </c>
      <c r="CG131" s="93">
        <f>IF(AND($T131=1,CG$5&lt;=$H131),INDEX(Mortality!$B$4:$E$64,MATCH($D131+CG$5-1,Mortality!$A$4:$A$64,0),$U131)*$V131*$N131,0)</f>
        <v>0</v>
      </c>
      <c r="CH131" s="94">
        <f>IF(AND($T131=1,CH$5&lt;=$H131),INDEX(Mortality!$B$4:$E$64,MATCH($D131+CH$5-1,Mortality!$A$4:$A$64,0),$U131)*$V131*$N131,0)</f>
        <v>0</v>
      </c>
      <c r="CI131" s="26"/>
      <c r="CJ131" s="419">
        <f t="shared" si="53"/>
        <v>1</v>
      </c>
      <c r="CK131" s="93">
        <f>IF(AND($T131=1,CK$5&lt;=$H131),CJ131*(1-AU131)*(1-MIN(1,MAX(Assumptions!$C$27,Assumptions!$C$13*Assumptions!$C$28^(CJ$5-1))*$O131)),0)</f>
        <v>0.87677183039552276</v>
      </c>
      <c r="CL131" s="93">
        <f>IF(AND($T131=1,CL$5&lt;=$H131),CK131*(1-AV131)*(1-MIN(1,MAX(Assumptions!$C$27,Assumptions!$C$13*Assumptions!$C$28^(CK$5-1))*$O131)),0)</f>
        <v>0.78421228674951837</v>
      </c>
      <c r="CM131" s="93">
        <f>IF(AND($T131=1,CM$5&lt;=$H131),CL131*(1-AW131)*(1-MIN(1,MAX(Assumptions!$C$27,Assumptions!$C$13*Assumptions!$C$28^(CL$5-1))*$O131)),0)</f>
        <v>0.71313783753125459</v>
      </c>
      <c r="CN131" s="93">
        <f>IF(AND($T131=1,CN$5&lt;=$H131),CM131*(1-AX131)*(1-MIN(1,MAX(Assumptions!$C$27,Assumptions!$C$13*Assumptions!$C$28^(CM$5-1))*$O131)),0)</f>
        <v>0.65750256924728412</v>
      </c>
      <c r="CO131" s="93">
        <f>IF(AND($T131=1,CO$5&lt;=$H131),CN131*(1-AY131)*(1-MIN(1,MAX(Assumptions!$C$27,Assumptions!$C$13*Assumptions!$C$28^(CN$5-1))*$O131)),0)</f>
        <v>0.61320259683234701</v>
      </c>
      <c r="CP131" s="93">
        <f>IF(AND($T131=1,CP$5&lt;=$H131),CO131*(1-AZ131)*(1-MIN(1,MAX(Assumptions!$C$27,Assumptions!$C$13*Assumptions!$C$28^(CO$5-1))*$O131)),0)</f>
        <v>0.57737572973816964</v>
      </c>
      <c r="CQ131" s="93">
        <f>IF(AND($T131=1,CQ$5&lt;=$H131),CP131*(1-BA131)*(1-MIN(1,MAX(Assumptions!$C$27,Assumptions!$C$13*Assumptions!$C$28^(CP$5-1))*$O131)),0)</f>
        <v>0.5479769109280519</v>
      </c>
      <c r="CR131" s="93">
        <f>IF(AND($T131=1,CR$5&lt;=$H131),CQ131*(1-BB131)*(1-MIN(1,MAX(Assumptions!$C$27,Assumptions!$C$13*Assumptions!$C$28^(CQ$5-1))*$O131)),0)</f>
        <v>0.52351285502020617</v>
      </c>
      <c r="CS131" s="93">
        <f>IF(AND($T131=1,CS$5&lt;=$H131),CR131*(1-BC131)*(1-MIN(1,MAX(Assumptions!$C$27,Assumptions!$C$13*Assumptions!$C$28^(CR$5-1))*$O131)),0)</f>
        <v>0.50287159168975304</v>
      </c>
      <c r="CT131" s="93">
        <f>IF(AND($T131=1,CT$5&lt;=$H131),CS131*(1-BD131)*(1-MIN(1,MAX(Assumptions!$C$27,Assumptions!$C$13*Assumptions!$C$28^(CS$5-1))*$O131)),0)</f>
        <v>0.48521024040009147</v>
      </c>
      <c r="CU131" s="93">
        <f>IF(AND($T131=1,CU$5&lt;=$H131),CT131*(1-BE131)*(1-MIN(1,MAX(Assumptions!$C$27,Assumptions!$C$13*Assumptions!$C$28^(CT$5-1))*$O131)),0)</f>
        <v>0.46987945538818204</v>
      </c>
      <c r="CV131" s="93">
        <f>IF(AND($T131=1,CV$5&lt;=$H131),CU131*(1-BF131)*(1-MIN(1,MAX(Assumptions!$C$27,Assumptions!$C$13*Assumptions!$C$28^(CU$5-1))*$O131)),0)</f>
        <v>0.45637151461373887</v>
      </c>
      <c r="CW131" s="93">
        <f>IF(AND($T131=1,CW$5&lt;=$H131),CV131*(1-BG131)*(1-MIN(1,MAX(Assumptions!$C$27,Assumptions!$C$13*Assumptions!$C$28^(CV$5-1))*$O131)),0)</f>
        <v>0.44295918147552271</v>
      </c>
      <c r="CX131" s="93">
        <f>IF(AND($T131=1,CX$5&lt;=$H131),CW131*(1-BH131)*(1-MIN(1,MAX(Assumptions!$C$27,Assumptions!$C$13*Assumptions!$C$28^(CW$5-1))*$O131)),0)</f>
        <v>0.429594635586659</v>
      </c>
      <c r="CY131" s="93">
        <f>IF(AND($T131=1,CY$5&lt;=$H131),CX131*(1-BI131)*(1-MIN(1,MAX(Assumptions!$C$27,Assumptions!$C$13*Assumptions!$C$28^(CX$5-1))*$O131)),0)</f>
        <v>0</v>
      </c>
      <c r="CZ131" s="93">
        <f>IF(AND($T131=1,CZ$5&lt;=$H131),CY131*(1-BJ131)*(1-MIN(1,MAX(Assumptions!$C$27,Assumptions!$C$13*Assumptions!$C$28^(CY$5-1))*$O131)),0)</f>
        <v>0</v>
      </c>
      <c r="DA131" s="93">
        <f>IF(AND($T131=1,DA$5&lt;=$H131),CZ131*(1-BK131)*(1-MIN(1,MAX(Assumptions!$C$27,Assumptions!$C$13*Assumptions!$C$28^(CZ$5-1))*$O131)),0)</f>
        <v>0</v>
      </c>
      <c r="DB131" s="93">
        <f>IF(AND($T131=1,DB$5&lt;=$H131),DA131*(1-BL131)*(1-MIN(1,MAX(Assumptions!$C$27,Assumptions!$C$13*Assumptions!$C$28^(DA$5-1))*$O131)),0)</f>
        <v>0</v>
      </c>
      <c r="DC131" s="93">
        <f>IF(AND($T131=1,DC$5&lt;=$H131),DB131*(1-BM131)*(1-MIN(1,MAX(Assumptions!$C$27,Assumptions!$C$13*Assumptions!$C$28^(DB$5-1))*$O131)),0)</f>
        <v>0</v>
      </c>
      <c r="DD131" s="93">
        <f>IF(AND($T131=1,DD$5&lt;=$H131),DC131*(1-BN131)*(1-MIN(1,MAX(Assumptions!$C$27,Assumptions!$C$13*Assumptions!$C$28^(DC$5-1))*$O131)),0)</f>
        <v>0</v>
      </c>
      <c r="DE131" s="93">
        <f>IF(AND($T131=1,DE$5&lt;=$H131),DD131*(1-BO131)*(1-MIN(1,MAX(Assumptions!$C$27,Assumptions!$C$13*Assumptions!$C$28^(DD$5-1))*$O131)),0)</f>
        <v>0</v>
      </c>
      <c r="DF131" s="93">
        <f>IF(AND($T131=1,DF$5&lt;=$H131),DE131*(1-BP131)*(1-MIN(1,MAX(Assumptions!$C$27,Assumptions!$C$13*Assumptions!$C$28^(DE$5-1))*$O131)),0)</f>
        <v>0</v>
      </c>
      <c r="DG131" s="93">
        <f>IF(AND($T131=1,DG$5&lt;=$H131),DF131*(1-BQ131)*(1-MIN(1,MAX(Assumptions!$C$27,Assumptions!$C$13*Assumptions!$C$28^(DF$5-1))*$O131)),0)</f>
        <v>0</v>
      </c>
      <c r="DH131" s="93">
        <f>IF(AND($T131=1,DH$5&lt;=$H131),DG131*(1-BR131)*(1-MIN(1,MAX(Assumptions!$C$27,Assumptions!$C$13*Assumptions!$C$28^(DG$5-1))*$O131)),0)</f>
        <v>0</v>
      </c>
      <c r="DI131" s="93">
        <f>IF(AND($T131=1,DI$5&lt;=$H131),DH131*(1-BS131)*(1-MIN(1,MAX(Assumptions!$C$27,Assumptions!$C$13*Assumptions!$C$28^(DH$5-1))*$O131)),0)</f>
        <v>0</v>
      </c>
      <c r="DJ131" s="93">
        <f>IF(AND($T131=1,DJ$5&lt;=$H131),DI131*(1-BT131)*(1-MIN(1,MAX(Assumptions!$C$27,Assumptions!$C$13*Assumptions!$C$28^(DI$5-1))*$O131)),0)</f>
        <v>0</v>
      </c>
      <c r="DK131" s="93">
        <f>IF(AND($T131=1,DK$5&lt;=$H131),DJ131*(1-BU131)*(1-MIN(1,MAX(Assumptions!$C$27,Assumptions!$C$13*Assumptions!$C$28^(DJ$5-1))*$O131)),0)</f>
        <v>0</v>
      </c>
      <c r="DL131" s="93">
        <f>IF(AND($T131=1,DL$5&lt;=$H131),DK131*(1-BV131)*(1-MIN(1,MAX(Assumptions!$C$27,Assumptions!$C$13*Assumptions!$C$28^(DK$5-1))*$O131)),0)</f>
        <v>0</v>
      </c>
      <c r="DM131" s="93">
        <f>IF(AND($T131=1,DM$5&lt;=$H131),DL131*(1-BW131)*(1-MIN(1,MAX(Assumptions!$C$27,Assumptions!$C$13*Assumptions!$C$28^(DL$5-1))*$O131)),0)</f>
        <v>0</v>
      </c>
      <c r="DN131" s="93">
        <f>IF(AND($T131=1,DN$5&lt;=$H131),DM131*(1-BX131)*(1-MIN(1,MAX(Assumptions!$C$27,Assumptions!$C$13*Assumptions!$C$28^(DM$5-1))*$O131)),0)</f>
        <v>0</v>
      </c>
      <c r="DO131" s="93">
        <f>IF(AND($T131=1,DO$5&lt;=$H131),DN131*(1-BY131)*(1-MIN(1,MAX(Assumptions!$C$27,Assumptions!$C$13*Assumptions!$C$28^(DN$5-1))*$O131)),0)</f>
        <v>0</v>
      </c>
      <c r="DP131" s="93">
        <f>IF(AND($T131=1,DP$5&lt;=$H131),DO131*(1-BZ131)*(1-MIN(1,MAX(Assumptions!$C$27,Assumptions!$C$13*Assumptions!$C$28^(DO$5-1))*$O131)),0)</f>
        <v>0</v>
      </c>
      <c r="DQ131" s="93">
        <f>IF(AND($T131=1,DQ$5&lt;=$H131),DP131*(1-CA131)*(1-MIN(1,MAX(Assumptions!$C$27,Assumptions!$C$13*Assumptions!$C$28^(DP$5-1))*$O131)),0)</f>
        <v>0</v>
      </c>
      <c r="DR131" s="93">
        <f>IF(AND($T131=1,DR$5&lt;=$H131),DQ131*(1-CB131)*(1-MIN(1,MAX(Assumptions!$C$27,Assumptions!$C$13*Assumptions!$C$28^(DQ$5-1))*$O131)),0)</f>
        <v>0</v>
      </c>
      <c r="DS131" s="93">
        <f>IF(AND($T131=1,DS$5&lt;=$H131),DR131*(1-CC131)*(1-MIN(1,MAX(Assumptions!$C$27,Assumptions!$C$13*Assumptions!$C$28^(DR$5-1))*$O131)),0)</f>
        <v>0</v>
      </c>
      <c r="DT131" s="93">
        <f>IF(AND($T131=1,DT$5&lt;=$H131),DS131*(1-CD131)*(1-MIN(1,MAX(Assumptions!$C$27,Assumptions!$C$13*Assumptions!$C$28^(DS$5-1))*$O131)),0)</f>
        <v>0</v>
      </c>
      <c r="DU131" s="93">
        <f>IF(AND($T131=1,DU$5&lt;=$H131),DT131*(1-CE131)*(1-MIN(1,MAX(Assumptions!$C$27,Assumptions!$C$13*Assumptions!$C$28^(DT$5-1))*$O131)),0)</f>
        <v>0</v>
      </c>
      <c r="DV131" s="93">
        <f>IF(AND($T131=1,DV$5&lt;=$H131),DU131*(1-CF131)*(1-MIN(1,MAX(Assumptions!$C$27,Assumptions!$C$13*Assumptions!$C$28^(DU$5-1))*$O131)),0)</f>
        <v>0</v>
      </c>
      <c r="DW131" s="94">
        <f>IF(AND($T131=1,DW$5&lt;=$H131),DV131*(1-CG131)*(1-MIN(1,MAX(Assumptions!$C$27,Assumptions!$C$13*Assumptions!$C$28^(DV$5-1))*$O131)),0)</f>
        <v>0</v>
      </c>
      <c r="DX131" s="26"/>
      <c r="DY131" s="399">
        <f>'Policy Data'!K105</f>
        <v>2</v>
      </c>
      <c r="DZ131" s="100">
        <f>'Policy Data'!L105</f>
        <v>0.75739999999999996</v>
      </c>
      <c r="EA131" s="100">
        <f>'Policy Data'!N105</f>
        <v>2.7789999999999998E-3</v>
      </c>
      <c r="EB131" s="93" cm="1">
        <f t="array" ref="EB131">IFERROR(DZ131*INDEX(Mortality!$B$4:$E$64,MATCH(D131+DY131-1,Mortality!$A$4:$A$64,0),U131)*V131,0)</f>
        <v>3.0098339125467664E-3</v>
      </c>
      <c r="EC131" s="100">
        <f>'Policy Data'!O105</f>
        <v>0</v>
      </c>
      <c r="ED131" s="400">
        <f>'Policy Data'!Q105</f>
        <v>0</v>
      </c>
    </row>
    <row r="132" spans="1:134" x14ac:dyDescent="0.3">
      <c r="A132" s="399" t="str">
        <f>'Policy Data'!A106</f>
        <v>POL100102</v>
      </c>
      <c r="B132" s="26" t="s">
        <v>426</v>
      </c>
      <c r="C132" s="100" t="str">
        <f>'Policy Data'!B106</f>
        <v>Term Life</v>
      </c>
      <c r="D132" s="100">
        <f>'Policy Data'!C106</f>
        <v>48</v>
      </c>
      <c r="E132" s="100" t="str">
        <f>'Policy Data'!D106</f>
        <v>Male</v>
      </c>
      <c r="F132" s="100" t="str">
        <f>'Policy Data'!E106</f>
        <v>Smoker</v>
      </c>
      <c r="G132" s="100" t="str">
        <f>'Policy Data'!F106</f>
        <v>Rated</v>
      </c>
      <c r="H132" s="100">
        <f>'Policy Data'!G106</f>
        <v>15</v>
      </c>
      <c r="I132" s="279">
        <f>'Policy Data'!H106</f>
        <v>250000</v>
      </c>
      <c r="J132" s="100" t="str">
        <f>'Policy Data'!I106</f>
        <v>Monthly</v>
      </c>
      <c r="K132" s="100" t="str">
        <f>'Policy Data'!J106</f>
        <v>Bancassurance</v>
      </c>
      <c r="L132" s="26" t="s">
        <v>389</v>
      </c>
      <c r="M132" s="106">
        <f>'Policy Data'!R106</f>
        <v>2265.4</v>
      </c>
      <c r="N132" s="415">
        <f>Assumptions!$C$21</f>
        <v>1</v>
      </c>
      <c r="O132" s="415">
        <f>Assumptions!$C$22</f>
        <v>1</v>
      </c>
      <c r="P132" s="415">
        <f>Assumptions!$C$23</f>
        <v>1</v>
      </c>
      <c r="Q132" s="416">
        <f>Assumptions!$C$24</f>
        <v>0</v>
      </c>
      <c r="R132" s="416">
        <f>Assumptions!$C$6+Assumptions!$C$25</f>
        <v>3.5000000000000003E-2</v>
      </c>
      <c r="S132" s="416">
        <f>Assumptions!$C$15</f>
        <v>1.1000000000000001E-3</v>
      </c>
      <c r="T132" s="26">
        <f t="shared" si="36"/>
        <v>1</v>
      </c>
      <c r="U132" s="26">
        <f t="shared" si="37"/>
        <v>4</v>
      </c>
      <c r="V132" s="389">
        <f>IF($G132="Preferred",Assumptions!$C$30,IF($G132="Rated",Assumptions!$C$31,1))</f>
        <v>1.55</v>
      </c>
      <c r="W132" s="390">
        <f>IF($K132="Direct",Assumptions!$C$32,IF($K132="Broker",Assumptions!$C$33,IF($K132="Bancassurance",Assumptions!$C$34,Assumptions!$C$11)))+$Q132</f>
        <v>0.2</v>
      </c>
      <c r="X132" s="390">
        <f>Assumptions!$C$12+$Q132</f>
        <v>0.05</v>
      </c>
      <c r="Y132" s="131">
        <f>MIN($I132,Assumptions!$C$14)</f>
        <v>250000</v>
      </c>
      <c r="Z132" s="131">
        <f>MAX($I132-Assumptions!$C$14,0)</f>
        <v>0</v>
      </c>
      <c r="AA132" s="389">
        <f t="shared" si="38"/>
        <v>7.1393123938642233</v>
      </c>
      <c r="AB132" s="389">
        <f t="shared" si="39"/>
        <v>6.4191656527394891E-2</v>
      </c>
      <c r="AC132" s="389">
        <f>IF($T132=1,SUMPRODUCT($CJ132:$DW132,(1+Assumptions!$C$5)^($CJ$5:$DW$5-1),(1+$R132)^(-$CJ$5:$DW$5)),0)</f>
        <v>8.8801663741129939</v>
      </c>
      <c r="AD132" s="389">
        <f t="shared" si="40"/>
        <v>0.5018931559250952</v>
      </c>
      <c r="AE132" s="131">
        <f>IF($T132=1,$AB132*$Y132+(Assumptions!$C$9/(1+$R132)+Assumptions!$C$10*$AC132)*$P132+$S132*$Z132*$AA132,0)</f>
        <v>18871.115951544885</v>
      </c>
      <c r="AF132" s="131">
        <f>IF($T132=1,IF($AA132-$AD132-Assumptions!$C$16*$AA132&gt;0,$AE132/($AA132-$AD132-Assumptions!$C$16*$AA132)*IF($J132="Monthly",1+Assumptions!$C$29,1),"n.a."),"")</f>
        <v>3204.1494730526038</v>
      </c>
      <c r="AG132" s="131">
        <f t="shared" si="41"/>
        <v>2265.4</v>
      </c>
      <c r="AH132" s="131">
        <f t="shared" si="42"/>
        <v>16173.398297060012</v>
      </c>
      <c r="AI132" s="131">
        <f t="shared" si="43"/>
        <v>-3834.7064099175841</v>
      </c>
      <c r="AJ132" s="390">
        <f t="shared" si="44"/>
        <v>-0.23709960884439815</v>
      </c>
      <c r="AK132" s="389">
        <f t="shared" si="45"/>
        <v>0.70702069895688924</v>
      </c>
      <c r="AL132" s="131">
        <f t="shared" si="46"/>
        <v>0</v>
      </c>
      <c r="AM132" s="131">
        <f t="shared" si="47"/>
        <v>0</v>
      </c>
      <c r="AN132" s="131">
        <f t="shared" si="48"/>
        <v>0</v>
      </c>
      <c r="AO132" s="131">
        <f t="shared" si="49"/>
        <v>-3834.7064099175841</v>
      </c>
      <c r="AP132" s="26" t="str">
        <f t="shared" si="50"/>
        <v>40-49</v>
      </c>
      <c r="AQ132" s="26" t="str">
        <f t="shared" si="51"/>
        <v>Up to 250k</v>
      </c>
      <c r="AR132" s="26" t="str">
        <f>IF($T132=1,IF($AI132&lt;0,"Loss-making",IF($AJ132&lt;Assumptions!$C$16-0.00001,"Below target","At/above target")),"Excluded")</f>
        <v>Loss-making</v>
      </c>
      <c r="AS132" s="103">
        <f t="shared" si="52"/>
        <v>-3834.706277917584</v>
      </c>
      <c r="AT132" s="26"/>
      <c r="AU132" s="419">
        <f>IF(AND($T132=1,AU$5&lt;=$H132),INDEX(Mortality!$B$4:$E$64,MATCH($D132+AU$5-1,Mortality!$A$4:$A$64,0),$U132)*$V132*$N132,0)</f>
        <v>5.5861172931437912E-3</v>
      </c>
      <c r="AV132" s="93">
        <f>IF(AND($T132=1,AV$5&lt;=$H132),INDEX(Mortality!$B$4:$E$64,MATCH($D132+AV$5-1,Mortality!$A$4:$A$64,0),$U132)*$V132*$N132,0)</f>
        <v>6.051368622178116E-3</v>
      </c>
      <c r="AW132" s="93">
        <f>IF(AND($T132=1,AW$5&lt;=$H132),INDEX(Mortality!$B$4:$E$64,MATCH($D132+AW$5-1,Mortality!$A$4:$A$64,0),$U132)*$V132*$N132,0)</f>
        <v>6.5553693701395892E-3</v>
      </c>
      <c r="AX132" s="93">
        <f>IF(AND($T132=1,AX$5&lt;=$H132),INDEX(Mortality!$B$4:$E$64,MATCH($D132+AX$5-1,Mortality!$A$4:$A$64,0),$U132)*$V132*$N132,0)</f>
        <v>7.10134686250476E-3</v>
      </c>
      <c r="AY132" s="93">
        <f>IF(AND($T132=1,AY$5&lt;=$H132),INDEX(Mortality!$B$4:$E$64,MATCH($D132+AY$5-1,Mortality!$A$4:$A$64,0),$U132)*$V132*$N132,0)</f>
        <v>7.6927972192255408E-3</v>
      </c>
      <c r="AZ132" s="93">
        <f>IF(AND($T132=1,AZ$5&lt;=$H132),INDEX(Mortality!$B$4:$E$64,MATCH($D132+AZ$5-1,Mortality!$A$4:$A$64,0),$U132)*$V132*$N132,0)</f>
        <v>8.3335077418329167E-3</v>
      </c>
      <c r="BA132" s="93">
        <f>IF(AND($T132=1,BA$5&lt;=$H132),INDEX(Mortality!$B$4:$E$64,MATCH($D132+BA$5-1,Mortality!$A$4:$A$64,0),$U132)*$V132*$N132,0)</f>
        <v>9.0275811650967434E-3</v>
      </c>
      <c r="BB132" s="93">
        <f>IF(AND($T132=1,BB$5&lt;=$H132),INDEX(Mortality!$B$4:$E$64,MATCH($D132+BB$5-1,Mortality!$A$4:$A$64,0),$U132)*$V132*$N132,0)</f>
        <v>9.7794619285353369E-3</v>
      </c>
      <c r="BC132" s="93">
        <f>IF(AND($T132=1,BC$5&lt;=$H132),INDEX(Mortality!$B$4:$E$64,MATCH($D132+BC$5-1,Mortality!$A$4:$A$64,0),$U132)*$V132*$N132,0)</f>
        <v>1.0593964636001939E-2</v>
      </c>
      <c r="BD132" s="93">
        <f>IF(AND($T132=1,BD$5&lt;=$H132),INDEX(Mortality!$B$4:$E$64,MATCH($D132+BD$5-1,Mortality!$A$4:$A$64,0),$U132)*$V132*$N132,0)</f>
        <v>1.1476304885586744E-2</v>
      </c>
      <c r="BE132" s="93">
        <f>IF(AND($T132=1,BE$5&lt;=$H132),INDEX(Mortality!$B$4:$E$64,MATCH($D132+BE$5-1,Mortality!$A$4:$A$64,0),$U132)*$V132*$N132,0)</f>
        <v>1.2432132667251074E-2</v>
      </c>
      <c r="BF132" s="93">
        <f>IF(AND($T132=1,BF$5&lt;=$H132),INDEX(Mortality!$B$4:$E$64,MATCH($D132+BF$5-1,Mortality!$A$4:$A$64,0),$U132)*$V132*$N132,0)</f>
        <v>1.3467568542052475E-2</v>
      </c>
      <c r="BG132" s="93">
        <f>IF(AND($T132=1,BG$5&lt;=$H132),INDEX(Mortality!$B$4:$E$64,MATCH($D132+BG$5-1,Mortality!$A$4:$A$64,0),$U132)*$V132*$N132,0)</f>
        <v>1.4589242834631543E-2</v>
      </c>
      <c r="BH132" s="93">
        <f>IF(AND($T132=1,BH$5&lt;=$H132),INDEX(Mortality!$B$4:$E$64,MATCH($D132+BH$5-1,Mortality!$A$4:$A$64,0),$U132)*$V132*$N132,0)</f>
        <v>1.5804338089925894E-2</v>
      </c>
      <c r="BI132" s="93">
        <f>IF(AND($T132=1,BI$5&lt;=$H132),INDEX(Mortality!$B$4:$E$64,MATCH($D132+BI$5-1,Mortality!$A$4:$A$64,0),$U132)*$V132*$N132,0)</f>
        <v>1.7120635065979418E-2</v>
      </c>
      <c r="BJ132" s="93">
        <f>IF(AND($T132=1,BJ$5&lt;=$H132),INDEX(Mortality!$B$4:$E$64,MATCH($D132+BJ$5-1,Mortality!$A$4:$A$64,0),$U132)*$V132*$N132,0)</f>
        <v>0</v>
      </c>
      <c r="BK132" s="93">
        <f>IF(AND($T132=1,BK$5&lt;=$H132),INDEX(Mortality!$B$4:$E$64,MATCH($D132+BK$5-1,Mortality!$A$4:$A$64,0),$U132)*$V132*$N132,0)</f>
        <v>0</v>
      </c>
      <c r="BL132" s="93">
        <f>IF(AND($T132=1,BL$5&lt;=$H132),INDEX(Mortality!$B$4:$E$64,MATCH($D132+BL$5-1,Mortality!$A$4:$A$64,0),$U132)*$V132*$N132,0)</f>
        <v>0</v>
      </c>
      <c r="BM132" s="93">
        <f>IF(AND($T132=1,BM$5&lt;=$H132),INDEX(Mortality!$B$4:$E$64,MATCH($D132+BM$5-1,Mortality!$A$4:$A$64,0),$U132)*$V132*$N132,0)</f>
        <v>0</v>
      </c>
      <c r="BN132" s="93">
        <f>IF(AND($T132=1,BN$5&lt;=$H132),INDEX(Mortality!$B$4:$E$64,MATCH($D132+BN$5-1,Mortality!$A$4:$A$64,0),$U132)*$V132*$N132,0)</f>
        <v>0</v>
      </c>
      <c r="BO132" s="93">
        <f>IF(AND($T132=1,BO$5&lt;=$H132),INDEX(Mortality!$B$4:$E$64,MATCH($D132+BO$5-1,Mortality!$A$4:$A$64,0),$U132)*$V132*$N132,0)</f>
        <v>0</v>
      </c>
      <c r="BP132" s="93">
        <f>IF(AND($T132=1,BP$5&lt;=$H132),INDEX(Mortality!$B$4:$E$64,MATCH($D132+BP$5-1,Mortality!$A$4:$A$64,0),$U132)*$V132*$N132,0)</f>
        <v>0</v>
      </c>
      <c r="BQ132" s="93">
        <f>IF(AND($T132=1,BQ$5&lt;=$H132),INDEX(Mortality!$B$4:$E$64,MATCH($D132+BQ$5-1,Mortality!$A$4:$A$64,0),$U132)*$V132*$N132,0)</f>
        <v>0</v>
      </c>
      <c r="BR132" s="93">
        <f>IF(AND($T132=1,BR$5&lt;=$H132),INDEX(Mortality!$B$4:$E$64,MATCH($D132+BR$5-1,Mortality!$A$4:$A$64,0),$U132)*$V132*$N132,0)</f>
        <v>0</v>
      </c>
      <c r="BS132" s="93">
        <f>IF(AND($T132=1,BS$5&lt;=$H132),INDEX(Mortality!$B$4:$E$64,MATCH($D132+BS$5-1,Mortality!$A$4:$A$64,0),$U132)*$V132*$N132,0)</f>
        <v>0</v>
      </c>
      <c r="BT132" s="93">
        <f>IF(AND($T132=1,BT$5&lt;=$H132),INDEX(Mortality!$B$4:$E$64,MATCH($D132+BT$5-1,Mortality!$A$4:$A$64,0),$U132)*$V132*$N132,0)</f>
        <v>0</v>
      </c>
      <c r="BU132" s="93">
        <f>IF(AND($T132=1,BU$5&lt;=$H132),INDEX(Mortality!$B$4:$E$64,MATCH($D132+BU$5-1,Mortality!$A$4:$A$64,0),$U132)*$V132*$N132,0)</f>
        <v>0</v>
      </c>
      <c r="BV132" s="93">
        <f>IF(AND($T132=1,BV$5&lt;=$H132),INDEX(Mortality!$B$4:$E$64,MATCH($D132+BV$5-1,Mortality!$A$4:$A$64,0),$U132)*$V132*$N132,0)</f>
        <v>0</v>
      </c>
      <c r="BW132" s="93">
        <f>IF(AND($T132=1,BW$5&lt;=$H132),INDEX(Mortality!$B$4:$E$64,MATCH($D132+BW$5-1,Mortality!$A$4:$A$64,0),$U132)*$V132*$N132,0)</f>
        <v>0</v>
      </c>
      <c r="BX132" s="93">
        <f>IF(AND($T132=1,BX$5&lt;=$H132),INDEX(Mortality!$B$4:$E$64,MATCH($D132+BX$5-1,Mortality!$A$4:$A$64,0),$U132)*$V132*$N132,0)</f>
        <v>0</v>
      </c>
      <c r="BY132" s="93">
        <f>IF(AND($T132=1,BY$5&lt;=$H132),INDEX(Mortality!$B$4:$E$64,MATCH($D132+BY$5-1,Mortality!$A$4:$A$64,0),$U132)*$V132*$N132,0)</f>
        <v>0</v>
      </c>
      <c r="BZ132" s="93">
        <f>IF(AND($T132=1,BZ$5&lt;=$H132),INDEX(Mortality!$B$4:$E$64,MATCH($D132+BZ$5-1,Mortality!$A$4:$A$64,0),$U132)*$V132*$N132,0)</f>
        <v>0</v>
      </c>
      <c r="CA132" s="93">
        <f>IF(AND($T132=1,CA$5&lt;=$H132),INDEX(Mortality!$B$4:$E$64,MATCH($D132+CA$5-1,Mortality!$A$4:$A$64,0),$U132)*$V132*$N132,0)</f>
        <v>0</v>
      </c>
      <c r="CB132" s="93">
        <f>IF(AND($T132=1,CB$5&lt;=$H132),INDEX(Mortality!$B$4:$E$64,MATCH($D132+CB$5-1,Mortality!$A$4:$A$64,0),$U132)*$V132*$N132,0)</f>
        <v>0</v>
      </c>
      <c r="CC132" s="93">
        <f>IF(AND($T132=1,CC$5&lt;=$H132),INDEX(Mortality!$B$4:$E$64,MATCH($D132+CC$5-1,Mortality!$A$4:$A$64,0),$U132)*$V132*$N132,0)</f>
        <v>0</v>
      </c>
      <c r="CD132" s="93">
        <f>IF(AND($T132=1,CD$5&lt;=$H132),INDEX(Mortality!$B$4:$E$64,MATCH($D132+CD$5-1,Mortality!$A$4:$A$64,0),$U132)*$V132*$N132,0)</f>
        <v>0</v>
      </c>
      <c r="CE132" s="93">
        <f>IF(AND($T132=1,CE$5&lt;=$H132),INDEX(Mortality!$B$4:$E$64,MATCH($D132+CE$5-1,Mortality!$A$4:$A$64,0),$U132)*$V132*$N132,0)</f>
        <v>0</v>
      </c>
      <c r="CF132" s="93">
        <f>IF(AND($T132=1,CF$5&lt;=$H132),INDEX(Mortality!$B$4:$E$64,MATCH($D132+CF$5-1,Mortality!$A$4:$A$64,0),$U132)*$V132*$N132,0)</f>
        <v>0</v>
      </c>
      <c r="CG132" s="93">
        <f>IF(AND($T132=1,CG$5&lt;=$H132),INDEX(Mortality!$B$4:$E$64,MATCH($D132+CG$5-1,Mortality!$A$4:$A$64,0),$U132)*$V132*$N132,0)</f>
        <v>0</v>
      </c>
      <c r="CH132" s="94">
        <f>IF(AND($T132=1,CH$5&lt;=$H132),INDEX(Mortality!$B$4:$E$64,MATCH($D132+CH$5-1,Mortality!$A$4:$A$64,0),$U132)*$V132*$N132,0)</f>
        <v>0</v>
      </c>
      <c r="CI132" s="26"/>
      <c r="CJ132" s="419">
        <f t="shared" si="53"/>
        <v>1</v>
      </c>
      <c r="CK132" s="93">
        <f>IF(AND($T132=1,CK$5&lt;=$H132),CJ132*(1-AU132)*(1-MIN(1,MAX(Assumptions!$C$27,Assumptions!$C$13*Assumptions!$C$28^(CJ$5-1))*$O132)),0)</f>
        <v>0.87508421678203341</v>
      </c>
      <c r="CL132" s="93">
        <f>IF(AND($T132=1,CL$5&lt;=$H132),CK132*(1-AV132)*(1-MIN(1,MAX(Assumptions!$C$27,Assumptions!$C$13*Assumptions!$C$28^(CK$5-1))*$O132)),0)</f>
        <v>0.78107030613053008</v>
      </c>
      <c r="CM132" s="93">
        <f>IF(AND($T132=1,CM$5&lt;=$H132),CL132*(1-AW132)*(1-MIN(1,MAX(Assumptions!$C$27,Assumptions!$C$13*Assumptions!$C$28^(CL$5-1))*$O132)),0)</f>
        <v>0.70867522794635518</v>
      </c>
      <c r="CN132" s="93">
        <f>IF(AND($T132=1,CN$5&lt;=$H132),CM132*(1-AX132)*(1-MIN(1,MAX(Assumptions!$C$27,Assumptions!$C$13*Assumptions!$C$28^(CM$5-1))*$O132)),0)</f>
        <v>0.6517877320858938</v>
      </c>
      <c r="CO132" s="93">
        <f>IF(AND($T132=1,CO$5&lt;=$H132),CN132*(1-AY132)*(1-MIN(1,MAX(Assumptions!$C$27,Assumptions!$C$13*Assumptions!$C$28^(CN$5-1))*$O132)),0)</f>
        <v>0.60625927401309843</v>
      </c>
      <c r="CP132" s="93">
        <f>IF(AND($T132=1,CP$5&lt;=$H132),CO132*(1-AZ132)*(1-MIN(1,MAX(Assumptions!$C$27,Assumptions!$C$13*Assumptions!$C$28^(CO$5-1))*$O132)),0)</f>
        <v>0.56919595847425974</v>
      </c>
      <c r="CQ132" s="93">
        <f>IF(AND($T132=1,CQ$5&lt;=$H132),CP132*(1-BA132)*(1-MIN(1,MAX(Assumptions!$C$27,Assumptions!$C$13*Assumptions!$C$28^(CP$5-1))*$O132)),0)</f>
        <v>0.53852941440301116</v>
      </c>
      <c r="CR132" s="93">
        <f>IF(AND($T132=1,CR$5&lt;=$H132),CQ132*(1-BB132)*(1-MIN(1,MAX(Assumptions!$C$27,Assumptions!$C$13*Assumptions!$C$28^(CQ$5-1))*$O132)),0)</f>
        <v>0.51274866288444332</v>
      </c>
      <c r="CS132" s="93">
        <f>IF(AND($T132=1,CS$5&lt;=$H132),CR132*(1-BC132)*(1-MIN(1,MAX(Assumptions!$C$27,Assumptions!$C$13*Assumptions!$C$28^(CR$5-1))*$O132)),0)</f>
        <v>0.4907279449702851</v>
      </c>
      <c r="CT132" s="93">
        <f>IF(AND($T132=1,CT$5&lt;=$H132),CS132*(1-BD132)*(1-MIN(1,MAX(Assumptions!$C$27,Assumptions!$C$13*Assumptions!$C$28^(CS$5-1))*$O132)),0)</f>
        <v>0.47161342135769668</v>
      </c>
      <c r="CU132" s="93">
        <f>IF(AND($T132=1,CU$5&lt;=$H132),CT132*(1-BE132)*(1-MIN(1,MAX(Assumptions!$C$27,Assumptions!$C$13*Assumptions!$C$28^(CT$5-1))*$O132)),0)</f>
        <v>0.45474694411725586</v>
      </c>
      <c r="CV132" s="93">
        <f>IF(AND($T132=1,CV$5&lt;=$H132),CU132*(1-BF132)*(1-MIN(1,MAX(Assumptions!$C$27,Assumptions!$C$13*Assumptions!$C$28^(CU$5-1))*$O132)),0)</f>
        <v>0.43961373297864198</v>
      </c>
      <c r="CW132" s="93">
        <f>IF(AND($T132=1,CW$5&lt;=$H132),CV132*(1-BG132)*(1-MIN(1,MAX(Assumptions!$C$27,Assumptions!$C$13*Assumptions!$C$28^(CV$5-1))*$O132)),0)</f>
        <v>0.42453609944528209</v>
      </c>
      <c r="CX132" s="93">
        <f>IF(AND($T132=1,CX$5&lt;=$H132),CW132*(1-BH132)*(1-MIN(1,MAX(Assumptions!$C$27,Assumptions!$C$13*Assumptions!$C$28^(CW$5-1))*$O132)),0)</f>
        <v>0.40947005565030503</v>
      </c>
      <c r="CY132" s="93">
        <f>IF(AND($T132=1,CY$5&lt;=$H132),CX132*(1-BI132)*(1-MIN(1,MAX(Assumptions!$C$27,Assumptions!$C$13*Assumptions!$C$28^(CX$5-1))*$O132)),0)</f>
        <v>0</v>
      </c>
      <c r="CZ132" s="93">
        <f>IF(AND($T132=1,CZ$5&lt;=$H132),CY132*(1-BJ132)*(1-MIN(1,MAX(Assumptions!$C$27,Assumptions!$C$13*Assumptions!$C$28^(CY$5-1))*$O132)),0)</f>
        <v>0</v>
      </c>
      <c r="DA132" s="93">
        <f>IF(AND($T132=1,DA$5&lt;=$H132),CZ132*(1-BK132)*(1-MIN(1,MAX(Assumptions!$C$27,Assumptions!$C$13*Assumptions!$C$28^(CZ$5-1))*$O132)),0)</f>
        <v>0</v>
      </c>
      <c r="DB132" s="93">
        <f>IF(AND($T132=1,DB$5&lt;=$H132),DA132*(1-BL132)*(1-MIN(1,MAX(Assumptions!$C$27,Assumptions!$C$13*Assumptions!$C$28^(DA$5-1))*$O132)),0)</f>
        <v>0</v>
      </c>
      <c r="DC132" s="93">
        <f>IF(AND($T132=1,DC$5&lt;=$H132),DB132*(1-BM132)*(1-MIN(1,MAX(Assumptions!$C$27,Assumptions!$C$13*Assumptions!$C$28^(DB$5-1))*$O132)),0)</f>
        <v>0</v>
      </c>
      <c r="DD132" s="93">
        <f>IF(AND($T132=1,DD$5&lt;=$H132),DC132*(1-BN132)*(1-MIN(1,MAX(Assumptions!$C$27,Assumptions!$C$13*Assumptions!$C$28^(DC$5-1))*$O132)),0)</f>
        <v>0</v>
      </c>
      <c r="DE132" s="93">
        <f>IF(AND($T132=1,DE$5&lt;=$H132),DD132*(1-BO132)*(1-MIN(1,MAX(Assumptions!$C$27,Assumptions!$C$13*Assumptions!$C$28^(DD$5-1))*$O132)),0)</f>
        <v>0</v>
      </c>
      <c r="DF132" s="93">
        <f>IF(AND($T132=1,DF$5&lt;=$H132),DE132*(1-BP132)*(1-MIN(1,MAX(Assumptions!$C$27,Assumptions!$C$13*Assumptions!$C$28^(DE$5-1))*$O132)),0)</f>
        <v>0</v>
      </c>
      <c r="DG132" s="93">
        <f>IF(AND($T132=1,DG$5&lt;=$H132),DF132*(1-BQ132)*(1-MIN(1,MAX(Assumptions!$C$27,Assumptions!$C$13*Assumptions!$C$28^(DF$5-1))*$O132)),0)</f>
        <v>0</v>
      </c>
      <c r="DH132" s="93">
        <f>IF(AND($T132=1,DH$5&lt;=$H132),DG132*(1-BR132)*(1-MIN(1,MAX(Assumptions!$C$27,Assumptions!$C$13*Assumptions!$C$28^(DG$5-1))*$O132)),0)</f>
        <v>0</v>
      </c>
      <c r="DI132" s="93">
        <f>IF(AND($T132=1,DI$5&lt;=$H132),DH132*(1-BS132)*(1-MIN(1,MAX(Assumptions!$C$27,Assumptions!$C$13*Assumptions!$C$28^(DH$5-1))*$O132)),0)</f>
        <v>0</v>
      </c>
      <c r="DJ132" s="93">
        <f>IF(AND($T132=1,DJ$5&lt;=$H132),DI132*(1-BT132)*(1-MIN(1,MAX(Assumptions!$C$27,Assumptions!$C$13*Assumptions!$C$28^(DI$5-1))*$O132)),0)</f>
        <v>0</v>
      </c>
      <c r="DK132" s="93">
        <f>IF(AND($T132=1,DK$5&lt;=$H132),DJ132*(1-BU132)*(1-MIN(1,MAX(Assumptions!$C$27,Assumptions!$C$13*Assumptions!$C$28^(DJ$5-1))*$O132)),0)</f>
        <v>0</v>
      </c>
      <c r="DL132" s="93">
        <f>IF(AND($T132=1,DL$5&lt;=$H132),DK132*(1-BV132)*(1-MIN(1,MAX(Assumptions!$C$27,Assumptions!$C$13*Assumptions!$C$28^(DK$5-1))*$O132)),0)</f>
        <v>0</v>
      </c>
      <c r="DM132" s="93">
        <f>IF(AND($T132=1,DM$5&lt;=$H132),DL132*(1-BW132)*(1-MIN(1,MAX(Assumptions!$C$27,Assumptions!$C$13*Assumptions!$C$28^(DL$5-1))*$O132)),0)</f>
        <v>0</v>
      </c>
      <c r="DN132" s="93">
        <f>IF(AND($T132=1,DN$5&lt;=$H132),DM132*(1-BX132)*(1-MIN(1,MAX(Assumptions!$C$27,Assumptions!$C$13*Assumptions!$C$28^(DM$5-1))*$O132)),0)</f>
        <v>0</v>
      </c>
      <c r="DO132" s="93">
        <f>IF(AND($T132=1,DO$5&lt;=$H132),DN132*(1-BY132)*(1-MIN(1,MAX(Assumptions!$C$27,Assumptions!$C$13*Assumptions!$C$28^(DN$5-1))*$O132)),0)</f>
        <v>0</v>
      </c>
      <c r="DP132" s="93">
        <f>IF(AND($T132=1,DP$5&lt;=$H132),DO132*(1-BZ132)*(1-MIN(1,MAX(Assumptions!$C$27,Assumptions!$C$13*Assumptions!$C$28^(DO$5-1))*$O132)),0)</f>
        <v>0</v>
      </c>
      <c r="DQ132" s="93">
        <f>IF(AND($T132=1,DQ$5&lt;=$H132),DP132*(1-CA132)*(1-MIN(1,MAX(Assumptions!$C$27,Assumptions!$C$13*Assumptions!$C$28^(DP$5-1))*$O132)),0)</f>
        <v>0</v>
      </c>
      <c r="DR132" s="93">
        <f>IF(AND($T132=1,DR$5&lt;=$H132),DQ132*(1-CB132)*(1-MIN(1,MAX(Assumptions!$C$27,Assumptions!$C$13*Assumptions!$C$28^(DQ$5-1))*$O132)),0)</f>
        <v>0</v>
      </c>
      <c r="DS132" s="93">
        <f>IF(AND($T132=1,DS$5&lt;=$H132),DR132*(1-CC132)*(1-MIN(1,MAX(Assumptions!$C$27,Assumptions!$C$13*Assumptions!$C$28^(DR$5-1))*$O132)),0)</f>
        <v>0</v>
      </c>
      <c r="DT132" s="93">
        <f>IF(AND($T132=1,DT$5&lt;=$H132),DS132*(1-CD132)*(1-MIN(1,MAX(Assumptions!$C$27,Assumptions!$C$13*Assumptions!$C$28^(DS$5-1))*$O132)),0)</f>
        <v>0</v>
      </c>
      <c r="DU132" s="93">
        <f>IF(AND($T132=1,DU$5&lt;=$H132),DT132*(1-CE132)*(1-MIN(1,MAX(Assumptions!$C$27,Assumptions!$C$13*Assumptions!$C$28^(DT$5-1))*$O132)),0)</f>
        <v>0</v>
      </c>
      <c r="DV132" s="93">
        <f>IF(AND($T132=1,DV$5&lt;=$H132),DU132*(1-CF132)*(1-MIN(1,MAX(Assumptions!$C$27,Assumptions!$C$13*Assumptions!$C$28^(DU$5-1))*$O132)),0)</f>
        <v>0</v>
      </c>
      <c r="DW132" s="94">
        <f>IF(AND($T132=1,DW$5&lt;=$H132),DV132*(1-CG132)*(1-MIN(1,MAX(Assumptions!$C$27,Assumptions!$C$13*Assumptions!$C$28^(DV$5-1))*$O132)),0)</f>
        <v>0</v>
      </c>
      <c r="DX132" s="26"/>
      <c r="DY132" s="399">
        <f>'Policy Data'!K106</f>
        <v>5</v>
      </c>
      <c r="DZ132" s="100">
        <f>'Policy Data'!L106</f>
        <v>0.7319</v>
      </c>
      <c r="EA132" s="100">
        <f>'Policy Data'!N106</f>
        <v>4.0889999999999998E-3</v>
      </c>
      <c r="EB132" s="93" cm="1">
        <f t="array" ref="EB132">IFERROR(DZ132*INDEX(Mortality!$B$4:$E$64,MATCH(D132+DY132-1,Mortality!$A$4:$A$64,0),U132)*V132,0)</f>
        <v>5.6303582847511734E-3</v>
      </c>
      <c r="EC132" s="100">
        <f>'Policy Data'!O106</f>
        <v>0</v>
      </c>
      <c r="ED132" s="400">
        <f>'Policy Data'!Q106</f>
        <v>0</v>
      </c>
    </row>
    <row r="133" spans="1:134" x14ac:dyDescent="0.3">
      <c r="A133" s="399" t="str">
        <f>'Policy Data'!A107</f>
        <v>POL100103</v>
      </c>
      <c r="B133" s="26" t="s">
        <v>426</v>
      </c>
      <c r="C133" s="100" t="str">
        <f>'Policy Data'!B107</f>
        <v>Term Life</v>
      </c>
      <c r="D133" s="100">
        <f>'Policy Data'!C107</f>
        <v>40</v>
      </c>
      <c r="E133" s="100" t="str">
        <f>'Policy Data'!D107</f>
        <v>Female</v>
      </c>
      <c r="F133" s="100" t="str">
        <f>'Policy Data'!E107</f>
        <v>Smoker</v>
      </c>
      <c r="G133" s="100" t="str">
        <f>'Policy Data'!F107</f>
        <v>Standard</v>
      </c>
      <c r="H133" s="100">
        <f>'Policy Data'!G107</f>
        <v>20</v>
      </c>
      <c r="I133" s="279">
        <f>'Policy Data'!H107</f>
        <v>500000</v>
      </c>
      <c r="J133" s="100" t="str">
        <f>'Policy Data'!I107</f>
        <v>Annual</v>
      </c>
      <c r="K133" s="100" t="str">
        <f>'Policy Data'!J107</f>
        <v>Broker</v>
      </c>
      <c r="L133" s="26" t="s">
        <v>389</v>
      </c>
      <c r="M133" s="106">
        <f>'Policy Data'!R107</f>
        <v>1583.71</v>
      </c>
      <c r="N133" s="415">
        <f>Assumptions!$C$21</f>
        <v>1</v>
      </c>
      <c r="O133" s="415">
        <f>Assumptions!$C$22</f>
        <v>1</v>
      </c>
      <c r="P133" s="415">
        <f>Assumptions!$C$23</f>
        <v>1</v>
      </c>
      <c r="Q133" s="416">
        <f>Assumptions!$C$24</f>
        <v>0</v>
      </c>
      <c r="R133" s="416">
        <f>Assumptions!$C$6+Assumptions!$C$25</f>
        <v>3.5000000000000003E-2</v>
      </c>
      <c r="S133" s="416">
        <f>Assumptions!$C$15</f>
        <v>1.1000000000000001E-3</v>
      </c>
      <c r="T133" s="26">
        <f t="shared" si="36"/>
        <v>1</v>
      </c>
      <c r="U133" s="26">
        <f t="shared" si="37"/>
        <v>2</v>
      </c>
      <c r="V133" s="389">
        <f>IF($G133="Preferred",Assumptions!$C$30,IF($G133="Rated",Assumptions!$C$31,1))</f>
        <v>1</v>
      </c>
      <c r="W133" s="390">
        <f>IF($K133="Direct",Assumptions!$C$32,IF($K133="Broker",Assumptions!$C$33,IF($K133="Bancassurance",Assumptions!$C$34,Assumptions!$C$11)))+$Q133</f>
        <v>0.25</v>
      </c>
      <c r="X133" s="390">
        <f>Assumptions!$C$12+$Q133</f>
        <v>0.05</v>
      </c>
      <c r="Y133" s="131">
        <f>MIN($I133,Assumptions!$C$14)</f>
        <v>500000</v>
      </c>
      <c r="Z133" s="131">
        <f>MAX($I133-Assumptions!$C$14,0)</f>
        <v>0</v>
      </c>
      <c r="AA133" s="389">
        <f t="shared" si="38"/>
        <v>8.5046922631035251</v>
      </c>
      <c r="AB133" s="389">
        <f t="shared" si="39"/>
        <v>2.3047228330142513E-2</v>
      </c>
      <c r="AC133" s="389">
        <f>IF($T133=1,SUMPRODUCT($CJ133:$DW133,(1+Assumptions!$C$5)^($CJ$5:$DW$5-1),(1+$R133)^(-$CJ$5:$DW$5)),0)</f>
        <v>11.420422524137193</v>
      </c>
      <c r="AD133" s="389">
        <f t="shared" si="40"/>
        <v>0.61847132813102168</v>
      </c>
      <c r="AE133" s="131">
        <f>IF($T133=1,$AB133*$Y133+(Assumptions!$C$9/(1+$R133)+Assumptions!$C$10*$AC133)*$P133+$S133*$Z133*$AA133,0)</f>
        <v>14905.672337772743</v>
      </c>
      <c r="AF133" s="131">
        <f>IF($T133=1,IF($AA133-$AD133-Assumptions!$C$16*$AA133&gt;0,$AE133/($AA133-$AD133-Assumptions!$C$16*$AA133)*IF($J133="Monthly",1+Assumptions!$C$29,1),"n.a."),"")</f>
        <v>2068.5528472998262</v>
      </c>
      <c r="AG133" s="131">
        <f t="shared" si="41"/>
        <v>1583.71</v>
      </c>
      <c r="AH133" s="131">
        <f t="shared" si="42"/>
        <v>13468.966183999684</v>
      </c>
      <c r="AI133" s="131">
        <f t="shared" si="43"/>
        <v>-2416.1853808474389</v>
      </c>
      <c r="AJ133" s="390">
        <f t="shared" si="44"/>
        <v>-0.17938907469511065</v>
      </c>
      <c r="AK133" s="389">
        <f t="shared" si="45"/>
        <v>0.76561254021974201</v>
      </c>
      <c r="AL133" s="131">
        <f t="shared" si="46"/>
        <v>0</v>
      </c>
      <c r="AM133" s="131">
        <f t="shared" si="47"/>
        <v>0</v>
      </c>
      <c r="AN133" s="131">
        <f t="shared" si="48"/>
        <v>0</v>
      </c>
      <c r="AO133" s="131">
        <f t="shared" si="49"/>
        <v>-2416.1853808474389</v>
      </c>
      <c r="AP133" s="26" t="str">
        <f t="shared" si="50"/>
        <v>40-49</v>
      </c>
      <c r="AQ133" s="26" t="str">
        <f t="shared" si="51"/>
        <v>250k-500k</v>
      </c>
      <c r="AR133" s="26" t="str">
        <f>IF($T133=1,IF($AI133&lt;0,"Loss-making",IF($AJ133&lt;Assumptions!$C$16-0.00001,"Below target","At/above target")),"Excluded")</f>
        <v>Loss-making</v>
      </c>
      <c r="AS133" s="103">
        <f t="shared" si="52"/>
        <v>-2416.1852478474389</v>
      </c>
      <c r="AT133" s="26"/>
      <c r="AU133" s="419">
        <f>IF(AND($T133=1,AU$5&lt;=$H133),INDEX(Mortality!$B$4:$E$64,MATCH($D133+AU$5-1,Mortality!$A$4:$A$64,0),$U133)*$V133*$N133,0)</f>
        <v>1.4045945184948099E-3</v>
      </c>
      <c r="AV133" s="93">
        <f>IF(AND($T133=1,AV$5&lt;=$H133),INDEX(Mortality!$B$4:$E$64,MATCH($D133+AV$5-1,Mortality!$A$4:$A$64,0),$U133)*$V133*$N133,0)</f>
        <v>1.52157907721256E-3</v>
      </c>
      <c r="AW133" s="93">
        <f>IF(AND($T133=1,AW$5&lt;=$H133),INDEX(Mortality!$B$4:$E$64,MATCH($D133+AW$5-1,Mortality!$A$4:$A$64,0),$U133)*$V133*$N133,0)</f>
        <v>1.6483069367891701E-3</v>
      </c>
      <c r="AX133" s="93">
        <f>IF(AND($T133=1,AX$5&lt;=$H133),INDEX(Mortality!$B$4:$E$64,MATCH($D133+AX$5-1,Mortality!$A$4:$A$64,0),$U133)*$V133*$N133,0)</f>
        <v>1.78558958818263E-3</v>
      </c>
      <c r="AY133" s="93">
        <f>IF(AND($T133=1,AY$5&lt;=$H133),INDEX(Mortality!$B$4:$E$64,MATCH($D133+AY$5-1,Mortality!$A$4:$A$64,0),$U133)*$V133*$N133,0)</f>
        <v>1.9343061090533E-3</v>
      </c>
      <c r="AZ133" s="93">
        <f>IF(AND($T133=1,AZ$5&lt;=$H133),INDEX(Mortality!$B$4:$E$64,MATCH($D133+AZ$5-1,Mortality!$A$4:$A$64,0),$U133)*$V133*$N133,0)</f>
        <v>2.0954087928621002E-3</v>
      </c>
      <c r="BA133" s="93">
        <f>IF(AND($T133=1,BA$5&lt;=$H133),INDEX(Mortality!$B$4:$E$64,MATCH($D133+BA$5-1,Mortality!$A$4:$A$64,0),$U133)*$V133*$N133,0)</f>
        <v>2.2699292467999099E-3</v>
      </c>
      <c r="BB133" s="93">
        <f>IF(AND($T133=1,BB$5&lt;=$H133),INDEX(Mortality!$B$4:$E$64,MATCH($D133+BB$5-1,Mortality!$A$4:$A$64,0),$U133)*$V133*$N133,0)</f>
        <v>2.4589849975955001E-3</v>
      </c>
      <c r="BC133" s="93">
        <f>IF(AND($T133=1,BC$5&lt;=$H133),INDEX(Mortality!$B$4:$E$64,MATCH($D133+BC$5-1,Mortality!$A$4:$A$64,0),$U133)*$V133*$N133,0)</f>
        <v>2.6637866475019501E-3</v>
      </c>
      <c r="BD133" s="93">
        <f>IF(AND($T133=1,BD$5&lt;=$H133),INDEX(Mortality!$B$4:$E$64,MATCH($D133+BD$5-1,Mortality!$A$4:$A$64,0),$U133)*$V133*$N133,0)</f>
        <v>2.8856456262841002E-3</v>
      </c>
      <c r="BE133" s="93">
        <f>IF(AND($T133=1,BE$5&lt;=$H133),INDEX(Mortality!$B$4:$E$64,MATCH($D133+BE$5-1,Mortality!$A$4:$A$64,0),$U133)*$V133*$N133,0)</f>
        <v>3.1259825888463699E-3</v>
      </c>
      <c r="BF133" s="93">
        <f>IF(AND($T133=1,BF$5&lt;=$H133),INDEX(Mortality!$B$4:$E$64,MATCH($D133+BF$5-1,Mortality!$A$4:$A$64,0),$U133)*$V133*$N133,0)</f>
        <v>3.3863365122743599E-3</v>
      </c>
      <c r="BG133" s="93">
        <f>IF(AND($T133=1,BG$5&lt;=$H133),INDEX(Mortality!$B$4:$E$64,MATCH($D133+BG$5-1,Mortality!$A$4:$A$64,0),$U133)*$V133*$N133,0)</f>
        <v>3.6683745505423299E-3</v>
      </c>
      <c r="BH133" s="93">
        <f>IF(AND($T133=1,BH$5&lt;=$H133),INDEX(Mortality!$B$4:$E$64,MATCH($D133+BH$5-1,Mortality!$A$4:$A$64,0),$U133)*$V133*$N133,0)</f>
        <v>3.9739027099904498E-3</v>
      </c>
      <c r="BI133" s="93">
        <f>IF(AND($T133=1,BI$5&lt;=$H133),INDEX(Mortality!$B$4:$E$64,MATCH($D133+BI$5-1,Mortality!$A$4:$A$64,0),$U133)*$V133*$N133,0)</f>
        <v>4.3048774139311198E-3</v>
      </c>
      <c r="BJ133" s="93">
        <f>IF(AND($T133=1,BJ$5&lt;=$H133),INDEX(Mortality!$B$4:$E$64,MATCH($D133+BJ$5-1,Mortality!$A$4:$A$64,0),$U133)*$V133*$N133,0)</f>
        <v>4.6634180304376098E-3</v>
      </c>
      <c r="BK133" s="93">
        <f>IF(AND($T133=1,BK$5&lt;=$H133),INDEX(Mortality!$B$4:$E$64,MATCH($D133+BK$5-1,Mortality!$A$4:$A$64,0),$U133)*$V133*$N133,0)</f>
        <v>5.0518204435352904E-3</v>
      </c>
      <c r="BL133" s="93">
        <f>IF(AND($T133=1,BL$5&lt;=$H133),INDEX(Mortality!$B$4:$E$64,MATCH($D133+BL$5-1,Mortality!$A$4:$A$64,0),$U133)*$V133*$N133,0)</f>
        <v>5.4725717546977503E-3</v>
      </c>
      <c r="BM133" s="93">
        <f>IF(AND($T133=1,BM$5&lt;=$H133),INDEX(Mortality!$B$4:$E$64,MATCH($D133+BM$5-1,Mortality!$A$4:$A$64,0),$U133)*$V133*$N133,0)</f>
        <v>5.9283662087873303E-3</v>
      </c>
      <c r="BN133" s="93">
        <f>IF(AND($T133=1,BN$5&lt;=$H133),INDEX(Mortality!$B$4:$E$64,MATCH($D133+BN$5-1,Mortality!$A$4:$A$64,0),$U133)*$V133*$N133,0)</f>
        <v>6.4221224464205296E-3</v>
      </c>
      <c r="BO133" s="93">
        <f>IF(AND($T133=1,BO$5&lt;=$H133),INDEX(Mortality!$B$4:$E$64,MATCH($D133+BO$5-1,Mortality!$A$4:$A$64,0),$U133)*$V133*$N133,0)</f>
        <v>0</v>
      </c>
      <c r="BP133" s="93">
        <f>IF(AND($T133=1,BP$5&lt;=$H133),INDEX(Mortality!$B$4:$E$64,MATCH($D133+BP$5-1,Mortality!$A$4:$A$64,0),$U133)*$V133*$N133,0)</f>
        <v>0</v>
      </c>
      <c r="BQ133" s="93">
        <f>IF(AND($T133=1,BQ$5&lt;=$H133),INDEX(Mortality!$B$4:$E$64,MATCH($D133+BQ$5-1,Mortality!$A$4:$A$64,0),$U133)*$V133*$N133,0)</f>
        <v>0</v>
      </c>
      <c r="BR133" s="93">
        <f>IF(AND($T133=1,BR$5&lt;=$H133),INDEX(Mortality!$B$4:$E$64,MATCH($D133+BR$5-1,Mortality!$A$4:$A$64,0),$U133)*$V133*$N133,0)</f>
        <v>0</v>
      </c>
      <c r="BS133" s="93">
        <f>IF(AND($T133=1,BS$5&lt;=$H133),INDEX(Mortality!$B$4:$E$64,MATCH($D133+BS$5-1,Mortality!$A$4:$A$64,0),$U133)*$V133*$N133,0)</f>
        <v>0</v>
      </c>
      <c r="BT133" s="93">
        <f>IF(AND($T133=1,BT$5&lt;=$H133),INDEX(Mortality!$B$4:$E$64,MATCH($D133+BT$5-1,Mortality!$A$4:$A$64,0),$U133)*$V133*$N133,0)</f>
        <v>0</v>
      </c>
      <c r="BU133" s="93">
        <f>IF(AND($T133=1,BU$5&lt;=$H133),INDEX(Mortality!$B$4:$E$64,MATCH($D133+BU$5-1,Mortality!$A$4:$A$64,0),$U133)*$V133*$N133,0)</f>
        <v>0</v>
      </c>
      <c r="BV133" s="93">
        <f>IF(AND($T133=1,BV$5&lt;=$H133),INDEX(Mortality!$B$4:$E$64,MATCH($D133+BV$5-1,Mortality!$A$4:$A$64,0),$U133)*$V133*$N133,0)</f>
        <v>0</v>
      </c>
      <c r="BW133" s="93">
        <f>IF(AND($T133=1,BW$5&lt;=$H133),INDEX(Mortality!$B$4:$E$64,MATCH($D133+BW$5-1,Mortality!$A$4:$A$64,0),$U133)*$V133*$N133,0)</f>
        <v>0</v>
      </c>
      <c r="BX133" s="93">
        <f>IF(AND($T133=1,BX$5&lt;=$H133),INDEX(Mortality!$B$4:$E$64,MATCH($D133+BX$5-1,Mortality!$A$4:$A$64,0),$U133)*$V133*$N133,0)</f>
        <v>0</v>
      </c>
      <c r="BY133" s="93">
        <f>IF(AND($T133=1,BY$5&lt;=$H133),INDEX(Mortality!$B$4:$E$64,MATCH($D133+BY$5-1,Mortality!$A$4:$A$64,0),$U133)*$V133*$N133,0)</f>
        <v>0</v>
      </c>
      <c r="BZ133" s="93">
        <f>IF(AND($T133=1,BZ$5&lt;=$H133),INDEX(Mortality!$B$4:$E$64,MATCH($D133+BZ$5-1,Mortality!$A$4:$A$64,0),$U133)*$V133*$N133,0)</f>
        <v>0</v>
      </c>
      <c r="CA133" s="93">
        <f>IF(AND($T133=1,CA$5&lt;=$H133),INDEX(Mortality!$B$4:$E$64,MATCH($D133+CA$5-1,Mortality!$A$4:$A$64,0),$U133)*$V133*$N133,0)</f>
        <v>0</v>
      </c>
      <c r="CB133" s="93">
        <f>IF(AND($T133=1,CB$5&lt;=$H133),INDEX(Mortality!$B$4:$E$64,MATCH($D133+CB$5-1,Mortality!$A$4:$A$64,0),$U133)*$V133*$N133,0)</f>
        <v>0</v>
      </c>
      <c r="CC133" s="93">
        <f>IF(AND($T133=1,CC$5&lt;=$H133),INDEX(Mortality!$B$4:$E$64,MATCH($D133+CC$5-1,Mortality!$A$4:$A$64,0),$U133)*$V133*$N133,0)</f>
        <v>0</v>
      </c>
      <c r="CD133" s="93">
        <f>IF(AND($T133=1,CD$5&lt;=$H133),INDEX(Mortality!$B$4:$E$64,MATCH($D133+CD$5-1,Mortality!$A$4:$A$64,0),$U133)*$V133*$N133,0)</f>
        <v>0</v>
      </c>
      <c r="CE133" s="93">
        <f>IF(AND($T133=1,CE$5&lt;=$H133),INDEX(Mortality!$B$4:$E$64,MATCH($D133+CE$5-1,Mortality!$A$4:$A$64,0),$U133)*$V133*$N133,0)</f>
        <v>0</v>
      </c>
      <c r="CF133" s="93">
        <f>IF(AND($T133=1,CF$5&lt;=$H133),INDEX(Mortality!$B$4:$E$64,MATCH($D133+CF$5-1,Mortality!$A$4:$A$64,0),$U133)*$V133*$N133,0)</f>
        <v>0</v>
      </c>
      <c r="CG133" s="93">
        <f>IF(AND($T133=1,CG$5&lt;=$H133),INDEX(Mortality!$B$4:$E$64,MATCH($D133+CG$5-1,Mortality!$A$4:$A$64,0),$U133)*$V133*$N133,0)</f>
        <v>0</v>
      </c>
      <c r="CH133" s="94">
        <f>IF(AND($T133=1,CH$5&lt;=$H133),INDEX(Mortality!$B$4:$E$64,MATCH($D133+CH$5-1,Mortality!$A$4:$A$64,0),$U133)*$V133*$N133,0)</f>
        <v>0</v>
      </c>
      <c r="CI133" s="26"/>
      <c r="CJ133" s="419">
        <f t="shared" si="53"/>
        <v>1</v>
      </c>
      <c r="CK133" s="93">
        <f>IF(AND($T133=1,CK$5&lt;=$H133),CJ133*(1-AU133)*(1-MIN(1,MAX(Assumptions!$C$27,Assumptions!$C$13*Assumptions!$C$28^(CJ$5-1))*$O133)),0)</f>
        <v>0.87876395682372455</v>
      </c>
      <c r="CL133" s="93">
        <f>IF(AND($T133=1,CL$5&lt;=$H133),CK133*(1-AV133)*(1-MIN(1,MAX(Assumptions!$C$27,Assumptions!$C$13*Assumptions!$C$28^(CK$5-1))*$O133)),0)</f>
        <v>0.78792930947994544</v>
      </c>
      <c r="CM133" s="93">
        <f>IF(AND($T133=1,CM$5&lt;=$H133),CL133*(1-AW133)*(1-MIN(1,MAX(Assumptions!$C$27,Assumptions!$C$13*Assumptions!$C$28^(CL$5-1))*$O133)),0)</f>
        <v>0.71842969056986172</v>
      </c>
      <c r="CN133" s="93">
        <f>IF(AND($T133=1,CN$5&lt;=$H133),CM133*(1-AX133)*(1-MIN(1,MAX(Assumptions!$C$27,Assumptions!$C$13*Assumptions!$C$28^(CM$5-1))*$O133)),0)</f>
        <v>0.66429673141029144</v>
      </c>
      <c r="CO133" s="93">
        <f>IF(AND($T133=1,CO$5&lt;=$H133),CN133*(1-AY133)*(1-MIN(1,MAX(Assumptions!$C$27,Assumptions!$C$13*Assumptions!$C$28^(CN$5-1))*$O133)),0)</f>
        <v>0.62148022314018969</v>
      </c>
      <c r="CP133" s="93">
        <f>IF(AND($T133=1,CP$5&lt;=$H133),CO133*(1-AZ133)*(1-MIN(1,MAX(Assumptions!$C$27,Assumptions!$C$13*Assumptions!$C$28^(CO$5-1))*$O133)),0)</f>
        <v>0.58715681692353172</v>
      </c>
      <c r="CQ133" s="93">
        <f>IF(AND($T133=1,CQ$5&lt;=$H133),CP133*(1-BA133)*(1-MIN(1,MAX(Assumptions!$C$27,Assumptions!$C$13*Assumptions!$C$28^(CP$5-1))*$O133)),0)</f>
        <v>0.55931082338598148</v>
      </c>
      <c r="CR133" s="93">
        <f>IF(AND($T133=1,CR$5&lt;=$H133),CQ133*(1-BB133)*(1-MIN(1,MAX(Assumptions!$C$27,Assumptions!$C$13*Assumptions!$C$28^(CQ$5-1))*$O133)),0)</f>
        <v>0.53647212641841935</v>
      </c>
      <c r="CS133" s="93">
        <f>IF(AND($T133=1,CS$5&lt;=$H133),CR133*(1-BC133)*(1-MIN(1,MAX(Assumptions!$C$27,Assumptions!$C$13*Assumptions!$C$28^(CR$5-1))*$O133)),0)</f>
        <v>0.51754777878518821</v>
      </c>
      <c r="CT133" s="93">
        <f>IF(AND($T133=1,CT$5&lt;=$H133),CS133*(1-BD133)*(1-MIN(1,MAX(Assumptions!$C$27,Assumptions!$C$13*Assumptions!$C$28^(CS$5-1))*$O133)),0)</f>
        <v>0.50171108823461474</v>
      </c>
      <c r="CU133" s="93">
        <f>IF(AND($T133=1,CU$5&lt;=$H133),CT133*(1-BE133)*(1-MIN(1,MAX(Assumptions!$C$27,Assumptions!$C$13*Assumptions!$C$28^(CT$5-1))*$O133)),0)</f>
        <v>0.48832691143386697</v>
      </c>
      <c r="CV133" s="93">
        <f>IF(AND($T133=1,CV$5&lt;=$H133),CU133*(1-BF133)*(1-MIN(1,MAX(Assumptions!$C$27,Assumptions!$C$13*Assumptions!$C$28^(CU$5-1))*$O133)),0)</f>
        <v>0.47690029410564017</v>
      </c>
      <c r="CW133" s="93">
        <f>IF(AND($T133=1,CW$5&lt;=$H133),CV133*(1-BG133)*(1-MIN(1,MAX(Assumptions!$C$27,Assumptions!$C$13*Assumptions!$C$28^(CV$5-1))*$O133)),0)</f>
        <v>0.46564782829952489</v>
      </c>
      <c r="CX133" s="93">
        <f>IF(AND($T133=1,CX$5&lt;=$H133),CW133*(1-BH133)*(1-MIN(1,MAX(Assumptions!$C$27,Assumptions!$C$13*Assumptions!$C$28^(CW$5-1))*$O133)),0)</f>
        <v>0.45452144135008937</v>
      </c>
      <c r="CY133" s="93">
        <f>IF(AND($T133=1,CY$5&lt;=$H133),CX133*(1-BI133)*(1-MIN(1,MAX(Assumptions!$C$27,Assumptions!$C$13*Assumptions!$C$28^(CX$5-1))*$O133)),0)</f>
        <v>0.44351348661781248</v>
      </c>
      <c r="CZ133" s="93">
        <f>IF(AND($T133=1,CZ$5&lt;=$H133),CY133*(1-BJ133)*(1-MIN(1,MAX(Assumptions!$C$27,Assumptions!$C$13*Assumptions!$C$28^(CY$5-1))*$O133)),0)</f>
        <v>0.43261629387102518</v>
      </c>
      <c r="DA133" s="93">
        <f>IF(AND($T133=1,DA$5&lt;=$H133),CZ133*(1-BK133)*(1-MIN(1,MAX(Assumptions!$C$27,Assumptions!$C$13*Assumptions!$C$28^(CZ$5-1))*$O133)),0)</f>
        <v>0.42182217815277229</v>
      </c>
      <c r="DB133" s="93">
        <f>IF(AND($T133=1,DB$5&lt;=$H133),DA133*(1-BL133)*(1-MIN(1,MAX(Assumptions!$C$27,Assumptions!$C$13*Assumptions!$C$28^(DA$5-1))*$O133)),0)</f>
        <v>0.41112345149480617</v>
      </c>
      <c r="DC133" s="93">
        <f>IF(AND($T133=1,DC$5&lt;=$H133),DB133*(1-BM133)*(1-MIN(1,MAX(Assumptions!$C$27,Assumptions!$C$13*Assumptions!$C$28^(DB$5-1))*$O133)),0)</f>
        <v>0.40051243789497787</v>
      </c>
      <c r="DD133" s="93">
        <f>IF(AND($T133=1,DD$5&lt;=$H133),DC133*(1-BN133)*(1-MIN(1,MAX(Assumptions!$C$27,Assumptions!$C$13*Assumptions!$C$28^(DC$5-1))*$O133)),0)</f>
        <v>0</v>
      </c>
      <c r="DE133" s="93">
        <f>IF(AND($T133=1,DE$5&lt;=$H133),DD133*(1-BO133)*(1-MIN(1,MAX(Assumptions!$C$27,Assumptions!$C$13*Assumptions!$C$28^(DD$5-1))*$O133)),0)</f>
        <v>0</v>
      </c>
      <c r="DF133" s="93">
        <f>IF(AND($T133=1,DF$5&lt;=$H133),DE133*(1-BP133)*(1-MIN(1,MAX(Assumptions!$C$27,Assumptions!$C$13*Assumptions!$C$28^(DE$5-1))*$O133)),0)</f>
        <v>0</v>
      </c>
      <c r="DG133" s="93">
        <f>IF(AND($T133=1,DG$5&lt;=$H133),DF133*(1-BQ133)*(1-MIN(1,MAX(Assumptions!$C$27,Assumptions!$C$13*Assumptions!$C$28^(DF$5-1))*$O133)),0)</f>
        <v>0</v>
      </c>
      <c r="DH133" s="93">
        <f>IF(AND($T133=1,DH$5&lt;=$H133),DG133*(1-BR133)*(1-MIN(1,MAX(Assumptions!$C$27,Assumptions!$C$13*Assumptions!$C$28^(DG$5-1))*$O133)),0)</f>
        <v>0</v>
      </c>
      <c r="DI133" s="93">
        <f>IF(AND($T133=1,DI$5&lt;=$H133),DH133*(1-BS133)*(1-MIN(1,MAX(Assumptions!$C$27,Assumptions!$C$13*Assumptions!$C$28^(DH$5-1))*$O133)),0)</f>
        <v>0</v>
      </c>
      <c r="DJ133" s="93">
        <f>IF(AND($T133=1,DJ$5&lt;=$H133),DI133*(1-BT133)*(1-MIN(1,MAX(Assumptions!$C$27,Assumptions!$C$13*Assumptions!$C$28^(DI$5-1))*$O133)),0)</f>
        <v>0</v>
      </c>
      <c r="DK133" s="93">
        <f>IF(AND($T133=1,DK$5&lt;=$H133),DJ133*(1-BU133)*(1-MIN(1,MAX(Assumptions!$C$27,Assumptions!$C$13*Assumptions!$C$28^(DJ$5-1))*$O133)),0)</f>
        <v>0</v>
      </c>
      <c r="DL133" s="93">
        <f>IF(AND($T133=1,DL$5&lt;=$H133),DK133*(1-BV133)*(1-MIN(1,MAX(Assumptions!$C$27,Assumptions!$C$13*Assumptions!$C$28^(DK$5-1))*$O133)),0)</f>
        <v>0</v>
      </c>
      <c r="DM133" s="93">
        <f>IF(AND($T133=1,DM$5&lt;=$H133),DL133*(1-BW133)*(1-MIN(1,MAX(Assumptions!$C$27,Assumptions!$C$13*Assumptions!$C$28^(DL$5-1))*$O133)),0)</f>
        <v>0</v>
      </c>
      <c r="DN133" s="93">
        <f>IF(AND($T133=1,DN$5&lt;=$H133),DM133*(1-BX133)*(1-MIN(1,MAX(Assumptions!$C$27,Assumptions!$C$13*Assumptions!$C$28^(DM$5-1))*$O133)),0)</f>
        <v>0</v>
      </c>
      <c r="DO133" s="93">
        <f>IF(AND($T133=1,DO$5&lt;=$H133),DN133*(1-BY133)*(1-MIN(1,MAX(Assumptions!$C$27,Assumptions!$C$13*Assumptions!$C$28^(DN$5-1))*$O133)),0)</f>
        <v>0</v>
      </c>
      <c r="DP133" s="93">
        <f>IF(AND($T133=1,DP$5&lt;=$H133),DO133*(1-BZ133)*(1-MIN(1,MAX(Assumptions!$C$27,Assumptions!$C$13*Assumptions!$C$28^(DO$5-1))*$O133)),0)</f>
        <v>0</v>
      </c>
      <c r="DQ133" s="93">
        <f>IF(AND($T133=1,DQ$5&lt;=$H133),DP133*(1-CA133)*(1-MIN(1,MAX(Assumptions!$C$27,Assumptions!$C$13*Assumptions!$C$28^(DP$5-1))*$O133)),0)</f>
        <v>0</v>
      </c>
      <c r="DR133" s="93">
        <f>IF(AND($T133=1,DR$5&lt;=$H133),DQ133*(1-CB133)*(1-MIN(1,MAX(Assumptions!$C$27,Assumptions!$C$13*Assumptions!$C$28^(DQ$5-1))*$O133)),0)</f>
        <v>0</v>
      </c>
      <c r="DS133" s="93">
        <f>IF(AND($T133=1,DS$5&lt;=$H133),DR133*(1-CC133)*(1-MIN(1,MAX(Assumptions!$C$27,Assumptions!$C$13*Assumptions!$C$28^(DR$5-1))*$O133)),0)</f>
        <v>0</v>
      </c>
      <c r="DT133" s="93">
        <f>IF(AND($T133=1,DT$5&lt;=$H133),DS133*(1-CD133)*(1-MIN(1,MAX(Assumptions!$C$27,Assumptions!$C$13*Assumptions!$C$28^(DS$5-1))*$O133)),0)</f>
        <v>0</v>
      </c>
      <c r="DU133" s="93">
        <f>IF(AND($T133=1,DU$5&lt;=$H133),DT133*(1-CE133)*(1-MIN(1,MAX(Assumptions!$C$27,Assumptions!$C$13*Assumptions!$C$28^(DT$5-1))*$O133)),0)</f>
        <v>0</v>
      </c>
      <c r="DV133" s="93">
        <f>IF(AND($T133=1,DV$5&lt;=$H133),DU133*(1-CF133)*(1-MIN(1,MAX(Assumptions!$C$27,Assumptions!$C$13*Assumptions!$C$28^(DU$5-1))*$O133)),0)</f>
        <v>0</v>
      </c>
      <c r="DW133" s="94">
        <f>IF(AND($T133=1,DW$5&lt;=$H133),DV133*(1-CG133)*(1-MIN(1,MAX(Assumptions!$C$27,Assumptions!$C$13*Assumptions!$C$28^(DV$5-1))*$O133)),0)</f>
        <v>0</v>
      </c>
      <c r="DX133" s="26"/>
      <c r="DY133" s="399">
        <f>'Policy Data'!K107</f>
        <v>5</v>
      </c>
      <c r="DZ133" s="100">
        <f>'Policy Data'!L107</f>
        <v>0.67379999999999995</v>
      </c>
      <c r="EA133" s="100">
        <f>'Policy Data'!N107</f>
        <v>9.4600000000000001E-4</v>
      </c>
      <c r="EB133" s="93" cm="1">
        <f t="array" ref="EB133">IFERROR(DZ133*INDEX(Mortality!$B$4:$E$64,MATCH(D133+DY133-1,Mortality!$A$4:$A$64,0),U133)*V133,0)</f>
        <v>1.3033354562801134E-3</v>
      </c>
      <c r="EC133" s="100">
        <f>'Policy Data'!O107</f>
        <v>0</v>
      </c>
      <c r="ED133" s="400">
        <f>'Policy Data'!Q107</f>
        <v>0</v>
      </c>
    </row>
    <row r="134" spans="1:134" x14ac:dyDescent="0.3">
      <c r="A134" s="399" t="str">
        <f>'Policy Data'!A108</f>
        <v>POL100104</v>
      </c>
      <c r="B134" s="26" t="s">
        <v>426</v>
      </c>
      <c r="C134" s="100" t="str">
        <f>'Policy Data'!B108</f>
        <v>Term Life</v>
      </c>
      <c r="D134" s="100">
        <f>'Policy Data'!C108</f>
        <v>39</v>
      </c>
      <c r="E134" s="100" t="str">
        <f>'Policy Data'!D108</f>
        <v>Male</v>
      </c>
      <c r="F134" s="100" t="str">
        <f>'Policy Data'!E108</f>
        <v>Non-smoker</v>
      </c>
      <c r="G134" s="100" t="str">
        <f>'Policy Data'!F108</f>
        <v>Standard</v>
      </c>
      <c r="H134" s="100">
        <f>'Policy Data'!G108</f>
        <v>25</v>
      </c>
      <c r="I134" s="279">
        <f>'Policy Data'!H108</f>
        <v>250000</v>
      </c>
      <c r="J134" s="100" t="str">
        <f>'Policy Data'!I108</f>
        <v>Monthly</v>
      </c>
      <c r="K134" s="100" t="str">
        <f>'Policy Data'!J108</f>
        <v>Direct</v>
      </c>
      <c r="L134" s="26" t="s">
        <v>389</v>
      </c>
      <c r="M134" s="106">
        <f>'Policy Data'!R108</f>
        <v>1200</v>
      </c>
      <c r="N134" s="415">
        <f>Assumptions!$C$21</f>
        <v>1</v>
      </c>
      <c r="O134" s="415">
        <f>Assumptions!$C$22</f>
        <v>1</v>
      </c>
      <c r="P134" s="415">
        <f>Assumptions!$C$23</f>
        <v>1</v>
      </c>
      <c r="Q134" s="416">
        <f>Assumptions!$C$24</f>
        <v>0</v>
      </c>
      <c r="R134" s="416">
        <f>Assumptions!$C$6+Assumptions!$C$25</f>
        <v>3.5000000000000003E-2</v>
      </c>
      <c r="S134" s="416">
        <f>Assumptions!$C$15</f>
        <v>1.1000000000000001E-3</v>
      </c>
      <c r="T134" s="26">
        <f t="shared" si="36"/>
        <v>1</v>
      </c>
      <c r="U134" s="26">
        <f t="shared" si="37"/>
        <v>3</v>
      </c>
      <c r="V134" s="389">
        <f>IF($G134="Preferred",Assumptions!$C$30,IF($G134="Rated",Assumptions!$C$31,1))</f>
        <v>1</v>
      </c>
      <c r="W134" s="390">
        <f>IF($K134="Direct",Assumptions!$C$32,IF($K134="Broker",Assumptions!$C$33,IF($K134="Bancassurance",Assumptions!$C$34,Assumptions!$C$11)))+$Q134</f>
        <v>0.1</v>
      </c>
      <c r="X134" s="390">
        <f>Assumptions!$C$12+$Q134</f>
        <v>0.05</v>
      </c>
      <c r="Y134" s="131">
        <f>MIN($I134,Assumptions!$C$14)</f>
        <v>250000</v>
      </c>
      <c r="Z134" s="131">
        <f>MAX($I134-Assumptions!$C$14,0)</f>
        <v>0</v>
      </c>
      <c r="AA134" s="389">
        <f t="shared" si="38"/>
        <v>9.3933632321773697</v>
      </c>
      <c r="AB134" s="389">
        <f t="shared" si="39"/>
        <v>2.2819076038057759E-2</v>
      </c>
      <c r="AC134" s="389">
        <f>IF($T134=1,SUMPRODUCT($CJ134:$DW134,(1+Assumptions!$C$5)^($CJ$5:$DW$5-1),(1+$R134)^(-$CJ$5:$DW$5)),0)</f>
        <v>13.496995015930677</v>
      </c>
      <c r="AD134" s="389">
        <f t="shared" si="40"/>
        <v>0.51797734035282983</v>
      </c>
      <c r="AE134" s="131">
        <f>IF($T134=1,$AB134*$Y134+(Assumptions!$C$9/(1+$R134)+Assumptions!$C$10*$AC134)*$P134+$S134*$Z134*$AA134,0)</f>
        <v>9543.6731304104942</v>
      </c>
      <c r="AF134" s="131">
        <f>IF($T134=1,IF($AA134-$AD134-Assumptions!$C$16*$AA134&gt;0,$AE134/($AA134-$AD134-Assumptions!$C$16*$AA134)*IF($J134="Monthly",1+Assumptions!$C$29,1),"n.a."),"")</f>
        <v>1210.0054107016097</v>
      </c>
      <c r="AG134" s="131">
        <f t="shared" si="41"/>
        <v>1200</v>
      </c>
      <c r="AH134" s="131">
        <f t="shared" si="42"/>
        <v>11272.035878612844</v>
      </c>
      <c r="AI134" s="131">
        <f t="shared" si="43"/>
        <v>1106.7899397789533</v>
      </c>
      <c r="AJ134" s="390">
        <f t="shared" si="44"/>
        <v>9.8189000789017794E-2</v>
      </c>
      <c r="AK134" s="389">
        <f t="shared" si="45"/>
        <v>0.9917311025115102</v>
      </c>
      <c r="AL134" s="131">
        <f t="shared" si="46"/>
        <v>0</v>
      </c>
      <c r="AM134" s="131">
        <f t="shared" si="47"/>
        <v>0</v>
      </c>
      <c r="AN134" s="131">
        <f t="shared" si="48"/>
        <v>0</v>
      </c>
      <c r="AO134" s="131">
        <f t="shared" si="49"/>
        <v>1106.7899397789533</v>
      </c>
      <c r="AP134" s="26" t="str">
        <f t="shared" si="50"/>
        <v>30-39</v>
      </c>
      <c r="AQ134" s="26" t="str">
        <f t="shared" si="51"/>
        <v>Up to 250k</v>
      </c>
      <c r="AR134" s="26" t="str">
        <f>IF($T134=1,IF($AI134&lt;0,"Loss-making",IF($AJ134&lt;Assumptions!$C$16-0.00001,"Below target","At/above target")),"Excluded")</f>
        <v>At/above target</v>
      </c>
      <c r="AS134" s="103">
        <f t="shared" si="52"/>
        <v>1106.7900737789532</v>
      </c>
      <c r="AT134" s="26"/>
      <c r="AU134" s="419">
        <f>IF(AND($T134=1,AU$5&lt;=$H134),INDEX(Mortality!$B$4:$E$64,MATCH($D134+AU$5-1,Mortality!$A$4:$A$64,0),$U134)*$V134*$N134,0)</f>
        <v>1.06316918650821E-3</v>
      </c>
      <c r="AV134" s="93">
        <f>IF(AND($T134=1,AV$5&lt;=$H134),INDEX(Mortality!$B$4:$E$64,MATCH($D134+AV$5-1,Mortality!$A$4:$A$64,0),$U134)*$V134*$N134,0)</f>
        <v>1.1517174304948501E-3</v>
      </c>
      <c r="AW134" s="93">
        <f>IF(AND($T134=1,AW$5&lt;=$H134),INDEX(Mortality!$B$4:$E$64,MATCH($D134+AW$5-1,Mortality!$A$4:$A$64,0),$U134)*$V134*$N134,0)</f>
        <v>1.24764059807091E-3</v>
      </c>
      <c r="AX134" s="93">
        <f>IF(AND($T134=1,AX$5&lt;=$H134),INDEX(Mortality!$B$4:$E$64,MATCH($D134+AX$5-1,Mortality!$A$4:$A$64,0),$U134)*$V134*$N134,0)</f>
        <v>1.3515529249964601E-3</v>
      </c>
      <c r="AY134" s="93">
        <f>IF(AND($T134=1,AY$5&lt;=$H134),INDEX(Mortality!$B$4:$E$64,MATCH($D134+AY$5-1,Mortality!$A$4:$A$64,0),$U134)*$V134*$N134,0)</f>
        <v>1.4641198049269301E-3</v>
      </c>
      <c r="AZ134" s="93">
        <f>IF(AND($T134=1,AZ$5&lt;=$H134),INDEX(Mortality!$B$4:$E$64,MATCH($D134+AZ$5-1,Mortality!$A$4:$A$64,0),$U134)*$V134*$N134,0)</f>
        <v>1.58606205020413E-3</v>
      </c>
      <c r="BA134" s="93">
        <f>IF(AND($T134=1,BA$5&lt;=$H134),INDEX(Mortality!$B$4:$E$64,MATCH($D134+BA$5-1,Mortality!$A$4:$A$64,0),$U134)*$V134*$N134,0)</f>
        <v>1.71816050751616E-3</v>
      </c>
      <c r="BB134" s="93">
        <f>IF(AND($T134=1,BB$5&lt;=$H134),INDEX(Mortality!$B$4:$E$64,MATCH($D134+BB$5-1,Mortality!$A$4:$A$64,0),$U134)*$V134*$N134,0)</f>
        <v>1.8612610579820999E-3</v>
      </c>
      <c r="BC134" s="93">
        <f>IF(AND($T134=1,BC$5&lt;=$H134),INDEX(Mortality!$B$4:$E$64,MATCH($D134+BC$5-1,Mortality!$A$4:$A$64,0),$U134)*$V134*$N134,0)</f>
        <v>2.0162800336790201E-3</v>
      </c>
      <c r="BD134" s="93">
        <f>IF(AND($T134=1,BD$5&lt;=$H134),INDEX(Mortality!$B$4:$E$64,MATCH($D134+BD$5-1,Mortality!$A$4:$A$64,0),$U134)*$V134*$N134,0)</f>
        <v>2.1842100852957199E-3</v>
      </c>
      <c r="BE134" s="93">
        <f>IF(AND($T134=1,BE$5&lt;=$H134),INDEX(Mortality!$B$4:$E$64,MATCH($D134+BE$5-1,Mortality!$A$4:$A$64,0),$U134)*$V134*$N134,0)</f>
        <v>2.3661265384860701E-3</v>
      </c>
      <c r="BF134" s="93">
        <f>IF(AND($T134=1,BF$5&lt;=$H134),INDEX(Mortality!$B$4:$E$64,MATCH($D134+BF$5-1,Mortality!$A$4:$A$64,0),$U134)*$V134*$N134,0)</f>
        <v>2.5631942796244698E-3</v>
      </c>
      <c r="BG134" s="93">
        <f>IF(AND($T134=1,BG$5&lt;=$H134),INDEX(Mortality!$B$4:$E$64,MATCH($D134+BG$5-1,Mortality!$A$4:$A$64,0),$U134)*$V134*$N134,0)</f>
        <v>2.7766752150556202E-3</v>
      </c>
      <c r="BH134" s="93">
        <f>IF(AND($T134=1,BH$5&lt;=$H134),INDEX(Mortality!$B$4:$E$64,MATCH($D134+BH$5-1,Mortality!$A$4:$A$64,0),$U134)*$V134*$N134,0)</f>
        <v>3.0079363516033399E-3</v>
      </c>
      <c r="BI134" s="93">
        <f>IF(AND($T134=1,BI$5&lt;=$H134),INDEX(Mortality!$B$4:$E$64,MATCH($D134+BI$5-1,Mortality!$A$4:$A$64,0),$U134)*$V134*$N134,0)</f>
        <v>3.2584585500813001E-3</v>
      </c>
      <c r="BJ134" s="93">
        <f>IF(AND($T134=1,BJ$5&lt;=$H134),INDEX(Mortality!$B$4:$E$64,MATCH($D134+BJ$5-1,Mortality!$A$4:$A$64,0),$U134)*$V134*$N134,0)</f>
        <v>3.5298460078579601E-3</v>
      </c>
      <c r="BK134" s="93">
        <f>IF(AND($T134=1,BK$5&lt;=$H134),INDEX(Mortality!$B$4:$E$64,MATCH($D134+BK$5-1,Mortality!$A$4:$A$64,0),$U134)*$V134*$N134,0)</f>
        <v>3.8238365311966099E-3</v>
      </c>
      <c r="BL134" s="93">
        <f>IF(AND($T134=1,BL$5&lt;=$H134),INDEX(Mortality!$B$4:$E$64,MATCH($D134+BL$5-1,Mortality!$A$4:$A$64,0),$U134)*$V134*$N134,0)</f>
        <v>4.1423126631483596E-3</v>
      </c>
      <c r="BM134" s="93">
        <f>IF(AND($T134=1,BM$5&lt;=$H134),INDEX(Mortality!$B$4:$E$64,MATCH($D134+BM$5-1,Mortality!$A$4:$A$64,0),$U134)*$V134*$N134,0)</f>
        <v>4.4873137382548398E-3</v>
      </c>
      <c r="BN134" s="93">
        <f>IF(AND($T134=1,BN$5&lt;=$H134),INDEX(Mortality!$B$4:$E$64,MATCH($D134+BN$5-1,Mortality!$A$4:$A$64,0),$U134)*$V134*$N134,0)</f>
        <v>4.8610489412516398E-3</v>
      </c>
      <c r="BO134" s="93">
        <f>IF(AND($T134=1,BO$5&lt;=$H134),INDEX(Mortality!$B$4:$E$64,MATCH($D134+BO$5-1,Mortality!$A$4:$A$64,0),$U134)*$V134*$N134,0)</f>
        <v>5.2659114533929498E-3</v>
      </c>
      <c r="BP134" s="93">
        <f>IF(AND($T134=1,BP$5&lt;=$H134),INDEX(Mortality!$B$4:$E$64,MATCH($D134+BP$5-1,Mortality!$A$4:$A$64,0),$U134)*$V134*$N134,0)</f>
        <v>5.7044937769820296E-3</v>
      </c>
      <c r="BQ134" s="93">
        <f>IF(AND($T134=1,BQ$5&lt;=$H134),INDEX(Mortality!$B$4:$E$64,MATCH($D134+BQ$5-1,Mortality!$A$4:$A$64,0),$U134)*$V134*$N134,0)</f>
        <v>6.1796043362369098E-3</v>
      </c>
      <c r="BR134" s="93">
        <f>IF(AND($T134=1,BR$5&lt;=$H134),INDEX(Mortality!$B$4:$E$64,MATCH($D134+BR$5-1,Mortality!$A$4:$A$64,0),$U134)*$V134*$N134,0)</f>
        <v>6.6942854607935399E-3</v>
      </c>
      <c r="BS134" s="93">
        <f>IF(AND($T134=1,BS$5&lt;=$H134),INDEX(Mortality!$B$4:$E$64,MATCH($D134+BS$5-1,Mortality!$A$4:$A$64,0),$U134)*$V134*$N134,0)</f>
        <v>7.2518328670021504E-3</v>
      </c>
      <c r="BT134" s="93">
        <f>IF(AND($T134=1,BT$5&lt;=$H134),INDEX(Mortality!$B$4:$E$64,MATCH($D134+BT$5-1,Mortality!$A$4:$A$64,0),$U134)*$V134*$N134,0)</f>
        <v>0</v>
      </c>
      <c r="BU134" s="93">
        <f>IF(AND($T134=1,BU$5&lt;=$H134),INDEX(Mortality!$B$4:$E$64,MATCH($D134+BU$5-1,Mortality!$A$4:$A$64,0),$U134)*$V134*$N134,0)</f>
        <v>0</v>
      </c>
      <c r="BV134" s="93">
        <f>IF(AND($T134=1,BV$5&lt;=$H134),INDEX(Mortality!$B$4:$E$64,MATCH($D134+BV$5-1,Mortality!$A$4:$A$64,0),$U134)*$V134*$N134,0)</f>
        <v>0</v>
      </c>
      <c r="BW134" s="93">
        <f>IF(AND($T134=1,BW$5&lt;=$H134),INDEX(Mortality!$B$4:$E$64,MATCH($D134+BW$5-1,Mortality!$A$4:$A$64,0),$U134)*$V134*$N134,0)</f>
        <v>0</v>
      </c>
      <c r="BX134" s="93">
        <f>IF(AND($T134=1,BX$5&lt;=$H134),INDEX(Mortality!$B$4:$E$64,MATCH($D134+BX$5-1,Mortality!$A$4:$A$64,0),$U134)*$V134*$N134,0)</f>
        <v>0</v>
      </c>
      <c r="BY134" s="93">
        <f>IF(AND($T134=1,BY$5&lt;=$H134),INDEX(Mortality!$B$4:$E$64,MATCH($D134+BY$5-1,Mortality!$A$4:$A$64,0),$U134)*$V134*$N134,0)</f>
        <v>0</v>
      </c>
      <c r="BZ134" s="93">
        <f>IF(AND($T134=1,BZ$5&lt;=$H134),INDEX(Mortality!$B$4:$E$64,MATCH($D134+BZ$5-1,Mortality!$A$4:$A$64,0),$U134)*$V134*$N134,0)</f>
        <v>0</v>
      </c>
      <c r="CA134" s="93">
        <f>IF(AND($T134=1,CA$5&lt;=$H134),INDEX(Mortality!$B$4:$E$64,MATCH($D134+CA$5-1,Mortality!$A$4:$A$64,0),$U134)*$V134*$N134,0)</f>
        <v>0</v>
      </c>
      <c r="CB134" s="93">
        <f>IF(AND($T134=1,CB$5&lt;=$H134),INDEX(Mortality!$B$4:$E$64,MATCH($D134+CB$5-1,Mortality!$A$4:$A$64,0),$U134)*$V134*$N134,0)</f>
        <v>0</v>
      </c>
      <c r="CC134" s="93">
        <f>IF(AND($T134=1,CC$5&lt;=$H134),INDEX(Mortality!$B$4:$E$64,MATCH($D134+CC$5-1,Mortality!$A$4:$A$64,0),$U134)*$V134*$N134,0)</f>
        <v>0</v>
      </c>
      <c r="CD134" s="93">
        <f>IF(AND($T134=1,CD$5&lt;=$H134),INDEX(Mortality!$B$4:$E$64,MATCH($D134+CD$5-1,Mortality!$A$4:$A$64,0),$U134)*$V134*$N134,0)</f>
        <v>0</v>
      </c>
      <c r="CE134" s="93">
        <f>IF(AND($T134=1,CE$5&lt;=$H134),INDEX(Mortality!$B$4:$E$64,MATCH($D134+CE$5-1,Mortality!$A$4:$A$64,0),$U134)*$V134*$N134,0)</f>
        <v>0</v>
      </c>
      <c r="CF134" s="93">
        <f>IF(AND($T134=1,CF$5&lt;=$H134),INDEX(Mortality!$B$4:$E$64,MATCH($D134+CF$5-1,Mortality!$A$4:$A$64,0),$U134)*$V134*$N134,0)</f>
        <v>0</v>
      </c>
      <c r="CG134" s="93">
        <f>IF(AND($T134=1,CG$5&lt;=$H134),INDEX(Mortality!$B$4:$E$64,MATCH($D134+CG$5-1,Mortality!$A$4:$A$64,0),$U134)*$V134*$N134,0)</f>
        <v>0</v>
      </c>
      <c r="CH134" s="94">
        <f>IF(AND($T134=1,CH$5&lt;=$H134),INDEX(Mortality!$B$4:$E$64,MATCH($D134+CH$5-1,Mortality!$A$4:$A$64,0),$U134)*$V134*$N134,0)</f>
        <v>0</v>
      </c>
      <c r="CI134" s="26"/>
      <c r="CJ134" s="419">
        <f t="shared" si="53"/>
        <v>1</v>
      </c>
      <c r="CK134" s="93">
        <f>IF(AND($T134=1,CK$5&lt;=$H134),CJ134*(1-AU134)*(1-MIN(1,MAX(Assumptions!$C$27,Assumptions!$C$13*Assumptions!$C$28^(CJ$5-1))*$O134)),0)</f>
        <v>0.87906441111587286</v>
      </c>
      <c r="CL134" s="93">
        <f>IF(AND($T134=1,CL$5&lt;=$H134),CK134*(1-AV134)*(1-MIN(1,MAX(Assumptions!$C$27,Assumptions!$C$13*Assumptions!$C$28^(CK$5-1))*$O134)),0)</f>
        <v>0.7884906756253347</v>
      </c>
      <c r="CM134" s="93">
        <f>IF(AND($T134=1,CM$5&lt;=$H134),CL134*(1-AW134)*(1-MIN(1,MAX(Assumptions!$C$27,Assumptions!$C$13*Assumptions!$C$28^(CL$5-1))*$O134)),0)</f>
        <v>0.71923007245370985</v>
      </c>
      <c r="CN134" s="93">
        <f>IF(AND($T134=1,CN$5&lt;=$H134),CM134*(1-AX134)*(1-MIN(1,MAX(Assumptions!$C$27,Assumptions!$C$13*Assumptions!$C$28^(CM$5-1))*$O134)),0)</f>
        <v>0.66532597200802812</v>
      </c>
      <c r="CO134" s="93">
        <f>IF(AND($T134=1,CO$5&lt;=$H134),CN134*(1-AY134)*(1-MIN(1,MAX(Assumptions!$C$27,Assumptions!$C$13*Assumptions!$C$28^(CN$5-1))*$O134)),0)</f>
        <v>0.62273635660984705</v>
      </c>
      <c r="CP134" s="93">
        <f>IF(AND($T134=1,CP$5&lt;=$H134),CO134*(1-AZ134)*(1-MIN(1,MAX(Assumptions!$C$27,Assumptions!$C$13*Assumptions!$C$28^(CO$5-1))*$O134)),0)</f>
        <v>0.58864387619030878</v>
      </c>
      <c r="CQ134" s="93">
        <f>IF(AND($T134=1,CQ$5&lt;=$H134),CP134*(1-BA134)*(1-MIN(1,MAX(Assumptions!$C$27,Assumptions!$C$13*Assumptions!$C$28^(CP$5-1))*$O134)),0)</f>
        <v>0.5610374543837553</v>
      </c>
      <c r="CR134" s="93">
        <f>IF(AND($T134=1,CR$5&lt;=$H134),CQ134*(1-BB134)*(1-MIN(1,MAX(Assumptions!$C$27,Assumptions!$C$13*Assumptions!$C$28^(CQ$5-1))*$O134)),0)</f>
        <v>0.53845069781388799</v>
      </c>
      <c r="CS134" s="93">
        <f>IF(AND($T134=1,CS$5&lt;=$H134),CR134*(1-BC134)*(1-MIN(1,MAX(Assumptions!$C$27,Assumptions!$C$13*Assumptions!$C$28^(CR$5-1))*$O134)),0)</f>
        <v>0.51979380490946159</v>
      </c>
      <c r="CT134" s="93">
        <f>IF(AND($T134=1,CT$5&lt;=$H134),CS134*(1-BD134)*(1-MIN(1,MAX(Assumptions!$C$27,Assumptions!$C$13*Assumptions!$C$28^(CS$5-1))*$O134)),0)</f>
        <v>0.50424285523037182</v>
      </c>
      <c r="CU134" s="93">
        <f>IF(AND($T134=1,CU$5&lt;=$H134),CT134*(1-BE134)*(1-MIN(1,MAX(Assumptions!$C$27,Assumptions!$C$13*Assumptions!$C$28^(CT$5-1))*$O134)),0)</f>
        <v>0.49116523837573978</v>
      </c>
      <c r="CV134" s="93">
        <f>IF(AND($T134=1,CV$5&lt;=$H134),CU134*(1-BF134)*(1-MIN(1,MAX(Assumptions!$C$27,Assumptions!$C$13*Assumptions!$C$28^(CU$5-1))*$O134)),0)</f>
        <v>0.48006838559704013</v>
      </c>
      <c r="CW134" s="93">
        <f>IF(AND($T134=1,CW$5&lt;=$H134),CV134*(1-BG134)*(1-MIN(1,MAX(Assumptions!$C$27,Assumptions!$C$13*Assumptions!$C$28^(CV$5-1))*$O134)),0)</f>
        <v>0.46916068377703662</v>
      </c>
      <c r="CX134" s="93">
        <f>IF(AND($T134=1,CX$5&lt;=$H134),CW134*(1-BH134)*(1-MIN(1,MAX(Assumptions!$C$27,Assumptions!$C$13*Assumptions!$C$28^(CW$5-1))*$O134)),0)</f>
        <v>0.4583944887355294</v>
      </c>
      <c r="CY134" s="93">
        <f>IF(AND($T134=1,CY$5&lt;=$H134),CX134*(1-BI134)*(1-MIN(1,MAX(Assumptions!$C$27,Assumptions!$C$13*Assumptions!$C$28^(CX$5-1))*$O134)),0)</f>
        <v>0.44776281270851098</v>
      </c>
      <c r="CZ134" s="93">
        <f>IF(AND($T134=1,CZ$5&lt;=$H134),CY134*(1-BJ134)*(1-MIN(1,MAX(Assumptions!$C$27,Assumptions!$C$13*Assumptions!$C$28^(CY$5-1))*$O134)),0)</f>
        <v>0.43725863335297244</v>
      </c>
      <c r="DA134" s="93">
        <f>IF(AND($T134=1,DA$5&lt;=$H134),CZ134*(1-BK134)*(1-MIN(1,MAX(Assumptions!$C$27,Assumptions!$C$13*Assumptions!$C$28^(CZ$5-1))*$O134)),0)</f>
        <v>0.42687489526083272</v>
      </c>
      <c r="DB134" s="93">
        <f>IF(AND($T134=1,DB$5&lt;=$H134),DA134*(1-BL134)*(1-MIN(1,MAX(Assumptions!$C$27,Assumptions!$C$13*Assumptions!$C$28^(DA$5-1))*$O134)),0)</f>
        <v>0.41660451305708135</v>
      </c>
      <c r="DC134" s="93">
        <f>IF(AND($T134=1,DC$5&lt;=$H134),DB134*(1-BM134)*(1-MIN(1,MAX(Assumptions!$C$27,Assumptions!$C$13*Assumptions!$C$28^(DB$5-1))*$O134)),0)</f>
        <v>0.4064403763441769</v>
      </c>
      <c r="DD134" s="93">
        <f>IF(AND($T134=1,DD$5&lt;=$H134),DC134*(1-BN134)*(1-MIN(1,MAX(Assumptions!$C$27,Assumptions!$C$13*Assumptions!$C$28^(DC$5-1))*$O134)),0)</f>
        <v>0.39637535678740576</v>
      </c>
      <c r="DE134" s="93">
        <f>IF(AND($T134=1,DE$5&lt;=$H134),DD134*(1-BO134)*(1-MIN(1,MAX(Assumptions!$C$27,Assumptions!$C$13*Assumptions!$C$28^(DD$5-1))*$O134)),0)</f>
        <v>0.38640231767113115</v>
      </c>
      <c r="DF134" s="93">
        <f>IF(AND($T134=1,DF$5&lt;=$H134),DE134*(1-BP134)*(1-MIN(1,MAX(Assumptions!$C$27,Assumptions!$C$13*Assumptions!$C$28^(DE$5-1))*$O134)),0)</f>
        <v>0.37651412629347342</v>
      </c>
      <c r="DG134" s="93">
        <f>IF(AND($T134=1,DG$5&lt;=$H134),DF134*(1-BQ134)*(1-MIN(1,MAX(Assumptions!$C$27,Assumptions!$C$13*Assumptions!$C$28^(DF$5-1))*$O134)),0)</f>
        <v>0.36670366960665629</v>
      </c>
      <c r="DH134" s="93">
        <f>IF(AND($T134=1,DH$5&lt;=$H134),DG134*(1-BR134)*(1-MIN(1,MAX(Assumptions!$C$27,Assumptions!$C$13*Assumptions!$C$28^(DG$5-1))*$O134)),0)</f>
        <v>0.35696387355153303</v>
      </c>
      <c r="DI134" s="93">
        <f>IF(AND($T134=1,DI$5&lt;=$H134),DH134*(1-BS134)*(1-MIN(1,MAX(Assumptions!$C$27,Assumptions!$C$13*Assumptions!$C$28^(DH$5-1))*$O134)),0)</f>
        <v>0</v>
      </c>
      <c r="DJ134" s="93">
        <f>IF(AND($T134=1,DJ$5&lt;=$H134),DI134*(1-BT134)*(1-MIN(1,MAX(Assumptions!$C$27,Assumptions!$C$13*Assumptions!$C$28^(DI$5-1))*$O134)),0)</f>
        <v>0</v>
      </c>
      <c r="DK134" s="93">
        <f>IF(AND($T134=1,DK$5&lt;=$H134),DJ134*(1-BU134)*(1-MIN(1,MAX(Assumptions!$C$27,Assumptions!$C$13*Assumptions!$C$28^(DJ$5-1))*$O134)),0)</f>
        <v>0</v>
      </c>
      <c r="DL134" s="93">
        <f>IF(AND($T134=1,DL$5&lt;=$H134),DK134*(1-BV134)*(1-MIN(1,MAX(Assumptions!$C$27,Assumptions!$C$13*Assumptions!$C$28^(DK$5-1))*$O134)),0)</f>
        <v>0</v>
      </c>
      <c r="DM134" s="93">
        <f>IF(AND($T134=1,DM$5&lt;=$H134),DL134*(1-BW134)*(1-MIN(1,MAX(Assumptions!$C$27,Assumptions!$C$13*Assumptions!$C$28^(DL$5-1))*$O134)),0)</f>
        <v>0</v>
      </c>
      <c r="DN134" s="93">
        <f>IF(AND($T134=1,DN$5&lt;=$H134),DM134*(1-BX134)*(1-MIN(1,MAX(Assumptions!$C$27,Assumptions!$C$13*Assumptions!$C$28^(DM$5-1))*$O134)),0)</f>
        <v>0</v>
      </c>
      <c r="DO134" s="93">
        <f>IF(AND($T134=1,DO$5&lt;=$H134),DN134*(1-BY134)*(1-MIN(1,MAX(Assumptions!$C$27,Assumptions!$C$13*Assumptions!$C$28^(DN$5-1))*$O134)),0)</f>
        <v>0</v>
      </c>
      <c r="DP134" s="93">
        <f>IF(AND($T134=1,DP$5&lt;=$H134),DO134*(1-BZ134)*(1-MIN(1,MAX(Assumptions!$C$27,Assumptions!$C$13*Assumptions!$C$28^(DO$5-1))*$O134)),0)</f>
        <v>0</v>
      </c>
      <c r="DQ134" s="93">
        <f>IF(AND($T134=1,DQ$5&lt;=$H134),DP134*(1-CA134)*(1-MIN(1,MAX(Assumptions!$C$27,Assumptions!$C$13*Assumptions!$C$28^(DP$5-1))*$O134)),0)</f>
        <v>0</v>
      </c>
      <c r="DR134" s="93">
        <f>IF(AND($T134=1,DR$5&lt;=$H134),DQ134*(1-CB134)*(1-MIN(1,MAX(Assumptions!$C$27,Assumptions!$C$13*Assumptions!$C$28^(DQ$5-1))*$O134)),0)</f>
        <v>0</v>
      </c>
      <c r="DS134" s="93">
        <f>IF(AND($T134=1,DS$5&lt;=$H134),DR134*(1-CC134)*(1-MIN(1,MAX(Assumptions!$C$27,Assumptions!$C$13*Assumptions!$C$28^(DR$5-1))*$O134)),0)</f>
        <v>0</v>
      </c>
      <c r="DT134" s="93">
        <f>IF(AND($T134=1,DT$5&lt;=$H134),DS134*(1-CD134)*(1-MIN(1,MAX(Assumptions!$C$27,Assumptions!$C$13*Assumptions!$C$28^(DS$5-1))*$O134)),0)</f>
        <v>0</v>
      </c>
      <c r="DU134" s="93">
        <f>IF(AND($T134=1,DU$5&lt;=$H134),DT134*(1-CE134)*(1-MIN(1,MAX(Assumptions!$C$27,Assumptions!$C$13*Assumptions!$C$28^(DT$5-1))*$O134)),0)</f>
        <v>0</v>
      </c>
      <c r="DV134" s="93">
        <f>IF(AND($T134=1,DV$5&lt;=$H134),DU134*(1-CF134)*(1-MIN(1,MAX(Assumptions!$C$27,Assumptions!$C$13*Assumptions!$C$28^(DU$5-1))*$O134)),0)</f>
        <v>0</v>
      </c>
      <c r="DW134" s="94">
        <f>IF(AND($T134=1,DW$5&lt;=$H134),DV134*(1-CG134)*(1-MIN(1,MAX(Assumptions!$C$27,Assumptions!$C$13*Assumptions!$C$28^(DV$5-1))*$O134)),0)</f>
        <v>0</v>
      </c>
      <c r="DX134" s="26"/>
      <c r="DY134" s="399">
        <f>'Policy Data'!K108</f>
        <v>5</v>
      </c>
      <c r="DZ134" s="100">
        <f>'Policy Data'!L108</f>
        <v>0.98780000000000001</v>
      </c>
      <c r="EA134" s="100">
        <f>'Policy Data'!N108</f>
        <v>1.0499999999999999E-3</v>
      </c>
      <c r="EB134" s="93" cm="1">
        <f t="array" ref="EB134">IFERROR(DZ134*INDEX(Mortality!$B$4:$E$64,MATCH(D134+DY134-1,Mortality!$A$4:$A$64,0),U134)*V134,0)</f>
        <v>1.4462575433068215E-3</v>
      </c>
      <c r="EC134" s="100">
        <f>'Policy Data'!O108</f>
        <v>0</v>
      </c>
      <c r="ED134" s="400">
        <f>'Policy Data'!Q108</f>
        <v>1</v>
      </c>
    </row>
    <row r="135" spans="1:134" x14ac:dyDescent="0.3">
      <c r="A135" s="399" t="str">
        <f>'Policy Data'!A109</f>
        <v>POL100105</v>
      </c>
      <c r="B135" s="26" t="s">
        <v>426</v>
      </c>
      <c r="C135" s="100" t="str">
        <f>'Policy Data'!B109</f>
        <v>Term Life</v>
      </c>
      <c r="D135" s="100">
        <f>'Policy Data'!C109</f>
        <v>48</v>
      </c>
      <c r="E135" s="100" t="str">
        <f>'Policy Data'!D109</f>
        <v>Male</v>
      </c>
      <c r="F135" s="100" t="str">
        <f>'Policy Data'!E109</f>
        <v>Non-smoker</v>
      </c>
      <c r="G135" s="100" t="str">
        <f>'Policy Data'!F109</f>
        <v>Standard</v>
      </c>
      <c r="H135" s="100">
        <f>'Policy Data'!G109</f>
        <v>10</v>
      </c>
      <c r="I135" s="279">
        <f>'Policy Data'!H109</f>
        <v>500000</v>
      </c>
      <c r="J135" s="100" t="str">
        <f>'Policy Data'!I109</f>
        <v>Monthly</v>
      </c>
      <c r="K135" s="100" t="str">
        <f>'Policy Data'!J109</f>
        <v>Bancassurance</v>
      </c>
      <c r="L135" s="26" t="s">
        <v>389</v>
      </c>
      <c r="M135" s="106">
        <f>'Policy Data'!R109</f>
        <v>2043.68</v>
      </c>
      <c r="N135" s="415">
        <f>Assumptions!$C$21</f>
        <v>1</v>
      </c>
      <c r="O135" s="415">
        <f>Assumptions!$C$22</f>
        <v>1</v>
      </c>
      <c r="P135" s="415">
        <f>Assumptions!$C$23</f>
        <v>1</v>
      </c>
      <c r="Q135" s="416">
        <f>Assumptions!$C$24</f>
        <v>0</v>
      </c>
      <c r="R135" s="416">
        <f>Assumptions!$C$6+Assumptions!$C$25</f>
        <v>3.5000000000000003E-2</v>
      </c>
      <c r="S135" s="416">
        <f>Assumptions!$C$15</f>
        <v>1.1000000000000001E-3</v>
      </c>
      <c r="T135" s="26">
        <f t="shared" si="36"/>
        <v>1</v>
      </c>
      <c r="U135" s="26">
        <f t="shared" si="37"/>
        <v>3</v>
      </c>
      <c r="V135" s="389">
        <f>IF($G135="Preferred",Assumptions!$C$30,IF($G135="Rated",Assumptions!$C$31,1))</f>
        <v>1</v>
      </c>
      <c r="W135" s="390">
        <f>IF($K135="Direct",Assumptions!$C$32,IF($K135="Broker",Assumptions!$C$33,IF($K135="Bancassurance",Assumptions!$C$34,Assumptions!$C$11)))+$Q135</f>
        <v>0.2</v>
      </c>
      <c r="X135" s="390">
        <f>Assumptions!$C$12+$Q135</f>
        <v>0.05</v>
      </c>
      <c r="Y135" s="131">
        <f>MIN($I135,Assumptions!$C$14)</f>
        <v>500000</v>
      </c>
      <c r="Z135" s="131">
        <f>MAX($I135-Assumptions!$C$14,0)</f>
        <v>0</v>
      </c>
      <c r="AA135" s="389">
        <f t="shared" si="38"/>
        <v>5.8146831987988765</v>
      </c>
      <c r="AB135" s="389">
        <f t="shared" si="39"/>
        <v>1.7398154331289922E-2</v>
      </c>
      <c r="AC135" s="389">
        <f>IF($T135=1,SUMPRODUCT($CJ135:$DW135,(1+Assumptions!$C$5)^($CJ$5:$DW$5-1),(1+$R135)^(-$CJ$5:$DW$5)),0)</f>
        <v>6.7396767509576394</v>
      </c>
      <c r="AD135" s="389">
        <f t="shared" si="40"/>
        <v>0.43566169617182793</v>
      </c>
      <c r="AE135" s="131">
        <f>IF($T135=1,$AB135*$Y135+(Assumptions!$C$9/(1+$R135)+Assumptions!$C$10*$AC135)*$P135+$S135*$Z135*$AA135,0)</f>
        <v>11051.371268246947</v>
      </c>
      <c r="AF135" s="131">
        <f>IF($T135=1,IF($AA135-$AD135-Assumptions!$C$16*$AA135&gt;0,$AE135/($AA135-$AD135-Assumptions!$C$16*$AA135)*IF($J135="Monthly",1+Assumptions!$C$29,1),"n.a."),"")</f>
        <v>2316.4971887321226</v>
      </c>
      <c r="AG135" s="131">
        <f t="shared" si="41"/>
        <v>2043.68</v>
      </c>
      <c r="AH135" s="131">
        <f t="shared" si="42"/>
        <v>11883.351759721289</v>
      </c>
      <c r="AI135" s="131">
        <f t="shared" si="43"/>
        <v>-58.372603758100013</v>
      </c>
      <c r="AJ135" s="390">
        <f t="shared" si="44"/>
        <v>-4.9121329519129777E-3</v>
      </c>
      <c r="AK135" s="389">
        <f t="shared" si="45"/>
        <v>0.88222856903986047</v>
      </c>
      <c r="AL135" s="131">
        <f t="shared" si="46"/>
        <v>0</v>
      </c>
      <c r="AM135" s="131">
        <f t="shared" si="47"/>
        <v>0</v>
      </c>
      <c r="AN135" s="131">
        <f t="shared" si="48"/>
        <v>0</v>
      </c>
      <c r="AO135" s="131">
        <f t="shared" si="49"/>
        <v>-58.372603758100013</v>
      </c>
      <c r="AP135" s="26" t="str">
        <f t="shared" si="50"/>
        <v>40-49</v>
      </c>
      <c r="AQ135" s="26" t="str">
        <f t="shared" si="51"/>
        <v>250k-500k</v>
      </c>
      <c r="AR135" s="26" t="str">
        <f>IF($T135=1,IF($AI135&lt;0,"Loss-making",IF($AJ135&lt;Assumptions!$C$16-0.00001,"Below target","At/above target")),"Excluded")</f>
        <v>Loss-making</v>
      </c>
      <c r="AS135" s="103">
        <f t="shared" si="52"/>
        <v>-58.372468758100013</v>
      </c>
      <c r="AT135" s="26"/>
      <c r="AU135" s="419">
        <f>IF(AND($T135=1,AU$5&lt;=$H135),INDEX(Mortality!$B$4:$E$64,MATCH($D135+AU$5-1,Mortality!$A$4:$A$64,0),$U135)*$V135*$N135,0)</f>
        <v>2.1842100852957199E-3</v>
      </c>
      <c r="AV135" s="93">
        <f>IF(AND($T135=1,AV$5&lt;=$H135),INDEX(Mortality!$B$4:$E$64,MATCH($D135+AV$5-1,Mortality!$A$4:$A$64,0),$U135)*$V135*$N135,0)</f>
        <v>2.3661265384860701E-3</v>
      </c>
      <c r="AW135" s="93">
        <f>IF(AND($T135=1,AW$5&lt;=$H135),INDEX(Mortality!$B$4:$E$64,MATCH($D135+AW$5-1,Mortality!$A$4:$A$64,0),$U135)*$V135*$N135,0)</f>
        <v>2.5631942796244698E-3</v>
      </c>
      <c r="AX135" s="93">
        <f>IF(AND($T135=1,AX$5&lt;=$H135),INDEX(Mortality!$B$4:$E$64,MATCH($D135+AX$5-1,Mortality!$A$4:$A$64,0),$U135)*$V135*$N135,0)</f>
        <v>2.7766752150556202E-3</v>
      </c>
      <c r="AY135" s="93">
        <f>IF(AND($T135=1,AY$5&lt;=$H135),INDEX(Mortality!$B$4:$E$64,MATCH($D135+AY$5-1,Mortality!$A$4:$A$64,0),$U135)*$V135*$N135,0)</f>
        <v>3.0079363516033399E-3</v>
      </c>
      <c r="AZ135" s="93">
        <f>IF(AND($T135=1,AZ$5&lt;=$H135),INDEX(Mortality!$B$4:$E$64,MATCH($D135+AZ$5-1,Mortality!$A$4:$A$64,0),$U135)*$V135*$N135,0)</f>
        <v>3.2584585500813001E-3</v>
      </c>
      <c r="BA135" s="93">
        <f>IF(AND($T135=1,BA$5&lt;=$H135),INDEX(Mortality!$B$4:$E$64,MATCH($D135+BA$5-1,Mortality!$A$4:$A$64,0),$U135)*$V135*$N135,0)</f>
        <v>3.5298460078579601E-3</v>
      </c>
      <c r="BB135" s="93">
        <f>IF(AND($T135=1,BB$5&lt;=$H135),INDEX(Mortality!$B$4:$E$64,MATCH($D135+BB$5-1,Mortality!$A$4:$A$64,0),$U135)*$V135*$N135,0)</f>
        <v>3.8238365311966099E-3</v>
      </c>
      <c r="BC135" s="93">
        <f>IF(AND($T135=1,BC$5&lt;=$H135),INDEX(Mortality!$B$4:$E$64,MATCH($D135+BC$5-1,Mortality!$A$4:$A$64,0),$U135)*$V135*$N135,0)</f>
        <v>4.1423126631483596E-3</v>
      </c>
      <c r="BD135" s="93">
        <f>IF(AND($T135=1,BD$5&lt;=$H135),INDEX(Mortality!$B$4:$E$64,MATCH($D135+BD$5-1,Mortality!$A$4:$A$64,0),$U135)*$V135*$N135,0)</f>
        <v>4.4873137382548398E-3</v>
      </c>
      <c r="BE135" s="93">
        <f>IF(AND($T135=1,BE$5&lt;=$H135),INDEX(Mortality!$B$4:$E$64,MATCH($D135+BE$5-1,Mortality!$A$4:$A$64,0),$U135)*$V135*$N135,0)</f>
        <v>0</v>
      </c>
      <c r="BF135" s="93">
        <f>IF(AND($T135=1,BF$5&lt;=$H135),INDEX(Mortality!$B$4:$E$64,MATCH($D135+BF$5-1,Mortality!$A$4:$A$64,0),$U135)*$V135*$N135,0)</f>
        <v>0</v>
      </c>
      <c r="BG135" s="93">
        <f>IF(AND($T135=1,BG$5&lt;=$H135),INDEX(Mortality!$B$4:$E$64,MATCH($D135+BG$5-1,Mortality!$A$4:$A$64,0),$U135)*$V135*$N135,0)</f>
        <v>0</v>
      </c>
      <c r="BH135" s="93">
        <f>IF(AND($T135=1,BH$5&lt;=$H135),INDEX(Mortality!$B$4:$E$64,MATCH($D135+BH$5-1,Mortality!$A$4:$A$64,0),$U135)*$V135*$N135,0)</f>
        <v>0</v>
      </c>
      <c r="BI135" s="93">
        <f>IF(AND($T135=1,BI$5&lt;=$H135),INDEX(Mortality!$B$4:$E$64,MATCH($D135+BI$5-1,Mortality!$A$4:$A$64,0),$U135)*$V135*$N135,0)</f>
        <v>0</v>
      </c>
      <c r="BJ135" s="93">
        <f>IF(AND($T135=1,BJ$5&lt;=$H135),INDEX(Mortality!$B$4:$E$64,MATCH($D135+BJ$5-1,Mortality!$A$4:$A$64,0),$U135)*$V135*$N135,0)</f>
        <v>0</v>
      </c>
      <c r="BK135" s="93">
        <f>IF(AND($T135=1,BK$5&lt;=$H135),INDEX(Mortality!$B$4:$E$64,MATCH($D135+BK$5-1,Mortality!$A$4:$A$64,0),$U135)*$V135*$N135,0)</f>
        <v>0</v>
      </c>
      <c r="BL135" s="93">
        <f>IF(AND($T135=1,BL$5&lt;=$H135),INDEX(Mortality!$B$4:$E$64,MATCH($D135+BL$5-1,Mortality!$A$4:$A$64,0),$U135)*$V135*$N135,0)</f>
        <v>0</v>
      </c>
      <c r="BM135" s="93">
        <f>IF(AND($T135=1,BM$5&lt;=$H135),INDEX(Mortality!$B$4:$E$64,MATCH($D135+BM$5-1,Mortality!$A$4:$A$64,0),$U135)*$V135*$N135,0)</f>
        <v>0</v>
      </c>
      <c r="BN135" s="93">
        <f>IF(AND($T135=1,BN$5&lt;=$H135),INDEX(Mortality!$B$4:$E$64,MATCH($D135+BN$5-1,Mortality!$A$4:$A$64,0),$U135)*$V135*$N135,0)</f>
        <v>0</v>
      </c>
      <c r="BO135" s="93">
        <f>IF(AND($T135=1,BO$5&lt;=$H135),INDEX(Mortality!$B$4:$E$64,MATCH($D135+BO$5-1,Mortality!$A$4:$A$64,0),$U135)*$V135*$N135,0)</f>
        <v>0</v>
      </c>
      <c r="BP135" s="93">
        <f>IF(AND($T135=1,BP$5&lt;=$H135),INDEX(Mortality!$B$4:$E$64,MATCH($D135+BP$5-1,Mortality!$A$4:$A$64,0),$U135)*$V135*$N135,0)</f>
        <v>0</v>
      </c>
      <c r="BQ135" s="93">
        <f>IF(AND($T135=1,BQ$5&lt;=$H135),INDEX(Mortality!$B$4:$E$64,MATCH($D135+BQ$5-1,Mortality!$A$4:$A$64,0),$U135)*$V135*$N135,0)</f>
        <v>0</v>
      </c>
      <c r="BR135" s="93">
        <f>IF(AND($T135=1,BR$5&lt;=$H135),INDEX(Mortality!$B$4:$E$64,MATCH($D135+BR$5-1,Mortality!$A$4:$A$64,0),$U135)*$V135*$N135,0)</f>
        <v>0</v>
      </c>
      <c r="BS135" s="93">
        <f>IF(AND($T135=1,BS$5&lt;=$H135),INDEX(Mortality!$B$4:$E$64,MATCH($D135+BS$5-1,Mortality!$A$4:$A$64,0),$U135)*$V135*$N135,0)</f>
        <v>0</v>
      </c>
      <c r="BT135" s="93">
        <f>IF(AND($T135=1,BT$5&lt;=$H135),INDEX(Mortality!$B$4:$E$64,MATCH($D135+BT$5-1,Mortality!$A$4:$A$64,0),$U135)*$V135*$N135,0)</f>
        <v>0</v>
      </c>
      <c r="BU135" s="93">
        <f>IF(AND($T135=1,BU$5&lt;=$H135),INDEX(Mortality!$B$4:$E$64,MATCH($D135+BU$5-1,Mortality!$A$4:$A$64,0),$U135)*$V135*$N135,0)</f>
        <v>0</v>
      </c>
      <c r="BV135" s="93">
        <f>IF(AND($T135=1,BV$5&lt;=$H135),INDEX(Mortality!$B$4:$E$64,MATCH($D135+BV$5-1,Mortality!$A$4:$A$64,0),$U135)*$V135*$N135,0)</f>
        <v>0</v>
      </c>
      <c r="BW135" s="93">
        <f>IF(AND($T135=1,BW$5&lt;=$H135),INDEX(Mortality!$B$4:$E$64,MATCH($D135+BW$5-1,Mortality!$A$4:$A$64,0),$U135)*$V135*$N135,0)</f>
        <v>0</v>
      </c>
      <c r="BX135" s="93">
        <f>IF(AND($T135=1,BX$5&lt;=$H135),INDEX(Mortality!$B$4:$E$64,MATCH($D135+BX$5-1,Mortality!$A$4:$A$64,0),$U135)*$V135*$N135,0)</f>
        <v>0</v>
      </c>
      <c r="BY135" s="93">
        <f>IF(AND($T135=1,BY$5&lt;=$H135),INDEX(Mortality!$B$4:$E$64,MATCH($D135+BY$5-1,Mortality!$A$4:$A$64,0),$U135)*$V135*$N135,0)</f>
        <v>0</v>
      </c>
      <c r="BZ135" s="93">
        <f>IF(AND($T135=1,BZ$5&lt;=$H135),INDEX(Mortality!$B$4:$E$64,MATCH($D135+BZ$5-1,Mortality!$A$4:$A$64,0),$U135)*$V135*$N135,0)</f>
        <v>0</v>
      </c>
      <c r="CA135" s="93">
        <f>IF(AND($T135=1,CA$5&lt;=$H135),INDEX(Mortality!$B$4:$E$64,MATCH($D135+CA$5-1,Mortality!$A$4:$A$64,0),$U135)*$V135*$N135,0)</f>
        <v>0</v>
      </c>
      <c r="CB135" s="93">
        <f>IF(AND($T135=1,CB$5&lt;=$H135),INDEX(Mortality!$B$4:$E$64,MATCH($D135+CB$5-1,Mortality!$A$4:$A$64,0),$U135)*$V135*$N135,0)</f>
        <v>0</v>
      </c>
      <c r="CC135" s="93">
        <f>IF(AND($T135=1,CC$5&lt;=$H135),INDEX(Mortality!$B$4:$E$64,MATCH($D135+CC$5-1,Mortality!$A$4:$A$64,0),$U135)*$V135*$N135,0)</f>
        <v>0</v>
      </c>
      <c r="CD135" s="93">
        <f>IF(AND($T135=1,CD$5&lt;=$H135),INDEX(Mortality!$B$4:$E$64,MATCH($D135+CD$5-1,Mortality!$A$4:$A$64,0),$U135)*$V135*$N135,0)</f>
        <v>0</v>
      </c>
      <c r="CE135" s="93">
        <f>IF(AND($T135=1,CE$5&lt;=$H135),INDEX(Mortality!$B$4:$E$64,MATCH($D135+CE$5-1,Mortality!$A$4:$A$64,0),$U135)*$V135*$N135,0)</f>
        <v>0</v>
      </c>
      <c r="CF135" s="93">
        <f>IF(AND($T135=1,CF$5&lt;=$H135),INDEX(Mortality!$B$4:$E$64,MATCH($D135+CF$5-1,Mortality!$A$4:$A$64,0),$U135)*$V135*$N135,0)</f>
        <v>0</v>
      </c>
      <c r="CG135" s="93">
        <f>IF(AND($T135=1,CG$5&lt;=$H135),INDEX(Mortality!$B$4:$E$64,MATCH($D135+CG$5-1,Mortality!$A$4:$A$64,0),$U135)*$V135*$N135,0)</f>
        <v>0</v>
      </c>
      <c r="CH135" s="94">
        <f>IF(AND($T135=1,CH$5&lt;=$H135),INDEX(Mortality!$B$4:$E$64,MATCH($D135+CH$5-1,Mortality!$A$4:$A$64,0),$U135)*$V135*$N135,0)</f>
        <v>0</v>
      </c>
      <c r="CI135" s="26"/>
      <c r="CJ135" s="419">
        <f t="shared" si="53"/>
        <v>1</v>
      </c>
      <c r="CK135" s="93">
        <f>IF(AND($T135=1,CK$5&lt;=$H135),CJ135*(1-AU135)*(1-MIN(1,MAX(Assumptions!$C$27,Assumptions!$C$13*Assumptions!$C$28^(CJ$5-1))*$O135)),0)</f>
        <v>0.87807789512493983</v>
      </c>
      <c r="CL135" s="93">
        <f>IF(AND($T135=1,CL$5&lt;=$H135),CK135*(1-AV135)*(1-MIN(1,MAX(Assumptions!$C$27,Assumptions!$C$13*Assumptions!$C$28^(CK$5-1))*$O135)),0)</f>
        <v>0.78664822603955509</v>
      </c>
      <c r="CM135" s="93">
        <f>IF(AND($T135=1,CM$5&lt;=$H135),CL135*(1-AW135)*(1-MIN(1,MAX(Assumptions!$C$27,Assumptions!$C$13*Assumptions!$C$28^(CL$5-1))*$O135)),0)</f>
        <v>0.7166043086134708</v>
      </c>
      <c r="CN135" s="93">
        <f>IF(AND($T135=1,CN$5&lt;=$H135),CM135*(1-AX135)*(1-MIN(1,MAX(Assumptions!$C$27,Assumptions!$C$13*Assumptions!$C$28^(CM$5-1))*$O135)),0)</f>
        <v>0.66195101331464001</v>
      </c>
      <c r="CO135" s="93">
        <f>IF(AND($T135=1,CO$5&lt;=$H135),CN135*(1-AY135)*(1-MIN(1,MAX(Assumptions!$C$27,Assumptions!$C$13*Assumptions!$C$28^(CN$5-1))*$O135)),0)</f>
        <v>0.61861952326690883</v>
      </c>
      <c r="CP135" s="93">
        <f>IF(AND($T135=1,CP$5&lt;=$H135),CO135*(1-AZ135)*(1-MIN(1,MAX(Assumptions!$C$27,Assumptions!$C$13*Assumptions!$C$28^(CO$5-1))*$O135)),0)</f>
        <v>0.58377293259434981</v>
      </c>
      <c r="CQ135" s="93">
        <f>IF(AND($T135=1,CQ$5&lt;=$H135),CP135*(1-BA135)*(1-MIN(1,MAX(Assumptions!$C$27,Assumptions!$C$13*Assumptions!$C$28^(CP$5-1))*$O135)),0)</f>
        <v>0.55538520239457867</v>
      </c>
      <c r="CR135" s="93">
        <f>IF(AND($T135=1,CR$5&lt;=$H135),CQ135*(1-BB135)*(1-MIN(1,MAX(Assumptions!$C$27,Assumptions!$C$13*Assumptions!$C$28^(CQ$5-1))*$O135)),0)</f>
        <v>0.53197794487490957</v>
      </c>
      <c r="CS135" s="93">
        <f>IF(AND($T135=1,CS$5&lt;=$H135),CR135*(1-BC135)*(1-MIN(1,MAX(Assumptions!$C$27,Assumptions!$C$13*Assumptions!$C$28^(CR$5-1))*$O135)),0)</f>
        <v>0.5124513077914209</v>
      </c>
      <c r="CT135" s="93">
        <f>IF(AND($T135=1,CT$5&lt;=$H135),CS135*(1-BD135)*(1-MIN(1,MAX(Assumptions!$C$27,Assumptions!$C$13*Assumptions!$C$28^(CS$5-1))*$O135)),0)</f>
        <v>0</v>
      </c>
      <c r="CU135" s="93">
        <f>IF(AND($T135=1,CU$5&lt;=$H135),CT135*(1-BE135)*(1-MIN(1,MAX(Assumptions!$C$27,Assumptions!$C$13*Assumptions!$C$28^(CT$5-1))*$O135)),0)</f>
        <v>0</v>
      </c>
      <c r="CV135" s="93">
        <f>IF(AND($T135=1,CV$5&lt;=$H135),CU135*(1-BF135)*(1-MIN(1,MAX(Assumptions!$C$27,Assumptions!$C$13*Assumptions!$C$28^(CU$5-1))*$O135)),0)</f>
        <v>0</v>
      </c>
      <c r="CW135" s="93">
        <f>IF(AND($T135=1,CW$5&lt;=$H135),CV135*(1-BG135)*(1-MIN(1,MAX(Assumptions!$C$27,Assumptions!$C$13*Assumptions!$C$28^(CV$5-1))*$O135)),0)</f>
        <v>0</v>
      </c>
      <c r="CX135" s="93">
        <f>IF(AND($T135=1,CX$5&lt;=$H135),CW135*(1-BH135)*(1-MIN(1,MAX(Assumptions!$C$27,Assumptions!$C$13*Assumptions!$C$28^(CW$5-1))*$O135)),0)</f>
        <v>0</v>
      </c>
      <c r="CY135" s="93">
        <f>IF(AND($T135=1,CY$5&lt;=$H135),CX135*(1-BI135)*(1-MIN(1,MAX(Assumptions!$C$27,Assumptions!$C$13*Assumptions!$C$28^(CX$5-1))*$O135)),0)</f>
        <v>0</v>
      </c>
      <c r="CZ135" s="93">
        <f>IF(AND($T135=1,CZ$5&lt;=$H135),CY135*(1-BJ135)*(1-MIN(1,MAX(Assumptions!$C$27,Assumptions!$C$13*Assumptions!$C$28^(CY$5-1))*$O135)),0)</f>
        <v>0</v>
      </c>
      <c r="DA135" s="93">
        <f>IF(AND($T135=1,DA$5&lt;=$H135),CZ135*(1-BK135)*(1-MIN(1,MAX(Assumptions!$C$27,Assumptions!$C$13*Assumptions!$C$28^(CZ$5-1))*$O135)),0)</f>
        <v>0</v>
      </c>
      <c r="DB135" s="93">
        <f>IF(AND($T135=1,DB$5&lt;=$H135),DA135*(1-BL135)*(1-MIN(1,MAX(Assumptions!$C$27,Assumptions!$C$13*Assumptions!$C$28^(DA$5-1))*$O135)),0)</f>
        <v>0</v>
      </c>
      <c r="DC135" s="93">
        <f>IF(AND($T135=1,DC$5&lt;=$H135),DB135*(1-BM135)*(1-MIN(1,MAX(Assumptions!$C$27,Assumptions!$C$13*Assumptions!$C$28^(DB$5-1))*$O135)),0)</f>
        <v>0</v>
      </c>
      <c r="DD135" s="93">
        <f>IF(AND($T135=1,DD$5&lt;=$H135),DC135*(1-BN135)*(1-MIN(1,MAX(Assumptions!$C$27,Assumptions!$C$13*Assumptions!$C$28^(DC$5-1))*$O135)),0)</f>
        <v>0</v>
      </c>
      <c r="DE135" s="93">
        <f>IF(AND($T135=1,DE$5&lt;=$H135),DD135*(1-BO135)*(1-MIN(1,MAX(Assumptions!$C$27,Assumptions!$C$13*Assumptions!$C$28^(DD$5-1))*$O135)),0)</f>
        <v>0</v>
      </c>
      <c r="DF135" s="93">
        <f>IF(AND($T135=1,DF$5&lt;=$H135),DE135*(1-BP135)*(1-MIN(1,MAX(Assumptions!$C$27,Assumptions!$C$13*Assumptions!$C$28^(DE$5-1))*$O135)),0)</f>
        <v>0</v>
      </c>
      <c r="DG135" s="93">
        <f>IF(AND($T135=1,DG$5&lt;=$H135),DF135*(1-BQ135)*(1-MIN(1,MAX(Assumptions!$C$27,Assumptions!$C$13*Assumptions!$C$28^(DF$5-1))*$O135)),0)</f>
        <v>0</v>
      </c>
      <c r="DH135" s="93">
        <f>IF(AND($T135=1,DH$5&lt;=$H135),DG135*(1-BR135)*(1-MIN(1,MAX(Assumptions!$C$27,Assumptions!$C$13*Assumptions!$C$28^(DG$5-1))*$O135)),0)</f>
        <v>0</v>
      </c>
      <c r="DI135" s="93">
        <f>IF(AND($T135=1,DI$5&lt;=$H135),DH135*(1-BS135)*(1-MIN(1,MAX(Assumptions!$C$27,Assumptions!$C$13*Assumptions!$C$28^(DH$5-1))*$O135)),0)</f>
        <v>0</v>
      </c>
      <c r="DJ135" s="93">
        <f>IF(AND($T135=1,DJ$5&lt;=$H135),DI135*(1-BT135)*(1-MIN(1,MAX(Assumptions!$C$27,Assumptions!$C$13*Assumptions!$C$28^(DI$5-1))*$O135)),0)</f>
        <v>0</v>
      </c>
      <c r="DK135" s="93">
        <f>IF(AND($T135=1,DK$5&lt;=$H135),DJ135*(1-BU135)*(1-MIN(1,MAX(Assumptions!$C$27,Assumptions!$C$13*Assumptions!$C$28^(DJ$5-1))*$O135)),0)</f>
        <v>0</v>
      </c>
      <c r="DL135" s="93">
        <f>IF(AND($T135=1,DL$5&lt;=$H135),DK135*(1-BV135)*(1-MIN(1,MAX(Assumptions!$C$27,Assumptions!$C$13*Assumptions!$C$28^(DK$5-1))*$O135)),0)</f>
        <v>0</v>
      </c>
      <c r="DM135" s="93">
        <f>IF(AND($T135=1,DM$5&lt;=$H135),DL135*(1-BW135)*(1-MIN(1,MAX(Assumptions!$C$27,Assumptions!$C$13*Assumptions!$C$28^(DL$5-1))*$O135)),0)</f>
        <v>0</v>
      </c>
      <c r="DN135" s="93">
        <f>IF(AND($T135=1,DN$5&lt;=$H135),DM135*(1-BX135)*(1-MIN(1,MAX(Assumptions!$C$27,Assumptions!$C$13*Assumptions!$C$28^(DM$5-1))*$O135)),0)</f>
        <v>0</v>
      </c>
      <c r="DO135" s="93">
        <f>IF(AND($T135=1,DO$5&lt;=$H135),DN135*(1-BY135)*(1-MIN(1,MAX(Assumptions!$C$27,Assumptions!$C$13*Assumptions!$C$28^(DN$5-1))*$O135)),0)</f>
        <v>0</v>
      </c>
      <c r="DP135" s="93">
        <f>IF(AND($T135=1,DP$5&lt;=$H135),DO135*(1-BZ135)*(1-MIN(1,MAX(Assumptions!$C$27,Assumptions!$C$13*Assumptions!$C$28^(DO$5-1))*$O135)),0)</f>
        <v>0</v>
      </c>
      <c r="DQ135" s="93">
        <f>IF(AND($T135=1,DQ$5&lt;=$H135),DP135*(1-CA135)*(1-MIN(1,MAX(Assumptions!$C$27,Assumptions!$C$13*Assumptions!$C$28^(DP$5-1))*$O135)),0)</f>
        <v>0</v>
      </c>
      <c r="DR135" s="93">
        <f>IF(AND($T135=1,DR$5&lt;=$H135),DQ135*(1-CB135)*(1-MIN(1,MAX(Assumptions!$C$27,Assumptions!$C$13*Assumptions!$C$28^(DQ$5-1))*$O135)),0)</f>
        <v>0</v>
      </c>
      <c r="DS135" s="93">
        <f>IF(AND($T135=1,DS$5&lt;=$H135),DR135*(1-CC135)*(1-MIN(1,MAX(Assumptions!$C$27,Assumptions!$C$13*Assumptions!$C$28^(DR$5-1))*$O135)),0)</f>
        <v>0</v>
      </c>
      <c r="DT135" s="93">
        <f>IF(AND($T135=1,DT$5&lt;=$H135),DS135*(1-CD135)*(1-MIN(1,MAX(Assumptions!$C$27,Assumptions!$C$13*Assumptions!$C$28^(DS$5-1))*$O135)),0)</f>
        <v>0</v>
      </c>
      <c r="DU135" s="93">
        <f>IF(AND($T135=1,DU$5&lt;=$H135),DT135*(1-CE135)*(1-MIN(1,MAX(Assumptions!$C$27,Assumptions!$C$13*Assumptions!$C$28^(DT$5-1))*$O135)),0)</f>
        <v>0</v>
      </c>
      <c r="DV135" s="93">
        <f>IF(AND($T135=1,DV$5&lt;=$H135),DU135*(1-CF135)*(1-MIN(1,MAX(Assumptions!$C$27,Assumptions!$C$13*Assumptions!$C$28^(DU$5-1))*$O135)),0)</f>
        <v>0</v>
      </c>
      <c r="DW135" s="94">
        <f>IF(AND($T135=1,DW$5&lt;=$H135),DV135*(1-CG135)*(1-MIN(1,MAX(Assumptions!$C$27,Assumptions!$C$13*Assumptions!$C$28^(DV$5-1))*$O135)),0)</f>
        <v>0</v>
      </c>
      <c r="DX135" s="26"/>
      <c r="DY135" s="399">
        <f>'Policy Data'!K109</f>
        <v>7</v>
      </c>
      <c r="DZ135" s="100">
        <f>'Policy Data'!L109</f>
        <v>0.68310000000000004</v>
      </c>
      <c r="EA135" s="100">
        <f>'Policy Data'!N109</f>
        <v>1.4920000000000001E-3</v>
      </c>
      <c r="EB135" s="93" cm="1">
        <f t="array" ref="EB135">IFERROR(DZ135*INDEX(Mortality!$B$4:$E$64,MATCH(D135+DY135-1,Mortality!$A$4:$A$64,0),U135)*V135,0)</f>
        <v>2.4112378079677727E-3</v>
      </c>
      <c r="EC135" s="100">
        <f>'Policy Data'!O109</f>
        <v>0</v>
      </c>
      <c r="ED135" s="400">
        <f>'Policy Data'!Q109</f>
        <v>0</v>
      </c>
    </row>
    <row r="136" spans="1:134" x14ac:dyDescent="0.3">
      <c r="A136" s="399" t="str">
        <f>'Policy Data'!A110</f>
        <v>POL100106</v>
      </c>
      <c r="B136" s="26" t="s">
        <v>426</v>
      </c>
      <c r="C136" s="100" t="str">
        <f>'Policy Data'!B110</f>
        <v>Unit-Linked</v>
      </c>
      <c r="D136" s="100">
        <f>'Policy Data'!C110</f>
        <v>60</v>
      </c>
      <c r="E136" s="100" t="str">
        <f>'Policy Data'!D110</f>
        <v>Female</v>
      </c>
      <c r="F136" s="100" t="str">
        <f>'Policy Data'!E110</f>
        <v>Non-smoker</v>
      </c>
      <c r="G136" s="100" t="str">
        <f>'Policy Data'!F110</f>
        <v>Standard</v>
      </c>
      <c r="H136" s="100">
        <f>'Policy Data'!G110</f>
        <v>20</v>
      </c>
      <c r="I136" s="279">
        <f>'Policy Data'!H110</f>
        <v>2000000</v>
      </c>
      <c r="J136" s="100" t="str">
        <f>'Policy Data'!I110</f>
        <v>Monthly</v>
      </c>
      <c r="K136" s="100" t="str">
        <f>'Policy Data'!J110</f>
        <v>Broker</v>
      </c>
      <c r="L136" s="26" t="s">
        <v>389</v>
      </c>
      <c r="M136" s="106">
        <f>'Policy Data'!R110</f>
        <v>10011.66</v>
      </c>
      <c r="N136" s="415">
        <f>Assumptions!$C$21</f>
        <v>1</v>
      </c>
      <c r="O136" s="415">
        <f>Assumptions!$C$22</f>
        <v>1</v>
      </c>
      <c r="P136" s="415">
        <f>Assumptions!$C$23</f>
        <v>1</v>
      </c>
      <c r="Q136" s="416">
        <f>Assumptions!$C$24</f>
        <v>0</v>
      </c>
      <c r="R136" s="416">
        <f>Assumptions!$C$6+Assumptions!$C$25</f>
        <v>3.5000000000000003E-2</v>
      </c>
      <c r="S136" s="416">
        <f>Assumptions!$C$15</f>
        <v>1.1000000000000001E-3</v>
      </c>
      <c r="T136" s="26">
        <f t="shared" si="36"/>
        <v>0</v>
      </c>
      <c r="U136" s="26">
        <f t="shared" si="37"/>
        <v>1</v>
      </c>
      <c r="V136" s="389">
        <f>IF($G136="Preferred",Assumptions!$C$30,IF($G136="Rated",Assumptions!$C$31,1))</f>
        <v>1</v>
      </c>
      <c r="W136" s="390">
        <f>IF($K136="Direct",Assumptions!$C$32,IF($K136="Broker",Assumptions!$C$33,IF($K136="Bancassurance",Assumptions!$C$34,Assumptions!$C$11)))+$Q136</f>
        <v>0.25</v>
      </c>
      <c r="X136" s="390">
        <f>Assumptions!$C$12+$Q136</f>
        <v>0.05</v>
      </c>
      <c r="Y136" s="131">
        <f>MIN($I136,Assumptions!$C$14)</f>
        <v>500000</v>
      </c>
      <c r="Z136" s="131">
        <f>MAX($I136-Assumptions!$C$14,0)</f>
        <v>1500000</v>
      </c>
      <c r="AA136" s="389">
        <f t="shared" si="38"/>
        <v>0</v>
      </c>
      <c r="AB136" s="389">
        <f t="shared" si="39"/>
        <v>0</v>
      </c>
      <c r="AC136" s="389">
        <f>IF($T136=1,SUMPRODUCT($CJ136:$DW136,(1+Assumptions!$C$5)^($CJ$5:$DW$5-1),(1+$R136)^(-$CJ$5:$DW$5)),0)</f>
        <v>0</v>
      </c>
      <c r="AD136" s="389">
        <f t="shared" si="40"/>
        <v>0</v>
      </c>
      <c r="AE136" s="131">
        <f>IF($T136=1,$AB136*$Y136+(Assumptions!$C$9/(1+$R136)+Assumptions!$C$10*$AC136)*$P136+$S136*$Z136*$AA136,0)</f>
        <v>0</v>
      </c>
      <c r="AF136" s="131" t="str">
        <f>IF($T136=1,IF($AA136-$AD136-Assumptions!$C$16*$AA136&gt;0,$AE136/($AA136-$AD136-Assumptions!$C$16*$AA136)*IF($J136="Monthly",1+Assumptions!$C$29,1),"n.a."),"")</f>
        <v/>
      </c>
      <c r="AG136" s="131" t="str">
        <f t="shared" si="41"/>
        <v/>
      </c>
      <c r="AH136" s="131" t="str">
        <f t="shared" si="42"/>
        <v/>
      </c>
      <c r="AI136" s="131" t="str">
        <f t="shared" si="43"/>
        <v/>
      </c>
      <c r="AJ136" s="390" t="str">
        <f t="shared" si="44"/>
        <v/>
      </c>
      <c r="AK136" s="389" t="str">
        <f t="shared" si="45"/>
        <v/>
      </c>
      <c r="AL136" s="131" t="str">
        <f t="shared" si="46"/>
        <v/>
      </c>
      <c r="AM136" s="131" t="str">
        <f t="shared" si="47"/>
        <v/>
      </c>
      <c r="AN136" s="131" t="str">
        <f t="shared" si="48"/>
        <v/>
      </c>
      <c r="AO136" s="131" t="str">
        <f t="shared" si="49"/>
        <v/>
      </c>
      <c r="AP136" s="26" t="str">
        <f t="shared" si="50"/>
        <v>60+</v>
      </c>
      <c r="AQ136" s="26" t="str">
        <f t="shared" si="51"/>
        <v>Over 1m</v>
      </c>
      <c r="AR136" s="26" t="str">
        <f>IF($T136=1,IF($AI136&lt;0,"Loss-making",IF($AJ136&lt;Assumptions!$C$16-0.00001,"Below target","At/above target")),"Excluded")</f>
        <v>Excluded</v>
      </c>
      <c r="AS136" s="103">
        <f t="shared" si="52"/>
        <v>9.9999999999999997E+98</v>
      </c>
      <c r="AT136" s="26"/>
      <c r="AU136" s="419">
        <f>IF(AND($T136=1,AU$5&lt;=$H136),INDEX(Mortality!$B$4:$E$64,MATCH($D136+AU$5-1,Mortality!$A$4:$A$64,0),$U136)*$V136*$N136,0)</f>
        <v>0</v>
      </c>
      <c r="AV136" s="93">
        <f>IF(AND($T136=1,AV$5&lt;=$H136),INDEX(Mortality!$B$4:$E$64,MATCH($D136+AV$5-1,Mortality!$A$4:$A$64,0),$U136)*$V136*$N136,0)</f>
        <v>0</v>
      </c>
      <c r="AW136" s="93">
        <f>IF(AND($T136=1,AW$5&lt;=$H136),INDEX(Mortality!$B$4:$E$64,MATCH($D136+AW$5-1,Mortality!$A$4:$A$64,0),$U136)*$V136*$N136,0)</f>
        <v>0</v>
      </c>
      <c r="AX136" s="93">
        <f>IF(AND($T136=1,AX$5&lt;=$H136),INDEX(Mortality!$B$4:$E$64,MATCH($D136+AX$5-1,Mortality!$A$4:$A$64,0),$U136)*$V136*$N136,0)</f>
        <v>0</v>
      </c>
      <c r="AY136" s="93">
        <f>IF(AND($T136=1,AY$5&lt;=$H136),INDEX(Mortality!$B$4:$E$64,MATCH($D136+AY$5-1,Mortality!$A$4:$A$64,0),$U136)*$V136*$N136,0)</f>
        <v>0</v>
      </c>
      <c r="AZ136" s="93">
        <f>IF(AND($T136=1,AZ$5&lt;=$H136),INDEX(Mortality!$B$4:$E$64,MATCH($D136+AZ$5-1,Mortality!$A$4:$A$64,0),$U136)*$V136*$N136,0)</f>
        <v>0</v>
      </c>
      <c r="BA136" s="93">
        <f>IF(AND($T136=1,BA$5&lt;=$H136),INDEX(Mortality!$B$4:$E$64,MATCH($D136+BA$5-1,Mortality!$A$4:$A$64,0),$U136)*$V136*$N136,0)</f>
        <v>0</v>
      </c>
      <c r="BB136" s="93">
        <f>IF(AND($T136=1,BB$5&lt;=$H136),INDEX(Mortality!$B$4:$E$64,MATCH($D136+BB$5-1,Mortality!$A$4:$A$64,0),$U136)*$V136*$N136,0)</f>
        <v>0</v>
      </c>
      <c r="BC136" s="93">
        <f>IF(AND($T136=1,BC$5&lt;=$H136),INDEX(Mortality!$B$4:$E$64,MATCH($D136+BC$5-1,Mortality!$A$4:$A$64,0),$U136)*$V136*$N136,0)</f>
        <v>0</v>
      </c>
      <c r="BD136" s="93">
        <f>IF(AND($T136=1,BD$5&lt;=$H136),INDEX(Mortality!$B$4:$E$64,MATCH($D136+BD$5-1,Mortality!$A$4:$A$64,0),$U136)*$V136*$N136,0)</f>
        <v>0</v>
      </c>
      <c r="BE136" s="93">
        <f>IF(AND($T136=1,BE$5&lt;=$H136),INDEX(Mortality!$B$4:$E$64,MATCH($D136+BE$5-1,Mortality!$A$4:$A$64,0),$U136)*$V136*$N136,0)</f>
        <v>0</v>
      </c>
      <c r="BF136" s="93">
        <f>IF(AND($T136=1,BF$5&lt;=$H136),INDEX(Mortality!$B$4:$E$64,MATCH($D136+BF$5-1,Mortality!$A$4:$A$64,0),$U136)*$V136*$N136,0)</f>
        <v>0</v>
      </c>
      <c r="BG136" s="93">
        <f>IF(AND($T136=1,BG$5&lt;=$H136),INDEX(Mortality!$B$4:$E$64,MATCH($D136+BG$5-1,Mortality!$A$4:$A$64,0),$U136)*$V136*$N136,0)</f>
        <v>0</v>
      </c>
      <c r="BH136" s="93">
        <f>IF(AND($T136=1,BH$5&lt;=$H136),INDEX(Mortality!$B$4:$E$64,MATCH($D136+BH$5-1,Mortality!$A$4:$A$64,0),$U136)*$V136*$N136,0)</f>
        <v>0</v>
      </c>
      <c r="BI136" s="93">
        <f>IF(AND($T136=1,BI$5&lt;=$H136),INDEX(Mortality!$B$4:$E$64,MATCH($D136+BI$5-1,Mortality!$A$4:$A$64,0),$U136)*$V136*$N136,0)</f>
        <v>0</v>
      </c>
      <c r="BJ136" s="93">
        <f>IF(AND($T136=1,BJ$5&lt;=$H136),INDEX(Mortality!$B$4:$E$64,MATCH($D136+BJ$5-1,Mortality!$A$4:$A$64,0),$U136)*$V136*$N136,0)</f>
        <v>0</v>
      </c>
      <c r="BK136" s="93">
        <f>IF(AND($T136=1,BK$5&lt;=$H136),INDEX(Mortality!$B$4:$E$64,MATCH($D136+BK$5-1,Mortality!$A$4:$A$64,0),$U136)*$V136*$N136,0)</f>
        <v>0</v>
      </c>
      <c r="BL136" s="93">
        <f>IF(AND($T136=1,BL$5&lt;=$H136),INDEX(Mortality!$B$4:$E$64,MATCH($D136+BL$5-1,Mortality!$A$4:$A$64,0),$U136)*$V136*$N136,0)</f>
        <v>0</v>
      </c>
      <c r="BM136" s="93">
        <f>IF(AND($T136=1,BM$5&lt;=$H136),INDEX(Mortality!$B$4:$E$64,MATCH($D136+BM$5-1,Mortality!$A$4:$A$64,0),$U136)*$V136*$N136,0)</f>
        <v>0</v>
      </c>
      <c r="BN136" s="93">
        <f>IF(AND($T136=1,BN$5&lt;=$H136),INDEX(Mortality!$B$4:$E$64,MATCH($D136+BN$5-1,Mortality!$A$4:$A$64,0),$U136)*$V136*$N136,0)</f>
        <v>0</v>
      </c>
      <c r="BO136" s="93">
        <f>IF(AND($T136=1,BO$5&lt;=$H136),INDEX(Mortality!$B$4:$E$64,MATCH($D136+BO$5-1,Mortality!$A$4:$A$64,0),$U136)*$V136*$N136,0)</f>
        <v>0</v>
      </c>
      <c r="BP136" s="93">
        <f>IF(AND($T136=1,BP$5&lt;=$H136),INDEX(Mortality!$B$4:$E$64,MATCH($D136+BP$5-1,Mortality!$A$4:$A$64,0),$U136)*$V136*$N136,0)</f>
        <v>0</v>
      </c>
      <c r="BQ136" s="93">
        <f>IF(AND($T136=1,BQ$5&lt;=$H136),INDEX(Mortality!$B$4:$E$64,MATCH($D136+BQ$5-1,Mortality!$A$4:$A$64,0),$U136)*$V136*$N136,0)</f>
        <v>0</v>
      </c>
      <c r="BR136" s="93">
        <f>IF(AND($T136=1,BR$5&lt;=$H136),INDEX(Mortality!$B$4:$E$64,MATCH($D136+BR$5-1,Mortality!$A$4:$A$64,0),$U136)*$V136*$N136,0)</f>
        <v>0</v>
      </c>
      <c r="BS136" s="93">
        <f>IF(AND($T136=1,BS$5&lt;=$H136),INDEX(Mortality!$B$4:$E$64,MATCH($D136+BS$5-1,Mortality!$A$4:$A$64,0),$U136)*$V136*$N136,0)</f>
        <v>0</v>
      </c>
      <c r="BT136" s="93">
        <f>IF(AND($T136=1,BT$5&lt;=$H136),INDEX(Mortality!$B$4:$E$64,MATCH($D136+BT$5-1,Mortality!$A$4:$A$64,0),$U136)*$V136*$N136,0)</f>
        <v>0</v>
      </c>
      <c r="BU136" s="93">
        <f>IF(AND($T136=1,BU$5&lt;=$H136),INDEX(Mortality!$B$4:$E$64,MATCH($D136+BU$5-1,Mortality!$A$4:$A$64,0),$U136)*$V136*$N136,0)</f>
        <v>0</v>
      </c>
      <c r="BV136" s="93">
        <f>IF(AND($T136=1,BV$5&lt;=$H136),INDEX(Mortality!$B$4:$E$64,MATCH($D136+BV$5-1,Mortality!$A$4:$A$64,0),$U136)*$V136*$N136,0)</f>
        <v>0</v>
      </c>
      <c r="BW136" s="93">
        <f>IF(AND($T136=1,BW$5&lt;=$H136),INDEX(Mortality!$B$4:$E$64,MATCH($D136+BW$5-1,Mortality!$A$4:$A$64,0),$U136)*$V136*$N136,0)</f>
        <v>0</v>
      </c>
      <c r="BX136" s="93">
        <f>IF(AND($T136=1,BX$5&lt;=$H136),INDEX(Mortality!$B$4:$E$64,MATCH($D136+BX$5-1,Mortality!$A$4:$A$64,0),$U136)*$V136*$N136,0)</f>
        <v>0</v>
      </c>
      <c r="BY136" s="93">
        <f>IF(AND($T136=1,BY$5&lt;=$H136),INDEX(Mortality!$B$4:$E$64,MATCH($D136+BY$5-1,Mortality!$A$4:$A$64,0),$U136)*$V136*$N136,0)</f>
        <v>0</v>
      </c>
      <c r="BZ136" s="93">
        <f>IF(AND($T136=1,BZ$5&lt;=$H136),INDEX(Mortality!$B$4:$E$64,MATCH($D136+BZ$5-1,Mortality!$A$4:$A$64,0),$U136)*$V136*$N136,0)</f>
        <v>0</v>
      </c>
      <c r="CA136" s="93">
        <f>IF(AND($T136=1,CA$5&lt;=$H136),INDEX(Mortality!$B$4:$E$64,MATCH($D136+CA$5-1,Mortality!$A$4:$A$64,0),$U136)*$V136*$N136,0)</f>
        <v>0</v>
      </c>
      <c r="CB136" s="93">
        <f>IF(AND($T136=1,CB$5&lt;=$H136),INDEX(Mortality!$B$4:$E$64,MATCH($D136+CB$5-1,Mortality!$A$4:$A$64,0),$U136)*$V136*$N136,0)</f>
        <v>0</v>
      </c>
      <c r="CC136" s="93">
        <f>IF(AND($T136=1,CC$5&lt;=$H136),INDEX(Mortality!$B$4:$E$64,MATCH($D136+CC$5-1,Mortality!$A$4:$A$64,0),$U136)*$V136*$N136,0)</f>
        <v>0</v>
      </c>
      <c r="CD136" s="93">
        <f>IF(AND($T136=1,CD$5&lt;=$H136),INDEX(Mortality!$B$4:$E$64,MATCH($D136+CD$5-1,Mortality!$A$4:$A$64,0),$U136)*$V136*$N136,0)</f>
        <v>0</v>
      </c>
      <c r="CE136" s="93">
        <f>IF(AND($T136=1,CE$5&lt;=$H136),INDEX(Mortality!$B$4:$E$64,MATCH($D136+CE$5-1,Mortality!$A$4:$A$64,0),$U136)*$V136*$N136,0)</f>
        <v>0</v>
      </c>
      <c r="CF136" s="93">
        <f>IF(AND($T136=1,CF$5&lt;=$H136),INDEX(Mortality!$B$4:$E$64,MATCH($D136+CF$5-1,Mortality!$A$4:$A$64,0),$U136)*$V136*$N136,0)</f>
        <v>0</v>
      </c>
      <c r="CG136" s="93">
        <f>IF(AND($T136=1,CG$5&lt;=$H136),INDEX(Mortality!$B$4:$E$64,MATCH($D136+CG$5-1,Mortality!$A$4:$A$64,0),$U136)*$V136*$N136,0)</f>
        <v>0</v>
      </c>
      <c r="CH136" s="94">
        <f>IF(AND($T136=1,CH$5&lt;=$H136),INDEX(Mortality!$B$4:$E$64,MATCH($D136+CH$5-1,Mortality!$A$4:$A$64,0),$U136)*$V136*$N136,0)</f>
        <v>0</v>
      </c>
      <c r="CI136" s="26"/>
      <c r="CJ136" s="419">
        <f t="shared" si="53"/>
        <v>0</v>
      </c>
      <c r="CK136" s="93">
        <f>IF(AND($T136=1,CK$5&lt;=$H136),CJ136*(1-AU136)*(1-MIN(1,MAX(Assumptions!$C$27,Assumptions!$C$13*Assumptions!$C$28^(CJ$5-1))*$O136)),0)</f>
        <v>0</v>
      </c>
      <c r="CL136" s="93">
        <f>IF(AND($T136=1,CL$5&lt;=$H136),CK136*(1-AV136)*(1-MIN(1,MAX(Assumptions!$C$27,Assumptions!$C$13*Assumptions!$C$28^(CK$5-1))*$O136)),0)</f>
        <v>0</v>
      </c>
      <c r="CM136" s="93">
        <f>IF(AND($T136=1,CM$5&lt;=$H136),CL136*(1-AW136)*(1-MIN(1,MAX(Assumptions!$C$27,Assumptions!$C$13*Assumptions!$C$28^(CL$5-1))*$O136)),0)</f>
        <v>0</v>
      </c>
      <c r="CN136" s="93">
        <f>IF(AND($T136=1,CN$5&lt;=$H136),CM136*(1-AX136)*(1-MIN(1,MAX(Assumptions!$C$27,Assumptions!$C$13*Assumptions!$C$28^(CM$5-1))*$O136)),0)</f>
        <v>0</v>
      </c>
      <c r="CO136" s="93">
        <f>IF(AND($T136=1,CO$5&lt;=$H136),CN136*(1-AY136)*(1-MIN(1,MAX(Assumptions!$C$27,Assumptions!$C$13*Assumptions!$C$28^(CN$5-1))*$O136)),0)</f>
        <v>0</v>
      </c>
      <c r="CP136" s="93">
        <f>IF(AND($T136=1,CP$5&lt;=$H136),CO136*(1-AZ136)*(1-MIN(1,MAX(Assumptions!$C$27,Assumptions!$C$13*Assumptions!$C$28^(CO$5-1))*$O136)),0)</f>
        <v>0</v>
      </c>
      <c r="CQ136" s="93">
        <f>IF(AND($T136=1,CQ$5&lt;=$H136),CP136*(1-BA136)*(1-MIN(1,MAX(Assumptions!$C$27,Assumptions!$C$13*Assumptions!$C$28^(CP$5-1))*$O136)),0)</f>
        <v>0</v>
      </c>
      <c r="CR136" s="93">
        <f>IF(AND($T136=1,CR$5&lt;=$H136),CQ136*(1-BB136)*(1-MIN(1,MAX(Assumptions!$C$27,Assumptions!$C$13*Assumptions!$C$28^(CQ$5-1))*$O136)),0)</f>
        <v>0</v>
      </c>
      <c r="CS136" s="93">
        <f>IF(AND($T136=1,CS$5&lt;=$H136),CR136*(1-BC136)*(1-MIN(1,MAX(Assumptions!$C$27,Assumptions!$C$13*Assumptions!$C$28^(CR$5-1))*$O136)),0)</f>
        <v>0</v>
      </c>
      <c r="CT136" s="93">
        <f>IF(AND($T136=1,CT$5&lt;=$H136),CS136*(1-BD136)*(1-MIN(1,MAX(Assumptions!$C$27,Assumptions!$C$13*Assumptions!$C$28^(CS$5-1))*$O136)),0)</f>
        <v>0</v>
      </c>
      <c r="CU136" s="93">
        <f>IF(AND($T136=1,CU$5&lt;=$H136),CT136*(1-BE136)*(1-MIN(1,MAX(Assumptions!$C$27,Assumptions!$C$13*Assumptions!$C$28^(CT$5-1))*$O136)),0)</f>
        <v>0</v>
      </c>
      <c r="CV136" s="93">
        <f>IF(AND($T136=1,CV$5&lt;=$H136),CU136*(1-BF136)*(1-MIN(1,MAX(Assumptions!$C$27,Assumptions!$C$13*Assumptions!$C$28^(CU$5-1))*$O136)),0)</f>
        <v>0</v>
      </c>
      <c r="CW136" s="93">
        <f>IF(AND($T136=1,CW$5&lt;=$H136),CV136*(1-BG136)*(1-MIN(1,MAX(Assumptions!$C$27,Assumptions!$C$13*Assumptions!$C$28^(CV$5-1))*$O136)),0)</f>
        <v>0</v>
      </c>
      <c r="CX136" s="93">
        <f>IF(AND($T136=1,CX$5&lt;=$H136),CW136*(1-BH136)*(1-MIN(1,MAX(Assumptions!$C$27,Assumptions!$C$13*Assumptions!$C$28^(CW$5-1))*$O136)),0)</f>
        <v>0</v>
      </c>
      <c r="CY136" s="93">
        <f>IF(AND($T136=1,CY$5&lt;=$H136),CX136*(1-BI136)*(1-MIN(1,MAX(Assumptions!$C$27,Assumptions!$C$13*Assumptions!$C$28^(CX$5-1))*$O136)),0)</f>
        <v>0</v>
      </c>
      <c r="CZ136" s="93">
        <f>IF(AND($T136=1,CZ$5&lt;=$H136),CY136*(1-BJ136)*(1-MIN(1,MAX(Assumptions!$C$27,Assumptions!$C$13*Assumptions!$C$28^(CY$5-1))*$O136)),0)</f>
        <v>0</v>
      </c>
      <c r="DA136" s="93">
        <f>IF(AND($T136=1,DA$5&lt;=$H136),CZ136*(1-BK136)*(1-MIN(1,MAX(Assumptions!$C$27,Assumptions!$C$13*Assumptions!$C$28^(CZ$5-1))*$O136)),0)</f>
        <v>0</v>
      </c>
      <c r="DB136" s="93">
        <f>IF(AND($T136=1,DB$5&lt;=$H136),DA136*(1-BL136)*(1-MIN(1,MAX(Assumptions!$C$27,Assumptions!$C$13*Assumptions!$C$28^(DA$5-1))*$O136)),0)</f>
        <v>0</v>
      </c>
      <c r="DC136" s="93">
        <f>IF(AND($T136=1,DC$5&lt;=$H136),DB136*(1-BM136)*(1-MIN(1,MAX(Assumptions!$C$27,Assumptions!$C$13*Assumptions!$C$28^(DB$5-1))*$O136)),0)</f>
        <v>0</v>
      </c>
      <c r="DD136" s="93">
        <f>IF(AND($T136=1,DD$5&lt;=$H136),DC136*(1-BN136)*(1-MIN(1,MAX(Assumptions!$C$27,Assumptions!$C$13*Assumptions!$C$28^(DC$5-1))*$O136)),0)</f>
        <v>0</v>
      </c>
      <c r="DE136" s="93">
        <f>IF(AND($T136=1,DE$5&lt;=$H136),DD136*(1-BO136)*(1-MIN(1,MAX(Assumptions!$C$27,Assumptions!$C$13*Assumptions!$C$28^(DD$5-1))*$O136)),0)</f>
        <v>0</v>
      </c>
      <c r="DF136" s="93">
        <f>IF(AND($T136=1,DF$5&lt;=$H136),DE136*(1-BP136)*(1-MIN(1,MAX(Assumptions!$C$27,Assumptions!$C$13*Assumptions!$C$28^(DE$5-1))*$O136)),0)</f>
        <v>0</v>
      </c>
      <c r="DG136" s="93">
        <f>IF(AND($T136=1,DG$5&lt;=$H136),DF136*(1-BQ136)*(1-MIN(1,MAX(Assumptions!$C$27,Assumptions!$C$13*Assumptions!$C$28^(DF$5-1))*$O136)),0)</f>
        <v>0</v>
      </c>
      <c r="DH136" s="93">
        <f>IF(AND($T136=1,DH$5&lt;=$H136),DG136*(1-BR136)*(1-MIN(1,MAX(Assumptions!$C$27,Assumptions!$C$13*Assumptions!$C$28^(DG$5-1))*$O136)),0)</f>
        <v>0</v>
      </c>
      <c r="DI136" s="93">
        <f>IF(AND($T136=1,DI$5&lt;=$H136),DH136*(1-BS136)*(1-MIN(1,MAX(Assumptions!$C$27,Assumptions!$C$13*Assumptions!$C$28^(DH$5-1))*$O136)),0)</f>
        <v>0</v>
      </c>
      <c r="DJ136" s="93">
        <f>IF(AND($T136=1,DJ$5&lt;=$H136),DI136*(1-BT136)*(1-MIN(1,MAX(Assumptions!$C$27,Assumptions!$C$13*Assumptions!$C$28^(DI$5-1))*$O136)),0)</f>
        <v>0</v>
      </c>
      <c r="DK136" s="93">
        <f>IF(AND($T136=1,DK$5&lt;=$H136),DJ136*(1-BU136)*(1-MIN(1,MAX(Assumptions!$C$27,Assumptions!$C$13*Assumptions!$C$28^(DJ$5-1))*$O136)),0)</f>
        <v>0</v>
      </c>
      <c r="DL136" s="93">
        <f>IF(AND($T136=1,DL$5&lt;=$H136),DK136*(1-BV136)*(1-MIN(1,MAX(Assumptions!$C$27,Assumptions!$C$13*Assumptions!$C$28^(DK$5-1))*$O136)),0)</f>
        <v>0</v>
      </c>
      <c r="DM136" s="93">
        <f>IF(AND($T136=1,DM$5&lt;=$H136),DL136*(1-BW136)*(1-MIN(1,MAX(Assumptions!$C$27,Assumptions!$C$13*Assumptions!$C$28^(DL$5-1))*$O136)),0)</f>
        <v>0</v>
      </c>
      <c r="DN136" s="93">
        <f>IF(AND($T136=1,DN$5&lt;=$H136),DM136*(1-BX136)*(1-MIN(1,MAX(Assumptions!$C$27,Assumptions!$C$13*Assumptions!$C$28^(DM$5-1))*$O136)),0)</f>
        <v>0</v>
      </c>
      <c r="DO136" s="93">
        <f>IF(AND($T136=1,DO$5&lt;=$H136),DN136*(1-BY136)*(1-MIN(1,MAX(Assumptions!$C$27,Assumptions!$C$13*Assumptions!$C$28^(DN$5-1))*$O136)),0)</f>
        <v>0</v>
      </c>
      <c r="DP136" s="93">
        <f>IF(AND($T136=1,DP$5&lt;=$H136),DO136*(1-BZ136)*(1-MIN(1,MAX(Assumptions!$C$27,Assumptions!$C$13*Assumptions!$C$28^(DO$5-1))*$O136)),0)</f>
        <v>0</v>
      </c>
      <c r="DQ136" s="93">
        <f>IF(AND($T136=1,DQ$5&lt;=$H136),DP136*(1-CA136)*(1-MIN(1,MAX(Assumptions!$C$27,Assumptions!$C$13*Assumptions!$C$28^(DP$5-1))*$O136)),0)</f>
        <v>0</v>
      </c>
      <c r="DR136" s="93">
        <f>IF(AND($T136=1,DR$5&lt;=$H136),DQ136*(1-CB136)*(1-MIN(1,MAX(Assumptions!$C$27,Assumptions!$C$13*Assumptions!$C$28^(DQ$5-1))*$O136)),0)</f>
        <v>0</v>
      </c>
      <c r="DS136" s="93">
        <f>IF(AND($T136=1,DS$5&lt;=$H136),DR136*(1-CC136)*(1-MIN(1,MAX(Assumptions!$C$27,Assumptions!$C$13*Assumptions!$C$28^(DR$5-1))*$O136)),0)</f>
        <v>0</v>
      </c>
      <c r="DT136" s="93">
        <f>IF(AND($T136=1,DT$5&lt;=$H136),DS136*(1-CD136)*(1-MIN(1,MAX(Assumptions!$C$27,Assumptions!$C$13*Assumptions!$C$28^(DS$5-1))*$O136)),0)</f>
        <v>0</v>
      </c>
      <c r="DU136" s="93">
        <f>IF(AND($T136=1,DU$5&lt;=$H136),DT136*(1-CE136)*(1-MIN(1,MAX(Assumptions!$C$27,Assumptions!$C$13*Assumptions!$C$28^(DT$5-1))*$O136)),0)</f>
        <v>0</v>
      </c>
      <c r="DV136" s="93">
        <f>IF(AND($T136=1,DV$5&lt;=$H136),DU136*(1-CF136)*(1-MIN(1,MAX(Assumptions!$C$27,Assumptions!$C$13*Assumptions!$C$28^(DU$5-1))*$O136)),0)</f>
        <v>0</v>
      </c>
      <c r="DW136" s="94">
        <f>IF(AND($T136=1,DW$5&lt;=$H136),DV136*(1-CG136)*(1-MIN(1,MAX(Assumptions!$C$27,Assumptions!$C$13*Assumptions!$C$28^(DV$5-1))*$O136)),0)</f>
        <v>0</v>
      </c>
      <c r="DX136" s="26"/>
      <c r="DY136" s="399">
        <f>'Policy Data'!K110</f>
        <v>6</v>
      </c>
      <c r="DZ136" s="100">
        <f>'Policy Data'!L110</f>
        <v>0.53049999999999997</v>
      </c>
      <c r="EA136" s="100">
        <f>'Policy Data'!N110</f>
        <v>2.2369999999999998E-3</v>
      </c>
      <c r="EB136" s="93" cm="1">
        <f t="array" ref="EB136">IFERROR(DZ136*INDEX(Mortality!$B$4:$E$64,MATCH(D136+DY136-1,Mortality!$A$4:$A$64,0),U136)*V136,0)</f>
        <v>3.3368860553656208E-3</v>
      </c>
      <c r="EC136" s="100">
        <f>'Policy Data'!O110</f>
        <v>0</v>
      </c>
      <c r="ED136" s="400">
        <f>'Policy Data'!Q110</f>
        <v>0</v>
      </c>
    </row>
    <row r="137" spans="1:134" x14ac:dyDescent="0.3">
      <c r="A137" s="399" t="str">
        <f>'Policy Data'!A111</f>
        <v>POL100107</v>
      </c>
      <c r="B137" s="26" t="s">
        <v>426</v>
      </c>
      <c r="C137" s="100" t="str">
        <f>'Policy Data'!B111</f>
        <v>Term Life</v>
      </c>
      <c r="D137" s="100">
        <f>'Policy Data'!C111</f>
        <v>64</v>
      </c>
      <c r="E137" s="100" t="str">
        <f>'Policy Data'!D111</f>
        <v>Male</v>
      </c>
      <c r="F137" s="100" t="str">
        <f>'Policy Data'!E111</f>
        <v>Non-smoker</v>
      </c>
      <c r="G137" s="100" t="str">
        <f>'Policy Data'!F111</f>
        <v>Standard</v>
      </c>
      <c r="H137" s="100">
        <f>'Policy Data'!G111</f>
        <v>15</v>
      </c>
      <c r="I137" s="279">
        <f>'Policy Data'!H111</f>
        <v>1000000</v>
      </c>
      <c r="J137" s="100" t="str">
        <f>'Policy Data'!I111</f>
        <v>Annual</v>
      </c>
      <c r="K137" s="100" t="str">
        <f>'Policy Data'!J111</f>
        <v>Bancassurance</v>
      </c>
      <c r="L137" s="26" t="s">
        <v>389</v>
      </c>
      <c r="M137" s="106">
        <f>'Policy Data'!R111</f>
        <v>10299.86</v>
      </c>
      <c r="N137" s="415">
        <f>Assumptions!$C$21</f>
        <v>1</v>
      </c>
      <c r="O137" s="415">
        <f>Assumptions!$C$22</f>
        <v>1</v>
      </c>
      <c r="P137" s="415">
        <f>Assumptions!$C$23</f>
        <v>1</v>
      </c>
      <c r="Q137" s="416">
        <f>Assumptions!$C$24</f>
        <v>0</v>
      </c>
      <c r="R137" s="416">
        <f>Assumptions!$C$6+Assumptions!$C$25</f>
        <v>3.5000000000000003E-2</v>
      </c>
      <c r="S137" s="416">
        <f>Assumptions!$C$15</f>
        <v>1.1000000000000001E-3</v>
      </c>
      <c r="T137" s="26">
        <f t="shared" si="36"/>
        <v>1</v>
      </c>
      <c r="U137" s="26">
        <f t="shared" si="37"/>
        <v>3</v>
      </c>
      <c r="V137" s="389">
        <f>IF($G137="Preferred",Assumptions!$C$30,IF($G137="Rated",Assumptions!$C$31,1))</f>
        <v>1</v>
      </c>
      <c r="W137" s="390">
        <f>IF($K137="Direct",Assumptions!$C$32,IF($K137="Broker",Assumptions!$C$33,IF($K137="Bancassurance",Assumptions!$C$34,Assumptions!$C$11)))+$Q137</f>
        <v>0.2</v>
      </c>
      <c r="X137" s="390">
        <f>Assumptions!$C$12+$Q137</f>
        <v>0.05</v>
      </c>
      <c r="Y137" s="131">
        <f>MIN($I137,Assumptions!$C$14)</f>
        <v>500000</v>
      </c>
      <c r="Z137" s="131">
        <f>MAX($I137-Assumptions!$C$14,0)</f>
        <v>500000</v>
      </c>
      <c r="AA137" s="389">
        <f t="shared" si="38"/>
        <v>7.021396222224273</v>
      </c>
      <c r="AB137" s="389">
        <f t="shared" si="39"/>
        <v>8.8266296464290031E-2</v>
      </c>
      <c r="AC137" s="389">
        <f>IF($T137=1,SUMPRODUCT($CJ137:$DW137,(1+Assumptions!$C$5)^($CJ$5:$DW$5-1),(1+$R137)^(-$CJ$5:$DW$5)),0)</f>
        <v>8.70953452529203</v>
      </c>
      <c r="AD137" s="389">
        <f t="shared" si="40"/>
        <v>0.49599734734309775</v>
      </c>
      <c r="AE137" s="131">
        <f>IF($T137=1,$AB137*$Y137+(Assumptions!$C$9/(1+$R137)+Assumptions!$C$10*$AC137)*$P137+$S137*$Z137*$AA137,0)</f>
        <v>50780.57896732392</v>
      </c>
      <c r="AF137" s="131">
        <f>IF($T137=1,IF($AA137-$AD137-Assumptions!$C$16*$AA137&gt;0,$AE137/($AA137-$AD137-Assumptions!$C$16*$AA137)*IF($J137="Monthly",1+Assumptions!$C$29,1),"n.a."),"")</f>
        <v>8514.963555145725</v>
      </c>
      <c r="AG137" s="131">
        <f t="shared" si="41"/>
        <v>10299.86</v>
      </c>
      <c r="AH137" s="131">
        <f t="shared" si="42"/>
        <v>72319.398093438911</v>
      </c>
      <c r="AI137" s="131">
        <f t="shared" si="43"/>
        <v>16430.115888109707</v>
      </c>
      <c r="AJ137" s="390">
        <f t="shared" si="44"/>
        <v>0.22718822779583267</v>
      </c>
      <c r="AK137" s="389">
        <f t="shared" si="45"/>
        <v>1.2096188002796131</v>
      </c>
      <c r="AL137" s="131">
        <f t="shared" si="46"/>
        <v>44133.148232145017</v>
      </c>
      <c r="AM137" s="131">
        <f t="shared" si="47"/>
        <v>3861.7679222233501</v>
      </c>
      <c r="AN137" s="131">
        <f t="shared" si="48"/>
        <v>40271.380309921668</v>
      </c>
      <c r="AO137" s="131">
        <f t="shared" si="49"/>
        <v>-23841.26442181196</v>
      </c>
      <c r="AP137" s="26" t="str">
        <f t="shared" si="50"/>
        <v>60+</v>
      </c>
      <c r="AQ137" s="26" t="str">
        <f t="shared" si="51"/>
        <v>500k-1m</v>
      </c>
      <c r="AR137" s="26" t="str">
        <f>IF($T137=1,IF($AI137&lt;0,"Loss-making",IF($AJ137&lt;Assumptions!$C$16-0.00001,"Below target","At/above target")),"Excluded")</f>
        <v>At/above target</v>
      </c>
      <c r="AS137" s="103">
        <f t="shared" si="52"/>
        <v>16430.116025109706</v>
      </c>
      <c r="AT137" s="26"/>
      <c r="AU137" s="419">
        <f>IF(AND($T137=1,AU$5&lt;=$H137),INDEX(Mortality!$B$4:$E$64,MATCH($D137+AU$5-1,Mortality!$A$4:$A$64,0),$U137)*$V137*$N137,0)</f>
        <v>7.8558167617636399E-3</v>
      </c>
      <c r="AV137" s="93">
        <f>IF(AND($T137=1,AV$5&lt;=$H137),INDEX(Mortality!$B$4:$E$64,MATCH($D137+AV$5-1,Mortality!$A$4:$A$64,0),$U137)*$V137*$N137,0)</f>
        <v>8.5101047040427192E-3</v>
      </c>
      <c r="AW137" s="93">
        <f>IF(AND($T137=1,AW$5&lt;=$H137),INDEX(Mortality!$B$4:$E$64,MATCH($D137+AW$5-1,Mortality!$A$4:$A$64,0),$U137)*$V137*$N137,0)</f>
        <v>9.2188863704493092E-3</v>
      </c>
      <c r="AX137" s="93">
        <f>IF(AND($T137=1,AX$5&lt;=$H137),INDEX(Mortality!$B$4:$E$64,MATCH($D137+AX$5-1,Mortality!$A$4:$A$64,0),$U137)*$V137*$N137,0)</f>
        <v>9.9867003834726801E-3</v>
      </c>
      <c r="AY137" s="93">
        <f>IF(AND($T137=1,AY$5&lt;=$H137),INDEX(Mortality!$B$4:$E$64,MATCH($D137+AY$5-1,Mortality!$A$4:$A$64,0),$U137)*$V137*$N137,0)</f>
        <v>1.08184633741605E-2</v>
      </c>
      <c r="AZ137" s="93">
        <f>IF(AND($T137=1,AZ$5&lt;=$H137),INDEX(Mortality!$B$4:$E$64,MATCH($D137+AZ$5-1,Mortality!$A$4:$A$64,0),$U137)*$V137*$N137,0)</f>
        <v>1.1719501465343301E-2</v>
      </c>
      <c r="BA137" s="93">
        <f>IF(AND($T137=1,BA$5&lt;=$H137),INDEX(Mortality!$B$4:$E$64,MATCH($D137+BA$5-1,Mortality!$A$4:$A$64,0),$U137)*$V137*$N137,0)</f>
        <v>1.2695584377004099E-2</v>
      </c>
      <c r="BB137" s="93">
        <f>IF(AND($T137=1,BB$5&lt;=$H137),INDEX(Mortality!$B$4:$E$64,MATCH($D137+BB$5-1,Mortality!$A$4:$A$64,0),$U137)*$V137*$N137,0)</f>
        <v>1.3752962372184801E-2</v>
      </c>
      <c r="BC137" s="93">
        <f>IF(AND($T137=1,BC$5&lt;=$H137),INDEX(Mortality!$B$4:$E$64,MATCH($D137+BC$5-1,Mortality!$A$4:$A$64,0),$U137)*$V137*$N137,0)</f>
        <v>1.4898406280008099E-2</v>
      </c>
      <c r="BD137" s="93">
        <f>IF(AND($T137=1,BD$5&lt;=$H137),INDEX(Mortality!$B$4:$E$64,MATCH($D137+BD$5-1,Mortality!$A$4:$A$64,0),$U137)*$V137*$N137,0)</f>
        <v>1.61392508521001E-2</v>
      </c>
      <c r="BE137" s="93">
        <f>IF(AND($T137=1,BE$5&lt;=$H137),INDEX(Mortality!$B$4:$E$64,MATCH($D137+BE$5-1,Mortality!$A$4:$A$64,0),$U137)*$V137*$N137,0)</f>
        <v>1.7483441730042099E-2</v>
      </c>
      <c r="BF137" s="93">
        <f>IF(AND($T137=1,BF$5&lt;=$H137),INDEX(Mortality!$B$4:$E$64,MATCH($D137+BF$5-1,Mortality!$A$4:$A$64,0),$U137)*$V137*$N137,0)</f>
        <v>1.8939586324603401E-2</v>
      </c>
      <c r="BG137" s="93">
        <f>IF(AND($T137=1,BG$5&lt;=$H137),INDEX(Mortality!$B$4:$E$64,MATCH($D137+BG$5-1,Mortality!$A$4:$A$64,0),$U137)*$V137*$N137,0)</f>
        <v>2.0517008932556299E-2</v>
      </c>
      <c r="BH137" s="93">
        <f>IF(AND($T137=1,BH$5&lt;=$H137),INDEX(Mortality!$B$4:$E$64,MATCH($D137+BH$5-1,Mortality!$A$4:$A$64,0),$U137)*$V137*$N137,0)</f>
        <v>2.22258104440099E-2</v>
      </c>
      <c r="BI137" s="93">
        <f>IF(AND($T137=1,BI$5&lt;=$H137),INDEX(Mortality!$B$4:$E$64,MATCH($D137+BI$5-1,Mortality!$A$4:$A$64,0),$U137)*$V137*$N137,0)</f>
        <v>2.40769330225909E-2</v>
      </c>
      <c r="BJ137" s="93">
        <f>IF(AND($T137=1,BJ$5&lt;=$H137),INDEX(Mortality!$B$4:$E$64,MATCH($D137+BJ$5-1,Mortality!$A$4:$A$64,0),$U137)*$V137*$N137,0)</f>
        <v>0</v>
      </c>
      <c r="BK137" s="93">
        <f>IF(AND($T137=1,BK$5&lt;=$H137),INDEX(Mortality!$B$4:$E$64,MATCH($D137+BK$5-1,Mortality!$A$4:$A$64,0),$U137)*$V137*$N137,0)</f>
        <v>0</v>
      </c>
      <c r="BL137" s="93">
        <f>IF(AND($T137=1,BL$5&lt;=$H137),INDEX(Mortality!$B$4:$E$64,MATCH($D137+BL$5-1,Mortality!$A$4:$A$64,0),$U137)*$V137*$N137,0)</f>
        <v>0</v>
      </c>
      <c r="BM137" s="93">
        <f>IF(AND($T137=1,BM$5&lt;=$H137),INDEX(Mortality!$B$4:$E$64,MATCH($D137+BM$5-1,Mortality!$A$4:$A$64,0),$U137)*$V137*$N137,0)</f>
        <v>0</v>
      </c>
      <c r="BN137" s="93">
        <f>IF(AND($T137=1,BN$5&lt;=$H137),INDEX(Mortality!$B$4:$E$64,MATCH($D137+BN$5-1,Mortality!$A$4:$A$64,0),$U137)*$V137*$N137,0)</f>
        <v>0</v>
      </c>
      <c r="BO137" s="93">
        <f>IF(AND($T137=1,BO$5&lt;=$H137),INDEX(Mortality!$B$4:$E$64,MATCH($D137+BO$5-1,Mortality!$A$4:$A$64,0),$U137)*$V137*$N137,0)</f>
        <v>0</v>
      </c>
      <c r="BP137" s="93">
        <f>IF(AND($T137=1,BP$5&lt;=$H137),INDEX(Mortality!$B$4:$E$64,MATCH($D137+BP$5-1,Mortality!$A$4:$A$64,0),$U137)*$V137*$N137,0)</f>
        <v>0</v>
      </c>
      <c r="BQ137" s="93">
        <f>IF(AND($T137=1,BQ$5&lt;=$H137),INDEX(Mortality!$B$4:$E$64,MATCH($D137+BQ$5-1,Mortality!$A$4:$A$64,0),$U137)*$V137*$N137,0)</f>
        <v>0</v>
      </c>
      <c r="BR137" s="93">
        <f>IF(AND($T137=1,BR$5&lt;=$H137),INDEX(Mortality!$B$4:$E$64,MATCH($D137+BR$5-1,Mortality!$A$4:$A$64,0),$U137)*$V137*$N137,0)</f>
        <v>0</v>
      </c>
      <c r="BS137" s="93">
        <f>IF(AND($T137=1,BS$5&lt;=$H137),INDEX(Mortality!$B$4:$E$64,MATCH($D137+BS$5-1,Mortality!$A$4:$A$64,0),$U137)*$V137*$N137,0)</f>
        <v>0</v>
      </c>
      <c r="BT137" s="93">
        <f>IF(AND($T137=1,BT$5&lt;=$H137),INDEX(Mortality!$B$4:$E$64,MATCH($D137+BT$5-1,Mortality!$A$4:$A$64,0),$U137)*$V137*$N137,0)</f>
        <v>0</v>
      </c>
      <c r="BU137" s="93">
        <f>IF(AND($T137=1,BU$5&lt;=$H137),INDEX(Mortality!$B$4:$E$64,MATCH($D137+BU$5-1,Mortality!$A$4:$A$64,0),$U137)*$V137*$N137,0)</f>
        <v>0</v>
      </c>
      <c r="BV137" s="93">
        <f>IF(AND($T137=1,BV$5&lt;=$H137),INDEX(Mortality!$B$4:$E$64,MATCH($D137+BV$5-1,Mortality!$A$4:$A$64,0),$U137)*$V137*$N137,0)</f>
        <v>0</v>
      </c>
      <c r="BW137" s="93">
        <f>IF(AND($T137=1,BW$5&lt;=$H137),INDEX(Mortality!$B$4:$E$64,MATCH($D137+BW$5-1,Mortality!$A$4:$A$64,0),$U137)*$V137*$N137,0)</f>
        <v>0</v>
      </c>
      <c r="BX137" s="93">
        <f>IF(AND($T137=1,BX$5&lt;=$H137),INDEX(Mortality!$B$4:$E$64,MATCH($D137+BX$5-1,Mortality!$A$4:$A$64,0),$U137)*$V137*$N137,0)</f>
        <v>0</v>
      </c>
      <c r="BY137" s="93">
        <f>IF(AND($T137=1,BY$5&lt;=$H137),INDEX(Mortality!$B$4:$E$64,MATCH($D137+BY$5-1,Mortality!$A$4:$A$64,0),$U137)*$V137*$N137,0)</f>
        <v>0</v>
      </c>
      <c r="BZ137" s="93">
        <f>IF(AND($T137=1,BZ$5&lt;=$H137),INDEX(Mortality!$B$4:$E$64,MATCH($D137+BZ$5-1,Mortality!$A$4:$A$64,0),$U137)*$V137*$N137,0)</f>
        <v>0</v>
      </c>
      <c r="CA137" s="93">
        <f>IF(AND($T137=1,CA$5&lt;=$H137),INDEX(Mortality!$B$4:$E$64,MATCH($D137+CA$5-1,Mortality!$A$4:$A$64,0),$U137)*$V137*$N137,0)</f>
        <v>0</v>
      </c>
      <c r="CB137" s="93">
        <f>IF(AND($T137=1,CB$5&lt;=$H137),INDEX(Mortality!$B$4:$E$64,MATCH($D137+CB$5-1,Mortality!$A$4:$A$64,0),$U137)*$V137*$N137,0)</f>
        <v>0</v>
      </c>
      <c r="CC137" s="93">
        <f>IF(AND($T137=1,CC$5&lt;=$H137),INDEX(Mortality!$B$4:$E$64,MATCH($D137+CC$5-1,Mortality!$A$4:$A$64,0),$U137)*$V137*$N137,0)</f>
        <v>0</v>
      </c>
      <c r="CD137" s="93">
        <f>IF(AND($T137=1,CD$5&lt;=$H137),INDEX(Mortality!$B$4:$E$64,MATCH($D137+CD$5-1,Mortality!$A$4:$A$64,0),$U137)*$V137*$N137,0)</f>
        <v>0</v>
      </c>
      <c r="CE137" s="93">
        <f>IF(AND($T137=1,CE$5&lt;=$H137),INDEX(Mortality!$B$4:$E$64,MATCH($D137+CE$5-1,Mortality!$A$4:$A$64,0),$U137)*$V137*$N137,0)</f>
        <v>0</v>
      </c>
      <c r="CF137" s="93">
        <f>IF(AND($T137=1,CF$5&lt;=$H137),INDEX(Mortality!$B$4:$E$64,MATCH($D137+CF$5-1,Mortality!$A$4:$A$64,0),$U137)*$V137*$N137,0)</f>
        <v>0</v>
      </c>
      <c r="CG137" s="93">
        <f>IF(AND($T137=1,CG$5&lt;=$H137),INDEX(Mortality!$B$4:$E$64,MATCH($D137+CG$5-1,Mortality!$A$4:$A$64,0),$U137)*$V137*$N137,0)</f>
        <v>0</v>
      </c>
      <c r="CH137" s="94">
        <f>IF(AND($T137=1,CH$5&lt;=$H137),INDEX(Mortality!$B$4:$E$64,MATCH($D137+CH$5-1,Mortality!$A$4:$A$64,0),$U137)*$V137*$N137,0)</f>
        <v>0</v>
      </c>
      <c r="CI137" s="26"/>
      <c r="CJ137" s="419">
        <f t="shared" si="53"/>
        <v>1</v>
      </c>
      <c r="CK137" s="93">
        <f>IF(AND($T137=1,CK$5&lt;=$H137),CJ137*(1-AU137)*(1-MIN(1,MAX(Assumptions!$C$27,Assumptions!$C$13*Assumptions!$C$28^(CJ$5-1))*$O137)),0)</f>
        <v>0.87308688124964806</v>
      </c>
      <c r="CL137" s="93">
        <f>IF(AND($T137=1,CL$5&lt;=$H137),CK137*(1-AV137)*(1-MIN(1,MAX(Assumptions!$C$27,Assumptions!$C$13*Assumptions!$C$28^(CK$5-1))*$O137)),0)</f>
        <v>0.77735982478608978</v>
      </c>
      <c r="CM137" s="93">
        <f>IF(AND($T137=1,CM$5&lt;=$H137),CL137*(1-AW137)*(1-MIN(1,MAX(Assumptions!$C$27,Assumptions!$C$13*Assumptions!$C$28^(CL$5-1))*$O137)),0)</f>
        <v>0.70341766226066038</v>
      </c>
      <c r="CN137" s="93">
        <f>IF(AND($T137=1,CN$5&lt;=$H137),CM137*(1-AX137)*(1-MIN(1,MAX(Assumptions!$C$27,Assumptions!$C$13*Assumptions!$C$28^(CM$5-1))*$O137)),0)</f>
        <v>0.6450721704187532</v>
      </c>
      <c r="CO137" s="93">
        <f>IF(AND($T137=1,CO$5&lt;=$H137),CN137*(1-AY137)*(1-MIN(1,MAX(Assumptions!$C$27,Assumptions!$C$13*Assumptions!$C$28^(CN$5-1))*$O137)),0)</f>
        <v>0.5981228265638826</v>
      </c>
      <c r="CP137" s="93">
        <f>IF(AND($T137=1,CP$5&lt;=$H137),CO137*(1-AZ137)*(1-MIN(1,MAX(Assumptions!$C$27,Assumptions!$C$13*Assumptions!$C$28^(CO$5-1))*$O137)),0)</f>
        <v>0.55963952114760041</v>
      </c>
      <c r="CQ137" s="93">
        <f>IF(AND($T137=1,CQ$5&lt;=$H137),CP137*(1-BA137)*(1-MIN(1,MAX(Assumptions!$C$27,Assumptions!$C$13*Assumptions!$C$28^(CP$5-1))*$O137)),0)</f>
        <v>0.52752799291569974</v>
      </c>
      <c r="CR137" s="93">
        <f>IF(AND($T137=1,CR$5&lt;=$H137),CQ137*(1-BB137)*(1-MIN(1,MAX(Assumptions!$C$27,Assumptions!$C$13*Assumptions!$C$28^(CQ$5-1))*$O137)),0)</f>
        <v>0.50025841093150658</v>
      </c>
      <c r="CS137" s="93">
        <f>IF(AND($T137=1,CS$5&lt;=$H137),CR137*(1-BC137)*(1-MIN(1,MAX(Assumptions!$C$27,Assumptions!$C$13*Assumptions!$C$28^(CR$5-1))*$O137)),0)</f>
        <v>0.47669118299514868</v>
      </c>
      <c r="CT137" s="93">
        <f>IF(AND($T137=1,CT$5&lt;=$H137),CS137*(1-BD137)*(1-MIN(1,MAX(Assumptions!$C$27,Assumptions!$C$13*Assumptions!$C$28^(CS$5-1))*$O137)),0)</f>
        <v>0.45596240536882532</v>
      </c>
      <c r="CU137" s="93">
        <f>IF(AND($T137=1,CU$5&lt;=$H137),CT137*(1-BE137)*(1-MIN(1,MAX(Assumptions!$C$27,Assumptions!$C$13*Assumptions!$C$28^(CT$5-1))*$O137)),0)</f>
        <v>0.43740686700803694</v>
      </c>
      <c r="CV137" s="93">
        <f>IF(AND($T137=1,CV$5&lt;=$H137),CU137*(1-BF137)*(1-MIN(1,MAX(Assumptions!$C$27,Assumptions!$C$13*Assumptions!$C$28^(CU$5-1))*$O137)),0)</f>
        <v>0.42050527051768816</v>
      </c>
      <c r="CW137" s="93">
        <f>IF(AND($T137=1,CW$5&lt;=$H137),CV137*(1-BG137)*(1-MIN(1,MAX(Assumptions!$C$27,Assumptions!$C$13*Assumptions!$C$28^(CV$5-1))*$O137)),0)</f>
        <v>0.40364020492376396</v>
      </c>
      <c r="CX137" s="93">
        <f>IF(AND($T137=1,CX$5&lt;=$H137),CW137*(1-BH137)*(1-MIN(1,MAX(Assumptions!$C$27,Assumptions!$C$13*Assumptions!$C$28^(CW$5-1))*$O137)),0)</f>
        <v>0.38677559475671613</v>
      </c>
      <c r="CY137" s="93">
        <f>IF(AND($T137=1,CY$5&lt;=$H137),CX137*(1-BI137)*(1-MIN(1,MAX(Assumptions!$C$27,Assumptions!$C$13*Assumptions!$C$28^(CX$5-1))*$O137)),0)</f>
        <v>0</v>
      </c>
      <c r="CZ137" s="93">
        <f>IF(AND($T137=1,CZ$5&lt;=$H137),CY137*(1-BJ137)*(1-MIN(1,MAX(Assumptions!$C$27,Assumptions!$C$13*Assumptions!$C$28^(CY$5-1))*$O137)),0)</f>
        <v>0</v>
      </c>
      <c r="DA137" s="93">
        <f>IF(AND($T137=1,DA$5&lt;=$H137),CZ137*(1-BK137)*(1-MIN(1,MAX(Assumptions!$C$27,Assumptions!$C$13*Assumptions!$C$28^(CZ$5-1))*$O137)),0)</f>
        <v>0</v>
      </c>
      <c r="DB137" s="93">
        <f>IF(AND($T137=1,DB$5&lt;=$H137),DA137*(1-BL137)*(1-MIN(1,MAX(Assumptions!$C$27,Assumptions!$C$13*Assumptions!$C$28^(DA$5-1))*$O137)),0)</f>
        <v>0</v>
      </c>
      <c r="DC137" s="93">
        <f>IF(AND($T137=1,DC$5&lt;=$H137),DB137*(1-BM137)*(1-MIN(1,MAX(Assumptions!$C$27,Assumptions!$C$13*Assumptions!$C$28^(DB$5-1))*$O137)),0)</f>
        <v>0</v>
      </c>
      <c r="DD137" s="93">
        <f>IF(AND($T137=1,DD$5&lt;=$H137),DC137*(1-BN137)*(1-MIN(1,MAX(Assumptions!$C$27,Assumptions!$C$13*Assumptions!$C$28^(DC$5-1))*$O137)),0)</f>
        <v>0</v>
      </c>
      <c r="DE137" s="93">
        <f>IF(AND($T137=1,DE$5&lt;=$H137),DD137*(1-BO137)*(1-MIN(1,MAX(Assumptions!$C$27,Assumptions!$C$13*Assumptions!$C$28^(DD$5-1))*$O137)),0)</f>
        <v>0</v>
      </c>
      <c r="DF137" s="93">
        <f>IF(AND($T137=1,DF$5&lt;=$H137),DE137*(1-BP137)*(1-MIN(1,MAX(Assumptions!$C$27,Assumptions!$C$13*Assumptions!$C$28^(DE$5-1))*$O137)),0)</f>
        <v>0</v>
      </c>
      <c r="DG137" s="93">
        <f>IF(AND($T137=1,DG$5&lt;=$H137),DF137*(1-BQ137)*(1-MIN(1,MAX(Assumptions!$C$27,Assumptions!$C$13*Assumptions!$C$28^(DF$5-1))*$O137)),0)</f>
        <v>0</v>
      </c>
      <c r="DH137" s="93">
        <f>IF(AND($T137=1,DH$5&lt;=$H137),DG137*(1-BR137)*(1-MIN(1,MAX(Assumptions!$C$27,Assumptions!$C$13*Assumptions!$C$28^(DG$5-1))*$O137)),0)</f>
        <v>0</v>
      </c>
      <c r="DI137" s="93">
        <f>IF(AND($T137=1,DI$5&lt;=$H137),DH137*(1-BS137)*(1-MIN(1,MAX(Assumptions!$C$27,Assumptions!$C$13*Assumptions!$C$28^(DH$5-1))*$O137)),0)</f>
        <v>0</v>
      </c>
      <c r="DJ137" s="93">
        <f>IF(AND($T137=1,DJ$5&lt;=$H137),DI137*(1-BT137)*(1-MIN(1,MAX(Assumptions!$C$27,Assumptions!$C$13*Assumptions!$C$28^(DI$5-1))*$O137)),0)</f>
        <v>0</v>
      </c>
      <c r="DK137" s="93">
        <f>IF(AND($T137=1,DK$5&lt;=$H137),DJ137*(1-BU137)*(1-MIN(1,MAX(Assumptions!$C$27,Assumptions!$C$13*Assumptions!$C$28^(DJ$5-1))*$O137)),0)</f>
        <v>0</v>
      </c>
      <c r="DL137" s="93">
        <f>IF(AND($T137=1,DL$5&lt;=$H137),DK137*(1-BV137)*(1-MIN(1,MAX(Assumptions!$C$27,Assumptions!$C$13*Assumptions!$C$28^(DK$5-1))*$O137)),0)</f>
        <v>0</v>
      </c>
      <c r="DM137" s="93">
        <f>IF(AND($T137=1,DM$5&lt;=$H137),DL137*(1-BW137)*(1-MIN(1,MAX(Assumptions!$C$27,Assumptions!$C$13*Assumptions!$C$28^(DL$5-1))*$O137)),0)</f>
        <v>0</v>
      </c>
      <c r="DN137" s="93">
        <f>IF(AND($T137=1,DN$5&lt;=$H137),DM137*(1-BX137)*(1-MIN(1,MAX(Assumptions!$C$27,Assumptions!$C$13*Assumptions!$C$28^(DM$5-1))*$O137)),0)</f>
        <v>0</v>
      </c>
      <c r="DO137" s="93">
        <f>IF(AND($T137=1,DO$5&lt;=$H137),DN137*(1-BY137)*(1-MIN(1,MAX(Assumptions!$C$27,Assumptions!$C$13*Assumptions!$C$28^(DN$5-1))*$O137)),0)</f>
        <v>0</v>
      </c>
      <c r="DP137" s="93">
        <f>IF(AND($T137=1,DP$5&lt;=$H137),DO137*(1-BZ137)*(1-MIN(1,MAX(Assumptions!$C$27,Assumptions!$C$13*Assumptions!$C$28^(DO$5-1))*$O137)),0)</f>
        <v>0</v>
      </c>
      <c r="DQ137" s="93">
        <f>IF(AND($T137=1,DQ$5&lt;=$H137),DP137*(1-CA137)*(1-MIN(1,MAX(Assumptions!$C$27,Assumptions!$C$13*Assumptions!$C$28^(DP$5-1))*$O137)),0)</f>
        <v>0</v>
      </c>
      <c r="DR137" s="93">
        <f>IF(AND($T137=1,DR$5&lt;=$H137),DQ137*(1-CB137)*(1-MIN(1,MAX(Assumptions!$C$27,Assumptions!$C$13*Assumptions!$C$28^(DQ$5-1))*$O137)),0)</f>
        <v>0</v>
      </c>
      <c r="DS137" s="93">
        <f>IF(AND($T137=1,DS$5&lt;=$H137),DR137*(1-CC137)*(1-MIN(1,MAX(Assumptions!$C$27,Assumptions!$C$13*Assumptions!$C$28^(DR$5-1))*$O137)),0)</f>
        <v>0</v>
      </c>
      <c r="DT137" s="93">
        <f>IF(AND($T137=1,DT$5&lt;=$H137),DS137*(1-CD137)*(1-MIN(1,MAX(Assumptions!$C$27,Assumptions!$C$13*Assumptions!$C$28^(DS$5-1))*$O137)),0)</f>
        <v>0</v>
      </c>
      <c r="DU137" s="93">
        <f>IF(AND($T137=1,DU$5&lt;=$H137),DT137*(1-CE137)*(1-MIN(1,MAX(Assumptions!$C$27,Assumptions!$C$13*Assumptions!$C$28^(DT$5-1))*$O137)),0)</f>
        <v>0</v>
      </c>
      <c r="DV137" s="93">
        <f>IF(AND($T137=1,DV$5&lt;=$H137),DU137*(1-CF137)*(1-MIN(1,MAX(Assumptions!$C$27,Assumptions!$C$13*Assumptions!$C$28^(DU$5-1))*$O137)),0)</f>
        <v>0</v>
      </c>
      <c r="DW137" s="94">
        <f>IF(AND($T137=1,DW$5&lt;=$H137),DV137*(1-CG137)*(1-MIN(1,MAX(Assumptions!$C$27,Assumptions!$C$13*Assumptions!$C$28^(DV$5-1))*$O137)),0)</f>
        <v>0</v>
      </c>
      <c r="DX137" s="26"/>
      <c r="DY137" s="399">
        <f>'Policy Data'!K111</f>
        <v>7</v>
      </c>
      <c r="DZ137" s="100">
        <f>'Policy Data'!L111</f>
        <v>0.52439999999999998</v>
      </c>
      <c r="EA137" s="100">
        <f>'Policy Data'!N111</f>
        <v>4.1200000000000004E-3</v>
      </c>
      <c r="EB137" s="93" cm="1">
        <f t="array" ref="EB137">IFERROR(DZ137*INDEX(Mortality!$B$4:$E$64,MATCH(D137+DY137-1,Mortality!$A$4:$A$64,0),U137)*V137,0)</f>
        <v>6.6575644473009492E-3</v>
      </c>
      <c r="EC137" s="100">
        <f>'Policy Data'!O111</f>
        <v>0</v>
      </c>
      <c r="ED137" s="400">
        <f>'Policy Data'!Q111</f>
        <v>0</v>
      </c>
    </row>
    <row r="138" spans="1:134" x14ac:dyDescent="0.3">
      <c r="A138" s="399" t="str">
        <f>'Policy Data'!A112</f>
        <v>POL100108</v>
      </c>
      <c r="B138" s="26" t="s">
        <v>426</v>
      </c>
      <c r="C138" s="100" t="str">
        <f>'Policy Data'!B112</f>
        <v>Unit-Linked</v>
      </c>
      <c r="D138" s="100">
        <f>'Policy Data'!C112</f>
        <v>57</v>
      </c>
      <c r="E138" s="100" t="str">
        <f>'Policy Data'!D112</f>
        <v>Female</v>
      </c>
      <c r="F138" s="100" t="str">
        <f>'Policy Data'!E112</f>
        <v>Non-smoker</v>
      </c>
      <c r="G138" s="100" t="str">
        <f>'Policy Data'!F112</f>
        <v>Standard</v>
      </c>
      <c r="H138" s="100">
        <f>'Policy Data'!G112</f>
        <v>10</v>
      </c>
      <c r="I138" s="279">
        <f>'Policy Data'!H112</f>
        <v>1000000</v>
      </c>
      <c r="J138" s="100" t="str">
        <f>'Policy Data'!I112</f>
        <v>Annual</v>
      </c>
      <c r="K138" s="100" t="str">
        <f>'Policy Data'!J112</f>
        <v>Bancassurance</v>
      </c>
      <c r="L138" s="26" t="s">
        <v>389</v>
      </c>
      <c r="M138" s="106">
        <f>'Policy Data'!R112</f>
        <v>11036.88</v>
      </c>
      <c r="N138" s="415">
        <f>Assumptions!$C$21</f>
        <v>1</v>
      </c>
      <c r="O138" s="415">
        <f>Assumptions!$C$22</f>
        <v>1</v>
      </c>
      <c r="P138" s="415">
        <f>Assumptions!$C$23</f>
        <v>1</v>
      </c>
      <c r="Q138" s="416">
        <f>Assumptions!$C$24</f>
        <v>0</v>
      </c>
      <c r="R138" s="416">
        <f>Assumptions!$C$6+Assumptions!$C$25</f>
        <v>3.5000000000000003E-2</v>
      </c>
      <c r="S138" s="416">
        <f>Assumptions!$C$15</f>
        <v>1.1000000000000001E-3</v>
      </c>
      <c r="T138" s="26">
        <f t="shared" si="36"/>
        <v>0</v>
      </c>
      <c r="U138" s="26">
        <f t="shared" si="37"/>
        <v>1</v>
      </c>
      <c r="V138" s="389">
        <f>IF($G138="Preferred",Assumptions!$C$30,IF($G138="Rated",Assumptions!$C$31,1))</f>
        <v>1</v>
      </c>
      <c r="W138" s="390">
        <f>IF($K138="Direct",Assumptions!$C$32,IF($K138="Broker",Assumptions!$C$33,IF($K138="Bancassurance",Assumptions!$C$34,Assumptions!$C$11)))+$Q138</f>
        <v>0.2</v>
      </c>
      <c r="X138" s="390">
        <f>Assumptions!$C$12+$Q138</f>
        <v>0.05</v>
      </c>
      <c r="Y138" s="131">
        <f>MIN($I138,Assumptions!$C$14)</f>
        <v>500000</v>
      </c>
      <c r="Z138" s="131">
        <f>MAX($I138-Assumptions!$C$14,0)</f>
        <v>500000</v>
      </c>
      <c r="AA138" s="389">
        <f t="shared" si="38"/>
        <v>0</v>
      </c>
      <c r="AB138" s="389">
        <f t="shared" si="39"/>
        <v>0</v>
      </c>
      <c r="AC138" s="389">
        <f>IF($T138=1,SUMPRODUCT($CJ138:$DW138,(1+Assumptions!$C$5)^($CJ$5:$DW$5-1),(1+$R138)^(-$CJ$5:$DW$5)),0)</f>
        <v>0</v>
      </c>
      <c r="AD138" s="389">
        <f t="shared" si="40"/>
        <v>0</v>
      </c>
      <c r="AE138" s="131">
        <f>IF($T138=1,$AB138*$Y138+(Assumptions!$C$9/(1+$R138)+Assumptions!$C$10*$AC138)*$P138+$S138*$Z138*$AA138,0)</f>
        <v>0</v>
      </c>
      <c r="AF138" s="131" t="str">
        <f>IF($T138=1,IF($AA138-$AD138-Assumptions!$C$16*$AA138&gt;0,$AE138/($AA138-$AD138-Assumptions!$C$16*$AA138)*IF($J138="Monthly",1+Assumptions!$C$29,1),"n.a."),"")</f>
        <v/>
      </c>
      <c r="AG138" s="131" t="str">
        <f t="shared" si="41"/>
        <v/>
      </c>
      <c r="AH138" s="131" t="str">
        <f t="shared" si="42"/>
        <v/>
      </c>
      <c r="AI138" s="131" t="str">
        <f t="shared" si="43"/>
        <v/>
      </c>
      <c r="AJ138" s="390" t="str">
        <f t="shared" si="44"/>
        <v/>
      </c>
      <c r="AK138" s="389" t="str">
        <f t="shared" si="45"/>
        <v/>
      </c>
      <c r="AL138" s="131" t="str">
        <f t="shared" si="46"/>
        <v/>
      </c>
      <c r="AM138" s="131" t="str">
        <f t="shared" si="47"/>
        <v/>
      </c>
      <c r="AN138" s="131" t="str">
        <f t="shared" si="48"/>
        <v/>
      </c>
      <c r="AO138" s="131" t="str">
        <f t="shared" si="49"/>
        <v/>
      </c>
      <c r="AP138" s="26" t="str">
        <f t="shared" si="50"/>
        <v>50-59</v>
      </c>
      <c r="AQ138" s="26" t="str">
        <f t="shared" si="51"/>
        <v>500k-1m</v>
      </c>
      <c r="AR138" s="26" t="str">
        <f>IF($T138=1,IF($AI138&lt;0,"Loss-making",IF($AJ138&lt;Assumptions!$C$16-0.00001,"Below target","At/above target")),"Excluded")</f>
        <v>Excluded</v>
      </c>
      <c r="AS138" s="103">
        <f t="shared" si="52"/>
        <v>9.9999999999999997E+98</v>
      </c>
      <c r="AT138" s="26"/>
      <c r="AU138" s="419">
        <f>IF(AND($T138=1,AU$5&lt;=$H138),INDEX(Mortality!$B$4:$E$64,MATCH($D138+AU$5-1,Mortality!$A$4:$A$64,0),$U138)*$V138*$N138,0)</f>
        <v>0</v>
      </c>
      <c r="AV138" s="93">
        <f>IF(AND($T138=1,AV$5&lt;=$H138),INDEX(Mortality!$B$4:$E$64,MATCH($D138+AV$5-1,Mortality!$A$4:$A$64,0),$U138)*$V138*$N138,0)</f>
        <v>0</v>
      </c>
      <c r="AW138" s="93">
        <f>IF(AND($T138=1,AW$5&lt;=$H138),INDEX(Mortality!$B$4:$E$64,MATCH($D138+AW$5-1,Mortality!$A$4:$A$64,0),$U138)*$V138*$N138,0)</f>
        <v>0</v>
      </c>
      <c r="AX138" s="93">
        <f>IF(AND($T138=1,AX$5&lt;=$H138),INDEX(Mortality!$B$4:$E$64,MATCH($D138+AX$5-1,Mortality!$A$4:$A$64,0),$U138)*$V138*$N138,0)</f>
        <v>0</v>
      </c>
      <c r="AY138" s="93">
        <f>IF(AND($T138=1,AY$5&lt;=$H138),INDEX(Mortality!$B$4:$E$64,MATCH($D138+AY$5-1,Mortality!$A$4:$A$64,0),$U138)*$V138*$N138,0)</f>
        <v>0</v>
      </c>
      <c r="AZ138" s="93">
        <f>IF(AND($T138=1,AZ$5&lt;=$H138),INDEX(Mortality!$B$4:$E$64,MATCH($D138+AZ$5-1,Mortality!$A$4:$A$64,0),$U138)*$V138*$N138,0)</f>
        <v>0</v>
      </c>
      <c r="BA138" s="93">
        <f>IF(AND($T138=1,BA$5&lt;=$H138),INDEX(Mortality!$B$4:$E$64,MATCH($D138+BA$5-1,Mortality!$A$4:$A$64,0),$U138)*$V138*$N138,0)</f>
        <v>0</v>
      </c>
      <c r="BB138" s="93">
        <f>IF(AND($T138=1,BB$5&lt;=$H138),INDEX(Mortality!$B$4:$E$64,MATCH($D138+BB$5-1,Mortality!$A$4:$A$64,0),$U138)*$V138*$N138,0)</f>
        <v>0</v>
      </c>
      <c r="BC138" s="93">
        <f>IF(AND($T138=1,BC$5&lt;=$H138),INDEX(Mortality!$B$4:$E$64,MATCH($D138+BC$5-1,Mortality!$A$4:$A$64,0),$U138)*$V138*$N138,0)</f>
        <v>0</v>
      </c>
      <c r="BD138" s="93">
        <f>IF(AND($T138=1,BD$5&lt;=$H138),INDEX(Mortality!$B$4:$E$64,MATCH($D138+BD$5-1,Mortality!$A$4:$A$64,0),$U138)*$V138*$N138,0)</f>
        <v>0</v>
      </c>
      <c r="BE138" s="93">
        <f>IF(AND($T138=1,BE$5&lt;=$H138),INDEX(Mortality!$B$4:$E$64,MATCH($D138+BE$5-1,Mortality!$A$4:$A$64,0),$U138)*$V138*$N138,0)</f>
        <v>0</v>
      </c>
      <c r="BF138" s="93">
        <f>IF(AND($T138=1,BF$5&lt;=$H138),INDEX(Mortality!$B$4:$E$64,MATCH($D138+BF$5-1,Mortality!$A$4:$A$64,0),$U138)*$V138*$N138,0)</f>
        <v>0</v>
      </c>
      <c r="BG138" s="93">
        <f>IF(AND($T138=1,BG$5&lt;=$H138),INDEX(Mortality!$B$4:$E$64,MATCH($D138+BG$5-1,Mortality!$A$4:$A$64,0),$U138)*$V138*$N138,0)</f>
        <v>0</v>
      </c>
      <c r="BH138" s="93">
        <f>IF(AND($T138=1,BH$5&lt;=$H138),INDEX(Mortality!$B$4:$E$64,MATCH($D138+BH$5-1,Mortality!$A$4:$A$64,0),$U138)*$V138*$N138,0)</f>
        <v>0</v>
      </c>
      <c r="BI138" s="93">
        <f>IF(AND($T138=1,BI$5&lt;=$H138),INDEX(Mortality!$B$4:$E$64,MATCH($D138+BI$5-1,Mortality!$A$4:$A$64,0),$U138)*$V138*$N138,0)</f>
        <v>0</v>
      </c>
      <c r="BJ138" s="93">
        <f>IF(AND($T138=1,BJ$5&lt;=$H138),INDEX(Mortality!$B$4:$E$64,MATCH($D138+BJ$5-1,Mortality!$A$4:$A$64,0),$U138)*$V138*$N138,0)</f>
        <v>0</v>
      </c>
      <c r="BK138" s="93">
        <f>IF(AND($T138=1,BK$5&lt;=$H138),INDEX(Mortality!$B$4:$E$64,MATCH($D138+BK$5-1,Mortality!$A$4:$A$64,0),$U138)*$V138*$N138,0)</f>
        <v>0</v>
      </c>
      <c r="BL138" s="93">
        <f>IF(AND($T138=1,BL$5&lt;=$H138),INDEX(Mortality!$B$4:$E$64,MATCH($D138+BL$5-1,Mortality!$A$4:$A$64,0),$U138)*$V138*$N138,0)</f>
        <v>0</v>
      </c>
      <c r="BM138" s="93">
        <f>IF(AND($T138=1,BM$5&lt;=$H138),INDEX(Mortality!$B$4:$E$64,MATCH($D138+BM$5-1,Mortality!$A$4:$A$64,0),$U138)*$V138*$N138,0)</f>
        <v>0</v>
      </c>
      <c r="BN138" s="93">
        <f>IF(AND($T138=1,BN$5&lt;=$H138),INDEX(Mortality!$B$4:$E$64,MATCH($D138+BN$5-1,Mortality!$A$4:$A$64,0),$U138)*$V138*$N138,0)</f>
        <v>0</v>
      </c>
      <c r="BO138" s="93">
        <f>IF(AND($T138=1,BO$5&lt;=$H138),INDEX(Mortality!$B$4:$E$64,MATCH($D138+BO$5-1,Mortality!$A$4:$A$64,0),$U138)*$V138*$N138,0)</f>
        <v>0</v>
      </c>
      <c r="BP138" s="93">
        <f>IF(AND($T138=1,BP$5&lt;=$H138),INDEX(Mortality!$B$4:$E$64,MATCH($D138+BP$5-1,Mortality!$A$4:$A$64,0),$U138)*$V138*$N138,0)</f>
        <v>0</v>
      </c>
      <c r="BQ138" s="93">
        <f>IF(AND($T138=1,BQ$5&lt;=$H138),INDEX(Mortality!$B$4:$E$64,MATCH($D138+BQ$5-1,Mortality!$A$4:$A$64,0),$U138)*$V138*$N138,0)</f>
        <v>0</v>
      </c>
      <c r="BR138" s="93">
        <f>IF(AND($T138=1,BR$5&lt;=$H138),INDEX(Mortality!$B$4:$E$64,MATCH($D138+BR$5-1,Mortality!$A$4:$A$64,0),$U138)*$V138*$N138,0)</f>
        <v>0</v>
      </c>
      <c r="BS138" s="93">
        <f>IF(AND($T138=1,BS$5&lt;=$H138),INDEX(Mortality!$B$4:$E$64,MATCH($D138+BS$5-1,Mortality!$A$4:$A$64,0),$U138)*$V138*$N138,0)</f>
        <v>0</v>
      </c>
      <c r="BT138" s="93">
        <f>IF(AND($T138=1,BT$5&lt;=$H138),INDEX(Mortality!$B$4:$E$64,MATCH($D138+BT$5-1,Mortality!$A$4:$A$64,0),$U138)*$V138*$N138,0)</f>
        <v>0</v>
      </c>
      <c r="BU138" s="93">
        <f>IF(AND($T138=1,BU$5&lt;=$H138),INDEX(Mortality!$B$4:$E$64,MATCH($D138+BU$5-1,Mortality!$A$4:$A$64,0),$U138)*$V138*$N138,0)</f>
        <v>0</v>
      </c>
      <c r="BV138" s="93">
        <f>IF(AND($T138=1,BV$5&lt;=$H138),INDEX(Mortality!$B$4:$E$64,MATCH($D138+BV$5-1,Mortality!$A$4:$A$64,0),$U138)*$V138*$N138,0)</f>
        <v>0</v>
      </c>
      <c r="BW138" s="93">
        <f>IF(AND($T138=1,BW$5&lt;=$H138),INDEX(Mortality!$B$4:$E$64,MATCH($D138+BW$5-1,Mortality!$A$4:$A$64,0),$U138)*$V138*$N138,0)</f>
        <v>0</v>
      </c>
      <c r="BX138" s="93">
        <f>IF(AND($T138=1,BX$5&lt;=$H138),INDEX(Mortality!$B$4:$E$64,MATCH($D138+BX$5-1,Mortality!$A$4:$A$64,0),$U138)*$V138*$N138,0)</f>
        <v>0</v>
      </c>
      <c r="BY138" s="93">
        <f>IF(AND($T138=1,BY$5&lt;=$H138),INDEX(Mortality!$B$4:$E$64,MATCH($D138+BY$5-1,Mortality!$A$4:$A$64,0),$U138)*$V138*$N138,0)</f>
        <v>0</v>
      </c>
      <c r="BZ138" s="93">
        <f>IF(AND($T138=1,BZ$5&lt;=$H138),INDEX(Mortality!$B$4:$E$64,MATCH($D138+BZ$5-1,Mortality!$A$4:$A$64,0),$U138)*$V138*$N138,0)</f>
        <v>0</v>
      </c>
      <c r="CA138" s="93">
        <f>IF(AND($T138=1,CA$5&lt;=$H138),INDEX(Mortality!$B$4:$E$64,MATCH($D138+CA$5-1,Mortality!$A$4:$A$64,0),$U138)*$V138*$N138,0)</f>
        <v>0</v>
      </c>
      <c r="CB138" s="93">
        <f>IF(AND($T138=1,CB$5&lt;=$H138),INDEX(Mortality!$B$4:$E$64,MATCH($D138+CB$5-1,Mortality!$A$4:$A$64,0),$U138)*$V138*$N138,0)</f>
        <v>0</v>
      </c>
      <c r="CC138" s="93">
        <f>IF(AND($T138=1,CC$5&lt;=$H138),INDEX(Mortality!$B$4:$E$64,MATCH($D138+CC$5-1,Mortality!$A$4:$A$64,0),$U138)*$V138*$N138,0)</f>
        <v>0</v>
      </c>
      <c r="CD138" s="93">
        <f>IF(AND($T138=1,CD$5&lt;=$H138),INDEX(Mortality!$B$4:$E$64,MATCH($D138+CD$5-1,Mortality!$A$4:$A$64,0),$U138)*$V138*$N138,0)</f>
        <v>0</v>
      </c>
      <c r="CE138" s="93">
        <f>IF(AND($T138=1,CE$5&lt;=$H138),INDEX(Mortality!$B$4:$E$64,MATCH($D138+CE$5-1,Mortality!$A$4:$A$64,0),$U138)*$V138*$N138,0)</f>
        <v>0</v>
      </c>
      <c r="CF138" s="93">
        <f>IF(AND($T138=1,CF$5&lt;=$H138),INDEX(Mortality!$B$4:$E$64,MATCH($D138+CF$5-1,Mortality!$A$4:$A$64,0),$U138)*$V138*$N138,0)</f>
        <v>0</v>
      </c>
      <c r="CG138" s="93">
        <f>IF(AND($T138=1,CG$5&lt;=$H138),INDEX(Mortality!$B$4:$E$64,MATCH($D138+CG$5-1,Mortality!$A$4:$A$64,0),$U138)*$V138*$N138,0)</f>
        <v>0</v>
      </c>
      <c r="CH138" s="94">
        <f>IF(AND($T138=1,CH$5&lt;=$H138),INDEX(Mortality!$B$4:$E$64,MATCH($D138+CH$5-1,Mortality!$A$4:$A$64,0),$U138)*$V138*$N138,0)</f>
        <v>0</v>
      </c>
      <c r="CI138" s="26"/>
      <c r="CJ138" s="419">
        <f t="shared" si="53"/>
        <v>0</v>
      </c>
      <c r="CK138" s="93">
        <f>IF(AND($T138=1,CK$5&lt;=$H138),CJ138*(1-AU138)*(1-MIN(1,MAX(Assumptions!$C$27,Assumptions!$C$13*Assumptions!$C$28^(CJ$5-1))*$O138)),0)</f>
        <v>0</v>
      </c>
      <c r="CL138" s="93">
        <f>IF(AND($T138=1,CL$5&lt;=$H138),CK138*(1-AV138)*(1-MIN(1,MAX(Assumptions!$C$27,Assumptions!$C$13*Assumptions!$C$28^(CK$5-1))*$O138)),0)</f>
        <v>0</v>
      </c>
      <c r="CM138" s="93">
        <f>IF(AND($T138=1,CM$5&lt;=$H138),CL138*(1-AW138)*(1-MIN(1,MAX(Assumptions!$C$27,Assumptions!$C$13*Assumptions!$C$28^(CL$5-1))*$O138)),0)</f>
        <v>0</v>
      </c>
      <c r="CN138" s="93">
        <f>IF(AND($T138=1,CN$5&lt;=$H138),CM138*(1-AX138)*(1-MIN(1,MAX(Assumptions!$C$27,Assumptions!$C$13*Assumptions!$C$28^(CM$5-1))*$O138)),0)</f>
        <v>0</v>
      </c>
      <c r="CO138" s="93">
        <f>IF(AND($T138=1,CO$5&lt;=$H138),CN138*(1-AY138)*(1-MIN(1,MAX(Assumptions!$C$27,Assumptions!$C$13*Assumptions!$C$28^(CN$5-1))*$O138)),0)</f>
        <v>0</v>
      </c>
      <c r="CP138" s="93">
        <f>IF(AND($T138=1,CP$5&lt;=$H138),CO138*(1-AZ138)*(1-MIN(1,MAX(Assumptions!$C$27,Assumptions!$C$13*Assumptions!$C$28^(CO$5-1))*$O138)),0)</f>
        <v>0</v>
      </c>
      <c r="CQ138" s="93">
        <f>IF(AND($T138=1,CQ$5&lt;=$H138),CP138*(1-BA138)*(1-MIN(1,MAX(Assumptions!$C$27,Assumptions!$C$13*Assumptions!$C$28^(CP$5-1))*$O138)),0)</f>
        <v>0</v>
      </c>
      <c r="CR138" s="93">
        <f>IF(AND($T138=1,CR$5&lt;=$H138),CQ138*(1-BB138)*(1-MIN(1,MAX(Assumptions!$C$27,Assumptions!$C$13*Assumptions!$C$28^(CQ$5-1))*$O138)),0)</f>
        <v>0</v>
      </c>
      <c r="CS138" s="93">
        <f>IF(AND($T138=1,CS$5&lt;=$H138),CR138*(1-BC138)*(1-MIN(1,MAX(Assumptions!$C$27,Assumptions!$C$13*Assumptions!$C$28^(CR$5-1))*$O138)),0)</f>
        <v>0</v>
      </c>
      <c r="CT138" s="93">
        <f>IF(AND($T138=1,CT$5&lt;=$H138),CS138*(1-BD138)*(1-MIN(1,MAX(Assumptions!$C$27,Assumptions!$C$13*Assumptions!$C$28^(CS$5-1))*$O138)),0)</f>
        <v>0</v>
      </c>
      <c r="CU138" s="93">
        <f>IF(AND($T138=1,CU$5&lt;=$H138),CT138*(1-BE138)*(1-MIN(1,MAX(Assumptions!$C$27,Assumptions!$C$13*Assumptions!$C$28^(CT$5-1))*$O138)),0)</f>
        <v>0</v>
      </c>
      <c r="CV138" s="93">
        <f>IF(AND($T138=1,CV$5&lt;=$H138),CU138*(1-BF138)*(1-MIN(1,MAX(Assumptions!$C$27,Assumptions!$C$13*Assumptions!$C$28^(CU$5-1))*$O138)),0)</f>
        <v>0</v>
      </c>
      <c r="CW138" s="93">
        <f>IF(AND($T138=1,CW$5&lt;=$H138),CV138*(1-BG138)*(1-MIN(1,MAX(Assumptions!$C$27,Assumptions!$C$13*Assumptions!$C$28^(CV$5-1))*$O138)),0)</f>
        <v>0</v>
      </c>
      <c r="CX138" s="93">
        <f>IF(AND($T138=1,CX$5&lt;=$H138),CW138*(1-BH138)*(1-MIN(1,MAX(Assumptions!$C$27,Assumptions!$C$13*Assumptions!$C$28^(CW$5-1))*$O138)),0)</f>
        <v>0</v>
      </c>
      <c r="CY138" s="93">
        <f>IF(AND($T138=1,CY$5&lt;=$H138),CX138*(1-BI138)*(1-MIN(1,MAX(Assumptions!$C$27,Assumptions!$C$13*Assumptions!$C$28^(CX$5-1))*$O138)),0)</f>
        <v>0</v>
      </c>
      <c r="CZ138" s="93">
        <f>IF(AND($T138=1,CZ$5&lt;=$H138),CY138*(1-BJ138)*(1-MIN(1,MAX(Assumptions!$C$27,Assumptions!$C$13*Assumptions!$C$28^(CY$5-1))*$O138)),0)</f>
        <v>0</v>
      </c>
      <c r="DA138" s="93">
        <f>IF(AND($T138=1,DA$5&lt;=$H138),CZ138*(1-BK138)*(1-MIN(1,MAX(Assumptions!$C$27,Assumptions!$C$13*Assumptions!$C$28^(CZ$5-1))*$O138)),0)</f>
        <v>0</v>
      </c>
      <c r="DB138" s="93">
        <f>IF(AND($T138=1,DB$5&lt;=$H138),DA138*(1-BL138)*(1-MIN(1,MAX(Assumptions!$C$27,Assumptions!$C$13*Assumptions!$C$28^(DA$5-1))*$O138)),0)</f>
        <v>0</v>
      </c>
      <c r="DC138" s="93">
        <f>IF(AND($T138=1,DC$5&lt;=$H138),DB138*(1-BM138)*(1-MIN(1,MAX(Assumptions!$C$27,Assumptions!$C$13*Assumptions!$C$28^(DB$5-1))*$O138)),0)</f>
        <v>0</v>
      </c>
      <c r="DD138" s="93">
        <f>IF(AND($T138=1,DD$5&lt;=$H138),DC138*(1-BN138)*(1-MIN(1,MAX(Assumptions!$C$27,Assumptions!$C$13*Assumptions!$C$28^(DC$5-1))*$O138)),0)</f>
        <v>0</v>
      </c>
      <c r="DE138" s="93">
        <f>IF(AND($T138=1,DE$5&lt;=$H138),DD138*(1-BO138)*(1-MIN(1,MAX(Assumptions!$C$27,Assumptions!$C$13*Assumptions!$C$28^(DD$5-1))*$O138)),0)</f>
        <v>0</v>
      </c>
      <c r="DF138" s="93">
        <f>IF(AND($T138=1,DF$5&lt;=$H138),DE138*(1-BP138)*(1-MIN(1,MAX(Assumptions!$C$27,Assumptions!$C$13*Assumptions!$C$28^(DE$5-1))*$O138)),0)</f>
        <v>0</v>
      </c>
      <c r="DG138" s="93">
        <f>IF(AND($T138=1,DG$5&lt;=$H138),DF138*(1-BQ138)*(1-MIN(1,MAX(Assumptions!$C$27,Assumptions!$C$13*Assumptions!$C$28^(DF$5-1))*$O138)),0)</f>
        <v>0</v>
      </c>
      <c r="DH138" s="93">
        <f>IF(AND($T138=1,DH$5&lt;=$H138),DG138*(1-BR138)*(1-MIN(1,MAX(Assumptions!$C$27,Assumptions!$C$13*Assumptions!$C$28^(DG$5-1))*$O138)),0)</f>
        <v>0</v>
      </c>
      <c r="DI138" s="93">
        <f>IF(AND($T138=1,DI$5&lt;=$H138),DH138*(1-BS138)*(1-MIN(1,MAX(Assumptions!$C$27,Assumptions!$C$13*Assumptions!$C$28^(DH$5-1))*$O138)),0)</f>
        <v>0</v>
      </c>
      <c r="DJ138" s="93">
        <f>IF(AND($T138=1,DJ$5&lt;=$H138),DI138*(1-BT138)*(1-MIN(1,MAX(Assumptions!$C$27,Assumptions!$C$13*Assumptions!$C$28^(DI$5-1))*$O138)),0)</f>
        <v>0</v>
      </c>
      <c r="DK138" s="93">
        <f>IF(AND($T138=1,DK$5&lt;=$H138),DJ138*(1-BU138)*(1-MIN(1,MAX(Assumptions!$C$27,Assumptions!$C$13*Assumptions!$C$28^(DJ$5-1))*$O138)),0)</f>
        <v>0</v>
      </c>
      <c r="DL138" s="93">
        <f>IF(AND($T138=1,DL$5&lt;=$H138),DK138*(1-BV138)*(1-MIN(1,MAX(Assumptions!$C$27,Assumptions!$C$13*Assumptions!$C$28^(DK$5-1))*$O138)),0)</f>
        <v>0</v>
      </c>
      <c r="DM138" s="93">
        <f>IF(AND($T138=1,DM$5&lt;=$H138),DL138*(1-BW138)*(1-MIN(1,MAX(Assumptions!$C$27,Assumptions!$C$13*Assumptions!$C$28^(DL$5-1))*$O138)),0)</f>
        <v>0</v>
      </c>
      <c r="DN138" s="93">
        <f>IF(AND($T138=1,DN$5&lt;=$H138),DM138*(1-BX138)*(1-MIN(1,MAX(Assumptions!$C$27,Assumptions!$C$13*Assumptions!$C$28^(DM$5-1))*$O138)),0)</f>
        <v>0</v>
      </c>
      <c r="DO138" s="93">
        <f>IF(AND($T138=1,DO$5&lt;=$H138),DN138*(1-BY138)*(1-MIN(1,MAX(Assumptions!$C$27,Assumptions!$C$13*Assumptions!$C$28^(DN$5-1))*$O138)),0)</f>
        <v>0</v>
      </c>
      <c r="DP138" s="93">
        <f>IF(AND($T138=1,DP$5&lt;=$H138),DO138*(1-BZ138)*(1-MIN(1,MAX(Assumptions!$C$27,Assumptions!$C$13*Assumptions!$C$28^(DO$5-1))*$O138)),0)</f>
        <v>0</v>
      </c>
      <c r="DQ138" s="93">
        <f>IF(AND($T138=1,DQ$5&lt;=$H138),DP138*(1-CA138)*(1-MIN(1,MAX(Assumptions!$C$27,Assumptions!$C$13*Assumptions!$C$28^(DP$5-1))*$O138)),0)</f>
        <v>0</v>
      </c>
      <c r="DR138" s="93">
        <f>IF(AND($T138=1,DR$5&lt;=$H138),DQ138*(1-CB138)*(1-MIN(1,MAX(Assumptions!$C$27,Assumptions!$C$13*Assumptions!$C$28^(DQ$5-1))*$O138)),0)</f>
        <v>0</v>
      </c>
      <c r="DS138" s="93">
        <f>IF(AND($T138=1,DS$5&lt;=$H138),DR138*(1-CC138)*(1-MIN(1,MAX(Assumptions!$C$27,Assumptions!$C$13*Assumptions!$C$28^(DR$5-1))*$O138)),0)</f>
        <v>0</v>
      </c>
      <c r="DT138" s="93">
        <f>IF(AND($T138=1,DT$5&lt;=$H138),DS138*(1-CD138)*(1-MIN(1,MAX(Assumptions!$C$27,Assumptions!$C$13*Assumptions!$C$28^(DS$5-1))*$O138)),0)</f>
        <v>0</v>
      </c>
      <c r="DU138" s="93">
        <f>IF(AND($T138=1,DU$5&lt;=$H138),DT138*(1-CE138)*(1-MIN(1,MAX(Assumptions!$C$27,Assumptions!$C$13*Assumptions!$C$28^(DT$5-1))*$O138)),0)</f>
        <v>0</v>
      </c>
      <c r="DV138" s="93">
        <f>IF(AND($T138=1,DV$5&lt;=$H138),DU138*(1-CF138)*(1-MIN(1,MAX(Assumptions!$C$27,Assumptions!$C$13*Assumptions!$C$28^(DU$5-1))*$O138)),0)</f>
        <v>0</v>
      </c>
      <c r="DW138" s="94">
        <f>IF(AND($T138=1,DW$5&lt;=$H138),DV138*(1-CG138)*(1-MIN(1,MAX(Assumptions!$C$27,Assumptions!$C$13*Assumptions!$C$28^(DV$5-1))*$O138)),0)</f>
        <v>0</v>
      </c>
      <c r="DX138" s="26"/>
      <c r="DY138" s="399">
        <f>'Policy Data'!K112</f>
        <v>2</v>
      </c>
      <c r="DZ138" s="100">
        <f>'Policy Data'!L112</f>
        <v>0.58299999999999996</v>
      </c>
      <c r="EA138" s="100">
        <f>'Policy Data'!N112</f>
        <v>1.934E-3</v>
      </c>
      <c r="EB138" s="93" cm="1">
        <f t="array" ref="EB138">IFERROR(DZ138*INDEX(Mortality!$B$4:$E$64,MATCH(D138+DY138-1,Mortality!$A$4:$A$64,0),U138)*V138,0)</f>
        <v>2.0946893937715252E-3</v>
      </c>
      <c r="EC138" s="100">
        <f>'Policy Data'!O112</f>
        <v>0</v>
      </c>
      <c r="ED138" s="400">
        <f>'Policy Data'!Q112</f>
        <v>0</v>
      </c>
    </row>
    <row r="139" spans="1:134" x14ac:dyDescent="0.3">
      <c r="A139" s="399" t="str">
        <f>'Policy Data'!A113</f>
        <v>POL100109</v>
      </c>
      <c r="B139" s="26" t="s">
        <v>426</v>
      </c>
      <c r="C139" s="100" t="str">
        <f>'Policy Data'!B113</f>
        <v>Term Life</v>
      </c>
      <c r="D139" s="100">
        <f>'Policy Data'!C113</f>
        <v>33</v>
      </c>
      <c r="E139" s="100" t="str">
        <f>'Policy Data'!D113</f>
        <v>Female</v>
      </c>
      <c r="F139" s="100" t="str">
        <f>'Policy Data'!E113</f>
        <v>Non-smoker</v>
      </c>
      <c r="G139" s="100" t="str">
        <f>'Policy Data'!F113</f>
        <v>Rated</v>
      </c>
      <c r="H139" s="100">
        <f>'Policy Data'!G113</f>
        <v>15</v>
      </c>
      <c r="I139" s="279">
        <f>'Policy Data'!H113</f>
        <v>1000000</v>
      </c>
      <c r="J139" s="100" t="str">
        <f>'Policy Data'!I113</f>
        <v>Annual</v>
      </c>
      <c r="K139" s="100" t="str">
        <f>'Policy Data'!J113</f>
        <v>Direct</v>
      </c>
      <c r="L139" s="26" t="s">
        <v>389</v>
      </c>
      <c r="M139" s="106">
        <f>'Policy Data'!R113</f>
        <v>1919.36</v>
      </c>
      <c r="N139" s="415">
        <f>Assumptions!$C$21</f>
        <v>1</v>
      </c>
      <c r="O139" s="415">
        <f>Assumptions!$C$22</f>
        <v>1</v>
      </c>
      <c r="P139" s="415">
        <f>Assumptions!$C$23</f>
        <v>1</v>
      </c>
      <c r="Q139" s="416">
        <f>Assumptions!$C$24</f>
        <v>0</v>
      </c>
      <c r="R139" s="416">
        <f>Assumptions!$C$6+Assumptions!$C$25</f>
        <v>3.5000000000000003E-2</v>
      </c>
      <c r="S139" s="416">
        <f>Assumptions!$C$15</f>
        <v>1.1000000000000001E-3</v>
      </c>
      <c r="T139" s="26">
        <f t="shared" si="36"/>
        <v>1</v>
      </c>
      <c r="U139" s="26">
        <f t="shared" si="37"/>
        <v>1</v>
      </c>
      <c r="V139" s="389">
        <f>IF($G139="Preferred",Assumptions!$C$30,IF($G139="Rated",Assumptions!$C$31,1))</f>
        <v>1.55</v>
      </c>
      <c r="W139" s="390">
        <f>IF($K139="Direct",Assumptions!$C$32,IF($K139="Broker",Assumptions!$C$33,IF($K139="Bancassurance",Assumptions!$C$34,Assumptions!$C$11)))+$Q139</f>
        <v>0.1</v>
      </c>
      <c r="X139" s="390">
        <f>Assumptions!$C$12+$Q139</f>
        <v>0.05</v>
      </c>
      <c r="Y139" s="131">
        <f>MIN($I139,Assumptions!$C$14)</f>
        <v>500000</v>
      </c>
      <c r="Z139" s="131">
        <f>MAX($I139-Assumptions!$C$14,0)</f>
        <v>500000</v>
      </c>
      <c r="AA139" s="389">
        <f t="shared" si="38"/>
        <v>7.4019613433818048</v>
      </c>
      <c r="AB139" s="389">
        <f t="shared" si="39"/>
        <v>9.0925930195228932E-3</v>
      </c>
      <c r="AC139" s="389">
        <f>IF($T139=1,SUMPRODUCT($CJ139:$DW139,(1+Assumptions!$C$5)^($CJ$5:$DW$5-1),(1+$R139)^(-$CJ$5:$DW$5)),0)</f>
        <v>9.2614824314928885</v>
      </c>
      <c r="AD139" s="389">
        <f t="shared" si="40"/>
        <v>0.41840724591305167</v>
      </c>
      <c r="AE139" s="131">
        <f>IF($T139=1,$AB139*$Y139+(Assumptions!$C$9/(1+$R139)+Assumptions!$C$10*$AC139)*$P139+$S139*$Z139*$AA139,0)</f>
        <v>11524.466600941179</v>
      </c>
      <c r="AF139" s="131">
        <f>IF($T139=1,IF($AA139-$AD139-Assumptions!$C$16*$AA139&gt;0,$AE139/($AA139-$AD139-Assumptions!$C$16*$AA139)*IF($J139="Monthly",1+Assumptions!$C$29,1),"n.a."),"")</f>
        <v>1803.1216427881568</v>
      </c>
      <c r="AG139" s="131">
        <f t="shared" si="41"/>
        <v>1919.36</v>
      </c>
      <c r="AH139" s="131">
        <f t="shared" si="42"/>
        <v>14207.0285240333</v>
      </c>
      <c r="AI139" s="131">
        <f t="shared" si="43"/>
        <v>1879.4877915764446</v>
      </c>
      <c r="AJ139" s="390">
        <f t="shared" si="44"/>
        <v>0.13229281467247087</v>
      </c>
      <c r="AK139" s="389">
        <f t="shared" si="45"/>
        <v>1.0644650668338185</v>
      </c>
      <c r="AL139" s="131">
        <f t="shared" si="46"/>
        <v>4546.2965097614469</v>
      </c>
      <c r="AM139" s="131">
        <f t="shared" si="47"/>
        <v>4071.0787388599924</v>
      </c>
      <c r="AN139" s="131">
        <f t="shared" si="48"/>
        <v>475.21777090145451</v>
      </c>
      <c r="AO139" s="131">
        <f t="shared" si="49"/>
        <v>1404.2700206749901</v>
      </c>
      <c r="AP139" s="26" t="str">
        <f t="shared" si="50"/>
        <v>30-39</v>
      </c>
      <c r="AQ139" s="26" t="str">
        <f t="shared" si="51"/>
        <v>500k-1m</v>
      </c>
      <c r="AR139" s="26" t="str">
        <f>IF($T139=1,IF($AI139&lt;0,"Loss-making",IF($AJ139&lt;Assumptions!$C$16-0.00001,"Below target","At/above target")),"Excluded")</f>
        <v>At/above target</v>
      </c>
      <c r="AS139" s="103">
        <f t="shared" si="52"/>
        <v>1879.4879305764446</v>
      </c>
      <c r="AT139" s="26"/>
      <c r="AU139" s="419">
        <f>IF(AND($T139=1,AU$5&lt;=$H139),INDEX(Mortality!$B$4:$E$64,MATCH($D139+AU$5-1,Mortality!$A$4:$A$64,0),$U139)*$V139*$N139,0)</f>
        <v>7.5369183999680239E-4</v>
      </c>
      <c r="AV139" s="93">
        <f>IF(AND($T139=1,AV$5&lt;=$H139),INDEX(Mortality!$B$4:$E$64,MATCH($D139+AV$5-1,Mortality!$A$4:$A$64,0),$U139)*$V139*$N139,0)</f>
        <v>8.1646462328068112E-4</v>
      </c>
      <c r="AW139" s="93">
        <f>IF(AND($T139=1,AW$5&lt;=$H139),INDEX(Mortality!$B$4:$E$64,MATCH($D139+AW$5-1,Mortality!$A$4:$A$64,0),$U139)*$V139*$N139,0)</f>
        <v>8.8446556761406824E-4</v>
      </c>
      <c r="AX139" s="93">
        <f>IF(AND($T139=1,AX$5&lt;=$H139),INDEX(Mortality!$B$4:$E$64,MATCH($D139+AX$5-1,Mortality!$A$4:$A$64,0),$U139)*$V139*$N139,0)</f>
        <v>9.5813011120011212E-4</v>
      </c>
      <c r="AY139" s="93">
        <f>IF(AND($T139=1,AY$5&lt;=$H139),INDEX(Mortality!$B$4:$E$64,MATCH($D139+AY$5-1,Mortality!$A$4:$A$64,0),$U139)*$V139*$N139,0)</f>
        <v>1.0379299586130515E-3</v>
      </c>
      <c r="AZ139" s="93">
        <f>IF(AND($T139=1,AZ$5&lt;=$H139),INDEX(Mortality!$B$4:$E$64,MATCH($D139+AZ$5-1,Mortality!$A$4:$A$64,0),$U139)*$V139*$N139,0)</f>
        <v>1.1243761013179233E-3</v>
      </c>
      <c r="BA139" s="93">
        <f>IF(AND($T139=1,BA$5&lt;=$H139),INDEX(Mortality!$B$4:$E$64,MATCH($D139+BA$5-1,Mortality!$A$4:$A$64,0),$U139)*$V139*$N139,0)</f>
        <v>1.2180220897604949E-3</v>
      </c>
      <c r="BB139" s="93">
        <f>IF(AND($T139=1,BB$5&lt;=$H139),INDEX(Mortality!$B$4:$E$64,MATCH($D139+BB$5-1,Mortality!$A$4:$A$64,0),$U139)*$V139*$N139,0)</f>
        <v>1.319467577979972E-3</v>
      </c>
      <c r="BC139" s="93">
        <f>IF(AND($T139=1,BC$5&lt;=$H139),INDEX(Mortality!$B$4:$E$64,MATCH($D139+BC$5-1,Mortality!$A$4:$A$64,0),$U139)*$V139*$N139,0)</f>
        <v>1.4293621634421036E-3</v>
      </c>
      <c r="BD139" s="93">
        <f>IF(AND($T139=1,BD$5&lt;=$H139),INDEX(Mortality!$B$4:$E$64,MATCH($D139+BD$5-1,Mortality!$A$4:$A$64,0),$U139)*$V139*$N139,0)</f>
        <v>1.5484095466807317E-3</v>
      </c>
      <c r="BE139" s="93">
        <f>IF(AND($T139=1,BE$5&lt;=$H139),INDEX(Mortality!$B$4:$E$64,MATCH($D139+BE$5-1,Mortality!$A$4:$A$64,0),$U139)*$V139*$N139,0)</f>
        <v>1.6773720373836785E-3</v>
      </c>
      <c r="BF139" s="93">
        <f>IF(AND($T139=1,BF$5&lt;=$H139),INDEX(Mortality!$B$4:$E$64,MATCH($D139+BF$5-1,Mortality!$A$4:$A$64,0),$U139)*$V139*$N139,0)</f>
        <v>1.8170754357773335E-3</v>
      </c>
      <c r="BG139" s="93">
        <f>IF(AND($T139=1,BG$5&lt;=$H139),INDEX(Mortality!$B$4:$E$64,MATCH($D139+BG$5-1,Mortality!$A$4:$A$64,0),$U139)*$V139*$N139,0)</f>
        <v>1.9684143205674319E-3</v>
      </c>
      <c r="BH139" s="93">
        <f>IF(AND($T139=1,BH$5&lt;=$H139),INDEX(Mortality!$B$4:$E$64,MATCH($D139+BH$5-1,Mortality!$A$4:$A$64,0),$U139)*$V139*$N139,0)</f>
        <v>2.1323577772968875E-3</v>
      </c>
      <c r="BI139" s="93">
        <f>IF(AND($T139=1,BI$5&lt;=$H139),INDEX(Mortality!$B$4:$E$64,MATCH($D139+BI$5-1,Mortality!$A$4:$A$64,0),$U139)*$V139*$N139,0)</f>
        <v>2.3099556038018386E-3</v>
      </c>
      <c r="BJ139" s="93">
        <f>IF(AND($T139=1,BJ$5&lt;=$H139),INDEX(Mortality!$B$4:$E$64,MATCH($D139+BJ$5-1,Mortality!$A$4:$A$64,0),$U139)*$V139*$N139,0)</f>
        <v>0</v>
      </c>
      <c r="BK139" s="93">
        <f>IF(AND($T139=1,BK$5&lt;=$H139),INDEX(Mortality!$B$4:$E$64,MATCH($D139+BK$5-1,Mortality!$A$4:$A$64,0),$U139)*$V139*$N139,0)</f>
        <v>0</v>
      </c>
      <c r="BL139" s="93">
        <f>IF(AND($T139=1,BL$5&lt;=$H139),INDEX(Mortality!$B$4:$E$64,MATCH($D139+BL$5-1,Mortality!$A$4:$A$64,0),$U139)*$V139*$N139,0)</f>
        <v>0</v>
      </c>
      <c r="BM139" s="93">
        <f>IF(AND($T139=1,BM$5&lt;=$H139),INDEX(Mortality!$B$4:$E$64,MATCH($D139+BM$5-1,Mortality!$A$4:$A$64,0),$U139)*$V139*$N139,0)</f>
        <v>0</v>
      </c>
      <c r="BN139" s="93">
        <f>IF(AND($T139=1,BN$5&lt;=$H139),INDEX(Mortality!$B$4:$E$64,MATCH($D139+BN$5-1,Mortality!$A$4:$A$64,0),$U139)*$V139*$N139,0)</f>
        <v>0</v>
      </c>
      <c r="BO139" s="93">
        <f>IF(AND($T139=1,BO$5&lt;=$H139),INDEX(Mortality!$B$4:$E$64,MATCH($D139+BO$5-1,Mortality!$A$4:$A$64,0),$U139)*$V139*$N139,0)</f>
        <v>0</v>
      </c>
      <c r="BP139" s="93">
        <f>IF(AND($T139=1,BP$5&lt;=$H139),INDEX(Mortality!$B$4:$E$64,MATCH($D139+BP$5-1,Mortality!$A$4:$A$64,0),$U139)*$V139*$N139,0)</f>
        <v>0</v>
      </c>
      <c r="BQ139" s="93">
        <f>IF(AND($T139=1,BQ$5&lt;=$H139),INDEX(Mortality!$B$4:$E$64,MATCH($D139+BQ$5-1,Mortality!$A$4:$A$64,0),$U139)*$V139*$N139,0)</f>
        <v>0</v>
      </c>
      <c r="BR139" s="93">
        <f>IF(AND($T139=1,BR$5&lt;=$H139),INDEX(Mortality!$B$4:$E$64,MATCH($D139+BR$5-1,Mortality!$A$4:$A$64,0),$U139)*$V139*$N139,0)</f>
        <v>0</v>
      </c>
      <c r="BS139" s="93">
        <f>IF(AND($T139=1,BS$5&lt;=$H139),INDEX(Mortality!$B$4:$E$64,MATCH($D139+BS$5-1,Mortality!$A$4:$A$64,0),$U139)*$V139*$N139,0)</f>
        <v>0</v>
      </c>
      <c r="BT139" s="93">
        <f>IF(AND($T139=1,BT$5&lt;=$H139),INDEX(Mortality!$B$4:$E$64,MATCH($D139+BT$5-1,Mortality!$A$4:$A$64,0),$U139)*$V139*$N139,0)</f>
        <v>0</v>
      </c>
      <c r="BU139" s="93">
        <f>IF(AND($T139=1,BU$5&lt;=$H139),INDEX(Mortality!$B$4:$E$64,MATCH($D139+BU$5-1,Mortality!$A$4:$A$64,0),$U139)*$V139*$N139,0)</f>
        <v>0</v>
      </c>
      <c r="BV139" s="93">
        <f>IF(AND($T139=1,BV$5&lt;=$H139),INDEX(Mortality!$B$4:$E$64,MATCH($D139+BV$5-1,Mortality!$A$4:$A$64,0),$U139)*$V139*$N139,0)</f>
        <v>0</v>
      </c>
      <c r="BW139" s="93">
        <f>IF(AND($T139=1,BW$5&lt;=$H139),INDEX(Mortality!$B$4:$E$64,MATCH($D139+BW$5-1,Mortality!$A$4:$A$64,0),$U139)*$V139*$N139,0)</f>
        <v>0</v>
      </c>
      <c r="BX139" s="93">
        <f>IF(AND($T139=1,BX$5&lt;=$H139),INDEX(Mortality!$B$4:$E$64,MATCH($D139+BX$5-1,Mortality!$A$4:$A$64,0),$U139)*$V139*$N139,0)</f>
        <v>0</v>
      </c>
      <c r="BY139" s="93">
        <f>IF(AND($T139=1,BY$5&lt;=$H139),INDEX(Mortality!$B$4:$E$64,MATCH($D139+BY$5-1,Mortality!$A$4:$A$64,0),$U139)*$V139*$N139,0)</f>
        <v>0</v>
      </c>
      <c r="BZ139" s="93">
        <f>IF(AND($T139=1,BZ$5&lt;=$H139),INDEX(Mortality!$B$4:$E$64,MATCH($D139+BZ$5-1,Mortality!$A$4:$A$64,0),$U139)*$V139*$N139,0)</f>
        <v>0</v>
      </c>
      <c r="CA139" s="93">
        <f>IF(AND($T139=1,CA$5&lt;=$H139),INDEX(Mortality!$B$4:$E$64,MATCH($D139+CA$5-1,Mortality!$A$4:$A$64,0),$U139)*$V139*$N139,0)</f>
        <v>0</v>
      </c>
      <c r="CB139" s="93">
        <f>IF(AND($T139=1,CB$5&lt;=$H139),INDEX(Mortality!$B$4:$E$64,MATCH($D139+CB$5-1,Mortality!$A$4:$A$64,0),$U139)*$V139*$N139,0)</f>
        <v>0</v>
      </c>
      <c r="CC139" s="93">
        <f>IF(AND($T139=1,CC$5&lt;=$H139),INDEX(Mortality!$B$4:$E$64,MATCH($D139+CC$5-1,Mortality!$A$4:$A$64,0),$U139)*$V139*$N139,0)</f>
        <v>0</v>
      </c>
      <c r="CD139" s="93">
        <f>IF(AND($T139=1,CD$5&lt;=$H139),INDEX(Mortality!$B$4:$E$64,MATCH($D139+CD$5-1,Mortality!$A$4:$A$64,0),$U139)*$V139*$N139,0)</f>
        <v>0</v>
      </c>
      <c r="CE139" s="93">
        <f>IF(AND($T139=1,CE$5&lt;=$H139),INDEX(Mortality!$B$4:$E$64,MATCH($D139+CE$5-1,Mortality!$A$4:$A$64,0),$U139)*$V139*$N139,0)</f>
        <v>0</v>
      </c>
      <c r="CF139" s="93">
        <f>IF(AND($T139=1,CF$5&lt;=$H139),INDEX(Mortality!$B$4:$E$64,MATCH($D139+CF$5-1,Mortality!$A$4:$A$64,0),$U139)*$V139*$N139,0)</f>
        <v>0</v>
      </c>
      <c r="CG139" s="93">
        <f>IF(AND($T139=1,CG$5&lt;=$H139),INDEX(Mortality!$B$4:$E$64,MATCH($D139+CG$5-1,Mortality!$A$4:$A$64,0),$U139)*$V139*$N139,0)</f>
        <v>0</v>
      </c>
      <c r="CH139" s="94">
        <f>IF(AND($T139=1,CH$5&lt;=$H139),INDEX(Mortality!$B$4:$E$64,MATCH($D139+CH$5-1,Mortality!$A$4:$A$64,0),$U139)*$V139*$N139,0)</f>
        <v>0</v>
      </c>
      <c r="CI139" s="26"/>
      <c r="CJ139" s="419">
        <f t="shared" si="53"/>
        <v>1</v>
      </c>
      <c r="CK139" s="93">
        <f>IF(AND($T139=1,CK$5&lt;=$H139),CJ139*(1-AU139)*(1-MIN(1,MAX(Assumptions!$C$27,Assumptions!$C$13*Assumptions!$C$28^(CJ$5-1))*$O139)),0)</f>
        <v>0.87933675118080279</v>
      </c>
      <c r="CL139" s="93">
        <f>IF(AND($T139=1,CL$5&lt;=$H139),CK139*(1-AV139)*(1-MIN(1,MAX(Assumptions!$C$27,Assumptions!$C$13*Assumptions!$C$28^(CK$5-1))*$O139)),0)</f>
        <v>0.78899968584069879</v>
      </c>
      <c r="CM139" s="93">
        <f>IF(AND($T139=1,CM$5&lt;=$H139),CL139*(1-AW139)*(1-MIN(1,MAX(Assumptions!$C$27,Assumptions!$C$13*Assumptions!$C$28^(CL$5-1))*$O139)),0)</f>
        <v>0.71995607301619291</v>
      </c>
      <c r="CN139" s="93">
        <f>IF(AND($T139=1,CN$5&lt;=$H139),CM139*(1-AX139)*(1-MIN(1,MAX(Assumptions!$C$27,Assumptions!$C$13*Assumptions!$C$28^(CM$5-1))*$O139)),0)</f>
        <v>0.6662599342882608</v>
      </c>
      <c r="CO139" s="93">
        <f>IF(AND($T139=1,CO$5&lt;=$H139),CN139*(1-AY139)*(1-MIN(1,MAX(Assumptions!$C$27,Assumptions!$C$13*Assumptions!$C$28^(CN$5-1))*$O139)),0)</f>
        <v>0.62387669919310718</v>
      </c>
      <c r="CP139" s="93">
        <f>IF(AND($T139=1,CP$5&lt;=$H139),CO139*(1-AZ139)*(1-MIN(1,MAX(Assumptions!$C$27,Assumptions!$C$13*Assumptions!$C$28^(CO$5-1))*$O139)),0)</f>
        <v>0.58999448807418997</v>
      </c>
      <c r="CQ139" s="93">
        <f>IF(AND($T139=1,CQ$5&lt;=$H139),CP139*(1-BA139)*(1-MIN(1,MAX(Assumptions!$C$27,Assumptions!$C$13*Assumptions!$C$28^(CP$5-1))*$O139)),0)</f>
        <v>0.56260644905523582</v>
      </c>
      <c r="CR139" s="93">
        <f>IF(AND($T139=1,CR$5&lt;=$H139),CQ139*(1-BB139)*(1-MIN(1,MAX(Assumptions!$C$27,Assumptions!$C$13*Assumptions!$C$28^(CQ$5-1))*$O139)),0)</f>
        <v>0.54024961691292983</v>
      </c>
      <c r="CS139" s="93">
        <f>IF(AND($T139=1,CS$5&lt;=$H139),CR139*(1-BC139)*(1-MIN(1,MAX(Assumptions!$C$27,Assumptions!$C$13*Assumptions!$C$28^(CR$5-1))*$O139)),0)</f>
        <v>0.52183710680613993</v>
      </c>
      <c r="CT139" s="93">
        <f>IF(AND($T139=1,CT$5&lt;=$H139),CS139*(1-BD139)*(1-MIN(1,MAX(Assumptions!$C$27,Assumptions!$C$13*Assumptions!$C$28^(CS$5-1))*$O139)),0)</f>
        <v>0.50654758925898413</v>
      </c>
      <c r="CU139" s="93">
        <f>IF(AND($T139=1,CU$5&lt;=$H139),CT139*(1-BE139)*(1-MIN(1,MAX(Assumptions!$C$27,Assumptions!$C$13*Assumptions!$C$28^(CT$5-1))*$O139)),0)</f>
        <v>0.49375084327225061</v>
      </c>
      <c r="CV139" s="93">
        <f>IF(AND($T139=1,CV$5&lt;=$H139),CU139*(1-BF139)*(1-MIN(1,MAX(Assumptions!$C$27,Assumptions!$C$13*Assumptions!$C$28^(CU$5-1))*$O139)),0)</f>
        <v>0.48295657311317114</v>
      </c>
      <c r="CW139" s="93">
        <f>IF(AND($T139=1,CW$5&lt;=$H139),CV139*(1-BG139)*(1-MIN(1,MAX(Assumptions!$C$27,Assumptions!$C$13*Assumptions!$C$28^(CV$5-1))*$O139)),0)</f>
        <v>0.4723657961888742</v>
      </c>
      <c r="CX139" s="93">
        <f>IF(AND($T139=1,CX$5&lt;=$H139),CW139*(1-BH139)*(1-MIN(1,MAX(Assumptions!$C$27,Assumptions!$C$13*Assumptions!$C$28^(CW$5-1))*$O139)),0)</f>
        <v>0.46193137244344895</v>
      </c>
      <c r="CY139" s="93">
        <f>IF(AND($T139=1,CY$5&lt;=$H139),CX139*(1-BI139)*(1-MIN(1,MAX(Assumptions!$C$27,Assumptions!$C$13*Assumptions!$C$28^(CX$5-1))*$O139)),0)</f>
        <v>0</v>
      </c>
      <c r="CZ139" s="93">
        <f>IF(AND($T139=1,CZ$5&lt;=$H139),CY139*(1-BJ139)*(1-MIN(1,MAX(Assumptions!$C$27,Assumptions!$C$13*Assumptions!$C$28^(CY$5-1))*$O139)),0)</f>
        <v>0</v>
      </c>
      <c r="DA139" s="93">
        <f>IF(AND($T139=1,DA$5&lt;=$H139),CZ139*(1-BK139)*(1-MIN(1,MAX(Assumptions!$C$27,Assumptions!$C$13*Assumptions!$C$28^(CZ$5-1))*$O139)),0)</f>
        <v>0</v>
      </c>
      <c r="DB139" s="93">
        <f>IF(AND($T139=1,DB$5&lt;=$H139),DA139*(1-BL139)*(1-MIN(1,MAX(Assumptions!$C$27,Assumptions!$C$13*Assumptions!$C$28^(DA$5-1))*$O139)),0)</f>
        <v>0</v>
      </c>
      <c r="DC139" s="93">
        <f>IF(AND($T139=1,DC$5&lt;=$H139),DB139*(1-BM139)*(1-MIN(1,MAX(Assumptions!$C$27,Assumptions!$C$13*Assumptions!$C$28^(DB$5-1))*$O139)),0)</f>
        <v>0</v>
      </c>
      <c r="DD139" s="93">
        <f>IF(AND($T139=1,DD$5&lt;=$H139),DC139*(1-BN139)*(1-MIN(1,MAX(Assumptions!$C$27,Assumptions!$C$13*Assumptions!$C$28^(DC$5-1))*$O139)),0)</f>
        <v>0</v>
      </c>
      <c r="DE139" s="93">
        <f>IF(AND($T139=1,DE$5&lt;=$H139),DD139*(1-BO139)*(1-MIN(1,MAX(Assumptions!$C$27,Assumptions!$C$13*Assumptions!$C$28^(DD$5-1))*$O139)),0)</f>
        <v>0</v>
      </c>
      <c r="DF139" s="93">
        <f>IF(AND($T139=1,DF$5&lt;=$H139),DE139*(1-BP139)*(1-MIN(1,MAX(Assumptions!$C$27,Assumptions!$C$13*Assumptions!$C$28^(DE$5-1))*$O139)),0)</f>
        <v>0</v>
      </c>
      <c r="DG139" s="93">
        <f>IF(AND($T139=1,DG$5&lt;=$H139),DF139*(1-BQ139)*(1-MIN(1,MAX(Assumptions!$C$27,Assumptions!$C$13*Assumptions!$C$28^(DF$5-1))*$O139)),0)</f>
        <v>0</v>
      </c>
      <c r="DH139" s="93">
        <f>IF(AND($T139=1,DH$5&lt;=$H139),DG139*(1-BR139)*(1-MIN(1,MAX(Assumptions!$C$27,Assumptions!$C$13*Assumptions!$C$28^(DG$5-1))*$O139)),0)</f>
        <v>0</v>
      </c>
      <c r="DI139" s="93">
        <f>IF(AND($T139=1,DI$5&lt;=$H139),DH139*(1-BS139)*(1-MIN(1,MAX(Assumptions!$C$27,Assumptions!$C$13*Assumptions!$C$28^(DH$5-1))*$O139)),0)</f>
        <v>0</v>
      </c>
      <c r="DJ139" s="93">
        <f>IF(AND($T139=1,DJ$5&lt;=$H139),DI139*(1-BT139)*(1-MIN(1,MAX(Assumptions!$C$27,Assumptions!$C$13*Assumptions!$C$28^(DI$5-1))*$O139)),0)</f>
        <v>0</v>
      </c>
      <c r="DK139" s="93">
        <f>IF(AND($T139=1,DK$5&lt;=$H139),DJ139*(1-BU139)*(1-MIN(1,MAX(Assumptions!$C$27,Assumptions!$C$13*Assumptions!$C$28^(DJ$5-1))*$O139)),0)</f>
        <v>0</v>
      </c>
      <c r="DL139" s="93">
        <f>IF(AND($T139=1,DL$5&lt;=$H139),DK139*(1-BV139)*(1-MIN(1,MAX(Assumptions!$C$27,Assumptions!$C$13*Assumptions!$C$28^(DK$5-1))*$O139)),0)</f>
        <v>0</v>
      </c>
      <c r="DM139" s="93">
        <f>IF(AND($T139=1,DM$5&lt;=$H139),DL139*(1-BW139)*(1-MIN(1,MAX(Assumptions!$C$27,Assumptions!$C$13*Assumptions!$C$28^(DL$5-1))*$O139)),0)</f>
        <v>0</v>
      </c>
      <c r="DN139" s="93">
        <f>IF(AND($T139=1,DN$5&lt;=$H139),DM139*(1-BX139)*(1-MIN(1,MAX(Assumptions!$C$27,Assumptions!$C$13*Assumptions!$C$28^(DM$5-1))*$O139)),0)</f>
        <v>0</v>
      </c>
      <c r="DO139" s="93">
        <f>IF(AND($T139=1,DO$5&lt;=$H139),DN139*(1-BY139)*(1-MIN(1,MAX(Assumptions!$C$27,Assumptions!$C$13*Assumptions!$C$28^(DN$5-1))*$O139)),0)</f>
        <v>0</v>
      </c>
      <c r="DP139" s="93">
        <f>IF(AND($T139=1,DP$5&lt;=$H139),DO139*(1-BZ139)*(1-MIN(1,MAX(Assumptions!$C$27,Assumptions!$C$13*Assumptions!$C$28^(DO$5-1))*$O139)),0)</f>
        <v>0</v>
      </c>
      <c r="DQ139" s="93">
        <f>IF(AND($T139=1,DQ$5&lt;=$H139),DP139*(1-CA139)*(1-MIN(1,MAX(Assumptions!$C$27,Assumptions!$C$13*Assumptions!$C$28^(DP$5-1))*$O139)),0)</f>
        <v>0</v>
      </c>
      <c r="DR139" s="93">
        <f>IF(AND($T139=1,DR$5&lt;=$H139),DQ139*(1-CB139)*(1-MIN(1,MAX(Assumptions!$C$27,Assumptions!$C$13*Assumptions!$C$28^(DQ$5-1))*$O139)),0)</f>
        <v>0</v>
      </c>
      <c r="DS139" s="93">
        <f>IF(AND($T139=1,DS$5&lt;=$H139),DR139*(1-CC139)*(1-MIN(1,MAX(Assumptions!$C$27,Assumptions!$C$13*Assumptions!$C$28^(DR$5-1))*$O139)),0)</f>
        <v>0</v>
      </c>
      <c r="DT139" s="93">
        <f>IF(AND($T139=1,DT$5&lt;=$H139),DS139*(1-CD139)*(1-MIN(1,MAX(Assumptions!$C$27,Assumptions!$C$13*Assumptions!$C$28^(DS$5-1))*$O139)),0)</f>
        <v>0</v>
      </c>
      <c r="DU139" s="93">
        <f>IF(AND($T139=1,DU$5&lt;=$H139),DT139*(1-CE139)*(1-MIN(1,MAX(Assumptions!$C$27,Assumptions!$C$13*Assumptions!$C$28^(DT$5-1))*$O139)),0)</f>
        <v>0</v>
      </c>
      <c r="DV139" s="93">
        <f>IF(AND($T139=1,DV$5&lt;=$H139),DU139*(1-CF139)*(1-MIN(1,MAX(Assumptions!$C$27,Assumptions!$C$13*Assumptions!$C$28^(DU$5-1))*$O139)),0)</f>
        <v>0</v>
      </c>
      <c r="DW139" s="94">
        <f>IF(AND($T139=1,DW$5&lt;=$H139),DV139*(1-CG139)*(1-MIN(1,MAX(Assumptions!$C$27,Assumptions!$C$13*Assumptions!$C$28^(DV$5-1))*$O139)),0)</f>
        <v>0</v>
      </c>
      <c r="DX139" s="26"/>
      <c r="DY139" s="399">
        <f>'Policy Data'!K113</f>
        <v>1</v>
      </c>
      <c r="DZ139" s="100">
        <f>'Policy Data'!L113</f>
        <v>0.69969999999999999</v>
      </c>
      <c r="EA139" s="100">
        <f>'Policy Data'!N113</f>
        <v>5.2700000000000002E-4</v>
      </c>
      <c r="EB139" s="93" cm="1">
        <f t="array" ref="EB139">IFERROR(DZ139*INDEX(Mortality!$B$4:$E$64,MATCH(D139+DY139-1,Mortality!$A$4:$A$64,0),U139)*V139,0)</f>
        <v>5.2735818044576262E-4</v>
      </c>
      <c r="EC139" s="100">
        <f>'Policy Data'!O113</f>
        <v>0</v>
      </c>
      <c r="ED139" s="400">
        <f>'Policy Data'!Q113</f>
        <v>0</v>
      </c>
    </row>
    <row r="140" spans="1:134" x14ac:dyDescent="0.3">
      <c r="A140" s="399" t="str">
        <f>'Policy Data'!A114</f>
        <v>POL100110</v>
      </c>
      <c r="B140" s="26" t="s">
        <v>426</v>
      </c>
      <c r="C140" s="100" t="str">
        <f>'Policy Data'!B114</f>
        <v>Term Life</v>
      </c>
      <c r="D140" s="100">
        <f>'Policy Data'!C114</f>
        <v>39</v>
      </c>
      <c r="E140" s="100" t="str">
        <f>'Policy Data'!D114</f>
        <v>Male</v>
      </c>
      <c r="F140" s="100" t="str">
        <f>'Policy Data'!E114</f>
        <v>Non-smoker</v>
      </c>
      <c r="G140" s="100" t="str">
        <f>'Policy Data'!F114</f>
        <v>Standard</v>
      </c>
      <c r="H140" s="100">
        <f>'Policy Data'!G114</f>
        <v>15</v>
      </c>
      <c r="I140" s="279">
        <f>'Policy Data'!H114</f>
        <v>500000</v>
      </c>
      <c r="J140" s="100" t="str">
        <f>'Policy Data'!I114</f>
        <v>Monthly</v>
      </c>
      <c r="K140" s="100" t="str">
        <f>'Policy Data'!J114</f>
        <v>Bancassurance</v>
      </c>
      <c r="L140" s="26" t="s">
        <v>389</v>
      </c>
      <c r="M140" s="106">
        <f>'Policy Data'!R114</f>
        <v>1382.27</v>
      </c>
      <c r="N140" s="415">
        <f>Assumptions!$C$21</f>
        <v>1</v>
      </c>
      <c r="O140" s="415">
        <f>Assumptions!$C$22</f>
        <v>1</v>
      </c>
      <c r="P140" s="415">
        <f>Assumptions!$C$23</f>
        <v>1</v>
      </c>
      <c r="Q140" s="416">
        <f>Assumptions!$C$24</f>
        <v>0</v>
      </c>
      <c r="R140" s="416">
        <f>Assumptions!$C$6+Assumptions!$C$25</f>
        <v>3.5000000000000003E-2</v>
      </c>
      <c r="S140" s="416">
        <f>Assumptions!$C$15</f>
        <v>1.1000000000000001E-3</v>
      </c>
      <c r="T140" s="26">
        <f t="shared" si="36"/>
        <v>1</v>
      </c>
      <c r="U140" s="26">
        <f t="shared" si="37"/>
        <v>3</v>
      </c>
      <c r="V140" s="389">
        <f>IF($G140="Preferred",Assumptions!$C$30,IF($G140="Rated",Assumptions!$C$31,1))</f>
        <v>1</v>
      </c>
      <c r="W140" s="390">
        <f>IF($K140="Direct",Assumptions!$C$32,IF($K140="Broker",Assumptions!$C$33,IF($K140="Bancassurance",Assumptions!$C$34,Assumptions!$C$11)))+$Q140</f>
        <v>0.2</v>
      </c>
      <c r="X140" s="390">
        <f>Assumptions!$C$12+$Q140</f>
        <v>0.05</v>
      </c>
      <c r="Y140" s="131">
        <f>MIN($I140,Assumptions!$C$14)</f>
        <v>500000</v>
      </c>
      <c r="Z140" s="131">
        <f>MAX($I140-Assumptions!$C$14,0)</f>
        <v>0</v>
      </c>
      <c r="AA140" s="389">
        <f t="shared" si="38"/>
        <v>7.3846521258691364</v>
      </c>
      <c r="AB140" s="389">
        <f t="shared" si="39"/>
        <v>1.2785856123411599E-2</v>
      </c>
      <c r="AC140" s="389">
        <f>IF($T140=1,SUMPRODUCT($CJ140:$DW140,(1+Assumptions!$C$5)^($CJ$5:$DW$5-1),(1+$R140)^(-$CJ$5:$DW$5)),0)</f>
        <v>9.2363015982689696</v>
      </c>
      <c r="AD140" s="389">
        <f t="shared" si="40"/>
        <v>0.51416014252534092</v>
      </c>
      <c r="AE140" s="131">
        <f>IF($T140=1,$AB140*$Y140+(Assumptions!$C$9/(1+$R140)+Assumptions!$C$10*$AC140)*$P140+$S140*$Z140*$AA140,0)</f>
        <v>9294.479630716276</v>
      </c>
      <c r="AF140" s="131">
        <f>IF($T140=1,IF($AA140-$AD140-Assumptions!$C$16*$AA140&gt;0,$AE140/($AA140-$AD140-Assumptions!$C$16*$AA140)*IF($J140="Monthly",1+Assumptions!$C$29,1),"n.a."),"")</f>
        <v>1524.4810762737216</v>
      </c>
      <c r="AG140" s="131">
        <f t="shared" si="41"/>
        <v>1382.27</v>
      </c>
      <c r="AH140" s="131">
        <f t="shared" si="42"/>
        <v>10207.583094025131</v>
      </c>
      <c r="AI140" s="131">
        <f t="shared" si="43"/>
        <v>202.39532310035247</v>
      </c>
      <c r="AJ140" s="390">
        <f t="shared" si="44"/>
        <v>1.9827937841507437E-2</v>
      </c>
      <c r="AK140" s="389">
        <f t="shared" si="45"/>
        <v>0.90671509244225768</v>
      </c>
      <c r="AL140" s="131">
        <f t="shared" si="46"/>
        <v>0</v>
      </c>
      <c r="AM140" s="131">
        <f t="shared" si="47"/>
        <v>0</v>
      </c>
      <c r="AN140" s="131">
        <f t="shared" si="48"/>
        <v>0</v>
      </c>
      <c r="AO140" s="131">
        <f t="shared" si="49"/>
        <v>202.39532310035247</v>
      </c>
      <c r="AP140" s="26" t="str">
        <f t="shared" si="50"/>
        <v>30-39</v>
      </c>
      <c r="AQ140" s="26" t="str">
        <f t="shared" si="51"/>
        <v>250k-500k</v>
      </c>
      <c r="AR140" s="26" t="str">
        <f>IF($T140=1,IF($AI140&lt;0,"Loss-making",IF($AJ140&lt;Assumptions!$C$16-0.00001,"Below target","At/above target")),"Excluded")</f>
        <v>Below target</v>
      </c>
      <c r="AS140" s="103">
        <f t="shared" si="52"/>
        <v>202.39546310035246</v>
      </c>
      <c r="AT140" s="26"/>
      <c r="AU140" s="419">
        <f>IF(AND($T140=1,AU$5&lt;=$H140),INDEX(Mortality!$B$4:$E$64,MATCH($D140+AU$5-1,Mortality!$A$4:$A$64,0),$U140)*$V140*$N140,0)</f>
        <v>1.06316918650821E-3</v>
      </c>
      <c r="AV140" s="93">
        <f>IF(AND($T140=1,AV$5&lt;=$H140),INDEX(Mortality!$B$4:$E$64,MATCH($D140+AV$5-1,Mortality!$A$4:$A$64,0),$U140)*$V140*$N140,0)</f>
        <v>1.1517174304948501E-3</v>
      </c>
      <c r="AW140" s="93">
        <f>IF(AND($T140=1,AW$5&lt;=$H140),INDEX(Mortality!$B$4:$E$64,MATCH($D140+AW$5-1,Mortality!$A$4:$A$64,0),$U140)*$V140*$N140,0)</f>
        <v>1.24764059807091E-3</v>
      </c>
      <c r="AX140" s="93">
        <f>IF(AND($T140=1,AX$5&lt;=$H140),INDEX(Mortality!$B$4:$E$64,MATCH($D140+AX$5-1,Mortality!$A$4:$A$64,0),$U140)*$V140*$N140,0)</f>
        <v>1.3515529249964601E-3</v>
      </c>
      <c r="AY140" s="93">
        <f>IF(AND($T140=1,AY$5&lt;=$H140),INDEX(Mortality!$B$4:$E$64,MATCH($D140+AY$5-1,Mortality!$A$4:$A$64,0),$U140)*$V140*$N140,0)</f>
        <v>1.4641198049269301E-3</v>
      </c>
      <c r="AZ140" s="93">
        <f>IF(AND($T140=1,AZ$5&lt;=$H140),INDEX(Mortality!$B$4:$E$64,MATCH($D140+AZ$5-1,Mortality!$A$4:$A$64,0),$U140)*$V140*$N140,0)</f>
        <v>1.58606205020413E-3</v>
      </c>
      <c r="BA140" s="93">
        <f>IF(AND($T140=1,BA$5&lt;=$H140),INDEX(Mortality!$B$4:$E$64,MATCH($D140+BA$5-1,Mortality!$A$4:$A$64,0),$U140)*$V140*$N140,0)</f>
        <v>1.71816050751616E-3</v>
      </c>
      <c r="BB140" s="93">
        <f>IF(AND($T140=1,BB$5&lt;=$H140),INDEX(Mortality!$B$4:$E$64,MATCH($D140+BB$5-1,Mortality!$A$4:$A$64,0),$U140)*$V140*$N140,0)</f>
        <v>1.8612610579820999E-3</v>
      </c>
      <c r="BC140" s="93">
        <f>IF(AND($T140=1,BC$5&lt;=$H140),INDEX(Mortality!$B$4:$E$64,MATCH($D140+BC$5-1,Mortality!$A$4:$A$64,0),$U140)*$V140*$N140,0)</f>
        <v>2.0162800336790201E-3</v>
      </c>
      <c r="BD140" s="93">
        <f>IF(AND($T140=1,BD$5&lt;=$H140),INDEX(Mortality!$B$4:$E$64,MATCH($D140+BD$5-1,Mortality!$A$4:$A$64,0),$U140)*$V140*$N140,0)</f>
        <v>2.1842100852957199E-3</v>
      </c>
      <c r="BE140" s="93">
        <f>IF(AND($T140=1,BE$5&lt;=$H140),INDEX(Mortality!$B$4:$E$64,MATCH($D140+BE$5-1,Mortality!$A$4:$A$64,0),$U140)*$V140*$N140,0)</f>
        <v>2.3661265384860701E-3</v>
      </c>
      <c r="BF140" s="93">
        <f>IF(AND($T140=1,BF$5&lt;=$H140),INDEX(Mortality!$B$4:$E$64,MATCH($D140+BF$5-1,Mortality!$A$4:$A$64,0),$U140)*$V140*$N140,0)</f>
        <v>2.5631942796244698E-3</v>
      </c>
      <c r="BG140" s="93">
        <f>IF(AND($T140=1,BG$5&lt;=$H140),INDEX(Mortality!$B$4:$E$64,MATCH($D140+BG$5-1,Mortality!$A$4:$A$64,0),$U140)*$V140*$N140,0)</f>
        <v>2.7766752150556202E-3</v>
      </c>
      <c r="BH140" s="93">
        <f>IF(AND($T140=1,BH$5&lt;=$H140),INDEX(Mortality!$B$4:$E$64,MATCH($D140+BH$5-1,Mortality!$A$4:$A$64,0),$U140)*$V140*$N140,0)</f>
        <v>3.0079363516033399E-3</v>
      </c>
      <c r="BI140" s="93">
        <f>IF(AND($T140=1,BI$5&lt;=$H140),INDEX(Mortality!$B$4:$E$64,MATCH($D140+BI$5-1,Mortality!$A$4:$A$64,0),$U140)*$V140*$N140,0)</f>
        <v>3.2584585500813001E-3</v>
      </c>
      <c r="BJ140" s="93">
        <f>IF(AND($T140=1,BJ$5&lt;=$H140),INDEX(Mortality!$B$4:$E$64,MATCH($D140+BJ$5-1,Mortality!$A$4:$A$64,0),$U140)*$V140*$N140,0)</f>
        <v>0</v>
      </c>
      <c r="BK140" s="93">
        <f>IF(AND($T140=1,BK$5&lt;=$H140),INDEX(Mortality!$B$4:$E$64,MATCH($D140+BK$5-1,Mortality!$A$4:$A$64,0),$U140)*$V140*$N140,0)</f>
        <v>0</v>
      </c>
      <c r="BL140" s="93">
        <f>IF(AND($T140=1,BL$5&lt;=$H140),INDEX(Mortality!$B$4:$E$64,MATCH($D140+BL$5-1,Mortality!$A$4:$A$64,0),$U140)*$V140*$N140,0)</f>
        <v>0</v>
      </c>
      <c r="BM140" s="93">
        <f>IF(AND($T140=1,BM$5&lt;=$H140),INDEX(Mortality!$B$4:$E$64,MATCH($D140+BM$5-1,Mortality!$A$4:$A$64,0),$U140)*$V140*$N140,0)</f>
        <v>0</v>
      </c>
      <c r="BN140" s="93">
        <f>IF(AND($T140=1,BN$5&lt;=$H140),INDEX(Mortality!$B$4:$E$64,MATCH($D140+BN$5-1,Mortality!$A$4:$A$64,0),$U140)*$V140*$N140,0)</f>
        <v>0</v>
      </c>
      <c r="BO140" s="93">
        <f>IF(AND($T140=1,BO$5&lt;=$H140),INDEX(Mortality!$B$4:$E$64,MATCH($D140+BO$5-1,Mortality!$A$4:$A$64,0),$U140)*$V140*$N140,0)</f>
        <v>0</v>
      </c>
      <c r="BP140" s="93">
        <f>IF(AND($T140=1,BP$5&lt;=$H140),INDEX(Mortality!$B$4:$E$64,MATCH($D140+BP$5-1,Mortality!$A$4:$A$64,0),$U140)*$V140*$N140,0)</f>
        <v>0</v>
      </c>
      <c r="BQ140" s="93">
        <f>IF(AND($T140=1,BQ$5&lt;=$H140),INDEX(Mortality!$B$4:$E$64,MATCH($D140+BQ$5-1,Mortality!$A$4:$A$64,0),$U140)*$V140*$N140,0)</f>
        <v>0</v>
      </c>
      <c r="BR140" s="93">
        <f>IF(AND($T140=1,BR$5&lt;=$H140),INDEX(Mortality!$B$4:$E$64,MATCH($D140+BR$5-1,Mortality!$A$4:$A$64,0),$U140)*$V140*$N140,0)</f>
        <v>0</v>
      </c>
      <c r="BS140" s="93">
        <f>IF(AND($T140=1,BS$5&lt;=$H140),INDEX(Mortality!$B$4:$E$64,MATCH($D140+BS$5-1,Mortality!$A$4:$A$64,0),$U140)*$V140*$N140,0)</f>
        <v>0</v>
      </c>
      <c r="BT140" s="93">
        <f>IF(AND($T140=1,BT$5&lt;=$H140),INDEX(Mortality!$B$4:$E$64,MATCH($D140+BT$5-1,Mortality!$A$4:$A$64,0),$U140)*$V140*$N140,0)</f>
        <v>0</v>
      </c>
      <c r="BU140" s="93">
        <f>IF(AND($T140=1,BU$5&lt;=$H140),INDEX(Mortality!$B$4:$E$64,MATCH($D140+BU$5-1,Mortality!$A$4:$A$64,0),$U140)*$V140*$N140,0)</f>
        <v>0</v>
      </c>
      <c r="BV140" s="93">
        <f>IF(AND($T140=1,BV$5&lt;=$H140),INDEX(Mortality!$B$4:$E$64,MATCH($D140+BV$5-1,Mortality!$A$4:$A$64,0),$U140)*$V140*$N140,0)</f>
        <v>0</v>
      </c>
      <c r="BW140" s="93">
        <f>IF(AND($T140=1,BW$5&lt;=$H140),INDEX(Mortality!$B$4:$E$64,MATCH($D140+BW$5-1,Mortality!$A$4:$A$64,0),$U140)*$V140*$N140,0)</f>
        <v>0</v>
      </c>
      <c r="BX140" s="93">
        <f>IF(AND($T140=1,BX$5&lt;=$H140),INDEX(Mortality!$B$4:$E$64,MATCH($D140+BX$5-1,Mortality!$A$4:$A$64,0),$U140)*$V140*$N140,0)</f>
        <v>0</v>
      </c>
      <c r="BY140" s="93">
        <f>IF(AND($T140=1,BY$5&lt;=$H140),INDEX(Mortality!$B$4:$E$64,MATCH($D140+BY$5-1,Mortality!$A$4:$A$64,0),$U140)*$V140*$N140,0)</f>
        <v>0</v>
      </c>
      <c r="BZ140" s="93">
        <f>IF(AND($T140=1,BZ$5&lt;=$H140),INDEX(Mortality!$B$4:$E$64,MATCH($D140+BZ$5-1,Mortality!$A$4:$A$64,0),$U140)*$V140*$N140,0)</f>
        <v>0</v>
      </c>
      <c r="CA140" s="93">
        <f>IF(AND($T140=1,CA$5&lt;=$H140),INDEX(Mortality!$B$4:$E$64,MATCH($D140+CA$5-1,Mortality!$A$4:$A$64,0),$U140)*$V140*$N140,0)</f>
        <v>0</v>
      </c>
      <c r="CB140" s="93">
        <f>IF(AND($T140=1,CB$5&lt;=$H140),INDEX(Mortality!$B$4:$E$64,MATCH($D140+CB$5-1,Mortality!$A$4:$A$64,0),$U140)*$V140*$N140,0)</f>
        <v>0</v>
      </c>
      <c r="CC140" s="93">
        <f>IF(AND($T140=1,CC$5&lt;=$H140),INDEX(Mortality!$B$4:$E$64,MATCH($D140+CC$5-1,Mortality!$A$4:$A$64,0),$U140)*$V140*$N140,0)</f>
        <v>0</v>
      </c>
      <c r="CD140" s="93">
        <f>IF(AND($T140=1,CD$5&lt;=$H140),INDEX(Mortality!$B$4:$E$64,MATCH($D140+CD$5-1,Mortality!$A$4:$A$64,0),$U140)*$V140*$N140,0)</f>
        <v>0</v>
      </c>
      <c r="CE140" s="93">
        <f>IF(AND($T140=1,CE$5&lt;=$H140),INDEX(Mortality!$B$4:$E$64,MATCH($D140+CE$5-1,Mortality!$A$4:$A$64,0),$U140)*$V140*$N140,0)</f>
        <v>0</v>
      </c>
      <c r="CF140" s="93">
        <f>IF(AND($T140=1,CF$5&lt;=$H140),INDEX(Mortality!$B$4:$E$64,MATCH($D140+CF$5-1,Mortality!$A$4:$A$64,0),$U140)*$V140*$N140,0)</f>
        <v>0</v>
      </c>
      <c r="CG140" s="93">
        <f>IF(AND($T140=1,CG$5&lt;=$H140),INDEX(Mortality!$B$4:$E$64,MATCH($D140+CG$5-1,Mortality!$A$4:$A$64,0),$U140)*$V140*$N140,0)</f>
        <v>0</v>
      </c>
      <c r="CH140" s="94">
        <f>IF(AND($T140=1,CH$5&lt;=$H140),INDEX(Mortality!$B$4:$E$64,MATCH($D140+CH$5-1,Mortality!$A$4:$A$64,0),$U140)*$V140*$N140,0)</f>
        <v>0</v>
      </c>
      <c r="CI140" s="26"/>
      <c r="CJ140" s="419">
        <f t="shared" si="53"/>
        <v>1</v>
      </c>
      <c r="CK140" s="93">
        <f>IF(AND($T140=1,CK$5&lt;=$H140),CJ140*(1-AU140)*(1-MIN(1,MAX(Assumptions!$C$27,Assumptions!$C$13*Assumptions!$C$28^(CJ$5-1))*$O140)),0)</f>
        <v>0.87906441111587286</v>
      </c>
      <c r="CL140" s="93">
        <f>IF(AND($T140=1,CL$5&lt;=$H140),CK140*(1-AV140)*(1-MIN(1,MAX(Assumptions!$C$27,Assumptions!$C$13*Assumptions!$C$28^(CK$5-1))*$O140)),0)</f>
        <v>0.7884906756253347</v>
      </c>
      <c r="CM140" s="93">
        <f>IF(AND($T140=1,CM$5&lt;=$H140),CL140*(1-AW140)*(1-MIN(1,MAX(Assumptions!$C$27,Assumptions!$C$13*Assumptions!$C$28^(CL$5-1))*$O140)),0)</f>
        <v>0.71923007245370985</v>
      </c>
      <c r="CN140" s="93">
        <f>IF(AND($T140=1,CN$5&lt;=$H140),CM140*(1-AX140)*(1-MIN(1,MAX(Assumptions!$C$27,Assumptions!$C$13*Assumptions!$C$28^(CM$5-1))*$O140)),0)</f>
        <v>0.66532597200802812</v>
      </c>
      <c r="CO140" s="93">
        <f>IF(AND($T140=1,CO$5&lt;=$H140),CN140*(1-AY140)*(1-MIN(1,MAX(Assumptions!$C$27,Assumptions!$C$13*Assumptions!$C$28^(CN$5-1))*$O140)),0)</f>
        <v>0.62273635660984705</v>
      </c>
      <c r="CP140" s="93">
        <f>IF(AND($T140=1,CP$5&lt;=$H140),CO140*(1-AZ140)*(1-MIN(1,MAX(Assumptions!$C$27,Assumptions!$C$13*Assumptions!$C$28^(CO$5-1))*$O140)),0)</f>
        <v>0.58864387619030878</v>
      </c>
      <c r="CQ140" s="93">
        <f>IF(AND($T140=1,CQ$5&lt;=$H140),CP140*(1-BA140)*(1-MIN(1,MAX(Assumptions!$C$27,Assumptions!$C$13*Assumptions!$C$28^(CP$5-1))*$O140)),0)</f>
        <v>0.5610374543837553</v>
      </c>
      <c r="CR140" s="93">
        <f>IF(AND($T140=1,CR$5&lt;=$H140),CQ140*(1-BB140)*(1-MIN(1,MAX(Assumptions!$C$27,Assumptions!$C$13*Assumptions!$C$28^(CQ$5-1))*$O140)),0)</f>
        <v>0.53845069781388799</v>
      </c>
      <c r="CS140" s="93">
        <f>IF(AND($T140=1,CS$5&lt;=$H140),CR140*(1-BC140)*(1-MIN(1,MAX(Assumptions!$C$27,Assumptions!$C$13*Assumptions!$C$28^(CR$5-1))*$O140)),0)</f>
        <v>0.51979380490946159</v>
      </c>
      <c r="CT140" s="93">
        <f>IF(AND($T140=1,CT$5&lt;=$H140),CS140*(1-BD140)*(1-MIN(1,MAX(Assumptions!$C$27,Assumptions!$C$13*Assumptions!$C$28^(CS$5-1))*$O140)),0)</f>
        <v>0.50424285523037182</v>
      </c>
      <c r="CU140" s="93">
        <f>IF(AND($T140=1,CU$5&lt;=$H140),CT140*(1-BE140)*(1-MIN(1,MAX(Assumptions!$C$27,Assumptions!$C$13*Assumptions!$C$28^(CT$5-1))*$O140)),0)</f>
        <v>0.49116523837573978</v>
      </c>
      <c r="CV140" s="93">
        <f>IF(AND($T140=1,CV$5&lt;=$H140),CU140*(1-BF140)*(1-MIN(1,MAX(Assumptions!$C$27,Assumptions!$C$13*Assumptions!$C$28^(CU$5-1))*$O140)),0)</f>
        <v>0.48006838559704013</v>
      </c>
      <c r="CW140" s="93">
        <f>IF(AND($T140=1,CW$5&lt;=$H140),CV140*(1-BG140)*(1-MIN(1,MAX(Assumptions!$C$27,Assumptions!$C$13*Assumptions!$C$28^(CV$5-1))*$O140)),0)</f>
        <v>0.46916068377703662</v>
      </c>
      <c r="CX140" s="93">
        <f>IF(AND($T140=1,CX$5&lt;=$H140),CW140*(1-BH140)*(1-MIN(1,MAX(Assumptions!$C$27,Assumptions!$C$13*Assumptions!$C$28^(CW$5-1))*$O140)),0)</f>
        <v>0.4583944887355294</v>
      </c>
      <c r="CY140" s="93">
        <f>IF(AND($T140=1,CY$5&lt;=$H140),CX140*(1-BI140)*(1-MIN(1,MAX(Assumptions!$C$27,Assumptions!$C$13*Assumptions!$C$28^(CX$5-1))*$O140)),0)</f>
        <v>0</v>
      </c>
      <c r="CZ140" s="93">
        <f>IF(AND($T140=1,CZ$5&lt;=$H140),CY140*(1-BJ140)*(1-MIN(1,MAX(Assumptions!$C$27,Assumptions!$C$13*Assumptions!$C$28^(CY$5-1))*$O140)),0)</f>
        <v>0</v>
      </c>
      <c r="DA140" s="93">
        <f>IF(AND($T140=1,DA$5&lt;=$H140),CZ140*(1-BK140)*(1-MIN(1,MAX(Assumptions!$C$27,Assumptions!$C$13*Assumptions!$C$28^(CZ$5-1))*$O140)),0)</f>
        <v>0</v>
      </c>
      <c r="DB140" s="93">
        <f>IF(AND($T140=1,DB$5&lt;=$H140),DA140*(1-BL140)*(1-MIN(1,MAX(Assumptions!$C$27,Assumptions!$C$13*Assumptions!$C$28^(DA$5-1))*$O140)),0)</f>
        <v>0</v>
      </c>
      <c r="DC140" s="93">
        <f>IF(AND($T140=1,DC$5&lt;=$H140),DB140*(1-BM140)*(1-MIN(1,MAX(Assumptions!$C$27,Assumptions!$C$13*Assumptions!$C$28^(DB$5-1))*$O140)),0)</f>
        <v>0</v>
      </c>
      <c r="DD140" s="93">
        <f>IF(AND($T140=1,DD$5&lt;=$H140),DC140*(1-BN140)*(1-MIN(1,MAX(Assumptions!$C$27,Assumptions!$C$13*Assumptions!$C$28^(DC$5-1))*$O140)),0)</f>
        <v>0</v>
      </c>
      <c r="DE140" s="93">
        <f>IF(AND($T140=1,DE$5&lt;=$H140),DD140*(1-BO140)*(1-MIN(1,MAX(Assumptions!$C$27,Assumptions!$C$13*Assumptions!$C$28^(DD$5-1))*$O140)),0)</f>
        <v>0</v>
      </c>
      <c r="DF140" s="93">
        <f>IF(AND($T140=1,DF$5&lt;=$H140),DE140*(1-BP140)*(1-MIN(1,MAX(Assumptions!$C$27,Assumptions!$C$13*Assumptions!$C$28^(DE$5-1))*$O140)),0)</f>
        <v>0</v>
      </c>
      <c r="DG140" s="93">
        <f>IF(AND($T140=1,DG$5&lt;=$H140),DF140*(1-BQ140)*(1-MIN(1,MAX(Assumptions!$C$27,Assumptions!$C$13*Assumptions!$C$28^(DF$5-1))*$O140)),0)</f>
        <v>0</v>
      </c>
      <c r="DH140" s="93">
        <f>IF(AND($T140=1,DH$5&lt;=$H140),DG140*(1-BR140)*(1-MIN(1,MAX(Assumptions!$C$27,Assumptions!$C$13*Assumptions!$C$28^(DG$5-1))*$O140)),0)</f>
        <v>0</v>
      </c>
      <c r="DI140" s="93">
        <f>IF(AND($T140=1,DI$5&lt;=$H140),DH140*(1-BS140)*(1-MIN(1,MAX(Assumptions!$C$27,Assumptions!$C$13*Assumptions!$C$28^(DH$5-1))*$O140)),0)</f>
        <v>0</v>
      </c>
      <c r="DJ140" s="93">
        <f>IF(AND($T140=1,DJ$5&lt;=$H140),DI140*(1-BT140)*(1-MIN(1,MAX(Assumptions!$C$27,Assumptions!$C$13*Assumptions!$C$28^(DI$5-1))*$O140)),0)</f>
        <v>0</v>
      </c>
      <c r="DK140" s="93">
        <f>IF(AND($T140=1,DK$5&lt;=$H140),DJ140*(1-BU140)*(1-MIN(1,MAX(Assumptions!$C$27,Assumptions!$C$13*Assumptions!$C$28^(DJ$5-1))*$O140)),0)</f>
        <v>0</v>
      </c>
      <c r="DL140" s="93">
        <f>IF(AND($T140=1,DL$5&lt;=$H140),DK140*(1-BV140)*(1-MIN(1,MAX(Assumptions!$C$27,Assumptions!$C$13*Assumptions!$C$28^(DK$5-1))*$O140)),0)</f>
        <v>0</v>
      </c>
      <c r="DM140" s="93">
        <f>IF(AND($T140=1,DM$5&lt;=$H140),DL140*(1-BW140)*(1-MIN(1,MAX(Assumptions!$C$27,Assumptions!$C$13*Assumptions!$C$28^(DL$5-1))*$O140)),0)</f>
        <v>0</v>
      </c>
      <c r="DN140" s="93">
        <f>IF(AND($T140=1,DN$5&lt;=$H140),DM140*(1-BX140)*(1-MIN(1,MAX(Assumptions!$C$27,Assumptions!$C$13*Assumptions!$C$28^(DM$5-1))*$O140)),0)</f>
        <v>0</v>
      </c>
      <c r="DO140" s="93">
        <f>IF(AND($T140=1,DO$5&lt;=$H140),DN140*(1-BY140)*(1-MIN(1,MAX(Assumptions!$C$27,Assumptions!$C$13*Assumptions!$C$28^(DN$5-1))*$O140)),0)</f>
        <v>0</v>
      </c>
      <c r="DP140" s="93">
        <f>IF(AND($T140=1,DP$5&lt;=$H140),DO140*(1-BZ140)*(1-MIN(1,MAX(Assumptions!$C$27,Assumptions!$C$13*Assumptions!$C$28^(DO$5-1))*$O140)),0)</f>
        <v>0</v>
      </c>
      <c r="DQ140" s="93">
        <f>IF(AND($T140=1,DQ$5&lt;=$H140),DP140*(1-CA140)*(1-MIN(1,MAX(Assumptions!$C$27,Assumptions!$C$13*Assumptions!$C$28^(DP$5-1))*$O140)),0)</f>
        <v>0</v>
      </c>
      <c r="DR140" s="93">
        <f>IF(AND($T140=1,DR$5&lt;=$H140),DQ140*(1-CB140)*(1-MIN(1,MAX(Assumptions!$C$27,Assumptions!$C$13*Assumptions!$C$28^(DQ$5-1))*$O140)),0)</f>
        <v>0</v>
      </c>
      <c r="DS140" s="93">
        <f>IF(AND($T140=1,DS$5&lt;=$H140),DR140*(1-CC140)*(1-MIN(1,MAX(Assumptions!$C$27,Assumptions!$C$13*Assumptions!$C$28^(DR$5-1))*$O140)),0)</f>
        <v>0</v>
      </c>
      <c r="DT140" s="93">
        <f>IF(AND($T140=1,DT$5&lt;=$H140),DS140*(1-CD140)*(1-MIN(1,MAX(Assumptions!$C$27,Assumptions!$C$13*Assumptions!$C$28^(DS$5-1))*$O140)),0)</f>
        <v>0</v>
      </c>
      <c r="DU140" s="93">
        <f>IF(AND($T140=1,DU$5&lt;=$H140),DT140*(1-CE140)*(1-MIN(1,MAX(Assumptions!$C$27,Assumptions!$C$13*Assumptions!$C$28^(DT$5-1))*$O140)),0)</f>
        <v>0</v>
      </c>
      <c r="DV140" s="93">
        <f>IF(AND($T140=1,DV$5&lt;=$H140),DU140*(1-CF140)*(1-MIN(1,MAX(Assumptions!$C$27,Assumptions!$C$13*Assumptions!$C$28^(DU$5-1))*$O140)),0)</f>
        <v>0</v>
      </c>
      <c r="DW140" s="94">
        <f>IF(AND($T140=1,DW$5&lt;=$H140),DV140*(1-CG140)*(1-MIN(1,MAX(Assumptions!$C$27,Assumptions!$C$13*Assumptions!$C$28^(DV$5-1))*$O140)),0)</f>
        <v>0</v>
      </c>
      <c r="DX140" s="26"/>
      <c r="DY140" s="399">
        <f>'Policy Data'!K114</f>
        <v>7</v>
      </c>
      <c r="DZ140" s="100">
        <f>'Policy Data'!L114</f>
        <v>0.53859999999999997</v>
      </c>
      <c r="EA140" s="100">
        <f>'Policy Data'!N114</f>
        <v>5.7300000000000005E-4</v>
      </c>
      <c r="EB140" s="93" cm="1">
        <f t="array" ref="EB140">IFERROR(DZ140*INDEX(Mortality!$B$4:$E$64,MATCH(D140+DY140-1,Mortality!$A$4:$A$64,0),U140)*V140,0)</f>
        <v>9.2540124934820372E-4</v>
      </c>
      <c r="EC140" s="100">
        <f>'Policy Data'!O114</f>
        <v>0</v>
      </c>
      <c r="ED140" s="400">
        <f>'Policy Data'!Q114</f>
        <v>0</v>
      </c>
    </row>
    <row r="141" spans="1:134" x14ac:dyDescent="0.3">
      <c r="A141" s="399" t="str">
        <f>'Policy Data'!A115</f>
        <v>POL100111</v>
      </c>
      <c r="B141" s="26" t="s">
        <v>426</v>
      </c>
      <c r="C141" s="100" t="str">
        <f>'Policy Data'!B115</f>
        <v>Unit-Linked</v>
      </c>
      <c r="D141" s="100">
        <f>'Policy Data'!C115</f>
        <v>33</v>
      </c>
      <c r="E141" s="100" t="str">
        <f>'Policy Data'!D115</f>
        <v>Female</v>
      </c>
      <c r="F141" s="100" t="str">
        <f>'Policy Data'!E115</f>
        <v>Non-smoker</v>
      </c>
      <c r="G141" s="100" t="str">
        <f>'Policy Data'!F115</f>
        <v>Standard</v>
      </c>
      <c r="H141" s="100">
        <f>'Policy Data'!G115</f>
        <v>10</v>
      </c>
      <c r="I141" s="279">
        <f>'Policy Data'!H115</f>
        <v>2000000</v>
      </c>
      <c r="J141" s="100" t="str">
        <f>'Policy Data'!I115</f>
        <v>Monthly</v>
      </c>
      <c r="K141" s="100" t="str">
        <f>'Policy Data'!J115</f>
        <v>Broker</v>
      </c>
      <c r="L141" s="26" t="s">
        <v>389</v>
      </c>
      <c r="M141" s="106">
        <f>'Policy Data'!R115</f>
        <v>11125.84</v>
      </c>
      <c r="N141" s="415">
        <f>Assumptions!$C$21</f>
        <v>1</v>
      </c>
      <c r="O141" s="415">
        <f>Assumptions!$C$22</f>
        <v>1</v>
      </c>
      <c r="P141" s="415">
        <f>Assumptions!$C$23</f>
        <v>1</v>
      </c>
      <c r="Q141" s="416">
        <f>Assumptions!$C$24</f>
        <v>0</v>
      </c>
      <c r="R141" s="416">
        <f>Assumptions!$C$6+Assumptions!$C$25</f>
        <v>3.5000000000000003E-2</v>
      </c>
      <c r="S141" s="416">
        <f>Assumptions!$C$15</f>
        <v>1.1000000000000001E-3</v>
      </c>
      <c r="T141" s="26">
        <f t="shared" si="36"/>
        <v>0</v>
      </c>
      <c r="U141" s="26">
        <f t="shared" si="37"/>
        <v>1</v>
      </c>
      <c r="V141" s="389">
        <f>IF($G141="Preferred",Assumptions!$C$30,IF($G141="Rated",Assumptions!$C$31,1))</f>
        <v>1</v>
      </c>
      <c r="W141" s="390">
        <f>IF($K141="Direct",Assumptions!$C$32,IF($K141="Broker",Assumptions!$C$33,IF($K141="Bancassurance",Assumptions!$C$34,Assumptions!$C$11)))+$Q141</f>
        <v>0.25</v>
      </c>
      <c r="X141" s="390">
        <f>Assumptions!$C$12+$Q141</f>
        <v>0.05</v>
      </c>
      <c r="Y141" s="131">
        <f>MIN($I141,Assumptions!$C$14)</f>
        <v>500000</v>
      </c>
      <c r="Z141" s="131">
        <f>MAX($I141-Assumptions!$C$14,0)</f>
        <v>1500000</v>
      </c>
      <c r="AA141" s="389">
        <f t="shared" si="38"/>
        <v>0</v>
      </c>
      <c r="AB141" s="389">
        <f t="shared" si="39"/>
        <v>0</v>
      </c>
      <c r="AC141" s="389">
        <f>IF($T141=1,SUMPRODUCT($CJ141:$DW141,(1+Assumptions!$C$5)^($CJ$5:$DW$5-1),(1+$R141)^(-$CJ$5:$DW$5)),0)</f>
        <v>0</v>
      </c>
      <c r="AD141" s="389">
        <f t="shared" si="40"/>
        <v>0</v>
      </c>
      <c r="AE141" s="131">
        <f>IF($T141=1,$AB141*$Y141+(Assumptions!$C$9/(1+$R141)+Assumptions!$C$10*$AC141)*$P141+$S141*$Z141*$AA141,0)</f>
        <v>0</v>
      </c>
      <c r="AF141" s="131" t="str">
        <f>IF($T141=1,IF($AA141-$AD141-Assumptions!$C$16*$AA141&gt;0,$AE141/($AA141-$AD141-Assumptions!$C$16*$AA141)*IF($J141="Monthly",1+Assumptions!$C$29,1),"n.a."),"")</f>
        <v/>
      </c>
      <c r="AG141" s="131" t="str">
        <f t="shared" si="41"/>
        <v/>
      </c>
      <c r="AH141" s="131" t="str">
        <f t="shared" si="42"/>
        <v/>
      </c>
      <c r="AI141" s="131" t="str">
        <f t="shared" si="43"/>
        <v/>
      </c>
      <c r="AJ141" s="390" t="str">
        <f t="shared" si="44"/>
        <v/>
      </c>
      <c r="AK141" s="389" t="str">
        <f t="shared" si="45"/>
        <v/>
      </c>
      <c r="AL141" s="131" t="str">
        <f t="shared" si="46"/>
        <v/>
      </c>
      <c r="AM141" s="131" t="str">
        <f t="shared" si="47"/>
        <v/>
      </c>
      <c r="AN141" s="131" t="str">
        <f t="shared" si="48"/>
        <v/>
      </c>
      <c r="AO141" s="131" t="str">
        <f t="shared" si="49"/>
        <v/>
      </c>
      <c r="AP141" s="26" t="str">
        <f t="shared" si="50"/>
        <v>30-39</v>
      </c>
      <c r="AQ141" s="26" t="str">
        <f t="shared" si="51"/>
        <v>Over 1m</v>
      </c>
      <c r="AR141" s="26" t="str">
        <f>IF($T141=1,IF($AI141&lt;0,"Loss-making",IF($AJ141&lt;Assumptions!$C$16-0.00001,"Below target","At/above target")),"Excluded")</f>
        <v>Excluded</v>
      </c>
      <c r="AS141" s="103">
        <f t="shared" si="52"/>
        <v>9.9999999999999997E+98</v>
      </c>
      <c r="AT141" s="26"/>
      <c r="AU141" s="419">
        <f>IF(AND($T141=1,AU$5&lt;=$H141),INDEX(Mortality!$B$4:$E$64,MATCH($D141+AU$5-1,Mortality!$A$4:$A$64,0),$U141)*$V141*$N141,0)</f>
        <v>0</v>
      </c>
      <c r="AV141" s="93">
        <f>IF(AND($T141=1,AV$5&lt;=$H141),INDEX(Mortality!$B$4:$E$64,MATCH($D141+AV$5-1,Mortality!$A$4:$A$64,0),$U141)*$V141*$N141,0)</f>
        <v>0</v>
      </c>
      <c r="AW141" s="93">
        <f>IF(AND($T141=1,AW$5&lt;=$H141),INDEX(Mortality!$B$4:$E$64,MATCH($D141+AW$5-1,Mortality!$A$4:$A$64,0),$U141)*$V141*$N141,0)</f>
        <v>0</v>
      </c>
      <c r="AX141" s="93">
        <f>IF(AND($T141=1,AX$5&lt;=$H141),INDEX(Mortality!$B$4:$E$64,MATCH($D141+AX$5-1,Mortality!$A$4:$A$64,0),$U141)*$V141*$N141,0)</f>
        <v>0</v>
      </c>
      <c r="AY141" s="93">
        <f>IF(AND($T141=1,AY$5&lt;=$H141),INDEX(Mortality!$B$4:$E$64,MATCH($D141+AY$5-1,Mortality!$A$4:$A$64,0),$U141)*$V141*$N141,0)</f>
        <v>0</v>
      </c>
      <c r="AZ141" s="93">
        <f>IF(AND($T141=1,AZ$5&lt;=$H141),INDEX(Mortality!$B$4:$E$64,MATCH($D141+AZ$5-1,Mortality!$A$4:$A$64,0),$U141)*$V141*$N141,0)</f>
        <v>0</v>
      </c>
      <c r="BA141" s="93">
        <f>IF(AND($T141=1,BA$5&lt;=$H141),INDEX(Mortality!$B$4:$E$64,MATCH($D141+BA$5-1,Mortality!$A$4:$A$64,0),$U141)*$V141*$N141,0)</f>
        <v>0</v>
      </c>
      <c r="BB141" s="93">
        <f>IF(AND($T141=1,BB$5&lt;=$H141),INDEX(Mortality!$B$4:$E$64,MATCH($D141+BB$5-1,Mortality!$A$4:$A$64,0),$U141)*$V141*$N141,0)</f>
        <v>0</v>
      </c>
      <c r="BC141" s="93">
        <f>IF(AND($T141=1,BC$5&lt;=$H141),INDEX(Mortality!$B$4:$E$64,MATCH($D141+BC$5-1,Mortality!$A$4:$A$64,0),$U141)*$V141*$N141,0)</f>
        <v>0</v>
      </c>
      <c r="BD141" s="93">
        <f>IF(AND($T141=1,BD$5&lt;=$H141),INDEX(Mortality!$B$4:$E$64,MATCH($D141+BD$5-1,Mortality!$A$4:$A$64,0),$U141)*$V141*$N141,0)</f>
        <v>0</v>
      </c>
      <c r="BE141" s="93">
        <f>IF(AND($T141=1,BE$5&lt;=$H141),INDEX(Mortality!$B$4:$E$64,MATCH($D141+BE$5-1,Mortality!$A$4:$A$64,0),$U141)*$V141*$N141,0)</f>
        <v>0</v>
      </c>
      <c r="BF141" s="93">
        <f>IF(AND($T141=1,BF$5&lt;=$H141),INDEX(Mortality!$B$4:$E$64,MATCH($D141+BF$5-1,Mortality!$A$4:$A$64,0),$U141)*$V141*$N141,0)</f>
        <v>0</v>
      </c>
      <c r="BG141" s="93">
        <f>IF(AND($T141=1,BG$5&lt;=$H141),INDEX(Mortality!$B$4:$E$64,MATCH($D141+BG$5-1,Mortality!$A$4:$A$64,0),$U141)*$V141*$N141,0)</f>
        <v>0</v>
      </c>
      <c r="BH141" s="93">
        <f>IF(AND($T141=1,BH$5&lt;=$H141),INDEX(Mortality!$B$4:$E$64,MATCH($D141+BH$5-1,Mortality!$A$4:$A$64,0),$U141)*$V141*$N141,0)</f>
        <v>0</v>
      </c>
      <c r="BI141" s="93">
        <f>IF(AND($T141=1,BI$5&lt;=$H141),INDEX(Mortality!$B$4:$E$64,MATCH($D141+BI$5-1,Mortality!$A$4:$A$64,0),$U141)*$V141*$N141,0)</f>
        <v>0</v>
      </c>
      <c r="BJ141" s="93">
        <f>IF(AND($T141=1,BJ$5&lt;=$H141),INDEX(Mortality!$B$4:$E$64,MATCH($D141+BJ$5-1,Mortality!$A$4:$A$64,0),$U141)*$V141*$N141,0)</f>
        <v>0</v>
      </c>
      <c r="BK141" s="93">
        <f>IF(AND($T141=1,BK$5&lt;=$H141),INDEX(Mortality!$B$4:$E$64,MATCH($D141+BK$5-1,Mortality!$A$4:$A$64,0),$U141)*$V141*$N141,0)</f>
        <v>0</v>
      </c>
      <c r="BL141" s="93">
        <f>IF(AND($T141=1,BL$5&lt;=$H141),INDEX(Mortality!$B$4:$E$64,MATCH($D141+BL$5-1,Mortality!$A$4:$A$64,0),$U141)*$V141*$N141,0)</f>
        <v>0</v>
      </c>
      <c r="BM141" s="93">
        <f>IF(AND($T141=1,BM$5&lt;=$H141),INDEX(Mortality!$B$4:$E$64,MATCH($D141+BM$5-1,Mortality!$A$4:$A$64,0),$U141)*$V141*$N141,0)</f>
        <v>0</v>
      </c>
      <c r="BN141" s="93">
        <f>IF(AND($T141=1,BN$5&lt;=$H141),INDEX(Mortality!$B$4:$E$64,MATCH($D141+BN$5-1,Mortality!$A$4:$A$64,0),$U141)*$V141*$N141,0)</f>
        <v>0</v>
      </c>
      <c r="BO141" s="93">
        <f>IF(AND($T141=1,BO$5&lt;=$H141),INDEX(Mortality!$B$4:$E$64,MATCH($D141+BO$5-1,Mortality!$A$4:$A$64,0),$U141)*$V141*$N141,0)</f>
        <v>0</v>
      </c>
      <c r="BP141" s="93">
        <f>IF(AND($T141=1,BP$5&lt;=$H141),INDEX(Mortality!$B$4:$E$64,MATCH($D141+BP$5-1,Mortality!$A$4:$A$64,0),$U141)*$V141*$N141,0)</f>
        <v>0</v>
      </c>
      <c r="BQ141" s="93">
        <f>IF(AND($T141=1,BQ$5&lt;=$H141),INDEX(Mortality!$B$4:$E$64,MATCH($D141+BQ$5-1,Mortality!$A$4:$A$64,0),$U141)*$V141*$N141,0)</f>
        <v>0</v>
      </c>
      <c r="BR141" s="93">
        <f>IF(AND($T141=1,BR$5&lt;=$H141),INDEX(Mortality!$B$4:$E$64,MATCH($D141+BR$5-1,Mortality!$A$4:$A$64,0),$U141)*$V141*$N141,0)</f>
        <v>0</v>
      </c>
      <c r="BS141" s="93">
        <f>IF(AND($T141=1,BS$5&lt;=$H141),INDEX(Mortality!$B$4:$E$64,MATCH($D141+BS$5-1,Mortality!$A$4:$A$64,0),$U141)*$V141*$N141,0)</f>
        <v>0</v>
      </c>
      <c r="BT141" s="93">
        <f>IF(AND($T141=1,BT$5&lt;=$H141),INDEX(Mortality!$B$4:$E$64,MATCH($D141+BT$5-1,Mortality!$A$4:$A$64,0),$U141)*$V141*$N141,0)</f>
        <v>0</v>
      </c>
      <c r="BU141" s="93">
        <f>IF(AND($T141=1,BU$5&lt;=$H141),INDEX(Mortality!$B$4:$E$64,MATCH($D141+BU$5-1,Mortality!$A$4:$A$64,0),$U141)*$V141*$N141,0)</f>
        <v>0</v>
      </c>
      <c r="BV141" s="93">
        <f>IF(AND($T141=1,BV$5&lt;=$H141),INDEX(Mortality!$B$4:$E$64,MATCH($D141+BV$5-1,Mortality!$A$4:$A$64,0),$U141)*$V141*$N141,0)</f>
        <v>0</v>
      </c>
      <c r="BW141" s="93">
        <f>IF(AND($T141=1,BW$5&lt;=$H141),INDEX(Mortality!$B$4:$E$64,MATCH($D141+BW$5-1,Mortality!$A$4:$A$64,0),$U141)*$V141*$N141,0)</f>
        <v>0</v>
      </c>
      <c r="BX141" s="93">
        <f>IF(AND($T141=1,BX$5&lt;=$H141),INDEX(Mortality!$B$4:$E$64,MATCH($D141+BX$5-1,Mortality!$A$4:$A$64,0),$U141)*$V141*$N141,0)</f>
        <v>0</v>
      </c>
      <c r="BY141" s="93">
        <f>IF(AND($T141=1,BY$5&lt;=$H141),INDEX(Mortality!$B$4:$E$64,MATCH($D141+BY$5-1,Mortality!$A$4:$A$64,0),$U141)*$V141*$N141,0)</f>
        <v>0</v>
      </c>
      <c r="BZ141" s="93">
        <f>IF(AND($T141=1,BZ$5&lt;=$H141),INDEX(Mortality!$B$4:$E$64,MATCH($D141+BZ$5-1,Mortality!$A$4:$A$64,0),$U141)*$V141*$N141,0)</f>
        <v>0</v>
      </c>
      <c r="CA141" s="93">
        <f>IF(AND($T141=1,CA$5&lt;=$H141),INDEX(Mortality!$B$4:$E$64,MATCH($D141+CA$5-1,Mortality!$A$4:$A$64,0),$U141)*$V141*$N141,0)</f>
        <v>0</v>
      </c>
      <c r="CB141" s="93">
        <f>IF(AND($T141=1,CB$5&lt;=$H141),INDEX(Mortality!$B$4:$E$64,MATCH($D141+CB$5-1,Mortality!$A$4:$A$64,0),$U141)*$V141*$N141,0)</f>
        <v>0</v>
      </c>
      <c r="CC141" s="93">
        <f>IF(AND($T141=1,CC$5&lt;=$H141),INDEX(Mortality!$B$4:$E$64,MATCH($D141+CC$5-1,Mortality!$A$4:$A$64,0),$U141)*$V141*$N141,0)</f>
        <v>0</v>
      </c>
      <c r="CD141" s="93">
        <f>IF(AND($T141=1,CD$5&lt;=$H141),INDEX(Mortality!$B$4:$E$64,MATCH($D141+CD$5-1,Mortality!$A$4:$A$64,0),$U141)*$V141*$N141,0)</f>
        <v>0</v>
      </c>
      <c r="CE141" s="93">
        <f>IF(AND($T141=1,CE$5&lt;=$H141),INDEX(Mortality!$B$4:$E$64,MATCH($D141+CE$5-1,Mortality!$A$4:$A$64,0),$U141)*$V141*$N141,0)</f>
        <v>0</v>
      </c>
      <c r="CF141" s="93">
        <f>IF(AND($T141=1,CF$5&lt;=$H141),INDEX(Mortality!$B$4:$E$64,MATCH($D141+CF$5-1,Mortality!$A$4:$A$64,0),$U141)*$V141*$N141,0)</f>
        <v>0</v>
      </c>
      <c r="CG141" s="93">
        <f>IF(AND($T141=1,CG$5&lt;=$H141),INDEX(Mortality!$B$4:$E$64,MATCH($D141+CG$5-1,Mortality!$A$4:$A$64,0),$U141)*$V141*$N141,0)</f>
        <v>0</v>
      </c>
      <c r="CH141" s="94">
        <f>IF(AND($T141=1,CH$5&lt;=$H141),INDEX(Mortality!$B$4:$E$64,MATCH($D141+CH$5-1,Mortality!$A$4:$A$64,0),$U141)*$V141*$N141,0)</f>
        <v>0</v>
      </c>
      <c r="CI141" s="26"/>
      <c r="CJ141" s="419">
        <f t="shared" si="53"/>
        <v>0</v>
      </c>
      <c r="CK141" s="93">
        <f>IF(AND($T141=1,CK$5&lt;=$H141),CJ141*(1-AU141)*(1-MIN(1,MAX(Assumptions!$C$27,Assumptions!$C$13*Assumptions!$C$28^(CJ$5-1))*$O141)),0)</f>
        <v>0</v>
      </c>
      <c r="CL141" s="93">
        <f>IF(AND($T141=1,CL$5&lt;=$H141),CK141*(1-AV141)*(1-MIN(1,MAX(Assumptions!$C$27,Assumptions!$C$13*Assumptions!$C$28^(CK$5-1))*$O141)),0)</f>
        <v>0</v>
      </c>
      <c r="CM141" s="93">
        <f>IF(AND($T141=1,CM$5&lt;=$H141),CL141*(1-AW141)*(1-MIN(1,MAX(Assumptions!$C$27,Assumptions!$C$13*Assumptions!$C$28^(CL$5-1))*$O141)),0)</f>
        <v>0</v>
      </c>
      <c r="CN141" s="93">
        <f>IF(AND($T141=1,CN$5&lt;=$H141),CM141*(1-AX141)*(1-MIN(1,MAX(Assumptions!$C$27,Assumptions!$C$13*Assumptions!$C$28^(CM$5-1))*$O141)),0)</f>
        <v>0</v>
      </c>
      <c r="CO141" s="93">
        <f>IF(AND($T141=1,CO$5&lt;=$H141),CN141*(1-AY141)*(1-MIN(1,MAX(Assumptions!$C$27,Assumptions!$C$13*Assumptions!$C$28^(CN$5-1))*$O141)),0)</f>
        <v>0</v>
      </c>
      <c r="CP141" s="93">
        <f>IF(AND($T141=1,CP$5&lt;=$H141),CO141*(1-AZ141)*(1-MIN(1,MAX(Assumptions!$C$27,Assumptions!$C$13*Assumptions!$C$28^(CO$5-1))*$O141)),0)</f>
        <v>0</v>
      </c>
      <c r="CQ141" s="93">
        <f>IF(AND($T141=1,CQ$5&lt;=$H141),CP141*(1-BA141)*(1-MIN(1,MAX(Assumptions!$C$27,Assumptions!$C$13*Assumptions!$C$28^(CP$5-1))*$O141)),0)</f>
        <v>0</v>
      </c>
      <c r="CR141" s="93">
        <f>IF(AND($T141=1,CR$5&lt;=$H141),CQ141*(1-BB141)*(1-MIN(1,MAX(Assumptions!$C$27,Assumptions!$C$13*Assumptions!$C$28^(CQ$5-1))*$O141)),0)</f>
        <v>0</v>
      </c>
      <c r="CS141" s="93">
        <f>IF(AND($T141=1,CS$5&lt;=$H141),CR141*(1-BC141)*(1-MIN(1,MAX(Assumptions!$C$27,Assumptions!$C$13*Assumptions!$C$28^(CR$5-1))*$O141)),0)</f>
        <v>0</v>
      </c>
      <c r="CT141" s="93">
        <f>IF(AND($T141=1,CT$5&lt;=$H141),CS141*(1-BD141)*(1-MIN(1,MAX(Assumptions!$C$27,Assumptions!$C$13*Assumptions!$C$28^(CS$5-1))*$O141)),0)</f>
        <v>0</v>
      </c>
      <c r="CU141" s="93">
        <f>IF(AND($T141=1,CU$5&lt;=$H141),CT141*(1-BE141)*(1-MIN(1,MAX(Assumptions!$C$27,Assumptions!$C$13*Assumptions!$C$28^(CT$5-1))*$O141)),0)</f>
        <v>0</v>
      </c>
      <c r="CV141" s="93">
        <f>IF(AND($T141=1,CV$5&lt;=$H141),CU141*(1-BF141)*(1-MIN(1,MAX(Assumptions!$C$27,Assumptions!$C$13*Assumptions!$C$28^(CU$5-1))*$O141)),0)</f>
        <v>0</v>
      </c>
      <c r="CW141" s="93">
        <f>IF(AND($T141=1,CW$5&lt;=$H141),CV141*(1-BG141)*(1-MIN(1,MAX(Assumptions!$C$27,Assumptions!$C$13*Assumptions!$C$28^(CV$5-1))*$O141)),0)</f>
        <v>0</v>
      </c>
      <c r="CX141" s="93">
        <f>IF(AND($T141=1,CX$5&lt;=$H141),CW141*(1-BH141)*(1-MIN(1,MAX(Assumptions!$C$27,Assumptions!$C$13*Assumptions!$C$28^(CW$5-1))*$O141)),0)</f>
        <v>0</v>
      </c>
      <c r="CY141" s="93">
        <f>IF(AND($T141=1,CY$5&lt;=$H141),CX141*(1-BI141)*(1-MIN(1,MAX(Assumptions!$C$27,Assumptions!$C$13*Assumptions!$C$28^(CX$5-1))*$O141)),0)</f>
        <v>0</v>
      </c>
      <c r="CZ141" s="93">
        <f>IF(AND($T141=1,CZ$5&lt;=$H141),CY141*(1-BJ141)*(1-MIN(1,MAX(Assumptions!$C$27,Assumptions!$C$13*Assumptions!$C$28^(CY$5-1))*$O141)),0)</f>
        <v>0</v>
      </c>
      <c r="DA141" s="93">
        <f>IF(AND($T141=1,DA$5&lt;=$H141),CZ141*(1-BK141)*(1-MIN(1,MAX(Assumptions!$C$27,Assumptions!$C$13*Assumptions!$C$28^(CZ$5-1))*$O141)),0)</f>
        <v>0</v>
      </c>
      <c r="DB141" s="93">
        <f>IF(AND($T141=1,DB$5&lt;=$H141),DA141*(1-BL141)*(1-MIN(1,MAX(Assumptions!$C$27,Assumptions!$C$13*Assumptions!$C$28^(DA$5-1))*$O141)),0)</f>
        <v>0</v>
      </c>
      <c r="DC141" s="93">
        <f>IF(AND($T141=1,DC$5&lt;=$H141),DB141*(1-BM141)*(1-MIN(1,MAX(Assumptions!$C$27,Assumptions!$C$13*Assumptions!$C$28^(DB$5-1))*$O141)),0)</f>
        <v>0</v>
      </c>
      <c r="DD141" s="93">
        <f>IF(AND($T141=1,DD$5&lt;=$H141),DC141*(1-BN141)*(1-MIN(1,MAX(Assumptions!$C$27,Assumptions!$C$13*Assumptions!$C$28^(DC$5-1))*$O141)),0)</f>
        <v>0</v>
      </c>
      <c r="DE141" s="93">
        <f>IF(AND($T141=1,DE$5&lt;=$H141),DD141*(1-BO141)*(1-MIN(1,MAX(Assumptions!$C$27,Assumptions!$C$13*Assumptions!$C$28^(DD$5-1))*$O141)),0)</f>
        <v>0</v>
      </c>
      <c r="DF141" s="93">
        <f>IF(AND($T141=1,DF$5&lt;=$H141),DE141*(1-BP141)*(1-MIN(1,MAX(Assumptions!$C$27,Assumptions!$C$13*Assumptions!$C$28^(DE$5-1))*$O141)),0)</f>
        <v>0</v>
      </c>
      <c r="DG141" s="93">
        <f>IF(AND($T141=1,DG$5&lt;=$H141),DF141*(1-BQ141)*(1-MIN(1,MAX(Assumptions!$C$27,Assumptions!$C$13*Assumptions!$C$28^(DF$5-1))*$O141)),0)</f>
        <v>0</v>
      </c>
      <c r="DH141" s="93">
        <f>IF(AND($T141=1,DH$5&lt;=$H141),DG141*(1-BR141)*(1-MIN(1,MAX(Assumptions!$C$27,Assumptions!$C$13*Assumptions!$C$28^(DG$5-1))*$O141)),0)</f>
        <v>0</v>
      </c>
      <c r="DI141" s="93">
        <f>IF(AND($T141=1,DI$5&lt;=$H141),DH141*(1-BS141)*(1-MIN(1,MAX(Assumptions!$C$27,Assumptions!$C$13*Assumptions!$C$28^(DH$5-1))*$O141)),0)</f>
        <v>0</v>
      </c>
      <c r="DJ141" s="93">
        <f>IF(AND($T141=1,DJ$5&lt;=$H141),DI141*(1-BT141)*(1-MIN(1,MAX(Assumptions!$C$27,Assumptions!$C$13*Assumptions!$C$28^(DI$5-1))*$O141)),0)</f>
        <v>0</v>
      </c>
      <c r="DK141" s="93">
        <f>IF(AND($T141=1,DK$5&lt;=$H141),DJ141*(1-BU141)*(1-MIN(1,MAX(Assumptions!$C$27,Assumptions!$C$13*Assumptions!$C$28^(DJ$5-1))*$O141)),0)</f>
        <v>0</v>
      </c>
      <c r="DL141" s="93">
        <f>IF(AND($T141=1,DL$5&lt;=$H141),DK141*(1-BV141)*(1-MIN(1,MAX(Assumptions!$C$27,Assumptions!$C$13*Assumptions!$C$28^(DK$5-1))*$O141)),0)</f>
        <v>0</v>
      </c>
      <c r="DM141" s="93">
        <f>IF(AND($T141=1,DM$5&lt;=$H141),DL141*(1-BW141)*(1-MIN(1,MAX(Assumptions!$C$27,Assumptions!$C$13*Assumptions!$C$28^(DL$5-1))*$O141)),0)</f>
        <v>0</v>
      </c>
      <c r="DN141" s="93">
        <f>IF(AND($T141=1,DN$5&lt;=$H141),DM141*(1-BX141)*(1-MIN(1,MAX(Assumptions!$C$27,Assumptions!$C$13*Assumptions!$C$28^(DM$5-1))*$O141)),0)</f>
        <v>0</v>
      </c>
      <c r="DO141" s="93">
        <f>IF(AND($T141=1,DO$5&lt;=$H141),DN141*(1-BY141)*(1-MIN(1,MAX(Assumptions!$C$27,Assumptions!$C$13*Assumptions!$C$28^(DN$5-1))*$O141)),0)</f>
        <v>0</v>
      </c>
      <c r="DP141" s="93">
        <f>IF(AND($T141=1,DP$5&lt;=$H141),DO141*(1-BZ141)*(1-MIN(1,MAX(Assumptions!$C$27,Assumptions!$C$13*Assumptions!$C$28^(DO$5-1))*$O141)),0)</f>
        <v>0</v>
      </c>
      <c r="DQ141" s="93">
        <f>IF(AND($T141=1,DQ$5&lt;=$H141),DP141*(1-CA141)*(1-MIN(1,MAX(Assumptions!$C$27,Assumptions!$C$13*Assumptions!$C$28^(DP$5-1))*$O141)),0)</f>
        <v>0</v>
      </c>
      <c r="DR141" s="93">
        <f>IF(AND($T141=1,DR$5&lt;=$H141),DQ141*(1-CB141)*(1-MIN(1,MAX(Assumptions!$C$27,Assumptions!$C$13*Assumptions!$C$28^(DQ$5-1))*$O141)),0)</f>
        <v>0</v>
      </c>
      <c r="DS141" s="93">
        <f>IF(AND($T141=1,DS$5&lt;=$H141),DR141*(1-CC141)*(1-MIN(1,MAX(Assumptions!$C$27,Assumptions!$C$13*Assumptions!$C$28^(DR$5-1))*$O141)),0)</f>
        <v>0</v>
      </c>
      <c r="DT141" s="93">
        <f>IF(AND($T141=1,DT$5&lt;=$H141),DS141*(1-CD141)*(1-MIN(1,MAX(Assumptions!$C$27,Assumptions!$C$13*Assumptions!$C$28^(DS$5-1))*$O141)),0)</f>
        <v>0</v>
      </c>
      <c r="DU141" s="93">
        <f>IF(AND($T141=1,DU$5&lt;=$H141),DT141*(1-CE141)*(1-MIN(1,MAX(Assumptions!$C$27,Assumptions!$C$13*Assumptions!$C$28^(DT$5-1))*$O141)),0)</f>
        <v>0</v>
      </c>
      <c r="DV141" s="93">
        <f>IF(AND($T141=1,DV$5&lt;=$H141),DU141*(1-CF141)*(1-MIN(1,MAX(Assumptions!$C$27,Assumptions!$C$13*Assumptions!$C$28^(DU$5-1))*$O141)),0)</f>
        <v>0</v>
      </c>
      <c r="DW141" s="94">
        <f>IF(AND($T141=1,DW$5&lt;=$H141),DV141*(1-CG141)*(1-MIN(1,MAX(Assumptions!$C$27,Assumptions!$C$13*Assumptions!$C$28^(DV$5-1))*$O141)),0)</f>
        <v>0</v>
      </c>
      <c r="DX141" s="26"/>
      <c r="DY141" s="399">
        <f>'Policy Data'!K115</f>
        <v>2</v>
      </c>
      <c r="DZ141" s="100">
        <f>'Policy Data'!L115</f>
        <v>0.51570000000000005</v>
      </c>
      <c r="EA141" s="100">
        <f>'Policy Data'!N115</f>
        <v>2.5099999999999998E-4</v>
      </c>
      <c r="EB141" s="93" cm="1">
        <f t="array" ref="EB141">IFERROR(DZ141*INDEX(Mortality!$B$4:$E$64,MATCH(D141+DY141-1,Mortality!$A$4:$A$64,0),U141)*V141,0)</f>
        <v>2.7164568143603053E-4</v>
      </c>
      <c r="EC141" s="100">
        <f>'Policy Data'!O115</f>
        <v>0</v>
      </c>
      <c r="ED141" s="400">
        <f>'Policy Data'!Q115</f>
        <v>0</v>
      </c>
    </row>
    <row r="142" spans="1:134" x14ac:dyDescent="0.3">
      <c r="A142" s="399" t="str">
        <f>'Policy Data'!A116</f>
        <v>POL100112</v>
      </c>
      <c r="B142" s="26" t="s">
        <v>426</v>
      </c>
      <c r="C142" s="100" t="str">
        <f>'Policy Data'!B116</f>
        <v>Term Life</v>
      </c>
      <c r="D142" s="100">
        <f>'Policy Data'!C116</f>
        <v>41</v>
      </c>
      <c r="E142" s="100" t="str">
        <f>'Policy Data'!D116</f>
        <v>Female</v>
      </c>
      <c r="F142" s="100" t="str">
        <f>'Policy Data'!E116</f>
        <v>Non-smoker</v>
      </c>
      <c r="G142" s="100" t="str">
        <f>'Policy Data'!F116</f>
        <v>Standard</v>
      </c>
      <c r="H142" s="100">
        <f>'Policy Data'!G116</f>
        <v>15</v>
      </c>
      <c r="I142" s="279">
        <f>'Policy Data'!H116</f>
        <v>1000000</v>
      </c>
      <c r="J142" s="100" t="str">
        <f>'Policy Data'!I116</f>
        <v>Monthly</v>
      </c>
      <c r="K142" s="100" t="str">
        <f>'Policy Data'!J116</f>
        <v>Bancassurance</v>
      </c>
      <c r="L142" s="26" t="s">
        <v>389</v>
      </c>
      <c r="M142" s="106">
        <f>'Policy Data'!R116</f>
        <v>2118.16</v>
      </c>
      <c r="N142" s="415">
        <f>Assumptions!$C$21</f>
        <v>1</v>
      </c>
      <c r="O142" s="415">
        <f>Assumptions!$C$22</f>
        <v>1</v>
      </c>
      <c r="P142" s="415">
        <f>Assumptions!$C$23</f>
        <v>1</v>
      </c>
      <c r="Q142" s="416">
        <f>Assumptions!$C$24</f>
        <v>0</v>
      </c>
      <c r="R142" s="416">
        <f>Assumptions!$C$6+Assumptions!$C$25</f>
        <v>3.5000000000000003E-2</v>
      </c>
      <c r="S142" s="416">
        <f>Assumptions!$C$15</f>
        <v>1.1000000000000001E-3</v>
      </c>
      <c r="T142" s="26">
        <f t="shared" si="36"/>
        <v>1</v>
      </c>
      <c r="U142" s="26">
        <f t="shared" si="37"/>
        <v>1</v>
      </c>
      <c r="V142" s="389">
        <f>IF($G142="Preferred",Assumptions!$C$30,IF($G142="Rated",Assumptions!$C$31,1))</f>
        <v>1</v>
      </c>
      <c r="W142" s="390">
        <f>IF($K142="Direct",Assumptions!$C$32,IF($K142="Broker",Assumptions!$C$33,IF($K142="Bancassurance",Assumptions!$C$34,Assumptions!$C$11)))+$Q142</f>
        <v>0.2</v>
      </c>
      <c r="X142" s="390">
        <f>Assumptions!$C$12+$Q142</f>
        <v>0.05</v>
      </c>
      <c r="Y142" s="131">
        <f>MIN($I142,Assumptions!$C$14)</f>
        <v>500000</v>
      </c>
      <c r="Z142" s="131">
        <f>MAX($I142-Assumptions!$C$14,0)</f>
        <v>500000</v>
      </c>
      <c r="AA142" s="389">
        <f t="shared" si="38"/>
        <v>7.3925298431638904</v>
      </c>
      <c r="AB142" s="389">
        <f t="shared" si="39"/>
        <v>1.1106069217652257E-2</v>
      </c>
      <c r="AC142" s="389">
        <f>IF($T142=1,SUMPRODUCT($CJ142:$DW142,(1+Assumptions!$C$5)^($CJ$5:$DW$5-1),(1+$R142)^(-$CJ$5:$DW$5)),0)</f>
        <v>9.2477609471556921</v>
      </c>
      <c r="AD142" s="389">
        <f t="shared" si="40"/>
        <v>0.51455402839007869</v>
      </c>
      <c r="AE142" s="131">
        <f>IF($T142=1,$AB142*$Y142+(Assumptions!$C$9/(1+$R142)+Assumptions!$C$10*$AC142)*$P142+$S142*$Z142*$AA142,0)</f>
        <v>12522.998648331824</v>
      </c>
      <c r="AF142" s="131">
        <f>IF($T142=1,IF($AA142-$AD142-Assumptions!$C$16*$AA142&gt;0,$AE142/($AA142-$AD142-Assumptions!$C$16*$AA142)*IF($J142="Monthly",1+Assumptions!$C$29,1),"n.a."),"")</f>
        <v>2051.7836555802578</v>
      </c>
      <c r="AG142" s="131">
        <f t="shared" si="41"/>
        <v>2118.16</v>
      </c>
      <c r="AH142" s="131">
        <f t="shared" si="42"/>
        <v>15658.561012596025</v>
      </c>
      <c r="AI142" s="131">
        <f t="shared" si="43"/>
        <v>2045.6546034894727</v>
      </c>
      <c r="AJ142" s="390">
        <f t="shared" si="44"/>
        <v>0.13064128956957871</v>
      </c>
      <c r="AK142" s="389">
        <f t="shared" si="45"/>
        <v>1.0323505571550966</v>
      </c>
      <c r="AL142" s="131">
        <f t="shared" si="46"/>
        <v>5553.0346088261285</v>
      </c>
      <c r="AM142" s="131">
        <f t="shared" si="47"/>
        <v>4065.8914137401398</v>
      </c>
      <c r="AN142" s="131">
        <f t="shared" si="48"/>
        <v>1487.1431950859887</v>
      </c>
      <c r="AO142" s="131">
        <f t="shared" si="49"/>
        <v>558.51140840348398</v>
      </c>
      <c r="AP142" s="26" t="str">
        <f t="shared" si="50"/>
        <v>40-49</v>
      </c>
      <c r="AQ142" s="26" t="str">
        <f t="shared" si="51"/>
        <v>500k-1m</v>
      </c>
      <c r="AR142" s="26" t="str">
        <f>IF($T142=1,IF($AI142&lt;0,"Loss-making",IF($AJ142&lt;Assumptions!$C$16-0.00001,"Below target","At/above target")),"Excluded")</f>
        <v>At/above target</v>
      </c>
      <c r="AS142" s="103">
        <f t="shared" si="52"/>
        <v>2045.6547454894728</v>
      </c>
      <c r="AT142" s="26"/>
      <c r="AU142" s="419">
        <f>IF(AND($T142=1,AU$5&lt;=$H142),INDEX(Mortality!$B$4:$E$64,MATCH($D142+AU$5-1,Mortality!$A$4:$A$64,0),$U142)*$V142*$N142,0)</f>
        <v>9.2216913770458301E-4</v>
      </c>
      <c r="AV142" s="93">
        <f>IF(AND($T142=1,AV$5&lt;=$H142),INDEX(Mortality!$B$4:$E$64,MATCH($D142+AV$5-1,Mortality!$A$4:$A$64,0),$U142)*$V142*$N142,0)</f>
        <v>9.98973901084343E-4</v>
      </c>
      <c r="AW142" s="93">
        <f>IF(AND($T142=1,AW$5&lt;=$H142),INDEX(Mortality!$B$4:$E$64,MATCH($D142+AW$5-1,Mortality!$A$4:$A$64,0),$U142)*$V142*$N142,0)</f>
        <v>1.08217550798947E-3</v>
      </c>
      <c r="AX142" s="93">
        <f>IF(AND($T142=1,AX$5&lt;=$H142),INDEX(Mortality!$B$4:$E$64,MATCH($D142+AX$5-1,Mortality!$A$4:$A$64,0),$U142)*$V142*$N142,0)</f>
        <v>1.1723067327595699E-3</v>
      </c>
      <c r="AY142" s="93">
        <f>IF(AND($T142=1,AY$5&lt;=$H142),INDEX(Mortality!$B$4:$E$64,MATCH($D142+AY$5-1,Mortality!$A$4:$A$64,0),$U142)*$V142*$N142,0)</f>
        <v>1.2699447229467301E-3</v>
      </c>
      <c r="AZ142" s="93">
        <f>IF(AND($T142=1,AZ$5&lt;=$H142),INDEX(Mortality!$B$4:$E$64,MATCH($D142+AZ$5-1,Mortality!$A$4:$A$64,0),$U142)*$V142*$N142,0)</f>
        <v>1.37571469503025E-3</v>
      </c>
      <c r="BA142" s="93">
        <f>IF(AND($T142=1,BA$5&lt;=$H142),INDEX(Mortality!$B$4:$E$64,MATCH($D142+BA$5-1,Mortality!$A$4:$A$64,0),$U142)*$V142*$N142,0)</f>
        <v>1.4902939379366699E-3</v>
      </c>
      <c r="BB142" s="93">
        <f>IF(AND($T142=1,BB$5&lt;=$H142),INDEX(Mortality!$B$4:$E$64,MATCH($D142+BB$5-1,Mortality!$A$4:$A$64,0),$U142)*$V142*$N142,0)</f>
        <v>1.6144161500011799E-3</v>
      </c>
      <c r="BC142" s="93">
        <f>IF(AND($T142=1,BC$5&lt;=$H142),INDEX(Mortality!$B$4:$E$64,MATCH($D142+BC$5-1,Mortality!$A$4:$A$64,0),$U142)*$V142*$N142,0)</f>
        <v>1.74887613714188E-3</v>
      </c>
      <c r="BD142" s="93">
        <f>IF(AND($T142=1,BD$5&lt;=$H142),INDEX(Mortality!$B$4:$E$64,MATCH($D142+BD$5-1,Mortality!$A$4:$A$64,0),$U142)*$V142*$N142,0)</f>
        <v>1.89453490233113E-3</v>
      </c>
      <c r="BE142" s="93">
        <f>IF(AND($T142=1,BE$5&lt;=$H142),INDEX(Mortality!$B$4:$E$64,MATCH($D142+BE$5-1,Mortality!$A$4:$A$64,0),$U142)*$V142*$N142,0)</f>
        <v>2.05232515895416E-3</v>
      </c>
      <c r="BF142" s="93">
        <f>IF(AND($T142=1,BF$5&lt;=$H142),INDEX(Mortality!$B$4:$E$64,MATCH($D142+BF$5-1,Mortality!$A$4:$A$64,0),$U142)*$V142*$N142,0)</f>
        <v>2.22325730335899E-3</v>
      </c>
      <c r="BG142" s="93">
        <f>IF(AND($T142=1,BG$5&lt;=$H142),INDEX(Mortality!$B$4:$E$64,MATCH($D142+BG$5-1,Mortality!$A$4:$A$64,0),$U142)*$V142*$N142,0)</f>
        <v>2.4084258848427E-3</v>
      </c>
      <c r="BH142" s="93">
        <f>IF(AND($T142=1,BH$5&lt;=$H142),INDEX(Mortality!$B$4:$E$64,MATCH($D142+BH$5-1,Mortality!$A$4:$A$64,0),$U142)*$V142*$N142,0)</f>
        <v>2.6090166145037101E-3</v>
      </c>
      <c r="BI142" s="93">
        <f>IF(AND($T142=1,BI$5&lt;=$H142),INDEX(Mortality!$B$4:$E$64,MATCH($D142+BI$5-1,Mortality!$A$4:$A$64,0),$U142)*$V142*$N142,0)</f>
        <v>2.8263139578409702E-3</v>
      </c>
      <c r="BJ142" s="93">
        <f>IF(AND($T142=1,BJ$5&lt;=$H142),INDEX(Mortality!$B$4:$E$64,MATCH($D142+BJ$5-1,Mortality!$A$4:$A$64,0),$U142)*$V142*$N142,0)</f>
        <v>0</v>
      </c>
      <c r="BK142" s="93">
        <f>IF(AND($T142=1,BK$5&lt;=$H142),INDEX(Mortality!$B$4:$E$64,MATCH($D142+BK$5-1,Mortality!$A$4:$A$64,0),$U142)*$V142*$N142,0)</f>
        <v>0</v>
      </c>
      <c r="BL142" s="93">
        <f>IF(AND($T142=1,BL$5&lt;=$H142),INDEX(Mortality!$B$4:$E$64,MATCH($D142+BL$5-1,Mortality!$A$4:$A$64,0),$U142)*$V142*$N142,0)</f>
        <v>0</v>
      </c>
      <c r="BM142" s="93">
        <f>IF(AND($T142=1,BM$5&lt;=$H142),INDEX(Mortality!$B$4:$E$64,MATCH($D142+BM$5-1,Mortality!$A$4:$A$64,0),$U142)*$V142*$N142,0)</f>
        <v>0</v>
      </c>
      <c r="BN142" s="93">
        <f>IF(AND($T142=1,BN$5&lt;=$H142),INDEX(Mortality!$B$4:$E$64,MATCH($D142+BN$5-1,Mortality!$A$4:$A$64,0),$U142)*$V142*$N142,0)</f>
        <v>0</v>
      </c>
      <c r="BO142" s="93">
        <f>IF(AND($T142=1,BO$5&lt;=$H142),INDEX(Mortality!$B$4:$E$64,MATCH($D142+BO$5-1,Mortality!$A$4:$A$64,0),$U142)*$V142*$N142,0)</f>
        <v>0</v>
      </c>
      <c r="BP142" s="93">
        <f>IF(AND($T142=1,BP$5&lt;=$H142),INDEX(Mortality!$B$4:$E$64,MATCH($D142+BP$5-1,Mortality!$A$4:$A$64,0),$U142)*$V142*$N142,0)</f>
        <v>0</v>
      </c>
      <c r="BQ142" s="93">
        <f>IF(AND($T142=1,BQ$5&lt;=$H142),INDEX(Mortality!$B$4:$E$64,MATCH($D142+BQ$5-1,Mortality!$A$4:$A$64,0),$U142)*$V142*$N142,0)</f>
        <v>0</v>
      </c>
      <c r="BR142" s="93">
        <f>IF(AND($T142=1,BR$5&lt;=$H142),INDEX(Mortality!$B$4:$E$64,MATCH($D142+BR$5-1,Mortality!$A$4:$A$64,0),$U142)*$V142*$N142,0)</f>
        <v>0</v>
      </c>
      <c r="BS142" s="93">
        <f>IF(AND($T142=1,BS$5&lt;=$H142),INDEX(Mortality!$B$4:$E$64,MATCH($D142+BS$5-1,Mortality!$A$4:$A$64,0),$U142)*$V142*$N142,0)</f>
        <v>0</v>
      </c>
      <c r="BT142" s="93">
        <f>IF(AND($T142=1,BT$5&lt;=$H142),INDEX(Mortality!$B$4:$E$64,MATCH($D142+BT$5-1,Mortality!$A$4:$A$64,0),$U142)*$V142*$N142,0)</f>
        <v>0</v>
      </c>
      <c r="BU142" s="93">
        <f>IF(AND($T142=1,BU$5&lt;=$H142),INDEX(Mortality!$B$4:$E$64,MATCH($D142+BU$5-1,Mortality!$A$4:$A$64,0),$U142)*$V142*$N142,0)</f>
        <v>0</v>
      </c>
      <c r="BV142" s="93">
        <f>IF(AND($T142=1,BV$5&lt;=$H142),INDEX(Mortality!$B$4:$E$64,MATCH($D142+BV$5-1,Mortality!$A$4:$A$64,0),$U142)*$V142*$N142,0)</f>
        <v>0</v>
      </c>
      <c r="BW142" s="93">
        <f>IF(AND($T142=1,BW$5&lt;=$H142),INDEX(Mortality!$B$4:$E$64,MATCH($D142+BW$5-1,Mortality!$A$4:$A$64,0),$U142)*$V142*$N142,0)</f>
        <v>0</v>
      </c>
      <c r="BX142" s="93">
        <f>IF(AND($T142=1,BX$5&lt;=$H142),INDEX(Mortality!$B$4:$E$64,MATCH($D142+BX$5-1,Mortality!$A$4:$A$64,0),$U142)*$V142*$N142,0)</f>
        <v>0</v>
      </c>
      <c r="BY142" s="93">
        <f>IF(AND($T142=1,BY$5&lt;=$H142),INDEX(Mortality!$B$4:$E$64,MATCH($D142+BY$5-1,Mortality!$A$4:$A$64,0),$U142)*$V142*$N142,0)</f>
        <v>0</v>
      </c>
      <c r="BZ142" s="93">
        <f>IF(AND($T142=1,BZ$5&lt;=$H142),INDEX(Mortality!$B$4:$E$64,MATCH($D142+BZ$5-1,Mortality!$A$4:$A$64,0),$U142)*$V142*$N142,0)</f>
        <v>0</v>
      </c>
      <c r="CA142" s="93">
        <f>IF(AND($T142=1,CA$5&lt;=$H142),INDEX(Mortality!$B$4:$E$64,MATCH($D142+CA$5-1,Mortality!$A$4:$A$64,0),$U142)*$V142*$N142,0)</f>
        <v>0</v>
      </c>
      <c r="CB142" s="93">
        <f>IF(AND($T142=1,CB$5&lt;=$H142),INDEX(Mortality!$B$4:$E$64,MATCH($D142+CB$5-1,Mortality!$A$4:$A$64,0),$U142)*$V142*$N142,0)</f>
        <v>0</v>
      </c>
      <c r="CC142" s="93">
        <f>IF(AND($T142=1,CC$5&lt;=$H142),INDEX(Mortality!$B$4:$E$64,MATCH($D142+CC$5-1,Mortality!$A$4:$A$64,0),$U142)*$V142*$N142,0)</f>
        <v>0</v>
      </c>
      <c r="CD142" s="93">
        <f>IF(AND($T142=1,CD$5&lt;=$H142),INDEX(Mortality!$B$4:$E$64,MATCH($D142+CD$5-1,Mortality!$A$4:$A$64,0),$U142)*$V142*$N142,0)</f>
        <v>0</v>
      </c>
      <c r="CE142" s="93">
        <f>IF(AND($T142=1,CE$5&lt;=$H142),INDEX(Mortality!$B$4:$E$64,MATCH($D142+CE$5-1,Mortality!$A$4:$A$64,0),$U142)*$V142*$N142,0)</f>
        <v>0</v>
      </c>
      <c r="CF142" s="93">
        <f>IF(AND($T142=1,CF$5&lt;=$H142),INDEX(Mortality!$B$4:$E$64,MATCH($D142+CF$5-1,Mortality!$A$4:$A$64,0),$U142)*$V142*$N142,0)</f>
        <v>0</v>
      </c>
      <c r="CG142" s="93">
        <f>IF(AND($T142=1,CG$5&lt;=$H142),INDEX(Mortality!$B$4:$E$64,MATCH($D142+CG$5-1,Mortality!$A$4:$A$64,0),$U142)*$V142*$N142,0)</f>
        <v>0</v>
      </c>
      <c r="CH142" s="94">
        <f>IF(AND($T142=1,CH$5&lt;=$H142),INDEX(Mortality!$B$4:$E$64,MATCH($D142+CH$5-1,Mortality!$A$4:$A$64,0),$U142)*$V142*$N142,0)</f>
        <v>0</v>
      </c>
      <c r="CI142" s="26"/>
      <c r="CJ142" s="419">
        <f t="shared" si="53"/>
        <v>1</v>
      </c>
      <c r="CK142" s="93">
        <f>IF(AND($T142=1,CK$5&lt;=$H142),CJ142*(1-AU142)*(1-MIN(1,MAX(Assumptions!$C$27,Assumptions!$C$13*Assumptions!$C$28^(CJ$5-1))*$O142)),0)</f>
        <v>0.87918849115881992</v>
      </c>
      <c r="CL142" s="93">
        <f>IF(AND($T142=1,CL$5&lt;=$H142),CK142*(1-AV142)*(1-MIN(1,MAX(Assumptions!$C$27,Assumptions!$C$13*Assumptions!$C$28^(CK$5-1))*$O142)),0)</f>
        <v>0.78872256391221263</v>
      </c>
      <c r="CM142" s="93">
        <f>IF(AND($T142=1,CM$5&lt;=$H142),CL142*(1-AW142)*(1-MIN(1,MAX(Assumptions!$C$27,Assumptions!$C$13*Assumptions!$C$28^(CL$5-1))*$O142)),0)</f>
        <v>0.71956078297187698</v>
      </c>
      <c r="CN142" s="93">
        <f>IF(AND($T142=1,CN$5&lt;=$H142),CM142*(1-AX142)*(1-MIN(1,MAX(Assumptions!$C$27,Assumptions!$C$13*Assumptions!$C$28^(CM$5-1))*$O142)),0)</f>
        <v>0.66575137023907949</v>
      </c>
      <c r="CO142" s="93">
        <f>IF(AND($T142=1,CO$5&lt;=$H142),CN142*(1-AY142)*(1-MIN(1,MAX(Assumptions!$C$27,Assumptions!$C$13*Assumptions!$C$28^(CN$5-1))*$O142)),0)</f>
        <v>0.62325569836885264</v>
      </c>
      <c r="CP142" s="93">
        <f>IF(AND($T142=1,CP$5&lt;=$H142),CO142*(1-AZ142)*(1-MIN(1,MAX(Assumptions!$C$27,Assumptions!$C$13*Assumptions!$C$28^(CO$5-1))*$O142)),0)</f>
        <v>0.58925890574118589</v>
      </c>
      <c r="CQ142" s="93">
        <f>IF(AND($T142=1,CQ$5&lt;=$H142),CP142*(1-BA142)*(1-MIN(1,MAX(Assumptions!$C$27,Assumptions!$C$13*Assumptions!$C$28^(CP$5-1))*$O142)),0)</f>
        <v>0.56175183558115549</v>
      </c>
      <c r="CR142" s="93">
        <f>IF(AND($T142=1,CR$5&lt;=$H142),CQ142*(1-BB142)*(1-MIN(1,MAX(Assumptions!$C$27,Assumptions!$C$13*Assumptions!$C$28^(CQ$5-1))*$O142)),0)</f>
        <v>0.53926965002192828</v>
      </c>
      <c r="CS142" s="93">
        <f>IF(AND($T142=1,CS$5&lt;=$H142),CR142*(1-BC142)*(1-MIN(1,MAX(Assumptions!$C$27,Assumptions!$C$13*Assumptions!$C$28^(CR$5-1))*$O142)),0)</f>
        <v>0.52072386860594166</v>
      </c>
      <c r="CT142" s="93">
        <f>IF(AND($T142=1,CT$5&lt;=$H142),CS142*(1-BD142)*(1-MIN(1,MAX(Assumptions!$C$27,Assumptions!$C$13*Assumptions!$C$28^(CS$5-1))*$O142)),0)</f>
        <v>0.50529174202123217</v>
      </c>
      <c r="CU142" s="93">
        <f>IF(AND($T142=1,CU$5&lt;=$H142),CT142*(1-BE142)*(1-MIN(1,MAX(Assumptions!$C$27,Assumptions!$C$13*Assumptions!$C$28^(CT$5-1))*$O142)),0)</f>
        <v>0.49234173737220505</v>
      </c>
      <c r="CV142" s="93">
        <f>IF(AND($T142=1,CV$5&lt;=$H142),CU142*(1-BF142)*(1-MIN(1,MAX(Assumptions!$C$27,Assumptions!$C$13*Assumptions!$C$28^(CU$5-1))*$O142)),0)</f>
        <v>0.48138230832577067</v>
      </c>
      <c r="CW142" s="93">
        <f>IF(AND($T142=1,CW$5&lt;=$H142),CV142*(1-BG142)*(1-MIN(1,MAX(Assumptions!$C$27,Assumptions!$C$13*Assumptions!$C$28^(CV$5-1))*$O142)),0)</f>
        <v>0.47061847601961565</v>
      </c>
      <c r="CX142" s="93">
        <f>IF(AND($T142=1,CX$5&lt;=$H142),CW142*(1-BH142)*(1-MIN(1,MAX(Assumptions!$C$27,Assumptions!$C$13*Assumptions!$C$28^(CW$5-1))*$O142)),0)</f>
        <v>0.46000281210465627</v>
      </c>
      <c r="CY142" s="93">
        <f>IF(AND($T142=1,CY$5&lt;=$H142),CX142*(1-BI142)*(1-MIN(1,MAX(Assumptions!$C$27,Assumptions!$C$13*Assumptions!$C$28^(CX$5-1))*$O142)),0)</f>
        <v>0</v>
      </c>
      <c r="CZ142" s="93">
        <f>IF(AND($T142=1,CZ$5&lt;=$H142),CY142*(1-BJ142)*(1-MIN(1,MAX(Assumptions!$C$27,Assumptions!$C$13*Assumptions!$C$28^(CY$5-1))*$O142)),0)</f>
        <v>0</v>
      </c>
      <c r="DA142" s="93">
        <f>IF(AND($T142=1,DA$5&lt;=$H142),CZ142*(1-BK142)*(1-MIN(1,MAX(Assumptions!$C$27,Assumptions!$C$13*Assumptions!$C$28^(CZ$5-1))*$O142)),0)</f>
        <v>0</v>
      </c>
      <c r="DB142" s="93">
        <f>IF(AND($T142=1,DB$5&lt;=$H142),DA142*(1-BL142)*(1-MIN(1,MAX(Assumptions!$C$27,Assumptions!$C$13*Assumptions!$C$28^(DA$5-1))*$O142)),0)</f>
        <v>0</v>
      </c>
      <c r="DC142" s="93">
        <f>IF(AND($T142=1,DC$5&lt;=$H142),DB142*(1-BM142)*(1-MIN(1,MAX(Assumptions!$C$27,Assumptions!$C$13*Assumptions!$C$28^(DB$5-1))*$O142)),0)</f>
        <v>0</v>
      </c>
      <c r="DD142" s="93">
        <f>IF(AND($T142=1,DD$5&lt;=$H142),DC142*(1-BN142)*(1-MIN(1,MAX(Assumptions!$C$27,Assumptions!$C$13*Assumptions!$C$28^(DC$5-1))*$O142)),0)</f>
        <v>0</v>
      </c>
      <c r="DE142" s="93">
        <f>IF(AND($T142=1,DE$5&lt;=$H142),DD142*(1-BO142)*(1-MIN(1,MAX(Assumptions!$C$27,Assumptions!$C$13*Assumptions!$C$28^(DD$5-1))*$O142)),0)</f>
        <v>0</v>
      </c>
      <c r="DF142" s="93">
        <f>IF(AND($T142=1,DF$5&lt;=$H142),DE142*(1-BP142)*(1-MIN(1,MAX(Assumptions!$C$27,Assumptions!$C$13*Assumptions!$C$28^(DE$5-1))*$O142)),0)</f>
        <v>0</v>
      </c>
      <c r="DG142" s="93">
        <f>IF(AND($T142=1,DG$5&lt;=$H142),DF142*(1-BQ142)*(1-MIN(1,MAX(Assumptions!$C$27,Assumptions!$C$13*Assumptions!$C$28^(DF$5-1))*$O142)),0)</f>
        <v>0</v>
      </c>
      <c r="DH142" s="93">
        <f>IF(AND($T142=1,DH$5&lt;=$H142),DG142*(1-BR142)*(1-MIN(1,MAX(Assumptions!$C$27,Assumptions!$C$13*Assumptions!$C$28^(DG$5-1))*$O142)),0)</f>
        <v>0</v>
      </c>
      <c r="DI142" s="93">
        <f>IF(AND($T142=1,DI$5&lt;=$H142),DH142*(1-BS142)*(1-MIN(1,MAX(Assumptions!$C$27,Assumptions!$C$13*Assumptions!$C$28^(DH$5-1))*$O142)),0)</f>
        <v>0</v>
      </c>
      <c r="DJ142" s="93">
        <f>IF(AND($T142=1,DJ$5&lt;=$H142),DI142*(1-BT142)*(1-MIN(1,MAX(Assumptions!$C$27,Assumptions!$C$13*Assumptions!$C$28^(DI$5-1))*$O142)),0)</f>
        <v>0</v>
      </c>
      <c r="DK142" s="93">
        <f>IF(AND($T142=1,DK$5&lt;=$H142),DJ142*(1-BU142)*(1-MIN(1,MAX(Assumptions!$C$27,Assumptions!$C$13*Assumptions!$C$28^(DJ$5-1))*$O142)),0)</f>
        <v>0</v>
      </c>
      <c r="DL142" s="93">
        <f>IF(AND($T142=1,DL$5&lt;=$H142),DK142*(1-BV142)*(1-MIN(1,MAX(Assumptions!$C$27,Assumptions!$C$13*Assumptions!$C$28^(DK$5-1))*$O142)),0)</f>
        <v>0</v>
      </c>
      <c r="DM142" s="93">
        <f>IF(AND($T142=1,DM$5&lt;=$H142),DL142*(1-BW142)*(1-MIN(1,MAX(Assumptions!$C$27,Assumptions!$C$13*Assumptions!$C$28^(DL$5-1))*$O142)),0)</f>
        <v>0</v>
      </c>
      <c r="DN142" s="93">
        <f>IF(AND($T142=1,DN$5&lt;=$H142),DM142*(1-BX142)*(1-MIN(1,MAX(Assumptions!$C$27,Assumptions!$C$13*Assumptions!$C$28^(DM$5-1))*$O142)),0)</f>
        <v>0</v>
      </c>
      <c r="DO142" s="93">
        <f>IF(AND($T142=1,DO$5&lt;=$H142),DN142*(1-BY142)*(1-MIN(1,MAX(Assumptions!$C$27,Assumptions!$C$13*Assumptions!$C$28^(DN$5-1))*$O142)),0)</f>
        <v>0</v>
      </c>
      <c r="DP142" s="93">
        <f>IF(AND($T142=1,DP$5&lt;=$H142),DO142*(1-BZ142)*(1-MIN(1,MAX(Assumptions!$C$27,Assumptions!$C$13*Assumptions!$C$28^(DO$5-1))*$O142)),0)</f>
        <v>0</v>
      </c>
      <c r="DQ142" s="93">
        <f>IF(AND($T142=1,DQ$5&lt;=$H142),DP142*(1-CA142)*(1-MIN(1,MAX(Assumptions!$C$27,Assumptions!$C$13*Assumptions!$C$28^(DP$5-1))*$O142)),0)</f>
        <v>0</v>
      </c>
      <c r="DR142" s="93">
        <f>IF(AND($T142=1,DR$5&lt;=$H142),DQ142*(1-CB142)*(1-MIN(1,MAX(Assumptions!$C$27,Assumptions!$C$13*Assumptions!$C$28^(DQ$5-1))*$O142)),0)</f>
        <v>0</v>
      </c>
      <c r="DS142" s="93">
        <f>IF(AND($T142=1,DS$5&lt;=$H142),DR142*(1-CC142)*(1-MIN(1,MAX(Assumptions!$C$27,Assumptions!$C$13*Assumptions!$C$28^(DR$5-1))*$O142)),0)</f>
        <v>0</v>
      </c>
      <c r="DT142" s="93">
        <f>IF(AND($T142=1,DT$5&lt;=$H142),DS142*(1-CD142)*(1-MIN(1,MAX(Assumptions!$C$27,Assumptions!$C$13*Assumptions!$C$28^(DS$5-1))*$O142)),0)</f>
        <v>0</v>
      </c>
      <c r="DU142" s="93">
        <f>IF(AND($T142=1,DU$5&lt;=$H142),DT142*(1-CE142)*(1-MIN(1,MAX(Assumptions!$C$27,Assumptions!$C$13*Assumptions!$C$28^(DT$5-1))*$O142)),0)</f>
        <v>0</v>
      </c>
      <c r="DV142" s="93">
        <f>IF(AND($T142=1,DV$5&lt;=$H142),DU142*(1-CF142)*(1-MIN(1,MAX(Assumptions!$C$27,Assumptions!$C$13*Assumptions!$C$28^(DU$5-1))*$O142)),0)</f>
        <v>0</v>
      </c>
      <c r="DW142" s="94">
        <f>IF(AND($T142=1,DW$5&lt;=$H142),DV142*(1-CG142)*(1-MIN(1,MAX(Assumptions!$C$27,Assumptions!$C$13*Assumptions!$C$28^(DV$5-1))*$O142)),0)</f>
        <v>0</v>
      </c>
      <c r="DX142" s="26"/>
      <c r="DY142" s="399">
        <f>'Policy Data'!K116</f>
        <v>7</v>
      </c>
      <c r="DZ142" s="100">
        <f>'Policy Data'!L116</f>
        <v>0.8891</v>
      </c>
      <c r="EA142" s="100">
        <f>'Policy Data'!N116</f>
        <v>8.1999999999999998E-4</v>
      </c>
      <c r="EB142" s="93" cm="1">
        <f t="array" ref="EB142">IFERROR(DZ142*INDEX(Mortality!$B$4:$E$64,MATCH(D142+DY142-1,Mortality!$A$4:$A$64,0),U142)*V142,0)</f>
        <v>1.3250203402194933E-3</v>
      </c>
      <c r="EC142" s="100">
        <f>'Policy Data'!O116</f>
        <v>0</v>
      </c>
      <c r="ED142" s="400">
        <f>'Policy Data'!Q116</f>
        <v>0</v>
      </c>
    </row>
    <row r="143" spans="1:134" x14ac:dyDescent="0.3">
      <c r="A143" s="399" t="str">
        <f>'Policy Data'!A117</f>
        <v>POL100113</v>
      </c>
      <c r="B143" s="26" t="s">
        <v>426</v>
      </c>
      <c r="C143" s="100" t="str">
        <f>'Policy Data'!B117</f>
        <v>Term Life</v>
      </c>
      <c r="D143" s="100">
        <f>'Policy Data'!C117</f>
        <v>32</v>
      </c>
      <c r="E143" s="100" t="str">
        <f>'Policy Data'!D117</f>
        <v>Male</v>
      </c>
      <c r="F143" s="100" t="str">
        <f>'Policy Data'!E117</f>
        <v>Smoker</v>
      </c>
      <c r="G143" s="100" t="str">
        <f>'Policy Data'!F117</f>
        <v>Standard</v>
      </c>
      <c r="H143" s="100">
        <f>'Policy Data'!G117</f>
        <v>25</v>
      </c>
      <c r="I143" s="279">
        <f>'Policy Data'!H117</f>
        <v>1000000</v>
      </c>
      <c r="J143" s="100" t="str">
        <f>'Policy Data'!I117</f>
        <v>Monthly</v>
      </c>
      <c r="K143" s="100" t="str">
        <f>'Policy Data'!J117</f>
        <v>Bancassurance</v>
      </c>
      <c r="L143" s="26" t="s">
        <v>389</v>
      </c>
      <c r="M143" s="106">
        <f>'Policy Data'!R117</f>
        <v>2212.4</v>
      </c>
      <c r="N143" s="415">
        <f>Assumptions!$C$21</f>
        <v>1</v>
      </c>
      <c r="O143" s="415">
        <f>Assumptions!$C$22</f>
        <v>1</v>
      </c>
      <c r="P143" s="415">
        <f>Assumptions!$C$23</f>
        <v>1</v>
      </c>
      <c r="Q143" s="416">
        <f>Assumptions!$C$24</f>
        <v>0</v>
      </c>
      <c r="R143" s="416">
        <f>Assumptions!$C$6+Assumptions!$C$25</f>
        <v>3.5000000000000003E-2</v>
      </c>
      <c r="S143" s="416">
        <f>Assumptions!$C$15</f>
        <v>1.1000000000000001E-3</v>
      </c>
      <c r="T143" s="26">
        <f t="shared" si="36"/>
        <v>1</v>
      </c>
      <c r="U143" s="26">
        <f t="shared" si="37"/>
        <v>4</v>
      </c>
      <c r="V143" s="389">
        <f>IF($G143="Preferred",Assumptions!$C$30,IF($G143="Rated",Assumptions!$C$31,1))</f>
        <v>1</v>
      </c>
      <c r="W143" s="390">
        <f>IF($K143="Direct",Assumptions!$C$32,IF($K143="Broker",Assumptions!$C$33,IF($K143="Bancassurance",Assumptions!$C$34,Assumptions!$C$11)))+$Q143</f>
        <v>0.2</v>
      </c>
      <c r="X143" s="390">
        <f>Assumptions!$C$12+$Q143</f>
        <v>0.05</v>
      </c>
      <c r="Y143" s="131">
        <f>MIN($I143,Assumptions!$C$14)</f>
        <v>500000</v>
      </c>
      <c r="Z143" s="131">
        <f>MAX($I143-Assumptions!$C$14,0)</f>
        <v>500000</v>
      </c>
      <c r="AA143" s="389">
        <f t="shared" si="38"/>
        <v>9.4022545586321566</v>
      </c>
      <c r="AB143" s="389">
        <f t="shared" si="39"/>
        <v>2.1541904223207529E-2</v>
      </c>
      <c r="AC143" s="389">
        <f>IF($T143=1,SUMPRODUCT($CJ143:$DW143,(1+Assumptions!$C$5)^($CJ$5:$DW$5-1),(1+$R143)^(-$CJ$5:$DW$5)),0)</f>
        <v>13.513965543424536</v>
      </c>
      <c r="AD143" s="389">
        <f t="shared" si="40"/>
        <v>0.61504026416349189</v>
      </c>
      <c r="AE143" s="131">
        <f>IF($T143=1,$AB143*$Y143+(Assumptions!$C$9/(1+$R143)+Assumptions!$C$10*$AC143)*$P143+$S143*$Z143*$AA143,0)</f>
        <v>19784.829755796152</v>
      </c>
      <c r="AF143" s="131">
        <f>IF($T143=1,IF($AA143-$AD143-Assumptions!$C$16*$AA143&gt;0,$AE143/($AA143-$AD143-Assumptions!$C$16*$AA143)*IF($J143="Monthly",1+Assumptions!$C$29,1),"n.a."),"")</f>
        <v>2536.1902422026033</v>
      </c>
      <c r="AG143" s="131">
        <f t="shared" si="41"/>
        <v>2212.4</v>
      </c>
      <c r="AH143" s="131">
        <f t="shared" si="42"/>
        <v>20801.547985517784</v>
      </c>
      <c r="AI143" s="131">
        <f t="shared" si="43"/>
        <v>-343.99685071367639</v>
      </c>
      <c r="AJ143" s="390">
        <f t="shared" si="44"/>
        <v>-1.6537079401646934E-2</v>
      </c>
      <c r="AK143" s="389">
        <f t="shared" si="45"/>
        <v>0.87233203692109418</v>
      </c>
      <c r="AL143" s="131">
        <f t="shared" si="46"/>
        <v>10770.952111603765</v>
      </c>
      <c r="AM143" s="131">
        <f t="shared" si="47"/>
        <v>5171.2400072476858</v>
      </c>
      <c r="AN143" s="131">
        <f t="shared" si="48"/>
        <v>5599.7121043560792</v>
      </c>
      <c r="AO143" s="131">
        <f t="shared" si="49"/>
        <v>-5943.7089550697556</v>
      </c>
      <c r="AP143" s="26" t="str">
        <f t="shared" si="50"/>
        <v>30-39</v>
      </c>
      <c r="AQ143" s="26" t="str">
        <f t="shared" si="51"/>
        <v>500k-1m</v>
      </c>
      <c r="AR143" s="26" t="str">
        <f>IF($T143=1,IF($AI143&lt;0,"Loss-making",IF($AJ143&lt;Assumptions!$C$16-0.00001,"Below target","At/above target")),"Excluded")</f>
        <v>Loss-making</v>
      </c>
      <c r="AS143" s="103">
        <f t="shared" si="52"/>
        <v>-343.99670771367641</v>
      </c>
      <c r="AT143" s="26"/>
      <c r="AU143" s="419">
        <f>IF(AND($T143=1,AU$5&lt;=$H143),INDEX(Mortality!$B$4:$E$64,MATCH($D143+AU$5-1,Mortality!$A$4:$A$64,0),$U143)*$V143*$N143,0)</f>
        <v>1.0020315949681299E-3</v>
      </c>
      <c r="AV143" s="93">
        <f>IF(AND($T143=1,AV$5&lt;=$H143),INDEX(Mortality!$B$4:$E$64,MATCH($D143+AV$5-1,Mortality!$A$4:$A$64,0),$U143)*$V143*$N143,0)</f>
        <v>1.08548786823069E-3</v>
      </c>
      <c r="AW143" s="93">
        <f>IF(AND($T143=1,AW$5&lt;=$H143),INDEX(Mortality!$B$4:$E$64,MATCH($D143+AW$5-1,Mortality!$A$4:$A$64,0),$U143)*$V143*$N143,0)</f>
        <v>1.1758949697723701E-3</v>
      </c>
      <c r="AX143" s="93">
        <f>IF(AND($T143=1,AX$5&lt;=$H143),INDEX(Mortality!$B$4:$E$64,MATCH($D143+AX$5-1,Mortality!$A$4:$A$64,0),$U143)*$V143*$N143,0)</f>
        <v>1.27383181369844E-3</v>
      </c>
      <c r="AY143" s="93">
        <f>IF(AND($T143=1,AY$5&lt;=$H143),INDEX(Mortality!$B$4:$E$64,MATCH($D143+AY$5-1,Mortality!$A$4:$A$64,0),$U143)*$V143*$N143,0)</f>
        <v>1.3799255301724599E-3</v>
      </c>
      <c r="AZ143" s="93">
        <f>IF(AND($T143=1,AZ$5&lt;=$H143),INDEX(Mortality!$B$4:$E$64,MATCH($D143+AZ$5-1,Mortality!$A$4:$A$64,0),$U143)*$V143*$N143,0)</f>
        <v>1.49485548119033E-3</v>
      </c>
      <c r="BA143" s="93">
        <f>IF(AND($T143=1,BA$5&lt;=$H143),INDEX(Mortality!$B$4:$E$64,MATCH($D143+BA$5-1,Mortality!$A$4:$A$64,0),$U143)*$V143*$N143,0)</f>
        <v>1.6193576108165201E-3</v>
      </c>
      <c r="BB143" s="93">
        <f>IF(AND($T143=1,BB$5&lt;=$H143),INDEX(Mortality!$B$4:$E$64,MATCH($D143+BB$5-1,Mortality!$A$4:$A$64,0),$U143)*$V143*$N143,0)</f>
        <v>1.75422915773855E-3</v>
      </c>
      <c r="BC143" s="93">
        <f>IF(AND($T143=1,BC$5&lt;=$H143),INDEX(Mortality!$B$4:$E$64,MATCH($D143+BC$5-1,Mortality!$A$4:$A$64,0),$U143)*$V143*$N143,0)</f>
        <v>1.90033376031651E-3</v>
      </c>
      <c r="BD143" s="93">
        <f>IF(AND($T143=1,BD$5&lt;=$H143),INDEX(Mortality!$B$4:$E$64,MATCH($D143+BD$5-1,Mortality!$A$4:$A$64,0),$U143)*$V143*$N143,0)</f>
        <v>2.0586069868169998E-3</v>
      </c>
      <c r="BE143" s="93">
        <f>IF(AND($T143=1,BE$5&lt;=$H143),INDEX(Mortality!$B$4:$E$64,MATCH($D143+BE$5-1,Mortality!$A$4:$A$64,0),$U143)*$V143*$N143,0)</f>
        <v>2.2300623262441598E-3</v>
      </c>
      <c r="BF143" s="93">
        <f>IF(AND($T143=1,BF$5&lt;=$H143),INDEX(Mortality!$B$4:$E$64,MATCH($D143+BF$5-1,Mortality!$A$4:$A$64,0),$U143)*$V143*$N143,0)</f>
        <v>2.4157976781294401E-3</v>
      </c>
      <c r="BG143" s="93">
        <f>IF(AND($T143=1,BG$5&lt;=$H143),INDEX(Mortality!$B$4:$E$64,MATCH($D143+BG$5-1,Mortality!$A$4:$A$64,0),$U143)*$V143*$N143,0)</f>
        <v>2.6170023828368102E-3</v>
      </c>
      <c r="BH143" s="93">
        <f>IF(AND($T143=1,BH$5&lt;=$H143),INDEX(Mortality!$B$4:$E$64,MATCH($D143+BH$5-1,Mortality!$A$4:$A$64,0),$U143)*$V143*$N143,0)</f>
        <v>2.8349648374016699E-3</v>
      </c>
      <c r="BI143" s="93">
        <f>IF(AND($T143=1,BI$5&lt;=$H143),INDEX(Mortality!$B$4:$E$64,MATCH($D143+BI$5-1,Mortality!$A$4:$A$64,0),$U143)*$V143*$N143,0)</f>
        <v>3.0710807456704702E-3</v>
      </c>
      <c r="BJ143" s="93">
        <f>IF(AND($T143=1,BJ$5&lt;=$H143),INDEX(Mortality!$B$4:$E$64,MATCH($D143+BJ$5-1,Mortality!$A$4:$A$64,0),$U143)*$V143*$N143,0)</f>
        <v>3.3268620555703902E-3</v>
      </c>
      <c r="BK143" s="93">
        <f>IF(AND($T143=1,BK$5&lt;=$H143),INDEX(Mortality!$B$4:$E$64,MATCH($D143+BK$5-1,Mortality!$A$4:$A$64,0),$U143)*$V143*$N143,0)</f>
        <v>3.60394664073793E-3</v>
      </c>
      <c r="BL143" s="93">
        <f>IF(AND($T143=1,BL$5&lt;=$H143),INDEX(Mortality!$B$4:$E$64,MATCH($D143+BL$5-1,Mortality!$A$4:$A$64,0),$U143)*$V143*$N143,0)</f>
        <v>3.9041087885020101E-3</v>
      </c>
      <c r="BM143" s="93">
        <f>IF(AND($T143=1,BM$5&lt;=$H143),INDEX(Mortality!$B$4:$E$64,MATCH($D143+BM$5-1,Mortality!$A$4:$A$64,0),$U143)*$V143*$N143,0)</f>
        <v>4.2292705613803799E-3</v>
      </c>
      <c r="BN143" s="93">
        <f>IF(AND($T143=1,BN$5&lt;=$H143),INDEX(Mortality!$B$4:$E$64,MATCH($D143+BN$5-1,Mortality!$A$4:$A$64,0),$U143)*$V143*$N143,0)</f>
        <v>4.5815141048417803E-3</v>
      </c>
      <c r="BO143" s="93">
        <f>IF(AND($T143=1,BO$5&lt;=$H143),INDEX(Mortality!$B$4:$E$64,MATCH($D143+BO$5-1,Mortality!$A$4:$A$64,0),$U143)*$V143*$N143,0)</f>
        <v>4.9630949801455103E-3</v>
      </c>
      <c r="BP143" s="93">
        <f>IF(AND($T143=1,BP$5&lt;=$H143),INDEX(Mortality!$B$4:$E$64,MATCH($D143+BP$5-1,Mortality!$A$4:$A$64,0),$U143)*$V143*$N143,0)</f>
        <v>5.37645660763414E-3</v>
      </c>
      <c r="BQ143" s="93">
        <f>IF(AND($T143=1,BQ$5&lt;=$H143),INDEX(Mortality!$B$4:$E$64,MATCH($D143+BQ$5-1,Mortality!$A$4:$A$64,0),$U143)*$V143*$N143,0)</f>
        <v>5.8242459129656402E-3</v>
      </c>
      <c r="BR143" s="93">
        <f>IF(AND($T143=1,BR$5&lt;=$H143),INDEX(Mortality!$B$4:$E$64,MATCH($D143+BR$5-1,Mortality!$A$4:$A$64,0),$U143)*$V143*$N143,0)</f>
        <v>6.3093302764744104E-3</v>
      </c>
      <c r="BS143" s="93">
        <f>IF(AND($T143=1,BS$5&lt;=$H143),INDEX(Mortality!$B$4:$E$64,MATCH($D143+BS$5-1,Mortality!$A$4:$A$64,0),$U143)*$V143*$N143,0)</f>
        <v>6.8348158941948E-3</v>
      </c>
      <c r="BT143" s="93">
        <f>IF(AND($T143=1,BT$5&lt;=$H143),INDEX(Mortality!$B$4:$E$64,MATCH($D143+BT$5-1,Mortality!$A$4:$A$64,0),$U143)*$V143*$N143,0)</f>
        <v>0</v>
      </c>
      <c r="BU143" s="93">
        <f>IF(AND($T143=1,BU$5&lt;=$H143),INDEX(Mortality!$B$4:$E$64,MATCH($D143+BU$5-1,Mortality!$A$4:$A$64,0),$U143)*$V143*$N143,0)</f>
        <v>0</v>
      </c>
      <c r="BV143" s="93">
        <f>IF(AND($T143=1,BV$5&lt;=$H143),INDEX(Mortality!$B$4:$E$64,MATCH($D143+BV$5-1,Mortality!$A$4:$A$64,0),$U143)*$V143*$N143,0)</f>
        <v>0</v>
      </c>
      <c r="BW143" s="93">
        <f>IF(AND($T143=1,BW$5&lt;=$H143),INDEX(Mortality!$B$4:$E$64,MATCH($D143+BW$5-1,Mortality!$A$4:$A$64,0),$U143)*$V143*$N143,0)</f>
        <v>0</v>
      </c>
      <c r="BX143" s="93">
        <f>IF(AND($T143=1,BX$5&lt;=$H143),INDEX(Mortality!$B$4:$E$64,MATCH($D143+BX$5-1,Mortality!$A$4:$A$64,0),$U143)*$V143*$N143,0)</f>
        <v>0</v>
      </c>
      <c r="BY143" s="93">
        <f>IF(AND($T143=1,BY$5&lt;=$H143),INDEX(Mortality!$B$4:$E$64,MATCH($D143+BY$5-1,Mortality!$A$4:$A$64,0),$U143)*$V143*$N143,0)</f>
        <v>0</v>
      </c>
      <c r="BZ143" s="93">
        <f>IF(AND($T143=1,BZ$5&lt;=$H143),INDEX(Mortality!$B$4:$E$64,MATCH($D143+BZ$5-1,Mortality!$A$4:$A$64,0),$U143)*$V143*$N143,0)</f>
        <v>0</v>
      </c>
      <c r="CA143" s="93">
        <f>IF(AND($T143=1,CA$5&lt;=$H143),INDEX(Mortality!$B$4:$E$64,MATCH($D143+CA$5-1,Mortality!$A$4:$A$64,0),$U143)*$V143*$N143,0)</f>
        <v>0</v>
      </c>
      <c r="CB143" s="93">
        <f>IF(AND($T143=1,CB$5&lt;=$H143),INDEX(Mortality!$B$4:$E$64,MATCH($D143+CB$5-1,Mortality!$A$4:$A$64,0),$U143)*$V143*$N143,0)</f>
        <v>0</v>
      </c>
      <c r="CC143" s="93">
        <f>IF(AND($T143=1,CC$5&lt;=$H143),INDEX(Mortality!$B$4:$E$64,MATCH($D143+CC$5-1,Mortality!$A$4:$A$64,0),$U143)*$V143*$N143,0)</f>
        <v>0</v>
      </c>
      <c r="CD143" s="93">
        <f>IF(AND($T143=1,CD$5&lt;=$H143),INDEX(Mortality!$B$4:$E$64,MATCH($D143+CD$5-1,Mortality!$A$4:$A$64,0),$U143)*$V143*$N143,0)</f>
        <v>0</v>
      </c>
      <c r="CE143" s="93">
        <f>IF(AND($T143=1,CE$5&lt;=$H143),INDEX(Mortality!$B$4:$E$64,MATCH($D143+CE$5-1,Mortality!$A$4:$A$64,0),$U143)*$V143*$N143,0)</f>
        <v>0</v>
      </c>
      <c r="CF143" s="93">
        <f>IF(AND($T143=1,CF$5&lt;=$H143),INDEX(Mortality!$B$4:$E$64,MATCH($D143+CF$5-1,Mortality!$A$4:$A$64,0),$U143)*$V143*$N143,0)</f>
        <v>0</v>
      </c>
      <c r="CG143" s="93">
        <f>IF(AND($T143=1,CG$5&lt;=$H143),INDEX(Mortality!$B$4:$E$64,MATCH($D143+CG$5-1,Mortality!$A$4:$A$64,0),$U143)*$V143*$N143,0)</f>
        <v>0</v>
      </c>
      <c r="CH143" s="94">
        <f>IF(AND($T143=1,CH$5&lt;=$H143),INDEX(Mortality!$B$4:$E$64,MATCH($D143+CH$5-1,Mortality!$A$4:$A$64,0),$U143)*$V143*$N143,0)</f>
        <v>0</v>
      </c>
      <c r="CI143" s="26"/>
      <c r="CJ143" s="419">
        <f t="shared" si="53"/>
        <v>1</v>
      </c>
      <c r="CK143" s="93">
        <f>IF(AND($T143=1,CK$5&lt;=$H143),CJ143*(1-AU143)*(1-MIN(1,MAX(Assumptions!$C$27,Assumptions!$C$13*Assumptions!$C$28^(CJ$5-1))*$O143)),0)</f>
        <v>0.87911821219642805</v>
      </c>
      <c r="CL143" s="93">
        <f>IF(AND($T143=1,CL$5&lt;=$H143),CK143*(1-AV143)*(1-MIN(1,MAX(Assumptions!$C$27,Assumptions!$C$13*Assumptions!$C$28^(CK$5-1))*$O143)),0)</f>
        <v>0.78859121815802868</v>
      </c>
      <c r="CM143" s="93">
        <f>IF(AND($T143=1,CM$5&lt;=$H143),CL143*(1-AW143)*(1-MIN(1,MAX(Assumptions!$C$27,Assumptions!$C$13*Assumptions!$C$28^(CL$5-1))*$O143)),0)</f>
        <v>0.71937345604581249</v>
      </c>
      <c r="CN143" s="93">
        <f>IF(AND($T143=1,CN$5&lt;=$H143),CM143*(1-AX143)*(1-MIN(1,MAX(Assumptions!$C$27,Assumptions!$C$13*Assumptions!$C$28^(CM$5-1))*$O143)),0)</f>
        <v>0.66551039961700664</v>
      </c>
      <c r="CO143" s="93">
        <f>IF(AND($T143=1,CO$5&lt;=$H143),CN143*(1-AY143)*(1-MIN(1,MAX(Assumptions!$C$27,Assumptions!$C$13*Assumptions!$C$28^(CN$5-1))*$O143)),0)</f>
        <v>0.62296150069404688</v>
      </c>
      <c r="CP143" s="93">
        <f>IF(AND($T143=1,CP$5&lt;=$H143),CO143*(1-AZ143)*(1-MIN(1,MAX(Assumptions!$C$27,Assumptions!$C$13*Assumptions!$C$28^(CO$5-1))*$O143)),0)</f>
        <v>0.58891048739778196</v>
      </c>
      <c r="CQ143" s="93">
        <f>IF(AND($T143=1,CQ$5&lt;=$H143),CP143*(1-BA143)*(1-MIN(1,MAX(Assumptions!$C$27,Assumptions!$C$13*Assumptions!$C$28^(CP$5-1))*$O143)),0)</f>
        <v>0.56134711464828368</v>
      </c>
      <c r="CR143" s="93">
        <f>IF(AND($T143=1,CR$5&lt;=$H143),CQ143*(1-BB143)*(1-MIN(1,MAX(Assumptions!$C$27,Assumptions!$C$13*Assumptions!$C$28^(CQ$5-1))*$O143)),0)</f>
        <v>0.53880566223059467</v>
      </c>
      <c r="CS143" s="93">
        <f>IF(AND($T143=1,CS$5&lt;=$H143),CR143*(1-BC143)*(1-MIN(1,MAX(Assumptions!$C$27,Assumptions!$C$13*Assumptions!$C$28^(CR$5-1))*$O143)),0)</f>
        <v>0.5201968998170976</v>
      </c>
      <c r="CT143" s="93">
        <f>IF(AND($T143=1,CT$5&lt;=$H143),CS143*(1-BD143)*(1-MIN(1,MAX(Assumptions!$C$27,Assumptions!$C$13*Assumptions!$C$28^(CS$5-1))*$O143)),0)</f>
        <v>0.50469741285809999</v>
      </c>
      <c r="CU143" s="93">
        <f>IF(AND($T143=1,CU$5&lt;=$H143),CT143*(1-BE143)*(1-MIN(1,MAX(Assumptions!$C$27,Assumptions!$C$13*Assumptions!$C$28^(CT$5-1))*$O143)),0)</f>
        <v>0.49167505588310312</v>
      </c>
      <c r="CV143" s="93">
        <f>IF(AND($T143=1,CV$5&lt;=$H143),CU143*(1-BF143)*(1-MIN(1,MAX(Assumptions!$C$27,Assumptions!$C$13*Assumptions!$C$28^(CU$5-1))*$O143)),0)</f>
        <v>0.48063770076630868</v>
      </c>
      <c r="CW143" s="93">
        <f>IF(AND($T143=1,CW$5&lt;=$H143),CV143*(1-BG143)*(1-MIN(1,MAX(Assumptions!$C$27,Assumptions!$C$13*Assumptions!$C$28^(CV$5-1))*$O143)),0)</f>
        <v>0.46979227334295959</v>
      </c>
      <c r="CX143" s="93">
        <f>IF(AND($T143=1,CX$5&lt;=$H143),CW143*(1-BH143)*(1-MIN(1,MAX(Assumptions!$C$27,Assumptions!$C$13*Assumptions!$C$28^(CW$5-1))*$O143)),0)</f>
        <v>0.45909122019180632</v>
      </c>
      <c r="CY143" s="93">
        <f>IF(AND($T143=1,CY$5&lt;=$H143),CX143*(1-BI143)*(1-MIN(1,MAX(Assumptions!$C$27,Assumptions!$C$13*Assumptions!$C$28^(CX$5-1))*$O143)),0)</f>
        <v>0.44852768770526952</v>
      </c>
      <c r="CZ143" s="93">
        <f>IF(AND($T143=1,CZ$5&lt;=$H143),CY143*(1-BJ143)*(1-MIN(1,MAX(Assumptions!$C$27,Assumptions!$C$13*Assumptions!$C$28^(CY$5-1))*$O143)),0)</f>
        <v>0.43809478800096668</v>
      </c>
      <c r="DA143" s="93">
        <f>IF(AND($T143=1,DA$5&lt;=$H143),CZ143*(1-BK143)*(1-MIN(1,MAX(Assumptions!$C$27,Assumptions!$C$13*Assumptions!$C$28^(CZ$5-1))*$O143)),0)</f>
        <v>0.42778559940619726</v>
      </c>
      <c r="DB143" s="93">
        <f>IF(AND($T143=1,DB$5&lt;=$H143),DA143*(1-BL143)*(1-MIN(1,MAX(Assumptions!$C$27,Assumptions!$C$13*Assumptions!$C$28^(DA$5-1))*$O143)),0)</f>
        <v>0.41759316833020171</v>
      </c>
      <c r="DC143" s="93">
        <f>IF(AND($T143=1,DC$5&lt;=$H143),DB143*(1-BM143)*(1-MIN(1,MAX(Assumptions!$C$27,Assumptions!$C$13*Assumptions!$C$28^(DB$5-1))*$O143)),0)</f>
        <v>0.40751051276001421</v>
      </c>
      <c r="DD143" s="93">
        <f>IF(AND($T143=1,DD$5&lt;=$H143),DC143*(1-BN143)*(1-MIN(1,MAX(Assumptions!$C$27,Assumptions!$C$13*Assumptions!$C$28^(DC$5-1))*$O143)),0)</f>
        <v>0.39753062764597424</v>
      </c>
      <c r="DE143" s="93">
        <f>IF(AND($T143=1,DE$5&lt;=$H143),DD143*(1-BO143)*(1-MIN(1,MAX(Assumptions!$C$27,Assumptions!$C$13*Assumptions!$C$28^(DD$5-1))*$O143)),0)</f>
        <v>0.38764649247578142</v>
      </c>
      <c r="DF143" s="93">
        <f>IF(AND($T143=1,DF$5&lt;=$H143),DE143*(1-BP143)*(1-MIN(1,MAX(Assumptions!$C$27,Assumptions!$C$13*Assumptions!$C$28^(DE$5-1))*$O143)),0)</f>
        <v>0.37785108137128609</v>
      </c>
      <c r="DG143" s="93">
        <f>IF(AND($T143=1,DG$5&lt;=$H143),DF143*(1-BQ143)*(1-MIN(1,MAX(Assumptions!$C$27,Assumptions!$C$13*Assumptions!$C$28^(DF$5-1))*$O143)),0)</f>
        <v>0.36813737607980174</v>
      </c>
      <c r="DH143" s="93">
        <f>IF(AND($T143=1,DH$5&lt;=$H143),DG143*(1-BR143)*(1-MIN(1,MAX(Assumptions!$C$27,Assumptions!$C$13*Assumptions!$C$28^(DG$5-1))*$O143)),0)</f>
        <v>0.35849838227125963</v>
      </c>
      <c r="DI143" s="93">
        <f>IF(AND($T143=1,DI$5&lt;=$H143),DH143*(1-BS143)*(1-MIN(1,MAX(Assumptions!$C$27,Assumptions!$C$13*Assumptions!$C$28^(DH$5-1))*$O143)),0)</f>
        <v>0</v>
      </c>
      <c r="DJ143" s="93">
        <f>IF(AND($T143=1,DJ$5&lt;=$H143),DI143*(1-BT143)*(1-MIN(1,MAX(Assumptions!$C$27,Assumptions!$C$13*Assumptions!$C$28^(DI$5-1))*$O143)),0)</f>
        <v>0</v>
      </c>
      <c r="DK143" s="93">
        <f>IF(AND($T143=1,DK$5&lt;=$H143),DJ143*(1-BU143)*(1-MIN(1,MAX(Assumptions!$C$27,Assumptions!$C$13*Assumptions!$C$28^(DJ$5-1))*$O143)),0)</f>
        <v>0</v>
      </c>
      <c r="DL143" s="93">
        <f>IF(AND($T143=1,DL$5&lt;=$H143),DK143*(1-BV143)*(1-MIN(1,MAX(Assumptions!$C$27,Assumptions!$C$13*Assumptions!$C$28^(DK$5-1))*$O143)),0)</f>
        <v>0</v>
      </c>
      <c r="DM143" s="93">
        <f>IF(AND($T143=1,DM$5&lt;=$H143),DL143*(1-BW143)*(1-MIN(1,MAX(Assumptions!$C$27,Assumptions!$C$13*Assumptions!$C$28^(DL$5-1))*$O143)),0)</f>
        <v>0</v>
      </c>
      <c r="DN143" s="93">
        <f>IF(AND($T143=1,DN$5&lt;=$H143),DM143*(1-BX143)*(1-MIN(1,MAX(Assumptions!$C$27,Assumptions!$C$13*Assumptions!$C$28^(DM$5-1))*$O143)),0)</f>
        <v>0</v>
      </c>
      <c r="DO143" s="93">
        <f>IF(AND($T143=1,DO$5&lt;=$H143),DN143*(1-BY143)*(1-MIN(1,MAX(Assumptions!$C$27,Assumptions!$C$13*Assumptions!$C$28^(DN$5-1))*$O143)),0)</f>
        <v>0</v>
      </c>
      <c r="DP143" s="93">
        <f>IF(AND($T143=1,DP$5&lt;=$H143),DO143*(1-BZ143)*(1-MIN(1,MAX(Assumptions!$C$27,Assumptions!$C$13*Assumptions!$C$28^(DO$5-1))*$O143)),0)</f>
        <v>0</v>
      </c>
      <c r="DQ143" s="93">
        <f>IF(AND($T143=1,DQ$5&lt;=$H143),DP143*(1-CA143)*(1-MIN(1,MAX(Assumptions!$C$27,Assumptions!$C$13*Assumptions!$C$28^(DP$5-1))*$O143)),0)</f>
        <v>0</v>
      </c>
      <c r="DR143" s="93">
        <f>IF(AND($T143=1,DR$5&lt;=$H143),DQ143*(1-CB143)*(1-MIN(1,MAX(Assumptions!$C$27,Assumptions!$C$13*Assumptions!$C$28^(DQ$5-1))*$O143)),0)</f>
        <v>0</v>
      </c>
      <c r="DS143" s="93">
        <f>IF(AND($T143=1,DS$5&lt;=$H143),DR143*(1-CC143)*(1-MIN(1,MAX(Assumptions!$C$27,Assumptions!$C$13*Assumptions!$C$28^(DR$5-1))*$O143)),0)</f>
        <v>0</v>
      </c>
      <c r="DT143" s="93">
        <f>IF(AND($T143=1,DT$5&lt;=$H143),DS143*(1-CD143)*(1-MIN(1,MAX(Assumptions!$C$27,Assumptions!$C$13*Assumptions!$C$28^(DS$5-1))*$O143)),0)</f>
        <v>0</v>
      </c>
      <c r="DU143" s="93">
        <f>IF(AND($T143=1,DU$5&lt;=$H143),DT143*(1-CE143)*(1-MIN(1,MAX(Assumptions!$C$27,Assumptions!$C$13*Assumptions!$C$28^(DT$5-1))*$O143)),0)</f>
        <v>0</v>
      </c>
      <c r="DV143" s="93">
        <f>IF(AND($T143=1,DV$5&lt;=$H143),DU143*(1-CF143)*(1-MIN(1,MAX(Assumptions!$C$27,Assumptions!$C$13*Assumptions!$C$28^(DU$5-1))*$O143)),0)</f>
        <v>0</v>
      </c>
      <c r="DW143" s="94">
        <f>IF(AND($T143=1,DW$5&lt;=$H143),DV143*(1-CG143)*(1-MIN(1,MAX(Assumptions!$C$27,Assumptions!$C$13*Assumptions!$C$28^(DV$5-1))*$O143)),0)</f>
        <v>0</v>
      </c>
      <c r="DX143" s="26"/>
      <c r="DY143" s="399">
        <f>'Policy Data'!K117</f>
        <v>7</v>
      </c>
      <c r="DZ143" s="100">
        <f>'Policy Data'!L117</f>
        <v>0.99480000000000002</v>
      </c>
      <c r="EA143" s="100">
        <f>'Policy Data'!N117</f>
        <v>9.9700000000000006E-4</v>
      </c>
      <c r="EB143" s="93" cm="1">
        <f t="array" ref="EB143">IFERROR(DZ143*INDEX(Mortality!$B$4:$E$64,MATCH(D143+DY143-1,Mortality!$A$4:$A$64,0),U143)*V143,0)</f>
        <v>1.6109369512402741E-3</v>
      </c>
      <c r="EC143" s="100">
        <f>'Policy Data'!O117</f>
        <v>0</v>
      </c>
      <c r="ED143" s="400">
        <f>'Policy Data'!Q117</f>
        <v>0</v>
      </c>
    </row>
    <row r="144" spans="1:134" x14ac:dyDescent="0.3">
      <c r="A144" s="399" t="str">
        <f>'Policy Data'!A118</f>
        <v>POL100114</v>
      </c>
      <c r="B144" s="26" t="s">
        <v>426</v>
      </c>
      <c r="C144" s="100" t="str">
        <f>'Policy Data'!B118</f>
        <v>Unit-Linked</v>
      </c>
      <c r="D144" s="100">
        <f>'Policy Data'!C118</f>
        <v>57</v>
      </c>
      <c r="E144" s="100" t="str">
        <f>'Policy Data'!D118</f>
        <v>Female</v>
      </c>
      <c r="F144" s="100" t="str">
        <f>'Policy Data'!E118</f>
        <v>Non-smoker</v>
      </c>
      <c r="G144" s="100" t="str">
        <f>'Policy Data'!F118</f>
        <v>Standard</v>
      </c>
      <c r="H144" s="100">
        <f>'Policy Data'!G118</f>
        <v>15</v>
      </c>
      <c r="I144" s="279">
        <f>'Policy Data'!H118</f>
        <v>2000000</v>
      </c>
      <c r="J144" s="100" t="str">
        <f>'Policy Data'!I118</f>
        <v>Monthly</v>
      </c>
      <c r="K144" s="100" t="str">
        <f>'Policy Data'!J118</f>
        <v>Broker</v>
      </c>
      <c r="L144" s="26" t="s">
        <v>389</v>
      </c>
      <c r="M144" s="106">
        <f>'Policy Data'!R118</f>
        <v>11589.15</v>
      </c>
      <c r="N144" s="415">
        <f>Assumptions!$C$21</f>
        <v>1</v>
      </c>
      <c r="O144" s="415">
        <f>Assumptions!$C$22</f>
        <v>1</v>
      </c>
      <c r="P144" s="415">
        <f>Assumptions!$C$23</f>
        <v>1</v>
      </c>
      <c r="Q144" s="416">
        <f>Assumptions!$C$24</f>
        <v>0</v>
      </c>
      <c r="R144" s="416">
        <f>Assumptions!$C$6+Assumptions!$C$25</f>
        <v>3.5000000000000003E-2</v>
      </c>
      <c r="S144" s="416">
        <f>Assumptions!$C$15</f>
        <v>1.1000000000000001E-3</v>
      </c>
      <c r="T144" s="26">
        <f t="shared" si="36"/>
        <v>0</v>
      </c>
      <c r="U144" s="26">
        <f t="shared" si="37"/>
        <v>1</v>
      </c>
      <c r="V144" s="389">
        <f>IF($G144="Preferred",Assumptions!$C$30,IF($G144="Rated",Assumptions!$C$31,1))</f>
        <v>1</v>
      </c>
      <c r="W144" s="390">
        <f>IF($K144="Direct",Assumptions!$C$32,IF($K144="Broker",Assumptions!$C$33,IF($K144="Bancassurance",Assumptions!$C$34,Assumptions!$C$11)))+$Q144</f>
        <v>0.25</v>
      </c>
      <c r="X144" s="390">
        <f>Assumptions!$C$12+$Q144</f>
        <v>0.05</v>
      </c>
      <c r="Y144" s="131">
        <f>MIN($I144,Assumptions!$C$14)</f>
        <v>500000</v>
      </c>
      <c r="Z144" s="131">
        <f>MAX($I144-Assumptions!$C$14,0)</f>
        <v>1500000</v>
      </c>
      <c r="AA144" s="389">
        <f t="shared" si="38"/>
        <v>0</v>
      </c>
      <c r="AB144" s="389">
        <f t="shared" si="39"/>
        <v>0</v>
      </c>
      <c r="AC144" s="389">
        <f>IF($T144=1,SUMPRODUCT($CJ144:$DW144,(1+Assumptions!$C$5)^($CJ$5:$DW$5-1),(1+$R144)^(-$CJ$5:$DW$5)),0)</f>
        <v>0</v>
      </c>
      <c r="AD144" s="389">
        <f t="shared" si="40"/>
        <v>0</v>
      </c>
      <c r="AE144" s="131">
        <f>IF($T144=1,$AB144*$Y144+(Assumptions!$C$9/(1+$R144)+Assumptions!$C$10*$AC144)*$P144+$S144*$Z144*$AA144,0)</f>
        <v>0</v>
      </c>
      <c r="AF144" s="131" t="str">
        <f>IF($T144=1,IF($AA144-$AD144-Assumptions!$C$16*$AA144&gt;0,$AE144/($AA144-$AD144-Assumptions!$C$16*$AA144)*IF($J144="Monthly",1+Assumptions!$C$29,1),"n.a."),"")</f>
        <v/>
      </c>
      <c r="AG144" s="131" t="str">
        <f t="shared" si="41"/>
        <v/>
      </c>
      <c r="AH144" s="131" t="str">
        <f t="shared" si="42"/>
        <v/>
      </c>
      <c r="AI144" s="131" t="str">
        <f t="shared" si="43"/>
        <v/>
      </c>
      <c r="AJ144" s="390" t="str">
        <f t="shared" si="44"/>
        <v/>
      </c>
      <c r="AK144" s="389" t="str">
        <f t="shared" si="45"/>
        <v/>
      </c>
      <c r="AL144" s="131" t="str">
        <f t="shared" si="46"/>
        <v/>
      </c>
      <c r="AM144" s="131" t="str">
        <f t="shared" si="47"/>
        <v/>
      </c>
      <c r="AN144" s="131" t="str">
        <f t="shared" si="48"/>
        <v/>
      </c>
      <c r="AO144" s="131" t="str">
        <f t="shared" si="49"/>
        <v/>
      </c>
      <c r="AP144" s="26" t="str">
        <f t="shared" si="50"/>
        <v>50-59</v>
      </c>
      <c r="AQ144" s="26" t="str">
        <f t="shared" si="51"/>
        <v>Over 1m</v>
      </c>
      <c r="AR144" s="26" t="str">
        <f>IF($T144=1,IF($AI144&lt;0,"Loss-making",IF($AJ144&lt;Assumptions!$C$16-0.00001,"Below target","At/above target")),"Excluded")</f>
        <v>Excluded</v>
      </c>
      <c r="AS144" s="103">
        <f t="shared" si="52"/>
        <v>9.9999999999999997E+98</v>
      </c>
      <c r="AT144" s="26"/>
      <c r="AU144" s="419">
        <f>IF(AND($T144=1,AU$5&lt;=$H144),INDEX(Mortality!$B$4:$E$64,MATCH($D144+AU$5-1,Mortality!$A$4:$A$64,0),$U144)*$V144*$N144,0)</f>
        <v>0</v>
      </c>
      <c r="AV144" s="93">
        <f>IF(AND($T144=1,AV$5&lt;=$H144),INDEX(Mortality!$B$4:$E$64,MATCH($D144+AV$5-1,Mortality!$A$4:$A$64,0),$U144)*$V144*$N144,0)</f>
        <v>0</v>
      </c>
      <c r="AW144" s="93">
        <f>IF(AND($T144=1,AW$5&lt;=$H144),INDEX(Mortality!$B$4:$E$64,MATCH($D144+AW$5-1,Mortality!$A$4:$A$64,0),$U144)*$V144*$N144,0)</f>
        <v>0</v>
      </c>
      <c r="AX144" s="93">
        <f>IF(AND($T144=1,AX$5&lt;=$H144),INDEX(Mortality!$B$4:$E$64,MATCH($D144+AX$5-1,Mortality!$A$4:$A$64,0),$U144)*$V144*$N144,0)</f>
        <v>0</v>
      </c>
      <c r="AY144" s="93">
        <f>IF(AND($T144=1,AY$5&lt;=$H144),INDEX(Mortality!$B$4:$E$64,MATCH($D144+AY$5-1,Mortality!$A$4:$A$64,0),$U144)*$V144*$N144,0)</f>
        <v>0</v>
      </c>
      <c r="AZ144" s="93">
        <f>IF(AND($T144=1,AZ$5&lt;=$H144),INDEX(Mortality!$B$4:$E$64,MATCH($D144+AZ$5-1,Mortality!$A$4:$A$64,0),$U144)*$V144*$N144,0)</f>
        <v>0</v>
      </c>
      <c r="BA144" s="93">
        <f>IF(AND($T144=1,BA$5&lt;=$H144),INDEX(Mortality!$B$4:$E$64,MATCH($D144+BA$5-1,Mortality!$A$4:$A$64,0),$U144)*$V144*$N144,0)</f>
        <v>0</v>
      </c>
      <c r="BB144" s="93">
        <f>IF(AND($T144=1,BB$5&lt;=$H144),INDEX(Mortality!$B$4:$E$64,MATCH($D144+BB$5-1,Mortality!$A$4:$A$64,0),$U144)*$V144*$N144,0)</f>
        <v>0</v>
      </c>
      <c r="BC144" s="93">
        <f>IF(AND($T144=1,BC$5&lt;=$H144),INDEX(Mortality!$B$4:$E$64,MATCH($D144+BC$5-1,Mortality!$A$4:$A$64,0),$U144)*$V144*$N144,0)</f>
        <v>0</v>
      </c>
      <c r="BD144" s="93">
        <f>IF(AND($T144=1,BD$5&lt;=$H144),INDEX(Mortality!$B$4:$E$64,MATCH($D144+BD$5-1,Mortality!$A$4:$A$64,0),$U144)*$V144*$N144,0)</f>
        <v>0</v>
      </c>
      <c r="BE144" s="93">
        <f>IF(AND($T144=1,BE$5&lt;=$H144),INDEX(Mortality!$B$4:$E$64,MATCH($D144+BE$5-1,Mortality!$A$4:$A$64,0),$U144)*$V144*$N144,0)</f>
        <v>0</v>
      </c>
      <c r="BF144" s="93">
        <f>IF(AND($T144=1,BF$5&lt;=$H144),INDEX(Mortality!$B$4:$E$64,MATCH($D144+BF$5-1,Mortality!$A$4:$A$64,0),$U144)*$V144*$N144,0)</f>
        <v>0</v>
      </c>
      <c r="BG144" s="93">
        <f>IF(AND($T144=1,BG$5&lt;=$H144),INDEX(Mortality!$B$4:$E$64,MATCH($D144+BG$5-1,Mortality!$A$4:$A$64,0),$U144)*$V144*$N144,0)</f>
        <v>0</v>
      </c>
      <c r="BH144" s="93">
        <f>IF(AND($T144=1,BH$5&lt;=$H144),INDEX(Mortality!$B$4:$E$64,MATCH($D144+BH$5-1,Mortality!$A$4:$A$64,0),$U144)*$V144*$N144,0)</f>
        <v>0</v>
      </c>
      <c r="BI144" s="93">
        <f>IF(AND($T144=1,BI$5&lt;=$H144),INDEX(Mortality!$B$4:$E$64,MATCH($D144+BI$5-1,Mortality!$A$4:$A$64,0),$U144)*$V144*$N144,0)</f>
        <v>0</v>
      </c>
      <c r="BJ144" s="93">
        <f>IF(AND($T144=1,BJ$5&lt;=$H144),INDEX(Mortality!$B$4:$E$64,MATCH($D144+BJ$5-1,Mortality!$A$4:$A$64,0),$U144)*$V144*$N144,0)</f>
        <v>0</v>
      </c>
      <c r="BK144" s="93">
        <f>IF(AND($T144=1,BK$5&lt;=$H144),INDEX(Mortality!$B$4:$E$64,MATCH($D144+BK$5-1,Mortality!$A$4:$A$64,0),$U144)*$V144*$N144,0)</f>
        <v>0</v>
      </c>
      <c r="BL144" s="93">
        <f>IF(AND($T144=1,BL$5&lt;=$H144),INDEX(Mortality!$B$4:$E$64,MATCH($D144+BL$5-1,Mortality!$A$4:$A$64,0),$U144)*$V144*$N144,0)</f>
        <v>0</v>
      </c>
      <c r="BM144" s="93">
        <f>IF(AND($T144=1,BM$5&lt;=$H144),INDEX(Mortality!$B$4:$E$64,MATCH($D144+BM$5-1,Mortality!$A$4:$A$64,0),$U144)*$V144*$N144,0)</f>
        <v>0</v>
      </c>
      <c r="BN144" s="93">
        <f>IF(AND($T144=1,BN$5&lt;=$H144),INDEX(Mortality!$B$4:$E$64,MATCH($D144+BN$5-1,Mortality!$A$4:$A$64,0),$U144)*$V144*$N144,0)</f>
        <v>0</v>
      </c>
      <c r="BO144" s="93">
        <f>IF(AND($T144=1,BO$5&lt;=$H144),INDEX(Mortality!$B$4:$E$64,MATCH($D144+BO$5-1,Mortality!$A$4:$A$64,0),$U144)*$V144*$N144,0)</f>
        <v>0</v>
      </c>
      <c r="BP144" s="93">
        <f>IF(AND($T144=1,BP$5&lt;=$H144),INDEX(Mortality!$B$4:$E$64,MATCH($D144+BP$5-1,Mortality!$A$4:$A$64,0),$U144)*$V144*$N144,0)</f>
        <v>0</v>
      </c>
      <c r="BQ144" s="93">
        <f>IF(AND($T144=1,BQ$5&lt;=$H144),INDEX(Mortality!$B$4:$E$64,MATCH($D144+BQ$5-1,Mortality!$A$4:$A$64,0),$U144)*$V144*$N144,0)</f>
        <v>0</v>
      </c>
      <c r="BR144" s="93">
        <f>IF(AND($T144=1,BR$5&lt;=$H144),INDEX(Mortality!$B$4:$E$64,MATCH($D144+BR$5-1,Mortality!$A$4:$A$64,0),$U144)*$V144*$N144,0)</f>
        <v>0</v>
      </c>
      <c r="BS144" s="93">
        <f>IF(AND($T144=1,BS$5&lt;=$H144),INDEX(Mortality!$B$4:$E$64,MATCH($D144+BS$5-1,Mortality!$A$4:$A$64,0),$U144)*$V144*$N144,0)</f>
        <v>0</v>
      </c>
      <c r="BT144" s="93">
        <f>IF(AND($T144=1,BT$5&lt;=$H144),INDEX(Mortality!$B$4:$E$64,MATCH($D144+BT$5-1,Mortality!$A$4:$A$64,0),$U144)*$V144*$N144,0)</f>
        <v>0</v>
      </c>
      <c r="BU144" s="93">
        <f>IF(AND($T144=1,BU$5&lt;=$H144),INDEX(Mortality!$B$4:$E$64,MATCH($D144+BU$5-1,Mortality!$A$4:$A$64,0),$U144)*$V144*$N144,0)</f>
        <v>0</v>
      </c>
      <c r="BV144" s="93">
        <f>IF(AND($T144=1,BV$5&lt;=$H144),INDEX(Mortality!$B$4:$E$64,MATCH($D144+BV$5-1,Mortality!$A$4:$A$64,0),$U144)*$V144*$N144,0)</f>
        <v>0</v>
      </c>
      <c r="BW144" s="93">
        <f>IF(AND($T144=1,BW$5&lt;=$H144),INDEX(Mortality!$B$4:$E$64,MATCH($D144+BW$5-1,Mortality!$A$4:$A$64,0),$U144)*$V144*$N144,0)</f>
        <v>0</v>
      </c>
      <c r="BX144" s="93">
        <f>IF(AND($T144=1,BX$5&lt;=$H144),INDEX(Mortality!$B$4:$E$64,MATCH($D144+BX$5-1,Mortality!$A$4:$A$64,0),$U144)*$V144*$N144,0)</f>
        <v>0</v>
      </c>
      <c r="BY144" s="93">
        <f>IF(AND($T144=1,BY$5&lt;=$H144),INDEX(Mortality!$B$4:$E$64,MATCH($D144+BY$5-1,Mortality!$A$4:$A$64,0),$U144)*$V144*$N144,0)</f>
        <v>0</v>
      </c>
      <c r="BZ144" s="93">
        <f>IF(AND($T144=1,BZ$5&lt;=$H144),INDEX(Mortality!$B$4:$E$64,MATCH($D144+BZ$5-1,Mortality!$A$4:$A$64,0),$U144)*$V144*$N144,0)</f>
        <v>0</v>
      </c>
      <c r="CA144" s="93">
        <f>IF(AND($T144=1,CA$5&lt;=$H144),INDEX(Mortality!$B$4:$E$64,MATCH($D144+CA$5-1,Mortality!$A$4:$A$64,0),$U144)*$V144*$N144,0)</f>
        <v>0</v>
      </c>
      <c r="CB144" s="93">
        <f>IF(AND($T144=1,CB$5&lt;=$H144),INDEX(Mortality!$B$4:$E$64,MATCH($D144+CB$5-1,Mortality!$A$4:$A$64,0),$U144)*$V144*$N144,0)</f>
        <v>0</v>
      </c>
      <c r="CC144" s="93">
        <f>IF(AND($T144=1,CC$5&lt;=$H144),INDEX(Mortality!$B$4:$E$64,MATCH($D144+CC$5-1,Mortality!$A$4:$A$64,0),$U144)*$V144*$N144,0)</f>
        <v>0</v>
      </c>
      <c r="CD144" s="93">
        <f>IF(AND($T144=1,CD$5&lt;=$H144),INDEX(Mortality!$B$4:$E$64,MATCH($D144+CD$5-1,Mortality!$A$4:$A$64,0),$U144)*$V144*$N144,0)</f>
        <v>0</v>
      </c>
      <c r="CE144" s="93">
        <f>IF(AND($T144=1,CE$5&lt;=$H144),INDEX(Mortality!$B$4:$E$64,MATCH($D144+CE$5-1,Mortality!$A$4:$A$64,0),$U144)*$V144*$N144,0)</f>
        <v>0</v>
      </c>
      <c r="CF144" s="93">
        <f>IF(AND($T144=1,CF$5&lt;=$H144),INDEX(Mortality!$B$4:$E$64,MATCH($D144+CF$5-1,Mortality!$A$4:$A$64,0),$U144)*$V144*$N144,0)</f>
        <v>0</v>
      </c>
      <c r="CG144" s="93">
        <f>IF(AND($T144=1,CG$5&lt;=$H144),INDEX(Mortality!$B$4:$E$64,MATCH($D144+CG$5-1,Mortality!$A$4:$A$64,0),$U144)*$V144*$N144,0)</f>
        <v>0</v>
      </c>
      <c r="CH144" s="94">
        <f>IF(AND($T144=1,CH$5&lt;=$H144),INDEX(Mortality!$B$4:$E$64,MATCH($D144+CH$5-1,Mortality!$A$4:$A$64,0),$U144)*$V144*$N144,0)</f>
        <v>0</v>
      </c>
      <c r="CI144" s="26"/>
      <c r="CJ144" s="419">
        <f t="shared" si="53"/>
        <v>0</v>
      </c>
      <c r="CK144" s="93">
        <f>IF(AND($T144=1,CK$5&lt;=$H144),CJ144*(1-AU144)*(1-MIN(1,MAX(Assumptions!$C$27,Assumptions!$C$13*Assumptions!$C$28^(CJ$5-1))*$O144)),0)</f>
        <v>0</v>
      </c>
      <c r="CL144" s="93">
        <f>IF(AND($T144=1,CL$5&lt;=$H144),CK144*(1-AV144)*(1-MIN(1,MAX(Assumptions!$C$27,Assumptions!$C$13*Assumptions!$C$28^(CK$5-1))*$O144)),0)</f>
        <v>0</v>
      </c>
      <c r="CM144" s="93">
        <f>IF(AND($T144=1,CM$5&lt;=$H144),CL144*(1-AW144)*(1-MIN(1,MAX(Assumptions!$C$27,Assumptions!$C$13*Assumptions!$C$28^(CL$5-1))*$O144)),0)</f>
        <v>0</v>
      </c>
      <c r="CN144" s="93">
        <f>IF(AND($T144=1,CN$5&lt;=$H144),CM144*(1-AX144)*(1-MIN(1,MAX(Assumptions!$C$27,Assumptions!$C$13*Assumptions!$C$28^(CM$5-1))*$O144)),0)</f>
        <v>0</v>
      </c>
      <c r="CO144" s="93">
        <f>IF(AND($T144=1,CO$5&lt;=$H144),CN144*(1-AY144)*(1-MIN(1,MAX(Assumptions!$C$27,Assumptions!$C$13*Assumptions!$C$28^(CN$5-1))*$O144)),0)</f>
        <v>0</v>
      </c>
      <c r="CP144" s="93">
        <f>IF(AND($T144=1,CP$5&lt;=$H144),CO144*(1-AZ144)*(1-MIN(1,MAX(Assumptions!$C$27,Assumptions!$C$13*Assumptions!$C$28^(CO$5-1))*$O144)),0)</f>
        <v>0</v>
      </c>
      <c r="CQ144" s="93">
        <f>IF(AND($T144=1,CQ$5&lt;=$H144),CP144*(1-BA144)*(1-MIN(1,MAX(Assumptions!$C$27,Assumptions!$C$13*Assumptions!$C$28^(CP$5-1))*$O144)),0)</f>
        <v>0</v>
      </c>
      <c r="CR144" s="93">
        <f>IF(AND($T144=1,CR$5&lt;=$H144),CQ144*(1-BB144)*(1-MIN(1,MAX(Assumptions!$C$27,Assumptions!$C$13*Assumptions!$C$28^(CQ$5-1))*$O144)),0)</f>
        <v>0</v>
      </c>
      <c r="CS144" s="93">
        <f>IF(AND($T144=1,CS$5&lt;=$H144),CR144*(1-BC144)*(1-MIN(1,MAX(Assumptions!$C$27,Assumptions!$C$13*Assumptions!$C$28^(CR$5-1))*$O144)),0)</f>
        <v>0</v>
      </c>
      <c r="CT144" s="93">
        <f>IF(AND($T144=1,CT$5&lt;=$H144),CS144*(1-BD144)*(1-MIN(1,MAX(Assumptions!$C$27,Assumptions!$C$13*Assumptions!$C$28^(CS$5-1))*$O144)),0)</f>
        <v>0</v>
      </c>
      <c r="CU144" s="93">
        <f>IF(AND($T144=1,CU$5&lt;=$H144),CT144*(1-BE144)*(1-MIN(1,MAX(Assumptions!$C$27,Assumptions!$C$13*Assumptions!$C$28^(CT$5-1))*$O144)),0)</f>
        <v>0</v>
      </c>
      <c r="CV144" s="93">
        <f>IF(AND($T144=1,CV$5&lt;=$H144),CU144*(1-BF144)*(1-MIN(1,MAX(Assumptions!$C$27,Assumptions!$C$13*Assumptions!$C$28^(CU$5-1))*$O144)),0)</f>
        <v>0</v>
      </c>
      <c r="CW144" s="93">
        <f>IF(AND($T144=1,CW$5&lt;=$H144),CV144*(1-BG144)*(1-MIN(1,MAX(Assumptions!$C$27,Assumptions!$C$13*Assumptions!$C$28^(CV$5-1))*$O144)),0)</f>
        <v>0</v>
      </c>
      <c r="CX144" s="93">
        <f>IF(AND($T144=1,CX$5&lt;=$H144),CW144*(1-BH144)*(1-MIN(1,MAX(Assumptions!$C$27,Assumptions!$C$13*Assumptions!$C$28^(CW$5-1))*$O144)),0)</f>
        <v>0</v>
      </c>
      <c r="CY144" s="93">
        <f>IF(AND($T144=1,CY$5&lt;=$H144),CX144*(1-BI144)*(1-MIN(1,MAX(Assumptions!$C$27,Assumptions!$C$13*Assumptions!$C$28^(CX$5-1))*$O144)),0)</f>
        <v>0</v>
      </c>
      <c r="CZ144" s="93">
        <f>IF(AND($T144=1,CZ$5&lt;=$H144),CY144*(1-BJ144)*(1-MIN(1,MAX(Assumptions!$C$27,Assumptions!$C$13*Assumptions!$C$28^(CY$5-1))*$O144)),0)</f>
        <v>0</v>
      </c>
      <c r="DA144" s="93">
        <f>IF(AND($T144=1,DA$5&lt;=$H144),CZ144*(1-BK144)*(1-MIN(1,MAX(Assumptions!$C$27,Assumptions!$C$13*Assumptions!$C$28^(CZ$5-1))*$O144)),0)</f>
        <v>0</v>
      </c>
      <c r="DB144" s="93">
        <f>IF(AND($T144=1,DB$5&lt;=$H144),DA144*(1-BL144)*(1-MIN(1,MAX(Assumptions!$C$27,Assumptions!$C$13*Assumptions!$C$28^(DA$5-1))*$O144)),0)</f>
        <v>0</v>
      </c>
      <c r="DC144" s="93">
        <f>IF(AND($T144=1,DC$5&lt;=$H144),DB144*(1-BM144)*(1-MIN(1,MAX(Assumptions!$C$27,Assumptions!$C$13*Assumptions!$C$28^(DB$5-1))*$O144)),0)</f>
        <v>0</v>
      </c>
      <c r="DD144" s="93">
        <f>IF(AND($T144=1,DD$5&lt;=$H144),DC144*(1-BN144)*(1-MIN(1,MAX(Assumptions!$C$27,Assumptions!$C$13*Assumptions!$C$28^(DC$5-1))*$O144)),0)</f>
        <v>0</v>
      </c>
      <c r="DE144" s="93">
        <f>IF(AND($T144=1,DE$5&lt;=$H144),DD144*(1-BO144)*(1-MIN(1,MAX(Assumptions!$C$27,Assumptions!$C$13*Assumptions!$C$28^(DD$5-1))*$O144)),0)</f>
        <v>0</v>
      </c>
      <c r="DF144" s="93">
        <f>IF(AND($T144=1,DF$5&lt;=$H144),DE144*(1-BP144)*(1-MIN(1,MAX(Assumptions!$C$27,Assumptions!$C$13*Assumptions!$C$28^(DE$5-1))*$O144)),0)</f>
        <v>0</v>
      </c>
      <c r="DG144" s="93">
        <f>IF(AND($T144=1,DG$5&lt;=$H144),DF144*(1-BQ144)*(1-MIN(1,MAX(Assumptions!$C$27,Assumptions!$C$13*Assumptions!$C$28^(DF$5-1))*$O144)),0)</f>
        <v>0</v>
      </c>
      <c r="DH144" s="93">
        <f>IF(AND($T144=1,DH$5&lt;=$H144),DG144*(1-BR144)*(1-MIN(1,MAX(Assumptions!$C$27,Assumptions!$C$13*Assumptions!$C$28^(DG$5-1))*$O144)),0)</f>
        <v>0</v>
      </c>
      <c r="DI144" s="93">
        <f>IF(AND($T144=1,DI$5&lt;=$H144),DH144*(1-BS144)*(1-MIN(1,MAX(Assumptions!$C$27,Assumptions!$C$13*Assumptions!$C$28^(DH$5-1))*$O144)),0)</f>
        <v>0</v>
      </c>
      <c r="DJ144" s="93">
        <f>IF(AND($T144=1,DJ$5&lt;=$H144),DI144*(1-BT144)*(1-MIN(1,MAX(Assumptions!$C$27,Assumptions!$C$13*Assumptions!$C$28^(DI$5-1))*$O144)),0)</f>
        <v>0</v>
      </c>
      <c r="DK144" s="93">
        <f>IF(AND($T144=1,DK$5&lt;=$H144),DJ144*(1-BU144)*(1-MIN(1,MAX(Assumptions!$C$27,Assumptions!$C$13*Assumptions!$C$28^(DJ$5-1))*$O144)),0)</f>
        <v>0</v>
      </c>
      <c r="DL144" s="93">
        <f>IF(AND($T144=1,DL$5&lt;=$H144),DK144*(1-BV144)*(1-MIN(1,MAX(Assumptions!$C$27,Assumptions!$C$13*Assumptions!$C$28^(DK$5-1))*$O144)),0)</f>
        <v>0</v>
      </c>
      <c r="DM144" s="93">
        <f>IF(AND($T144=1,DM$5&lt;=$H144),DL144*(1-BW144)*(1-MIN(1,MAX(Assumptions!$C$27,Assumptions!$C$13*Assumptions!$C$28^(DL$5-1))*$O144)),0)</f>
        <v>0</v>
      </c>
      <c r="DN144" s="93">
        <f>IF(AND($T144=1,DN$5&lt;=$H144),DM144*(1-BX144)*(1-MIN(1,MAX(Assumptions!$C$27,Assumptions!$C$13*Assumptions!$C$28^(DM$5-1))*$O144)),0)</f>
        <v>0</v>
      </c>
      <c r="DO144" s="93">
        <f>IF(AND($T144=1,DO$5&lt;=$H144),DN144*(1-BY144)*(1-MIN(1,MAX(Assumptions!$C$27,Assumptions!$C$13*Assumptions!$C$28^(DN$5-1))*$O144)),0)</f>
        <v>0</v>
      </c>
      <c r="DP144" s="93">
        <f>IF(AND($T144=1,DP$5&lt;=$H144),DO144*(1-BZ144)*(1-MIN(1,MAX(Assumptions!$C$27,Assumptions!$C$13*Assumptions!$C$28^(DO$5-1))*$O144)),0)</f>
        <v>0</v>
      </c>
      <c r="DQ144" s="93">
        <f>IF(AND($T144=1,DQ$5&lt;=$H144),DP144*(1-CA144)*(1-MIN(1,MAX(Assumptions!$C$27,Assumptions!$C$13*Assumptions!$C$28^(DP$5-1))*$O144)),0)</f>
        <v>0</v>
      </c>
      <c r="DR144" s="93">
        <f>IF(AND($T144=1,DR$5&lt;=$H144),DQ144*(1-CB144)*(1-MIN(1,MAX(Assumptions!$C$27,Assumptions!$C$13*Assumptions!$C$28^(DQ$5-1))*$O144)),0)</f>
        <v>0</v>
      </c>
      <c r="DS144" s="93">
        <f>IF(AND($T144=1,DS$5&lt;=$H144),DR144*(1-CC144)*(1-MIN(1,MAX(Assumptions!$C$27,Assumptions!$C$13*Assumptions!$C$28^(DR$5-1))*$O144)),0)</f>
        <v>0</v>
      </c>
      <c r="DT144" s="93">
        <f>IF(AND($T144=1,DT$5&lt;=$H144),DS144*(1-CD144)*(1-MIN(1,MAX(Assumptions!$C$27,Assumptions!$C$13*Assumptions!$C$28^(DS$5-1))*$O144)),0)</f>
        <v>0</v>
      </c>
      <c r="DU144" s="93">
        <f>IF(AND($T144=1,DU$5&lt;=$H144),DT144*(1-CE144)*(1-MIN(1,MAX(Assumptions!$C$27,Assumptions!$C$13*Assumptions!$C$28^(DT$5-1))*$O144)),0)</f>
        <v>0</v>
      </c>
      <c r="DV144" s="93">
        <f>IF(AND($T144=1,DV$5&lt;=$H144),DU144*(1-CF144)*(1-MIN(1,MAX(Assumptions!$C$27,Assumptions!$C$13*Assumptions!$C$28^(DU$5-1))*$O144)),0)</f>
        <v>0</v>
      </c>
      <c r="DW144" s="94">
        <f>IF(AND($T144=1,DW$5&lt;=$H144),DV144*(1-CG144)*(1-MIN(1,MAX(Assumptions!$C$27,Assumptions!$C$13*Assumptions!$C$28^(DV$5-1))*$O144)),0)</f>
        <v>0</v>
      </c>
      <c r="DX144" s="26"/>
      <c r="DY144" s="399">
        <f>'Policy Data'!K118</f>
        <v>2</v>
      </c>
      <c r="DZ144" s="100">
        <f>'Policy Data'!L118</f>
        <v>0.82899999999999996</v>
      </c>
      <c r="EA144" s="100">
        <f>'Policy Data'!N118</f>
        <v>2.7490000000000001E-3</v>
      </c>
      <c r="EB144" s="93" cm="1">
        <f t="array" ref="EB144">IFERROR(DZ144*INDEX(Mortality!$B$4:$E$64,MATCH(D144+DY144-1,Mortality!$A$4:$A$64,0),U144)*V144,0)</f>
        <v>2.9785549012634554E-3</v>
      </c>
      <c r="EC144" s="100">
        <f>'Policy Data'!O118</f>
        <v>0</v>
      </c>
      <c r="ED144" s="400">
        <f>'Policy Data'!Q118</f>
        <v>0</v>
      </c>
    </row>
    <row r="145" spans="1:134" x14ac:dyDescent="0.3">
      <c r="A145" s="399" t="str">
        <f>'Policy Data'!A119</f>
        <v>POL100115</v>
      </c>
      <c r="B145" s="26" t="s">
        <v>426</v>
      </c>
      <c r="C145" s="100" t="str">
        <f>'Policy Data'!B119</f>
        <v>Term Life</v>
      </c>
      <c r="D145" s="100">
        <f>'Policy Data'!C119</f>
        <v>62</v>
      </c>
      <c r="E145" s="100" t="str">
        <f>'Policy Data'!D119</f>
        <v>Male</v>
      </c>
      <c r="F145" s="100" t="str">
        <f>'Policy Data'!E119</f>
        <v>Smoker</v>
      </c>
      <c r="G145" s="100" t="str">
        <f>'Policy Data'!F119</f>
        <v>Preferred</v>
      </c>
      <c r="H145" s="100">
        <f>'Policy Data'!G119</f>
        <v>10</v>
      </c>
      <c r="I145" s="279">
        <f>'Policy Data'!H119</f>
        <v>1000000</v>
      </c>
      <c r="J145" s="100" t="str">
        <f>'Policy Data'!I119</f>
        <v>Monthly</v>
      </c>
      <c r="K145" s="100" t="str">
        <f>'Policy Data'!J119</f>
        <v>Bancassurance</v>
      </c>
      <c r="L145" s="26" t="s">
        <v>389</v>
      </c>
      <c r="M145" s="106">
        <f>'Policy Data'!R119</f>
        <v>11457.02</v>
      </c>
      <c r="N145" s="415">
        <f>Assumptions!$C$21</f>
        <v>1</v>
      </c>
      <c r="O145" s="415">
        <f>Assumptions!$C$22</f>
        <v>1</v>
      </c>
      <c r="P145" s="415">
        <f>Assumptions!$C$23</f>
        <v>1</v>
      </c>
      <c r="Q145" s="416">
        <f>Assumptions!$C$24</f>
        <v>0</v>
      </c>
      <c r="R145" s="416">
        <f>Assumptions!$C$6+Assumptions!$C$25</f>
        <v>3.5000000000000003E-2</v>
      </c>
      <c r="S145" s="416">
        <f>Assumptions!$C$15</f>
        <v>1.1000000000000001E-3</v>
      </c>
      <c r="T145" s="26">
        <f t="shared" si="36"/>
        <v>1</v>
      </c>
      <c r="U145" s="26">
        <f t="shared" si="37"/>
        <v>4</v>
      </c>
      <c r="V145" s="389">
        <f>IF($G145="Preferred",Assumptions!$C$30,IF($G145="Rated",Assumptions!$C$31,1))</f>
        <v>0.8</v>
      </c>
      <c r="W145" s="390">
        <f>IF($K145="Direct",Assumptions!$C$32,IF($K145="Broker",Assumptions!$C$33,IF($K145="Bancassurance",Assumptions!$C$34,Assumptions!$C$11)))+$Q145</f>
        <v>0.2</v>
      </c>
      <c r="X145" s="390">
        <f>Assumptions!$C$12+$Q145</f>
        <v>0.05</v>
      </c>
      <c r="Y145" s="131">
        <f>MIN($I145,Assumptions!$C$14)</f>
        <v>500000</v>
      </c>
      <c r="Z145" s="131">
        <f>MAX($I145-Assumptions!$C$14,0)</f>
        <v>500000</v>
      </c>
      <c r="AA145" s="389">
        <f t="shared" si="38"/>
        <v>5.6461351532281299</v>
      </c>
      <c r="AB145" s="389">
        <f t="shared" si="39"/>
        <v>6.7929617860386968E-2</v>
      </c>
      <c r="AC145" s="389">
        <f>IF($T145=1,SUMPRODUCT($CJ145:$DW145,(1+Assumptions!$C$5)^($CJ$5:$DW$5-1),(1+$R145)^(-$CJ$5:$DW$5)),0)</f>
        <v>6.52514568343042</v>
      </c>
      <c r="AD145" s="389">
        <f t="shared" si="40"/>
        <v>0.4272342938932906</v>
      </c>
      <c r="AE145" s="131">
        <f>IF($T145=1,$AB145*$Y145+(Assumptions!$C$9/(1+$R145)+Assumptions!$C$10*$AC145)*$P145+$S145*$Z145*$AA145,0)</f>
        <v>39375.280532214951</v>
      </c>
      <c r="AF145" s="131">
        <f>IF($T145=1,IF($AA145-$AD145-Assumptions!$C$16*$AA145&gt;0,$AE145/($AA145-$AD145-Assumptions!$C$16*$AA145)*IF($J145="Monthly",1+Assumptions!$C$29,1),"n.a."),"")</f>
        <v>8507.3950062368276</v>
      </c>
      <c r="AG145" s="131">
        <f t="shared" si="41"/>
        <v>11457.02</v>
      </c>
      <c r="AH145" s="131">
        <f t="shared" si="42"/>
        <v>64687.883373237753</v>
      </c>
      <c r="AI145" s="131">
        <f t="shared" si="43"/>
        <v>20417.770991201491</v>
      </c>
      <c r="AJ145" s="390">
        <f t="shared" si="44"/>
        <v>0.31563516885217174</v>
      </c>
      <c r="AK145" s="389">
        <f t="shared" si="45"/>
        <v>1.3467130645280703</v>
      </c>
      <c r="AL145" s="131">
        <f t="shared" si="46"/>
        <v>33964.808930193482</v>
      </c>
      <c r="AM145" s="131">
        <f t="shared" si="47"/>
        <v>3105.3743342754715</v>
      </c>
      <c r="AN145" s="131">
        <f t="shared" si="48"/>
        <v>30859.43459591801</v>
      </c>
      <c r="AO145" s="131">
        <f t="shared" si="49"/>
        <v>-10441.663604716519</v>
      </c>
      <c r="AP145" s="26" t="str">
        <f t="shared" si="50"/>
        <v>60+</v>
      </c>
      <c r="AQ145" s="26" t="str">
        <f t="shared" si="51"/>
        <v>500k-1m</v>
      </c>
      <c r="AR145" s="26" t="str">
        <f>IF($T145=1,IF($AI145&lt;0,"Loss-making",IF($AJ145&lt;Assumptions!$C$16-0.00001,"Below target","At/above target")),"Excluded")</f>
        <v>At/above target</v>
      </c>
      <c r="AS145" s="103">
        <f t="shared" si="52"/>
        <v>20417.771136201492</v>
      </c>
      <c r="AT145" s="26"/>
      <c r="AU145" s="419">
        <f>IF(AND($T145=1,AU$5&lt;=$H145),INDEX(Mortality!$B$4:$E$64,MATCH($D145+AU$5-1,Mortality!$A$4:$A$64,0),$U145)*$V145*$N145,0)</f>
        <v>8.8364568082474407E-3</v>
      </c>
      <c r="AV145" s="93">
        <f>IF(AND($T145=1,AV$5&lt;=$H145),INDEX(Mortality!$B$4:$E$64,MATCH($D145+AV$5-1,Mortality!$A$4:$A$64,0),$U145)*$V145*$N145,0)</f>
        <v>9.5724193844428009E-3</v>
      </c>
      <c r="AW145" s="93">
        <f>IF(AND($T145=1,AW$5&lt;=$H145),INDEX(Mortality!$B$4:$E$64,MATCH($D145+AW$5-1,Mortality!$A$4:$A$64,0),$U145)*$V145*$N145,0)</f>
        <v>1.0369678125528E-2</v>
      </c>
      <c r="AX145" s="93">
        <f>IF(AND($T145=1,AX$5&lt;=$H145),INDEX(Mortality!$B$4:$E$64,MATCH($D145+AX$5-1,Mortality!$A$4:$A$64,0),$U145)*$V145*$N145,0)</f>
        <v>1.1233338209336401E-2</v>
      </c>
      <c r="AY145" s="93">
        <f>IF(AND($T145=1,AY$5&lt;=$H145),INDEX(Mortality!$B$4:$E$64,MATCH($D145+AY$5-1,Mortality!$A$4:$A$64,0),$U145)*$V145*$N145,0)</f>
        <v>1.216893000899312E-2</v>
      </c>
      <c r="AZ145" s="93">
        <f>IF(AND($T145=1,AZ$5&lt;=$H145),INDEX(Mortality!$B$4:$E$64,MATCH($D145+AZ$5-1,Mortality!$A$4:$A$64,0),$U145)*$V145*$N145,0)</f>
        <v>1.3182444506183923E-2</v>
      </c>
      <c r="BA145" s="93">
        <f>IF(AND($T145=1,BA$5&lt;=$H145),INDEX(Mortality!$B$4:$E$64,MATCH($D145+BA$5-1,Mortality!$A$4:$A$64,0),$U145)*$V145*$N145,0)</f>
        <v>1.4280371653891842E-2</v>
      </c>
      <c r="BB145" s="93">
        <f>IF(AND($T145=1,BB$5&lt;=$H145),INDEX(Mortality!$B$4:$E$64,MATCH($D145+BB$5-1,Mortality!$A$4:$A$64,0),$U145)*$V145*$N145,0)</f>
        <v>1.5469741934253121E-2</v>
      </c>
      <c r="BC145" s="93">
        <f>IF(AND($T145=1,BC$5&lt;=$H145),INDEX(Mortality!$B$4:$E$64,MATCH($D145+BC$5-1,Mortality!$A$4:$A$64,0),$U145)*$V145*$N145,0)</f>
        <v>1.6758171377645358E-2</v>
      </c>
      <c r="BD145" s="93">
        <f>IF(AND($T145=1,BD$5&lt;=$H145),INDEX(Mortality!$B$4:$E$64,MATCH($D145+BD$5-1,Mortality!$A$4:$A$64,0),$U145)*$V145*$N145,0)</f>
        <v>1.8153910331283923E-2</v>
      </c>
      <c r="BE145" s="93">
        <f>IF(AND($T145=1,BE$5&lt;=$H145),INDEX(Mortality!$B$4:$E$64,MATCH($D145+BE$5-1,Mortality!$A$4:$A$64,0),$U145)*$V145*$N145,0)</f>
        <v>0</v>
      </c>
      <c r="BF145" s="93">
        <f>IF(AND($T145=1,BF$5&lt;=$H145),INDEX(Mortality!$B$4:$E$64,MATCH($D145+BF$5-1,Mortality!$A$4:$A$64,0),$U145)*$V145*$N145,0)</f>
        <v>0</v>
      </c>
      <c r="BG145" s="93">
        <f>IF(AND($T145=1,BG$5&lt;=$H145),INDEX(Mortality!$B$4:$E$64,MATCH($D145+BG$5-1,Mortality!$A$4:$A$64,0),$U145)*$V145*$N145,0)</f>
        <v>0</v>
      </c>
      <c r="BH145" s="93">
        <f>IF(AND($T145=1,BH$5&lt;=$H145),INDEX(Mortality!$B$4:$E$64,MATCH($D145+BH$5-1,Mortality!$A$4:$A$64,0),$U145)*$V145*$N145,0)</f>
        <v>0</v>
      </c>
      <c r="BI145" s="93">
        <f>IF(AND($T145=1,BI$5&lt;=$H145),INDEX(Mortality!$B$4:$E$64,MATCH($D145+BI$5-1,Mortality!$A$4:$A$64,0),$U145)*$V145*$N145,0)</f>
        <v>0</v>
      </c>
      <c r="BJ145" s="93">
        <f>IF(AND($T145=1,BJ$5&lt;=$H145),INDEX(Mortality!$B$4:$E$64,MATCH($D145+BJ$5-1,Mortality!$A$4:$A$64,0),$U145)*$V145*$N145,0)</f>
        <v>0</v>
      </c>
      <c r="BK145" s="93">
        <f>IF(AND($T145=1,BK$5&lt;=$H145),INDEX(Mortality!$B$4:$E$64,MATCH($D145+BK$5-1,Mortality!$A$4:$A$64,0),$U145)*$V145*$N145,0)</f>
        <v>0</v>
      </c>
      <c r="BL145" s="93">
        <f>IF(AND($T145=1,BL$5&lt;=$H145),INDEX(Mortality!$B$4:$E$64,MATCH($D145+BL$5-1,Mortality!$A$4:$A$64,0),$U145)*$V145*$N145,0)</f>
        <v>0</v>
      </c>
      <c r="BM145" s="93">
        <f>IF(AND($T145=1,BM$5&lt;=$H145),INDEX(Mortality!$B$4:$E$64,MATCH($D145+BM$5-1,Mortality!$A$4:$A$64,0),$U145)*$V145*$N145,0)</f>
        <v>0</v>
      </c>
      <c r="BN145" s="93">
        <f>IF(AND($T145=1,BN$5&lt;=$H145),INDEX(Mortality!$B$4:$E$64,MATCH($D145+BN$5-1,Mortality!$A$4:$A$64,0),$U145)*$V145*$N145,0)</f>
        <v>0</v>
      </c>
      <c r="BO145" s="93">
        <f>IF(AND($T145=1,BO$5&lt;=$H145),INDEX(Mortality!$B$4:$E$64,MATCH($D145+BO$5-1,Mortality!$A$4:$A$64,0),$U145)*$V145*$N145,0)</f>
        <v>0</v>
      </c>
      <c r="BP145" s="93">
        <f>IF(AND($T145=1,BP$5&lt;=$H145),INDEX(Mortality!$B$4:$E$64,MATCH($D145+BP$5-1,Mortality!$A$4:$A$64,0),$U145)*$V145*$N145,0)</f>
        <v>0</v>
      </c>
      <c r="BQ145" s="93">
        <f>IF(AND($T145=1,BQ$5&lt;=$H145),INDEX(Mortality!$B$4:$E$64,MATCH($D145+BQ$5-1,Mortality!$A$4:$A$64,0),$U145)*$V145*$N145,0)</f>
        <v>0</v>
      </c>
      <c r="BR145" s="93">
        <f>IF(AND($T145=1,BR$5&lt;=$H145),INDEX(Mortality!$B$4:$E$64,MATCH($D145+BR$5-1,Mortality!$A$4:$A$64,0),$U145)*$V145*$N145,0)</f>
        <v>0</v>
      </c>
      <c r="BS145" s="93">
        <f>IF(AND($T145=1,BS$5&lt;=$H145),INDEX(Mortality!$B$4:$E$64,MATCH($D145+BS$5-1,Mortality!$A$4:$A$64,0),$U145)*$V145*$N145,0)</f>
        <v>0</v>
      </c>
      <c r="BT145" s="93">
        <f>IF(AND($T145=1,BT$5&lt;=$H145),INDEX(Mortality!$B$4:$E$64,MATCH($D145+BT$5-1,Mortality!$A$4:$A$64,0),$U145)*$V145*$N145,0)</f>
        <v>0</v>
      </c>
      <c r="BU145" s="93">
        <f>IF(AND($T145=1,BU$5&lt;=$H145),INDEX(Mortality!$B$4:$E$64,MATCH($D145+BU$5-1,Mortality!$A$4:$A$64,0),$U145)*$V145*$N145,0)</f>
        <v>0</v>
      </c>
      <c r="BV145" s="93">
        <f>IF(AND($T145=1,BV$5&lt;=$H145),INDEX(Mortality!$B$4:$E$64,MATCH($D145+BV$5-1,Mortality!$A$4:$A$64,0),$U145)*$V145*$N145,0)</f>
        <v>0</v>
      </c>
      <c r="BW145" s="93">
        <f>IF(AND($T145=1,BW$5&lt;=$H145),INDEX(Mortality!$B$4:$E$64,MATCH($D145+BW$5-1,Mortality!$A$4:$A$64,0),$U145)*$V145*$N145,0)</f>
        <v>0</v>
      </c>
      <c r="BX145" s="93">
        <f>IF(AND($T145=1,BX$5&lt;=$H145),INDEX(Mortality!$B$4:$E$64,MATCH($D145+BX$5-1,Mortality!$A$4:$A$64,0),$U145)*$V145*$N145,0)</f>
        <v>0</v>
      </c>
      <c r="BY145" s="93">
        <f>IF(AND($T145=1,BY$5&lt;=$H145),INDEX(Mortality!$B$4:$E$64,MATCH($D145+BY$5-1,Mortality!$A$4:$A$64,0),$U145)*$V145*$N145,0)</f>
        <v>0</v>
      </c>
      <c r="BZ145" s="93">
        <f>IF(AND($T145=1,BZ$5&lt;=$H145),INDEX(Mortality!$B$4:$E$64,MATCH($D145+BZ$5-1,Mortality!$A$4:$A$64,0),$U145)*$V145*$N145,0)</f>
        <v>0</v>
      </c>
      <c r="CA145" s="93">
        <f>IF(AND($T145=1,CA$5&lt;=$H145),INDEX(Mortality!$B$4:$E$64,MATCH($D145+CA$5-1,Mortality!$A$4:$A$64,0),$U145)*$V145*$N145,0)</f>
        <v>0</v>
      </c>
      <c r="CB145" s="93">
        <f>IF(AND($T145=1,CB$5&lt;=$H145),INDEX(Mortality!$B$4:$E$64,MATCH($D145+CB$5-1,Mortality!$A$4:$A$64,0),$U145)*$V145*$N145,0)</f>
        <v>0</v>
      </c>
      <c r="CC145" s="93">
        <f>IF(AND($T145=1,CC$5&lt;=$H145),INDEX(Mortality!$B$4:$E$64,MATCH($D145+CC$5-1,Mortality!$A$4:$A$64,0),$U145)*$V145*$N145,0)</f>
        <v>0</v>
      </c>
      <c r="CD145" s="93">
        <f>IF(AND($T145=1,CD$5&lt;=$H145),INDEX(Mortality!$B$4:$E$64,MATCH($D145+CD$5-1,Mortality!$A$4:$A$64,0),$U145)*$V145*$N145,0)</f>
        <v>0</v>
      </c>
      <c r="CE145" s="93">
        <f>IF(AND($T145=1,CE$5&lt;=$H145),INDEX(Mortality!$B$4:$E$64,MATCH($D145+CE$5-1,Mortality!$A$4:$A$64,0),$U145)*$V145*$N145,0)</f>
        <v>0</v>
      </c>
      <c r="CF145" s="93">
        <f>IF(AND($T145=1,CF$5&lt;=$H145),INDEX(Mortality!$B$4:$E$64,MATCH($D145+CF$5-1,Mortality!$A$4:$A$64,0),$U145)*$V145*$N145,0)</f>
        <v>0</v>
      </c>
      <c r="CG145" s="93">
        <f>IF(AND($T145=1,CG$5&lt;=$H145),INDEX(Mortality!$B$4:$E$64,MATCH($D145+CG$5-1,Mortality!$A$4:$A$64,0),$U145)*$V145*$N145,0)</f>
        <v>0</v>
      </c>
      <c r="CH145" s="94">
        <f>IF(AND($T145=1,CH$5&lt;=$H145),INDEX(Mortality!$B$4:$E$64,MATCH($D145+CH$5-1,Mortality!$A$4:$A$64,0),$U145)*$V145*$N145,0)</f>
        <v>0</v>
      </c>
      <c r="CI145" s="26"/>
      <c r="CJ145" s="419">
        <f t="shared" si="53"/>
        <v>1</v>
      </c>
      <c r="CK145" s="93">
        <f>IF(AND($T145=1,CK$5&lt;=$H145),CJ145*(1-AU145)*(1-MIN(1,MAX(Assumptions!$C$27,Assumptions!$C$13*Assumptions!$C$28^(CJ$5-1))*$O145)),0)</f>
        <v>0.87222391800874233</v>
      </c>
      <c r="CL145" s="93">
        <f>IF(AND($T145=1,CL$5&lt;=$H145),CK145*(1-AV145)*(1-MIN(1,MAX(Assumptions!$C$27,Assumptions!$C$13*Assumptions!$C$28^(CK$5-1))*$O145)),0)</f>
        <v>0.77575941313184194</v>
      </c>
      <c r="CM145" s="93">
        <f>IF(AND($T145=1,CM$5&lt;=$H145),CL145*(1-AW145)*(1-MIN(1,MAX(Assumptions!$C$27,Assumptions!$C$13*Assumptions!$C$28^(CL$5-1))*$O145)),0)</f>
        <v>0.70115414394494158</v>
      </c>
      <c r="CN145" s="93">
        <f>IF(AND($T145=1,CN$5&lt;=$H145),CM145*(1-AX145)*(1-MIN(1,MAX(Assumptions!$C$27,Assumptions!$C$13*Assumptions!$C$28^(CM$5-1))*$O145)),0)</f>
        <v>0.64218673172015905</v>
      </c>
      <c r="CO145" s="93">
        <f>IF(AND($T145=1,CO$5&lt;=$H145),CN145*(1-AY145)*(1-MIN(1,MAX(Assumptions!$C$27,Assumptions!$C$13*Assumptions!$C$28^(CN$5-1))*$O145)),0)</f>
        <v>0.59463446807368947</v>
      </c>
      <c r="CP145" s="93">
        <f>IF(AND($T145=1,CP$5&lt;=$H145),CO145*(1-AZ145)*(1-MIN(1,MAX(Assumptions!$C$27,Assumptions!$C$13*Assumptions!$C$28^(CO$5-1))*$O145)),0)</f>
        <v>0.55555200614947586</v>
      </c>
      <c r="CQ145" s="93">
        <f>IF(AND($T145=1,CQ$5&lt;=$H145),CP145*(1-BA145)*(1-MIN(1,MAX(Assumptions!$C$27,Assumptions!$C$13*Assumptions!$C$28^(CP$5-1))*$O145)),0)</f>
        <v>0.52283443001524221</v>
      </c>
      <c r="CR145" s="93">
        <f>IF(AND($T145=1,CR$5&lt;=$H145),CQ145*(1-BB145)*(1-MIN(1,MAX(Assumptions!$C$27,Assumptions!$C$13*Assumptions!$C$28^(CQ$5-1))*$O145)),0)</f>
        <v>0.49494441127428035</v>
      </c>
      <c r="CS145" s="93">
        <f>IF(AND($T145=1,CS$5&lt;=$H145),CR145*(1-BC145)*(1-MIN(1,MAX(Assumptions!$C$27,Assumptions!$C$13*Assumptions!$C$28^(CR$5-1))*$O145)),0)</f>
        <v>0.47073714475670858</v>
      </c>
      <c r="CT145" s="93">
        <f>IF(AND($T145=1,CT$5&lt;=$H145),CS145*(1-BD145)*(1-MIN(1,MAX(Assumptions!$C$27,Assumptions!$C$13*Assumptions!$C$28^(CS$5-1))*$O145)),0)</f>
        <v>0</v>
      </c>
      <c r="CU145" s="93">
        <f>IF(AND($T145=1,CU$5&lt;=$H145),CT145*(1-BE145)*(1-MIN(1,MAX(Assumptions!$C$27,Assumptions!$C$13*Assumptions!$C$28^(CT$5-1))*$O145)),0)</f>
        <v>0</v>
      </c>
      <c r="CV145" s="93">
        <f>IF(AND($T145=1,CV$5&lt;=$H145),CU145*(1-BF145)*(1-MIN(1,MAX(Assumptions!$C$27,Assumptions!$C$13*Assumptions!$C$28^(CU$5-1))*$O145)),0)</f>
        <v>0</v>
      </c>
      <c r="CW145" s="93">
        <f>IF(AND($T145=1,CW$5&lt;=$H145),CV145*(1-BG145)*(1-MIN(1,MAX(Assumptions!$C$27,Assumptions!$C$13*Assumptions!$C$28^(CV$5-1))*$O145)),0)</f>
        <v>0</v>
      </c>
      <c r="CX145" s="93">
        <f>IF(AND($T145=1,CX$5&lt;=$H145),CW145*(1-BH145)*(1-MIN(1,MAX(Assumptions!$C$27,Assumptions!$C$13*Assumptions!$C$28^(CW$5-1))*$O145)),0)</f>
        <v>0</v>
      </c>
      <c r="CY145" s="93">
        <f>IF(AND($T145=1,CY$5&lt;=$H145),CX145*(1-BI145)*(1-MIN(1,MAX(Assumptions!$C$27,Assumptions!$C$13*Assumptions!$C$28^(CX$5-1))*$O145)),0)</f>
        <v>0</v>
      </c>
      <c r="CZ145" s="93">
        <f>IF(AND($T145=1,CZ$5&lt;=$H145),CY145*(1-BJ145)*(1-MIN(1,MAX(Assumptions!$C$27,Assumptions!$C$13*Assumptions!$C$28^(CY$5-1))*$O145)),0)</f>
        <v>0</v>
      </c>
      <c r="DA145" s="93">
        <f>IF(AND($T145=1,DA$5&lt;=$H145),CZ145*(1-BK145)*(1-MIN(1,MAX(Assumptions!$C$27,Assumptions!$C$13*Assumptions!$C$28^(CZ$5-1))*$O145)),0)</f>
        <v>0</v>
      </c>
      <c r="DB145" s="93">
        <f>IF(AND($T145=1,DB$5&lt;=$H145),DA145*(1-BL145)*(1-MIN(1,MAX(Assumptions!$C$27,Assumptions!$C$13*Assumptions!$C$28^(DA$5-1))*$O145)),0)</f>
        <v>0</v>
      </c>
      <c r="DC145" s="93">
        <f>IF(AND($T145=1,DC$5&lt;=$H145),DB145*(1-BM145)*(1-MIN(1,MAX(Assumptions!$C$27,Assumptions!$C$13*Assumptions!$C$28^(DB$5-1))*$O145)),0)</f>
        <v>0</v>
      </c>
      <c r="DD145" s="93">
        <f>IF(AND($T145=1,DD$5&lt;=$H145),DC145*(1-BN145)*(1-MIN(1,MAX(Assumptions!$C$27,Assumptions!$C$13*Assumptions!$C$28^(DC$5-1))*$O145)),0)</f>
        <v>0</v>
      </c>
      <c r="DE145" s="93">
        <f>IF(AND($T145=1,DE$5&lt;=$H145),DD145*(1-BO145)*(1-MIN(1,MAX(Assumptions!$C$27,Assumptions!$C$13*Assumptions!$C$28^(DD$5-1))*$O145)),0)</f>
        <v>0</v>
      </c>
      <c r="DF145" s="93">
        <f>IF(AND($T145=1,DF$5&lt;=$H145),DE145*(1-BP145)*(1-MIN(1,MAX(Assumptions!$C$27,Assumptions!$C$13*Assumptions!$C$28^(DE$5-1))*$O145)),0)</f>
        <v>0</v>
      </c>
      <c r="DG145" s="93">
        <f>IF(AND($T145=1,DG$5&lt;=$H145),DF145*(1-BQ145)*(1-MIN(1,MAX(Assumptions!$C$27,Assumptions!$C$13*Assumptions!$C$28^(DF$5-1))*$O145)),0)</f>
        <v>0</v>
      </c>
      <c r="DH145" s="93">
        <f>IF(AND($T145=1,DH$5&lt;=$H145),DG145*(1-BR145)*(1-MIN(1,MAX(Assumptions!$C$27,Assumptions!$C$13*Assumptions!$C$28^(DG$5-1))*$O145)),0)</f>
        <v>0</v>
      </c>
      <c r="DI145" s="93">
        <f>IF(AND($T145=1,DI$5&lt;=$H145),DH145*(1-BS145)*(1-MIN(1,MAX(Assumptions!$C$27,Assumptions!$C$13*Assumptions!$C$28^(DH$5-1))*$O145)),0)</f>
        <v>0</v>
      </c>
      <c r="DJ145" s="93">
        <f>IF(AND($T145=1,DJ$5&lt;=$H145),DI145*(1-BT145)*(1-MIN(1,MAX(Assumptions!$C$27,Assumptions!$C$13*Assumptions!$C$28^(DI$5-1))*$O145)),0)</f>
        <v>0</v>
      </c>
      <c r="DK145" s="93">
        <f>IF(AND($T145=1,DK$5&lt;=$H145),DJ145*(1-BU145)*(1-MIN(1,MAX(Assumptions!$C$27,Assumptions!$C$13*Assumptions!$C$28^(DJ$5-1))*$O145)),0)</f>
        <v>0</v>
      </c>
      <c r="DL145" s="93">
        <f>IF(AND($T145=1,DL$5&lt;=$H145),DK145*(1-BV145)*(1-MIN(1,MAX(Assumptions!$C$27,Assumptions!$C$13*Assumptions!$C$28^(DK$5-1))*$O145)),0)</f>
        <v>0</v>
      </c>
      <c r="DM145" s="93">
        <f>IF(AND($T145=1,DM$5&lt;=$H145),DL145*(1-BW145)*(1-MIN(1,MAX(Assumptions!$C$27,Assumptions!$C$13*Assumptions!$C$28^(DL$5-1))*$O145)),0)</f>
        <v>0</v>
      </c>
      <c r="DN145" s="93">
        <f>IF(AND($T145=1,DN$5&lt;=$H145),DM145*(1-BX145)*(1-MIN(1,MAX(Assumptions!$C$27,Assumptions!$C$13*Assumptions!$C$28^(DM$5-1))*$O145)),0)</f>
        <v>0</v>
      </c>
      <c r="DO145" s="93">
        <f>IF(AND($T145=1,DO$5&lt;=$H145),DN145*(1-BY145)*(1-MIN(1,MAX(Assumptions!$C$27,Assumptions!$C$13*Assumptions!$C$28^(DN$5-1))*$O145)),0)</f>
        <v>0</v>
      </c>
      <c r="DP145" s="93">
        <f>IF(AND($T145=1,DP$5&lt;=$H145),DO145*(1-BZ145)*(1-MIN(1,MAX(Assumptions!$C$27,Assumptions!$C$13*Assumptions!$C$28^(DO$5-1))*$O145)),0)</f>
        <v>0</v>
      </c>
      <c r="DQ145" s="93">
        <f>IF(AND($T145=1,DQ$5&lt;=$H145),DP145*(1-CA145)*(1-MIN(1,MAX(Assumptions!$C$27,Assumptions!$C$13*Assumptions!$C$28^(DP$5-1))*$O145)),0)</f>
        <v>0</v>
      </c>
      <c r="DR145" s="93">
        <f>IF(AND($T145=1,DR$5&lt;=$H145),DQ145*(1-CB145)*(1-MIN(1,MAX(Assumptions!$C$27,Assumptions!$C$13*Assumptions!$C$28^(DQ$5-1))*$O145)),0)</f>
        <v>0</v>
      </c>
      <c r="DS145" s="93">
        <f>IF(AND($T145=1,DS$5&lt;=$H145),DR145*(1-CC145)*(1-MIN(1,MAX(Assumptions!$C$27,Assumptions!$C$13*Assumptions!$C$28^(DR$5-1))*$O145)),0)</f>
        <v>0</v>
      </c>
      <c r="DT145" s="93">
        <f>IF(AND($T145=1,DT$5&lt;=$H145),DS145*(1-CD145)*(1-MIN(1,MAX(Assumptions!$C$27,Assumptions!$C$13*Assumptions!$C$28^(DS$5-1))*$O145)),0)</f>
        <v>0</v>
      </c>
      <c r="DU145" s="93">
        <f>IF(AND($T145=1,DU$5&lt;=$H145),DT145*(1-CE145)*(1-MIN(1,MAX(Assumptions!$C$27,Assumptions!$C$13*Assumptions!$C$28^(DT$5-1))*$O145)),0)</f>
        <v>0</v>
      </c>
      <c r="DV145" s="93">
        <f>IF(AND($T145=1,DV$5&lt;=$H145),DU145*(1-CF145)*(1-MIN(1,MAX(Assumptions!$C$27,Assumptions!$C$13*Assumptions!$C$28^(DU$5-1))*$O145)),0)</f>
        <v>0</v>
      </c>
      <c r="DW145" s="94">
        <f>IF(AND($T145=1,DW$5&lt;=$H145),DV145*(1-CG145)*(1-MIN(1,MAX(Assumptions!$C$27,Assumptions!$C$13*Assumptions!$C$28^(DV$5-1))*$O145)),0)</f>
        <v>0</v>
      </c>
      <c r="DX145" s="26"/>
      <c r="DY145" s="399">
        <f>'Policy Data'!K119</f>
        <v>4</v>
      </c>
      <c r="DZ145" s="100">
        <f>'Policy Data'!L119</f>
        <v>0.87539999999999996</v>
      </c>
      <c r="EA145" s="100">
        <f>'Policy Data'!N119</f>
        <v>7.7359999999999998E-3</v>
      </c>
      <c r="EB145" s="93" cm="1">
        <f t="array" ref="EB145">IFERROR(DZ145*INDEX(Mortality!$B$4:$E$64,MATCH(D145+DY145-1,Mortality!$A$4:$A$64,0),U145)*V145,0)</f>
        <v>9.8336642684530851E-3</v>
      </c>
      <c r="EC145" s="100">
        <f>'Policy Data'!O119</f>
        <v>0</v>
      </c>
      <c r="ED145" s="400">
        <f>'Policy Data'!Q119</f>
        <v>0</v>
      </c>
    </row>
    <row r="146" spans="1:134" x14ac:dyDescent="0.3">
      <c r="A146" s="399" t="str">
        <f>'Policy Data'!A120</f>
        <v>POL100116</v>
      </c>
      <c r="B146" s="26" t="s">
        <v>426</v>
      </c>
      <c r="C146" s="100" t="str">
        <f>'Policy Data'!B120</f>
        <v>Unit-Linked</v>
      </c>
      <c r="D146" s="100">
        <f>'Policy Data'!C120</f>
        <v>24</v>
      </c>
      <c r="E146" s="100" t="str">
        <f>'Policy Data'!D120</f>
        <v>Male</v>
      </c>
      <c r="F146" s="100" t="str">
        <f>'Policy Data'!E120</f>
        <v>Non-smoker</v>
      </c>
      <c r="G146" s="100" t="str">
        <f>'Policy Data'!F120</f>
        <v>Standard</v>
      </c>
      <c r="H146" s="100">
        <f>'Policy Data'!G120</f>
        <v>20</v>
      </c>
      <c r="I146" s="279">
        <f>'Policy Data'!H120</f>
        <v>1000000</v>
      </c>
      <c r="J146" s="100" t="str">
        <f>'Policy Data'!I120</f>
        <v>Monthly</v>
      </c>
      <c r="K146" s="100" t="str">
        <f>'Policy Data'!J120</f>
        <v>Broker</v>
      </c>
      <c r="L146" s="26" t="s">
        <v>389</v>
      </c>
      <c r="M146" s="106">
        <f>'Policy Data'!R120</f>
        <v>13530.42</v>
      </c>
      <c r="N146" s="415">
        <f>Assumptions!$C$21</f>
        <v>1</v>
      </c>
      <c r="O146" s="415">
        <f>Assumptions!$C$22</f>
        <v>1</v>
      </c>
      <c r="P146" s="415">
        <f>Assumptions!$C$23</f>
        <v>1</v>
      </c>
      <c r="Q146" s="416">
        <f>Assumptions!$C$24</f>
        <v>0</v>
      </c>
      <c r="R146" s="416">
        <f>Assumptions!$C$6+Assumptions!$C$25</f>
        <v>3.5000000000000003E-2</v>
      </c>
      <c r="S146" s="416">
        <f>Assumptions!$C$15</f>
        <v>1.1000000000000001E-3</v>
      </c>
      <c r="T146" s="26">
        <f t="shared" si="36"/>
        <v>0</v>
      </c>
      <c r="U146" s="26">
        <f t="shared" si="37"/>
        <v>3</v>
      </c>
      <c r="V146" s="389">
        <f>IF($G146="Preferred",Assumptions!$C$30,IF($G146="Rated",Assumptions!$C$31,1))</f>
        <v>1</v>
      </c>
      <c r="W146" s="390">
        <f>IF($K146="Direct",Assumptions!$C$32,IF($K146="Broker",Assumptions!$C$33,IF($K146="Bancassurance",Assumptions!$C$34,Assumptions!$C$11)))+$Q146</f>
        <v>0.25</v>
      </c>
      <c r="X146" s="390">
        <f>Assumptions!$C$12+$Q146</f>
        <v>0.05</v>
      </c>
      <c r="Y146" s="131">
        <f>MIN($I146,Assumptions!$C$14)</f>
        <v>500000</v>
      </c>
      <c r="Z146" s="131">
        <f>MAX($I146-Assumptions!$C$14,0)</f>
        <v>500000</v>
      </c>
      <c r="AA146" s="389">
        <f t="shared" si="38"/>
        <v>0</v>
      </c>
      <c r="AB146" s="389">
        <f t="shared" si="39"/>
        <v>0</v>
      </c>
      <c r="AC146" s="389">
        <f>IF($T146=1,SUMPRODUCT($CJ146:$DW146,(1+Assumptions!$C$5)^($CJ$5:$DW$5-1),(1+$R146)^(-$CJ$5:$DW$5)),0)</f>
        <v>0</v>
      </c>
      <c r="AD146" s="389">
        <f t="shared" si="40"/>
        <v>0</v>
      </c>
      <c r="AE146" s="131">
        <f>IF($T146=1,$AB146*$Y146+(Assumptions!$C$9/(1+$R146)+Assumptions!$C$10*$AC146)*$P146+$S146*$Z146*$AA146,0)</f>
        <v>0</v>
      </c>
      <c r="AF146" s="131" t="str">
        <f>IF($T146=1,IF($AA146-$AD146-Assumptions!$C$16*$AA146&gt;0,$AE146/($AA146-$AD146-Assumptions!$C$16*$AA146)*IF($J146="Monthly",1+Assumptions!$C$29,1),"n.a."),"")</f>
        <v/>
      </c>
      <c r="AG146" s="131" t="str">
        <f t="shared" si="41"/>
        <v/>
      </c>
      <c r="AH146" s="131" t="str">
        <f t="shared" si="42"/>
        <v/>
      </c>
      <c r="AI146" s="131" t="str">
        <f t="shared" si="43"/>
        <v/>
      </c>
      <c r="AJ146" s="390" t="str">
        <f t="shared" si="44"/>
        <v/>
      </c>
      <c r="AK146" s="389" t="str">
        <f t="shared" si="45"/>
        <v/>
      </c>
      <c r="AL146" s="131" t="str">
        <f t="shared" si="46"/>
        <v/>
      </c>
      <c r="AM146" s="131" t="str">
        <f t="shared" si="47"/>
        <v/>
      </c>
      <c r="AN146" s="131" t="str">
        <f t="shared" si="48"/>
        <v/>
      </c>
      <c r="AO146" s="131" t="str">
        <f t="shared" si="49"/>
        <v/>
      </c>
      <c r="AP146" s="26" t="str">
        <f t="shared" si="50"/>
        <v>20-29</v>
      </c>
      <c r="AQ146" s="26" t="str">
        <f t="shared" si="51"/>
        <v>500k-1m</v>
      </c>
      <c r="AR146" s="26" t="str">
        <f>IF($T146=1,IF($AI146&lt;0,"Loss-making",IF($AJ146&lt;Assumptions!$C$16-0.00001,"Below target","At/above target")),"Excluded")</f>
        <v>Excluded</v>
      </c>
      <c r="AS146" s="103">
        <f t="shared" si="52"/>
        <v>9.9999999999999997E+98</v>
      </c>
      <c r="AT146" s="26"/>
      <c r="AU146" s="419">
        <f>IF(AND($T146=1,AU$5&lt;=$H146),INDEX(Mortality!$B$4:$E$64,MATCH($D146+AU$5-1,Mortality!$A$4:$A$64,0),$U146)*$V146*$N146,0)</f>
        <v>0</v>
      </c>
      <c r="AV146" s="93">
        <f>IF(AND($T146=1,AV$5&lt;=$H146),INDEX(Mortality!$B$4:$E$64,MATCH($D146+AV$5-1,Mortality!$A$4:$A$64,0),$U146)*$V146*$N146,0)</f>
        <v>0</v>
      </c>
      <c r="AW146" s="93">
        <f>IF(AND($T146=1,AW$5&lt;=$H146),INDEX(Mortality!$B$4:$E$64,MATCH($D146+AW$5-1,Mortality!$A$4:$A$64,0),$U146)*$V146*$N146,0)</f>
        <v>0</v>
      </c>
      <c r="AX146" s="93">
        <f>IF(AND($T146=1,AX$5&lt;=$H146),INDEX(Mortality!$B$4:$E$64,MATCH($D146+AX$5-1,Mortality!$A$4:$A$64,0),$U146)*$V146*$N146,0)</f>
        <v>0</v>
      </c>
      <c r="AY146" s="93">
        <f>IF(AND($T146=1,AY$5&lt;=$H146),INDEX(Mortality!$B$4:$E$64,MATCH($D146+AY$5-1,Mortality!$A$4:$A$64,0),$U146)*$V146*$N146,0)</f>
        <v>0</v>
      </c>
      <c r="AZ146" s="93">
        <f>IF(AND($T146=1,AZ$5&lt;=$H146),INDEX(Mortality!$B$4:$E$64,MATCH($D146+AZ$5-1,Mortality!$A$4:$A$64,0),$U146)*$V146*$N146,0)</f>
        <v>0</v>
      </c>
      <c r="BA146" s="93">
        <f>IF(AND($T146=1,BA$5&lt;=$H146),INDEX(Mortality!$B$4:$E$64,MATCH($D146+BA$5-1,Mortality!$A$4:$A$64,0),$U146)*$V146*$N146,0)</f>
        <v>0</v>
      </c>
      <c r="BB146" s="93">
        <f>IF(AND($T146=1,BB$5&lt;=$H146),INDEX(Mortality!$B$4:$E$64,MATCH($D146+BB$5-1,Mortality!$A$4:$A$64,0),$U146)*$V146*$N146,0)</f>
        <v>0</v>
      </c>
      <c r="BC146" s="93">
        <f>IF(AND($T146=1,BC$5&lt;=$H146),INDEX(Mortality!$B$4:$E$64,MATCH($D146+BC$5-1,Mortality!$A$4:$A$64,0),$U146)*$V146*$N146,0)</f>
        <v>0</v>
      </c>
      <c r="BD146" s="93">
        <f>IF(AND($T146=1,BD$5&lt;=$H146),INDEX(Mortality!$B$4:$E$64,MATCH($D146+BD$5-1,Mortality!$A$4:$A$64,0),$U146)*$V146*$N146,0)</f>
        <v>0</v>
      </c>
      <c r="BE146" s="93">
        <f>IF(AND($T146=1,BE$5&lt;=$H146),INDEX(Mortality!$B$4:$E$64,MATCH($D146+BE$5-1,Mortality!$A$4:$A$64,0),$U146)*$V146*$N146,0)</f>
        <v>0</v>
      </c>
      <c r="BF146" s="93">
        <f>IF(AND($T146=1,BF$5&lt;=$H146),INDEX(Mortality!$B$4:$E$64,MATCH($D146+BF$5-1,Mortality!$A$4:$A$64,0),$U146)*$V146*$N146,0)</f>
        <v>0</v>
      </c>
      <c r="BG146" s="93">
        <f>IF(AND($T146=1,BG$5&lt;=$H146),INDEX(Mortality!$B$4:$E$64,MATCH($D146+BG$5-1,Mortality!$A$4:$A$64,0),$U146)*$V146*$N146,0)</f>
        <v>0</v>
      </c>
      <c r="BH146" s="93">
        <f>IF(AND($T146=1,BH$5&lt;=$H146),INDEX(Mortality!$B$4:$E$64,MATCH($D146+BH$5-1,Mortality!$A$4:$A$64,0),$U146)*$V146*$N146,0)</f>
        <v>0</v>
      </c>
      <c r="BI146" s="93">
        <f>IF(AND($T146=1,BI$5&lt;=$H146),INDEX(Mortality!$B$4:$E$64,MATCH($D146+BI$5-1,Mortality!$A$4:$A$64,0),$U146)*$V146*$N146,0)</f>
        <v>0</v>
      </c>
      <c r="BJ146" s="93">
        <f>IF(AND($T146=1,BJ$5&lt;=$H146),INDEX(Mortality!$B$4:$E$64,MATCH($D146+BJ$5-1,Mortality!$A$4:$A$64,0),$U146)*$V146*$N146,0)</f>
        <v>0</v>
      </c>
      <c r="BK146" s="93">
        <f>IF(AND($T146=1,BK$5&lt;=$H146),INDEX(Mortality!$B$4:$E$64,MATCH($D146+BK$5-1,Mortality!$A$4:$A$64,0),$U146)*$V146*$N146,0)</f>
        <v>0</v>
      </c>
      <c r="BL146" s="93">
        <f>IF(AND($T146=1,BL$5&lt;=$H146),INDEX(Mortality!$B$4:$E$64,MATCH($D146+BL$5-1,Mortality!$A$4:$A$64,0),$U146)*$V146*$N146,0)</f>
        <v>0</v>
      </c>
      <c r="BM146" s="93">
        <f>IF(AND($T146=1,BM$5&lt;=$H146),INDEX(Mortality!$B$4:$E$64,MATCH($D146+BM$5-1,Mortality!$A$4:$A$64,0),$U146)*$V146*$N146,0)</f>
        <v>0</v>
      </c>
      <c r="BN146" s="93">
        <f>IF(AND($T146=1,BN$5&lt;=$H146),INDEX(Mortality!$B$4:$E$64,MATCH($D146+BN$5-1,Mortality!$A$4:$A$64,0),$U146)*$V146*$N146,0)</f>
        <v>0</v>
      </c>
      <c r="BO146" s="93">
        <f>IF(AND($T146=1,BO$5&lt;=$H146),INDEX(Mortality!$B$4:$E$64,MATCH($D146+BO$5-1,Mortality!$A$4:$A$64,0),$U146)*$V146*$N146,0)</f>
        <v>0</v>
      </c>
      <c r="BP146" s="93">
        <f>IF(AND($T146=1,BP$5&lt;=$H146),INDEX(Mortality!$B$4:$E$64,MATCH($D146+BP$5-1,Mortality!$A$4:$A$64,0),$U146)*$V146*$N146,0)</f>
        <v>0</v>
      </c>
      <c r="BQ146" s="93">
        <f>IF(AND($T146=1,BQ$5&lt;=$H146),INDEX(Mortality!$B$4:$E$64,MATCH($D146+BQ$5-1,Mortality!$A$4:$A$64,0),$U146)*$V146*$N146,0)</f>
        <v>0</v>
      </c>
      <c r="BR146" s="93">
        <f>IF(AND($T146=1,BR$5&lt;=$H146),INDEX(Mortality!$B$4:$E$64,MATCH($D146+BR$5-1,Mortality!$A$4:$A$64,0),$U146)*$V146*$N146,0)</f>
        <v>0</v>
      </c>
      <c r="BS146" s="93">
        <f>IF(AND($T146=1,BS$5&lt;=$H146),INDEX(Mortality!$B$4:$E$64,MATCH($D146+BS$5-1,Mortality!$A$4:$A$64,0),$U146)*$V146*$N146,0)</f>
        <v>0</v>
      </c>
      <c r="BT146" s="93">
        <f>IF(AND($T146=1,BT$5&lt;=$H146),INDEX(Mortality!$B$4:$E$64,MATCH($D146+BT$5-1,Mortality!$A$4:$A$64,0),$U146)*$V146*$N146,0)</f>
        <v>0</v>
      </c>
      <c r="BU146" s="93">
        <f>IF(AND($T146=1,BU$5&lt;=$H146),INDEX(Mortality!$B$4:$E$64,MATCH($D146+BU$5-1,Mortality!$A$4:$A$64,0),$U146)*$V146*$N146,0)</f>
        <v>0</v>
      </c>
      <c r="BV146" s="93">
        <f>IF(AND($T146=1,BV$5&lt;=$H146),INDEX(Mortality!$B$4:$E$64,MATCH($D146+BV$5-1,Mortality!$A$4:$A$64,0),$U146)*$V146*$N146,0)</f>
        <v>0</v>
      </c>
      <c r="BW146" s="93">
        <f>IF(AND($T146=1,BW$5&lt;=$H146),INDEX(Mortality!$B$4:$E$64,MATCH($D146+BW$5-1,Mortality!$A$4:$A$64,0),$U146)*$V146*$N146,0)</f>
        <v>0</v>
      </c>
      <c r="BX146" s="93">
        <f>IF(AND($T146=1,BX$5&lt;=$H146),INDEX(Mortality!$B$4:$E$64,MATCH($D146+BX$5-1,Mortality!$A$4:$A$64,0),$U146)*$V146*$N146,0)</f>
        <v>0</v>
      </c>
      <c r="BY146" s="93">
        <f>IF(AND($T146=1,BY$5&lt;=$H146),INDEX(Mortality!$B$4:$E$64,MATCH($D146+BY$5-1,Mortality!$A$4:$A$64,0),$U146)*$V146*$N146,0)</f>
        <v>0</v>
      </c>
      <c r="BZ146" s="93">
        <f>IF(AND($T146=1,BZ$5&lt;=$H146),INDEX(Mortality!$B$4:$E$64,MATCH($D146+BZ$5-1,Mortality!$A$4:$A$64,0),$U146)*$V146*$N146,0)</f>
        <v>0</v>
      </c>
      <c r="CA146" s="93">
        <f>IF(AND($T146=1,CA$5&lt;=$H146),INDEX(Mortality!$B$4:$E$64,MATCH($D146+CA$5-1,Mortality!$A$4:$A$64,0),$U146)*$V146*$N146,0)</f>
        <v>0</v>
      </c>
      <c r="CB146" s="93">
        <f>IF(AND($T146=1,CB$5&lt;=$H146),INDEX(Mortality!$B$4:$E$64,MATCH($D146+CB$5-1,Mortality!$A$4:$A$64,0),$U146)*$V146*$N146,0)</f>
        <v>0</v>
      </c>
      <c r="CC146" s="93">
        <f>IF(AND($T146=1,CC$5&lt;=$H146),INDEX(Mortality!$B$4:$E$64,MATCH($D146+CC$5-1,Mortality!$A$4:$A$64,0),$U146)*$V146*$N146,0)</f>
        <v>0</v>
      </c>
      <c r="CD146" s="93">
        <f>IF(AND($T146=1,CD$5&lt;=$H146),INDEX(Mortality!$B$4:$E$64,MATCH($D146+CD$5-1,Mortality!$A$4:$A$64,0),$U146)*$V146*$N146,0)</f>
        <v>0</v>
      </c>
      <c r="CE146" s="93">
        <f>IF(AND($T146=1,CE$5&lt;=$H146),INDEX(Mortality!$B$4:$E$64,MATCH($D146+CE$5-1,Mortality!$A$4:$A$64,0),$U146)*$V146*$N146,0)</f>
        <v>0</v>
      </c>
      <c r="CF146" s="93">
        <f>IF(AND($T146=1,CF$5&lt;=$H146),INDEX(Mortality!$B$4:$E$64,MATCH($D146+CF$5-1,Mortality!$A$4:$A$64,0),$U146)*$V146*$N146,0)</f>
        <v>0</v>
      </c>
      <c r="CG146" s="93">
        <f>IF(AND($T146=1,CG$5&lt;=$H146),INDEX(Mortality!$B$4:$E$64,MATCH($D146+CG$5-1,Mortality!$A$4:$A$64,0),$U146)*$V146*$N146,0)</f>
        <v>0</v>
      </c>
      <c r="CH146" s="94">
        <f>IF(AND($T146=1,CH$5&lt;=$H146),INDEX(Mortality!$B$4:$E$64,MATCH($D146+CH$5-1,Mortality!$A$4:$A$64,0),$U146)*$V146*$N146,0)</f>
        <v>0</v>
      </c>
      <c r="CI146" s="26"/>
      <c r="CJ146" s="419">
        <f t="shared" si="53"/>
        <v>0</v>
      </c>
      <c r="CK146" s="93">
        <f>IF(AND($T146=1,CK$5&lt;=$H146),CJ146*(1-AU146)*(1-MIN(1,MAX(Assumptions!$C$27,Assumptions!$C$13*Assumptions!$C$28^(CJ$5-1))*$O146)),0)</f>
        <v>0</v>
      </c>
      <c r="CL146" s="93">
        <f>IF(AND($T146=1,CL$5&lt;=$H146),CK146*(1-AV146)*(1-MIN(1,MAX(Assumptions!$C$27,Assumptions!$C$13*Assumptions!$C$28^(CK$5-1))*$O146)),0)</f>
        <v>0</v>
      </c>
      <c r="CM146" s="93">
        <f>IF(AND($T146=1,CM$5&lt;=$H146),CL146*(1-AW146)*(1-MIN(1,MAX(Assumptions!$C$27,Assumptions!$C$13*Assumptions!$C$28^(CL$5-1))*$O146)),0)</f>
        <v>0</v>
      </c>
      <c r="CN146" s="93">
        <f>IF(AND($T146=1,CN$5&lt;=$H146),CM146*(1-AX146)*(1-MIN(1,MAX(Assumptions!$C$27,Assumptions!$C$13*Assumptions!$C$28^(CM$5-1))*$O146)),0)</f>
        <v>0</v>
      </c>
      <c r="CO146" s="93">
        <f>IF(AND($T146=1,CO$5&lt;=$H146),CN146*(1-AY146)*(1-MIN(1,MAX(Assumptions!$C$27,Assumptions!$C$13*Assumptions!$C$28^(CN$5-1))*$O146)),0)</f>
        <v>0</v>
      </c>
      <c r="CP146" s="93">
        <f>IF(AND($T146=1,CP$5&lt;=$H146),CO146*(1-AZ146)*(1-MIN(1,MAX(Assumptions!$C$27,Assumptions!$C$13*Assumptions!$C$28^(CO$5-1))*$O146)),0)</f>
        <v>0</v>
      </c>
      <c r="CQ146" s="93">
        <f>IF(AND($T146=1,CQ$5&lt;=$H146),CP146*(1-BA146)*(1-MIN(1,MAX(Assumptions!$C$27,Assumptions!$C$13*Assumptions!$C$28^(CP$5-1))*$O146)),0)</f>
        <v>0</v>
      </c>
      <c r="CR146" s="93">
        <f>IF(AND($T146=1,CR$5&lt;=$H146),CQ146*(1-BB146)*(1-MIN(1,MAX(Assumptions!$C$27,Assumptions!$C$13*Assumptions!$C$28^(CQ$5-1))*$O146)),0)</f>
        <v>0</v>
      </c>
      <c r="CS146" s="93">
        <f>IF(AND($T146=1,CS$5&lt;=$H146),CR146*(1-BC146)*(1-MIN(1,MAX(Assumptions!$C$27,Assumptions!$C$13*Assumptions!$C$28^(CR$5-1))*$O146)),0)</f>
        <v>0</v>
      </c>
      <c r="CT146" s="93">
        <f>IF(AND($T146=1,CT$5&lt;=$H146),CS146*(1-BD146)*(1-MIN(1,MAX(Assumptions!$C$27,Assumptions!$C$13*Assumptions!$C$28^(CS$5-1))*$O146)),0)</f>
        <v>0</v>
      </c>
      <c r="CU146" s="93">
        <f>IF(AND($T146=1,CU$5&lt;=$H146),CT146*(1-BE146)*(1-MIN(1,MAX(Assumptions!$C$27,Assumptions!$C$13*Assumptions!$C$28^(CT$5-1))*$O146)),0)</f>
        <v>0</v>
      </c>
      <c r="CV146" s="93">
        <f>IF(AND($T146=1,CV$5&lt;=$H146),CU146*(1-BF146)*(1-MIN(1,MAX(Assumptions!$C$27,Assumptions!$C$13*Assumptions!$C$28^(CU$5-1))*$O146)),0)</f>
        <v>0</v>
      </c>
      <c r="CW146" s="93">
        <f>IF(AND($T146=1,CW$5&lt;=$H146),CV146*(1-BG146)*(1-MIN(1,MAX(Assumptions!$C$27,Assumptions!$C$13*Assumptions!$C$28^(CV$5-1))*$O146)),0)</f>
        <v>0</v>
      </c>
      <c r="CX146" s="93">
        <f>IF(AND($T146=1,CX$5&lt;=$H146),CW146*(1-BH146)*(1-MIN(1,MAX(Assumptions!$C$27,Assumptions!$C$13*Assumptions!$C$28^(CW$5-1))*$O146)),0)</f>
        <v>0</v>
      </c>
      <c r="CY146" s="93">
        <f>IF(AND($T146=1,CY$5&lt;=$H146),CX146*(1-BI146)*(1-MIN(1,MAX(Assumptions!$C$27,Assumptions!$C$13*Assumptions!$C$28^(CX$5-1))*$O146)),0)</f>
        <v>0</v>
      </c>
      <c r="CZ146" s="93">
        <f>IF(AND($T146=1,CZ$5&lt;=$H146),CY146*(1-BJ146)*(1-MIN(1,MAX(Assumptions!$C$27,Assumptions!$C$13*Assumptions!$C$28^(CY$5-1))*$O146)),0)</f>
        <v>0</v>
      </c>
      <c r="DA146" s="93">
        <f>IF(AND($T146=1,DA$5&lt;=$H146),CZ146*(1-BK146)*(1-MIN(1,MAX(Assumptions!$C$27,Assumptions!$C$13*Assumptions!$C$28^(CZ$5-1))*$O146)),0)</f>
        <v>0</v>
      </c>
      <c r="DB146" s="93">
        <f>IF(AND($T146=1,DB$5&lt;=$H146),DA146*(1-BL146)*(1-MIN(1,MAX(Assumptions!$C$27,Assumptions!$C$13*Assumptions!$C$28^(DA$5-1))*$O146)),0)</f>
        <v>0</v>
      </c>
      <c r="DC146" s="93">
        <f>IF(AND($T146=1,DC$5&lt;=$H146),DB146*(1-BM146)*(1-MIN(1,MAX(Assumptions!$C$27,Assumptions!$C$13*Assumptions!$C$28^(DB$5-1))*$O146)),0)</f>
        <v>0</v>
      </c>
      <c r="DD146" s="93">
        <f>IF(AND($T146=1,DD$5&lt;=$H146),DC146*(1-BN146)*(1-MIN(1,MAX(Assumptions!$C$27,Assumptions!$C$13*Assumptions!$C$28^(DC$5-1))*$O146)),0)</f>
        <v>0</v>
      </c>
      <c r="DE146" s="93">
        <f>IF(AND($T146=1,DE$5&lt;=$H146),DD146*(1-BO146)*(1-MIN(1,MAX(Assumptions!$C$27,Assumptions!$C$13*Assumptions!$C$28^(DD$5-1))*$O146)),0)</f>
        <v>0</v>
      </c>
      <c r="DF146" s="93">
        <f>IF(AND($T146=1,DF$5&lt;=$H146),DE146*(1-BP146)*(1-MIN(1,MAX(Assumptions!$C$27,Assumptions!$C$13*Assumptions!$C$28^(DE$5-1))*$O146)),0)</f>
        <v>0</v>
      </c>
      <c r="DG146" s="93">
        <f>IF(AND($T146=1,DG$5&lt;=$H146),DF146*(1-BQ146)*(1-MIN(1,MAX(Assumptions!$C$27,Assumptions!$C$13*Assumptions!$C$28^(DF$5-1))*$O146)),0)</f>
        <v>0</v>
      </c>
      <c r="DH146" s="93">
        <f>IF(AND($T146=1,DH$5&lt;=$H146),DG146*(1-BR146)*(1-MIN(1,MAX(Assumptions!$C$27,Assumptions!$C$13*Assumptions!$C$28^(DG$5-1))*$O146)),0)</f>
        <v>0</v>
      </c>
      <c r="DI146" s="93">
        <f>IF(AND($T146=1,DI$5&lt;=$H146),DH146*(1-BS146)*(1-MIN(1,MAX(Assumptions!$C$27,Assumptions!$C$13*Assumptions!$C$28^(DH$5-1))*$O146)),0)</f>
        <v>0</v>
      </c>
      <c r="DJ146" s="93">
        <f>IF(AND($T146=1,DJ$5&lt;=$H146),DI146*(1-BT146)*(1-MIN(1,MAX(Assumptions!$C$27,Assumptions!$C$13*Assumptions!$C$28^(DI$5-1))*$O146)),0)</f>
        <v>0</v>
      </c>
      <c r="DK146" s="93">
        <f>IF(AND($T146=1,DK$5&lt;=$H146),DJ146*(1-BU146)*(1-MIN(1,MAX(Assumptions!$C$27,Assumptions!$C$13*Assumptions!$C$28^(DJ$5-1))*$O146)),0)</f>
        <v>0</v>
      </c>
      <c r="DL146" s="93">
        <f>IF(AND($T146=1,DL$5&lt;=$H146),DK146*(1-BV146)*(1-MIN(1,MAX(Assumptions!$C$27,Assumptions!$C$13*Assumptions!$C$28^(DK$5-1))*$O146)),0)</f>
        <v>0</v>
      </c>
      <c r="DM146" s="93">
        <f>IF(AND($T146=1,DM$5&lt;=$H146),DL146*(1-BW146)*(1-MIN(1,MAX(Assumptions!$C$27,Assumptions!$C$13*Assumptions!$C$28^(DL$5-1))*$O146)),0)</f>
        <v>0</v>
      </c>
      <c r="DN146" s="93">
        <f>IF(AND($T146=1,DN$5&lt;=$H146),DM146*(1-BX146)*(1-MIN(1,MAX(Assumptions!$C$27,Assumptions!$C$13*Assumptions!$C$28^(DM$5-1))*$O146)),0)</f>
        <v>0</v>
      </c>
      <c r="DO146" s="93">
        <f>IF(AND($T146=1,DO$5&lt;=$H146),DN146*(1-BY146)*(1-MIN(1,MAX(Assumptions!$C$27,Assumptions!$C$13*Assumptions!$C$28^(DN$5-1))*$O146)),0)</f>
        <v>0</v>
      </c>
      <c r="DP146" s="93">
        <f>IF(AND($T146=1,DP$5&lt;=$H146),DO146*(1-BZ146)*(1-MIN(1,MAX(Assumptions!$C$27,Assumptions!$C$13*Assumptions!$C$28^(DO$5-1))*$O146)),0)</f>
        <v>0</v>
      </c>
      <c r="DQ146" s="93">
        <f>IF(AND($T146=1,DQ$5&lt;=$H146),DP146*(1-CA146)*(1-MIN(1,MAX(Assumptions!$C$27,Assumptions!$C$13*Assumptions!$C$28^(DP$5-1))*$O146)),0)</f>
        <v>0</v>
      </c>
      <c r="DR146" s="93">
        <f>IF(AND($T146=1,DR$5&lt;=$H146),DQ146*(1-CB146)*(1-MIN(1,MAX(Assumptions!$C$27,Assumptions!$C$13*Assumptions!$C$28^(DQ$5-1))*$O146)),0)</f>
        <v>0</v>
      </c>
      <c r="DS146" s="93">
        <f>IF(AND($T146=1,DS$5&lt;=$H146),DR146*(1-CC146)*(1-MIN(1,MAX(Assumptions!$C$27,Assumptions!$C$13*Assumptions!$C$28^(DR$5-1))*$O146)),0)</f>
        <v>0</v>
      </c>
      <c r="DT146" s="93">
        <f>IF(AND($T146=1,DT$5&lt;=$H146),DS146*(1-CD146)*(1-MIN(1,MAX(Assumptions!$C$27,Assumptions!$C$13*Assumptions!$C$28^(DS$5-1))*$O146)),0)</f>
        <v>0</v>
      </c>
      <c r="DU146" s="93">
        <f>IF(AND($T146=1,DU$5&lt;=$H146),DT146*(1-CE146)*(1-MIN(1,MAX(Assumptions!$C$27,Assumptions!$C$13*Assumptions!$C$28^(DT$5-1))*$O146)),0)</f>
        <v>0</v>
      </c>
      <c r="DV146" s="93">
        <f>IF(AND($T146=1,DV$5&lt;=$H146),DU146*(1-CF146)*(1-MIN(1,MAX(Assumptions!$C$27,Assumptions!$C$13*Assumptions!$C$28^(DU$5-1))*$O146)),0)</f>
        <v>0</v>
      </c>
      <c r="DW146" s="94">
        <f>IF(AND($T146=1,DW$5&lt;=$H146),DV146*(1-CG146)*(1-MIN(1,MAX(Assumptions!$C$27,Assumptions!$C$13*Assumptions!$C$28^(DV$5-1))*$O146)),0)</f>
        <v>0</v>
      </c>
      <c r="DX146" s="26"/>
      <c r="DY146" s="399">
        <f>'Policy Data'!K120</f>
        <v>2</v>
      </c>
      <c r="DZ146" s="100">
        <f>'Policy Data'!L120</f>
        <v>0.97019999999999995</v>
      </c>
      <c r="EA146" s="100">
        <f>'Policy Data'!N120</f>
        <v>3.1100000000000002E-4</v>
      </c>
      <c r="EB146" s="93" cm="1">
        <f t="array" ref="EB146">IFERROR(DZ146*INDEX(Mortality!$B$4:$E$64,MATCH(D146+DY146-1,Mortality!$A$4:$A$64,0),U146)*V146,0)</f>
        <v>3.3655328323350443E-4</v>
      </c>
      <c r="EC146" s="100">
        <f>'Policy Data'!O120</f>
        <v>0</v>
      </c>
      <c r="ED146" s="400">
        <f>'Policy Data'!Q120</f>
        <v>0</v>
      </c>
    </row>
    <row r="147" spans="1:134" x14ac:dyDescent="0.3">
      <c r="A147" s="399" t="str">
        <f>'Policy Data'!A121</f>
        <v>POL100117</v>
      </c>
      <c r="B147" s="26" t="s">
        <v>426</v>
      </c>
      <c r="C147" s="100" t="str">
        <f>'Policy Data'!B121</f>
        <v>Term Life</v>
      </c>
      <c r="D147" s="100">
        <f>'Policy Data'!C121</f>
        <v>40</v>
      </c>
      <c r="E147" s="100" t="str">
        <f>'Policy Data'!D121</f>
        <v>Female</v>
      </c>
      <c r="F147" s="100" t="str">
        <f>'Policy Data'!E121</f>
        <v>Non-smoker</v>
      </c>
      <c r="G147" s="100" t="str">
        <f>'Policy Data'!F121</f>
        <v>Standard</v>
      </c>
      <c r="H147" s="100">
        <f>'Policy Data'!G121</f>
        <v>20</v>
      </c>
      <c r="I147" s="279">
        <f>'Policy Data'!H121</f>
        <v>1000000</v>
      </c>
      <c r="J147" s="100" t="str">
        <f>'Policy Data'!I121</f>
        <v>Monthly</v>
      </c>
      <c r="K147" s="100" t="str">
        <f>'Policy Data'!J121</f>
        <v>Broker</v>
      </c>
      <c r="L147" s="26" t="s">
        <v>389</v>
      </c>
      <c r="M147" s="106">
        <f>'Policy Data'!R121</f>
        <v>2034.5</v>
      </c>
      <c r="N147" s="415">
        <f>Assumptions!$C$21</f>
        <v>1</v>
      </c>
      <c r="O147" s="415">
        <f>Assumptions!$C$22</f>
        <v>1</v>
      </c>
      <c r="P147" s="415">
        <f>Assumptions!$C$23</f>
        <v>1</v>
      </c>
      <c r="Q147" s="416">
        <f>Assumptions!$C$24</f>
        <v>0</v>
      </c>
      <c r="R147" s="416">
        <f>Assumptions!$C$6+Assumptions!$C$25</f>
        <v>3.5000000000000003E-2</v>
      </c>
      <c r="S147" s="416">
        <f>Assumptions!$C$15</f>
        <v>1.1000000000000001E-3</v>
      </c>
      <c r="T147" s="26">
        <f t="shared" si="36"/>
        <v>1</v>
      </c>
      <c r="U147" s="26">
        <f t="shared" si="37"/>
        <v>1</v>
      </c>
      <c r="V147" s="389">
        <f>IF($G147="Preferred",Assumptions!$C$30,IF($G147="Rated",Assumptions!$C$31,1))</f>
        <v>1</v>
      </c>
      <c r="W147" s="390">
        <f>IF($K147="Direct",Assumptions!$C$32,IF($K147="Broker",Assumptions!$C$33,IF($K147="Bancassurance",Assumptions!$C$34,Assumptions!$C$11)))+$Q147</f>
        <v>0.25</v>
      </c>
      <c r="X147" s="390">
        <f>Assumptions!$C$12+$Q147</f>
        <v>0.05</v>
      </c>
      <c r="Y147" s="131">
        <f>MIN($I147,Assumptions!$C$14)</f>
        <v>500000</v>
      </c>
      <c r="Z147" s="131">
        <f>MAX($I147-Assumptions!$C$14,0)</f>
        <v>500000</v>
      </c>
      <c r="AA147" s="389">
        <f t="shared" si="38"/>
        <v>8.5576518061986437</v>
      </c>
      <c r="AB147" s="389">
        <f t="shared" si="39"/>
        <v>1.4099857891902649E-2</v>
      </c>
      <c r="AC147" s="389">
        <f>IF($T147=1,SUMPRODUCT($CJ147:$DW147,(1+Assumptions!$C$5)^($CJ$5:$DW$5-1),(1+$R147)^(-$CJ$5:$DW$5)),0)</f>
        <v>11.508586609405908</v>
      </c>
      <c r="AD147" s="389">
        <f t="shared" si="40"/>
        <v>0.62111930528577763</v>
      </c>
      <c r="AE147" s="131">
        <f>IF($T147=1,$AB147*$Y147+(Assumptions!$C$9/(1+$R147)+Assumptions!$C$10*$AC147)*$P147+$S147*$Z147*$AA147,0)</f>
        <v>15158.091710821183</v>
      </c>
      <c r="AF147" s="131">
        <f>IF($T147=1,IF($AA147-$AD147-Assumptions!$C$16*$AA147&gt;0,$AE147/($AA147-$AD147-Assumptions!$C$16*$AA147)*IF($J147="Monthly",1+Assumptions!$C$29,1),"n.a."),"")</f>
        <v>2152.9241490263416</v>
      </c>
      <c r="AG147" s="131">
        <f t="shared" si="41"/>
        <v>2034.5</v>
      </c>
      <c r="AH147" s="131">
        <f t="shared" si="42"/>
        <v>17410.542599711142</v>
      </c>
      <c r="AI147" s="131">
        <f t="shared" si="43"/>
        <v>988.78366228604318</v>
      </c>
      <c r="AJ147" s="390">
        <f t="shared" si="44"/>
        <v>5.6792237038175257E-2</v>
      </c>
      <c r="AK147" s="389">
        <f t="shared" si="45"/>
        <v>0.94499381268034977</v>
      </c>
      <c r="AL147" s="131">
        <f t="shared" si="46"/>
        <v>7049.9289459513247</v>
      </c>
      <c r="AM147" s="131">
        <f t="shared" si="47"/>
        <v>4706.7084934092536</v>
      </c>
      <c r="AN147" s="131">
        <f t="shared" si="48"/>
        <v>2343.2204525420711</v>
      </c>
      <c r="AO147" s="131">
        <f t="shared" si="49"/>
        <v>-1354.436790256028</v>
      </c>
      <c r="AP147" s="26" t="str">
        <f t="shared" si="50"/>
        <v>40-49</v>
      </c>
      <c r="AQ147" s="26" t="str">
        <f t="shared" si="51"/>
        <v>500k-1m</v>
      </c>
      <c r="AR147" s="26" t="str">
        <f>IF($T147=1,IF($AI147&lt;0,"Loss-making",IF($AJ147&lt;Assumptions!$C$16-0.00001,"Below target","At/above target")),"Excluded")</f>
        <v>Below target</v>
      </c>
      <c r="AS147" s="103">
        <f t="shared" si="52"/>
        <v>988.78380928604315</v>
      </c>
      <c r="AT147" s="26"/>
      <c r="AU147" s="419">
        <f>IF(AND($T147=1,AU$5&lt;=$H147),INDEX(Mortality!$B$4:$E$64,MATCH($D147+AU$5-1,Mortality!$A$4:$A$64,0),$U147)*$V147*$N147,0)</f>
        <v>8.5126940514836905E-4</v>
      </c>
      <c r="AV147" s="93">
        <f>IF(AND($T147=1,AV$5&lt;=$H147),INDEX(Mortality!$B$4:$E$64,MATCH($D147+AV$5-1,Mortality!$A$4:$A$64,0),$U147)*$V147*$N147,0)</f>
        <v>9.2216913770458301E-4</v>
      </c>
      <c r="AW147" s="93">
        <f>IF(AND($T147=1,AW$5&lt;=$H147),INDEX(Mortality!$B$4:$E$64,MATCH($D147+AW$5-1,Mortality!$A$4:$A$64,0),$U147)*$V147*$N147,0)</f>
        <v>9.98973901084343E-4</v>
      </c>
      <c r="AX147" s="93">
        <f>IF(AND($T147=1,AX$5&lt;=$H147),INDEX(Mortality!$B$4:$E$64,MATCH($D147+AX$5-1,Mortality!$A$4:$A$64,0),$U147)*$V147*$N147,0)</f>
        <v>1.08217550798947E-3</v>
      </c>
      <c r="AY147" s="93">
        <f>IF(AND($T147=1,AY$5&lt;=$H147),INDEX(Mortality!$B$4:$E$64,MATCH($D147+AY$5-1,Mortality!$A$4:$A$64,0),$U147)*$V147*$N147,0)</f>
        <v>1.1723067327595699E-3</v>
      </c>
      <c r="AZ147" s="93">
        <f>IF(AND($T147=1,AZ$5&lt;=$H147),INDEX(Mortality!$B$4:$E$64,MATCH($D147+AZ$5-1,Mortality!$A$4:$A$64,0),$U147)*$V147*$N147,0)</f>
        <v>1.2699447229467301E-3</v>
      </c>
      <c r="BA147" s="93">
        <f>IF(AND($T147=1,BA$5&lt;=$H147),INDEX(Mortality!$B$4:$E$64,MATCH($D147+BA$5-1,Mortality!$A$4:$A$64,0),$U147)*$V147*$N147,0)</f>
        <v>1.37571469503025E-3</v>
      </c>
      <c r="BB147" s="93">
        <f>IF(AND($T147=1,BB$5&lt;=$H147),INDEX(Mortality!$B$4:$E$64,MATCH($D147+BB$5-1,Mortality!$A$4:$A$64,0),$U147)*$V147*$N147,0)</f>
        <v>1.4902939379366699E-3</v>
      </c>
      <c r="BC147" s="93">
        <f>IF(AND($T147=1,BC$5&lt;=$H147),INDEX(Mortality!$B$4:$E$64,MATCH($D147+BC$5-1,Mortality!$A$4:$A$64,0),$U147)*$V147*$N147,0)</f>
        <v>1.6144161500011799E-3</v>
      </c>
      <c r="BD147" s="93">
        <f>IF(AND($T147=1,BD$5&lt;=$H147),INDEX(Mortality!$B$4:$E$64,MATCH($D147+BD$5-1,Mortality!$A$4:$A$64,0),$U147)*$V147*$N147,0)</f>
        <v>1.74887613714188E-3</v>
      </c>
      <c r="BE147" s="93">
        <f>IF(AND($T147=1,BE$5&lt;=$H147),INDEX(Mortality!$B$4:$E$64,MATCH($D147+BE$5-1,Mortality!$A$4:$A$64,0),$U147)*$V147*$N147,0)</f>
        <v>1.89453490233113E-3</v>
      </c>
      <c r="BF147" s="93">
        <f>IF(AND($T147=1,BF$5&lt;=$H147),INDEX(Mortality!$B$4:$E$64,MATCH($D147+BF$5-1,Mortality!$A$4:$A$64,0),$U147)*$V147*$N147,0)</f>
        <v>2.05232515895416E-3</v>
      </c>
      <c r="BG147" s="93">
        <f>IF(AND($T147=1,BG$5&lt;=$H147),INDEX(Mortality!$B$4:$E$64,MATCH($D147+BG$5-1,Mortality!$A$4:$A$64,0),$U147)*$V147*$N147,0)</f>
        <v>2.22325730335899E-3</v>
      </c>
      <c r="BH147" s="93">
        <f>IF(AND($T147=1,BH$5&lt;=$H147),INDEX(Mortality!$B$4:$E$64,MATCH($D147+BH$5-1,Mortality!$A$4:$A$64,0),$U147)*$V147*$N147,0)</f>
        <v>2.4084258848427E-3</v>
      </c>
      <c r="BI147" s="93">
        <f>IF(AND($T147=1,BI$5&lt;=$H147),INDEX(Mortality!$B$4:$E$64,MATCH($D147+BI$5-1,Mortality!$A$4:$A$64,0),$U147)*$V147*$N147,0)</f>
        <v>2.6090166145037101E-3</v>
      </c>
      <c r="BJ147" s="93">
        <f>IF(AND($T147=1,BJ$5&lt;=$H147),INDEX(Mortality!$B$4:$E$64,MATCH($D147+BJ$5-1,Mortality!$A$4:$A$64,0),$U147)*$V147*$N147,0)</f>
        <v>2.8263139578409702E-3</v>
      </c>
      <c r="BK147" s="93">
        <f>IF(AND($T147=1,BK$5&lt;=$H147),INDEX(Mortality!$B$4:$E$64,MATCH($D147+BK$5-1,Mortality!$A$4:$A$64,0),$U147)*$V147*$N147,0)</f>
        <v>3.0617093597183598E-3</v>
      </c>
      <c r="BL147" s="93">
        <f>IF(AND($T147=1,BL$5&lt;=$H147),INDEX(Mortality!$B$4:$E$64,MATCH($D147+BL$5-1,Mortality!$A$4:$A$64,0),$U147)*$V147*$N147,0)</f>
        <v>3.31671015436227E-3</v>
      </c>
      <c r="BM147" s="93">
        <f>IF(AND($T147=1,BM$5&lt;=$H147),INDEX(Mortality!$B$4:$E$64,MATCH($D147+BM$5-1,Mortality!$A$4:$A$64,0),$U147)*$V147*$N147,0)</f>
        <v>3.5929492174468702E-3</v>
      </c>
      <c r="BN147" s="93">
        <f>IF(AND($T147=1,BN$5&lt;=$H147),INDEX(Mortality!$B$4:$E$64,MATCH($D147+BN$5-1,Mortality!$A$4:$A$64,0),$U147)*$V147*$N147,0)</f>
        <v>3.8921954220730499E-3</v>
      </c>
      <c r="BO147" s="93">
        <f>IF(AND($T147=1,BO$5&lt;=$H147),INDEX(Mortality!$B$4:$E$64,MATCH($D147+BO$5-1,Mortality!$A$4:$A$64,0),$U147)*$V147*$N147,0)</f>
        <v>0</v>
      </c>
      <c r="BP147" s="93">
        <f>IF(AND($T147=1,BP$5&lt;=$H147),INDEX(Mortality!$B$4:$E$64,MATCH($D147+BP$5-1,Mortality!$A$4:$A$64,0),$U147)*$V147*$N147,0)</f>
        <v>0</v>
      </c>
      <c r="BQ147" s="93">
        <f>IF(AND($T147=1,BQ$5&lt;=$H147),INDEX(Mortality!$B$4:$E$64,MATCH($D147+BQ$5-1,Mortality!$A$4:$A$64,0),$U147)*$V147*$N147,0)</f>
        <v>0</v>
      </c>
      <c r="BR147" s="93">
        <f>IF(AND($T147=1,BR$5&lt;=$H147),INDEX(Mortality!$B$4:$E$64,MATCH($D147+BR$5-1,Mortality!$A$4:$A$64,0),$U147)*$V147*$N147,0)</f>
        <v>0</v>
      </c>
      <c r="BS147" s="93">
        <f>IF(AND($T147=1,BS$5&lt;=$H147),INDEX(Mortality!$B$4:$E$64,MATCH($D147+BS$5-1,Mortality!$A$4:$A$64,0),$U147)*$V147*$N147,0)</f>
        <v>0</v>
      </c>
      <c r="BT147" s="93">
        <f>IF(AND($T147=1,BT$5&lt;=$H147),INDEX(Mortality!$B$4:$E$64,MATCH($D147+BT$5-1,Mortality!$A$4:$A$64,0),$U147)*$V147*$N147,0)</f>
        <v>0</v>
      </c>
      <c r="BU147" s="93">
        <f>IF(AND($T147=1,BU$5&lt;=$H147),INDEX(Mortality!$B$4:$E$64,MATCH($D147+BU$5-1,Mortality!$A$4:$A$64,0),$U147)*$V147*$N147,0)</f>
        <v>0</v>
      </c>
      <c r="BV147" s="93">
        <f>IF(AND($T147=1,BV$5&lt;=$H147),INDEX(Mortality!$B$4:$E$64,MATCH($D147+BV$5-1,Mortality!$A$4:$A$64,0),$U147)*$V147*$N147,0)</f>
        <v>0</v>
      </c>
      <c r="BW147" s="93">
        <f>IF(AND($T147=1,BW$5&lt;=$H147),INDEX(Mortality!$B$4:$E$64,MATCH($D147+BW$5-1,Mortality!$A$4:$A$64,0),$U147)*$V147*$N147,0)</f>
        <v>0</v>
      </c>
      <c r="BX147" s="93">
        <f>IF(AND($T147=1,BX$5&lt;=$H147),INDEX(Mortality!$B$4:$E$64,MATCH($D147+BX$5-1,Mortality!$A$4:$A$64,0),$U147)*$V147*$N147,0)</f>
        <v>0</v>
      </c>
      <c r="BY147" s="93">
        <f>IF(AND($T147=1,BY$5&lt;=$H147),INDEX(Mortality!$B$4:$E$64,MATCH($D147+BY$5-1,Mortality!$A$4:$A$64,0),$U147)*$V147*$N147,0)</f>
        <v>0</v>
      </c>
      <c r="BZ147" s="93">
        <f>IF(AND($T147=1,BZ$5&lt;=$H147),INDEX(Mortality!$B$4:$E$64,MATCH($D147+BZ$5-1,Mortality!$A$4:$A$64,0),$U147)*$V147*$N147,0)</f>
        <v>0</v>
      </c>
      <c r="CA147" s="93">
        <f>IF(AND($T147=1,CA$5&lt;=$H147),INDEX(Mortality!$B$4:$E$64,MATCH($D147+CA$5-1,Mortality!$A$4:$A$64,0),$U147)*$V147*$N147,0)</f>
        <v>0</v>
      </c>
      <c r="CB147" s="93">
        <f>IF(AND($T147=1,CB$5&lt;=$H147),INDEX(Mortality!$B$4:$E$64,MATCH($D147+CB$5-1,Mortality!$A$4:$A$64,0),$U147)*$V147*$N147,0)</f>
        <v>0</v>
      </c>
      <c r="CC147" s="93">
        <f>IF(AND($T147=1,CC$5&lt;=$H147),INDEX(Mortality!$B$4:$E$64,MATCH($D147+CC$5-1,Mortality!$A$4:$A$64,0),$U147)*$V147*$N147,0)</f>
        <v>0</v>
      </c>
      <c r="CD147" s="93">
        <f>IF(AND($T147=1,CD$5&lt;=$H147),INDEX(Mortality!$B$4:$E$64,MATCH($D147+CD$5-1,Mortality!$A$4:$A$64,0),$U147)*$V147*$N147,0)</f>
        <v>0</v>
      </c>
      <c r="CE147" s="93">
        <f>IF(AND($T147=1,CE$5&lt;=$H147),INDEX(Mortality!$B$4:$E$64,MATCH($D147+CE$5-1,Mortality!$A$4:$A$64,0),$U147)*$V147*$N147,0)</f>
        <v>0</v>
      </c>
      <c r="CF147" s="93">
        <f>IF(AND($T147=1,CF$5&lt;=$H147),INDEX(Mortality!$B$4:$E$64,MATCH($D147+CF$5-1,Mortality!$A$4:$A$64,0),$U147)*$V147*$N147,0)</f>
        <v>0</v>
      </c>
      <c r="CG147" s="93">
        <f>IF(AND($T147=1,CG$5&lt;=$H147),INDEX(Mortality!$B$4:$E$64,MATCH($D147+CG$5-1,Mortality!$A$4:$A$64,0),$U147)*$V147*$N147,0)</f>
        <v>0</v>
      </c>
      <c r="CH147" s="94">
        <f>IF(AND($T147=1,CH$5&lt;=$H147),INDEX(Mortality!$B$4:$E$64,MATCH($D147+CH$5-1,Mortality!$A$4:$A$64,0),$U147)*$V147*$N147,0)</f>
        <v>0</v>
      </c>
      <c r="CI147" s="26"/>
      <c r="CJ147" s="419">
        <f t="shared" si="53"/>
        <v>1</v>
      </c>
      <c r="CK147" s="93">
        <f>IF(AND($T147=1,CK$5&lt;=$H147),CJ147*(1-AU147)*(1-MIN(1,MAX(Assumptions!$C$27,Assumptions!$C$13*Assumptions!$C$28^(CJ$5-1))*$O147)),0)</f>
        <v>0.87925088292346942</v>
      </c>
      <c r="CL147" s="93">
        <f>IF(AND($T147=1,CL$5&lt;=$H147),CK147*(1-AV147)*(1-MIN(1,MAX(Assumptions!$C$27,Assumptions!$C$13*Assumptions!$C$28^(CK$5-1))*$O147)),0)</f>
        <v>0.7888391782756542</v>
      </c>
      <c r="CM147" s="93">
        <f>IF(AND($T147=1,CM$5&lt;=$H147),CL147*(1-AW147)*(1-MIN(1,MAX(Assumptions!$C$27,Assumptions!$C$13*Assumptions!$C$28^(CL$5-1))*$O147)),0)</f>
        <v>0.71972711394733813</v>
      </c>
      <c r="CN147" s="93">
        <f>IF(AND($T147=1,CN$5&lt;=$H147),CM147*(1-AX147)*(1-MIN(1,MAX(Assumptions!$C$27,Assumptions!$C$13*Assumptions!$C$28^(CM$5-1))*$O147)),0)</f>
        <v>0.66596535213224861</v>
      </c>
      <c r="CO147" s="93">
        <f>IF(AND($T147=1,CO$5&lt;=$H147),CN147*(1-AY147)*(1-MIN(1,MAX(Assumptions!$C$27,Assumptions!$C$13*Assumptions!$C$28^(CN$5-1))*$O147)),0)</f>
        <v>0.62351697194944178</v>
      </c>
      <c r="CP147" s="93">
        <f>IF(AND($T147=1,CP$5&lt;=$H147),CO147*(1-AZ147)*(1-MIN(1,MAX(Assumptions!$C$27,Assumptions!$C$13*Assumptions!$C$28^(CO$5-1))*$O147)),0)</f>
        <v>0.58956836552719805</v>
      </c>
      <c r="CQ147" s="93">
        <f>IF(AND($T147=1,CQ$5&lt;=$H147),CP147*(1-BA147)*(1-MIN(1,MAX(Assumptions!$C$27,Assumptions!$C$13*Assumptions!$C$28^(CP$5-1))*$O147)),0)</f>
        <v>0.56211134455948175</v>
      </c>
      <c r="CR147" s="93">
        <f>IF(AND($T147=1,CR$5&lt;=$H147),CQ147*(1-BB147)*(1-MIN(1,MAX(Assumptions!$C$27,Assumptions!$C$13*Assumptions!$C$28^(CQ$5-1))*$O147)),0)</f>
        <v>0.53968185737414687</v>
      </c>
      <c r="CS147" s="93">
        <f>IF(AND($T147=1,CS$5&lt;=$H147),CR147*(1-BC147)*(1-MIN(1,MAX(Assumptions!$C$27,Assumptions!$C$13*Assumptions!$C$28^(CR$5-1))*$O147)),0)</f>
        <v>0.52119209272189526</v>
      </c>
      <c r="CT147" s="93">
        <f>IF(AND($T147=1,CT$5&lt;=$H147),CS147*(1-BD147)*(1-MIN(1,MAX(Assumptions!$C$27,Assumptions!$C$13*Assumptions!$C$28^(CS$5-1))*$O147)),0)</f>
        <v>0.50581989606796962</v>
      </c>
      <c r="CU147" s="93">
        <f>IF(AND($T147=1,CU$5&lt;=$H147),CT147*(1-BE147)*(1-MIN(1,MAX(Assumptions!$C$27,Assumptions!$C$13*Assumptions!$C$28^(CT$5-1))*$O147)),0)</f>
        <v>0.49293428334572392</v>
      </c>
      <c r="CV147" s="93">
        <f>IF(AND($T147=1,CV$5&lt;=$H147),CU147*(1-BF147)*(1-MIN(1,MAX(Assumptions!$C$27,Assumptions!$C$13*Assumptions!$C$28^(CU$5-1))*$O147)),0)</f>
        <v>0.48204423065084978</v>
      </c>
      <c r="CW147" s="93">
        <f>IF(AND($T147=1,CW$5&lt;=$H147),CV147*(1-BG147)*(1-MIN(1,MAX(Assumptions!$C$27,Assumptions!$C$13*Assumptions!$C$28^(CV$5-1))*$O147)),0)</f>
        <v>0.47135307184862291</v>
      </c>
      <c r="CX147" s="93">
        <f>IF(AND($T147=1,CX$5&lt;=$H147),CW147*(1-BH147)*(1-MIN(1,MAX(Assumptions!$C$27,Assumptions!$C$13*Assumptions!$C$28^(CW$5-1))*$O147)),0)</f>
        <v>0.46081349585129294</v>
      </c>
      <c r="CY147" s="93">
        <f>IF(AND($T147=1,CY$5&lt;=$H147),CX147*(1-BI147)*(1-MIN(1,MAX(Assumptions!$C$27,Assumptions!$C$13*Assumptions!$C$28^(CX$5-1))*$O147)),0)</f>
        <v>0.45041900126874079</v>
      </c>
      <c r="CZ147" s="93">
        <f>IF(AND($T147=1,CZ$5&lt;=$H147),CY147*(1-BJ147)*(1-MIN(1,MAX(Assumptions!$C$27,Assumptions!$C$13*Assumptions!$C$28^(CY$5-1))*$O147)),0)</f>
        <v>0.44016305624340663</v>
      </c>
      <c r="DA147" s="93">
        <f>IF(AND($T147=1,DA$5&lt;=$H147),CZ147*(1-BK147)*(1-MIN(1,MAX(Assumptions!$C$27,Assumptions!$C$13*Assumptions!$C$28^(CZ$5-1))*$O147)),0)</f>
        <v>0.43003909679641783</v>
      </c>
      <c r="DB147" s="93">
        <f>IF(AND($T147=1,DB$5&lt;=$H147),DA147*(1-BL147)*(1-MIN(1,MAX(Assumptions!$C$27,Assumptions!$C$13*Assumptions!$C$28^(DA$5-1))*$O147)),0)</f>
        <v>0.42004052612215431</v>
      </c>
      <c r="DC147" s="93">
        <f>IF(AND($T147=1,DC$5&lt;=$H147),DB147*(1-BM147)*(1-MIN(1,MAX(Assumptions!$C$27,Assumptions!$C$13*Assumptions!$C$28^(DB$5-1))*$O147)),0)</f>
        <v>0.41016071500567713</v>
      </c>
      <c r="DD147" s="93">
        <f>IF(AND($T147=1,DD$5&lt;=$H147),DC147*(1-BN147)*(1-MIN(1,MAX(Assumptions!$C$27,Assumptions!$C$13*Assumptions!$C$28^(DC$5-1))*$O147)),0)</f>
        <v>0</v>
      </c>
      <c r="DE147" s="93">
        <f>IF(AND($T147=1,DE$5&lt;=$H147),DD147*(1-BO147)*(1-MIN(1,MAX(Assumptions!$C$27,Assumptions!$C$13*Assumptions!$C$28^(DD$5-1))*$O147)),0)</f>
        <v>0</v>
      </c>
      <c r="DF147" s="93">
        <f>IF(AND($T147=1,DF$5&lt;=$H147),DE147*(1-BP147)*(1-MIN(1,MAX(Assumptions!$C$27,Assumptions!$C$13*Assumptions!$C$28^(DE$5-1))*$O147)),0)</f>
        <v>0</v>
      </c>
      <c r="DG147" s="93">
        <f>IF(AND($T147=1,DG$5&lt;=$H147),DF147*(1-BQ147)*(1-MIN(1,MAX(Assumptions!$C$27,Assumptions!$C$13*Assumptions!$C$28^(DF$5-1))*$O147)),0)</f>
        <v>0</v>
      </c>
      <c r="DH147" s="93">
        <f>IF(AND($T147=1,DH$5&lt;=$H147),DG147*(1-BR147)*(1-MIN(1,MAX(Assumptions!$C$27,Assumptions!$C$13*Assumptions!$C$28^(DG$5-1))*$O147)),0)</f>
        <v>0</v>
      </c>
      <c r="DI147" s="93">
        <f>IF(AND($T147=1,DI$5&lt;=$H147),DH147*(1-BS147)*(1-MIN(1,MAX(Assumptions!$C$27,Assumptions!$C$13*Assumptions!$C$28^(DH$5-1))*$O147)),0)</f>
        <v>0</v>
      </c>
      <c r="DJ147" s="93">
        <f>IF(AND($T147=1,DJ$5&lt;=$H147),DI147*(1-BT147)*(1-MIN(1,MAX(Assumptions!$C$27,Assumptions!$C$13*Assumptions!$C$28^(DI$5-1))*$O147)),0)</f>
        <v>0</v>
      </c>
      <c r="DK147" s="93">
        <f>IF(AND($T147=1,DK$5&lt;=$H147),DJ147*(1-BU147)*(1-MIN(1,MAX(Assumptions!$C$27,Assumptions!$C$13*Assumptions!$C$28^(DJ$5-1))*$O147)),0)</f>
        <v>0</v>
      </c>
      <c r="DL147" s="93">
        <f>IF(AND($T147=1,DL$5&lt;=$H147),DK147*(1-BV147)*(1-MIN(1,MAX(Assumptions!$C$27,Assumptions!$C$13*Assumptions!$C$28^(DK$5-1))*$O147)),0)</f>
        <v>0</v>
      </c>
      <c r="DM147" s="93">
        <f>IF(AND($T147=1,DM$5&lt;=$H147),DL147*(1-BW147)*(1-MIN(1,MAX(Assumptions!$C$27,Assumptions!$C$13*Assumptions!$C$28^(DL$5-1))*$O147)),0)</f>
        <v>0</v>
      </c>
      <c r="DN147" s="93">
        <f>IF(AND($T147=1,DN$5&lt;=$H147),DM147*(1-BX147)*(1-MIN(1,MAX(Assumptions!$C$27,Assumptions!$C$13*Assumptions!$C$28^(DM$5-1))*$O147)),0)</f>
        <v>0</v>
      </c>
      <c r="DO147" s="93">
        <f>IF(AND($T147=1,DO$5&lt;=$H147),DN147*(1-BY147)*(1-MIN(1,MAX(Assumptions!$C$27,Assumptions!$C$13*Assumptions!$C$28^(DN$5-1))*$O147)),0)</f>
        <v>0</v>
      </c>
      <c r="DP147" s="93">
        <f>IF(AND($T147=1,DP$5&lt;=$H147),DO147*(1-BZ147)*(1-MIN(1,MAX(Assumptions!$C$27,Assumptions!$C$13*Assumptions!$C$28^(DO$5-1))*$O147)),0)</f>
        <v>0</v>
      </c>
      <c r="DQ147" s="93">
        <f>IF(AND($T147=1,DQ$5&lt;=$H147),DP147*(1-CA147)*(1-MIN(1,MAX(Assumptions!$C$27,Assumptions!$C$13*Assumptions!$C$28^(DP$5-1))*$O147)),0)</f>
        <v>0</v>
      </c>
      <c r="DR147" s="93">
        <f>IF(AND($T147=1,DR$5&lt;=$H147),DQ147*(1-CB147)*(1-MIN(1,MAX(Assumptions!$C$27,Assumptions!$C$13*Assumptions!$C$28^(DQ$5-1))*$O147)),0)</f>
        <v>0</v>
      </c>
      <c r="DS147" s="93">
        <f>IF(AND($T147=1,DS$5&lt;=$H147),DR147*(1-CC147)*(1-MIN(1,MAX(Assumptions!$C$27,Assumptions!$C$13*Assumptions!$C$28^(DR$5-1))*$O147)),0)</f>
        <v>0</v>
      </c>
      <c r="DT147" s="93">
        <f>IF(AND($T147=1,DT$5&lt;=$H147),DS147*(1-CD147)*(1-MIN(1,MAX(Assumptions!$C$27,Assumptions!$C$13*Assumptions!$C$28^(DS$5-1))*$O147)),0)</f>
        <v>0</v>
      </c>
      <c r="DU147" s="93">
        <f>IF(AND($T147=1,DU$5&lt;=$H147),DT147*(1-CE147)*(1-MIN(1,MAX(Assumptions!$C$27,Assumptions!$C$13*Assumptions!$C$28^(DT$5-1))*$O147)),0)</f>
        <v>0</v>
      </c>
      <c r="DV147" s="93">
        <f>IF(AND($T147=1,DV$5&lt;=$H147),DU147*(1-CF147)*(1-MIN(1,MAX(Assumptions!$C$27,Assumptions!$C$13*Assumptions!$C$28^(DU$5-1))*$O147)),0)</f>
        <v>0</v>
      </c>
      <c r="DW147" s="94">
        <f>IF(AND($T147=1,DW$5&lt;=$H147),DV147*(1-CG147)*(1-MIN(1,MAX(Assumptions!$C$27,Assumptions!$C$13*Assumptions!$C$28^(DV$5-1))*$O147)),0)</f>
        <v>0</v>
      </c>
      <c r="DX147" s="26"/>
      <c r="DY147" s="399">
        <f>'Policy Data'!K121</f>
        <v>4</v>
      </c>
      <c r="DZ147" s="100">
        <f>'Policy Data'!L121</f>
        <v>0.71120000000000005</v>
      </c>
      <c r="EA147" s="100">
        <f>'Policy Data'!N121</f>
        <v>6.0499999999999996E-4</v>
      </c>
      <c r="EB147" s="93" cm="1">
        <f t="array" ref="EB147">IFERROR(DZ147*INDEX(Mortality!$B$4:$E$64,MATCH(D147+DY147-1,Mortality!$A$4:$A$64,0),U147)*V147,0)</f>
        <v>7.696432212821111E-4</v>
      </c>
      <c r="EC147" s="100">
        <f>'Policy Data'!O121</f>
        <v>0</v>
      </c>
      <c r="ED147" s="400">
        <f>'Policy Data'!Q121</f>
        <v>1</v>
      </c>
    </row>
    <row r="148" spans="1:134" x14ac:dyDescent="0.3">
      <c r="A148" s="399" t="str">
        <f>'Policy Data'!A122</f>
        <v>POL100118</v>
      </c>
      <c r="B148" s="26" t="s">
        <v>426</v>
      </c>
      <c r="C148" s="100" t="str">
        <f>'Policy Data'!B122</f>
        <v>Unit-Linked</v>
      </c>
      <c r="D148" s="100">
        <f>'Policy Data'!C122</f>
        <v>38</v>
      </c>
      <c r="E148" s="100" t="str">
        <f>'Policy Data'!D122</f>
        <v>Male</v>
      </c>
      <c r="F148" s="100" t="str">
        <f>'Policy Data'!E122</f>
        <v>Non-smoker</v>
      </c>
      <c r="G148" s="100" t="str">
        <f>'Policy Data'!F122</f>
        <v>Preferred</v>
      </c>
      <c r="H148" s="100">
        <f>'Policy Data'!G122</f>
        <v>25</v>
      </c>
      <c r="I148" s="279">
        <f>'Policy Data'!H122</f>
        <v>500000</v>
      </c>
      <c r="J148" s="100" t="str">
        <f>'Policy Data'!I122</f>
        <v>Annual</v>
      </c>
      <c r="K148" s="100" t="str">
        <f>'Policy Data'!J122</f>
        <v>Direct</v>
      </c>
      <c r="L148" s="26" t="s">
        <v>389</v>
      </c>
      <c r="M148" s="106">
        <f>'Policy Data'!R122</f>
        <v>13063.47</v>
      </c>
      <c r="N148" s="415">
        <f>Assumptions!$C$21</f>
        <v>1</v>
      </c>
      <c r="O148" s="415">
        <f>Assumptions!$C$22</f>
        <v>1</v>
      </c>
      <c r="P148" s="415">
        <f>Assumptions!$C$23</f>
        <v>1</v>
      </c>
      <c r="Q148" s="416">
        <f>Assumptions!$C$24</f>
        <v>0</v>
      </c>
      <c r="R148" s="416">
        <f>Assumptions!$C$6+Assumptions!$C$25</f>
        <v>3.5000000000000003E-2</v>
      </c>
      <c r="S148" s="416">
        <f>Assumptions!$C$15</f>
        <v>1.1000000000000001E-3</v>
      </c>
      <c r="T148" s="26">
        <f t="shared" si="36"/>
        <v>0</v>
      </c>
      <c r="U148" s="26">
        <f t="shared" si="37"/>
        <v>3</v>
      </c>
      <c r="V148" s="389">
        <f>IF($G148="Preferred",Assumptions!$C$30,IF($G148="Rated",Assumptions!$C$31,1))</f>
        <v>0.8</v>
      </c>
      <c r="W148" s="390">
        <f>IF($K148="Direct",Assumptions!$C$32,IF($K148="Broker",Assumptions!$C$33,IF($K148="Bancassurance",Assumptions!$C$34,Assumptions!$C$11)))+$Q148</f>
        <v>0.1</v>
      </c>
      <c r="X148" s="390">
        <f>Assumptions!$C$12+$Q148</f>
        <v>0.05</v>
      </c>
      <c r="Y148" s="131">
        <f>MIN($I148,Assumptions!$C$14)</f>
        <v>500000</v>
      </c>
      <c r="Z148" s="131">
        <f>MAX($I148-Assumptions!$C$14,0)</f>
        <v>0</v>
      </c>
      <c r="AA148" s="389">
        <f t="shared" si="38"/>
        <v>0</v>
      </c>
      <c r="AB148" s="389">
        <f t="shared" si="39"/>
        <v>0</v>
      </c>
      <c r="AC148" s="389">
        <f>IF($T148=1,SUMPRODUCT($CJ148:$DW148,(1+Assumptions!$C$5)^($CJ$5:$DW$5-1),(1+$R148)^(-$CJ$5:$DW$5)),0)</f>
        <v>0</v>
      </c>
      <c r="AD148" s="389">
        <f t="shared" si="40"/>
        <v>0</v>
      </c>
      <c r="AE148" s="131">
        <f>IF($T148=1,$AB148*$Y148+(Assumptions!$C$9/(1+$R148)+Assumptions!$C$10*$AC148)*$P148+$S148*$Z148*$AA148,0)</f>
        <v>0</v>
      </c>
      <c r="AF148" s="131" t="str">
        <f>IF($T148=1,IF($AA148-$AD148-Assumptions!$C$16*$AA148&gt;0,$AE148/($AA148-$AD148-Assumptions!$C$16*$AA148)*IF($J148="Monthly",1+Assumptions!$C$29,1),"n.a."),"")</f>
        <v/>
      </c>
      <c r="AG148" s="131" t="str">
        <f t="shared" si="41"/>
        <v/>
      </c>
      <c r="AH148" s="131" t="str">
        <f t="shared" si="42"/>
        <v/>
      </c>
      <c r="AI148" s="131" t="str">
        <f t="shared" si="43"/>
        <v/>
      </c>
      <c r="AJ148" s="390" t="str">
        <f t="shared" si="44"/>
        <v/>
      </c>
      <c r="AK148" s="389" t="str">
        <f t="shared" si="45"/>
        <v/>
      </c>
      <c r="AL148" s="131" t="str">
        <f t="shared" si="46"/>
        <v/>
      </c>
      <c r="AM148" s="131" t="str">
        <f t="shared" si="47"/>
        <v/>
      </c>
      <c r="AN148" s="131" t="str">
        <f t="shared" si="48"/>
        <v/>
      </c>
      <c r="AO148" s="131" t="str">
        <f t="shared" si="49"/>
        <v/>
      </c>
      <c r="AP148" s="26" t="str">
        <f t="shared" si="50"/>
        <v>30-39</v>
      </c>
      <c r="AQ148" s="26" t="str">
        <f t="shared" si="51"/>
        <v>250k-500k</v>
      </c>
      <c r="AR148" s="26" t="str">
        <f>IF($T148=1,IF($AI148&lt;0,"Loss-making",IF($AJ148&lt;Assumptions!$C$16-0.00001,"Below target","At/above target")),"Excluded")</f>
        <v>Excluded</v>
      </c>
      <c r="AS148" s="103">
        <f t="shared" si="52"/>
        <v>9.9999999999999997E+98</v>
      </c>
      <c r="AT148" s="26"/>
      <c r="AU148" s="419">
        <f>IF(AND($T148=1,AU$5&lt;=$H148),INDEX(Mortality!$B$4:$E$64,MATCH($D148+AU$5-1,Mortality!$A$4:$A$64,0),$U148)*$V148*$N148,0)</f>
        <v>0</v>
      </c>
      <c r="AV148" s="93">
        <f>IF(AND($T148=1,AV$5&lt;=$H148),INDEX(Mortality!$B$4:$E$64,MATCH($D148+AV$5-1,Mortality!$A$4:$A$64,0),$U148)*$V148*$N148,0)</f>
        <v>0</v>
      </c>
      <c r="AW148" s="93">
        <f>IF(AND($T148=1,AW$5&lt;=$H148),INDEX(Mortality!$B$4:$E$64,MATCH($D148+AW$5-1,Mortality!$A$4:$A$64,0),$U148)*$V148*$N148,0)</f>
        <v>0</v>
      </c>
      <c r="AX148" s="93">
        <f>IF(AND($T148=1,AX$5&lt;=$H148),INDEX(Mortality!$B$4:$E$64,MATCH($D148+AX$5-1,Mortality!$A$4:$A$64,0),$U148)*$V148*$N148,0)</f>
        <v>0</v>
      </c>
      <c r="AY148" s="93">
        <f>IF(AND($T148=1,AY$5&lt;=$H148),INDEX(Mortality!$B$4:$E$64,MATCH($D148+AY$5-1,Mortality!$A$4:$A$64,0),$U148)*$V148*$N148,0)</f>
        <v>0</v>
      </c>
      <c r="AZ148" s="93">
        <f>IF(AND($T148=1,AZ$5&lt;=$H148),INDEX(Mortality!$B$4:$E$64,MATCH($D148+AZ$5-1,Mortality!$A$4:$A$64,0),$U148)*$V148*$N148,0)</f>
        <v>0</v>
      </c>
      <c r="BA148" s="93">
        <f>IF(AND($T148=1,BA$5&lt;=$H148),INDEX(Mortality!$B$4:$E$64,MATCH($D148+BA$5-1,Mortality!$A$4:$A$64,0),$U148)*$V148*$N148,0)</f>
        <v>0</v>
      </c>
      <c r="BB148" s="93">
        <f>IF(AND($T148=1,BB$5&lt;=$H148),INDEX(Mortality!$B$4:$E$64,MATCH($D148+BB$5-1,Mortality!$A$4:$A$64,0),$U148)*$V148*$N148,0)</f>
        <v>0</v>
      </c>
      <c r="BC148" s="93">
        <f>IF(AND($T148=1,BC$5&lt;=$H148),INDEX(Mortality!$B$4:$E$64,MATCH($D148+BC$5-1,Mortality!$A$4:$A$64,0),$U148)*$V148*$N148,0)</f>
        <v>0</v>
      </c>
      <c r="BD148" s="93">
        <f>IF(AND($T148=1,BD$5&lt;=$H148),INDEX(Mortality!$B$4:$E$64,MATCH($D148+BD$5-1,Mortality!$A$4:$A$64,0),$U148)*$V148*$N148,0)</f>
        <v>0</v>
      </c>
      <c r="BE148" s="93">
        <f>IF(AND($T148=1,BE$5&lt;=$H148),INDEX(Mortality!$B$4:$E$64,MATCH($D148+BE$5-1,Mortality!$A$4:$A$64,0),$U148)*$V148*$N148,0)</f>
        <v>0</v>
      </c>
      <c r="BF148" s="93">
        <f>IF(AND($T148=1,BF$5&lt;=$H148),INDEX(Mortality!$B$4:$E$64,MATCH($D148+BF$5-1,Mortality!$A$4:$A$64,0),$U148)*$V148*$N148,0)</f>
        <v>0</v>
      </c>
      <c r="BG148" s="93">
        <f>IF(AND($T148=1,BG$5&lt;=$H148),INDEX(Mortality!$B$4:$E$64,MATCH($D148+BG$5-1,Mortality!$A$4:$A$64,0),$U148)*$V148*$N148,0)</f>
        <v>0</v>
      </c>
      <c r="BH148" s="93">
        <f>IF(AND($T148=1,BH$5&lt;=$H148),INDEX(Mortality!$B$4:$E$64,MATCH($D148+BH$5-1,Mortality!$A$4:$A$64,0),$U148)*$V148*$N148,0)</f>
        <v>0</v>
      </c>
      <c r="BI148" s="93">
        <f>IF(AND($T148=1,BI$5&lt;=$H148),INDEX(Mortality!$B$4:$E$64,MATCH($D148+BI$5-1,Mortality!$A$4:$A$64,0),$U148)*$V148*$N148,0)</f>
        <v>0</v>
      </c>
      <c r="BJ148" s="93">
        <f>IF(AND($T148=1,BJ$5&lt;=$H148),INDEX(Mortality!$B$4:$E$64,MATCH($D148+BJ$5-1,Mortality!$A$4:$A$64,0),$U148)*$V148*$N148,0)</f>
        <v>0</v>
      </c>
      <c r="BK148" s="93">
        <f>IF(AND($T148=1,BK$5&lt;=$H148),INDEX(Mortality!$B$4:$E$64,MATCH($D148+BK$5-1,Mortality!$A$4:$A$64,0),$U148)*$V148*$N148,0)</f>
        <v>0</v>
      </c>
      <c r="BL148" s="93">
        <f>IF(AND($T148=1,BL$5&lt;=$H148),INDEX(Mortality!$B$4:$E$64,MATCH($D148+BL$5-1,Mortality!$A$4:$A$64,0),$U148)*$V148*$N148,0)</f>
        <v>0</v>
      </c>
      <c r="BM148" s="93">
        <f>IF(AND($T148=1,BM$5&lt;=$H148),INDEX(Mortality!$B$4:$E$64,MATCH($D148+BM$5-1,Mortality!$A$4:$A$64,0),$U148)*$V148*$N148,0)</f>
        <v>0</v>
      </c>
      <c r="BN148" s="93">
        <f>IF(AND($T148=1,BN$5&lt;=$H148),INDEX(Mortality!$B$4:$E$64,MATCH($D148+BN$5-1,Mortality!$A$4:$A$64,0),$U148)*$V148*$N148,0)</f>
        <v>0</v>
      </c>
      <c r="BO148" s="93">
        <f>IF(AND($T148=1,BO$5&lt;=$H148),INDEX(Mortality!$B$4:$E$64,MATCH($D148+BO$5-1,Mortality!$A$4:$A$64,0),$U148)*$V148*$N148,0)</f>
        <v>0</v>
      </c>
      <c r="BP148" s="93">
        <f>IF(AND($T148=1,BP$5&lt;=$H148),INDEX(Mortality!$B$4:$E$64,MATCH($D148+BP$5-1,Mortality!$A$4:$A$64,0),$U148)*$V148*$N148,0)</f>
        <v>0</v>
      </c>
      <c r="BQ148" s="93">
        <f>IF(AND($T148=1,BQ$5&lt;=$H148),INDEX(Mortality!$B$4:$E$64,MATCH($D148+BQ$5-1,Mortality!$A$4:$A$64,0),$U148)*$V148*$N148,0)</f>
        <v>0</v>
      </c>
      <c r="BR148" s="93">
        <f>IF(AND($T148=1,BR$5&lt;=$H148),INDEX(Mortality!$B$4:$E$64,MATCH($D148+BR$5-1,Mortality!$A$4:$A$64,0),$U148)*$V148*$N148,0)</f>
        <v>0</v>
      </c>
      <c r="BS148" s="93">
        <f>IF(AND($T148=1,BS$5&lt;=$H148),INDEX(Mortality!$B$4:$E$64,MATCH($D148+BS$5-1,Mortality!$A$4:$A$64,0),$U148)*$V148*$N148,0)</f>
        <v>0</v>
      </c>
      <c r="BT148" s="93">
        <f>IF(AND($T148=1,BT$5&lt;=$H148),INDEX(Mortality!$B$4:$E$64,MATCH($D148+BT$5-1,Mortality!$A$4:$A$64,0),$U148)*$V148*$N148,0)</f>
        <v>0</v>
      </c>
      <c r="BU148" s="93">
        <f>IF(AND($T148=1,BU$5&lt;=$H148),INDEX(Mortality!$B$4:$E$64,MATCH($D148+BU$5-1,Mortality!$A$4:$A$64,0),$U148)*$V148*$N148,0)</f>
        <v>0</v>
      </c>
      <c r="BV148" s="93">
        <f>IF(AND($T148=1,BV$5&lt;=$H148),INDEX(Mortality!$B$4:$E$64,MATCH($D148+BV$5-1,Mortality!$A$4:$A$64,0),$U148)*$V148*$N148,0)</f>
        <v>0</v>
      </c>
      <c r="BW148" s="93">
        <f>IF(AND($T148=1,BW$5&lt;=$H148),INDEX(Mortality!$B$4:$E$64,MATCH($D148+BW$5-1,Mortality!$A$4:$A$64,0),$U148)*$V148*$N148,0)</f>
        <v>0</v>
      </c>
      <c r="BX148" s="93">
        <f>IF(AND($T148=1,BX$5&lt;=$H148),INDEX(Mortality!$B$4:$E$64,MATCH($D148+BX$5-1,Mortality!$A$4:$A$64,0),$U148)*$V148*$N148,0)</f>
        <v>0</v>
      </c>
      <c r="BY148" s="93">
        <f>IF(AND($T148=1,BY$5&lt;=$H148),INDEX(Mortality!$B$4:$E$64,MATCH($D148+BY$5-1,Mortality!$A$4:$A$64,0),$U148)*$V148*$N148,0)</f>
        <v>0</v>
      </c>
      <c r="BZ148" s="93">
        <f>IF(AND($T148=1,BZ$5&lt;=$H148),INDEX(Mortality!$B$4:$E$64,MATCH($D148+BZ$5-1,Mortality!$A$4:$A$64,0),$U148)*$V148*$N148,0)</f>
        <v>0</v>
      </c>
      <c r="CA148" s="93">
        <f>IF(AND($T148=1,CA$5&lt;=$H148),INDEX(Mortality!$B$4:$E$64,MATCH($D148+CA$5-1,Mortality!$A$4:$A$64,0),$U148)*$V148*$N148,0)</f>
        <v>0</v>
      </c>
      <c r="CB148" s="93">
        <f>IF(AND($T148=1,CB$5&lt;=$H148),INDEX(Mortality!$B$4:$E$64,MATCH($D148+CB$5-1,Mortality!$A$4:$A$64,0),$U148)*$V148*$N148,0)</f>
        <v>0</v>
      </c>
      <c r="CC148" s="93">
        <f>IF(AND($T148=1,CC$5&lt;=$H148),INDEX(Mortality!$B$4:$E$64,MATCH($D148+CC$5-1,Mortality!$A$4:$A$64,0),$U148)*$V148*$N148,0)</f>
        <v>0</v>
      </c>
      <c r="CD148" s="93">
        <f>IF(AND($T148=1,CD$5&lt;=$H148),INDEX(Mortality!$B$4:$E$64,MATCH($D148+CD$5-1,Mortality!$A$4:$A$64,0),$U148)*$V148*$N148,0)</f>
        <v>0</v>
      </c>
      <c r="CE148" s="93">
        <f>IF(AND($T148=1,CE$5&lt;=$H148),INDEX(Mortality!$B$4:$E$64,MATCH($D148+CE$5-1,Mortality!$A$4:$A$64,0),$U148)*$V148*$N148,0)</f>
        <v>0</v>
      </c>
      <c r="CF148" s="93">
        <f>IF(AND($T148=1,CF$5&lt;=$H148),INDEX(Mortality!$B$4:$E$64,MATCH($D148+CF$5-1,Mortality!$A$4:$A$64,0),$U148)*$V148*$N148,0)</f>
        <v>0</v>
      </c>
      <c r="CG148" s="93">
        <f>IF(AND($T148=1,CG$5&lt;=$H148),INDEX(Mortality!$B$4:$E$64,MATCH($D148+CG$5-1,Mortality!$A$4:$A$64,0),$U148)*$V148*$N148,0)</f>
        <v>0</v>
      </c>
      <c r="CH148" s="94">
        <f>IF(AND($T148=1,CH$5&lt;=$H148),INDEX(Mortality!$B$4:$E$64,MATCH($D148+CH$5-1,Mortality!$A$4:$A$64,0),$U148)*$V148*$N148,0)</f>
        <v>0</v>
      </c>
      <c r="CI148" s="26"/>
      <c r="CJ148" s="419">
        <f t="shared" si="53"/>
        <v>0</v>
      </c>
      <c r="CK148" s="93">
        <f>IF(AND($T148=1,CK$5&lt;=$H148),CJ148*(1-AU148)*(1-MIN(1,MAX(Assumptions!$C$27,Assumptions!$C$13*Assumptions!$C$28^(CJ$5-1))*$O148)),0)</f>
        <v>0</v>
      </c>
      <c r="CL148" s="93">
        <f>IF(AND($T148=1,CL$5&lt;=$H148),CK148*(1-AV148)*(1-MIN(1,MAX(Assumptions!$C$27,Assumptions!$C$13*Assumptions!$C$28^(CK$5-1))*$O148)),0)</f>
        <v>0</v>
      </c>
      <c r="CM148" s="93">
        <f>IF(AND($T148=1,CM$5&lt;=$H148),CL148*(1-AW148)*(1-MIN(1,MAX(Assumptions!$C$27,Assumptions!$C$13*Assumptions!$C$28^(CL$5-1))*$O148)),0)</f>
        <v>0</v>
      </c>
      <c r="CN148" s="93">
        <f>IF(AND($T148=1,CN$5&lt;=$H148),CM148*(1-AX148)*(1-MIN(1,MAX(Assumptions!$C$27,Assumptions!$C$13*Assumptions!$C$28^(CM$5-1))*$O148)),0)</f>
        <v>0</v>
      </c>
      <c r="CO148" s="93">
        <f>IF(AND($T148=1,CO$5&lt;=$H148),CN148*(1-AY148)*(1-MIN(1,MAX(Assumptions!$C$27,Assumptions!$C$13*Assumptions!$C$28^(CN$5-1))*$O148)),0)</f>
        <v>0</v>
      </c>
      <c r="CP148" s="93">
        <f>IF(AND($T148=1,CP$5&lt;=$H148),CO148*(1-AZ148)*(1-MIN(1,MAX(Assumptions!$C$27,Assumptions!$C$13*Assumptions!$C$28^(CO$5-1))*$O148)),0)</f>
        <v>0</v>
      </c>
      <c r="CQ148" s="93">
        <f>IF(AND($T148=1,CQ$5&lt;=$H148),CP148*(1-BA148)*(1-MIN(1,MAX(Assumptions!$C$27,Assumptions!$C$13*Assumptions!$C$28^(CP$5-1))*$O148)),0)</f>
        <v>0</v>
      </c>
      <c r="CR148" s="93">
        <f>IF(AND($T148=1,CR$5&lt;=$H148),CQ148*(1-BB148)*(1-MIN(1,MAX(Assumptions!$C$27,Assumptions!$C$13*Assumptions!$C$28^(CQ$5-1))*$O148)),0)</f>
        <v>0</v>
      </c>
      <c r="CS148" s="93">
        <f>IF(AND($T148=1,CS$5&lt;=$H148),CR148*(1-BC148)*(1-MIN(1,MAX(Assumptions!$C$27,Assumptions!$C$13*Assumptions!$C$28^(CR$5-1))*$O148)),0)</f>
        <v>0</v>
      </c>
      <c r="CT148" s="93">
        <f>IF(AND($T148=1,CT$5&lt;=$H148),CS148*(1-BD148)*(1-MIN(1,MAX(Assumptions!$C$27,Assumptions!$C$13*Assumptions!$C$28^(CS$5-1))*$O148)),0)</f>
        <v>0</v>
      </c>
      <c r="CU148" s="93">
        <f>IF(AND($T148=1,CU$5&lt;=$H148),CT148*(1-BE148)*(1-MIN(1,MAX(Assumptions!$C$27,Assumptions!$C$13*Assumptions!$C$28^(CT$5-1))*$O148)),0)</f>
        <v>0</v>
      </c>
      <c r="CV148" s="93">
        <f>IF(AND($T148=1,CV$5&lt;=$H148),CU148*(1-BF148)*(1-MIN(1,MAX(Assumptions!$C$27,Assumptions!$C$13*Assumptions!$C$28^(CU$5-1))*$O148)),0)</f>
        <v>0</v>
      </c>
      <c r="CW148" s="93">
        <f>IF(AND($T148=1,CW$5&lt;=$H148),CV148*(1-BG148)*(1-MIN(1,MAX(Assumptions!$C$27,Assumptions!$C$13*Assumptions!$C$28^(CV$5-1))*$O148)),0)</f>
        <v>0</v>
      </c>
      <c r="CX148" s="93">
        <f>IF(AND($T148=1,CX$5&lt;=$H148),CW148*(1-BH148)*(1-MIN(1,MAX(Assumptions!$C$27,Assumptions!$C$13*Assumptions!$C$28^(CW$5-1))*$O148)),0)</f>
        <v>0</v>
      </c>
      <c r="CY148" s="93">
        <f>IF(AND($T148=1,CY$5&lt;=$H148),CX148*(1-BI148)*(1-MIN(1,MAX(Assumptions!$C$27,Assumptions!$C$13*Assumptions!$C$28^(CX$5-1))*$O148)),0)</f>
        <v>0</v>
      </c>
      <c r="CZ148" s="93">
        <f>IF(AND($T148=1,CZ$5&lt;=$H148),CY148*(1-BJ148)*(1-MIN(1,MAX(Assumptions!$C$27,Assumptions!$C$13*Assumptions!$C$28^(CY$5-1))*$O148)),0)</f>
        <v>0</v>
      </c>
      <c r="DA148" s="93">
        <f>IF(AND($T148=1,DA$5&lt;=$H148),CZ148*(1-BK148)*(1-MIN(1,MAX(Assumptions!$C$27,Assumptions!$C$13*Assumptions!$C$28^(CZ$5-1))*$O148)),0)</f>
        <v>0</v>
      </c>
      <c r="DB148" s="93">
        <f>IF(AND($T148=1,DB$5&lt;=$H148),DA148*(1-BL148)*(1-MIN(1,MAX(Assumptions!$C$27,Assumptions!$C$13*Assumptions!$C$28^(DA$5-1))*$O148)),0)</f>
        <v>0</v>
      </c>
      <c r="DC148" s="93">
        <f>IF(AND($T148=1,DC$5&lt;=$H148),DB148*(1-BM148)*(1-MIN(1,MAX(Assumptions!$C$27,Assumptions!$C$13*Assumptions!$C$28^(DB$5-1))*$O148)),0)</f>
        <v>0</v>
      </c>
      <c r="DD148" s="93">
        <f>IF(AND($T148=1,DD$5&lt;=$H148),DC148*(1-BN148)*(1-MIN(1,MAX(Assumptions!$C$27,Assumptions!$C$13*Assumptions!$C$28^(DC$5-1))*$O148)),0)</f>
        <v>0</v>
      </c>
      <c r="DE148" s="93">
        <f>IF(AND($T148=1,DE$5&lt;=$H148),DD148*(1-BO148)*(1-MIN(1,MAX(Assumptions!$C$27,Assumptions!$C$13*Assumptions!$C$28^(DD$5-1))*$O148)),0)</f>
        <v>0</v>
      </c>
      <c r="DF148" s="93">
        <f>IF(AND($T148=1,DF$5&lt;=$H148),DE148*(1-BP148)*(1-MIN(1,MAX(Assumptions!$C$27,Assumptions!$C$13*Assumptions!$C$28^(DE$5-1))*$O148)),0)</f>
        <v>0</v>
      </c>
      <c r="DG148" s="93">
        <f>IF(AND($T148=1,DG$5&lt;=$H148),DF148*(1-BQ148)*(1-MIN(1,MAX(Assumptions!$C$27,Assumptions!$C$13*Assumptions!$C$28^(DF$5-1))*$O148)),0)</f>
        <v>0</v>
      </c>
      <c r="DH148" s="93">
        <f>IF(AND($T148=1,DH$5&lt;=$H148),DG148*(1-BR148)*(1-MIN(1,MAX(Assumptions!$C$27,Assumptions!$C$13*Assumptions!$C$28^(DG$5-1))*$O148)),0)</f>
        <v>0</v>
      </c>
      <c r="DI148" s="93">
        <f>IF(AND($T148=1,DI$5&lt;=$H148),DH148*(1-BS148)*(1-MIN(1,MAX(Assumptions!$C$27,Assumptions!$C$13*Assumptions!$C$28^(DH$5-1))*$O148)),0)</f>
        <v>0</v>
      </c>
      <c r="DJ148" s="93">
        <f>IF(AND($T148=1,DJ$5&lt;=$H148),DI148*(1-BT148)*(1-MIN(1,MAX(Assumptions!$C$27,Assumptions!$C$13*Assumptions!$C$28^(DI$5-1))*$O148)),0)</f>
        <v>0</v>
      </c>
      <c r="DK148" s="93">
        <f>IF(AND($T148=1,DK$5&lt;=$H148),DJ148*(1-BU148)*(1-MIN(1,MAX(Assumptions!$C$27,Assumptions!$C$13*Assumptions!$C$28^(DJ$5-1))*$O148)),0)</f>
        <v>0</v>
      </c>
      <c r="DL148" s="93">
        <f>IF(AND($T148=1,DL$5&lt;=$H148),DK148*(1-BV148)*(1-MIN(1,MAX(Assumptions!$C$27,Assumptions!$C$13*Assumptions!$C$28^(DK$5-1))*$O148)),0)</f>
        <v>0</v>
      </c>
      <c r="DM148" s="93">
        <f>IF(AND($T148=1,DM$5&lt;=$H148),DL148*(1-BW148)*(1-MIN(1,MAX(Assumptions!$C$27,Assumptions!$C$13*Assumptions!$C$28^(DL$5-1))*$O148)),0)</f>
        <v>0</v>
      </c>
      <c r="DN148" s="93">
        <f>IF(AND($T148=1,DN$5&lt;=$H148),DM148*(1-BX148)*(1-MIN(1,MAX(Assumptions!$C$27,Assumptions!$C$13*Assumptions!$C$28^(DM$5-1))*$O148)),0)</f>
        <v>0</v>
      </c>
      <c r="DO148" s="93">
        <f>IF(AND($T148=1,DO$5&lt;=$H148),DN148*(1-BY148)*(1-MIN(1,MAX(Assumptions!$C$27,Assumptions!$C$13*Assumptions!$C$28^(DN$5-1))*$O148)),0)</f>
        <v>0</v>
      </c>
      <c r="DP148" s="93">
        <f>IF(AND($T148=1,DP$5&lt;=$H148),DO148*(1-BZ148)*(1-MIN(1,MAX(Assumptions!$C$27,Assumptions!$C$13*Assumptions!$C$28^(DO$5-1))*$O148)),0)</f>
        <v>0</v>
      </c>
      <c r="DQ148" s="93">
        <f>IF(AND($T148=1,DQ$5&lt;=$H148),DP148*(1-CA148)*(1-MIN(1,MAX(Assumptions!$C$27,Assumptions!$C$13*Assumptions!$C$28^(DP$5-1))*$O148)),0)</f>
        <v>0</v>
      </c>
      <c r="DR148" s="93">
        <f>IF(AND($T148=1,DR$5&lt;=$H148),DQ148*(1-CB148)*(1-MIN(1,MAX(Assumptions!$C$27,Assumptions!$C$13*Assumptions!$C$28^(DQ$5-1))*$O148)),0)</f>
        <v>0</v>
      </c>
      <c r="DS148" s="93">
        <f>IF(AND($T148=1,DS$5&lt;=$H148),DR148*(1-CC148)*(1-MIN(1,MAX(Assumptions!$C$27,Assumptions!$C$13*Assumptions!$C$28^(DR$5-1))*$O148)),0)</f>
        <v>0</v>
      </c>
      <c r="DT148" s="93">
        <f>IF(AND($T148=1,DT$5&lt;=$H148),DS148*(1-CD148)*(1-MIN(1,MAX(Assumptions!$C$27,Assumptions!$C$13*Assumptions!$C$28^(DS$5-1))*$O148)),0)</f>
        <v>0</v>
      </c>
      <c r="DU148" s="93">
        <f>IF(AND($T148=1,DU$5&lt;=$H148),DT148*(1-CE148)*(1-MIN(1,MAX(Assumptions!$C$27,Assumptions!$C$13*Assumptions!$C$28^(DT$5-1))*$O148)),0)</f>
        <v>0</v>
      </c>
      <c r="DV148" s="93">
        <f>IF(AND($T148=1,DV$5&lt;=$H148),DU148*(1-CF148)*(1-MIN(1,MAX(Assumptions!$C$27,Assumptions!$C$13*Assumptions!$C$28^(DU$5-1))*$O148)),0)</f>
        <v>0</v>
      </c>
      <c r="DW148" s="94">
        <f>IF(AND($T148=1,DW$5&lt;=$H148),DV148*(1-CG148)*(1-MIN(1,MAX(Assumptions!$C$27,Assumptions!$C$13*Assumptions!$C$28^(DV$5-1))*$O148)),0)</f>
        <v>0</v>
      </c>
      <c r="DX148" s="26"/>
      <c r="DY148" s="399">
        <f>'Policy Data'!K122</f>
        <v>7</v>
      </c>
      <c r="DZ148" s="100">
        <f>'Policy Data'!L122</f>
        <v>0.52659999999999996</v>
      </c>
      <c r="EA148" s="100">
        <f>'Policy Data'!N122</f>
        <v>4.1300000000000001E-4</v>
      </c>
      <c r="EB148" s="93" cm="1">
        <f t="array" ref="EB148">IFERROR(DZ148*INDEX(Mortality!$B$4:$E$64,MATCH(D148+DY148-1,Mortality!$A$4:$A$64,0),U148)*V148,0)</f>
        <v>6.6817622050999582E-4</v>
      </c>
      <c r="EC148" s="100">
        <f>'Policy Data'!O122</f>
        <v>0</v>
      </c>
      <c r="ED148" s="400">
        <f>'Policy Data'!Q122</f>
        <v>0</v>
      </c>
    </row>
    <row r="149" spans="1:134" x14ac:dyDescent="0.3">
      <c r="A149" s="399" t="str">
        <f>'Policy Data'!A123</f>
        <v>POL100119</v>
      </c>
      <c r="B149" s="26" t="s">
        <v>426</v>
      </c>
      <c r="C149" s="100" t="str">
        <f>'Policy Data'!B123</f>
        <v>Unit-Linked</v>
      </c>
      <c r="D149" s="100">
        <f>'Policy Data'!C123</f>
        <v>26</v>
      </c>
      <c r="E149" s="100" t="str">
        <f>'Policy Data'!D123</f>
        <v>Female</v>
      </c>
      <c r="F149" s="100" t="str">
        <f>'Policy Data'!E123</f>
        <v>Non-smoker</v>
      </c>
      <c r="G149" s="100" t="str">
        <f>'Policy Data'!F123</f>
        <v>Standard</v>
      </c>
      <c r="H149" s="100">
        <f>'Policy Data'!G123</f>
        <v>25</v>
      </c>
      <c r="I149" s="279">
        <f>'Policy Data'!H123</f>
        <v>500000</v>
      </c>
      <c r="J149" s="100" t="str">
        <f>'Policy Data'!I123</f>
        <v>Monthly</v>
      </c>
      <c r="K149" s="100" t="str">
        <f>'Policy Data'!J123</f>
        <v>Broker</v>
      </c>
      <c r="L149" s="26" t="s">
        <v>389</v>
      </c>
      <c r="M149" s="106">
        <f>'Policy Data'!R123</f>
        <v>12659.43</v>
      </c>
      <c r="N149" s="415">
        <f>Assumptions!$C$21</f>
        <v>1</v>
      </c>
      <c r="O149" s="415">
        <f>Assumptions!$C$22</f>
        <v>1</v>
      </c>
      <c r="P149" s="415">
        <f>Assumptions!$C$23</f>
        <v>1</v>
      </c>
      <c r="Q149" s="416">
        <f>Assumptions!$C$24</f>
        <v>0</v>
      </c>
      <c r="R149" s="416">
        <f>Assumptions!$C$6+Assumptions!$C$25</f>
        <v>3.5000000000000003E-2</v>
      </c>
      <c r="S149" s="416">
        <f>Assumptions!$C$15</f>
        <v>1.1000000000000001E-3</v>
      </c>
      <c r="T149" s="26">
        <f t="shared" si="36"/>
        <v>0</v>
      </c>
      <c r="U149" s="26">
        <f t="shared" si="37"/>
        <v>1</v>
      </c>
      <c r="V149" s="389">
        <f>IF($G149="Preferred",Assumptions!$C$30,IF($G149="Rated",Assumptions!$C$31,1))</f>
        <v>1</v>
      </c>
      <c r="W149" s="390">
        <f>IF($K149="Direct",Assumptions!$C$32,IF($K149="Broker",Assumptions!$C$33,IF($K149="Bancassurance",Assumptions!$C$34,Assumptions!$C$11)))+$Q149</f>
        <v>0.25</v>
      </c>
      <c r="X149" s="390">
        <f>Assumptions!$C$12+$Q149</f>
        <v>0.05</v>
      </c>
      <c r="Y149" s="131">
        <f>MIN($I149,Assumptions!$C$14)</f>
        <v>500000</v>
      </c>
      <c r="Z149" s="131">
        <f>MAX($I149-Assumptions!$C$14,0)</f>
        <v>0</v>
      </c>
      <c r="AA149" s="389">
        <f t="shared" si="38"/>
        <v>0</v>
      </c>
      <c r="AB149" s="389">
        <f t="shared" si="39"/>
        <v>0</v>
      </c>
      <c r="AC149" s="389">
        <f>IF($T149=1,SUMPRODUCT($CJ149:$DW149,(1+Assumptions!$C$5)^($CJ$5:$DW$5-1),(1+$R149)^(-$CJ$5:$DW$5)),0)</f>
        <v>0</v>
      </c>
      <c r="AD149" s="389">
        <f t="shared" si="40"/>
        <v>0</v>
      </c>
      <c r="AE149" s="131">
        <f>IF($T149=1,$AB149*$Y149+(Assumptions!$C$9/(1+$R149)+Assumptions!$C$10*$AC149)*$P149+$S149*$Z149*$AA149,0)</f>
        <v>0</v>
      </c>
      <c r="AF149" s="131" t="str">
        <f>IF($T149=1,IF($AA149-$AD149-Assumptions!$C$16*$AA149&gt;0,$AE149/($AA149-$AD149-Assumptions!$C$16*$AA149)*IF($J149="Monthly",1+Assumptions!$C$29,1),"n.a."),"")</f>
        <v/>
      </c>
      <c r="AG149" s="131" t="str">
        <f t="shared" si="41"/>
        <v/>
      </c>
      <c r="AH149" s="131" t="str">
        <f t="shared" si="42"/>
        <v/>
      </c>
      <c r="AI149" s="131" t="str">
        <f t="shared" si="43"/>
        <v/>
      </c>
      <c r="AJ149" s="390" t="str">
        <f t="shared" si="44"/>
        <v/>
      </c>
      <c r="AK149" s="389" t="str">
        <f t="shared" si="45"/>
        <v/>
      </c>
      <c r="AL149" s="131" t="str">
        <f t="shared" si="46"/>
        <v/>
      </c>
      <c r="AM149" s="131" t="str">
        <f t="shared" si="47"/>
        <v/>
      </c>
      <c r="AN149" s="131" t="str">
        <f t="shared" si="48"/>
        <v/>
      </c>
      <c r="AO149" s="131" t="str">
        <f t="shared" si="49"/>
        <v/>
      </c>
      <c r="AP149" s="26" t="str">
        <f t="shared" si="50"/>
        <v>20-29</v>
      </c>
      <c r="AQ149" s="26" t="str">
        <f t="shared" si="51"/>
        <v>250k-500k</v>
      </c>
      <c r="AR149" s="26" t="str">
        <f>IF($T149=1,IF($AI149&lt;0,"Loss-making",IF($AJ149&lt;Assumptions!$C$16-0.00001,"Below target","At/above target")),"Excluded")</f>
        <v>Excluded</v>
      </c>
      <c r="AS149" s="103">
        <f t="shared" si="52"/>
        <v>9.9999999999999997E+98</v>
      </c>
      <c r="AT149" s="26"/>
      <c r="AU149" s="419">
        <f>IF(AND($T149=1,AU$5&lt;=$H149),INDEX(Mortality!$B$4:$E$64,MATCH($D149+AU$5-1,Mortality!$A$4:$A$64,0),$U149)*$V149*$N149,0)</f>
        <v>0</v>
      </c>
      <c r="AV149" s="93">
        <f>IF(AND($T149=1,AV$5&lt;=$H149),INDEX(Mortality!$B$4:$E$64,MATCH($D149+AV$5-1,Mortality!$A$4:$A$64,0),$U149)*$V149*$N149,0)</f>
        <v>0</v>
      </c>
      <c r="AW149" s="93">
        <f>IF(AND($T149=1,AW$5&lt;=$H149),INDEX(Mortality!$B$4:$E$64,MATCH($D149+AW$5-1,Mortality!$A$4:$A$64,0),$U149)*$V149*$N149,0)</f>
        <v>0</v>
      </c>
      <c r="AX149" s="93">
        <f>IF(AND($T149=1,AX$5&lt;=$H149),INDEX(Mortality!$B$4:$E$64,MATCH($D149+AX$5-1,Mortality!$A$4:$A$64,0),$U149)*$V149*$N149,0)</f>
        <v>0</v>
      </c>
      <c r="AY149" s="93">
        <f>IF(AND($T149=1,AY$5&lt;=$H149),INDEX(Mortality!$B$4:$E$64,MATCH($D149+AY$5-1,Mortality!$A$4:$A$64,0),$U149)*$V149*$N149,0)</f>
        <v>0</v>
      </c>
      <c r="AZ149" s="93">
        <f>IF(AND($T149=1,AZ$5&lt;=$H149),INDEX(Mortality!$B$4:$E$64,MATCH($D149+AZ$5-1,Mortality!$A$4:$A$64,0),$U149)*$V149*$N149,0)</f>
        <v>0</v>
      </c>
      <c r="BA149" s="93">
        <f>IF(AND($T149=1,BA$5&lt;=$H149),INDEX(Mortality!$B$4:$E$64,MATCH($D149+BA$5-1,Mortality!$A$4:$A$64,0),$U149)*$V149*$N149,0)</f>
        <v>0</v>
      </c>
      <c r="BB149" s="93">
        <f>IF(AND($T149=1,BB$5&lt;=$H149),INDEX(Mortality!$B$4:$E$64,MATCH($D149+BB$5-1,Mortality!$A$4:$A$64,0),$U149)*$V149*$N149,0)</f>
        <v>0</v>
      </c>
      <c r="BC149" s="93">
        <f>IF(AND($T149=1,BC$5&lt;=$H149),INDEX(Mortality!$B$4:$E$64,MATCH($D149+BC$5-1,Mortality!$A$4:$A$64,0),$U149)*$V149*$N149,0)</f>
        <v>0</v>
      </c>
      <c r="BD149" s="93">
        <f>IF(AND($T149=1,BD$5&lt;=$H149),INDEX(Mortality!$B$4:$E$64,MATCH($D149+BD$5-1,Mortality!$A$4:$A$64,0),$U149)*$V149*$N149,0)</f>
        <v>0</v>
      </c>
      <c r="BE149" s="93">
        <f>IF(AND($T149=1,BE$5&lt;=$H149),INDEX(Mortality!$B$4:$E$64,MATCH($D149+BE$5-1,Mortality!$A$4:$A$64,0),$U149)*$V149*$N149,0)</f>
        <v>0</v>
      </c>
      <c r="BF149" s="93">
        <f>IF(AND($T149=1,BF$5&lt;=$H149),INDEX(Mortality!$B$4:$E$64,MATCH($D149+BF$5-1,Mortality!$A$4:$A$64,0),$U149)*$V149*$N149,0)</f>
        <v>0</v>
      </c>
      <c r="BG149" s="93">
        <f>IF(AND($T149=1,BG$5&lt;=$H149),INDEX(Mortality!$B$4:$E$64,MATCH($D149+BG$5-1,Mortality!$A$4:$A$64,0),$U149)*$V149*$N149,0)</f>
        <v>0</v>
      </c>
      <c r="BH149" s="93">
        <f>IF(AND($T149=1,BH$5&lt;=$H149),INDEX(Mortality!$B$4:$E$64,MATCH($D149+BH$5-1,Mortality!$A$4:$A$64,0),$U149)*$V149*$N149,0)</f>
        <v>0</v>
      </c>
      <c r="BI149" s="93">
        <f>IF(AND($T149=1,BI$5&lt;=$H149),INDEX(Mortality!$B$4:$E$64,MATCH($D149+BI$5-1,Mortality!$A$4:$A$64,0),$U149)*$V149*$N149,0)</f>
        <v>0</v>
      </c>
      <c r="BJ149" s="93">
        <f>IF(AND($T149=1,BJ$5&lt;=$H149),INDEX(Mortality!$B$4:$E$64,MATCH($D149+BJ$5-1,Mortality!$A$4:$A$64,0),$U149)*$V149*$N149,0)</f>
        <v>0</v>
      </c>
      <c r="BK149" s="93">
        <f>IF(AND($T149=1,BK$5&lt;=$H149),INDEX(Mortality!$B$4:$E$64,MATCH($D149+BK$5-1,Mortality!$A$4:$A$64,0),$U149)*$V149*$N149,0)</f>
        <v>0</v>
      </c>
      <c r="BL149" s="93">
        <f>IF(AND($T149=1,BL$5&lt;=$H149),INDEX(Mortality!$B$4:$E$64,MATCH($D149+BL$5-1,Mortality!$A$4:$A$64,0),$U149)*$V149*$N149,0)</f>
        <v>0</v>
      </c>
      <c r="BM149" s="93">
        <f>IF(AND($T149=1,BM$5&lt;=$H149),INDEX(Mortality!$B$4:$E$64,MATCH($D149+BM$5-1,Mortality!$A$4:$A$64,0),$U149)*$V149*$N149,0)</f>
        <v>0</v>
      </c>
      <c r="BN149" s="93">
        <f>IF(AND($T149=1,BN$5&lt;=$H149),INDEX(Mortality!$B$4:$E$64,MATCH($D149+BN$5-1,Mortality!$A$4:$A$64,0),$U149)*$V149*$N149,0)</f>
        <v>0</v>
      </c>
      <c r="BO149" s="93">
        <f>IF(AND($T149=1,BO$5&lt;=$H149),INDEX(Mortality!$B$4:$E$64,MATCH($D149+BO$5-1,Mortality!$A$4:$A$64,0),$U149)*$V149*$N149,0)</f>
        <v>0</v>
      </c>
      <c r="BP149" s="93">
        <f>IF(AND($T149=1,BP$5&lt;=$H149),INDEX(Mortality!$B$4:$E$64,MATCH($D149+BP$5-1,Mortality!$A$4:$A$64,0),$U149)*$V149*$N149,0)</f>
        <v>0</v>
      </c>
      <c r="BQ149" s="93">
        <f>IF(AND($T149=1,BQ$5&lt;=$H149),INDEX(Mortality!$B$4:$E$64,MATCH($D149+BQ$5-1,Mortality!$A$4:$A$64,0),$U149)*$V149*$N149,0)</f>
        <v>0</v>
      </c>
      <c r="BR149" s="93">
        <f>IF(AND($T149=1,BR$5&lt;=$H149),INDEX(Mortality!$B$4:$E$64,MATCH($D149+BR$5-1,Mortality!$A$4:$A$64,0),$U149)*$V149*$N149,0)</f>
        <v>0</v>
      </c>
      <c r="BS149" s="93">
        <f>IF(AND($T149=1,BS$5&lt;=$H149),INDEX(Mortality!$B$4:$E$64,MATCH($D149+BS$5-1,Mortality!$A$4:$A$64,0),$U149)*$V149*$N149,0)</f>
        <v>0</v>
      </c>
      <c r="BT149" s="93">
        <f>IF(AND($T149=1,BT$5&lt;=$H149),INDEX(Mortality!$B$4:$E$64,MATCH($D149+BT$5-1,Mortality!$A$4:$A$64,0),$U149)*$V149*$N149,0)</f>
        <v>0</v>
      </c>
      <c r="BU149" s="93">
        <f>IF(AND($T149=1,BU$5&lt;=$H149),INDEX(Mortality!$B$4:$E$64,MATCH($D149+BU$5-1,Mortality!$A$4:$A$64,0),$U149)*$V149*$N149,0)</f>
        <v>0</v>
      </c>
      <c r="BV149" s="93">
        <f>IF(AND($T149=1,BV$5&lt;=$H149),INDEX(Mortality!$B$4:$E$64,MATCH($D149+BV$5-1,Mortality!$A$4:$A$64,0),$U149)*$V149*$N149,0)</f>
        <v>0</v>
      </c>
      <c r="BW149" s="93">
        <f>IF(AND($T149=1,BW$5&lt;=$H149),INDEX(Mortality!$B$4:$E$64,MATCH($D149+BW$5-1,Mortality!$A$4:$A$64,0),$U149)*$V149*$N149,0)</f>
        <v>0</v>
      </c>
      <c r="BX149" s="93">
        <f>IF(AND($T149=1,BX$5&lt;=$H149),INDEX(Mortality!$B$4:$E$64,MATCH($D149+BX$5-1,Mortality!$A$4:$A$64,0),$U149)*$V149*$N149,0)</f>
        <v>0</v>
      </c>
      <c r="BY149" s="93">
        <f>IF(AND($T149=1,BY$5&lt;=$H149),INDEX(Mortality!$B$4:$E$64,MATCH($D149+BY$5-1,Mortality!$A$4:$A$64,0),$U149)*$V149*$N149,0)</f>
        <v>0</v>
      </c>
      <c r="BZ149" s="93">
        <f>IF(AND($T149=1,BZ$5&lt;=$H149),INDEX(Mortality!$B$4:$E$64,MATCH($D149+BZ$5-1,Mortality!$A$4:$A$64,0),$U149)*$V149*$N149,0)</f>
        <v>0</v>
      </c>
      <c r="CA149" s="93">
        <f>IF(AND($T149=1,CA$5&lt;=$H149),INDEX(Mortality!$B$4:$E$64,MATCH($D149+CA$5-1,Mortality!$A$4:$A$64,0),$U149)*$V149*$N149,0)</f>
        <v>0</v>
      </c>
      <c r="CB149" s="93">
        <f>IF(AND($T149=1,CB$5&lt;=$H149),INDEX(Mortality!$B$4:$E$64,MATCH($D149+CB$5-1,Mortality!$A$4:$A$64,0),$U149)*$V149*$N149,0)</f>
        <v>0</v>
      </c>
      <c r="CC149" s="93">
        <f>IF(AND($T149=1,CC$5&lt;=$H149),INDEX(Mortality!$B$4:$E$64,MATCH($D149+CC$5-1,Mortality!$A$4:$A$64,0),$U149)*$V149*$N149,0)</f>
        <v>0</v>
      </c>
      <c r="CD149" s="93">
        <f>IF(AND($T149=1,CD$5&lt;=$H149),INDEX(Mortality!$B$4:$E$64,MATCH($D149+CD$5-1,Mortality!$A$4:$A$64,0),$U149)*$V149*$N149,0)</f>
        <v>0</v>
      </c>
      <c r="CE149" s="93">
        <f>IF(AND($T149=1,CE$5&lt;=$H149),INDEX(Mortality!$B$4:$E$64,MATCH($D149+CE$5-1,Mortality!$A$4:$A$64,0),$U149)*$V149*$N149,0)</f>
        <v>0</v>
      </c>
      <c r="CF149" s="93">
        <f>IF(AND($T149=1,CF$5&lt;=$H149),INDEX(Mortality!$B$4:$E$64,MATCH($D149+CF$5-1,Mortality!$A$4:$A$64,0),$U149)*$V149*$N149,0)</f>
        <v>0</v>
      </c>
      <c r="CG149" s="93">
        <f>IF(AND($T149=1,CG$5&lt;=$H149),INDEX(Mortality!$B$4:$E$64,MATCH($D149+CG$5-1,Mortality!$A$4:$A$64,0),$U149)*$V149*$N149,0)</f>
        <v>0</v>
      </c>
      <c r="CH149" s="94">
        <f>IF(AND($T149=1,CH$5&lt;=$H149),INDEX(Mortality!$B$4:$E$64,MATCH($D149+CH$5-1,Mortality!$A$4:$A$64,0),$U149)*$V149*$N149,0)</f>
        <v>0</v>
      </c>
      <c r="CI149" s="26"/>
      <c r="CJ149" s="419">
        <f t="shared" si="53"/>
        <v>0</v>
      </c>
      <c r="CK149" s="93">
        <f>IF(AND($T149=1,CK$5&lt;=$H149),CJ149*(1-AU149)*(1-MIN(1,MAX(Assumptions!$C$27,Assumptions!$C$13*Assumptions!$C$28^(CJ$5-1))*$O149)),0)</f>
        <v>0</v>
      </c>
      <c r="CL149" s="93">
        <f>IF(AND($T149=1,CL$5&lt;=$H149),CK149*(1-AV149)*(1-MIN(1,MAX(Assumptions!$C$27,Assumptions!$C$13*Assumptions!$C$28^(CK$5-1))*$O149)),0)</f>
        <v>0</v>
      </c>
      <c r="CM149" s="93">
        <f>IF(AND($T149=1,CM$5&lt;=$H149),CL149*(1-AW149)*(1-MIN(1,MAX(Assumptions!$C$27,Assumptions!$C$13*Assumptions!$C$28^(CL$5-1))*$O149)),0)</f>
        <v>0</v>
      </c>
      <c r="CN149" s="93">
        <f>IF(AND($T149=1,CN$5&lt;=$H149),CM149*(1-AX149)*(1-MIN(1,MAX(Assumptions!$C$27,Assumptions!$C$13*Assumptions!$C$28^(CM$5-1))*$O149)),0)</f>
        <v>0</v>
      </c>
      <c r="CO149" s="93">
        <f>IF(AND($T149=1,CO$5&lt;=$H149),CN149*(1-AY149)*(1-MIN(1,MAX(Assumptions!$C$27,Assumptions!$C$13*Assumptions!$C$28^(CN$5-1))*$O149)),0)</f>
        <v>0</v>
      </c>
      <c r="CP149" s="93">
        <f>IF(AND($T149=1,CP$5&lt;=$H149),CO149*(1-AZ149)*(1-MIN(1,MAX(Assumptions!$C$27,Assumptions!$C$13*Assumptions!$C$28^(CO$5-1))*$O149)),0)</f>
        <v>0</v>
      </c>
      <c r="CQ149" s="93">
        <f>IF(AND($T149=1,CQ$5&lt;=$H149),CP149*(1-BA149)*(1-MIN(1,MAX(Assumptions!$C$27,Assumptions!$C$13*Assumptions!$C$28^(CP$5-1))*$O149)),0)</f>
        <v>0</v>
      </c>
      <c r="CR149" s="93">
        <f>IF(AND($T149=1,CR$5&lt;=$H149),CQ149*(1-BB149)*(1-MIN(1,MAX(Assumptions!$C$27,Assumptions!$C$13*Assumptions!$C$28^(CQ$5-1))*$O149)),0)</f>
        <v>0</v>
      </c>
      <c r="CS149" s="93">
        <f>IF(AND($T149=1,CS$5&lt;=$H149),CR149*(1-BC149)*(1-MIN(1,MAX(Assumptions!$C$27,Assumptions!$C$13*Assumptions!$C$28^(CR$5-1))*$O149)),0)</f>
        <v>0</v>
      </c>
      <c r="CT149" s="93">
        <f>IF(AND($T149=1,CT$5&lt;=$H149),CS149*(1-BD149)*(1-MIN(1,MAX(Assumptions!$C$27,Assumptions!$C$13*Assumptions!$C$28^(CS$5-1))*$O149)),0)</f>
        <v>0</v>
      </c>
      <c r="CU149" s="93">
        <f>IF(AND($T149=1,CU$5&lt;=$H149),CT149*(1-BE149)*(1-MIN(1,MAX(Assumptions!$C$27,Assumptions!$C$13*Assumptions!$C$28^(CT$5-1))*$O149)),0)</f>
        <v>0</v>
      </c>
      <c r="CV149" s="93">
        <f>IF(AND($T149=1,CV$5&lt;=$H149),CU149*(1-BF149)*(1-MIN(1,MAX(Assumptions!$C$27,Assumptions!$C$13*Assumptions!$C$28^(CU$5-1))*$O149)),0)</f>
        <v>0</v>
      </c>
      <c r="CW149" s="93">
        <f>IF(AND($T149=1,CW$5&lt;=$H149),CV149*(1-BG149)*(1-MIN(1,MAX(Assumptions!$C$27,Assumptions!$C$13*Assumptions!$C$28^(CV$5-1))*$O149)),0)</f>
        <v>0</v>
      </c>
      <c r="CX149" s="93">
        <f>IF(AND($T149=1,CX$5&lt;=$H149),CW149*(1-BH149)*(1-MIN(1,MAX(Assumptions!$C$27,Assumptions!$C$13*Assumptions!$C$28^(CW$5-1))*$O149)),0)</f>
        <v>0</v>
      </c>
      <c r="CY149" s="93">
        <f>IF(AND($T149=1,CY$5&lt;=$H149),CX149*(1-BI149)*(1-MIN(1,MAX(Assumptions!$C$27,Assumptions!$C$13*Assumptions!$C$28^(CX$5-1))*$O149)),0)</f>
        <v>0</v>
      </c>
      <c r="CZ149" s="93">
        <f>IF(AND($T149=1,CZ$5&lt;=$H149),CY149*(1-BJ149)*(1-MIN(1,MAX(Assumptions!$C$27,Assumptions!$C$13*Assumptions!$C$28^(CY$5-1))*$O149)),0)</f>
        <v>0</v>
      </c>
      <c r="DA149" s="93">
        <f>IF(AND($T149=1,DA$5&lt;=$H149),CZ149*(1-BK149)*(1-MIN(1,MAX(Assumptions!$C$27,Assumptions!$C$13*Assumptions!$C$28^(CZ$5-1))*$O149)),0)</f>
        <v>0</v>
      </c>
      <c r="DB149" s="93">
        <f>IF(AND($T149=1,DB$5&lt;=$H149),DA149*(1-BL149)*(1-MIN(1,MAX(Assumptions!$C$27,Assumptions!$C$13*Assumptions!$C$28^(DA$5-1))*$O149)),0)</f>
        <v>0</v>
      </c>
      <c r="DC149" s="93">
        <f>IF(AND($T149=1,DC$5&lt;=$H149),DB149*(1-BM149)*(1-MIN(1,MAX(Assumptions!$C$27,Assumptions!$C$13*Assumptions!$C$28^(DB$5-1))*$O149)),0)</f>
        <v>0</v>
      </c>
      <c r="DD149" s="93">
        <f>IF(AND($T149=1,DD$5&lt;=$H149),DC149*(1-BN149)*(1-MIN(1,MAX(Assumptions!$C$27,Assumptions!$C$13*Assumptions!$C$28^(DC$5-1))*$O149)),0)</f>
        <v>0</v>
      </c>
      <c r="DE149" s="93">
        <f>IF(AND($T149=1,DE$5&lt;=$H149),DD149*(1-BO149)*(1-MIN(1,MAX(Assumptions!$C$27,Assumptions!$C$13*Assumptions!$C$28^(DD$5-1))*$O149)),0)</f>
        <v>0</v>
      </c>
      <c r="DF149" s="93">
        <f>IF(AND($T149=1,DF$5&lt;=$H149),DE149*(1-BP149)*(1-MIN(1,MAX(Assumptions!$C$27,Assumptions!$C$13*Assumptions!$C$28^(DE$5-1))*$O149)),0)</f>
        <v>0</v>
      </c>
      <c r="DG149" s="93">
        <f>IF(AND($T149=1,DG$5&lt;=$H149),DF149*(1-BQ149)*(1-MIN(1,MAX(Assumptions!$C$27,Assumptions!$C$13*Assumptions!$C$28^(DF$5-1))*$O149)),0)</f>
        <v>0</v>
      </c>
      <c r="DH149" s="93">
        <f>IF(AND($T149=1,DH$5&lt;=$H149),DG149*(1-BR149)*(1-MIN(1,MAX(Assumptions!$C$27,Assumptions!$C$13*Assumptions!$C$28^(DG$5-1))*$O149)),0)</f>
        <v>0</v>
      </c>
      <c r="DI149" s="93">
        <f>IF(AND($T149=1,DI$5&lt;=$H149),DH149*(1-BS149)*(1-MIN(1,MAX(Assumptions!$C$27,Assumptions!$C$13*Assumptions!$C$28^(DH$5-1))*$O149)),0)</f>
        <v>0</v>
      </c>
      <c r="DJ149" s="93">
        <f>IF(AND($T149=1,DJ$5&lt;=$H149),DI149*(1-BT149)*(1-MIN(1,MAX(Assumptions!$C$27,Assumptions!$C$13*Assumptions!$C$28^(DI$5-1))*$O149)),0)</f>
        <v>0</v>
      </c>
      <c r="DK149" s="93">
        <f>IF(AND($T149=1,DK$5&lt;=$H149),DJ149*(1-BU149)*(1-MIN(1,MAX(Assumptions!$C$27,Assumptions!$C$13*Assumptions!$C$28^(DJ$5-1))*$O149)),0)</f>
        <v>0</v>
      </c>
      <c r="DL149" s="93">
        <f>IF(AND($T149=1,DL$5&lt;=$H149),DK149*(1-BV149)*(1-MIN(1,MAX(Assumptions!$C$27,Assumptions!$C$13*Assumptions!$C$28^(DK$5-1))*$O149)),0)</f>
        <v>0</v>
      </c>
      <c r="DM149" s="93">
        <f>IF(AND($T149=1,DM$5&lt;=$H149),DL149*(1-BW149)*(1-MIN(1,MAX(Assumptions!$C$27,Assumptions!$C$13*Assumptions!$C$28^(DL$5-1))*$O149)),0)</f>
        <v>0</v>
      </c>
      <c r="DN149" s="93">
        <f>IF(AND($T149=1,DN$5&lt;=$H149),DM149*(1-BX149)*(1-MIN(1,MAX(Assumptions!$C$27,Assumptions!$C$13*Assumptions!$C$28^(DM$5-1))*$O149)),0)</f>
        <v>0</v>
      </c>
      <c r="DO149" s="93">
        <f>IF(AND($T149=1,DO$5&lt;=$H149),DN149*(1-BY149)*(1-MIN(1,MAX(Assumptions!$C$27,Assumptions!$C$13*Assumptions!$C$28^(DN$5-1))*$O149)),0)</f>
        <v>0</v>
      </c>
      <c r="DP149" s="93">
        <f>IF(AND($T149=1,DP$5&lt;=$H149),DO149*(1-BZ149)*(1-MIN(1,MAX(Assumptions!$C$27,Assumptions!$C$13*Assumptions!$C$28^(DO$5-1))*$O149)),0)</f>
        <v>0</v>
      </c>
      <c r="DQ149" s="93">
        <f>IF(AND($T149=1,DQ$5&lt;=$H149),DP149*(1-CA149)*(1-MIN(1,MAX(Assumptions!$C$27,Assumptions!$C$13*Assumptions!$C$28^(DP$5-1))*$O149)),0)</f>
        <v>0</v>
      </c>
      <c r="DR149" s="93">
        <f>IF(AND($T149=1,DR$5&lt;=$H149),DQ149*(1-CB149)*(1-MIN(1,MAX(Assumptions!$C$27,Assumptions!$C$13*Assumptions!$C$28^(DQ$5-1))*$O149)),0)</f>
        <v>0</v>
      </c>
      <c r="DS149" s="93">
        <f>IF(AND($T149=1,DS$5&lt;=$H149),DR149*(1-CC149)*(1-MIN(1,MAX(Assumptions!$C$27,Assumptions!$C$13*Assumptions!$C$28^(DR$5-1))*$O149)),0)</f>
        <v>0</v>
      </c>
      <c r="DT149" s="93">
        <f>IF(AND($T149=1,DT$5&lt;=$H149),DS149*(1-CD149)*(1-MIN(1,MAX(Assumptions!$C$27,Assumptions!$C$13*Assumptions!$C$28^(DS$5-1))*$O149)),0)</f>
        <v>0</v>
      </c>
      <c r="DU149" s="93">
        <f>IF(AND($T149=1,DU$5&lt;=$H149),DT149*(1-CE149)*(1-MIN(1,MAX(Assumptions!$C$27,Assumptions!$C$13*Assumptions!$C$28^(DT$5-1))*$O149)),0)</f>
        <v>0</v>
      </c>
      <c r="DV149" s="93">
        <f>IF(AND($T149=1,DV$5&lt;=$H149),DU149*(1-CF149)*(1-MIN(1,MAX(Assumptions!$C$27,Assumptions!$C$13*Assumptions!$C$28^(DU$5-1))*$O149)),0)</f>
        <v>0</v>
      </c>
      <c r="DW149" s="94">
        <f>IF(AND($T149=1,DW$5&lt;=$H149),DV149*(1-CG149)*(1-MIN(1,MAX(Assumptions!$C$27,Assumptions!$C$13*Assumptions!$C$28^(DV$5-1))*$O149)),0)</f>
        <v>0</v>
      </c>
      <c r="DX149" s="26"/>
      <c r="DY149" s="399">
        <f>'Policy Data'!K123</f>
        <v>7</v>
      </c>
      <c r="DZ149" s="100">
        <f>'Policy Data'!L123</f>
        <v>0.74429999999999996</v>
      </c>
      <c r="EA149" s="100">
        <f>'Policy Data'!N123</f>
        <v>2.0699999999999999E-4</v>
      </c>
      <c r="EB149" s="93" cm="1">
        <f t="array" ref="EB149">IFERROR(DZ149*INDEX(Mortality!$B$4:$E$64,MATCH(D149+DY149-1,Mortality!$A$4:$A$64,0),U149)*V149,0)</f>
        <v>3.3409238403929535E-4</v>
      </c>
      <c r="EC149" s="100">
        <f>'Policy Data'!O123</f>
        <v>0</v>
      </c>
      <c r="ED149" s="400">
        <f>'Policy Data'!Q123</f>
        <v>0</v>
      </c>
    </row>
    <row r="150" spans="1:134" x14ac:dyDescent="0.3">
      <c r="A150" s="399" t="str">
        <f>'Policy Data'!A124</f>
        <v>POL100120</v>
      </c>
      <c r="B150" s="26" t="s">
        <v>426</v>
      </c>
      <c r="C150" s="100" t="str">
        <f>'Policy Data'!B124</f>
        <v>Term Life</v>
      </c>
      <c r="D150" s="100">
        <f>'Policy Data'!C124</f>
        <v>49</v>
      </c>
      <c r="E150" s="100" t="str">
        <f>'Policy Data'!D124</f>
        <v>Male</v>
      </c>
      <c r="F150" s="100" t="str">
        <f>'Policy Data'!E124</f>
        <v>Non-smoker</v>
      </c>
      <c r="G150" s="100" t="str">
        <f>'Policy Data'!F124</f>
        <v>Rated</v>
      </c>
      <c r="H150" s="100">
        <f>'Policy Data'!G124</f>
        <v>25</v>
      </c>
      <c r="I150" s="279">
        <f>'Policy Data'!H124</f>
        <v>250000</v>
      </c>
      <c r="J150" s="100" t="str">
        <f>'Policy Data'!I124</f>
        <v>Monthly</v>
      </c>
      <c r="K150" s="100" t="str">
        <f>'Policy Data'!J124</f>
        <v>Broker</v>
      </c>
      <c r="L150" s="26" t="s">
        <v>389</v>
      </c>
      <c r="M150" s="106">
        <f>'Policy Data'!R124</f>
        <v>1699.41</v>
      </c>
      <c r="N150" s="415">
        <f>Assumptions!$C$21</f>
        <v>1</v>
      </c>
      <c r="O150" s="415">
        <f>Assumptions!$C$22</f>
        <v>1</v>
      </c>
      <c r="P150" s="415">
        <f>Assumptions!$C$23</f>
        <v>1</v>
      </c>
      <c r="Q150" s="416">
        <f>Assumptions!$C$24</f>
        <v>0</v>
      </c>
      <c r="R150" s="416">
        <f>Assumptions!$C$6+Assumptions!$C$25</f>
        <v>3.5000000000000003E-2</v>
      </c>
      <c r="S150" s="416">
        <f>Assumptions!$C$15</f>
        <v>1.1000000000000001E-3</v>
      </c>
      <c r="T150" s="26">
        <f t="shared" si="36"/>
        <v>1</v>
      </c>
      <c r="U150" s="26">
        <f t="shared" si="37"/>
        <v>3</v>
      </c>
      <c r="V150" s="389">
        <f>IF($G150="Preferred",Assumptions!$C$30,IF($G150="Rated",Assumptions!$C$31,1))</f>
        <v>1.55</v>
      </c>
      <c r="W150" s="390">
        <f>IF($K150="Direct",Assumptions!$C$32,IF($K150="Broker",Assumptions!$C$33,IF($K150="Bancassurance",Assumptions!$C$34,Assumptions!$C$11)))+$Q150</f>
        <v>0.25</v>
      </c>
      <c r="X150" s="390">
        <f>Assumptions!$C$12+$Q150</f>
        <v>0.05</v>
      </c>
      <c r="Y150" s="131">
        <f>MIN($I150,Assumptions!$C$14)</f>
        <v>250000</v>
      </c>
      <c r="Z150" s="131">
        <f>MAX($I150-Assumptions!$C$14,0)</f>
        <v>0</v>
      </c>
      <c r="AA150" s="389">
        <f t="shared" si="38"/>
        <v>9.0306516405978083</v>
      </c>
      <c r="AB150" s="389">
        <f t="shared" si="39"/>
        <v>7.3541249053730939E-2</v>
      </c>
      <c r="AC150" s="389">
        <f>IF($T150=1,SUMPRODUCT($CJ150:$DW150,(1+Assumptions!$C$5)^($CJ$5:$DW$5-1),(1+$R150)^(-$CJ$5:$DW$5)),0)</f>
        <v>12.808594270278489</v>
      </c>
      <c r="AD150" s="389">
        <f t="shared" si="40"/>
        <v>0.64476929700573582</v>
      </c>
      <c r="AE150" s="131">
        <f>IF($T150=1,$AB150*$Y150+(Assumptions!$C$9/(1+$R150)+Assumptions!$C$10*$AC150)*$P150+$S150*$Z150*$AA150,0)</f>
        <v>22072.768220285307</v>
      </c>
      <c r="AF150" s="131">
        <f>IF($T150=1,IF($AA150-$AD150-Assumptions!$C$16*$AA150&gt;0,$AE150/($AA150-$AD150-Assumptions!$C$16*$AA150)*IF($J150="Monthly",1+Assumptions!$C$29,1),"n.a."),"")</f>
        <v>2966.6807991899532</v>
      </c>
      <c r="AG150" s="131">
        <f t="shared" si="41"/>
        <v>1699.41</v>
      </c>
      <c r="AH150" s="131">
        <f t="shared" si="42"/>
        <v>15346.779704548322</v>
      </c>
      <c r="AI150" s="131">
        <f t="shared" si="43"/>
        <v>-7821.7159067615012</v>
      </c>
      <c r="AJ150" s="390">
        <f t="shared" si="44"/>
        <v>-0.50966496277022733</v>
      </c>
      <c r="AK150" s="389">
        <f t="shared" si="45"/>
        <v>0.57283210261920359</v>
      </c>
      <c r="AL150" s="131">
        <f t="shared" si="46"/>
        <v>0</v>
      </c>
      <c r="AM150" s="131">
        <f t="shared" si="47"/>
        <v>0</v>
      </c>
      <c r="AN150" s="131">
        <f t="shared" si="48"/>
        <v>0</v>
      </c>
      <c r="AO150" s="131">
        <f t="shared" si="49"/>
        <v>-7821.7159067615012</v>
      </c>
      <c r="AP150" s="26" t="str">
        <f t="shared" si="50"/>
        <v>40-49</v>
      </c>
      <c r="AQ150" s="26" t="str">
        <f t="shared" si="51"/>
        <v>Up to 250k</v>
      </c>
      <c r="AR150" s="26" t="str">
        <f>IF($T150=1,IF($AI150&lt;0,"Loss-making",IF($AJ150&lt;Assumptions!$C$16-0.00001,"Below target","At/above target")),"Excluded")</f>
        <v>Loss-making</v>
      </c>
      <c r="AS150" s="103">
        <f t="shared" si="52"/>
        <v>-7821.7157567615013</v>
      </c>
      <c r="AT150" s="26"/>
      <c r="AU150" s="419">
        <f>IF(AND($T150=1,AU$5&lt;=$H150),INDEX(Mortality!$B$4:$E$64,MATCH($D150+AU$5-1,Mortality!$A$4:$A$64,0),$U150)*$V150*$N150,0)</f>
        <v>3.6674961346534088E-3</v>
      </c>
      <c r="AV150" s="93">
        <f>IF(AND($T150=1,AV$5&lt;=$H150),INDEX(Mortality!$B$4:$E$64,MATCH($D150+AV$5-1,Mortality!$A$4:$A$64,0),$U150)*$V150*$N150,0)</f>
        <v>3.9729511334179284E-3</v>
      </c>
      <c r="AW150" s="93">
        <f>IF(AND($T150=1,AW$5&lt;=$H150),INDEX(Mortality!$B$4:$E$64,MATCH($D150+AW$5-1,Mortality!$A$4:$A$64,0),$U150)*$V150*$N150,0)</f>
        <v>4.303846583336211E-3</v>
      </c>
      <c r="AX150" s="93">
        <f>IF(AND($T150=1,AX$5&lt;=$H150),INDEX(Mortality!$B$4:$E$64,MATCH($D150+AX$5-1,Mortality!$A$4:$A$64,0),$U150)*$V150*$N150,0)</f>
        <v>4.6623013449851773E-3</v>
      </c>
      <c r="AY150" s="93">
        <f>IF(AND($T150=1,AY$5&lt;=$H150),INDEX(Mortality!$B$4:$E$64,MATCH($D150+AY$5-1,Mortality!$A$4:$A$64,0),$U150)*$V150*$N150,0)</f>
        <v>5.050610752626015E-3</v>
      </c>
      <c r="AZ150" s="93">
        <f>IF(AND($T150=1,AZ$5&lt;=$H150),INDEX(Mortality!$B$4:$E$64,MATCH($D150+AZ$5-1,Mortality!$A$4:$A$64,0),$U150)*$V150*$N150,0)</f>
        <v>5.4712613121798382E-3</v>
      </c>
      <c r="BA150" s="93">
        <f>IF(AND($T150=1,BA$5&lt;=$H150),INDEX(Mortality!$B$4:$E$64,MATCH($D150+BA$5-1,Mortality!$A$4:$A$64,0),$U150)*$V150*$N150,0)</f>
        <v>5.9269466233547452E-3</v>
      </c>
      <c r="BB150" s="93">
        <f>IF(AND($T150=1,BB$5&lt;=$H150),INDEX(Mortality!$B$4:$E$64,MATCH($D150+BB$5-1,Mortality!$A$4:$A$64,0),$U150)*$V150*$N150,0)</f>
        <v>6.4205846278799572E-3</v>
      </c>
      <c r="BC150" s="93">
        <f>IF(AND($T150=1,BC$5&lt;=$H150),INDEX(Mortality!$B$4:$E$64,MATCH($D150+BC$5-1,Mortality!$A$4:$A$64,0),$U150)*$V150*$N150,0)</f>
        <v>6.9553362942950019E-3</v>
      </c>
      <c r="BD150" s="93">
        <f>IF(AND($T150=1,BD$5&lt;=$H150),INDEX(Mortality!$B$4:$E$64,MATCH($D150+BD$5-1,Mortality!$A$4:$A$64,0),$U150)*$V150*$N150,0)</f>
        <v>7.534625858940042E-3</v>
      </c>
      <c r="BE150" s="93">
        <f>IF(AND($T150=1,BE$5&lt;=$H150),INDEX(Mortality!$B$4:$E$64,MATCH($D150+BE$5-1,Mortality!$A$4:$A$64,0),$U150)*$V150*$N150,0)</f>
        <v>8.1621627527590727E-3</v>
      </c>
      <c r="BF150" s="93">
        <f>IF(AND($T150=1,BF$5&lt;=$H150),INDEX(Mortality!$B$4:$E$64,MATCH($D150+BF$5-1,Mortality!$A$4:$A$64,0),$U150)*$V150*$N150,0)</f>
        <v>8.8419653543221465E-3</v>
      </c>
      <c r="BG150" s="93">
        <f>IF(AND($T150=1,BG$5&lt;=$H150),INDEX(Mortality!$B$4:$E$64,MATCH($D150+BG$5-1,Mortality!$A$4:$A$64,0),$U150)*$V150*$N150,0)</f>
        <v>9.5783867211672105E-3</v>
      </c>
      <c r="BH150" s="93">
        <f>IF(AND($T150=1,BH$5&lt;=$H150),INDEX(Mortality!$B$4:$E$64,MATCH($D150+BH$5-1,Mortality!$A$4:$A$64,0),$U150)*$V150*$N150,0)</f>
        <v>1.0376142464229987E-2</v>
      </c>
      <c r="BI150" s="93">
        <f>IF(AND($T150=1,BI$5&lt;=$H150),INDEX(Mortality!$B$4:$E$64,MATCH($D150+BI$5-1,Mortality!$A$4:$A$64,0),$U150)*$V150*$N150,0)</f>
        <v>1.1240340943853334E-2</v>
      </c>
      <c r="BJ150" s="93">
        <f>IF(AND($T150=1,BJ$5&lt;=$H150),INDEX(Mortality!$B$4:$E$64,MATCH($D150+BJ$5-1,Mortality!$A$4:$A$64,0),$U150)*$V150*$N150,0)</f>
        <v>1.2176515980733642E-2</v>
      </c>
      <c r="BK150" s="93">
        <f>IF(AND($T150=1,BK$5&lt;=$H150),INDEX(Mortality!$B$4:$E$64,MATCH($D150+BK$5-1,Mortality!$A$4:$A$64,0),$U150)*$V150*$N150,0)</f>
        <v>1.3190662291266215E-2</v>
      </c>
      <c r="BL150" s="93">
        <f>IF(AND($T150=1,BL$5&lt;=$H150),INDEX(Mortality!$B$4:$E$64,MATCH($D150+BL$5-1,Mortality!$A$4:$A$64,0),$U150)*$V150*$N150,0)</f>
        <v>1.428927387419643E-2</v>
      </c>
      <c r="BM150" s="93">
        <f>IF(AND($T150=1,BM$5&lt;=$H150),INDEX(Mortality!$B$4:$E$64,MATCH($D150+BM$5-1,Mortality!$A$4:$A$64,0),$U150)*$V150*$N150,0)</f>
        <v>1.5479385594382654E-2</v>
      </c>
      <c r="BN150" s="93">
        <f>IF(AND($T150=1,BN$5&lt;=$H150),INDEX(Mortality!$B$4:$E$64,MATCH($D150+BN$5-1,Mortality!$A$4:$A$64,0),$U150)*$V150*$N150,0)</f>
        <v>1.6768618229948774E-2</v>
      </c>
      <c r="BO150" s="93">
        <f>IF(AND($T150=1,BO$5&lt;=$H150),INDEX(Mortality!$B$4:$E$64,MATCH($D150+BO$5-1,Mortality!$A$4:$A$64,0),$U150)*$V150*$N150,0)</f>
        <v>1.8165227271282117E-2</v>
      </c>
      <c r="BP150" s="93">
        <f>IF(AND($T150=1,BP$5&lt;=$H150),INDEX(Mortality!$B$4:$E$64,MATCH($D150+BP$5-1,Mortality!$A$4:$A$64,0),$U150)*$V150*$N150,0)</f>
        <v>1.9678155784356353E-2</v>
      </c>
      <c r="BQ150" s="93">
        <f>IF(AND($T150=1,BQ$5&lt;=$H150),INDEX(Mortality!$B$4:$E$64,MATCH($D150+BQ$5-1,Mortality!$A$4:$A$64,0),$U150)*$V150*$N150,0)</f>
        <v>2.1317091676886443E-2</v>
      </c>
      <c r="BR150" s="93">
        <f>IF(AND($T150=1,BR$5&lt;=$H150),INDEX(Mortality!$B$4:$E$64,MATCH($D150+BR$5-1,Mortality!$A$4:$A$64,0),$U150)*$V150*$N150,0)</f>
        <v>2.3092529734012556E-2</v>
      </c>
      <c r="BS150" s="93">
        <f>IF(AND($T150=1,BS$5&lt;=$H150),INDEX(Mortality!$B$4:$E$64,MATCH($D150+BS$5-1,Mortality!$A$4:$A$64,0),$U150)*$V150*$N150,0)</f>
        <v>2.5015838820755157E-2</v>
      </c>
      <c r="BT150" s="93">
        <f>IF(AND($T150=1,BT$5&lt;=$H150),INDEX(Mortality!$B$4:$E$64,MATCH($D150+BT$5-1,Mortality!$A$4:$A$64,0),$U150)*$V150*$N150,0)</f>
        <v>0</v>
      </c>
      <c r="BU150" s="93">
        <f>IF(AND($T150=1,BU$5&lt;=$H150),INDEX(Mortality!$B$4:$E$64,MATCH($D150+BU$5-1,Mortality!$A$4:$A$64,0),$U150)*$V150*$N150,0)</f>
        <v>0</v>
      </c>
      <c r="BV150" s="93">
        <f>IF(AND($T150=1,BV$5&lt;=$H150),INDEX(Mortality!$B$4:$E$64,MATCH($D150+BV$5-1,Mortality!$A$4:$A$64,0),$U150)*$V150*$N150,0)</f>
        <v>0</v>
      </c>
      <c r="BW150" s="93">
        <f>IF(AND($T150=1,BW$5&lt;=$H150),INDEX(Mortality!$B$4:$E$64,MATCH($D150+BW$5-1,Mortality!$A$4:$A$64,0),$U150)*$V150*$N150,0)</f>
        <v>0</v>
      </c>
      <c r="BX150" s="93">
        <f>IF(AND($T150=1,BX$5&lt;=$H150),INDEX(Mortality!$B$4:$E$64,MATCH($D150+BX$5-1,Mortality!$A$4:$A$64,0),$U150)*$V150*$N150,0)</f>
        <v>0</v>
      </c>
      <c r="BY150" s="93">
        <f>IF(AND($T150=1,BY$5&lt;=$H150),INDEX(Mortality!$B$4:$E$64,MATCH($D150+BY$5-1,Mortality!$A$4:$A$64,0),$U150)*$V150*$N150,0)</f>
        <v>0</v>
      </c>
      <c r="BZ150" s="93">
        <f>IF(AND($T150=1,BZ$5&lt;=$H150),INDEX(Mortality!$B$4:$E$64,MATCH($D150+BZ$5-1,Mortality!$A$4:$A$64,0),$U150)*$V150*$N150,0)</f>
        <v>0</v>
      </c>
      <c r="CA150" s="93">
        <f>IF(AND($T150=1,CA$5&lt;=$H150),INDEX(Mortality!$B$4:$E$64,MATCH($D150+CA$5-1,Mortality!$A$4:$A$64,0),$U150)*$V150*$N150,0)</f>
        <v>0</v>
      </c>
      <c r="CB150" s="93">
        <f>IF(AND($T150=1,CB$5&lt;=$H150),INDEX(Mortality!$B$4:$E$64,MATCH($D150+CB$5-1,Mortality!$A$4:$A$64,0),$U150)*$V150*$N150,0)</f>
        <v>0</v>
      </c>
      <c r="CC150" s="93">
        <f>IF(AND($T150=1,CC$5&lt;=$H150),INDEX(Mortality!$B$4:$E$64,MATCH($D150+CC$5-1,Mortality!$A$4:$A$64,0),$U150)*$V150*$N150,0)</f>
        <v>0</v>
      </c>
      <c r="CD150" s="93">
        <f>IF(AND($T150=1,CD$5&lt;=$H150),INDEX(Mortality!$B$4:$E$64,MATCH($D150+CD$5-1,Mortality!$A$4:$A$64,0),$U150)*$V150*$N150,0)</f>
        <v>0</v>
      </c>
      <c r="CE150" s="93">
        <f>IF(AND($T150=1,CE$5&lt;=$H150),INDEX(Mortality!$B$4:$E$64,MATCH($D150+CE$5-1,Mortality!$A$4:$A$64,0),$U150)*$V150*$N150,0)</f>
        <v>0</v>
      </c>
      <c r="CF150" s="93">
        <f>IF(AND($T150=1,CF$5&lt;=$H150),INDEX(Mortality!$B$4:$E$64,MATCH($D150+CF$5-1,Mortality!$A$4:$A$64,0),$U150)*$V150*$N150,0)</f>
        <v>0</v>
      </c>
      <c r="CG150" s="93">
        <f>IF(AND($T150=1,CG$5&lt;=$H150),INDEX(Mortality!$B$4:$E$64,MATCH($D150+CG$5-1,Mortality!$A$4:$A$64,0),$U150)*$V150*$N150,0)</f>
        <v>0</v>
      </c>
      <c r="CH150" s="94">
        <f>IF(AND($T150=1,CH$5&lt;=$H150),INDEX(Mortality!$B$4:$E$64,MATCH($D150+CH$5-1,Mortality!$A$4:$A$64,0),$U150)*$V150*$N150,0)</f>
        <v>0</v>
      </c>
      <c r="CI150" s="26"/>
      <c r="CJ150" s="419">
        <f t="shared" si="53"/>
        <v>1</v>
      </c>
      <c r="CK150" s="93">
        <f>IF(AND($T150=1,CK$5&lt;=$H150),CJ150*(1-AU150)*(1-MIN(1,MAX(Assumptions!$C$27,Assumptions!$C$13*Assumptions!$C$28^(CJ$5-1))*$O150)),0)</f>
        <v>0.87677260340150498</v>
      </c>
      <c r="CL150" s="93">
        <f>IF(AND($T150=1,CL$5&lt;=$H150),CK150*(1-AV150)*(1-MIN(1,MAX(Assumptions!$C$27,Assumptions!$C$13*Assumptions!$C$28^(CK$5-1))*$O150)),0)</f>
        <v>0.78421372736637796</v>
      </c>
      <c r="CM150" s="93">
        <f>IF(AND($T150=1,CM$5&lt;=$H150),CL150*(1-AW150)*(1-MIN(1,MAX(Assumptions!$C$27,Assumptions!$C$13*Assumptions!$C$28^(CL$5-1))*$O150)),0)</f>
        <v>0.71313988588659893</v>
      </c>
      <c r="CN150" s="93">
        <f>IF(AND($T150=1,CN$5&lt;=$H150),CM150*(1-AX150)*(1-MIN(1,MAX(Assumptions!$C$27,Assumptions!$C$13*Assumptions!$C$28^(CM$5-1))*$O150)),0)</f>
        <v>0.65750519546641017</v>
      </c>
      <c r="CO150" s="93">
        <f>IF(AND($T150=1,CO$5&lt;=$H150),CN150*(1-AY150)*(1-MIN(1,MAX(Assumptions!$C$27,Assumptions!$C$13*Assumptions!$C$28^(CN$5-1))*$O150)),0)</f>
        <v>0.61320579166199618</v>
      </c>
      <c r="CP150" s="93">
        <f>IF(AND($T150=1,CP$5&lt;=$H150),CO150*(1-AZ150)*(1-MIN(1,MAX(Assumptions!$C$27,Assumptions!$C$13*Assumptions!$C$28^(CO$5-1))*$O150)),0)</f>
        <v>0.57737949869236171</v>
      </c>
      <c r="CQ150" s="93">
        <f>IF(AND($T150=1,CQ$5&lt;=$H150),CP150*(1-BA150)*(1-MIN(1,MAX(Assumptions!$C$27,Assumptions!$C$13*Assumptions!$C$28^(CP$5-1))*$O150)),0)</f>
        <v>0.54798127051895273</v>
      </c>
      <c r="CR150" s="93">
        <f>IF(AND($T150=1,CR$5&lt;=$H150),CQ150*(1-BB150)*(1-MIN(1,MAX(Assumptions!$C$27,Assumptions!$C$13*Assumptions!$C$28^(CQ$5-1))*$O150)),0)</f>
        <v>0.52351783025802445</v>
      </c>
      <c r="CS150" s="93">
        <f>IF(AND($T150=1,CS$5&lt;=$H150),CR150*(1-BC150)*(1-MIN(1,MAX(Assumptions!$C$27,Assumptions!$C$13*Assumptions!$C$28^(CR$5-1))*$O150)),0)</f>
        <v>0.50287721437221811</v>
      </c>
      <c r="CT150" s="93">
        <f>IF(AND($T150=1,CT$5&lt;=$H150),CS150*(1-BD150)*(1-MIN(1,MAX(Assumptions!$C$27,Assumptions!$C$13*Assumptions!$C$28^(CS$5-1))*$O150)),0)</f>
        <v>0.48521654790056679</v>
      </c>
      <c r="CU150" s="93">
        <f>IF(AND($T150=1,CU$5&lt;=$H150),CT150*(1-BE150)*(1-MIN(1,MAX(Assumptions!$C$27,Assumptions!$C$13*Assumptions!$C$28^(CT$5-1))*$O150)),0)</f>
        <v>0.46988648976014136</v>
      </c>
      <c r="CV150" s="93">
        <f>IF(AND($T150=1,CV$5&lt;=$H150),CU150*(1-BF150)*(1-MIN(1,MAX(Assumptions!$C$27,Assumptions!$C$13*Assumptions!$C$28^(CU$5-1))*$O150)),0)</f>
        <v>0.45637932189356573</v>
      </c>
      <c r="CW150" s="93">
        <f>IF(AND($T150=1,CW$5&lt;=$H150),CV150*(1-BG150)*(1-MIN(1,MAX(Assumptions!$C$27,Assumptions!$C$13*Assumptions!$C$28^(CV$5-1))*$O150)),0)</f>
        <v>0.4429677853717866</v>
      </c>
      <c r="CX150" s="93">
        <f>IF(AND($T150=1,CX$5&lt;=$H150),CW150*(1-BH150)*(1-MIN(1,MAX(Assumptions!$C$27,Assumptions!$C$13*Assumptions!$C$28^(CW$5-1))*$O150)),0)</f>
        <v>0.42960405875323038</v>
      </c>
      <c r="CY150" s="93">
        <f>IF(AND($T150=1,CY$5&lt;=$H150),CX150*(1-BI150)*(1-MIN(1,MAX(Assumptions!$C$27,Assumptions!$C$13*Assumptions!$C$28^(CX$5-1))*$O150)),0)</f>
        <v>0.41627965940874129</v>
      </c>
      <c r="CZ150" s="93">
        <f>IF(AND($T150=1,CZ$5&lt;=$H150),CY150*(1-BJ150)*(1-MIN(1,MAX(Assumptions!$C$27,Assumptions!$C$13*Assumptions!$C$28^(CY$5-1))*$O150)),0)</f>
        <v>0.40298660701382644</v>
      </c>
      <c r="DA150" s="93">
        <f>IF(AND($T150=1,DA$5&lt;=$H150),CZ150*(1-BK150)*(1-MIN(1,MAX(Assumptions!$C$27,Assumptions!$C$13*Assumptions!$C$28^(CZ$5-1))*$O150)),0)</f>
        <v>0.38971752783734775</v>
      </c>
      <c r="DB150" s="93">
        <f>IF(AND($T150=1,DB$5&lt;=$H150),DA150*(1-BL150)*(1-MIN(1,MAX(Assumptions!$C$27,Assumptions!$C$13*Assumptions!$C$28^(DA$5-1))*$O150)),0)</f>
        <v>0.376465772401535</v>
      </c>
      <c r="DC150" s="93">
        <f>IF(AND($T150=1,DC$5&lt;=$H150),DB150*(1-BM150)*(1-MIN(1,MAX(Assumptions!$C$27,Assumptions!$C$13*Assumptions!$C$28^(DB$5-1))*$O150)),0)</f>
        <v>0.36322554727649564</v>
      </c>
      <c r="DD150" s="93">
        <f>IF(AND($T150=1,DD$5&lt;=$H150),DC150*(1-BN150)*(1-MIN(1,MAX(Assumptions!$C$27,Assumptions!$C$13*Assumptions!$C$28^(DC$5-1))*$O150)),0)</f>
        <v>0.34999206160799484</v>
      </c>
      <c r="DE150" s="93">
        <f>IF(AND($T150=1,DE$5&lt;=$H150),DD150*(1-BO150)*(1-MIN(1,MAX(Assumptions!$C$27,Assumptions!$C$13*Assumptions!$C$28^(DD$5-1))*$O150)),0)</f>
        <v>0.33676168874042622</v>
      </c>
      <c r="DF150" s="93">
        <f>IF(AND($T150=1,DF$5&lt;=$H150),DE150*(1-BP150)*(1-MIN(1,MAX(Assumptions!$C$27,Assumptions!$C$13*Assumptions!$C$28^(DE$5-1))*$O150)),0)</f>
        <v>0.32353214297184535</v>
      </c>
      <c r="DG150" s="93">
        <f>IF(AND($T150=1,DG$5&lt;=$H150),DF150*(1-BQ150)*(1-MIN(1,MAX(Assumptions!$C$27,Assumptions!$C$13*Assumptions!$C$28^(DF$5-1))*$O150)),0)</f>
        <v>0.31030267104730108</v>
      </c>
      <c r="DH150" s="93">
        <f>IF(AND($T150=1,DH$5&lt;=$H150),DG150*(1-BR150)*(1-MIN(1,MAX(Assumptions!$C$27,Assumptions!$C$13*Assumptions!$C$28^(DG$5-1))*$O150)),0)</f>
        <v>0.29707425744180582</v>
      </c>
      <c r="DI150" s="93">
        <f>IF(AND($T150=1,DI$5&lt;=$H150),DH150*(1-BS150)*(1-MIN(1,MAX(Assumptions!$C$27,Assumptions!$C$13*Assumptions!$C$28^(DH$5-1))*$O150)),0)</f>
        <v>0</v>
      </c>
      <c r="DJ150" s="93">
        <f>IF(AND($T150=1,DJ$5&lt;=$H150),DI150*(1-BT150)*(1-MIN(1,MAX(Assumptions!$C$27,Assumptions!$C$13*Assumptions!$C$28^(DI$5-1))*$O150)),0)</f>
        <v>0</v>
      </c>
      <c r="DK150" s="93">
        <f>IF(AND($T150=1,DK$5&lt;=$H150),DJ150*(1-BU150)*(1-MIN(1,MAX(Assumptions!$C$27,Assumptions!$C$13*Assumptions!$C$28^(DJ$5-1))*$O150)),0)</f>
        <v>0</v>
      </c>
      <c r="DL150" s="93">
        <f>IF(AND($T150=1,DL$5&lt;=$H150),DK150*(1-BV150)*(1-MIN(1,MAX(Assumptions!$C$27,Assumptions!$C$13*Assumptions!$C$28^(DK$5-1))*$O150)),0)</f>
        <v>0</v>
      </c>
      <c r="DM150" s="93">
        <f>IF(AND($T150=1,DM$5&lt;=$H150),DL150*(1-BW150)*(1-MIN(1,MAX(Assumptions!$C$27,Assumptions!$C$13*Assumptions!$C$28^(DL$5-1))*$O150)),0)</f>
        <v>0</v>
      </c>
      <c r="DN150" s="93">
        <f>IF(AND($T150=1,DN$5&lt;=$H150),DM150*(1-BX150)*(1-MIN(1,MAX(Assumptions!$C$27,Assumptions!$C$13*Assumptions!$C$28^(DM$5-1))*$O150)),0)</f>
        <v>0</v>
      </c>
      <c r="DO150" s="93">
        <f>IF(AND($T150=1,DO$5&lt;=$H150),DN150*(1-BY150)*(1-MIN(1,MAX(Assumptions!$C$27,Assumptions!$C$13*Assumptions!$C$28^(DN$5-1))*$O150)),0)</f>
        <v>0</v>
      </c>
      <c r="DP150" s="93">
        <f>IF(AND($T150=1,DP$5&lt;=$H150),DO150*(1-BZ150)*(1-MIN(1,MAX(Assumptions!$C$27,Assumptions!$C$13*Assumptions!$C$28^(DO$5-1))*$O150)),0)</f>
        <v>0</v>
      </c>
      <c r="DQ150" s="93">
        <f>IF(AND($T150=1,DQ$5&lt;=$H150),DP150*(1-CA150)*(1-MIN(1,MAX(Assumptions!$C$27,Assumptions!$C$13*Assumptions!$C$28^(DP$5-1))*$O150)),0)</f>
        <v>0</v>
      </c>
      <c r="DR150" s="93">
        <f>IF(AND($T150=1,DR$5&lt;=$H150),DQ150*(1-CB150)*(1-MIN(1,MAX(Assumptions!$C$27,Assumptions!$C$13*Assumptions!$C$28^(DQ$5-1))*$O150)),0)</f>
        <v>0</v>
      </c>
      <c r="DS150" s="93">
        <f>IF(AND($T150=1,DS$5&lt;=$H150),DR150*(1-CC150)*(1-MIN(1,MAX(Assumptions!$C$27,Assumptions!$C$13*Assumptions!$C$28^(DR$5-1))*$O150)),0)</f>
        <v>0</v>
      </c>
      <c r="DT150" s="93">
        <f>IF(AND($T150=1,DT$5&lt;=$H150),DS150*(1-CD150)*(1-MIN(1,MAX(Assumptions!$C$27,Assumptions!$C$13*Assumptions!$C$28^(DS$5-1))*$O150)),0)</f>
        <v>0</v>
      </c>
      <c r="DU150" s="93">
        <f>IF(AND($T150=1,DU$5&lt;=$H150),DT150*(1-CE150)*(1-MIN(1,MAX(Assumptions!$C$27,Assumptions!$C$13*Assumptions!$C$28^(DT$5-1))*$O150)),0)</f>
        <v>0</v>
      </c>
      <c r="DV150" s="93">
        <f>IF(AND($T150=1,DV$5&lt;=$H150),DU150*(1-CF150)*(1-MIN(1,MAX(Assumptions!$C$27,Assumptions!$C$13*Assumptions!$C$28^(DU$5-1))*$O150)),0)</f>
        <v>0</v>
      </c>
      <c r="DW150" s="94">
        <f>IF(AND($T150=1,DW$5&lt;=$H150),DV150*(1-CG150)*(1-MIN(1,MAX(Assumptions!$C$27,Assumptions!$C$13*Assumptions!$C$28^(DV$5-1))*$O150)),0)</f>
        <v>0</v>
      </c>
      <c r="DX150" s="26"/>
      <c r="DY150" s="399">
        <f>'Policy Data'!K124</f>
        <v>3</v>
      </c>
      <c r="DZ150" s="100">
        <f>'Policy Data'!L124</f>
        <v>0.51459999999999995</v>
      </c>
      <c r="EA150" s="100">
        <f>'Policy Data'!N124</f>
        <v>1.887E-3</v>
      </c>
      <c r="EB150" s="93" cm="1">
        <f t="array" ref="EB150">IFERROR(DZ150*INDEX(Mortality!$B$4:$E$64,MATCH(D150+DY150-1,Mortality!$A$4:$A$64,0),U150)*V150,0)</f>
        <v>2.2147594517848142E-3</v>
      </c>
      <c r="EC150" s="100">
        <f>'Policy Data'!O124</f>
        <v>0</v>
      </c>
      <c r="ED150" s="400">
        <f>'Policy Data'!Q124</f>
        <v>0</v>
      </c>
    </row>
    <row r="151" spans="1:134" x14ac:dyDescent="0.3">
      <c r="A151" s="399" t="str">
        <f>'Policy Data'!A125</f>
        <v>POL100121</v>
      </c>
      <c r="B151" s="26" t="s">
        <v>426</v>
      </c>
      <c r="C151" s="100" t="str">
        <f>'Policy Data'!B125</f>
        <v>Unit-Linked</v>
      </c>
      <c r="D151" s="100">
        <f>'Policy Data'!C125</f>
        <v>63</v>
      </c>
      <c r="E151" s="100" t="str">
        <f>'Policy Data'!D125</f>
        <v>Male</v>
      </c>
      <c r="F151" s="100" t="str">
        <f>'Policy Data'!E125</f>
        <v>Non-smoker</v>
      </c>
      <c r="G151" s="100" t="str">
        <f>'Policy Data'!F125</f>
        <v>Standard</v>
      </c>
      <c r="H151" s="100">
        <f>'Policy Data'!G125</f>
        <v>20</v>
      </c>
      <c r="I151" s="279">
        <f>'Policy Data'!H125</f>
        <v>250000</v>
      </c>
      <c r="J151" s="100" t="str">
        <f>'Policy Data'!I125</f>
        <v>Monthly</v>
      </c>
      <c r="K151" s="100" t="str">
        <f>'Policy Data'!J125</f>
        <v>Broker</v>
      </c>
      <c r="L151" s="26" t="s">
        <v>389</v>
      </c>
      <c r="M151" s="106">
        <f>'Policy Data'!R125</f>
        <v>11509.89</v>
      </c>
      <c r="N151" s="415">
        <f>Assumptions!$C$21</f>
        <v>1</v>
      </c>
      <c r="O151" s="415">
        <f>Assumptions!$C$22</f>
        <v>1</v>
      </c>
      <c r="P151" s="415">
        <f>Assumptions!$C$23</f>
        <v>1</v>
      </c>
      <c r="Q151" s="416">
        <f>Assumptions!$C$24</f>
        <v>0</v>
      </c>
      <c r="R151" s="416">
        <f>Assumptions!$C$6+Assumptions!$C$25</f>
        <v>3.5000000000000003E-2</v>
      </c>
      <c r="S151" s="416">
        <f>Assumptions!$C$15</f>
        <v>1.1000000000000001E-3</v>
      </c>
      <c r="T151" s="26">
        <f t="shared" si="36"/>
        <v>0</v>
      </c>
      <c r="U151" s="26">
        <f t="shared" si="37"/>
        <v>3</v>
      </c>
      <c r="V151" s="389">
        <f>IF($G151="Preferred",Assumptions!$C$30,IF($G151="Rated",Assumptions!$C$31,1))</f>
        <v>1</v>
      </c>
      <c r="W151" s="390">
        <f>IF($K151="Direct",Assumptions!$C$32,IF($K151="Broker",Assumptions!$C$33,IF($K151="Bancassurance",Assumptions!$C$34,Assumptions!$C$11)))+$Q151</f>
        <v>0.25</v>
      </c>
      <c r="X151" s="390">
        <f>Assumptions!$C$12+$Q151</f>
        <v>0.05</v>
      </c>
      <c r="Y151" s="131">
        <f>MIN($I151,Assumptions!$C$14)</f>
        <v>250000</v>
      </c>
      <c r="Z151" s="131">
        <f>MAX($I151-Assumptions!$C$14,0)</f>
        <v>0</v>
      </c>
      <c r="AA151" s="389">
        <f t="shared" si="38"/>
        <v>0</v>
      </c>
      <c r="AB151" s="389">
        <f t="shared" si="39"/>
        <v>0</v>
      </c>
      <c r="AC151" s="389">
        <f>IF($T151=1,SUMPRODUCT($CJ151:$DW151,(1+Assumptions!$C$5)^($CJ$5:$DW$5-1),(1+$R151)^(-$CJ$5:$DW$5)),0)</f>
        <v>0</v>
      </c>
      <c r="AD151" s="389">
        <f t="shared" si="40"/>
        <v>0</v>
      </c>
      <c r="AE151" s="131">
        <f>IF($T151=1,$AB151*$Y151+(Assumptions!$C$9/(1+$R151)+Assumptions!$C$10*$AC151)*$P151+$S151*$Z151*$AA151,0)</f>
        <v>0</v>
      </c>
      <c r="AF151" s="131" t="str">
        <f>IF($T151=1,IF($AA151-$AD151-Assumptions!$C$16*$AA151&gt;0,$AE151/($AA151-$AD151-Assumptions!$C$16*$AA151)*IF($J151="Monthly",1+Assumptions!$C$29,1),"n.a."),"")</f>
        <v/>
      </c>
      <c r="AG151" s="131" t="str">
        <f t="shared" si="41"/>
        <v/>
      </c>
      <c r="AH151" s="131" t="str">
        <f t="shared" si="42"/>
        <v/>
      </c>
      <c r="AI151" s="131" t="str">
        <f t="shared" si="43"/>
        <v/>
      </c>
      <c r="AJ151" s="390" t="str">
        <f t="shared" si="44"/>
        <v/>
      </c>
      <c r="AK151" s="389" t="str">
        <f t="shared" si="45"/>
        <v/>
      </c>
      <c r="AL151" s="131" t="str">
        <f t="shared" si="46"/>
        <v/>
      </c>
      <c r="AM151" s="131" t="str">
        <f t="shared" si="47"/>
        <v/>
      </c>
      <c r="AN151" s="131" t="str">
        <f t="shared" si="48"/>
        <v/>
      </c>
      <c r="AO151" s="131" t="str">
        <f t="shared" si="49"/>
        <v/>
      </c>
      <c r="AP151" s="26" t="str">
        <f t="shared" si="50"/>
        <v>60+</v>
      </c>
      <c r="AQ151" s="26" t="str">
        <f t="shared" si="51"/>
        <v>Up to 250k</v>
      </c>
      <c r="AR151" s="26" t="str">
        <f>IF($T151=1,IF($AI151&lt;0,"Loss-making",IF($AJ151&lt;Assumptions!$C$16-0.00001,"Below target","At/above target")),"Excluded")</f>
        <v>Excluded</v>
      </c>
      <c r="AS151" s="103">
        <f t="shared" si="52"/>
        <v>9.9999999999999997E+98</v>
      </c>
      <c r="AT151" s="26"/>
      <c r="AU151" s="419">
        <f>IF(AND($T151=1,AU$5&lt;=$H151),INDEX(Mortality!$B$4:$E$64,MATCH($D151+AU$5-1,Mortality!$A$4:$A$64,0),$U151)*$V151*$N151,0)</f>
        <v>0</v>
      </c>
      <c r="AV151" s="93">
        <f>IF(AND($T151=1,AV$5&lt;=$H151),INDEX(Mortality!$B$4:$E$64,MATCH($D151+AV$5-1,Mortality!$A$4:$A$64,0),$U151)*$V151*$N151,0)</f>
        <v>0</v>
      </c>
      <c r="AW151" s="93">
        <f>IF(AND($T151=1,AW$5&lt;=$H151),INDEX(Mortality!$B$4:$E$64,MATCH($D151+AW$5-1,Mortality!$A$4:$A$64,0),$U151)*$V151*$N151,0)</f>
        <v>0</v>
      </c>
      <c r="AX151" s="93">
        <f>IF(AND($T151=1,AX$5&lt;=$H151),INDEX(Mortality!$B$4:$E$64,MATCH($D151+AX$5-1,Mortality!$A$4:$A$64,0),$U151)*$V151*$N151,0)</f>
        <v>0</v>
      </c>
      <c r="AY151" s="93">
        <f>IF(AND($T151=1,AY$5&lt;=$H151),INDEX(Mortality!$B$4:$E$64,MATCH($D151+AY$5-1,Mortality!$A$4:$A$64,0),$U151)*$V151*$N151,0)</f>
        <v>0</v>
      </c>
      <c r="AZ151" s="93">
        <f>IF(AND($T151=1,AZ$5&lt;=$H151),INDEX(Mortality!$B$4:$E$64,MATCH($D151+AZ$5-1,Mortality!$A$4:$A$64,0),$U151)*$V151*$N151,0)</f>
        <v>0</v>
      </c>
      <c r="BA151" s="93">
        <f>IF(AND($T151=1,BA$5&lt;=$H151),INDEX(Mortality!$B$4:$E$64,MATCH($D151+BA$5-1,Mortality!$A$4:$A$64,0),$U151)*$V151*$N151,0)</f>
        <v>0</v>
      </c>
      <c r="BB151" s="93">
        <f>IF(AND($T151=1,BB$5&lt;=$H151),INDEX(Mortality!$B$4:$E$64,MATCH($D151+BB$5-1,Mortality!$A$4:$A$64,0),$U151)*$V151*$N151,0)</f>
        <v>0</v>
      </c>
      <c r="BC151" s="93">
        <f>IF(AND($T151=1,BC$5&lt;=$H151),INDEX(Mortality!$B$4:$E$64,MATCH($D151+BC$5-1,Mortality!$A$4:$A$64,0),$U151)*$V151*$N151,0)</f>
        <v>0</v>
      </c>
      <c r="BD151" s="93">
        <f>IF(AND($T151=1,BD$5&lt;=$H151),INDEX(Mortality!$B$4:$E$64,MATCH($D151+BD$5-1,Mortality!$A$4:$A$64,0),$U151)*$V151*$N151,0)</f>
        <v>0</v>
      </c>
      <c r="BE151" s="93">
        <f>IF(AND($T151=1,BE$5&lt;=$H151),INDEX(Mortality!$B$4:$E$64,MATCH($D151+BE$5-1,Mortality!$A$4:$A$64,0),$U151)*$V151*$N151,0)</f>
        <v>0</v>
      </c>
      <c r="BF151" s="93">
        <f>IF(AND($T151=1,BF$5&lt;=$H151),INDEX(Mortality!$B$4:$E$64,MATCH($D151+BF$5-1,Mortality!$A$4:$A$64,0),$U151)*$V151*$N151,0)</f>
        <v>0</v>
      </c>
      <c r="BG151" s="93">
        <f>IF(AND($T151=1,BG$5&lt;=$H151),INDEX(Mortality!$B$4:$E$64,MATCH($D151+BG$5-1,Mortality!$A$4:$A$64,0),$U151)*$V151*$N151,0)</f>
        <v>0</v>
      </c>
      <c r="BH151" s="93">
        <f>IF(AND($T151=1,BH$5&lt;=$H151),INDEX(Mortality!$B$4:$E$64,MATCH($D151+BH$5-1,Mortality!$A$4:$A$64,0),$U151)*$V151*$N151,0)</f>
        <v>0</v>
      </c>
      <c r="BI151" s="93">
        <f>IF(AND($T151=1,BI$5&lt;=$H151),INDEX(Mortality!$B$4:$E$64,MATCH($D151+BI$5-1,Mortality!$A$4:$A$64,0),$U151)*$V151*$N151,0)</f>
        <v>0</v>
      </c>
      <c r="BJ151" s="93">
        <f>IF(AND($T151=1,BJ$5&lt;=$H151),INDEX(Mortality!$B$4:$E$64,MATCH($D151+BJ$5-1,Mortality!$A$4:$A$64,0),$U151)*$V151*$N151,0)</f>
        <v>0</v>
      </c>
      <c r="BK151" s="93">
        <f>IF(AND($T151=1,BK$5&lt;=$H151),INDEX(Mortality!$B$4:$E$64,MATCH($D151+BK$5-1,Mortality!$A$4:$A$64,0),$U151)*$V151*$N151,0)</f>
        <v>0</v>
      </c>
      <c r="BL151" s="93">
        <f>IF(AND($T151=1,BL$5&lt;=$H151),INDEX(Mortality!$B$4:$E$64,MATCH($D151+BL$5-1,Mortality!$A$4:$A$64,0),$U151)*$V151*$N151,0)</f>
        <v>0</v>
      </c>
      <c r="BM151" s="93">
        <f>IF(AND($T151=1,BM$5&lt;=$H151),INDEX(Mortality!$B$4:$E$64,MATCH($D151+BM$5-1,Mortality!$A$4:$A$64,0),$U151)*$V151*$N151,0)</f>
        <v>0</v>
      </c>
      <c r="BN151" s="93">
        <f>IF(AND($T151=1,BN$5&lt;=$H151),INDEX(Mortality!$B$4:$E$64,MATCH($D151+BN$5-1,Mortality!$A$4:$A$64,0),$U151)*$V151*$N151,0)</f>
        <v>0</v>
      </c>
      <c r="BO151" s="93">
        <f>IF(AND($T151=1,BO$5&lt;=$H151),INDEX(Mortality!$B$4:$E$64,MATCH($D151+BO$5-1,Mortality!$A$4:$A$64,0),$U151)*$V151*$N151,0)</f>
        <v>0</v>
      </c>
      <c r="BP151" s="93">
        <f>IF(AND($T151=1,BP$5&lt;=$H151),INDEX(Mortality!$B$4:$E$64,MATCH($D151+BP$5-1,Mortality!$A$4:$A$64,0),$U151)*$V151*$N151,0)</f>
        <v>0</v>
      </c>
      <c r="BQ151" s="93">
        <f>IF(AND($T151=1,BQ$5&lt;=$H151),INDEX(Mortality!$B$4:$E$64,MATCH($D151+BQ$5-1,Mortality!$A$4:$A$64,0),$U151)*$V151*$N151,0)</f>
        <v>0</v>
      </c>
      <c r="BR151" s="93">
        <f>IF(AND($T151=1,BR$5&lt;=$H151),INDEX(Mortality!$B$4:$E$64,MATCH($D151+BR$5-1,Mortality!$A$4:$A$64,0),$U151)*$V151*$N151,0)</f>
        <v>0</v>
      </c>
      <c r="BS151" s="93">
        <f>IF(AND($T151=1,BS$5&lt;=$H151),INDEX(Mortality!$B$4:$E$64,MATCH($D151+BS$5-1,Mortality!$A$4:$A$64,0),$U151)*$V151*$N151,0)</f>
        <v>0</v>
      </c>
      <c r="BT151" s="93">
        <f>IF(AND($T151=1,BT$5&lt;=$H151),INDEX(Mortality!$B$4:$E$64,MATCH($D151+BT$5-1,Mortality!$A$4:$A$64,0),$U151)*$V151*$N151,0)</f>
        <v>0</v>
      </c>
      <c r="BU151" s="93">
        <f>IF(AND($T151=1,BU$5&lt;=$H151),INDEX(Mortality!$B$4:$E$64,MATCH($D151+BU$5-1,Mortality!$A$4:$A$64,0),$U151)*$V151*$N151,0)</f>
        <v>0</v>
      </c>
      <c r="BV151" s="93">
        <f>IF(AND($T151=1,BV$5&lt;=$H151),INDEX(Mortality!$B$4:$E$64,MATCH($D151+BV$5-1,Mortality!$A$4:$A$64,0),$U151)*$V151*$N151,0)</f>
        <v>0</v>
      </c>
      <c r="BW151" s="93">
        <f>IF(AND($T151=1,BW$5&lt;=$H151),INDEX(Mortality!$B$4:$E$64,MATCH($D151+BW$5-1,Mortality!$A$4:$A$64,0),$U151)*$V151*$N151,0)</f>
        <v>0</v>
      </c>
      <c r="BX151" s="93">
        <f>IF(AND($T151=1,BX$5&lt;=$H151),INDEX(Mortality!$B$4:$E$64,MATCH($D151+BX$5-1,Mortality!$A$4:$A$64,0),$U151)*$V151*$N151,0)</f>
        <v>0</v>
      </c>
      <c r="BY151" s="93">
        <f>IF(AND($T151=1,BY$5&lt;=$H151),INDEX(Mortality!$B$4:$E$64,MATCH($D151+BY$5-1,Mortality!$A$4:$A$64,0),$U151)*$V151*$N151,0)</f>
        <v>0</v>
      </c>
      <c r="BZ151" s="93">
        <f>IF(AND($T151=1,BZ$5&lt;=$H151),INDEX(Mortality!$B$4:$E$64,MATCH($D151+BZ$5-1,Mortality!$A$4:$A$64,0),$U151)*$V151*$N151,0)</f>
        <v>0</v>
      </c>
      <c r="CA151" s="93">
        <f>IF(AND($T151=1,CA$5&lt;=$H151),INDEX(Mortality!$B$4:$E$64,MATCH($D151+CA$5-1,Mortality!$A$4:$A$64,0),$U151)*$V151*$N151,0)</f>
        <v>0</v>
      </c>
      <c r="CB151" s="93">
        <f>IF(AND($T151=1,CB$5&lt;=$H151),INDEX(Mortality!$B$4:$E$64,MATCH($D151+CB$5-1,Mortality!$A$4:$A$64,0),$U151)*$V151*$N151,0)</f>
        <v>0</v>
      </c>
      <c r="CC151" s="93">
        <f>IF(AND($T151=1,CC$5&lt;=$H151),INDEX(Mortality!$B$4:$E$64,MATCH($D151+CC$5-1,Mortality!$A$4:$A$64,0),$U151)*$V151*$N151,0)</f>
        <v>0</v>
      </c>
      <c r="CD151" s="93">
        <f>IF(AND($T151=1,CD$5&lt;=$H151),INDEX(Mortality!$B$4:$E$64,MATCH($D151+CD$5-1,Mortality!$A$4:$A$64,0),$U151)*$V151*$N151,0)</f>
        <v>0</v>
      </c>
      <c r="CE151" s="93">
        <f>IF(AND($T151=1,CE$5&lt;=$H151),INDEX(Mortality!$B$4:$E$64,MATCH($D151+CE$5-1,Mortality!$A$4:$A$64,0),$U151)*$V151*$N151,0)</f>
        <v>0</v>
      </c>
      <c r="CF151" s="93">
        <f>IF(AND($T151=1,CF$5&lt;=$H151),INDEX(Mortality!$B$4:$E$64,MATCH($D151+CF$5-1,Mortality!$A$4:$A$64,0),$U151)*$V151*$N151,0)</f>
        <v>0</v>
      </c>
      <c r="CG151" s="93">
        <f>IF(AND($T151=1,CG$5&lt;=$H151),INDEX(Mortality!$B$4:$E$64,MATCH($D151+CG$5-1,Mortality!$A$4:$A$64,0),$U151)*$V151*$N151,0)</f>
        <v>0</v>
      </c>
      <c r="CH151" s="94">
        <f>IF(AND($T151=1,CH$5&lt;=$H151),INDEX(Mortality!$B$4:$E$64,MATCH($D151+CH$5-1,Mortality!$A$4:$A$64,0),$U151)*$V151*$N151,0)</f>
        <v>0</v>
      </c>
      <c r="CI151" s="26"/>
      <c r="CJ151" s="419">
        <f t="shared" si="53"/>
        <v>0</v>
      </c>
      <c r="CK151" s="93">
        <f>IF(AND($T151=1,CK$5&lt;=$H151),CJ151*(1-AU151)*(1-MIN(1,MAX(Assumptions!$C$27,Assumptions!$C$13*Assumptions!$C$28^(CJ$5-1))*$O151)),0)</f>
        <v>0</v>
      </c>
      <c r="CL151" s="93">
        <f>IF(AND($T151=1,CL$5&lt;=$H151),CK151*(1-AV151)*(1-MIN(1,MAX(Assumptions!$C$27,Assumptions!$C$13*Assumptions!$C$28^(CK$5-1))*$O151)),0)</f>
        <v>0</v>
      </c>
      <c r="CM151" s="93">
        <f>IF(AND($T151=1,CM$5&lt;=$H151),CL151*(1-AW151)*(1-MIN(1,MAX(Assumptions!$C$27,Assumptions!$C$13*Assumptions!$C$28^(CL$5-1))*$O151)),0)</f>
        <v>0</v>
      </c>
      <c r="CN151" s="93">
        <f>IF(AND($T151=1,CN$5&lt;=$H151),CM151*(1-AX151)*(1-MIN(1,MAX(Assumptions!$C$27,Assumptions!$C$13*Assumptions!$C$28^(CM$5-1))*$O151)),0)</f>
        <v>0</v>
      </c>
      <c r="CO151" s="93">
        <f>IF(AND($T151=1,CO$5&lt;=$H151),CN151*(1-AY151)*(1-MIN(1,MAX(Assumptions!$C$27,Assumptions!$C$13*Assumptions!$C$28^(CN$5-1))*$O151)),0)</f>
        <v>0</v>
      </c>
      <c r="CP151" s="93">
        <f>IF(AND($T151=1,CP$5&lt;=$H151),CO151*(1-AZ151)*(1-MIN(1,MAX(Assumptions!$C$27,Assumptions!$C$13*Assumptions!$C$28^(CO$5-1))*$O151)),0)</f>
        <v>0</v>
      </c>
      <c r="CQ151" s="93">
        <f>IF(AND($T151=1,CQ$5&lt;=$H151),CP151*(1-BA151)*(1-MIN(1,MAX(Assumptions!$C$27,Assumptions!$C$13*Assumptions!$C$28^(CP$5-1))*$O151)),0)</f>
        <v>0</v>
      </c>
      <c r="CR151" s="93">
        <f>IF(AND($T151=1,CR$5&lt;=$H151),CQ151*(1-BB151)*(1-MIN(1,MAX(Assumptions!$C$27,Assumptions!$C$13*Assumptions!$C$28^(CQ$5-1))*$O151)),0)</f>
        <v>0</v>
      </c>
      <c r="CS151" s="93">
        <f>IF(AND($T151=1,CS$5&lt;=$H151),CR151*(1-BC151)*(1-MIN(1,MAX(Assumptions!$C$27,Assumptions!$C$13*Assumptions!$C$28^(CR$5-1))*$O151)),0)</f>
        <v>0</v>
      </c>
      <c r="CT151" s="93">
        <f>IF(AND($T151=1,CT$5&lt;=$H151),CS151*(1-BD151)*(1-MIN(1,MAX(Assumptions!$C$27,Assumptions!$C$13*Assumptions!$C$28^(CS$5-1))*$O151)),0)</f>
        <v>0</v>
      </c>
      <c r="CU151" s="93">
        <f>IF(AND($T151=1,CU$5&lt;=$H151),CT151*(1-BE151)*(1-MIN(1,MAX(Assumptions!$C$27,Assumptions!$C$13*Assumptions!$C$28^(CT$5-1))*$O151)),0)</f>
        <v>0</v>
      </c>
      <c r="CV151" s="93">
        <f>IF(AND($T151=1,CV$5&lt;=$H151),CU151*(1-BF151)*(1-MIN(1,MAX(Assumptions!$C$27,Assumptions!$C$13*Assumptions!$C$28^(CU$5-1))*$O151)),0)</f>
        <v>0</v>
      </c>
      <c r="CW151" s="93">
        <f>IF(AND($T151=1,CW$5&lt;=$H151),CV151*(1-BG151)*(1-MIN(1,MAX(Assumptions!$C$27,Assumptions!$C$13*Assumptions!$C$28^(CV$5-1))*$O151)),0)</f>
        <v>0</v>
      </c>
      <c r="CX151" s="93">
        <f>IF(AND($T151=1,CX$5&lt;=$H151),CW151*(1-BH151)*(1-MIN(1,MAX(Assumptions!$C$27,Assumptions!$C$13*Assumptions!$C$28^(CW$5-1))*$O151)),0)</f>
        <v>0</v>
      </c>
      <c r="CY151" s="93">
        <f>IF(AND($T151=1,CY$5&lt;=$H151),CX151*(1-BI151)*(1-MIN(1,MAX(Assumptions!$C$27,Assumptions!$C$13*Assumptions!$C$28^(CX$5-1))*$O151)),0)</f>
        <v>0</v>
      </c>
      <c r="CZ151" s="93">
        <f>IF(AND($T151=1,CZ$5&lt;=$H151),CY151*(1-BJ151)*(1-MIN(1,MAX(Assumptions!$C$27,Assumptions!$C$13*Assumptions!$C$28^(CY$5-1))*$O151)),0)</f>
        <v>0</v>
      </c>
      <c r="DA151" s="93">
        <f>IF(AND($T151=1,DA$5&lt;=$H151),CZ151*(1-BK151)*(1-MIN(1,MAX(Assumptions!$C$27,Assumptions!$C$13*Assumptions!$C$28^(CZ$5-1))*$O151)),0)</f>
        <v>0</v>
      </c>
      <c r="DB151" s="93">
        <f>IF(AND($T151=1,DB$5&lt;=$H151),DA151*(1-BL151)*(1-MIN(1,MAX(Assumptions!$C$27,Assumptions!$C$13*Assumptions!$C$28^(DA$5-1))*$O151)),0)</f>
        <v>0</v>
      </c>
      <c r="DC151" s="93">
        <f>IF(AND($T151=1,DC$5&lt;=$H151),DB151*(1-BM151)*(1-MIN(1,MAX(Assumptions!$C$27,Assumptions!$C$13*Assumptions!$C$28^(DB$5-1))*$O151)),0)</f>
        <v>0</v>
      </c>
      <c r="DD151" s="93">
        <f>IF(AND($T151=1,DD$5&lt;=$H151),DC151*(1-BN151)*(1-MIN(1,MAX(Assumptions!$C$27,Assumptions!$C$13*Assumptions!$C$28^(DC$5-1))*$O151)),0)</f>
        <v>0</v>
      </c>
      <c r="DE151" s="93">
        <f>IF(AND($T151=1,DE$5&lt;=$H151),DD151*(1-BO151)*(1-MIN(1,MAX(Assumptions!$C$27,Assumptions!$C$13*Assumptions!$C$28^(DD$5-1))*$O151)),0)</f>
        <v>0</v>
      </c>
      <c r="DF151" s="93">
        <f>IF(AND($T151=1,DF$5&lt;=$H151),DE151*(1-BP151)*(1-MIN(1,MAX(Assumptions!$C$27,Assumptions!$C$13*Assumptions!$C$28^(DE$5-1))*$O151)),0)</f>
        <v>0</v>
      </c>
      <c r="DG151" s="93">
        <f>IF(AND($T151=1,DG$5&lt;=$H151),DF151*(1-BQ151)*(1-MIN(1,MAX(Assumptions!$C$27,Assumptions!$C$13*Assumptions!$C$28^(DF$5-1))*$O151)),0)</f>
        <v>0</v>
      </c>
      <c r="DH151" s="93">
        <f>IF(AND($T151=1,DH$5&lt;=$H151),DG151*(1-BR151)*(1-MIN(1,MAX(Assumptions!$C$27,Assumptions!$C$13*Assumptions!$C$28^(DG$5-1))*$O151)),0)</f>
        <v>0</v>
      </c>
      <c r="DI151" s="93">
        <f>IF(AND($T151=1,DI$5&lt;=$H151),DH151*(1-BS151)*(1-MIN(1,MAX(Assumptions!$C$27,Assumptions!$C$13*Assumptions!$C$28^(DH$5-1))*$O151)),0)</f>
        <v>0</v>
      </c>
      <c r="DJ151" s="93">
        <f>IF(AND($T151=1,DJ$5&lt;=$H151),DI151*(1-BT151)*(1-MIN(1,MAX(Assumptions!$C$27,Assumptions!$C$13*Assumptions!$C$28^(DI$5-1))*$O151)),0)</f>
        <v>0</v>
      </c>
      <c r="DK151" s="93">
        <f>IF(AND($T151=1,DK$5&lt;=$H151),DJ151*(1-BU151)*(1-MIN(1,MAX(Assumptions!$C$27,Assumptions!$C$13*Assumptions!$C$28^(DJ$5-1))*$O151)),0)</f>
        <v>0</v>
      </c>
      <c r="DL151" s="93">
        <f>IF(AND($T151=1,DL$5&lt;=$H151),DK151*(1-BV151)*(1-MIN(1,MAX(Assumptions!$C$27,Assumptions!$C$13*Assumptions!$C$28^(DK$5-1))*$O151)),0)</f>
        <v>0</v>
      </c>
      <c r="DM151" s="93">
        <f>IF(AND($T151=1,DM$5&lt;=$H151),DL151*(1-BW151)*(1-MIN(1,MAX(Assumptions!$C$27,Assumptions!$C$13*Assumptions!$C$28^(DL$5-1))*$O151)),0)</f>
        <v>0</v>
      </c>
      <c r="DN151" s="93">
        <f>IF(AND($T151=1,DN$5&lt;=$H151),DM151*(1-BX151)*(1-MIN(1,MAX(Assumptions!$C$27,Assumptions!$C$13*Assumptions!$C$28^(DM$5-1))*$O151)),0)</f>
        <v>0</v>
      </c>
      <c r="DO151" s="93">
        <f>IF(AND($T151=1,DO$5&lt;=$H151),DN151*(1-BY151)*(1-MIN(1,MAX(Assumptions!$C$27,Assumptions!$C$13*Assumptions!$C$28^(DN$5-1))*$O151)),0)</f>
        <v>0</v>
      </c>
      <c r="DP151" s="93">
        <f>IF(AND($T151=1,DP$5&lt;=$H151),DO151*(1-BZ151)*(1-MIN(1,MAX(Assumptions!$C$27,Assumptions!$C$13*Assumptions!$C$28^(DO$5-1))*$O151)),0)</f>
        <v>0</v>
      </c>
      <c r="DQ151" s="93">
        <f>IF(AND($T151=1,DQ$5&lt;=$H151),DP151*(1-CA151)*(1-MIN(1,MAX(Assumptions!$C$27,Assumptions!$C$13*Assumptions!$C$28^(DP$5-1))*$O151)),0)</f>
        <v>0</v>
      </c>
      <c r="DR151" s="93">
        <f>IF(AND($T151=1,DR$5&lt;=$H151),DQ151*(1-CB151)*(1-MIN(1,MAX(Assumptions!$C$27,Assumptions!$C$13*Assumptions!$C$28^(DQ$5-1))*$O151)),0)</f>
        <v>0</v>
      </c>
      <c r="DS151" s="93">
        <f>IF(AND($T151=1,DS$5&lt;=$H151),DR151*(1-CC151)*(1-MIN(1,MAX(Assumptions!$C$27,Assumptions!$C$13*Assumptions!$C$28^(DR$5-1))*$O151)),0)</f>
        <v>0</v>
      </c>
      <c r="DT151" s="93">
        <f>IF(AND($T151=1,DT$5&lt;=$H151),DS151*(1-CD151)*(1-MIN(1,MAX(Assumptions!$C$27,Assumptions!$C$13*Assumptions!$C$28^(DS$5-1))*$O151)),0)</f>
        <v>0</v>
      </c>
      <c r="DU151" s="93">
        <f>IF(AND($T151=1,DU$5&lt;=$H151),DT151*(1-CE151)*(1-MIN(1,MAX(Assumptions!$C$27,Assumptions!$C$13*Assumptions!$C$28^(DT$5-1))*$O151)),0)</f>
        <v>0</v>
      </c>
      <c r="DV151" s="93">
        <f>IF(AND($T151=1,DV$5&lt;=$H151),DU151*(1-CF151)*(1-MIN(1,MAX(Assumptions!$C$27,Assumptions!$C$13*Assumptions!$C$28^(DU$5-1))*$O151)),0)</f>
        <v>0</v>
      </c>
      <c r="DW151" s="94">
        <f>IF(AND($T151=1,DW$5&lt;=$H151),DV151*(1-CG151)*(1-MIN(1,MAX(Assumptions!$C$27,Assumptions!$C$13*Assumptions!$C$28^(DV$5-1))*$O151)),0)</f>
        <v>0</v>
      </c>
      <c r="DX151" s="26"/>
      <c r="DY151" s="399">
        <f>'Policy Data'!K125</f>
        <v>6</v>
      </c>
      <c r="DZ151" s="100">
        <f>'Policy Data'!L125</f>
        <v>0.88180000000000003</v>
      </c>
      <c r="EA151" s="100">
        <f>'Policy Data'!N125</f>
        <v>6.3949999999999996E-3</v>
      </c>
      <c r="EB151" s="93" cm="1">
        <f t="array" ref="EB151">IFERROR(DZ151*INDEX(Mortality!$B$4:$E$64,MATCH(D151+DY151-1,Mortality!$A$4:$A$64,0),U151)*V151,0)</f>
        <v>9.5397210033347293E-3</v>
      </c>
      <c r="EC151" s="100">
        <f>'Policy Data'!O125</f>
        <v>0</v>
      </c>
      <c r="ED151" s="400">
        <f>'Policy Data'!Q125</f>
        <v>0</v>
      </c>
    </row>
    <row r="152" spans="1:134" x14ac:dyDescent="0.3">
      <c r="A152" s="399" t="str">
        <f>'Policy Data'!A126</f>
        <v>POL100122</v>
      </c>
      <c r="B152" s="26" t="s">
        <v>426</v>
      </c>
      <c r="C152" s="100" t="str">
        <f>'Policy Data'!B126</f>
        <v>Unit-Linked</v>
      </c>
      <c r="D152" s="100">
        <f>'Policy Data'!C126</f>
        <v>22</v>
      </c>
      <c r="E152" s="100" t="str">
        <f>'Policy Data'!D126</f>
        <v>Male</v>
      </c>
      <c r="F152" s="100" t="str">
        <f>'Policy Data'!E126</f>
        <v>Non-smoker</v>
      </c>
      <c r="G152" s="100" t="str">
        <f>'Policy Data'!F126</f>
        <v>Standard</v>
      </c>
      <c r="H152" s="100">
        <f>'Policy Data'!G126</f>
        <v>25</v>
      </c>
      <c r="I152" s="279">
        <f>'Policy Data'!H126</f>
        <v>1000000</v>
      </c>
      <c r="J152" s="100" t="str">
        <f>'Policy Data'!I126</f>
        <v>Monthly</v>
      </c>
      <c r="K152" s="100" t="str">
        <f>'Policy Data'!J126</f>
        <v>Bancassurance</v>
      </c>
      <c r="L152" s="26" t="s">
        <v>389</v>
      </c>
      <c r="M152" s="106">
        <f>'Policy Data'!R126</f>
        <v>9421.7099999999991</v>
      </c>
      <c r="N152" s="415">
        <f>Assumptions!$C$21</f>
        <v>1</v>
      </c>
      <c r="O152" s="415">
        <f>Assumptions!$C$22</f>
        <v>1</v>
      </c>
      <c r="P152" s="415">
        <f>Assumptions!$C$23</f>
        <v>1</v>
      </c>
      <c r="Q152" s="416">
        <f>Assumptions!$C$24</f>
        <v>0</v>
      </c>
      <c r="R152" s="416">
        <f>Assumptions!$C$6+Assumptions!$C$25</f>
        <v>3.5000000000000003E-2</v>
      </c>
      <c r="S152" s="416">
        <f>Assumptions!$C$15</f>
        <v>1.1000000000000001E-3</v>
      </c>
      <c r="T152" s="26">
        <f t="shared" si="36"/>
        <v>0</v>
      </c>
      <c r="U152" s="26">
        <f t="shared" si="37"/>
        <v>3</v>
      </c>
      <c r="V152" s="389">
        <f>IF($G152="Preferred",Assumptions!$C$30,IF($G152="Rated",Assumptions!$C$31,1))</f>
        <v>1</v>
      </c>
      <c r="W152" s="390">
        <f>IF($K152="Direct",Assumptions!$C$32,IF($K152="Broker",Assumptions!$C$33,IF($K152="Bancassurance",Assumptions!$C$34,Assumptions!$C$11)))+$Q152</f>
        <v>0.2</v>
      </c>
      <c r="X152" s="390">
        <f>Assumptions!$C$12+$Q152</f>
        <v>0.05</v>
      </c>
      <c r="Y152" s="131">
        <f>MIN($I152,Assumptions!$C$14)</f>
        <v>500000</v>
      </c>
      <c r="Z152" s="131">
        <f>MAX($I152-Assumptions!$C$14,0)</f>
        <v>500000</v>
      </c>
      <c r="AA152" s="389">
        <f t="shared" si="38"/>
        <v>0</v>
      </c>
      <c r="AB152" s="389">
        <f t="shared" si="39"/>
        <v>0</v>
      </c>
      <c r="AC152" s="389">
        <f>IF($T152=1,SUMPRODUCT($CJ152:$DW152,(1+Assumptions!$C$5)^($CJ$5:$DW$5-1),(1+$R152)^(-$CJ$5:$DW$5)),0)</f>
        <v>0</v>
      </c>
      <c r="AD152" s="389">
        <f t="shared" si="40"/>
        <v>0</v>
      </c>
      <c r="AE152" s="131">
        <f>IF($T152=1,$AB152*$Y152+(Assumptions!$C$9/(1+$R152)+Assumptions!$C$10*$AC152)*$P152+$S152*$Z152*$AA152,0)</f>
        <v>0</v>
      </c>
      <c r="AF152" s="131" t="str">
        <f>IF($T152=1,IF($AA152-$AD152-Assumptions!$C$16*$AA152&gt;0,$AE152/($AA152-$AD152-Assumptions!$C$16*$AA152)*IF($J152="Monthly",1+Assumptions!$C$29,1),"n.a."),"")</f>
        <v/>
      </c>
      <c r="AG152" s="131" t="str">
        <f t="shared" si="41"/>
        <v/>
      </c>
      <c r="AH152" s="131" t="str">
        <f t="shared" si="42"/>
        <v/>
      </c>
      <c r="AI152" s="131" t="str">
        <f t="shared" si="43"/>
        <v/>
      </c>
      <c r="AJ152" s="390" t="str">
        <f t="shared" si="44"/>
        <v/>
      </c>
      <c r="AK152" s="389" t="str">
        <f t="shared" si="45"/>
        <v/>
      </c>
      <c r="AL152" s="131" t="str">
        <f t="shared" si="46"/>
        <v/>
      </c>
      <c r="AM152" s="131" t="str">
        <f t="shared" si="47"/>
        <v/>
      </c>
      <c r="AN152" s="131" t="str">
        <f t="shared" si="48"/>
        <v/>
      </c>
      <c r="AO152" s="131" t="str">
        <f t="shared" si="49"/>
        <v/>
      </c>
      <c r="AP152" s="26" t="str">
        <f t="shared" si="50"/>
        <v>20-29</v>
      </c>
      <c r="AQ152" s="26" t="str">
        <f t="shared" si="51"/>
        <v>500k-1m</v>
      </c>
      <c r="AR152" s="26" t="str">
        <f>IF($T152=1,IF($AI152&lt;0,"Loss-making",IF($AJ152&lt;Assumptions!$C$16-0.00001,"Below target","At/above target")),"Excluded")</f>
        <v>Excluded</v>
      </c>
      <c r="AS152" s="103">
        <f t="shared" si="52"/>
        <v>9.9999999999999997E+98</v>
      </c>
      <c r="AT152" s="26"/>
      <c r="AU152" s="419">
        <f>IF(AND($T152=1,AU$5&lt;=$H152),INDEX(Mortality!$B$4:$E$64,MATCH($D152+AU$5-1,Mortality!$A$4:$A$64,0),$U152)*$V152*$N152,0)</f>
        <v>0</v>
      </c>
      <c r="AV152" s="93">
        <f>IF(AND($T152=1,AV$5&lt;=$H152),INDEX(Mortality!$B$4:$E$64,MATCH($D152+AV$5-1,Mortality!$A$4:$A$64,0),$U152)*$V152*$N152,0)</f>
        <v>0</v>
      </c>
      <c r="AW152" s="93">
        <f>IF(AND($T152=1,AW$5&lt;=$H152),INDEX(Mortality!$B$4:$E$64,MATCH($D152+AW$5-1,Mortality!$A$4:$A$64,0),$U152)*$V152*$N152,0)</f>
        <v>0</v>
      </c>
      <c r="AX152" s="93">
        <f>IF(AND($T152=1,AX$5&lt;=$H152),INDEX(Mortality!$B$4:$E$64,MATCH($D152+AX$5-1,Mortality!$A$4:$A$64,0),$U152)*$V152*$N152,0)</f>
        <v>0</v>
      </c>
      <c r="AY152" s="93">
        <f>IF(AND($T152=1,AY$5&lt;=$H152),INDEX(Mortality!$B$4:$E$64,MATCH($D152+AY$5-1,Mortality!$A$4:$A$64,0),$U152)*$V152*$N152,0)</f>
        <v>0</v>
      </c>
      <c r="AZ152" s="93">
        <f>IF(AND($T152=1,AZ$5&lt;=$H152),INDEX(Mortality!$B$4:$E$64,MATCH($D152+AZ$5-1,Mortality!$A$4:$A$64,0),$U152)*$V152*$N152,0)</f>
        <v>0</v>
      </c>
      <c r="BA152" s="93">
        <f>IF(AND($T152=1,BA$5&lt;=$H152),INDEX(Mortality!$B$4:$E$64,MATCH($D152+BA$5-1,Mortality!$A$4:$A$64,0),$U152)*$V152*$N152,0)</f>
        <v>0</v>
      </c>
      <c r="BB152" s="93">
        <f>IF(AND($T152=1,BB$5&lt;=$H152),INDEX(Mortality!$B$4:$E$64,MATCH($D152+BB$5-1,Mortality!$A$4:$A$64,0),$U152)*$V152*$N152,0)</f>
        <v>0</v>
      </c>
      <c r="BC152" s="93">
        <f>IF(AND($T152=1,BC$5&lt;=$H152),INDEX(Mortality!$B$4:$E$64,MATCH($D152+BC$5-1,Mortality!$A$4:$A$64,0),$U152)*$V152*$N152,0)</f>
        <v>0</v>
      </c>
      <c r="BD152" s="93">
        <f>IF(AND($T152=1,BD$5&lt;=$H152),INDEX(Mortality!$B$4:$E$64,MATCH($D152+BD$5-1,Mortality!$A$4:$A$64,0),$U152)*$V152*$N152,0)</f>
        <v>0</v>
      </c>
      <c r="BE152" s="93">
        <f>IF(AND($T152=1,BE$5&lt;=$H152),INDEX(Mortality!$B$4:$E$64,MATCH($D152+BE$5-1,Mortality!$A$4:$A$64,0),$U152)*$V152*$N152,0)</f>
        <v>0</v>
      </c>
      <c r="BF152" s="93">
        <f>IF(AND($T152=1,BF$5&lt;=$H152),INDEX(Mortality!$B$4:$E$64,MATCH($D152+BF$5-1,Mortality!$A$4:$A$64,0),$U152)*$V152*$N152,0)</f>
        <v>0</v>
      </c>
      <c r="BG152" s="93">
        <f>IF(AND($T152=1,BG$5&lt;=$H152),INDEX(Mortality!$B$4:$E$64,MATCH($D152+BG$5-1,Mortality!$A$4:$A$64,0),$U152)*$V152*$N152,0)</f>
        <v>0</v>
      </c>
      <c r="BH152" s="93">
        <f>IF(AND($T152=1,BH$5&lt;=$H152),INDEX(Mortality!$B$4:$E$64,MATCH($D152+BH$5-1,Mortality!$A$4:$A$64,0),$U152)*$V152*$N152,0)</f>
        <v>0</v>
      </c>
      <c r="BI152" s="93">
        <f>IF(AND($T152=1,BI$5&lt;=$H152),INDEX(Mortality!$B$4:$E$64,MATCH($D152+BI$5-1,Mortality!$A$4:$A$64,0),$U152)*$V152*$N152,0)</f>
        <v>0</v>
      </c>
      <c r="BJ152" s="93">
        <f>IF(AND($T152=1,BJ$5&lt;=$H152),INDEX(Mortality!$B$4:$E$64,MATCH($D152+BJ$5-1,Mortality!$A$4:$A$64,0),$U152)*$V152*$N152,0)</f>
        <v>0</v>
      </c>
      <c r="BK152" s="93">
        <f>IF(AND($T152=1,BK$5&lt;=$H152),INDEX(Mortality!$B$4:$E$64,MATCH($D152+BK$5-1,Mortality!$A$4:$A$64,0),$U152)*$V152*$N152,0)</f>
        <v>0</v>
      </c>
      <c r="BL152" s="93">
        <f>IF(AND($T152=1,BL$5&lt;=$H152),INDEX(Mortality!$B$4:$E$64,MATCH($D152+BL$5-1,Mortality!$A$4:$A$64,0),$U152)*$V152*$N152,0)</f>
        <v>0</v>
      </c>
      <c r="BM152" s="93">
        <f>IF(AND($T152=1,BM$5&lt;=$H152),INDEX(Mortality!$B$4:$E$64,MATCH($D152+BM$5-1,Mortality!$A$4:$A$64,0),$U152)*$V152*$N152,0)</f>
        <v>0</v>
      </c>
      <c r="BN152" s="93">
        <f>IF(AND($T152=1,BN$5&lt;=$H152),INDEX(Mortality!$B$4:$E$64,MATCH($D152+BN$5-1,Mortality!$A$4:$A$64,0),$U152)*$V152*$N152,0)</f>
        <v>0</v>
      </c>
      <c r="BO152" s="93">
        <f>IF(AND($T152=1,BO$5&lt;=$H152),INDEX(Mortality!$B$4:$E$64,MATCH($D152+BO$5-1,Mortality!$A$4:$A$64,0),$U152)*$V152*$N152,0)</f>
        <v>0</v>
      </c>
      <c r="BP152" s="93">
        <f>IF(AND($T152=1,BP$5&lt;=$H152),INDEX(Mortality!$B$4:$E$64,MATCH($D152+BP$5-1,Mortality!$A$4:$A$64,0),$U152)*$V152*$N152,0)</f>
        <v>0</v>
      </c>
      <c r="BQ152" s="93">
        <f>IF(AND($T152=1,BQ$5&lt;=$H152),INDEX(Mortality!$B$4:$E$64,MATCH($D152+BQ$5-1,Mortality!$A$4:$A$64,0),$U152)*$V152*$N152,0)</f>
        <v>0</v>
      </c>
      <c r="BR152" s="93">
        <f>IF(AND($T152=1,BR$5&lt;=$H152),INDEX(Mortality!$B$4:$E$64,MATCH($D152+BR$5-1,Mortality!$A$4:$A$64,0),$U152)*$V152*$N152,0)</f>
        <v>0</v>
      </c>
      <c r="BS152" s="93">
        <f>IF(AND($T152=1,BS$5&lt;=$H152),INDEX(Mortality!$B$4:$E$64,MATCH($D152+BS$5-1,Mortality!$A$4:$A$64,0),$U152)*$V152*$N152,0)</f>
        <v>0</v>
      </c>
      <c r="BT152" s="93">
        <f>IF(AND($T152=1,BT$5&lt;=$H152),INDEX(Mortality!$B$4:$E$64,MATCH($D152+BT$5-1,Mortality!$A$4:$A$64,0),$U152)*$V152*$N152,0)</f>
        <v>0</v>
      </c>
      <c r="BU152" s="93">
        <f>IF(AND($T152=1,BU$5&lt;=$H152),INDEX(Mortality!$B$4:$E$64,MATCH($D152+BU$5-1,Mortality!$A$4:$A$64,0),$U152)*$V152*$N152,0)</f>
        <v>0</v>
      </c>
      <c r="BV152" s="93">
        <f>IF(AND($T152=1,BV$5&lt;=$H152),INDEX(Mortality!$B$4:$E$64,MATCH($D152+BV$5-1,Mortality!$A$4:$A$64,0),$U152)*$V152*$N152,0)</f>
        <v>0</v>
      </c>
      <c r="BW152" s="93">
        <f>IF(AND($T152=1,BW$5&lt;=$H152),INDEX(Mortality!$B$4:$E$64,MATCH($D152+BW$5-1,Mortality!$A$4:$A$64,0),$U152)*$V152*$N152,0)</f>
        <v>0</v>
      </c>
      <c r="BX152" s="93">
        <f>IF(AND($T152=1,BX$5&lt;=$H152),INDEX(Mortality!$B$4:$E$64,MATCH($D152+BX$5-1,Mortality!$A$4:$A$64,0),$U152)*$V152*$N152,0)</f>
        <v>0</v>
      </c>
      <c r="BY152" s="93">
        <f>IF(AND($T152=1,BY$5&lt;=$H152),INDEX(Mortality!$B$4:$E$64,MATCH($D152+BY$5-1,Mortality!$A$4:$A$64,0),$U152)*$V152*$N152,0)</f>
        <v>0</v>
      </c>
      <c r="BZ152" s="93">
        <f>IF(AND($T152=1,BZ$5&lt;=$H152),INDEX(Mortality!$B$4:$E$64,MATCH($D152+BZ$5-1,Mortality!$A$4:$A$64,0),$U152)*$V152*$N152,0)</f>
        <v>0</v>
      </c>
      <c r="CA152" s="93">
        <f>IF(AND($T152=1,CA$5&lt;=$H152),INDEX(Mortality!$B$4:$E$64,MATCH($D152+CA$5-1,Mortality!$A$4:$A$64,0),$U152)*$V152*$N152,0)</f>
        <v>0</v>
      </c>
      <c r="CB152" s="93">
        <f>IF(AND($T152=1,CB$5&lt;=$H152),INDEX(Mortality!$B$4:$E$64,MATCH($D152+CB$5-1,Mortality!$A$4:$A$64,0),$U152)*$V152*$N152,0)</f>
        <v>0</v>
      </c>
      <c r="CC152" s="93">
        <f>IF(AND($T152=1,CC$5&lt;=$H152),INDEX(Mortality!$B$4:$E$64,MATCH($D152+CC$5-1,Mortality!$A$4:$A$64,0),$U152)*$V152*$N152,0)</f>
        <v>0</v>
      </c>
      <c r="CD152" s="93">
        <f>IF(AND($T152=1,CD$5&lt;=$H152),INDEX(Mortality!$B$4:$E$64,MATCH($D152+CD$5-1,Mortality!$A$4:$A$64,0),$U152)*$V152*$N152,0)</f>
        <v>0</v>
      </c>
      <c r="CE152" s="93">
        <f>IF(AND($T152=1,CE$5&lt;=$H152),INDEX(Mortality!$B$4:$E$64,MATCH($D152+CE$5-1,Mortality!$A$4:$A$64,0),$U152)*$V152*$N152,0)</f>
        <v>0</v>
      </c>
      <c r="CF152" s="93">
        <f>IF(AND($T152=1,CF$5&lt;=$H152),INDEX(Mortality!$B$4:$E$64,MATCH($D152+CF$5-1,Mortality!$A$4:$A$64,0),$U152)*$V152*$N152,0)</f>
        <v>0</v>
      </c>
      <c r="CG152" s="93">
        <f>IF(AND($T152=1,CG$5&lt;=$H152),INDEX(Mortality!$B$4:$E$64,MATCH($D152+CG$5-1,Mortality!$A$4:$A$64,0),$U152)*$V152*$N152,0)</f>
        <v>0</v>
      </c>
      <c r="CH152" s="94">
        <f>IF(AND($T152=1,CH$5&lt;=$H152),INDEX(Mortality!$B$4:$E$64,MATCH($D152+CH$5-1,Mortality!$A$4:$A$64,0),$U152)*$V152*$N152,0)</f>
        <v>0</v>
      </c>
      <c r="CI152" s="26"/>
      <c r="CJ152" s="419">
        <f t="shared" si="53"/>
        <v>0</v>
      </c>
      <c r="CK152" s="93">
        <f>IF(AND($T152=1,CK$5&lt;=$H152),CJ152*(1-AU152)*(1-MIN(1,MAX(Assumptions!$C$27,Assumptions!$C$13*Assumptions!$C$28^(CJ$5-1))*$O152)),0)</f>
        <v>0</v>
      </c>
      <c r="CL152" s="93">
        <f>IF(AND($T152=1,CL$5&lt;=$H152),CK152*(1-AV152)*(1-MIN(1,MAX(Assumptions!$C$27,Assumptions!$C$13*Assumptions!$C$28^(CK$5-1))*$O152)),0)</f>
        <v>0</v>
      </c>
      <c r="CM152" s="93">
        <f>IF(AND($T152=1,CM$5&lt;=$H152),CL152*(1-AW152)*(1-MIN(1,MAX(Assumptions!$C$27,Assumptions!$C$13*Assumptions!$C$28^(CL$5-1))*$O152)),0)</f>
        <v>0</v>
      </c>
      <c r="CN152" s="93">
        <f>IF(AND($T152=1,CN$5&lt;=$H152),CM152*(1-AX152)*(1-MIN(1,MAX(Assumptions!$C$27,Assumptions!$C$13*Assumptions!$C$28^(CM$5-1))*$O152)),0)</f>
        <v>0</v>
      </c>
      <c r="CO152" s="93">
        <f>IF(AND($T152=1,CO$5&lt;=$H152),CN152*(1-AY152)*(1-MIN(1,MAX(Assumptions!$C$27,Assumptions!$C$13*Assumptions!$C$28^(CN$5-1))*$O152)),0)</f>
        <v>0</v>
      </c>
      <c r="CP152" s="93">
        <f>IF(AND($T152=1,CP$5&lt;=$H152),CO152*(1-AZ152)*(1-MIN(1,MAX(Assumptions!$C$27,Assumptions!$C$13*Assumptions!$C$28^(CO$5-1))*$O152)),0)</f>
        <v>0</v>
      </c>
      <c r="CQ152" s="93">
        <f>IF(AND($T152=1,CQ$5&lt;=$H152),CP152*(1-BA152)*(1-MIN(1,MAX(Assumptions!$C$27,Assumptions!$C$13*Assumptions!$C$28^(CP$5-1))*$O152)),0)</f>
        <v>0</v>
      </c>
      <c r="CR152" s="93">
        <f>IF(AND($T152=1,CR$5&lt;=$H152),CQ152*(1-BB152)*(1-MIN(1,MAX(Assumptions!$C$27,Assumptions!$C$13*Assumptions!$C$28^(CQ$5-1))*$O152)),0)</f>
        <v>0</v>
      </c>
      <c r="CS152" s="93">
        <f>IF(AND($T152=1,CS$5&lt;=$H152),CR152*(1-BC152)*(1-MIN(1,MAX(Assumptions!$C$27,Assumptions!$C$13*Assumptions!$C$28^(CR$5-1))*$O152)),0)</f>
        <v>0</v>
      </c>
      <c r="CT152" s="93">
        <f>IF(AND($T152=1,CT$5&lt;=$H152),CS152*(1-BD152)*(1-MIN(1,MAX(Assumptions!$C$27,Assumptions!$C$13*Assumptions!$C$28^(CS$5-1))*$O152)),0)</f>
        <v>0</v>
      </c>
      <c r="CU152" s="93">
        <f>IF(AND($T152=1,CU$5&lt;=$H152),CT152*(1-BE152)*(1-MIN(1,MAX(Assumptions!$C$27,Assumptions!$C$13*Assumptions!$C$28^(CT$5-1))*$O152)),0)</f>
        <v>0</v>
      </c>
      <c r="CV152" s="93">
        <f>IF(AND($T152=1,CV$5&lt;=$H152),CU152*(1-BF152)*(1-MIN(1,MAX(Assumptions!$C$27,Assumptions!$C$13*Assumptions!$C$28^(CU$5-1))*$O152)),0)</f>
        <v>0</v>
      </c>
      <c r="CW152" s="93">
        <f>IF(AND($T152=1,CW$5&lt;=$H152),CV152*(1-BG152)*(1-MIN(1,MAX(Assumptions!$C$27,Assumptions!$C$13*Assumptions!$C$28^(CV$5-1))*$O152)),0)</f>
        <v>0</v>
      </c>
      <c r="CX152" s="93">
        <f>IF(AND($T152=1,CX$5&lt;=$H152),CW152*(1-BH152)*(1-MIN(1,MAX(Assumptions!$C$27,Assumptions!$C$13*Assumptions!$C$28^(CW$5-1))*$O152)),0)</f>
        <v>0</v>
      </c>
      <c r="CY152" s="93">
        <f>IF(AND($T152=1,CY$5&lt;=$H152),CX152*(1-BI152)*(1-MIN(1,MAX(Assumptions!$C$27,Assumptions!$C$13*Assumptions!$C$28^(CX$5-1))*$O152)),0)</f>
        <v>0</v>
      </c>
      <c r="CZ152" s="93">
        <f>IF(AND($T152=1,CZ$5&lt;=$H152),CY152*(1-BJ152)*(1-MIN(1,MAX(Assumptions!$C$27,Assumptions!$C$13*Assumptions!$C$28^(CY$5-1))*$O152)),0)</f>
        <v>0</v>
      </c>
      <c r="DA152" s="93">
        <f>IF(AND($T152=1,DA$5&lt;=$H152),CZ152*(1-BK152)*(1-MIN(1,MAX(Assumptions!$C$27,Assumptions!$C$13*Assumptions!$C$28^(CZ$5-1))*$O152)),0)</f>
        <v>0</v>
      </c>
      <c r="DB152" s="93">
        <f>IF(AND($T152=1,DB$5&lt;=$H152),DA152*(1-BL152)*(1-MIN(1,MAX(Assumptions!$C$27,Assumptions!$C$13*Assumptions!$C$28^(DA$5-1))*$O152)),0)</f>
        <v>0</v>
      </c>
      <c r="DC152" s="93">
        <f>IF(AND($T152=1,DC$5&lt;=$H152),DB152*(1-BM152)*(1-MIN(1,MAX(Assumptions!$C$27,Assumptions!$C$13*Assumptions!$C$28^(DB$5-1))*$O152)),0)</f>
        <v>0</v>
      </c>
      <c r="DD152" s="93">
        <f>IF(AND($T152=1,DD$5&lt;=$H152),DC152*(1-BN152)*(1-MIN(1,MAX(Assumptions!$C$27,Assumptions!$C$13*Assumptions!$C$28^(DC$5-1))*$O152)),0)</f>
        <v>0</v>
      </c>
      <c r="DE152" s="93">
        <f>IF(AND($T152=1,DE$5&lt;=$H152),DD152*(1-BO152)*(1-MIN(1,MAX(Assumptions!$C$27,Assumptions!$C$13*Assumptions!$C$28^(DD$5-1))*$O152)),0)</f>
        <v>0</v>
      </c>
      <c r="DF152" s="93">
        <f>IF(AND($T152=1,DF$5&lt;=$H152),DE152*(1-BP152)*(1-MIN(1,MAX(Assumptions!$C$27,Assumptions!$C$13*Assumptions!$C$28^(DE$5-1))*$O152)),0)</f>
        <v>0</v>
      </c>
      <c r="DG152" s="93">
        <f>IF(AND($T152=1,DG$5&lt;=$H152),DF152*(1-BQ152)*(1-MIN(1,MAX(Assumptions!$C$27,Assumptions!$C$13*Assumptions!$C$28^(DF$5-1))*$O152)),0)</f>
        <v>0</v>
      </c>
      <c r="DH152" s="93">
        <f>IF(AND($T152=1,DH$5&lt;=$H152),DG152*(1-BR152)*(1-MIN(1,MAX(Assumptions!$C$27,Assumptions!$C$13*Assumptions!$C$28^(DG$5-1))*$O152)),0)</f>
        <v>0</v>
      </c>
      <c r="DI152" s="93">
        <f>IF(AND($T152=1,DI$5&lt;=$H152),DH152*(1-BS152)*(1-MIN(1,MAX(Assumptions!$C$27,Assumptions!$C$13*Assumptions!$C$28^(DH$5-1))*$O152)),0)</f>
        <v>0</v>
      </c>
      <c r="DJ152" s="93">
        <f>IF(AND($T152=1,DJ$5&lt;=$H152),DI152*(1-BT152)*(1-MIN(1,MAX(Assumptions!$C$27,Assumptions!$C$13*Assumptions!$C$28^(DI$5-1))*$O152)),0)</f>
        <v>0</v>
      </c>
      <c r="DK152" s="93">
        <f>IF(AND($T152=1,DK$5&lt;=$H152),DJ152*(1-BU152)*(1-MIN(1,MAX(Assumptions!$C$27,Assumptions!$C$13*Assumptions!$C$28^(DJ$5-1))*$O152)),0)</f>
        <v>0</v>
      </c>
      <c r="DL152" s="93">
        <f>IF(AND($T152=1,DL$5&lt;=$H152),DK152*(1-BV152)*(1-MIN(1,MAX(Assumptions!$C$27,Assumptions!$C$13*Assumptions!$C$28^(DK$5-1))*$O152)),0)</f>
        <v>0</v>
      </c>
      <c r="DM152" s="93">
        <f>IF(AND($T152=1,DM$5&lt;=$H152),DL152*(1-BW152)*(1-MIN(1,MAX(Assumptions!$C$27,Assumptions!$C$13*Assumptions!$C$28^(DL$5-1))*$O152)),0)</f>
        <v>0</v>
      </c>
      <c r="DN152" s="93">
        <f>IF(AND($T152=1,DN$5&lt;=$H152),DM152*(1-BX152)*(1-MIN(1,MAX(Assumptions!$C$27,Assumptions!$C$13*Assumptions!$C$28^(DM$5-1))*$O152)),0)</f>
        <v>0</v>
      </c>
      <c r="DO152" s="93">
        <f>IF(AND($T152=1,DO$5&lt;=$H152),DN152*(1-BY152)*(1-MIN(1,MAX(Assumptions!$C$27,Assumptions!$C$13*Assumptions!$C$28^(DN$5-1))*$O152)),0)</f>
        <v>0</v>
      </c>
      <c r="DP152" s="93">
        <f>IF(AND($T152=1,DP$5&lt;=$H152),DO152*(1-BZ152)*(1-MIN(1,MAX(Assumptions!$C$27,Assumptions!$C$13*Assumptions!$C$28^(DO$5-1))*$O152)),0)</f>
        <v>0</v>
      </c>
      <c r="DQ152" s="93">
        <f>IF(AND($T152=1,DQ$5&lt;=$H152),DP152*(1-CA152)*(1-MIN(1,MAX(Assumptions!$C$27,Assumptions!$C$13*Assumptions!$C$28^(DP$5-1))*$O152)),0)</f>
        <v>0</v>
      </c>
      <c r="DR152" s="93">
        <f>IF(AND($T152=1,DR$5&lt;=$H152),DQ152*(1-CB152)*(1-MIN(1,MAX(Assumptions!$C$27,Assumptions!$C$13*Assumptions!$C$28^(DQ$5-1))*$O152)),0)</f>
        <v>0</v>
      </c>
      <c r="DS152" s="93">
        <f>IF(AND($T152=1,DS$5&lt;=$H152),DR152*(1-CC152)*(1-MIN(1,MAX(Assumptions!$C$27,Assumptions!$C$13*Assumptions!$C$28^(DR$5-1))*$O152)),0)</f>
        <v>0</v>
      </c>
      <c r="DT152" s="93">
        <f>IF(AND($T152=1,DT$5&lt;=$H152),DS152*(1-CD152)*(1-MIN(1,MAX(Assumptions!$C$27,Assumptions!$C$13*Assumptions!$C$28^(DS$5-1))*$O152)),0)</f>
        <v>0</v>
      </c>
      <c r="DU152" s="93">
        <f>IF(AND($T152=1,DU$5&lt;=$H152),DT152*(1-CE152)*(1-MIN(1,MAX(Assumptions!$C$27,Assumptions!$C$13*Assumptions!$C$28^(DT$5-1))*$O152)),0)</f>
        <v>0</v>
      </c>
      <c r="DV152" s="93">
        <f>IF(AND($T152=1,DV$5&lt;=$H152),DU152*(1-CF152)*(1-MIN(1,MAX(Assumptions!$C$27,Assumptions!$C$13*Assumptions!$C$28^(DU$5-1))*$O152)),0)</f>
        <v>0</v>
      </c>
      <c r="DW152" s="94">
        <f>IF(AND($T152=1,DW$5&lt;=$H152),DV152*(1-CG152)*(1-MIN(1,MAX(Assumptions!$C$27,Assumptions!$C$13*Assumptions!$C$28^(DV$5-1))*$O152)),0)</f>
        <v>0</v>
      </c>
      <c r="DX152" s="26"/>
      <c r="DY152" s="399">
        <f>'Policy Data'!K126</f>
        <v>4</v>
      </c>
      <c r="DZ152" s="100">
        <f>'Policy Data'!L126</f>
        <v>0.70589999999999997</v>
      </c>
      <c r="EA152" s="100">
        <f>'Policy Data'!N126</f>
        <v>1.93E-4</v>
      </c>
      <c r="EB152" s="93" cm="1">
        <f t="array" ref="EB152">IFERROR(DZ152*INDEX(Mortality!$B$4:$E$64,MATCH(D152+DY152-1,Mortality!$A$4:$A$64,0),U152)*V152,0)</f>
        <v>2.4487009135696844E-4</v>
      </c>
      <c r="EC152" s="100">
        <f>'Policy Data'!O126</f>
        <v>0</v>
      </c>
      <c r="ED152" s="400">
        <f>'Policy Data'!Q126</f>
        <v>0</v>
      </c>
    </row>
    <row r="153" spans="1:134" x14ac:dyDescent="0.3">
      <c r="A153" s="399" t="str">
        <f>'Policy Data'!A127</f>
        <v>POL100123</v>
      </c>
      <c r="B153" s="26" t="s">
        <v>426</v>
      </c>
      <c r="C153" s="100" t="str">
        <f>'Policy Data'!B127</f>
        <v>Unit-Linked</v>
      </c>
      <c r="D153" s="100">
        <f>'Policy Data'!C127</f>
        <v>39</v>
      </c>
      <c r="E153" s="100" t="str">
        <f>'Policy Data'!D127</f>
        <v>Female</v>
      </c>
      <c r="F153" s="100" t="str">
        <f>'Policy Data'!E127</f>
        <v>Non-smoker</v>
      </c>
      <c r="G153" s="100" t="str">
        <f>'Policy Data'!F127</f>
        <v>Standard</v>
      </c>
      <c r="H153" s="100">
        <f>'Policy Data'!G127</f>
        <v>15</v>
      </c>
      <c r="I153" s="279">
        <f>'Policy Data'!H127</f>
        <v>500000</v>
      </c>
      <c r="J153" s="100" t="str">
        <f>'Policy Data'!I127</f>
        <v>Monthly</v>
      </c>
      <c r="K153" s="100" t="str">
        <f>'Policy Data'!J127</f>
        <v>Direct</v>
      </c>
      <c r="L153" s="26" t="s">
        <v>389</v>
      </c>
      <c r="M153" s="106">
        <f>'Policy Data'!R127</f>
        <v>8039.13</v>
      </c>
      <c r="N153" s="415">
        <f>Assumptions!$C$21</f>
        <v>1</v>
      </c>
      <c r="O153" s="415">
        <f>Assumptions!$C$22</f>
        <v>1</v>
      </c>
      <c r="P153" s="415">
        <f>Assumptions!$C$23</f>
        <v>1</v>
      </c>
      <c r="Q153" s="416">
        <f>Assumptions!$C$24</f>
        <v>0</v>
      </c>
      <c r="R153" s="416">
        <f>Assumptions!$C$6+Assumptions!$C$25</f>
        <v>3.5000000000000003E-2</v>
      </c>
      <c r="S153" s="416">
        <f>Assumptions!$C$15</f>
        <v>1.1000000000000001E-3</v>
      </c>
      <c r="T153" s="26">
        <f t="shared" si="36"/>
        <v>0</v>
      </c>
      <c r="U153" s="26">
        <f t="shared" si="37"/>
        <v>1</v>
      </c>
      <c r="V153" s="389">
        <f>IF($G153="Preferred",Assumptions!$C$30,IF($G153="Rated",Assumptions!$C$31,1))</f>
        <v>1</v>
      </c>
      <c r="W153" s="390">
        <f>IF($K153="Direct",Assumptions!$C$32,IF($K153="Broker",Assumptions!$C$33,IF($K153="Bancassurance",Assumptions!$C$34,Assumptions!$C$11)))+$Q153</f>
        <v>0.1</v>
      </c>
      <c r="X153" s="390">
        <f>Assumptions!$C$12+$Q153</f>
        <v>0.05</v>
      </c>
      <c r="Y153" s="131">
        <f>MIN($I153,Assumptions!$C$14)</f>
        <v>500000</v>
      </c>
      <c r="Z153" s="131">
        <f>MAX($I153-Assumptions!$C$14,0)</f>
        <v>0</v>
      </c>
      <c r="AA153" s="389">
        <f t="shared" si="38"/>
        <v>0</v>
      </c>
      <c r="AB153" s="389">
        <f t="shared" si="39"/>
        <v>0</v>
      </c>
      <c r="AC153" s="389">
        <f>IF($T153=1,SUMPRODUCT($CJ153:$DW153,(1+Assumptions!$C$5)^($CJ$5:$DW$5-1),(1+$R153)^(-$CJ$5:$DW$5)),0)</f>
        <v>0</v>
      </c>
      <c r="AD153" s="389">
        <f t="shared" si="40"/>
        <v>0</v>
      </c>
      <c r="AE153" s="131">
        <f>IF($T153=1,$AB153*$Y153+(Assumptions!$C$9/(1+$R153)+Assumptions!$C$10*$AC153)*$P153+$S153*$Z153*$AA153,0)</f>
        <v>0</v>
      </c>
      <c r="AF153" s="131" t="str">
        <f>IF($T153=1,IF($AA153-$AD153-Assumptions!$C$16*$AA153&gt;0,$AE153/($AA153-$AD153-Assumptions!$C$16*$AA153)*IF($J153="Monthly",1+Assumptions!$C$29,1),"n.a."),"")</f>
        <v/>
      </c>
      <c r="AG153" s="131" t="str">
        <f t="shared" si="41"/>
        <v/>
      </c>
      <c r="AH153" s="131" t="str">
        <f t="shared" si="42"/>
        <v/>
      </c>
      <c r="AI153" s="131" t="str">
        <f t="shared" si="43"/>
        <v/>
      </c>
      <c r="AJ153" s="390" t="str">
        <f t="shared" si="44"/>
        <v/>
      </c>
      <c r="AK153" s="389" t="str">
        <f t="shared" si="45"/>
        <v/>
      </c>
      <c r="AL153" s="131" t="str">
        <f t="shared" si="46"/>
        <v/>
      </c>
      <c r="AM153" s="131" t="str">
        <f t="shared" si="47"/>
        <v/>
      </c>
      <c r="AN153" s="131" t="str">
        <f t="shared" si="48"/>
        <v/>
      </c>
      <c r="AO153" s="131" t="str">
        <f t="shared" si="49"/>
        <v/>
      </c>
      <c r="AP153" s="26" t="str">
        <f t="shared" si="50"/>
        <v>30-39</v>
      </c>
      <c r="AQ153" s="26" t="str">
        <f t="shared" si="51"/>
        <v>250k-500k</v>
      </c>
      <c r="AR153" s="26" t="str">
        <f>IF($T153=1,IF($AI153&lt;0,"Loss-making",IF($AJ153&lt;Assumptions!$C$16-0.00001,"Below target","At/above target")),"Excluded")</f>
        <v>Excluded</v>
      </c>
      <c r="AS153" s="103">
        <f t="shared" si="52"/>
        <v>9.9999999999999997E+98</v>
      </c>
      <c r="AT153" s="26"/>
      <c r="AU153" s="419">
        <f>IF(AND($T153=1,AU$5&lt;=$H153),INDEX(Mortality!$B$4:$E$64,MATCH($D153+AU$5-1,Mortality!$A$4:$A$64,0),$U153)*$V153*$N153,0)</f>
        <v>0</v>
      </c>
      <c r="AV153" s="93">
        <f>IF(AND($T153=1,AV$5&lt;=$H153),INDEX(Mortality!$B$4:$E$64,MATCH($D153+AV$5-1,Mortality!$A$4:$A$64,0),$U153)*$V153*$N153,0)</f>
        <v>0</v>
      </c>
      <c r="AW153" s="93">
        <f>IF(AND($T153=1,AW$5&lt;=$H153),INDEX(Mortality!$B$4:$E$64,MATCH($D153+AW$5-1,Mortality!$A$4:$A$64,0),$U153)*$V153*$N153,0)</f>
        <v>0</v>
      </c>
      <c r="AX153" s="93">
        <f>IF(AND($T153=1,AX$5&lt;=$H153),INDEX(Mortality!$B$4:$E$64,MATCH($D153+AX$5-1,Mortality!$A$4:$A$64,0),$U153)*$V153*$N153,0)</f>
        <v>0</v>
      </c>
      <c r="AY153" s="93">
        <f>IF(AND($T153=1,AY$5&lt;=$H153),INDEX(Mortality!$B$4:$E$64,MATCH($D153+AY$5-1,Mortality!$A$4:$A$64,0),$U153)*$V153*$N153,0)</f>
        <v>0</v>
      </c>
      <c r="AZ153" s="93">
        <f>IF(AND($T153=1,AZ$5&lt;=$H153),INDEX(Mortality!$B$4:$E$64,MATCH($D153+AZ$5-1,Mortality!$A$4:$A$64,0),$U153)*$V153*$N153,0)</f>
        <v>0</v>
      </c>
      <c r="BA153" s="93">
        <f>IF(AND($T153=1,BA$5&lt;=$H153),INDEX(Mortality!$B$4:$E$64,MATCH($D153+BA$5-1,Mortality!$A$4:$A$64,0),$U153)*$V153*$N153,0)</f>
        <v>0</v>
      </c>
      <c r="BB153" s="93">
        <f>IF(AND($T153=1,BB$5&lt;=$H153),INDEX(Mortality!$B$4:$E$64,MATCH($D153+BB$5-1,Mortality!$A$4:$A$64,0),$U153)*$V153*$N153,0)</f>
        <v>0</v>
      </c>
      <c r="BC153" s="93">
        <f>IF(AND($T153=1,BC$5&lt;=$H153),INDEX(Mortality!$B$4:$E$64,MATCH($D153+BC$5-1,Mortality!$A$4:$A$64,0),$U153)*$V153*$N153,0)</f>
        <v>0</v>
      </c>
      <c r="BD153" s="93">
        <f>IF(AND($T153=1,BD$5&lt;=$H153),INDEX(Mortality!$B$4:$E$64,MATCH($D153+BD$5-1,Mortality!$A$4:$A$64,0),$U153)*$V153*$N153,0)</f>
        <v>0</v>
      </c>
      <c r="BE153" s="93">
        <f>IF(AND($T153=1,BE$5&lt;=$H153),INDEX(Mortality!$B$4:$E$64,MATCH($D153+BE$5-1,Mortality!$A$4:$A$64,0),$U153)*$V153*$N153,0)</f>
        <v>0</v>
      </c>
      <c r="BF153" s="93">
        <f>IF(AND($T153=1,BF$5&lt;=$H153),INDEX(Mortality!$B$4:$E$64,MATCH($D153+BF$5-1,Mortality!$A$4:$A$64,0),$U153)*$V153*$N153,0)</f>
        <v>0</v>
      </c>
      <c r="BG153" s="93">
        <f>IF(AND($T153=1,BG$5&lt;=$H153),INDEX(Mortality!$B$4:$E$64,MATCH($D153+BG$5-1,Mortality!$A$4:$A$64,0),$U153)*$V153*$N153,0)</f>
        <v>0</v>
      </c>
      <c r="BH153" s="93">
        <f>IF(AND($T153=1,BH$5&lt;=$H153),INDEX(Mortality!$B$4:$E$64,MATCH($D153+BH$5-1,Mortality!$A$4:$A$64,0),$U153)*$V153*$N153,0)</f>
        <v>0</v>
      </c>
      <c r="BI153" s="93">
        <f>IF(AND($T153=1,BI$5&lt;=$H153),INDEX(Mortality!$B$4:$E$64,MATCH($D153+BI$5-1,Mortality!$A$4:$A$64,0),$U153)*$V153*$N153,0)</f>
        <v>0</v>
      </c>
      <c r="BJ153" s="93">
        <f>IF(AND($T153=1,BJ$5&lt;=$H153),INDEX(Mortality!$B$4:$E$64,MATCH($D153+BJ$5-1,Mortality!$A$4:$A$64,0),$U153)*$V153*$N153,0)</f>
        <v>0</v>
      </c>
      <c r="BK153" s="93">
        <f>IF(AND($T153=1,BK$5&lt;=$H153),INDEX(Mortality!$B$4:$E$64,MATCH($D153+BK$5-1,Mortality!$A$4:$A$64,0),$U153)*$V153*$N153,0)</f>
        <v>0</v>
      </c>
      <c r="BL153" s="93">
        <f>IF(AND($T153=1,BL$5&lt;=$H153),INDEX(Mortality!$B$4:$E$64,MATCH($D153+BL$5-1,Mortality!$A$4:$A$64,0),$U153)*$V153*$N153,0)</f>
        <v>0</v>
      </c>
      <c r="BM153" s="93">
        <f>IF(AND($T153=1,BM$5&lt;=$H153),INDEX(Mortality!$B$4:$E$64,MATCH($D153+BM$5-1,Mortality!$A$4:$A$64,0),$U153)*$V153*$N153,0)</f>
        <v>0</v>
      </c>
      <c r="BN153" s="93">
        <f>IF(AND($T153=1,BN$5&lt;=$H153),INDEX(Mortality!$B$4:$E$64,MATCH($D153+BN$5-1,Mortality!$A$4:$A$64,0),$U153)*$V153*$N153,0)</f>
        <v>0</v>
      </c>
      <c r="BO153" s="93">
        <f>IF(AND($T153=1,BO$5&lt;=$H153),INDEX(Mortality!$B$4:$E$64,MATCH($D153+BO$5-1,Mortality!$A$4:$A$64,0),$U153)*$V153*$N153,0)</f>
        <v>0</v>
      </c>
      <c r="BP153" s="93">
        <f>IF(AND($T153=1,BP$5&lt;=$H153),INDEX(Mortality!$B$4:$E$64,MATCH($D153+BP$5-1,Mortality!$A$4:$A$64,0),$U153)*$V153*$N153,0)</f>
        <v>0</v>
      </c>
      <c r="BQ153" s="93">
        <f>IF(AND($T153=1,BQ$5&lt;=$H153),INDEX(Mortality!$B$4:$E$64,MATCH($D153+BQ$5-1,Mortality!$A$4:$A$64,0),$U153)*$V153*$N153,0)</f>
        <v>0</v>
      </c>
      <c r="BR153" s="93">
        <f>IF(AND($T153=1,BR$5&lt;=$H153),INDEX(Mortality!$B$4:$E$64,MATCH($D153+BR$5-1,Mortality!$A$4:$A$64,0),$U153)*$V153*$N153,0)</f>
        <v>0</v>
      </c>
      <c r="BS153" s="93">
        <f>IF(AND($T153=1,BS$5&lt;=$H153),INDEX(Mortality!$B$4:$E$64,MATCH($D153+BS$5-1,Mortality!$A$4:$A$64,0),$U153)*$V153*$N153,0)</f>
        <v>0</v>
      </c>
      <c r="BT153" s="93">
        <f>IF(AND($T153=1,BT$5&lt;=$H153),INDEX(Mortality!$B$4:$E$64,MATCH($D153+BT$5-1,Mortality!$A$4:$A$64,0),$U153)*$V153*$N153,0)</f>
        <v>0</v>
      </c>
      <c r="BU153" s="93">
        <f>IF(AND($T153=1,BU$5&lt;=$H153),INDEX(Mortality!$B$4:$E$64,MATCH($D153+BU$5-1,Mortality!$A$4:$A$64,0),$U153)*$V153*$N153,0)</f>
        <v>0</v>
      </c>
      <c r="BV153" s="93">
        <f>IF(AND($T153=1,BV$5&lt;=$H153),INDEX(Mortality!$B$4:$E$64,MATCH($D153+BV$5-1,Mortality!$A$4:$A$64,0),$U153)*$V153*$N153,0)</f>
        <v>0</v>
      </c>
      <c r="BW153" s="93">
        <f>IF(AND($T153=1,BW$5&lt;=$H153),INDEX(Mortality!$B$4:$E$64,MATCH($D153+BW$5-1,Mortality!$A$4:$A$64,0),$U153)*$V153*$N153,0)</f>
        <v>0</v>
      </c>
      <c r="BX153" s="93">
        <f>IF(AND($T153=1,BX$5&lt;=$H153),INDEX(Mortality!$B$4:$E$64,MATCH($D153+BX$5-1,Mortality!$A$4:$A$64,0),$U153)*$V153*$N153,0)</f>
        <v>0</v>
      </c>
      <c r="BY153" s="93">
        <f>IF(AND($T153=1,BY$5&lt;=$H153),INDEX(Mortality!$B$4:$E$64,MATCH($D153+BY$5-1,Mortality!$A$4:$A$64,0),$U153)*$V153*$N153,0)</f>
        <v>0</v>
      </c>
      <c r="BZ153" s="93">
        <f>IF(AND($T153=1,BZ$5&lt;=$H153),INDEX(Mortality!$B$4:$E$64,MATCH($D153+BZ$5-1,Mortality!$A$4:$A$64,0),$U153)*$V153*$N153,0)</f>
        <v>0</v>
      </c>
      <c r="CA153" s="93">
        <f>IF(AND($T153=1,CA$5&lt;=$H153),INDEX(Mortality!$B$4:$E$64,MATCH($D153+CA$5-1,Mortality!$A$4:$A$64,0),$U153)*$V153*$N153,0)</f>
        <v>0</v>
      </c>
      <c r="CB153" s="93">
        <f>IF(AND($T153=1,CB$5&lt;=$H153),INDEX(Mortality!$B$4:$E$64,MATCH($D153+CB$5-1,Mortality!$A$4:$A$64,0),$U153)*$V153*$N153,0)</f>
        <v>0</v>
      </c>
      <c r="CC153" s="93">
        <f>IF(AND($T153=1,CC$5&lt;=$H153),INDEX(Mortality!$B$4:$E$64,MATCH($D153+CC$5-1,Mortality!$A$4:$A$64,0),$U153)*$V153*$N153,0)</f>
        <v>0</v>
      </c>
      <c r="CD153" s="93">
        <f>IF(AND($T153=1,CD$5&lt;=$H153),INDEX(Mortality!$B$4:$E$64,MATCH($D153+CD$5-1,Mortality!$A$4:$A$64,0),$U153)*$V153*$N153,0)</f>
        <v>0</v>
      </c>
      <c r="CE153" s="93">
        <f>IF(AND($T153=1,CE$5&lt;=$H153),INDEX(Mortality!$B$4:$E$64,MATCH($D153+CE$5-1,Mortality!$A$4:$A$64,0),$U153)*$V153*$N153,0)</f>
        <v>0</v>
      </c>
      <c r="CF153" s="93">
        <f>IF(AND($T153=1,CF$5&lt;=$H153),INDEX(Mortality!$B$4:$E$64,MATCH($D153+CF$5-1,Mortality!$A$4:$A$64,0),$U153)*$V153*$N153,0)</f>
        <v>0</v>
      </c>
      <c r="CG153" s="93">
        <f>IF(AND($T153=1,CG$5&lt;=$H153),INDEX(Mortality!$B$4:$E$64,MATCH($D153+CG$5-1,Mortality!$A$4:$A$64,0),$U153)*$V153*$N153,0)</f>
        <v>0</v>
      </c>
      <c r="CH153" s="94">
        <f>IF(AND($T153=1,CH$5&lt;=$H153),INDEX(Mortality!$B$4:$E$64,MATCH($D153+CH$5-1,Mortality!$A$4:$A$64,0),$U153)*$V153*$N153,0)</f>
        <v>0</v>
      </c>
      <c r="CI153" s="26"/>
      <c r="CJ153" s="419">
        <f t="shared" si="53"/>
        <v>0</v>
      </c>
      <c r="CK153" s="93">
        <f>IF(AND($T153=1,CK$5&lt;=$H153),CJ153*(1-AU153)*(1-MIN(1,MAX(Assumptions!$C$27,Assumptions!$C$13*Assumptions!$C$28^(CJ$5-1))*$O153)),0)</f>
        <v>0</v>
      </c>
      <c r="CL153" s="93">
        <f>IF(AND($T153=1,CL$5&lt;=$H153),CK153*(1-AV153)*(1-MIN(1,MAX(Assumptions!$C$27,Assumptions!$C$13*Assumptions!$C$28^(CK$5-1))*$O153)),0)</f>
        <v>0</v>
      </c>
      <c r="CM153" s="93">
        <f>IF(AND($T153=1,CM$5&lt;=$H153),CL153*(1-AW153)*(1-MIN(1,MAX(Assumptions!$C$27,Assumptions!$C$13*Assumptions!$C$28^(CL$5-1))*$O153)),0)</f>
        <v>0</v>
      </c>
      <c r="CN153" s="93">
        <f>IF(AND($T153=1,CN$5&lt;=$H153),CM153*(1-AX153)*(1-MIN(1,MAX(Assumptions!$C$27,Assumptions!$C$13*Assumptions!$C$28^(CM$5-1))*$O153)),0)</f>
        <v>0</v>
      </c>
      <c r="CO153" s="93">
        <f>IF(AND($T153=1,CO$5&lt;=$H153),CN153*(1-AY153)*(1-MIN(1,MAX(Assumptions!$C$27,Assumptions!$C$13*Assumptions!$C$28^(CN$5-1))*$O153)),0)</f>
        <v>0</v>
      </c>
      <c r="CP153" s="93">
        <f>IF(AND($T153=1,CP$5&lt;=$H153),CO153*(1-AZ153)*(1-MIN(1,MAX(Assumptions!$C$27,Assumptions!$C$13*Assumptions!$C$28^(CO$5-1))*$O153)),0)</f>
        <v>0</v>
      </c>
      <c r="CQ153" s="93">
        <f>IF(AND($T153=1,CQ$5&lt;=$H153),CP153*(1-BA153)*(1-MIN(1,MAX(Assumptions!$C$27,Assumptions!$C$13*Assumptions!$C$28^(CP$5-1))*$O153)),0)</f>
        <v>0</v>
      </c>
      <c r="CR153" s="93">
        <f>IF(AND($T153=1,CR$5&lt;=$H153),CQ153*(1-BB153)*(1-MIN(1,MAX(Assumptions!$C$27,Assumptions!$C$13*Assumptions!$C$28^(CQ$5-1))*$O153)),0)</f>
        <v>0</v>
      </c>
      <c r="CS153" s="93">
        <f>IF(AND($T153=1,CS$5&lt;=$H153),CR153*(1-BC153)*(1-MIN(1,MAX(Assumptions!$C$27,Assumptions!$C$13*Assumptions!$C$28^(CR$5-1))*$O153)),0)</f>
        <v>0</v>
      </c>
      <c r="CT153" s="93">
        <f>IF(AND($T153=1,CT$5&lt;=$H153),CS153*(1-BD153)*(1-MIN(1,MAX(Assumptions!$C$27,Assumptions!$C$13*Assumptions!$C$28^(CS$5-1))*$O153)),0)</f>
        <v>0</v>
      </c>
      <c r="CU153" s="93">
        <f>IF(AND($T153=1,CU$5&lt;=$H153),CT153*(1-BE153)*(1-MIN(1,MAX(Assumptions!$C$27,Assumptions!$C$13*Assumptions!$C$28^(CT$5-1))*$O153)),0)</f>
        <v>0</v>
      </c>
      <c r="CV153" s="93">
        <f>IF(AND($T153=1,CV$5&lt;=$H153),CU153*(1-BF153)*(1-MIN(1,MAX(Assumptions!$C$27,Assumptions!$C$13*Assumptions!$C$28^(CU$5-1))*$O153)),0)</f>
        <v>0</v>
      </c>
      <c r="CW153" s="93">
        <f>IF(AND($T153=1,CW$5&lt;=$H153),CV153*(1-BG153)*(1-MIN(1,MAX(Assumptions!$C$27,Assumptions!$C$13*Assumptions!$C$28^(CV$5-1))*$O153)),0)</f>
        <v>0</v>
      </c>
      <c r="CX153" s="93">
        <f>IF(AND($T153=1,CX$5&lt;=$H153),CW153*(1-BH153)*(1-MIN(1,MAX(Assumptions!$C$27,Assumptions!$C$13*Assumptions!$C$28^(CW$5-1))*$O153)),0)</f>
        <v>0</v>
      </c>
      <c r="CY153" s="93">
        <f>IF(AND($T153=1,CY$5&lt;=$H153),CX153*(1-BI153)*(1-MIN(1,MAX(Assumptions!$C$27,Assumptions!$C$13*Assumptions!$C$28^(CX$5-1))*$O153)),0)</f>
        <v>0</v>
      </c>
      <c r="CZ153" s="93">
        <f>IF(AND($T153=1,CZ$5&lt;=$H153),CY153*(1-BJ153)*(1-MIN(1,MAX(Assumptions!$C$27,Assumptions!$C$13*Assumptions!$C$28^(CY$5-1))*$O153)),0)</f>
        <v>0</v>
      </c>
      <c r="DA153" s="93">
        <f>IF(AND($T153=1,DA$5&lt;=$H153),CZ153*(1-BK153)*(1-MIN(1,MAX(Assumptions!$C$27,Assumptions!$C$13*Assumptions!$C$28^(CZ$5-1))*$O153)),0)</f>
        <v>0</v>
      </c>
      <c r="DB153" s="93">
        <f>IF(AND($T153=1,DB$5&lt;=$H153),DA153*(1-BL153)*(1-MIN(1,MAX(Assumptions!$C$27,Assumptions!$C$13*Assumptions!$C$28^(DA$5-1))*$O153)),0)</f>
        <v>0</v>
      </c>
      <c r="DC153" s="93">
        <f>IF(AND($T153=1,DC$5&lt;=$H153),DB153*(1-BM153)*(1-MIN(1,MAX(Assumptions!$C$27,Assumptions!$C$13*Assumptions!$C$28^(DB$5-1))*$O153)),0)</f>
        <v>0</v>
      </c>
      <c r="DD153" s="93">
        <f>IF(AND($T153=1,DD$5&lt;=$H153),DC153*(1-BN153)*(1-MIN(1,MAX(Assumptions!$C$27,Assumptions!$C$13*Assumptions!$C$28^(DC$5-1))*$O153)),0)</f>
        <v>0</v>
      </c>
      <c r="DE153" s="93">
        <f>IF(AND($T153=1,DE$5&lt;=$H153),DD153*(1-BO153)*(1-MIN(1,MAX(Assumptions!$C$27,Assumptions!$C$13*Assumptions!$C$28^(DD$5-1))*$O153)),0)</f>
        <v>0</v>
      </c>
      <c r="DF153" s="93">
        <f>IF(AND($T153=1,DF$5&lt;=$H153),DE153*(1-BP153)*(1-MIN(1,MAX(Assumptions!$C$27,Assumptions!$C$13*Assumptions!$C$28^(DE$5-1))*$O153)),0)</f>
        <v>0</v>
      </c>
      <c r="DG153" s="93">
        <f>IF(AND($T153=1,DG$5&lt;=$H153),DF153*(1-BQ153)*(1-MIN(1,MAX(Assumptions!$C$27,Assumptions!$C$13*Assumptions!$C$28^(DF$5-1))*$O153)),0)</f>
        <v>0</v>
      </c>
      <c r="DH153" s="93">
        <f>IF(AND($T153=1,DH$5&lt;=$H153),DG153*(1-BR153)*(1-MIN(1,MAX(Assumptions!$C$27,Assumptions!$C$13*Assumptions!$C$28^(DG$5-1))*$O153)),0)</f>
        <v>0</v>
      </c>
      <c r="DI153" s="93">
        <f>IF(AND($T153=1,DI$5&lt;=$H153),DH153*(1-BS153)*(1-MIN(1,MAX(Assumptions!$C$27,Assumptions!$C$13*Assumptions!$C$28^(DH$5-1))*$O153)),0)</f>
        <v>0</v>
      </c>
      <c r="DJ153" s="93">
        <f>IF(AND($T153=1,DJ$5&lt;=$H153),DI153*(1-BT153)*(1-MIN(1,MAX(Assumptions!$C$27,Assumptions!$C$13*Assumptions!$C$28^(DI$5-1))*$O153)),0)</f>
        <v>0</v>
      </c>
      <c r="DK153" s="93">
        <f>IF(AND($T153=1,DK$5&lt;=$H153),DJ153*(1-BU153)*(1-MIN(1,MAX(Assumptions!$C$27,Assumptions!$C$13*Assumptions!$C$28^(DJ$5-1))*$O153)),0)</f>
        <v>0</v>
      </c>
      <c r="DL153" s="93">
        <f>IF(AND($T153=1,DL$5&lt;=$H153),DK153*(1-BV153)*(1-MIN(1,MAX(Assumptions!$C$27,Assumptions!$C$13*Assumptions!$C$28^(DK$5-1))*$O153)),0)</f>
        <v>0</v>
      </c>
      <c r="DM153" s="93">
        <f>IF(AND($T153=1,DM$5&lt;=$H153),DL153*(1-BW153)*(1-MIN(1,MAX(Assumptions!$C$27,Assumptions!$C$13*Assumptions!$C$28^(DL$5-1))*$O153)),0)</f>
        <v>0</v>
      </c>
      <c r="DN153" s="93">
        <f>IF(AND($T153=1,DN$5&lt;=$H153),DM153*(1-BX153)*(1-MIN(1,MAX(Assumptions!$C$27,Assumptions!$C$13*Assumptions!$C$28^(DM$5-1))*$O153)),0)</f>
        <v>0</v>
      </c>
      <c r="DO153" s="93">
        <f>IF(AND($T153=1,DO$5&lt;=$H153),DN153*(1-BY153)*(1-MIN(1,MAX(Assumptions!$C$27,Assumptions!$C$13*Assumptions!$C$28^(DN$5-1))*$O153)),0)</f>
        <v>0</v>
      </c>
      <c r="DP153" s="93">
        <f>IF(AND($T153=1,DP$5&lt;=$H153),DO153*(1-BZ153)*(1-MIN(1,MAX(Assumptions!$C$27,Assumptions!$C$13*Assumptions!$C$28^(DO$5-1))*$O153)),0)</f>
        <v>0</v>
      </c>
      <c r="DQ153" s="93">
        <f>IF(AND($T153=1,DQ$5&lt;=$H153),DP153*(1-CA153)*(1-MIN(1,MAX(Assumptions!$C$27,Assumptions!$C$13*Assumptions!$C$28^(DP$5-1))*$O153)),0)</f>
        <v>0</v>
      </c>
      <c r="DR153" s="93">
        <f>IF(AND($T153=1,DR$5&lt;=$H153),DQ153*(1-CB153)*(1-MIN(1,MAX(Assumptions!$C$27,Assumptions!$C$13*Assumptions!$C$28^(DQ$5-1))*$O153)),0)</f>
        <v>0</v>
      </c>
      <c r="DS153" s="93">
        <f>IF(AND($T153=1,DS$5&lt;=$H153),DR153*(1-CC153)*(1-MIN(1,MAX(Assumptions!$C$27,Assumptions!$C$13*Assumptions!$C$28^(DR$5-1))*$O153)),0)</f>
        <v>0</v>
      </c>
      <c r="DT153" s="93">
        <f>IF(AND($T153=1,DT$5&lt;=$H153),DS153*(1-CD153)*(1-MIN(1,MAX(Assumptions!$C$27,Assumptions!$C$13*Assumptions!$C$28^(DS$5-1))*$O153)),0)</f>
        <v>0</v>
      </c>
      <c r="DU153" s="93">
        <f>IF(AND($T153=1,DU$5&lt;=$H153),DT153*(1-CE153)*(1-MIN(1,MAX(Assumptions!$C$27,Assumptions!$C$13*Assumptions!$C$28^(DT$5-1))*$O153)),0)</f>
        <v>0</v>
      </c>
      <c r="DV153" s="93">
        <f>IF(AND($T153=1,DV$5&lt;=$H153),DU153*(1-CF153)*(1-MIN(1,MAX(Assumptions!$C$27,Assumptions!$C$13*Assumptions!$C$28^(DU$5-1))*$O153)),0)</f>
        <v>0</v>
      </c>
      <c r="DW153" s="94">
        <f>IF(AND($T153=1,DW$5&lt;=$H153),DV153*(1-CG153)*(1-MIN(1,MAX(Assumptions!$C$27,Assumptions!$C$13*Assumptions!$C$28^(DV$5-1))*$O153)),0)</f>
        <v>0</v>
      </c>
      <c r="DX153" s="26"/>
      <c r="DY153" s="399">
        <f>'Policy Data'!K127</f>
        <v>3</v>
      </c>
      <c r="DZ153" s="100">
        <f>'Policy Data'!L127</f>
        <v>0.51380000000000003</v>
      </c>
      <c r="EA153" s="100">
        <f>'Policy Data'!N127</f>
        <v>4.0400000000000001E-4</v>
      </c>
      <c r="EB153" s="93" cm="1">
        <f t="array" ref="EB153">IFERROR(DZ153*INDEX(Mortality!$B$4:$E$64,MATCH(D153+DY153-1,Mortality!$A$4:$A$64,0),U153)*V153,0)</f>
        <v>4.738105029526148E-4</v>
      </c>
      <c r="EC153" s="100">
        <f>'Policy Data'!O127</f>
        <v>0</v>
      </c>
      <c r="ED153" s="400">
        <f>'Policy Data'!Q127</f>
        <v>0</v>
      </c>
    </row>
    <row r="154" spans="1:134" x14ac:dyDescent="0.3">
      <c r="A154" s="399" t="str">
        <f>'Policy Data'!A128</f>
        <v>POL100124</v>
      </c>
      <c r="B154" s="26" t="s">
        <v>426</v>
      </c>
      <c r="C154" s="100" t="str">
        <f>'Policy Data'!B128</f>
        <v>Term Life</v>
      </c>
      <c r="D154" s="100">
        <f>'Policy Data'!C128</f>
        <v>37</v>
      </c>
      <c r="E154" s="100" t="str">
        <f>'Policy Data'!D128</f>
        <v>Male</v>
      </c>
      <c r="F154" s="100" t="str">
        <f>'Policy Data'!E128</f>
        <v>Non-smoker</v>
      </c>
      <c r="G154" s="100" t="str">
        <f>'Policy Data'!F128</f>
        <v>Preferred</v>
      </c>
      <c r="H154" s="100">
        <f>'Policy Data'!G128</f>
        <v>15</v>
      </c>
      <c r="I154" s="279">
        <f>'Policy Data'!H128</f>
        <v>1000000</v>
      </c>
      <c r="J154" s="100" t="str">
        <f>'Policy Data'!I128</f>
        <v>Monthly</v>
      </c>
      <c r="K154" s="100" t="str">
        <f>'Policy Data'!J128</f>
        <v>Bancassurance</v>
      </c>
      <c r="L154" s="26" t="s">
        <v>389</v>
      </c>
      <c r="M154" s="106">
        <f>'Policy Data'!R128</f>
        <v>1885.24</v>
      </c>
      <c r="N154" s="415">
        <f>Assumptions!$C$21</f>
        <v>1</v>
      </c>
      <c r="O154" s="415">
        <f>Assumptions!$C$22</f>
        <v>1</v>
      </c>
      <c r="P154" s="415">
        <f>Assumptions!$C$23</f>
        <v>1</v>
      </c>
      <c r="Q154" s="416">
        <f>Assumptions!$C$24</f>
        <v>0</v>
      </c>
      <c r="R154" s="416">
        <f>Assumptions!$C$6+Assumptions!$C$25</f>
        <v>3.5000000000000003E-2</v>
      </c>
      <c r="S154" s="416">
        <f>Assumptions!$C$15</f>
        <v>1.1000000000000001E-3</v>
      </c>
      <c r="T154" s="26">
        <f t="shared" si="36"/>
        <v>1</v>
      </c>
      <c r="U154" s="26">
        <f t="shared" si="37"/>
        <v>3</v>
      </c>
      <c r="V154" s="389">
        <f>IF($G154="Preferred",Assumptions!$C$30,IF($G154="Rated",Assumptions!$C$31,1))</f>
        <v>0.8</v>
      </c>
      <c r="W154" s="390">
        <f>IF($K154="Direct",Assumptions!$C$32,IF($K154="Broker",Assumptions!$C$33,IF($K154="Bancassurance",Assumptions!$C$34,Assumptions!$C$11)))+$Q154</f>
        <v>0.2</v>
      </c>
      <c r="X154" s="390">
        <f>Assumptions!$C$12+$Q154</f>
        <v>0.05</v>
      </c>
      <c r="Y154" s="131">
        <f>MIN($I154,Assumptions!$C$14)</f>
        <v>500000</v>
      </c>
      <c r="Z154" s="131">
        <f>MAX($I154-Assumptions!$C$14,0)</f>
        <v>500000</v>
      </c>
      <c r="AA154" s="389">
        <f t="shared" si="38"/>
        <v>7.403581982673507</v>
      </c>
      <c r="AB154" s="389">
        <f t="shared" si="39"/>
        <v>8.7463520318777008E-3</v>
      </c>
      <c r="AC154" s="389">
        <f>IF($T154=1,SUMPRODUCT($CJ154:$DW154,(1+Assumptions!$C$5)^($CJ$5:$DW$5-1),(1+$R154)^(-$CJ$5:$DW$5)),0)</f>
        <v>9.2638404402004841</v>
      </c>
      <c r="AD154" s="389">
        <f t="shared" si="40"/>
        <v>0.51510663536555945</v>
      </c>
      <c r="AE154" s="131">
        <f>IF($T154=1,$AB154*$Y154+(Assumptions!$C$9/(1+$R154)+Assumptions!$C$10*$AC154)*$P154+$S154*$Z154*$AA154,0)</f>
        <v>11352.756220644689</v>
      </c>
      <c r="AF154" s="131">
        <f>IF($T154=1,IF($AA154-$AD154-Assumptions!$C$16*$AA154&gt;0,$AE154/($AA154-$AD154-Assumptions!$C$16*$AA154)*IF($J154="Monthly",1+Assumptions!$C$29,1),"n.a."),"")</f>
        <v>1857.2090672156323</v>
      </c>
      <c r="AG154" s="131">
        <f t="shared" si="41"/>
        <v>1885.24</v>
      </c>
      <c r="AH154" s="131">
        <f t="shared" si="42"/>
        <v>13957.528897015402</v>
      </c>
      <c r="AI154" s="131">
        <f t="shared" si="43"/>
        <v>1633.6730431141459</v>
      </c>
      <c r="AJ154" s="390">
        <f t="shared" si="44"/>
        <v>0.11704600829903933</v>
      </c>
      <c r="AK154" s="389">
        <f t="shared" si="45"/>
        <v>1.0150930411008559</v>
      </c>
      <c r="AL154" s="131">
        <f t="shared" si="46"/>
        <v>4373.1760159388505</v>
      </c>
      <c r="AM154" s="131">
        <f t="shared" si="47"/>
        <v>4071.9700904704287</v>
      </c>
      <c r="AN154" s="131">
        <f t="shared" si="48"/>
        <v>301.20592546842181</v>
      </c>
      <c r="AO154" s="131">
        <f t="shared" si="49"/>
        <v>1332.4671176457241</v>
      </c>
      <c r="AP154" s="26" t="str">
        <f t="shared" si="50"/>
        <v>30-39</v>
      </c>
      <c r="AQ154" s="26" t="str">
        <f t="shared" si="51"/>
        <v>500k-1m</v>
      </c>
      <c r="AR154" s="26" t="str">
        <f>IF($T154=1,IF($AI154&lt;0,"Loss-making",IF($AJ154&lt;Assumptions!$C$16-0.00001,"Below target","At/above target")),"Excluded")</f>
        <v>At/above target</v>
      </c>
      <c r="AS154" s="103">
        <f t="shared" si="52"/>
        <v>1633.673197114146</v>
      </c>
      <c r="AT154" s="26"/>
      <c r="AU154" s="419">
        <f>IF(AND($T154=1,AU$5&lt;=$H154),INDEX(Mortality!$B$4:$E$64,MATCH($D154+AU$5-1,Mortality!$A$4:$A$64,0),$U154)*$V154*$N154,0)</f>
        <v>7.2477841512258564E-4</v>
      </c>
      <c r="AV154" s="93">
        <f>IF(AND($T154=1,AV$5&lt;=$H154),INDEX(Mortality!$B$4:$E$64,MATCH($D154+AV$5-1,Mortality!$A$4:$A$64,0),$U154)*$V154*$N154,0)</f>
        <v>7.8514308403224956E-4</v>
      </c>
      <c r="AW154" s="93">
        <f>IF(AND($T154=1,AW$5&lt;=$H154),INDEX(Mortality!$B$4:$E$64,MATCH($D154+AW$5-1,Mortality!$A$4:$A$64,0),$U154)*$V154*$N154,0)</f>
        <v>8.505353492065681E-4</v>
      </c>
      <c r="AX154" s="93">
        <f>IF(AND($T154=1,AX$5&lt;=$H154),INDEX(Mortality!$B$4:$E$64,MATCH($D154+AX$5-1,Mortality!$A$4:$A$64,0),$U154)*$V154*$N154,0)</f>
        <v>9.2137394439588014E-4</v>
      </c>
      <c r="AY154" s="93">
        <f>IF(AND($T154=1,AY$5&lt;=$H154),INDEX(Mortality!$B$4:$E$64,MATCH($D154+AY$5-1,Mortality!$A$4:$A$64,0),$U154)*$V154*$N154,0)</f>
        <v>9.9811247845672801E-4</v>
      </c>
      <c r="AZ154" s="93">
        <f>IF(AND($T154=1,AZ$5&lt;=$H154),INDEX(Mortality!$B$4:$E$64,MATCH($D154+AZ$5-1,Mortality!$A$4:$A$64,0),$U154)*$V154*$N154,0)</f>
        <v>1.0812423399971681E-3</v>
      </c>
      <c r="BA154" s="93">
        <f>IF(AND($T154=1,BA$5&lt;=$H154),INDEX(Mortality!$B$4:$E$64,MATCH($D154+BA$5-1,Mortality!$A$4:$A$64,0),$U154)*$V154*$N154,0)</f>
        <v>1.1712958439415442E-3</v>
      </c>
      <c r="BB154" s="93">
        <f>IF(AND($T154=1,BB$5&lt;=$H154),INDEX(Mortality!$B$4:$E$64,MATCH($D154+BB$5-1,Mortality!$A$4:$A$64,0),$U154)*$V154*$N154,0)</f>
        <v>1.2688496401633042E-3</v>
      </c>
      <c r="BC154" s="93">
        <f>IF(AND($T154=1,BC$5&lt;=$H154),INDEX(Mortality!$B$4:$E$64,MATCH($D154+BC$5-1,Mortality!$A$4:$A$64,0),$U154)*$V154*$N154,0)</f>
        <v>1.374528406012928E-3</v>
      </c>
      <c r="BD154" s="93">
        <f>IF(AND($T154=1,BD$5&lt;=$H154),INDEX(Mortality!$B$4:$E$64,MATCH($D154+BD$5-1,Mortality!$A$4:$A$64,0),$U154)*$V154*$N154,0)</f>
        <v>1.4890088463856801E-3</v>
      </c>
      <c r="BE154" s="93">
        <f>IF(AND($T154=1,BE$5&lt;=$H154),INDEX(Mortality!$B$4:$E$64,MATCH($D154+BE$5-1,Mortality!$A$4:$A$64,0),$U154)*$V154*$N154,0)</f>
        <v>1.6130240269432161E-3</v>
      </c>
      <c r="BF154" s="93">
        <f>IF(AND($T154=1,BF$5&lt;=$H154),INDEX(Mortality!$B$4:$E$64,MATCH($D154+BF$5-1,Mortality!$A$4:$A$64,0),$U154)*$V154*$N154,0)</f>
        <v>1.7473680682365761E-3</v>
      </c>
      <c r="BG154" s="93">
        <f>IF(AND($T154=1,BG$5&lt;=$H154),INDEX(Mortality!$B$4:$E$64,MATCH($D154+BG$5-1,Mortality!$A$4:$A$64,0),$U154)*$V154*$N154,0)</f>
        <v>1.8929012307888561E-3</v>
      </c>
      <c r="BH154" s="93">
        <f>IF(AND($T154=1,BH$5&lt;=$H154),INDEX(Mortality!$B$4:$E$64,MATCH($D154+BH$5-1,Mortality!$A$4:$A$64,0),$U154)*$V154*$N154,0)</f>
        <v>2.0505554236995758E-3</v>
      </c>
      <c r="BI154" s="93">
        <f>IF(AND($T154=1,BI$5&lt;=$H154),INDEX(Mortality!$B$4:$E$64,MATCH($D154+BI$5-1,Mortality!$A$4:$A$64,0),$U154)*$V154*$N154,0)</f>
        <v>2.2213401720444963E-3</v>
      </c>
      <c r="BJ154" s="93">
        <f>IF(AND($T154=1,BJ$5&lt;=$H154),INDEX(Mortality!$B$4:$E$64,MATCH($D154+BJ$5-1,Mortality!$A$4:$A$64,0),$U154)*$V154*$N154,0)</f>
        <v>0</v>
      </c>
      <c r="BK154" s="93">
        <f>IF(AND($T154=1,BK$5&lt;=$H154),INDEX(Mortality!$B$4:$E$64,MATCH($D154+BK$5-1,Mortality!$A$4:$A$64,0),$U154)*$V154*$N154,0)</f>
        <v>0</v>
      </c>
      <c r="BL154" s="93">
        <f>IF(AND($T154=1,BL$5&lt;=$H154),INDEX(Mortality!$B$4:$E$64,MATCH($D154+BL$5-1,Mortality!$A$4:$A$64,0),$U154)*$V154*$N154,0)</f>
        <v>0</v>
      </c>
      <c r="BM154" s="93">
        <f>IF(AND($T154=1,BM$5&lt;=$H154),INDEX(Mortality!$B$4:$E$64,MATCH($D154+BM$5-1,Mortality!$A$4:$A$64,0),$U154)*$V154*$N154,0)</f>
        <v>0</v>
      </c>
      <c r="BN154" s="93">
        <f>IF(AND($T154=1,BN$5&lt;=$H154),INDEX(Mortality!$B$4:$E$64,MATCH($D154+BN$5-1,Mortality!$A$4:$A$64,0),$U154)*$V154*$N154,0)</f>
        <v>0</v>
      </c>
      <c r="BO154" s="93">
        <f>IF(AND($T154=1,BO$5&lt;=$H154),INDEX(Mortality!$B$4:$E$64,MATCH($D154+BO$5-1,Mortality!$A$4:$A$64,0),$U154)*$V154*$N154,0)</f>
        <v>0</v>
      </c>
      <c r="BP154" s="93">
        <f>IF(AND($T154=1,BP$5&lt;=$H154),INDEX(Mortality!$B$4:$E$64,MATCH($D154+BP$5-1,Mortality!$A$4:$A$64,0),$U154)*$V154*$N154,0)</f>
        <v>0</v>
      </c>
      <c r="BQ154" s="93">
        <f>IF(AND($T154=1,BQ$5&lt;=$H154),INDEX(Mortality!$B$4:$E$64,MATCH($D154+BQ$5-1,Mortality!$A$4:$A$64,0),$U154)*$V154*$N154,0)</f>
        <v>0</v>
      </c>
      <c r="BR154" s="93">
        <f>IF(AND($T154=1,BR$5&lt;=$H154),INDEX(Mortality!$B$4:$E$64,MATCH($D154+BR$5-1,Mortality!$A$4:$A$64,0),$U154)*$V154*$N154,0)</f>
        <v>0</v>
      </c>
      <c r="BS154" s="93">
        <f>IF(AND($T154=1,BS$5&lt;=$H154),INDEX(Mortality!$B$4:$E$64,MATCH($D154+BS$5-1,Mortality!$A$4:$A$64,0),$U154)*$V154*$N154,0)</f>
        <v>0</v>
      </c>
      <c r="BT154" s="93">
        <f>IF(AND($T154=1,BT$5&lt;=$H154),INDEX(Mortality!$B$4:$E$64,MATCH($D154+BT$5-1,Mortality!$A$4:$A$64,0),$U154)*$V154*$N154,0)</f>
        <v>0</v>
      </c>
      <c r="BU154" s="93">
        <f>IF(AND($T154=1,BU$5&lt;=$H154),INDEX(Mortality!$B$4:$E$64,MATCH($D154+BU$5-1,Mortality!$A$4:$A$64,0),$U154)*$V154*$N154,0)</f>
        <v>0</v>
      </c>
      <c r="BV154" s="93">
        <f>IF(AND($T154=1,BV$5&lt;=$H154),INDEX(Mortality!$B$4:$E$64,MATCH($D154+BV$5-1,Mortality!$A$4:$A$64,0),$U154)*$V154*$N154,0)</f>
        <v>0</v>
      </c>
      <c r="BW154" s="93">
        <f>IF(AND($T154=1,BW$5&lt;=$H154),INDEX(Mortality!$B$4:$E$64,MATCH($D154+BW$5-1,Mortality!$A$4:$A$64,0),$U154)*$V154*$N154,0)</f>
        <v>0</v>
      </c>
      <c r="BX154" s="93">
        <f>IF(AND($T154=1,BX$5&lt;=$H154),INDEX(Mortality!$B$4:$E$64,MATCH($D154+BX$5-1,Mortality!$A$4:$A$64,0),$U154)*$V154*$N154,0)</f>
        <v>0</v>
      </c>
      <c r="BY154" s="93">
        <f>IF(AND($T154=1,BY$5&lt;=$H154),INDEX(Mortality!$B$4:$E$64,MATCH($D154+BY$5-1,Mortality!$A$4:$A$64,0),$U154)*$V154*$N154,0)</f>
        <v>0</v>
      </c>
      <c r="BZ154" s="93">
        <f>IF(AND($T154=1,BZ$5&lt;=$H154),INDEX(Mortality!$B$4:$E$64,MATCH($D154+BZ$5-1,Mortality!$A$4:$A$64,0),$U154)*$V154*$N154,0)</f>
        <v>0</v>
      </c>
      <c r="CA154" s="93">
        <f>IF(AND($T154=1,CA$5&lt;=$H154),INDEX(Mortality!$B$4:$E$64,MATCH($D154+CA$5-1,Mortality!$A$4:$A$64,0),$U154)*$V154*$N154,0)</f>
        <v>0</v>
      </c>
      <c r="CB154" s="93">
        <f>IF(AND($T154=1,CB$5&lt;=$H154),INDEX(Mortality!$B$4:$E$64,MATCH($D154+CB$5-1,Mortality!$A$4:$A$64,0),$U154)*$V154*$N154,0)</f>
        <v>0</v>
      </c>
      <c r="CC154" s="93">
        <f>IF(AND($T154=1,CC$5&lt;=$H154),INDEX(Mortality!$B$4:$E$64,MATCH($D154+CC$5-1,Mortality!$A$4:$A$64,0),$U154)*$V154*$N154,0)</f>
        <v>0</v>
      </c>
      <c r="CD154" s="93">
        <f>IF(AND($T154=1,CD$5&lt;=$H154),INDEX(Mortality!$B$4:$E$64,MATCH($D154+CD$5-1,Mortality!$A$4:$A$64,0),$U154)*$V154*$N154,0)</f>
        <v>0</v>
      </c>
      <c r="CE154" s="93">
        <f>IF(AND($T154=1,CE$5&lt;=$H154),INDEX(Mortality!$B$4:$E$64,MATCH($D154+CE$5-1,Mortality!$A$4:$A$64,0),$U154)*$V154*$N154,0)</f>
        <v>0</v>
      </c>
      <c r="CF154" s="93">
        <f>IF(AND($T154=1,CF$5&lt;=$H154),INDEX(Mortality!$B$4:$E$64,MATCH($D154+CF$5-1,Mortality!$A$4:$A$64,0),$U154)*$V154*$N154,0)</f>
        <v>0</v>
      </c>
      <c r="CG154" s="93">
        <f>IF(AND($T154=1,CG$5&lt;=$H154),INDEX(Mortality!$B$4:$E$64,MATCH($D154+CG$5-1,Mortality!$A$4:$A$64,0),$U154)*$V154*$N154,0)</f>
        <v>0</v>
      </c>
      <c r="CH154" s="94">
        <f>IF(AND($T154=1,CH$5&lt;=$H154),INDEX(Mortality!$B$4:$E$64,MATCH($D154+CH$5-1,Mortality!$A$4:$A$64,0),$U154)*$V154*$N154,0)</f>
        <v>0</v>
      </c>
      <c r="CI154" s="26"/>
      <c r="CJ154" s="419">
        <f t="shared" si="53"/>
        <v>1</v>
      </c>
      <c r="CK154" s="93">
        <f>IF(AND($T154=1,CK$5&lt;=$H154),CJ154*(1-AU154)*(1-MIN(1,MAX(Assumptions!$C$27,Assumptions!$C$13*Assumptions!$C$28^(CJ$5-1))*$O154)),0)</f>
        <v>0.87936219499469204</v>
      </c>
      <c r="CL154" s="93">
        <f>IF(AND($T154=1,CL$5&lt;=$H154),CK154*(1-AV154)*(1-MIN(1,MAX(Assumptions!$C$27,Assumptions!$C$13*Assumptions!$C$28^(CK$5-1))*$O154)),0)</f>
        <v>0.78904724932434145</v>
      </c>
      <c r="CM154" s="93">
        <f>IF(AND($T154=1,CM$5&lt;=$H154),CL154*(1-AW154)*(1-MIN(1,MAX(Assumptions!$C$27,Assumptions!$C$13*Assumptions!$C$28^(CL$5-1))*$O154)),0)</f>
        <v>0.72002392569066698</v>
      </c>
      <c r="CN154" s="93">
        <f>IF(AND($T154=1,CN$5&lt;=$H154),CM154*(1-AX154)*(1-MIN(1,MAX(Assumptions!$C$27,Assumptions!$C$13*Assumptions!$C$28^(CM$5-1))*$O154)),0)</f>
        <v>0.66634724129702949</v>
      </c>
      <c r="CO154" s="93">
        <f>IF(AND($T154=1,CO$5&lt;=$H154),CN154*(1-AY154)*(1-MIN(1,MAX(Assumptions!$C$27,Assumptions!$C$13*Assumptions!$C$28^(CN$5-1))*$O154)),0)</f>
        <v>0.62398332255010813</v>
      </c>
      <c r="CP154" s="93">
        <f>IF(AND($T154=1,CP$5&lt;=$H154),CO154*(1-AZ154)*(1-MIN(1,MAX(Assumptions!$C$27,Assumptions!$C$13*Assumptions!$C$28^(CO$5-1))*$O154)),0)</f>
        <v>0.59012080248938226</v>
      </c>
      <c r="CQ154" s="93">
        <f>IF(AND($T154=1,CQ$5&lt;=$H154),CP154*(1-BA154)*(1-MIN(1,MAX(Assumptions!$C$27,Assumptions!$C$13*Assumptions!$C$28^(CP$5-1))*$O154)),0)</f>
        <v>0.56275322603064515</v>
      </c>
      <c r="CR154" s="93">
        <f>IF(AND($T154=1,CR$5&lt;=$H154),CQ154*(1-BB154)*(1-MIN(1,MAX(Assumptions!$C$27,Assumptions!$C$13*Assumptions!$C$28^(CQ$5-1))*$O154)),0)</f>
        <v>0.540417950866383</v>
      </c>
      <c r="CS154" s="93">
        <f>IF(AND($T154=1,CS$5&lt;=$H154),CR154*(1-BC154)*(1-MIN(1,MAX(Assumptions!$C$27,Assumptions!$C$13*Assumptions!$C$28^(CR$5-1))*$O154)),0)</f>
        <v>0.52202836786482532</v>
      </c>
      <c r="CT154" s="93">
        <f>IF(AND($T154=1,CT$5&lt;=$H154),CS154*(1-BD154)*(1-MIN(1,MAX(Assumptions!$C$27,Assumptions!$C$13*Assumptions!$C$28^(CS$5-1))*$O154)),0)</f>
        <v>0.50676339347174348</v>
      </c>
      <c r="CU154" s="93">
        <f>IF(AND($T154=1,CU$5&lt;=$H154),CT154*(1-BE154)*(1-MIN(1,MAX(Assumptions!$C$27,Assumptions!$C$13*Assumptions!$C$28^(CT$5-1))*$O154)),0)</f>
        <v>0.49399303451953569</v>
      </c>
      <c r="CV154" s="93">
        <f>IF(AND($T154=1,CV$5&lt;=$H154),CU154*(1-BF154)*(1-MIN(1,MAX(Assumptions!$C$27,Assumptions!$C$13*Assumptions!$C$28^(CU$5-1))*$O154)),0)</f>
        <v>0.48322721308893701</v>
      </c>
      <c r="CW154" s="93">
        <f>IF(AND($T154=1,CW$5&lt;=$H154),CV154*(1-BG154)*(1-MIN(1,MAX(Assumptions!$C$27,Assumptions!$C$13*Assumptions!$C$28^(CV$5-1))*$O154)),0)</f>
        <v>0.47266626146847962</v>
      </c>
      <c r="CX154" s="93">
        <f>IF(AND($T154=1,CX$5&lt;=$H154),CW154*(1-BH154)*(1-MIN(1,MAX(Assumptions!$C$27,Assumptions!$C$13*Assumptions!$C$28^(CW$5-1))*$O154)),0)</f>
        <v>0.46226309244037711</v>
      </c>
      <c r="CY154" s="93">
        <f>IF(AND($T154=1,CY$5&lt;=$H154),CX154*(1-BI154)*(1-MIN(1,MAX(Assumptions!$C$27,Assumptions!$C$13*Assumptions!$C$28^(CX$5-1))*$O154)),0)</f>
        <v>0</v>
      </c>
      <c r="CZ154" s="93">
        <f>IF(AND($T154=1,CZ$5&lt;=$H154),CY154*(1-BJ154)*(1-MIN(1,MAX(Assumptions!$C$27,Assumptions!$C$13*Assumptions!$C$28^(CY$5-1))*$O154)),0)</f>
        <v>0</v>
      </c>
      <c r="DA154" s="93">
        <f>IF(AND($T154=1,DA$5&lt;=$H154),CZ154*(1-BK154)*(1-MIN(1,MAX(Assumptions!$C$27,Assumptions!$C$13*Assumptions!$C$28^(CZ$5-1))*$O154)),0)</f>
        <v>0</v>
      </c>
      <c r="DB154" s="93">
        <f>IF(AND($T154=1,DB$5&lt;=$H154),DA154*(1-BL154)*(1-MIN(1,MAX(Assumptions!$C$27,Assumptions!$C$13*Assumptions!$C$28^(DA$5-1))*$O154)),0)</f>
        <v>0</v>
      </c>
      <c r="DC154" s="93">
        <f>IF(AND($T154=1,DC$5&lt;=$H154),DB154*(1-BM154)*(1-MIN(1,MAX(Assumptions!$C$27,Assumptions!$C$13*Assumptions!$C$28^(DB$5-1))*$O154)),0)</f>
        <v>0</v>
      </c>
      <c r="DD154" s="93">
        <f>IF(AND($T154=1,DD$5&lt;=$H154),DC154*(1-BN154)*(1-MIN(1,MAX(Assumptions!$C$27,Assumptions!$C$13*Assumptions!$C$28^(DC$5-1))*$O154)),0)</f>
        <v>0</v>
      </c>
      <c r="DE154" s="93">
        <f>IF(AND($T154=1,DE$5&lt;=$H154),DD154*(1-BO154)*(1-MIN(1,MAX(Assumptions!$C$27,Assumptions!$C$13*Assumptions!$C$28^(DD$5-1))*$O154)),0)</f>
        <v>0</v>
      </c>
      <c r="DF154" s="93">
        <f>IF(AND($T154=1,DF$5&lt;=$H154),DE154*(1-BP154)*(1-MIN(1,MAX(Assumptions!$C$27,Assumptions!$C$13*Assumptions!$C$28^(DE$5-1))*$O154)),0)</f>
        <v>0</v>
      </c>
      <c r="DG154" s="93">
        <f>IF(AND($T154=1,DG$5&lt;=$H154),DF154*(1-BQ154)*(1-MIN(1,MAX(Assumptions!$C$27,Assumptions!$C$13*Assumptions!$C$28^(DF$5-1))*$O154)),0)</f>
        <v>0</v>
      </c>
      <c r="DH154" s="93">
        <f>IF(AND($T154=1,DH$5&lt;=$H154),DG154*(1-BR154)*(1-MIN(1,MAX(Assumptions!$C$27,Assumptions!$C$13*Assumptions!$C$28^(DG$5-1))*$O154)),0)</f>
        <v>0</v>
      </c>
      <c r="DI154" s="93">
        <f>IF(AND($T154=1,DI$5&lt;=$H154),DH154*(1-BS154)*(1-MIN(1,MAX(Assumptions!$C$27,Assumptions!$C$13*Assumptions!$C$28^(DH$5-1))*$O154)),0)</f>
        <v>0</v>
      </c>
      <c r="DJ154" s="93">
        <f>IF(AND($T154=1,DJ$5&lt;=$H154),DI154*(1-BT154)*(1-MIN(1,MAX(Assumptions!$C$27,Assumptions!$C$13*Assumptions!$C$28^(DI$5-1))*$O154)),0)</f>
        <v>0</v>
      </c>
      <c r="DK154" s="93">
        <f>IF(AND($T154=1,DK$5&lt;=$H154),DJ154*(1-BU154)*(1-MIN(1,MAX(Assumptions!$C$27,Assumptions!$C$13*Assumptions!$C$28^(DJ$5-1))*$O154)),0)</f>
        <v>0</v>
      </c>
      <c r="DL154" s="93">
        <f>IF(AND($T154=1,DL$5&lt;=$H154),DK154*(1-BV154)*(1-MIN(1,MAX(Assumptions!$C$27,Assumptions!$C$13*Assumptions!$C$28^(DK$5-1))*$O154)),0)</f>
        <v>0</v>
      </c>
      <c r="DM154" s="93">
        <f>IF(AND($T154=1,DM$5&lt;=$H154),DL154*(1-BW154)*(1-MIN(1,MAX(Assumptions!$C$27,Assumptions!$C$13*Assumptions!$C$28^(DL$5-1))*$O154)),0)</f>
        <v>0</v>
      </c>
      <c r="DN154" s="93">
        <f>IF(AND($T154=1,DN$5&lt;=$H154),DM154*(1-BX154)*(1-MIN(1,MAX(Assumptions!$C$27,Assumptions!$C$13*Assumptions!$C$28^(DM$5-1))*$O154)),0)</f>
        <v>0</v>
      </c>
      <c r="DO154" s="93">
        <f>IF(AND($T154=1,DO$5&lt;=$H154),DN154*(1-BY154)*(1-MIN(1,MAX(Assumptions!$C$27,Assumptions!$C$13*Assumptions!$C$28^(DN$5-1))*$O154)),0)</f>
        <v>0</v>
      </c>
      <c r="DP154" s="93">
        <f>IF(AND($T154=1,DP$5&lt;=$H154),DO154*(1-BZ154)*(1-MIN(1,MAX(Assumptions!$C$27,Assumptions!$C$13*Assumptions!$C$28^(DO$5-1))*$O154)),0)</f>
        <v>0</v>
      </c>
      <c r="DQ154" s="93">
        <f>IF(AND($T154=1,DQ$5&lt;=$H154),DP154*(1-CA154)*(1-MIN(1,MAX(Assumptions!$C$27,Assumptions!$C$13*Assumptions!$C$28^(DP$5-1))*$O154)),0)</f>
        <v>0</v>
      </c>
      <c r="DR154" s="93">
        <f>IF(AND($T154=1,DR$5&lt;=$H154),DQ154*(1-CB154)*(1-MIN(1,MAX(Assumptions!$C$27,Assumptions!$C$13*Assumptions!$C$28^(DQ$5-1))*$O154)),0)</f>
        <v>0</v>
      </c>
      <c r="DS154" s="93">
        <f>IF(AND($T154=1,DS$5&lt;=$H154),DR154*(1-CC154)*(1-MIN(1,MAX(Assumptions!$C$27,Assumptions!$C$13*Assumptions!$C$28^(DR$5-1))*$O154)),0)</f>
        <v>0</v>
      </c>
      <c r="DT154" s="93">
        <f>IF(AND($T154=1,DT$5&lt;=$H154),DS154*(1-CD154)*(1-MIN(1,MAX(Assumptions!$C$27,Assumptions!$C$13*Assumptions!$C$28^(DS$5-1))*$O154)),0)</f>
        <v>0</v>
      </c>
      <c r="DU154" s="93">
        <f>IF(AND($T154=1,DU$5&lt;=$H154),DT154*(1-CE154)*(1-MIN(1,MAX(Assumptions!$C$27,Assumptions!$C$13*Assumptions!$C$28^(DT$5-1))*$O154)),0)</f>
        <v>0</v>
      </c>
      <c r="DV154" s="93">
        <f>IF(AND($T154=1,DV$5&lt;=$H154),DU154*(1-CF154)*(1-MIN(1,MAX(Assumptions!$C$27,Assumptions!$C$13*Assumptions!$C$28^(DU$5-1))*$O154)),0)</f>
        <v>0</v>
      </c>
      <c r="DW154" s="94">
        <f>IF(AND($T154=1,DW$5&lt;=$H154),DV154*(1-CG154)*(1-MIN(1,MAX(Assumptions!$C$27,Assumptions!$C$13*Assumptions!$C$28^(DV$5-1))*$O154)),0)</f>
        <v>0</v>
      </c>
      <c r="DX154" s="26"/>
      <c r="DY154" s="399">
        <f>'Policy Data'!K128</f>
        <v>2</v>
      </c>
      <c r="DZ154" s="100">
        <f>'Policy Data'!L128</f>
        <v>0.80100000000000005</v>
      </c>
      <c r="EA154" s="100">
        <f>'Policy Data'!N128</f>
        <v>5.8100000000000003E-4</v>
      </c>
      <c r="EB154" s="93" cm="1">
        <f t="array" ref="EB154">IFERROR(DZ154*INDEX(Mortality!$B$4:$E$64,MATCH(D154+DY154-1,Mortality!$A$4:$A$64,0),U154)*V154,0)</f>
        <v>6.288996103098319E-4</v>
      </c>
      <c r="EC154" s="100">
        <f>'Policy Data'!O128</f>
        <v>0</v>
      </c>
      <c r="ED154" s="400">
        <f>'Policy Data'!Q128</f>
        <v>0</v>
      </c>
    </row>
    <row r="155" spans="1:134" x14ac:dyDescent="0.3">
      <c r="A155" s="399" t="str">
        <f>'Policy Data'!A129</f>
        <v>POL100125</v>
      </c>
      <c r="B155" s="26" t="s">
        <v>426</v>
      </c>
      <c r="C155" s="100" t="str">
        <f>'Policy Data'!B129</f>
        <v>Term Life</v>
      </c>
      <c r="D155" s="100">
        <f>'Policy Data'!C129</f>
        <v>55</v>
      </c>
      <c r="E155" s="100" t="str">
        <f>'Policy Data'!D129</f>
        <v>Female</v>
      </c>
      <c r="F155" s="100" t="str">
        <f>'Policy Data'!E129</f>
        <v>Non-smoker</v>
      </c>
      <c r="G155" s="100" t="str">
        <f>'Policy Data'!F129</f>
        <v>Standard</v>
      </c>
      <c r="H155" s="100">
        <f>'Policy Data'!G129</f>
        <v>15</v>
      </c>
      <c r="I155" s="279">
        <f>'Policy Data'!H129</f>
        <v>500000</v>
      </c>
      <c r="J155" s="100" t="str">
        <f>'Policy Data'!I129</f>
        <v>Monthly</v>
      </c>
      <c r="K155" s="100" t="str">
        <f>'Policy Data'!J129</f>
        <v>Bancassurance</v>
      </c>
      <c r="L155" s="26" t="s">
        <v>389</v>
      </c>
      <c r="M155" s="106">
        <f>'Policy Data'!R129</f>
        <v>2422.5300000000002</v>
      </c>
      <c r="N155" s="415">
        <f>Assumptions!$C$21</f>
        <v>1</v>
      </c>
      <c r="O155" s="415">
        <f>Assumptions!$C$22</f>
        <v>1</v>
      </c>
      <c r="P155" s="415">
        <f>Assumptions!$C$23</f>
        <v>1</v>
      </c>
      <c r="Q155" s="416">
        <f>Assumptions!$C$24</f>
        <v>0</v>
      </c>
      <c r="R155" s="416">
        <f>Assumptions!$C$6+Assumptions!$C$25</f>
        <v>3.5000000000000003E-2</v>
      </c>
      <c r="S155" s="416">
        <f>Assumptions!$C$15</f>
        <v>1.1000000000000001E-3</v>
      </c>
      <c r="T155" s="26">
        <f t="shared" si="36"/>
        <v>1</v>
      </c>
      <c r="U155" s="26">
        <f t="shared" si="37"/>
        <v>1</v>
      </c>
      <c r="V155" s="389">
        <f>IF($G155="Preferred",Assumptions!$C$30,IF($G155="Rated",Assumptions!$C$31,1))</f>
        <v>1</v>
      </c>
      <c r="W155" s="390">
        <f>IF($K155="Direct",Assumptions!$C$32,IF($K155="Broker",Assumptions!$C$33,IF($K155="Bancassurance",Assumptions!$C$34,Assumptions!$C$11)))+$Q155</f>
        <v>0.2</v>
      </c>
      <c r="X155" s="390">
        <f>Assumptions!$C$12+$Q155</f>
        <v>0.05</v>
      </c>
      <c r="Y155" s="131">
        <f>MIN($I155,Assumptions!$C$14)</f>
        <v>500000</v>
      </c>
      <c r="Z155" s="131">
        <f>MAX($I155-Assumptions!$C$14,0)</f>
        <v>0</v>
      </c>
      <c r="AA155" s="389">
        <f t="shared" si="38"/>
        <v>7.2873315904302851</v>
      </c>
      <c r="AB155" s="389">
        <f t="shared" si="39"/>
        <v>3.3388587617753596E-2</v>
      </c>
      <c r="AC155" s="389">
        <f>IF($T155=1,SUMPRODUCT($CJ155:$DW155,(1+Assumptions!$C$5)^($CJ$5:$DW$5-1),(1+$R155)^(-$CJ$5:$DW$5)),0)</f>
        <v>9.0948556448069322</v>
      </c>
      <c r="AD155" s="389">
        <f t="shared" si="40"/>
        <v>0.50929411575339834</v>
      </c>
      <c r="AE155" s="131">
        <f>IF($T155=1,$AB155*$Y155+(Assumptions!$C$9/(1+$R155)+Assumptions!$C$10*$AC155)*$P155+$S155*$Z155*$AA155,0)</f>
        <v>19564.727268125629</v>
      </c>
      <c r="AF155" s="131">
        <f>IF($T155=1,IF($AA155-$AD155-Assumptions!$C$16*$AA155&gt;0,$AE155/($AA155-$AD155-Assumptions!$C$16*$AA155)*IF($J155="Monthly",1+Assumptions!$C$29,1),"n.a."),"")</f>
        <v>3252.865756412983</v>
      </c>
      <c r="AG155" s="131">
        <f t="shared" si="41"/>
        <v>2422.5300000000002</v>
      </c>
      <c r="AH155" s="131">
        <f t="shared" si="42"/>
        <v>17653.77939776508</v>
      </c>
      <c r="AI155" s="131">
        <f t="shared" si="43"/>
        <v>-3144.7281445966291</v>
      </c>
      <c r="AJ155" s="390">
        <f t="shared" si="44"/>
        <v>-0.17813342252338007</v>
      </c>
      <c r="AK155" s="389">
        <f t="shared" si="45"/>
        <v>0.74473715837304799</v>
      </c>
      <c r="AL155" s="131">
        <f t="shared" si="46"/>
        <v>0</v>
      </c>
      <c r="AM155" s="131">
        <f t="shared" si="47"/>
        <v>0</v>
      </c>
      <c r="AN155" s="131">
        <f t="shared" si="48"/>
        <v>0</v>
      </c>
      <c r="AO155" s="131">
        <f t="shared" si="49"/>
        <v>-3144.7281445966291</v>
      </c>
      <c r="AP155" s="26" t="str">
        <f t="shared" si="50"/>
        <v>50-59</v>
      </c>
      <c r="AQ155" s="26" t="str">
        <f t="shared" si="51"/>
        <v>250k-500k</v>
      </c>
      <c r="AR155" s="26" t="str">
        <f>IF($T155=1,IF($AI155&lt;0,"Loss-making",IF($AJ155&lt;Assumptions!$C$16-0.00001,"Below target","At/above target")),"Excluded")</f>
        <v>Loss-making</v>
      </c>
      <c r="AS155" s="103">
        <f t="shared" si="52"/>
        <v>-3144.727989596629</v>
      </c>
      <c r="AT155" s="26"/>
      <c r="AU155" s="419">
        <f>IF(AND($T155=1,AU$5&lt;=$H155),INDEX(Mortality!$B$4:$E$64,MATCH($D155+AU$5-1,Mortality!$A$4:$A$64,0),$U155)*$V155*$N155,0)</f>
        <v>2.8263139578409702E-3</v>
      </c>
      <c r="AV155" s="93">
        <f>IF(AND($T155=1,AV$5&lt;=$H155),INDEX(Mortality!$B$4:$E$64,MATCH($D155+AV$5-1,Mortality!$A$4:$A$64,0),$U155)*$V155*$N155,0)</f>
        <v>3.0617093597183598E-3</v>
      </c>
      <c r="AW155" s="93">
        <f>IF(AND($T155=1,AW$5&lt;=$H155),INDEX(Mortality!$B$4:$E$64,MATCH($D155+AW$5-1,Mortality!$A$4:$A$64,0),$U155)*$V155*$N155,0)</f>
        <v>3.31671015436227E-3</v>
      </c>
      <c r="AX155" s="93">
        <f>IF(AND($T155=1,AX$5&lt;=$H155),INDEX(Mortality!$B$4:$E$64,MATCH($D155+AX$5-1,Mortality!$A$4:$A$64,0),$U155)*$V155*$N155,0)</f>
        <v>3.5929492174468702E-3</v>
      </c>
      <c r="AY155" s="93">
        <f>IF(AND($T155=1,AY$5&lt;=$H155),INDEX(Mortality!$B$4:$E$64,MATCH($D155+AY$5-1,Mortality!$A$4:$A$64,0),$U155)*$V155*$N155,0)</f>
        <v>3.8921954220730499E-3</v>
      </c>
      <c r="AZ155" s="93">
        <f>IF(AND($T155=1,AZ$5&lt;=$H155),INDEX(Mortality!$B$4:$E$64,MATCH($D155+AZ$5-1,Mortality!$A$4:$A$64,0),$U155)*$V155*$N155,0)</f>
        <v>4.2163649655954103E-3</v>
      </c>
      <c r="BA155" s="93">
        <f>IF(AND($T155=1,BA$5&lt;=$H155),INDEX(Mortality!$B$4:$E$64,MATCH($D155+BA$5-1,Mortality!$A$4:$A$64,0),$U155)*$V155*$N155,0)</f>
        <v>4.5675336398272801E-3</v>
      </c>
      <c r="BB155" s="93">
        <f>IF(AND($T155=1,BB$5&lt;=$H155),INDEX(Mortality!$B$4:$E$64,MATCH($D155+BB$5-1,Mortality!$A$4:$A$64,0),$U155)*$V155*$N155,0)</f>
        <v>4.9479501231952296E-3</v>
      </c>
      <c r="BC155" s="93">
        <f>IF(AND($T155=1,BC$5&lt;=$H155),INDEX(Mortality!$B$4:$E$64,MATCH($D155+BC$5-1,Mortality!$A$4:$A$64,0),$U155)*$V155*$N155,0)</f>
        <v>5.36005037995811E-3</v>
      </c>
      <c r="BD155" s="93">
        <f>IF(AND($T155=1,BD$5&lt;=$H155),INDEX(Mortality!$B$4:$E$64,MATCH($D155+BD$5-1,Mortality!$A$4:$A$64,0),$U155)*$V155*$N155,0)</f>
        <v>5.8064732586948697E-3</v>
      </c>
      <c r="BE155" s="93">
        <f>IF(AND($T155=1,BE$5&lt;=$H155),INDEX(Mortality!$B$4:$E$64,MATCH($D155+BE$5-1,Mortality!$A$4:$A$64,0),$U155)*$V155*$N155,0)</f>
        <v>6.2900773899446198E-3</v>
      </c>
      <c r="BF155" s="93">
        <f>IF(AND($T155=1,BF$5&lt;=$H155),INDEX(Mortality!$B$4:$E$64,MATCH($D155+BF$5-1,Mortality!$A$4:$A$64,0),$U155)*$V155*$N155,0)</f>
        <v>6.8139594912016701E-3</v>
      </c>
      <c r="BG155" s="93">
        <f>IF(AND($T155=1,BG$5&lt;=$H155),INDEX(Mortality!$B$4:$E$64,MATCH($D155+BG$5-1,Mortality!$A$4:$A$64,0),$U155)*$V155*$N155,0)</f>
        <v>7.3814741964798002E-3</v>
      </c>
      <c r="BH155" s="93">
        <f>IF(AND($T155=1,BH$5&lt;=$H155),INDEX(Mortality!$B$4:$E$64,MATCH($D155+BH$5-1,Mortality!$A$4:$A$64,0),$U155)*$V155*$N155,0)</f>
        <v>7.9962555374229801E-3</v>
      </c>
      <c r="BI155" s="93">
        <f>IF(AND($T155=1,BI$5&lt;=$H155),INDEX(Mortality!$B$4:$E$64,MATCH($D155+BI$5-1,Mortality!$A$4:$A$64,0),$U155)*$V155*$N155,0)</f>
        <v>8.6622402135145896E-3</v>
      </c>
      <c r="BJ155" s="93">
        <f>IF(AND($T155=1,BJ$5&lt;=$H155),INDEX(Mortality!$B$4:$E$64,MATCH($D155+BJ$5-1,Mortality!$A$4:$A$64,0),$U155)*$V155*$N155,0)</f>
        <v>0</v>
      </c>
      <c r="BK155" s="93">
        <f>IF(AND($T155=1,BK$5&lt;=$H155),INDEX(Mortality!$B$4:$E$64,MATCH($D155+BK$5-1,Mortality!$A$4:$A$64,0),$U155)*$V155*$N155,0)</f>
        <v>0</v>
      </c>
      <c r="BL155" s="93">
        <f>IF(AND($T155=1,BL$5&lt;=$H155),INDEX(Mortality!$B$4:$E$64,MATCH($D155+BL$5-1,Mortality!$A$4:$A$64,0),$U155)*$V155*$N155,0)</f>
        <v>0</v>
      </c>
      <c r="BM155" s="93">
        <f>IF(AND($T155=1,BM$5&lt;=$H155),INDEX(Mortality!$B$4:$E$64,MATCH($D155+BM$5-1,Mortality!$A$4:$A$64,0),$U155)*$V155*$N155,0)</f>
        <v>0</v>
      </c>
      <c r="BN155" s="93">
        <f>IF(AND($T155=1,BN$5&lt;=$H155),INDEX(Mortality!$B$4:$E$64,MATCH($D155+BN$5-1,Mortality!$A$4:$A$64,0),$U155)*$V155*$N155,0)</f>
        <v>0</v>
      </c>
      <c r="BO155" s="93">
        <f>IF(AND($T155=1,BO$5&lt;=$H155),INDEX(Mortality!$B$4:$E$64,MATCH($D155+BO$5-1,Mortality!$A$4:$A$64,0),$U155)*$V155*$N155,0)</f>
        <v>0</v>
      </c>
      <c r="BP155" s="93">
        <f>IF(AND($T155=1,BP$5&lt;=$H155),INDEX(Mortality!$B$4:$E$64,MATCH($D155+BP$5-1,Mortality!$A$4:$A$64,0),$U155)*$V155*$N155,0)</f>
        <v>0</v>
      </c>
      <c r="BQ155" s="93">
        <f>IF(AND($T155=1,BQ$5&lt;=$H155),INDEX(Mortality!$B$4:$E$64,MATCH($D155+BQ$5-1,Mortality!$A$4:$A$64,0),$U155)*$V155*$N155,0)</f>
        <v>0</v>
      </c>
      <c r="BR155" s="93">
        <f>IF(AND($T155=1,BR$5&lt;=$H155),INDEX(Mortality!$B$4:$E$64,MATCH($D155+BR$5-1,Mortality!$A$4:$A$64,0),$U155)*$V155*$N155,0)</f>
        <v>0</v>
      </c>
      <c r="BS155" s="93">
        <f>IF(AND($T155=1,BS$5&lt;=$H155),INDEX(Mortality!$B$4:$E$64,MATCH($D155+BS$5-1,Mortality!$A$4:$A$64,0),$U155)*$V155*$N155,0)</f>
        <v>0</v>
      </c>
      <c r="BT155" s="93">
        <f>IF(AND($T155=1,BT$5&lt;=$H155),INDEX(Mortality!$B$4:$E$64,MATCH($D155+BT$5-1,Mortality!$A$4:$A$64,0),$U155)*$V155*$N155,0)</f>
        <v>0</v>
      </c>
      <c r="BU155" s="93">
        <f>IF(AND($T155=1,BU$5&lt;=$H155),INDEX(Mortality!$B$4:$E$64,MATCH($D155+BU$5-1,Mortality!$A$4:$A$64,0),$U155)*$V155*$N155,0)</f>
        <v>0</v>
      </c>
      <c r="BV155" s="93">
        <f>IF(AND($T155=1,BV$5&lt;=$H155),INDEX(Mortality!$B$4:$E$64,MATCH($D155+BV$5-1,Mortality!$A$4:$A$64,0),$U155)*$V155*$N155,0)</f>
        <v>0</v>
      </c>
      <c r="BW155" s="93">
        <f>IF(AND($T155=1,BW$5&lt;=$H155),INDEX(Mortality!$B$4:$E$64,MATCH($D155+BW$5-1,Mortality!$A$4:$A$64,0),$U155)*$V155*$N155,0)</f>
        <v>0</v>
      </c>
      <c r="BX155" s="93">
        <f>IF(AND($T155=1,BX$5&lt;=$H155),INDEX(Mortality!$B$4:$E$64,MATCH($D155+BX$5-1,Mortality!$A$4:$A$64,0),$U155)*$V155*$N155,0)</f>
        <v>0</v>
      </c>
      <c r="BY155" s="93">
        <f>IF(AND($T155=1,BY$5&lt;=$H155),INDEX(Mortality!$B$4:$E$64,MATCH($D155+BY$5-1,Mortality!$A$4:$A$64,0),$U155)*$V155*$N155,0)</f>
        <v>0</v>
      </c>
      <c r="BZ155" s="93">
        <f>IF(AND($T155=1,BZ$5&lt;=$H155),INDEX(Mortality!$B$4:$E$64,MATCH($D155+BZ$5-1,Mortality!$A$4:$A$64,0),$U155)*$V155*$N155,0)</f>
        <v>0</v>
      </c>
      <c r="CA155" s="93">
        <f>IF(AND($T155=1,CA$5&lt;=$H155),INDEX(Mortality!$B$4:$E$64,MATCH($D155+CA$5-1,Mortality!$A$4:$A$64,0),$U155)*$V155*$N155,0)</f>
        <v>0</v>
      </c>
      <c r="CB155" s="93">
        <f>IF(AND($T155=1,CB$5&lt;=$H155),INDEX(Mortality!$B$4:$E$64,MATCH($D155+CB$5-1,Mortality!$A$4:$A$64,0),$U155)*$V155*$N155,0)</f>
        <v>0</v>
      </c>
      <c r="CC155" s="93">
        <f>IF(AND($T155=1,CC$5&lt;=$H155),INDEX(Mortality!$B$4:$E$64,MATCH($D155+CC$5-1,Mortality!$A$4:$A$64,0),$U155)*$V155*$N155,0)</f>
        <v>0</v>
      </c>
      <c r="CD155" s="93">
        <f>IF(AND($T155=1,CD$5&lt;=$H155),INDEX(Mortality!$B$4:$E$64,MATCH($D155+CD$5-1,Mortality!$A$4:$A$64,0),$U155)*$V155*$N155,0)</f>
        <v>0</v>
      </c>
      <c r="CE155" s="93">
        <f>IF(AND($T155=1,CE$5&lt;=$H155),INDEX(Mortality!$B$4:$E$64,MATCH($D155+CE$5-1,Mortality!$A$4:$A$64,0),$U155)*$V155*$N155,0)</f>
        <v>0</v>
      </c>
      <c r="CF155" s="93">
        <f>IF(AND($T155=1,CF$5&lt;=$H155),INDEX(Mortality!$B$4:$E$64,MATCH($D155+CF$5-1,Mortality!$A$4:$A$64,0),$U155)*$V155*$N155,0)</f>
        <v>0</v>
      </c>
      <c r="CG155" s="93">
        <f>IF(AND($T155=1,CG$5&lt;=$H155),INDEX(Mortality!$B$4:$E$64,MATCH($D155+CG$5-1,Mortality!$A$4:$A$64,0),$U155)*$V155*$N155,0)</f>
        <v>0</v>
      </c>
      <c r="CH155" s="94">
        <f>IF(AND($T155=1,CH$5&lt;=$H155),INDEX(Mortality!$B$4:$E$64,MATCH($D155+CH$5-1,Mortality!$A$4:$A$64,0),$U155)*$V155*$N155,0)</f>
        <v>0</v>
      </c>
      <c r="CI155" s="26"/>
      <c r="CJ155" s="419">
        <f t="shared" si="53"/>
        <v>1</v>
      </c>
      <c r="CK155" s="93">
        <f>IF(AND($T155=1,CK$5&lt;=$H155),CJ155*(1-AU155)*(1-MIN(1,MAX(Assumptions!$C$27,Assumptions!$C$13*Assumptions!$C$28^(CJ$5-1))*$O155)),0)</f>
        <v>0.87751284371709992</v>
      </c>
      <c r="CL155" s="93">
        <f>IF(AND($T155=1,CL$5&lt;=$H155),CK155*(1-AV155)*(1-MIN(1,MAX(Assumptions!$C$27,Assumptions!$C$13*Assumptions!$C$28^(CK$5-1))*$O155)),0)</f>
        <v>0.78559388667833596</v>
      </c>
      <c r="CM155" s="93">
        <f>IF(AND($T155=1,CM$5&lt;=$H155),CL155*(1-AW155)*(1-MIN(1,MAX(Assumptions!$C$27,Assumptions!$C$13*Assumptions!$C$28^(CL$5-1))*$O155)),0)</f>
        <v>0.71510321389424703</v>
      </c>
      <c r="CN155" s="93">
        <f>IF(AND($T155=1,CN$5&lt;=$H155),CM155*(1-AX155)*(1-MIN(1,MAX(Assumptions!$C$27,Assumptions!$C$13*Assumptions!$C$28^(CM$5-1))*$O155)),0)</f>
        <v>0.66002369975347175</v>
      </c>
      <c r="CO155" s="93">
        <f>IF(AND($T155=1,CO$5&lt;=$H155),CN155*(1-AY155)*(1-MIN(1,MAX(Assumptions!$C$27,Assumptions!$C$13*Assumptions!$C$28^(CN$5-1))*$O155)),0)</f>
        <v>0.61627129936539138</v>
      </c>
      <c r="CP155" s="93">
        <f>IF(AND($T155=1,CP$5&lt;=$H155),CO155*(1-AZ155)*(1-MIN(1,MAX(Assumptions!$C$27,Assumptions!$C$13*Assumptions!$C$28^(CO$5-1))*$O155)),0)</f>
        <v>0.58099808489515259</v>
      </c>
      <c r="CQ155" s="93">
        <f>IF(AND($T155=1,CQ$5&lt;=$H155),CP155*(1-BA155)*(1-MIN(1,MAX(Assumptions!$C$27,Assumptions!$C$13*Assumptions!$C$28^(CP$5-1))*$O155)),0)</f>
        <v>0.55216968132308497</v>
      </c>
      <c r="CR155" s="93">
        <f>IF(AND($T155=1,CR$5&lt;=$H155),CQ155*(1-BB155)*(1-MIN(1,MAX(Assumptions!$C$27,Assumptions!$C$13*Assumptions!$C$28^(CQ$5-1))*$O155)),0)</f>
        <v>0.52830112158821374</v>
      </c>
      <c r="CS155" s="93">
        <f>IF(AND($T155=1,CS$5&lt;=$H155),CR155*(1-BC155)*(1-MIN(1,MAX(Assumptions!$C$27,Assumptions!$C$13*Assumptions!$C$28^(CR$5-1))*$O155)),0)</f>
        <v>0.50828714900554295</v>
      </c>
      <c r="CT155" s="93">
        <f>IF(AND($T155=1,CT$5&lt;=$H155),CS155*(1-BD155)*(1-MIN(1,MAX(Assumptions!$C$27,Assumptions!$C$13*Assumptions!$C$28^(CS$5-1))*$O155)),0)</f>
        <v>0.49129047327300879</v>
      </c>
      <c r="CU155" s="93">
        <f>IF(AND($T155=1,CU$5&lt;=$H155),CT155*(1-BE155)*(1-MIN(1,MAX(Assumptions!$C$27,Assumptions!$C$13*Assumptions!$C$28^(CT$5-1))*$O155)),0)</f>
        <v>0.47666652291690914</v>
      </c>
      <c r="CV155" s="93">
        <f>IF(AND($T155=1,CV$5&lt;=$H155),CU155*(1-BF155)*(1-MIN(1,MAX(Assumptions!$C$27,Assumptions!$C$13*Assumptions!$C$28^(CU$5-1))*$O155)),0)</f>
        <v>0.46391172931567543</v>
      </c>
      <c r="CW155" s="93">
        <f>IF(AND($T155=1,CW$5&lt;=$H155),CV155*(1-BG155)*(1-MIN(1,MAX(Assumptions!$C$27,Assumptions!$C$13*Assumptions!$C$28^(CV$5-1))*$O155)),0)</f>
        <v>0.45127762931916166</v>
      </c>
      <c r="CX155" s="93">
        <f>IF(AND($T155=1,CX$5&lt;=$H155),CW155*(1-BH155)*(1-MIN(1,MAX(Assumptions!$C$27,Assumptions!$C$13*Assumptions!$C$28^(CW$5-1))*$O155)),0)</f>
        <v>0.43871571611526711</v>
      </c>
      <c r="CY155" s="93">
        <f>IF(AND($T155=1,CY$5&lt;=$H155),CX155*(1-BI155)*(1-MIN(1,MAX(Assumptions!$C$27,Assumptions!$C$13*Assumptions!$C$28^(CX$5-1))*$O155)),0)</f>
        <v>0</v>
      </c>
      <c r="CZ155" s="93">
        <f>IF(AND($T155=1,CZ$5&lt;=$H155),CY155*(1-BJ155)*(1-MIN(1,MAX(Assumptions!$C$27,Assumptions!$C$13*Assumptions!$C$28^(CY$5-1))*$O155)),0)</f>
        <v>0</v>
      </c>
      <c r="DA155" s="93">
        <f>IF(AND($T155=1,DA$5&lt;=$H155),CZ155*(1-BK155)*(1-MIN(1,MAX(Assumptions!$C$27,Assumptions!$C$13*Assumptions!$C$28^(CZ$5-1))*$O155)),0)</f>
        <v>0</v>
      </c>
      <c r="DB155" s="93">
        <f>IF(AND($T155=1,DB$5&lt;=$H155),DA155*(1-BL155)*(1-MIN(1,MAX(Assumptions!$C$27,Assumptions!$C$13*Assumptions!$C$28^(DA$5-1))*$O155)),0)</f>
        <v>0</v>
      </c>
      <c r="DC155" s="93">
        <f>IF(AND($T155=1,DC$5&lt;=$H155),DB155*(1-BM155)*(1-MIN(1,MAX(Assumptions!$C$27,Assumptions!$C$13*Assumptions!$C$28^(DB$5-1))*$O155)),0)</f>
        <v>0</v>
      </c>
      <c r="DD155" s="93">
        <f>IF(AND($T155=1,DD$5&lt;=$H155),DC155*(1-BN155)*(1-MIN(1,MAX(Assumptions!$C$27,Assumptions!$C$13*Assumptions!$C$28^(DC$5-1))*$O155)),0)</f>
        <v>0</v>
      </c>
      <c r="DE155" s="93">
        <f>IF(AND($T155=1,DE$5&lt;=$H155),DD155*(1-BO155)*(1-MIN(1,MAX(Assumptions!$C$27,Assumptions!$C$13*Assumptions!$C$28^(DD$5-1))*$O155)),0)</f>
        <v>0</v>
      </c>
      <c r="DF155" s="93">
        <f>IF(AND($T155=1,DF$5&lt;=$H155),DE155*(1-BP155)*(1-MIN(1,MAX(Assumptions!$C$27,Assumptions!$C$13*Assumptions!$C$28^(DE$5-1))*$O155)),0)</f>
        <v>0</v>
      </c>
      <c r="DG155" s="93">
        <f>IF(AND($T155=1,DG$5&lt;=$H155),DF155*(1-BQ155)*(1-MIN(1,MAX(Assumptions!$C$27,Assumptions!$C$13*Assumptions!$C$28^(DF$5-1))*$O155)),0)</f>
        <v>0</v>
      </c>
      <c r="DH155" s="93">
        <f>IF(AND($T155=1,DH$5&lt;=$H155),DG155*(1-BR155)*(1-MIN(1,MAX(Assumptions!$C$27,Assumptions!$C$13*Assumptions!$C$28^(DG$5-1))*$O155)),0)</f>
        <v>0</v>
      </c>
      <c r="DI155" s="93">
        <f>IF(AND($T155=1,DI$5&lt;=$H155),DH155*(1-BS155)*(1-MIN(1,MAX(Assumptions!$C$27,Assumptions!$C$13*Assumptions!$C$28^(DH$5-1))*$O155)),0)</f>
        <v>0</v>
      </c>
      <c r="DJ155" s="93">
        <f>IF(AND($T155=1,DJ$5&lt;=$H155),DI155*(1-BT155)*(1-MIN(1,MAX(Assumptions!$C$27,Assumptions!$C$13*Assumptions!$C$28^(DI$5-1))*$O155)),0)</f>
        <v>0</v>
      </c>
      <c r="DK155" s="93">
        <f>IF(AND($T155=1,DK$5&lt;=$H155),DJ155*(1-BU155)*(1-MIN(1,MAX(Assumptions!$C$27,Assumptions!$C$13*Assumptions!$C$28^(DJ$5-1))*$O155)),0)</f>
        <v>0</v>
      </c>
      <c r="DL155" s="93">
        <f>IF(AND($T155=1,DL$5&lt;=$H155),DK155*(1-BV155)*(1-MIN(1,MAX(Assumptions!$C$27,Assumptions!$C$13*Assumptions!$C$28^(DK$5-1))*$O155)),0)</f>
        <v>0</v>
      </c>
      <c r="DM155" s="93">
        <f>IF(AND($T155=1,DM$5&lt;=$H155),DL155*(1-BW155)*(1-MIN(1,MAX(Assumptions!$C$27,Assumptions!$C$13*Assumptions!$C$28^(DL$5-1))*$O155)),0)</f>
        <v>0</v>
      </c>
      <c r="DN155" s="93">
        <f>IF(AND($T155=1,DN$5&lt;=$H155),DM155*(1-BX155)*(1-MIN(1,MAX(Assumptions!$C$27,Assumptions!$C$13*Assumptions!$C$28^(DM$5-1))*$O155)),0)</f>
        <v>0</v>
      </c>
      <c r="DO155" s="93">
        <f>IF(AND($T155=1,DO$5&lt;=$H155),DN155*(1-BY155)*(1-MIN(1,MAX(Assumptions!$C$27,Assumptions!$C$13*Assumptions!$C$28^(DN$5-1))*$O155)),0)</f>
        <v>0</v>
      </c>
      <c r="DP155" s="93">
        <f>IF(AND($T155=1,DP$5&lt;=$H155),DO155*(1-BZ155)*(1-MIN(1,MAX(Assumptions!$C$27,Assumptions!$C$13*Assumptions!$C$28^(DO$5-1))*$O155)),0)</f>
        <v>0</v>
      </c>
      <c r="DQ155" s="93">
        <f>IF(AND($T155=1,DQ$5&lt;=$H155),DP155*(1-CA155)*(1-MIN(1,MAX(Assumptions!$C$27,Assumptions!$C$13*Assumptions!$C$28^(DP$5-1))*$O155)),0)</f>
        <v>0</v>
      </c>
      <c r="DR155" s="93">
        <f>IF(AND($T155=1,DR$5&lt;=$H155),DQ155*(1-CB155)*(1-MIN(1,MAX(Assumptions!$C$27,Assumptions!$C$13*Assumptions!$C$28^(DQ$5-1))*$O155)),0)</f>
        <v>0</v>
      </c>
      <c r="DS155" s="93">
        <f>IF(AND($T155=1,DS$5&lt;=$H155),DR155*(1-CC155)*(1-MIN(1,MAX(Assumptions!$C$27,Assumptions!$C$13*Assumptions!$C$28^(DR$5-1))*$O155)),0)</f>
        <v>0</v>
      </c>
      <c r="DT155" s="93">
        <f>IF(AND($T155=1,DT$5&lt;=$H155),DS155*(1-CD155)*(1-MIN(1,MAX(Assumptions!$C$27,Assumptions!$C$13*Assumptions!$C$28^(DS$5-1))*$O155)),0)</f>
        <v>0</v>
      </c>
      <c r="DU155" s="93">
        <f>IF(AND($T155=1,DU$5&lt;=$H155),DT155*(1-CE155)*(1-MIN(1,MAX(Assumptions!$C$27,Assumptions!$C$13*Assumptions!$C$28^(DT$5-1))*$O155)),0)</f>
        <v>0</v>
      </c>
      <c r="DV155" s="93">
        <f>IF(AND($T155=1,DV$5&lt;=$H155),DU155*(1-CF155)*(1-MIN(1,MAX(Assumptions!$C$27,Assumptions!$C$13*Assumptions!$C$28^(DU$5-1))*$O155)),0)</f>
        <v>0</v>
      </c>
      <c r="DW155" s="94">
        <f>IF(AND($T155=1,DW$5&lt;=$H155),DV155*(1-CG155)*(1-MIN(1,MAX(Assumptions!$C$27,Assumptions!$C$13*Assumptions!$C$28^(DV$5-1))*$O155)),0)</f>
        <v>0</v>
      </c>
      <c r="DX155" s="26"/>
      <c r="DY155" s="399">
        <f>'Policy Data'!K129</f>
        <v>1</v>
      </c>
      <c r="DZ155" s="100">
        <f>'Policy Data'!L129</f>
        <v>0.84989999999999999</v>
      </c>
      <c r="EA155" s="100">
        <f>'Policy Data'!N129</f>
        <v>2.4020000000000001E-3</v>
      </c>
      <c r="EB155" s="93" cm="1">
        <f t="array" ref="EB155">IFERROR(DZ155*INDEX(Mortality!$B$4:$E$64,MATCH(D155+DY155-1,Mortality!$A$4:$A$64,0),U155)*V155,0)</f>
        <v>2.4020842327690407E-3</v>
      </c>
      <c r="EC155" s="100">
        <f>'Policy Data'!O129</f>
        <v>0</v>
      </c>
      <c r="ED155" s="400">
        <f>'Policy Data'!Q129</f>
        <v>0</v>
      </c>
    </row>
    <row r="156" spans="1:134" x14ac:dyDescent="0.3">
      <c r="A156" s="399" t="str">
        <f>'Policy Data'!A130</f>
        <v>POL100126</v>
      </c>
      <c r="B156" s="26" t="s">
        <v>426</v>
      </c>
      <c r="C156" s="100" t="str">
        <f>'Policy Data'!B130</f>
        <v>Term Life</v>
      </c>
      <c r="D156" s="100">
        <f>'Policy Data'!C130</f>
        <v>50</v>
      </c>
      <c r="E156" s="100" t="str">
        <f>'Policy Data'!D130</f>
        <v>Female</v>
      </c>
      <c r="F156" s="100" t="str">
        <f>'Policy Data'!E130</f>
        <v>Non-smoker</v>
      </c>
      <c r="G156" s="100" t="str">
        <f>'Policy Data'!F130</f>
        <v>Preferred</v>
      </c>
      <c r="H156" s="100">
        <f>'Policy Data'!G130</f>
        <v>25</v>
      </c>
      <c r="I156" s="279">
        <f>'Policy Data'!H130</f>
        <v>500000</v>
      </c>
      <c r="J156" s="100" t="str">
        <f>'Policy Data'!I130</f>
        <v>Annual</v>
      </c>
      <c r="K156" s="100" t="str">
        <f>'Policy Data'!J130</f>
        <v>Direct</v>
      </c>
      <c r="L156" s="26" t="s">
        <v>389</v>
      </c>
      <c r="M156" s="106">
        <f>'Policy Data'!R130</f>
        <v>1649.22</v>
      </c>
      <c r="N156" s="415">
        <f>Assumptions!$C$21</f>
        <v>1</v>
      </c>
      <c r="O156" s="415">
        <f>Assumptions!$C$22</f>
        <v>1</v>
      </c>
      <c r="P156" s="415">
        <f>Assumptions!$C$23</f>
        <v>1</v>
      </c>
      <c r="Q156" s="416">
        <f>Assumptions!$C$24</f>
        <v>0</v>
      </c>
      <c r="R156" s="416">
        <f>Assumptions!$C$6+Assumptions!$C$25</f>
        <v>3.5000000000000003E-2</v>
      </c>
      <c r="S156" s="416">
        <f>Assumptions!$C$15</f>
        <v>1.1000000000000001E-3</v>
      </c>
      <c r="T156" s="26">
        <f t="shared" si="36"/>
        <v>1</v>
      </c>
      <c r="U156" s="26">
        <f t="shared" si="37"/>
        <v>1</v>
      </c>
      <c r="V156" s="389">
        <f>IF($G156="Preferred",Assumptions!$C$30,IF($G156="Rated",Assumptions!$C$31,1))</f>
        <v>0.8</v>
      </c>
      <c r="W156" s="390">
        <f>IF($K156="Direct",Assumptions!$C$32,IF($K156="Broker",Assumptions!$C$33,IF($K156="Bancassurance",Assumptions!$C$34,Assumptions!$C$11)))+$Q156</f>
        <v>0.1</v>
      </c>
      <c r="X156" s="390">
        <f>Assumptions!$C$12+$Q156</f>
        <v>0.05</v>
      </c>
      <c r="Y156" s="131">
        <f>MIN($I156,Assumptions!$C$14)</f>
        <v>500000</v>
      </c>
      <c r="Z156" s="131">
        <f>MAX($I156-Assumptions!$C$14,0)</f>
        <v>0</v>
      </c>
      <c r="AA156" s="389">
        <f t="shared" si="38"/>
        <v>9.3281144615045903</v>
      </c>
      <c r="AB156" s="389">
        <f t="shared" si="39"/>
        <v>3.2142194856413536E-2</v>
      </c>
      <c r="AC156" s="389">
        <f>IF($T156=1,SUMPRODUCT($CJ156:$DW156,(1+Assumptions!$C$5)^($CJ$5:$DW$5-1),(1+$R156)^(-$CJ$5:$DW$5)),0)</f>
        <v>13.372593526788002</v>
      </c>
      <c r="AD156" s="389">
        <f t="shared" si="40"/>
        <v>0.51471490181919088</v>
      </c>
      <c r="AE156" s="131">
        <f>IF($T156=1,$AB156*$Y156+(Assumptions!$C$9/(1+$R156)+Assumptions!$C$10*$AC156)*$P156+$S156*$Z156*$AA156,0)</f>
        <v>19882.633221491433</v>
      </c>
      <c r="AF156" s="131">
        <f>IF($T156=1,IF($AA156-$AD156-Assumptions!$C$16*$AA156&gt;0,$AE156/($AA156-$AD156-Assumptions!$C$16*$AA156)*IF($J156="Monthly",1+Assumptions!$C$29,1),"n.a."),"")</f>
        <v>2464.6414444779189</v>
      </c>
      <c r="AG156" s="131">
        <f t="shared" si="41"/>
        <v>1649.22</v>
      </c>
      <c r="AH156" s="131">
        <f t="shared" si="42"/>
        <v>15384.112932202601</v>
      </c>
      <c r="AI156" s="131">
        <f t="shared" si="43"/>
        <v>-5347.3983996670795</v>
      </c>
      <c r="AJ156" s="390">
        <f t="shared" si="44"/>
        <v>-0.34759224813500328</v>
      </c>
      <c r="AK156" s="389">
        <f t="shared" si="45"/>
        <v>0.66915210068187092</v>
      </c>
      <c r="AL156" s="131">
        <f t="shared" si="46"/>
        <v>0</v>
      </c>
      <c r="AM156" s="131">
        <f t="shared" si="47"/>
        <v>0</v>
      </c>
      <c r="AN156" s="131">
        <f t="shared" si="48"/>
        <v>0</v>
      </c>
      <c r="AO156" s="131">
        <f t="shared" si="49"/>
        <v>-5347.3983996670795</v>
      </c>
      <c r="AP156" s="26" t="str">
        <f t="shared" si="50"/>
        <v>50-59</v>
      </c>
      <c r="AQ156" s="26" t="str">
        <f t="shared" si="51"/>
        <v>250k-500k</v>
      </c>
      <c r="AR156" s="26" t="str">
        <f>IF($T156=1,IF($AI156&lt;0,"Loss-making",IF($AJ156&lt;Assumptions!$C$16-0.00001,"Below target","At/above target")),"Excluded")</f>
        <v>Loss-making</v>
      </c>
      <c r="AS156" s="103">
        <f t="shared" si="52"/>
        <v>-5347.3982436670794</v>
      </c>
      <c r="AT156" s="26"/>
      <c r="AU156" s="419">
        <f>IF(AND($T156=1,AU$5&lt;=$H156),INDEX(Mortality!$B$4:$E$64,MATCH($D156+AU$5-1,Mortality!$A$4:$A$64,0),$U156)*$V156*$N156,0)</f>
        <v>1.5156279218649042E-3</v>
      </c>
      <c r="AV156" s="93">
        <f>IF(AND($T156=1,AV$5&lt;=$H156),INDEX(Mortality!$B$4:$E$64,MATCH($D156+AV$5-1,Mortality!$A$4:$A$64,0),$U156)*$V156*$N156,0)</f>
        <v>1.641860127163328E-3</v>
      </c>
      <c r="AW156" s="93">
        <f>IF(AND($T156=1,AW$5&lt;=$H156),INDEX(Mortality!$B$4:$E$64,MATCH($D156+AW$5-1,Mortality!$A$4:$A$64,0),$U156)*$V156*$N156,0)</f>
        <v>1.7786058426871921E-3</v>
      </c>
      <c r="AX156" s="93">
        <f>IF(AND($T156=1,AX$5&lt;=$H156),INDEX(Mortality!$B$4:$E$64,MATCH($D156+AX$5-1,Mortality!$A$4:$A$64,0),$U156)*$V156*$N156,0)</f>
        <v>1.92674070787416E-3</v>
      </c>
      <c r="AY156" s="93">
        <f>IF(AND($T156=1,AY$5&lt;=$H156),INDEX(Mortality!$B$4:$E$64,MATCH($D156+AY$5-1,Mortality!$A$4:$A$64,0),$U156)*$V156*$N156,0)</f>
        <v>2.087213291602968E-3</v>
      </c>
      <c r="AZ156" s="93">
        <f>IF(AND($T156=1,AZ$5&lt;=$H156),INDEX(Mortality!$B$4:$E$64,MATCH($D156+AZ$5-1,Mortality!$A$4:$A$64,0),$U156)*$V156*$N156,0)</f>
        <v>2.2610511662727764E-3</v>
      </c>
      <c r="BA156" s="93">
        <f>IF(AND($T156=1,BA$5&lt;=$H156),INDEX(Mortality!$B$4:$E$64,MATCH($D156+BA$5-1,Mortality!$A$4:$A$64,0),$U156)*$V156*$N156,0)</f>
        <v>2.4493674877746879E-3</v>
      </c>
      <c r="BB156" s="93">
        <f>IF(AND($T156=1,BB$5&lt;=$H156),INDEX(Mortality!$B$4:$E$64,MATCH($D156+BB$5-1,Mortality!$A$4:$A$64,0),$U156)*$V156*$N156,0)</f>
        <v>2.6533681234898162E-3</v>
      </c>
      <c r="BC156" s="93">
        <f>IF(AND($T156=1,BC$5&lt;=$H156),INDEX(Mortality!$B$4:$E$64,MATCH($D156+BC$5-1,Mortality!$A$4:$A$64,0),$U156)*$V156*$N156,0)</f>
        <v>2.8743593739574964E-3</v>
      </c>
      <c r="BD156" s="93">
        <f>IF(AND($T156=1,BD$5&lt;=$H156),INDEX(Mortality!$B$4:$E$64,MATCH($D156+BD$5-1,Mortality!$A$4:$A$64,0),$U156)*$V156*$N156,0)</f>
        <v>3.1137563376584399E-3</v>
      </c>
      <c r="BE156" s="93">
        <f>IF(AND($T156=1,BE$5&lt;=$H156),INDEX(Mortality!$B$4:$E$64,MATCH($D156+BE$5-1,Mortality!$A$4:$A$64,0),$U156)*$V156*$N156,0)</f>
        <v>3.3730919724763286E-3</v>
      </c>
      <c r="BF156" s="93">
        <f>IF(AND($T156=1,BF$5&lt;=$H156),INDEX(Mortality!$B$4:$E$64,MATCH($D156+BF$5-1,Mortality!$A$4:$A$64,0),$U156)*$V156*$N156,0)</f>
        <v>3.6540269118618242E-3</v>
      </c>
      <c r="BG156" s="93">
        <f>IF(AND($T156=1,BG$5&lt;=$H156),INDEX(Mortality!$B$4:$E$64,MATCH($D156+BG$5-1,Mortality!$A$4:$A$64,0),$U156)*$V156*$N156,0)</f>
        <v>3.9583600985561842E-3</v>
      </c>
      <c r="BH156" s="93">
        <f>IF(AND($T156=1,BH$5&lt;=$H156),INDEX(Mortality!$B$4:$E$64,MATCH($D156+BH$5-1,Mortality!$A$4:$A$64,0),$U156)*$V156*$N156,0)</f>
        <v>4.2880403039664882E-3</v>
      </c>
      <c r="BI156" s="93">
        <f>IF(AND($T156=1,BI$5&lt;=$H156),INDEX(Mortality!$B$4:$E$64,MATCH($D156+BI$5-1,Mortality!$A$4:$A$64,0),$U156)*$V156*$N156,0)</f>
        <v>4.6451786069558959E-3</v>
      </c>
      <c r="BJ156" s="93">
        <f>IF(AND($T156=1,BJ$5&lt;=$H156),INDEX(Mortality!$B$4:$E$64,MATCH($D156+BJ$5-1,Mortality!$A$4:$A$64,0),$U156)*$V156*$N156,0)</f>
        <v>5.0320619119556959E-3</v>
      </c>
      <c r="BK156" s="93">
        <f>IF(AND($T156=1,BK$5&lt;=$H156),INDEX(Mortality!$B$4:$E$64,MATCH($D156+BK$5-1,Mortality!$A$4:$A$64,0),$U156)*$V156*$N156,0)</f>
        <v>5.4511675929613361E-3</v>
      </c>
      <c r="BL156" s="93">
        <f>IF(AND($T156=1,BL$5&lt;=$H156),INDEX(Mortality!$B$4:$E$64,MATCH($D156+BL$5-1,Mortality!$A$4:$A$64,0),$U156)*$V156*$N156,0)</f>
        <v>5.9051793571838406E-3</v>
      </c>
      <c r="BM156" s="93">
        <f>IF(AND($T156=1,BM$5&lt;=$H156),INDEX(Mortality!$B$4:$E$64,MATCH($D156+BM$5-1,Mortality!$A$4:$A$64,0),$U156)*$V156*$N156,0)</f>
        <v>6.3970044299383848E-3</v>
      </c>
      <c r="BN156" s="93">
        <f>IF(AND($T156=1,BN$5&lt;=$H156),INDEX(Mortality!$B$4:$E$64,MATCH($D156+BN$5-1,Mortality!$A$4:$A$64,0),$U156)*$V156*$N156,0)</f>
        <v>6.9297921708116718E-3</v>
      </c>
      <c r="BO156" s="93">
        <f>IF(AND($T156=1,BO$5&lt;=$H156),INDEX(Mortality!$B$4:$E$64,MATCH($D156+BO$5-1,Mortality!$A$4:$A$64,0),$U156)*$V156*$N156,0)</f>
        <v>7.5069542403154643E-3</v>
      </c>
      <c r="BP156" s="93">
        <f>IF(AND($T156=1,BP$5&lt;=$H156),INDEX(Mortality!$B$4:$E$64,MATCH($D156+BP$5-1,Mortality!$A$4:$A$64,0),$U156)*$V156*$N156,0)</f>
        <v>8.132186446161439E-3</v>
      </c>
      <c r="BQ156" s="93">
        <f>IF(AND($T156=1,BQ$5&lt;=$H156),INDEX(Mortality!$B$4:$E$64,MATCH($D156+BQ$5-1,Mortality!$A$4:$A$64,0),$U156)*$V156*$N156,0)</f>
        <v>8.8094924090482401E-3</v>
      </c>
      <c r="BR156" s="93">
        <f>IF(AND($T156=1,BR$5&lt;=$H156),INDEX(Mortality!$B$4:$E$64,MATCH($D156+BR$5-1,Mortality!$A$4:$A$64,0),$U156)*$V156*$N156,0)</f>
        <v>9.5432091995027203E-3</v>
      </c>
      <c r="BS156" s="93">
        <f>IF(AND($T156=1,BS$5&lt;=$H156),INDEX(Mortality!$B$4:$E$64,MATCH($D156+BS$5-1,Mortality!$A$4:$A$64,0),$U156)*$V156*$N156,0)</f>
        <v>1.0338035109938E-2</v>
      </c>
      <c r="BT156" s="93">
        <f>IF(AND($T156=1,BT$5&lt;=$H156),INDEX(Mortality!$B$4:$E$64,MATCH($D156+BT$5-1,Mortality!$A$4:$A$64,0),$U156)*$V156*$N156,0)</f>
        <v>0</v>
      </c>
      <c r="BU156" s="93">
        <f>IF(AND($T156=1,BU$5&lt;=$H156),INDEX(Mortality!$B$4:$E$64,MATCH($D156+BU$5-1,Mortality!$A$4:$A$64,0),$U156)*$V156*$N156,0)</f>
        <v>0</v>
      </c>
      <c r="BV156" s="93">
        <f>IF(AND($T156=1,BV$5&lt;=$H156),INDEX(Mortality!$B$4:$E$64,MATCH($D156+BV$5-1,Mortality!$A$4:$A$64,0),$U156)*$V156*$N156,0)</f>
        <v>0</v>
      </c>
      <c r="BW156" s="93">
        <f>IF(AND($T156=1,BW$5&lt;=$H156),INDEX(Mortality!$B$4:$E$64,MATCH($D156+BW$5-1,Mortality!$A$4:$A$64,0),$U156)*$V156*$N156,0)</f>
        <v>0</v>
      </c>
      <c r="BX156" s="93">
        <f>IF(AND($T156=1,BX$5&lt;=$H156),INDEX(Mortality!$B$4:$E$64,MATCH($D156+BX$5-1,Mortality!$A$4:$A$64,0),$U156)*$V156*$N156,0)</f>
        <v>0</v>
      </c>
      <c r="BY156" s="93">
        <f>IF(AND($T156=1,BY$5&lt;=$H156),INDEX(Mortality!$B$4:$E$64,MATCH($D156+BY$5-1,Mortality!$A$4:$A$64,0),$U156)*$V156*$N156,0)</f>
        <v>0</v>
      </c>
      <c r="BZ156" s="93">
        <f>IF(AND($T156=1,BZ$5&lt;=$H156),INDEX(Mortality!$B$4:$E$64,MATCH($D156+BZ$5-1,Mortality!$A$4:$A$64,0),$U156)*$V156*$N156,0)</f>
        <v>0</v>
      </c>
      <c r="CA156" s="93">
        <f>IF(AND($T156=1,CA$5&lt;=$H156),INDEX(Mortality!$B$4:$E$64,MATCH($D156+CA$5-1,Mortality!$A$4:$A$64,0),$U156)*$V156*$N156,0)</f>
        <v>0</v>
      </c>
      <c r="CB156" s="93">
        <f>IF(AND($T156=1,CB$5&lt;=$H156),INDEX(Mortality!$B$4:$E$64,MATCH($D156+CB$5-1,Mortality!$A$4:$A$64,0),$U156)*$V156*$N156,0)</f>
        <v>0</v>
      </c>
      <c r="CC156" s="93">
        <f>IF(AND($T156=1,CC$5&lt;=$H156),INDEX(Mortality!$B$4:$E$64,MATCH($D156+CC$5-1,Mortality!$A$4:$A$64,0),$U156)*$V156*$N156,0)</f>
        <v>0</v>
      </c>
      <c r="CD156" s="93">
        <f>IF(AND($T156=1,CD$5&lt;=$H156),INDEX(Mortality!$B$4:$E$64,MATCH($D156+CD$5-1,Mortality!$A$4:$A$64,0),$U156)*$V156*$N156,0)</f>
        <v>0</v>
      </c>
      <c r="CE156" s="93">
        <f>IF(AND($T156=1,CE$5&lt;=$H156),INDEX(Mortality!$B$4:$E$64,MATCH($D156+CE$5-1,Mortality!$A$4:$A$64,0),$U156)*$V156*$N156,0)</f>
        <v>0</v>
      </c>
      <c r="CF156" s="93">
        <f>IF(AND($T156=1,CF$5&lt;=$H156),INDEX(Mortality!$B$4:$E$64,MATCH($D156+CF$5-1,Mortality!$A$4:$A$64,0),$U156)*$V156*$N156,0)</f>
        <v>0</v>
      </c>
      <c r="CG156" s="93">
        <f>IF(AND($T156=1,CG$5&lt;=$H156),INDEX(Mortality!$B$4:$E$64,MATCH($D156+CG$5-1,Mortality!$A$4:$A$64,0),$U156)*$V156*$N156,0)</f>
        <v>0</v>
      </c>
      <c r="CH156" s="94">
        <f>IF(AND($T156=1,CH$5&lt;=$H156),INDEX(Mortality!$B$4:$E$64,MATCH($D156+CH$5-1,Mortality!$A$4:$A$64,0),$U156)*$V156*$N156,0)</f>
        <v>0</v>
      </c>
      <c r="CI156" s="26"/>
      <c r="CJ156" s="419">
        <f t="shared" si="53"/>
        <v>1</v>
      </c>
      <c r="CK156" s="93">
        <f>IF(AND($T156=1,CK$5&lt;=$H156),CJ156*(1-AU156)*(1-MIN(1,MAX(Assumptions!$C$27,Assumptions!$C$13*Assumptions!$C$28^(CJ$5-1))*$O156)),0)</f>
        <v>0.87866624742875887</v>
      </c>
      <c r="CL156" s="93">
        <f>IF(AND($T156=1,CL$5&lt;=$H156),CK156*(1-AV156)*(1-MIN(1,MAX(Assumptions!$C$27,Assumptions!$C$13*Assumptions!$C$28^(CK$5-1))*$O156)),0)</f>
        <v>0.78774679311611528</v>
      </c>
      <c r="CM156" s="93">
        <f>IF(AND($T156=1,CM$5&lt;=$H156),CL156*(1-AW156)*(1-MIN(1,MAX(Assumptions!$C$27,Assumptions!$C$13*Assumptions!$C$28^(CL$5-1))*$O156)),0)</f>
        <v>0.71816952969808423</v>
      </c>
      <c r="CN156" s="93">
        <f>IF(AND($T156=1,CN$5&lt;=$H156),CM156*(1-AX156)*(1-MIN(1,MAX(Assumptions!$C$27,Assumptions!$C$13*Assumptions!$C$28^(CM$5-1))*$O156)),0)</f>
        <v>0.66396227346102088</v>
      </c>
      <c r="CO156" s="93">
        <f>IF(AND($T156=1,CO$5&lt;=$H156),CN156*(1-AY156)*(1-MIN(1,MAX(Assumptions!$C$27,Assumptions!$C$13*Assumptions!$C$28^(CN$5-1))*$O156)),0)</f>
        <v>0.62107215728326648</v>
      </c>
      <c r="CP156" s="93">
        <f>IF(AND($T156=1,CP$5&lt;=$H156),CO156*(1-AZ156)*(1-MIN(1,MAX(Assumptions!$C$27,Assumptions!$C$13*Assumptions!$C$28^(CO$5-1))*$O156)),0)</f>
        <v>0.58667388964441791</v>
      </c>
      <c r="CQ156" s="93">
        <f>IF(AND($T156=1,CQ$5&lt;=$H156),CP156*(1-BA156)*(1-MIN(1,MAX(Assumptions!$C$27,Assumptions!$C$13*Assumptions!$C$28^(CP$5-1))*$O156)),0)</f>
        <v>0.55875029165119727</v>
      </c>
      <c r="CR156" s="93">
        <f>IF(AND($T156=1,CR$5&lt;=$H156),CQ156*(1-BB156)*(1-MIN(1,MAX(Assumptions!$C$27,Assumptions!$C$13*Assumptions!$C$28^(CQ$5-1))*$O156)),0)</f>
        <v>0.53583004981451987</v>
      </c>
      <c r="CS156" s="93">
        <f>IF(AND($T156=1,CS$5&lt;=$H156),CR156*(1-BC156)*(1-MIN(1,MAX(Assumptions!$C$27,Assumptions!$C$13*Assumptions!$C$28^(CR$5-1))*$O156)),0)</f>
        <v>0.51681921004188125</v>
      </c>
      <c r="CT156" s="93">
        <f>IF(AND($T156=1,CT$5&lt;=$H156),CS156*(1-BD156)*(1-MIN(1,MAX(Assumptions!$C$27,Assumptions!$C$13*Assumptions!$C$28^(CS$5-1))*$O156)),0)</f>
        <v>0.50089019800916545</v>
      </c>
      <c r="CU156" s="93">
        <f>IF(AND($T156=1,CU$5&lt;=$H156),CT156*(1-BE156)*(1-MIN(1,MAX(Assumptions!$C$27,Assumptions!$C$13*Assumptions!$C$28^(CT$5-1))*$O156)),0)</f>
        <v>0.48740706964580105</v>
      </c>
      <c r="CV156" s="93">
        <f>IF(AND($T156=1,CV$5&lt;=$H156),CU156*(1-BF156)*(1-MIN(1,MAX(Assumptions!$C$27,Assumptions!$C$13*Assumptions!$C$28^(CU$5-1))*$O156)),0)</f>
        <v>0.47587412206138413</v>
      </c>
      <c r="CW156" s="93">
        <f>IF(AND($T156=1,CW$5&lt;=$H156),CV156*(1-BG156)*(1-MIN(1,MAX(Assumptions!$C$27,Assumptions!$C$13*Assumptions!$C$28^(CV$5-1))*$O156)),0)</f>
        <v>0.46451063210618726</v>
      </c>
      <c r="CX156" s="93">
        <f>IF(AND($T156=1,CX$5&lt;=$H156),CW156*(1-BH156)*(1-MIN(1,MAX(Assumptions!$C$27,Assumptions!$C$13*Assumptions!$C$28^(CW$5-1))*$O156)),0)</f>
        <v>0.4532684159582131</v>
      </c>
      <c r="CY156" s="93">
        <f>IF(AND($T156=1,CY$5&lt;=$H156),CX156*(1-BI156)*(1-MIN(1,MAX(Assumptions!$C$27,Assumptions!$C$13*Assumptions!$C$28^(CX$5-1))*$O156)),0)</f>
        <v>0.44213964514501131</v>
      </c>
      <c r="CZ156" s="93">
        <f>IF(AND($T156=1,CZ$5&lt;=$H156),CY156*(1-BJ156)*(1-MIN(1,MAX(Assumptions!$C$27,Assumptions!$C$13*Assumptions!$C$28^(CY$5-1))*$O156)),0)</f>
        <v>0.4311164756553732</v>
      </c>
      <c r="DA156" s="93">
        <f>IF(AND($T156=1,DA$5&lt;=$H156),CZ156*(1-BK156)*(1-MIN(1,MAX(Assumptions!$C$27,Assumptions!$C$13*Assumptions!$C$28^(CZ$5-1))*$O156)),0)</f>
        <v>0.42019105974459914</v>
      </c>
      <c r="DB156" s="93">
        <f>IF(AND($T156=1,DB$5&lt;=$H156),DA156*(1-BL156)*(1-MIN(1,MAX(Assumptions!$C$27,Assumptions!$C$13*Assumptions!$C$28^(DA$5-1))*$O156)),0)</f>
        <v>0.40935556104907173</v>
      </c>
      <c r="DC156" s="93">
        <f>IF(AND($T156=1,DC$5&lt;=$H156),DB156*(1-BM156)*(1-MIN(1,MAX(Assumptions!$C$27,Assumptions!$C$13*Assumptions!$C$28^(DB$5-1))*$O156)),0)</f>
        <v>0.39860217347738847</v>
      </c>
      <c r="DD156" s="93">
        <f>IF(AND($T156=1,DD$5&lt;=$H156),DC156*(1-BN156)*(1-MIN(1,MAX(Assumptions!$C$27,Assumptions!$C$13*Assumptions!$C$28^(DC$5-1))*$O156)),0)</f>
        <v>0.38792314439122921</v>
      </c>
      <c r="DE156" s="93">
        <f>IF(AND($T156=1,DE$5&lt;=$H156),DD156*(1-BO156)*(1-MIN(1,MAX(Assumptions!$C$27,Assumptions!$C$13*Assumptions!$C$28^(DD$5-1))*$O156)),0)</f>
        <v>0.37731080263557448</v>
      </c>
      <c r="DF156" s="93">
        <f>IF(AND($T156=1,DF$5&lt;=$H156),DE156*(1-BP156)*(1-MIN(1,MAX(Assumptions!$C$27,Assumptions!$C$13*Assumptions!$C$28^(DE$5-1))*$O156)),0)</f>
        <v>0.36675759202358332</v>
      </c>
      <c r="DG156" s="93">
        <f>IF(AND($T156=1,DG$5&lt;=$H156),DF156*(1-BQ156)*(1-MIN(1,MAX(Assumptions!$C$27,Assumptions!$C$13*Assumptions!$C$28^(DF$5-1))*$O156)),0)</f>
        <v>0.35625611092467691</v>
      </c>
      <c r="DH156" s="93">
        <f>IF(AND($T156=1,DH$5&lt;=$H156),DG156*(1-BR156)*(1-MIN(1,MAX(Assumptions!$C$27,Assumptions!$C$13*Assumptions!$C$28^(DG$5-1))*$O156)),0)</f>
        <v>0.34579915864293104</v>
      </c>
      <c r="DI156" s="93">
        <f>IF(AND($T156=1,DI$5&lt;=$H156),DH156*(1-BS156)*(1-MIN(1,MAX(Assumptions!$C$27,Assumptions!$C$13*Assumptions!$C$28^(DH$5-1))*$O156)),0)</f>
        <v>0</v>
      </c>
      <c r="DJ156" s="93">
        <f>IF(AND($T156=1,DJ$5&lt;=$H156),DI156*(1-BT156)*(1-MIN(1,MAX(Assumptions!$C$27,Assumptions!$C$13*Assumptions!$C$28^(DI$5-1))*$O156)),0)</f>
        <v>0</v>
      </c>
      <c r="DK156" s="93">
        <f>IF(AND($T156=1,DK$5&lt;=$H156),DJ156*(1-BU156)*(1-MIN(1,MAX(Assumptions!$C$27,Assumptions!$C$13*Assumptions!$C$28^(DJ$5-1))*$O156)),0)</f>
        <v>0</v>
      </c>
      <c r="DL156" s="93">
        <f>IF(AND($T156=1,DL$5&lt;=$H156),DK156*(1-BV156)*(1-MIN(1,MAX(Assumptions!$C$27,Assumptions!$C$13*Assumptions!$C$28^(DK$5-1))*$O156)),0)</f>
        <v>0</v>
      </c>
      <c r="DM156" s="93">
        <f>IF(AND($T156=1,DM$5&lt;=$H156),DL156*(1-BW156)*(1-MIN(1,MAX(Assumptions!$C$27,Assumptions!$C$13*Assumptions!$C$28^(DL$5-1))*$O156)),0)</f>
        <v>0</v>
      </c>
      <c r="DN156" s="93">
        <f>IF(AND($T156=1,DN$5&lt;=$H156),DM156*(1-BX156)*(1-MIN(1,MAX(Assumptions!$C$27,Assumptions!$C$13*Assumptions!$C$28^(DM$5-1))*$O156)),0)</f>
        <v>0</v>
      </c>
      <c r="DO156" s="93">
        <f>IF(AND($T156=1,DO$5&lt;=$H156),DN156*(1-BY156)*(1-MIN(1,MAX(Assumptions!$C$27,Assumptions!$C$13*Assumptions!$C$28^(DN$5-1))*$O156)),0)</f>
        <v>0</v>
      </c>
      <c r="DP156" s="93">
        <f>IF(AND($T156=1,DP$5&lt;=$H156),DO156*(1-BZ156)*(1-MIN(1,MAX(Assumptions!$C$27,Assumptions!$C$13*Assumptions!$C$28^(DO$5-1))*$O156)),0)</f>
        <v>0</v>
      </c>
      <c r="DQ156" s="93">
        <f>IF(AND($T156=1,DQ$5&lt;=$H156),DP156*(1-CA156)*(1-MIN(1,MAX(Assumptions!$C$27,Assumptions!$C$13*Assumptions!$C$28^(DP$5-1))*$O156)),0)</f>
        <v>0</v>
      </c>
      <c r="DR156" s="93">
        <f>IF(AND($T156=1,DR$5&lt;=$H156),DQ156*(1-CB156)*(1-MIN(1,MAX(Assumptions!$C$27,Assumptions!$C$13*Assumptions!$C$28^(DQ$5-1))*$O156)),0)</f>
        <v>0</v>
      </c>
      <c r="DS156" s="93">
        <f>IF(AND($T156=1,DS$5&lt;=$H156),DR156*(1-CC156)*(1-MIN(1,MAX(Assumptions!$C$27,Assumptions!$C$13*Assumptions!$C$28^(DR$5-1))*$O156)),0)</f>
        <v>0</v>
      </c>
      <c r="DT156" s="93">
        <f>IF(AND($T156=1,DT$5&lt;=$H156),DS156*(1-CD156)*(1-MIN(1,MAX(Assumptions!$C$27,Assumptions!$C$13*Assumptions!$C$28^(DS$5-1))*$O156)),0)</f>
        <v>0</v>
      </c>
      <c r="DU156" s="93">
        <f>IF(AND($T156=1,DU$5&lt;=$H156),DT156*(1-CE156)*(1-MIN(1,MAX(Assumptions!$C$27,Assumptions!$C$13*Assumptions!$C$28^(DT$5-1))*$O156)),0)</f>
        <v>0</v>
      </c>
      <c r="DV156" s="93">
        <f>IF(AND($T156=1,DV$5&lt;=$H156),DU156*(1-CF156)*(1-MIN(1,MAX(Assumptions!$C$27,Assumptions!$C$13*Assumptions!$C$28^(DU$5-1))*$O156)),0)</f>
        <v>0</v>
      </c>
      <c r="DW156" s="94">
        <f>IF(AND($T156=1,DW$5&lt;=$H156),DV156*(1-CG156)*(1-MIN(1,MAX(Assumptions!$C$27,Assumptions!$C$13*Assumptions!$C$28^(DV$5-1))*$O156)),0)</f>
        <v>0</v>
      </c>
      <c r="DX156" s="26"/>
      <c r="DY156" s="399">
        <f>'Policy Data'!K130</f>
        <v>6</v>
      </c>
      <c r="DZ156" s="100">
        <f>'Policy Data'!L130</f>
        <v>0.95699999999999996</v>
      </c>
      <c r="EA156" s="100">
        <f>'Policy Data'!N130</f>
        <v>1.451E-3</v>
      </c>
      <c r="EB156" s="93" cm="1">
        <f t="array" ref="EB156">IFERROR(DZ156*INDEX(Mortality!$B$4:$E$64,MATCH(D156+DY156-1,Mortality!$A$4:$A$64,0),U156)*V156,0)</f>
        <v>2.1638259661230469E-3</v>
      </c>
      <c r="EC156" s="100">
        <f>'Policy Data'!O130</f>
        <v>0</v>
      </c>
      <c r="ED156" s="400">
        <f>'Policy Data'!Q130</f>
        <v>0</v>
      </c>
    </row>
    <row r="157" spans="1:134" x14ac:dyDescent="0.3">
      <c r="A157" s="399" t="str">
        <f>'Policy Data'!A131</f>
        <v>POL100127</v>
      </c>
      <c r="B157" s="26" t="s">
        <v>426</v>
      </c>
      <c r="C157" s="100" t="str">
        <f>'Policy Data'!B131</f>
        <v>Term Life</v>
      </c>
      <c r="D157" s="100">
        <f>'Policy Data'!C131</f>
        <v>64</v>
      </c>
      <c r="E157" s="100" t="str">
        <f>'Policy Data'!D131</f>
        <v>Female</v>
      </c>
      <c r="F157" s="100" t="str">
        <f>'Policy Data'!E131</f>
        <v>Non-smoker</v>
      </c>
      <c r="G157" s="100" t="str">
        <f>'Policy Data'!F131</f>
        <v>Standard</v>
      </c>
      <c r="H157" s="100">
        <f>'Policy Data'!G131</f>
        <v>10</v>
      </c>
      <c r="I157" s="279">
        <f>'Policy Data'!H131</f>
        <v>250000</v>
      </c>
      <c r="J157" s="100" t="str">
        <f>'Policy Data'!I131</f>
        <v>Annual</v>
      </c>
      <c r="K157" s="100" t="str">
        <f>'Policy Data'!J131</f>
        <v>Direct</v>
      </c>
      <c r="L157" s="26" t="s">
        <v>389</v>
      </c>
      <c r="M157" s="106">
        <f>'Policy Data'!R131</f>
        <v>2330.41</v>
      </c>
      <c r="N157" s="415">
        <f>Assumptions!$C$21</f>
        <v>1</v>
      </c>
      <c r="O157" s="415">
        <f>Assumptions!$C$22</f>
        <v>1</v>
      </c>
      <c r="P157" s="415">
        <f>Assumptions!$C$23</f>
        <v>1</v>
      </c>
      <c r="Q157" s="416">
        <f>Assumptions!$C$24</f>
        <v>0</v>
      </c>
      <c r="R157" s="416">
        <f>Assumptions!$C$6+Assumptions!$C$25</f>
        <v>3.5000000000000003E-2</v>
      </c>
      <c r="S157" s="416">
        <f>Assumptions!$C$15</f>
        <v>1.1000000000000001E-3</v>
      </c>
      <c r="T157" s="26">
        <f t="shared" si="36"/>
        <v>1</v>
      </c>
      <c r="U157" s="26">
        <f t="shared" si="37"/>
        <v>1</v>
      </c>
      <c r="V157" s="389">
        <f>IF($G157="Preferred",Assumptions!$C$30,IF($G157="Rated",Assumptions!$C$31,1))</f>
        <v>1</v>
      </c>
      <c r="W157" s="390">
        <f>IF($K157="Direct",Assumptions!$C$32,IF($K157="Broker",Assumptions!$C$33,IF($K157="Bancassurance",Assumptions!$C$34,Assumptions!$C$11)))+$Q157</f>
        <v>0.1</v>
      </c>
      <c r="X157" s="390">
        <f>Assumptions!$C$12+$Q157</f>
        <v>0.05</v>
      </c>
      <c r="Y157" s="131">
        <f>MIN($I157,Assumptions!$C$14)</f>
        <v>250000</v>
      </c>
      <c r="Z157" s="131">
        <f>MAX($I157-Assumptions!$C$14,0)</f>
        <v>0</v>
      </c>
      <c r="AA157" s="389">
        <f t="shared" si="38"/>
        <v>5.721992646913221</v>
      </c>
      <c r="AB157" s="389">
        <f t="shared" si="39"/>
        <v>4.5362518616513824E-2</v>
      </c>
      <c r="AC157" s="389">
        <f>IF($T157=1,SUMPRODUCT($CJ157:$DW157,(1+Assumptions!$C$5)^($CJ$5:$DW$5-1),(1+$R157)^(-$CJ$5:$DW$5)),0)</f>
        <v>6.6216452087458828</v>
      </c>
      <c r="AD157" s="389">
        <f t="shared" si="40"/>
        <v>0.33440881108962239</v>
      </c>
      <c r="AE157" s="131">
        <f>IF($T157=1,$AB157*$Y157+(Assumptions!$C$9/(1+$R157)+Assumptions!$C$10*$AC157)*$P157+$S157*$Z157*$AA157,0)</f>
        <v>13666.956817443854</v>
      </c>
      <c r="AF157" s="131">
        <f>IF($T157=1,IF($AA157-$AD157-Assumptions!$C$16*$AA157&gt;0,$AE157/($AA157-$AD157-Assumptions!$C$16*$AA157)*IF($J157="Monthly",1+Assumptions!$C$29,1),"n.a."),"")</f>
        <v>2772.3009263196213</v>
      </c>
      <c r="AG157" s="131">
        <f t="shared" si="41"/>
        <v>2330.41</v>
      </c>
      <c r="AH157" s="131">
        <f t="shared" si="42"/>
        <v>13334.588884293038</v>
      </c>
      <c r="AI157" s="131">
        <f t="shared" si="43"/>
        <v>-1111.6775706021836</v>
      </c>
      <c r="AJ157" s="390">
        <f t="shared" si="44"/>
        <v>-8.336796734030856E-2</v>
      </c>
      <c r="AK157" s="389">
        <f t="shared" si="45"/>
        <v>0.8406049927248499</v>
      </c>
      <c r="AL157" s="131">
        <f t="shared" si="46"/>
        <v>0</v>
      </c>
      <c r="AM157" s="131">
        <f t="shared" si="47"/>
        <v>0</v>
      </c>
      <c r="AN157" s="131">
        <f t="shared" si="48"/>
        <v>0</v>
      </c>
      <c r="AO157" s="131">
        <f t="shared" si="49"/>
        <v>-1111.6775706021836</v>
      </c>
      <c r="AP157" s="26" t="str">
        <f t="shared" si="50"/>
        <v>60+</v>
      </c>
      <c r="AQ157" s="26" t="str">
        <f t="shared" si="51"/>
        <v>Up to 250k</v>
      </c>
      <c r="AR157" s="26" t="str">
        <f>IF($T157=1,IF($AI157&lt;0,"Loss-making",IF($AJ157&lt;Assumptions!$C$16-0.00001,"Below target","At/above target")),"Excluded")</f>
        <v>Loss-making</v>
      </c>
      <c r="AS157" s="103">
        <f t="shared" si="52"/>
        <v>-1111.6774136021836</v>
      </c>
      <c r="AT157" s="26"/>
      <c r="AU157" s="419">
        <f>IF(AND($T157=1,AU$5&lt;=$H157),INDEX(Mortality!$B$4:$E$64,MATCH($D157+AU$5-1,Mortality!$A$4:$A$64,0),$U157)*$V157*$N157,0)</f>
        <v>5.8064732586948697E-3</v>
      </c>
      <c r="AV157" s="93">
        <f>IF(AND($T157=1,AV$5&lt;=$H157),INDEX(Mortality!$B$4:$E$64,MATCH($D157+AV$5-1,Mortality!$A$4:$A$64,0),$U157)*$V157*$N157,0)</f>
        <v>6.2900773899446198E-3</v>
      </c>
      <c r="AW157" s="93">
        <f>IF(AND($T157=1,AW$5&lt;=$H157),INDEX(Mortality!$B$4:$E$64,MATCH($D157+AW$5-1,Mortality!$A$4:$A$64,0),$U157)*$V157*$N157,0)</f>
        <v>6.8139594912016701E-3</v>
      </c>
      <c r="AX157" s="93">
        <f>IF(AND($T157=1,AX$5&lt;=$H157),INDEX(Mortality!$B$4:$E$64,MATCH($D157+AX$5-1,Mortality!$A$4:$A$64,0),$U157)*$V157*$N157,0)</f>
        <v>7.3814741964798002E-3</v>
      </c>
      <c r="AY157" s="93">
        <f>IF(AND($T157=1,AY$5&lt;=$H157),INDEX(Mortality!$B$4:$E$64,MATCH($D157+AY$5-1,Mortality!$A$4:$A$64,0),$U157)*$V157*$N157,0)</f>
        <v>7.9962555374229801E-3</v>
      </c>
      <c r="AZ157" s="93">
        <f>IF(AND($T157=1,AZ$5&lt;=$H157),INDEX(Mortality!$B$4:$E$64,MATCH($D157+AZ$5-1,Mortality!$A$4:$A$64,0),$U157)*$V157*$N157,0)</f>
        <v>8.6622402135145896E-3</v>
      </c>
      <c r="BA157" s="93">
        <f>IF(AND($T157=1,BA$5&lt;=$H157),INDEX(Mortality!$B$4:$E$64,MATCH($D157+BA$5-1,Mortality!$A$4:$A$64,0),$U157)*$V157*$N157,0)</f>
        <v>9.3836928003943297E-3</v>
      </c>
      <c r="BB157" s="93">
        <f>IF(AND($T157=1,BB$5&lt;=$H157),INDEX(Mortality!$B$4:$E$64,MATCH($D157+BB$5-1,Mortality!$A$4:$A$64,0),$U157)*$V157*$N157,0)</f>
        <v>1.0165233057701799E-2</v>
      </c>
      <c r="BC157" s="93">
        <f>IF(AND($T157=1,BC$5&lt;=$H157),INDEX(Mortality!$B$4:$E$64,MATCH($D157+BC$5-1,Mortality!$A$4:$A$64,0),$U157)*$V157*$N157,0)</f>
        <v>1.1011865511310301E-2</v>
      </c>
      <c r="BD157" s="93">
        <f>IF(AND($T157=1,BD$5&lt;=$H157),INDEX(Mortality!$B$4:$E$64,MATCH($D157+BD$5-1,Mortality!$A$4:$A$64,0),$U157)*$V157*$N157,0)</f>
        <v>1.19290114993784E-2</v>
      </c>
      <c r="BE157" s="93">
        <f>IF(AND($T157=1,BE$5&lt;=$H157),INDEX(Mortality!$B$4:$E$64,MATCH($D157+BE$5-1,Mortality!$A$4:$A$64,0),$U157)*$V157*$N157,0)</f>
        <v>0</v>
      </c>
      <c r="BF157" s="93">
        <f>IF(AND($T157=1,BF$5&lt;=$H157),INDEX(Mortality!$B$4:$E$64,MATCH($D157+BF$5-1,Mortality!$A$4:$A$64,0),$U157)*$V157*$N157,0)</f>
        <v>0</v>
      </c>
      <c r="BG157" s="93">
        <f>IF(AND($T157=1,BG$5&lt;=$H157),INDEX(Mortality!$B$4:$E$64,MATCH($D157+BG$5-1,Mortality!$A$4:$A$64,0),$U157)*$V157*$N157,0)</f>
        <v>0</v>
      </c>
      <c r="BH157" s="93">
        <f>IF(AND($T157=1,BH$5&lt;=$H157),INDEX(Mortality!$B$4:$E$64,MATCH($D157+BH$5-1,Mortality!$A$4:$A$64,0),$U157)*$V157*$N157,0)</f>
        <v>0</v>
      </c>
      <c r="BI157" s="93">
        <f>IF(AND($T157=1,BI$5&lt;=$H157),INDEX(Mortality!$B$4:$E$64,MATCH($D157+BI$5-1,Mortality!$A$4:$A$64,0),$U157)*$V157*$N157,0)</f>
        <v>0</v>
      </c>
      <c r="BJ157" s="93">
        <f>IF(AND($T157=1,BJ$5&lt;=$H157),INDEX(Mortality!$B$4:$E$64,MATCH($D157+BJ$5-1,Mortality!$A$4:$A$64,0),$U157)*$V157*$N157,0)</f>
        <v>0</v>
      </c>
      <c r="BK157" s="93">
        <f>IF(AND($T157=1,BK$5&lt;=$H157),INDEX(Mortality!$B$4:$E$64,MATCH($D157+BK$5-1,Mortality!$A$4:$A$64,0),$U157)*$V157*$N157,0)</f>
        <v>0</v>
      </c>
      <c r="BL157" s="93">
        <f>IF(AND($T157=1,BL$5&lt;=$H157),INDEX(Mortality!$B$4:$E$64,MATCH($D157+BL$5-1,Mortality!$A$4:$A$64,0),$U157)*$V157*$N157,0)</f>
        <v>0</v>
      </c>
      <c r="BM157" s="93">
        <f>IF(AND($T157=1,BM$5&lt;=$H157),INDEX(Mortality!$B$4:$E$64,MATCH($D157+BM$5-1,Mortality!$A$4:$A$64,0),$U157)*$V157*$N157,0)</f>
        <v>0</v>
      </c>
      <c r="BN157" s="93">
        <f>IF(AND($T157=1,BN$5&lt;=$H157),INDEX(Mortality!$B$4:$E$64,MATCH($D157+BN$5-1,Mortality!$A$4:$A$64,0),$U157)*$V157*$N157,0)</f>
        <v>0</v>
      </c>
      <c r="BO157" s="93">
        <f>IF(AND($T157=1,BO$5&lt;=$H157),INDEX(Mortality!$B$4:$E$64,MATCH($D157+BO$5-1,Mortality!$A$4:$A$64,0),$U157)*$V157*$N157,0)</f>
        <v>0</v>
      </c>
      <c r="BP157" s="93">
        <f>IF(AND($T157=1,BP$5&lt;=$H157),INDEX(Mortality!$B$4:$E$64,MATCH($D157+BP$5-1,Mortality!$A$4:$A$64,0),$U157)*$V157*$N157,0)</f>
        <v>0</v>
      </c>
      <c r="BQ157" s="93">
        <f>IF(AND($T157=1,BQ$5&lt;=$H157),INDEX(Mortality!$B$4:$E$64,MATCH($D157+BQ$5-1,Mortality!$A$4:$A$64,0),$U157)*$V157*$N157,0)</f>
        <v>0</v>
      </c>
      <c r="BR157" s="93">
        <f>IF(AND($T157=1,BR$5&lt;=$H157),INDEX(Mortality!$B$4:$E$64,MATCH($D157+BR$5-1,Mortality!$A$4:$A$64,0),$U157)*$V157*$N157,0)</f>
        <v>0</v>
      </c>
      <c r="BS157" s="93">
        <f>IF(AND($T157=1,BS$5&lt;=$H157),INDEX(Mortality!$B$4:$E$64,MATCH($D157+BS$5-1,Mortality!$A$4:$A$64,0),$U157)*$V157*$N157,0)</f>
        <v>0</v>
      </c>
      <c r="BT157" s="93">
        <f>IF(AND($T157=1,BT$5&lt;=$H157),INDEX(Mortality!$B$4:$E$64,MATCH($D157+BT$5-1,Mortality!$A$4:$A$64,0),$U157)*$V157*$N157,0)</f>
        <v>0</v>
      </c>
      <c r="BU157" s="93">
        <f>IF(AND($T157=1,BU$5&lt;=$H157),INDEX(Mortality!$B$4:$E$64,MATCH($D157+BU$5-1,Mortality!$A$4:$A$64,0),$U157)*$V157*$N157,0)</f>
        <v>0</v>
      </c>
      <c r="BV157" s="93">
        <f>IF(AND($T157=1,BV$5&lt;=$H157),INDEX(Mortality!$B$4:$E$64,MATCH($D157+BV$5-1,Mortality!$A$4:$A$64,0),$U157)*$V157*$N157,0)</f>
        <v>0</v>
      </c>
      <c r="BW157" s="93">
        <f>IF(AND($T157=1,BW$5&lt;=$H157),INDEX(Mortality!$B$4:$E$64,MATCH($D157+BW$5-1,Mortality!$A$4:$A$64,0),$U157)*$V157*$N157,0)</f>
        <v>0</v>
      </c>
      <c r="BX157" s="93">
        <f>IF(AND($T157=1,BX$5&lt;=$H157),INDEX(Mortality!$B$4:$E$64,MATCH($D157+BX$5-1,Mortality!$A$4:$A$64,0),$U157)*$V157*$N157,0)</f>
        <v>0</v>
      </c>
      <c r="BY157" s="93">
        <f>IF(AND($T157=1,BY$5&lt;=$H157),INDEX(Mortality!$B$4:$E$64,MATCH($D157+BY$5-1,Mortality!$A$4:$A$64,0),$U157)*$V157*$N157,0)</f>
        <v>0</v>
      </c>
      <c r="BZ157" s="93">
        <f>IF(AND($T157=1,BZ$5&lt;=$H157),INDEX(Mortality!$B$4:$E$64,MATCH($D157+BZ$5-1,Mortality!$A$4:$A$64,0),$U157)*$V157*$N157,0)</f>
        <v>0</v>
      </c>
      <c r="CA157" s="93">
        <f>IF(AND($T157=1,CA$5&lt;=$H157),INDEX(Mortality!$B$4:$E$64,MATCH($D157+CA$5-1,Mortality!$A$4:$A$64,0),$U157)*$V157*$N157,0)</f>
        <v>0</v>
      </c>
      <c r="CB157" s="93">
        <f>IF(AND($T157=1,CB$5&lt;=$H157),INDEX(Mortality!$B$4:$E$64,MATCH($D157+CB$5-1,Mortality!$A$4:$A$64,0),$U157)*$V157*$N157,0)</f>
        <v>0</v>
      </c>
      <c r="CC157" s="93">
        <f>IF(AND($T157=1,CC$5&lt;=$H157),INDEX(Mortality!$B$4:$E$64,MATCH($D157+CC$5-1,Mortality!$A$4:$A$64,0),$U157)*$V157*$N157,0)</f>
        <v>0</v>
      </c>
      <c r="CD157" s="93">
        <f>IF(AND($T157=1,CD$5&lt;=$H157),INDEX(Mortality!$B$4:$E$64,MATCH($D157+CD$5-1,Mortality!$A$4:$A$64,0),$U157)*$V157*$N157,0)</f>
        <v>0</v>
      </c>
      <c r="CE157" s="93">
        <f>IF(AND($T157=1,CE$5&lt;=$H157),INDEX(Mortality!$B$4:$E$64,MATCH($D157+CE$5-1,Mortality!$A$4:$A$64,0),$U157)*$V157*$N157,0)</f>
        <v>0</v>
      </c>
      <c r="CF157" s="93">
        <f>IF(AND($T157=1,CF$5&lt;=$H157),INDEX(Mortality!$B$4:$E$64,MATCH($D157+CF$5-1,Mortality!$A$4:$A$64,0),$U157)*$V157*$N157,0)</f>
        <v>0</v>
      </c>
      <c r="CG157" s="93">
        <f>IF(AND($T157=1,CG$5&lt;=$H157),INDEX(Mortality!$B$4:$E$64,MATCH($D157+CG$5-1,Mortality!$A$4:$A$64,0),$U157)*$V157*$N157,0)</f>
        <v>0</v>
      </c>
      <c r="CH157" s="94">
        <f>IF(AND($T157=1,CH$5&lt;=$H157),INDEX(Mortality!$B$4:$E$64,MATCH($D157+CH$5-1,Mortality!$A$4:$A$64,0),$U157)*$V157*$N157,0)</f>
        <v>0</v>
      </c>
      <c r="CI157" s="26"/>
      <c r="CJ157" s="419">
        <f t="shared" si="53"/>
        <v>1</v>
      </c>
      <c r="CK157" s="93">
        <f>IF(AND($T157=1,CK$5&lt;=$H157),CJ157*(1-AU157)*(1-MIN(1,MAX(Assumptions!$C$27,Assumptions!$C$13*Assumptions!$C$28^(CJ$5-1))*$O157)),0)</f>
        <v>0.87489030353234853</v>
      </c>
      <c r="CL157" s="93">
        <f>IF(AND($T157=1,CL$5&lt;=$H157),CK157*(1-AV157)*(1-MIN(1,MAX(Assumptions!$C$27,Assumptions!$C$13*Assumptions!$C$28^(CK$5-1))*$O157)),0)</f>
        <v>0.78070968388224526</v>
      </c>
      <c r="CM157" s="93">
        <f>IF(AND($T157=1,CM$5&lt;=$H157),CL157*(1-AW157)*(1-MIN(1,MAX(Assumptions!$C$27,Assumptions!$C$13*Assumptions!$C$28^(CL$5-1))*$O157)),0)</f>
        <v>0.70816365021399552</v>
      </c>
      <c r="CN157" s="93">
        <f>IF(AND($T157=1,CN$5&lt;=$H157),CM157*(1-AX157)*(1-MIN(1,MAX(Assumptions!$C$27,Assumptions!$C$13*Assumptions!$C$28^(CM$5-1))*$O157)),0)</f>
        <v>0.65113346356317325</v>
      </c>
      <c r="CO157" s="93">
        <f>IF(AND($T157=1,CO$5&lt;=$H157),CN157*(1-AY157)*(1-MIN(1,MAX(Assumptions!$C$27,Assumptions!$C$13*Assumptions!$C$28^(CN$5-1))*$O157)),0)</f>
        <v>0.60546549267269723</v>
      </c>
      <c r="CP157" s="93">
        <f>IF(AND($T157=1,CP$5&lt;=$H157),CO157*(1-AZ157)*(1-MIN(1,MAX(Assumptions!$C$27,Assumptions!$C$13*Assumptions!$C$28^(CO$5-1))*$O157)),0)</f>
        <v>0.5682622659448453</v>
      </c>
      <c r="CQ157" s="93">
        <f>IF(AND($T157=1,CQ$5&lt;=$H157),CP157*(1-BA157)*(1-MIN(1,MAX(Assumptions!$C$27,Assumptions!$C$13*Assumptions!$C$28^(CP$5-1))*$O157)),0)</f>
        <v>0.537452820192167</v>
      </c>
      <c r="CR157" s="93">
        <f>IF(AND($T157=1,CR$5&lt;=$H157),CQ157*(1-BB157)*(1-MIN(1,MAX(Assumptions!$C$27,Assumptions!$C$13*Assumptions!$C$28^(CQ$5-1))*$O157)),0)</f>
        <v>0.51152425012808189</v>
      </c>
      <c r="CS157" s="93">
        <f>IF(AND($T157=1,CS$5&lt;=$H157),CR157*(1-BC157)*(1-MIN(1,MAX(Assumptions!$C$27,Assumptions!$C$13*Assumptions!$C$28^(CR$5-1))*$O157)),0)</f>
        <v>0.48934933984219126</v>
      </c>
      <c r="CT157" s="93">
        <f>IF(AND($T157=1,CT$5&lt;=$H157),CS157*(1-BD157)*(1-MIN(1,MAX(Assumptions!$C$27,Assumptions!$C$13*Assumptions!$C$28^(CS$5-1))*$O157)),0)</f>
        <v>0</v>
      </c>
      <c r="CU157" s="93">
        <f>IF(AND($T157=1,CU$5&lt;=$H157),CT157*(1-BE157)*(1-MIN(1,MAX(Assumptions!$C$27,Assumptions!$C$13*Assumptions!$C$28^(CT$5-1))*$O157)),0)</f>
        <v>0</v>
      </c>
      <c r="CV157" s="93">
        <f>IF(AND($T157=1,CV$5&lt;=$H157),CU157*(1-BF157)*(1-MIN(1,MAX(Assumptions!$C$27,Assumptions!$C$13*Assumptions!$C$28^(CU$5-1))*$O157)),0)</f>
        <v>0</v>
      </c>
      <c r="CW157" s="93">
        <f>IF(AND($T157=1,CW$5&lt;=$H157),CV157*(1-BG157)*(1-MIN(1,MAX(Assumptions!$C$27,Assumptions!$C$13*Assumptions!$C$28^(CV$5-1))*$O157)),0)</f>
        <v>0</v>
      </c>
      <c r="CX157" s="93">
        <f>IF(AND($T157=1,CX$5&lt;=$H157),CW157*(1-BH157)*(1-MIN(1,MAX(Assumptions!$C$27,Assumptions!$C$13*Assumptions!$C$28^(CW$5-1))*$O157)),0)</f>
        <v>0</v>
      </c>
      <c r="CY157" s="93">
        <f>IF(AND($T157=1,CY$5&lt;=$H157),CX157*(1-BI157)*(1-MIN(1,MAX(Assumptions!$C$27,Assumptions!$C$13*Assumptions!$C$28^(CX$5-1))*$O157)),0)</f>
        <v>0</v>
      </c>
      <c r="CZ157" s="93">
        <f>IF(AND($T157=1,CZ$5&lt;=$H157),CY157*(1-BJ157)*(1-MIN(1,MAX(Assumptions!$C$27,Assumptions!$C$13*Assumptions!$C$28^(CY$5-1))*$O157)),0)</f>
        <v>0</v>
      </c>
      <c r="DA157" s="93">
        <f>IF(AND($T157=1,DA$5&lt;=$H157),CZ157*(1-BK157)*(1-MIN(1,MAX(Assumptions!$C$27,Assumptions!$C$13*Assumptions!$C$28^(CZ$5-1))*$O157)),0)</f>
        <v>0</v>
      </c>
      <c r="DB157" s="93">
        <f>IF(AND($T157=1,DB$5&lt;=$H157),DA157*(1-BL157)*(1-MIN(1,MAX(Assumptions!$C$27,Assumptions!$C$13*Assumptions!$C$28^(DA$5-1))*$O157)),0)</f>
        <v>0</v>
      </c>
      <c r="DC157" s="93">
        <f>IF(AND($T157=1,DC$5&lt;=$H157),DB157*(1-BM157)*(1-MIN(1,MAX(Assumptions!$C$27,Assumptions!$C$13*Assumptions!$C$28^(DB$5-1))*$O157)),0)</f>
        <v>0</v>
      </c>
      <c r="DD157" s="93">
        <f>IF(AND($T157=1,DD$5&lt;=$H157),DC157*(1-BN157)*(1-MIN(1,MAX(Assumptions!$C$27,Assumptions!$C$13*Assumptions!$C$28^(DC$5-1))*$O157)),0)</f>
        <v>0</v>
      </c>
      <c r="DE157" s="93">
        <f>IF(AND($T157=1,DE$5&lt;=$H157),DD157*(1-BO157)*(1-MIN(1,MAX(Assumptions!$C$27,Assumptions!$C$13*Assumptions!$C$28^(DD$5-1))*$O157)),0)</f>
        <v>0</v>
      </c>
      <c r="DF157" s="93">
        <f>IF(AND($T157=1,DF$5&lt;=$H157),DE157*(1-BP157)*(1-MIN(1,MAX(Assumptions!$C$27,Assumptions!$C$13*Assumptions!$C$28^(DE$5-1))*$O157)),0)</f>
        <v>0</v>
      </c>
      <c r="DG157" s="93">
        <f>IF(AND($T157=1,DG$5&lt;=$H157),DF157*(1-BQ157)*(1-MIN(1,MAX(Assumptions!$C$27,Assumptions!$C$13*Assumptions!$C$28^(DF$5-1))*$O157)),0)</f>
        <v>0</v>
      </c>
      <c r="DH157" s="93">
        <f>IF(AND($T157=1,DH$5&lt;=$H157),DG157*(1-BR157)*(1-MIN(1,MAX(Assumptions!$C$27,Assumptions!$C$13*Assumptions!$C$28^(DG$5-1))*$O157)),0)</f>
        <v>0</v>
      </c>
      <c r="DI157" s="93">
        <f>IF(AND($T157=1,DI$5&lt;=$H157),DH157*(1-BS157)*(1-MIN(1,MAX(Assumptions!$C$27,Assumptions!$C$13*Assumptions!$C$28^(DH$5-1))*$O157)),0)</f>
        <v>0</v>
      </c>
      <c r="DJ157" s="93">
        <f>IF(AND($T157=1,DJ$5&lt;=$H157),DI157*(1-BT157)*(1-MIN(1,MAX(Assumptions!$C$27,Assumptions!$C$13*Assumptions!$C$28^(DI$5-1))*$O157)),0)</f>
        <v>0</v>
      </c>
      <c r="DK157" s="93">
        <f>IF(AND($T157=1,DK$5&lt;=$H157),DJ157*(1-BU157)*(1-MIN(1,MAX(Assumptions!$C$27,Assumptions!$C$13*Assumptions!$C$28^(DJ$5-1))*$O157)),0)</f>
        <v>0</v>
      </c>
      <c r="DL157" s="93">
        <f>IF(AND($T157=1,DL$5&lt;=$H157),DK157*(1-BV157)*(1-MIN(1,MAX(Assumptions!$C$27,Assumptions!$C$13*Assumptions!$C$28^(DK$5-1))*$O157)),0)</f>
        <v>0</v>
      </c>
      <c r="DM157" s="93">
        <f>IF(AND($T157=1,DM$5&lt;=$H157),DL157*(1-BW157)*(1-MIN(1,MAX(Assumptions!$C$27,Assumptions!$C$13*Assumptions!$C$28^(DL$5-1))*$O157)),0)</f>
        <v>0</v>
      </c>
      <c r="DN157" s="93">
        <f>IF(AND($T157=1,DN$5&lt;=$H157),DM157*(1-BX157)*(1-MIN(1,MAX(Assumptions!$C$27,Assumptions!$C$13*Assumptions!$C$28^(DM$5-1))*$O157)),0)</f>
        <v>0</v>
      </c>
      <c r="DO157" s="93">
        <f>IF(AND($T157=1,DO$5&lt;=$H157),DN157*(1-BY157)*(1-MIN(1,MAX(Assumptions!$C$27,Assumptions!$C$13*Assumptions!$C$28^(DN$5-1))*$O157)),0)</f>
        <v>0</v>
      </c>
      <c r="DP157" s="93">
        <f>IF(AND($T157=1,DP$5&lt;=$H157),DO157*(1-BZ157)*(1-MIN(1,MAX(Assumptions!$C$27,Assumptions!$C$13*Assumptions!$C$28^(DO$5-1))*$O157)),0)</f>
        <v>0</v>
      </c>
      <c r="DQ157" s="93">
        <f>IF(AND($T157=1,DQ$5&lt;=$H157),DP157*(1-CA157)*(1-MIN(1,MAX(Assumptions!$C$27,Assumptions!$C$13*Assumptions!$C$28^(DP$5-1))*$O157)),0)</f>
        <v>0</v>
      </c>
      <c r="DR157" s="93">
        <f>IF(AND($T157=1,DR$5&lt;=$H157),DQ157*(1-CB157)*(1-MIN(1,MAX(Assumptions!$C$27,Assumptions!$C$13*Assumptions!$C$28^(DQ$5-1))*$O157)),0)</f>
        <v>0</v>
      </c>
      <c r="DS157" s="93">
        <f>IF(AND($T157=1,DS$5&lt;=$H157),DR157*(1-CC157)*(1-MIN(1,MAX(Assumptions!$C$27,Assumptions!$C$13*Assumptions!$C$28^(DR$5-1))*$O157)),0)</f>
        <v>0</v>
      </c>
      <c r="DT157" s="93">
        <f>IF(AND($T157=1,DT$5&lt;=$H157),DS157*(1-CD157)*(1-MIN(1,MAX(Assumptions!$C$27,Assumptions!$C$13*Assumptions!$C$28^(DS$5-1))*$O157)),0)</f>
        <v>0</v>
      </c>
      <c r="DU157" s="93">
        <f>IF(AND($T157=1,DU$5&lt;=$H157),DT157*(1-CE157)*(1-MIN(1,MAX(Assumptions!$C$27,Assumptions!$C$13*Assumptions!$C$28^(DT$5-1))*$O157)),0)</f>
        <v>0</v>
      </c>
      <c r="DV157" s="93">
        <f>IF(AND($T157=1,DV$5&lt;=$H157),DU157*(1-CF157)*(1-MIN(1,MAX(Assumptions!$C$27,Assumptions!$C$13*Assumptions!$C$28^(DU$5-1))*$O157)),0)</f>
        <v>0</v>
      </c>
      <c r="DW157" s="94">
        <f>IF(AND($T157=1,DW$5&lt;=$H157),DV157*(1-CG157)*(1-MIN(1,MAX(Assumptions!$C$27,Assumptions!$C$13*Assumptions!$C$28^(DV$5-1))*$O157)),0)</f>
        <v>0</v>
      </c>
      <c r="DX157" s="26"/>
      <c r="DY157" s="399">
        <f>'Policy Data'!K131</f>
        <v>7</v>
      </c>
      <c r="DZ157" s="100">
        <f>'Policy Data'!L131</f>
        <v>0.81669999999999998</v>
      </c>
      <c r="EA157" s="100">
        <f>'Policy Data'!N131</f>
        <v>4.7419999999999997E-3</v>
      </c>
      <c r="EB157" s="93" cm="1">
        <f t="array" ref="EB157">IFERROR(DZ157*INDEX(Mortality!$B$4:$E$64,MATCH(D157+DY157-1,Mortality!$A$4:$A$64,0),U157)*V157,0)</f>
        <v>7.6636619100820492E-3</v>
      </c>
      <c r="EC157" s="100">
        <f>'Policy Data'!O131</f>
        <v>0</v>
      </c>
      <c r="ED157" s="400">
        <f>'Policy Data'!Q131</f>
        <v>0</v>
      </c>
    </row>
    <row r="158" spans="1:134" x14ac:dyDescent="0.3">
      <c r="A158" s="399" t="str">
        <f>'Policy Data'!A132</f>
        <v>POL100128</v>
      </c>
      <c r="B158" s="26" t="s">
        <v>426</v>
      </c>
      <c r="C158" s="100" t="str">
        <f>'Policy Data'!B132</f>
        <v>Unit-Linked</v>
      </c>
      <c r="D158" s="100">
        <f>'Policy Data'!C132</f>
        <v>34</v>
      </c>
      <c r="E158" s="100" t="str">
        <f>'Policy Data'!D132</f>
        <v>Female</v>
      </c>
      <c r="F158" s="100" t="str">
        <f>'Policy Data'!E132</f>
        <v>Non-smoker</v>
      </c>
      <c r="G158" s="100" t="str">
        <f>'Policy Data'!F132</f>
        <v>Preferred</v>
      </c>
      <c r="H158" s="100">
        <f>'Policy Data'!G132</f>
        <v>25</v>
      </c>
      <c r="I158" s="279">
        <f>'Policy Data'!H132</f>
        <v>500000</v>
      </c>
      <c r="J158" s="100" t="str">
        <f>'Policy Data'!I132</f>
        <v>Annual</v>
      </c>
      <c r="K158" s="100" t="str">
        <f>'Policy Data'!J132</f>
        <v>Direct</v>
      </c>
      <c r="L158" s="26" t="s">
        <v>389</v>
      </c>
      <c r="M158" s="106">
        <f>'Policy Data'!R132</f>
        <v>9743.4</v>
      </c>
      <c r="N158" s="415">
        <f>Assumptions!$C$21</f>
        <v>1</v>
      </c>
      <c r="O158" s="415">
        <f>Assumptions!$C$22</f>
        <v>1</v>
      </c>
      <c r="P158" s="415">
        <f>Assumptions!$C$23</f>
        <v>1</v>
      </c>
      <c r="Q158" s="416">
        <f>Assumptions!$C$24</f>
        <v>0</v>
      </c>
      <c r="R158" s="416">
        <f>Assumptions!$C$6+Assumptions!$C$25</f>
        <v>3.5000000000000003E-2</v>
      </c>
      <c r="S158" s="416">
        <f>Assumptions!$C$15</f>
        <v>1.1000000000000001E-3</v>
      </c>
      <c r="T158" s="26">
        <f t="shared" ref="T158:T221" si="54">IF(AND($C158="Term Life",ISNUMBER($D158),$D158&gt;=20,$D158=INT($D158),$H158&gt;=1,$H158&lt;=40,$D158+$H158-1&lt;=80,$I158&gt;0,$N158&gt;=0,$O158&gt;=0,$P158&gt;=0,$R158&gt;-1),1,0)</f>
        <v>0</v>
      </c>
      <c r="U158" s="26">
        <f t="shared" ref="U158:U221" si="55">IF($E158="Female",IF($F158="Non-smoker",1,2),IF($F158="Non-smoker",3,4))</f>
        <v>1</v>
      </c>
      <c r="V158" s="389">
        <f>IF($G158="Preferred",Assumptions!$C$30,IF($G158="Rated",Assumptions!$C$31,1))</f>
        <v>0.8</v>
      </c>
      <c r="W158" s="390">
        <f>IF($K158="Direct",Assumptions!$C$32,IF($K158="Broker",Assumptions!$C$33,IF($K158="Bancassurance",Assumptions!$C$34,Assumptions!$C$11)))+$Q158</f>
        <v>0.1</v>
      </c>
      <c r="X158" s="390">
        <f>Assumptions!$C$12+$Q158</f>
        <v>0.05</v>
      </c>
      <c r="Y158" s="131">
        <f>MIN($I158,Assumptions!$C$14)</f>
        <v>500000</v>
      </c>
      <c r="Z158" s="131">
        <f>MAX($I158-Assumptions!$C$14,0)</f>
        <v>0</v>
      </c>
      <c r="AA158" s="389">
        <f t="shared" ref="AA158:AA221" si="56">IF($T158=1,SUMPRODUCT($CJ158:$DW158,(1+$R158)^(-$CJ$5:$DW$5)),0)</f>
        <v>0</v>
      </c>
      <c r="AB158" s="389">
        <f t="shared" ref="AB158:AB221" si="57">IF($T158=1,SUMPRODUCT($CJ158:$DW158,$AU158:$CH158,(1+$R158)^(-$CJ$5:$DW$5)),0)</f>
        <v>0</v>
      </c>
      <c r="AC158" s="389">
        <f>IF($T158=1,SUMPRODUCT($CJ158:$DW158,(1+Assumptions!$C$5)^($CJ$5:$DW$5-1),(1+$R158)^(-$CJ$5:$DW$5)),0)</f>
        <v>0</v>
      </c>
      <c r="AD158" s="389">
        <f t="shared" ref="AD158:AD221" si="58">IF($T158=1,$W158/(1+$R158)+$X158*($AA158-1/(1+$R158)),0)</f>
        <v>0</v>
      </c>
      <c r="AE158" s="131">
        <f>IF($T158=1,$AB158*$Y158+(Assumptions!$C$9/(1+$R158)+Assumptions!$C$10*$AC158)*$P158+$S158*$Z158*$AA158,0)</f>
        <v>0</v>
      </c>
      <c r="AF158" s="131" t="str">
        <f>IF($T158=1,IF($AA158-$AD158-Assumptions!$C$16*$AA158&gt;0,$AE158/($AA158-$AD158-Assumptions!$C$16*$AA158)*IF($J158="Monthly",1+Assumptions!$C$29,1),"n.a."),"")</f>
        <v/>
      </c>
      <c r="AG158" s="131" t="str">
        <f t="shared" ref="AG158:AG221" si="59">IF($T158=1,IF($L158="Technical",$AF158,$M158),"")</f>
        <v/>
      </c>
      <c r="AH158" s="131" t="str">
        <f t="shared" ref="AH158:AH221" si="60">IF($T158=1,$AG158*$AA158,"")</f>
        <v/>
      </c>
      <c r="AI158" s="131" t="str">
        <f t="shared" ref="AI158:AI221" si="61">IF($T158=1,$AG158*($AA158-$AD158)-$AE158,"")</f>
        <v/>
      </c>
      <c r="AJ158" s="390" t="str">
        <f t="shared" ref="AJ158:AJ221" si="62">IF($T158=1,IF($AH158=0,"",$AI158/$AH158),"")</f>
        <v/>
      </c>
      <c r="AK158" s="389" t="str">
        <f t="shared" ref="AK158:AK221" si="63">IF(AND($T158=1,ISNUMBER($AF158)),$M158/$AF158,"")</f>
        <v/>
      </c>
      <c r="AL158" s="131" t="str">
        <f t="shared" ref="AL158:AL221" si="64">IF($T158=1,$AB158*$Z158,"")</f>
        <v/>
      </c>
      <c r="AM158" s="131" t="str">
        <f t="shared" ref="AM158:AM221" si="65">IF($T158=1,$S158*$Z158*$AA158,"")</f>
        <v/>
      </c>
      <c r="AN158" s="131" t="str">
        <f t="shared" ref="AN158:AN221" si="66">IF($T158=1,$AL158-$AM158,"")</f>
        <v/>
      </c>
      <c r="AO158" s="131" t="str">
        <f t="shared" ref="AO158:AO221" si="67">IF($T158=1,$AI158-$AN158,"")</f>
        <v/>
      </c>
      <c r="AP158" s="26" t="str">
        <f t="shared" ref="AP158:AP221" si="68">IF($D158&lt;30,"20-29",IF($D158&lt;40,"30-39",IF($D158&lt;50,"40-49",IF($D158&lt;60,"50-59","60+"))))</f>
        <v>30-39</v>
      </c>
      <c r="AQ158" s="26" t="str">
        <f t="shared" ref="AQ158:AQ221" si="69">IF($I158&lt;=250000,"Up to 250k",IF($I158&lt;=500000,"250k-500k",IF($I158&lt;=1000000,"500k-1m","Over 1m")))</f>
        <v>250k-500k</v>
      </c>
      <c r="AR158" s="26" t="str">
        <f>IF($T158=1,IF($AI158&lt;0,"Loss-making",IF($AJ158&lt;Assumptions!$C$16-0.00001,"Below target","At/above target")),"Excluded")</f>
        <v>Excluded</v>
      </c>
      <c r="AS158" s="103">
        <f t="shared" ref="AS158:AS221" si="70">IF($T158=1,$AI158+ROW()/1000000,1E+99)</f>
        <v>9.9999999999999997E+98</v>
      </c>
      <c r="AT158" s="26"/>
      <c r="AU158" s="419">
        <f>IF(AND($T158=1,AU$5&lt;=$H158),INDEX(Mortality!$B$4:$E$64,MATCH($D158+AU$5-1,Mortality!$A$4:$A$64,0),$U158)*$V158*$N158,0)</f>
        <v>0</v>
      </c>
      <c r="AV158" s="93">
        <f>IF(AND($T158=1,AV$5&lt;=$H158),INDEX(Mortality!$B$4:$E$64,MATCH($D158+AV$5-1,Mortality!$A$4:$A$64,0),$U158)*$V158*$N158,0)</f>
        <v>0</v>
      </c>
      <c r="AW158" s="93">
        <f>IF(AND($T158=1,AW$5&lt;=$H158),INDEX(Mortality!$B$4:$E$64,MATCH($D158+AW$5-1,Mortality!$A$4:$A$64,0),$U158)*$V158*$N158,0)</f>
        <v>0</v>
      </c>
      <c r="AX158" s="93">
        <f>IF(AND($T158=1,AX$5&lt;=$H158),INDEX(Mortality!$B$4:$E$64,MATCH($D158+AX$5-1,Mortality!$A$4:$A$64,0),$U158)*$V158*$N158,0)</f>
        <v>0</v>
      </c>
      <c r="AY158" s="93">
        <f>IF(AND($T158=1,AY$5&lt;=$H158),INDEX(Mortality!$B$4:$E$64,MATCH($D158+AY$5-1,Mortality!$A$4:$A$64,0),$U158)*$V158*$N158,0)</f>
        <v>0</v>
      </c>
      <c r="AZ158" s="93">
        <f>IF(AND($T158=1,AZ$5&lt;=$H158),INDEX(Mortality!$B$4:$E$64,MATCH($D158+AZ$5-1,Mortality!$A$4:$A$64,0),$U158)*$V158*$N158,0)</f>
        <v>0</v>
      </c>
      <c r="BA158" s="93">
        <f>IF(AND($T158=1,BA$5&lt;=$H158),INDEX(Mortality!$B$4:$E$64,MATCH($D158+BA$5-1,Mortality!$A$4:$A$64,0),$U158)*$V158*$N158,0)</f>
        <v>0</v>
      </c>
      <c r="BB158" s="93">
        <f>IF(AND($T158=1,BB$5&lt;=$H158),INDEX(Mortality!$B$4:$E$64,MATCH($D158+BB$5-1,Mortality!$A$4:$A$64,0),$U158)*$V158*$N158,0)</f>
        <v>0</v>
      </c>
      <c r="BC158" s="93">
        <f>IF(AND($T158=1,BC$5&lt;=$H158),INDEX(Mortality!$B$4:$E$64,MATCH($D158+BC$5-1,Mortality!$A$4:$A$64,0),$U158)*$V158*$N158,0)</f>
        <v>0</v>
      </c>
      <c r="BD158" s="93">
        <f>IF(AND($T158=1,BD$5&lt;=$H158),INDEX(Mortality!$B$4:$E$64,MATCH($D158+BD$5-1,Mortality!$A$4:$A$64,0),$U158)*$V158*$N158,0)</f>
        <v>0</v>
      </c>
      <c r="BE158" s="93">
        <f>IF(AND($T158=1,BE$5&lt;=$H158),INDEX(Mortality!$B$4:$E$64,MATCH($D158+BE$5-1,Mortality!$A$4:$A$64,0),$U158)*$V158*$N158,0)</f>
        <v>0</v>
      </c>
      <c r="BF158" s="93">
        <f>IF(AND($T158=1,BF$5&lt;=$H158),INDEX(Mortality!$B$4:$E$64,MATCH($D158+BF$5-1,Mortality!$A$4:$A$64,0),$U158)*$V158*$N158,0)</f>
        <v>0</v>
      </c>
      <c r="BG158" s="93">
        <f>IF(AND($T158=1,BG$5&lt;=$H158),INDEX(Mortality!$B$4:$E$64,MATCH($D158+BG$5-1,Mortality!$A$4:$A$64,0),$U158)*$V158*$N158,0)</f>
        <v>0</v>
      </c>
      <c r="BH158" s="93">
        <f>IF(AND($T158=1,BH$5&lt;=$H158),INDEX(Mortality!$B$4:$E$64,MATCH($D158+BH$5-1,Mortality!$A$4:$A$64,0),$U158)*$V158*$N158,0)</f>
        <v>0</v>
      </c>
      <c r="BI158" s="93">
        <f>IF(AND($T158=1,BI$5&lt;=$H158),INDEX(Mortality!$B$4:$E$64,MATCH($D158+BI$5-1,Mortality!$A$4:$A$64,0),$U158)*$V158*$N158,0)</f>
        <v>0</v>
      </c>
      <c r="BJ158" s="93">
        <f>IF(AND($T158=1,BJ$5&lt;=$H158),INDEX(Mortality!$B$4:$E$64,MATCH($D158+BJ$5-1,Mortality!$A$4:$A$64,0),$U158)*$V158*$N158,0)</f>
        <v>0</v>
      </c>
      <c r="BK158" s="93">
        <f>IF(AND($T158=1,BK$5&lt;=$H158),INDEX(Mortality!$B$4:$E$64,MATCH($D158+BK$5-1,Mortality!$A$4:$A$64,0),$U158)*$V158*$N158,0)</f>
        <v>0</v>
      </c>
      <c r="BL158" s="93">
        <f>IF(AND($T158=1,BL$5&lt;=$H158),INDEX(Mortality!$B$4:$E$64,MATCH($D158+BL$5-1,Mortality!$A$4:$A$64,0),$U158)*$V158*$N158,0)</f>
        <v>0</v>
      </c>
      <c r="BM158" s="93">
        <f>IF(AND($T158=1,BM$5&lt;=$H158),INDEX(Mortality!$B$4:$E$64,MATCH($D158+BM$5-1,Mortality!$A$4:$A$64,0),$U158)*$V158*$N158,0)</f>
        <v>0</v>
      </c>
      <c r="BN158" s="93">
        <f>IF(AND($T158=1,BN$5&lt;=$H158),INDEX(Mortality!$B$4:$E$64,MATCH($D158+BN$5-1,Mortality!$A$4:$A$64,0),$U158)*$V158*$N158,0)</f>
        <v>0</v>
      </c>
      <c r="BO158" s="93">
        <f>IF(AND($T158=1,BO$5&lt;=$H158),INDEX(Mortality!$B$4:$E$64,MATCH($D158+BO$5-1,Mortality!$A$4:$A$64,0),$U158)*$V158*$N158,0)</f>
        <v>0</v>
      </c>
      <c r="BP158" s="93">
        <f>IF(AND($T158=1,BP$5&lt;=$H158),INDEX(Mortality!$B$4:$E$64,MATCH($D158+BP$5-1,Mortality!$A$4:$A$64,0),$U158)*$V158*$N158,0)</f>
        <v>0</v>
      </c>
      <c r="BQ158" s="93">
        <f>IF(AND($T158=1,BQ$5&lt;=$H158),INDEX(Mortality!$B$4:$E$64,MATCH($D158+BQ$5-1,Mortality!$A$4:$A$64,0),$U158)*$V158*$N158,0)</f>
        <v>0</v>
      </c>
      <c r="BR158" s="93">
        <f>IF(AND($T158=1,BR$5&lt;=$H158),INDEX(Mortality!$B$4:$E$64,MATCH($D158+BR$5-1,Mortality!$A$4:$A$64,0),$U158)*$V158*$N158,0)</f>
        <v>0</v>
      </c>
      <c r="BS158" s="93">
        <f>IF(AND($T158=1,BS$5&lt;=$H158),INDEX(Mortality!$B$4:$E$64,MATCH($D158+BS$5-1,Mortality!$A$4:$A$64,0),$U158)*$V158*$N158,0)</f>
        <v>0</v>
      </c>
      <c r="BT158" s="93">
        <f>IF(AND($T158=1,BT$5&lt;=$H158),INDEX(Mortality!$B$4:$E$64,MATCH($D158+BT$5-1,Mortality!$A$4:$A$64,0),$U158)*$V158*$N158,0)</f>
        <v>0</v>
      </c>
      <c r="BU158" s="93">
        <f>IF(AND($T158=1,BU$5&lt;=$H158),INDEX(Mortality!$B$4:$E$64,MATCH($D158+BU$5-1,Mortality!$A$4:$A$64,0),$U158)*$V158*$N158,0)</f>
        <v>0</v>
      </c>
      <c r="BV158" s="93">
        <f>IF(AND($T158=1,BV$5&lt;=$H158),INDEX(Mortality!$B$4:$E$64,MATCH($D158+BV$5-1,Mortality!$A$4:$A$64,0),$U158)*$V158*$N158,0)</f>
        <v>0</v>
      </c>
      <c r="BW158" s="93">
        <f>IF(AND($T158=1,BW$5&lt;=$H158),INDEX(Mortality!$B$4:$E$64,MATCH($D158+BW$5-1,Mortality!$A$4:$A$64,0),$U158)*$V158*$N158,0)</f>
        <v>0</v>
      </c>
      <c r="BX158" s="93">
        <f>IF(AND($T158=1,BX$5&lt;=$H158),INDEX(Mortality!$B$4:$E$64,MATCH($D158+BX$5-1,Mortality!$A$4:$A$64,0),$U158)*$V158*$N158,0)</f>
        <v>0</v>
      </c>
      <c r="BY158" s="93">
        <f>IF(AND($T158=1,BY$5&lt;=$H158),INDEX(Mortality!$B$4:$E$64,MATCH($D158+BY$5-1,Mortality!$A$4:$A$64,0),$U158)*$V158*$N158,0)</f>
        <v>0</v>
      </c>
      <c r="BZ158" s="93">
        <f>IF(AND($T158=1,BZ$5&lt;=$H158),INDEX(Mortality!$B$4:$E$64,MATCH($D158+BZ$5-1,Mortality!$A$4:$A$64,0),$U158)*$V158*$N158,0)</f>
        <v>0</v>
      </c>
      <c r="CA158" s="93">
        <f>IF(AND($T158=1,CA$5&lt;=$H158),INDEX(Mortality!$B$4:$E$64,MATCH($D158+CA$5-1,Mortality!$A$4:$A$64,0),$U158)*$V158*$N158,0)</f>
        <v>0</v>
      </c>
      <c r="CB158" s="93">
        <f>IF(AND($T158=1,CB$5&lt;=$H158),INDEX(Mortality!$B$4:$E$64,MATCH($D158+CB$5-1,Mortality!$A$4:$A$64,0),$U158)*$V158*$N158,0)</f>
        <v>0</v>
      </c>
      <c r="CC158" s="93">
        <f>IF(AND($T158=1,CC$5&lt;=$H158),INDEX(Mortality!$B$4:$E$64,MATCH($D158+CC$5-1,Mortality!$A$4:$A$64,0),$U158)*$V158*$N158,0)</f>
        <v>0</v>
      </c>
      <c r="CD158" s="93">
        <f>IF(AND($T158=1,CD$5&lt;=$H158),INDEX(Mortality!$B$4:$E$64,MATCH($D158+CD$5-1,Mortality!$A$4:$A$64,0),$U158)*$V158*$N158,0)</f>
        <v>0</v>
      </c>
      <c r="CE158" s="93">
        <f>IF(AND($T158=1,CE$5&lt;=$H158),INDEX(Mortality!$B$4:$E$64,MATCH($D158+CE$5-1,Mortality!$A$4:$A$64,0),$U158)*$V158*$N158,0)</f>
        <v>0</v>
      </c>
      <c r="CF158" s="93">
        <f>IF(AND($T158=1,CF$5&lt;=$H158),INDEX(Mortality!$B$4:$E$64,MATCH($D158+CF$5-1,Mortality!$A$4:$A$64,0),$U158)*$V158*$N158,0)</f>
        <v>0</v>
      </c>
      <c r="CG158" s="93">
        <f>IF(AND($T158=1,CG$5&lt;=$H158),INDEX(Mortality!$B$4:$E$64,MATCH($D158+CG$5-1,Mortality!$A$4:$A$64,0),$U158)*$V158*$N158,0)</f>
        <v>0</v>
      </c>
      <c r="CH158" s="94">
        <f>IF(AND($T158=1,CH$5&lt;=$H158),INDEX(Mortality!$B$4:$E$64,MATCH($D158+CH$5-1,Mortality!$A$4:$A$64,0),$U158)*$V158*$N158,0)</f>
        <v>0</v>
      </c>
      <c r="CI158" s="26"/>
      <c r="CJ158" s="419">
        <f t="shared" ref="CJ158:CJ221" si="71">IF($T158=1,1,0)</f>
        <v>0</v>
      </c>
      <c r="CK158" s="93">
        <f>IF(AND($T158=1,CK$5&lt;=$H158),CJ158*(1-AU158)*(1-MIN(1,MAX(Assumptions!$C$27,Assumptions!$C$13*Assumptions!$C$28^(CJ$5-1))*$O158)),0)</f>
        <v>0</v>
      </c>
      <c r="CL158" s="93">
        <f>IF(AND($T158=1,CL$5&lt;=$H158),CK158*(1-AV158)*(1-MIN(1,MAX(Assumptions!$C$27,Assumptions!$C$13*Assumptions!$C$28^(CK$5-1))*$O158)),0)</f>
        <v>0</v>
      </c>
      <c r="CM158" s="93">
        <f>IF(AND($T158=1,CM$5&lt;=$H158),CL158*(1-AW158)*(1-MIN(1,MAX(Assumptions!$C$27,Assumptions!$C$13*Assumptions!$C$28^(CL$5-1))*$O158)),0)</f>
        <v>0</v>
      </c>
      <c r="CN158" s="93">
        <f>IF(AND($T158=1,CN$5&lt;=$H158),CM158*(1-AX158)*(1-MIN(1,MAX(Assumptions!$C$27,Assumptions!$C$13*Assumptions!$C$28^(CM$5-1))*$O158)),0)</f>
        <v>0</v>
      </c>
      <c r="CO158" s="93">
        <f>IF(AND($T158=1,CO$5&lt;=$H158),CN158*(1-AY158)*(1-MIN(1,MAX(Assumptions!$C$27,Assumptions!$C$13*Assumptions!$C$28^(CN$5-1))*$O158)),0)</f>
        <v>0</v>
      </c>
      <c r="CP158" s="93">
        <f>IF(AND($T158=1,CP$5&lt;=$H158),CO158*(1-AZ158)*(1-MIN(1,MAX(Assumptions!$C$27,Assumptions!$C$13*Assumptions!$C$28^(CO$5-1))*$O158)),0)</f>
        <v>0</v>
      </c>
      <c r="CQ158" s="93">
        <f>IF(AND($T158=1,CQ$5&lt;=$H158),CP158*(1-BA158)*(1-MIN(1,MAX(Assumptions!$C$27,Assumptions!$C$13*Assumptions!$C$28^(CP$5-1))*$O158)),0)</f>
        <v>0</v>
      </c>
      <c r="CR158" s="93">
        <f>IF(AND($T158=1,CR$5&lt;=$H158),CQ158*(1-BB158)*(1-MIN(1,MAX(Assumptions!$C$27,Assumptions!$C$13*Assumptions!$C$28^(CQ$5-1))*$O158)),0)</f>
        <v>0</v>
      </c>
      <c r="CS158" s="93">
        <f>IF(AND($T158=1,CS$5&lt;=$H158),CR158*(1-BC158)*(1-MIN(1,MAX(Assumptions!$C$27,Assumptions!$C$13*Assumptions!$C$28^(CR$5-1))*$O158)),0)</f>
        <v>0</v>
      </c>
      <c r="CT158" s="93">
        <f>IF(AND($T158=1,CT$5&lt;=$H158),CS158*(1-BD158)*(1-MIN(1,MAX(Assumptions!$C$27,Assumptions!$C$13*Assumptions!$C$28^(CS$5-1))*$O158)),0)</f>
        <v>0</v>
      </c>
      <c r="CU158" s="93">
        <f>IF(AND($T158=1,CU$5&lt;=$H158),CT158*(1-BE158)*(1-MIN(1,MAX(Assumptions!$C$27,Assumptions!$C$13*Assumptions!$C$28^(CT$5-1))*$O158)),0)</f>
        <v>0</v>
      </c>
      <c r="CV158" s="93">
        <f>IF(AND($T158=1,CV$5&lt;=$H158),CU158*(1-BF158)*(1-MIN(1,MAX(Assumptions!$C$27,Assumptions!$C$13*Assumptions!$C$28^(CU$5-1))*$O158)),0)</f>
        <v>0</v>
      </c>
      <c r="CW158" s="93">
        <f>IF(AND($T158=1,CW$5&lt;=$H158),CV158*(1-BG158)*(1-MIN(1,MAX(Assumptions!$C$27,Assumptions!$C$13*Assumptions!$C$28^(CV$5-1))*$O158)),0)</f>
        <v>0</v>
      </c>
      <c r="CX158" s="93">
        <f>IF(AND($T158=1,CX$5&lt;=$H158),CW158*(1-BH158)*(1-MIN(1,MAX(Assumptions!$C$27,Assumptions!$C$13*Assumptions!$C$28^(CW$5-1))*$O158)),0)</f>
        <v>0</v>
      </c>
      <c r="CY158" s="93">
        <f>IF(AND($T158=1,CY$5&lt;=$H158),CX158*(1-BI158)*(1-MIN(1,MAX(Assumptions!$C$27,Assumptions!$C$13*Assumptions!$C$28^(CX$5-1))*$O158)),0)</f>
        <v>0</v>
      </c>
      <c r="CZ158" s="93">
        <f>IF(AND($T158=1,CZ$5&lt;=$H158),CY158*(1-BJ158)*(1-MIN(1,MAX(Assumptions!$C$27,Assumptions!$C$13*Assumptions!$C$28^(CY$5-1))*$O158)),0)</f>
        <v>0</v>
      </c>
      <c r="DA158" s="93">
        <f>IF(AND($T158=1,DA$5&lt;=$H158),CZ158*(1-BK158)*(1-MIN(1,MAX(Assumptions!$C$27,Assumptions!$C$13*Assumptions!$C$28^(CZ$5-1))*$O158)),0)</f>
        <v>0</v>
      </c>
      <c r="DB158" s="93">
        <f>IF(AND($T158=1,DB$5&lt;=$H158),DA158*(1-BL158)*(1-MIN(1,MAX(Assumptions!$C$27,Assumptions!$C$13*Assumptions!$C$28^(DA$5-1))*$O158)),0)</f>
        <v>0</v>
      </c>
      <c r="DC158" s="93">
        <f>IF(AND($T158=1,DC$5&lt;=$H158),DB158*(1-BM158)*(1-MIN(1,MAX(Assumptions!$C$27,Assumptions!$C$13*Assumptions!$C$28^(DB$5-1))*$O158)),0)</f>
        <v>0</v>
      </c>
      <c r="DD158" s="93">
        <f>IF(AND($T158=1,DD$5&lt;=$H158),DC158*(1-BN158)*(1-MIN(1,MAX(Assumptions!$C$27,Assumptions!$C$13*Assumptions!$C$28^(DC$5-1))*$O158)),0)</f>
        <v>0</v>
      </c>
      <c r="DE158" s="93">
        <f>IF(AND($T158=1,DE$5&lt;=$H158),DD158*(1-BO158)*(1-MIN(1,MAX(Assumptions!$C$27,Assumptions!$C$13*Assumptions!$C$28^(DD$5-1))*$O158)),0)</f>
        <v>0</v>
      </c>
      <c r="DF158" s="93">
        <f>IF(AND($T158=1,DF$5&lt;=$H158),DE158*(1-BP158)*(1-MIN(1,MAX(Assumptions!$C$27,Assumptions!$C$13*Assumptions!$C$28^(DE$5-1))*$O158)),0)</f>
        <v>0</v>
      </c>
      <c r="DG158" s="93">
        <f>IF(AND($T158=1,DG$5&lt;=$H158),DF158*(1-BQ158)*(1-MIN(1,MAX(Assumptions!$C$27,Assumptions!$C$13*Assumptions!$C$28^(DF$5-1))*$O158)),0)</f>
        <v>0</v>
      </c>
      <c r="DH158" s="93">
        <f>IF(AND($T158=1,DH$5&lt;=$H158),DG158*(1-BR158)*(1-MIN(1,MAX(Assumptions!$C$27,Assumptions!$C$13*Assumptions!$C$28^(DG$5-1))*$O158)),0)</f>
        <v>0</v>
      </c>
      <c r="DI158" s="93">
        <f>IF(AND($T158=1,DI$5&lt;=$H158),DH158*(1-BS158)*(1-MIN(1,MAX(Assumptions!$C$27,Assumptions!$C$13*Assumptions!$C$28^(DH$5-1))*$O158)),0)</f>
        <v>0</v>
      </c>
      <c r="DJ158" s="93">
        <f>IF(AND($T158=1,DJ$5&lt;=$H158),DI158*(1-BT158)*(1-MIN(1,MAX(Assumptions!$C$27,Assumptions!$C$13*Assumptions!$C$28^(DI$5-1))*$O158)),0)</f>
        <v>0</v>
      </c>
      <c r="DK158" s="93">
        <f>IF(AND($T158=1,DK$5&lt;=$H158),DJ158*(1-BU158)*(1-MIN(1,MAX(Assumptions!$C$27,Assumptions!$C$13*Assumptions!$C$28^(DJ$5-1))*$O158)),0)</f>
        <v>0</v>
      </c>
      <c r="DL158" s="93">
        <f>IF(AND($T158=1,DL$5&lt;=$H158),DK158*(1-BV158)*(1-MIN(1,MAX(Assumptions!$C$27,Assumptions!$C$13*Assumptions!$C$28^(DK$5-1))*$O158)),0)</f>
        <v>0</v>
      </c>
      <c r="DM158" s="93">
        <f>IF(AND($T158=1,DM$5&lt;=$H158),DL158*(1-BW158)*(1-MIN(1,MAX(Assumptions!$C$27,Assumptions!$C$13*Assumptions!$C$28^(DL$5-1))*$O158)),0)</f>
        <v>0</v>
      </c>
      <c r="DN158" s="93">
        <f>IF(AND($T158=1,DN$5&lt;=$H158),DM158*(1-BX158)*(1-MIN(1,MAX(Assumptions!$C$27,Assumptions!$C$13*Assumptions!$C$28^(DM$5-1))*$O158)),0)</f>
        <v>0</v>
      </c>
      <c r="DO158" s="93">
        <f>IF(AND($T158=1,DO$5&lt;=$H158),DN158*(1-BY158)*(1-MIN(1,MAX(Assumptions!$C$27,Assumptions!$C$13*Assumptions!$C$28^(DN$5-1))*$O158)),0)</f>
        <v>0</v>
      </c>
      <c r="DP158" s="93">
        <f>IF(AND($T158=1,DP$5&lt;=$H158),DO158*(1-BZ158)*(1-MIN(1,MAX(Assumptions!$C$27,Assumptions!$C$13*Assumptions!$C$28^(DO$5-1))*$O158)),0)</f>
        <v>0</v>
      </c>
      <c r="DQ158" s="93">
        <f>IF(AND($T158=1,DQ$5&lt;=$H158),DP158*(1-CA158)*(1-MIN(1,MAX(Assumptions!$C$27,Assumptions!$C$13*Assumptions!$C$28^(DP$5-1))*$O158)),0)</f>
        <v>0</v>
      </c>
      <c r="DR158" s="93">
        <f>IF(AND($T158=1,DR$5&lt;=$H158),DQ158*(1-CB158)*(1-MIN(1,MAX(Assumptions!$C$27,Assumptions!$C$13*Assumptions!$C$28^(DQ$5-1))*$O158)),0)</f>
        <v>0</v>
      </c>
      <c r="DS158" s="93">
        <f>IF(AND($T158=1,DS$5&lt;=$H158),DR158*(1-CC158)*(1-MIN(1,MAX(Assumptions!$C$27,Assumptions!$C$13*Assumptions!$C$28^(DR$5-1))*$O158)),0)</f>
        <v>0</v>
      </c>
      <c r="DT158" s="93">
        <f>IF(AND($T158=1,DT$5&lt;=$H158),DS158*(1-CD158)*(1-MIN(1,MAX(Assumptions!$C$27,Assumptions!$C$13*Assumptions!$C$28^(DS$5-1))*$O158)),0)</f>
        <v>0</v>
      </c>
      <c r="DU158" s="93">
        <f>IF(AND($T158=1,DU$5&lt;=$H158),DT158*(1-CE158)*(1-MIN(1,MAX(Assumptions!$C$27,Assumptions!$C$13*Assumptions!$C$28^(DT$5-1))*$O158)),0)</f>
        <v>0</v>
      </c>
      <c r="DV158" s="93">
        <f>IF(AND($T158=1,DV$5&lt;=$H158),DU158*(1-CF158)*(1-MIN(1,MAX(Assumptions!$C$27,Assumptions!$C$13*Assumptions!$C$28^(DU$5-1))*$O158)),0)</f>
        <v>0</v>
      </c>
      <c r="DW158" s="94">
        <f>IF(AND($T158=1,DW$5&lt;=$H158),DV158*(1-CG158)*(1-MIN(1,MAX(Assumptions!$C$27,Assumptions!$C$13*Assumptions!$C$28^(DV$5-1))*$O158)),0)</f>
        <v>0</v>
      </c>
      <c r="DX158" s="26"/>
      <c r="DY158" s="399">
        <f>'Policy Data'!K132</f>
        <v>6</v>
      </c>
      <c r="DZ158" s="100">
        <f>'Policy Data'!L132</f>
        <v>0.70050000000000001</v>
      </c>
      <c r="EA158" s="100">
        <f>'Policy Data'!N132</f>
        <v>2.9500000000000001E-4</v>
      </c>
      <c r="EB158" s="93" cm="1">
        <f t="array" ref="EB158">IFERROR(DZ158*INDEX(Mortality!$B$4:$E$64,MATCH(D158+DY158-1,Mortality!$A$4:$A$64,0),U158)*V158,0)</f>
        <v>4.4037392200114924E-4</v>
      </c>
      <c r="EC158" s="100">
        <f>'Policy Data'!O132</f>
        <v>0</v>
      </c>
      <c r="ED158" s="400">
        <f>'Policy Data'!Q132</f>
        <v>0</v>
      </c>
    </row>
    <row r="159" spans="1:134" x14ac:dyDescent="0.3">
      <c r="A159" s="399" t="str">
        <f>'Policy Data'!A133</f>
        <v>POL100129</v>
      </c>
      <c r="B159" s="26" t="s">
        <v>426</v>
      </c>
      <c r="C159" s="100" t="str">
        <f>'Policy Data'!B133</f>
        <v>Term Life</v>
      </c>
      <c r="D159" s="100">
        <f>'Policy Data'!C133</f>
        <v>34</v>
      </c>
      <c r="E159" s="100" t="str">
        <f>'Policy Data'!D133</f>
        <v>Male</v>
      </c>
      <c r="F159" s="100" t="str">
        <f>'Policy Data'!E133</f>
        <v>Non-smoker</v>
      </c>
      <c r="G159" s="100" t="str">
        <f>'Policy Data'!F133</f>
        <v>Preferred</v>
      </c>
      <c r="H159" s="100">
        <f>'Policy Data'!G133</f>
        <v>20</v>
      </c>
      <c r="I159" s="279">
        <f>'Policy Data'!H133</f>
        <v>500000</v>
      </c>
      <c r="J159" s="100" t="str">
        <f>'Policy Data'!I133</f>
        <v>Monthly</v>
      </c>
      <c r="K159" s="100" t="str">
        <f>'Policy Data'!J133</f>
        <v>Bancassurance</v>
      </c>
      <c r="L159" s="26" t="s">
        <v>389</v>
      </c>
      <c r="M159" s="106">
        <f>'Policy Data'!R133</f>
        <v>1200</v>
      </c>
      <c r="N159" s="415">
        <f>Assumptions!$C$21</f>
        <v>1</v>
      </c>
      <c r="O159" s="415">
        <f>Assumptions!$C$22</f>
        <v>1</v>
      </c>
      <c r="P159" s="415">
        <f>Assumptions!$C$23</f>
        <v>1</v>
      </c>
      <c r="Q159" s="416">
        <f>Assumptions!$C$24</f>
        <v>0</v>
      </c>
      <c r="R159" s="416">
        <f>Assumptions!$C$6+Assumptions!$C$25</f>
        <v>3.5000000000000003E-2</v>
      </c>
      <c r="S159" s="416">
        <f>Assumptions!$C$15</f>
        <v>1.1000000000000001E-3</v>
      </c>
      <c r="T159" s="26">
        <f t="shared" si="54"/>
        <v>1</v>
      </c>
      <c r="U159" s="26">
        <f t="shared" si="55"/>
        <v>3</v>
      </c>
      <c r="V159" s="389">
        <f>IF($G159="Preferred",Assumptions!$C$30,IF($G159="Rated",Assumptions!$C$31,1))</f>
        <v>0.8</v>
      </c>
      <c r="W159" s="390">
        <f>IF($K159="Direct",Assumptions!$C$32,IF($K159="Broker",Assumptions!$C$33,IF($K159="Bancassurance",Assumptions!$C$34,Assumptions!$C$11)))+$Q159</f>
        <v>0.2</v>
      </c>
      <c r="X159" s="390">
        <f>Assumptions!$C$12+$Q159</f>
        <v>0.05</v>
      </c>
      <c r="Y159" s="131">
        <f>MIN($I159,Assumptions!$C$14)</f>
        <v>500000</v>
      </c>
      <c r="Z159" s="131">
        <f>MAX($I159-Assumptions!$C$14,0)</f>
        <v>0</v>
      </c>
      <c r="AA159" s="389">
        <f t="shared" si="56"/>
        <v>8.5847999489143145</v>
      </c>
      <c r="AB159" s="389">
        <f t="shared" si="57"/>
        <v>9.4886085213192143E-3</v>
      </c>
      <c r="AC159" s="389">
        <f>IF($T159=1,SUMPRODUCT($CJ159:$DW159,(1+Assumptions!$C$5)^($CJ$5:$DW$5-1),(1+$R159)^(-$CJ$5:$DW$5)),0)</f>
        <v>11.55382085579604</v>
      </c>
      <c r="AD159" s="389">
        <f t="shared" si="58"/>
        <v>0.57416753367759976</v>
      </c>
      <c r="AE159" s="131">
        <f>IF($T159=1,$AB159*$Y159+(Assumptions!$C$9/(1+$R159)+Assumptions!$C$10*$AC159)*$P159+$S159*$Z159*$AA159,0)</f>
        <v>8155.7100663260408</v>
      </c>
      <c r="AF159" s="131">
        <f>IF($T159=1,IF($AA159-$AD159-Assumptions!$C$16*$AA159&gt;0,$AE159/($AA159-$AD159-Assumptions!$C$16*$AA159)*IF($J159="Monthly",1+Assumptions!$C$29,1),"n.a."),"")</f>
        <v>1146.9900641515026</v>
      </c>
      <c r="AG159" s="131">
        <f t="shared" si="59"/>
        <v>1200</v>
      </c>
      <c r="AH159" s="131">
        <f t="shared" si="60"/>
        <v>10301.759938697178</v>
      </c>
      <c r="AI159" s="131">
        <f t="shared" si="61"/>
        <v>1457.0488319580181</v>
      </c>
      <c r="AJ159" s="390">
        <f t="shared" si="62"/>
        <v>0.1414368846321889</v>
      </c>
      <c r="AK159" s="389">
        <f t="shared" si="63"/>
        <v>1.0462165606357821</v>
      </c>
      <c r="AL159" s="131">
        <f t="shared" si="64"/>
        <v>0</v>
      </c>
      <c r="AM159" s="131">
        <f t="shared" si="65"/>
        <v>0</v>
      </c>
      <c r="AN159" s="131">
        <f t="shared" si="66"/>
        <v>0</v>
      </c>
      <c r="AO159" s="131">
        <f t="shared" si="67"/>
        <v>1457.0488319580181</v>
      </c>
      <c r="AP159" s="26" t="str">
        <f t="shared" si="68"/>
        <v>30-39</v>
      </c>
      <c r="AQ159" s="26" t="str">
        <f t="shared" si="69"/>
        <v>250k-500k</v>
      </c>
      <c r="AR159" s="26" t="str">
        <f>IF($T159=1,IF($AI159&lt;0,"Loss-making",IF($AJ159&lt;Assumptions!$C$16-0.00001,"Below target","At/above target")),"Excluded")</f>
        <v>At/above target</v>
      </c>
      <c r="AS159" s="103">
        <f t="shared" si="70"/>
        <v>1457.0489909580181</v>
      </c>
      <c r="AT159" s="26"/>
      <c r="AU159" s="419">
        <f>IF(AND($T159=1,AU$5&lt;=$H159),INDEX(Mortality!$B$4:$E$64,MATCH($D159+AU$5-1,Mortality!$A$4:$A$64,0),$U159)*$V159*$N159,0)</f>
        <v>5.7013089443508651E-4</v>
      </c>
      <c r="AV159" s="93">
        <f>IF(AND($T159=1,AV$5&lt;=$H159),INDEX(Mortality!$B$4:$E$64,MATCH($D159+AV$5-1,Mortality!$A$4:$A$64,0),$U159)*$V159*$N159,0)</f>
        <v>6.176154248234856E-4</v>
      </c>
      <c r="AW159" s="93">
        <f>IF(AND($T159=1,AW$5&lt;=$H159),INDEX(Mortality!$B$4:$E$64,MATCH($D159+AW$5-1,Mortality!$A$4:$A$64,0),$U159)*$V159*$N159,0)</f>
        <v>6.6905480250785757E-4</v>
      </c>
      <c r="AX159" s="93">
        <f>IF(AND($T159=1,AX$5&lt;=$H159),INDEX(Mortality!$B$4:$E$64,MATCH($D159+AX$5-1,Mortality!$A$4:$A$64,0),$U159)*$V159*$N159,0)</f>
        <v>7.2477841512258564E-4</v>
      </c>
      <c r="AY159" s="93">
        <f>IF(AND($T159=1,AY$5&lt;=$H159),INDEX(Mortality!$B$4:$E$64,MATCH($D159+AY$5-1,Mortality!$A$4:$A$64,0),$U159)*$V159*$N159,0)</f>
        <v>7.8514308403224956E-4</v>
      </c>
      <c r="AZ159" s="93">
        <f>IF(AND($T159=1,AZ$5&lt;=$H159),INDEX(Mortality!$B$4:$E$64,MATCH($D159+AZ$5-1,Mortality!$A$4:$A$64,0),$U159)*$V159*$N159,0)</f>
        <v>8.505353492065681E-4</v>
      </c>
      <c r="BA159" s="93">
        <f>IF(AND($T159=1,BA$5&lt;=$H159),INDEX(Mortality!$B$4:$E$64,MATCH($D159+BA$5-1,Mortality!$A$4:$A$64,0),$U159)*$V159*$N159,0)</f>
        <v>9.2137394439588014E-4</v>
      </c>
      <c r="BB159" s="93">
        <f>IF(AND($T159=1,BB$5&lt;=$H159),INDEX(Mortality!$B$4:$E$64,MATCH($D159+BB$5-1,Mortality!$A$4:$A$64,0),$U159)*$V159*$N159,0)</f>
        <v>9.9811247845672801E-4</v>
      </c>
      <c r="BC159" s="93">
        <f>IF(AND($T159=1,BC$5&lt;=$H159),INDEX(Mortality!$B$4:$E$64,MATCH($D159+BC$5-1,Mortality!$A$4:$A$64,0),$U159)*$V159*$N159,0)</f>
        <v>1.0812423399971681E-3</v>
      </c>
      <c r="BD159" s="93">
        <f>IF(AND($T159=1,BD$5&lt;=$H159),INDEX(Mortality!$B$4:$E$64,MATCH($D159+BD$5-1,Mortality!$A$4:$A$64,0),$U159)*$V159*$N159,0)</f>
        <v>1.1712958439415442E-3</v>
      </c>
      <c r="BE159" s="93">
        <f>IF(AND($T159=1,BE$5&lt;=$H159),INDEX(Mortality!$B$4:$E$64,MATCH($D159+BE$5-1,Mortality!$A$4:$A$64,0),$U159)*$V159*$N159,0)</f>
        <v>1.2688496401633042E-3</v>
      </c>
      <c r="BF159" s="93">
        <f>IF(AND($T159=1,BF$5&lt;=$H159),INDEX(Mortality!$B$4:$E$64,MATCH($D159+BF$5-1,Mortality!$A$4:$A$64,0),$U159)*$V159*$N159,0)</f>
        <v>1.374528406012928E-3</v>
      </c>
      <c r="BG159" s="93">
        <f>IF(AND($T159=1,BG$5&lt;=$H159),INDEX(Mortality!$B$4:$E$64,MATCH($D159+BG$5-1,Mortality!$A$4:$A$64,0),$U159)*$V159*$N159,0)</f>
        <v>1.4890088463856801E-3</v>
      </c>
      <c r="BH159" s="93">
        <f>IF(AND($T159=1,BH$5&lt;=$H159),INDEX(Mortality!$B$4:$E$64,MATCH($D159+BH$5-1,Mortality!$A$4:$A$64,0),$U159)*$V159*$N159,0)</f>
        <v>1.6130240269432161E-3</v>
      </c>
      <c r="BI159" s="93">
        <f>IF(AND($T159=1,BI$5&lt;=$H159),INDEX(Mortality!$B$4:$E$64,MATCH($D159+BI$5-1,Mortality!$A$4:$A$64,0),$U159)*$V159*$N159,0)</f>
        <v>1.7473680682365761E-3</v>
      </c>
      <c r="BJ159" s="93">
        <f>IF(AND($T159=1,BJ$5&lt;=$H159),INDEX(Mortality!$B$4:$E$64,MATCH($D159+BJ$5-1,Mortality!$A$4:$A$64,0),$U159)*$V159*$N159,0)</f>
        <v>1.8929012307888561E-3</v>
      </c>
      <c r="BK159" s="93">
        <f>IF(AND($T159=1,BK$5&lt;=$H159),INDEX(Mortality!$B$4:$E$64,MATCH($D159+BK$5-1,Mortality!$A$4:$A$64,0),$U159)*$V159*$N159,0)</f>
        <v>2.0505554236995758E-3</v>
      </c>
      <c r="BL159" s="93">
        <f>IF(AND($T159=1,BL$5&lt;=$H159),INDEX(Mortality!$B$4:$E$64,MATCH($D159+BL$5-1,Mortality!$A$4:$A$64,0),$U159)*$V159*$N159,0)</f>
        <v>2.2213401720444963E-3</v>
      </c>
      <c r="BM159" s="93">
        <f>IF(AND($T159=1,BM$5&lt;=$H159),INDEX(Mortality!$B$4:$E$64,MATCH($D159+BM$5-1,Mortality!$A$4:$A$64,0),$U159)*$V159*$N159,0)</f>
        <v>2.4063490812826719E-3</v>
      </c>
      <c r="BN159" s="93">
        <f>IF(AND($T159=1,BN$5&lt;=$H159),INDEX(Mortality!$B$4:$E$64,MATCH($D159+BN$5-1,Mortality!$A$4:$A$64,0),$U159)*$V159*$N159,0)</f>
        <v>2.60676684006504E-3</v>
      </c>
      <c r="BO159" s="93">
        <f>IF(AND($T159=1,BO$5&lt;=$H159),INDEX(Mortality!$B$4:$E$64,MATCH($D159+BO$5-1,Mortality!$A$4:$A$64,0),$U159)*$V159*$N159,0)</f>
        <v>0</v>
      </c>
      <c r="BP159" s="93">
        <f>IF(AND($T159=1,BP$5&lt;=$H159),INDEX(Mortality!$B$4:$E$64,MATCH($D159+BP$5-1,Mortality!$A$4:$A$64,0),$U159)*$V159*$N159,0)</f>
        <v>0</v>
      </c>
      <c r="BQ159" s="93">
        <f>IF(AND($T159=1,BQ$5&lt;=$H159),INDEX(Mortality!$B$4:$E$64,MATCH($D159+BQ$5-1,Mortality!$A$4:$A$64,0),$U159)*$V159*$N159,0)</f>
        <v>0</v>
      </c>
      <c r="BR159" s="93">
        <f>IF(AND($T159=1,BR$5&lt;=$H159),INDEX(Mortality!$B$4:$E$64,MATCH($D159+BR$5-1,Mortality!$A$4:$A$64,0),$U159)*$V159*$N159,0)</f>
        <v>0</v>
      </c>
      <c r="BS159" s="93">
        <f>IF(AND($T159=1,BS$5&lt;=$H159),INDEX(Mortality!$B$4:$E$64,MATCH($D159+BS$5-1,Mortality!$A$4:$A$64,0),$U159)*$V159*$N159,0)</f>
        <v>0</v>
      </c>
      <c r="BT159" s="93">
        <f>IF(AND($T159=1,BT$5&lt;=$H159),INDEX(Mortality!$B$4:$E$64,MATCH($D159+BT$5-1,Mortality!$A$4:$A$64,0),$U159)*$V159*$N159,0)</f>
        <v>0</v>
      </c>
      <c r="BU159" s="93">
        <f>IF(AND($T159=1,BU$5&lt;=$H159),INDEX(Mortality!$B$4:$E$64,MATCH($D159+BU$5-1,Mortality!$A$4:$A$64,0),$U159)*$V159*$N159,0)</f>
        <v>0</v>
      </c>
      <c r="BV159" s="93">
        <f>IF(AND($T159=1,BV$5&lt;=$H159),INDEX(Mortality!$B$4:$E$64,MATCH($D159+BV$5-1,Mortality!$A$4:$A$64,0),$U159)*$V159*$N159,0)</f>
        <v>0</v>
      </c>
      <c r="BW159" s="93">
        <f>IF(AND($T159=1,BW$5&lt;=$H159),INDEX(Mortality!$B$4:$E$64,MATCH($D159+BW$5-1,Mortality!$A$4:$A$64,0),$U159)*$V159*$N159,0)</f>
        <v>0</v>
      </c>
      <c r="BX159" s="93">
        <f>IF(AND($T159=1,BX$5&lt;=$H159),INDEX(Mortality!$B$4:$E$64,MATCH($D159+BX$5-1,Mortality!$A$4:$A$64,0),$U159)*$V159*$N159,0)</f>
        <v>0</v>
      </c>
      <c r="BY159" s="93">
        <f>IF(AND($T159=1,BY$5&lt;=$H159),INDEX(Mortality!$B$4:$E$64,MATCH($D159+BY$5-1,Mortality!$A$4:$A$64,0),$U159)*$V159*$N159,0)</f>
        <v>0</v>
      </c>
      <c r="BZ159" s="93">
        <f>IF(AND($T159=1,BZ$5&lt;=$H159),INDEX(Mortality!$B$4:$E$64,MATCH($D159+BZ$5-1,Mortality!$A$4:$A$64,0),$U159)*$V159*$N159,0)</f>
        <v>0</v>
      </c>
      <c r="CA159" s="93">
        <f>IF(AND($T159=1,CA$5&lt;=$H159),INDEX(Mortality!$B$4:$E$64,MATCH($D159+CA$5-1,Mortality!$A$4:$A$64,0),$U159)*$V159*$N159,0)</f>
        <v>0</v>
      </c>
      <c r="CB159" s="93">
        <f>IF(AND($T159=1,CB$5&lt;=$H159),INDEX(Mortality!$B$4:$E$64,MATCH($D159+CB$5-1,Mortality!$A$4:$A$64,0),$U159)*$V159*$N159,0)</f>
        <v>0</v>
      </c>
      <c r="CC159" s="93">
        <f>IF(AND($T159=1,CC$5&lt;=$H159),INDEX(Mortality!$B$4:$E$64,MATCH($D159+CC$5-1,Mortality!$A$4:$A$64,0),$U159)*$V159*$N159,0)</f>
        <v>0</v>
      </c>
      <c r="CD159" s="93">
        <f>IF(AND($T159=1,CD$5&lt;=$H159),INDEX(Mortality!$B$4:$E$64,MATCH($D159+CD$5-1,Mortality!$A$4:$A$64,0),$U159)*$V159*$N159,0)</f>
        <v>0</v>
      </c>
      <c r="CE159" s="93">
        <f>IF(AND($T159=1,CE$5&lt;=$H159),INDEX(Mortality!$B$4:$E$64,MATCH($D159+CE$5-1,Mortality!$A$4:$A$64,0),$U159)*$V159*$N159,0)</f>
        <v>0</v>
      </c>
      <c r="CF159" s="93">
        <f>IF(AND($T159=1,CF$5&lt;=$H159),INDEX(Mortality!$B$4:$E$64,MATCH($D159+CF$5-1,Mortality!$A$4:$A$64,0),$U159)*$V159*$N159,0)</f>
        <v>0</v>
      </c>
      <c r="CG159" s="93">
        <f>IF(AND($T159=1,CG$5&lt;=$H159),INDEX(Mortality!$B$4:$E$64,MATCH($D159+CG$5-1,Mortality!$A$4:$A$64,0),$U159)*$V159*$N159,0)</f>
        <v>0</v>
      </c>
      <c r="CH159" s="94">
        <f>IF(AND($T159=1,CH$5&lt;=$H159),INDEX(Mortality!$B$4:$E$64,MATCH($D159+CH$5-1,Mortality!$A$4:$A$64,0),$U159)*$V159*$N159,0)</f>
        <v>0</v>
      </c>
      <c r="CI159" s="26"/>
      <c r="CJ159" s="419">
        <f t="shared" si="71"/>
        <v>1</v>
      </c>
      <c r="CK159" s="93">
        <f>IF(AND($T159=1,CK$5&lt;=$H159),CJ159*(1-AU159)*(1-MIN(1,MAX(Assumptions!$C$27,Assumptions!$C$13*Assumptions!$C$28^(CJ$5-1))*$O159)),0)</f>
        <v>0.87949828481289705</v>
      </c>
      <c r="CL159" s="93">
        <f>IF(AND($T159=1,CL$5&lt;=$H159),CK159*(1-AV159)*(1-MIN(1,MAX(Assumptions!$C$27,Assumptions!$C$13*Assumptions!$C$28^(CK$5-1))*$O159)),0)</f>
        <v>0.78930167360926951</v>
      </c>
      <c r="CM159" s="93">
        <f>IF(AND($T159=1,CM$5&lt;=$H159),CL159*(1-AW159)*(1-MIN(1,MAX(Assumptions!$C$27,Assumptions!$C$13*Assumptions!$C$28^(CL$5-1))*$O159)),0)</f>
        <v>0.72038691749472339</v>
      </c>
      <c r="CN159" s="93">
        <f>IF(AND($T159=1,CN$5&lt;=$H159),CM159*(1-AX159)*(1-MIN(1,MAX(Assumptions!$C$27,Assumptions!$C$13*Assumptions!$C$28^(CM$5-1))*$O159)),0)</f>
        <v>0.66681436042047881</v>
      </c>
      <c r="CO159" s="93">
        <f>IF(AND($T159=1,CO$5&lt;=$H159),CN159*(1-AY159)*(1-MIN(1,MAX(Assumptions!$C$27,Assumptions!$C$13*Assumptions!$C$28^(CN$5-1))*$O159)),0)</f>
        <v>0.6245538593211799</v>
      </c>
      <c r="CP159" s="93">
        <f>IF(AND($T159=1,CP$5&lt;=$H159),CO159*(1-AZ159)*(1-MIN(1,MAX(Assumptions!$C$27,Assumptions!$C$13*Assumptions!$C$28^(CO$5-1))*$O159)),0)</f>
        <v>0.59079679417240416</v>
      </c>
      <c r="CQ159" s="93">
        <f>IF(AND($T159=1,CQ$5&lt;=$H159),CP159*(1-BA159)*(1-MIN(1,MAX(Assumptions!$C$27,Assumptions!$C$13*Assumptions!$C$28^(CP$5-1))*$O159)),0)</f>
        <v>0.56353883835330765</v>
      </c>
      <c r="CR159" s="93">
        <f>IF(AND($T159=1,CR$5&lt;=$H159),CQ159*(1-BB159)*(1-MIN(1,MAX(Assumptions!$C$27,Assumptions!$C$13*Assumptions!$C$28^(CQ$5-1))*$O159)),0)</f>
        <v>0.54131908441209753</v>
      </c>
      <c r="CS159" s="93">
        <f>IF(AND($T159=1,CS$5&lt;=$H159),CR159*(1-BC159)*(1-MIN(1,MAX(Assumptions!$C$27,Assumptions!$C$13*Assumptions!$C$28^(CR$5-1))*$O159)),0)</f>
        <v>0.52305240726570046</v>
      </c>
      <c r="CT159" s="93">
        <f>IF(AND($T159=1,CT$5&lt;=$H159),CS159*(1-BD159)*(1-MIN(1,MAX(Assumptions!$C$27,Assumptions!$C$13*Assumptions!$C$28^(CS$5-1))*$O159)),0)</f>
        <v>0.50791904998681359</v>
      </c>
      <c r="CU159" s="93">
        <f>IF(AND($T159=1,CU$5&lt;=$H159),CT159*(1-BE159)*(1-MIN(1,MAX(Assumptions!$C$27,Assumptions!$C$13*Assumptions!$C$28^(CT$5-1))*$O159)),0)</f>
        <v>0.49529025145895667</v>
      </c>
      <c r="CV159" s="93">
        <f>IF(AND($T159=1,CV$5&lt;=$H159),CU159*(1-BF159)*(1-MIN(1,MAX(Assumptions!$C$27,Assumptions!$C$13*Assumptions!$C$28^(CU$5-1))*$O159)),0)</f>
        <v>0.48467711475273045</v>
      </c>
      <c r="CW159" s="93">
        <f>IF(AND($T159=1,CW$5&lt;=$H159),CV159*(1-BG159)*(1-MIN(1,MAX(Assumptions!$C$27,Assumptions!$C$13*Assumptions!$C$28^(CV$5-1))*$O159)),0)</f>
        <v>0.4742763177163985</v>
      </c>
      <c r="CX159" s="93">
        <f>IF(AND($T159=1,CX$5&lt;=$H159),CW159*(1-BH159)*(1-MIN(1,MAX(Assumptions!$C$27,Assumptions!$C$13*Assumptions!$C$28^(CW$5-1))*$O159)),0)</f>
        <v>0.46404107264810157</v>
      </c>
      <c r="CY159" s="93">
        <f>IF(AND($T159=1,CY$5&lt;=$H159),CX159*(1-BI159)*(1-MIN(1,MAX(Assumptions!$C$27,Assumptions!$C$13*Assumptions!$C$28^(CX$5-1))*$O159)),0)</f>
        <v>0.45396561765349791</v>
      </c>
      <c r="CZ159" s="93">
        <f>IF(AND($T159=1,CZ$5&lt;=$H159),CY159*(1-BJ159)*(1-MIN(1,MAX(Assumptions!$C$27,Assumptions!$C$13*Assumptions!$C$28^(CY$5-1))*$O159)),0)</f>
        <v>0.44404417946556363</v>
      </c>
      <c r="DA159" s="93">
        <f>IF(AND($T159=1,DA$5&lt;=$H159),CZ159*(1-BK159)*(1-MIN(1,MAX(Assumptions!$C$27,Assumptions!$C$13*Assumptions!$C$28^(CZ$5-1))*$O159)),0)</f>
        <v>0.43427096941969834</v>
      </c>
      <c r="DB159" s="93">
        <f>IF(AND($T159=1,DB$5&lt;=$H159),DA159*(1-BL159)*(1-MIN(1,MAX(Assumptions!$C$27,Assumptions!$C$13*Assumptions!$C$28^(DA$5-1))*$O159)),0)</f>
        <v>0.42464017975237822</v>
      </c>
      <c r="DC159" s="93">
        <f>IF(AND($T159=1,DC$5&lt;=$H159),DB159*(1-BM159)*(1-MIN(1,MAX(Assumptions!$C$27,Assumptions!$C$13*Assumptions!$C$28^(DB$5-1))*$O159)),0)</f>
        <v>0.41514598030103628</v>
      </c>
      <c r="DD159" s="93">
        <f>IF(AND($T159=1,DD$5&lt;=$H159),DC159*(1-BN159)*(1-MIN(1,MAX(Assumptions!$C$27,Assumptions!$C$13*Assumptions!$C$28^(DC$5-1))*$O159)),0)</f>
        <v>0</v>
      </c>
      <c r="DE159" s="93">
        <f>IF(AND($T159=1,DE$5&lt;=$H159),DD159*(1-BO159)*(1-MIN(1,MAX(Assumptions!$C$27,Assumptions!$C$13*Assumptions!$C$28^(DD$5-1))*$O159)),0)</f>
        <v>0</v>
      </c>
      <c r="DF159" s="93">
        <f>IF(AND($T159=1,DF$5&lt;=$H159),DE159*(1-BP159)*(1-MIN(1,MAX(Assumptions!$C$27,Assumptions!$C$13*Assumptions!$C$28^(DE$5-1))*$O159)),0)</f>
        <v>0</v>
      </c>
      <c r="DG159" s="93">
        <f>IF(AND($T159=1,DG$5&lt;=$H159),DF159*(1-BQ159)*(1-MIN(1,MAX(Assumptions!$C$27,Assumptions!$C$13*Assumptions!$C$28^(DF$5-1))*$O159)),0)</f>
        <v>0</v>
      </c>
      <c r="DH159" s="93">
        <f>IF(AND($T159=1,DH$5&lt;=$H159),DG159*(1-BR159)*(1-MIN(1,MAX(Assumptions!$C$27,Assumptions!$C$13*Assumptions!$C$28^(DG$5-1))*$O159)),0)</f>
        <v>0</v>
      </c>
      <c r="DI159" s="93">
        <f>IF(AND($T159=1,DI$5&lt;=$H159),DH159*(1-BS159)*(1-MIN(1,MAX(Assumptions!$C$27,Assumptions!$C$13*Assumptions!$C$28^(DH$5-1))*$O159)),0)</f>
        <v>0</v>
      </c>
      <c r="DJ159" s="93">
        <f>IF(AND($T159=1,DJ$5&lt;=$H159),DI159*(1-BT159)*(1-MIN(1,MAX(Assumptions!$C$27,Assumptions!$C$13*Assumptions!$C$28^(DI$5-1))*$O159)),0)</f>
        <v>0</v>
      </c>
      <c r="DK159" s="93">
        <f>IF(AND($T159=1,DK$5&lt;=$H159),DJ159*(1-BU159)*(1-MIN(1,MAX(Assumptions!$C$27,Assumptions!$C$13*Assumptions!$C$28^(DJ$5-1))*$O159)),0)</f>
        <v>0</v>
      </c>
      <c r="DL159" s="93">
        <f>IF(AND($T159=1,DL$5&lt;=$H159),DK159*(1-BV159)*(1-MIN(1,MAX(Assumptions!$C$27,Assumptions!$C$13*Assumptions!$C$28^(DK$5-1))*$O159)),0)</f>
        <v>0</v>
      </c>
      <c r="DM159" s="93">
        <f>IF(AND($T159=1,DM$5&lt;=$H159),DL159*(1-BW159)*(1-MIN(1,MAX(Assumptions!$C$27,Assumptions!$C$13*Assumptions!$C$28^(DL$5-1))*$O159)),0)</f>
        <v>0</v>
      </c>
      <c r="DN159" s="93">
        <f>IF(AND($T159=1,DN$5&lt;=$H159),DM159*(1-BX159)*(1-MIN(1,MAX(Assumptions!$C$27,Assumptions!$C$13*Assumptions!$C$28^(DM$5-1))*$O159)),0)</f>
        <v>0</v>
      </c>
      <c r="DO159" s="93">
        <f>IF(AND($T159=1,DO$5&lt;=$H159),DN159*(1-BY159)*(1-MIN(1,MAX(Assumptions!$C$27,Assumptions!$C$13*Assumptions!$C$28^(DN$5-1))*$O159)),0)</f>
        <v>0</v>
      </c>
      <c r="DP159" s="93">
        <f>IF(AND($T159=1,DP$5&lt;=$H159),DO159*(1-BZ159)*(1-MIN(1,MAX(Assumptions!$C$27,Assumptions!$C$13*Assumptions!$C$28^(DO$5-1))*$O159)),0)</f>
        <v>0</v>
      </c>
      <c r="DQ159" s="93">
        <f>IF(AND($T159=1,DQ$5&lt;=$H159),DP159*(1-CA159)*(1-MIN(1,MAX(Assumptions!$C$27,Assumptions!$C$13*Assumptions!$C$28^(DP$5-1))*$O159)),0)</f>
        <v>0</v>
      </c>
      <c r="DR159" s="93">
        <f>IF(AND($T159=1,DR$5&lt;=$H159),DQ159*(1-CB159)*(1-MIN(1,MAX(Assumptions!$C$27,Assumptions!$C$13*Assumptions!$C$28^(DQ$5-1))*$O159)),0)</f>
        <v>0</v>
      </c>
      <c r="DS159" s="93">
        <f>IF(AND($T159=1,DS$5&lt;=$H159),DR159*(1-CC159)*(1-MIN(1,MAX(Assumptions!$C$27,Assumptions!$C$13*Assumptions!$C$28^(DR$5-1))*$O159)),0)</f>
        <v>0</v>
      </c>
      <c r="DT159" s="93">
        <f>IF(AND($T159=1,DT$5&lt;=$H159),DS159*(1-CD159)*(1-MIN(1,MAX(Assumptions!$C$27,Assumptions!$C$13*Assumptions!$C$28^(DS$5-1))*$O159)),0)</f>
        <v>0</v>
      </c>
      <c r="DU159" s="93">
        <f>IF(AND($T159=1,DU$5&lt;=$H159),DT159*(1-CE159)*(1-MIN(1,MAX(Assumptions!$C$27,Assumptions!$C$13*Assumptions!$C$28^(DT$5-1))*$O159)),0)</f>
        <v>0</v>
      </c>
      <c r="DV159" s="93">
        <f>IF(AND($T159=1,DV$5&lt;=$H159),DU159*(1-CF159)*(1-MIN(1,MAX(Assumptions!$C$27,Assumptions!$C$13*Assumptions!$C$28^(DU$5-1))*$O159)),0)</f>
        <v>0</v>
      </c>
      <c r="DW159" s="94">
        <f>IF(AND($T159=1,DW$5&lt;=$H159),DV159*(1-CG159)*(1-MIN(1,MAX(Assumptions!$C$27,Assumptions!$C$13*Assumptions!$C$28^(DV$5-1))*$O159)),0)</f>
        <v>0</v>
      </c>
      <c r="DX159" s="26"/>
      <c r="DY159" s="399">
        <f>'Policy Data'!K133</f>
        <v>6</v>
      </c>
      <c r="DZ159" s="100">
        <f>'Policy Data'!L133</f>
        <v>0.90129999999999999</v>
      </c>
      <c r="EA159" s="100">
        <f>'Policy Data'!N133</f>
        <v>5.1400000000000003E-4</v>
      </c>
      <c r="EB159" s="93" cm="1">
        <f t="array" ref="EB159">IFERROR(DZ159*INDEX(Mortality!$B$4:$E$64,MATCH(D159+DY159-1,Mortality!$A$4:$A$64,0),U159)*V159,0)</f>
        <v>7.6658751023987986E-4</v>
      </c>
      <c r="EC159" s="100">
        <f>'Policy Data'!O133</f>
        <v>0</v>
      </c>
      <c r="ED159" s="400">
        <f>'Policy Data'!Q133</f>
        <v>0</v>
      </c>
    </row>
    <row r="160" spans="1:134" x14ac:dyDescent="0.3">
      <c r="A160" s="399" t="str">
        <f>'Policy Data'!A134</f>
        <v>POL100130</v>
      </c>
      <c r="B160" s="26" t="s">
        <v>426</v>
      </c>
      <c r="C160" s="100" t="str">
        <f>'Policy Data'!B134</f>
        <v>Unit-Linked</v>
      </c>
      <c r="D160" s="100">
        <f>'Policy Data'!C134</f>
        <v>33</v>
      </c>
      <c r="E160" s="100" t="str">
        <f>'Policy Data'!D134</f>
        <v>Male</v>
      </c>
      <c r="F160" s="100" t="str">
        <f>'Policy Data'!E134</f>
        <v>Non-smoker</v>
      </c>
      <c r="G160" s="100" t="str">
        <f>'Policy Data'!F134</f>
        <v>Standard</v>
      </c>
      <c r="H160" s="100">
        <f>'Policy Data'!G134</f>
        <v>10</v>
      </c>
      <c r="I160" s="279">
        <f>'Policy Data'!H134</f>
        <v>500000</v>
      </c>
      <c r="J160" s="100" t="str">
        <f>'Policy Data'!I134</f>
        <v>Monthly</v>
      </c>
      <c r="K160" s="100" t="str">
        <f>'Policy Data'!J134</f>
        <v>Broker</v>
      </c>
      <c r="L160" s="26" t="s">
        <v>389</v>
      </c>
      <c r="M160" s="106">
        <f>'Policy Data'!R134</f>
        <v>10724.06</v>
      </c>
      <c r="N160" s="415">
        <f>Assumptions!$C$21</f>
        <v>1</v>
      </c>
      <c r="O160" s="415">
        <f>Assumptions!$C$22</f>
        <v>1</v>
      </c>
      <c r="P160" s="415">
        <f>Assumptions!$C$23</f>
        <v>1</v>
      </c>
      <c r="Q160" s="416">
        <f>Assumptions!$C$24</f>
        <v>0</v>
      </c>
      <c r="R160" s="416">
        <f>Assumptions!$C$6+Assumptions!$C$25</f>
        <v>3.5000000000000003E-2</v>
      </c>
      <c r="S160" s="416">
        <f>Assumptions!$C$15</f>
        <v>1.1000000000000001E-3</v>
      </c>
      <c r="T160" s="26">
        <f t="shared" si="54"/>
        <v>0</v>
      </c>
      <c r="U160" s="26">
        <f t="shared" si="55"/>
        <v>3</v>
      </c>
      <c r="V160" s="389">
        <f>IF($G160="Preferred",Assumptions!$C$30,IF($G160="Rated",Assumptions!$C$31,1))</f>
        <v>1</v>
      </c>
      <c r="W160" s="390">
        <f>IF($K160="Direct",Assumptions!$C$32,IF($K160="Broker",Assumptions!$C$33,IF($K160="Bancassurance",Assumptions!$C$34,Assumptions!$C$11)))+$Q160</f>
        <v>0.25</v>
      </c>
      <c r="X160" s="390">
        <f>Assumptions!$C$12+$Q160</f>
        <v>0.05</v>
      </c>
      <c r="Y160" s="131">
        <f>MIN($I160,Assumptions!$C$14)</f>
        <v>500000</v>
      </c>
      <c r="Z160" s="131">
        <f>MAX($I160-Assumptions!$C$14,0)</f>
        <v>0</v>
      </c>
      <c r="AA160" s="389">
        <f t="shared" si="56"/>
        <v>0</v>
      </c>
      <c r="AB160" s="389">
        <f t="shared" si="57"/>
        <v>0</v>
      </c>
      <c r="AC160" s="389">
        <f>IF($T160=1,SUMPRODUCT($CJ160:$DW160,(1+Assumptions!$C$5)^($CJ$5:$DW$5-1),(1+$R160)^(-$CJ$5:$DW$5)),0)</f>
        <v>0</v>
      </c>
      <c r="AD160" s="389">
        <f t="shared" si="58"/>
        <v>0</v>
      </c>
      <c r="AE160" s="131">
        <f>IF($T160=1,$AB160*$Y160+(Assumptions!$C$9/(1+$R160)+Assumptions!$C$10*$AC160)*$P160+$S160*$Z160*$AA160,0)</f>
        <v>0</v>
      </c>
      <c r="AF160" s="131" t="str">
        <f>IF($T160=1,IF($AA160-$AD160-Assumptions!$C$16*$AA160&gt;0,$AE160/($AA160-$AD160-Assumptions!$C$16*$AA160)*IF($J160="Monthly",1+Assumptions!$C$29,1),"n.a."),"")</f>
        <v/>
      </c>
      <c r="AG160" s="131" t="str">
        <f t="shared" si="59"/>
        <v/>
      </c>
      <c r="AH160" s="131" t="str">
        <f t="shared" si="60"/>
        <v/>
      </c>
      <c r="AI160" s="131" t="str">
        <f t="shared" si="61"/>
        <v/>
      </c>
      <c r="AJ160" s="390" t="str">
        <f t="shared" si="62"/>
        <v/>
      </c>
      <c r="AK160" s="389" t="str">
        <f t="shared" si="63"/>
        <v/>
      </c>
      <c r="AL160" s="131" t="str">
        <f t="shared" si="64"/>
        <v/>
      </c>
      <c r="AM160" s="131" t="str">
        <f t="shared" si="65"/>
        <v/>
      </c>
      <c r="AN160" s="131" t="str">
        <f t="shared" si="66"/>
        <v/>
      </c>
      <c r="AO160" s="131" t="str">
        <f t="shared" si="67"/>
        <v/>
      </c>
      <c r="AP160" s="26" t="str">
        <f t="shared" si="68"/>
        <v>30-39</v>
      </c>
      <c r="AQ160" s="26" t="str">
        <f t="shared" si="69"/>
        <v>250k-500k</v>
      </c>
      <c r="AR160" s="26" t="str">
        <f>IF($T160=1,IF($AI160&lt;0,"Loss-making",IF($AJ160&lt;Assumptions!$C$16-0.00001,"Below target","At/above target")),"Excluded")</f>
        <v>Excluded</v>
      </c>
      <c r="AS160" s="103">
        <f t="shared" si="70"/>
        <v>9.9999999999999997E+98</v>
      </c>
      <c r="AT160" s="26"/>
      <c r="AU160" s="419">
        <f>IF(AND($T160=1,AU$5&lt;=$H160),INDEX(Mortality!$B$4:$E$64,MATCH($D160+AU$5-1,Mortality!$A$4:$A$64,0),$U160)*$V160*$N160,0)</f>
        <v>0</v>
      </c>
      <c r="AV160" s="93">
        <f>IF(AND($T160=1,AV$5&lt;=$H160),INDEX(Mortality!$B$4:$E$64,MATCH($D160+AV$5-1,Mortality!$A$4:$A$64,0),$U160)*$V160*$N160,0)</f>
        <v>0</v>
      </c>
      <c r="AW160" s="93">
        <f>IF(AND($T160=1,AW$5&lt;=$H160),INDEX(Mortality!$B$4:$E$64,MATCH($D160+AW$5-1,Mortality!$A$4:$A$64,0),$U160)*$V160*$N160,0)</f>
        <v>0</v>
      </c>
      <c r="AX160" s="93">
        <f>IF(AND($T160=1,AX$5&lt;=$H160),INDEX(Mortality!$B$4:$E$64,MATCH($D160+AX$5-1,Mortality!$A$4:$A$64,0),$U160)*$V160*$N160,0)</f>
        <v>0</v>
      </c>
      <c r="AY160" s="93">
        <f>IF(AND($T160=1,AY$5&lt;=$H160),INDEX(Mortality!$B$4:$E$64,MATCH($D160+AY$5-1,Mortality!$A$4:$A$64,0),$U160)*$V160*$N160,0)</f>
        <v>0</v>
      </c>
      <c r="AZ160" s="93">
        <f>IF(AND($T160=1,AZ$5&lt;=$H160),INDEX(Mortality!$B$4:$E$64,MATCH($D160+AZ$5-1,Mortality!$A$4:$A$64,0),$U160)*$V160*$N160,0)</f>
        <v>0</v>
      </c>
      <c r="BA160" s="93">
        <f>IF(AND($T160=1,BA$5&lt;=$H160),INDEX(Mortality!$B$4:$E$64,MATCH($D160+BA$5-1,Mortality!$A$4:$A$64,0),$U160)*$V160*$N160,0)</f>
        <v>0</v>
      </c>
      <c r="BB160" s="93">
        <f>IF(AND($T160=1,BB$5&lt;=$H160),INDEX(Mortality!$B$4:$E$64,MATCH($D160+BB$5-1,Mortality!$A$4:$A$64,0),$U160)*$V160*$N160,0)</f>
        <v>0</v>
      </c>
      <c r="BC160" s="93">
        <f>IF(AND($T160=1,BC$5&lt;=$H160),INDEX(Mortality!$B$4:$E$64,MATCH($D160+BC$5-1,Mortality!$A$4:$A$64,0),$U160)*$V160*$N160,0)</f>
        <v>0</v>
      </c>
      <c r="BD160" s="93">
        <f>IF(AND($T160=1,BD$5&lt;=$H160),INDEX(Mortality!$B$4:$E$64,MATCH($D160+BD$5-1,Mortality!$A$4:$A$64,0),$U160)*$V160*$N160,0)</f>
        <v>0</v>
      </c>
      <c r="BE160" s="93">
        <f>IF(AND($T160=1,BE$5&lt;=$H160),INDEX(Mortality!$B$4:$E$64,MATCH($D160+BE$5-1,Mortality!$A$4:$A$64,0),$U160)*$V160*$N160,0)</f>
        <v>0</v>
      </c>
      <c r="BF160" s="93">
        <f>IF(AND($T160=1,BF$5&lt;=$H160),INDEX(Mortality!$B$4:$E$64,MATCH($D160+BF$5-1,Mortality!$A$4:$A$64,0),$U160)*$V160*$N160,0)</f>
        <v>0</v>
      </c>
      <c r="BG160" s="93">
        <f>IF(AND($T160=1,BG$5&lt;=$H160),INDEX(Mortality!$B$4:$E$64,MATCH($D160+BG$5-1,Mortality!$A$4:$A$64,0),$U160)*$V160*$N160,0)</f>
        <v>0</v>
      </c>
      <c r="BH160" s="93">
        <f>IF(AND($T160=1,BH$5&lt;=$H160),INDEX(Mortality!$B$4:$E$64,MATCH($D160+BH$5-1,Mortality!$A$4:$A$64,0),$U160)*$V160*$N160,0)</f>
        <v>0</v>
      </c>
      <c r="BI160" s="93">
        <f>IF(AND($T160=1,BI$5&lt;=$H160),INDEX(Mortality!$B$4:$E$64,MATCH($D160+BI$5-1,Mortality!$A$4:$A$64,0),$U160)*$V160*$N160,0)</f>
        <v>0</v>
      </c>
      <c r="BJ160" s="93">
        <f>IF(AND($T160=1,BJ$5&lt;=$H160),INDEX(Mortality!$B$4:$E$64,MATCH($D160+BJ$5-1,Mortality!$A$4:$A$64,0),$U160)*$V160*$N160,0)</f>
        <v>0</v>
      </c>
      <c r="BK160" s="93">
        <f>IF(AND($T160=1,BK$5&lt;=$H160),INDEX(Mortality!$B$4:$E$64,MATCH($D160+BK$5-1,Mortality!$A$4:$A$64,0),$U160)*$V160*$N160,0)</f>
        <v>0</v>
      </c>
      <c r="BL160" s="93">
        <f>IF(AND($T160=1,BL$5&lt;=$H160),INDEX(Mortality!$B$4:$E$64,MATCH($D160+BL$5-1,Mortality!$A$4:$A$64,0),$U160)*$V160*$N160,0)</f>
        <v>0</v>
      </c>
      <c r="BM160" s="93">
        <f>IF(AND($T160=1,BM$5&lt;=$H160),INDEX(Mortality!$B$4:$E$64,MATCH($D160+BM$5-1,Mortality!$A$4:$A$64,0),$U160)*$V160*$N160,0)</f>
        <v>0</v>
      </c>
      <c r="BN160" s="93">
        <f>IF(AND($T160=1,BN$5&lt;=$H160),INDEX(Mortality!$B$4:$E$64,MATCH($D160+BN$5-1,Mortality!$A$4:$A$64,0),$U160)*$V160*$N160,0)</f>
        <v>0</v>
      </c>
      <c r="BO160" s="93">
        <f>IF(AND($T160=1,BO$5&lt;=$H160),INDEX(Mortality!$B$4:$E$64,MATCH($D160+BO$5-1,Mortality!$A$4:$A$64,0),$U160)*$V160*$N160,0)</f>
        <v>0</v>
      </c>
      <c r="BP160" s="93">
        <f>IF(AND($T160=1,BP$5&lt;=$H160),INDEX(Mortality!$B$4:$E$64,MATCH($D160+BP$5-1,Mortality!$A$4:$A$64,0),$U160)*$V160*$N160,0)</f>
        <v>0</v>
      </c>
      <c r="BQ160" s="93">
        <f>IF(AND($T160=1,BQ$5&lt;=$H160),INDEX(Mortality!$B$4:$E$64,MATCH($D160+BQ$5-1,Mortality!$A$4:$A$64,0),$U160)*$V160*$N160,0)</f>
        <v>0</v>
      </c>
      <c r="BR160" s="93">
        <f>IF(AND($T160=1,BR$5&lt;=$H160),INDEX(Mortality!$B$4:$E$64,MATCH($D160+BR$5-1,Mortality!$A$4:$A$64,0),$U160)*$V160*$N160,0)</f>
        <v>0</v>
      </c>
      <c r="BS160" s="93">
        <f>IF(AND($T160=1,BS$5&lt;=$H160),INDEX(Mortality!$B$4:$E$64,MATCH($D160+BS$5-1,Mortality!$A$4:$A$64,0),$U160)*$V160*$N160,0)</f>
        <v>0</v>
      </c>
      <c r="BT160" s="93">
        <f>IF(AND($T160=1,BT$5&lt;=$H160),INDEX(Mortality!$B$4:$E$64,MATCH($D160+BT$5-1,Mortality!$A$4:$A$64,0),$U160)*$V160*$N160,0)</f>
        <v>0</v>
      </c>
      <c r="BU160" s="93">
        <f>IF(AND($T160=1,BU$5&lt;=$H160),INDEX(Mortality!$B$4:$E$64,MATCH($D160+BU$5-1,Mortality!$A$4:$A$64,0),$U160)*$V160*$N160,0)</f>
        <v>0</v>
      </c>
      <c r="BV160" s="93">
        <f>IF(AND($T160=1,BV$5&lt;=$H160),INDEX(Mortality!$B$4:$E$64,MATCH($D160+BV$5-1,Mortality!$A$4:$A$64,0),$U160)*$V160*$N160,0)</f>
        <v>0</v>
      </c>
      <c r="BW160" s="93">
        <f>IF(AND($T160=1,BW$5&lt;=$H160),INDEX(Mortality!$B$4:$E$64,MATCH($D160+BW$5-1,Mortality!$A$4:$A$64,0),$U160)*$V160*$N160,0)</f>
        <v>0</v>
      </c>
      <c r="BX160" s="93">
        <f>IF(AND($T160=1,BX$5&lt;=$H160),INDEX(Mortality!$B$4:$E$64,MATCH($D160+BX$5-1,Mortality!$A$4:$A$64,0),$U160)*$V160*$N160,0)</f>
        <v>0</v>
      </c>
      <c r="BY160" s="93">
        <f>IF(AND($T160=1,BY$5&lt;=$H160),INDEX(Mortality!$B$4:$E$64,MATCH($D160+BY$5-1,Mortality!$A$4:$A$64,0),$U160)*$V160*$N160,0)</f>
        <v>0</v>
      </c>
      <c r="BZ160" s="93">
        <f>IF(AND($T160=1,BZ$5&lt;=$H160),INDEX(Mortality!$B$4:$E$64,MATCH($D160+BZ$5-1,Mortality!$A$4:$A$64,0),$U160)*$V160*$N160,0)</f>
        <v>0</v>
      </c>
      <c r="CA160" s="93">
        <f>IF(AND($T160=1,CA$5&lt;=$H160),INDEX(Mortality!$B$4:$E$64,MATCH($D160+CA$5-1,Mortality!$A$4:$A$64,0),$U160)*$V160*$N160,0)</f>
        <v>0</v>
      </c>
      <c r="CB160" s="93">
        <f>IF(AND($T160=1,CB$5&lt;=$H160),INDEX(Mortality!$B$4:$E$64,MATCH($D160+CB$5-1,Mortality!$A$4:$A$64,0),$U160)*$V160*$N160,0)</f>
        <v>0</v>
      </c>
      <c r="CC160" s="93">
        <f>IF(AND($T160=1,CC$5&lt;=$H160),INDEX(Mortality!$B$4:$E$64,MATCH($D160+CC$5-1,Mortality!$A$4:$A$64,0),$U160)*$V160*$N160,0)</f>
        <v>0</v>
      </c>
      <c r="CD160" s="93">
        <f>IF(AND($T160=1,CD$5&lt;=$H160),INDEX(Mortality!$B$4:$E$64,MATCH($D160+CD$5-1,Mortality!$A$4:$A$64,0),$U160)*$V160*$N160,0)</f>
        <v>0</v>
      </c>
      <c r="CE160" s="93">
        <f>IF(AND($T160=1,CE$5&lt;=$H160),INDEX(Mortality!$B$4:$E$64,MATCH($D160+CE$5-1,Mortality!$A$4:$A$64,0),$U160)*$V160*$N160,0)</f>
        <v>0</v>
      </c>
      <c r="CF160" s="93">
        <f>IF(AND($T160=1,CF$5&lt;=$H160),INDEX(Mortality!$B$4:$E$64,MATCH($D160+CF$5-1,Mortality!$A$4:$A$64,0),$U160)*$V160*$N160,0)</f>
        <v>0</v>
      </c>
      <c r="CG160" s="93">
        <f>IF(AND($T160=1,CG$5&lt;=$H160),INDEX(Mortality!$B$4:$E$64,MATCH($D160+CG$5-1,Mortality!$A$4:$A$64,0),$U160)*$V160*$N160,0)</f>
        <v>0</v>
      </c>
      <c r="CH160" s="94">
        <f>IF(AND($T160=1,CH$5&lt;=$H160),INDEX(Mortality!$B$4:$E$64,MATCH($D160+CH$5-1,Mortality!$A$4:$A$64,0),$U160)*$V160*$N160,0)</f>
        <v>0</v>
      </c>
      <c r="CI160" s="26"/>
      <c r="CJ160" s="419">
        <f t="shared" si="71"/>
        <v>0</v>
      </c>
      <c r="CK160" s="93">
        <f>IF(AND($T160=1,CK$5&lt;=$H160),CJ160*(1-AU160)*(1-MIN(1,MAX(Assumptions!$C$27,Assumptions!$C$13*Assumptions!$C$28^(CJ$5-1))*$O160)),0)</f>
        <v>0</v>
      </c>
      <c r="CL160" s="93">
        <f>IF(AND($T160=1,CL$5&lt;=$H160),CK160*(1-AV160)*(1-MIN(1,MAX(Assumptions!$C$27,Assumptions!$C$13*Assumptions!$C$28^(CK$5-1))*$O160)),0)</f>
        <v>0</v>
      </c>
      <c r="CM160" s="93">
        <f>IF(AND($T160=1,CM$5&lt;=$H160),CL160*(1-AW160)*(1-MIN(1,MAX(Assumptions!$C$27,Assumptions!$C$13*Assumptions!$C$28^(CL$5-1))*$O160)),0)</f>
        <v>0</v>
      </c>
      <c r="CN160" s="93">
        <f>IF(AND($T160=1,CN$5&lt;=$H160),CM160*(1-AX160)*(1-MIN(1,MAX(Assumptions!$C$27,Assumptions!$C$13*Assumptions!$C$28^(CM$5-1))*$O160)),0)</f>
        <v>0</v>
      </c>
      <c r="CO160" s="93">
        <f>IF(AND($T160=1,CO$5&lt;=$H160),CN160*(1-AY160)*(1-MIN(1,MAX(Assumptions!$C$27,Assumptions!$C$13*Assumptions!$C$28^(CN$5-1))*$O160)),0)</f>
        <v>0</v>
      </c>
      <c r="CP160" s="93">
        <f>IF(AND($T160=1,CP$5&lt;=$H160),CO160*(1-AZ160)*(1-MIN(1,MAX(Assumptions!$C$27,Assumptions!$C$13*Assumptions!$C$28^(CO$5-1))*$O160)),0)</f>
        <v>0</v>
      </c>
      <c r="CQ160" s="93">
        <f>IF(AND($T160=1,CQ$5&lt;=$H160),CP160*(1-BA160)*(1-MIN(1,MAX(Assumptions!$C$27,Assumptions!$C$13*Assumptions!$C$28^(CP$5-1))*$O160)),0)</f>
        <v>0</v>
      </c>
      <c r="CR160" s="93">
        <f>IF(AND($T160=1,CR$5&lt;=$H160),CQ160*(1-BB160)*(1-MIN(1,MAX(Assumptions!$C$27,Assumptions!$C$13*Assumptions!$C$28^(CQ$5-1))*$O160)),0)</f>
        <v>0</v>
      </c>
      <c r="CS160" s="93">
        <f>IF(AND($T160=1,CS$5&lt;=$H160),CR160*(1-BC160)*(1-MIN(1,MAX(Assumptions!$C$27,Assumptions!$C$13*Assumptions!$C$28^(CR$5-1))*$O160)),0)</f>
        <v>0</v>
      </c>
      <c r="CT160" s="93">
        <f>IF(AND($T160=1,CT$5&lt;=$H160),CS160*(1-BD160)*(1-MIN(1,MAX(Assumptions!$C$27,Assumptions!$C$13*Assumptions!$C$28^(CS$5-1))*$O160)),0)</f>
        <v>0</v>
      </c>
      <c r="CU160" s="93">
        <f>IF(AND($T160=1,CU$5&lt;=$H160),CT160*(1-BE160)*(1-MIN(1,MAX(Assumptions!$C$27,Assumptions!$C$13*Assumptions!$C$28^(CT$5-1))*$O160)),0)</f>
        <v>0</v>
      </c>
      <c r="CV160" s="93">
        <f>IF(AND($T160=1,CV$5&lt;=$H160),CU160*(1-BF160)*(1-MIN(1,MAX(Assumptions!$C$27,Assumptions!$C$13*Assumptions!$C$28^(CU$5-1))*$O160)),0)</f>
        <v>0</v>
      </c>
      <c r="CW160" s="93">
        <f>IF(AND($T160=1,CW$5&lt;=$H160),CV160*(1-BG160)*(1-MIN(1,MAX(Assumptions!$C$27,Assumptions!$C$13*Assumptions!$C$28^(CV$5-1))*$O160)),0)</f>
        <v>0</v>
      </c>
      <c r="CX160" s="93">
        <f>IF(AND($T160=1,CX$5&lt;=$H160),CW160*(1-BH160)*(1-MIN(1,MAX(Assumptions!$C$27,Assumptions!$C$13*Assumptions!$C$28^(CW$5-1))*$O160)),0)</f>
        <v>0</v>
      </c>
      <c r="CY160" s="93">
        <f>IF(AND($T160=1,CY$5&lt;=$H160),CX160*(1-BI160)*(1-MIN(1,MAX(Assumptions!$C$27,Assumptions!$C$13*Assumptions!$C$28^(CX$5-1))*$O160)),0)</f>
        <v>0</v>
      </c>
      <c r="CZ160" s="93">
        <f>IF(AND($T160=1,CZ$5&lt;=$H160),CY160*(1-BJ160)*(1-MIN(1,MAX(Assumptions!$C$27,Assumptions!$C$13*Assumptions!$C$28^(CY$5-1))*$O160)),0)</f>
        <v>0</v>
      </c>
      <c r="DA160" s="93">
        <f>IF(AND($T160=1,DA$5&lt;=$H160),CZ160*(1-BK160)*(1-MIN(1,MAX(Assumptions!$C$27,Assumptions!$C$13*Assumptions!$C$28^(CZ$5-1))*$O160)),0)</f>
        <v>0</v>
      </c>
      <c r="DB160" s="93">
        <f>IF(AND($T160=1,DB$5&lt;=$H160),DA160*(1-BL160)*(1-MIN(1,MAX(Assumptions!$C$27,Assumptions!$C$13*Assumptions!$C$28^(DA$5-1))*$O160)),0)</f>
        <v>0</v>
      </c>
      <c r="DC160" s="93">
        <f>IF(AND($T160=1,DC$5&lt;=$H160),DB160*(1-BM160)*(1-MIN(1,MAX(Assumptions!$C$27,Assumptions!$C$13*Assumptions!$C$28^(DB$5-1))*$O160)),0)</f>
        <v>0</v>
      </c>
      <c r="DD160" s="93">
        <f>IF(AND($T160=1,DD$5&lt;=$H160),DC160*(1-BN160)*(1-MIN(1,MAX(Assumptions!$C$27,Assumptions!$C$13*Assumptions!$C$28^(DC$5-1))*$O160)),0)</f>
        <v>0</v>
      </c>
      <c r="DE160" s="93">
        <f>IF(AND($T160=1,DE$5&lt;=$H160),DD160*(1-BO160)*(1-MIN(1,MAX(Assumptions!$C$27,Assumptions!$C$13*Assumptions!$C$28^(DD$5-1))*$O160)),0)</f>
        <v>0</v>
      </c>
      <c r="DF160" s="93">
        <f>IF(AND($T160=1,DF$5&lt;=$H160),DE160*(1-BP160)*(1-MIN(1,MAX(Assumptions!$C$27,Assumptions!$C$13*Assumptions!$C$28^(DE$5-1))*$O160)),0)</f>
        <v>0</v>
      </c>
      <c r="DG160" s="93">
        <f>IF(AND($T160=1,DG$5&lt;=$H160),DF160*(1-BQ160)*(1-MIN(1,MAX(Assumptions!$C$27,Assumptions!$C$13*Assumptions!$C$28^(DF$5-1))*$O160)),0)</f>
        <v>0</v>
      </c>
      <c r="DH160" s="93">
        <f>IF(AND($T160=1,DH$5&lt;=$H160),DG160*(1-BR160)*(1-MIN(1,MAX(Assumptions!$C$27,Assumptions!$C$13*Assumptions!$C$28^(DG$5-1))*$O160)),0)</f>
        <v>0</v>
      </c>
      <c r="DI160" s="93">
        <f>IF(AND($T160=1,DI$5&lt;=$H160),DH160*(1-BS160)*(1-MIN(1,MAX(Assumptions!$C$27,Assumptions!$C$13*Assumptions!$C$28^(DH$5-1))*$O160)),0)</f>
        <v>0</v>
      </c>
      <c r="DJ160" s="93">
        <f>IF(AND($T160=1,DJ$5&lt;=$H160),DI160*(1-BT160)*(1-MIN(1,MAX(Assumptions!$C$27,Assumptions!$C$13*Assumptions!$C$28^(DI$5-1))*$O160)),0)</f>
        <v>0</v>
      </c>
      <c r="DK160" s="93">
        <f>IF(AND($T160=1,DK$5&lt;=$H160),DJ160*(1-BU160)*(1-MIN(1,MAX(Assumptions!$C$27,Assumptions!$C$13*Assumptions!$C$28^(DJ$5-1))*$O160)),0)</f>
        <v>0</v>
      </c>
      <c r="DL160" s="93">
        <f>IF(AND($T160=1,DL$5&lt;=$H160),DK160*(1-BV160)*(1-MIN(1,MAX(Assumptions!$C$27,Assumptions!$C$13*Assumptions!$C$28^(DK$5-1))*$O160)),0)</f>
        <v>0</v>
      </c>
      <c r="DM160" s="93">
        <f>IF(AND($T160=1,DM$5&lt;=$H160),DL160*(1-BW160)*(1-MIN(1,MAX(Assumptions!$C$27,Assumptions!$C$13*Assumptions!$C$28^(DL$5-1))*$O160)),0)</f>
        <v>0</v>
      </c>
      <c r="DN160" s="93">
        <f>IF(AND($T160=1,DN$5&lt;=$H160),DM160*(1-BX160)*(1-MIN(1,MAX(Assumptions!$C$27,Assumptions!$C$13*Assumptions!$C$28^(DM$5-1))*$O160)),0)</f>
        <v>0</v>
      </c>
      <c r="DO160" s="93">
        <f>IF(AND($T160=1,DO$5&lt;=$H160),DN160*(1-BY160)*(1-MIN(1,MAX(Assumptions!$C$27,Assumptions!$C$13*Assumptions!$C$28^(DN$5-1))*$O160)),0)</f>
        <v>0</v>
      </c>
      <c r="DP160" s="93">
        <f>IF(AND($T160=1,DP$5&lt;=$H160),DO160*(1-BZ160)*(1-MIN(1,MAX(Assumptions!$C$27,Assumptions!$C$13*Assumptions!$C$28^(DO$5-1))*$O160)),0)</f>
        <v>0</v>
      </c>
      <c r="DQ160" s="93">
        <f>IF(AND($T160=1,DQ$5&lt;=$H160),DP160*(1-CA160)*(1-MIN(1,MAX(Assumptions!$C$27,Assumptions!$C$13*Assumptions!$C$28^(DP$5-1))*$O160)),0)</f>
        <v>0</v>
      </c>
      <c r="DR160" s="93">
        <f>IF(AND($T160=1,DR$5&lt;=$H160),DQ160*(1-CB160)*(1-MIN(1,MAX(Assumptions!$C$27,Assumptions!$C$13*Assumptions!$C$28^(DQ$5-1))*$O160)),0)</f>
        <v>0</v>
      </c>
      <c r="DS160" s="93">
        <f>IF(AND($T160=1,DS$5&lt;=$H160),DR160*(1-CC160)*(1-MIN(1,MAX(Assumptions!$C$27,Assumptions!$C$13*Assumptions!$C$28^(DR$5-1))*$O160)),0)</f>
        <v>0</v>
      </c>
      <c r="DT160" s="93">
        <f>IF(AND($T160=1,DT$5&lt;=$H160),DS160*(1-CD160)*(1-MIN(1,MAX(Assumptions!$C$27,Assumptions!$C$13*Assumptions!$C$28^(DS$5-1))*$O160)),0)</f>
        <v>0</v>
      </c>
      <c r="DU160" s="93">
        <f>IF(AND($T160=1,DU$5&lt;=$H160),DT160*(1-CE160)*(1-MIN(1,MAX(Assumptions!$C$27,Assumptions!$C$13*Assumptions!$C$28^(DT$5-1))*$O160)),0)</f>
        <v>0</v>
      </c>
      <c r="DV160" s="93">
        <f>IF(AND($T160=1,DV$5&lt;=$H160),DU160*(1-CF160)*(1-MIN(1,MAX(Assumptions!$C$27,Assumptions!$C$13*Assumptions!$C$28^(DU$5-1))*$O160)),0)</f>
        <v>0</v>
      </c>
      <c r="DW160" s="94">
        <f>IF(AND($T160=1,DW$5&lt;=$H160),DV160*(1-CG160)*(1-MIN(1,MAX(Assumptions!$C$27,Assumptions!$C$13*Assumptions!$C$28^(DV$5-1))*$O160)),0)</f>
        <v>0</v>
      </c>
      <c r="DX160" s="26"/>
      <c r="DY160" s="399">
        <f>'Policy Data'!K134</f>
        <v>7</v>
      </c>
      <c r="DZ160" s="100">
        <f>'Policy Data'!L134</f>
        <v>0.95330000000000004</v>
      </c>
      <c r="EA160" s="100">
        <f>'Policy Data'!N134</f>
        <v>6.2699999999999995E-4</v>
      </c>
      <c r="EB160" s="93" cm="1">
        <f t="array" ref="EB160">IFERROR(DZ160*INDEX(Mortality!$B$4:$E$64,MATCH(D160+DY160-1,Mortality!$A$4:$A$64,0),U160)*V160,0)</f>
        <v>1.0135191854982767E-3</v>
      </c>
      <c r="EC160" s="100">
        <f>'Policy Data'!O134</f>
        <v>0</v>
      </c>
      <c r="ED160" s="400">
        <f>'Policy Data'!Q134</f>
        <v>0</v>
      </c>
    </row>
    <row r="161" spans="1:134" x14ac:dyDescent="0.3">
      <c r="A161" s="399" t="str">
        <f>'Policy Data'!A135</f>
        <v>POL100131</v>
      </c>
      <c r="B161" s="26" t="s">
        <v>426</v>
      </c>
      <c r="C161" s="100" t="str">
        <f>'Policy Data'!B135</f>
        <v>Unit-Linked</v>
      </c>
      <c r="D161" s="100">
        <f>'Policy Data'!C135</f>
        <v>47</v>
      </c>
      <c r="E161" s="100" t="str">
        <f>'Policy Data'!D135</f>
        <v>Male</v>
      </c>
      <c r="F161" s="100" t="str">
        <f>'Policy Data'!E135</f>
        <v>Non-smoker</v>
      </c>
      <c r="G161" s="100" t="str">
        <f>'Policy Data'!F135</f>
        <v>Standard</v>
      </c>
      <c r="H161" s="100">
        <f>'Policy Data'!G135</f>
        <v>15</v>
      </c>
      <c r="I161" s="279">
        <f>'Policy Data'!H135</f>
        <v>500000</v>
      </c>
      <c r="J161" s="100" t="str">
        <f>'Policy Data'!I135</f>
        <v>Annual</v>
      </c>
      <c r="K161" s="100" t="str">
        <f>'Policy Data'!J135</f>
        <v>Bancassurance</v>
      </c>
      <c r="L161" s="26" t="s">
        <v>389</v>
      </c>
      <c r="M161" s="106">
        <f>'Policy Data'!R135</f>
        <v>14374.51</v>
      </c>
      <c r="N161" s="415">
        <f>Assumptions!$C$21</f>
        <v>1</v>
      </c>
      <c r="O161" s="415">
        <f>Assumptions!$C$22</f>
        <v>1</v>
      </c>
      <c r="P161" s="415">
        <f>Assumptions!$C$23</f>
        <v>1</v>
      </c>
      <c r="Q161" s="416">
        <f>Assumptions!$C$24</f>
        <v>0</v>
      </c>
      <c r="R161" s="416">
        <f>Assumptions!$C$6+Assumptions!$C$25</f>
        <v>3.5000000000000003E-2</v>
      </c>
      <c r="S161" s="416">
        <f>Assumptions!$C$15</f>
        <v>1.1000000000000001E-3</v>
      </c>
      <c r="T161" s="26">
        <f t="shared" si="54"/>
        <v>0</v>
      </c>
      <c r="U161" s="26">
        <f t="shared" si="55"/>
        <v>3</v>
      </c>
      <c r="V161" s="389">
        <f>IF($G161="Preferred",Assumptions!$C$30,IF($G161="Rated",Assumptions!$C$31,1))</f>
        <v>1</v>
      </c>
      <c r="W161" s="390">
        <f>IF($K161="Direct",Assumptions!$C$32,IF($K161="Broker",Assumptions!$C$33,IF($K161="Bancassurance",Assumptions!$C$34,Assumptions!$C$11)))+$Q161</f>
        <v>0.2</v>
      </c>
      <c r="X161" s="390">
        <f>Assumptions!$C$12+$Q161</f>
        <v>0.05</v>
      </c>
      <c r="Y161" s="131">
        <f>MIN($I161,Assumptions!$C$14)</f>
        <v>500000</v>
      </c>
      <c r="Z161" s="131">
        <f>MAX($I161-Assumptions!$C$14,0)</f>
        <v>0</v>
      </c>
      <c r="AA161" s="389">
        <f t="shared" si="56"/>
        <v>0</v>
      </c>
      <c r="AB161" s="389">
        <f t="shared" si="57"/>
        <v>0</v>
      </c>
      <c r="AC161" s="389">
        <f>IF($T161=1,SUMPRODUCT($CJ161:$DW161,(1+Assumptions!$C$5)^($CJ$5:$DW$5-1),(1+$R161)^(-$CJ$5:$DW$5)),0)</f>
        <v>0</v>
      </c>
      <c r="AD161" s="389">
        <f t="shared" si="58"/>
        <v>0</v>
      </c>
      <c r="AE161" s="131">
        <f>IF($T161=1,$AB161*$Y161+(Assumptions!$C$9/(1+$R161)+Assumptions!$C$10*$AC161)*$P161+$S161*$Z161*$AA161,0)</f>
        <v>0</v>
      </c>
      <c r="AF161" s="131" t="str">
        <f>IF($T161=1,IF($AA161-$AD161-Assumptions!$C$16*$AA161&gt;0,$AE161/($AA161-$AD161-Assumptions!$C$16*$AA161)*IF($J161="Monthly",1+Assumptions!$C$29,1),"n.a."),"")</f>
        <v/>
      </c>
      <c r="AG161" s="131" t="str">
        <f t="shared" si="59"/>
        <v/>
      </c>
      <c r="AH161" s="131" t="str">
        <f t="shared" si="60"/>
        <v/>
      </c>
      <c r="AI161" s="131" t="str">
        <f t="shared" si="61"/>
        <v/>
      </c>
      <c r="AJ161" s="390" t="str">
        <f t="shared" si="62"/>
        <v/>
      </c>
      <c r="AK161" s="389" t="str">
        <f t="shared" si="63"/>
        <v/>
      </c>
      <c r="AL161" s="131" t="str">
        <f t="shared" si="64"/>
        <v/>
      </c>
      <c r="AM161" s="131" t="str">
        <f t="shared" si="65"/>
        <v/>
      </c>
      <c r="AN161" s="131" t="str">
        <f t="shared" si="66"/>
        <v/>
      </c>
      <c r="AO161" s="131" t="str">
        <f t="shared" si="67"/>
        <v/>
      </c>
      <c r="AP161" s="26" t="str">
        <f t="shared" si="68"/>
        <v>40-49</v>
      </c>
      <c r="AQ161" s="26" t="str">
        <f t="shared" si="69"/>
        <v>250k-500k</v>
      </c>
      <c r="AR161" s="26" t="str">
        <f>IF($T161=1,IF($AI161&lt;0,"Loss-making",IF($AJ161&lt;Assumptions!$C$16-0.00001,"Below target","At/above target")),"Excluded")</f>
        <v>Excluded</v>
      </c>
      <c r="AS161" s="103">
        <f t="shared" si="70"/>
        <v>9.9999999999999997E+98</v>
      </c>
      <c r="AT161" s="26"/>
      <c r="AU161" s="419">
        <f>IF(AND($T161=1,AU$5&lt;=$H161),INDEX(Mortality!$B$4:$E$64,MATCH($D161+AU$5-1,Mortality!$A$4:$A$64,0),$U161)*$V161*$N161,0)</f>
        <v>0</v>
      </c>
      <c r="AV161" s="93">
        <f>IF(AND($T161=1,AV$5&lt;=$H161),INDEX(Mortality!$B$4:$E$64,MATCH($D161+AV$5-1,Mortality!$A$4:$A$64,0),$U161)*$V161*$N161,0)</f>
        <v>0</v>
      </c>
      <c r="AW161" s="93">
        <f>IF(AND($T161=1,AW$5&lt;=$H161),INDEX(Mortality!$B$4:$E$64,MATCH($D161+AW$5-1,Mortality!$A$4:$A$64,0),$U161)*$V161*$N161,0)</f>
        <v>0</v>
      </c>
      <c r="AX161" s="93">
        <f>IF(AND($T161=1,AX$5&lt;=$H161),INDEX(Mortality!$B$4:$E$64,MATCH($D161+AX$5-1,Mortality!$A$4:$A$64,0),$U161)*$V161*$N161,0)</f>
        <v>0</v>
      </c>
      <c r="AY161" s="93">
        <f>IF(AND($T161=1,AY$5&lt;=$H161),INDEX(Mortality!$B$4:$E$64,MATCH($D161+AY$5-1,Mortality!$A$4:$A$64,0),$U161)*$V161*$N161,0)</f>
        <v>0</v>
      </c>
      <c r="AZ161" s="93">
        <f>IF(AND($T161=1,AZ$5&lt;=$H161),INDEX(Mortality!$B$4:$E$64,MATCH($D161+AZ$5-1,Mortality!$A$4:$A$64,0),$U161)*$V161*$N161,0)</f>
        <v>0</v>
      </c>
      <c r="BA161" s="93">
        <f>IF(AND($T161=1,BA$5&lt;=$H161),INDEX(Mortality!$B$4:$E$64,MATCH($D161+BA$5-1,Mortality!$A$4:$A$64,0),$U161)*$V161*$N161,0)</f>
        <v>0</v>
      </c>
      <c r="BB161" s="93">
        <f>IF(AND($T161=1,BB$5&lt;=$H161),INDEX(Mortality!$B$4:$E$64,MATCH($D161+BB$5-1,Mortality!$A$4:$A$64,0),$U161)*$V161*$N161,0)</f>
        <v>0</v>
      </c>
      <c r="BC161" s="93">
        <f>IF(AND($T161=1,BC$5&lt;=$H161),INDEX(Mortality!$B$4:$E$64,MATCH($D161+BC$5-1,Mortality!$A$4:$A$64,0),$U161)*$V161*$N161,0)</f>
        <v>0</v>
      </c>
      <c r="BD161" s="93">
        <f>IF(AND($T161=1,BD$5&lt;=$H161),INDEX(Mortality!$B$4:$E$64,MATCH($D161+BD$5-1,Mortality!$A$4:$A$64,0),$U161)*$V161*$N161,0)</f>
        <v>0</v>
      </c>
      <c r="BE161" s="93">
        <f>IF(AND($T161=1,BE$5&lt;=$H161),INDEX(Mortality!$B$4:$E$64,MATCH($D161+BE$5-1,Mortality!$A$4:$A$64,0),$U161)*$V161*$N161,0)</f>
        <v>0</v>
      </c>
      <c r="BF161" s="93">
        <f>IF(AND($T161=1,BF$5&lt;=$H161),INDEX(Mortality!$B$4:$E$64,MATCH($D161+BF$5-1,Mortality!$A$4:$A$64,0),$U161)*$V161*$N161,0)</f>
        <v>0</v>
      </c>
      <c r="BG161" s="93">
        <f>IF(AND($T161=1,BG$5&lt;=$H161),INDEX(Mortality!$B$4:$E$64,MATCH($D161+BG$5-1,Mortality!$A$4:$A$64,0),$U161)*$V161*$N161,0)</f>
        <v>0</v>
      </c>
      <c r="BH161" s="93">
        <f>IF(AND($T161=1,BH$5&lt;=$H161),INDEX(Mortality!$B$4:$E$64,MATCH($D161+BH$5-1,Mortality!$A$4:$A$64,0),$U161)*$V161*$N161,0)</f>
        <v>0</v>
      </c>
      <c r="BI161" s="93">
        <f>IF(AND($T161=1,BI$5&lt;=$H161),INDEX(Mortality!$B$4:$E$64,MATCH($D161+BI$5-1,Mortality!$A$4:$A$64,0),$U161)*$V161*$N161,0)</f>
        <v>0</v>
      </c>
      <c r="BJ161" s="93">
        <f>IF(AND($T161=1,BJ$5&lt;=$H161),INDEX(Mortality!$B$4:$E$64,MATCH($D161+BJ$5-1,Mortality!$A$4:$A$64,0),$U161)*$V161*$N161,0)</f>
        <v>0</v>
      </c>
      <c r="BK161" s="93">
        <f>IF(AND($T161=1,BK$5&lt;=$H161),INDEX(Mortality!$B$4:$E$64,MATCH($D161+BK$5-1,Mortality!$A$4:$A$64,0),$U161)*$V161*$N161,0)</f>
        <v>0</v>
      </c>
      <c r="BL161" s="93">
        <f>IF(AND($T161=1,BL$5&lt;=$H161),INDEX(Mortality!$B$4:$E$64,MATCH($D161+BL$5-1,Mortality!$A$4:$A$64,0),$U161)*$V161*$N161,0)</f>
        <v>0</v>
      </c>
      <c r="BM161" s="93">
        <f>IF(AND($T161=1,BM$5&lt;=$H161),INDEX(Mortality!$B$4:$E$64,MATCH($D161+BM$5-1,Mortality!$A$4:$A$64,0),$U161)*$V161*$N161,0)</f>
        <v>0</v>
      </c>
      <c r="BN161" s="93">
        <f>IF(AND($T161=1,BN$5&lt;=$H161),INDEX(Mortality!$B$4:$E$64,MATCH($D161+BN$5-1,Mortality!$A$4:$A$64,0),$U161)*$V161*$N161,0)</f>
        <v>0</v>
      </c>
      <c r="BO161" s="93">
        <f>IF(AND($T161=1,BO$5&lt;=$H161),INDEX(Mortality!$B$4:$E$64,MATCH($D161+BO$5-1,Mortality!$A$4:$A$64,0),$U161)*$V161*$N161,0)</f>
        <v>0</v>
      </c>
      <c r="BP161" s="93">
        <f>IF(AND($T161=1,BP$5&lt;=$H161),INDEX(Mortality!$B$4:$E$64,MATCH($D161+BP$5-1,Mortality!$A$4:$A$64,0),$U161)*$V161*$N161,0)</f>
        <v>0</v>
      </c>
      <c r="BQ161" s="93">
        <f>IF(AND($T161=1,BQ$5&lt;=$H161),INDEX(Mortality!$B$4:$E$64,MATCH($D161+BQ$5-1,Mortality!$A$4:$A$64,0),$U161)*$V161*$N161,0)</f>
        <v>0</v>
      </c>
      <c r="BR161" s="93">
        <f>IF(AND($T161=1,BR$5&lt;=$H161),INDEX(Mortality!$B$4:$E$64,MATCH($D161+BR$5-1,Mortality!$A$4:$A$64,0),$U161)*$V161*$N161,0)</f>
        <v>0</v>
      </c>
      <c r="BS161" s="93">
        <f>IF(AND($T161=1,BS$5&lt;=$H161),INDEX(Mortality!$B$4:$E$64,MATCH($D161+BS$5-1,Mortality!$A$4:$A$64,0),$U161)*$V161*$N161,0)</f>
        <v>0</v>
      </c>
      <c r="BT161" s="93">
        <f>IF(AND($T161=1,BT$5&lt;=$H161),INDEX(Mortality!$B$4:$E$64,MATCH($D161+BT$5-1,Mortality!$A$4:$A$64,0),$U161)*$V161*$N161,0)</f>
        <v>0</v>
      </c>
      <c r="BU161" s="93">
        <f>IF(AND($T161=1,BU$5&lt;=$H161),INDEX(Mortality!$B$4:$E$64,MATCH($D161+BU$5-1,Mortality!$A$4:$A$64,0),$U161)*$V161*$N161,0)</f>
        <v>0</v>
      </c>
      <c r="BV161" s="93">
        <f>IF(AND($T161=1,BV$5&lt;=$H161),INDEX(Mortality!$B$4:$E$64,MATCH($D161+BV$5-1,Mortality!$A$4:$A$64,0),$U161)*$V161*$N161,0)</f>
        <v>0</v>
      </c>
      <c r="BW161" s="93">
        <f>IF(AND($T161=1,BW$5&lt;=$H161),INDEX(Mortality!$B$4:$E$64,MATCH($D161+BW$5-1,Mortality!$A$4:$A$64,0),$U161)*$V161*$N161,0)</f>
        <v>0</v>
      </c>
      <c r="BX161" s="93">
        <f>IF(AND($T161=1,BX$5&lt;=$H161),INDEX(Mortality!$B$4:$E$64,MATCH($D161+BX$5-1,Mortality!$A$4:$A$64,0),$U161)*$V161*$N161,0)</f>
        <v>0</v>
      </c>
      <c r="BY161" s="93">
        <f>IF(AND($T161=1,BY$5&lt;=$H161),INDEX(Mortality!$B$4:$E$64,MATCH($D161+BY$5-1,Mortality!$A$4:$A$64,0),$U161)*$V161*$N161,0)</f>
        <v>0</v>
      </c>
      <c r="BZ161" s="93">
        <f>IF(AND($T161=1,BZ$5&lt;=$H161),INDEX(Mortality!$B$4:$E$64,MATCH($D161+BZ$5-1,Mortality!$A$4:$A$64,0),$U161)*$V161*$N161,0)</f>
        <v>0</v>
      </c>
      <c r="CA161" s="93">
        <f>IF(AND($T161=1,CA$5&lt;=$H161),INDEX(Mortality!$B$4:$E$64,MATCH($D161+CA$5-1,Mortality!$A$4:$A$64,0),$U161)*$V161*$N161,0)</f>
        <v>0</v>
      </c>
      <c r="CB161" s="93">
        <f>IF(AND($T161=1,CB$5&lt;=$H161),INDEX(Mortality!$B$4:$E$64,MATCH($D161+CB$5-1,Mortality!$A$4:$A$64,0),$U161)*$V161*$N161,0)</f>
        <v>0</v>
      </c>
      <c r="CC161" s="93">
        <f>IF(AND($T161=1,CC$5&lt;=$H161),INDEX(Mortality!$B$4:$E$64,MATCH($D161+CC$5-1,Mortality!$A$4:$A$64,0),$U161)*$V161*$N161,0)</f>
        <v>0</v>
      </c>
      <c r="CD161" s="93">
        <f>IF(AND($T161=1,CD$5&lt;=$H161),INDEX(Mortality!$B$4:$E$64,MATCH($D161+CD$5-1,Mortality!$A$4:$A$64,0),$U161)*$V161*$N161,0)</f>
        <v>0</v>
      </c>
      <c r="CE161" s="93">
        <f>IF(AND($T161=1,CE$5&lt;=$H161),INDEX(Mortality!$B$4:$E$64,MATCH($D161+CE$5-1,Mortality!$A$4:$A$64,0),$U161)*$V161*$N161,0)</f>
        <v>0</v>
      </c>
      <c r="CF161" s="93">
        <f>IF(AND($T161=1,CF$5&lt;=$H161),INDEX(Mortality!$B$4:$E$64,MATCH($D161+CF$5-1,Mortality!$A$4:$A$64,0),$U161)*$V161*$N161,0)</f>
        <v>0</v>
      </c>
      <c r="CG161" s="93">
        <f>IF(AND($T161=1,CG$5&lt;=$H161),INDEX(Mortality!$B$4:$E$64,MATCH($D161+CG$5-1,Mortality!$A$4:$A$64,0),$U161)*$V161*$N161,0)</f>
        <v>0</v>
      </c>
      <c r="CH161" s="94">
        <f>IF(AND($T161=1,CH$5&lt;=$H161),INDEX(Mortality!$B$4:$E$64,MATCH($D161+CH$5-1,Mortality!$A$4:$A$64,0),$U161)*$V161*$N161,0)</f>
        <v>0</v>
      </c>
      <c r="CI161" s="26"/>
      <c r="CJ161" s="419">
        <f t="shared" si="71"/>
        <v>0</v>
      </c>
      <c r="CK161" s="93">
        <f>IF(AND($T161=1,CK$5&lt;=$H161),CJ161*(1-AU161)*(1-MIN(1,MAX(Assumptions!$C$27,Assumptions!$C$13*Assumptions!$C$28^(CJ$5-1))*$O161)),0)</f>
        <v>0</v>
      </c>
      <c r="CL161" s="93">
        <f>IF(AND($T161=1,CL$5&lt;=$H161),CK161*(1-AV161)*(1-MIN(1,MAX(Assumptions!$C$27,Assumptions!$C$13*Assumptions!$C$28^(CK$5-1))*$O161)),0)</f>
        <v>0</v>
      </c>
      <c r="CM161" s="93">
        <f>IF(AND($T161=1,CM$5&lt;=$H161),CL161*(1-AW161)*(1-MIN(1,MAX(Assumptions!$C$27,Assumptions!$C$13*Assumptions!$C$28^(CL$5-1))*$O161)),0)</f>
        <v>0</v>
      </c>
      <c r="CN161" s="93">
        <f>IF(AND($T161=1,CN$5&lt;=$H161),CM161*(1-AX161)*(1-MIN(1,MAX(Assumptions!$C$27,Assumptions!$C$13*Assumptions!$C$28^(CM$5-1))*$O161)),0)</f>
        <v>0</v>
      </c>
      <c r="CO161" s="93">
        <f>IF(AND($T161=1,CO$5&lt;=$H161),CN161*(1-AY161)*(1-MIN(1,MAX(Assumptions!$C$27,Assumptions!$C$13*Assumptions!$C$28^(CN$5-1))*$O161)),0)</f>
        <v>0</v>
      </c>
      <c r="CP161" s="93">
        <f>IF(AND($T161=1,CP$5&lt;=$H161),CO161*(1-AZ161)*(1-MIN(1,MAX(Assumptions!$C$27,Assumptions!$C$13*Assumptions!$C$28^(CO$5-1))*$O161)),0)</f>
        <v>0</v>
      </c>
      <c r="CQ161" s="93">
        <f>IF(AND($T161=1,CQ$5&lt;=$H161),CP161*(1-BA161)*(1-MIN(1,MAX(Assumptions!$C$27,Assumptions!$C$13*Assumptions!$C$28^(CP$5-1))*$O161)),0)</f>
        <v>0</v>
      </c>
      <c r="CR161" s="93">
        <f>IF(AND($T161=1,CR$5&lt;=$H161),CQ161*(1-BB161)*(1-MIN(1,MAX(Assumptions!$C$27,Assumptions!$C$13*Assumptions!$C$28^(CQ$5-1))*$O161)),0)</f>
        <v>0</v>
      </c>
      <c r="CS161" s="93">
        <f>IF(AND($T161=1,CS$5&lt;=$H161),CR161*(1-BC161)*(1-MIN(1,MAX(Assumptions!$C$27,Assumptions!$C$13*Assumptions!$C$28^(CR$5-1))*$O161)),0)</f>
        <v>0</v>
      </c>
      <c r="CT161" s="93">
        <f>IF(AND($T161=1,CT$5&lt;=$H161),CS161*(1-BD161)*(1-MIN(1,MAX(Assumptions!$C$27,Assumptions!$C$13*Assumptions!$C$28^(CS$5-1))*$O161)),0)</f>
        <v>0</v>
      </c>
      <c r="CU161" s="93">
        <f>IF(AND($T161=1,CU$5&lt;=$H161),CT161*(1-BE161)*(1-MIN(1,MAX(Assumptions!$C$27,Assumptions!$C$13*Assumptions!$C$28^(CT$5-1))*$O161)),0)</f>
        <v>0</v>
      </c>
      <c r="CV161" s="93">
        <f>IF(AND($T161=1,CV$5&lt;=$H161),CU161*(1-BF161)*(1-MIN(1,MAX(Assumptions!$C$27,Assumptions!$C$13*Assumptions!$C$28^(CU$5-1))*$O161)),0)</f>
        <v>0</v>
      </c>
      <c r="CW161" s="93">
        <f>IF(AND($T161=1,CW$5&lt;=$H161),CV161*(1-BG161)*(1-MIN(1,MAX(Assumptions!$C$27,Assumptions!$C$13*Assumptions!$C$28^(CV$5-1))*$O161)),0)</f>
        <v>0</v>
      </c>
      <c r="CX161" s="93">
        <f>IF(AND($T161=1,CX$5&lt;=$H161),CW161*(1-BH161)*(1-MIN(1,MAX(Assumptions!$C$27,Assumptions!$C$13*Assumptions!$C$28^(CW$5-1))*$O161)),0)</f>
        <v>0</v>
      </c>
      <c r="CY161" s="93">
        <f>IF(AND($T161=1,CY$5&lt;=$H161),CX161*(1-BI161)*(1-MIN(1,MAX(Assumptions!$C$27,Assumptions!$C$13*Assumptions!$C$28^(CX$5-1))*$O161)),0)</f>
        <v>0</v>
      </c>
      <c r="CZ161" s="93">
        <f>IF(AND($T161=1,CZ$5&lt;=$H161),CY161*(1-BJ161)*(1-MIN(1,MAX(Assumptions!$C$27,Assumptions!$C$13*Assumptions!$C$28^(CY$5-1))*$O161)),0)</f>
        <v>0</v>
      </c>
      <c r="DA161" s="93">
        <f>IF(AND($T161=1,DA$5&lt;=$H161),CZ161*(1-BK161)*(1-MIN(1,MAX(Assumptions!$C$27,Assumptions!$C$13*Assumptions!$C$28^(CZ$5-1))*$O161)),0)</f>
        <v>0</v>
      </c>
      <c r="DB161" s="93">
        <f>IF(AND($T161=1,DB$5&lt;=$H161),DA161*(1-BL161)*(1-MIN(1,MAX(Assumptions!$C$27,Assumptions!$C$13*Assumptions!$C$28^(DA$5-1))*$O161)),0)</f>
        <v>0</v>
      </c>
      <c r="DC161" s="93">
        <f>IF(AND($T161=1,DC$5&lt;=$H161),DB161*(1-BM161)*(1-MIN(1,MAX(Assumptions!$C$27,Assumptions!$C$13*Assumptions!$C$28^(DB$5-1))*$O161)),0)</f>
        <v>0</v>
      </c>
      <c r="DD161" s="93">
        <f>IF(AND($T161=1,DD$5&lt;=$H161),DC161*(1-BN161)*(1-MIN(1,MAX(Assumptions!$C$27,Assumptions!$C$13*Assumptions!$C$28^(DC$5-1))*$O161)),0)</f>
        <v>0</v>
      </c>
      <c r="DE161" s="93">
        <f>IF(AND($T161=1,DE$5&lt;=$H161),DD161*(1-BO161)*(1-MIN(1,MAX(Assumptions!$C$27,Assumptions!$C$13*Assumptions!$C$28^(DD$5-1))*$O161)),0)</f>
        <v>0</v>
      </c>
      <c r="DF161" s="93">
        <f>IF(AND($T161=1,DF$5&lt;=$H161),DE161*(1-BP161)*(1-MIN(1,MAX(Assumptions!$C$27,Assumptions!$C$13*Assumptions!$C$28^(DE$5-1))*$O161)),0)</f>
        <v>0</v>
      </c>
      <c r="DG161" s="93">
        <f>IF(AND($T161=1,DG$5&lt;=$H161),DF161*(1-BQ161)*(1-MIN(1,MAX(Assumptions!$C$27,Assumptions!$C$13*Assumptions!$C$28^(DF$5-1))*$O161)),0)</f>
        <v>0</v>
      </c>
      <c r="DH161" s="93">
        <f>IF(AND($T161=1,DH$5&lt;=$H161),DG161*(1-BR161)*(1-MIN(1,MAX(Assumptions!$C$27,Assumptions!$C$13*Assumptions!$C$28^(DG$5-1))*$O161)),0)</f>
        <v>0</v>
      </c>
      <c r="DI161" s="93">
        <f>IF(AND($T161=1,DI$5&lt;=$H161),DH161*(1-BS161)*(1-MIN(1,MAX(Assumptions!$C$27,Assumptions!$C$13*Assumptions!$C$28^(DH$5-1))*$O161)),0)</f>
        <v>0</v>
      </c>
      <c r="DJ161" s="93">
        <f>IF(AND($T161=1,DJ$5&lt;=$H161),DI161*(1-BT161)*(1-MIN(1,MAX(Assumptions!$C$27,Assumptions!$C$13*Assumptions!$C$28^(DI$5-1))*$O161)),0)</f>
        <v>0</v>
      </c>
      <c r="DK161" s="93">
        <f>IF(AND($T161=1,DK$5&lt;=$H161),DJ161*(1-BU161)*(1-MIN(1,MAX(Assumptions!$C$27,Assumptions!$C$13*Assumptions!$C$28^(DJ$5-1))*$O161)),0)</f>
        <v>0</v>
      </c>
      <c r="DL161" s="93">
        <f>IF(AND($T161=1,DL$5&lt;=$H161),DK161*(1-BV161)*(1-MIN(1,MAX(Assumptions!$C$27,Assumptions!$C$13*Assumptions!$C$28^(DK$5-1))*$O161)),0)</f>
        <v>0</v>
      </c>
      <c r="DM161" s="93">
        <f>IF(AND($T161=1,DM$5&lt;=$H161),DL161*(1-BW161)*(1-MIN(1,MAX(Assumptions!$C$27,Assumptions!$C$13*Assumptions!$C$28^(DL$5-1))*$O161)),0)</f>
        <v>0</v>
      </c>
      <c r="DN161" s="93">
        <f>IF(AND($T161=1,DN$5&lt;=$H161),DM161*(1-BX161)*(1-MIN(1,MAX(Assumptions!$C$27,Assumptions!$C$13*Assumptions!$C$28^(DM$5-1))*$O161)),0)</f>
        <v>0</v>
      </c>
      <c r="DO161" s="93">
        <f>IF(AND($T161=1,DO$5&lt;=$H161),DN161*(1-BY161)*(1-MIN(1,MAX(Assumptions!$C$27,Assumptions!$C$13*Assumptions!$C$28^(DN$5-1))*$O161)),0)</f>
        <v>0</v>
      </c>
      <c r="DP161" s="93">
        <f>IF(AND($T161=1,DP$5&lt;=$H161),DO161*(1-BZ161)*(1-MIN(1,MAX(Assumptions!$C$27,Assumptions!$C$13*Assumptions!$C$28^(DO$5-1))*$O161)),0)</f>
        <v>0</v>
      </c>
      <c r="DQ161" s="93">
        <f>IF(AND($T161=1,DQ$5&lt;=$H161),DP161*(1-CA161)*(1-MIN(1,MAX(Assumptions!$C$27,Assumptions!$C$13*Assumptions!$C$28^(DP$5-1))*$O161)),0)</f>
        <v>0</v>
      </c>
      <c r="DR161" s="93">
        <f>IF(AND($T161=1,DR$5&lt;=$H161),DQ161*(1-CB161)*(1-MIN(1,MAX(Assumptions!$C$27,Assumptions!$C$13*Assumptions!$C$28^(DQ$5-1))*$O161)),0)</f>
        <v>0</v>
      </c>
      <c r="DS161" s="93">
        <f>IF(AND($T161=1,DS$5&lt;=$H161),DR161*(1-CC161)*(1-MIN(1,MAX(Assumptions!$C$27,Assumptions!$C$13*Assumptions!$C$28^(DR$5-1))*$O161)),0)</f>
        <v>0</v>
      </c>
      <c r="DT161" s="93">
        <f>IF(AND($T161=1,DT$5&lt;=$H161),DS161*(1-CD161)*(1-MIN(1,MAX(Assumptions!$C$27,Assumptions!$C$13*Assumptions!$C$28^(DS$5-1))*$O161)),0)</f>
        <v>0</v>
      </c>
      <c r="DU161" s="93">
        <f>IF(AND($T161=1,DU$5&lt;=$H161),DT161*(1-CE161)*(1-MIN(1,MAX(Assumptions!$C$27,Assumptions!$C$13*Assumptions!$C$28^(DT$5-1))*$O161)),0)</f>
        <v>0</v>
      </c>
      <c r="DV161" s="93">
        <f>IF(AND($T161=1,DV$5&lt;=$H161),DU161*(1-CF161)*(1-MIN(1,MAX(Assumptions!$C$27,Assumptions!$C$13*Assumptions!$C$28^(DU$5-1))*$O161)),0)</f>
        <v>0</v>
      </c>
      <c r="DW161" s="94">
        <f>IF(AND($T161=1,DW$5&lt;=$H161),DV161*(1-CG161)*(1-MIN(1,MAX(Assumptions!$C$27,Assumptions!$C$13*Assumptions!$C$28^(DV$5-1))*$O161)),0)</f>
        <v>0</v>
      </c>
      <c r="DX161" s="26"/>
      <c r="DY161" s="399">
        <f>'Policy Data'!K135</f>
        <v>6</v>
      </c>
      <c r="DZ161" s="100">
        <f>'Policy Data'!L135</f>
        <v>0.98980000000000001</v>
      </c>
      <c r="EA161" s="100">
        <f>'Policy Data'!N135</f>
        <v>1.9959999999999999E-3</v>
      </c>
      <c r="EB161" s="93" cm="1">
        <f t="array" ref="EB161">IFERROR(DZ161*INDEX(Mortality!$B$4:$E$64,MATCH(D161+DY161-1,Mortality!$A$4:$A$64,0),U161)*V161,0)</f>
        <v>2.9772554008169858E-3</v>
      </c>
      <c r="EC161" s="100">
        <f>'Policy Data'!O135</f>
        <v>0</v>
      </c>
      <c r="ED161" s="400">
        <f>'Policy Data'!Q135</f>
        <v>0</v>
      </c>
    </row>
    <row r="162" spans="1:134" x14ac:dyDescent="0.3">
      <c r="A162" s="399" t="str">
        <f>'Policy Data'!A136</f>
        <v>POL100132</v>
      </c>
      <c r="B162" s="26" t="s">
        <v>426</v>
      </c>
      <c r="C162" s="100" t="str">
        <f>'Policy Data'!B136</f>
        <v>Unit-Linked</v>
      </c>
      <c r="D162" s="100">
        <f>'Policy Data'!C136</f>
        <v>34</v>
      </c>
      <c r="E162" s="100" t="str">
        <f>'Policy Data'!D136</f>
        <v>Male</v>
      </c>
      <c r="F162" s="100" t="str">
        <f>'Policy Data'!E136</f>
        <v>Non-smoker</v>
      </c>
      <c r="G162" s="100" t="str">
        <f>'Policy Data'!F136</f>
        <v>Standard</v>
      </c>
      <c r="H162" s="100">
        <f>'Policy Data'!G136</f>
        <v>15</v>
      </c>
      <c r="I162" s="279">
        <f>'Policy Data'!H136</f>
        <v>1000000</v>
      </c>
      <c r="J162" s="100" t="str">
        <f>'Policy Data'!I136</f>
        <v>Annual</v>
      </c>
      <c r="K162" s="100" t="str">
        <f>'Policy Data'!J136</f>
        <v>Direct</v>
      </c>
      <c r="L162" s="26" t="s">
        <v>389</v>
      </c>
      <c r="M162" s="106">
        <f>'Policy Data'!R136</f>
        <v>10694.72</v>
      </c>
      <c r="N162" s="415">
        <f>Assumptions!$C$21</f>
        <v>1</v>
      </c>
      <c r="O162" s="415">
        <f>Assumptions!$C$22</f>
        <v>1</v>
      </c>
      <c r="P162" s="415">
        <f>Assumptions!$C$23</f>
        <v>1</v>
      </c>
      <c r="Q162" s="416">
        <f>Assumptions!$C$24</f>
        <v>0</v>
      </c>
      <c r="R162" s="416">
        <f>Assumptions!$C$6+Assumptions!$C$25</f>
        <v>3.5000000000000003E-2</v>
      </c>
      <c r="S162" s="416">
        <f>Assumptions!$C$15</f>
        <v>1.1000000000000001E-3</v>
      </c>
      <c r="T162" s="26">
        <f t="shared" si="54"/>
        <v>0</v>
      </c>
      <c r="U162" s="26">
        <f t="shared" si="55"/>
        <v>3</v>
      </c>
      <c r="V162" s="389">
        <f>IF($G162="Preferred",Assumptions!$C$30,IF($G162="Rated",Assumptions!$C$31,1))</f>
        <v>1</v>
      </c>
      <c r="W162" s="390">
        <f>IF($K162="Direct",Assumptions!$C$32,IF($K162="Broker",Assumptions!$C$33,IF($K162="Bancassurance",Assumptions!$C$34,Assumptions!$C$11)))+$Q162</f>
        <v>0.1</v>
      </c>
      <c r="X162" s="390">
        <f>Assumptions!$C$12+$Q162</f>
        <v>0.05</v>
      </c>
      <c r="Y162" s="131">
        <f>MIN($I162,Assumptions!$C$14)</f>
        <v>500000</v>
      </c>
      <c r="Z162" s="131">
        <f>MAX($I162-Assumptions!$C$14,0)</f>
        <v>500000</v>
      </c>
      <c r="AA162" s="389">
        <f t="shared" si="56"/>
        <v>0</v>
      </c>
      <c r="AB162" s="389">
        <f t="shared" si="57"/>
        <v>0</v>
      </c>
      <c r="AC162" s="389">
        <f>IF($T162=1,SUMPRODUCT($CJ162:$DW162,(1+Assumptions!$C$5)^($CJ$5:$DW$5-1),(1+$R162)^(-$CJ$5:$DW$5)),0)</f>
        <v>0</v>
      </c>
      <c r="AD162" s="389">
        <f t="shared" si="58"/>
        <v>0</v>
      </c>
      <c r="AE162" s="131">
        <f>IF($T162=1,$AB162*$Y162+(Assumptions!$C$9/(1+$R162)+Assumptions!$C$10*$AC162)*$P162+$S162*$Z162*$AA162,0)</f>
        <v>0</v>
      </c>
      <c r="AF162" s="131" t="str">
        <f>IF($T162=1,IF($AA162-$AD162-Assumptions!$C$16*$AA162&gt;0,$AE162/($AA162-$AD162-Assumptions!$C$16*$AA162)*IF($J162="Monthly",1+Assumptions!$C$29,1),"n.a."),"")</f>
        <v/>
      </c>
      <c r="AG162" s="131" t="str">
        <f t="shared" si="59"/>
        <v/>
      </c>
      <c r="AH162" s="131" t="str">
        <f t="shared" si="60"/>
        <v/>
      </c>
      <c r="AI162" s="131" t="str">
        <f t="shared" si="61"/>
        <v/>
      </c>
      <c r="AJ162" s="390" t="str">
        <f t="shared" si="62"/>
        <v/>
      </c>
      <c r="AK162" s="389" t="str">
        <f t="shared" si="63"/>
        <v/>
      </c>
      <c r="AL162" s="131" t="str">
        <f t="shared" si="64"/>
        <v/>
      </c>
      <c r="AM162" s="131" t="str">
        <f t="shared" si="65"/>
        <v/>
      </c>
      <c r="AN162" s="131" t="str">
        <f t="shared" si="66"/>
        <v/>
      </c>
      <c r="AO162" s="131" t="str">
        <f t="shared" si="67"/>
        <v/>
      </c>
      <c r="AP162" s="26" t="str">
        <f t="shared" si="68"/>
        <v>30-39</v>
      </c>
      <c r="AQ162" s="26" t="str">
        <f t="shared" si="69"/>
        <v>500k-1m</v>
      </c>
      <c r="AR162" s="26" t="str">
        <f>IF($T162=1,IF($AI162&lt;0,"Loss-making",IF($AJ162&lt;Assumptions!$C$16-0.00001,"Below target","At/above target")),"Excluded")</f>
        <v>Excluded</v>
      </c>
      <c r="AS162" s="103">
        <f t="shared" si="70"/>
        <v>9.9999999999999997E+98</v>
      </c>
      <c r="AT162" s="26"/>
      <c r="AU162" s="419">
        <f>IF(AND($T162=1,AU$5&lt;=$H162),INDEX(Mortality!$B$4:$E$64,MATCH($D162+AU$5-1,Mortality!$A$4:$A$64,0),$U162)*$V162*$N162,0)</f>
        <v>0</v>
      </c>
      <c r="AV162" s="93">
        <f>IF(AND($T162=1,AV$5&lt;=$H162),INDEX(Mortality!$B$4:$E$64,MATCH($D162+AV$5-1,Mortality!$A$4:$A$64,0),$U162)*$V162*$N162,0)</f>
        <v>0</v>
      </c>
      <c r="AW162" s="93">
        <f>IF(AND($T162=1,AW$5&lt;=$H162),INDEX(Mortality!$B$4:$E$64,MATCH($D162+AW$5-1,Mortality!$A$4:$A$64,0),$U162)*$V162*$N162,0)</f>
        <v>0</v>
      </c>
      <c r="AX162" s="93">
        <f>IF(AND($T162=1,AX$5&lt;=$H162),INDEX(Mortality!$B$4:$E$64,MATCH($D162+AX$5-1,Mortality!$A$4:$A$64,0),$U162)*$V162*$N162,0)</f>
        <v>0</v>
      </c>
      <c r="AY162" s="93">
        <f>IF(AND($T162=1,AY$5&lt;=$H162),INDEX(Mortality!$B$4:$E$64,MATCH($D162+AY$5-1,Mortality!$A$4:$A$64,0),$U162)*$V162*$N162,0)</f>
        <v>0</v>
      </c>
      <c r="AZ162" s="93">
        <f>IF(AND($T162=1,AZ$5&lt;=$H162),INDEX(Mortality!$B$4:$E$64,MATCH($D162+AZ$5-1,Mortality!$A$4:$A$64,0),$U162)*$V162*$N162,0)</f>
        <v>0</v>
      </c>
      <c r="BA162" s="93">
        <f>IF(AND($T162=1,BA$5&lt;=$H162),INDEX(Mortality!$B$4:$E$64,MATCH($D162+BA$5-1,Mortality!$A$4:$A$64,0),$U162)*$V162*$N162,0)</f>
        <v>0</v>
      </c>
      <c r="BB162" s="93">
        <f>IF(AND($T162=1,BB$5&lt;=$H162),INDEX(Mortality!$B$4:$E$64,MATCH($D162+BB$5-1,Mortality!$A$4:$A$64,0),$U162)*$V162*$N162,0)</f>
        <v>0</v>
      </c>
      <c r="BC162" s="93">
        <f>IF(AND($T162=1,BC$5&lt;=$H162),INDEX(Mortality!$B$4:$E$64,MATCH($D162+BC$5-1,Mortality!$A$4:$A$64,0),$U162)*$V162*$N162,0)</f>
        <v>0</v>
      </c>
      <c r="BD162" s="93">
        <f>IF(AND($T162=1,BD$5&lt;=$H162),INDEX(Mortality!$B$4:$E$64,MATCH($D162+BD$5-1,Mortality!$A$4:$A$64,0),$U162)*$V162*$N162,0)</f>
        <v>0</v>
      </c>
      <c r="BE162" s="93">
        <f>IF(AND($T162=1,BE$5&lt;=$H162),INDEX(Mortality!$B$4:$E$64,MATCH($D162+BE$5-1,Mortality!$A$4:$A$64,0),$U162)*$V162*$N162,0)</f>
        <v>0</v>
      </c>
      <c r="BF162" s="93">
        <f>IF(AND($T162=1,BF$5&lt;=$H162),INDEX(Mortality!$B$4:$E$64,MATCH($D162+BF$5-1,Mortality!$A$4:$A$64,0),$U162)*$V162*$N162,0)</f>
        <v>0</v>
      </c>
      <c r="BG162" s="93">
        <f>IF(AND($T162=1,BG$5&lt;=$H162),INDEX(Mortality!$B$4:$E$64,MATCH($D162+BG$5-1,Mortality!$A$4:$A$64,0),$U162)*$V162*$N162,0)</f>
        <v>0</v>
      </c>
      <c r="BH162" s="93">
        <f>IF(AND($T162=1,BH$5&lt;=$H162),INDEX(Mortality!$B$4:$E$64,MATCH($D162+BH$5-1,Mortality!$A$4:$A$64,0),$U162)*$V162*$N162,0)</f>
        <v>0</v>
      </c>
      <c r="BI162" s="93">
        <f>IF(AND($T162=1,BI$5&lt;=$H162),INDEX(Mortality!$B$4:$E$64,MATCH($D162+BI$5-1,Mortality!$A$4:$A$64,0),$U162)*$V162*$N162,0)</f>
        <v>0</v>
      </c>
      <c r="BJ162" s="93">
        <f>IF(AND($T162=1,BJ$5&lt;=$H162),INDEX(Mortality!$B$4:$E$64,MATCH($D162+BJ$5-1,Mortality!$A$4:$A$64,0),$U162)*$V162*$N162,0)</f>
        <v>0</v>
      </c>
      <c r="BK162" s="93">
        <f>IF(AND($T162=1,BK$5&lt;=$H162),INDEX(Mortality!$B$4:$E$64,MATCH($D162+BK$5-1,Mortality!$A$4:$A$64,0),$U162)*$V162*$N162,0)</f>
        <v>0</v>
      </c>
      <c r="BL162" s="93">
        <f>IF(AND($T162=1,BL$5&lt;=$H162),INDEX(Mortality!$B$4:$E$64,MATCH($D162+BL$5-1,Mortality!$A$4:$A$64,0),$U162)*$V162*$N162,0)</f>
        <v>0</v>
      </c>
      <c r="BM162" s="93">
        <f>IF(AND($T162=1,BM$5&lt;=$H162),INDEX(Mortality!$B$4:$E$64,MATCH($D162+BM$5-1,Mortality!$A$4:$A$64,0),$U162)*$V162*$N162,0)</f>
        <v>0</v>
      </c>
      <c r="BN162" s="93">
        <f>IF(AND($T162=1,BN$5&lt;=$H162),INDEX(Mortality!$B$4:$E$64,MATCH($D162+BN$5-1,Mortality!$A$4:$A$64,0),$U162)*$V162*$N162,0)</f>
        <v>0</v>
      </c>
      <c r="BO162" s="93">
        <f>IF(AND($T162=1,BO$5&lt;=$H162),INDEX(Mortality!$B$4:$E$64,MATCH($D162+BO$5-1,Mortality!$A$4:$A$64,0),$U162)*$V162*$N162,0)</f>
        <v>0</v>
      </c>
      <c r="BP162" s="93">
        <f>IF(AND($T162=1,BP$5&lt;=$H162),INDEX(Mortality!$B$4:$E$64,MATCH($D162+BP$5-1,Mortality!$A$4:$A$64,0),$U162)*$V162*$N162,0)</f>
        <v>0</v>
      </c>
      <c r="BQ162" s="93">
        <f>IF(AND($T162=1,BQ$5&lt;=$H162),INDEX(Mortality!$B$4:$E$64,MATCH($D162+BQ$5-1,Mortality!$A$4:$A$64,0),$U162)*$V162*$N162,0)</f>
        <v>0</v>
      </c>
      <c r="BR162" s="93">
        <f>IF(AND($T162=1,BR$5&lt;=$H162),INDEX(Mortality!$B$4:$E$64,MATCH($D162+BR$5-1,Mortality!$A$4:$A$64,0),$U162)*$V162*$N162,0)</f>
        <v>0</v>
      </c>
      <c r="BS162" s="93">
        <f>IF(AND($T162=1,BS$5&lt;=$H162),INDEX(Mortality!$B$4:$E$64,MATCH($D162+BS$5-1,Mortality!$A$4:$A$64,0),$U162)*$V162*$N162,0)</f>
        <v>0</v>
      </c>
      <c r="BT162" s="93">
        <f>IF(AND($T162=1,BT$5&lt;=$H162),INDEX(Mortality!$B$4:$E$64,MATCH($D162+BT$5-1,Mortality!$A$4:$A$64,0),$U162)*$V162*$N162,0)</f>
        <v>0</v>
      </c>
      <c r="BU162" s="93">
        <f>IF(AND($T162=1,BU$5&lt;=$H162),INDEX(Mortality!$B$4:$E$64,MATCH($D162+BU$5-1,Mortality!$A$4:$A$64,0),$U162)*$V162*$N162,0)</f>
        <v>0</v>
      </c>
      <c r="BV162" s="93">
        <f>IF(AND($T162=1,BV$5&lt;=$H162),INDEX(Mortality!$B$4:$E$64,MATCH($D162+BV$5-1,Mortality!$A$4:$A$64,0),$U162)*$V162*$N162,0)</f>
        <v>0</v>
      </c>
      <c r="BW162" s="93">
        <f>IF(AND($T162=1,BW$5&lt;=$H162),INDEX(Mortality!$B$4:$E$64,MATCH($D162+BW$5-1,Mortality!$A$4:$A$64,0),$U162)*$V162*$N162,0)</f>
        <v>0</v>
      </c>
      <c r="BX162" s="93">
        <f>IF(AND($T162=1,BX$5&lt;=$H162),INDEX(Mortality!$B$4:$E$64,MATCH($D162+BX$5-1,Mortality!$A$4:$A$64,0),$U162)*$V162*$N162,0)</f>
        <v>0</v>
      </c>
      <c r="BY162" s="93">
        <f>IF(AND($T162=1,BY$5&lt;=$H162),INDEX(Mortality!$B$4:$E$64,MATCH($D162+BY$5-1,Mortality!$A$4:$A$64,0),$U162)*$V162*$N162,0)</f>
        <v>0</v>
      </c>
      <c r="BZ162" s="93">
        <f>IF(AND($T162=1,BZ$5&lt;=$H162),INDEX(Mortality!$B$4:$E$64,MATCH($D162+BZ$5-1,Mortality!$A$4:$A$64,0),$U162)*$V162*$N162,0)</f>
        <v>0</v>
      </c>
      <c r="CA162" s="93">
        <f>IF(AND($T162=1,CA$5&lt;=$H162),INDEX(Mortality!$B$4:$E$64,MATCH($D162+CA$5-1,Mortality!$A$4:$A$64,0),$U162)*$V162*$N162,0)</f>
        <v>0</v>
      </c>
      <c r="CB162" s="93">
        <f>IF(AND($T162=1,CB$5&lt;=$H162),INDEX(Mortality!$B$4:$E$64,MATCH($D162+CB$5-1,Mortality!$A$4:$A$64,0),$U162)*$V162*$N162,0)</f>
        <v>0</v>
      </c>
      <c r="CC162" s="93">
        <f>IF(AND($T162=1,CC$5&lt;=$H162),INDEX(Mortality!$B$4:$E$64,MATCH($D162+CC$5-1,Mortality!$A$4:$A$64,0),$U162)*$V162*$N162,0)</f>
        <v>0</v>
      </c>
      <c r="CD162" s="93">
        <f>IF(AND($T162=1,CD$5&lt;=$H162),INDEX(Mortality!$B$4:$E$64,MATCH($D162+CD$5-1,Mortality!$A$4:$A$64,0),$U162)*$V162*$N162,0)</f>
        <v>0</v>
      </c>
      <c r="CE162" s="93">
        <f>IF(AND($T162=1,CE$5&lt;=$H162),INDEX(Mortality!$B$4:$E$64,MATCH($D162+CE$5-1,Mortality!$A$4:$A$64,0),$U162)*$V162*$N162,0)</f>
        <v>0</v>
      </c>
      <c r="CF162" s="93">
        <f>IF(AND($T162=1,CF$5&lt;=$H162),INDEX(Mortality!$B$4:$E$64,MATCH($D162+CF$5-1,Mortality!$A$4:$A$64,0),$U162)*$V162*$N162,0)</f>
        <v>0</v>
      </c>
      <c r="CG162" s="93">
        <f>IF(AND($T162=1,CG$5&lt;=$H162),INDEX(Mortality!$B$4:$E$64,MATCH($D162+CG$5-1,Mortality!$A$4:$A$64,0),$U162)*$V162*$N162,0)</f>
        <v>0</v>
      </c>
      <c r="CH162" s="94">
        <f>IF(AND($T162=1,CH$5&lt;=$H162),INDEX(Mortality!$B$4:$E$64,MATCH($D162+CH$5-1,Mortality!$A$4:$A$64,0),$U162)*$V162*$N162,0)</f>
        <v>0</v>
      </c>
      <c r="CI162" s="26"/>
      <c r="CJ162" s="419">
        <f t="shared" si="71"/>
        <v>0</v>
      </c>
      <c r="CK162" s="93">
        <f>IF(AND($T162=1,CK$5&lt;=$H162),CJ162*(1-AU162)*(1-MIN(1,MAX(Assumptions!$C$27,Assumptions!$C$13*Assumptions!$C$28^(CJ$5-1))*$O162)),0)</f>
        <v>0</v>
      </c>
      <c r="CL162" s="93">
        <f>IF(AND($T162=1,CL$5&lt;=$H162),CK162*(1-AV162)*(1-MIN(1,MAX(Assumptions!$C$27,Assumptions!$C$13*Assumptions!$C$28^(CK$5-1))*$O162)),0)</f>
        <v>0</v>
      </c>
      <c r="CM162" s="93">
        <f>IF(AND($T162=1,CM$5&lt;=$H162),CL162*(1-AW162)*(1-MIN(1,MAX(Assumptions!$C$27,Assumptions!$C$13*Assumptions!$C$28^(CL$5-1))*$O162)),0)</f>
        <v>0</v>
      </c>
      <c r="CN162" s="93">
        <f>IF(AND($T162=1,CN$5&lt;=$H162),CM162*(1-AX162)*(1-MIN(1,MAX(Assumptions!$C$27,Assumptions!$C$13*Assumptions!$C$28^(CM$5-1))*$O162)),0)</f>
        <v>0</v>
      </c>
      <c r="CO162" s="93">
        <f>IF(AND($T162=1,CO$5&lt;=$H162),CN162*(1-AY162)*(1-MIN(1,MAX(Assumptions!$C$27,Assumptions!$C$13*Assumptions!$C$28^(CN$5-1))*$O162)),0)</f>
        <v>0</v>
      </c>
      <c r="CP162" s="93">
        <f>IF(AND($T162=1,CP$5&lt;=$H162),CO162*(1-AZ162)*(1-MIN(1,MAX(Assumptions!$C$27,Assumptions!$C$13*Assumptions!$C$28^(CO$5-1))*$O162)),0)</f>
        <v>0</v>
      </c>
      <c r="CQ162" s="93">
        <f>IF(AND($T162=1,CQ$5&lt;=$H162),CP162*(1-BA162)*(1-MIN(1,MAX(Assumptions!$C$27,Assumptions!$C$13*Assumptions!$C$28^(CP$5-1))*$O162)),0)</f>
        <v>0</v>
      </c>
      <c r="CR162" s="93">
        <f>IF(AND($T162=1,CR$5&lt;=$H162),CQ162*(1-BB162)*(1-MIN(1,MAX(Assumptions!$C$27,Assumptions!$C$13*Assumptions!$C$28^(CQ$5-1))*$O162)),0)</f>
        <v>0</v>
      </c>
      <c r="CS162" s="93">
        <f>IF(AND($T162=1,CS$5&lt;=$H162),CR162*(1-BC162)*(1-MIN(1,MAX(Assumptions!$C$27,Assumptions!$C$13*Assumptions!$C$28^(CR$5-1))*$O162)),0)</f>
        <v>0</v>
      </c>
      <c r="CT162" s="93">
        <f>IF(AND($T162=1,CT$5&lt;=$H162),CS162*(1-BD162)*(1-MIN(1,MAX(Assumptions!$C$27,Assumptions!$C$13*Assumptions!$C$28^(CS$5-1))*$O162)),0)</f>
        <v>0</v>
      </c>
      <c r="CU162" s="93">
        <f>IF(AND($T162=1,CU$5&lt;=$H162),CT162*(1-BE162)*(1-MIN(1,MAX(Assumptions!$C$27,Assumptions!$C$13*Assumptions!$C$28^(CT$5-1))*$O162)),0)</f>
        <v>0</v>
      </c>
      <c r="CV162" s="93">
        <f>IF(AND($T162=1,CV$5&lt;=$H162),CU162*(1-BF162)*(1-MIN(1,MAX(Assumptions!$C$27,Assumptions!$C$13*Assumptions!$C$28^(CU$5-1))*$O162)),0)</f>
        <v>0</v>
      </c>
      <c r="CW162" s="93">
        <f>IF(AND($T162=1,CW$5&lt;=$H162),CV162*(1-BG162)*(1-MIN(1,MAX(Assumptions!$C$27,Assumptions!$C$13*Assumptions!$C$28^(CV$5-1))*$O162)),0)</f>
        <v>0</v>
      </c>
      <c r="CX162" s="93">
        <f>IF(AND($T162=1,CX$5&lt;=$H162),CW162*(1-BH162)*(1-MIN(1,MAX(Assumptions!$C$27,Assumptions!$C$13*Assumptions!$C$28^(CW$5-1))*$O162)),0)</f>
        <v>0</v>
      </c>
      <c r="CY162" s="93">
        <f>IF(AND($T162=1,CY$5&lt;=$H162),CX162*(1-BI162)*(1-MIN(1,MAX(Assumptions!$C$27,Assumptions!$C$13*Assumptions!$C$28^(CX$5-1))*$O162)),0)</f>
        <v>0</v>
      </c>
      <c r="CZ162" s="93">
        <f>IF(AND($T162=1,CZ$5&lt;=$H162),CY162*(1-BJ162)*(1-MIN(1,MAX(Assumptions!$C$27,Assumptions!$C$13*Assumptions!$C$28^(CY$5-1))*$O162)),0)</f>
        <v>0</v>
      </c>
      <c r="DA162" s="93">
        <f>IF(AND($T162=1,DA$5&lt;=$H162),CZ162*(1-BK162)*(1-MIN(1,MAX(Assumptions!$C$27,Assumptions!$C$13*Assumptions!$C$28^(CZ$5-1))*$O162)),0)</f>
        <v>0</v>
      </c>
      <c r="DB162" s="93">
        <f>IF(AND($T162=1,DB$5&lt;=$H162),DA162*(1-BL162)*(1-MIN(1,MAX(Assumptions!$C$27,Assumptions!$C$13*Assumptions!$C$28^(DA$5-1))*$O162)),0)</f>
        <v>0</v>
      </c>
      <c r="DC162" s="93">
        <f>IF(AND($T162=1,DC$5&lt;=$H162),DB162*(1-BM162)*(1-MIN(1,MAX(Assumptions!$C$27,Assumptions!$C$13*Assumptions!$C$28^(DB$5-1))*$O162)),0)</f>
        <v>0</v>
      </c>
      <c r="DD162" s="93">
        <f>IF(AND($T162=1,DD$5&lt;=$H162),DC162*(1-BN162)*(1-MIN(1,MAX(Assumptions!$C$27,Assumptions!$C$13*Assumptions!$C$28^(DC$5-1))*$O162)),0)</f>
        <v>0</v>
      </c>
      <c r="DE162" s="93">
        <f>IF(AND($T162=1,DE$5&lt;=$H162),DD162*(1-BO162)*(1-MIN(1,MAX(Assumptions!$C$27,Assumptions!$C$13*Assumptions!$C$28^(DD$5-1))*$O162)),0)</f>
        <v>0</v>
      </c>
      <c r="DF162" s="93">
        <f>IF(AND($T162=1,DF$5&lt;=$H162),DE162*(1-BP162)*(1-MIN(1,MAX(Assumptions!$C$27,Assumptions!$C$13*Assumptions!$C$28^(DE$5-1))*$O162)),0)</f>
        <v>0</v>
      </c>
      <c r="DG162" s="93">
        <f>IF(AND($T162=1,DG$5&lt;=$H162),DF162*(1-BQ162)*(1-MIN(1,MAX(Assumptions!$C$27,Assumptions!$C$13*Assumptions!$C$28^(DF$5-1))*$O162)),0)</f>
        <v>0</v>
      </c>
      <c r="DH162" s="93">
        <f>IF(AND($T162=1,DH$5&lt;=$H162),DG162*(1-BR162)*(1-MIN(1,MAX(Assumptions!$C$27,Assumptions!$C$13*Assumptions!$C$28^(DG$5-1))*$O162)),0)</f>
        <v>0</v>
      </c>
      <c r="DI162" s="93">
        <f>IF(AND($T162=1,DI$5&lt;=$H162),DH162*(1-BS162)*(1-MIN(1,MAX(Assumptions!$C$27,Assumptions!$C$13*Assumptions!$C$28^(DH$5-1))*$O162)),0)</f>
        <v>0</v>
      </c>
      <c r="DJ162" s="93">
        <f>IF(AND($T162=1,DJ$5&lt;=$H162),DI162*(1-BT162)*(1-MIN(1,MAX(Assumptions!$C$27,Assumptions!$C$13*Assumptions!$C$28^(DI$5-1))*$O162)),0)</f>
        <v>0</v>
      </c>
      <c r="DK162" s="93">
        <f>IF(AND($T162=1,DK$5&lt;=$H162),DJ162*(1-BU162)*(1-MIN(1,MAX(Assumptions!$C$27,Assumptions!$C$13*Assumptions!$C$28^(DJ$5-1))*$O162)),0)</f>
        <v>0</v>
      </c>
      <c r="DL162" s="93">
        <f>IF(AND($T162=1,DL$5&lt;=$H162),DK162*(1-BV162)*(1-MIN(1,MAX(Assumptions!$C$27,Assumptions!$C$13*Assumptions!$C$28^(DK$5-1))*$O162)),0)</f>
        <v>0</v>
      </c>
      <c r="DM162" s="93">
        <f>IF(AND($T162=1,DM$5&lt;=$H162),DL162*(1-BW162)*(1-MIN(1,MAX(Assumptions!$C$27,Assumptions!$C$13*Assumptions!$C$28^(DL$5-1))*$O162)),0)</f>
        <v>0</v>
      </c>
      <c r="DN162" s="93">
        <f>IF(AND($T162=1,DN$5&lt;=$H162),DM162*(1-BX162)*(1-MIN(1,MAX(Assumptions!$C$27,Assumptions!$C$13*Assumptions!$C$28^(DM$5-1))*$O162)),0)</f>
        <v>0</v>
      </c>
      <c r="DO162" s="93">
        <f>IF(AND($T162=1,DO$5&lt;=$H162),DN162*(1-BY162)*(1-MIN(1,MAX(Assumptions!$C$27,Assumptions!$C$13*Assumptions!$C$28^(DN$5-1))*$O162)),0)</f>
        <v>0</v>
      </c>
      <c r="DP162" s="93">
        <f>IF(AND($T162=1,DP$5&lt;=$H162),DO162*(1-BZ162)*(1-MIN(1,MAX(Assumptions!$C$27,Assumptions!$C$13*Assumptions!$C$28^(DO$5-1))*$O162)),0)</f>
        <v>0</v>
      </c>
      <c r="DQ162" s="93">
        <f>IF(AND($T162=1,DQ$5&lt;=$H162),DP162*(1-CA162)*(1-MIN(1,MAX(Assumptions!$C$27,Assumptions!$C$13*Assumptions!$C$28^(DP$5-1))*$O162)),0)</f>
        <v>0</v>
      </c>
      <c r="DR162" s="93">
        <f>IF(AND($T162=1,DR$5&lt;=$H162),DQ162*(1-CB162)*(1-MIN(1,MAX(Assumptions!$C$27,Assumptions!$C$13*Assumptions!$C$28^(DQ$5-1))*$O162)),0)</f>
        <v>0</v>
      </c>
      <c r="DS162" s="93">
        <f>IF(AND($T162=1,DS$5&lt;=$H162),DR162*(1-CC162)*(1-MIN(1,MAX(Assumptions!$C$27,Assumptions!$C$13*Assumptions!$C$28^(DR$5-1))*$O162)),0)</f>
        <v>0</v>
      </c>
      <c r="DT162" s="93">
        <f>IF(AND($T162=1,DT$5&lt;=$H162),DS162*(1-CD162)*(1-MIN(1,MAX(Assumptions!$C$27,Assumptions!$C$13*Assumptions!$C$28^(DS$5-1))*$O162)),0)</f>
        <v>0</v>
      </c>
      <c r="DU162" s="93">
        <f>IF(AND($T162=1,DU$5&lt;=$H162),DT162*(1-CE162)*(1-MIN(1,MAX(Assumptions!$C$27,Assumptions!$C$13*Assumptions!$C$28^(DT$5-1))*$O162)),0)</f>
        <v>0</v>
      </c>
      <c r="DV162" s="93">
        <f>IF(AND($T162=1,DV$5&lt;=$H162),DU162*(1-CF162)*(1-MIN(1,MAX(Assumptions!$C$27,Assumptions!$C$13*Assumptions!$C$28^(DU$5-1))*$O162)),0)</f>
        <v>0</v>
      </c>
      <c r="DW162" s="94">
        <f>IF(AND($T162=1,DW$5&lt;=$H162),DV162*(1-CG162)*(1-MIN(1,MAX(Assumptions!$C$27,Assumptions!$C$13*Assumptions!$C$28^(DV$5-1))*$O162)),0)</f>
        <v>0</v>
      </c>
      <c r="DX162" s="26"/>
      <c r="DY162" s="399">
        <f>'Policy Data'!K136</f>
        <v>4</v>
      </c>
      <c r="DZ162" s="100">
        <f>'Policy Data'!L136</f>
        <v>0.50549999999999995</v>
      </c>
      <c r="EA162" s="100">
        <f>'Policy Data'!N136</f>
        <v>3.6000000000000002E-4</v>
      </c>
      <c r="EB162" s="93" cm="1">
        <f t="array" ref="EB162">IFERROR(DZ162*INDEX(Mortality!$B$4:$E$64,MATCH(D162+DY162-1,Mortality!$A$4:$A$64,0),U162)*V162,0)</f>
        <v>4.5796936105558372E-4</v>
      </c>
      <c r="EC162" s="100">
        <f>'Policy Data'!O136</f>
        <v>0</v>
      </c>
      <c r="ED162" s="400">
        <f>'Policy Data'!Q136</f>
        <v>0</v>
      </c>
    </row>
    <row r="163" spans="1:134" x14ac:dyDescent="0.3">
      <c r="A163" s="399" t="str">
        <f>'Policy Data'!A137</f>
        <v>POL100133</v>
      </c>
      <c r="B163" s="26" t="s">
        <v>426</v>
      </c>
      <c r="C163" s="100" t="str">
        <f>'Policy Data'!B137</f>
        <v>Term Life</v>
      </c>
      <c r="D163" s="100">
        <f>'Policy Data'!C137</f>
        <v>21</v>
      </c>
      <c r="E163" s="100" t="str">
        <f>'Policy Data'!D137</f>
        <v>Male</v>
      </c>
      <c r="F163" s="100" t="str">
        <f>'Policy Data'!E137</f>
        <v>Non-smoker</v>
      </c>
      <c r="G163" s="100" t="str">
        <f>'Policy Data'!F137</f>
        <v>Standard</v>
      </c>
      <c r="H163" s="100">
        <f>'Policy Data'!G137</f>
        <v>10</v>
      </c>
      <c r="I163" s="279">
        <f>'Policy Data'!H137</f>
        <v>250000</v>
      </c>
      <c r="J163" s="100" t="str">
        <f>'Policy Data'!I137</f>
        <v>Annual</v>
      </c>
      <c r="K163" s="100" t="str">
        <f>'Policy Data'!J137</f>
        <v>Bancassurance</v>
      </c>
      <c r="L163" s="26" t="s">
        <v>389</v>
      </c>
      <c r="M163" s="106">
        <f>'Policy Data'!R137</f>
        <v>1200</v>
      </c>
      <c r="N163" s="415">
        <f>Assumptions!$C$21</f>
        <v>1</v>
      </c>
      <c r="O163" s="415">
        <f>Assumptions!$C$22</f>
        <v>1</v>
      </c>
      <c r="P163" s="415">
        <f>Assumptions!$C$23</f>
        <v>1</v>
      </c>
      <c r="Q163" s="416">
        <f>Assumptions!$C$24</f>
        <v>0</v>
      </c>
      <c r="R163" s="416">
        <f>Assumptions!$C$6+Assumptions!$C$25</f>
        <v>3.5000000000000003E-2</v>
      </c>
      <c r="S163" s="416">
        <f>Assumptions!$C$15</f>
        <v>1.1000000000000001E-3</v>
      </c>
      <c r="T163" s="26">
        <f t="shared" si="54"/>
        <v>1</v>
      </c>
      <c r="U163" s="26">
        <f t="shared" si="55"/>
        <v>3</v>
      </c>
      <c r="V163" s="389">
        <f>IF($G163="Preferred",Assumptions!$C$30,IF($G163="Rated",Assumptions!$C$31,1))</f>
        <v>1</v>
      </c>
      <c r="W163" s="390">
        <f>IF($K163="Direct",Assumptions!$C$32,IF($K163="Broker",Assumptions!$C$33,IF($K163="Bancassurance",Assumptions!$C$34,Assumptions!$C$11)))+$Q163</f>
        <v>0.2</v>
      </c>
      <c r="X163" s="390">
        <f>Assumptions!$C$12+$Q163</f>
        <v>0.05</v>
      </c>
      <c r="Y163" s="131">
        <f>MIN($I163,Assumptions!$C$14)</f>
        <v>250000</v>
      </c>
      <c r="Z163" s="131">
        <f>MAX($I163-Assumptions!$C$14,0)</f>
        <v>0</v>
      </c>
      <c r="AA163" s="389">
        <f t="shared" si="56"/>
        <v>5.8650405653465016</v>
      </c>
      <c r="AB163" s="389">
        <f t="shared" si="57"/>
        <v>2.0274194126050625E-3</v>
      </c>
      <c r="AC163" s="389">
        <f>IF($T163=1,SUMPRODUCT($CJ163:$DW163,(1+Assumptions!$C$5)^($CJ$5:$DW$5-1),(1+$R163)^(-$CJ$5:$DW$5)),0)</f>
        <v>6.8038547252289021</v>
      </c>
      <c r="AD163" s="389">
        <f t="shared" si="58"/>
        <v>0.4381795644992092</v>
      </c>
      <c r="AE163" s="131">
        <f>IF($T163=1,$AB163*$Y163+(Assumptions!$C$9/(1+$R163)+Assumptions!$C$10*$AC163)*$P163+$S163*$Z163*$AA163,0)</f>
        <v>2873.2681100929285</v>
      </c>
      <c r="AF163" s="131">
        <f>IF($T163=1,IF($AA163-$AD163-Assumptions!$C$16*$AA163&gt;0,$AE163/($AA163-$AD163-Assumptions!$C$16*$AA163)*IF($J163="Monthly",1+Assumptions!$C$29,1),"n.a."),"")</f>
        <v>579.56160988241675</v>
      </c>
      <c r="AG163" s="131">
        <f t="shared" si="59"/>
        <v>1200</v>
      </c>
      <c r="AH163" s="131">
        <f t="shared" si="60"/>
        <v>7038.048678415802</v>
      </c>
      <c r="AI163" s="131">
        <f t="shared" si="61"/>
        <v>3638.9650909238226</v>
      </c>
      <c r="AJ163" s="390">
        <f t="shared" si="62"/>
        <v>0.51704176216964148</v>
      </c>
      <c r="AK163" s="389">
        <f t="shared" si="63"/>
        <v>2.0705305174431063</v>
      </c>
      <c r="AL163" s="131">
        <f t="shared" si="64"/>
        <v>0</v>
      </c>
      <c r="AM163" s="131">
        <f t="shared" si="65"/>
        <v>0</v>
      </c>
      <c r="AN163" s="131">
        <f t="shared" si="66"/>
        <v>0</v>
      </c>
      <c r="AO163" s="131">
        <f t="shared" si="67"/>
        <v>3638.9650909238226</v>
      </c>
      <c r="AP163" s="26" t="str">
        <f t="shared" si="68"/>
        <v>20-29</v>
      </c>
      <c r="AQ163" s="26" t="str">
        <f t="shared" si="69"/>
        <v>Up to 250k</v>
      </c>
      <c r="AR163" s="26" t="str">
        <f>IF($T163=1,IF($AI163&lt;0,"Loss-making",IF($AJ163&lt;Assumptions!$C$16-0.00001,"Below target","At/above target")),"Excluded")</f>
        <v>At/above target</v>
      </c>
      <c r="AS163" s="103">
        <f t="shared" si="70"/>
        <v>3638.9652539238227</v>
      </c>
      <c r="AT163" s="26"/>
      <c r="AU163" s="419">
        <f>IF(AND($T163=1,AU$5&lt;=$H163),INDEX(Mortality!$B$4:$E$64,MATCH($D163+AU$5-1,Mortality!$A$4:$A$64,0),$U163)*$V163*$N163,0)</f>
        <v>2.5189429245928499E-4</v>
      </c>
      <c r="AV163" s="93">
        <f>IF(AND($T163=1,AV$5&lt;=$H163),INDEX(Mortality!$B$4:$E$64,MATCH($D163+AV$5-1,Mortality!$A$4:$A$64,0),$U163)*$V163*$N163,0)</f>
        <v>2.7287382944227802E-4</v>
      </c>
      <c r="AW163" s="93">
        <f>IF(AND($T163=1,AW$5&lt;=$H163),INDEX(Mortality!$B$4:$E$64,MATCH($D163+AW$5-1,Mortality!$A$4:$A$64,0),$U163)*$V163*$N163,0)</f>
        <v>2.9560069054176198E-4</v>
      </c>
      <c r="AX163" s="93">
        <f>IF(AND($T163=1,AX$5&lt;=$H163),INDEX(Mortality!$B$4:$E$64,MATCH($D163+AX$5-1,Mortality!$A$4:$A$64,0),$U163)*$V163*$N163,0)</f>
        <v>3.20220405259678E-4</v>
      </c>
      <c r="AY163" s="93">
        <f>IF(AND($T163=1,AY$5&lt;=$H163),INDEX(Mortality!$B$4:$E$64,MATCH($D163+AY$5-1,Mortality!$A$4:$A$64,0),$U163)*$V163*$N163,0)</f>
        <v>3.4689062382344302E-4</v>
      </c>
      <c r="AZ163" s="93">
        <f>IF(AND($T163=1,AZ$5&lt;=$H163),INDEX(Mortality!$B$4:$E$64,MATCH($D163+AZ$5-1,Mortality!$A$4:$A$64,0),$U163)*$V163*$N163,0)</f>
        <v>3.7578212668563498E-4</v>
      </c>
      <c r="BA163" s="93">
        <f>IF(AND($T163=1,BA$5&lt;=$H163),INDEX(Mortality!$B$4:$E$64,MATCH($D163+BA$5-1,Mortality!$A$4:$A$64,0),$U163)*$V163*$N163,0)</f>
        <v>4.0707991810194101E-4</v>
      </c>
      <c r="BB163" s="93">
        <f>IF(AND($T163=1,BB$5&lt;=$H163),INDEX(Mortality!$B$4:$E$64,MATCH($D163+BB$5-1,Mortality!$A$4:$A$64,0),$U163)*$V163*$N163,0)</f>
        <v>4.4098441079001399E-4</v>
      </c>
      <c r="BC163" s="93">
        <f>IF(AND($T163=1,BC$5&lt;=$H163),INDEX(Mortality!$B$4:$E$64,MATCH($D163+BC$5-1,Mortality!$A$4:$A$64,0),$U163)*$V163*$N163,0)</f>
        <v>4.7771270925508401E-4</v>
      </c>
      <c r="BD163" s="93">
        <f>IF(AND($T163=1,BD$5&lt;=$H163),INDEX(Mortality!$B$4:$E$64,MATCH($D163+BD$5-1,Mortality!$A$4:$A$64,0),$U163)*$V163*$N163,0)</f>
        <v>5.1749999999999995E-4</v>
      </c>
      <c r="BE163" s="93">
        <f>IF(AND($T163=1,BE$5&lt;=$H163),INDEX(Mortality!$B$4:$E$64,MATCH($D163+BE$5-1,Mortality!$A$4:$A$64,0),$U163)*$V163*$N163,0)</f>
        <v>0</v>
      </c>
      <c r="BF163" s="93">
        <f>IF(AND($T163=1,BF$5&lt;=$H163),INDEX(Mortality!$B$4:$E$64,MATCH($D163+BF$5-1,Mortality!$A$4:$A$64,0),$U163)*$V163*$N163,0)</f>
        <v>0</v>
      </c>
      <c r="BG163" s="93">
        <f>IF(AND($T163=1,BG$5&lt;=$H163),INDEX(Mortality!$B$4:$E$64,MATCH($D163+BG$5-1,Mortality!$A$4:$A$64,0),$U163)*$V163*$N163,0)</f>
        <v>0</v>
      </c>
      <c r="BH163" s="93">
        <f>IF(AND($T163=1,BH$5&lt;=$H163),INDEX(Mortality!$B$4:$E$64,MATCH($D163+BH$5-1,Mortality!$A$4:$A$64,0),$U163)*$V163*$N163,0)</f>
        <v>0</v>
      </c>
      <c r="BI163" s="93">
        <f>IF(AND($T163=1,BI$5&lt;=$H163),INDEX(Mortality!$B$4:$E$64,MATCH($D163+BI$5-1,Mortality!$A$4:$A$64,0),$U163)*$V163*$N163,0)</f>
        <v>0</v>
      </c>
      <c r="BJ163" s="93">
        <f>IF(AND($T163=1,BJ$5&lt;=$H163),INDEX(Mortality!$B$4:$E$64,MATCH($D163+BJ$5-1,Mortality!$A$4:$A$64,0),$U163)*$V163*$N163,0)</f>
        <v>0</v>
      </c>
      <c r="BK163" s="93">
        <f>IF(AND($T163=1,BK$5&lt;=$H163),INDEX(Mortality!$B$4:$E$64,MATCH($D163+BK$5-1,Mortality!$A$4:$A$64,0),$U163)*$V163*$N163,0)</f>
        <v>0</v>
      </c>
      <c r="BL163" s="93">
        <f>IF(AND($T163=1,BL$5&lt;=$H163),INDEX(Mortality!$B$4:$E$64,MATCH($D163+BL$5-1,Mortality!$A$4:$A$64,0),$U163)*$V163*$N163,0)</f>
        <v>0</v>
      </c>
      <c r="BM163" s="93">
        <f>IF(AND($T163=1,BM$5&lt;=$H163),INDEX(Mortality!$B$4:$E$64,MATCH($D163+BM$5-1,Mortality!$A$4:$A$64,0),$U163)*$V163*$N163,0)</f>
        <v>0</v>
      </c>
      <c r="BN163" s="93">
        <f>IF(AND($T163=1,BN$5&lt;=$H163),INDEX(Mortality!$B$4:$E$64,MATCH($D163+BN$5-1,Mortality!$A$4:$A$64,0),$U163)*$V163*$N163,0)</f>
        <v>0</v>
      </c>
      <c r="BO163" s="93">
        <f>IF(AND($T163=1,BO$5&lt;=$H163),INDEX(Mortality!$B$4:$E$64,MATCH($D163+BO$5-1,Mortality!$A$4:$A$64,0),$U163)*$V163*$N163,0)</f>
        <v>0</v>
      </c>
      <c r="BP163" s="93">
        <f>IF(AND($T163=1,BP$5&lt;=$H163),INDEX(Mortality!$B$4:$E$64,MATCH($D163+BP$5-1,Mortality!$A$4:$A$64,0),$U163)*$V163*$N163,0)</f>
        <v>0</v>
      </c>
      <c r="BQ163" s="93">
        <f>IF(AND($T163=1,BQ$5&lt;=$H163),INDEX(Mortality!$B$4:$E$64,MATCH($D163+BQ$5-1,Mortality!$A$4:$A$64,0),$U163)*$V163*$N163,0)</f>
        <v>0</v>
      </c>
      <c r="BR163" s="93">
        <f>IF(AND($T163=1,BR$5&lt;=$H163),INDEX(Mortality!$B$4:$E$64,MATCH($D163+BR$5-1,Mortality!$A$4:$A$64,0),$U163)*$V163*$N163,0)</f>
        <v>0</v>
      </c>
      <c r="BS163" s="93">
        <f>IF(AND($T163=1,BS$5&lt;=$H163),INDEX(Mortality!$B$4:$E$64,MATCH($D163+BS$5-1,Mortality!$A$4:$A$64,0),$U163)*$V163*$N163,0)</f>
        <v>0</v>
      </c>
      <c r="BT163" s="93">
        <f>IF(AND($T163=1,BT$5&lt;=$H163),INDEX(Mortality!$B$4:$E$64,MATCH($D163+BT$5-1,Mortality!$A$4:$A$64,0),$U163)*$V163*$N163,0)</f>
        <v>0</v>
      </c>
      <c r="BU163" s="93">
        <f>IF(AND($T163=1,BU$5&lt;=$H163),INDEX(Mortality!$B$4:$E$64,MATCH($D163+BU$5-1,Mortality!$A$4:$A$64,0),$U163)*$V163*$N163,0)</f>
        <v>0</v>
      </c>
      <c r="BV163" s="93">
        <f>IF(AND($T163=1,BV$5&lt;=$H163),INDEX(Mortality!$B$4:$E$64,MATCH($D163+BV$5-1,Mortality!$A$4:$A$64,0),$U163)*$V163*$N163,0)</f>
        <v>0</v>
      </c>
      <c r="BW163" s="93">
        <f>IF(AND($T163=1,BW$5&lt;=$H163),INDEX(Mortality!$B$4:$E$64,MATCH($D163+BW$5-1,Mortality!$A$4:$A$64,0),$U163)*$V163*$N163,0)</f>
        <v>0</v>
      </c>
      <c r="BX163" s="93">
        <f>IF(AND($T163=1,BX$5&lt;=$H163),INDEX(Mortality!$B$4:$E$64,MATCH($D163+BX$5-1,Mortality!$A$4:$A$64,0),$U163)*$V163*$N163,0)</f>
        <v>0</v>
      </c>
      <c r="BY163" s="93">
        <f>IF(AND($T163=1,BY$5&lt;=$H163),INDEX(Mortality!$B$4:$E$64,MATCH($D163+BY$5-1,Mortality!$A$4:$A$64,0),$U163)*$V163*$N163,0)</f>
        <v>0</v>
      </c>
      <c r="BZ163" s="93">
        <f>IF(AND($T163=1,BZ$5&lt;=$H163),INDEX(Mortality!$B$4:$E$64,MATCH($D163+BZ$5-1,Mortality!$A$4:$A$64,0),$U163)*$V163*$N163,0)</f>
        <v>0</v>
      </c>
      <c r="CA163" s="93">
        <f>IF(AND($T163=1,CA$5&lt;=$H163),INDEX(Mortality!$B$4:$E$64,MATCH($D163+CA$5-1,Mortality!$A$4:$A$64,0),$U163)*$V163*$N163,0)</f>
        <v>0</v>
      </c>
      <c r="CB163" s="93">
        <f>IF(AND($T163=1,CB$5&lt;=$H163),INDEX(Mortality!$B$4:$E$64,MATCH($D163+CB$5-1,Mortality!$A$4:$A$64,0),$U163)*$V163*$N163,0)</f>
        <v>0</v>
      </c>
      <c r="CC163" s="93">
        <f>IF(AND($T163=1,CC$5&lt;=$H163),INDEX(Mortality!$B$4:$E$64,MATCH($D163+CC$5-1,Mortality!$A$4:$A$64,0),$U163)*$V163*$N163,0)</f>
        <v>0</v>
      </c>
      <c r="CD163" s="93">
        <f>IF(AND($T163=1,CD$5&lt;=$H163),INDEX(Mortality!$B$4:$E$64,MATCH($D163+CD$5-1,Mortality!$A$4:$A$64,0),$U163)*$V163*$N163,0)</f>
        <v>0</v>
      </c>
      <c r="CE163" s="93">
        <f>IF(AND($T163=1,CE$5&lt;=$H163),INDEX(Mortality!$B$4:$E$64,MATCH($D163+CE$5-1,Mortality!$A$4:$A$64,0),$U163)*$V163*$N163,0)</f>
        <v>0</v>
      </c>
      <c r="CF163" s="93">
        <f>IF(AND($T163=1,CF$5&lt;=$H163),INDEX(Mortality!$B$4:$E$64,MATCH($D163+CF$5-1,Mortality!$A$4:$A$64,0),$U163)*$V163*$N163,0)</f>
        <v>0</v>
      </c>
      <c r="CG163" s="93">
        <f>IF(AND($T163=1,CG$5&lt;=$H163),INDEX(Mortality!$B$4:$E$64,MATCH($D163+CG$5-1,Mortality!$A$4:$A$64,0),$U163)*$V163*$N163,0)</f>
        <v>0</v>
      </c>
      <c r="CH163" s="94">
        <f>IF(AND($T163=1,CH$5&lt;=$H163),INDEX(Mortality!$B$4:$E$64,MATCH($D163+CH$5-1,Mortality!$A$4:$A$64,0),$U163)*$V163*$N163,0)</f>
        <v>0</v>
      </c>
      <c r="CI163" s="26"/>
      <c r="CJ163" s="419">
        <f t="shared" si="71"/>
        <v>1</v>
      </c>
      <c r="CK163" s="93">
        <f>IF(AND($T163=1,CK$5&lt;=$H163),CJ163*(1-AU163)*(1-MIN(1,MAX(Assumptions!$C$27,Assumptions!$C$13*Assumptions!$C$28^(CJ$5-1))*$O163)),0)</f>
        <v>0.87977833302263586</v>
      </c>
      <c r="CL163" s="93">
        <f>IF(AND($T163=1,CL$5&lt;=$H163),CK163*(1-AV163)*(1-MIN(1,MAX(Assumptions!$C$27,Assumptions!$C$13*Assumptions!$C$28^(CK$5-1))*$O163)),0)</f>
        <v>0.78982536155677963</v>
      </c>
      <c r="CM163" s="93">
        <f>IF(AND($T163=1,CM$5&lt;=$H163),CL163*(1-AW163)*(1-MIN(1,MAX(Assumptions!$C$27,Assumptions!$C$13*Assumptions!$C$28^(CL$5-1))*$O163)),0)</f>
        <v>0.72113427188988521</v>
      </c>
      <c r="CN163" s="93">
        <f>IF(AND($T163=1,CN$5&lt;=$H163),CM163*(1-AX163)*(1-MIN(1,MAX(Assumptions!$C$27,Assumptions!$C$13*Assumptions!$C$28^(CM$5-1))*$O163)),0)</f>
        <v>0.66777637760423725</v>
      </c>
      <c r="CO163" s="93">
        <f>IF(AND($T163=1,CO$5&lt;=$H163),CN163*(1-AY163)*(1-MIN(1,MAX(Assumptions!$C$27,Assumptions!$C$13*Assumptions!$C$28^(CN$5-1))*$O163)),0)</f>
        <v>0.62572922955397048</v>
      </c>
      <c r="CP163" s="93">
        <f>IF(AND($T163=1,CP$5&lt;=$H163),CO163*(1-AZ163)*(1-MIN(1,MAX(Assumptions!$C$27,Assumptions!$C$13*Assumptions!$C$28^(CO$5-1))*$O163)),0)</f>
        <v>0.59218988552275464</v>
      </c>
      <c r="CQ163" s="93">
        <f>IF(AND($T163=1,CQ$5&lt;=$H163),CP163*(1-BA163)*(1-MIN(1,MAX(Assumptions!$C$27,Assumptions!$C$13*Assumptions!$C$28^(CP$5-1))*$O163)),0)</f>
        <v>0.56515843176384728</v>
      </c>
      <c r="CR163" s="93">
        <f>IF(AND($T163=1,CR$5&lt;=$H163),CQ163*(1-BB163)*(1-MIN(1,MAX(Assumptions!$C$27,Assumptions!$C$13*Assumptions!$C$28^(CQ$5-1))*$O163)),0)</f>
        <v>0.54317757190879978</v>
      </c>
      <c r="CS163" s="93">
        <f>IF(AND($T163=1,CS$5&lt;=$H163),CR163*(1-BC163)*(1-MIN(1,MAX(Assumptions!$C$27,Assumptions!$C$13*Assumptions!$C$28^(CR$5-1))*$O163)),0)</f>
        <v>0.5251652848617453</v>
      </c>
      <c r="CT163" s="93">
        <f>IF(AND($T163=1,CT$5&lt;=$H163),CS163*(1-BD163)*(1-MIN(1,MAX(Assumptions!$C$27,Assumptions!$C$13*Assumptions!$C$28^(CS$5-1))*$O163)),0)</f>
        <v>0</v>
      </c>
      <c r="CU163" s="93">
        <f>IF(AND($T163=1,CU$5&lt;=$H163),CT163*(1-BE163)*(1-MIN(1,MAX(Assumptions!$C$27,Assumptions!$C$13*Assumptions!$C$28^(CT$5-1))*$O163)),0)</f>
        <v>0</v>
      </c>
      <c r="CV163" s="93">
        <f>IF(AND($T163=1,CV$5&lt;=$H163),CU163*(1-BF163)*(1-MIN(1,MAX(Assumptions!$C$27,Assumptions!$C$13*Assumptions!$C$28^(CU$5-1))*$O163)),0)</f>
        <v>0</v>
      </c>
      <c r="CW163" s="93">
        <f>IF(AND($T163=1,CW$5&lt;=$H163),CV163*(1-BG163)*(1-MIN(1,MAX(Assumptions!$C$27,Assumptions!$C$13*Assumptions!$C$28^(CV$5-1))*$O163)),0)</f>
        <v>0</v>
      </c>
      <c r="CX163" s="93">
        <f>IF(AND($T163=1,CX$5&lt;=$H163),CW163*(1-BH163)*(1-MIN(1,MAX(Assumptions!$C$27,Assumptions!$C$13*Assumptions!$C$28^(CW$5-1))*$O163)),0)</f>
        <v>0</v>
      </c>
      <c r="CY163" s="93">
        <f>IF(AND($T163=1,CY$5&lt;=$H163),CX163*(1-BI163)*(1-MIN(1,MAX(Assumptions!$C$27,Assumptions!$C$13*Assumptions!$C$28^(CX$5-1))*$O163)),0)</f>
        <v>0</v>
      </c>
      <c r="CZ163" s="93">
        <f>IF(AND($T163=1,CZ$5&lt;=$H163),CY163*(1-BJ163)*(1-MIN(1,MAX(Assumptions!$C$27,Assumptions!$C$13*Assumptions!$C$28^(CY$5-1))*$O163)),0)</f>
        <v>0</v>
      </c>
      <c r="DA163" s="93">
        <f>IF(AND($T163=1,DA$5&lt;=$H163),CZ163*(1-BK163)*(1-MIN(1,MAX(Assumptions!$C$27,Assumptions!$C$13*Assumptions!$C$28^(CZ$5-1))*$O163)),0)</f>
        <v>0</v>
      </c>
      <c r="DB163" s="93">
        <f>IF(AND($T163=1,DB$5&lt;=$H163),DA163*(1-BL163)*(1-MIN(1,MAX(Assumptions!$C$27,Assumptions!$C$13*Assumptions!$C$28^(DA$5-1))*$O163)),0)</f>
        <v>0</v>
      </c>
      <c r="DC163" s="93">
        <f>IF(AND($T163=1,DC$5&lt;=$H163),DB163*(1-BM163)*(1-MIN(1,MAX(Assumptions!$C$27,Assumptions!$C$13*Assumptions!$C$28^(DB$5-1))*$O163)),0)</f>
        <v>0</v>
      </c>
      <c r="DD163" s="93">
        <f>IF(AND($T163=1,DD$5&lt;=$H163),DC163*(1-BN163)*(1-MIN(1,MAX(Assumptions!$C$27,Assumptions!$C$13*Assumptions!$C$28^(DC$5-1))*$O163)),0)</f>
        <v>0</v>
      </c>
      <c r="DE163" s="93">
        <f>IF(AND($T163=1,DE$5&lt;=$H163),DD163*(1-BO163)*(1-MIN(1,MAX(Assumptions!$C$27,Assumptions!$C$13*Assumptions!$C$28^(DD$5-1))*$O163)),0)</f>
        <v>0</v>
      </c>
      <c r="DF163" s="93">
        <f>IF(AND($T163=1,DF$5&lt;=$H163),DE163*(1-BP163)*(1-MIN(1,MAX(Assumptions!$C$27,Assumptions!$C$13*Assumptions!$C$28^(DE$5-1))*$O163)),0)</f>
        <v>0</v>
      </c>
      <c r="DG163" s="93">
        <f>IF(AND($T163=1,DG$5&lt;=$H163),DF163*(1-BQ163)*(1-MIN(1,MAX(Assumptions!$C$27,Assumptions!$C$13*Assumptions!$C$28^(DF$5-1))*$O163)),0)</f>
        <v>0</v>
      </c>
      <c r="DH163" s="93">
        <f>IF(AND($T163=1,DH$5&lt;=$H163),DG163*(1-BR163)*(1-MIN(1,MAX(Assumptions!$C$27,Assumptions!$C$13*Assumptions!$C$28^(DG$5-1))*$O163)),0)</f>
        <v>0</v>
      </c>
      <c r="DI163" s="93">
        <f>IF(AND($T163=1,DI$5&lt;=$H163),DH163*(1-BS163)*(1-MIN(1,MAX(Assumptions!$C$27,Assumptions!$C$13*Assumptions!$C$28^(DH$5-1))*$O163)),0)</f>
        <v>0</v>
      </c>
      <c r="DJ163" s="93">
        <f>IF(AND($T163=1,DJ$5&lt;=$H163),DI163*(1-BT163)*(1-MIN(1,MAX(Assumptions!$C$27,Assumptions!$C$13*Assumptions!$C$28^(DI$5-1))*$O163)),0)</f>
        <v>0</v>
      </c>
      <c r="DK163" s="93">
        <f>IF(AND($T163=1,DK$5&lt;=$H163),DJ163*(1-BU163)*(1-MIN(1,MAX(Assumptions!$C$27,Assumptions!$C$13*Assumptions!$C$28^(DJ$5-1))*$O163)),0)</f>
        <v>0</v>
      </c>
      <c r="DL163" s="93">
        <f>IF(AND($T163=1,DL$5&lt;=$H163),DK163*(1-BV163)*(1-MIN(1,MAX(Assumptions!$C$27,Assumptions!$C$13*Assumptions!$C$28^(DK$5-1))*$O163)),0)</f>
        <v>0</v>
      </c>
      <c r="DM163" s="93">
        <f>IF(AND($T163=1,DM$5&lt;=$H163),DL163*(1-BW163)*(1-MIN(1,MAX(Assumptions!$C$27,Assumptions!$C$13*Assumptions!$C$28^(DL$5-1))*$O163)),0)</f>
        <v>0</v>
      </c>
      <c r="DN163" s="93">
        <f>IF(AND($T163=1,DN$5&lt;=$H163),DM163*(1-BX163)*(1-MIN(1,MAX(Assumptions!$C$27,Assumptions!$C$13*Assumptions!$C$28^(DM$5-1))*$O163)),0)</f>
        <v>0</v>
      </c>
      <c r="DO163" s="93">
        <f>IF(AND($T163=1,DO$5&lt;=$H163),DN163*(1-BY163)*(1-MIN(1,MAX(Assumptions!$C$27,Assumptions!$C$13*Assumptions!$C$28^(DN$5-1))*$O163)),0)</f>
        <v>0</v>
      </c>
      <c r="DP163" s="93">
        <f>IF(AND($T163=1,DP$5&lt;=$H163),DO163*(1-BZ163)*(1-MIN(1,MAX(Assumptions!$C$27,Assumptions!$C$13*Assumptions!$C$28^(DO$5-1))*$O163)),0)</f>
        <v>0</v>
      </c>
      <c r="DQ163" s="93">
        <f>IF(AND($T163=1,DQ$5&lt;=$H163),DP163*(1-CA163)*(1-MIN(1,MAX(Assumptions!$C$27,Assumptions!$C$13*Assumptions!$C$28^(DP$5-1))*$O163)),0)</f>
        <v>0</v>
      </c>
      <c r="DR163" s="93">
        <f>IF(AND($T163=1,DR$5&lt;=$H163),DQ163*(1-CB163)*(1-MIN(1,MAX(Assumptions!$C$27,Assumptions!$C$13*Assumptions!$C$28^(DQ$5-1))*$O163)),0)</f>
        <v>0</v>
      </c>
      <c r="DS163" s="93">
        <f>IF(AND($T163=1,DS$5&lt;=$H163),DR163*(1-CC163)*(1-MIN(1,MAX(Assumptions!$C$27,Assumptions!$C$13*Assumptions!$C$28^(DR$5-1))*$O163)),0)</f>
        <v>0</v>
      </c>
      <c r="DT163" s="93">
        <f>IF(AND($T163=1,DT$5&lt;=$H163),DS163*(1-CD163)*(1-MIN(1,MAX(Assumptions!$C$27,Assumptions!$C$13*Assumptions!$C$28^(DS$5-1))*$O163)),0)</f>
        <v>0</v>
      </c>
      <c r="DU163" s="93">
        <f>IF(AND($T163=1,DU$5&lt;=$H163),DT163*(1-CE163)*(1-MIN(1,MAX(Assumptions!$C$27,Assumptions!$C$13*Assumptions!$C$28^(DT$5-1))*$O163)),0)</f>
        <v>0</v>
      </c>
      <c r="DV163" s="93">
        <f>IF(AND($T163=1,DV$5&lt;=$H163),DU163*(1-CF163)*(1-MIN(1,MAX(Assumptions!$C$27,Assumptions!$C$13*Assumptions!$C$28^(DU$5-1))*$O163)),0)</f>
        <v>0</v>
      </c>
      <c r="DW163" s="94">
        <f>IF(AND($T163=1,DW$5&lt;=$H163),DV163*(1-CG163)*(1-MIN(1,MAX(Assumptions!$C$27,Assumptions!$C$13*Assumptions!$C$28^(DV$5-1))*$O163)),0)</f>
        <v>0</v>
      </c>
      <c r="DX163" s="26"/>
      <c r="DY163" s="399">
        <f>'Policy Data'!K137</f>
        <v>5</v>
      </c>
      <c r="DZ163" s="100">
        <f>'Policy Data'!L137</f>
        <v>0.87290000000000001</v>
      </c>
      <c r="EA163" s="100">
        <f>'Policy Data'!N137</f>
        <v>2.2000000000000001E-4</v>
      </c>
      <c r="EB163" s="93" cm="1">
        <f t="array" ref="EB163">IFERROR(DZ163*INDEX(Mortality!$B$4:$E$64,MATCH(D163+DY163-1,Mortality!$A$4:$A$64,0),U163)*V163,0)</f>
        <v>3.0280082553548344E-4</v>
      </c>
      <c r="EC163" s="100">
        <f>'Policy Data'!O137</f>
        <v>0</v>
      </c>
      <c r="ED163" s="400">
        <f>'Policy Data'!Q137</f>
        <v>0</v>
      </c>
    </row>
    <row r="164" spans="1:134" x14ac:dyDescent="0.3">
      <c r="A164" s="399" t="str">
        <f>'Policy Data'!A138</f>
        <v>POL100134</v>
      </c>
      <c r="B164" s="26" t="s">
        <v>426</v>
      </c>
      <c r="C164" s="100" t="str">
        <f>'Policy Data'!B138</f>
        <v>Unit-Linked</v>
      </c>
      <c r="D164" s="100">
        <f>'Policy Data'!C138</f>
        <v>20</v>
      </c>
      <c r="E164" s="100" t="str">
        <f>'Policy Data'!D138</f>
        <v>Female</v>
      </c>
      <c r="F164" s="100" t="str">
        <f>'Policy Data'!E138</f>
        <v>Non-smoker</v>
      </c>
      <c r="G164" s="100" t="str">
        <f>'Policy Data'!F138</f>
        <v>Rated</v>
      </c>
      <c r="H164" s="100">
        <f>'Policy Data'!G138</f>
        <v>10</v>
      </c>
      <c r="I164" s="279">
        <f>'Policy Data'!H138</f>
        <v>2000000</v>
      </c>
      <c r="J164" s="100" t="str">
        <f>'Policy Data'!I138</f>
        <v>Monthly</v>
      </c>
      <c r="K164" s="100" t="str">
        <f>'Policy Data'!J138</f>
        <v>Bancassurance</v>
      </c>
      <c r="L164" s="26" t="s">
        <v>389</v>
      </c>
      <c r="M164" s="106">
        <f>'Policy Data'!R138</f>
        <v>12351.36</v>
      </c>
      <c r="N164" s="415">
        <f>Assumptions!$C$21</f>
        <v>1</v>
      </c>
      <c r="O164" s="415">
        <f>Assumptions!$C$22</f>
        <v>1</v>
      </c>
      <c r="P164" s="415">
        <f>Assumptions!$C$23</f>
        <v>1</v>
      </c>
      <c r="Q164" s="416">
        <f>Assumptions!$C$24</f>
        <v>0</v>
      </c>
      <c r="R164" s="416">
        <f>Assumptions!$C$6+Assumptions!$C$25</f>
        <v>3.5000000000000003E-2</v>
      </c>
      <c r="S164" s="416">
        <f>Assumptions!$C$15</f>
        <v>1.1000000000000001E-3</v>
      </c>
      <c r="T164" s="26">
        <f t="shared" si="54"/>
        <v>0</v>
      </c>
      <c r="U164" s="26">
        <f t="shared" si="55"/>
        <v>1</v>
      </c>
      <c r="V164" s="389">
        <f>IF($G164="Preferred",Assumptions!$C$30,IF($G164="Rated",Assumptions!$C$31,1))</f>
        <v>1.55</v>
      </c>
      <c r="W164" s="390">
        <f>IF($K164="Direct",Assumptions!$C$32,IF($K164="Broker",Assumptions!$C$33,IF($K164="Bancassurance",Assumptions!$C$34,Assumptions!$C$11)))+$Q164</f>
        <v>0.2</v>
      </c>
      <c r="X164" s="390">
        <f>Assumptions!$C$12+$Q164</f>
        <v>0.05</v>
      </c>
      <c r="Y164" s="131">
        <f>MIN($I164,Assumptions!$C$14)</f>
        <v>500000</v>
      </c>
      <c r="Z164" s="131">
        <f>MAX($I164-Assumptions!$C$14,0)</f>
        <v>1500000</v>
      </c>
      <c r="AA164" s="389">
        <f t="shared" si="56"/>
        <v>0</v>
      </c>
      <c r="AB164" s="389">
        <f t="shared" si="57"/>
        <v>0</v>
      </c>
      <c r="AC164" s="389">
        <f>IF($T164=1,SUMPRODUCT($CJ164:$DW164,(1+Assumptions!$C$5)^($CJ$5:$DW$5-1),(1+$R164)^(-$CJ$5:$DW$5)),0)</f>
        <v>0</v>
      </c>
      <c r="AD164" s="389">
        <f t="shared" si="58"/>
        <v>0</v>
      </c>
      <c r="AE164" s="131">
        <f>IF($T164=1,$AB164*$Y164+(Assumptions!$C$9/(1+$R164)+Assumptions!$C$10*$AC164)*$P164+$S164*$Z164*$AA164,0)</f>
        <v>0</v>
      </c>
      <c r="AF164" s="131" t="str">
        <f>IF($T164=1,IF($AA164-$AD164-Assumptions!$C$16*$AA164&gt;0,$AE164/($AA164-$AD164-Assumptions!$C$16*$AA164)*IF($J164="Monthly",1+Assumptions!$C$29,1),"n.a."),"")</f>
        <v/>
      </c>
      <c r="AG164" s="131" t="str">
        <f t="shared" si="59"/>
        <v/>
      </c>
      <c r="AH164" s="131" t="str">
        <f t="shared" si="60"/>
        <v/>
      </c>
      <c r="AI164" s="131" t="str">
        <f t="shared" si="61"/>
        <v/>
      </c>
      <c r="AJ164" s="390" t="str">
        <f t="shared" si="62"/>
        <v/>
      </c>
      <c r="AK164" s="389" t="str">
        <f t="shared" si="63"/>
        <v/>
      </c>
      <c r="AL164" s="131" t="str">
        <f t="shared" si="64"/>
        <v/>
      </c>
      <c r="AM164" s="131" t="str">
        <f t="shared" si="65"/>
        <v/>
      </c>
      <c r="AN164" s="131" t="str">
        <f t="shared" si="66"/>
        <v/>
      </c>
      <c r="AO164" s="131" t="str">
        <f t="shared" si="67"/>
        <v/>
      </c>
      <c r="AP164" s="26" t="str">
        <f t="shared" si="68"/>
        <v>20-29</v>
      </c>
      <c r="AQ164" s="26" t="str">
        <f t="shared" si="69"/>
        <v>Over 1m</v>
      </c>
      <c r="AR164" s="26" t="str">
        <f>IF($T164=1,IF($AI164&lt;0,"Loss-making",IF($AJ164&lt;Assumptions!$C$16-0.00001,"Below target","At/above target")),"Excluded")</f>
        <v>Excluded</v>
      </c>
      <c r="AS164" s="103">
        <f t="shared" si="70"/>
        <v>9.9999999999999997E+98</v>
      </c>
      <c r="AT164" s="26"/>
      <c r="AU164" s="419">
        <f>IF(AND($T164=1,AU$5&lt;=$H164),INDEX(Mortality!$B$4:$E$64,MATCH($D164+AU$5-1,Mortality!$A$4:$A$64,0),$U164)*$V164*$N164,0)</f>
        <v>0</v>
      </c>
      <c r="AV164" s="93">
        <f>IF(AND($T164=1,AV$5&lt;=$H164),INDEX(Mortality!$B$4:$E$64,MATCH($D164+AV$5-1,Mortality!$A$4:$A$64,0),$U164)*$V164*$N164,0)</f>
        <v>0</v>
      </c>
      <c r="AW164" s="93">
        <f>IF(AND($T164=1,AW$5&lt;=$H164),INDEX(Mortality!$B$4:$E$64,MATCH($D164+AW$5-1,Mortality!$A$4:$A$64,0),$U164)*$V164*$N164,0)</f>
        <v>0</v>
      </c>
      <c r="AX164" s="93">
        <f>IF(AND($T164=1,AX$5&lt;=$H164),INDEX(Mortality!$B$4:$E$64,MATCH($D164+AX$5-1,Mortality!$A$4:$A$64,0),$U164)*$V164*$N164,0)</f>
        <v>0</v>
      </c>
      <c r="AY164" s="93">
        <f>IF(AND($T164=1,AY$5&lt;=$H164),INDEX(Mortality!$B$4:$E$64,MATCH($D164+AY$5-1,Mortality!$A$4:$A$64,0),$U164)*$V164*$N164,0)</f>
        <v>0</v>
      </c>
      <c r="AZ164" s="93">
        <f>IF(AND($T164=1,AZ$5&lt;=$H164),INDEX(Mortality!$B$4:$E$64,MATCH($D164+AZ$5-1,Mortality!$A$4:$A$64,0),$U164)*$V164*$N164,0)</f>
        <v>0</v>
      </c>
      <c r="BA164" s="93">
        <f>IF(AND($T164=1,BA$5&lt;=$H164),INDEX(Mortality!$B$4:$E$64,MATCH($D164+BA$5-1,Mortality!$A$4:$A$64,0),$U164)*$V164*$N164,0)</f>
        <v>0</v>
      </c>
      <c r="BB164" s="93">
        <f>IF(AND($T164=1,BB$5&lt;=$H164),INDEX(Mortality!$B$4:$E$64,MATCH($D164+BB$5-1,Mortality!$A$4:$A$64,0),$U164)*$V164*$N164,0)</f>
        <v>0</v>
      </c>
      <c r="BC164" s="93">
        <f>IF(AND($T164=1,BC$5&lt;=$H164),INDEX(Mortality!$B$4:$E$64,MATCH($D164+BC$5-1,Mortality!$A$4:$A$64,0),$U164)*$V164*$N164,0)</f>
        <v>0</v>
      </c>
      <c r="BD164" s="93">
        <f>IF(AND($T164=1,BD$5&lt;=$H164),INDEX(Mortality!$B$4:$E$64,MATCH($D164+BD$5-1,Mortality!$A$4:$A$64,0),$U164)*$V164*$N164,0)</f>
        <v>0</v>
      </c>
      <c r="BE164" s="93">
        <f>IF(AND($T164=1,BE$5&lt;=$H164),INDEX(Mortality!$B$4:$E$64,MATCH($D164+BE$5-1,Mortality!$A$4:$A$64,0),$U164)*$V164*$N164,0)</f>
        <v>0</v>
      </c>
      <c r="BF164" s="93">
        <f>IF(AND($T164=1,BF$5&lt;=$H164),INDEX(Mortality!$B$4:$E$64,MATCH($D164+BF$5-1,Mortality!$A$4:$A$64,0),$U164)*$V164*$N164,0)</f>
        <v>0</v>
      </c>
      <c r="BG164" s="93">
        <f>IF(AND($T164=1,BG$5&lt;=$H164),INDEX(Mortality!$B$4:$E$64,MATCH($D164+BG$5-1,Mortality!$A$4:$A$64,0),$U164)*$V164*$N164,0)</f>
        <v>0</v>
      </c>
      <c r="BH164" s="93">
        <f>IF(AND($T164=1,BH$5&lt;=$H164),INDEX(Mortality!$B$4:$E$64,MATCH($D164+BH$5-1,Mortality!$A$4:$A$64,0),$U164)*$V164*$N164,0)</f>
        <v>0</v>
      </c>
      <c r="BI164" s="93">
        <f>IF(AND($T164=1,BI$5&lt;=$H164),INDEX(Mortality!$B$4:$E$64,MATCH($D164+BI$5-1,Mortality!$A$4:$A$64,0),$U164)*$V164*$N164,0)</f>
        <v>0</v>
      </c>
      <c r="BJ164" s="93">
        <f>IF(AND($T164=1,BJ$5&lt;=$H164),INDEX(Mortality!$B$4:$E$64,MATCH($D164+BJ$5-1,Mortality!$A$4:$A$64,0),$U164)*$V164*$N164,0)</f>
        <v>0</v>
      </c>
      <c r="BK164" s="93">
        <f>IF(AND($T164=1,BK$5&lt;=$H164),INDEX(Mortality!$B$4:$E$64,MATCH($D164+BK$5-1,Mortality!$A$4:$A$64,0),$U164)*$V164*$N164,0)</f>
        <v>0</v>
      </c>
      <c r="BL164" s="93">
        <f>IF(AND($T164=1,BL$5&lt;=$H164),INDEX(Mortality!$B$4:$E$64,MATCH($D164+BL$5-1,Mortality!$A$4:$A$64,0),$U164)*$V164*$N164,0)</f>
        <v>0</v>
      </c>
      <c r="BM164" s="93">
        <f>IF(AND($T164=1,BM$5&lt;=$H164),INDEX(Mortality!$B$4:$E$64,MATCH($D164+BM$5-1,Mortality!$A$4:$A$64,0),$U164)*$V164*$N164,0)</f>
        <v>0</v>
      </c>
      <c r="BN164" s="93">
        <f>IF(AND($T164=1,BN$5&lt;=$H164),INDEX(Mortality!$B$4:$E$64,MATCH($D164+BN$5-1,Mortality!$A$4:$A$64,0),$U164)*$V164*$N164,0)</f>
        <v>0</v>
      </c>
      <c r="BO164" s="93">
        <f>IF(AND($T164=1,BO$5&lt;=$H164),INDEX(Mortality!$B$4:$E$64,MATCH($D164+BO$5-1,Mortality!$A$4:$A$64,0),$U164)*$V164*$N164,0)</f>
        <v>0</v>
      </c>
      <c r="BP164" s="93">
        <f>IF(AND($T164=1,BP$5&lt;=$H164),INDEX(Mortality!$B$4:$E$64,MATCH($D164+BP$5-1,Mortality!$A$4:$A$64,0),$U164)*$V164*$N164,0)</f>
        <v>0</v>
      </c>
      <c r="BQ164" s="93">
        <f>IF(AND($T164=1,BQ$5&lt;=$H164),INDEX(Mortality!$B$4:$E$64,MATCH($D164+BQ$5-1,Mortality!$A$4:$A$64,0),$U164)*$V164*$N164,0)</f>
        <v>0</v>
      </c>
      <c r="BR164" s="93">
        <f>IF(AND($T164=1,BR$5&lt;=$H164),INDEX(Mortality!$B$4:$E$64,MATCH($D164+BR$5-1,Mortality!$A$4:$A$64,0),$U164)*$V164*$N164,0)</f>
        <v>0</v>
      </c>
      <c r="BS164" s="93">
        <f>IF(AND($T164=1,BS$5&lt;=$H164),INDEX(Mortality!$B$4:$E$64,MATCH($D164+BS$5-1,Mortality!$A$4:$A$64,0),$U164)*$V164*$N164,0)</f>
        <v>0</v>
      </c>
      <c r="BT164" s="93">
        <f>IF(AND($T164=1,BT$5&lt;=$H164),INDEX(Mortality!$B$4:$E$64,MATCH($D164+BT$5-1,Mortality!$A$4:$A$64,0),$U164)*$V164*$N164,0)</f>
        <v>0</v>
      </c>
      <c r="BU164" s="93">
        <f>IF(AND($T164=1,BU$5&lt;=$H164),INDEX(Mortality!$B$4:$E$64,MATCH($D164+BU$5-1,Mortality!$A$4:$A$64,0),$U164)*$V164*$N164,0)</f>
        <v>0</v>
      </c>
      <c r="BV164" s="93">
        <f>IF(AND($T164=1,BV$5&lt;=$H164),INDEX(Mortality!$B$4:$E$64,MATCH($D164+BV$5-1,Mortality!$A$4:$A$64,0),$U164)*$V164*$N164,0)</f>
        <v>0</v>
      </c>
      <c r="BW164" s="93">
        <f>IF(AND($T164=1,BW$5&lt;=$H164),INDEX(Mortality!$B$4:$E$64,MATCH($D164+BW$5-1,Mortality!$A$4:$A$64,0),$U164)*$V164*$N164,0)</f>
        <v>0</v>
      </c>
      <c r="BX164" s="93">
        <f>IF(AND($T164=1,BX$5&lt;=$H164),INDEX(Mortality!$B$4:$E$64,MATCH($D164+BX$5-1,Mortality!$A$4:$A$64,0),$U164)*$V164*$N164,0)</f>
        <v>0</v>
      </c>
      <c r="BY164" s="93">
        <f>IF(AND($T164=1,BY$5&lt;=$H164),INDEX(Mortality!$B$4:$E$64,MATCH($D164+BY$5-1,Mortality!$A$4:$A$64,0),$U164)*$V164*$N164,0)</f>
        <v>0</v>
      </c>
      <c r="BZ164" s="93">
        <f>IF(AND($T164=1,BZ$5&lt;=$H164),INDEX(Mortality!$B$4:$E$64,MATCH($D164+BZ$5-1,Mortality!$A$4:$A$64,0),$U164)*$V164*$N164,0)</f>
        <v>0</v>
      </c>
      <c r="CA164" s="93">
        <f>IF(AND($T164=1,CA$5&lt;=$H164),INDEX(Mortality!$B$4:$E$64,MATCH($D164+CA$5-1,Mortality!$A$4:$A$64,0),$U164)*$V164*$N164,0)</f>
        <v>0</v>
      </c>
      <c r="CB164" s="93">
        <f>IF(AND($T164=1,CB$5&lt;=$H164),INDEX(Mortality!$B$4:$E$64,MATCH($D164+CB$5-1,Mortality!$A$4:$A$64,0),$U164)*$V164*$N164,0)</f>
        <v>0</v>
      </c>
      <c r="CC164" s="93">
        <f>IF(AND($T164=1,CC$5&lt;=$H164),INDEX(Mortality!$B$4:$E$64,MATCH($D164+CC$5-1,Mortality!$A$4:$A$64,0),$U164)*$V164*$N164,0)</f>
        <v>0</v>
      </c>
      <c r="CD164" s="93">
        <f>IF(AND($T164=1,CD$5&lt;=$H164),INDEX(Mortality!$B$4:$E$64,MATCH($D164+CD$5-1,Mortality!$A$4:$A$64,0),$U164)*$V164*$N164,0)</f>
        <v>0</v>
      </c>
      <c r="CE164" s="93">
        <f>IF(AND($T164=1,CE$5&lt;=$H164),INDEX(Mortality!$B$4:$E$64,MATCH($D164+CE$5-1,Mortality!$A$4:$A$64,0),$U164)*$V164*$N164,0)</f>
        <v>0</v>
      </c>
      <c r="CF164" s="93">
        <f>IF(AND($T164=1,CF$5&lt;=$H164),INDEX(Mortality!$B$4:$E$64,MATCH($D164+CF$5-1,Mortality!$A$4:$A$64,0),$U164)*$V164*$N164,0)</f>
        <v>0</v>
      </c>
      <c r="CG164" s="93">
        <f>IF(AND($T164=1,CG$5&lt;=$H164),INDEX(Mortality!$B$4:$E$64,MATCH($D164+CG$5-1,Mortality!$A$4:$A$64,0),$U164)*$V164*$N164,0)</f>
        <v>0</v>
      </c>
      <c r="CH164" s="94">
        <f>IF(AND($T164=1,CH$5&lt;=$H164),INDEX(Mortality!$B$4:$E$64,MATCH($D164+CH$5-1,Mortality!$A$4:$A$64,0),$U164)*$V164*$N164,0)</f>
        <v>0</v>
      </c>
      <c r="CI164" s="26"/>
      <c r="CJ164" s="419">
        <f t="shared" si="71"/>
        <v>0</v>
      </c>
      <c r="CK164" s="93">
        <f>IF(AND($T164=1,CK$5&lt;=$H164),CJ164*(1-AU164)*(1-MIN(1,MAX(Assumptions!$C$27,Assumptions!$C$13*Assumptions!$C$28^(CJ$5-1))*$O164)),0)</f>
        <v>0</v>
      </c>
      <c r="CL164" s="93">
        <f>IF(AND($T164=1,CL$5&lt;=$H164),CK164*(1-AV164)*(1-MIN(1,MAX(Assumptions!$C$27,Assumptions!$C$13*Assumptions!$C$28^(CK$5-1))*$O164)),0)</f>
        <v>0</v>
      </c>
      <c r="CM164" s="93">
        <f>IF(AND($T164=1,CM$5&lt;=$H164),CL164*(1-AW164)*(1-MIN(1,MAX(Assumptions!$C$27,Assumptions!$C$13*Assumptions!$C$28^(CL$5-1))*$O164)),0)</f>
        <v>0</v>
      </c>
      <c r="CN164" s="93">
        <f>IF(AND($T164=1,CN$5&lt;=$H164),CM164*(1-AX164)*(1-MIN(1,MAX(Assumptions!$C$27,Assumptions!$C$13*Assumptions!$C$28^(CM$5-1))*$O164)),0)</f>
        <v>0</v>
      </c>
      <c r="CO164" s="93">
        <f>IF(AND($T164=1,CO$5&lt;=$H164),CN164*(1-AY164)*(1-MIN(1,MAX(Assumptions!$C$27,Assumptions!$C$13*Assumptions!$C$28^(CN$5-1))*$O164)),0)</f>
        <v>0</v>
      </c>
      <c r="CP164" s="93">
        <f>IF(AND($T164=1,CP$5&lt;=$H164),CO164*(1-AZ164)*(1-MIN(1,MAX(Assumptions!$C$27,Assumptions!$C$13*Assumptions!$C$28^(CO$5-1))*$O164)),0)</f>
        <v>0</v>
      </c>
      <c r="CQ164" s="93">
        <f>IF(AND($T164=1,CQ$5&lt;=$H164),CP164*(1-BA164)*(1-MIN(1,MAX(Assumptions!$C$27,Assumptions!$C$13*Assumptions!$C$28^(CP$5-1))*$O164)),0)</f>
        <v>0</v>
      </c>
      <c r="CR164" s="93">
        <f>IF(AND($T164=1,CR$5&lt;=$H164),CQ164*(1-BB164)*(1-MIN(1,MAX(Assumptions!$C$27,Assumptions!$C$13*Assumptions!$C$28^(CQ$5-1))*$O164)),0)</f>
        <v>0</v>
      </c>
      <c r="CS164" s="93">
        <f>IF(AND($T164=1,CS$5&lt;=$H164),CR164*(1-BC164)*(1-MIN(1,MAX(Assumptions!$C$27,Assumptions!$C$13*Assumptions!$C$28^(CR$5-1))*$O164)),0)</f>
        <v>0</v>
      </c>
      <c r="CT164" s="93">
        <f>IF(AND($T164=1,CT$5&lt;=$H164),CS164*(1-BD164)*(1-MIN(1,MAX(Assumptions!$C$27,Assumptions!$C$13*Assumptions!$C$28^(CS$5-1))*$O164)),0)</f>
        <v>0</v>
      </c>
      <c r="CU164" s="93">
        <f>IF(AND($T164=1,CU$5&lt;=$H164),CT164*(1-BE164)*(1-MIN(1,MAX(Assumptions!$C$27,Assumptions!$C$13*Assumptions!$C$28^(CT$5-1))*$O164)),0)</f>
        <v>0</v>
      </c>
      <c r="CV164" s="93">
        <f>IF(AND($T164=1,CV$5&lt;=$H164),CU164*(1-BF164)*(1-MIN(1,MAX(Assumptions!$C$27,Assumptions!$C$13*Assumptions!$C$28^(CU$5-1))*$O164)),0)</f>
        <v>0</v>
      </c>
      <c r="CW164" s="93">
        <f>IF(AND($T164=1,CW$5&lt;=$H164),CV164*(1-BG164)*(1-MIN(1,MAX(Assumptions!$C$27,Assumptions!$C$13*Assumptions!$C$28^(CV$5-1))*$O164)),0)</f>
        <v>0</v>
      </c>
      <c r="CX164" s="93">
        <f>IF(AND($T164=1,CX$5&lt;=$H164),CW164*(1-BH164)*(1-MIN(1,MAX(Assumptions!$C$27,Assumptions!$C$13*Assumptions!$C$28^(CW$5-1))*$O164)),0)</f>
        <v>0</v>
      </c>
      <c r="CY164" s="93">
        <f>IF(AND($T164=1,CY$5&lt;=$H164),CX164*(1-BI164)*(1-MIN(1,MAX(Assumptions!$C$27,Assumptions!$C$13*Assumptions!$C$28^(CX$5-1))*$O164)),0)</f>
        <v>0</v>
      </c>
      <c r="CZ164" s="93">
        <f>IF(AND($T164=1,CZ$5&lt;=$H164),CY164*(1-BJ164)*(1-MIN(1,MAX(Assumptions!$C$27,Assumptions!$C$13*Assumptions!$C$28^(CY$5-1))*$O164)),0)</f>
        <v>0</v>
      </c>
      <c r="DA164" s="93">
        <f>IF(AND($T164=1,DA$5&lt;=$H164),CZ164*(1-BK164)*(1-MIN(1,MAX(Assumptions!$C$27,Assumptions!$C$13*Assumptions!$C$28^(CZ$5-1))*$O164)),0)</f>
        <v>0</v>
      </c>
      <c r="DB164" s="93">
        <f>IF(AND($T164=1,DB$5&lt;=$H164),DA164*(1-BL164)*(1-MIN(1,MAX(Assumptions!$C$27,Assumptions!$C$13*Assumptions!$C$28^(DA$5-1))*$O164)),0)</f>
        <v>0</v>
      </c>
      <c r="DC164" s="93">
        <f>IF(AND($T164=1,DC$5&lt;=$H164),DB164*(1-BM164)*(1-MIN(1,MAX(Assumptions!$C$27,Assumptions!$C$13*Assumptions!$C$28^(DB$5-1))*$O164)),0)</f>
        <v>0</v>
      </c>
      <c r="DD164" s="93">
        <f>IF(AND($T164=1,DD$5&lt;=$H164),DC164*(1-BN164)*(1-MIN(1,MAX(Assumptions!$C$27,Assumptions!$C$13*Assumptions!$C$28^(DC$5-1))*$O164)),0)</f>
        <v>0</v>
      </c>
      <c r="DE164" s="93">
        <f>IF(AND($T164=1,DE$5&lt;=$H164),DD164*(1-BO164)*(1-MIN(1,MAX(Assumptions!$C$27,Assumptions!$C$13*Assumptions!$C$28^(DD$5-1))*$O164)),0)</f>
        <v>0</v>
      </c>
      <c r="DF164" s="93">
        <f>IF(AND($T164=1,DF$5&lt;=$H164),DE164*(1-BP164)*(1-MIN(1,MAX(Assumptions!$C$27,Assumptions!$C$13*Assumptions!$C$28^(DE$5-1))*$O164)),0)</f>
        <v>0</v>
      </c>
      <c r="DG164" s="93">
        <f>IF(AND($T164=1,DG$5&lt;=$H164),DF164*(1-BQ164)*(1-MIN(1,MAX(Assumptions!$C$27,Assumptions!$C$13*Assumptions!$C$28^(DF$5-1))*$O164)),0)</f>
        <v>0</v>
      </c>
      <c r="DH164" s="93">
        <f>IF(AND($T164=1,DH$5&lt;=$H164),DG164*(1-BR164)*(1-MIN(1,MAX(Assumptions!$C$27,Assumptions!$C$13*Assumptions!$C$28^(DG$5-1))*$O164)),0)</f>
        <v>0</v>
      </c>
      <c r="DI164" s="93">
        <f>IF(AND($T164=1,DI$5&lt;=$H164),DH164*(1-BS164)*(1-MIN(1,MAX(Assumptions!$C$27,Assumptions!$C$13*Assumptions!$C$28^(DH$5-1))*$O164)),0)</f>
        <v>0</v>
      </c>
      <c r="DJ164" s="93">
        <f>IF(AND($T164=1,DJ$5&lt;=$H164),DI164*(1-BT164)*(1-MIN(1,MAX(Assumptions!$C$27,Assumptions!$C$13*Assumptions!$C$28^(DI$5-1))*$O164)),0)</f>
        <v>0</v>
      </c>
      <c r="DK164" s="93">
        <f>IF(AND($T164=1,DK$5&lt;=$H164),DJ164*(1-BU164)*(1-MIN(1,MAX(Assumptions!$C$27,Assumptions!$C$13*Assumptions!$C$28^(DJ$5-1))*$O164)),0)</f>
        <v>0</v>
      </c>
      <c r="DL164" s="93">
        <f>IF(AND($T164=1,DL$5&lt;=$H164),DK164*(1-BV164)*(1-MIN(1,MAX(Assumptions!$C$27,Assumptions!$C$13*Assumptions!$C$28^(DK$5-1))*$O164)),0)</f>
        <v>0</v>
      </c>
      <c r="DM164" s="93">
        <f>IF(AND($T164=1,DM$5&lt;=$H164),DL164*(1-BW164)*(1-MIN(1,MAX(Assumptions!$C$27,Assumptions!$C$13*Assumptions!$C$28^(DL$5-1))*$O164)),0)</f>
        <v>0</v>
      </c>
      <c r="DN164" s="93">
        <f>IF(AND($T164=1,DN$5&lt;=$H164),DM164*(1-BX164)*(1-MIN(1,MAX(Assumptions!$C$27,Assumptions!$C$13*Assumptions!$C$28^(DM$5-1))*$O164)),0)</f>
        <v>0</v>
      </c>
      <c r="DO164" s="93">
        <f>IF(AND($T164=1,DO$5&lt;=$H164),DN164*(1-BY164)*(1-MIN(1,MAX(Assumptions!$C$27,Assumptions!$C$13*Assumptions!$C$28^(DN$5-1))*$O164)),0)</f>
        <v>0</v>
      </c>
      <c r="DP164" s="93">
        <f>IF(AND($T164=1,DP$5&lt;=$H164),DO164*(1-BZ164)*(1-MIN(1,MAX(Assumptions!$C$27,Assumptions!$C$13*Assumptions!$C$28^(DO$5-1))*$O164)),0)</f>
        <v>0</v>
      </c>
      <c r="DQ164" s="93">
        <f>IF(AND($T164=1,DQ$5&lt;=$H164),DP164*(1-CA164)*(1-MIN(1,MAX(Assumptions!$C$27,Assumptions!$C$13*Assumptions!$C$28^(DP$5-1))*$O164)),0)</f>
        <v>0</v>
      </c>
      <c r="DR164" s="93">
        <f>IF(AND($T164=1,DR$5&lt;=$H164),DQ164*(1-CB164)*(1-MIN(1,MAX(Assumptions!$C$27,Assumptions!$C$13*Assumptions!$C$28^(DQ$5-1))*$O164)),0)</f>
        <v>0</v>
      </c>
      <c r="DS164" s="93">
        <f>IF(AND($T164=1,DS$5&lt;=$H164),DR164*(1-CC164)*(1-MIN(1,MAX(Assumptions!$C$27,Assumptions!$C$13*Assumptions!$C$28^(DR$5-1))*$O164)),0)</f>
        <v>0</v>
      </c>
      <c r="DT164" s="93">
        <f>IF(AND($T164=1,DT$5&lt;=$H164),DS164*(1-CD164)*(1-MIN(1,MAX(Assumptions!$C$27,Assumptions!$C$13*Assumptions!$C$28^(DS$5-1))*$O164)),0)</f>
        <v>0</v>
      </c>
      <c r="DU164" s="93">
        <f>IF(AND($T164=1,DU$5&lt;=$H164),DT164*(1-CE164)*(1-MIN(1,MAX(Assumptions!$C$27,Assumptions!$C$13*Assumptions!$C$28^(DT$5-1))*$O164)),0)</f>
        <v>0</v>
      </c>
      <c r="DV164" s="93">
        <f>IF(AND($T164=1,DV$5&lt;=$H164),DU164*(1-CF164)*(1-MIN(1,MAX(Assumptions!$C$27,Assumptions!$C$13*Assumptions!$C$28^(DU$5-1))*$O164)),0)</f>
        <v>0</v>
      </c>
      <c r="DW164" s="94">
        <f>IF(AND($T164=1,DW$5&lt;=$H164),DV164*(1-CG164)*(1-MIN(1,MAX(Assumptions!$C$27,Assumptions!$C$13*Assumptions!$C$28^(DV$5-1))*$O164)),0)</f>
        <v>0</v>
      </c>
      <c r="DX164" s="26"/>
      <c r="DY164" s="399">
        <f>'Policy Data'!K138</f>
        <v>7</v>
      </c>
      <c r="DZ164" s="100">
        <f>'Policy Data'!L138</f>
        <v>0.72040000000000004</v>
      </c>
      <c r="EA164" s="100">
        <f>'Policy Data'!N138</f>
        <v>1.92E-4</v>
      </c>
      <c r="EB164" s="93" cm="1">
        <f t="array" ref="EB164">IFERROR(DZ164*INDEX(Mortality!$B$4:$E$64,MATCH(D164+DY164-1,Mortality!$A$4:$A$64,0),U164)*V164,0)</f>
        <v>3.1014344569978874E-4</v>
      </c>
      <c r="EC164" s="100">
        <f>'Policy Data'!O138</f>
        <v>0</v>
      </c>
      <c r="ED164" s="400">
        <f>'Policy Data'!Q138</f>
        <v>0</v>
      </c>
    </row>
    <row r="165" spans="1:134" x14ac:dyDescent="0.3">
      <c r="A165" s="399" t="str">
        <f>'Policy Data'!A139</f>
        <v>POL100135</v>
      </c>
      <c r="B165" s="26" t="s">
        <v>426</v>
      </c>
      <c r="C165" s="100" t="str">
        <f>'Policy Data'!B139</f>
        <v>Term Life</v>
      </c>
      <c r="D165" s="100">
        <f>'Policy Data'!C139</f>
        <v>59</v>
      </c>
      <c r="E165" s="100" t="str">
        <f>'Policy Data'!D139</f>
        <v>Female</v>
      </c>
      <c r="F165" s="100" t="str">
        <f>'Policy Data'!E139</f>
        <v>Non-smoker</v>
      </c>
      <c r="G165" s="100" t="str">
        <f>'Policy Data'!F139</f>
        <v>Standard</v>
      </c>
      <c r="H165" s="100">
        <f>'Policy Data'!G139</f>
        <v>25</v>
      </c>
      <c r="I165" s="279">
        <f>'Policy Data'!H139</f>
        <v>250000</v>
      </c>
      <c r="J165" s="100" t="str">
        <f>'Policy Data'!I139</f>
        <v>Annual</v>
      </c>
      <c r="K165" s="100" t="str">
        <f>'Policy Data'!J139</f>
        <v>Direct</v>
      </c>
      <c r="L165" s="26" t="s">
        <v>389</v>
      </c>
      <c r="M165" s="106">
        <f>'Policy Data'!R139</f>
        <v>1765.7</v>
      </c>
      <c r="N165" s="415">
        <f>Assumptions!$C$21</f>
        <v>1</v>
      </c>
      <c r="O165" s="415">
        <f>Assumptions!$C$22</f>
        <v>1</v>
      </c>
      <c r="P165" s="415">
        <f>Assumptions!$C$23</f>
        <v>1</v>
      </c>
      <c r="Q165" s="416">
        <f>Assumptions!$C$24</f>
        <v>0</v>
      </c>
      <c r="R165" s="416">
        <f>Assumptions!$C$6+Assumptions!$C$25</f>
        <v>3.5000000000000003E-2</v>
      </c>
      <c r="S165" s="416">
        <f>Assumptions!$C$15</f>
        <v>1.1000000000000001E-3</v>
      </c>
      <c r="T165" s="26">
        <f t="shared" si="54"/>
        <v>0</v>
      </c>
      <c r="U165" s="26">
        <f t="shared" si="55"/>
        <v>1</v>
      </c>
      <c r="V165" s="389">
        <f>IF($G165="Preferred",Assumptions!$C$30,IF($G165="Rated",Assumptions!$C$31,1))</f>
        <v>1</v>
      </c>
      <c r="W165" s="390">
        <f>IF($K165="Direct",Assumptions!$C$32,IF($K165="Broker",Assumptions!$C$33,IF($K165="Bancassurance",Assumptions!$C$34,Assumptions!$C$11)))+$Q165</f>
        <v>0.1</v>
      </c>
      <c r="X165" s="390">
        <f>Assumptions!$C$12+$Q165</f>
        <v>0.05</v>
      </c>
      <c r="Y165" s="131">
        <f>MIN($I165,Assumptions!$C$14)</f>
        <v>250000</v>
      </c>
      <c r="Z165" s="131">
        <f>MAX($I165-Assumptions!$C$14,0)</f>
        <v>0</v>
      </c>
      <c r="AA165" s="389">
        <f t="shared" si="56"/>
        <v>0</v>
      </c>
      <c r="AB165" s="389">
        <f t="shared" si="57"/>
        <v>0</v>
      </c>
      <c r="AC165" s="389">
        <f>IF($T165=1,SUMPRODUCT($CJ165:$DW165,(1+Assumptions!$C$5)^($CJ$5:$DW$5-1),(1+$R165)^(-$CJ$5:$DW$5)),0)</f>
        <v>0</v>
      </c>
      <c r="AD165" s="389">
        <f t="shared" si="58"/>
        <v>0</v>
      </c>
      <c r="AE165" s="131">
        <f>IF($T165=1,$AB165*$Y165+(Assumptions!$C$9/(1+$R165)+Assumptions!$C$10*$AC165)*$P165+$S165*$Z165*$AA165,0)</f>
        <v>0</v>
      </c>
      <c r="AF165" s="131" t="str">
        <f>IF($T165=1,IF($AA165-$AD165-Assumptions!$C$16*$AA165&gt;0,$AE165/($AA165-$AD165-Assumptions!$C$16*$AA165)*IF($J165="Monthly",1+Assumptions!$C$29,1),"n.a."),"")</f>
        <v/>
      </c>
      <c r="AG165" s="131" t="str">
        <f t="shared" si="59"/>
        <v/>
      </c>
      <c r="AH165" s="131" t="str">
        <f t="shared" si="60"/>
        <v/>
      </c>
      <c r="AI165" s="131" t="str">
        <f t="shared" si="61"/>
        <v/>
      </c>
      <c r="AJ165" s="390" t="str">
        <f t="shared" si="62"/>
        <v/>
      </c>
      <c r="AK165" s="389" t="str">
        <f t="shared" si="63"/>
        <v/>
      </c>
      <c r="AL165" s="131" t="str">
        <f t="shared" si="64"/>
        <v/>
      </c>
      <c r="AM165" s="131" t="str">
        <f t="shared" si="65"/>
        <v/>
      </c>
      <c r="AN165" s="131" t="str">
        <f t="shared" si="66"/>
        <v/>
      </c>
      <c r="AO165" s="131" t="str">
        <f t="shared" si="67"/>
        <v/>
      </c>
      <c r="AP165" s="26" t="str">
        <f t="shared" si="68"/>
        <v>50-59</v>
      </c>
      <c r="AQ165" s="26" t="str">
        <f t="shared" si="69"/>
        <v>Up to 250k</v>
      </c>
      <c r="AR165" s="26" t="str">
        <f>IF($T165=1,IF($AI165&lt;0,"Loss-making",IF($AJ165&lt;Assumptions!$C$16-0.00001,"Below target","At/above target")),"Excluded")</f>
        <v>Excluded</v>
      </c>
      <c r="AS165" s="103">
        <f t="shared" si="70"/>
        <v>9.9999999999999997E+98</v>
      </c>
      <c r="AT165" s="26"/>
      <c r="AU165" s="419">
        <f>IF(AND($T165=1,AU$5&lt;=$H165),INDEX(Mortality!$B$4:$E$64,MATCH($D165+AU$5-1,Mortality!$A$4:$A$64,0),$U165)*$V165*$N165,0)</f>
        <v>0</v>
      </c>
      <c r="AV165" s="93">
        <f>IF(AND($T165=1,AV$5&lt;=$H165),INDEX(Mortality!$B$4:$E$64,MATCH($D165+AV$5-1,Mortality!$A$4:$A$64,0),$U165)*$V165*$N165,0)</f>
        <v>0</v>
      </c>
      <c r="AW165" s="93">
        <f>IF(AND($T165=1,AW$5&lt;=$H165),INDEX(Mortality!$B$4:$E$64,MATCH($D165+AW$5-1,Mortality!$A$4:$A$64,0),$U165)*$V165*$N165,0)</f>
        <v>0</v>
      </c>
      <c r="AX165" s="93">
        <f>IF(AND($T165=1,AX$5&lt;=$H165),INDEX(Mortality!$B$4:$E$64,MATCH($D165+AX$5-1,Mortality!$A$4:$A$64,0),$U165)*$V165*$N165,0)</f>
        <v>0</v>
      </c>
      <c r="AY165" s="93">
        <f>IF(AND($T165=1,AY$5&lt;=$H165),INDEX(Mortality!$B$4:$E$64,MATCH($D165+AY$5-1,Mortality!$A$4:$A$64,0),$U165)*$V165*$N165,0)</f>
        <v>0</v>
      </c>
      <c r="AZ165" s="93">
        <f>IF(AND($T165=1,AZ$5&lt;=$H165),INDEX(Mortality!$B$4:$E$64,MATCH($D165+AZ$5-1,Mortality!$A$4:$A$64,0),$U165)*$V165*$N165,0)</f>
        <v>0</v>
      </c>
      <c r="BA165" s="93">
        <f>IF(AND($T165=1,BA$5&lt;=$H165),INDEX(Mortality!$B$4:$E$64,MATCH($D165+BA$5-1,Mortality!$A$4:$A$64,0),$U165)*$V165*$N165,0)</f>
        <v>0</v>
      </c>
      <c r="BB165" s="93">
        <f>IF(AND($T165=1,BB$5&lt;=$H165),INDEX(Mortality!$B$4:$E$64,MATCH($D165+BB$5-1,Mortality!$A$4:$A$64,0),$U165)*$V165*$N165,0)</f>
        <v>0</v>
      </c>
      <c r="BC165" s="93">
        <f>IF(AND($T165=1,BC$5&lt;=$H165),INDEX(Mortality!$B$4:$E$64,MATCH($D165+BC$5-1,Mortality!$A$4:$A$64,0),$U165)*$V165*$N165,0)</f>
        <v>0</v>
      </c>
      <c r="BD165" s="93">
        <f>IF(AND($T165=1,BD$5&lt;=$H165),INDEX(Mortality!$B$4:$E$64,MATCH($D165+BD$5-1,Mortality!$A$4:$A$64,0),$U165)*$V165*$N165,0)</f>
        <v>0</v>
      </c>
      <c r="BE165" s="93">
        <f>IF(AND($T165=1,BE$5&lt;=$H165),INDEX(Mortality!$B$4:$E$64,MATCH($D165+BE$5-1,Mortality!$A$4:$A$64,0),$U165)*$V165*$N165,0)</f>
        <v>0</v>
      </c>
      <c r="BF165" s="93">
        <f>IF(AND($T165=1,BF$5&lt;=$H165),INDEX(Mortality!$B$4:$E$64,MATCH($D165+BF$5-1,Mortality!$A$4:$A$64,0),$U165)*$V165*$N165,0)</f>
        <v>0</v>
      </c>
      <c r="BG165" s="93">
        <f>IF(AND($T165=1,BG$5&lt;=$H165),INDEX(Mortality!$B$4:$E$64,MATCH($D165+BG$5-1,Mortality!$A$4:$A$64,0),$U165)*$V165*$N165,0)</f>
        <v>0</v>
      </c>
      <c r="BH165" s="93">
        <f>IF(AND($T165=1,BH$5&lt;=$H165),INDEX(Mortality!$B$4:$E$64,MATCH($D165+BH$5-1,Mortality!$A$4:$A$64,0),$U165)*$V165*$N165,0)</f>
        <v>0</v>
      </c>
      <c r="BI165" s="93">
        <f>IF(AND($T165=1,BI$5&lt;=$H165),INDEX(Mortality!$B$4:$E$64,MATCH($D165+BI$5-1,Mortality!$A$4:$A$64,0),$U165)*$V165*$N165,0)</f>
        <v>0</v>
      </c>
      <c r="BJ165" s="93">
        <f>IF(AND($T165=1,BJ$5&lt;=$H165),INDEX(Mortality!$B$4:$E$64,MATCH($D165+BJ$5-1,Mortality!$A$4:$A$64,0),$U165)*$V165*$N165,0)</f>
        <v>0</v>
      </c>
      <c r="BK165" s="93">
        <f>IF(AND($T165=1,BK$5&lt;=$H165),INDEX(Mortality!$B$4:$E$64,MATCH($D165+BK$5-1,Mortality!$A$4:$A$64,0),$U165)*$V165*$N165,0)</f>
        <v>0</v>
      </c>
      <c r="BL165" s="93">
        <f>IF(AND($T165=1,BL$5&lt;=$H165),INDEX(Mortality!$B$4:$E$64,MATCH($D165+BL$5-1,Mortality!$A$4:$A$64,0),$U165)*$V165*$N165,0)</f>
        <v>0</v>
      </c>
      <c r="BM165" s="93">
        <f>IF(AND($T165=1,BM$5&lt;=$H165),INDEX(Mortality!$B$4:$E$64,MATCH($D165+BM$5-1,Mortality!$A$4:$A$64,0),$U165)*$V165*$N165,0)</f>
        <v>0</v>
      </c>
      <c r="BN165" s="93">
        <f>IF(AND($T165=1,BN$5&lt;=$H165),INDEX(Mortality!$B$4:$E$64,MATCH($D165+BN$5-1,Mortality!$A$4:$A$64,0),$U165)*$V165*$N165,0)</f>
        <v>0</v>
      </c>
      <c r="BO165" s="93">
        <f>IF(AND($T165=1,BO$5&lt;=$H165),INDEX(Mortality!$B$4:$E$64,MATCH($D165+BO$5-1,Mortality!$A$4:$A$64,0),$U165)*$V165*$N165,0)</f>
        <v>0</v>
      </c>
      <c r="BP165" s="93">
        <f>IF(AND($T165=1,BP$5&lt;=$H165),INDEX(Mortality!$B$4:$E$64,MATCH($D165+BP$5-1,Mortality!$A$4:$A$64,0),$U165)*$V165*$N165,0)</f>
        <v>0</v>
      </c>
      <c r="BQ165" s="93">
        <f>IF(AND($T165=1,BQ$5&lt;=$H165),INDEX(Mortality!$B$4:$E$64,MATCH($D165+BQ$5-1,Mortality!$A$4:$A$64,0),$U165)*$V165*$N165,0)</f>
        <v>0</v>
      </c>
      <c r="BR165" s="93">
        <f>IF(AND($T165=1,BR$5&lt;=$H165),INDEX(Mortality!$B$4:$E$64,MATCH($D165+BR$5-1,Mortality!$A$4:$A$64,0),$U165)*$V165*$N165,0)</f>
        <v>0</v>
      </c>
      <c r="BS165" s="93">
        <f>IF(AND($T165=1,BS$5&lt;=$H165),INDEX(Mortality!$B$4:$E$64,MATCH($D165+BS$5-1,Mortality!$A$4:$A$64,0),$U165)*$V165*$N165,0)</f>
        <v>0</v>
      </c>
      <c r="BT165" s="93">
        <f>IF(AND($T165=1,BT$5&lt;=$H165),INDEX(Mortality!$B$4:$E$64,MATCH($D165+BT$5-1,Mortality!$A$4:$A$64,0),$U165)*$V165*$N165,0)</f>
        <v>0</v>
      </c>
      <c r="BU165" s="93">
        <f>IF(AND($T165=1,BU$5&lt;=$H165),INDEX(Mortality!$B$4:$E$64,MATCH($D165+BU$5-1,Mortality!$A$4:$A$64,0),$U165)*$V165*$N165,0)</f>
        <v>0</v>
      </c>
      <c r="BV165" s="93">
        <f>IF(AND($T165=1,BV$5&lt;=$H165),INDEX(Mortality!$B$4:$E$64,MATCH($D165+BV$5-1,Mortality!$A$4:$A$64,0),$U165)*$V165*$N165,0)</f>
        <v>0</v>
      </c>
      <c r="BW165" s="93">
        <f>IF(AND($T165=1,BW$5&lt;=$H165),INDEX(Mortality!$B$4:$E$64,MATCH($D165+BW$5-1,Mortality!$A$4:$A$64,0),$U165)*$V165*$N165,0)</f>
        <v>0</v>
      </c>
      <c r="BX165" s="93">
        <f>IF(AND($T165=1,BX$5&lt;=$H165),INDEX(Mortality!$B$4:$E$64,MATCH($D165+BX$5-1,Mortality!$A$4:$A$64,0),$U165)*$V165*$N165,0)</f>
        <v>0</v>
      </c>
      <c r="BY165" s="93">
        <f>IF(AND($T165=1,BY$5&lt;=$H165),INDEX(Mortality!$B$4:$E$64,MATCH($D165+BY$5-1,Mortality!$A$4:$A$64,0),$U165)*$V165*$N165,0)</f>
        <v>0</v>
      </c>
      <c r="BZ165" s="93">
        <f>IF(AND($T165=1,BZ$5&lt;=$H165),INDEX(Mortality!$B$4:$E$64,MATCH($D165+BZ$5-1,Mortality!$A$4:$A$64,0),$U165)*$V165*$N165,0)</f>
        <v>0</v>
      </c>
      <c r="CA165" s="93">
        <f>IF(AND($T165=1,CA$5&lt;=$H165),INDEX(Mortality!$B$4:$E$64,MATCH($D165+CA$5-1,Mortality!$A$4:$A$64,0),$U165)*$V165*$N165,0)</f>
        <v>0</v>
      </c>
      <c r="CB165" s="93">
        <f>IF(AND($T165=1,CB$5&lt;=$H165),INDEX(Mortality!$B$4:$E$64,MATCH($D165+CB$5-1,Mortality!$A$4:$A$64,0),$U165)*$V165*$N165,0)</f>
        <v>0</v>
      </c>
      <c r="CC165" s="93">
        <f>IF(AND($T165=1,CC$5&lt;=$H165),INDEX(Mortality!$B$4:$E$64,MATCH($D165+CC$5-1,Mortality!$A$4:$A$64,0),$U165)*$V165*$N165,0)</f>
        <v>0</v>
      </c>
      <c r="CD165" s="93">
        <f>IF(AND($T165=1,CD$5&lt;=$H165),INDEX(Mortality!$B$4:$E$64,MATCH($D165+CD$5-1,Mortality!$A$4:$A$64,0),$U165)*$V165*$N165,0)</f>
        <v>0</v>
      </c>
      <c r="CE165" s="93">
        <f>IF(AND($T165=1,CE$5&lt;=$H165),INDEX(Mortality!$B$4:$E$64,MATCH($D165+CE$5-1,Mortality!$A$4:$A$64,0),$U165)*$V165*$N165,0)</f>
        <v>0</v>
      </c>
      <c r="CF165" s="93">
        <f>IF(AND($T165=1,CF$5&lt;=$H165),INDEX(Mortality!$B$4:$E$64,MATCH($D165+CF$5-1,Mortality!$A$4:$A$64,0),$U165)*$V165*$N165,0)</f>
        <v>0</v>
      </c>
      <c r="CG165" s="93">
        <f>IF(AND($T165=1,CG$5&lt;=$H165),INDEX(Mortality!$B$4:$E$64,MATCH($D165+CG$5-1,Mortality!$A$4:$A$64,0),$U165)*$V165*$N165,0)</f>
        <v>0</v>
      </c>
      <c r="CH165" s="94">
        <f>IF(AND($T165=1,CH$5&lt;=$H165),INDEX(Mortality!$B$4:$E$64,MATCH($D165+CH$5-1,Mortality!$A$4:$A$64,0),$U165)*$V165*$N165,0)</f>
        <v>0</v>
      </c>
      <c r="CI165" s="26"/>
      <c r="CJ165" s="419">
        <f t="shared" si="71"/>
        <v>0</v>
      </c>
      <c r="CK165" s="93">
        <f>IF(AND($T165=1,CK$5&lt;=$H165),CJ165*(1-AU165)*(1-MIN(1,MAX(Assumptions!$C$27,Assumptions!$C$13*Assumptions!$C$28^(CJ$5-1))*$O165)),0)</f>
        <v>0</v>
      </c>
      <c r="CL165" s="93">
        <f>IF(AND($T165=1,CL$5&lt;=$H165),CK165*(1-AV165)*(1-MIN(1,MAX(Assumptions!$C$27,Assumptions!$C$13*Assumptions!$C$28^(CK$5-1))*$O165)),0)</f>
        <v>0</v>
      </c>
      <c r="CM165" s="93">
        <f>IF(AND($T165=1,CM$5&lt;=$H165),CL165*(1-AW165)*(1-MIN(1,MAX(Assumptions!$C$27,Assumptions!$C$13*Assumptions!$C$28^(CL$5-1))*$O165)),0)</f>
        <v>0</v>
      </c>
      <c r="CN165" s="93">
        <f>IF(AND($T165=1,CN$5&lt;=$H165),CM165*(1-AX165)*(1-MIN(1,MAX(Assumptions!$C$27,Assumptions!$C$13*Assumptions!$C$28^(CM$5-1))*$O165)),0)</f>
        <v>0</v>
      </c>
      <c r="CO165" s="93">
        <f>IF(AND($T165=1,CO$5&lt;=$H165),CN165*(1-AY165)*(1-MIN(1,MAX(Assumptions!$C$27,Assumptions!$C$13*Assumptions!$C$28^(CN$5-1))*$O165)),0)</f>
        <v>0</v>
      </c>
      <c r="CP165" s="93">
        <f>IF(AND($T165=1,CP$5&lt;=$H165),CO165*(1-AZ165)*(1-MIN(1,MAX(Assumptions!$C$27,Assumptions!$C$13*Assumptions!$C$28^(CO$5-1))*$O165)),0)</f>
        <v>0</v>
      </c>
      <c r="CQ165" s="93">
        <f>IF(AND($T165=1,CQ$5&lt;=$H165),CP165*(1-BA165)*(1-MIN(1,MAX(Assumptions!$C$27,Assumptions!$C$13*Assumptions!$C$28^(CP$5-1))*$O165)),0)</f>
        <v>0</v>
      </c>
      <c r="CR165" s="93">
        <f>IF(AND($T165=1,CR$5&lt;=$H165),CQ165*(1-BB165)*(1-MIN(1,MAX(Assumptions!$C$27,Assumptions!$C$13*Assumptions!$C$28^(CQ$5-1))*$O165)),0)</f>
        <v>0</v>
      </c>
      <c r="CS165" s="93">
        <f>IF(AND($T165=1,CS$5&lt;=$H165),CR165*(1-BC165)*(1-MIN(1,MAX(Assumptions!$C$27,Assumptions!$C$13*Assumptions!$C$28^(CR$5-1))*$O165)),0)</f>
        <v>0</v>
      </c>
      <c r="CT165" s="93">
        <f>IF(AND($T165=1,CT$5&lt;=$H165),CS165*(1-BD165)*(1-MIN(1,MAX(Assumptions!$C$27,Assumptions!$C$13*Assumptions!$C$28^(CS$5-1))*$O165)),0)</f>
        <v>0</v>
      </c>
      <c r="CU165" s="93">
        <f>IF(AND($T165=1,CU$5&lt;=$H165),CT165*(1-BE165)*(1-MIN(1,MAX(Assumptions!$C$27,Assumptions!$C$13*Assumptions!$C$28^(CT$5-1))*$O165)),0)</f>
        <v>0</v>
      </c>
      <c r="CV165" s="93">
        <f>IF(AND($T165=1,CV$5&lt;=$H165),CU165*(1-BF165)*(1-MIN(1,MAX(Assumptions!$C$27,Assumptions!$C$13*Assumptions!$C$28^(CU$5-1))*$O165)),0)</f>
        <v>0</v>
      </c>
      <c r="CW165" s="93">
        <f>IF(AND($T165=1,CW$5&lt;=$H165),CV165*(1-BG165)*(1-MIN(1,MAX(Assumptions!$C$27,Assumptions!$C$13*Assumptions!$C$28^(CV$5-1))*$O165)),0)</f>
        <v>0</v>
      </c>
      <c r="CX165" s="93">
        <f>IF(AND($T165=1,CX$5&lt;=$H165),CW165*(1-BH165)*(1-MIN(1,MAX(Assumptions!$C$27,Assumptions!$C$13*Assumptions!$C$28^(CW$5-1))*$O165)),0)</f>
        <v>0</v>
      </c>
      <c r="CY165" s="93">
        <f>IF(AND($T165=1,CY$5&lt;=$H165),CX165*(1-BI165)*(1-MIN(1,MAX(Assumptions!$C$27,Assumptions!$C$13*Assumptions!$C$28^(CX$5-1))*$O165)),0)</f>
        <v>0</v>
      </c>
      <c r="CZ165" s="93">
        <f>IF(AND($T165=1,CZ$5&lt;=$H165),CY165*(1-BJ165)*(1-MIN(1,MAX(Assumptions!$C$27,Assumptions!$C$13*Assumptions!$C$28^(CY$5-1))*$O165)),0)</f>
        <v>0</v>
      </c>
      <c r="DA165" s="93">
        <f>IF(AND($T165=1,DA$5&lt;=$H165),CZ165*(1-BK165)*(1-MIN(1,MAX(Assumptions!$C$27,Assumptions!$C$13*Assumptions!$C$28^(CZ$5-1))*$O165)),0)</f>
        <v>0</v>
      </c>
      <c r="DB165" s="93">
        <f>IF(AND($T165=1,DB$5&lt;=$H165),DA165*(1-BL165)*(1-MIN(1,MAX(Assumptions!$C$27,Assumptions!$C$13*Assumptions!$C$28^(DA$5-1))*$O165)),0)</f>
        <v>0</v>
      </c>
      <c r="DC165" s="93">
        <f>IF(AND($T165=1,DC$5&lt;=$H165),DB165*(1-BM165)*(1-MIN(1,MAX(Assumptions!$C$27,Assumptions!$C$13*Assumptions!$C$28^(DB$5-1))*$O165)),0)</f>
        <v>0</v>
      </c>
      <c r="DD165" s="93">
        <f>IF(AND($T165=1,DD$5&lt;=$H165),DC165*(1-BN165)*(1-MIN(1,MAX(Assumptions!$C$27,Assumptions!$C$13*Assumptions!$C$28^(DC$5-1))*$O165)),0)</f>
        <v>0</v>
      </c>
      <c r="DE165" s="93">
        <f>IF(AND($T165=1,DE$5&lt;=$H165),DD165*(1-BO165)*(1-MIN(1,MAX(Assumptions!$C$27,Assumptions!$C$13*Assumptions!$C$28^(DD$5-1))*$O165)),0)</f>
        <v>0</v>
      </c>
      <c r="DF165" s="93">
        <f>IF(AND($T165=1,DF$5&lt;=$H165),DE165*(1-BP165)*(1-MIN(1,MAX(Assumptions!$C$27,Assumptions!$C$13*Assumptions!$C$28^(DE$5-1))*$O165)),0)</f>
        <v>0</v>
      </c>
      <c r="DG165" s="93">
        <f>IF(AND($T165=1,DG$5&lt;=$H165),DF165*(1-BQ165)*(1-MIN(1,MAX(Assumptions!$C$27,Assumptions!$C$13*Assumptions!$C$28^(DF$5-1))*$O165)),0)</f>
        <v>0</v>
      </c>
      <c r="DH165" s="93">
        <f>IF(AND($T165=1,DH$5&lt;=$H165),DG165*(1-BR165)*(1-MIN(1,MAX(Assumptions!$C$27,Assumptions!$C$13*Assumptions!$C$28^(DG$5-1))*$O165)),0)</f>
        <v>0</v>
      </c>
      <c r="DI165" s="93">
        <f>IF(AND($T165=1,DI$5&lt;=$H165),DH165*(1-BS165)*(1-MIN(1,MAX(Assumptions!$C$27,Assumptions!$C$13*Assumptions!$C$28^(DH$5-1))*$O165)),0)</f>
        <v>0</v>
      </c>
      <c r="DJ165" s="93">
        <f>IF(AND($T165=1,DJ$5&lt;=$H165),DI165*(1-BT165)*(1-MIN(1,MAX(Assumptions!$C$27,Assumptions!$C$13*Assumptions!$C$28^(DI$5-1))*$O165)),0)</f>
        <v>0</v>
      </c>
      <c r="DK165" s="93">
        <f>IF(AND($T165=1,DK$5&lt;=$H165),DJ165*(1-BU165)*(1-MIN(1,MAX(Assumptions!$C$27,Assumptions!$C$13*Assumptions!$C$28^(DJ$5-1))*$O165)),0)</f>
        <v>0</v>
      </c>
      <c r="DL165" s="93">
        <f>IF(AND($T165=1,DL$5&lt;=$H165),DK165*(1-BV165)*(1-MIN(1,MAX(Assumptions!$C$27,Assumptions!$C$13*Assumptions!$C$28^(DK$5-1))*$O165)),0)</f>
        <v>0</v>
      </c>
      <c r="DM165" s="93">
        <f>IF(AND($T165=1,DM$5&lt;=$H165),DL165*(1-BW165)*(1-MIN(1,MAX(Assumptions!$C$27,Assumptions!$C$13*Assumptions!$C$28^(DL$5-1))*$O165)),0)</f>
        <v>0</v>
      </c>
      <c r="DN165" s="93">
        <f>IF(AND($T165=1,DN$5&lt;=$H165),DM165*(1-BX165)*(1-MIN(1,MAX(Assumptions!$C$27,Assumptions!$C$13*Assumptions!$C$28^(DM$5-1))*$O165)),0)</f>
        <v>0</v>
      </c>
      <c r="DO165" s="93">
        <f>IF(AND($T165=1,DO$5&lt;=$H165),DN165*(1-BY165)*(1-MIN(1,MAX(Assumptions!$C$27,Assumptions!$C$13*Assumptions!$C$28^(DN$5-1))*$O165)),0)</f>
        <v>0</v>
      </c>
      <c r="DP165" s="93">
        <f>IF(AND($T165=1,DP$5&lt;=$H165),DO165*(1-BZ165)*(1-MIN(1,MAX(Assumptions!$C$27,Assumptions!$C$13*Assumptions!$C$28^(DO$5-1))*$O165)),0)</f>
        <v>0</v>
      </c>
      <c r="DQ165" s="93">
        <f>IF(AND($T165=1,DQ$5&lt;=$H165),DP165*(1-CA165)*(1-MIN(1,MAX(Assumptions!$C$27,Assumptions!$C$13*Assumptions!$C$28^(DP$5-1))*$O165)),0)</f>
        <v>0</v>
      </c>
      <c r="DR165" s="93">
        <f>IF(AND($T165=1,DR$5&lt;=$H165),DQ165*(1-CB165)*(1-MIN(1,MAX(Assumptions!$C$27,Assumptions!$C$13*Assumptions!$C$28^(DQ$5-1))*$O165)),0)</f>
        <v>0</v>
      </c>
      <c r="DS165" s="93">
        <f>IF(AND($T165=1,DS$5&lt;=$H165),DR165*(1-CC165)*(1-MIN(1,MAX(Assumptions!$C$27,Assumptions!$C$13*Assumptions!$C$28^(DR$5-1))*$O165)),0)</f>
        <v>0</v>
      </c>
      <c r="DT165" s="93">
        <f>IF(AND($T165=1,DT$5&lt;=$H165),DS165*(1-CD165)*(1-MIN(1,MAX(Assumptions!$C$27,Assumptions!$C$13*Assumptions!$C$28^(DS$5-1))*$O165)),0)</f>
        <v>0</v>
      </c>
      <c r="DU165" s="93">
        <f>IF(AND($T165=1,DU$5&lt;=$H165),DT165*(1-CE165)*(1-MIN(1,MAX(Assumptions!$C$27,Assumptions!$C$13*Assumptions!$C$28^(DT$5-1))*$O165)),0)</f>
        <v>0</v>
      </c>
      <c r="DV165" s="93">
        <f>IF(AND($T165=1,DV$5&lt;=$H165),DU165*(1-CF165)*(1-MIN(1,MAX(Assumptions!$C$27,Assumptions!$C$13*Assumptions!$C$28^(DU$5-1))*$O165)),0)</f>
        <v>0</v>
      </c>
      <c r="DW165" s="94">
        <f>IF(AND($T165=1,DW$5&lt;=$H165),DV165*(1-CG165)*(1-MIN(1,MAX(Assumptions!$C$27,Assumptions!$C$13*Assumptions!$C$28^(DV$5-1))*$O165)),0)</f>
        <v>0</v>
      </c>
      <c r="DX165" s="26"/>
      <c r="DY165" s="399">
        <f>'Policy Data'!K139</f>
        <v>1</v>
      </c>
      <c r="DZ165" s="100">
        <f>'Policy Data'!L139</f>
        <v>0.58809999999999996</v>
      </c>
      <c r="EA165" s="100">
        <f>'Policy Data'!N139</f>
        <v>2.2889999999999998E-3</v>
      </c>
      <c r="EB165" s="93" cm="1">
        <f t="array" ref="EB165">IFERROR(DZ165*INDEX(Mortality!$B$4:$E$64,MATCH(D165+DY165-1,Mortality!$A$4:$A$64,0),U165)*V165,0)</f>
        <v>2.2890001277211603E-3</v>
      </c>
      <c r="EC165" s="100">
        <f>'Policy Data'!O139</f>
        <v>0</v>
      </c>
      <c r="ED165" s="400">
        <f>'Policy Data'!Q139</f>
        <v>0</v>
      </c>
    </row>
    <row r="166" spans="1:134" x14ac:dyDescent="0.3">
      <c r="A166" s="399" t="str">
        <f>'Policy Data'!A140</f>
        <v>POL100136</v>
      </c>
      <c r="B166" s="26" t="s">
        <v>426</v>
      </c>
      <c r="C166" s="100" t="str">
        <f>'Policy Data'!B140</f>
        <v>Unit-Linked</v>
      </c>
      <c r="D166" s="100">
        <f>'Policy Data'!C140</f>
        <v>42</v>
      </c>
      <c r="E166" s="100" t="str">
        <f>'Policy Data'!D140</f>
        <v>Female</v>
      </c>
      <c r="F166" s="100" t="str">
        <f>'Policy Data'!E140</f>
        <v>Non-smoker</v>
      </c>
      <c r="G166" s="100" t="str">
        <f>'Policy Data'!F140</f>
        <v>Standard</v>
      </c>
      <c r="H166" s="100">
        <f>'Policy Data'!G140</f>
        <v>10</v>
      </c>
      <c r="I166" s="279">
        <f>'Policy Data'!H140</f>
        <v>250000</v>
      </c>
      <c r="J166" s="100" t="str">
        <f>'Policy Data'!I140</f>
        <v>Annual</v>
      </c>
      <c r="K166" s="100" t="str">
        <f>'Policy Data'!J140</f>
        <v>Broker</v>
      </c>
      <c r="L166" s="26" t="s">
        <v>389</v>
      </c>
      <c r="M166" s="106">
        <f>'Policy Data'!R140</f>
        <v>12307.57</v>
      </c>
      <c r="N166" s="415">
        <f>Assumptions!$C$21</f>
        <v>1</v>
      </c>
      <c r="O166" s="415">
        <f>Assumptions!$C$22</f>
        <v>1</v>
      </c>
      <c r="P166" s="415">
        <f>Assumptions!$C$23</f>
        <v>1</v>
      </c>
      <c r="Q166" s="416">
        <f>Assumptions!$C$24</f>
        <v>0</v>
      </c>
      <c r="R166" s="416">
        <f>Assumptions!$C$6+Assumptions!$C$25</f>
        <v>3.5000000000000003E-2</v>
      </c>
      <c r="S166" s="416">
        <f>Assumptions!$C$15</f>
        <v>1.1000000000000001E-3</v>
      </c>
      <c r="T166" s="26">
        <f t="shared" si="54"/>
        <v>0</v>
      </c>
      <c r="U166" s="26">
        <f t="shared" si="55"/>
        <v>1</v>
      </c>
      <c r="V166" s="389">
        <f>IF($G166="Preferred",Assumptions!$C$30,IF($G166="Rated",Assumptions!$C$31,1))</f>
        <v>1</v>
      </c>
      <c r="W166" s="390">
        <f>IF($K166="Direct",Assumptions!$C$32,IF($K166="Broker",Assumptions!$C$33,IF($K166="Bancassurance",Assumptions!$C$34,Assumptions!$C$11)))+$Q166</f>
        <v>0.25</v>
      </c>
      <c r="X166" s="390">
        <f>Assumptions!$C$12+$Q166</f>
        <v>0.05</v>
      </c>
      <c r="Y166" s="131">
        <f>MIN($I166,Assumptions!$C$14)</f>
        <v>250000</v>
      </c>
      <c r="Z166" s="131">
        <f>MAX($I166-Assumptions!$C$14,0)</f>
        <v>0</v>
      </c>
      <c r="AA166" s="389">
        <f t="shared" si="56"/>
        <v>0</v>
      </c>
      <c r="AB166" s="389">
        <f t="shared" si="57"/>
        <v>0</v>
      </c>
      <c r="AC166" s="389">
        <f>IF($T166=1,SUMPRODUCT($CJ166:$DW166,(1+Assumptions!$C$5)^($CJ$5:$DW$5-1),(1+$R166)^(-$CJ$5:$DW$5)),0)</f>
        <v>0</v>
      </c>
      <c r="AD166" s="389">
        <f t="shared" si="58"/>
        <v>0</v>
      </c>
      <c r="AE166" s="131">
        <f>IF($T166=1,$AB166*$Y166+(Assumptions!$C$9/(1+$R166)+Assumptions!$C$10*$AC166)*$P166+$S166*$Z166*$AA166,0)</f>
        <v>0</v>
      </c>
      <c r="AF166" s="131" t="str">
        <f>IF($T166=1,IF($AA166-$AD166-Assumptions!$C$16*$AA166&gt;0,$AE166/($AA166-$AD166-Assumptions!$C$16*$AA166)*IF($J166="Monthly",1+Assumptions!$C$29,1),"n.a."),"")</f>
        <v/>
      </c>
      <c r="AG166" s="131" t="str">
        <f t="shared" si="59"/>
        <v/>
      </c>
      <c r="AH166" s="131" t="str">
        <f t="shared" si="60"/>
        <v/>
      </c>
      <c r="AI166" s="131" t="str">
        <f t="shared" si="61"/>
        <v/>
      </c>
      <c r="AJ166" s="390" t="str">
        <f t="shared" si="62"/>
        <v/>
      </c>
      <c r="AK166" s="389" t="str">
        <f t="shared" si="63"/>
        <v/>
      </c>
      <c r="AL166" s="131" t="str">
        <f t="shared" si="64"/>
        <v/>
      </c>
      <c r="AM166" s="131" t="str">
        <f t="shared" si="65"/>
        <v/>
      </c>
      <c r="AN166" s="131" t="str">
        <f t="shared" si="66"/>
        <v/>
      </c>
      <c r="AO166" s="131" t="str">
        <f t="shared" si="67"/>
        <v/>
      </c>
      <c r="AP166" s="26" t="str">
        <f t="shared" si="68"/>
        <v>40-49</v>
      </c>
      <c r="AQ166" s="26" t="str">
        <f t="shared" si="69"/>
        <v>Up to 250k</v>
      </c>
      <c r="AR166" s="26" t="str">
        <f>IF($T166=1,IF($AI166&lt;0,"Loss-making",IF($AJ166&lt;Assumptions!$C$16-0.00001,"Below target","At/above target")),"Excluded")</f>
        <v>Excluded</v>
      </c>
      <c r="AS166" s="103">
        <f t="shared" si="70"/>
        <v>9.9999999999999997E+98</v>
      </c>
      <c r="AT166" s="26"/>
      <c r="AU166" s="419">
        <f>IF(AND($T166=1,AU$5&lt;=$H166),INDEX(Mortality!$B$4:$E$64,MATCH($D166+AU$5-1,Mortality!$A$4:$A$64,0),$U166)*$V166*$N166,0)</f>
        <v>0</v>
      </c>
      <c r="AV166" s="93">
        <f>IF(AND($T166=1,AV$5&lt;=$H166),INDEX(Mortality!$B$4:$E$64,MATCH($D166+AV$5-1,Mortality!$A$4:$A$64,0),$U166)*$V166*$N166,0)</f>
        <v>0</v>
      </c>
      <c r="AW166" s="93">
        <f>IF(AND($T166=1,AW$5&lt;=$H166),INDEX(Mortality!$B$4:$E$64,MATCH($D166+AW$5-1,Mortality!$A$4:$A$64,0),$U166)*$V166*$N166,0)</f>
        <v>0</v>
      </c>
      <c r="AX166" s="93">
        <f>IF(AND($T166=1,AX$5&lt;=$H166),INDEX(Mortality!$B$4:$E$64,MATCH($D166+AX$5-1,Mortality!$A$4:$A$64,0),$U166)*$V166*$N166,0)</f>
        <v>0</v>
      </c>
      <c r="AY166" s="93">
        <f>IF(AND($T166=1,AY$5&lt;=$H166),INDEX(Mortality!$B$4:$E$64,MATCH($D166+AY$5-1,Mortality!$A$4:$A$64,0),$U166)*$V166*$N166,0)</f>
        <v>0</v>
      </c>
      <c r="AZ166" s="93">
        <f>IF(AND($T166=1,AZ$5&lt;=$H166),INDEX(Mortality!$B$4:$E$64,MATCH($D166+AZ$5-1,Mortality!$A$4:$A$64,0),$U166)*$V166*$N166,0)</f>
        <v>0</v>
      </c>
      <c r="BA166" s="93">
        <f>IF(AND($T166=1,BA$5&lt;=$H166),INDEX(Mortality!$B$4:$E$64,MATCH($D166+BA$5-1,Mortality!$A$4:$A$64,0),$U166)*$V166*$N166,0)</f>
        <v>0</v>
      </c>
      <c r="BB166" s="93">
        <f>IF(AND($T166=1,BB$5&lt;=$H166),INDEX(Mortality!$B$4:$E$64,MATCH($D166+BB$5-1,Mortality!$A$4:$A$64,0),$U166)*$V166*$N166,0)</f>
        <v>0</v>
      </c>
      <c r="BC166" s="93">
        <f>IF(AND($T166=1,BC$5&lt;=$H166),INDEX(Mortality!$B$4:$E$64,MATCH($D166+BC$5-1,Mortality!$A$4:$A$64,0),$U166)*$V166*$N166,0)</f>
        <v>0</v>
      </c>
      <c r="BD166" s="93">
        <f>IF(AND($T166=1,BD$5&lt;=$H166),INDEX(Mortality!$B$4:$E$64,MATCH($D166+BD$5-1,Mortality!$A$4:$A$64,0),$U166)*$V166*$N166,0)</f>
        <v>0</v>
      </c>
      <c r="BE166" s="93">
        <f>IF(AND($T166=1,BE$5&lt;=$H166),INDEX(Mortality!$B$4:$E$64,MATCH($D166+BE$5-1,Mortality!$A$4:$A$64,0),$U166)*$V166*$N166,0)</f>
        <v>0</v>
      </c>
      <c r="BF166" s="93">
        <f>IF(AND($T166=1,BF$5&lt;=$H166),INDEX(Mortality!$B$4:$E$64,MATCH($D166+BF$5-1,Mortality!$A$4:$A$64,0),$U166)*$V166*$N166,0)</f>
        <v>0</v>
      </c>
      <c r="BG166" s="93">
        <f>IF(AND($T166=1,BG$5&lt;=$H166),INDEX(Mortality!$B$4:$E$64,MATCH($D166+BG$5-1,Mortality!$A$4:$A$64,0),$U166)*$V166*$N166,0)</f>
        <v>0</v>
      </c>
      <c r="BH166" s="93">
        <f>IF(AND($T166=1,BH$5&lt;=$H166),INDEX(Mortality!$B$4:$E$64,MATCH($D166+BH$5-1,Mortality!$A$4:$A$64,0),$U166)*$V166*$N166,0)</f>
        <v>0</v>
      </c>
      <c r="BI166" s="93">
        <f>IF(AND($T166=1,BI$5&lt;=$H166),INDEX(Mortality!$B$4:$E$64,MATCH($D166+BI$5-1,Mortality!$A$4:$A$64,0),$U166)*$V166*$N166,0)</f>
        <v>0</v>
      </c>
      <c r="BJ166" s="93">
        <f>IF(AND($T166=1,BJ$5&lt;=$H166),INDEX(Mortality!$B$4:$E$64,MATCH($D166+BJ$5-1,Mortality!$A$4:$A$64,0),$U166)*$V166*$N166,0)</f>
        <v>0</v>
      </c>
      <c r="BK166" s="93">
        <f>IF(AND($T166=1,BK$5&lt;=$H166),INDEX(Mortality!$B$4:$E$64,MATCH($D166+BK$5-1,Mortality!$A$4:$A$64,0),$U166)*$V166*$N166,0)</f>
        <v>0</v>
      </c>
      <c r="BL166" s="93">
        <f>IF(AND($T166=1,BL$5&lt;=$H166),INDEX(Mortality!$B$4:$E$64,MATCH($D166+BL$5-1,Mortality!$A$4:$A$64,0),$U166)*$V166*$N166,0)</f>
        <v>0</v>
      </c>
      <c r="BM166" s="93">
        <f>IF(AND($T166=1,BM$5&lt;=$H166),INDEX(Mortality!$B$4:$E$64,MATCH($D166+BM$5-1,Mortality!$A$4:$A$64,0),$U166)*$V166*$N166,0)</f>
        <v>0</v>
      </c>
      <c r="BN166" s="93">
        <f>IF(AND($T166=1,BN$5&lt;=$H166),INDEX(Mortality!$B$4:$E$64,MATCH($D166+BN$5-1,Mortality!$A$4:$A$64,0),$U166)*$V166*$N166,0)</f>
        <v>0</v>
      </c>
      <c r="BO166" s="93">
        <f>IF(AND($T166=1,BO$5&lt;=$H166),INDEX(Mortality!$B$4:$E$64,MATCH($D166+BO$5-1,Mortality!$A$4:$A$64,0),$U166)*$V166*$N166,0)</f>
        <v>0</v>
      </c>
      <c r="BP166" s="93">
        <f>IF(AND($T166=1,BP$5&lt;=$H166),INDEX(Mortality!$B$4:$E$64,MATCH($D166+BP$5-1,Mortality!$A$4:$A$64,0),$U166)*$V166*$N166,0)</f>
        <v>0</v>
      </c>
      <c r="BQ166" s="93">
        <f>IF(AND($T166=1,BQ$5&lt;=$H166),INDEX(Mortality!$B$4:$E$64,MATCH($D166+BQ$5-1,Mortality!$A$4:$A$64,0),$U166)*$V166*$N166,0)</f>
        <v>0</v>
      </c>
      <c r="BR166" s="93">
        <f>IF(AND($T166=1,BR$5&lt;=$H166),INDEX(Mortality!$B$4:$E$64,MATCH($D166+BR$5-1,Mortality!$A$4:$A$64,0),$U166)*$V166*$N166,0)</f>
        <v>0</v>
      </c>
      <c r="BS166" s="93">
        <f>IF(AND($T166=1,BS$5&lt;=$H166),INDEX(Mortality!$B$4:$E$64,MATCH($D166+BS$5-1,Mortality!$A$4:$A$64,0),$U166)*$V166*$N166,0)</f>
        <v>0</v>
      </c>
      <c r="BT166" s="93">
        <f>IF(AND($T166=1,BT$5&lt;=$H166),INDEX(Mortality!$B$4:$E$64,MATCH($D166+BT$5-1,Mortality!$A$4:$A$64,0),$U166)*$V166*$N166,0)</f>
        <v>0</v>
      </c>
      <c r="BU166" s="93">
        <f>IF(AND($T166=1,BU$5&lt;=$H166),INDEX(Mortality!$B$4:$E$64,MATCH($D166+BU$5-1,Mortality!$A$4:$A$64,0),$U166)*$V166*$N166,0)</f>
        <v>0</v>
      </c>
      <c r="BV166" s="93">
        <f>IF(AND($T166=1,BV$5&lt;=$H166),INDEX(Mortality!$B$4:$E$64,MATCH($D166+BV$5-1,Mortality!$A$4:$A$64,0),$U166)*$V166*$N166,0)</f>
        <v>0</v>
      </c>
      <c r="BW166" s="93">
        <f>IF(AND($T166=1,BW$5&lt;=$H166),INDEX(Mortality!$B$4:$E$64,MATCH($D166+BW$5-1,Mortality!$A$4:$A$64,0),$U166)*$V166*$N166,0)</f>
        <v>0</v>
      </c>
      <c r="BX166" s="93">
        <f>IF(AND($T166=1,BX$5&lt;=$H166),INDEX(Mortality!$B$4:$E$64,MATCH($D166+BX$5-1,Mortality!$A$4:$A$64,0),$U166)*$V166*$N166,0)</f>
        <v>0</v>
      </c>
      <c r="BY166" s="93">
        <f>IF(AND($T166=1,BY$5&lt;=$H166),INDEX(Mortality!$B$4:$E$64,MATCH($D166+BY$5-1,Mortality!$A$4:$A$64,0),$U166)*$V166*$N166,0)</f>
        <v>0</v>
      </c>
      <c r="BZ166" s="93">
        <f>IF(AND($T166=1,BZ$5&lt;=$H166),INDEX(Mortality!$B$4:$E$64,MATCH($D166+BZ$5-1,Mortality!$A$4:$A$64,0),$U166)*$V166*$N166,0)</f>
        <v>0</v>
      </c>
      <c r="CA166" s="93">
        <f>IF(AND($T166=1,CA$5&lt;=$H166),INDEX(Mortality!$B$4:$E$64,MATCH($D166+CA$5-1,Mortality!$A$4:$A$64,0),$U166)*$V166*$N166,0)</f>
        <v>0</v>
      </c>
      <c r="CB166" s="93">
        <f>IF(AND($T166=1,CB$5&lt;=$H166),INDEX(Mortality!$B$4:$E$64,MATCH($D166+CB$5-1,Mortality!$A$4:$A$64,0),$U166)*$V166*$N166,0)</f>
        <v>0</v>
      </c>
      <c r="CC166" s="93">
        <f>IF(AND($T166=1,CC$5&lt;=$H166),INDEX(Mortality!$B$4:$E$64,MATCH($D166+CC$5-1,Mortality!$A$4:$A$64,0),$U166)*$V166*$N166,0)</f>
        <v>0</v>
      </c>
      <c r="CD166" s="93">
        <f>IF(AND($T166=1,CD$5&lt;=$H166),INDEX(Mortality!$B$4:$E$64,MATCH($D166+CD$5-1,Mortality!$A$4:$A$64,0),$U166)*$V166*$N166,0)</f>
        <v>0</v>
      </c>
      <c r="CE166" s="93">
        <f>IF(AND($T166=1,CE$5&lt;=$H166),INDEX(Mortality!$B$4:$E$64,MATCH($D166+CE$5-1,Mortality!$A$4:$A$64,0),$U166)*$V166*$N166,0)</f>
        <v>0</v>
      </c>
      <c r="CF166" s="93">
        <f>IF(AND($T166=1,CF$5&lt;=$H166),INDEX(Mortality!$B$4:$E$64,MATCH($D166+CF$5-1,Mortality!$A$4:$A$64,0),$U166)*$V166*$N166,0)</f>
        <v>0</v>
      </c>
      <c r="CG166" s="93">
        <f>IF(AND($T166=1,CG$5&lt;=$H166),INDEX(Mortality!$B$4:$E$64,MATCH($D166+CG$5-1,Mortality!$A$4:$A$64,0),$U166)*$V166*$N166,0)</f>
        <v>0</v>
      </c>
      <c r="CH166" s="94">
        <f>IF(AND($T166=1,CH$5&lt;=$H166),INDEX(Mortality!$B$4:$E$64,MATCH($D166+CH$5-1,Mortality!$A$4:$A$64,0),$U166)*$V166*$N166,0)</f>
        <v>0</v>
      </c>
      <c r="CI166" s="26"/>
      <c r="CJ166" s="419">
        <f t="shared" si="71"/>
        <v>0</v>
      </c>
      <c r="CK166" s="93">
        <f>IF(AND($T166=1,CK$5&lt;=$H166),CJ166*(1-AU166)*(1-MIN(1,MAX(Assumptions!$C$27,Assumptions!$C$13*Assumptions!$C$28^(CJ$5-1))*$O166)),0)</f>
        <v>0</v>
      </c>
      <c r="CL166" s="93">
        <f>IF(AND($T166=1,CL$5&lt;=$H166),CK166*(1-AV166)*(1-MIN(1,MAX(Assumptions!$C$27,Assumptions!$C$13*Assumptions!$C$28^(CK$5-1))*$O166)),0)</f>
        <v>0</v>
      </c>
      <c r="CM166" s="93">
        <f>IF(AND($T166=1,CM$5&lt;=$H166),CL166*(1-AW166)*(1-MIN(1,MAX(Assumptions!$C$27,Assumptions!$C$13*Assumptions!$C$28^(CL$5-1))*$O166)),0)</f>
        <v>0</v>
      </c>
      <c r="CN166" s="93">
        <f>IF(AND($T166=1,CN$5&lt;=$H166),CM166*(1-AX166)*(1-MIN(1,MAX(Assumptions!$C$27,Assumptions!$C$13*Assumptions!$C$28^(CM$5-1))*$O166)),0)</f>
        <v>0</v>
      </c>
      <c r="CO166" s="93">
        <f>IF(AND($T166=1,CO$5&lt;=$H166),CN166*(1-AY166)*(1-MIN(1,MAX(Assumptions!$C$27,Assumptions!$C$13*Assumptions!$C$28^(CN$5-1))*$O166)),0)</f>
        <v>0</v>
      </c>
      <c r="CP166" s="93">
        <f>IF(AND($T166=1,CP$5&lt;=$H166),CO166*(1-AZ166)*(1-MIN(1,MAX(Assumptions!$C$27,Assumptions!$C$13*Assumptions!$C$28^(CO$5-1))*$O166)),0)</f>
        <v>0</v>
      </c>
      <c r="CQ166" s="93">
        <f>IF(AND($T166=1,CQ$5&lt;=$H166),CP166*(1-BA166)*(1-MIN(1,MAX(Assumptions!$C$27,Assumptions!$C$13*Assumptions!$C$28^(CP$5-1))*$O166)),0)</f>
        <v>0</v>
      </c>
      <c r="CR166" s="93">
        <f>IF(AND($T166=1,CR$5&lt;=$H166),CQ166*(1-BB166)*(1-MIN(1,MAX(Assumptions!$C$27,Assumptions!$C$13*Assumptions!$C$28^(CQ$5-1))*$O166)),0)</f>
        <v>0</v>
      </c>
      <c r="CS166" s="93">
        <f>IF(AND($T166=1,CS$5&lt;=$H166),CR166*(1-BC166)*(1-MIN(1,MAX(Assumptions!$C$27,Assumptions!$C$13*Assumptions!$C$28^(CR$5-1))*$O166)),0)</f>
        <v>0</v>
      </c>
      <c r="CT166" s="93">
        <f>IF(AND($T166=1,CT$5&lt;=$H166),CS166*(1-BD166)*(1-MIN(1,MAX(Assumptions!$C$27,Assumptions!$C$13*Assumptions!$C$28^(CS$5-1))*$O166)),0)</f>
        <v>0</v>
      </c>
      <c r="CU166" s="93">
        <f>IF(AND($T166=1,CU$5&lt;=$H166),CT166*(1-BE166)*(1-MIN(1,MAX(Assumptions!$C$27,Assumptions!$C$13*Assumptions!$C$28^(CT$5-1))*$O166)),0)</f>
        <v>0</v>
      </c>
      <c r="CV166" s="93">
        <f>IF(AND($T166=1,CV$5&lt;=$H166),CU166*(1-BF166)*(1-MIN(1,MAX(Assumptions!$C$27,Assumptions!$C$13*Assumptions!$C$28^(CU$5-1))*$O166)),0)</f>
        <v>0</v>
      </c>
      <c r="CW166" s="93">
        <f>IF(AND($T166=1,CW$5&lt;=$H166),CV166*(1-BG166)*(1-MIN(1,MAX(Assumptions!$C$27,Assumptions!$C$13*Assumptions!$C$28^(CV$5-1))*$O166)),0)</f>
        <v>0</v>
      </c>
      <c r="CX166" s="93">
        <f>IF(AND($T166=1,CX$5&lt;=$H166),CW166*(1-BH166)*(1-MIN(1,MAX(Assumptions!$C$27,Assumptions!$C$13*Assumptions!$C$28^(CW$5-1))*$O166)),0)</f>
        <v>0</v>
      </c>
      <c r="CY166" s="93">
        <f>IF(AND($T166=1,CY$5&lt;=$H166),CX166*(1-BI166)*(1-MIN(1,MAX(Assumptions!$C$27,Assumptions!$C$13*Assumptions!$C$28^(CX$5-1))*$O166)),0)</f>
        <v>0</v>
      </c>
      <c r="CZ166" s="93">
        <f>IF(AND($T166=1,CZ$5&lt;=$H166),CY166*(1-BJ166)*(1-MIN(1,MAX(Assumptions!$C$27,Assumptions!$C$13*Assumptions!$C$28^(CY$5-1))*$O166)),0)</f>
        <v>0</v>
      </c>
      <c r="DA166" s="93">
        <f>IF(AND($T166=1,DA$5&lt;=$H166),CZ166*(1-BK166)*(1-MIN(1,MAX(Assumptions!$C$27,Assumptions!$C$13*Assumptions!$C$28^(CZ$5-1))*$O166)),0)</f>
        <v>0</v>
      </c>
      <c r="DB166" s="93">
        <f>IF(AND($T166=1,DB$5&lt;=$H166),DA166*(1-BL166)*(1-MIN(1,MAX(Assumptions!$C$27,Assumptions!$C$13*Assumptions!$C$28^(DA$5-1))*$O166)),0)</f>
        <v>0</v>
      </c>
      <c r="DC166" s="93">
        <f>IF(AND($T166=1,DC$5&lt;=$H166),DB166*(1-BM166)*(1-MIN(1,MAX(Assumptions!$C$27,Assumptions!$C$13*Assumptions!$C$28^(DB$5-1))*$O166)),0)</f>
        <v>0</v>
      </c>
      <c r="DD166" s="93">
        <f>IF(AND($T166=1,DD$5&lt;=$H166),DC166*(1-BN166)*(1-MIN(1,MAX(Assumptions!$C$27,Assumptions!$C$13*Assumptions!$C$28^(DC$5-1))*$O166)),0)</f>
        <v>0</v>
      </c>
      <c r="DE166" s="93">
        <f>IF(AND($T166=1,DE$5&lt;=$H166),DD166*(1-BO166)*(1-MIN(1,MAX(Assumptions!$C$27,Assumptions!$C$13*Assumptions!$C$28^(DD$5-1))*$O166)),0)</f>
        <v>0</v>
      </c>
      <c r="DF166" s="93">
        <f>IF(AND($T166=1,DF$5&lt;=$H166),DE166*(1-BP166)*(1-MIN(1,MAX(Assumptions!$C$27,Assumptions!$C$13*Assumptions!$C$28^(DE$5-1))*$O166)),0)</f>
        <v>0</v>
      </c>
      <c r="DG166" s="93">
        <f>IF(AND($T166=1,DG$5&lt;=$H166),DF166*(1-BQ166)*(1-MIN(1,MAX(Assumptions!$C$27,Assumptions!$C$13*Assumptions!$C$28^(DF$5-1))*$O166)),0)</f>
        <v>0</v>
      </c>
      <c r="DH166" s="93">
        <f>IF(AND($T166=1,DH$5&lt;=$H166),DG166*(1-BR166)*(1-MIN(1,MAX(Assumptions!$C$27,Assumptions!$C$13*Assumptions!$C$28^(DG$5-1))*$O166)),0)</f>
        <v>0</v>
      </c>
      <c r="DI166" s="93">
        <f>IF(AND($T166=1,DI$5&lt;=$H166),DH166*(1-BS166)*(1-MIN(1,MAX(Assumptions!$C$27,Assumptions!$C$13*Assumptions!$C$28^(DH$5-1))*$O166)),0)</f>
        <v>0</v>
      </c>
      <c r="DJ166" s="93">
        <f>IF(AND($T166=1,DJ$5&lt;=$H166),DI166*(1-BT166)*(1-MIN(1,MAX(Assumptions!$C$27,Assumptions!$C$13*Assumptions!$C$28^(DI$5-1))*$O166)),0)</f>
        <v>0</v>
      </c>
      <c r="DK166" s="93">
        <f>IF(AND($T166=1,DK$5&lt;=$H166),DJ166*(1-BU166)*(1-MIN(1,MAX(Assumptions!$C$27,Assumptions!$C$13*Assumptions!$C$28^(DJ$5-1))*$O166)),0)</f>
        <v>0</v>
      </c>
      <c r="DL166" s="93">
        <f>IF(AND($T166=1,DL$5&lt;=$H166),DK166*(1-BV166)*(1-MIN(1,MAX(Assumptions!$C$27,Assumptions!$C$13*Assumptions!$C$28^(DK$5-1))*$O166)),0)</f>
        <v>0</v>
      </c>
      <c r="DM166" s="93">
        <f>IF(AND($T166=1,DM$5&lt;=$H166),DL166*(1-BW166)*(1-MIN(1,MAX(Assumptions!$C$27,Assumptions!$C$13*Assumptions!$C$28^(DL$5-1))*$O166)),0)</f>
        <v>0</v>
      </c>
      <c r="DN166" s="93">
        <f>IF(AND($T166=1,DN$5&lt;=$H166),DM166*(1-BX166)*(1-MIN(1,MAX(Assumptions!$C$27,Assumptions!$C$13*Assumptions!$C$28^(DM$5-1))*$O166)),0)</f>
        <v>0</v>
      </c>
      <c r="DO166" s="93">
        <f>IF(AND($T166=1,DO$5&lt;=$H166),DN166*(1-BY166)*(1-MIN(1,MAX(Assumptions!$C$27,Assumptions!$C$13*Assumptions!$C$28^(DN$5-1))*$O166)),0)</f>
        <v>0</v>
      </c>
      <c r="DP166" s="93">
        <f>IF(AND($T166=1,DP$5&lt;=$H166),DO166*(1-BZ166)*(1-MIN(1,MAX(Assumptions!$C$27,Assumptions!$C$13*Assumptions!$C$28^(DO$5-1))*$O166)),0)</f>
        <v>0</v>
      </c>
      <c r="DQ166" s="93">
        <f>IF(AND($T166=1,DQ$5&lt;=$H166),DP166*(1-CA166)*(1-MIN(1,MAX(Assumptions!$C$27,Assumptions!$C$13*Assumptions!$C$28^(DP$5-1))*$O166)),0)</f>
        <v>0</v>
      </c>
      <c r="DR166" s="93">
        <f>IF(AND($T166=1,DR$5&lt;=$H166),DQ166*(1-CB166)*(1-MIN(1,MAX(Assumptions!$C$27,Assumptions!$C$13*Assumptions!$C$28^(DQ$5-1))*$O166)),0)</f>
        <v>0</v>
      </c>
      <c r="DS166" s="93">
        <f>IF(AND($T166=1,DS$5&lt;=$H166),DR166*(1-CC166)*(1-MIN(1,MAX(Assumptions!$C$27,Assumptions!$C$13*Assumptions!$C$28^(DR$5-1))*$O166)),0)</f>
        <v>0</v>
      </c>
      <c r="DT166" s="93">
        <f>IF(AND($T166=1,DT$5&lt;=$H166),DS166*(1-CD166)*(1-MIN(1,MAX(Assumptions!$C$27,Assumptions!$C$13*Assumptions!$C$28^(DS$5-1))*$O166)),0)</f>
        <v>0</v>
      </c>
      <c r="DU166" s="93">
        <f>IF(AND($T166=1,DU$5&lt;=$H166),DT166*(1-CE166)*(1-MIN(1,MAX(Assumptions!$C$27,Assumptions!$C$13*Assumptions!$C$28^(DT$5-1))*$O166)),0)</f>
        <v>0</v>
      </c>
      <c r="DV166" s="93">
        <f>IF(AND($T166=1,DV$5&lt;=$H166),DU166*(1-CF166)*(1-MIN(1,MAX(Assumptions!$C$27,Assumptions!$C$13*Assumptions!$C$28^(DU$5-1))*$O166)),0)</f>
        <v>0</v>
      </c>
      <c r="DW166" s="94">
        <f>IF(AND($T166=1,DW$5&lt;=$H166),DV166*(1-CG166)*(1-MIN(1,MAX(Assumptions!$C$27,Assumptions!$C$13*Assumptions!$C$28^(DV$5-1))*$O166)),0)</f>
        <v>0</v>
      </c>
      <c r="DX166" s="26"/>
      <c r="DY166" s="399">
        <f>'Policy Data'!K140</f>
        <v>3</v>
      </c>
      <c r="DZ166" s="100">
        <f>'Policy Data'!L140</f>
        <v>0.65300000000000002</v>
      </c>
      <c r="EA166" s="100">
        <f>'Policy Data'!N140</f>
        <v>6.5200000000000002E-4</v>
      </c>
      <c r="EB166" s="93" cm="1">
        <f t="array" ref="EB166">IFERROR(DZ166*INDEX(Mortality!$B$4:$E$64,MATCH(D166+DY166-1,Mortality!$A$4:$A$64,0),U166)*V166,0)</f>
        <v>7.6551629649199919E-4</v>
      </c>
      <c r="EC166" s="100">
        <f>'Policy Data'!O140</f>
        <v>0</v>
      </c>
      <c r="ED166" s="400">
        <f>'Policy Data'!Q140</f>
        <v>0</v>
      </c>
    </row>
    <row r="167" spans="1:134" x14ac:dyDescent="0.3">
      <c r="A167" s="399" t="str">
        <f>'Policy Data'!A141</f>
        <v>POL100137</v>
      </c>
      <c r="B167" s="26" t="s">
        <v>426</v>
      </c>
      <c r="C167" s="100" t="str">
        <f>'Policy Data'!B141</f>
        <v>Unit-Linked</v>
      </c>
      <c r="D167" s="100">
        <f>'Policy Data'!C141</f>
        <v>56</v>
      </c>
      <c r="E167" s="100" t="str">
        <f>'Policy Data'!D141</f>
        <v>Female</v>
      </c>
      <c r="F167" s="100" t="str">
        <f>'Policy Data'!E141</f>
        <v>Smoker</v>
      </c>
      <c r="G167" s="100" t="str">
        <f>'Policy Data'!F141</f>
        <v>Standard</v>
      </c>
      <c r="H167" s="100">
        <f>'Policy Data'!G141</f>
        <v>10</v>
      </c>
      <c r="I167" s="279">
        <f>'Policy Data'!H141</f>
        <v>1000000</v>
      </c>
      <c r="J167" s="100" t="str">
        <f>'Policy Data'!I141</f>
        <v>Monthly</v>
      </c>
      <c r="K167" s="100" t="str">
        <f>'Policy Data'!J141</f>
        <v>Bancassurance</v>
      </c>
      <c r="L167" s="26" t="s">
        <v>389</v>
      </c>
      <c r="M167" s="106">
        <f>'Policy Data'!R141</f>
        <v>10933.5</v>
      </c>
      <c r="N167" s="415">
        <f>Assumptions!$C$21</f>
        <v>1</v>
      </c>
      <c r="O167" s="415">
        <f>Assumptions!$C$22</f>
        <v>1</v>
      </c>
      <c r="P167" s="415">
        <f>Assumptions!$C$23</f>
        <v>1</v>
      </c>
      <c r="Q167" s="416">
        <f>Assumptions!$C$24</f>
        <v>0</v>
      </c>
      <c r="R167" s="416">
        <f>Assumptions!$C$6+Assumptions!$C$25</f>
        <v>3.5000000000000003E-2</v>
      </c>
      <c r="S167" s="416">
        <f>Assumptions!$C$15</f>
        <v>1.1000000000000001E-3</v>
      </c>
      <c r="T167" s="26">
        <f t="shared" si="54"/>
        <v>0</v>
      </c>
      <c r="U167" s="26">
        <f t="shared" si="55"/>
        <v>2</v>
      </c>
      <c r="V167" s="389">
        <f>IF($G167="Preferred",Assumptions!$C$30,IF($G167="Rated",Assumptions!$C$31,1))</f>
        <v>1</v>
      </c>
      <c r="W167" s="390">
        <f>IF($K167="Direct",Assumptions!$C$32,IF($K167="Broker",Assumptions!$C$33,IF($K167="Bancassurance",Assumptions!$C$34,Assumptions!$C$11)))+$Q167</f>
        <v>0.2</v>
      </c>
      <c r="X167" s="390">
        <f>Assumptions!$C$12+$Q167</f>
        <v>0.05</v>
      </c>
      <c r="Y167" s="131">
        <f>MIN($I167,Assumptions!$C$14)</f>
        <v>500000</v>
      </c>
      <c r="Z167" s="131">
        <f>MAX($I167-Assumptions!$C$14,0)</f>
        <v>500000</v>
      </c>
      <c r="AA167" s="389">
        <f t="shared" si="56"/>
        <v>0</v>
      </c>
      <c r="AB167" s="389">
        <f t="shared" si="57"/>
        <v>0</v>
      </c>
      <c r="AC167" s="389">
        <f>IF($T167=1,SUMPRODUCT($CJ167:$DW167,(1+Assumptions!$C$5)^($CJ$5:$DW$5-1),(1+$R167)^(-$CJ$5:$DW$5)),0)</f>
        <v>0</v>
      </c>
      <c r="AD167" s="389">
        <f t="shared" si="58"/>
        <v>0</v>
      </c>
      <c r="AE167" s="131">
        <f>IF($T167=1,$AB167*$Y167+(Assumptions!$C$9/(1+$R167)+Assumptions!$C$10*$AC167)*$P167+$S167*$Z167*$AA167,0)</f>
        <v>0</v>
      </c>
      <c r="AF167" s="131" t="str">
        <f>IF($T167=1,IF($AA167-$AD167-Assumptions!$C$16*$AA167&gt;0,$AE167/($AA167-$AD167-Assumptions!$C$16*$AA167)*IF($J167="Monthly",1+Assumptions!$C$29,1),"n.a."),"")</f>
        <v/>
      </c>
      <c r="AG167" s="131" t="str">
        <f t="shared" si="59"/>
        <v/>
      </c>
      <c r="AH167" s="131" t="str">
        <f t="shared" si="60"/>
        <v/>
      </c>
      <c r="AI167" s="131" t="str">
        <f t="shared" si="61"/>
        <v/>
      </c>
      <c r="AJ167" s="390" t="str">
        <f t="shared" si="62"/>
        <v/>
      </c>
      <c r="AK167" s="389" t="str">
        <f t="shared" si="63"/>
        <v/>
      </c>
      <c r="AL167" s="131" t="str">
        <f t="shared" si="64"/>
        <v/>
      </c>
      <c r="AM167" s="131" t="str">
        <f t="shared" si="65"/>
        <v/>
      </c>
      <c r="AN167" s="131" t="str">
        <f t="shared" si="66"/>
        <v/>
      </c>
      <c r="AO167" s="131" t="str">
        <f t="shared" si="67"/>
        <v/>
      </c>
      <c r="AP167" s="26" t="str">
        <f t="shared" si="68"/>
        <v>50-59</v>
      </c>
      <c r="AQ167" s="26" t="str">
        <f t="shared" si="69"/>
        <v>500k-1m</v>
      </c>
      <c r="AR167" s="26" t="str">
        <f>IF($T167=1,IF($AI167&lt;0,"Loss-making",IF($AJ167&lt;Assumptions!$C$16-0.00001,"Below target","At/above target")),"Excluded")</f>
        <v>Excluded</v>
      </c>
      <c r="AS167" s="103">
        <f t="shared" si="70"/>
        <v>9.9999999999999997E+98</v>
      </c>
      <c r="AT167" s="26"/>
      <c r="AU167" s="419">
        <f>IF(AND($T167=1,AU$5&lt;=$H167),INDEX(Mortality!$B$4:$E$64,MATCH($D167+AU$5-1,Mortality!$A$4:$A$64,0),$U167)*$V167*$N167,0)</f>
        <v>0</v>
      </c>
      <c r="AV167" s="93">
        <f>IF(AND($T167=1,AV$5&lt;=$H167),INDEX(Mortality!$B$4:$E$64,MATCH($D167+AV$5-1,Mortality!$A$4:$A$64,0),$U167)*$V167*$N167,0)</f>
        <v>0</v>
      </c>
      <c r="AW167" s="93">
        <f>IF(AND($T167=1,AW$5&lt;=$H167),INDEX(Mortality!$B$4:$E$64,MATCH($D167+AW$5-1,Mortality!$A$4:$A$64,0),$U167)*$V167*$N167,0)</f>
        <v>0</v>
      </c>
      <c r="AX167" s="93">
        <f>IF(AND($T167=1,AX$5&lt;=$H167),INDEX(Mortality!$B$4:$E$64,MATCH($D167+AX$5-1,Mortality!$A$4:$A$64,0),$U167)*$V167*$N167,0)</f>
        <v>0</v>
      </c>
      <c r="AY167" s="93">
        <f>IF(AND($T167=1,AY$5&lt;=$H167),INDEX(Mortality!$B$4:$E$64,MATCH($D167+AY$5-1,Mortality!$A$4:$A$64,0),$U167)*$V167*$N167,0)</f>
        <v>0</v>
      </c>
      <c r="AZ167" s="93">
        <f>IF(AND($T167=1,AZ$5&lt;=$H167),INDEX(Mortality!$B$4:$E$64,MATCH($D167+AZ$5-1,Mortality!$A$4:$A$64,0),$U167)*$V167*$N167,0)</f>
        <v>0</v>
      </c>
      <c r="BA167" s="93">
        <f>IF(AND($T167=1,BA$5&lt;=$H167),INDEX(Mortality!$B$4:$E$64,MATCH($D167+BA$5-1,Mortality!$A$4:$A$64,0),$U167)*$V167*$N167,0)</f>
        <v>0</v>
      </c>
      <c r="BB167" s="93">
        <f>IF(AND($T167=1,BB$5&lt;=$H167),INDEX(Mortality!$B$4:$E$64,MATCH($D167+BB$5-1,Mortality!$A$4:$A$64,0),$U167)*$V167*$N167,0)</f>
        <v>0</v>
      </c>
      <c r="BC167" s="93">
        <f>IF(AND($T167=1,BC$5&lt;=$H167),INDEX(Mortality!$B$4:$E$64,MATCH($D167+BC$5-1,Mortality!$A$4:$A$64,0),$U167)*$V167*$N167,0)</f>
        <v>0</v>
      </c>
      <c r="BD167" s="93">
        <f>IF(AND($T167=1,BD$5&lt;=$H167),INDEX(Mortality!$B$4:$E$64,MATCH($D167+BD$5-1,Mortality!$A$4:$A$64,0),$U167)*$V167*$N167,0)</f>
        <v>0</v>
      </c>
      <c r="BE167" s="93">
        <f>IF(AND($T167=1,BE$5&lt;=$H167),INDEX(Mortality!$B$4:$E$64,MATCH($D167+BE$5-1,Mortality!$A$4:$A$64,0),$U167)*$V167*$N167,0)</f>
        <v>0</v>
      </c>
      <c r="BF167" s="93">
        <f>IF(AND($T167=1,BF$5&lt;=$H167),INDEX(Mortality!$B$4:$E$64,MATCH($D167+BF$5-1,Mortality!$A$4:$A$64,0),$U167)*$V167*$N167,0)</f>
        <v>0</v>
      </c>
      <c r="BG167" s="93">
        <f>IF(AND($T167=1,BG$5&lt;=$H167),INDEX(Mortality!$B$4:$E$64,MATCH($D167+BG$5-1,Mortality!$A$4:$A$64,0),$U167)*$V167*$N167,0)</f>
        <v>0</v>
      </c>
      <c r="BH167" s="93">
        <f>IF(AND($T167=1,BH$5&lt;=$H167),INDEX(Mortality!$B$4:$E$64,MATCH($D167+BH$5-1,Mortality!$A$4:$A$64,0),$U167)*$V167*$N167,0)</f>
        <v>0</v>
      </c>
      <c r="BI167" s="93">
        <f>IF(AND($T167=1,BI$5&lt;=$H167),INDEX(Mortality!$B$4:$E$64,MATCH($D167+BI$5-1,Mortality!$A$4:$A$64,0),$U167)*$V167*$N167,0)</f>
        <v>0</v>
      </c>
      <c r="BJ167" s="93">
        <f>IF(AND($T167=1,BJ$5&lt;=$H167),INDEX(Mortality!$B$4:$E$64,MATCH($D167+BJ$5-1,Mortality!$A$4:$A$64,0),$U167)*$V167*$N167,0)</f>
        <v>0</v>
      </c>
      <c r="BK167" s="93">
        <f>IF(AND($T167=1,BK$5&lt;=$H167),INDEX(Mortality!$B$4:$E$64,MATCH($D167+BK$5-1,Mortality!$A$4:$A$64,0),$U167)*$V167*$N167,0)</f>
        <v>0</v>
      </c>
      <c r="BL167" s="93">
        <f>IF(AND($T167=1,BL$5&lt;=$H167),INDEX(Mortality!$B$4:$E$64,MATCH($D167+BL$5-1,Mortality!$A$4:$A$64,0),$U167)*$V167*$N167,0)</f>
        <v>0</v>
      </c>
      <c r="BM167" s="93">
        <f>IF(AND($T167=1,BM$5&lt;=$H167),INDEX(Mortality!$B$4:$E$64,MATCH($D167+BM$5-1,Mortality!$A$4:$A$64,0),$U167)*$V167*$N167,0)</f>
        <v>0</v>
      </c>
      <c r="BN167" s="93">
        <f>IF(AND($T167=1,BN$5&lt;=$H167),INDEX(Mortality!$B$4:$E$64,MATCH($D167+BN$5-1,Mortality!$A$4:$A$64,0),$U167)*$V167*$N167,0)</f>
        <v>0</v>
      </c>
      <c r="BO167" s="93">
        <f>IF(AND($T167=1,BO$5&lt;=$H167),INDEX(Mortality!$B$4:$E$64,MATCH($D167+BO$5-1,Mortality!$A$4:$A$64,0),$U167)*$V167*$N167,0)</f>
        <v>0</v>
      </c>
      <c r="BP167" s="93">
        <f>IF(AND($T167=1,BP$5&lt;=$H167),INDEX(Mortality!$B$4:$E$64,MATCH($D167+BP$5-1,Mortality!$A$4:$A$64,0),$U167)*$V167*$N167,0)</f>
        <v>0</v>
      </c>
      <c r="BQ167" s="93">
        <f>IF(AND($T167=1,BQ$5&lt;=$H167),INDEX(Mortality!$B$4:$E$64,MATCH($D167+BQ$5-1,Mortality!$A$4:$A$64,0),$U167)*$V167*$N167,0)</f>
        <v>0</v>
      </c>
      <c r="BR167" s="93">
        <f>IF(AND($T167=1,BR$5&lt;=$H167),INDEX(Mortality!$B$4:$E$64,MATCH($D167+BR$5-1,Mortality!$A$4:$A$64,0),$U167)*$V167*$N167,0)</f>
        <v>0</v>
      </c>
      <c r="BS167" s="93">
        <f>IF(AND($T167=1,BS$5&lt;=$H167),INDEX(Mortality!$B$4:$E$64,MATCH($D167+BS$5-1,Mortality!$A$4:$A$64,0),$U167)*$V167*$N167,0)</f>
        <v>0</v>
      </c>
      <c r="BT167" s="93">
        <f>IF(AND($T167=1,BT$5&lt;=$H167),INDEX(Mortality!$B$4:$E$64,MATCH($D167+BT$5-1,Mortality!$A$4:$A$64,0),$U167)*$V167*$N167,0)</f>
        <v>0</v>
      </c>
      <c r="BU167" s="93">
        <f>IF(AND($T167=1,BU$5&lt;=$H167),INDEX(Mortality!$B$4:$E$64,MATCH($D167+BU$5-1,Mortality!$A$4:$A$64,0),$U167)*$V167*$N167,0)</f>
        <v>0</v>
      </c>
      <c r="BV167" s="93">
        <f>IF(AND($T167=1,BV$5&lt;=$H167),INDEX(Mortality!$B$4:$E$64,MATCH($D167+BV$5-1,Mortality!$A$4:$A$64,0),$U167)*$V167*$N167,0)</f>
        <v>0</v>
      </c>
      <c r="BW167" s="93">
        <f>IF(AND($T167=1,BW$5&lt;=$H167),INDEX(Mortality!$B$4:$E$64,MATCH($D167+BW$5-1,Mortality!$A$4:$A$64,0),$U167)*$V167*$N167,0)</f>
        <v>0</v>
      </c>
      <c r="BX167" s="93">
        <f>IF(AND($T167=1,BX$5&lt;=$H167),INDEX(Mortality!$B$4:$E$64,MATCH($D167+BX$5-1,Mortality!$A$4:$A$64,0),$U167)*$V167*$N167,0)</f>
        <v>0</v>
      </c>
      <c r="BY167" s="93">
        <f>IF(AND($T167=1,BY$5&lt;=$H167),INDEX(Mortality!$B$4:$E$64,MATCH($D167+BY$5-1,Mortality!$A$4:$A$64,0),$U167)*$V167*$N167,0)</f>
        <v>0</v>
      </c>
      <c r="BZ167" s="93">
        <f>IF(AND($T167=1,BZ$5&lt;=$H167),INDEX(Mortality!$B$4:$E$64,MATCH($D167+BZ$5-1,Mortality!$A$4:$A$64,0),$U167)*$V167*$N167,0)</f>
        <v>0</v>
      </c>
      <c r="CA167" s="93">
        <f>IF(AND($T167=1,CA$5&lt;=$H167),INDEX(Mortality!$B$4:$E$64,MATCH($D167+CA$5-1,Mortality!$A$4:$A$64,0),$U167)*$V167*$N167,0)</f>
        <v>0</v>
      </c>
      <c r="CB167" s="93">
        <f>IF(AND($T167=1,CB$5&lt;=$H167),INDEX(Mortality!$B$4:$E$64,MATCH($D167+CB$5-1,Mortality!$A$4:$A$64,0),$U167)*$V167*$N167,0)</f>
        <v>0</v>
      </c>
      <c r="CC167" s="93">
        <f>IF(AND($T167=1,CC$5&lt;=$H167),INDEX(Mortality!$B$4:$E$64,MATCH($D167+CC$5-1,Mortality!$A$4:$A$64,0),$U167)*$V167*$N167,0)</f>
        <v>0</v>
      </c>
      <c r="CD167" s="93">
        <f>IF(AND($T167=1,CD$5&lt;=$H167),INDEX(Mortality!$B$4:$E$64,MATCH($D167+CD$5-1,Mortality!$A$4:$A$64,0),$U167)*$V167*$N167,0)</f>
        <v>0</v>
      </c>
      <c r="CE167" s="93">
        <f>IF(AND($T167=1,CE$5&lt;=$H167),INDEX(Mortality!$B$4:$E$64,MATCH($D167+CE$5-1,Mortality!$A$4:$A$64,0),$U167)*$V167*$N167,0)</f>
        <v>0</v>
      </c>
      <c r="CF167" s="93">
        <f>IF(AND($T167=1,CF$5&lt;=$H167),INDEX(Mortality!$B$4:$E$64,MATCH($D167+CF$5-1,Mortality!$A$4:$A$64,0),$U167)*$V167*$N167,0)</f>
        <v>0</v>
      </c>
      <c r="CG167" s="93">
        <f>IF(AND($T167=1,CG$5&lt;=$H167),INDEX(Mortality!$B$4:$E$64,MATCH($D167+CG$5-1,Mortality!$A$4:$A$64,0),$U167)*$V167*$N167,0)</f>
        <v>0</v>
      </c>
      <c r="CH167" s="94">
        <f>IF(AND($T167=1,CH$5&lt;=$H167),INDEX(Mortality!$B$4:$E$64,MATCH($D167+CH$5-1,Mortality!$A$4:$A$64,0),$U167)*$V167*$N167,0)</f>
        <v>0</v>
      </c>
      <c r="CI167" s="26"/>
      <c r="CJ167" s="419">
        <f t="shared" si="71"/>
        <v>0</v>
      </c>
      <c r="CK167" s="93">
        <f>IF(AND($T167=1,CK$5&lt;=$H167),CJ167*(1-AU167)*(1-MIN(1,MAX(Assumptions!$C$27,Assumptions!$C$13*Assumptions!$C$28^(CJ$5-1))*$O167)),0)</f>
        <v>0</v>
      </c>
      <c r="CL167" s="93">
        <f>IF(AND($T167=1,CL$5&lt;=$H167),CK167*(1-AV167)*(1-MIN(1,MAX(Assumptions!$C$27,Assumptions!$C$13*Assumptions!$C$28^(CK$5-1))*$O167)),0)</f>
        <v>0</v>
      </c>
      <c r="CM167" s="93">
        <f>IF(AND($T167=1,CM$5&lt;=$H167),CL167*(1-AW167)*(1-MIN(1,MAX(Assumptions!$C$27,Assumptions!$C$13*Assumptions!$C$28^(CL$5-1))*$O167)),0)</f>
        <v>0</v>
      </c>
      <c r="CN167" s="93">
        <f>IF(AND($T167=1,CN$5&lt;=$H167),CM167*(1-AX167)*(1-MIN(1,MAX(Assumptions!$C$27,Assumptions!$C$13*Assumptions!$C$28^(CM$5-1))*$O167)),0)</f>
        <v>0</v>
      </c>
      <c r="CO167" s="93">
        <f>IF(AND($T167=1,CO$5&lt;=$H167),CN167*(1-AY167)*(1-MIN(1,MAX(Assumptions!$C$27,Assumptions!$C$13*Assumptions!$C$28^(CN$5-1))*$O167)),0)</f>
        <v>0</v>
      </c>
      <c r="CP167" s="93">
        <f>IF(AND($T167=1,CP$5&lt;=$H167),CO167*(1-AZ167)*(1-MIN(1,MAX(Assumptions!$C$27,Assumptions!$C$13*Assumptions!$C$28^(CO$5-1))*$O167)),0)</f>
        <v>0</v>
      </c>
      <c r="CQ167" s="93">
        <f>IF(AND($T167=1,CQ$5&lt;=$H167),CP167*(1-BA167)*(1-MIN(1,MAX(Assumptions!$C$27,Assumptions!$C$13*Assumptions!$C$28^(CP$5-1))*$O167)),0)</f>
        <v>0</v>
      </c>
      <c r="CR167" s="93">
        <f>IF(AND($T167=1,CR$5&lt;=$H167),CQ167*(1-BB167)*(1-MIN(1,MAX(Assumptions!$C$27,Assumptions!$C$13*Assumptions!$C$28^(CQ$5-1))*$O167)),0)</f>
        <v>0</v>
      </c>
      <c r="CS167" s="93">
        <f>IF(AND($T167=1,CS$5&lt;=$H167),CR167*(1-BC167)*(1-MIN(1,MAX(Assumptions!$C$27,Assumptions!$C$13*Assumptions!$C$28^(CR$5-1))*$O167)),0)</f>
        <v>0</v>
      </c>
      <c r="CT167" s="93">
        <f>IF(AND($T167=1,CT$5&lt;=$H167),CS167*(1-BD167)*(1-MIN(1,MAX(Assumptions!$C$27,Assumptions!$C$13*Assumptions!$C$28^(CS$5-1))*$O167)),0)</f>
        <v>0</v>
      </c>
      <c r="CU167" s="93">
        <f>IF(AND($T167=1,CU$5&lt;=$H167),CT167*(1-BE167)*(1-MIN(1,MAX(Assumptions!$C$27,Assumptions!$C$13*Assumptions!$C$28^(CT$5-1))*$O167)),0)</f>
        <v>0</v>
      </c>
      <c r="CV167" s="93">
        <f>IF(AND($T167=1,CV$5&lt;=$H167),CU167*(1-BF167)*(1-MIN(1,MAX(Assumptions!$C$27,Assumptions!$C$13*Assumptions!$C$28^(CU$5-1))*$O167)),0)</f>
        <v>0</v>
      </c>
      <c r="CW167" s="93">
        <f>IF(AND($T167=1,CW$5&lt;=$H167),CV167*(1-BG167)*(1-MIN(1,MAX(Assumptions!$C$27,Assumptions!$C$13*Assumptions!$C$28^(CV$5-1))*$O167)),0)</f>
        <v>0</v>
      </c>
      <c r="CX167" s="93">
        <f>IF(AND($T167=1,CX$5&lt;=$H167),CW167*(1-BH167)*(1-MIN(1,MAX(Assumptions!$C$27,Assumptions!$C$13*Assumptions!$C$28^(CW$5-1))*$O167)),0)</f>
        <v>0</v>
      </c>
      <c r="CY167" s="93">
        <f>IF(AND($T167=1,CY$5&lt;=$H167),CX167*(1-BI167)*(1-MIN(1,MAX(Assumptions!$C$27,Assumptions!$C$13*Assumptions!$C$28^(CX$5-1))*$O167)),0)</f>
        <v>0</v>
      </c>
      <c r="CZ167" s="93">
        <f>IF(AND($T167=1,CZ$5&lt;=$H167),CY167*(1-BJ167)*(1-MIN(1,MAX(Assumptions!$C$27,Assumptions!$C$13*Assumptions!$C$28^(CY$5-1))*$O167)),0)</f>
        <v>0</v>
      </c>
      <c r="DA167" s="93">
        <f>IF(AND($T167=1,DA$5&lt;=$H167),CZ167*(1-BK167)*(1-MIN(1,MAX(Assumptions!$C$27,Assumptions!$C$13*Assumptions!$C$28^(CZ$5-1))*$O167)),0)</f>
        <v>0</v>
      </c>
      <c r="DB167" s="93">
        <f>IF(AND($T167=1,DB$5&lt;=$H167),DA167*(1-BL167)*(1-MIN(1,MAX(Assumptions!$C$27,Assumptions!$C$13*Assumptions!$C$28^(DA$5-1))*$O167)),0)</f>
        <v>0</v>
      </c>
      <c r="DC167" s="93">
        <f>IF(AND($T167=1,DC$5&lt;=$H167),DB167*(1-BM167)*(1-MIN(1,MAX(Assumptions!$C$27,Assumptions!$C$13*Assumptions!$C$28^(DB$5-1))*$O167)),0)</f>
        <v>0</v>
      </c>
      <c r="DD167" s="93">
        <f>IF(AND($T167=1,DD$5&lt;=$H167),DC167*(1-BN167)*(1-MIN(1,MAX(Assumptions!$C$27,Assumptions!$C$13*Assumptions!$C$28^(DC$5-1))*$O167)),0)</f>
        <v>0</v>
      </c>
      <c r="DE167" s="93">
        <f>IF(AND($T167=1,DE$5&lt;=$H167),DD167*(1-BO167)*(1-MIN(1,MAX(Assumptions!$C$27,Assumptions!$C$13*Assumptions!$C$28^(DD$5-1))*$O167)),0)</f>
        <v>0</v>
      </c>
      <c r="DF167" s="93">
        <f>IF(AND($T167=1,DF$5&lt;=$H167),DE167*(1-BP167)*(1-MIN(1,MAX(Assumptions!$C$27,Assumptions!$C$13*Assumptions!$C$28^(DE$5-1))*$O167)),0)</f>
        <v>0</v>
      </c>
      <c r="DG167" s="93">
        <f>IF(AND($T167=1,DG$5&lt;=$H167),DF167*(1-BQ167)*(1-MIN(1,MAX(Assumptions!$C$27,Assumptions!$C$13*Assumptions!$C$28^(DF$5-1))*$O167)),0)</f>
        <v>0</v>
      </c>
      <c r="DH167" s="93">
        <f>IF(AND($T167=1,DH$5&lt;=$H167),DG167*(1-BR167)*(1-MIN(1,MAX(Assumptions!$C$27,Assumptions!$C$13*Assumptions!$C$28^(DG$5-1))*$O167)),0)</f>
        <v>0</v>
      </c>
      <c r="DI167" s="93">
        <f>IF(AND($T167=1,DI$5&lt;=$H167),DH167*(1-BS167)*(1-MIN(1,MAX(Assumptions!$C$27,Assumptions!$C$13*Assumptions!$C$28^(DH$5-1))*$O167)),0)</f>
        <v>0</v>
      </c>
      <c r="DJ167" s="93">
        <f>IF(AND($T167=1,DJ$5&lt;=$H167),DI167*(1-BT167)*(1-MIN(1,MAX(Assumptions!$C$27,Assumptions!$C$13*Assumptions!$C$28^(DI$5-1))*$O167)),0)</f>
        <v>0</v>
      </c>
      <c r="DK167" s="93">
        <f>IF(AND($T167=1,DK$5&lt;=$H167),DJ167*(1-BU167)*(1-MIN(1,MAX(Assumptions!$C$27,Assumptions!$C$13*Assumptions!$C$28^(DJ$5-1))*$O167)),0)</f>
        <v>0</v>
      </c>
      <c r="DL167" s="93">
        <f>IF(AND($T167=1,DL$5&lt;=$H167),DK167*(1-BV167)*(1-MIN(1,MAX(Assumptions!$C$27,Assumptions!$C$13*Assumptions!$C$28^(DK$5-1))*$O167)),0)</f>
        <v>0</v>
      </c>
      <c r="DM167" s="93">
        <f>IF(AND($T167=1,DM$5&lt;=$H167),DL167*(1-BW167)*(1-MIN(1,MAX(Assumptions!$C$27,Assumptions!$C$13*Assumptions!$C$28^(DL$5-1))*$O167)),0)</f>
        <v>0</v>
      </c>
      <c r="DN167" s="93">
        <f>IF(AND($T167=1,DN$5&lt;=$H167),DM167*(1-BX167)*(1-MIN(1,MAX(Assumptions!$C$27,Assumptions!$C$13*Assumptions!$C$28^(DM$5-1))*$O167)),0)</f>
        <v>0</v>
      </c>
      <c r="DO167" s="93">
        <f>IF(AND($T167=1,DO$5&lt;=$H167),DN167*(1-BY167)*(1-MIN(1,MAX(Assumptions!$C$27,Assumptions!$C$13*Assumptions!$C$28^(DN$5-1))*$O167)),0)</f>
        <v>0</v>
      </c>
      <c r="DP167" s="93">
        <f>IF(AND($T167=1,DP$5&lt;=$H167),DO167*(1-BZ167)*(1-MIN(1,MAX(Assumptions!$C$27,Assumptions!$C$13*Assumptions!$C$28^(DO$5-1))*$O167)),0)</f>
        <v>0</v>
      </c>
      <c r="DQ167" s="93">
        <f>IF(AND($T167=1,DQ$5&lt;=$H167),DP167*(1-CA167)*(1-MIN(1,MAX(Assumptions!$C$27,Assumptions!$C$13*Assumptions!$C$28^(DP$5-1))*$O167)),0)</f>
        <v>0</v>
      </c>
      <c r="DR167" s="93">
        <f>IF(AND($T167=1,DR$5&lt;=$H167),DQ167*(1-CB167)*(1-MIN(1,MAX(Assumptions!$C$27,Assumptions!$C$13*Assumptions!$C$28^(DQ$5-1))*$O167)),0)</f>
        <v>0</v>
      </c>
      <c r="DS167" s="93">
        <f>IF(AND($T167=1,DS$5&lt;=$H167),DR167*(1-CC167)*(1-MIN(1,MAX(Assumptions!$C$27,Assumptions!$C$13*Assumptions!$C$28^(DR$5-1))*$O167)),0)</f>
        <v>0</v>
      </c>
      <c r="DT167" s="93">
        <f>IF(AND($T167=1,DT$5&lt;=$H167),DS167*(1-CD167)*(1-MIN(1,MAX(Assumptions!$C$27,Assumptions!$C$13*Assumptions!$C$28^(DS$5-1))*$O167)),0)</f>
        <v>0</v>
      </c>
      <c r="DU167" s="93">
        <f>IF(AND($T167=1,DU$5&lt;=$H167),DT167*(1-CE167)*(1-MIN(1,MAX(Assumptions!$C$27,Assumptions!$C$13*Assumptions!$C$28^(DT$5-1))*$O167)),0)</f>
        <v>0</v>
      </c>
      <c r="DV167" s="93">
        <f>IF(AND($T167=1,DV$5&lt;=$H167),DU167*(1-CF167)*(1-MIN(1,MAX(Assumptions!$C$27,Assumptions!$C$13*Assumptions!$C$28^(DU$5-1))*$O167)),0)</f>
        <v>0</v>
      </c>
      <c r="DW167" s="94">
        <f>IF(AND($T167=1,DW$5&lt;=$H167),DV167*(1-CG167)*(1-MIN(1,MAX(Assumptions!$C$27,Assumptions!$C$13*Assumptions!$C$28^(DV$5-1))*$O167)),0)</f>
        <v>0</v>
      </c>
      <c r="DX167" s="26"/>
      <c r="DY167" s="399">
        <f>'Policy Data'!K141</f>
        <v>6</v>
      </c>
      <c r="DZ167" s="100">
        <f>'Policy Data'!L141</f>
        <v>0.69620000000000004</v>
      </c>
      <c r="EA167" s="100">
        <f>'Policy Data'!N141</f>
        <v>3.5170000000000002E-3</v>
      </c>
      <c r="EB167" s="93" cm="1">
        <f t="array" ref="EB167">IFERROR(DZ167*INDEX(Mortality!$B$4:$E$64,MATCH(D167+DY167-1,Mortality!$A$4:$A$64,0),U167)*V167,0)</f>
        <v>5.2468629180787906E-3</v>
      </c>
      <c r="EC167" s="100">
        <f>'Policy Data'!O141</f>
        <v>0</v>
      </c>
      <c r="ED167" s="400">
        <f>'Policy Data'!Q141</f>
        <v>0</v>
      </c>
    </row>
    <row r="168" spans="1:134" x14ac:dyDescent="0.3">
      <c r="A168" s="399" t="str">
        <f>'Policy Data'!A142</f>
        <v>POL100138</v>
      </c>
      <c r="B168" s="26" t="s">
        <v>426</v>
      </c>
      <c r="C168" s="100" t="str">
        <f>'Policy Data'!B142</f>
        <v>Unit-Linked</v>
      </c>
      <c r="D168" s="100">
        <f>'Policy Data'!C142</f>
        <v>51</v>
      </c>
      <c r="E168" s="100" t="str">
        <f>'Policy Data'!D142</f>
        <v>Male</v>
      </c>
      <c r="F168" s="100" t="str">
        <f>'Policy Data'!E142</f>
        <v>Non-smoker</v>
      </c>
      <c r="G168" s="100" t="str">
        <f>'Policy Data'!F142</f>
        <v>Standard</v>
      </c>
      <c r="H168" s="100">
        <f>'Policy Data'!G142</f>
        <v>25</v>
      </c>
      <c r="I168" s="279">
        <f>'Policy Data'!H142</f>
        <v>500000</v>
      </c>
      <c r="J168" s="100" t="str">
        <f>'Policy Data'!I142</f>
        <v>Monthly</v>
      </c>
      <c r="K168" s="100" t="str">
        <f>'Policy Data'!J142</f>
        <v>Broker</v>
      </c>
      <c r="L168" s="26" t="s">
        <v>389</v>
      </c>
      <c r="M168" s="106">
        <f>'Policy Data'!R142</f>
        <v>13016.05</v>
      </c>
      <c r="N168" s="415">
        <f>Assumptions!$C$21</f>
        <v>1</v>
      </c>
      <c r="O168" s="415">
        <f>Assumptions!$C$22</f>
        <v>1</v>
      </c>
      <c r="P168" s="415">
        <f>Assumptions!$C$23</f>
        <v>1</v>
      </c>
      <c r="Q168" s="416">
        <f>Assumptions!$C$24</f>
        <v>0</v>
      </c>
      <c r="R168" s="416">
        <f>Assumptions!$C$6+Assumptions!$C$25</f>
        <v>3.5000000000000003E-2</v>
      </c>
      <c r="S168" s="416">
        <f>Assumptions!$C$15</f>
        <v>1.1000000000000001E-3</v>
      </c>
      <c r="T168" s="26">
        <f t="shared" si="54"/>
        <v>0</v>
      </c>
      <c r="U168" s="26">
        <f t="shared" si="55"/>
        <v>3</v>
      </c>
      <c r="V168" s="389">
        <f>IF($G168="Preferred",Assumptions!$C$30,IF($G168="Rated",Assumptions!$C$31,1))</f>
        <v>1</v>
      </c>
      <c r="W168" s="390">
        <f>IF($K168="Direct",Assumptions!$C$32,IF($K168="Broker",Assumptions!$C$33,IF($K168="Bancassurance",Assumptions!$C$34,Assumptions!$C$11)))+$Q168</f>
        <v>0.25</v>
      </c>
      <c r="X168" s="390">
        <f>Assumptions!$C$12+$Q168</f>
        <v>0.05</v>
      </c>
      <c r="Y168" s="131">
        <f>MIN($I168,Assumptions!$C$14)</f>
        <v>500000</v>
      </c>
      <c r="Z168" s="131">
        <f>MAX($I168-Assumptions!$C$14,0)</f>
        <v>0</v>
      </c>
      <c r="AA168" s="389">
        <f t="shared" si="56"/>
        <v>0</v>
      </c>
      <c r="AB168" s="389">
        <f t="shared" si="57"/>
        <v>0</v>
      </c>
      <c r="AC168" s="389">
        <f>IF($T168=1,SUMPRODUCT($CJ168:$DW168,(1+Assumptions!$C$5)^($CJ$5:$DW$5-1),(1+$R168)^(-$CJ$5:$DW$5)),0)</f>
        <v>0</v>
      </c>
      <c r="AD168" s="389">
        <f t="shared" si="58"/>
        <v>0</v>
      </c>
      <c r="AE168" s="131">
        <f>IF($T168=1,$AB168*$Y168+(Assumptions!$C$9/(1+$R168)+Assumptions!$C$10*$AC168)*$P168+$S168*$Z168*$AA168,0)</f>
        <v>0</v>
      </c>
      <c r="AF168" s="131" t="str">
        <f>IF($T168=1,IF($AA168-$AD168-Assumptions!$C$16*$AA168&gt;0,$AE168/($AA168-$AD168-Assumptions!$C$16*$AA168)*IF($J168="Monthly",1+Assumptions!$C$29,1),"n.a."),"")</f>
        <v/>
      </c>
      <c r="AG168" s="131" t="str">
        <f t="shared" si="59"/>
        <v/>
      </c>
      <c r="AH168" s="131" t="str">
        <f t="shared" si="60"/>
        <v/>
      </c>
      <c r="AI168" s="131" t="str">
        <f t="shared" si="61"/>
        <v/>
      </c>
      <c r="AJ168" s="390" t="str">
        <f t="shared" si="62"/>
        <v/>
      </c>
      <c r="AK168" s="389" t="str">
        <f t="shared" si="63"/>
        <v/>
      </c>
      <c r="AL168" s="131" t="str">
        <f t="shared" si="64"/>
        <v/>
      </c>
      <c r="AM168" s="131" t="str">
        <f t="shared" si="65"/>
        <v/>
      </c>
      <c r="AN168" s="131" t="str">
        <f t="shared" si="66"/>
        <v/>
      </c>
      <c r="AO168" s="131" t="str">
        <f t="shared" si="67"/>
        <v/>
      </c>
      <c r="AP168" s="26" t="str">
        <f t="shared" si="68"/>
        <v>50-59</v>
      </c>
      <c r="AQ168" s="26" t="str">
        <f t="shared" si="69"/>
        <v>250k-500k</v>
      </c>
      <c r="AR168" s="26" t="str">
        <f>IF($T168=1,IF($AI168&lt;0,"Loss-making",IF($AJ168&lt;Assumptions!$C$16-0.00001,"Below target","At/above target")),"Excluded")</f>
        <v>Excluded</v>
      </c>
      <c r="AS168" s="103">
        <f t="shared" si="70"/>
        <v>9.9999999999999997E+98</v>
      </c>
      <c r="AT168" s="26"/>
      <c r="AU168" s="419">
        <f>IF(AND($T168=1,AU$5&lt;=$H168),INDEX(Mortality!$B$4:$E$64,MATCH($D168+AU$5-1,Mortality!$A$4:$A$64,0),$U168)*$V168*$N168,0)</f>
        <v>0</v>
      </c>
      <c r="AV168" s="93">
        <f>IF(AND($T168=1,AV$5&lt;=$H168),INDEX(Mortality!$B$4:$E$64,MATCH($D168+AV$5-1,Mortality!$A$4:$A$64,0),$U168)*$V168*$N168,0)</f>
        <v>0</v>
      </c>
      <c r="AW168" s="93">
        <f>IF(AND($T168=1,AW$5&lt;=$H168),INDEX(Mortality!$B$4:$E$64,MATCH($D168+AW$5-1,Mortality!$A$4:$A$64,0),$U168)*$V168*$N168,0)</f>
        <v>0</v>
      </c>
      <c r="AX168" s="93">
        <f>IF(AND($T168=1,AX$5&lt;=$H168),INDEX(Mortality!$B$4:$E$64,MATCH($D168+AX$5-1,Mortality!$A$4:$A$64,0),$U168)*$V168*$N168,0)</f>
        <v>0</v>
      </c>
      <c r="AY168" s="93">
        <f>IF(AND($T168=1,AY$5&lt;=$H168),INDEX(Mortality!$B$4:$E$64,MATCH($D168+AY$5-1,Mortality!$A$4:$A$64,0),$U168)*$V168*$N168,0)</f>
        <v>0</v>
      </c>
      <c r="AZ168" s="93">
        <f>IF(AND($T168=1,AZ$5&lt;=$H168),INDEX(Mortality!$B$4:$E$64,MATCH($D168+AZ$5-1,Mortality!$A$4:$A$64,0),$U168)*$V168*$N168,0)</f>
        <v>0</v>
      </c>
      <c r="BA168" s="93">
        <f>IF(AND($T168=1,BA$5&lt;=$H168),INDEX(Mortality!$B$4:$E$64,MATCH($D168+BA$5-1,Mortality!$A$4:$A$64,0),$U168)*$V168*$N168,0)</f>
        <v>0</v>
      </c>
      <c r="BB168" s="93">
        <f>IF(AND($T168=1,BB$5&lt;=$H168),INDEX(Mortality!$B$4:$E$64,MATCH($D168+BB$5-1,Mortality!$A$4:$A$64,0),$U168)*$V168*$N168,0)</f>
        <v>0</v>
      </c>
      <c r="BC168" s="93">
        <f>IF(AND($T168=1,BC$5&lt;=$H168),INDEX(Mortality!$B$4:$E$64,MATCH($D168+BC$5-1,Mortality!$A$4:$A$64,0),$U168)*$V168*$N168,0)</f>
        <v>0</v>
      </c>
      <c r="BD168" s="93">
        <f>IF(AND($T168=1,BD$5&lt;=$H168),INDEX(Mortality!$B$4:$E$64,MATCH($D168+BD$5-1,Mortality!$A$4:$A$64,0),$U168)*$V168*$N168,0)</f>
        <v>0</v>
      </c>
      <c r="BE168" s="93">
        <f>IF(AND($T168=1,BE$5&lt;=$H168),INDEX(Mortality!$B$4:$E$64,MATCH($D168+BE$5-1,Mortality!$A$4:$A$64,0),$U168)*$V168*$N168,0)</f>
        <v>0</v>
      </c>
      <c r="BF168" s="93">
        <f>IF(AND($T168=1,BF$5&lt;=$H168),INDEX(Mortality!$B$4:$E$64,MATCH($D168+BF$5-1,Mortality!$A$4:$A$64,0),$U168)*$V168*$N168,0)</f>
        <v>0</v>
      </c>
      <c r="BG168" s="93">
        <f>IF(AND($T168=1,BG$5&lt;=$H168),INDEX(Mortality!$B$4:$E$64,MATCH($D168+BG$5-1,Mortality!$A$4:$A$64,0),$U168)*$V168*$N168,0)</f>
        <v>0</v>
      </c>
      <c r="BH168" s="93">
        <f>IF(AND($T168=1,BH$5&lt;=$H168),INDEX(Mortality!$B$4:$E$64,MATCH($D168+BH$5-1,Mortality!$A$4:$A$64,0),$U168)*$V168*$N168,0)</f>
        <v>0</v>
      </c>
      <c r="BI168" s="93">
        <f>IF(AND($T168=1,BI$5&lt;=$H168),INDEX(Mortality!$B$4:$E$64,MATCH($D168+BI$5-1,Mortality!$A$4:$A$64,0),$U168)*$V168*$N168,0)</f>
        <v>0</v>
      </c>
      <c r="BJ168" s="93">
        <f>IF(AND($T168=1,BJ$5&lt;=$H168),INDEX(Mortality!$B$4:$E$64,MATCH($D168+BJ$5-1,Mortality!$A$4:$A$64,0),$U168)*$V168*$N168,0)</f>
        <v>0</v>
      </c>
      <c r="BK168" s="93">
        <f>IF(AND($T168=1,BK$5&lt;=$H168),INDEX(Mortality!$B$4:$E$64,MATCH($D168+BK$5-1,Mortality!$A$4:$A$64,0),$U168)*$V168*$N168,0)</f>
        <v>0</v>
      </c>
      <c r="BL168" s="93">
        <f>IF(AND($T168=1,BL$5&lt;=$H168),INDEX(Mortality!$B$4:$E$64,MATCH($D168+BL$5-1,Mortality!$A$4:$A$64,0),$U168)*$V168*$N168,0)</f>
        <v>0</v>
      </c>
      <c r="BM168" s="93">
        <f>IF(AND($T168=1,BM$5&lt;=$H168),INDEX(Mortality!$B$4:$E$64,MATCH($D168+BM$5-1,Mortality!$A$4:$A$64,0),$U168)*$V168*$N168,0)</f>
        <v>0</v>
      </c>
      <c r="BN168" s="93">
        <f>IF(AND($T168=1,BN$5&lt;=$H168),INDEX(Mortality!$B$4:$E$64,MATCH($D168+BN$5-1,Mortality!$A$4:$A$64,0),$U168)*$V168*$N168,0)</f>
        <v>0</v>
      </c>
      <c r="BO168" s="93">
        <f>IF(AND($T168=1,BO$5&lt;=$H168),INDEX(Mortality!$B$4:$E$64,MATCH($D168+BO$5-1,Mortality!$A$4:$A$64,0),$U168)*$V168*$N168,0)</f>
        <v>0</v>
      </c>
      <c r="BP168" s="93">
        <f>IF(AND($T168=1,BP$5&lt;=$H168),INDEX(Mortality!$B$4:$E$64,MATCH($D168+BP$5-1,Mortality!$A$4:$A$64,0),$U168)*$V168*$N168,0)</f>
        <v>0</v>
      </c>
      <c r="BQ168" s="93">
        <f>IF(AND($T168=1,BQ$5&lt;=$H168),INDEX(Mortality!$B$4:$E$64,MATCH($D168+BQ$5-1,Mortality!$A$4:$A$64,0),$U168)*$V168*$N168,0)</f>
        <v>0</v>
      </c>
      <c r="BR168" s="93">
        <f>IF(AND($T168=1,BR$5&lt;=$H168),INDEX(Mortality!$B$4:$E$64,MATCH($D168+BR$5-1,Mortality!$A$4:$A$64,0),$U168)*$V168*$N168,0)</f>
        <v>0</v>
      </c>
      <c r="BS168" s="93">
        <f>IF(AND($T168=1,BS$5&lt;=$H168),INDEX(Mortality!$B$4:$E$64,MATCH($D168+BS$5-1,Mortality!$A$4:$A$64,0),$U168)*$V168*$N168,0)</f>
        <v>0</v>
      </c>
      <c r="BT168" s="93">
        <f>IF(AND($T168=1,BT$5&lt;=$H168),INDEX(Mortality!$B$4:$E$64,MATCH($D168+BT$5-1,Mortality!$A$4:$A$64,0),$U168)*$V168*$N168,0)</f>
        <v>0</v>
      </c>
      <c r="BU168" s="93">
        <f>IF(AND($T168=1,BU$5&lt;=$H168),INDEX(Mortality!$B$4:$E$64,MATCH($D168+BU$5-1,Mortality!$A$4:$A$64,0),$U168)*$V168*$N168,0)</f>
        <v>0</v>
      </c>
      <c r="BV168" s="93">
        <f>IF(AND($T168=1,BV$5&lt;=$H168),INDEX(Mortality!$B$4:$E$64,MATCH($D168+BV$5-1,Mortality!$A$4:$A$64,0),$U168)*$V168*$N168,0)</f>
        <v>0</v>
      </c>
      <c r="BW168" s="93">
        <f>IF(AND($T168=1,BW$5&lt;=$H168),INDEX(Mortality!$B$4:$E$64,MATCH($D168+BW$5-1,Mortality!$A$4:$A$64,0),$U168)*$V168*$N168,0)</f>
        <v>0</v>
      </c>
      <c r="BX168" s="93">
        <f>IF(AND($T168=1,BX$5&lt;=$H168),INDEX(Mortality!$B$4:$E$64,MATCH($D168+BX$5-1,Mortality!$A$4:$A$64,0),$U168)*$V168*$N168,0)</f>
        <v>0</v>
      </c>
      <c r="BY168" s="93">
        <f>IF(AND($T168=1,BY$5&lt;=$H168),INDEX(Mortality!$B$4:$E$64,MATCH($D168+BY$5-1,Mortality!$A$4:$A$64,0),$U168)*$V168*$N168,0)</f>
        <v>0</v>
      </c>
      <c r="BZ168" s="93">
        <f>IF(AND($T168=1,BZ$5&lt;=$H168),INDEX(Mortality!$B$4:$E$64,MATCH($D168+BZ$5-1,Mortality!$A$4:$A$64,0),$U168)*$V168*$N168,0)</f>
        <v>0</v>
      </c>
      <c r="CA168" s="93">
        <f>IF(AND($T168=1,CA$5&lt;=$H168),INDEX(Mortality!$B$4:$E$64,MATCH($D168+CA$5-1,Mortality!$A$4:$A$64,0),$U168)*$V168*$N168,0)</f>
        <v>0</v>
      </c>
      <c r="CB168" s="93">
        <f>IF(AND($T168=1,CB$5&lt;=$H168),INDEX(Mortality!$B$4:$E$64,MATCH($D168+CB$5-1,Mortality!$A$4:$A$64,0),$U168)*$V168*$N168,0)</f>
        <v>0</v>
      </c>
      <c r="CC168" s="93">
        <f>IF(AND($T168=1,CC$5&lt;=$H168),INDEX(Mortality!$B$4:$E$64,MATCH($D168+CC$5-1,Mortality!$A$4:$A$64,0),$U168)*$V168*$N168,0)</f>
        <v>0</v>
      </c>
      <c r="CD168" s="93">
        <f>IF(AND($T168=1,CD$5&lt;=$H168),INDEX(Mortality!$B$4:$E$64,MATCH($D168+CD$5-1,Mortality!$A$4:$A$64,0),$U168)*$V168*$N168,0)</f>
        <v>0</v>
      </c>
      <c r="CE168" s="93">
        <f>IF(AND($T168=1,CE$5&lt;=$H168),INDEX(Mortality!$B$4:$E$64,MATCH($D168+CE$5-1,Mortality!$A$4:$A$64,0),$U168)*$V168*$N168,0)</f>
        <v>0</v>
      </c>
      <c r="CF168" s="93">
        <f>IF(AND($T168=1,CF$5&lt;=$H168),INDEX(Mortality!$B$4:$E$64,MATCH($D168+CF$5-1,Mortality!$A$4:$A$64,0),$U168)*$V168*$N168,0)</f>
        <v>0</v>
      </c>
      <c r="CG168" s="93">
        <f>IF(AND($T168=1,CG$5&lt;=$H168),INDEX(Mortality!$B$4:$E$64,MATCH($D168+CG$5-1,Mortality!$A$4:$A$64,0),$U168)*$V168*$N168,0)</f>
        <v>0</v>
      </c>
      <c r="CH168" s="94">
        <f>IF(AND($T168=1,CH$5&lt;=$H168),INDEX(Mortality!$B$4:$E$64,MATCH($D168+CH$5-1,Mortality!$A$4:$A$64,0),$U168)*$V168*$N168,0)</f>
        <v>0</v>
      </c>
      <c r="CI168" s="26"/>
      <c r="CJ168" s="419">
        <f t="shared" si="71"/>
        <v>0</v>
      </c>
      <c r="CK168" s="93">
        <f>IF(AND($T168=1,CK$5&lt;=$H168),CJ168*(1-AU168)*(1-MIN(1,MAX(Assumptions!$C$27,Assumptions!$C$13*Assumptions!$C$28^(CJ$5-1))*$O168)),0)</f>
        <v>0</v>
      </c>
      <c r="CL168" s="93">
        <f>IF(AND($T168=1,CL$5&lt;=$H168),CK168*(1-AV168)*(1-MIN(1,MAX(Assumptions!$C$27,Assumptions!$C$13*Assumptions!$C$28^(CK$5-1))*$O168)),0)</f>
        <v>0</v>
      </c>
      <c r="CM168" s="93">
        <f>IF(AND($T168=1,CM$5&lt;=$H168),CL168*(1-AW168)*(1-MIN(1,MAX(Assumptions!$C$27,Assumptions!$C$13*Assumptions!$C$28^(CL$5-1))*$O168)),0)</f>
        <v>0</v>
      </c>
      <c r="CN168" s="93">
        <f>IF(AND($T168=1,CN$5&lt;=$H168),CM168*(1-AX168)*(1-MIN(1,MAX(Assumptions!$C$27,Assumptions!$C$13*Assumptions!$C$28^(CM$5-1))*$O168)),0)</f>
        <v>0</v>
      </c>
      <c r="CO168" s="93">
        <f>IF(AND($T168=1,CO$5&lt;=$H168),CN168*(1-AY168)*(1-MIN(1,MAX(Assumptions!$C$27,Assumptions!$C$13*Assumptions!$C$28^(CN$5-1))*$O168)),0)</f>
        <v>0</v>
      </c>
      <c r="CP168" s="93">
        <f>IF(AND($T168=1,CP$5&lt;=$H168),CO168*(1-AZ168)*(1-MIN(1,MAX(Assumptions!$C$27,Assumptions!$C$13*Assumptions!$C$28^(CO$5-1))*$O168)),0)</f>
        <v>0</v>
      </c>
      <c r="CQ168" s="93">
        <f>IF(AND($T168=1,CQ$5&lt;=$H168),CP168*(1-BA168)*(1-MIN(1,MAX(Assumptions!$C$27,Assumptions!$C$13*Assumptions!$C$28^(CP$5-1))*$O168)),0)</f>
        <v>0</v>
      </c>
      <c r="CR168" s="93">
        <f>IF(AND($T168=1,CR$5&lt;=$H168),CQ168*(1-BB168)*(1-MIN(1,MAX(Assumptions!$C$27,Assumptions!$C$13*Assumptions!$C$28^(CQ$5-1))*$O168)),0)</f>
        <v>0</v>
      </c>
      <c r="CS168" s="93">
        <f>IF(AND($T168=1,CS$5&lt;=$H168),CR168*(1-BC168)*(1-MIN(1,MAX(Assumptions!$C$27,Assumptions!$C$13*Assumptions!$C$28^(CR$5-1))*$O168)),0)</f>
        <v>0</v>
      </c>
      <c r="CT168" s="93">
        <f>IF(AND($T168=1,CT$5&lt;=$H168),CS168*(1-BD168)*(1-MIN(1,MAX(Assumptions!$C$27,Assumptions!$C$13*Assumptions!$C$28^(CS$5-1))*$O168)),0)</f>
        <v>0</v>
      </c>
      <c r="CU168" s="93">
        <f>IF(AND($T168=1,CU$5&lt;=$H168),CT168*(1-BE168)*(1-MIN(1,MAX(Assumptions!$C$27,Assumptions!$C$13*Assumptions!$C$28^(CT$5-1))*$O168)),0)</f>
        <v>0</v>
      </c>
      <c r="CV168" s="93">
        <f>IF(AND($T168=1,CV$5&lt;=$H168),CU168*(1-BF168)*(1-MIN(1,MAX(Assumptions!$C$27,Assumptions!$C$13*Assumptions!$C$28^(CU$5-1))*$O168)),0)</f>
        <v>0</v>
      </c>
      <c r="CW168" s="93">
        <f>IF(AND($T168=1,CW$5&lt;=$H168),CV168*(1-BG168)*(1-MIN(1,MAX(Assumptions!$C$27,Assumptions!$C$13*Assumptions!$C$28^(CV$5-1))*$O168)),0)</f>
        <v>0</v>
      </c>
      <c r="CX168" s="93">
        <f>IF(AND($T168=1,CX$5&lt;=$H168),CW168*(1-BH168)*(1-MIN(1,MAX(Assumptions!$C$27,Assumptions!$C$13*Assumptions!$C$28^(CW$5-1))*$O168)),0)</f>
        <v>0</v>
      </c>
      <c r="CY168" s="93">
        <f>IF(AND($T168=1,CY$5&lt;=$H168),CX168*(1-BI168)*(1-MIN(1,MAX(Assumptions!$C$27,Assumptions!$C$13*Assumptions!$C$28^(CX$5-1))*$O168)),0)</f>
        <v>0</v>
      </c>
      <c r="CZ168" s="93">
        <f>IF(AND($T168=1,CZ$5&lt;=$H168),CY168*(1-BJ168)*(1-MIN(1,MAX(Assumptions!$C$27,Assumptions!$C$13*Assumptions!$C$28^(CY$5-1))*$O168)),0)</f>
        <v>0</v>
      </c>
      <c r="DA168" s="93">
        <f>IF(AND($T168=1,DA$5&lt;=$H168),CZ168*(1-BK168)*(1-MIN(1,MAX(Assumptions!$C$27,Assumptions!$C$13*Assumptions!$C$28^(CZ$5-1))*$O168)),0)</f>
        <v>0</v>
      </c>
      <c r="DB168" s="93">
        <f>IF(AND($T168=1,DB$5&lt;=$H168),DA168*(1-BL168)*(1-MIN(1,MAX(Assumptions!$C$27,Assumptions!$C$13*Assumptions!$C$28^(DA$5-1))*$O168)),0)</f>
        <v>0</v>
      </c>
      <c r="DC168" s="93">
        <f>IF(AND($T168=1,DC$5&lt;=$H168),DB168*(1-BM168)*(1-MIN(1,MAX(Assumptions!$C$27,Assumptions!$C$13*Assumptions!$C$28^(DB$5-1))*$O168)),0)</f>
        <v>0</v>
      </c>
      <c r="DD168" s="93">
        <f>IF(AND($T168=1,DD$5&lt;=$H168),DC168*(1-BN168)*(1-MIN(1,MAX(Assumptions!$C$27,Assumptions!$C$13*Assumptions!$C$28^(DC$5-1))*$O168)),0)</f>
        <v>0</v>
      </c>
      <c r="DE168" s="93">
        <f>IF(AND($T168=1,DE$5&lt;=$H168),DD168*(1-BO168)*(1-MIN(1,MAX(Assumptions!$C$27,Assumptions!$C$13*Assumptions!$C$28^(DD$5-1))*$O168)),0)</f>
        <v>0</v>
      </c>
      <c r="DF168" s="93">
        <f>IF(AND($T168=1,DF$5&lt;=$H168),DE168*(1-BP168)*(1-MIN(1,MAX(Assumptions!$C$27,Assumptions!$C$13*Assumptions!$C$28^(DE$5-1))*$O168)),0)</f>
        <v>0</v>
      </c>
      <c r="DG168" s="93">
        <f>IF(AND($T168=1,DG$5&lt;=$H168),DF168*(1-BQ168)*(1-MIN(1,MAX(Assumptions!$C$27,Assumptions!$C$13*Assumptions!$C$28^(DF$5-1))*$O168)),0)</f>
        <v>0</v>
      </c>
      <c r="DH168" s="93">
        <f>IF(AND($T168=1,DH$5&lt;=$H168),DG168*(1-BR168)*(1-MIN(1,MAX(Assumptions!$C$27,Assumptions!$C$13*Assumptions!$C$28^(DG$5-1))*$O168)),0)</f>
        <v>0</v>
      </c>
      <c r="DI168" s="93">
        <f>IF(AND($T168=1,DI$5&lt;=$H168),DH168*(1-BS168)*(1-MIN(1,MAX(Assumptions!$C$27,Assumptions!$C$13*Assumptions!$C$28^(DH$5-1))*$O168)),0)</f>
        <v>0</v>
      </c>
      <c r="DJ168" s="93">
        <f>IF(AND($T168=1,DJ$5&lt;=$H168),DI168*(1-BT168)*(1-MIN(1,MAX(Assumptions!$C$27,Assumptions!$C$13*Assumptions!$C$28^(DI$5-1))*$O168)),0)</f>
        <v>0</v>
      </c>
      <c r="DK168" s="93">
        <f>IF(AND($T168=1,DK$5&lt;=$H168),DJ168*(1-BU168)*(1-MIN(1,MAX(Assumptions!$C$27,Assumptions!$C$13*Assumptions!$C$28^(DJ$5-1))*$O168)),0)</f>
        <v>0</v>
      </c>
      <c r="DL168" s="93">
        <f>IF(AND($T168=1,DL$5&lt;=$H168),DK168*(1-BV168)*(1-MIN(1,MAX(Assumptions!$C$27,Assumptions!$C$13*Assumptions!$C$28^(DK$5-1))*$O168)),0)</f>
        <v>0</v>
      </c>
      <c r="DM168" s="93">
        <f>IF(AND($T168=1,DM$5&lt;=$H168),DL168*(1-BW168)*(1-MIN(1,MAX(Assumptions!$C$27,Assumptions!$C$13*Assumptions!$C$28^(DL$5-1))*$O168)),0)</f>
        <v>0</v>
      </c>
      <c r="DN168" s="93">
        <f>IF(AND($T168=1,DN$5&lt;=$H168),DM168*(1-BX168)*(1-MIN(1,MAX(Assumptions!$C$27,Assumptions!$C$13*Assumptions!$C$28^(DM$5-1))*$O168)),0)</f>
        <v>0</v>
      </c>
      <c r="DO168" s="93">
        <f>IF(AND($T168=1,DO$5&lt;=$H168),DN168*(1-BY168)*(1-MIN(1,MAX(Assumptions!$C$27,Assumptions!$C$13*Assumptions!$C$28^(DN$5-1))*$O168)),0)</f>
        <v>0</v>
      </c>
      <c r="DP168" s="93">
        <f>IF(AND($T168=1,DP$5&lt;=$H168),DO168*(1-BZ168)*(1-MIN(1,MAX(Assumptions!$C$27,Assumptions!$C$13*Assumptions!$C$28^(DO$5-1))*$O168)),0)</f>
        <v>0</v>
      </c>
      <c r="DQ168" s="93">
        <f>IF(AND($T168=1,DQ$5&lt;=$H168),DP168*(1-CA168)*(1-MIN(1,MAX(Assumptions!$C$27,Assumptions!$C$13*Assumptions!$C$28^(DP$5-1))*$O168)),0)</f>
        <v>0</v>
      </c>
      <c r="DR168" s="93">
        <f>IF(AND($T168=1,DR$5&lt;=$H168),DQ168*(1-CB168)*(1-MIN(1,MAX(Assumptions!$C$27,Assumptions!$C$13*Assumptions!$C$28^(DQ$5-1))*$O168)),0)</f>
        <v>0</v>
      </c>
      <c r="DS168" s="93">
        <f>IF(AND($T168=1,DS$5&lt;=$H168),DR168*(1-CC168)*(1-MIN(1,MAX(Assumptions!$C$27,Assumptions!$C$13*Assumptions!$C$28^(DR$5-1))*$O168)),0)</f>
        <v>0</v>
      </c>
      <c r="DT168" s="93">
        <f>IF(AND($T168=1,DT$5&lt;=$H168),DS168*(1-CD168)*(1-MIN(1,MAX(Assumptions!$C$27,Assumptions!$C$13*Assumptions!$C$28^(DS$5-1))*$O168)),0)</f>
        <v>0</v>
      </c>
      <c r="DU168" s="93">
        <f>IF(AND($T168=1,DU$5&lt;=$H168),DT168*(1-CE168)*(1-MIN(1,MAX(Assumptions!$C$27,Assumptions!$C$13*Assumptions!$C$28^(DT$5-1))*$O168)),0)</f>
        <v>0</v>
      </c>
      <c r="DV168" s="93">
        <f>IF(AND($T168=1,DV$5&lt;=$H168),DU168*(1-CF168)*(1-MIN(1,MAX(Assumptions!$C$27,Assumptions!$C$13*Assumptions!$C$28^(DU$5-1))*$O168)),0)</f>
        <v>0</v>
      </c>
      <c r="DW168" s="94">
        <f>IF(AND($T168=1,DW$5&lt;=$H168),DV168*(1-CG168)*(1-MIN(1,MAX(Assumptions!$C$27,Assumptions!$C$13*Assumptions!$C$28^(DV$5-1))*$O168)),0)</f>
        <v>0</v>
      </c>
      <c r="DX168" s="26"/>
      <c r="DY168" s="399">
        <f>'Policy Data'!K142</f>
        <v>7</v>
      </c>
      <c r="DZ168" s="100">
        <f>'Policy Data'!L142</f>
        <v>0.53149999999999997</v>
      </c>
      <c r="EA168" s="100">
        <f>'Policy Data'!N142</f>
        <v>1.4760000000000001E-3</v>
      </c>
      <c r="EB168" s="93" cm="1">
        <f t="array" ref="EB168">IFERROR(DZ168*INDEX(Mortality!$B$4:$E$64,MATCH(D168+DY168-1,Mortality!$A$4:$A$64,0),U168)*V168,0)</f>
        <v>2.3850072518824474E-3</v>
      </c>
      <c r="EC168" s="100">
        <f>'Policy Data'!O142</f>
        <v>0</v>
      </c>
      <c r="ED168" s="400">
        <f>'Policy Data'!Q142</f>
        <v>0</v>
      </c>
    </row>
    <row r="169" spans="1:134" x14ac:dyDescent="0.3">
      <c r="A169" s="399" t="str">
        <f>'Policy Data'!A143</f>
        <v>POL100139</v>
      </c>
      <c r="B169" s="26" t="s">
        <v>426</v>
      </c>
      <c r="C169" s="100" t="str">
        <f>'Policy Data'!B143</f>
        <v>Term Life</v>
      </c>
      <c r="D169" s="100">
        <f>'Policy Data'!C143</f>
        <v>41</v>
      </c>
      <c r="E169" s="100" t="str">
        <f>'Policy Data'!D143</f>
        <v>Male</v>
      </c>
      <c r="F169" s="100" t="str">
        <f>'Policy Data'!E143</f>
        <v>Non-smoker</v>
      </c>
      <c r="G169" s="100" t="str">
        <f>'Policy Data'!F143</f>
        <v>Standard</v>
      </c>
      <c r="H169" s="100">
        <f>'Policy Data'!G143</f>
        <v>20</v>
      </c>
      <c r="I169" s="279">
        <f>'Policy Data'!H143</f>
        <v>1000000</v>
      </c>
      <c r="J169" s="100" t="str">
        <f>'Policy Data'!I143</f>
        <v>Annual</v>
      </c>
      <c r="K169" s="100" t="str">
        <f>'Policy Data'!J143</f>
        <v>Direct</v>
      </c>
      <c r="L169" s="26" t="s">
        <v>389</v>
      </c>
      <c r="M169" s="106">
        <f>'Policy Data'!R143</f>
        <v>2502.2199999999998</v>
      </c>
      <c r="N169" s="415">
        <f>Assumptions!$C$21</f>
        <v>1</v>
      </c>
      <c r="O169" s="415">
        <f>Assumptions!$C$22</f>
        <v>1</v>
      </c>
      <c r="P169" s="415">
        <f>Assumptions!$C$23</f>
        <v>1</v>
      </c>
      <c r="Q169" s="416">
        <f>Assumptions!$C$24</f>
        <v>0</v>
      </c>
      <c r="R169" s="416">
        <f>Assumptions!$C$6+Assumptions!$C$25</f>
        <v>3.5000000000000003E-2</v>
      </c>
      <c r="S169" s="416">
        <f>Assumptions!$C$15</f>
        <v>1.1000000000000001E-3</v>
      </c>
      <c r="T169" s="26">
        <f t="shared" si="54"/>
        <v>1</v>
      </c>
      <c r="U169" s="26">
        <f t="shared" si="55"/>
        <v>3</v>
      </c>
      <c r="V169" s="389">
        <f>IF($G169="Preferred",Assumptions!$C$30,IF($G169="Rated",Assumptions!$C$31,1))</f>
        <v>1</v>
      </c>
      <c r="W169" s="390">
        <f>IF($K169="Direct",Assumptions!$C$32,IF($K169="Broker",Assumptions!$C$33,IF($K169="Bancassurance",Assumptions!$C$34,Assumptions!$C$11)))+$Q169</f>
        <v>0.1</v>
      </c>
      <c r="X169" s="390">
        <f>Assumptions!$C$12+$Q169</f>
        <v>0.05</v>
      </c>
      <c r="Y169" s="131">
        <f>MIN($I169,Assumptions!$C$14)</f>
        <v>500000</v>
      </c>
      <c r="Z169" s="131">
        <f>MAX($I169-Assumptions!$C$14,0)</f>
        <v>500000</v>
      </c>
      <c r="AA169" s="389">
        <f t="shared" si="56"/>
        <v>8.5196512803084747</v>
      </c>
      <c r="AB169" s="389">
        <f t="shared" si="57"/>
        <v>2.0526392024505135E-2</v>
      </c>
      <c r="AC169" s="389">
        <f>IF($T169=1,SUMPRODUCT($CJ169:$DW169,(1+Assumptions!$C$5)^($CJ$5:$DW$5-1),(1+$R169)^(-$CJ$5:$DW$5)),0)</f>
        <v>11.445315067309432</v>
      </c>
      <c r="AD169" s="389">
        <f t="shared" si="58"/>
        <v>0.47429174275938513</v>
      </c>
      <c r="AE169" s="131">
        <f>IF($T169=1,$AB169*$Y169+(Assumptions!$C$9/(1+$R169)+Assumptions!$C$10*$AC169)*$P169+$S169*$Z169*$AA169,0)</f>
        <v>18336.538748621606</v>
      </c>
      <c r="AF169" s="131">
        <f>IF($T169=1,IF($AA169-$AD169-Assumptions!$C$16*$AA169&gt;0,$AE169/($AA169-$AD169-Assumptions!$C$16*$AA169)*IF($J169="Monthly",1+Assumptions!$C$29,1),"n.a."),"")</f>
        <v>2490.0961509505887</v>
      </c>
      <c r="AG169" s="131">
        <f t="shared" si="59"/>
        <v>2502.2199999999998</v>
      </c>
      <c r="AH169" s="131">
        <f t="shared" si="60"/>
        <v>21318.041826613469</v>
      </c>
      <c r="AI169" s="131">
        <f t="shared" si="61"/>
        <v>1794.7207934244761</v>
      </c>
      <c r="AJ169" s="390">
        <f t="shared" si="62"/>
        <v>8.4187882171426476E-2</v>
      </c>
      <c r="AK169" s="389">
        <f t="shared" si="63"/>
        <v>1.0048688276734947</v>
      </c>
      <c r="AL169" s="131">
        <f t="shared" si="64"/>
        <v>10263.196012252567</v>
      </c>
      <c r="AM169" s="131">
        <f t="shared" si="65"/>
        <v>4685.8082041696607</v>
      </c>
      <c r="AN169" s="131">
        <f t="shared" si="66"/>
        <v>5577.3878080829063</v>
      </c>
      <c r="AO169" s="131">
        <f t="shared" si="67"/>
        <v>-3782.6670146584302</v>
      </c>
      <c r="AP169" s="26" t="str">
        <f t="shared" si="68"/>
        <v>40-49</v>
      </c>
      <c r="AQ169" s="26" t="str">
        <f t="shared" si="69"/>
        <v>500k-1m</v>
      </c>
      <c r="AR169" s="26" t="str">
        <f>IF($T169=1,IF($AI169&lt;0,"Loss-making",IF($AJ169&lt;Assumptions!$C$16-0.00001,"Below target","At/above target")),"Excluded")</f>
        <v>At/above target</v>
      </c>
      <c r="AS169" s="103">
        <f t="shared" si="70"/>
        <v>1794.7209624244761</v>
      </c>
      <c r="AT169" s="26"/>
      <c r="AU169" s="419">
        <f>IF(AND($T169=1,AU$5&lt;=$H169),INDEX(Mortality!$B$4:$E$64,MATCH($D169+AU$5-1,Mortality!$A$4:$A$64,0),$U169)*$V169*$N169,0)</f>
        <v>1.24764059807091E-3</v>
      </c>
      <c r="AV169" s="93">
        <f>IF(AND($T169=1,AV$5&lt;=$H169),INDEX(Mortality!$B$4:$E$64,MATCH($D169+AV$5-1,Mortality!$A$4:$A$64,0),$U169)*$V169*$N169,0)</f>
        <v>1.3515529249964601E-3</v>
      </c>
      <c r="AW169" s="93">
        <f>IF(AND($T169=1,AW$5&lt;=$H169),INDEX(Mortality!$B$4:$E$64,MATCH($D169+AW$5-1,Mortality!$A$4:$A$64,0),$U169)*$V169*$N169,0)</f>
        <v>1.4641198049269301E-3</v>
      </c>
      <c r="AX169" s="93">
        <f>IF(AND($T169=1,AX$5&lt;=$H169),INDEX(Mortality!$B$4:$E$64,MATCH($D169+AX$5-1,Mortality!$A$4:$A$64,0),$U169)*$V169*$N169,0)</f>
        <v>1.58606205020413E-3</v>
      </c>
      <c r="AY169" s="93">
        <f>IF(AND($T169=1,AY$5&lt;=$H169),INDEX(Mortality!$B$4:$E$64,MATCH($D169+AY$5-1,Mortality!$A$4:$A$64,0),$U169)*$V169*$N169,0)</f>
        <v>1.71816050751616E-3</v>
      </c>
      <c r="AZ169" s="93">
        <f>IF(AND($T169=1,AZ$5&lt;=$H169),INDEX(Mortality!$B$4:$E$64,MATCH($D169+AZ$5-1,Mortality!$A$4:$A$64,0),$U169)*$V169*$N169,0)</f>
        <v>1.8612610579820999E-3</v>
      </c>
      <c r="BA169" s="93">
        <f>IF(AND($T169=1,BA$5&lt;=$H169),INDEX(Mortality!$B$4:$E$64,MATCH($D169+BA$5-1,Mortality!$A$4:$A$64,0),$U169)*$V169*$N169,0)</f>
        <v>2.0162800336790201E-3</v>
      </c>
      <c r="BB169" s="93">
        <f>IF(AND($T169=1,BB$5&lt;=$H169),INDEX(Mortality!$B$4:$E$64,MATCH($D169+BB$5-1,Mortality!$A$4:$A$64,0),$U169)*$V169*$N169,0)</f>
        <v>2.1842100852957199E-3</v>
      </c>
      <c r="BC169" s="93">
        <f>IF(AND($T169=1,BC$5&lt;=$H169),INDEX(Mortality!$B$4:$E$64,MATCH($D169+BC$5-1,Mortality!$A$4:$A$64,0),$U169)*$V169*$N169,0)</f>
        <v>2.3661265384860701E-3</v>
      </c>
      <c r="BD169" s="93">
        <f>IF(AND($T169=1,BD$5&lt;=$H169),INDEX(Mortality!$B$4:$E$64,MATCH($D169+BD$5-1,Mortality!$A$4:$A$64,0),$U169)*$V169*$N169,0)</f>
        <v>2.5631942796244698E-3</v>
      </c>
      <c r="BE169" s="93">
        <f>IF(AND($T169=1,BE$5&lt;=$H169),INDEX(Mortality!$B$4:$E$64,MATCH($D169+BE$5-1,Mortality!$A$4:$A$64,0),$U169)*$V169*$N169,0)</f>
        <v>2.7766752150556202E-3</v>
      </c>
      <c r="BF169" s="93">
        <f>IF(AND($T169=1,BF$5&lt;=$H169),INDEX(Mortality!$B$4:$E$64,MATCH($D169+BF$5-1,Mortality!$A$4:$A$64,0),$U169)*$V169*$N169,0)</f>
        <v>3.0079363516033399E-3</v>
      </c>
      <c r="BG169" s="93">
        <f>IF(AND($T169=1,BG$5&lt;=$H169),INDEX(Mortality!$B$4:$E$64,MATCH($D169+BG$5-1,Mortality!$A$4:$A$64,0),$U169)*$V169*$N169,0)</f>
        <v>3.2584585500813001E-3</v>
      </c>
      <c r="BH169" s="93">
        <f>IF(AND($T169=1,BH$5&lt;=$H169),INDEX(Mortality!$B$4:$E$64,MATCH($D169+BH$5-1,Mortality!$A$4:$A$64,0),$U169)*$V169*$N169,0)</f>
        <v>3.5298460078579601E-3</v>
      </c>
      <c r="BI169" s="93">
        <f>IF(AND($T169=1,BI$5&lt;=$H169),INDEX(Mortality!$B$4:$E$64,MATCH($D169+BI$5-1,Mortality!$A$4:$A$64,0),$U169)*$V169*$N169,0)</f>
        <v>3.8238365311966099E-3</v>
      </c>
      <c r="BJ169" s="93">
        <f>IF(AND($T169=1,BJ$5&lt;=$H169),INDEX(Mortality!$B$4:$E$64,MATCH($D169+BJ$5-1,Mortality!$A$4:$A$64,0),$U169)*$V169*$N169,0)</f>
        <v>4.1423126631483596E-3</v>
      </c>
      <c r="BK169" s="93">
        <f>IF(AND($T169=1,BK$5&lt;=$H169),INDEX(Mortality!$B$4:$E$64,MATCH($D169+BK$5-1,Mortality!$A$4:$A$64,0),$U169)*$V169*$N169,0)</f>
        <v>4.4873137382548398E-3</v>
      </c>
      <c r="BL169" s="93">
        <f>IF(AND($T169=1,BL$5&lt;=$H169),INDEX(Mortality!$B$4:$E$64,MATCH($D169+BL$5-1,Mortality!$A$4:$A$64,0),$U169)*$V169*$N169,0)</f>
        <v>4.8610489412516398E-3</v>
      </c>
      <c r="BM169" s="93">
        <f>IF(AND($T169=1,BM$5&lt;=$H169),INDEX(Mortality!$B$4:$E$64,MATCH($D169+BM$5-1,Mortality!$A$4:$A$64,0),$U169)*$V169*$N169,0)</f>
        <v>5.2659114533929498E-3</v>
      </c>
      <c r="BN169" s="93">
        <f>IF(AND($T169=1,BN$5&lt;=$H169),INDEX(Mortality!$B$4:$E$64,MATCH($D169+BN$5-1,Mortality!$A$4:$A$64,0),$U169)*$V169*$N169,0)</f>
        <v>5.7044937769820296E-3</v>
      </c>
      <c r="BO169" s="93">
        <f>IF(AND($T169=1,BO$5&lt;=$H169),INDEX(Mortality!$B$4:$E$64,MATCH($D169+BO$5-1,Mortality!$A$4:$A$64,0),$U169)*$V169*$N169,0)</f>
        <v>0</v>
      </c>
      <c r="BP169" s="93">
        <f>IF(AND($T169=1,BP$5&lt;=$H169),INDEX(Mortality!$B$4:$E$64,MATCH($D169+BP$5-1,Mortality!$A$4:$A$64,0),$U169)*$V169*$N169,0)</f>
        <v>0</v>
      </c>
      <c r="BQ169" s="93">
        <f>IF(AND($T169=1,BQ$5&lt;=$H169),INDEX(Mortality!$B$4:$E$64,MATCH($D169+BQ$5-1,Mortality!$A$4:$A$64,0),$U169)*$V169*$N169,0)</f>
        <v>0</v>
      </c>
      <c r="BR169" s="93">
        <f>IF(AND($T169=1,BR$5&lt;=$H169),INDEX(Mortality!$B$4:$E$64,MATCH($D169+BR$5-1,Mortality!$A$4:$A$64,0),$U169)*$V169*$N169,0)</f>
        <v>0</v>
      </c>
      <c r="BS169" s="93">
        <f>IF(AND($T169=1,BS$5&lt;=$H169),INDEX(Mortality!$B$4:$E$64,MATCH($D169+BS$5-1,Mortality!$A$4:$A$64,0),$U169)*$V169*$N169,0)</f>
        <v>0</v>
      </c>
      <c r="BT169" s="93">
        <f>IF(AND($T169=1,BT$5&lt;=$H169),INDEX(Mortality!$B$4:$E$64,MATCH($D169+BT$5-1,Mortality!$A$4:$A$64,0),$U169)*$V169*$N169,0)</f>
        <v>0</v>
      </c>
      <c r="BU169" s="93">
        <f>IF(AND($T169=1,BU$5&lt;=$H169),INDEX(Mortality!$B$4:$E$64,MATCH($D169+BU$5-1,Mortality!$A$4:$A$64,0),$U169)*$V169*$N169,0)</f>
        <v>0</v>
      </c>
      <c r="BV169" s="93">
        <f>IF(AND($T169=1,BV$5&lt;=$H169),INDEX(Mortality!$B$4:$E$64,MATCH($D169+BV$5-1,Mortality!$A$4:$A$64,0),$U169)*$V169*$N169,0)</f>
        <v>0</v>
      </c>
      <c r="BW169" s="93">
        <f>IF(AND($T169=1,BW$5&lt;=$H169),INDEX(Mortality!$B$4:$E$64,MATCH($D169+BW$5-1,Mortality!$A$4:$A$64,0),$U169)*$V169*$N169,0)</f>
        <v>0</v>
      </c>
      <c r="BX169" s="93">
        <f>IF(AND($T169=1,BX$5&lt;=$H169),INDEX(Mortality!$B$4:$E$64,MATCH($D169+BX$5-1,Mortality!$A$4:$A$64,0),$U169)*$V169*$N169,0)</f>
        <v>0</v>
      </c>
      <c r="BY169" s="93">
        <f>IF(AND($T169=1,BY$5&lt;=$H169),INDEX(Mortality!$B$4:$E$64,MATCH($D169+BY$5-1,Mortality!$A$4:$A$64,0),$U169)*$V169*$N169,0)</f>
        <v>0</v>
      </c>
      <c r="BZ169" s="93">
        <f>IF(AND($T169=1,BZ$5&lt;=$H169),INDEX(Mortality!$B$4:$E$64,MATCH($D169+BZ$5-1,Mortality!$A$4:$A$64,0),$U169)*$V169*$N169,0)</f>
        <v>0</v>
      </c>
      <c r="CA169" s="93">
        <f>IF(AND($T169=1,CA$5&lt;=$H169),INDEX(Mortality!$B$4:$E$64,MATCH($D169+CA$5-1,Mortality!$A$4:$A$64,0),$U169)*$V169*$N169,0)</f>
        <v>0</v>
      </c>
      <c r="CB169" s="93">
        <f>IF(AND($T169=1,CB$5&lt;=$H169),INDEX(Mortality!$B$4:$E$64,MATCH($D169+CB$5-1,Mortality!$A$4:$A$64,0),$U169)*$V169*$N169,0)</f>
        <v>0</v>
      </c>
      <c r="CC169" s="93">
        <f>IF(AND($T169=1,CC$5&lt;=$H169),INDEX(Mortality!$B$4:$E$64,MATCH($D169+CC$5-1,Mortality!$A$4:$A$64,0),$U169)*$V169*$N169,0)</f>
        <v>0</v>
      </c>
      <c r="CD169" s="93">
        <f>IF(AND($T169=1,CD$5&lt;=$H169),INDEX(Mortality!$B$4:$E$64,MATCH($D169+CD$5-1,Mortality!$A$4:$A$64,0),$U169)*$V169*$N169,0)</f>
        <v>0</v>
      </c>
      <c r="CE169" s="93">
        <f>IF(AND($T169=1,CE$5&lt;=$H169),INDEX(Mortality!$B$4:$E$64,MATCH($D169+CE$5-1,Mortality!$A$4:$A$64,0),$U169)*$V169*$N169,0)</f>
        <v>0</v>
      </c>
      <c r="CF169" s="93">
        <f>IF(AND($T169=1,CF$5&lt;=$H169),INDEX(Mortality!$B$4:$E$64,MATCH($D169+CF$5-1,Mortality!$A$4:$A$64,0),$U169)*$V169*$N169,0)</f>
        <v>0</v>
      </c>
      <c r="CG169" s="93">
        <f>IF(AND($T169=1,CG$5&lt;=$H169),INDEX(Mortality!$B$4:$E$64,MATCH($D169+CG$5-1,Mortality!$A$4:$A$64,0),$U169)*$V169*$N169,0)</f>
        <v>0</v>
      </c>
      <c r="CH169" s="94">
        <f>IF(AND($T169=1,CH$5&lt;=$H169),INDEX(Mortality!$B$4:$E$64,MATCH($D169+CH$5-1,Mortality!$A$4:$A$64,0),$U169)*$V169*$N169,0)</f>
        <v>0</v>
      </c>
      <c r="CI169" s="26"/>
      <c r="CJ169" s="419">
        <f t="shared" si="71"/>
        <v>1</v>
      </c>
      <c r="CK169" s="93">
        <f>IF(AND($T169=1,CK$5&lt;=$H169),CJ169*(1-AU169)*(1-MIN(1,MAX(Assumptions!$C$27,Assumptions!$C$13*Assumptions!$C$28^(CJ$5-1))*$O169)),0)</f>
        <v>0.87890207627369754</v>
      </c>
      <c r="CL169" s="93">
        <f>IF(AND($T169=1,CL$5&lt;=$H169),CK169*(1-AV169)*(1-MIN(1,MAX(Assumptions!$C$27,Assumptions!$C$13*Assumptions!$C$28^(CK$5-1))*$O169)),0)</f>
        <v>0.78818734585434858</v>
      </c>
      <c r="CM169" s="93">
        <f>IF(AND($T169=1,CM$5&lt;=$H169),CL169*(1-AW169)*(1-MIN(1,MAX(Assumptions!$C$27,Assumptions!$C$13*Assumptions!$C$28^(CL$5-1))*$O169)),0)</f>
        <v>0.71879755412667357</v>
      </c>
      <c r="CN169" s="93">
        <f>IF(AND($T169=1,CN$5&lt;=$H169),CM169*(1-AX169)*(1-MIN(1,MAX(Assumptions!$C$27,Assumptions!$C$13*Assumptions!$C$28^(CM$5-1))*$O169)),0)</f>
        <v>0.66476972739204032</v>
      </c>
      <c r="CO169" s="93">
        <f>IF(AND($T169=1,CO$5&lt;=$H169),CN169*(1-AY169)*(1-MIN(1,MAX(Assumptions!$C$27,Assumptions!$C$13*Assumptions!$C$28^(CN$5-1))*$O169)),0)</f>
        <v>0.62205741907896106</v>
      </c>
      <c r="CP169" s="93">
        <f>IF(AND($T169=1,CP$5&lt;=$H169),CO169*(1-AZ169)*(1-MIN(1,MAX(Assumptions!$C$27,Assumptions!$C$13*Assumptions!$C$28^(CO$5-1))*$O169)),0)</f>
        <v>0.58784003328625323</v>
      </c>
      <c r="CQ169" s="93">
        <f>IF(AND($T169=1,CQ$5&lt;=$H169),CP169*(1-BA169)*(1-MIN(1,MAX(Assumptions!$C$27,Assumptions!$C$13*Assumptions!$C$28^(CP$5-1))*$O169)),0)</f>
        <v>0.56010399508700748</v>
      </c>
      <c r="CR169" s="93">
        <f>IF(AND($T169=1,CR$5&lt;=$H169),CQ169*(1-BB169)*(1-MIN(1,MAX(Assumptions!$C$27,Assumptions!$C$13*Assumptions!$C$28^(CQ$5-1))*$O169)),0)</f>
        <v>0.53738089204280837</v>
      </c>
      <c r="CS169" s="93">
        <f>IF(AND($T169=1,CS$5&lt;=$H169),CR169*(1-BC169)*(1-MIN(1,MAX(Assumptions!$C$27,Assumptions!$C$13*Assumptions!$C$28^(CR$5-1))*$O169)),0)</f>
        <v>0.51857921365283466</v>
      </c>
      <c r="CT169" s="93">
        <f>IF(AND($T169=1,CT$5&lt;=$H169),CS169*(1-BD169)*(1-MIN(1,MAX(Assumptions!$C$27,Assumptions!$C$13*Assumptions!$C$28^(CS$5-1))*$O169)),0)</f>
        <v>0.50287353067930307</v>
      </c>
      <c r="CU169" s="93">
        <f>IF(AND($T169=1,CU$5&lt;=$H169),CT169*(1-BE169)*(1-MIN(1,MAX(Assumptions!$C$27,Assumptions!$C$13*Assumptions!$C$28^(CT$5-1))*$O169)),0)</f>
        <v>0.48962985086978517</v>
      </c>
      <c r="CV169" s="93">
        <f>IF(AND($T169=1,CV$5&lt;=$H169),CU169*(1-BF169)*(1-MIN(1,MAX(Assumptions!$C$27,Assumptions!$C$13*Assumptions!$C$28^(CU$5-1))*$O169)),0)</f>
        <v>0.47835430083037328</v>
      </c>
      <c r="CW169" s="93">
        <f>IF(AND($T169=1,CW$5&lt;=$H169),CV169*(1-BG169)*(1-MIN(1,MAX(Assumptions!$C$27,Assumptions!$C$13*Assumptions!$C$28^(CV$5-1))*$O169)),0)</f>
        <v>0.4672596911054871</v>
      </c>
      <c r="CX169" s="93">
        <f>IF(AND($T169=1,CX$5&lt;=$H169),CW169*(1-BH169)*(1-MIN(1,MAX(Assumptions!$C$27,Assumptions!$C$13*Assumptions!$C$28^(CW$5-1))*$O169)),0)</f>
        <v>0.45629812962320132</v>
      </c>
      <c r="CY169" s="93">
        <f>IF(AND($T169=1,CY$5&lt;=$H169),CX169*(1-BI169)*(1-MIN(1,MAX(Assumptions!$C$27,Assumptions!$C$13*Assumptions!$C$28^(CX$5-1))*$O169)),0)</f>
        <v>0.44546225376271081</v>
      </c>
      <c r="CZ169" s="93">
        <f>IF(AND($T169=1,CZ$5&lt;=$H169),CY169*(1-BJ169)*(1-MIN(1,MAX(Assumptions!$C$27,Assumptions!$C$13*Assumptions!$C$28^(CY$5-1))*$O169)),0)</f>
        <v>0.43474466963143504</v>
      </c>
      <c r="DA169" s="93">
        <f>IF(AND($T169=1,DA$5&lt;=$H169),CZ169*(1-BK169)*(1-MIN(1,MAX(Assumptions!$C$27,Assumptions!$C$13*Assumptions!$C$28^(CZ$5-1))*$O169)),0)</f>
        <v>0.42413795722470954</v>
      </c>
      <c r="DB169" s="93">
        <f>IF(AND($T169=1,DB$5&lt;=$H169),DA169*(1-BL169)*(1-MIN(1,MAX(Assumptions!$C$27,Assumptions!$C$13*Assumptions!$C$28^(DA$5-1))*$O169)),0)</f>
        <v>0.41363467781966179</v>
      </c>
      <c r="DC169" s="93">
        <f>IF(AND($T169=1,DC$5&lt;=$H169),DB169*(1-BM169)*(1-MIN(1,MAX(Assumptions!$C$27,Assumptions!$C$13*Assumptions!$C$28^(DB$5-1))*$O169)),0)</f>
        <v>0.40322738394756652</v>
      </c>
      <c r="DD169" s="93">
        <f>IF(AND($T169=1,DD$5&lt;=$H169),DC169*(1-BN169)*(1-MIN(1,MAX(Assumptions!$C$27,Assumptions!$C$13*Assumptions!$C$28^(DC$5-1))*$O169)),0)</f>
        <v>0</v>
      </c>
      <c r="DE169" s="93">
        <f>IF(AND($T169=1,DE$5&lt;=$H169),DD169*(1-BO169)*(1-MIN(1,MAX(Assumptions!$C$27,Assumptions!$C$13*Assumptions!$C$28^(DD$5-1))*$O169)),0)</f>
        <v>0</v>
      </c>
      <c r="DF169" s="93">
        <f>IF(AND($T169=1,DF$5&lt;=$H169),DE169*(1-BP169)*(1-MIN(1,MAX(Assumptions!$C$27,Assumptions!$C$13*Assumptions!$C$28^(DE$5-1))*$O169)),0)</f>
        <v>0</v>
      </c>
      <c r="DG169" s="93">
        <f>IF(AND($T169=1,DG$5&lt;=$H169),DF169*(1-BQ169)*(1-MIN(1,MAX(Assumptions!$C$27,Assumptions!$C$13*Assumptions!$C$28^(DF$5-1))*$O169)),0)</f>
        <v>0</v>
      </c>
      <c r="DH169" s="93">
        <f>IF(AND($T169=1,DH$5&lt;=$H169),DG169*(1-BR169)*(1-MIN(1,MAX(Assumptions!$C$27,Assumptions!$C$13*Assumptions!$C$28^(DG$5-1))*$O169)),0)</f>
        <v>0</v>
      </c>
      <c r="DI169" s="93">
        <f>IF(AND($T169=1,DI$5&lt;=$H169),DH169*(1-BS169)*(1-MIN(1,MAX(Assumptions!$C$27,Assumptions!$C$13*Assumptions!$C$28^(DH$5-1))*$O169)),0)</f>
        <v>0</v>
      </c>
      <c r="DJ169" s="93">
        <f>IF(AND($T169=1,DJ$5&lt;=$H169),DI169*(1-BT169)*(1-MIN(1,MAX(Assumptions!$C$27,Assumptions!$C$13*Assumptions!$C$28^(DI$5-1))*$O169)),0)</f>
        <v>0</v>
      </c>
      <c r="DK169" s="93">
        <f>IF(AND($T169=1,DK$5&lt;=$H169),DJ169*(1-BU169)*(1-MIN(1,MAX(Assumptions!$C$27,Assumptions!$C$13*Assumptions!$C$28^(DJ$5-1))*$O169)),0)</f>
        <v>0</v>
      </c>
      <c r="DL169" s="93">
        <f>IF(AND($T169=1,DL$5&lt;=$H169),DK169*(1-BV169)*(1-MIN(1,MAX(Assumptions!$C$27,Assumptions!$C$13*Assumptions!$C$28^(DK$5-1))*$O169)),0)</f>
        <v>0</v>
      </c>
      <c r="DM169" s="93">
        <f>IF(AND($T169=1,DM$5&lt;=$H169),DL169*(1-BW169)*(1-MIN(1,MAX(Assumptions!$C$27,Assumptions!$C$13*Assumptions!$C$28^(DL$5-1))*$O169)),0)</f>
        <v>0</v>
      </c>
      <c r="DN169" s="93">
        <f>IF(AND($T169=1,DN$5&lt;=$H169),DM169*(1-BX169)*(1-MIN(1,MAX(Assumptions!$C$27,Assumptions!$C$13*Assumptions!$C$28^(DM$5-1))*$O169)),0)</f>
        <v>0</v>
      </c>
      <c r="DO169" s="93">
        <f>IF(AND($T169=1,DO$5&lt;=$H169),DN169*(1-BY169)*(1-MIN(1,MAX(Assumptions!$C$27,Assumptions!$C$13*Assumptions!$C$28^(DN$5-1))*$O169)),0)</f>
        <v>0</v>
      </c>
      <c r="DP169" s="93">
        <f>IF(AND($T169=1,DP$5&lt;=$H169),DO169*(1-BZ169)*(1-MIN(1,MAX(Assumptions!$C$27,Assumptions!$C$13*Assumptions!$C$28^(DO$5-1))*$O169)),0)</f>
        <v>0</v>
      </c>
      <c r="DQ169" s="93">
        <f>IF(AND($T169=1,DQ$5&lt;=$H169),DP169*(1-CA169)*(1-MIN(1,MAX(Assumptions!$C$27,Assumptions!$C$13*Assumptions!$C$28^(DP$5-1))*$O169)),0)</f>
        <v>0</v>
      </c>
      <c r="DR169" s="93">
        <f>IF(AND($T169=1,DR$5&lt;=$H169),DQ169*(1-CB169)*(1-MIN(1,MAX(Assumptions!$C$27,Assumptions!$C$13*Assumptions!$C$28^(DQ$5-1))*$O169)),0)</f>
        <v>0</v>
      </c>
      <c r="DS169" s="93">
        <f>IF(AND($T169=1,DS$5&lt;=$H169),DR169*(1-CC169)*(1-MIN(1,MAX(Assumptions!$C$27,Assumptions!$C$13*Assumptions!$C$28^(DR$5-1))*$O169)),0)</f>
        <v>0</v>
      </c>
      <c r="DT169" s="93">
        <f>IF(AND($T169=1,DT$5&lt;=$H169),DS169*(1-CD169)*(1-MIN(1,MAX(Assumptions!$C$27,Assumptions!$C$13*Assumptions!$C$28^(DS$5-1))*$O169)),0)</f>
        <v>0</v>
      </c>
      <c r="DU169" s="93">
        <f>IF(AND($T169=1,DU$5&lt;=$H169),DT169*(1-CE169)*(1-MIN(1,MAX(Assumptions!$C$27,Assumptions!$C$13*Assumptions!$C$28^(DT$5-1))*$O169)),0)</f>
        <v>0</v>
      </c>
      <c r="DV169" s="93">
        <f>IF(AND($T169=1,DV$5&lt;=$H169),DU169*(1-CF169)*(1-MIN(1,MAX(Assumptions!$C$27,Assumptions!$C$13*Assumptions!$C$28^(DU$5-1))*$O169)),0)</f>
        <v>0</v>
      </c>
      <c r="DW169" s="94">
        <f>IF(AND($T169=1,DW$5&lt;=$H169),DV169*(1-CG169)*(1-MIN(1,MAX(Assumptions!$C$27,Assumptions!$C$13*Assumptions!$C$28^(DV$5-1))*$O169)),0)</f>
        <v>0</v>
      </c>
      <c r="DX169" s="26"/>
      <c r="DY169" s="399">
        <f>'Policy Data'!K143</f>
        <v>3</v>
      </c>
      <c r="DZ169" s="100">
        <f>'Policy Data'!L143</f>
        <v>0.55159999999999998</v>
      </c>
      <c r="EA169" s="100">
        <f>'Policy Data'!N143</f>
        <v>6.8800000000000003E-4</v>
      </c>
      <c r="EB169" s="93" cm="1">
        <f t="array" ref="EB169">IFERROR(DZ169*INDEX(Mortality!$B$4:$E$64,MATCH(D169+DY169-1,Mortality!$A$4:$A$64,0),U169)*V169,0)</f>
        <v>8.0760848439769461E-4</v>
      </c>
      <c r="EC169" s="100">
        <f>'Policy Data'!O143</f>
        <v>0</v>
      </c>
      <c r="ED169" s="400">
        <f>'Policy Data'!Q143</f>
        <v>0</v>
      </c>
    </row>
    <row r="170" spans="1:134" x14ac:dyDescent="0.3">
      <c r="A170" s="399" t="str">
        <f>'Policy Data'!A144</f>
        <v>POL100140</v>
      </c>
      <c r="B170" s="26" t="s">
        <v>426</v>
      </c>
      <c r="C170" s="100" t="str">
        <f>'Policy Data'!B144</f>
        <v>Term Life</v>
      </c>
      <c r="D170" s="100">
        <f>'Policy Data'!C144</f>
        <v>30</v>
      </c>
      <c r="E170" s="100" t="str">
        <f>'Policy Data'!D144</f>
        <v>Male</v>
      </c>
      <c r="F170" s="100" t="str">
        <f>'Policy Data'!E144</f>
        <v>Smoker</v>
      </c>
      <c r="G170" s="100" t="str">
        <f>'Policy Data'!F144</f>
        <v>Rated</v>
      </c>
      <c r="H170" s="100">
        <f>'Policy Data'!G144</f>
        <v>10</v>
      </c>
      <c r="I170" s="279">
        <f>'Policy Data'!H144</f>
        <v>500000</v>
      </c>
      <c r="J170" s="100" t="str">
        <f>'Policy Data'!I144</f>
        <v>Monthly</v>
      </c>
      <c r="K170" s="100" t="str">
        <f>'Policy Data'!J144</f>
        <v>Broker</v>
      </c>
      <c r="L170" s="26" t="s">
        <v>389</v>
      </c>
      <c r="M170" s="106">
        <f>'Policy Data'!R144</f>
        <v>1535.87</v>
      </c>
      <c r="N170" s="415">
        <f>Assumptions!$C$21</f>
        <v>1</v>
      </c>
      <c r="O170" s="415">
        <f>Assumptions!$C$22</f>
        <v>1</v>
      </c>
      <c r="P170" s="415">
        <f>Assumptions!$C$23</f>
        <v>1</v>
      </c>
      <c r="Q170" s="416">
        <f>Assumptions!$C$24</f>
        <v>0</v>
      </c>
      <c r="R170" s="416">
        <f>Assumptions!$C$6+Assumptions!$C$25</f>
        <v>3.5000000000000003E-2</v>
      </c>
      <c r="S170" s="416">
        <f>Assumptions!$C$15</f>
        <v>1.1000000000000001E-3</v>
      </c>
      <c r="T170" s="26">
        <f t="shared" si="54"/>
        <v>1</v>
      </c>
      <c r="U170" s="26">
        <f t="shared" si="55"/>
        <v>4</v>
      </c>
      <c r="V170" s="389">
        <f>IF($G170="Preferred",Assumptions!$C$30,IF($G170="Rated",Assumptions!$C$31,1))</f>
        <v>1.55</v>
      </c>
      <c r="W170" s="390">
        <f>IF($K170="Direct",Assumptions!$C$32,IF($K170="Broker",Assumptions!$C$33,IF($K170="Bancassurance",Assumptions!$C$34,Assumptions!$C$11)))+$Q170</f>
        <v>0.25</v>
      </c>
      <c r="X170" s="390">
        <f>Assumptions!$C$12+$Q170</f>
        <v>0.05</v>
      </c>
      <c r="Y170" s="131">
        <f>MIN($I170,Assumptions!$C$14)</f>
        <v>500000</v>
      </c>
      <c r="Z170" s="131">
        <f>MAX($I170-Assumptions!$C$14,0)</f>
        <v>0</v>
      </c>
      <c r="AA170" s="389">
        <f t="shared" si="56"/>
        <v>5.8370345711442617</v>
      </c>
      <c r="AB170" s="389">
        <f t="shared" si="57"/>
        <v>1.0591186062024081E-2</v>
      </c>
      <c r="AC170" s="389">
        <f>IF($T170=1,SUMPRODUCT($CJ170:$DW170,(1+Assumptions!$C$5)^($CJ$5:$DW$5-1),(1+$R170)^(-$CJ$5:$DW$5)),0)</f>
        <v>6.768157905027179</v>
      </c>
      <c r="AD170" s="389">
        <f t="shared" si="58"/>
        <v>0.48508844353305852</v>
      </c>
      <c r="AE170" s="131">
        <f>IF($T170=1,$AB170*$Y170+(Assumptions!$C$9/(1+$R170)+Assumptions!$C$10*$AC170)*$P170+$S170*$Z170*$AA170,0)</f>
        <v>7654.1529875093238</v>
      </c>
      <c r="AF170" s="131">
        <f>IF($T170=1,IF($AA170-$AD170-Assumptions!$C$16*$AA170&gt;0,$AE170/($AA170-$AD170-Assumptions!$C$16*$AA170)*IF($J170="Monthly",1+Assumptions!$C$29,1),"n.a."),"")</f>
        <v>1613.8801287618919</v>
      </c>
      <c r="AG170" s="131">
        <f t="shared" si="59"/>
        <v>1535.87</v>
      </c>
      <c r="AH170" s="131">
        <f t="shared" si="60"/>
        <v>8964.9262867833368</v>
      </c>
      <c r="AI170" s="131">
        <f t="shared" si="61"/>
        <v>565.74051150489504</v>
      </c>
      <c r="AJ170" s="390">
        <f t="shared" si="62"/>
        <v>6.3105985861695885E-2</v>
      </c>
      <c r="AK170" s="389">
        <f t="shared" si="63"/>
        <v>0.95166299691555256</v>
      </c>
      <c r="AL170" s="131">
        <f t="shared" si="64"/>
        <v>0</v>
      </c>
      <c r="AM170" s="131">
        <f t="shared" si="65"/>
        <v>0</v>
      </c>
      <c r="AN170" s="131">
        <f t="shared" si="66"/>
        <v>0</v>
      </c>
      <c r="AO170" s="131">
        <f t="shared" si="67"/>
        <v>565.74051150489504</v>
      </c>
      <c r="AP170" s="26" t="str">
        <f t="shared" si="68"/>
        <v>30-39</v>
      </c>
      <c r="AQ170" s="26" t="str">
        <f t="shared" si="69"/>
        <v>250k-500k</v>
      </c>
      <c r="AR170" s="26" t="str">
        <f>IF($T170=1,IF($AI170&lt;0,"Loss-making",IF($AJ170&lt;Assumptions!$C$16-0.00001,"Below target","At/above target")),"Excluded")</f>
        <v>Below target</v>
      </c>
      <c r="AS170" s="103">
        <f t="shared" si="70"/>
        <v>565.74068150489506</v>
      </c>
      <c r="AT170" s="26"/>
      <c r="AU170" s="419">
        <f>IF(AND($T170=1,AU$5&lt;=$H170),INDEX(Mortality!$B$4:$E$64,MATCH($D170+AU$5-1,Mortality!$A$4:$A$64,0),$U170)*$V170*$N170,0)</f>
        <v>1.32350625E-3</v>
      </c>
      <c r="AV170" s="93">
        <f>IF(AND($T170=1,AV$5&lt;=$H170),INDEX(Mortality!$B$4:$E$64,MATCH($D170+AV$5-1,Mortality!$A$4:$A$64,0),$U170)*$V170*$N170,0)</f>
        <v>1.4337372046119802E-3</v>
      </c>
      <c r="AW170" s="93">
        <f>IF(AND($T170=1,AW$5&lt;=$H170),INDEX(Mortality!$B$4:$E$64,MATCH($D170+AW$5-1,Mortality!$A$4:$A$64,0),$U170)*$V170*$N170,0)</f>
        <v>1.5531489722006013E-3</v>
      </c>
      <c r="AX170" s="93">
        <f>IF(AND($T170=1,AX$5&lt;=$H170),INDEX(Mortality!$B$4:$E$64,MATCH($D170+AX$5-1,Mortality!$A$4:$A$64,0),$U170)*$V170*$N170,0)</f>
        <v>1.6825061957575695E-3</v>
      </c>
      <c r="AY170" s="93">
        <f>IF(AND($T170=1,AY$5&lt;=$H170),INDEX(Mortality!$B$4:$E$64,MATCH($D170+AY$5-1,Mortality!$A$4:$A$64,0),$U170)*$V170*$N170,0)</f>
        <v>1.8226372031471736E-3</v>
      </c>
      <c r="AZ170" s="93">
        <f>IF(AND($T170=1,AZ$5&lt;=$H170),INDEX(Mortality!$B$4:$E$64,MATCH($D170+AZ$5-1,Mortality!$A$4:$A$64,0),$U170)*$V170*$N170,0)</f>
        <v>1.9744393112325819E-3</v>
      </c>
      <c r="BA170" s="93">
        <f>IF(AND($T170=1,BA$5&lt;=$H170),INDEX(Mortality!$B$4:$E$64,MATCH($D170+BA$5-1,Mortality!$A$4:$A$64,0),$U170)*$V170*$N170,0)</f>
        <v>2.1388845717673129E-3</v>
      </c>
      <c r="BB170" s="93">
        <f>IF(AND($T170=1,BB$5&lt;=$H170),INDEX(Mortality!$B$4:$E$64,MATCH($D170+BB$5-1,Mortality!$A$4:$A$64,0),$U170)*$V170*$N170,0)</f>
        <v>2.3170259958450114E-3</v>
      </c>
      <c r="BC170" s="93">
        <f>IF(AND($T170=1,BC$5&lt;=$H170),INDEX(Mortality!$B$4:$E$64,MATCH($D170+BC$5-1,Mortality!$A$4:$A$64,0),$U170)*$V170*$N170,0)</f>
        <v>2.5100042967656062E-3</v>
      </c>
      <c r="BD170" s="93">
        <f>IF(AND($T170=1,BD$5&lt;=$H170),INDEX(Mortality!$B$4:$E$64,MATCH($D170+BD$5-1,Mortality!$A$4:$A$64,0),$U170)*$V170*$N170,0)</f>
        <v>2.7190551944947525E-3</v>
      </c>
      <c r="BE170" s="93">
        <f>IF(AND($T170=1,BE$5&lt;=$H170),INDEX(Mortality!$B$4:$E$64,MATCH($D170+BE$5-1,Mortality!$A$4:$A$64,0),$U170)*$V170*$N170,0)</f>
        <v>0</v>
      </c>
      <c r="BF170" s="93">
        <f>IF(AND($T170=1,BF$5&lt;=$H170),INDEX(Mortality!$B$4:$E$64,MATCH($D170+BF$5-1,Mortality!$A$4:$A$64,0),$U170)*$V170*$N170,0)</f>
        <v>0</v>
      </c>
      <c r="BG170" s="93">
        <f>IF(AND($T170=1,BG$5&lt;=$H170),INDEX(Mortality!$B$4:$E$64,MATCH($D170+BG$5-1,Mortality!$A$4:$A$64,0),$U170)*$V170*$N170,0)</f>
        <v>0</v>
      </c>
      <c r="BH170" s="93">
        <f>IF(AND($T170=1,BH$5&lt;=$H170),INDEX(Mortality!$B$4:$E$64,MATCH($D170+BH$5-1,Mortality!$A$4:$A$64,0),$U170)*$V170*$N170,0)</f>
        <v>0</v>
      </c>
      <c r="BI170" s="93">
        <f>IF(AND($T170=1,BI$5&lt;=$H170),INDEX(Mortality!$B$4:$E$64,MATCH($D170+BI$5-1,Mortality!$A$4:$A$64,0),$U170)*$V170*$N170,0)</f>
        <v>0</v>
      </c>
      <c r="BJ170" s="93">
        <f>IF(AND($T170=1,BJ$5&lt;=$H170),INDEX(Mortality!$B$4:$E$64,MATCH($D170+BJ$5-1,Mortality!$A$4:$A$64,0),$U170)*$V170*$N170,0)</f>
        <v>0</v>
      </c>
      <c r="BK170" s="93">
        <f>IF(AND($T170=1,BK$5&lt;=$H170),INDEX(Mortality!$B$4:$E$64,MATCH($D170+BK$5-1,Mortality!$A$4:$A$64,0),$U170)*$V170*$N170,0)</f>
        <v>0</v>
      </c>
      <c r="BL170" s="93">
        <f>IF(AND($T170=1,BL$5&lt;=$H170),INDEX(Mortality!$B$4:$E$64,MATCH($D170+BL$5-1,Mortality!$A$4:$A$64,0),$U170)*$V170*$N170,0)</f>
        <v>0</v>
      </c>
      <c r="BM170" s="93">
        <f>IF(AND($T170=1,BM$5&lt;=$H170),INDEX(Mortality!$B$4:$E$64,MATCH($D170+BM$5-1,Mortality!$A$4:$A$64,0),$U170)*$V170*$N170,0)</f>
        <v>0</v>
      </c>
      <c r="BN170" s="93">
        <f>IF(AND($T170=1,BN$5&lt;=$H170),INDEX(Mortality!$B$4:$E$64,MATCH($D170+BN$5-1,Mortality!$A$4:$A$64,0),$U170)*$V170*$N170,0)</f>
        <v>0</v>
      </c>
      <c r="BO170" s="93">
        <f>IF(AND($T170=1,BO$5&lt;=$H170),INDEX(Mortality!$B$4:$E$64,MATCH($D170+BO$5-1,Mortality!$A$4:$A$64,0),$U170)*$V170*$N170,0)</f>
        <v>0</v>
      </c>
      <c r="BP170" s="93">
        <f>IF(AND($T170=1,BP$5&lt;=$H170),INDEX(Mortality!$B$4:$E$64,MATCH($D170+BP$5-1,Mortality!$A$4:$A$64,0),$U170)*$V170*$N170,0)</f>
        <v>0</v>
      </c>
      <c r="BQ170" s="93">
        <f>IF(AND($T170=1,BQ$5&lt;=$H170),INDEX(Mortality!$B$4:$E$64,MATCH($D170+BQ$5-1,Mortality!$A$4:$A$64,0),$U170)*$V170*$N170,0)</f>
        <v>0</v>
      </c>
      <c r="BR170" s="93">
        <f>IF(AND($T170=1,BR$5&lt;=$H170),INDEX(Mortality!$B$4:$E$64,MATCH($D170+BR$5-1,Mortality!$A$4:$A$64,0),$U170)*$V170*$N170,0)</f>
        <v>0</v>
      </c>
      <c r="BS170" s="93">
        <f>IF(AND($T170=1,BS$5&lt;=$H170),INDEX(Mortality!$B$4:$E$64,MATCH($D170+BS$5-1,Mortality!$A$4:$A$64,0),$U170)*$V170*$N170,0)</f>
        <v>0</v>
      </c>
      <c r="BT170" s="93">
        <f>IF(AND($T170=1,BT$5&lt;=$H170),INDEX(Mortality!$B$4:$E$64,MATCH($D170+BT$5-1,Mortality!$A$4:$A$64,0),$U170)*$V170*$N170,0)</f>
        <v>0</v>
      </c>
      <c r="BU170" s="93">
        <f>IF(AND($T170=1,BU$5&lt;=$H170),INDEX(Mortality!$B$4:$E$64,MATCH($D170+BU$5-1,Mortality!$A$4:$A$64,0),$U170)*$V170*$N170,0)</f>
        <v>0</v>
      </c>
      <c r="BV170" s="93">
        <f>IF(AND($T170=1,BV$5&lt;=$H170),INDEX(Mortality!$B$4:$E$64,MATCH($D170+BV$5-1,Mortality!$A$4:$A$64,0),$U170)*$V170*$N170,0)</f>
        <v>0</v>
      </c>
      <c r="BW170" s="93">
        <f>IF(AND($T170=1,BW$5&lt;=$H170),INDEX(Mortality!$B$4:$E$64,MATCH($D170+BW$5-1,Mortality!$A$4:$A$64,0),$U170)*$V170*$N170,0)</f>
        <v>0</v>
      </c>
      <c r="BX170" s="93">
        <f>IF(AND($T170=1,BX$5&lt;=$H170),INDEX(Mortality!$B$4:$E$64,MATCH($D170+BX$5-1,Mortality!$A$4:$A$64,0),$U170)*$V170*$N170,0)</f>
        <v>0</v>
      </c>
      <c r="BY170" s="93">
        <f>IF(AND($T170=1,BY$5&lt;=$H170),INDEX(Mortality!$B$4:$E$64,MATCH($D170+BY$5-1,Mortality!$A$4:$A$64,0),$U170)*$V170*$N170,0)</f>
        <v>0</v>
      </c>
      <c r="BZ170" s="93">
        <f>IF(AND($T170=1,BZ$5&lt;=$H170),INDEX(Mortality!$B$4:$E$64,MATCH($D170+BZ$5-1,Mortality!$A$4:$A$64,0),$U170)*$V170*$N170,0)</f>
        <v>0</v>
      </c>
      <c r="CA170" s="93">
        <f>IF(AND($T170=1,CA$5&lt;=$H170),INDEX(Mortality!$B$4:$E$64,MATCH($D170+CA$5-1,Mortality!$A$4:$A$64,0),$U170)*$V170*$N170,0)</f>
        <v>0</v>
      </c>
      <c r="CB170" s="93">
        <f>IF(AND($T170=1,CB$5&lt;=$H170),INDEX(Mortality!$B$4:$E$64,MATCH($D170+CB$5-1,Mortality!$A$4:$A$64,0),$U170)*$V170*$N170,0)</f>
        <v>0</v>
      </c>
      <c r="CC170" s="93">
        <f>IF(AND($T170=1,CC$5&lt;=$H170),INDEX(Mortality!$B$4:$E$64,MATCH($D170+CC$5-1,Mortality!$A$4:$A$64,0),$U170)*$V170*$N170,0)</f>
        <v>0</v>
      </c>
      <c r="CD170" s="93">
        <f>IF(AND($T170=1,CD$5&lt;=$H170),INDEX(Mortality!$B$4:$E$64,MATCH($D170+CD$5-1,Mortality!$A$4:$A$64,0),$U170)*$V170*$N170,0)</f>
        <v>0</v>
      </c>
      <c r="CE170" s="93">
        <f>IF(AND($T170=1,CE$5&lt;=$H170),INDEX(Mortality!$B$4:$E$64,MATCH($D170+CE$5-1,Mortality!$A$4:$A$64,0),$U170)*$V170*$N170,0)</f>
        <v>0</v>
      </c>
      <c r="CF170" s="93">
        <f>IF(AND($T170=1,CF$5&lt;=$H170),INDEX(Mortality!$B$4:$E$64,MATCH($D170+CF$5-1,Mortality!$A$4:$A$64,0),$U170)*$V170*$N170,0)</f>
        <v>0</v>
      </c>
      <c r="CG170" s="93">
        <f>IF(AND($T170=1,CG$5&lt;=$H170),INDEX(Mortality!$B$4:$E$64,MATCH($D170+CG$5-1,Mortality!$A$4:$A$64,0),$U170)*$V170*$N170,0)</f>
        <v>0</v>
      </c>
      <c r="CH170" s="94">
        <f>IF(AND($T170=1,CH$5&lt;=$H170),INDEX(Mortality!$B$4:$E$64,MATCH($D170+CH$5-1,Mortality!$A$4:$A$64,0),$U170)*$V170*$N170,0)</f>
        <v>0</v>
      </c>
      <c r="CI170" s="26"/>
      <c r="CJ170" s="419">
        <f t="shared" si="71"/>
        <v>1</v>
      </c>
      <c r="CK170" s="93">
        <f>IF(AND($T170=1,CK$5&lt;=$H170),CJ170*(1-AU170)*(1-MIN(1,MAX(Assumptions!$C$27,Assumptions!$C$13*Assumptions!$C$28^(CJ$5-1))*$O170)),0)</f>
        <v>0.87883531449999996</v>
      </c>
      <c r="CL170" s="93">
        <f>IF(AND($T170=1,CL$5&lt;=$H170),CK170*(1-AV170)*(1-MIN(1,MAX(Assumptions!$C$27,Assumptions!$C$13*Assumptions!$C$28^(CK$5-1))*$O170)),0)</f>
        <v>0.78806261546036127</v>
      </c>
      <c r="CM170" s="93">
        <f>IF(AND($T170=1,CM$5&lt;=$H170),CL170*(1-AW170)*(1-MIN(1,MAX(Assumptions!$C$27,Assumptions!$C$13*Assumptions!$C$28^(CL$5-1))*$O170)),0)</f>
        <v>0.71861972700691079</v>
      </c>
      <c r="CN170" s="93">
        <f>IF(AND($T170=1,CN$5&lt;=$H170),CM170*(1-AX170)*(1-MIN(1,MAX(Assumptions!$C$27,Assumptions!$C$13*Assumptions!$C$28^(CM$5-1))*$O170)),0)</f>
        <v>0.66454106739058827</v>
      </c>
      <c r="CO170" s="93">
        <f>IF(AND($T170=1,CO$5&lt;=$H170),CN170*(1-AY170)*(1-MIN(1,MAX(Assumptions!$C$27,Assumptions!$C$13*Assumptions!$C$28^(CN$5-1))*$O170)),0)</f>
        <v>0.62177837080935494</v>
      </c>
      <c r="CP170" s="93">
        <f>IF(AND($T170=1,CP$5&lt;=$H170),CO170*(1-AZ170)*(1-MIN(1,MAX(Assumptions!$C$27,Assumptions!$C$13*Assumptions!$C$28^(CO$5-1))*$O170)),0)</f>
        <v>0.5875097096985229</v>
      </c>
      <c r="CQ170" s="93">
        <f>IF(AND($T170=1,CQ$5&lt;=$H170),CP170*(1-BA170)*(1-MIN(1,MAX(Assumptions!$C$27,Assumptions!$C$13*Assumptions!$C$28^(CP$5-1))*$O170)),0)</f>
        <v>0.55972048578132039</v>
      </c>
      <c r="CR170" s="93">
        <f>IF(AND($T170=1,CR$5&lt;=$H170),CQ170*(1-BB170)*(1-MIN(1,MAX(Assumptions!$C$27,Assumptions!$C$13*Assumptions!$C$28^(CQ$5-1))*$O170)),0)</f>
        <v>0.53694146150314292</v>
      </c>
      <c r="CS170" s="93">
        <f>IF(AND($T170=1,CS$5&lt;=$H170),CR170*(1-BC170)*(1-MIN(1,MAX(Assumptions!$C$27,Assumptions!$C$13*Assumptions!$C$28^(CR$5-1))*$O170)),0)</f>
        <v>0.51808042992385128</v>
      </c>
      <c r="CT170" s="93">
        <f>IF(AND($T170=1,CT$5&lt;=$H170),CS170*(1-BD170)*(1-MIN(1,MAX(Assumptions!$C$27,Assumptions!$C$13*Assumptions!$C$28^(CS$5-1))*$O170)),0)</f>
        <v>0</v>
      </c>
      <c r="CU170" s="93">
        <f>IF(AND($T170=1,CU$5&lt;=$H170),CT170*(1-BE170)*(1-MIN(1,MAX(Assumptions!$C$27,Assumptions!$C$13*Assumptions!$C$28^(CT$5-1))*$O170)),0)</f>
        <v>0</v>
      </c>
      <c r="CV170" s="93">
        <f>IF(AND($T170=1,CV$5&lt;=$H170),CU170*(1-BF170)*(1-MIN(1,MAX(Assumptions!$C$27,Assumptions!$C$13*Assumptions!$C$28^(CU$5-1))*$O170)),0)</f>
        <v>0</v>
      </c>
      <c r="CW170" s="93">
        <f>IF(AND($T170=1,CW$5&lt;=$H170),CV170*(1-BG170)*(1-MIN(1,MAX(Assumptions!$C$27,Assumptions!$C$13*Assumptions!$C$28^(CV$5-1))*$O170)),0)</f>
        <v>0</v>
      </c>
      <c r="CX170" s="93">
        <f>IF(AND($T170=1,CX$5&lt;=$H170),CW170*(1-BH170)*(1-MIN(1,MAX(Assumptions!$C$27,Assumptions!$C$13*Assumptions!$C$28^(CW$5-1))*$O170)),0)</f>
        <v>0</v>
      </c>
      <c r="CY170" s="93">
        <f>IF(AND($T170=1,CY$5&lt;=$H170),CX170*(1-BI170)*(1-MIN(1,MAX(Assumptions!$C$27,Assumptions!$C$13*Assumptions!$C$28^(CX$5-1))*$O170)),0)</f>
        <v>0</v>
      </c>
      <c r="CZ170" s="93">
        <f>IF(AND($T170=1,CZ$5&lt;=$H170),CY170*(1-BJ170)*(1-MIN(1,MAX(Assumptions!$C$27,Assumptions!$C$13*Assumptions!$C$28^(CY$5-1))*$O170)),0)</f>
        <v>0</v>
      </c>
      <c r="DA170" s="93">
        <f>IF(AND($T170=1,DA$5&lt;=$H170),CZ170*(1-BK170)*(1-MIN(1,MAX(Assumptions!$C$27,Assumptions!$C$13*Assumptions!$C$28^(CZ$5-1))*$O170)),0)</f>
        <v>0</v>
      </c>
      <c r="DB170" s="93">
        <f>IF(AND($T170=1,DB$5&lt;=$H170),DA170*(1-BL170)*(1-MIN(1,MAX(Assumptions!$C$27,Assumptions!$C$13*Assumptions!$C$28^(DA$5-1))*$O170)),0)</f>
        <v>0</v>
      </c>
      <c r="DC170" s="93">
        <f>IF(AND($T170=1,DC$5&lt;=$H170),DB170*(1-BM170)*(1-MIN(1,MAX(Assumptions!$C$27,Assumptions!$C$13*Assumptions!$C$28^(DB$5-1))*$O170)),0)</f>
        <v>0</v>
      </c>
      <c r="DD170" s="93">
        <f>IF(AND($T170=1,DD$5&lt;=$H170),DC170*(1-BN170)*(1-MIN(1,MAX(Assumptions!$C$27,Assumptions!$C$13*Assumptions!$C$28^(DC$5-1))*$O170)),0)</f>
        <v>0</v>
      </c>
      <c r="DE170" s="93">
        <f>IF(AND($T170=1,DE$5&lt;=$H170),DD170*(1-BO170)*(1-MIN(1,MAX(Assumptions!$C$27,Assumptions!$C$13*Assumptions!$C$28^(DD$5-1))*$O170)),0)</f>
        <v>0</v>
      </c>
      <c r="DF170" s="93">
        <f>IF(AND($T170=1,DF$5&lt;=$H170),DE170*(1-BP170)*(1-MIN(1,MAX(Assumptions!$C$27,Assumptions!$C$13*Assumptions!$C$28^(DE$5-1))*$O170)),0)</f>
        <v>0</v>
      </c>
      <c r="DG170" s="93">
        <f>IF(AND($T170=1,DG$5&lt;=$H170),DF170*(1-BQ170)*(1-MIN(1,MAX(Assumptions!$C$27,Assumptions!$C$13*Assumptions!$C$28^(DF$5-1))*$O170)),0)</f>
        <v>0</v>
      </c>
      <c r="DH170" s="93">
        <f>IF(AND($T170=1,DH$5&lt;=$H170),DG170*(1-BR170)*(1-MIN(1,MAX(Assumptions!$C$27,Assumptions!$C$13*Assumptions!$C$28^(DG$5-1))*$O170)),0)</f>
        <v>0</v>
      </c>
      <c r="DI170" s="93">
        <f>IF(AND($T170=1,DI$5&lt;=$H170),DH170*(1-BS170)*(1-MIN(1,MAX(Assumptions!$C$27,Assumptions!$C$13*Assumptions!$C$28^(DH$5-1))*$O170)),0)</f>
        <v>0</v>
      </c>
      <c r="DJ170" s="93">
        <f>IF(AND($T170=1,DJ$5&lt;=$H170),DI170*(1-BT170)*(1-MIN(1,MAX(Assumptions!$C$27,Assumptions!$C$13*Assumptions!$C$28^(DI$5-1))*$O170)),0)</f>
        <v>0</v>
      </c>
      <c r="DK170" s="93">
        <f>IF(AND($T170=1,DK$5&lt;=$H170),DJ170*(1-BU170)*(1-MIN(1,MAX(Assumptions!$C$27,Assumptions!$C$13*Assumptions!$C$28^(DJ$5-1))*$O170)),0)</f>
        <v>0</v>
      </c>
      <c r="DL170" s="93">
        <f>IF(AND($T170=1,DL$5&lt;=$H170),DK170*(1-BV170)*(1-MIN(1,MAX(Assumptions!$C$27,Assumptions!$C$13*Assumptions!$C$28^(DK$5-1))*$O170)),0)</f>
        <v>0</v>
      </c>
      <c r="DM170" s="93">
        <f>IF(AND($T170=1,DM$5&lt;=$H170),DL170*(1-BW170)*(1-MIN(1,MAX(Assumptions!$C$27,Assumptions!$C$13*Assumptions!$C$28^(DL$5-1))*$O170)),0)</f>
        <v>0</v>
      </c>
      <c r="DN170" s="93">
        <f>IF(AND($T170=1,DN$5&lt;=$H170),DM170*(1-BX170)*(1-MIN(1,MAX(Assumptions!$C$27,Assumptions!$C$13*Assumptions!$C$28^(DM$5-1))*$O170)),0)</f>
        <v>0</v>
      </c>
      <c r="DO170" s="93">
        <f>IF(AND($T170=1,DO$5&lt;=$H170),DN170*(1-BY170)*(1-MIN(1,MAX(Assumptions!$C$27,Assumptions!$C$13*Assumptions!$C$28^(DN$5-1))*$O170)),0)</f>
        <v>0</v>
      </c>
      <c r="DP170" s="93">
        <f>IF(AND($T170=1,DP$5&lt;=$H170),DO170*(1-BZ170)*(1-MIN(1,MAX(Assumptions!$C$27,Assumptions!$C$13*Assumptions!$C$28^(DO$5-1))*$O170)),0)</f>
        <v>0</v>
      </c>
      <c r="DQ170" s="93">
        <f>IF(AND($T170=1,DQ$5&lt;=$H170),DP170*(1-CA170)*(1-MIN(1,MAX(Assumptions!$C$27,Assumptions!$C$13*Assumptions!$C$28^(DP$5-1))*$O170)),0)</f>
        <v>0</v>
      </c>
      <c r="DR170" s="93">
        <f>IF(AND($T170=1,DR$5&lt;=$H170),DQ170*(1-CB170)*(1-MIN(1,MAX(Assumptions!$C$27,Assumptions!$C$13*Assumptions!$C$28^(DQ$5-1))*$O170)),0)</f>
        <v>0</v>
      </c>
      <c r="DS170" s="93">
        <f>IF(AND($T170=1,DS$5&lt;=$H170),DR170*(1-CC170)*(1-MIN(1,MAX(Assumptions!$C$27,Assumptions!$C$13*Assumptions!$C$28^(DR$5-1))*$O170)),0)</f>
        <v>0</v>
      </c>
      <c r="DT170" s="93">
        <f>IF(AND($T170=1,DT$5&lt;=$H170),DS170*(1-CD170)*(1-MIN(1,MAX(Assumptions!$C$27,Assumptions!$C$13*Assumptions!$C$28^(DS$5-1))*$O170)),0)</f>
        <v>0</v>
      </c>
      <c r="DU170" s="93">
        <f>IF(AND($T170=1,DU$5&lt;=$H170),DT170*(1-CE170)*(1-MIN(1,MAX(Assumptions!$C$27,Assumptions!$C$13*Assumptions!$C$28^(DT$5-1))*$O170)),0)</f>
        <v>0</v>
      </c>
      <c r="DV170" s="93">
        <f>IF(AND($T170=1,DV$5&lt;=$H170),DU170*(1-CF170)*(1-MIN(1,MAX(Assumptions!$C$27,Assumptions!$C$13*Assumptions!$C$28^(DU$5-1))*$O170)),0)</f>
        <v>0</v>
      </c>
      <c r="DW170" s="94">
        <f>IF(AND($T170=1,DW$5&lt;=$H170),DV170*(1-CG170)*(1-MIN(1,MAX(Assumptions!$C$27,Assumptions!$C$13*Assumptions!$C$28^(DV$5-1))*$O170)),0)</f>
        <v>0</v>
      </c>
      <c r="DX170" s="26"/>
      <c r="DY170" s="399">
        <f>'Policy Data'!K144</f>
        <v>5</v>
      </c>
      <c r="DZ170" s="100">
        <f>'Policy Data'!L144</f>
        <v>0.73629999999999995</v>
      </c>
      <c r="EA170" s="100">
        <f>'Policy Data'!N144</f>
        <v>9.7400000000000004E-4</v>
      </c>
      <c r="EB170" s="93" cm="1">
        <f t="array" ref="EB170">IFERROR(DZ170*INDEX(Mortality!$B$4:$E$64,MATCH(D170+DY170-1,Mortality!$A$4:$A$64,0),U170)*V170,0)</f>
        <v>1.3420077726772638E-3</v>
      </c>
      <c r="EC170" s="100">
        <f>'Policy Data'!O144</f>
        <v>0</v>
      </c>
      <c r="ED170" s="400">
        <f>'Policy Data'!Q144</f>
        <v>0</v>
      </c>
    </row>
    <row r="171" spans="1:134" x14ac:dyDescent="0.3">
      <c r="A171" s="399" t="str">
        <f>'Policy Data'!A145</f>
        <v>POL100141</v>
      </c>
      <c r="B171" s="26" t="s">
        <v>426</v>
      </c>
      <c r="C171" s="100" t="str">
        <f>'Policy Data'!B145</f>
        <v>Term Life</v>
      </c>
      <c r="D171" s="100">
        <f>'Policy Data'!C145</f>
        <v>28</v>
      </c>
      <c r="E171" s="100" t="str">
        <f>'Policy Data'!D145</f>
        <v>Male</v>
      </c>
      <c r="F171" s="100" t="str">
        <f>'Policy Data'!E145</f>
        <v>Non-smoker</v>
      </c>
      <c r="G171" s="100" t="str">
        <f>'Policy Data'!F145</f>
        <v>Standard</v>
      </c>
      <c r="H171" s="100">
        <f>'Policy Data'!G145</f>
        <v>20</v>
      </c>
      <c r="I171" s="279">
        <f>'Policy Data'!H145</f>
        <v>500000</v>
      </c>
      <c r="J171" s="100" t="str">
        <f>'Policy Data'!I145</f>
        <v>Monthly</v>
      </c>
      <c r="K171" s="100" t="str">
        <f>'Policy Data'!J145</f>
        <v>Broker</v>
      </c>
      <c r="L171" s="26" t="s">
        <v>389</v>
      </c>
      <c r="M171" s="106">
        <f>'Policy Data'!R145</f>
        <v>1200</v>
      </c>
      <c r="N171" s="415">
        <f>Assumptions!$C$21</f>
        <v>1</v>
      </c>
      <c r="O171" s="415">
        <f>Assumptions!$C$22</f>
        <v>1</v>
      </c>
      <c r="P171" s="415">
        <f>Assumptions!$C$23</f>
        <v>1</v>
      </c>
      <c r="Q171" s="416">
        <f>Assumptions!$C$24</f>
        <v>0</v>
      </c>
      <c r="R171" s="416">
        <f>Assumptions!$C$6+Assumptions!$C$25</f>
        <v>3.5000000000000003E-2</v>
      </c>
      <c r="S171" s="416">
        <f>Assumptions!$C$15</f>
        <v>1.1000000000000001E-3</v>
      </c>
      <c r="T171" s="26">
        <f t="shared" si="54"/>
        <v>1</v>
      </c>
      <c r="U171" s="26">
        <f t="shared" si="55"/>
        <v>3</v>
      </c>
      <c r="V171" s="389">
        <f>IF($G171="Preferred",Assumptions!$C$30,IF($G171="Rated",Assumptions!$C$31,1))</f>
        <v>1</v>
      </c>
      <c r="W171" s="390">
        <f>IF($K171="Direct",Assumptions!$C$32,IF($K171="Broker",Assumptions!$C$33,IF($K171="Bancassurance",Assumptions!$C$34,Assumptions!$C$11)))+$Q171</f>
        <v>0.25</v>
      </c>
      <c r="X171" s="390">
        <f>Assumptions!$C$12+$Q171</f>
        <v>0.05</v>
      </c>
      <c r="Y171" s="131">
        <f>MIN($I171,Assumptions!$C$14)</f>
        <v>500000</v>
      </c>
      <c r="Z171" s="131">
        <f>MAX($I171-Assumptions!$C$14,0)</f>
        <v>0</v>
      </c>
      <c r="AA171" s="389">
        <f t="shared" si="56"/>
        <v>8.5973256284014052</v>
      </c>
      <c r="AB171" s="389">
        <f t="shared" si="57"/>
        <v>7.3554361284960392E-3</v>
      </c>
      <c r="AC171" s="389">
        <f>IF($T171=1,SUMPRODUCT($CJ171:$DW171,(1+Assumptions!$C$5)^($CJ$5:$DW$5-1),(1+$R171)^(-$CJ$5:$DW$5)),0)</f>
        <v>11.57470011105868</v>
      </c>
      <c r="AD171" s="389">
        <f t="shared" si="58"/>
        <v>0.62310299639591571</v>
      </c>
      <c r="AE171" s="131">
        <f>IF($T171=1,$AB171*$Y171+(Assumptions!$C$9/(1+$R171)+Assumptions!$C$10*$AC171)*$P171+$S171*$Z171*$AA171,0)</f>
        <v>7093.7173060722344</v>
      </c>
      <c r="AF171" s="131">
        <f>IF($T171=1,IF($AA171-$AD171-Assumptions!$C$16*$AA171&gt;0,$AE171/($AA171-$AD171-Assumptions!$C$16*$AA171)*IF($J171="Monthly",1+Assumptions!$C$29,1),"n.a."),"")</f>
        <v>1002.7574855412033</v>
      </c>
      <c r="AG171" s="131">
        <f t="shared" si="59"/>
        <v>1200</v>
      </c>
      <c r="AH171" s="131">
        <f t="shared" si="60"/>
        <v>10316.790754081687</v>
      </c>
      <c r="AI171" s="131">
        <f t="shared" si="61"/>
        <v>2475.3498523343533</v>
      </c>
      <c r="AJ171" s="390">
        <f t="shared" si="62"/>
        <v>0.23993409494663032</v>
      </c>
      <c r="AK171" s="389">
        <f t="shared" si="63"/>
        <v>1.1967001167309581</v>
      </c>
      <c r="AL171" s="131">
        <f t="shared" si="64"/>
        <v>0</v>
      </c>
      <c r="AM171" s="131">
        <f t="shared" si="65"/>
        <v>0</v>
      </c>
      <c r="AN171" s="131">
        <f t="shared" si="66"/>
        <v>0</v>
      </c>
      <c r="AO171" s="131">
        <f t="shared" si="67"/>
        <v>2475.3498523343533</v>
      </c>
      <c r="AP171" s="26" t="str">
        <f t="shared" si="68"/>
        <v>20-29</v>
      </c>
      <c r="AQ171" s="26" t="str">
        <f t="shared" si="69"/>
        <v>250k-500k</v>
      </c>
      <c r="AR171" s="26" t="str">
        <f>IF($T171=1,IF($AI171&lt;0,"Loss-making",IF($AJ171&lt;Assumptions!$C$16-0.00001,"Below target","At/above target")),"Excluded")</f>
        <v>At/above target</v>
      </c>
      <c r="AS171" s="103">
        <f t="shared" si="70"/>
        <v>2475.3500233343534</v>
      </c>
      <c r="AT171" s="26"/>
      <c r="AU171" s="419">
        <f>IF(AND($T171=1,AU$5&lt;=$H171),INDEX(Mortality!$B$4:$E$64,MATCH($D171+AU$5-1,Mortality!$A$4:$A$64,0),$U171)*$V171*$N171,0)</f>
        <v>4.4098441079001399E-4</v>
      </c>
      <c r="AV171" s="93">
        <f>IF(AND($T171=1,AV$5&lt;=$H171),INDEX(Mortality!$B$4:$E$64,MATCH($D171+AV$5-1,Mortality!$A$4:$A$64,0),$U171)*$V171*$N171,0)</f>
        <v>4.7771270925508401E-4</v>
      </c>
      <c r="AW171" s="93">
        <f>IF(AND($T171=1,AW$5&lt;=$H171),INDEX(Mortality!$B$4:$E$64,MATCH($D171+AW$5-1,Mortality!$A$4:$A$64,0),$U171)*$V171*$N171,0)</f>
        <v>5.1749999999999995E-4</v>
      </c>
      <c r="AX171" s="93">
        <f>IF(AND($T171=1,AX$5&lt;=$H171),INDEX(Mortality!$B$4:$E$64,MATCH($D171+AX$5-1,Mortality!$A$4:$A$64,0),$U171)*$V171*$N171,0)</f>
        <v>5.6060105752179102E-4</v>
      </c>
      <c r="AY171" s="93">
        <f>IF(AND($T171=1,AY$5&lt;=$H171),INDEX(Mortality!$B$4:$E$64,MATCH($D171+AY$5-1,Mortality!$A$4:$A$64,0),$U171)*$V171*$N171,0)</f>
        <v>6.07291875738262E-4</v>
      </c>
      <c r="AZ171" s="93">
        <f>IF(AND($T171=1,AZ$5&lt;=$H171),INDEX(Mortality!$B$4:$E$64,MATCH($D171+AZ$5-1,Mortality!$A$4:$A$64,0),$U171)*$V171*$N171,0)</f>
        <v>6.5787143529132705E-4</v>
      </c>
      <c r="BA171" s="93">
        <f>IF(AND($T171=1,BA$5&lt;=$H171),INDEX(Mortality!$B$4:$E$64,MATCH($D171+BA$5-1,Mortality!$A$4:$A$64,0),$U171)*$V171*$N171,0)</f>
        <v>7.1266361804385805E-4</v>
      </c>
      <c r="BB171" s="93">
        <f>IF(AND($T171=1,BB$5&lt;=$H171),INDEX(Mortality!$B$4:$E$64,MATCH($D171+BB$5-1,Mortality!$A$4:$A$64,0),$U171)*$V171*$N171,0)</f>
        <v>7.7201928102935699E-4</v>
      </c>
      <c r="BC171" s="93">
        <f>IF(AND($T171=1,BC$5&lt;=$H171),INDEX(Mortality!$B$4:$E$64,MATCH($D171+BC$5-1,Mortality!$A$4:$A$64,0),$U171)*$V171*$N171,0)</f>
        <v>8.3631850313482196E-4</v>
      </c>
      <c r="BD171" s="93">
        <f>IF(AND($T171=1,BD$5&lt;=$H171),INDEX(Mortality!$B$4:$E$64,MATCH($D171+BD$5-1,Mortality!$A$4:$A$64,0),$U171)*$V171*$N171,0)</f>
        <v>9.0597301890323197E-4</v>
      </c>
      <c r="BE171" s="93">
        <f>IF(AND($T171=1,BE$5&lt;=$H171),INDEX(Mortality!$B$4:$E$64,MATCH($D171+BE$5-1,Mortality!$A$4:$A$64,0),$U171)*$V171*$N171,0)</f>
        <v>9.8142885504031189E-4</v>
      </c>
      <c r="BF171" s="93">
        <f>IF(AND($T171=1,BF$5&lt;=$H171),INDEX(Mortality!$B$4:$E$64,MATCH($D171+BF$5-1,Mortality!$A$4:$A$64,0),$U171)*$V171*$N171,0)</f>
        <v>1.06316918650821E-3</v>
      </c>
      <c r="BG171" s="93">
        <f>IF(AND($T171=1,BG$5&lt;=$H171),INDEX(Mortality!$B$4:$E$64,MATCH($D171+BG$5-1,Mortality!$A$4:$A$64,0),$U171)*$V171*$N171,0)</f>
        <v>1.1517174304948501E-3</v>
      </c>
      <c r="BH171" s="93">
        <f>IF(AND($T171=1,BH$5&lt;=$H171),INDEX(Mortality!$B$4:$E$64,MATCH($D171+BH$5-1,Mortality!$A$4:$A$64,0),$U171)*$V171*$N171,0)</f>
        <v>1.24764059807091E-3</v>
      </c>
      <c r="BI171" s="93">
        <f>IF(AND($T171=1,BI$5&lt;=$H171),INDEX(Mortality!$B$4:$E$64,MATCH($D171+BI$5-1,Mortality!$A$4:$A$64,0),$U171)*$V171*$N171,0)</f>
        <v>1.3515529249964601E-3</v>
      </c>
      <c r="BJ171" s="93">
        <f>IF(AND($T171=1,BJ$5&lt;=$H171),INDEX(Mortality!$B$4:$E$64,MATCH($D171+BJ$5-1,Mortality!$A$4:$A$64,0),$U171)*$V171*$N171,0)</f>
        <v>1.4641198049269301E-3</v>
      </c>
      <c r="BK171" s="93">
        <f>IF(AND($T171=1,BK$5&lt;=$H171),INDEX(Mortality!$B$4:$E$64,MATCH($D171+BK$5-1,Mortality!$A$4:$A$64,0),$U171)*$V171*$N171,0)</f>
        <v>1.58606205020413E-3</v>
      </c>
      <c r="BL171" s="93">
        <f>IF(AND($T171=1,BL$5&lt;=$H171),INDEX(Mortality!$B$4:$E$64,MATCH($D171+BL$5-1,Mortality!$A$4:$A$64,0),$U171)*$V171*$N171,0)</f>
        <v>1.71816050751616E-3</v>
      </c>
      <c r="BM171" s="93">
        <f>IF(AND($T171=1,BM$5&lt;=$H171),INDEX(Mortality!$B$4:$E$64,MATCH($D171+BM$5-1,Mortality!$A$4:$A$64,0),$U171)*$V171*$N171,0)</f>
        <v>1.8612610579820999E-3</v>
      </c>
      <c r="BN171" s="93">
        <f>IF(AND($T171=1,BN$5&lt;=$H171),INDEX(Mortality!$B$4:$E$64,MATCH($D171+BN$5-1,Mortality!$A$4:$A$64,0),$U171)*$V171*$N171,0)</f>
        <v>2.0162800336790201E-3</v>
      </c>
      <c r="BO171" s="93">
        <f>IF(AND($T171=1,BO$5&lt;=$H171),INDEX(Mortality!$B$4:$E$64,MATCH($D171+BO$5-1,Mortality!$A$4:$A$64,0),$U171)*$V171*$N171,0)</f>
        <v>0</v>
      </c>
      <c r="BP171" s="93">
        <f>IF(AND($T171=1,BP$5&lt;=$H171),INDEX(Mortality!$B$4:$E$64,MATCH($D171+BP$5-1,Mortality!$A$4:$A$64,0),$U171)*$V171*$N171,0)</f>
        <v>0</v>
      </c>
      <c r="BQ171" s="93">
        <f>IF(AND($T171=1,BQ$5&lt;=$H171),INDEX(Mortality!$B$4:$E$64,MATCH($D171+BQ$5-1,Mortality!$A$4:$A$64,0),$U171)*$V171*$N171,0)</f>
        <v>0</v>
      </c>
      <c r="BR171" s="93">
        <f>IF(AND($T171=1,BR$5&lt;=$H171),INDEX(Mortality!$B$4:$E$64,MATCH($D171+BR$5-1,Mortality!$A$4:$A$64,0),$U171)*$V171*$N171,0)</f>
        <v>0</v>
      </c>
      <c r="BS171" s="93">
        <f>IF(AND($T171=1,BS$5&lt;=$H171),INDEX(Mortality!$B$4:$E$64,MATCH($D171+BS$5-1,Mortality!$A$4:$A$64,0),$U171)*$V171*$N171,0)</f>
        <v>0</v>
      </c>
      <c r="BT171" s="93">
        <f>IF(AND($T171=1,BT$5&lt;=$H171),INDEX(Mortality!$B$4:$E$64,MATCH($D171+BT$5-1,Mortality!$A$4:$A$64,0),$U171)*$V171*$N171,0)</f>
        <v>0</v>
      </c>
      <c r="BU171" s="93">
        <f>IF(AND($T171=1,BU$5&lt;=$H171),INDEX(Mortality!$B$4:$E$64,MATCH($D171+BU$5-1,Mortality!$A$4:$A$64,0),$U171)*$V171*$N171,0)</f>
        <v>0</v>
      </c>
      <c r="BV171" s="93">
        <f>IF(AND($T171=1,BV$5&lt;=$H171),INDEX(Mortality!$B$4:$E$64,MATCH($D171+BV$5-1,Mortality!$A$4:$A$64,0),$U171)*$V171*$N171,0)</f>
        <v>0</v>
      </c>
      <c r="BW171" s="93">
        <f>IF(AND($T171=1,BW$5&lt;=$H171),INDEX(Mortality!$B$4:$E$64,MATCH($D171+BW$5-1,Mortality!$A$4:$A$64,0),$U171)*$V171*$N171,0)</f>
        <v>0</v>
      </c>
      <c r="BX171" s="93">
        <f>IF(AND($T171=1,BX$5&lt;=$H171),INDEX(Mortality!$B$4:$E$64,MATCH($D171+BX$5-1,Mortality!$A$4:$A$64,0),$U171)*$V171*$N171,0)</f>
        <v>0</v>
      </c>
      <c r="BY171" s="93">
        <f>IF(AND($T171=1,BY$5&lt;=$H171),INDEX(Mortality!$B$4:$E$64,MATCH($D171+BY$5-1,Mortality!$A$4:$A$64,0),$U171)*$V171*$N171,0)</f>
        <v>0</v>
      </c>
      <c r="BZ171" s="93">
        <f>IF(AND($T171=1,BZ$5&lt;=$H171),INDEX(Mortality!$B$4:$E$64,MATCH($D171+BZ$5-1,Mortality!$A$4:$A$64,0),$U171)*$V171*$N171,0)</f>
        <v>0</v>
      </c>
      <c r="CA171" s="93">
        <f>IF(AND($T171=1,CA$5&lt;=$H171),INDEX(Mortality!$B$4:$E$64,MATCH($D171+CA$5-1,Mortality!$A$4:$A$64,0),$U171)*$V171*$N171,0)</f>
        <v>0</v>
      </c>
      <c r="CB171" s="93">
        <f>IF(AND($T171=1,CB$5&lt;=$H171),INDEX(Mortality!$B$4:$E$64,MATCH($D171+CB$5-1,Mortality!$A$4:$A$64,0),$U171)*$V171*$N171,0)</f>
        <v>0</v>
      </c>
      <c r="CC171" s="93">
        <f>IF(AND($T171=1,CC$5&lt;=$H171),INDEX(Mortality!$B$4:$E$64,MATCH($D171+CC$5-1,Mortality!$A$4:$A$64,0),$U171)*$V171*$N171,0)</f>
        <v>0</v>
      </c>
      <c r="CD171" s="93">
        <f>IF(AND($T171=1,CD$5&lt;=$H171),INDEX(Mortality!$B$4:$E$64,MATCH($D171+CD$5-1,Mortality!$A$4:$A$64,0),$U171)*$V171*$N171,0)</f>
        <v>0</v>
      </c>
      <c r="CE171" s="93">
        <f>IF(AND($T171=1,CE$5&lt;=$H171),INDEX(Mortality!$B$4:$E$64,MATCH($D171+CE$5-1,Mortality!$A$4:$A$64,0),$U171)*$V171*$N171,0)</f>
        <v>0</v>
      </c>
      <c r="CF171" s="93">
        <f>IF(AND($T171=1,CF$5&lt;=$H171),INDEX(Mortality!$B$4:$E$64,MATCH($D171+CF$5-1,Mortality!$A$4:$A$64,0),$U171)*$V171*$N171,0)</f>
        <v>0</v>
      </c>
      <c r="CG171" s="93">
        <f>IF(AND($T171=1,CG$5&lt;=$H171),INDEX(Mortality!$B$4:$E$64,MATCH($D171+CG$5-1,Mortality!$A$4:$A$64,0),$U171)*$V171*$N171,0)</f>
        <v>0</v>
      </c>
      <c r="CH171" s="94">
        <f>IF(AND($T171=1,CH$5&lt;=$H171),INDEX(Mortality!$B$4:$E$64,MATCH($D171+CH$5-1,Mortality!$A$4:$A$64,0),$U171)*$V171*$N171,0)</f>
        <v>0</v>
      </c>
      <c r="CI171" s="26"/>
      <c r="CJ171" s="419">
        <f t="shared" si="71"/>
        <v>1</v>
      </c>
      <c r="CK171" s="93">
        <f>IF(AND($T171=1,CK$5&lt;=$H171),CJ171*(1-AU171)*(1-MIN(1,MAX(Assumptions!$C$27,Assumptions!$C$13*Assumptions!$C$28^(CJ$5-1))*$O171)),0)</f>
        <v>0.87961193371850477</v>
      </c>
      <c r="CL171" s="93">
        <f>IF(AND($T171=1,CL$5&lt;=$H171),CK171*(1-AV171)*(1-MIN(1,MAX(Assumptions!$C$27,Assumptions!$C$13*Assumptions!$C$28^(CK$5-1))*$O171)),0)</f>
        <v>0.78951417526286238</v>
      </c>
      <c r="CM171" s="93">
        <f>IF(AND($T171=1,CM$5&lt;=$H171),CL171*(1-AW171)*(1-MIN(1,MAX(Assumptions!$C$27,Assumptions!$C$13*Assumptions!$C$28^(CL$5-1))*$O171)),0)</f>
        <v>0.72069014601175385</v>
      </c>
      <c r="CN171" s="93">
        <f>IF(AND($T171=1,CN$5&lt;=$H171),CM171*(1-AX171)*(1-MIN(1,MAX(Assumptions!$C$27,Assumptions!$C$13*Assumptions!$C$28^(CM$5-1))*$O171)),0)</f>
        <v>0.66720464027211424</v>
      </c>
      <c r="CO171" s="93">
        <f>IF(AND($T171=1,CO$5&lt;=$H171),CN171*(1-AY171)*(1-MIN(1,MAX(Assumptions!$C$27,Assumptions!$C$13*Assumptions!$C$28^(CN$5-1))*$O171)),0)</f>
        <v>0.62503063452204499</v>
      </c>
      <c r="CP171" s="93">
        <f>IF(AND($T171=1,CP$5&lt;=$H171),CO171*(1-AZ171)*(1-MIN(1,MAX(Assumptions!$C$27,Assumptions!$C$13*Assumptions!$C$28^(CO$5-1))*$O171)),0)</f>
        <v>0.59136180881176814</v>
      </c>
      <c r="CQ171" s="93">
        <f>IF(AND($T171=1,CQ$5&lt;=$H171),CP171*(1-BA171)*(1-MIN(1,MAX(Assumptions!$C$27,Assumptions!$C$13*Assumptions!$C$28^(CP$5-1))*$O171)),0)</f>
        <v>0.56419562199486195</v>
      </c>
      <c r="CR171" s="93">
        <f>IF(AND($T171=1,CR$5&lt;=$H171),CQ171*(1-BB171)*(1-MIN(1,MAX(Assumptions!$C$27,Assumptions!$C$13*Assumptions!$C$28^(CQ$5-1))*$O171)),0)</f>
        <v>0.54207262537756729</v>
      </c>
      <c r="CS171" s="93">
        <f>IF(AND($T171=1,CS$5&lt;=$H171),CR171*(1-BC171)*(1-MIN(1,MAX(Assumptions!$C$27,Assumptions!$C$13*Assumptions!$C$28^(CR$5-1))*$O171)),0)</f>
        <v>0.52390894537314658</v>
      </c>
      <c r="CT171" s="93">
        <f>IF(AND($T171=1,CT$5&lt;=$H171),CS171*(1-BD171)*(1-MIN(1,MAX(Assumptions!$C$27,Assumptions!$C$13*Assumptions!$C$28^(CS$5-1))*$O171)),0)</f>
        <v>0.50888594756223937</v>
      </c>
      <c r="CU171" s="93">
        <f>IF(AND($T171=1,CU$5&lt;=$H171),CT171*(1-BE171)*(1-MIN(1,MAX(Assumptions!$C$27,Assumptions!$C$13*Assumptions!$C$28^(CT$5-1))*$O171)),0)</f>
        <v>0.49637591719744784</v>
      </c>
      <c r="CV171" s="93">
        <f>IF(AND($T171=1,CV$5&lt;=$H171),CU171*(1-BF171)*(1-MIN(1,MAX(Assumptions!$C$27,Assumptions!$C$13*Assumptions!$C$28^(CU$5-1))*$O171)),0)</f>
        <v>0.48589096436630053</v>
      </c>
      <c r="CW171" s="93">
        <f>IF(AND($T171=1,CW$5&lt;=$H171),CV171*(1-BG171)*(1-MIN(1,MAX(Assumptions!$C$27,Assumptions!$C$13*Assumptions!$C$28^(CV$5-1))*$O171)),0)</f>
        <v>0.47562472816785356</v>
      </c>
      <c r="CX171" s="93">
        <f>IF(AND($T171=1,CX$5&lt;=$H171),CW171*(1-BH171)*(1-MIN(1,MAX(Assumptions!$C$27,Assumptions!$C$13*Assumptions!$C$28^(CW$5-1))*$O171)),0)</f>
        <v>0.46553069305859401</v>
      </c>
      <c r="CY171" s="93">
        <f>IF(AND($T171=1,CY$5&lt;=$H171),CX171*(1-BI171)*(1-MIN(1,MAX(Assumptions!$C$27,Assumptions!$C$13*Assumptions!$C$28^(CX$5-1))*$O171)),0)</f>
        <v>0.45560347361494069</v>
      </c>
      <c r="CZ171" s="93">
        <f>IF(AND($T171=1,CZ$5&lt;=$H171),CY171*(1-BJ171)*(1-MIN(1,MAX(Assumptions!$C$27,Assumptions!$C$13*Assumptions!$C$28^(CY$5-1))*$O171)),0)</f>
        <v>0.44583768723510703</v>
      </c>
      <c r="DA171" s="93">
        <f>IF(AND($T171=1,DA$5&lt;=$H171),CZ171*(1-BK171)*(1-MIN(1,MAX(Assumptions!$C$27,Assumptions!$C$13*Assumptions!$C$28^(CZ$5-1))*$O171)),0)</f>
        <v>0.43622794977885598</v>
      </c>
      <c r="DB171" s="93">
        <f>IF(AND($T171=1,DB$5&lt;=$H171),DA171*(1-BL171)*(1-MIN(1,MAX(Assumptions!$C$27,Assumptions!$C$13*Assumptions!$C$28^(DA$5-1))*$O171)),0)</f>
        <v>0.42676887134040575</v>
      </c>
      <c r="DC171" s="93">
        <f>IF(AND($T171=1,DC$5&lt;=$H171),DB171*(1-BM171)*(1-MIN(1,MAX(Assumptions!$C$27,Assumptions!$C$13*Assumptions!$C$28^(DB$5-1))*$O171)),0)</f>
        <v>0.41745505219823248</v>
      </c>
      <c r="DD171" s="93">
        <f>IF(AND($T171=1,DD$5&lt;=$H171),DC171*(1-BN171)*(1-MIN(1,MAX(Assumptions!$C$27,Assumptions!$C$13*Assumptions!$C$28^(DC$5-1))*$O171)),0)</f>
        <v>0</v>
      </c>
      <c r="DE171" s="93">
        <f>IF(AND($T171=1,DE$5&lt;=$H171),DD171*(1-BO171)*(1-MIN(1,MAX(Assumptions!$C$27,Assumptions!$C$13*Assumptions!$C$28^(DD$5-1))*$O171)),0)</f>
        <v>0</v>
      </c>
      <c r="DF171" s="93">
        <f>IF(AND($T171=1,DF$5&lt;=$H171),DE171*(1-BP171)*(1-MIN(1,MAX(Assumptions!$C$27,Assumptions!$C$13*Assumptions!$C$28^(DE$5-1))*$O171)),0)</f>
        <v>0</v>
      </c>
      <c r="DG171" s="93">
        <f>IF(AND($T171=1,DG$5&lt;=$H171),DF171*(1-BQ171)*(1-MIN(1,MAX(Assumptions!$C$27,Assumptions!$C$13*Assumptions!$C$28^(DF$5-1))*$O171)),0)</f>
        <v>0</v>
      </c>
      <c r="DH171" s="93">
        <f>IF(AND($T171=1,DH$5&lt;=$H171),DG171*(1-BR171)*(1-MIN(1,MAX(Assumptions!$C$27,Assumptions!$C$13*Assumptions!$C$28^(DG$5-1))*$O171)),0)</f>
        <v>0</v>
      </c>
      <c r="DI171" s="93">
        <f>IF(AND($T171=1,DI$5&lt;=$H171),DH171*(1-BS171)*(1-MIN(1,MAX(Assumptions!$C$27,Assumptions!$C$13*Assumptions!$C$28^(DH$5-1))*$O171)),0)</f>
        <v>0</v>
      </c>
      <c r="DJ171" s="93">
        <f>IF(AND($T171=1,DJ$5&lt;=$H171),DI171*(1-BT171)*(1-MIN(1,MAX(Assumptions!$C$27,Assumptions!$C$13*Assumptions!$C$28^(DI$5-1))*$O171)),0)</f>
        <v>0</v>
      </c>
      <c r="DK171" s="93">
        <f>IF(AND($T171=1,DK$5&lt;=$H171),DJ171*(1-BU171)*(1-MIN(1,MAX(Assumptions!$C$27,Assumptions!$C$13*Assumptions!$C$28^(DJ$5-1))*$O171)),0)</f>
        <v>0</v>
      </c>
      <c r="DL171" s="93">
        <f>IF(AND($T171=1,DL$5&lt;=$H171),DK171*(1-BV171)*(1-MIN(1,MAX(Assumptions!$C$27,Assumptions!$C$13*Assumptions!$C$28^(DK$5-1))*$O171)),0)</f>
        <v>0</v>
      </c>
      <c r="DM171" s="93">
        <f>IF(AND($T171=1,DM$5&lt;=$H171),DL171*(1-BW171)*(1-MIN(1,MAX(Assumptions!$C$27,Assumptions!$C$13*Assumptions!$C$28^(DL$5-1))*$O171)),0)</f>
        <v>0</v>
      </c>
      <c r="DN171" s="93">
        <f>IF(AND($T171=1,DN$5&lt;=$H171),DM171*(1-BX171)*(1-MIN(1,MAX(Assumptions!$C$27,Assumptions!$C$13*Assumptions!$C$28^(DM$5-1))*$O171)),0)</f>
        <v>0</v>
      </c>
      <c r="DO171" s="93">
        <f>IF(AND($T171=1,DO$5&lt;=$H171),DN171*(1-BY171)*(1-MIN(1,MAX(Assumptions!$C$27,Assumptions!$C$13*Assumptions!$C$28^(DN$5-1))*$O171)),0)</f>
        <v>0</v>
      </c>
      <c r="DP171" s="93">
        <f>IF(AND($T171=1,DP$5&lt;=$H171),DO171*(1-BZ171)*(1-MIN(1,MAX(Assumptions!$C$27,Assumptions!$C$13*Assumptions!$C$28^(DO$5-1))*$O171)),0)</f>
        <v>0</v>
      </c>
      <c r="DQ171" s="93">
        <f>IF(AND($T171=1,DQ$5&lt;=$H171),DP171*(1-CA171)*(1-MIN(1,MAX(Assumptions!$C$27,Assumptions!$C$13*Assumptions!$C$28^(DP$5-1))*$O171)),0)</f>
        <v>0</v>
      </c>
      <c r="DR171" s="93">
        <f>IF(AND($T171=1,DR$5&lt;=$H171),DQ171*(1-CB171)*(1-MIN(1,MAX(Assumptions!$C$27,Assumptions!$C$13*Assumptions!$C$28^(DQ$5-1))*$O171)),0)</f>
        <v>0</v>
      </c>
      <c r="DS171" s="93">
        <f>IF(AND($T171=1,DS$5&lt;=$H171),DR171*(1-CC171)*(1-MIN(1,MAX(Assumptions!$C$27,Assumptions!$C$13*Assumptions!$C$28^(DR$5-1))*$O171)),0)</f>
        <v>0</v>
      </c>
      <c r="DT171" s="93">
        <f>IF(AND($T171=1,DT$5&lt;=$H171),DS171*(1-CD171)*(1-MIN(1,MAX(Assumptions!$C$27,Assumptions!$C$13*Assumptions!$C$28^(DS$5-1))*$O171)),0)</f>
        <v>0</v>
      </c>
      <c r="DU171" s="93">
        <f>IF(AND($T171=1,DU$5&lt;=$H171),DT171*(1-CE171)*(1-MIN(1,MAX(Assumptions!$C$27,Assumptions!$C$13*Assumptions!$C$28^(DT$5-1))*$O171)),0)</f>
        <v>0</v>
      </c>
      <c r="DV171" s="93">
        <f>IF(AND($T171=1,DV$5&lt;=$H171),DU171*(1-CF171)*(1-MIN(1,MAX(Assumptions!$C$27,Assumptions!$C$13*Assumptions!$C$28^(DU$5-1))*$O171)),0)</f>
        <v>0</v>
      </c>
      <c r="DW171" s="94">
        <f>IF(AND($T171=1,DW$5&lt;=$H171),DV171*(1-CG171)*(1-MIN(1,MAX(Assumptions!$C$27,Assumptions!$C$13*Assumptions!$C$28^(DV$5-1))*$O171)),0)</f>
        <v>0</v>
      </c>
      <c r="DX171" s="26"/>
      <c r="DY171" s="399">
        <f>'Policy Data'!K145</f>
        <v>7</v>
      </c>
      <c r="DZ171" s="100">
        <f>'Policy Data'!L145</f>
        <v>0.72899999999999998</v>
      </c>
      <c r="EA171" s="100">
        <f>'Policy Data'!N145</f>
        <v>3.21E-4</v>
      </c>
      <c r="EB171" s="93" cm="1">
        <f t="array" ref="EB171">IFERROR(DZ171*INDEX(Mortality!$B$4:$E$64,MATCH(D171+DY171-1,Mortality!$A$4:$A$64,0),U171)*V171,0)</f>
        <v>5.1953177755397254E-4</v>
      </c>
      <c r="EC171" s="100">
        <f>'Policy Data'!O145</f>
        <v>0</v>
      </c>
      <c r="ED171" s="400">
        <f>'Policy Data'!Q145</f>
        <v>1</v>
      </c>
    </row>
    <row r="172" spans="1:134" x14ac:dyDescent="0.3">
      <c r="A172" s="399" t="str">
        <f>'Policy Data'!A146</f>
        <v>POL100142</v>
      </c>
      <c r="B172" s="26" t="s">
        <v>426</v>
      </c>
      <c r="C172" s="100" t="str">
        <f>'Policy Data'!B146</f>
        <v>Term Life</v>
      </c>
      <c r="D172" s="100">
        <f>'Policy Data'!C146</f>
        <v>23</v>
      </c>
      <c r="E172" s="100" t="str">
        <f>'Policy Data'!D146</f>
        <v>Female</v>
      </c>
      <c r="F172" s="100" t="str">
        <f>'Policy Data'!E146</f>
        <v>Non-smoker</v>
      </c>
      <c r="G172" s="100" t="str">
        <f>'Policy Data'!F146</f>
        <v>Standard</v>
      </c>
      <c r="H172" s="100">
        <f>'Policy Data'!G146</f>
        <v>20</v>
      </c>
      <c r="I172" s="279">
        <f>'Policy Data'!H146</f>
        <v>1000000</v>
      </c>
      <c r="J172" s="100" t="str">
        <f>'Policy Data'!I146</f>
        <v>Annual</v>
      </c>
      <c r="K172" s="100" t="str">
        <f>'Policy Data'!J146</f>
        <v>Bancassurance</v>
      </c>
      <c r="L172" s="26" t="s">
        <v>389</v>
      </c>
      <c r="M172" s="106">
        <f>'Policy Data'!R146</f>
        <v>1287.82</v>
      </c>
      <c r="N172" s="415">
        <f>Assumptions!$C$21</f>
        <v>1</v>
      </c>
      <c r="O172" s="415">
        <f>Assumptions!$C$22</f>
        <v>1</v>
      </c>
      <c r="P172" s="415">
        <f>Assumptions!$C$23</f>
        <v>1</v>
      </c>
      <c r="Q172" s="416">
        <f>Assumptions!$C$24</f>
        <v>0</v>
      </c>
      <c r="R172" s="416">
        <f>Assumptions!$C$6+Assumptions!$C$25</f>
        <v>3.5000000000000003E-2</v>
      </c>
      <c r="S172" s="416">
        <f>Assumptions!$C$15</f>
        <v>1.1000000000000001E-3</v>
      </c>
      <c r="T172" s="26">
        <f t="shared" si="54"/>
        <v>1</v>
      </c>
      <c r="U172" s="26">
        <f t="shared" si="55"/>
        <v>1</v>
      </c>
      <c r="V172" s="389">
        <f>IF($G172="Preferred",Assumptions!$C$30,IF($G172="Rated",Assumptions!$C$31,1))</f>
        <v>1</v>
      </c>
      <c r="W172" s="390">
        <f>IF($K172="Direct",Assumptions!$C$32,IF($K172="Broker",Assumptions!$C$33,IF($K172="Bancassurance",Assumptions!$C$34,Assumptions!$C$11)))+$Q172</f>
        <v>0.2</v>
      </c>
      <c r="X172" s="390">
        <f>Assumptions!$C$12+$Q172</f>
        <v>0.05</v>
      </c>
      <c r="Y172" s="131">
        <f>MIN($I172,Assumptions!$C$14)</f>
        <v>500000</v>
      </c>
      <c r="Z172" s="131">
        <f>MAX($I172-Assumptions!$C$14,0)</f>
        <v>500000</v>
      </c>
      <c r="AA172" s="389">
        <f t="shared" si="56"/>
        <v>8.6189863277041443</v>
      </c>
      <c r="AB172" s="389">
        <f t="shared" si="57"/>
        <v>3.6581650249534543E-3</v>
      </c>
      <c r="AC172" s="389">
        <f>IF($T172=1,SUMPRODUCT($CJ172:$DW172,(1+Assumptions!$C$5)^($CJ$5:$DW$5-1),(1+$R172)^(-$CJ$5:$DW$5)),0)</f>
        <v>11.610819963215166</v>
      </c>
      <c r="AD172" s="389">
        <f t="shared" si="58"/>
        <v>0.57587685261709132</v>
      </c>
      <c r="AE172" s="131">
        <f>IF($T172=1,$AB172*$Y172+(Assumptions!$C$9/(1+$R172)+Assumptions!$C$10*$AC172)*$P172+$S172*$Z172*$AA172,0)</f>
        <v>9993.4706020126469</v>
      </c>
      <c r="AF172" s="131">
        <f>IF($T172=1,IF($AA172-$AD172-Assumptions!$C$16*$AA172&gt;0,$AE172/($AA172-$AD172-Assumptions!$C$16*$AA172)*IF($J172="Monthly",1+Assumptions!$C$29,1),"n.a."),"")</f>
        <v>1358.9919792811265</v>
      </c>
      <c r="AG172" s="131">
        <f t="shared" si="59"/>
        <v>1287.82</v>
      </c>
      <c r="AH172" s="131">
        <f t="shared" si="60"/>
        <v>11099.70297254395</v>
      </c>
      <c r="AI172" s="131">
        <f t="shared" si="61"/>
        <v>364.60664219396131</v>
      </c>
      <c r="AJ172" s="390">
        <f t="shared" si="62"/>
        <v>3.2848324238571661E-2</v>
      </c>
      <c r="AK172" s="389">
        <f t="shared" si="63"/>
        <v>0.94762884522778801</v>
      </c>
      <c r="AL172" s="131">
        <f t="shared" si="64"/>
        <v>1829.0825124767271</v>
      </c>
      <c r="AM172" s="131">
        <f t="shared" si="65"/>
        <v>4740.4424802372796</v>
      </c>
      <c r="AN172" s="131">
        <f t="shared" si="66"/>
        <v>-2911.3599677605525</v>
      </c>
      <c r="AO172" s="131">
        <f t="shared" si="67"/>
        <v>3275.9666099545138</v>
      </c>
      <c r="AP172" s="26" t="str">
        <f t="shared" si="68"/>
        <v>20-29</v>
      </c>
      <c r="AQ172" s="26" t="str">
        <f t="shared" si="69"/>
        <v>500k-1m</v>
      </c>
      <c r="AR172" s="26" t="str">
        <f>IF($T172=1,IF($AI172&lt;0,"Loss-making",IF($AJ172&lt;Assumptions!$C$16-0.00001,"Below target","At/above target")),"Excluded")</f>
        <v>Below target</v>
      </c>
      <c r="AS172" s="103">
        <f t="shared" si="70"/>
        <v>364.60681419396133</v>
      </c>
      <c r="AT172" s="26"/>
      <c r="AU172" s="419">
        <f>IF(AND($T172=1,AU$5&lt;=$H172),INDEX(Mortality!$B$4:$E$64,MATCH($D172+AU$5-1,Mortality!$A$4:$A$64,0),$U172)*$V172*$N172,0)</f>
        <v>2.18487466922172E-4</v>
      </c>
      <c r="AV172" s="93">
        <f>IF(AND($T172=1,AV$5&lt;=$H172),INDEX(Mortality!$B$4:$E$64,MATCH($D172+AV$5-1,Mortality!$A$4:$A$64,0),$U172)*$V172*$N172,0)</f>
        <v>2.36684647365849E-4</v>
      </c>
      <c r="AW172" s="93">
        <f>IF(AND($T172=1,AW$5&lt;=$H172),INDEX(Mortality!$B$4:$E$64,MATCH($D172+AW$5-1,Mortality!$A$4:$A$64,0),$U172)*$V172*$N172,0)</f>
        <v>2.5639741760863198E-4</v>
      </c>
      <c r="AX172" s="93">
        <f>IF(AND($T172=1,AX$5&lt;=$H172),INDEX(Mortality!$B$4:$E$64,MATCH($D172+AX$5-1,Mortality!$A$4:$A$64,0),$U172)*$V172*$N172,0)</f>
        <v>2.7775200668068702E-4</v>
      </c>
      <c r="AY172" s="93">
        <f>IF(AND($T172=1,AY$5&lt;=$H172),INDEX(Mortality!$B$4:$E$64,MATCH($D172+AY$5-1,Mortality!$A$4:$A$64,0),$U172)*$V172*$N172,0)</f>
        <v>3.0088515685795699E-4</v>
      </c>
      <c r="AZ172" s="93">
        <f>IF(AND($T172=1,AZ$5&lt;=$H172),INDEX(Mortality!$B$4:$E$64,MATCH($D172+AZ$5-1,Mortality!$A$4:$A$64,0),$U172)*$V172*$N172,0)</f>
        <v>3.2594499927957602E-4</v>
      </c>
      <c r="BA172" s="93">
        <f>IF(AND($T172=1,BA$5&lt;=$H172),INDEX(Mortality!$B$4:$E$64,MATCH($D172+BA$5-1,Mortality!$A$4:$A$64,0),$U172)*$V172*$N172,0)</f>
        <v>3.53092002492888E-4</v>
      </c>
      <c r="BB172" s="93">
        <f>IF(AND($T172=1,BB$5&lt;=$H172),INDEX(Mortality!$B$4:$E$64,MATCH($D172+BB$5-1,Mortality!$A$4:$A$64,0),$U172)*$V172*$N172,0)</f>
        <v>3.8249999999999997E-4</v>
      </c>
      <c r="BC172" s="93">
        <f>IF(AND($T172=1,BC$5&lt;=$H172),INDEX(Mortality!$B$4:$E$64,MATCH($D172+BC$5-1,Mortality!$A$4:$A$64,0),$U172)*$V172*$N172,0)</f>
        <v>4.1435730338567202E-4</v>
      </c>
      <c r="BD172" s="93">
        <f>IF(AND($T172=1,BD$5&lt;=$H172),INDEX(Mortality!$B$4:$E$64,MATCH($D172+BD$5-1,Mortality!$A$4:$A$64,0),$U172)*$V172*$N172,0)</f>
        <v>4.4886790815436701E-4</v>
      </c>
      <c r="BE172" s="93">
        <f>IF(AND($T172=1,BE$5&lt;=$H172),INDEX(Mortality!$B$4:$E$64,MATCH($D172+BE$5-1,Mortality!$A$4:$A$64,0),$U172)*$V172*$N172,0)</f>
        <v>4.8625279999793699E-4</v>
      </c>
      <c r="BF172" s="93">
        <f>IF(AND($T172=1,BF$5&lt;=$H172),INDEX(Mortality!$B$4:$E$64,MATCH($D172+BF$5-1,Mortality!$A$4:$A$64,0),$U172)*$V172*$N172,0)</f>
        <v>5.2675136985850396E-4</v>
      </c>
      <c r="BG172" s="93">
        <f>IF(AND($T172=1,BG$5&lt;=$H172),INDEX(Mortality!$B$4:$E$64,MATCH($D172+BG$5-1,Mortality!$A$4:$A$64,0),$U172)*$V172*$N172,0)</f>
        <v>5.7062294684778595E-4</v>
      </c>
      <c r="BH172" s="93">
        <f>IF(AND($T172=1,BH$5&lt;=$H172),INDEX(Mortality!$B$4:$E$64,MATCH($D172+BH$5-1,Mortality!$A$4:$A$64,0),$U172)*$V172*$N172,0)</f>
        <v>6.1814845883878197E-4</v>
      </c>
      <c r="BI172" s="93">
        <f>IF(AND($T172=1,BI$5&lt;=$H172),INDEX(Mortality!$B$4:$E$64,MATCH($D172+BI$5-1,Mortality!$A$4:$A$64,0),$U172)*$V172*$N172,0)</f>
        <v>6.6963223136325904E-4</v>
      </c>
      <c r="BJ172" s="93">
        <f>IF(AND($T172=1,BJ$5&lt;=$H172),INDEX(Mortality!$B$4:$E$64,MATCH($D172+BJ$5-1,Mortality!$A$4:$A$64,0),$U172)*$V172*$N172,0)</f>
        <v>7.2540393633414402E-4</v>
      </c>
      <c r="BK172" s="93">
        <f>IF(AND($T172=1,BK$5&lt;=$H172),INDEX(Mortality!$B$4:$E$64,MATCH($D172+BK$5-1,Mortality!$A$4:$A$64,0),$U172)*$V172*$N172,0)</f>
        <v>7.8582070307128696E-4</v>
      </c>
      <c r="BL172" s="93">
        <f>IF(AND($T172=1,BL$5&lt;=$H172),INDEX(Mortality!$B$4:$E$64,MATCH($D172+BL$5-1,Mortality!$A$4:$A$64,0),$U172)*$V172*$N172,0)</f>
        <v>8.5126940514836905E-4</v>
      </c>
      <c r="BM172" s="93">
        <f>IF(AND($T172=1,BM$5&lt;=$H172),INDEX(Mortality!$B$4:$E$64,MATCH($D172+BM$5-1,Mortality!$A$4:$A$64,0),$U172)*$V172*$N172,0)</f>
        <v>9.2216913770458301E-4</v>
      </c>
      <c r="BN172" s="93">
        <f>IF(AND($T172=1,BN$5&lt;=$H172),INDEX(Mortality!$B$4:$E$64,MATCH($D172+BN$5-1,Mortality!$A$4:$A$64,0),$U172)*$V172*$N172,0)</f>
        <v>9.98973901084343E-4</v>
      </c>
      <c r="BO172" s="93">
        <f>IF(AND($T172=1,BO$5&lt;=$H172),INDEX(Mortality!$B$4:$E$64,MATCH($D172+BO$5-1,Mortality!$A$4:$A$64,0),$U172)*$V172*$N172,0)</f>
        <v>0</v>
      </c>
      <c r="BP172" s="93">
        <f>IF(AND($T172=1,BP$5&lt;=$H172),INDEX(Mortality!$B$4:$E$64,MATCH($D172+BP$5-1,Mortality!$A$4:$A$64,0),$U172)*$V172*$N172,0)</f>
        <v>0</v>
      </c>
      <c r="BQ172" s="93">
        <f>IF(AND($T172=1,BQ$5&lt;=$H172),INDEX(Mortality!$B$4:$E$64,MATCH($D172+BQ$5-1,Mortality!$A$4:$A$64,0),$U172)*$V172*$N172,0)</f>
        <v>0</v>
      </c>
      <c r="BR172" s="93">
        <f>IF(AND($T172=1,BR$5&lt;=$H172),INDEX(Mortality!$B$4:$E$64,MATCH($D172+BR$5-1,Mortality!$A$4:$A$64,0),$U172)*$V172*$N172,0)</f>
        <v>0</v>
      </c>
      <c r="BS172" s="93">
        <f>IF(AND($T172=1,BS$5&lt;=$H172),INDEX(Mortality!$B$4:$E$64,MATCH($D172+BS$5-1,Mortality!$A$4:$A$64,0),$U172)*$V172*$N172,0)</f>
        <v>0</v>
      </c>
      <c r="BT172" s="93">
        <f>IF(AND($T172=1,BT$5&lt;=$H172),INDEX(Mortality!$B$4:$E$64,MATCH($D172+BT$5-1,Mortality!$A$4:$A$64,0),$U172)*$V172*$N172,0)</f>
        <v>0</v>
      </c>
      <c r="BU172" s="93">
        <f>IF(AND($T172=1,BU$5&lt;=$H172),INDEX(Mortality!$B$4:$E$64,MATCH($D172+BU$5-1,Mortality!$A$4:$A$64,0),$U172)*$V172*$N172,0)</f>
        <v>0</v>
      </c>
      <c r="BV172" s="93">
        <f>IF(AND($T172=1,BV$5&lt;=$H172),INDEX(Mortality!$B$4:$E$64,MATCH($D172+BV$5-1,Mortality!$A$4:$A$64,0),$U172)*$V172*$N172,0)</f>
        <v>0</v>
      </c>
      <c r="BW172" s="93">
        <f>IF(AND($T172=1,BW$5&lt;=$H172),INDEX(Mortality!$B$4:$E$64,MATCH($D172+BW$5-1,Mortality!$A$4:$A$64,0),$U172)*$V172*$N172,0)</f>
        <v>0</v>
      </c>
      <c r="BX172" s="93">
        <f>IF(AND($T172=1,BX$5&lt;=$H172),INDEX(Mortality!$B$4:$E$64,MATCH($D172+BX$5-1,Mortality!$A$4:$A$64,0),$U172)*$V172*$N172,0)</f>
        <v>0</v>
      </c>
      <c r="BY172" s="93">
        <f>IF(AND($T172=1,BY$5&lt;=$H172),INDEX(Mortality!$B$4:$E$64,MATCH($D172+BY$5-1,Mortality!$A$4:$A$64,0),$U172)*$V172*$N172,0)</f>
        <v>0</v>
      </c>
      <c r="BZ172" s="93">
        <f>IF(AND($T172=1,BZ$5&lt;=$H172),INDEX(Mortality!$B$4:$E$64,MATCH($D172+BZ$5-1,Mortality!$A$4:$A$64,0),$U172)*$V172*$N172,0)</f>
        <v>0</v>
      </c>
      <c r="CA172" s="93">
        <f>IF(AND($T172=1,CA$5&lt;=$H172),INDEX(Mortality!$B$4:$E$64,MATCH($D172+CA$5-1,Mortality!$A$4:$A$64,0),$U172)*$V172*$N172,0)</f>
        <v>0</v>
      </c>
      <c r="CB172" s="93">
        <f>IF(AND($T172=1,CB$5&lt;=$H172),INDEX(Mortality!$B$4:$E$64,MATCH($D172+CB$5-1,Mortality!$A$4:$A$64,0),$U172)*$V172*$N172,0)</f>
        <v>0</v>
      </c>
      <c r="CC172" s="93">
        <f>IF(AND($T172=1,CC$5&lt;=$H172),INDEX(Mortality!$B$4:$E$64,MATCH($D172+CC$5-1,Mortality!$A$4:$A$64,0),$U172)*$V172*$N172,0)</f>
        <v>0</v>
      </c>
      <c r="CD172" s="93">
        <f>IF(AND($T172=1,CD$5&lt;=$H172),INDEX(Mortality!$B$4:$E$64,MATCH($D172+CD$5-1,Mortality!$A$4:$A$64,0),$U172)*$V172*$N172,0)</f>
        <v>0</v>
      </c>
      <c r="CE172" s="93">
        <f>IF(AND($T172=1,CE$5&lt;=$H172),INDEX(Mortality!$B$4:$E$64,MATCH($D172+CE$5-1,Mortality!$A$4:$A$64,0),$U172)*$V172*$N172,0)</f>
        <v>0</v>
      </c>
      <c r="CF172" s="93">
        <f>IF(AND($T172=1,CF$5&lt;=$H172),INDEX(Mortality!$B$4:$E$64,MATCH($D172+CF$5-1,Mortality!$A$4:$A$64,0),$U172)*$V172*$N172,0)</f>
        <v>0</v>
      </c>
      <c r="CG172" s="93">
        <f>IF(AND($T172=1,CG$5&lt;=$H172),INDEX(Mortality!$B$4:$E$64,MATCH($D172+CG$5-1,Mortality!$A$4:$A$64,0),$U172)*$V172*$N172,0)</f>
        <v>0</v>
      </c>
      <c r="CH172" s="94">
        <f>IF(AND($T172=1,CH$5&lt;=$H172),INDEX(Mortality!$B$4:$E$64,MATCH($D172+CH$5-1,Mortality!$A$4:$A$64,0),$U172)*$V172*$N172,0)</f>
        <v>0</v>
      </c>
      <c r="CI172" s="26"/>
      <c r="CJ172" s="419">
        <f t="shared" si="71"/>
        <v>1</v>
      </c>
      <c r="CK172" s="93">
        <f>IF(AND($T172=1,CK$5&lt;=$H172),CJ172*(1-AU172)*(1-MIN(1,MAX(Assumptions!$C$27,Assumptions!$C$13*Assumptions!$C$28^(CJ$5-1))*$O172)),0)</f>
        <v>0.87980773102910848</v>
      </c>
      <c r="CL172" s="93">
        <f>IF(AND($T172=1,CL$5&lt;=$H172),CK172*(1-AV172)*(1-MIN(1,MAX(Assumptions!$C$27,Assumptions!$C$13*Assumptions!$C$28^(CK$5-1))*$O172)),0)</f>
        <v>0.78988034565379306</v>
      </c>
      <c r="CM172" s="93">
        <f>IF(AND($T172=1,CM$5&lt;=$H172),CL172*(1-AW172)*(1-MIN(1,MAX(Assumptions!$C$27,Assumptions!$C$13*Assumptions!$C$28^(CL$5-1))*$O172)),0)</f>
        <v>0.72121275517321304</v>
      </c>
      <c r="CN172" s="93">
        <f>IF(AND($T172=1,CN$5&lt;=$H172),CM172*(1-AX172)*(1-MIN(1,MAX(Assumptions!$C$27,Assumptions!$C$13*Assumptions!$C$28^(CM$5-1))*$O172)),0)</f>
        <v>0.66787742534711114</v>
      </c>
      <c r="CO172" s="93">
        <f>IF(AND($T172=1,CO$5&lt;=$H172),CN172*(1-AY172)*(1-MIN(1,MAX(Assumptions!$C$27,Assumptions!$C$13*Assumptions!$C$28^(CN$5-1))*$O172)),0)</f>
        <v>0.62585271604598691</v>
      </c>
      <c r="CP172" s="93">
        <f>IF(AND($T172=1,CP$5&lt;=$H172),CO172*(1-AZ172)*(1-MIN(1,MAX(Assumptions!$C$27,Assumptions!$C$13*Assumptions!$C$28^(CO$5-1))*$O172)),0)</f>
        <v>0.59233628305196573</v>
      </c>
      <c r="CQ172" s="93">
        <f>IF(AND($T172=1,CQ$5&lt;=$H172),CP172*(1-BA172)*(1-MIN(1,MAX(Assumptions!$C$27,Assumptions!$C$13*Assumptions!$C$28^(CP$5-1))*$O172)),0)</f>
        <v>0.56532867844134715</v>
      </c>
      <c r="CR172" s="93">
        <f>IF(AND($T172=1,CR$5&lt;=$H172),CQ172*(1-BB172)*(1-MIN(1,MAX(Assumptions!$C$27,Assumptions!$C$13*Assumptions!$C$28^(CQ$5-1))*$O172)),0)</f>
        <v>0.54337298814530377</v>
      </c>
      <c r="CS172" s="93">
        <f>IF(AND($T172=1,CS$5&lt;=$H172),CR172*(1-BC172)*(1-MIN(1,MAX(Assumptions!$C$27,Assumptions!$C$13*Assumptions!$C$28^(CR$5-1))*$O172)),0)</f>
        <v>0.52538752084690865</v>
      </c>
      <c r="CT172" s="93">
        <f>IF(AND($T172=1,CT$5&lt;=$H172),CS172*(1-BD172)*(1-MIN(1,MAX(Assumptions!$C$27,Assumptions!$C$13*Assumptions!$C$28^(CS$5-1))*$O172)),0)</f>
        <v>0.51055560752193674</v>
      </c>
      <c r="CU172" s="93">
        <f>IF(AND($T172=1,CU$5&lt;=$H172),CT172*(1-BE172)*(1-MIN(1,MAX(Assumptions!$C$27,Assumptions!$C$13*Assumptions!$C$28^(CT$5-1))*$O172)),0)</f>
        <v>0.4982513737979245</v>
      </c>
      <c r="CV172" s="93">
        <f>IF(AND($T172=1,CV$5&lt;=$H172),CU172*(1-BF172)*(1-MIN(1,MAX(Assumptions!$C$27,Assumptions!$C$13*Assumptions!$C$28^(CU$5-1))*$O172)),0)</f>
        <v>0.48798870947690781</v>
      </c>
      <c r="CW172" s="93">
        <f>IF(AND($T172=1,CW$5&lt;=$H172),CV172*(1-BG172)*(1-MIN(1,MAX(Assumptions!$C$27,Assumptions!$C$13*Assumptions!$C$28^(CV$5-1))*$O172)),0)</f>
        <v>0.4779560468830481</v>
      </c>
      <c r="CX172" s="93">
        <f>IF(AND($T172=1,CX$5&lt;=$H172),CW172*(1-BH172)*(1-MIN(1,MAX(Assumptions!$C$27,Assumptions!$C$13*Assumptions!$C$28^(CW$5-1))*$O172)),0)</f>
        <v>0.46810738710748917</v>
      </c>
      <c r="CY172" s="93">
        <f>IF(AND($T172=1,CY$5&lt;=$H172),CX172*(1-BI172)*(1-MIN(1,MAX(Assumptions!$C$27,Assumptions!$C$13*Assumptions!$C$28^(CX$5-1))*$O172)),0)</f>
        <v>0.45843804876707589</v>
      </c>
      <c r="CZ172" s="93">
        <f>IF(AND($T172=1,CZ$5&lt;=$H172),CY172*(1-BJ172)*(1-MIN(1,MAX(Assumptions!$C$27,Assumptions!$C$13*Assumptions!$C$28^(CY$5-1))*$O172)),0)</f>
        <v>0.44894338608189621</v>
      </c>
      <c r="DA172" s="93">
        <f>IF(AND($T172=1,DA$5&lt;=$H172),CZ172*(1-BK172)*(1-MIN(1,MAX(Assumptions!$C$27,Assumptions!$C$13*Assumptions!$C$28^(CZ$5-1))*$O172)),0)</f>
        <v>0.43961878513311398</v>
      </c>
      <c r="DB172" s="93">
        <f>IF(AND($T172=1,DB$5&lt;=$H172),DA172*(1-BL172)*(1-MIN(1,MAX(Assumptions!$C$27,Assumptions!$C$13*Assumptions!$C$28^(DA$5-1))*$O172)),0)</f>
        <v>0.43045966008917363</v>
      </c>
      <c r="DC172" s="93">
        <f>IF(AND($T172=1,DC$5&lt;=$H172),DB172*(1-BM172)*(1-MIN(1,MAX(Assumptions!$C$27,Assumptions!$C$13*Assumptions!$C$28^(DB$5-1))*$O172)),0)</f>
        <v>0.42146144940610036</v>
      </c>
      <c r="DD172" s="93">
        <f>IF(AND($T172=1,DD$5&lt;=$H172),DC172*(1-BN172)*(1-MIN(1,MAX(Assumptions!$C$27,Assumptions!$C$13*Assumptions!$C$28^(DC$5-1))*$O172)),0)</f>
        <v>0</v>
      </c>
      <c r="DE172" s="93">
        <f>IF(AND($T172=1,DE$5&lt;=$H172),DD172*(1-BO172)*(1-MIN(1,MAX(Assumptions!$C$27,Assumptions!$C$13*Assumptions!$C$28^(DD$5-1))*$O172)),0)</f>
        <v>0</v>
      </c>
      <c r="DF172" s="93">
        <f>IF(AND($T172=1,DF$5&lt;=$H172),DE172*(1-BP172)*(1-MIN(1,MAX(Assumptions!$C$27,Assumptions!$C$13*Assumptions!$C$28^(DE$5-1))*$O172)),0)</f>
        <v>0</v>
      </c>
      <c r="DG172" s="93">
        <f>IF(AND($T172=1,DG$5&lt;=$H172),DF172*(1-BQ172)*(1-MIN(1,MAX(Assumptions!$C$27,Assumptions!$C$13*Assumptions!$C$28^(DF$5-1))*$O172)),0)</f>
        <v>0</v>
      </c>
      <c r="DH172" s="93">
        <f>IF(AND($T172=1,DH$5&lt;=$H172),DG172*(1-BR172)*(1-MIN(1,MAX(Assumptions!$C$27,Assumptions!$C$13*Assumptions!$C$28^(DG$5-1))*$O172)),0)</f>
        <v>0</v>
      </c>
      <c r="DI172" s="93">
        <f>IF(AND($T172=1,DI$5&lt;=$H172),DH172*(1-BS172)*(1-MIN(1,MAX(Assumptions!$C$27,Assumptions!$C$13*Assumptions!$C$28^(DH$5-1))*$O172)),0)</f>
        <v>0</v>
      </c>
      <c r="DJ172" s="93">
        <f>IF(AND($T172=1,DJ$5&lt;=$H172),DI172*(1-BT172)*(1-MIN(1,MAX(Assumptions!$C$27,Assumptions!$C$13*Assumptions!$C$28^(DI$5-1))*$O172)),0)</f>
        <v>0</v>
      </c>
      <c r="DK172" s="93">
        <f>IF(AND($T172=1,DK$5&lt;=$H172),DJ172*(1-BU172)*(1-MIN(1,MAX(Assumptions!$C$27,Assumptions!$C$13*Assumptions!$C$28^(DJ$5-1))*$O172)),0)</f>
        <v>0</v>
      </c>
      <c r="DL172" s="93">
        <f>IF(AND($T172=1,DL$5&lt;=$H172),DK172*(1-BV172)*(1-MIN(1,MAX(Assumptions!$C$27,Assumptions!$C$13*Assumptions!$C$28^(DK$5-1))*$O172)),0)</f>
        <v>0</v>
      </c>
      <c r="DM172" s="93">
        <f>IF(AND($T172=1,DM$5&lt;=$H172),DL172*(1-BW172)*(1-MIN(1,MAX(Assumptions!$C$27,Assumptions!$C$13*Assumptions!$C$28^(DL$5-1))*$O172)),0)</f>
        <v>0</v>
      </c>
      <c r="DN172" s="93">
        <f>IF(AND($T172=1,DN$5&lt;=$H172),DM172*(1-BX172)*(1-MIN(1,MAX(Assumptions!$C$27,Assumptions!$C$13*Assumptions!$C$28^(DM$5-1))*$O172)),0)</f>
        <v>0</v>
      </c>
      <c r="DO172" s="93">
        <f>IF(AND($T172=1,DO$5&lt;=$H172),DN172*(1-BY172)*(1-MIN(1,MAX(Assumptions!$C$27,Assumptions!$C$13*Assumptions!$C$28^(DN$5-1))*$O172)),0)</f>
        <v>0</v>
      </c>
      <c r="DP172" s="93">
        <f>IF(AND($T172=1,DP$5&lt;=$H172),DO172*(1-BZ172)*(1-MIN(1,MAX(Assumptions!$C$27,Assumptions!$C$13*Assumptions!$C$28^(DO$5-1))*$O172)),0)</f>
        <v>0</v>
      </c>
      <c r="DQ172" s="93">
        <f>IF(AND($T172=1,DQ$5&lt;=$H172),DP172*(1-CA172)*(1-MIN(1,MAX(Assumptions!$C$27,Assumptions!$C$13*Assumptions!$C$28^(DP$5-1))*$O172)),0)</f>
        <v>0</v>
      </c>
      <c r="DR172" s="93">
        <f>IF(AND($T172=1,DR$5&lt;=$H172),DQ172*(1-CB172)*(1-MIN(1,MAX(Assumptions!$C$27,Assumptions!$C$13*Assumptions!$C$28^(DQ$5-1))*$O172)),0)</f>
        <v>0</v>
      </c>
      <c r="DS172" s="93">
        <f>IF(AND($T172=1,DS$5&lt;=$H172),DR172*(1-CC172)*(1-MIN(1,MAX(Assumptions!$C$27,Assumptions!$C$13*Assumptions!$C$28^(DR$5-1))*$O172)),0)</f>
        <v>0</v>
      </c>
      <c r="DT172" s="93">
        <f>IF(AND($T172=1,DT$5&lt;=$H172),DS172*(1-CD172)*(1-MIN(1,MAX(Assumptions!$C$27,Assumptions!$C$13*Assumptions!$C$28^(DS$5-1))*$O172)),0)</f>
        <v>0</v>
      </c>
      <c r="DU172" s="93">
        <f>IF(AND($T172=1,DU$5&lt;=$H172),DT172*(1-CE172)*(1-MIN(1,MAX(Assumptions!$C$27,Assumptions!$C$13*Assumptions!$C$28^(DT$5-1))*$O172)),0)</f>
        <v>0</v>
      </c>
      <c r="DV172" s="93">
        <f>IF(AND($T172=1,DV$5&lt;=$H172),DU172*(1-CF172)*(1-MIN(1,MAX(Assumptions!$C$27,Assumptions!$C$13*Assumptions!$C$28^(DU$5-1))*$O172)),0)</f>
        <v>0</v>
      </c>
      <c r="DW172" s="94">
        <f>IF(AND($T172=1,DW$5&lt;=$H172),DV172*(1-CG172)*(1-MIN(1,MAX(Assumptions!$C$27,Assumptions!$C$13*Assumptions!$C$28^(DV$5-1))*$O172)),0)</f>
        <v>0</v>
      </c>
      <c r="DX172" s="26"/>
      <c r="DY172" s="399">
        <f>'Policy Data'!K146</f>
        <v>6</v>
      </c>
      <c r="DZ172" s="100">
        <f>'Policy Data'!L146</f>
        <v>0.99780000000000002</v>
      </c>
      <c r="EA172" s="100">
        <f>'Policy Data'!N146</f>
        <v>2.1800000000000001E-4</v>
      </c>
      <c r="EB172" s="93" cm="1">
        <f t="array" ref="EB172">IFERROR(DZ172*INDEX(Mortality!$B$4:$E$64,MATCH(D172+DY172-1,Mortality!$A$4:$A$64,0),U172)*V172,0)</f>
        <v>3.2522792028116094E-4</v>
      </c>
      <c r="EC172" s="100">
        <f>'Policy Data'!O146</f>
        <v>0</v>
      </c>
      <c r="ED172" s="400">
        <f>'Policy Data'!Q146</f>
        <v>0</v>
      </c>
    </row>
    <row r="173" spans="1:134" x14ac:dyDescent="0.3">
      <c r="A173" s="399" t="str">
        <f>'Policy Data'!A147</f>
        <v>POL100143</v>
      </c>
      <c r="B173" s="26" t="s">
        <v>426</v>
      </c>
      <c r="C173" s="100" t="str">
        <f>'Policy Data'!B147</f>
        <v>Term Life</v>
      </c>
      <c r="D173" s="100">
        <f>'Policy Data'!C147</f>
        <v>45</v>
      </c>
      <c r="E173" s="100" t="str">
        <f>'Policy Data'!D147</f>
        <v>Male</v>
      </c>
      <c r="F173" s="100" t="str">
        <f>'Policy Data'!E147</f>
        <v>Non-smoker</v>
      </c>
      <c r="G173" s="100" t="str">
        <f>'Policy Data'!F147</f>
        <v>Standard</v>
      </c>
      <c r="H173" s="100">
        <f>'Policy Data'!G147</f>
        <v>20</v>
      </c>
      <c r="I173" s="279">
        <f>'Policy Data'!H147</f>
        <v>500000</v>
      </c>
      <c r="J173" s="100" t="str">
        <f>'Policy Data'!I147</f>
        <v>Annual</v>
      </c>
      <c r="K173" s="100" t="str">
        <f>'Policy Data'!J147</f>
        <v>Broker</v>
      </c>
      <c r="L173" s="26" t="s">
        <v>389</v>
      </c>
      <c r="M173" s="106">
        <f>'Policy Data'!R147</f>
        <v>1768.71</v>
      </c>
      <c r="N173" s="415">
        <f>Assumptions!$C$21</f>
        <v>1</v>
      </c>
      <c r="O173" s="415">
        <f>Assumptions!$C$22</f>
        <v>1</v>
      </c>
      <c r="P173" s="415">
        <f>Assumptions!$C$23</f>
        <v>1</v>
      </c>
      <c r="Q173" s="416">
        <f>Assumptions!$C$24</f>
        <v>0</v>
      </c>
      <c r="R173" s="416">
        <f>Assumptions!$C$6+Assumptions!$C$25</f>
        <v>3.5000000000000003E-2</v>
      </c>
      <c r="S173" s="416">
        <f>Assumptions!$C$15</f>
        <v>1.1000000000000001E-3</v>
      </c>
      <c r="T173" s="26">
        <f t="shared" si="54"/>
        <v>1</v>
      </c>
      <c r="U173" s="26">
        <f t="shared" si="55"/>
        <v>3</v>
      </c>
      <c r="V173" s="389">
        <f>IF($G173="Preferred",Assumptions!$C$30,IF($G173="Rated",Assumptions!$C$31,1))</f>
        <v>1</v>
      </c>
      <c r="W173" s="390">
        <f>IF($K173="Direct",Assumptions!$C$32,IF($K173="Broker",Assumptions!$C$33,IF($K173="Bancassurance",Assumptions!$C$34,Assumptions!$C$11)))+$Q173</f>
        <v>0.25</v>
      </c>
      <c r="X173" s="390">
        <f>Assumptions!$C$12+$Q173</f>
        <v>0.05</v>
      </c>
      <c r="Y173" s="131">
        <f>MIN($I173,Assumptions!$C$14)</f>
        <v>500000</v>
      </c>
      <c r="Z173" s="131">
        <f>MAX($I173-Assumptions!$C$14,0)</f>
        <v>0</v>
      </c>
      <c r="AA173" s="389">
        <f t="shared" si="56"/>
        <v>8.4749557465476428</v>
      </c>
      <c r="AB173" s="389">
        <f t="shared" si="57"/>
        <v>2.8043213273483625E-2</v>
      </c>
      <c r="AC173" s="389">
        <f>IF($T173=1,SUMPRODUCT($CJ173:$DW173,(1+Assumptions!$C$5)^($CJ$5:$DW$5-1),(1+$R173)^(-$CJ$5:$DW$5)),0)</f>
        <v>11.370963962976026</v>
      </c>
      <c r="AD173" s="389">
        <f t="shared" si="58"/>
        <v>0.61698450230322766</v>
      </c>
      <c r="AE173" s="131">
        <f>IF($T173=1,$AB173*$Y173+(Assumptions!$C$9/(1+$R173)+Assumptions!$C$10*$AC173)*$P173+$S173*$Z173*$AA173,0)</f>
        <v>17392.783925987846</v>
      </c>
      <c r="AF173" s="131">
        <f>IF($T173=1,IF($AA173-$AD173-Assumptions!$C$16*$AA173&gt;0,$AE173/($AA173-$AD173-Assumptions!$C$16*$AA173)*IF($J173="Monthly",1+Assumptions!$C$29,1),"n.a."),"")</f>
        <v>2422.4018117006713</v>
      </c>
      <c r="AG173" s="131">
        <f t="shared" si="59"/>
        <v>1768.71</v>
      </c>
      <c r="AH173" s="131">
        <f t="shared" si="60"/>
        <v>14989.738978476282</v>
      </c>
      <c r="AI173" s="131">
        <f t="shared" si="61"/>
        <v>-3494.311606580306</v>
      </c>
      <c r="AJ173" s="390">
        <f t="shared" si="62"/>
        <v>-0.23311357266445912</v>
      </c>
      <c r="AK173" s="389">
        <f t="shared" si="63"/>
        <v>0.73014724124494423</v>
      </c>
      <c r="AL173" s="131">
        <f t="shared" si="64"/>
        <v>0</v>
      </c>
      <c r="AM173" s="131">
        <f t="shared" si="65"/>
        <v>0</v>
      </c>
      <c r="AN173" s="131">
        <f t="shared" si="66"/>
        <v>0</v>
      </c>
      <c r="AO173" s="131">
        <f t="shared" si="67"/>
        <v>-3494.311606580306</v>
      </c>
      <c r="AP173" s="26" t="str">
        <f t="shared" si="68"/>
        <v>40-49</v>
      </c>
      <c r="AQ173" s="26" t="str">
        <f t="shared" si="69"/>
        <v>250k-500k</v>
      </c>
      <c r="AR173" s="26" t="str">
        <f>IF($T173=1,IF($AI173&lt;0,"Loss-making",IF($AJ173&lt;Assumptions!$C$16-0.00001,"Below target","At/above target")),"Excluded")</f>
        <v>Loss-making</v>
      </c>
      <c r="AS173" s="103">
        <f t="shared" si="70"/>
        <v>-3494.3114335803061</v>
      </c>
      <c r="AT173" s="26"/>
      <c r="AU173" s="419">
        <f>IF(AND($T173=1,AU$5&lt;=$H173),INDEX(Mortality!$B$4:$E$64,MATCH($D173+AU$5-1,Mortality!$A$4:$A$64,0),$U173)*$V173*$N173,0)</f>
        <v>1.71816050751616E-3</v>
      </c>
      <c r="AV173" s="93">
        <f>IF(AND($T173=1,AV$5&lt;=$H173),INDEX(Mortality!$B$4:$E$64,MATCH($D173+AV$5-1,Mortality!$A$4:$A$64,0),$U173)*$V173*$N173,0)</f>
        <v>1.8612610579820999E-3</v>
      </c>
      <c r="AW173" s="93">
        <f>IF(AND($T173=1,AW$5&lt;=$H173),INDEX(Mortality!$B$4:$E$64,MATCH($D173+AW$5-1,Mortality!$A$4:$A$64,0),$U173)*$V173*$N173,0)</f>
        <v>2.0162800336790201E-3</v>
      </c>
      <c r="AX173" s="93">
        <f>IF(AND($T173=1,AX$5&lt;=$H173),INDEX(Mortality!$B$4:$E$64,MATCH($D173+AX$5-1,Mortality!$A$4:$A$64,0),$U173)*$V173*$N173,0)</f>
        <v>2.1842100852957199E-3</v>
      </c>
      <c r="AY173" s="93">
        <f>IF(AND($T173=1,AY$5&lt;=$H173),INDEX(Mortality!$B$4:$E$64,MATCH($D173+AY$5-1,Mortality!$A$4:$A$64,0),$U173)*$V173*$N173,0)</f>
        <v>2.3661265384860701E-3</v>
      </c>
      <c r="AZ173" s="93">
        <f>IF(AND($T173=1,AZ$5&lt;=$H173),INDEX(Mortality!$B$4:$E$64,MATCH($D173+AZ$5-1,Mortality!$A$4:$A$64,0),$U173)*$V173*$N173,0)</f>
        <v>2.5631942796244698E-3</v>
      </c>
      <c r="BA173" s="93">
        <f>IF(AND($T173=1,BA$5&lt;=$H173),INDEX(Mortality!$B$4:$E$64,MATCH($D173+BA$5-1,Mortality!$A$4:$A$64,0),$U173)*$V173*$N173,0)</f>
        <v>2.7766752150556202E-3</v>
      </c>
      <c r="BB173" s="93">
        <f>IF(AND($T173=1,BB$5&lt;=$H173),INDEX(Mortality!$B$4:$E$64,MATCH($D173+BB$5-1,Mortality!$A$4:$A$64,0),$U173)*$V173*$N173,0)</f>
        <v>3.0079363516033399E-3</v>
      </c>
      <c r="BC173" s="93">
        <f>IF(AND($T173=1,BC$5&lt;=$H173),INDEX(Mortality!$B$4:$E$64,MATCH($D173+BC$5-1,Mortality!$A$4:$A$64,0),$U173)*$V173*$N173,0)</f>
        <v>3.2584585500813001E-3</v>
      </c>
      <c r="BD173" s="93">
        <f>IF(AND($T173=1,BD$5&lt;=$H173),INDEX(Mortality!$B$4:$E$64,MATCH($D173+BD$5-1,Mortality!$A$4:$A$64,0),$U173)*$V173*$N173,0)</f>
        <v>3.5298460078579601E-3</v>
      </c>
      <c r="BE173" s="93">
        <f>IF(AND($T173=1,BE$5&lt;=$H173),INDEX(Mortality!$B$4:$E$64,MATCH($D173+BE$5-1,Mortality!$A$4:$A$64,0),$U173)*$V173*$N173,0)</f>
        <v>3.8238365311966099E-3</v>
      </c>
      <c r="BF173" s="93">
        <f>IF(AND($T173=1,BF$5&lt;=$H173),INDEX(Mortality!$B$4:$E$64,MATCH($D173+BF$5-1,Mortality!$A$4:$A$64,0),$U173)*$V173*$N173,0)</f>
        <v>4.1423126631483596E-3</v>
      </c>
      <c r="BG173" s="93">
        <f>IF(AND($T173=1,BG$5&lt;=$H173),INDEX(Mortality!$B$4:$E$64,MATCH($D173+BG$5-1,Mortality!$A$4:$A$64,0),$U173)*$V173*$N173,0)</f>
        <v>4.4873137382548398E-3</v>
      </c>
      <c r="BH173" s="93">
        <f>IF(AND($T173=1,BH$5&lt;=$H173),INDEX(Mortality!$B$4:$E$64,MATCH($D173+BH$5-1,Mortality!$A$4:$A$64,0),$U173)*$V173*$N173,0)</f>
        <v>4.8610489412516398E-3</v>
      </c>
      <c r="BI173" s="93">
        <f>IF(AND($T173=1,BI$5&lt;=$H173),INDEX(Mortality!$B$4:$E$64,MATCH($D173+BI$5-1,Mortality!$A$4:$A$64,0),$U173)*$V173*$N173,0)</f>
        <v>5.2659114533929498E-3</v>
      </c>
      <c r="BJ173" s="93">
        <f>IF(AND($T173=1,BJ$5&lt;=$H173),INDEX(Mortality!$B$4:$E$64,MATCH($D173+BJ$5-1,Mortality!$A$4:$A$64,0),$U173)*$V173*$N173,0)</f>
        <v>5.7044937769820296E-3</v>
      </c>
      <c r="BK173" s="93">
        <f>IF(AND($T173=1,BK$5&lt;=$H173),INDEX(Mortality!$B$4:$E$64,MATCH($D173+BK$5-1,Mortality!$A$4:$A$64,0),$U173)*$V173*$N173,0)</f>
        <v>6.1796043362369098E-3</v>
      </c>
      <c r="BL173" s="93">
        <f>IF(AND($T173=1,BL$5&lt;=$H173),INDEX(Mortality!$B$4:$E$64,MATCH($D173+BL$5-1,Mortality!$A$4:$A$64,0),$U173)*$V173*$N173,0)</f>
        <v>6.6942854607935399E-3</v>
      </c>
      <c r="BM173" s="93">
        <f>IF(AND($T173=1,BM$5&lt;=$H173),INDEX(Mortality!$B$4:$E$64,MATCH($D173+BM$5-1,Mortality!$A$4:$A$64,0),$U173)*$V173*$N173,0)</f>
        <v>7.2518328670021504E-3</v>
      </c>
      <c r="BN173" s="93">
        <f>IF(AND($T173=1,BN$5&lt;=$H173),INDEX(Mortality!$B$4:$E$64,MATCH($D173+BN$5-1,Mortality!$A$4:$A$64,0),$U173)*$V173*$N173,0)</f>
        <v>7.8558167617636399E-3</v>
      </c>
      <c r="BO173" s="93">
        <f>IF(AND($T173=1,BO$5&lt;=$H173),INDEX(Mortality!$B$4:$E$64,MATCH($D173+BO$5-1,Mortality!$A$4:$A$64,0),$U173)*$V173*$N173,0)</f>
        <v>0</v>
      </c>
      <c r="BP173" s="93">
        <f>IF(AND($T173=1,BP$5&lt;=$H173),INDEX(Mortality!$B$4:$E$64,MATCH($D173+BP$5-1,Mortality!$A$4:$A$64,0),$U173)*$V173*$N173,0)</f>
        <v>0</v>
      </c>
      <c r="BQ173" s="93">
        <f>IF(AND($T173=1,BQ$5&lt;=$H173),INDEX(Mortality!$B$4:$E$64,MATCH($D173+BQ$5-1,Mortality!$A$4:$A$64,0),$U173)*$V173*$N173,0)</f>
        <v>0</v>
      </c>
      <c r="BR173" s="93">
        <f>IF(AND($T173=1,BR$5&lt;=$H173),INDEX(Mortality!$B$4:$E$64,MATCH($D173+BR$5-1,Mortality!$A$4:$A$64,0),$U173)*$V173*$N173,0)</f>
        <v>0</v>
      </c>
      <c r="BS173" s="93">
        <f>IF(AND($T173=1,BS$5&lt;=$H173),INDEX(Mortality!$B$4:$E$64,MATCH($D173+BS$5-1,Mortality!$A$4:$A$64,0),$U173)*$V173*$N173,0)</f>
        <v>0</v>
      </c>
      <c r="BT173" s="93">
        <f>IF(AND($T173=1,BT$5&lt;=$H173),INDEX(Mortality!$B$4:$E$64,MATCH($D173+BT$5-1,Mortality!$A$4:$A$64,0),$U173)*$V173*$N173,0)</f>
        <v>0</v>
      </c>
      <c r="BU173" s="93">
        <f>IF(AND($T173=1,BU$5&lt;=$H173),INDEX(Mortality!$B$4:$E$64,MATCH($D173+BU$5-1,Mortality!$A$4:$A$64,0),$U173)*$V173*$N173,0)</f>
        <v>0</v>
      </c>
      <c r="BV173" s="93">
        <f>IF(AND($T173=1,BV$5&lt;=$H173),INDEX(Mortality!$B$4:$E$64,MATCH($D173+BV$5-1,Mortality!$A$4:$A$64,0),$U173)*$V173*$N173,0)</f>
        <v>0</v>
      </c>
      <c r="BW173" s="93">
        <f>IF(AND($T173=1,BW$5&lt;=$H173),INDEX(Mortality!$B$4:$E$64,MATCH($D173+BW$5-1,Mortality!$A$4:$A$64,0),$U173)*$V173*$N173,0)</f>
        <v>0</v>
      </c>
      <c r="BX173" s="93">
        <f>IF(AND($T173=1,BX$5&lt;=$H173),INDEX(Mortality!$B$4:$E$64,MATCH($D173+BX$5-1,Mortality!$A$4:$A$64,0),$U173)*$V173*$N173,0)</f>
        <v>0</v>
      </c>
      <c r="BY173" s="93">
        <f>IF(AND($T173=1,BY$5&lt;=$H173),INDEX(Mortality!$B$4:$E$64,MATCH($D173+BY$5-1,Mortality!$A$4:$A$64,0),$U173)*$V173*$N173,0)</f>
        <v>0</v>
      </c>
      <c r="BZ173" s="93">
        <f>IF(AND($T173=1,BZ$5&lt;=$H173),INDEX(Mortality!$B$4:$E$64,MATCH($D173+BZ$5-1,Mortality!$A$4:$A$64,0),$U173)*$V173*$N173,0)</f>
        <v>0</v>
      </c>
      <c r="CA173" s="93">
        <f>IF(AND($T173=1,CA$5&lt;=$H173),INDEX(Mortality!$B$4:$E$64,MATCH($D173+CA$5-1,Mortality!$A$4:$A$64,0),$U173)*$V173*$N173,0)</f>
        <v>0</v>
      </c>
      <c r="CB173" s="93">
        <f>IF(AND($T173=1,CB$5&lt;=$H173),INDEX(Mortality!$B$4:$E$64,MATCH($D173+CB$5-1,Mortality!$A$4:$A$64,0),$U173)*$V173*$N173,0)</f>
        <v>0</v>
      </c>
      <c r="CC173" s="93">
        <f>IF(AND($T173=1,CC$5&lt;=$H173),INDEX(Mortality!$B$4:$E$64,MATCH($D173+CC$5-1,Mortality!$A$4:$A$64,0),$U173)*$V173*$N173,0)</f>
        <v>0</v>
      </c>
      <c r="CD173" s="93">
        <f>IF(AND($T173=1,CD$5&lt;=$H173),INDEX(Mortality!$B$4:$E$64,MATCH($D173+CD$5-1,Mortality!$A$4:$A$64,0),$U173)*$V173*$N173,0)</f>
        <v>0</v>
      </c>
      <c r="CE173" s="93">
        <f>IF(AND($T173=1,CE$5&lt;=$H173),INDEX(Mortality!$B$4:$E$64,MATCH($D173+CE$5-1,Mortality!$A$4:$A$64,0),$U173)*$V173*$N173,0)</f>
        <v>0</v>
      </c>
      <c r="CF173" s="93">
        <f>IF(AND($T173=1,CF$5&lt;=$H173),INDEX(Mortality!$B$4:$E$64,MATCH($D173+CF$5-1,Mortality!$A$4:$A$64,0),$U173)*$V173*$N173,0)</f>
        <v>0</v>
      </c>
      <c r="CG173" s="93">
        <f>IF(AND($T173=1,CG$5&lt;=$H173),INDEX(Mortality!$B$4:$E$64,MATCH($D173+CG$5-1,Mortality!$A$4:$A$64,0),$U173)*$V173*$N173,0)</f>
        <v>0</v>
      </c>
      <c r="CH173" s="94">
        <f>IF(AND($T173=1,CH$5&lt;=$H173),INDEX(Mortality!$B$4:$E$64,MATCH($D173+CH$5-1,Mortality!$A$4:$A$64,0),$U173)*$V173*$N173,0)</f>
        <v>0</v>
      </c>
      <c r="CI173" s="26"/>
      <c r="CJ173" s="419">
        <f t="shared" si="71"/>
        <v>1</v>
      </c>
      <c r="CK173" s="93">
        <f>IF(AND($T173=1,CK$5&lt;=$H173),CJ173*(1-AU173)*(1-MIN(1,MAX(Assumptions!$C$27,Assumptions!$C$13*Assumptions!$C$28^(CJ$5-1))*$O173)),0)</f>
        <v>0.87848801875338578</v>
      </c>
      <c r="CL173" s="93">
        <f>IF(AND($T173=1,CL$5&lt;=$H173),CK173*(1-AV173)*(1-MIN(1,MAX(Assumptions!$C$27,Assumptions!$C$13*Assumptions!$C$28^(CK$5-1))*$O173)),0)</f>
        <v>0.78741392504633023</v>
      </c>
      <c r="CM173" s="93">
        <f>IF(AND($T173=1,CM$5&lt;=$H173),CL173*(1-AW173)*(1-MIN(1,MAX(Assumptions!$C$27,Assumptions!$C$13*Assumptions!$C$28^(CL$5-1))*$O173)),0)</f>
        <v>0.71769513976226118</v>
      </c>
      <c r="CN173" s="93">
        <f>IF(AND($T173=1,CN$5&lt;=$H173),CM173*(1-AX173)*(1-MIN(1,MAX(Assumptions!$C$27,Assumptions!$C$13*Assumptions!$C$28^(CM$5-1))*$O173)),0)</f>
        <v>0.66335252353319163</v>
      </c>
      <c r="CO173" s="93">
        <f>IF(AND($T173=1,CO$5&lt;=$H173),CN173*(1-AY173)*(1-MIN(1,MAX(Assumptions!$C$27,Assumptions!$C$13*Assumptions!$C$28^(CN$5-1))*$O173)),0)</f>
        <v>0.62032836735284369</v>
      </c>
      <c r="CP173" s="93">
        <f>IF(AND($T173=1,CP$5&lt;=$H173),CO173*(1-AZ173)*(1-MIN(1,MAX(Assumptions!$C$27,Assumptions!$C$13*Assumptions!$C$28^(CO$5-1))*$O173)),0)</f>
        <v>0.5857938463310266</v>
      </c>
      <c r="CQ173" s="93">
        <f>IF(AND($T173=1,CQ$5&lt;=$H173),CP173*(1-BA173)*(1-MIN(1,MAX(Assumptions!$C$27,Assumptions!$C$13*Assumptions!$C$28^(CP$5-1))*$O173)),0)</f>
        <v>0.55772907795298943</v>
      </c>
      <c r="CR173" s="93">
        <f>IF(AND($T173=1,CR$5&lt;=$H173),CQ173*(1-BB173)*(1-MIN(1,MAX(Assumptions!$C$27,Assumptions!$C$13*Assumptions!$C$28^(CQ$5-1))*$O173)),0)</f>
        <v>0.5346605812586176</v>
      </c>
      <c r="CS173" s="93">
        <f>IF(AND($T173=1,CS$5&lt;=$H173),CR173*(1-BC173)*(1-MIN(1,MAX(Assumptions!$C$27,Assumptions!$C$13*Assumptions!$C$28^(CR$5-1))*$O173)),0)</f>
        <v>0.51549258577229984</v>
      </c>
      <c r="CT173" s="93">
        <f>IF(AND($T173=1,CT$5&lt;=$H173),CS173*(1-BD173)*(1-MIN(1,MAX(Assumptions!$C$27,Assumptions!$C$13*Assumptions!$C$28^(CS$5-1))*$O173)),0)</f>
        <v>0.49939593238654206</v>
      </c>
      <c r="CU173" s="93">
        <f>IF(AND($T173=1,CU$5&lt;=$H173),CT173*(1-BE173)*(1-MIN(1,MAX(Assumptions!$C$27,Assumptions!$C$13*Assumptions!$C$28^(CT$5-1))*$O173)),0)</f>
        <v>0.48573324513268201</v>
      </c>
      <c r="CV173" s="93">
        <f>IF(AND($T173=1,CV$5&lt;=$H173),CU173*(1-BF173)*(1-MIN(1,MAX(Assumptions!$C$27,Assumptions!$C$13*Assumptions!$C$28^(CU$5-1))*$O173)),0)</f>
        <v>0.47400748948043936</v>
      </c>
      <c r="CW173" s="93">
        <f>IF(AND($T173=1,CW$5&lt;=$H173),CV173*(1-BG173)*(1-MIN(1,MAX(Assumptions!$C$27,Assumptions!$C$13*Assumptions!$C$28^(CV$5-1))*$O173)),0)</f>
        <v>0.46244285977764088</v>
      </c>
      <c r="CX173" s="93">
        <f>IF(AND($T173=1,CX$5&lt;=$H173),CW173*(1-BH173)*(1-MIN(1,MAX(Assumptions!$C$27,Assumptions!$C$13*Assumptions!$C$28^(CW$5-1))*$O173)),0)</f>
        <v>0.45099100435565481</v>
      </c>
      <c r="CY173" s="93">
        <f>IF(AND($T173=1,CY$5&lt;=$H173),CX173*(1-BI173)*(1-MIN(1,MAX(Assumptions!$C$27,Assumptions!$C$13*Assumptions!$C$28^(CX$5-1))*$O173)),0)</f>
        <v>0.43964380314723234</v>
      </c>
      <c r="CZ173" s="93">
        <f>IF(AND($T173=1,CZ$5&lt;=$H173),CY173*(1-BJ173)*(1-MIN(1,MAX(Assumptions!$C$27,Assumptions!$C$13*Assumptions!$C$28^(CY$5-1))*$O173)),0)</f>
        <v>0.42839314065192841</v>
      </c>
      <c r="DA173" s="93">
        <f>IF(AND($T173=1,DA$5&lt;=$H173),CZ173*(1-BK173)*(1-MIN(1,MAX(Assumptions!$C$27,Assumptions!$C$13*Assumptions!$C$28^(CZ$5-1))*$O173)),0)</f>
        <v>0.41723092373149478</v>
      </c>
      <c r="DB173" s="93">
        <f>IF(AND($T173=1,DB$5&lt;=$H173),DA173*(1-BL173)*(1-MIN(1,MAX(Assumptions!$C$27,Assumptions!$C$13*Assumptions!$C$28^(DA$5-1))*$O173)),0)</f>
        <v>0.40614910360846629</v>
      </c>
      <c r="DC173" s="93">
        <f>IF(AND($T173=1,DC$5&lt;=$H173),DB173*(1-BM173)*(1-MIN(1,MAX(Assumptions!$C$27,Assumptions!$C$13*Assumptions!$C$28^(DB$5-1))*$O173)),0)</f>
        <v>0.39513970262621467</v>
      </c>
      <c r="DD173" s="93">
        <f>IF(AND($T173=1,DD$5&lt;=$H173),DC173*(1-BN173)*(1-MIN(1,MAX(Assumptions!$C$27,Assumptions!$C$13*Assumptions!$C$28^(DC$5-1))*$O173)),0)</f>
        <v>0</v>
      </c>
      <c r="DE173" s="93">
        <f>IF(AND($T173=1,DE$5&lt;=$H173),DD173*(1-BO173)*(1-MIN(1,MAX(Assumptions!$C$27,Assumptions!$C$13*Assumptions!$C$28^(DD$5-1))*$O173)),0)</f>
        <v>0</v>
      </c>
      <c r="DF173" s="93">
        <f>IF(AND($T173=1,DF$5&lt;=$H173),DE173*(1-BP173)*(1-MIN(1,MAX(Assumptions!$C$27,Assumptions!$C$13*Assumptions!$C$28^(DE$5-1))*$O173)),0)</f>
        <v>0</v>
      </c>
      <c r="DG173" s="93">
        <f>IF(AND($T173=1,DG$5&lt;=$H173),DF173*(1-BQ173)*(1-MIN(1,MAX(Assumptions!$C$27,Assumptions!$C$13*Assumptions!$C$28^(DF$5-1))*$O173)),0)</f>
        <v>0</v>
      </c>
      <c r="DH173" s="93">
        <f>IF(AND($T173=1,DH$5&lt;=$H173),DG173*(1-BR173)*(1-MIN(1,MAX(Assumptions!$C$27,Assumptions!$C$13*Assumptions!$C$28^(DG$5-1))*$O173)),0)</f>
        <v>0</v>
      </c>
      <c r="DI173" s="93">
        <f>IF(AND($T173=1,DI$5&lt;=$H173),DH173*(1-BS173)*(1-MIN(1,MAX(Assumptions!$C$27,Assumptions!$C$13*Assumptions!$C$28^(DH$5-1))*$O173)),0)</f>
        <v>0</v>
      </c>
      <c r="DJ173" s="93">
        <f>IF(AND($T173=1,DJ$5&lt;=$H173),DI173*(1-BT173)*(1-MIN(1,MAX(Assumptions!$C$27,Assumptions!$C$13*Assumptions!$C$28^(DI$5-1))*$O173)),0)</f>
        <v>0</v>
      </c>
      <c r="DK173" s="93">
        <f>IF(AND($T173=1,DK$5&lt;=$H173),DJ173*(1-BU173)*(1-MIN(1,MAX(Assumptions!$C$27,Assumptions!$C$13*Assumptions!$C$28^(DJ$5-1))*$O173)),0)</f>
        <v>0</v>
      </c>
      <c r="DL173" s="93">
        <f>IF(AND($T173=1,DL$5&lt;=$H173),DK173*(1-BV173)*(1-MIN(1,MAX(Assumptions!$C$27,Assumptions!$C$13*Assumptions!$C$28^(DK$5-1))*$O173)),0)</f>
        <v>0</v>
      </c>
      <c r="DM173" s="93">
        <f>IF(AND($T173=1,DM$5&lt;=$H173),DL173*(1-BW173)*(1-MIN(1,MAX(Assumptions!$C$27,Assumptions!$C$13*Assumptions!$C$28^(DL$5-1))*$O173)),0)</f>
        <v>0</v>
      </c>
      <c r="DN173" s="93">
        <f>IF(AND($T173=1,DN$5&lt;=$H173),DM173*(1-BX173)*(1-MIN(1,MAX(Assumptions!$C$27,Assumptions!$C$13*Assumptions!$C$28^(DM$5-1))*$O173)),0)</f>
        <v>0</v>
      </c>
      <c r="DO173" s="93">
        <f>IF(AND($T173=1,DO$5&lt;=$H173),DN173*(1-BY173)*(1-MIN(1,MAX(Assumptions!$C$27,Assumptions!$C$13*Assumptions!$C$28^(DN$5-1))*$O173)),0)</f>
        <v>0</v>
      </c>
      <c r="DP173" s="93">
        <f>IF(AND($T173=1,DP$5&lt;=$H173),DO173*(1-BZ173)*(1-MIN(1,MAX(Assumptions!$C$27,Assumptions!$C$13*Assumptions!$C$28^(DO$5-1))*$O173)),0)</f>
        <v>0</v>
      </c>
      <c r="DQ173" s="93">
        <f>IF(AND($T173=1,DQ$5&lt;=$H173),DP173*(1-CA173)*(1-MIN(1,MAX(Assumptions!$C$27,Assumptions!$C$13*Assumptions!$C$28^(DP$5-1))*$O173)),0)</f>
        <v>0</v>
      </c>
      <c r="DR173" s="93">
        <f>IF(AND($T173=1,DR$5&lt;=$H173),DQ173*(1-CB173)*(1-MIN(1,MAX(Assumptions!$C$27,Assumptions!$C$13*Assumptions!$C$28^(DQ$5-1))*$O173)),0)</f>
        <v>0</v>
      </c>
      <c r="DS173" s="93">
        <f>IF(AND($T173=1,DS$5&lt;=$H173),DR173*(1-CC173)*(1-MIN(1,MAX(Assumptions!$C$27,Assumptions!$C$13*Assumptions!$C$28^(DR$5-1))*$O173)),0)</f>
        <v>0</v>
      </c>
      <c r="DT173" s="93">
        <f>IF(AND($T173=1,DT$5&lt;=$H173),DS173*(1-CD173)*(1-MIN(1,MAX(Assumptions!$C$27,Assumptions!$C$13*Assumptions!$C$28^(DS$5-1))*$O173)),0)</f>
        <v>0</v>
      </c>
      <c r="DU173" s="93">
        <f>IF(AND($T173=1,DU$5&lt;=$H173),DT173*(1-CE173)*(1-MIN(1,MAX(Assumptions!$C$27,Assumptions!$C$13*Assumptions!$C$28^(DT$5-1))*$O173)),0)</f>
        <v>0</v>
      </c>
      <c r="DV173" s="93">
        <f>IF(AND($T173=1,DV$5&lt;=$H173),DU173*(1-CF173)*(1-MIN(1,MAX(Assumptions!$C$27,Assumptions!$C$13*Assumptions!$C$28^(DU$5-1))*$O173)),0)</f>
        <v>0</v>
      </c>
      <c r="DW173" s="94">
        <f>IF(AND($T173=1,DW$5&lt;=$H173),DV173*(1-CG173)*(1-MIN(1,MAX(Assumptions!$C$27,Assumptions!$C$13*Assumptions!$C$28^(DV$5-1))*$O173)),0)</f>
        <v>0</v>
      </c>
      <c r="DX173" s="26"/>
      <c r="DY173" s="399">
        <f>'Policy Data'!K147</f>
        <v>7</v>
      </c>
      <c r="DZ173" s="100">
        <f>'Policy Data'!L147</f>
        <v>0.92169999999999996</v>
      </c>
      <c r="EA173" s="100">
        <f>'Policy Data'!N147</f>
        <v>1.5839999999999999E-3</v>
      </c>
      <c r="EB173" s="93" cm="1">
        <f t="array" ref="EB173">IFERROR(DZ173*INDEX(Mortality!$B$4:$E$64,MATCH(D173+DY173-1,Mortality!$A$4:$A$64,0),U173)*V173,0)</f>
        <v>2.5592615457167649E-3</v>
      </c>
      <c r="EC173" s="100">
        <f>'Policy Data'!O147</f>
        <v>0</v>
      </c>
      <c r="ED173" s="400">
        <f>'Policy Data'!Q147</f>
        <v>0</v>
      </c>
    </row>
    <row r="174" spans="1:134" x14ac:dyDescent="0.3">
      <c r="A174" s="399" t="str">
        <f>'Policy Data'!A148</f>
        <v>POL100144</v>
      </c>
      <c r="B174" s="26" t="s">
        <v>426</v>
      </c>
      <c r="C174" s="100" t="str">
        <f>'Policy Data'!B148</f>
        <v>Term Life</v>
      </c>
      <c r="D174" s="100">
        <f>'Policy Data'!C148</f>
        <v>51</v>
      </c>
      <c r="E174" s="100" t="str">
        <f>'Policy Data'!D148</f>
        <v>Male</v>
      </c>
      <c r="F174" s="100" t="str">
        <f>'Policy Data'!E148</f>
        <v>Non-smoker</v>
      </c>
      <c r="G174" s="100" t="str">
        <f>'Policy Data'!F148</f>
        <v>Preferred</v>
      </c>
      <c r="H174" s="100">
        <f>'Policy Data'!G148</f>
        <v>15</v>
      </c>
      <c r="I174" s="279">
        <f>'Policy Data'!H148</f>
        <v>250000</v>
      </c>
      <c r="J174" s="100" t="str">
        <f>'Policy Data'!I148</f>
        <v>Monthly</v>
      </c>
      <c r="K174" s="100" t="str">
        <f>'Policy Data'!J148</f>
        <v>Bancassurance</v>
      </c>
      <c r="L174" s="26" t="s">
        <v>389</v>
      </c>
      <c r="M174" s="106">
        <f>'Policy Data'!R148</f>
        <v>1272.8</v>
      </c>
      <c r="N174" s="415">
        <f>Assumptions!$C$21</f>
        <v>1</v>
      </c>
      <c r="O174" s="415">
        <f>Assumptions!$C$22</f>
        <v>1</v>
      </c>
      <c r="P174" s="415">
        <f>Assumptions!$C$23</f>
        <v>1</v>
      </c>
      <c r="Q174" s="416">
        <f>Assumptions!$C$24</f>
        <v>0</v>
      </c>
      <c r="R174" s="416">
        <f>Assumptions!$C$6+Assumptions!$C$25</f>
        <v>3.5000000000000003E-2</v>
      </c>
      <c r="S174" s="416">
        <f>Assumptions!$C$15</f>
        <v>1.1000000000000001E-3</v>
      </c>
      <c r="T174" s="26">
        <f t="shared" si="54"/>
        <v>1</v>
      </c>
      <c r="U174" s="26">
        <f t="shared" si="55"/>
        <v>3</v>
      </c>
      <c r="V174" s="389">
        <f>IF($G174="Preferred",Assumptions!$C$30,IF($G174="Rated",Assumptions!$C$31,1))</f>
        <v>0.8</v>
      </c>
      <c r="W174" s="390">
        <f>IF($K174="Direct",Assumptions!$C$32,IF($K174="Broker",Assumptions!$C$33,IF($K174="Bancassurance",Assumptions!$C$34,Assumptions!$C$11)))+$Q174</f>
        <v>0.2</v>
      </c>
      <c r="X174" s="390">
        <f>Assumptions!$C$12+$Q174</f>
        <v>0.05</v>
      </c>
      <c r="Y174" s="131">
        <f>MIN($I174,Assumptions!$C$14)</f>
        <v>250000</v>
      </c>
      <c r="Z174" s="131">
        <f>MAX($I174-Assumptions!$C$14,0)</f>
        <v>0</v>
      </c>
      <c r="AA174" s="389">
        <f t="shared" si="56"/>
        <v>7.3204782657006433</v>
      </c>
      <c r="AB174" s="389">
        <f t="shared" si="57"/>
        <v>2.640249913259269E-2</v>
      </c>
      <c r="AC174" s="389">
        <f>IF($T174=1,SUMPRODUCT($CJ174:$DW174,(1+Assumptions!$C$5)^($CJ$5:$DW$5-1),(1+$R174)^(-$CJ$5:$DW$5)),0)</f>
        <v>9.1430056614287967</v>
      </c>
      <c r="AD174" s="389">
        <f t="shared" si="58"/>
        <v>0.51095144951691629</v>
      </c>
      <c r="AE174" s="131">
        <f>IF($T174=1,$AB174*$Y174+(Assumptions!$C$9/(1+$R174)+Assumptions!$C$10*$AC174)*$P174+$S174*$Z174*$AA174,0)</f>
        <v>9481.6512460538124</v>
      </c>
      <c r="AF174" s="131">
        <f>IF($T174=1,IF($AA174-$AD174-Assumptions!$C$16*$AA174&gt;0,$AE174/($AA174-$AD174-Assumptions!$C$16*$AA174)*IF($J174="Monthly",1+Assumptions!$C$29,1),"n.a."),"")</f>
        <v>1569.1316927105411</v>
      </c>
      <c r="AG174" s="131">
        <f t="shared" si="59"/>
        <v>1272.8</v>
      </c>
      <c r="AH174" s="131">
        <f t="shared" si="60"/>
        <v>9317.5047365837781</v>
      </c>
      <c r="AI174" s="131">
        <f t="shared" si="61"/>
        <v>-814.48551441516611</v>
      </c>
      <c r="AJ174" s="390">
        <f t="shared" si="62"/>
        <v>-8.7414553299577244E-2</v>
      </c>
      <c r="AK174" s="389">
        <f t="shared" si="63"/>
        <v>0.81114925274458427</v>
      </c>
      <c r="AL174" s="131">
        <f t="shared" si="64"/>
        <v>0</v>
      </c>
      <c r="AM174" s="131">
        <f t="shared" si="65"/>
        <v>0</v>
      </c>
      <c r="AN174" s="131">
        <f t="shared" si="66"/>
        <v>0</v>
      </c>
      <c r="AO174" s="131">
        <f t="shared" si="67"/>
        <v>-814.48551441516611</v>
      </c>
      <c r="AP174" s="26" t="str">
        <f t="shared" si="68"/>
        <v>50-59</v>
      </c>
      <c r="AQ174" s="26" t="str">
        <f t="shared" si="69"/>
        <v>Up to 250k</v>
      </c>
      <c r="AR174" s="26" t="str">
        <f>IF($T174=1,IF($AI174&lt;0,"Loss-making",IF($AJ174&lt;Assumptions!$C$16-0.00001,"Below target","At/above target")),"Excluded")</f>
        <v>Loss-making</v>
      </c>
      <c r="AS174" s="103">
        <f t="shared" si="70"/>
        <v>-814.48534041516609</v>
      </c>
      <c r="AT174" s="26"/>
      <c r="AU174" s="419">
        <f>IF(AND($T174=1,AU$5&lt;=$H174),INDEX(Mortality!$B$4:$E$64,MATCH($D174+AU$5-1,Mortality!$A$4:$A$64,0),$U174)*$V174*$N174,0)</f>
        <v>2.2213401720444963E-3</v>
      </c>
      <c r="AV174" s="93">
        <f>IF(AND($T174=1,AV$5&lt;=$H174),INDEX(Mortality!$B$4:$E$64,MATCH($D174+AV$5-1,Mortality!$A$4:$A$64,0),$U174)*$V174*$N174,0)</f>
        <v>2.4063490812826719E-3</v>
      </c>
      <c r="AW174" s="93">
        <f>IF(AND($T174=1,AW$5&lt;=$H174),INDEX(Mortality!$B$4:$E$64,MATCH($D174+AW$5-1,Mortality!$A$4:$A$64,0),$U174)*$V174*$N174,0)</f>
        <v>2.60676684006504E-3</v>
      </c>
      <c r="AX174" s="93">
        <f>IF(AND($T174=1,AX$5&lt;=$H174),INDEX(Mortality!$B$4:$E$64,MATCH($D174+AX$5-1,Mortality!$A$4:$A$64,0),$U174)*$V174*$N174,0)</f>
        <v>2.8238768062863683E-3</v>
      </c>
      <c r="AY174" s="93">
        <f>IF(AND($T174=1,AY$5&lt;=$H174),INDEX(Mortality!$B$4:$E$64,MATCH($D174+AY$5-1,Mortality!$A$4:$A$64,0),$U174)*$V174*$N174,0)</f>
        <v>3.0590692249572882E-3</v>
      </c>
      <c r="AZ174" s="93">
        <f>IF(AND($T174=1,AZ$5&lt;=$H174),INDEX(Mortality!$B$4:$E$64,MATCH($D174+AZ$5-1,Mortality!$A$4:$A$64,0),$U174)*$V174*$N174,0)</f>
        <v>3.313850130518688E-3</v>
      </c>
      <c r="BA174" s="93">
        <f>IF(AND($T174=1,BA$5&lt;=$H174),INDEX(Mortality!$B$4:$E$64,MATCH($D174+BA$5-1,Mortality!$A$4:$A$64,0),$U174)*$V174*$N174,0)</f>
        <v>3.5898509906038718E-3</v>
      </c>
      <c r="BB174" s="93">
        <f>IF(AND($T174=1,BB$5&lt;=$H174),INDEX(Mortality!$B$4:$E$64,MATCH($D174+BB$5-1,Mortality!$A$4:$A$64,0),$U174)*$V174*$N174,0)</f>
        <v>3.888839153001312E-3</v>
      </c>
      <c r="BC174" s="93">
        <f>IF(AND($T174=1,BC$5&lt;=$H174),INDEX(Mortality!$B$4:$E$64,MATCH($D174+BC$5-1,Mortality!$A$4:$A$64,0),$U174)*$V174*$N174,0)</f>
        <v>4.2127291627143603E-3</v>
      </c>
      <c r="BD174" s="93">
        <f>IF(AND($T174=1,BD$5&lt;=$H174),INDEX(Mortality!$B$4:$E$64,MATCH($D174+BD$5-1,Mortality!$A$4:$A$64,0),$U174)*$V174*$N174,0)</f>
        <v>4.5635950215856241E-3</v>
      </c>
      <c r="BE174" s="93">
        <f>IF(AND($T174=1,BE$5&lt;=$H174),INDEX(Mortality!$B$4:$E$64,MATCH($D174+BE$5-1,Mortality!$A$4:$A$64,0),$U174)*$V174*$N174,0)</f>
        <v>4.9436834689895286E-3</v>
      </c>
      <c r="BF174" s="93">
        <f>IF(AND($T174=1,BF$5&lt;=$H174),INDEX(Mortality!$B$4:$E$64,MATCH($D174+BF$5-1,Mortality!$A$4:$A$64,0),$U174)*$V174*$N174,0)</f>
        <v>5.3554283686348325E-3</v>
      </c>
      <c r="BG174" s="93">
        <f>IF(AND($T174=1,BG$5&lt;=$H174),INDEX(Mortality!$B$4:$E$64,MATCH($D174+BG$5-1,Mortality!$A$4:$A$64,0),$U174)*$V174*$N174,0)</f>
        <v>5.801466293601721E-3</v>
      </c>
      <c r="BH174" s="93">
        <f>IF(AND($T174=1,BH$5&lt;=$H174),INDEX(Mortality!$B$4:$E$64,MATCH($D174+BH$5-1,Mortality!$A$4:$A$64,0),$U174)*$V174*$N174,0)</f>
        <v>6.2846534094109126E-3</v>
      </c>
      <c r="BI174" s="93">
        <f>IF(AND($T174=1,BI$5&lt;=$H174),INDEX(Mortality!$B$4:$E$64,MATCH($D174+BI$5-1,Mortality!$A$4:$A$64,0),$U174)*$V174*$N174,0)</f>
        <v>6.8080837632341759E-3</v>
      </c>
      <c r="BJ174" s="93">
        <f>IF(AND($T174=1,BJ$5&lt;=$H174),INDEX(Mortality!$B$4:$E$64,MATCH($D174+BJ$5-1,Mortality!$A$4:$A$64,0),$U174)*$V174*$N174,0)</f>
        <v>0</v>
      </c>
      <c r="BK174" s="93">
        <f>IF(AND($T174=1,BK$5&lt;=$H174),INDEX(Mortality!$B$4:$E$64,MATCH($D174+BK$5-1,Mortality!$A$4:$A$64,0),$U174)*$V174*$N174,0)</f>
        <v>0</v>
      </c>
      <c r="BL174" s="93">
        <f>IF(AND($T174=1,BL$5&lt;=$H174),INDEX(Mortality!$B$4:$E$64,MATCH($D174+BL$5-1,Mortality!$A$4:$A$64,0),$U174)*$V174*$N174,0)</f>
        <v>0</v>
      </c>
      <c r="BM174" s="93">
        <f>IF(AND($T174=1,BM$5&lt;=$H174),INDEX(Mortality!$B$4:$E$64,MATCH($D174+BM$5-1,Mortality!$A$4:$A$64,0),$U174)*$V174*$N174,0)</f>
        <v>0</v>
      </c>
      <c r="BN174" s="93">
        <f>IF(AND($T174=1,BN$5&lt;=$H174),INDEX(Mortality!$B$4:$E$64,MATCH($D174+BN$5-1,Mortality!$A$4:$A$64,0),$U174)*$V174*$N174,0)</f>
        <v>0</v>
      </c>
      <c r="BO174" s="93">
        <f>IF(AND($T174=1,BO$5&lt;=$H174),INDEX(Mortality!$B$4:$E$64,MATCH($D174+BO$5-1,Mortality!$A$4:$A$64,0),$U174)*$V174*$N174,0)</f>
        <v>0</v>
      </c>
      <c r="BP174" s="93">
        <f>IF(AND($T174=1,BP$5&lt;=$H174),INDEX(Mortality!$B$4:$E$64,MATCH($D174+BP$5-1,Mortality!$A$4:$A$64,0),$U174)*$V174*$N174,0)</f>
        <v>0</v>
      </c>
      <c r="BQ174" s="93">
        <f>IF(AND($T174=1,BQ$5&lt;=$H174),INDEX(Mortality!$B$4:$E$64,MATCH($D174+BQ$5-1,Mortality!$A$4:$A$64,0),$U174)*$V174*$N174,0)</f>
        <v>0</v>
      </c>
      <c r="BR174" s="93">
        <f>IF(AND($T174=1,BR$5&lt;=$H174),INDEX(Mortality!$B$4:$E$64,MATCH($D174+BR$5-1,Mortality!$A$4:$A$64,0),$U174)*$V174*$N174,0)</f>
        <v>0</v>
      </c>
      <c r="BS174" s="93">
        <f>IF(AND($T174=1,BS$5&lt;=$H174),INDEX(Mortality!$B$4:$E$64,MATCH($D174+BS$5-1,Mortality!$A$4:$A$64,0),$U174)*$V174*$N174,0)</f>
        <v>0</v>
      </c>
      <c r="BT174" s="93">
        <f>IF(AND($T174=1,BT$5&lt;=$H174),INDEX(Mortality!$B$4:$E$64,MATCH($D174+BT$5-1,Mortality!$A$4:$A$64,0),$U174)*$V174*$N174,0)</f>
        <v>0</v>
      </c>
      <c r="BU174" s="93">
        <f>IF(AND($T174=1,BU$5&lt;=$H174),INDEX(Mortality!$B$4:$E$64,MATCH($D174+BU$5-1,Mortality!$A$4:$A$64,0),$U174)*$V174*$N174,0)</f>
        <v>0</v>
      </c>
      <c r="BV174" s="93">
        <f>IF(AND($T174=1,BV$5&lt;=$H174),INDEX(Mortality!$B$4:$E$64,MATCH($D174+BV$5-1,Mortality!$A$4:$A$64,0),$U174)*$V174*$N174,0)</f>
        <v>0</v>
      </c>
      <c r="BW174" s="93">
        <f>IF(AND($T174=1,BW$5&lt;=$H174),INDEX(Mortality!$B$4:$E$64,MATCH($D174+BW$5-1,Mortality!$A$4:$A$64,0),$U174)*$V174*$N174,0)</f>
        <v>0</v>
      </c>
      <c r="BX174" s="93">
        <f>IF(AND($T174=1,BX$5&lt;=$H174),INDEX(Mortality!$B$4:$E$64,MATCH($D174+BX$5-1,Mortality!$A$4:$A$64,0),$U174)*$V174*$N174,0)</f>
        <v>0</v>
      </c>
      <c r="BY174" s="93">
        <f>IF(AND($T174=1,BY$5&lt;=$H174),INDEX(Mortality!$B$4:$E$64,MATCH($D174+BY$5-1,Mortality!$A$4:$A$64,0),$U174)*$V174*$N174,0)</f>
        <v>0</v>
      </c>
      <c r="BZ174" s="93">
        <f>IF(AND($T174=1,BZ$5&lt;=$H174),INDEX(Mortality!$B$4:$E$64,MATCH($D174+BZ$5-1,Mortality!$A$4:$A$64,0),$U174)*$V174*$N174,0)</f>
        <v>0</v>
      </c>
      <c r="CA174" s="93">
        <f>IF(AND($T174=1,CA$5&lt;=$H174),INDEX(Mortality!$B$4:$E$64,MATCH($D174+CA$5-1,Mortality!$A$4:$A$64,0),$U174)*$V174*$N174,0)</f>
        <v>0</v>
      </c>
      <c r="CB174" s="93">
        <f>IF(AND($T174=1,CB$5&lt;=$H174),INDEX(Mortality!$B$4:$E$64,MATCH($D174+CB$5-1,Mortality!$A$4:$A$64,0),$U174)*$V174*$N174,0)</f>
        <v>0</v>
      </c>
      <c r="CC174" s="93">
        <f>IF(AND($T174=1,CC$5&lt;=$H174),INDEX(Mortality!$B$4:$E$64,MATCH($D174+CC$5-1,Mortality!$A$4:$A$64,0),$U174)*$V174*$N174,0)</f>
        <v>0</v>
      </c>
      <c r="CD174" s="93">
        <f>IF(AND($T174=1,CD$5&lt;=$H174),INDEX(Mortality!$B$4:$E$64,MATCH($D174+CD$5-1,Mortality!$A$4:$A$64,0),$U174)*$V174*$N174,0)</f>
        <v>0</v>
      </c>
      <c r="CE174" s="93">
        <f>IF(AND($T174=1,CE$5&lt;=$H174),INDEX(Mortality!$B$4:$E$64,MATCH($D174+CE$5-1,Mortality!$A$4:$A$64,0),$U174)*$V174*$N174,0)</f>
        <v>0</v>
      </c>
      <c r="CF174" s="93">
        <f>IF(AND($T174=1,CF$5&lt;=$H174),INDEX(Mortality!$B$4:$E$64,MATCH($D174+CF$5-1,Mortality!$A$4:$A$64,0),$U174)*$V174*$N174,0)</f>
        <v>0</v>
      </c>
      <c r="CG174" s="93">
        <f>IF(AND($T174=1,CG$5&lt;=$H174),INDEX(Mortality!$B$4:$E$64,MATCH($D174+CG$5-1,Mortality!$A$4:$A$64,0),$U174)*$V174*$N174,0)</f>
        <v>0</v>
      </c>
      <c r="CH174" s="94">
        <f>IF(AND($T174=1,CH$5&lt;=$H174),INDEX(Mortality!$B$4:$E$64,MATCH($D174+CH$5-1,Mortality!$A$4:$A$64,0),$U174)*$V174*$N174,0)</f>
        <v>0</v>
      </c>
      <c r="CI174" s="26"/>
      <c r="CJ174" s="419">
        <f t="shared" si="71"/>
        <v>1</v>
      </c>
      <c r="CK174" s="93">
        <f>IF(AND($T174=1,CK$5&lt;=$H174),CJ174*(1-AU174)*(1-MIN(1,MAX(Assumptions!$C$27,Assumptions!$C$13*Assumptions!$C$28^(CJ$5-1))*$O174)),0)</f>
        <v>0.87804522064860091</v>
      </c>
      <c r="CL174" s="93">
        <f>IF(AND($T174=1,CL$5&lt;=$H174),CK174*(1-AV174)*(1-MIN(1,MAX(Assumptions!$C$27,Assumptions!$C$13*Assumptions!$C$28^(CK$5-1))*$O174)),0)</f>
        <v>0.78658723893003446</v>
      </c>
      <c r="CM174" s="93">
        <f>IF(AND($T174=1,CM$5&lt;=$H174),CL174*(1-AW174)*(1-MIN(1,MAX(Assumptions!$C$27,Assumptions!$C$13*Assumptions!$C$28^(CL$5-1))*$O174)),0)</f>
        <v>0.71651744975789966</v>
      </c>
      <c r="CN174" s="93">
        <f>IF(AND($T174=1,CN$5&lt;=$H174),CM174*(1-AX174)*(1-MIN(1,MAX(Assumptions!$C$27,Assumptions!$C$13*Assumptions!$C$28^(CM$5-1))*$O174)),0)</f>
        <v>0.66183945058500082</v>
      </c>
      <c r="CO174" s="93">
        <f>IF(AND($T174=1,CO$5&lt;=$H174),CN174*(1-AY174)*(1-MIN(1,MAX(Assumptions!$C$27,Assumptions!$C$13*Assumptions!$C$28^(CN$5-1))*$O174)),0)</f>
        <v>0.61848354158330476</v>
      </c>
      <c r="CP174" s="93">
        <f>IF(AND($T174=1,CP$5&lt;=$H174),CO174*(1-AZ174)*(1-MIN(1,MAX(Assumptions!$C$27,Assumptions!$C$13*Assumptions!$C$28^(CO$5-1))*$O174)),0)</f>
        <v>0.58361217602019733</v>
      </c>
      <c r="CQ174" s="93">
        <f>IF(AND($T174=1,CQ$5&lt;=$H174),CP174*(1-BA174)*(1-MIN(1,MAX(Assumptions!$C$27,Assumptions!$C$13*Assumptions!$C$28^(CP$5-1))*$O174)),0)</f>
        <v>0.55519882837484458</v>
      </c>
      <c r="CR174" s="93">
        <f>IF(AND($T174=1,CR$5&lt;=$H174),CQ174*(1-BB174)*(1-MIN(1,MAX(Assumptions!$C$27,Assumptions!$C$13*Assumptions!$C$28^(CQ$5-1))*$O174)),0)</f>
        <v>0.53176472472410341</v>
      </c>
      <c r="CS174" s="93">
        <f>IF(AND($T174=1,CS$5&lt;=$H174),CR174*(1-BC174)*(1-MIN(1,MAX(Assumptions!$C$27,Assumptions!$C$13*Assumptions!$C$28^(CR$5-1))*$O174)),0)</f>
        <v>0.51220969343996969</v>
      </c>
      <c r="CT174" s="93">
        <f>IF(AND($T174=1,CT$5&lt;=$H174),CS174*(1-BD174)*(1-MIN(1,MAX(Assumptions!$C$27,Assumptions!$C$13*Assumptions!$C$28^(CS$5-1))*$O174)),0)</f>
        <v>0.49570077146963432</v>
      </c>
      <c r="CU174" s="93">
        <f>IF(AND($T174=1,CU$5&lt;=$H174),CT174*(1-BE174)*(1-MIN(1,MAX(Assumptions!$C$27,Assumptions!$C$13*Assumptions!$C$28^(CT$5-1))*$O174)),0)</f>
        <v>0.48159718342590663</v>
      </c>
      <c r="CV174" s="93">
        <f>IF(AND($T174=1,CV$5&lt;=$H174),CU174*(1-BF174)*(1-MIN(1,MAX(Assumptions!$C$27,Assumptions!$C$13*Assumptions!$C$28^(CU$5-1))*$O174)),0)</f>
        <v>0.4693987726127315</v>
      </c>
      <c r="CW174" s="93">
        <f>IF(AND($T174=1,CW$5&lt;=$H174),CV174*(1-BG174)*(1-MIN(1,MAX(Assumptions!$C$27,Assumptions!$C$13*Assumptions!$C$28^(CV$5-1))*$O174)),0)</f>
        <v>0.45734206002605754</v>
      </c>
      <c r="CX174" s="93">
        <f>IF(AND($T174=1,CX$5&lt;=$H174),CW174*(1-BH174)*(1-MIN(1,MAX(Assumptions!$C$27,Assumptions!$C$13*Assumptions!$C$28^(CW$5-1))*$O174)),0)</f>
        <v>0.44537846721546281</v>
      </c>
      <c r="CY174" s="93">
        <f>IF(AND($T174=1,CY$5&lt;=$H174),CX174*(1-BI174)*(1-MIN(1,MAX(Assumptions!$C$27,Assumptions!$C$13*Assumptions!$C$28^(CX$5-1))*$O174)),0)</f>
        <v>0</v>
      </c>
      <c r="CZ174" s="93">
        <f>IF(AND($T174=1,CZ$5&lt;=$H174),CY174*(1-BJ174)*(1-MIN(1,MAX(Assumptions!$C$27,Assumptions!$C$13*Assumptions!$C$28^(CY$5-1))*$O174)),0)</f>
        <v>0</v>
      </c>
      <c r="DA174" s="93">
        <f>IF(AND($T174=1,DA$5&lt;=$H174),CZ174*(1-BK174)*(1-MIN(1,MAX(Assumptions!$C$27,Assumptions!$C$13*Assumptions!$C$28^(CZ$5-1))*$O174)),0)</f>
        <v>0</v>
      </c>
      <c r="DB174" s="93">
        <f>IF(AND($T174=1,DB$5&lt;=$H174),DA174*(1-BL174)*(1-MIN(1,MAX(Assumptions!$C$27,Assumptions!$C$13*Assumptions!$C$28^(DA$5-1))*$O174)),0)</f>
        <v>0</v>
      </c>
      <c r="DC174" s="93">
        <f>IF(AND($T174=1,DC$5&lt;=$H174),DB174*(1-BM174)*(1-MIN(1,MAX(Assumptions!$C$27,Assumptions!$C$13*Assumptions!$C$28^(DB$5-1))*$O174)),0)</f>
        <v>0</v>
      </c>
      <c r="DD174" s="93">
        <f>IF(AND($T174=1,DD$5&lt;=$H174),DC174*(1-BN174)*(1-MIN(1,MAX(Assumptions!$C$27,Assumptions!$C$13*Assumptions!$C$28^(DC$5-1))*$O174)),0)</f>
        <v>0</v>
      </c>
      <c r="DE174" s="93">
        <f>IF(AND($T174=1,DE$5&lt;=$H174),DD174*(1-BO174)*(1-MIN(1,MAX(Assumptions!$C$27,Assumptions!$C$13*Assumptions!$C$28^(DD$5-1))*$O174)),0)</f>
        <v>0</v>
      </c>
      <c r="DF174" s="93">
        <f>IF(AND($T174=1,DF$5&lt;=$H174),DE174*(1-BP174)*(1-MIN(1,MAX(Assumptions!$C$27,Assumptions!$C$13*Assumptions!$C$28^(DE$5-1))*$O174)),0)</f>
        <v>0</v>
      </c>
      <c r="DG174" s="93">
        <f>IF(AND($T174=1,DG$5&lt;=$H174),DF174*(1-BQ174)*(1-MIN(1,MAX(Assumptions!$C$27,Assumptions!$C$13*Assumptions!$C$28^(DF$5-1))*$O174)),0)</f>
        <v>0</v>
      </c>
      <c r="DH174" s="93">
        <f>IF(AND($T174=1,DH$5&lt;=$H174),DG174*(1-BR174)*(1-MIN(1,MAX(Assumptions!$C$27,Assumptions!$C$13*Assumptions!$C$28^(DG$5-1))*$O174)),0)</f>
        <v>0</v>
      </c>
      <c r="DI174" s="93">
        <f>IF(AND($T174=1,DI$5&lt;=$H174),DH174*(1-BS174)*(1-MIN(1,MAX(Assumptions!$C$27,Assumptions!$C$13*Assumptions!$C$28^(DH$5-1))*$O174)),0)</f>
        <v>0</v>
      </c>
      <c r="DJ174" s="93">
        <f>IF(AND($T174=1,DJ$5&lt;=$H174),DI174*(1-BT174)*(1-MIN(1,MAX(Assumptions!$C$27,Assumptions!$C$13*Assumptions!$C$28^(DI$5-1))*$O174)),0)</f>
        <v>0</v>
      </c>
      <c r="DK174" s="93">
        <f>IF(AND($T174=1,DK$5&lt;=$H174),DJ174*(1-BU174)*(1-MIN(1,MAX(Assumptions!$C$27,Assumptions!$C$13*Assumptions!$C$28^(DJ$5-1))*$O174)),0)</f>
        <v>0</v>
      </c>
      <c r="DL174" s="93">
        <f>IF(AND($T174=1,DL$5&lt;=$H174),DK174*(1-BV174)*(1-MIN(1,MAX(Assumptions!$C$27,Assumptions!$C$13*Assumptions!$C$28^(DK$5-1))*$O174)),0)</f>
        <v>0</v>
      </c>
      <c r="DM174" s="93">
        <f>IF(AND($T174=1,DM$5&lt;=$H174),DL174*(1-BW174)*(1-MIN(1,MAX(Assumptions!$C$27,Assumptions!$C$13*Assumptions!$C$28^(DL$5-1))*$O174)),0)</f>
        <v>0</v>
      </c>
      <c r="DN174" s="93">
        <f>IF(AND($T174=1,DN$5&lt;=$H174),DM174*(1-BX174)*(1-MIN(1,MAX(Assumptions!$C$27,Assumptions!$C$13*Assumptions!$C$28^(DM$5-1))*$O174)),0)</f>
        <v>0</v>
      </c>
      <c r="DO174" s="93">
        <f>IF(AND($T174=1,DO$5&lt;=$H174),DN174*(1-BY174)*(1-MIN(1,MAX(Assumptions!$C$27,Assumptions!$C$13*Assumptions!$C$28^(DN$5-1))*$O174)),0)</f>
        <v>0</v>
      </c>
      <c r="DP174" s="93">
        <f>IF(AND($T174=1,DP$5&lt;=$H174),DO174*(1-BZ174)*(1-MIN(1,MAX(Assumptions!$C$27,Assumptions!$C$13*Assumptions!$C$28^(DO$5-1))*$O174)),0)</f>
        <v>0</v>
      </c>
      <c r="DQ174" s="93">
        <f>IF(AND($T174=1,DQ$5&lt;=$H174),DP174*(1-CA174)*(1-MIN(1,MAX(Assumptions!$C$27,Assumptions!$C$13*Assumptions!$C$28^(DP$5-1))*$O174)),0)</f>
        <v>0</v>
      </c>
      <c r="DR174" s="93">
        <f>IF(AND($T174=1,DR$5&lt;=$H174),DQ174*(1-CB174)*(1-MIN(1,MAX(Assumptions!$C$27,Assumptions!$C$13*Assumptions!$C$28^(DQ$5-1))*$O174)),0)</f>
        <v>0</v>
      </c>
      <c r="DS174" s="93">
        <f>IF(AND($T174=1,DS$5&lt;=$H174),DR174*(1-CC174)*(1-MIN(1,MAX(Assumptions!$C$27,Assumptions!$C$13*Assumptions!$C$28^(DR$5-1))*$O174)),0)</f>
        <v>0</v>
      </c>
      <c r="DT174" s="93">
        <f>IF(AND($T174=1,DT$5&lt;=$H174),DS174*(1-CD174)*(1-MIN(1,MAX(Assumptions!$C$27,Assumptions!$C$13*Assumptions!$C$28^(DS$5-1))*$O174)),0)</f>
        <v>0</v>
      </c>
      <c r="DU174" s="93">
        <f>IF(AND($T174=1,DU$5&lt;=$H174),DT174*(1-CE174)*(1-MIN(1,MAX(Assumptions!$C$27,Assumptions!$C$13*Assumptions!$C$28^(DT$5-1))*$O174)),0)</f>
        <v>0</v>
      </c>
      <c r="DV174" s="93">
        <f>IF(AND($T174=1,DV$5&lt;=$H174),DU174*(1-CF174)*(1-MIN(1,MAX(Assumptions!$C$27,Assumptions!$C$13*Assumptions!$C$28^(DU$5-1))*$O174)),0)</f>
        <v>0</v>
      </c>
      <c r="DW174" s="94">
        <f>IF(AND($T174=1,DW$5&lt;=$H174),DV174*(1-CG174)*(1-MIN(1,MAX(Assumptions!$C$27,Assumptions!$C$13*Assumptions!$C$28^(DV$5-1))*$O174)),0)</f>
        <v>0</v>
      </c>
      <c r="DX174" s="26"/>
      <c r="DY174" s="399">
        <f>'Policy Data'!K148</f>
        <v>2</v>
      </c>
      <c r="DZ174" s="100">
        <f>'Policy Data'!L148</f>
        <v>0.72430000000000005</v>
      </c>
      <c r="EA174" s="100">
        <f>'Policy Data'!N148</f>
        <v>1.609E-3</v>
      </c>
      <c r="EB174" s="93" cm="1">
        <f t="array" ref="EB174">IFERROR(DZ174*INDEX(Mortality!$B$4:$E$64,MATCH(D174+DY174-1,Mortality!$A$4:$A$64,0),U174)*V174,0)</f>
        <v>1.7429186395730393E-3</v>
      </c>
      <c r="EC174" s="100">
        <f>'Policy Data'!O148</f>
        <v>0</v>
      </c>
      <c r="ED174" s="400">
        <f>'Policy Data'!Q148</f>
        <v>0</v>
      </c>
    </row>
    <row r="175" spans="1:134" x14ac:dyDescent="0.3">
      <c r="A175" s="399" t="str">
        <f>'Policy Data'!A149</f>
        <v>POL100145</v>
      </c>
      <c r="B175" s="26" t="s">
        <v>426</v>
      </c>
      <c r="C175" s="100" t="str">
        <f>'Policy Data'!B149</f>
        <v>Unit-Linked</v>
      </c>
      <c r="D175" s="100">
        <f>'Policy Data'!C149</f>
        <v>46</v>
      </c>
      <c r="E175" s="100" t="str">
        <f>'Policy Data'!D149</f>
        <v>Female</v>
      </c>
      <c r="F175" s="100" t="str">
        <f>'Policy Data'!E149</f>
        <v>Smoker</v>
      </c>
      <c r="G175" s="100" t="str">
        <f>'Policy Data'!F149</f>
        <v>Standard</v>
      </c>
      <c r="H175" s="100">
        <f>'Policy Data'!G149</f>
        <v>20</v>
      </c>
      <c r="I175" s="279">
        <f>'Policy Data'!H149</f>
        <v>500000</v>
      </c>
      <c r="J175" s="100" t="str">
        <f>'Policy Data'!I149</f>
        <v>Monthly</v>
      </c>
      <c r="K175" s="100" t="str">
        <f>'Policy Data'!J149</f>
        <v>Broker</v>
      </c>
      <c r="L175" s="26" t="s">
        <v>389</v>
      </c>
      <c r="M175" s="106">
        <f>'Policy Data'!R149</f>
        <v>10984.19</v>
      </c>
      <c r="N175" s="415">
        <f>Assumptions!$C$21</f>
        <v>1</v>
      </c>
      <c r="O175" s="415">
        <f>Assumptions!$C$22</f>
        <v>1</v>
      </c>
      <c r="P175" s="415">
        <f>Assumptions!$C$23</f>
        <v>1</v>
      </c>
      <c r="Q175" s="416">
        <f>Assumptions!$C$24</f>
        <v>0</v>
      </c>
      <c r="R175" s="416">
        <f>Assumptions!$C$6+Assumptions!$C$25</f>
        <v>3.5000000000000003E-2</v>
      </c>
      <c r="S175" s="416">
        <f>Assumptions!$C$15</f>
        <v>1.1000000000000001E-3</v>
      </c>
      <c r="T175" s="26">
        <f t="shared" si="54"/>
        <v>0</v>
      </c>
      <c r="U175" s="26">
        <f t="shared" si="55"/>
        <v>2</v>
      </c>
      <c r="V175" s="389">
        <f>IF($G175="Preferred",Assumptions!$C$30,IF($G175="Rated",Assumptions!$C$31,1))</f>
        <v>1</v>
      </c>
      <c r="W175" s="390">
        <f>IF($K175="Direct",Assumptions!$C$32,IF($K175="Broker",Assumptions!$C$33,IF($K175="Bancassurance",Assumptions!$C$34,Assumptions!$C$11)))+$Q175</f>
        <v>0.25</v>
      </c>
      <c r="X175" s="390">
        <f>Assumptions!$C$12+$Q175</f>
        <v>0.05</v>
      </c>
      <c r="Y175" s="131">
        <f>MIN($I175,Assumptions!$C$14)</f>
        <v>500000</v>
      </c>
      <c r="Z175" s="131">
        <f>MAX($I175-Assumptions!$C$14,0)</f>
        <v>0</v>
      </c>
      <c r="AA175" s="389">
        <f t="shared" si="56"/>
        <v>0</v>
      </c>
      <c r="AB175" s="389">
        <f t="shared" si="57"/>
        <v>0</v>
      </c>
      <c r="AC175" s="389">
        <f>IF($T175=1,SUMPRODUCT($CJ175:$DW175,(1+Assumptions!$C$5)^($CJ$5:$DW$5-1),(1+$R175)^(-$CJ$5:$DW$5)),0)</f>
        <v>0</v>
      </c>
      <c r="AD175" s="389">
        <f t="shared" si="58"/>
        <v>0</v>
      </c>
      <c r="AE175" s="131">
        <f>IF($T175=1,$AB175*$Y175+(Assumptions!$C$9/(1+$R175)+Assumptions!$C$10*$AC175)*$P175+$S175*$Z175*$AA175,0)</f>
        <v>0</v>
      </c>
      <c r="AF175" s="131" t="str">
        <f>IF($T175=1,IF($AA175-$AD175-Assumptions!$C$16*$AA175&gt;0,$AE175/($AA175-$AD175-Assumptions!$C$16*$AA175)*IF($J175="Monthly",1+Assumptions!$C$29,1),"n.a."),"")</f>
        <v/>
      </c>
      <c r="AG175" s="131" t="str">
        <f t="shared" si="59"/>
        <v/>
      </c>
      <c r="AH175" s="131" t="str">
        <f t="shared" si="60"/>
        <v/>
      </c>
      <c r="AI175" s="131" t="str">
        <f t="shared" si="61"/>
        <v/>
      </c>
      <c r="AJ175" s="390" t="str">
        <f t="shared" si="62"/>
        <v/>
      </c>
      <c r="AK175" s="389" t="str">
        <f t="shared" si="63"/>
        <v/>
      </c>
      <c r="AL175" s="131" t="str">
        <f t="shared" si="64"/>
        <v/>
      </c>
      <c r="AM175" s="131" t="str">
        <f t="shared" si="65"/>
        <v/>
      </c>
      <c r="AN175" s="131" t="str">
        <f t="shared" si="66"/>
        <v/>
      </c>
      <c r="AO175" s="131" t="str">
        <f t="shared" si="67"/>
        <v/>
      </c>
      <c r="AP175" s="26" t="str">
        <f t="shared" si="68"/>
        <v>40-49</v>
      </c>
      <c r="AQ175" s="26" t="str">
        <f t="shared" si="69"/>
        <v>250k-500k</v>
      </c>
      <c r="AR175" s="26" t="str">
        <f>IF($T175=1,IF($AI175&lt;0,"Loss-making",IF($AJ175&lt;Assumptions!$C$16-0.00001,"Below target","At/above target")),"Excluded")</f>
        <v>Excluded</v>
      </c>
      <c r="AS175" s="103">
        <f t="shared" si="70"/>
        <v>9.9999999999999997E+98</v>
      </c>
      <c r="AT175" s="26"/>
      <c r="AU175" s="419">
        <f>IF(AND($T175=1,AU$5&lt;=$H175),INDEX(Mortality!$B$4:$E$64,MATCH($D175+AU$5-1,Mortality!$A$4:$A$64,0),$U175)*$V175*$N175,0)</f>
        <v>0</v>
      </c>
      <c r="AV175" s="93">
        <f>IF(AND($T175=1,AV$5&lt;=$H175),INDEX(Mortality!$B$4:$E$64,MATCH($D175+AV$5-1,Mortality!$A$4:$A$64,0),$U175)*$V175*$N175,0)</f>
        <v>0</v>
      </c>
      <c r="AW175" s="93">
        <f>IF(AND($T175=1,AW$5&lt;=$H175),INDEX(Mortality!$B$4:$E$64,MATCH($D175+AW$5-1,Mortality!$A$4:$A$64,0),$U175)*$V175*$N175,0)</f>
        <v>0</v>
      </c>
      <c r="AX175" s="93">
        <f>IF(AND($T175=1,AX$5&lt;=$H175),INDEX(Mortality!$B$4:$E$64,MATCH($D175+AX$5-1,Mortality!$A$4:$A$64,0),$U175)*$V175*$N175,0)</f>
        <v>0</v>
      </c>
      <c r="AY175" s="93">
        <f>IF(AND($T175=1,AY$5&lt;=$H175),INDEX(Mortality!$B$4:$E$64,MATCH($D175+AY$5-1,Mortality!$A$4:$A$64,0),$U175)*$V175*$N175,0)</f>
        <v>0</v>
      </c>
      <c r="AZ175" s="93">
        <f>IF(AND($T175=1,AZ$5&lt;=$H175),INDEX(Mortality!$B$4:$E$64,MATCH($D175+AZ$5-1,Mortality!$A$4:$A$64,0),$U175)*$V175*$N175,0)</f>
        <v>0</v>
      </c>
      <c r="BA175" s="93">
        <f>IF(AND($T175=1,BA$5&lt;=$H175),INDEX(Mortality!$B$4:$E$64,MATCH($D175+BA$5-1,Mortality!$A$4:$A$64,0),$U175)*$V175*$N175,0)</f>
        <v>0</v>
      </c>
      <c r="BB175" s="93">
        <f>IF(AND($T175=1,BB$5&lt;=$H175),INDEX(Mortality!$B$4:$E$64,MATCH($D175+BB$5-1,Mortality!$A$4:$A$64,0),$U175)*$V175*$N175,0)</f>
        <v>0</v>
      </c>
      <c r="BC175" s="93">
        <f>IF(AND($T175=1,BC$5&lt;=$H175),INDEX(Mortality!$B$4:$E$64,MATCH($D175+BC$5-1,Mortality!$A$4:$A$64,0),$U175)*$V175*$N175,0)</f>
        <v>0</v>
      </c>
      <c r="BD175" s="93">
        <f>IF(AND($T175=1,BD$5&lt;=$H175),INDEX(Mortality!$B$4:$E$64,MATCH($D175+BD$5-1,Mortality!$A$4:$A$64,0),$U175)*$V175*$N175,0)</f>
        <v>0</v>
      </c>
      <c r="BE175" s="93">
        <f>IF(AND($T175=1,BE$5&lt;=$H175),INDEX(Mortality!$B$4:$E$64,MATCH($D175+BE$5-1,Mortality!$A$4:$A$64,0),$U175)*$V175*$N175,0)</f>
        <v>0</v>
      </c>
      <c r="BF175" s="93">
        <f>IF(AND($T175=1,BF$5&lt;=$H175),INDEX(Mortality!$B$4:$E$64,MATCH($D175+BF$5-1,Mortality!$A$4:$A$64,0),$U175)*$V175*$N175,0)</f>
        <v>0</v>
      </c>
      <c r="BG175" s="93">
        <f>IF(AND($T175=1,BG$5&lt;=$H175),INDEX(Mortality!$B$4:$E$64,MATCH($D175+BG$5-1,Mortality!$A$4:$A$64,0),$U175)*$V175*$N175,0)</f>
        <v>0</v>
      </c>
      <c r="BH175" s="93">
        <f>IF(AND($T175=1,BH$5&lt;=$H175),INDEX(Mortality!$B$4:$E$64,MATCH($D175+BH$5-1,Mortality!$A$4:$A$64,0),$U175)*$V175*$N175,0)</f>
        <v>0</v>
      </c>
      <c r="BI175" s="93">
        <f>IF(AND($T175=1,BI$5&lt;=$H175),INDEX(Mortality!$B$4:$E$64,MATCH($D175+BI$5-1,Mortality!$A$4:$A$64,0),$U175)*$V175*$N175,0)</f>
        <v>0</v>
      </c>
      <c r="BJ175" s="93">
        <f>IF(AND($T175=1,BJ$5&lt;=$H175),INDEX(Mortality!$B$4:$E$64,MATCH($D175+BJ$5-1,Mortality!$A$4:$A$64,0),$U175)*$V175*$N175,0)</f>
        <v>0</v>
      </c>
      <c r="BK175" s="93">
        <f>IF(AND($T175=1,BK$5&lt;=$H175),INDEX(Mortality!$B$4:$E$64,MATCH($D175+BK$5-1,Mortality!$A$4:$A$64,0),$U175)*$V175*$N175,0)</f>
        <v>0</v>
      </c>
      <c r="BL175" s="93">
        <f>IF(AND($T175=1,BL$5&lt;=$H175),INDEX(Mortality!$B$4:$E$64,MATCH($D175+BL$5-1,Mortality!$A$4:$A$64,0),$U175)*$V175*$N175,0)</f>
        <v>0</v>
      </c>
      <c r="BM175" s="93">
        <f>IF(AND($T175=1,BM$5&lt;=$H175),INDEX(Mortality!$B$4:$E$64,MATCH($D175+BM$5-1,Mortality!$A$4:$A$64,0),$U175)*$V175*$N175,0)</f>
        <v>0</v>
      </c>
      <c r="BN175" s="93">
        <f>IF(AND($T175=1,BN$5&lt;=$H175),INDEX(Mortality!$B$4:$E$64,MATCH($D175+BN$5-1,Mortality!$A$4:$A$64,0),$U175)*$V175*$N175,0)</f>
        <v>0</v>
      </c>
      <c r="BO175" s="93">
        <f>IF(AND($T175=1,BO$5&lt;=$H175),INDEX(Mortality!$B$4:$E$64,MATCH($D175+BO$5-1,Mortality!$A$4:$A$64,0),$U175)*$V175*$N175,0)</f>
        <v>0</v>
      </c>
      <c r="BP175" s="93">
        <f>IF(AND($T175=1,BP$5&lt;=$H175),INDEX(Mortality!$B$4:$E$64,MATCH($D175+BP$5-1,Mortality!$A$4:$A$64,0),$U175)*$V175*$N175,0)</f>
        <v>0</v>
      </c>
      <c r="BQ175" s="93">
        <f>IF(AND($T175=1,BQ$5&lt;=$H175),INDEX(Mortality!$B$4:$E$64,MATCH($D175+BQ$5-1,Mortality!$A$4:$A$64,0),$U175)*$V175*$N175,0)</f>
        <v>0</v>
      </c>
      <c r="BR175" s="93">
        <f>IF(AND($T175=1,BR$5&lt;=$H175),INDEX(Mortality!$B$4:$E$64,MATCH($D175+BR$5-1,Mortality!$A$4:$A$64,0),$U175)*$V175*$N175,0)</f>
        <v>0</v>
      </c>
      <c r="BS175" s="93">
        <f>IF(AND($T175=1,BS$5&lt;=$H175),INDEX(Mortality!$B$4:$E$64,MATCH($D175+BS$5-1,Mortality!$A$4:$A$64,0),$U175)*$V175*$N175,0)</f>
        <v>0</v>
      </c>
      <c r="BT175" s="93">
        <f>IF(AND($T175=1,BT$5&lt;=$H175),INDEX(Mortality!$B$4:$E$64,MATCH($D175+BT$5-1,Mortality!$A$4:$A$64,0),$U175)*$V175*$N175,0)</f>
        <v>0</v>
      </c>
      <c r="BU175" s="93">
        <f>IF(AND($T175=1,BU$5&lt;=$H175),INDEX(Mortality!$B$4:$E$64,MATCH($D175+BU$5-1,Mortality!$A$4:$A$64,0),$U175)*$V175*$N175,0)</f>
        <v>0</v>
      </c>
      <c r="BV175" s="93">
        <f>IF(AND($T175=1,BV$5&lt;=$H175),INDEX(Mortality!$B$4:$E$64,MATCH($D175+BV$5-1,Mortality!$A$4:$A$64,0),$U175)*$V175*$N175,0)</f>
        <v>0</v>
      </c>
      <c r="BW175" s="93">
        <f>IF(AND($T175=1,BW$5&lt;=$H175),INDEX(Mortality!$B$4:$E$64,MATCH($D175+BW$5-1,Mortality!$A$4:$A$64,0),$U175)*$V175*$N175,0)</f>
        <v>0</v>
      </c>
      <c r="BX175" s="93">
        <f>IF(AND($T175=1,BX$5&lt;=$H175),INDEX(Mortality!$B$4:$E$64,MATCH($D175+BX$5-1,Mortality!$A$4:$A$64,0),$U175)*$V175*$N175,0)</f>
        <v>0</v>
      </c>
      <c r="BY175" s="93">
        <f>IF(AND($T175=1,BY$5&lt;=$H175),INDEX(Mortality!$B$4:$E$64,MATCH($D175+BY$5-1,Mortality!$A$4:$A$64,0),$U175)*$V175*$N175,0)</f>
        <v>0</v>
      </c>
      <c r="BZ175" s="93">
        <f>IF(AND($T175=1,BZ$5&lt;=$H175),INDEX(Mortality!$B$4:$E$64,MATCH($D175+BZ$5-1,Mortality!$A$4:$A$64,0),$U175)*$V175*$N175,0)</f>
        <v>0</v>
      </c>
      <c r="CA175" s="93">
        <f>IF(AND($T175=1,CA$5&lt;=$H175),INDEX(Mortality!$B$4:$E$64,MATCH($D175+CA$5-1,Mortality!$A$4:$A$64,0),$U175)*$V175*$N175,0)</f>
        <v>0</v>
      </c>
      <c r="CB175" s="93">
        <f>IF(AND($T175=1,CB$5&lt;=$H175),INDEX(Mortality!$B$4:$E$64,MATCH($D175+CB$5-1,Mortality!$A$4:$A$64,0),$U175)*$V175*$N175,0)</f>
        <v>0</v>
      </c>
      <c r="CC175" s="93">
        <f>IF(AND($T175=1,CC$5&lt;=$H175),INDEX(Mortality!$B$4:$E$64,MATCH($D175+CC$5-1,Mortality!$A$4:$A$64,0),$U175)*$V175*$N175,0)</f>
        <v>0</v>
      </c>
      <c r="CD175" s="93">
        <f>IF(AND($T175=1,CD$5&lt;=$H175),INDEX(Mortality!$B$4:$E$64,MATCH($D175+CD$5-1,Mortality!$A$4:$A$64,0),$U175)*$V175*$N175,0)</f>
        <v>0</v>
      </c>
      <c r="CE175" s="93">
        <f>IF(AND($T175=1,CE$5&lt;=$H175),INDEX(Mortality!$B$4:$E$64,MATCH($D175+CE$5-1,Mortality!$A$4:$A$64,0),$U175)*$V175*$N175,0)</f>
        <v>0</v>
      </c>
      <c r="CF175" s="93">
        <f>IF(AND($T175=1,CF$5&lt;=$H175),INDEX(Mortality!$B$4:$E$64,MATCH($D175+CF$5-1,Mortality!$A$4:$A$64,0),$U175)*$V175*$N175,0)</f>
        <v>0</v>
      </c>
      <c r="CG175" s="93">
        <f>IF(AND($T175=1,CG$5&lt;=$H175),INDEX(Mortality!$B$4:$E$64,MATCH($D175+CG$5-1,Mortality!$A$4:$A$64,0),$U175)*$V175*$N175,0)</f>
        <v>0</v>
      </c>
      <c r="CH175" s="94">
        <f>IF(AND($T175=1,CH$5&lt;=$H175),INDEX(Mortality!$B$4:$E$64,MATCH($D175+CH$5-1,Mortality!$A$4:$A$64,0),$U175)*$V175*$N175,0)</f>
        <v>0</v>
      </c>
      <c r="CI175" s="26"/>
      <c r="CJ175" s="419">
        <f t="shared" si="71"/>
        <v>0</v>
      </c>
      <c r="CK175" s="93">
        <f>IF(AND($T175=1,CK$5&lt;=$H175),CJ175*(1-AU175)*(1-MIN(1,MAX(Assumptions!$C$27,Assumptions!$C$13*Assumptions!$C$28^(CJ$5-1))*$O175)),0)</f>
        <v>0</v>
      </c>
      <c r="CL175" s="93">
        <f>IF(AND($T175=1,CL$5&lt;=$H175),CK175*(1-AV175)*(1-MIN(1,MAX(Assumptions!$C$27,Assumptions!$C$13*Assumptions!$C$28^(CK$5-1))*$O175)),0)</f>
        <v>0</v>
      </c>
      <c r="CM175" s="93">
        <f>IF(AND($T175=1,CM$5&lt;=$H175),CL175*(1-AW175)*(1-MIN(1,MAX(Assumptions!$C$27,Assumptions!$C$13*Assumptions!$C$28^(CL$5-1))*$O175)),0)</f>
        <v>0</v>
      </c>
      <c r="CN175" s="93">
        <f>IF(AND($T175=1,CN$5&lt;=$H175),CM175*(1-AX175)*(1-MIN(1,MAX(Assumptions!$C$27,Assumptions!$C$13*Assumptions!$C$28^(CM$5-1))*$O175)),0)</f>
        <v>0</v>
      </c>
      <c r="CO175" s="93">
        <f>IF(AND($T175=1,CO$5&lt;=$H175),CN175*(1-AY175)*(1-MIN(1,MAX(Assumptions!$C$27,Assumptions!$C$13*Assumptions!$C$28^(CN$5-1))*$O175)),0)</f>
        <v>0</v>
      </c>
      <c r="CP175" s="93">
        <f>IF(AND($T175=1,CP$5&lt;=$H175),CO175*(1-AZ175)*(1-MIN(1,MAX(Assumptions!$C$27,Assumptions!$C$13*Assumptions!$C$28^(CO$5-1))*$O175)),0)</f>
        <v>0</v>
      </c>
      <c r="CQ175" s="93">
        <f>IF(AND($T175=1,CQ$5&lt;=$H175),CP175*(1-BA175)*(1-MIN(1,MAX(Assumptions!$C$27,Assumptions!$C$13*Assumptions!$C$28^(CP$5-1))*$O175)),0)</f>
        <v>0</v>
      </c>
      <c r="CR175" s="93">
        <f>IF(AND($T175=1,CR$5&lt;=$H175),CQ175*(1-BB175)*(1-MIN(1,MAX(Assumptions!$C$27,Assumptions!$C$13*Assumptions!$C$28^(CQ$5-1))*$O175)),0)</f>
        <v>0</v>
      </c>
      <c r="CS175" s="93">
        <f>IF(AND($T175=1,CS$5&lt;=$H175),CR175*(1-BC175)*(1-MIN(1,MAX(Assumptions!$C$27,Assumptions!$C$13*Assumptions!$C$28^(CR$5-1))*$O175)),0)</f>
        <v>0</v>
      </c>
      <c r="CT175" s="93">
        <f>IF(AND($T175=1,CT$5&lt;=$H175),CS175*(1-BD175)*(1-MIN(1,MAX(Assumptions!$C$27,Assumptions!$C$13*Assumptions!$C$28^(CS$5-1))*$O175)),0)</f>
        <v>0</v>
      </c>
      <c r="CU175" s="93">
        <f>IF(AND($T175=1,CU$5&lt;=$H175),CT175*(1-BE175)*(1-MIN(1,MAX(Assumptions!$C$27,Assumptions!$C$13*Assumptions!$C$28^(CT$5-1))*$O175)),0)</f>
        <v>0</v>
      </c>
      <c r="CV175" s="93">
        <f>IF(AND($T175=1,CV$5&lt;=$H175),CU175*(1-BF175)*(1-MIN(1,MAX(Assumptions!$C$27,Assumptions!$C$13*Assumptions!$C$28^(CU$5-1))*$O175)),0)</f>
        <v>0</v>
      </c>
      <c r="CW175" s="93">
        <f>IF(AND($T175=1,CW$5&lt;=$H175),CV175*(1-BG175)*(1-MIN(1,MAX(Assumptions!$C$27,Assumptions!$C$13*Assumptions!$C$28^(CV$5-1))*$O175)),0)</f>
        <v>0</v>
      </c>
      <c r="CX175" s="93">
        <f>IF(AND($T175=1,CX$5&lt;=$H175),CW175*(1-BH175)*(1-MIN(1,MAX(Assumptions!$C$27,Assumptions!$C$13*Assumptions!$C$28^(CW$5-1))*$O175)),0)</f>
        <v>0</v>
      </c>
      <c r="CY175" s="93">
        <f>IF(AND($T175=1,CY$5&lt;=$H175),CX175*(1-BI175)*(1-MIN(1,MAX(Assumptions!$C$27,Assumptions!$C$13*Assumptions!$C$28^(CX$5-1))*$O175)),0)</f>
        <v>0</v>
      </c>
      <c r="CZ175" s="93">
        <f>IF(AND($T175=1,CZ$5&lt;=$H175),CY175*(1-BJ175)*(1-MIN(1,MAX(Assumptions!$C$27,Assumptions!$C$13*Assumptions!$C$28^(CY$5-1))*$O175)),0)</f>
        <v>0</v>
      </c>
      <c r="DA175" s="93">
        <f>IF(AND($T175=1,DA$5&lt;=$H175),CZ175*(1-BK175)*(1-MIN(1,MAX(Assumptions!$C$27,Assumptions!$C$13*Assumptions!$C$28^(CZ$5-1))*$O175)),0)</f>
        <v>0</v>
      </c>
      <c r="DB175" s="93">
        <f>IF(AND($T175=1,DB$5&lt;=$H175),DA175*(1-BL175)*(1-MIN(1,MAX(Assumptions!$C$27,Assumptions!$C$13*Assumptions!$C$28^(DA$5-1))*$O175)),0)</f>
        <v>0</v>
      </c>
      <c r="DC175" s="93">
        <f>IF(AND($T175=1,DC$5&lt;=$H175),DB175*(1-BM175)*(1-MIN(1,MAX(Assumptions!$C$27,Assumptions!$C$13*Assumptions!$C$28^(DB$5-1))*$O175)),0)</f>
        <v>0</v>
      </c>
      <c r="DD175" s="93">
        <f>IF(AND($T175=1,DD$5&lt;=$H175),DC175*(1-BN175)*(1-MIN(1,MAX(Assumptions!$C$27,Assumptions!$C$13*Assumptions!$C$28^(DC$5-1))*$O175)),0)</f>
        <v>0</v>
      </c>
      <c r="DE175" s="93">
        <f>IF(AND($T175=1,DE$5&lt;=$H175),DD175*(1-BO175)*(1-MIN(1,MAX(Assumptions!$C$27,Assumptions!$C$13*Assumptions!$C$28^(DD$5-1))*$O175)),0)</f>
        <v>0</v>
      </c>
      <c r="DF175" s="93">
        <f>IF(AND($T175=1,DF$5&lt;=$H175),DE175*(1-BP175)*(1-MIN(1,MAX(Assumptions!$C$27,Assumptions!$C$13*Assumptions!$C$28^(DE$5-1))*$O175)),0)</f>
        <v>0</v>
      </c>
      <c r="DG175" s="93">
        <f>IF(AND($T175=1,DG$5&lt;=$H175),DF175*(1-BQ175)*(1-MIN(1,MAX(Assumptions!$C$27,Assumptions!$C$13*Assumptions!$C$28^(DF$5-1))*$O175)),0)</f>
        <v>0</v>
      </c>
      <c r="DH175" s="93">
        <f>IF(AND($T175=1,DH$5&lt;=$H175),DG175*(1-BR175)*(1-MIN(1,MAX(Assumptions!$C$27,Assumptions!$C$13*Assumptions!$C$28^(DG$5-1))*$O175)),0)</f>
        <v>0</v>
      </c>
      <c r="DI175" s="93">
        <f>IF(AND($T175=1,DI$5&lt;=$H175),DH175*(1-BS175)*(1-MIN(1,MAX(Assumptions!$C$27,Assumptions!$C$13*Assumptions!$C$28^(DH$5-1))*$O175)),0)</f>
        <v>0</v>
      </c>
      <c r="DJ175" s="93">
        <f>IF(AND($T175=1,DJ$5&lt;=$H175),DI175*(1-BT175)*(1-MIN(1,MAX(Assumptions!$C$27,Assumptions!$C$13*Assumptions!$C$28^(DI$5-1))*$O175)),0)</f>
        <v>0</v>
      </c>
      <c r="DK175" s="93">
        <f>IF(AND($T175=1,DK$5&lt;=$H175),DJ175*(1-BU175)*(1-MIN(1,MAX(Assumptions!$C$27,Assumptions!$C$13*Assumptions!$C$28^(DJ$5-1))*$O175)),0)</f>
        <v>0</v>
      </c>
      <c r="DL175" s="93">
        <f>IF(AND($T175=1,DL$5&lt;=$H175),DK175*(1-BV175)*(1-MIN(1,MAX(Assumptions!$C$27,Assumptions!$C$13*Assumptions!$C$28^(DK$5-1))*$O175)),0)</f>
        <v>0</v>
      </c>
      <c r="DM175" s="93">
        <f>IF(AND($T175=1,DM$5&lt;=$H175),DL175*(1-BW175)*(1-MIN(1,MAX(Assumptions!$C$27,Assumptions!$C$13*Assumptions!$C$28^(DL$5-1))*$O175)),0)</f>
        <v>0</v>
      </c>
      <c r="DN175" s="93">
        <f>IF(AND($T175=1,DN$5&lt;=$H175),DM175*(1-BX175)*(1-MIN(1,MAX(Assumptions!$C$27,Assumptions!$C$13*Assumptions!$C$28^(DM$5-1))*$O175)),0)</f>
        <v>0</v>
      </c>
      <c r="DO175" s="93">
        <f>IF(AND($T175=1,DO$5&lt;=$H175),DN175*(1-BY175)*(1-MIN(1,MAX(Assumptions!$C$27,Assumptions!$C$13*Assumptions!$C$28^(DN$5-1))*$O175)),0)</f>
        <v>0</v>
      </c>
      <c r="DP175" s="93">
        <f>IF(AND($T175=1,DP$5&lt;=$H175),DO175*(1-BZ175)*(1-MIN(1,MAX(Assumptions!$C$27,Assumptions!$C$13*Assumptions!$C$28^(DO$5-1))*$O175)),0)</f>
        <v>0</v>
      </c>
      <c r="DQ175" s="93">
        <f>IF(AND($T175=1,DQ$5&lt;=$H175),DP175*(1-CA175)*(1-MIN(1,MAX(Assumptions!$C$27,Assumptions!$C$13*Assumptions!$C$28^(DP$5-1))*$O175)),0)</f>
        <v>0</v>
      </c>
      <c r="DR175" s="93">
        <f>IF(AND($T175=1,DR$5&lt;=$H175),DQ175*(1-CB175)*(1-MIN(1,MAX(Assumptions!$C$27,Assumptions!$C$13*Assumptions!$C$28^(DQ$5-1))*$O175)),0)</f>
        <v>0</v>
      </c>
      <c r="DS175" s="93">
        <f>IF(AND($T175=1,DS$5&lt;=$H175),DR175*(1-CC175)*(1-MIN(1,MAX(Assumptions!$C$27,Assumptions!$C$13*Assumptions!$C$28^(DR$5-1))*$O175)),0)</f>
        <v>0</v>
      </c>
      <c r="DT175" s="93">
        <f>IF(AND($T175=1,DT$5&lt;=$H175),DS175*(1-CD175)*(1-MIN(1,MAX(Assumptions!$C$27,Assumptions!$C$13*Assumptions!$C$28^(DS$5-1))*$O175)),0)</f>
        <v>0</v>
      </c>
      <c r="DU175" s="93">
        <f>IF(AND($T175=1,DU$5&lt;=$H175),DT175*(1-CE175)*(1-MIN(1,MAX(Assumptions!$C$27,Assumptions!$C$13*Assumptions!$C$28^(DT$5-1))*$O175)),0)</f>
        <v>0</v>
      </c>
      <c r="DV175" s="93">
        <f>IF(AND($T175=1,DV$5&lt;=$H175),DU175*(1-CF175)*(1-MIN(1,MAX(Assumptions!$C$27,Assumptions!$C$13*Assumptions!$C$28^(DU$5-1))*$O175)),0)</f>
        <v>0</v>
      </c>
      <c r="DW175" s="94">
        <f>IF(AND($T175=1,DW$5&lt;=$H175),DV175*(1-CG175)*(1-MIN(1,MAX(Assumptions!$C$27,Assumptions!$C$13*Assumptions!$C$28^(DV$5-1))*$O175)),0)</f>
        <v>0</v>
      </c>
      <c r="DX175" s="26"/>
      <c r="DY175" s="399">
        <f>'Policy Data'!K149</f>
        <v>5</v>
      </c>
      <c r="DZ175" s="100">
        <f>'Policy Data'!L149</f>
        <v>0.72009999999999996</v>
      </c>
      <c r="EA175" s="100">
        <f>'Policy Data'!N149</f>
        <v>1.635E-3</v>
      </c>
      <c r="EB175" s="93" cm="1">
        <f t="array" ref="EB175">IFERROR(DZ175*INDEX(Mortality!$B$4:$E$64,MATCH(D175+DY175-1,Mortality!$A$4:$A$64,0),U175)*V175,0)</f>
        <v>2.251020062228271E-3</v>
      </c>
      <c r="EC175" s="100">
        <f>'Policy Data'!O149</f>
        <v>0</v>
      </c>
      <c r="ED175" s="400">
        <f>'Policy Data'!Q149</f>
        <v>0</v>
      </c>
    </row>
    <row r="176" spans="1:134" x14ac:dyDescent="0.3">
      <c r="A176" s="399" t="str">
        <f>'Policy Data'!A150</f>
        <v>POL100146</v>
      </c>
      <c r="B176" s="26" t="s">
        <v>426</v>
      </c>
      <c r="C176" s="100" t="str">
        <f>'Policy Data'!B150</f>
        <v>Unit-Linked</v>
      </c>
      <c r="D176" s="100">
        <f>'Policy Data'!C150</f>
        <v>57</v>
      </c>
      <c r="E176" s="100" t="str">
        <f>'Policy Data'!D150</f>
        <v>Male</v>
      </c>
      <c r="F176" s="100" t="str">
        <f>'Policy Data'!E150</f>
        <v>Non-smoker</v>
      </c>
      <c r="G176" s="100" t="str">
        <f>'Policy Data'!F150</f>
        <v>Standard</v>
      </c>
      <c r="H176" s="100">
        <f>'Policy Data'!G150</f>
        <v>20</v>
      </c>
      <c r="I176" s="279">
        <f>'Policy Data'!H150</f>
        <v>500000</v>
      </c>
      <c r="J176" s="100" t="str">
        <f>'Policy Data'!I150</f>
        <v>Monthly</v>
      </c>
      <c r="K176" s="100" t="str">
        <f>'Policy Data'!J150</f>
        <v>Broker</v>
      </c>
      <c r="L176" s="26" t="s">
        <v>389</v>
      </c>
      <c r="M176" s="106">
        <f>'Policy Data'!R150</f>
        <v>12303.21</v>
      </c>
      <c r="N176" s="415">
        <f>Assumptions!$C$21</f>
        <v>1</v>
      </c>
      <c r="O176" s="415">
        <f>Assumptions!$C$22</f>
        <v>1</v>
      </c>
      <c r="P176" s="415">
        <f>Assumptions!$C$23</f>
        <v>1</v>
      </c>
      <c r="Q176" s="416">
        <f>Assumptions!$C$24</f>
        <v>0</v>
      </c>
      <c r="R176" s="416">
        <f>Assumptions!$C$6+Assumptions!$C$25</f>
        <v>3.5000000000000003E-2</v>
      </c>
      <c r="S176" s="416">
        <f>Assumptions!$C$15</f>
        <v>1.1000000000000001E-3</v>
      </c>
      <c r="T176" s="26">
        <f t="shared" si="54"/>
        <v>0</v>
      </c>
      <c r="U176" s="26">
        <f t="shared" si="55"/>
        <v>3</v>
      </c>
      <c r="V176" s="389">
        <f>IF($G176="Preferred",Assumptions!$C$30,IF($G176="Rated",Assumptions!$C$31,1))</f>
        <v>1</v>
      </c>
      <c r="W176" s="390">
        <f>IF($K176="Direct",Assumptions!$C$32,IF($K176="Broker",Assumptions!$C$33,IF($K176="Bancassurance",Assumptions!$C$34,Assumptions!$C$11)))+$Q176</f>
        <v>0.25</v>
      </c>
      <c r="X176" s="390">
        <f>Assumptions!$C$12+$Q176</f>
        <v>0.05</v>
      </c>
      <c r="Y176" s="131">
        <f>MIN($I176,Assumptions!$C$14)</f>
        <v>500000</v>
      </c>
      <c r="Z176" s="131">
        <f>MAX($I176-Assumptions!$C$14,0)</f>
        <v>0</v>
      </c>
      <c r="AA176" s="389">
        <f t="shared" si="56"/>
        <v>0</v>
      </c>
      <c r="AB176" s="389">
        <f t="shared" si="57"/>
        <v>0</v>
      </c>
      <c r="AC176" s="389">
        <f>IF($T176=1,SUMPRODUCT($CJ176:$DW176,(1+Assumptions!$C$5)^($CJ$5:$DW$5-1),(1+$R176)^(-$CJ$5:$DW$5)),0)</f>
        <v>0</v>
      </c>
      <c r="AD176" s="389">
        <f t="shared" si="58"/>
        <v>0</v>
      </c>
      <c r="AE176" s="131">
        <f>IF($T176=1,$AB176*$Y176+(Assumptions!$C$9/(1+$R176)+Assumptions!$C$10*$AC176)*$P176+$S176*$Z176*$AA176,0)</f>
        <v>0</v>
      </c>
      <c r="AF176" s="131" t="str">
        <f>IF($T176=1,IF($AA176-$AD176-Assumptions!$C$16*$AA176&gt;0,$AE176/($AA176-$AD176-Assumptions!$C$16*$AA176)*IF($J176="Monthly",1+Assumptions!$C$29,1),"n.a."),"")</f>
        <v/>
      </c>
      <c r="AG176" s="131" t="str">
        <f t="shared" si="59"/>
        <v/>
      </c>
      <c r="AH176" s="131" t="str">
        <f t="shared" si="60"/>
        <v/>
      </c>
      <c r="AI176" s="131" t="str">
        <f t="shared" si="61"/>
        <v/>
      </c>
      <c r="AJ176" s="390" t="str">
        <f t="shared" si="62"/>
        <v/>
      </c>
      <c r="AK176" s="389" t="str">
        <f t="shared" si="63"/>
        <v/>
      </c>
      <c r="AL176" s="131" t="str">
        <f t="shared" si="64"/>
        <v/>
      </c>
      <c r="AM176" s="131" t="str">
        <f t="shared" si="65"/>
        <v/>
      </c>
      <c r="AN176" s="131" t="str">
        <f t="shared" si="66"/>
        <v/>
      </c>
      <c r="AO176" s="131" t="str">
        <f t="shared" si="67"/>
        <v/>
      </c>
      <c r="AP176" s="26" t="str">
        <f t="shared" si="68"/>
        <v>50-59</v>
      </c>
      <c r="AQ176" s="26" t="str">
        <f t="shared" si="69"/>
        <v>250k-500k</v>
      </c>
      <c r="AR176" s="26" t="str">
        <f>IF($T176=1,IF($AI176&lt;0,"Loss-making",IF($AJ176&lt;Assumptions!$C$16-0.00001,"Below target","At/above target")),"Excluded")</f>
        <v>Excluded</v>
      </c>
      <c r="AS176" s="103">
        <f t="shared" si="70"/>
        <v>9.9999999999999997E+98</v>
      </c>
      <c r="AT176" s="26"/>
      <c r="AU176" s="419">
        <f>IF(AND($T176=1,AU$5&lt;=$H176),INDEX(Mortality!$B$4:$E$64,MATCH($D176+AU$5-1,Mortality!$A$4:$A$64,0),$U176)*$V176*$N176,0)</f>
        <v>0</v>
      </c>
      <c r="AV176" s="93">
        <f>IF(AND($T176=1,AV$5&lt;=$H176),INDEX(Mortality!$B$4:$E$64,MATCH($D176+AV$5-1,Mortality!$A$4:$A$64,0),$U176)*$V176*$N176,0)</f>
        <v>0</v>
      </c>
      <c r="AW176" s="93">
        <f>IF(AND($T176=1,AW$5&lt;=$H176),INDEX(Mortality!$B$4:$E$64,MATCH($D176+AW$5-1,Mortality!$A$4:$A$64,0),$U176)*$V176*$N176,0)</f>
        <v>0</v>
      </c>
      <c r="AX176" s="93">
        <f>IF(AND($T176=1,AX$5&lt;=$H176),INDEX(Mortality!$B$4:$E$64,MATCH($D176+AX$5-1,Mortality!$A$4:$A$64,0),$U176)*$V176*$N176,0)</f>
        <v>0</v>
      </c>
      <c r="AY176" s="93">
        <f>IF(AND($T176=1,AY$5&lt;=$H176),INDEX(Mortality!$B$4:$E$64,MATCH($D176+AY$5-1,Mortality!$A$4:$A$64,0),$U176)*$V176*$N176,0)</f>
        <v>0</v>
      </c>
      <c r="AZ176" s="93">
        <f>IF(AND($T176=1,AZ$5&lt;=$H176),INDEX(Mortality!$B$4:$E$64,MATCH($D176+AZ$5-1,Mortality!$A$4:$A$64,0),$U176)*$V176*$N176,0)</f>
        <v>0</v>
      </c>
      <c r="BA176" s="93">
        <f>IF(AND($T176=1,BA$5&lt;=$H176),INDEX(Mortality!$B$4:$E$64,MATCH($D176+BA$5-1,Mortality!$A$4:$A$64,0),$U176)*$V176*$N176,0)</f>
        <v>0</v>
      </c>
      <c r="BB176" s="93">
        <f>IF(AND($T176=1,BB$5&lt;=$H176),INDEX(Mortality!$B$4:$E$64,MATCH($D176+BB$5-1,Mortality!$A$4:$A$64,0),$U176)*$V176*$N176,0)</f>
        <v>0</v>
      </c>
      <c r="BC176" s="93">
        <f>IF(AND($T176=1,BC$5&lt;=$H176),INDEX(Mortality!$B$4:$E$64,MATCH($D176+BC$5-1,Mortality!$A$4:$A$64,0),$U176)*$V176*$N176,0)</f>
        <v>0</v>
      </c>
      <c r="BD176" s="93">
        <f>IF(AND($T176=1,BD$5&lt;=$H176),INDEX(Mortality!$B$4:$E$64,MATCH($D176+BD$5-1,Mortality!$A$4:$A$64,0),$U176)*$V176*$N176,0)</f>
        <v>0</v>
      </c>
      <c r="BE176" s="93">
        <f>IF(AND($T176=1,BE$5&lt;=$H176),INDEX(Mortality!$B$4:$E$64,MATCH($D176+BE$5-1,Mortality!$A$4:$A$64,0),$U176)*$V176*$N176,0)</f>
        <v>0</v>
      </c>
      <c r="BF176" s="93">
        <f>IF(AND($T176=1,BF$5&lt;=$H176),INDEX(Mortality!$B$4:$E$64,MATCH($D176+BF$5-1,Mortality!$A$4:$A$64,0),$U176)*$V176*$N176,0)</f>
        <v>0</v>
      </c>
      <c r="BG176" s="93">
        <f>IF(AND($T176=1,BG$5&lt;=$H176),INDEX(Mortality!$B$4:$E$64,MATCH($D176+BG$5-1,Mortality!$A$4:$A$64,0),$U176)*$V176*$N176,0)</f>
        <v>0</v>
      </c>
      <c r="BH176" s="93">
        <f>IF(AND($T176=1,BH$5&lt;=$H176),INDEX(Mortality!$B$4:$E$64,MATCH($D176+BH$5-1,Mortality!$A$4:$A$64,0),$U176)*$V176*$N176,0)</f>
        <v>0</v>
      </c>
      <c r="BI176" s="93">
        <f>IF(AND($T176=1,BI$5&lt;=$H176),INDEX(Mortality!$B$4:$E$64,MATCH($D176+BI$5-1,Mortality!$A$4:$A$64,0),$U176)*$V176*$N176,0)</f>
        <v>0</v>
      </c>
      <c r="BJ176" s="93">
        <f>IF(AND($T176=1,BJ$5&lt;=$H176),INDEX(Mortality!$B$4:$E$64,MATCH($D176+BJ$5-1,Mortality!$A$4:$A$64,0),$U176)*$V176*$N176,0)</f>
        <v>0</v>
      </c>
      <c r="BK176" s="93">
        <f>IF(AND($T176=1,BK$5&lt;=$H176),INDEX(Mortality!$B$4:$E$64,MATCH($D176+BK$5-1,Mortality!$A$4:$A$64,0),$U176)*$V176*$N176,0)</f>
        <v>0</v>
      </c>
      <c r="BL176" s="93">
        <f>IF(AND($T176=1,BL$5&lt;=$H176),INDEX(Mortality!$B$4:$E$64,MATCH($D176+BL$5-1,Mortality!$A$4:$A$64,0),$U176)*$V176*$N176,0)</f>
        <v>0</v>
      </c>
      <c r="BM176" s="93">
        <f>IF(AND($T176=1,BM$5&lt;=$H176),INDEX(Mortality!$B$4:$E$64,MATCH($D176+BM$5-1,Mortality!$A$4:$A$64,0),$U176)*$V176*$N176,0)</f>
        <v>0</v>
      </c>
      <c r="BN176" s="93">
        <f>IF(AND($T176=1,BN$5&lt;=$H176),INDEX(Mortality!$B$4:$E$64,MATCH($D176+BN$5-1,Mortality!$A$4:$A$64,0),$U176)*$V176*$N176,0)</f>
        <v>0</v>
      </c>
      <c r="BO176" s="93">
        <f>IF(AND($T176=1,BO$5&lt;=$H176),INDEX(Mortality!$B$4:$E$64,MATCH($D176+BO$5-1,Mortality!$A$4:$A$64,0),$U176)*$V176*$N176,0)</f>
        <v>0</v>
      </c>
      <c r="BP176" s="93">
        <f>IF(AND($T176=1,BP$5&lt;=$H176),INDEX(Mortality!$B$4:$E$64,MATCH($D176+BP$5-1,Mortality!$A$4:$A$64,0),$U176)*$V176*$N176,0)</f>
        <v>0</v>
      </c>
      <c r="BQ176" s="93">
        <f>IF(AND($T176=1,BQ$5&lt;=$H176),INDEX(Mortality!$B$4:$E$64,MATCH($D176+BQ$5-1,Mortality!$A$4:$A$64,0),$U176)*$V176*$N176,0)</f>
        <v>0</v>
      </c>
      <c r="BR176" s="93">
        <f>IF(AND($T176=1,BR$5&lt;=$H176),INDEX(Mortality!$B$4:$E$64,MATCH($D176+BR$5-1,Mortality!$A$4:$A$64,0),$U176)*$V176*$N176,0)</f>
        <v>0</v>
      </c>
      <c r="BS176" s="93">
        <f>IF(AND($T176=1,BS$5&lt;=$H176),INDEX(Mortality!$B$4:$E$64,MATCH($D176+BS$5-1,Mortality!$A$4:$A$64,0),$U176)*$V176*$N176,0)</f>
        <v>0</v>
      </c>
      <c r="BT176" s="93">
        <f>IF(AND($T176=1,BT$5&lt;=$H176),INDEX(Mortality!$B$4:$E$64,MATCH($D176+BT$5-1,Mortality!$A$4:$A$64,0),$U176)*$V176*$N176,0)</f>
        <v>0</v>
      </c>
      <c r="BU176" s="93">
        <f>IF(AND($T176=1,BU$5&lt;=$H176),INDEX(Mortality!$B$4:$E$64,MATCH($D176+BU$5-1,Mortality!$A$4:$A$64,0),$U176)*$V176*$N176,0)</f>
        <v>0</v>
      </c>
      <c r="BV176" s="93">
        <f>IF(AND($T176=1,BV$5&lt;=$H176),INDEX(Mortality!$B$4:$E$64,MATCH($D176+BV$5-1,Mortality!$A$4:$A$64,0),$U176)*$V176*$N176,0)</f>
        <v>0</v>
      </c>
      <c r="BW176" s="93">
        <f>IF(AND($T176=1,BW$5&lt;=$H176),INDEX(Mortality!$B$4:$E$64,MATCH($D176+BW$5-1,Mortality!$A$4:$A$64,0),$U176)*$V176*$N176,0)</f>
        <v>0</v>
      </c>
      <c r="BX176" s="93">
        <f>IF(AND($T176=1,BX$5&lt;=$H176),INDEX(Mortality!$B$4:$E$64,MATCH($D176+BX$5-1,Mortality!$A$4:$A$64,0),$U176)*$V176*$N176,0)</f>
        <v>0</v>
      </c>
      <c r="BY176" s="93">
        <f>IF(AND($T176=1,BY$5&lt;=$H176),INDEX(Mortality!$B$4:$E$64,MATCH($D176+BY$5-1,Mortality!$A$4:$A$64,0),$U176)*$V176*$N176,0)</f>
        <v>0</v>
      </c>
      <c r="BZ176" s="93">
        <f>IF(AND($T176=1,BZ$5&lt;=$H176),INDEX(Mortality!$B$4:$E$64,MATCH($D176+BZ$5-1,Mortality!$A$4:$A$64,0),$U176)*$V176*$N176,0)</f>
        <v>0</v>
      </c>
      <c r="CA176" s="93">
        <f>IF(AND($T176=1,CA$5&lt;=$H176),INDEX(Mortality!$B$4:$E$64,MATCH($D176+CA$5-1,Mortality!$A$4:$A$64,0),$U176)*$V176*$N176,0)</f>
        <v>0</v>
      </c>
      <c r="CB176" s="93">
        <f>IF(AND($T176=1,CB$5&lt;=$H176),INDEX(Mortality!$B$4:$E$64,MATCH($D176+CB$5-1,Mortality!$A$4:$A$64,0),$U176)*$V176*$N176,0)</f>
        <v>0</v>
      </c>
      <c r="CC176" s="93">
        <f>IF(AND($T176=1,CC$5&lt;=$H176),INDEX(Mortality!$B$4:$E$64,MATCH($D176+CC$5-1,Mortality!$A$4:$A$64,0),$U176)*$V176*$N176,0)</f>
        <v>0</v>
      </c>
      <c r="CD176" s="93">
        <f>IF(AND($T176=1,CD$5&lt;=$H176),INDEX(Mortality!$B$4:$E$64,MATCH($D176+CD$5-1,Mortality!$A$4:$A$64,0),$U176)*$V176*$N176,0)</f>
        <v>0</v>
      </c>
      <c r="CE176" s="93">
        <f>IF(AND($T176=1,CE$5&lt;=$H176),INDEX(Mortality!$B$4:$E$64,MATCH($D176+CE$5-1,Mortality!$A$4:$A$64,0),$U176)*$V176*$N176,0)</f>
        <v>0</v>
      </c>
      <c r="CF176" s="93">
        <f>IF(AND($T176=1,CF$5&lt;=$H176),INDEX(Mortality!$B$4:$E$64,MATCH($D176+CF$5-1,Mortality!$A$4:$A$64,0),$U176)*$V176*$N176,0)</f>
        <v>0</v>
      </c>
      <c r="CG176" s="93">
        <f>IF(AND($T176=1,CG$5&lt;=$H176),INDEX(Mortality!$B$4:$E$64,MATCH($D176+CG$5-1,Mortality!$A$4:$A$64,0),$U176)*$V176*$N176,0)</f>
        <v>0</v>
      </c>
      <c r="CH176" s="94">
        <f>IF(AND($T176=1,CH$5&lt;=$H176),INDEX(Mortality!$B$4:$E$64,MATCH($D176+CH$5-1,Mortality!$A$4:$A$64,0),$U176)*$V176*$N176,0)</f>
        <v>0</v>
      </c>
      <c r="CI176" s="26"/>
      <c r="CJ176" s="419">
        <f t="shared" si="71"/>
        <v>0</v>
      </c>
      <c r="CK176" s="93">
        <f>IF(AND($T176=1,CK$5&lt;=$H176),CJ176*(1-AU176)*(1-MIN(1,MAX(Assumptions!$C$27,Assumptions!$C$13*Assumptions!$C$28^(CJ$5-1))*$O176)),0)</f>
        <v>0</v>
      </c>
      <c r="CL176" s="93">
        <f>IF(AND($T176=1,CL$5&lt;=$H176),CK176*(1-AV176)*(1-MIN(1,MAX(Assumptions!$C$27,Assumptions!$C$13*Assumptions!$C$28^(CK$5-1))*$O176)),0)</f>
        <v>0</v>
      </c>
      <c r="CM176" s="93">
        <f>IF(AND($T176=1,CM$5&lt;=$H176),CL176*(1-AW176)*(1-MIN(1,MAX(Assumptions!$C$27,Assumptions!$C$13*Assumptions!$C$28^(CL$5-1))*$O176)),0)</f>
        <v>0</v>
      </c>
      <c r="CN176" s="93">
        <f>IF(AND($T176=1,CN$5&lt;=$H176),CM176*(1-AX176)*(1-MIN(1,MAX(Assumptions!$C$27,Assumptions!$C$13*Assumptions!$C$28^(CM$5-1))*$O176)),0)</f>
        <v>0</v>
      </c>
      <c r="CO176" s="93">
        <f>IF(AND($T176=1,CO$5&lt;=$H176),CN176*(1-AY176)*(1-MIN(1,MAX(Assumptions!$C$27,Assumptions!$C$13*Assumptions!$C$28^(CN$5-1))*$O176)),0)</f>
        <v>0</v>
      </c>
      <c r="CP176" s="93">
        <f>IF(AND($T176=1,CP$5&lt;=$H176),CO176*(1-AZ176)*(1-MIN(1,MAX(Assumptions!$C$27,Assumptions!$C$13*Assumptions!$C$28^(CO$5-1))*$O176)),0)</f>
        <v>0</v>
      </c>
      <c r="CQ176" s="93">
        <f>IF(AND($T176=1,CQ$5&lt;=$H176),CP176*(1-BA176)*(1-MIN(1,MAX(Assumptions!$C$27,Assumptions!$C$13*Assumptions!$C$28^(CP$5-1))*$O176)),0)</f>
        <v>0</v>
      </c>
      <c r="CR176" s="93">
        <f>IF(AND($T176=1,CR$5&lt;=$H176),CQ176*(1-BB176)*(1-MIN(1,MAX(Assumptions!$C$27,Assumptions!$C$13*Assumptions!$C$28^(CQ$5-1))*$O176)),0)</f>
        <v>0</v>
      </c>
      <c r="CS176" s="93">
        <f>IF(AND($T176=1,CS$5&lt;=$H176),CR176*(1-BC176)*(1-MIN(1,MAX(Assumptions!$C$27,Assumptions!$C$13*Assumptions!$C$28^(CR$5-1))*$O176)),0)</f>
        <v>0</v>
      </c>
      <c r="CT176" s="93">
        <f>IF(AND($T176=1,CT$5&lt;=$H176),CS176*(1-BD176)*(1-MIN(1,MAX(Assumptions!$C$27,Assumptions!$C$13*Assumptions!$C$28^(CS$5-1))*$O176)),0)</f>
        <v>0</v>
      </c>
      <c r="CU176" s="93">
        <f>IF(AND($T176=1,CU$5&lt;=$H176),CT176*(1-BE176)*(1-MIN(1,MAX(Assumptions!$C$27,Assumptions!$C$13*Assumptions!$C$28^(CT$5-1))*$O176)),0)</f>
        <v>0</v>
      </c>
      <c r="CV176" s="93">
        <f>IF(AND($T176=1,CV$5&lt;=$H176),CU176*(1-BF176)*(1-MIN(1,MAX(Assumptions!$C$27,Assumptions!$C$13*Assumptions!$C$28^(CU$5-1))*$O176)),0)</f>
        <v>0</v>
      </c>
      <c r="CW176" s="93">
        <f>IF(AND($T176=1,CW$5&lt;=$H176),CV176*(1-BG176)*(1-MIN(1,MAX(Assumptions!$C$27,Assumptions!$C$13*Assumptions!$C$28^(CV$5-1))*$O176)),0)</f>
        <v>0</v>
      </c>
      <c r="CX176" s="93">
        <f>IF(AND($T176=1,CX$5&lt;=$H176),CW176*(1-BH176)*(1-MIN(1,MAX(Assumptions!$C$27,Assumptions!$C$13*Assumptions!$C$28^(CW$5-1))*$O176)),0)</f>
        <v>0</v>
      </c>
      <c r="CY176" s="93">
        <f>IF(AND($T176=1,CY$5&lt;=$H176),CX176*(1-BI176)*(1-MIN(1,MAX(Assumptions!$C$27,Assumptions!$C$13*Assumptions!$C$28^(CX$5-1))*$O176)),0)</f>
        <v>0</v>
      </c>
      <c r="CZ176" s="93">
        <f>IF(AND($T176=1,CZ$5&lt;=$H176),CY176*(1-BJ176)*(1-MIN(1,MAX(Assumptions!$C$27,Assumptions!$C$13*Assumptions!$C$28^(CY$5-1))*$O176)),0)</f>
        <v>0</v>
      </c>
      <c r="DA176" s="93">
        <f>IF(AND($T176=1,DA$5&lt;=$H176),CZ176*(1-BK176)*(1-MIN(1,MAX(Assumptions!$C$27,Assumptions!$C$13*Assumptions!$C$28^(CZ$5-1))*$O176)),0)</f>
        <v>0</v>
      </c>
      <c r="DB176" s="93">
        <f>IF(AND($T176=1,DB$5&lt;=$H176),DA176*(1-BL176)*(1-MIN(1,MAX(Assumptions!$C$27,Assumptions!$C$13*Assumptions!$C$28^(DA$5-1))*$O176)),0)</f>
        <v>0</v>
      </c>
      <c r="DC176" s="93">
        <f>IF(AND($T176=1,DC$5&lt;=$H176),DB176*(1-BM176)*(1-MIN(1,MAX(Assumptions!$C$27,Assumptions!$C$13*Assumptions!$C$28^(DB$5-1))*$O176)),0)</f>
        <v>0</v>
      </c>
      <c r="DD176" s="93">
        <f>IF(AND($T176=1,DD$5&lt;=$H176),DC176*(1-BN176)*(1-MIN(1,MAX(Assumptions!$C$27,Assumptions!$C$13*Assumptions!$C$28^(DC$5-1))*$O176)),0)</f>
        <v>0</v>
      </c>
      <c r="DE176" s="93">
        <f>IF(AND($T176=1,DE$5&lt;=$H176),DD176*(1-BO176)*(1-MIN(1,MAX(Assumptions!$C$27,Assumptions!$C$13*Assumptions!$C$28^(DD$5-1))*$O176)),0)</f>
        <v>0</v>
      </c>
      <c r="DF176" s="93">
        <f>IF(AND($T176=1,DF$5&lt;=$H176),DE176*(1-BP176)*(1-MIN(1,MAX(Assumptions!$C$27,Assumptions!$C$13*Assumptions!$C$28^(DE$5-1))*$O176)),0)</f>
        <v>0</v>
      </c>
      <c r="DG176" s="93">
        <f>IF(AND($T176=1,DG$5&lt;=$H176),DF176*(1-BQ176)*(1-MIN(1,MAX(Assumptions!$C$27,Assumptions!$C$13*Assumptions!$C$28^(DF$5-1))*$O176)),0)</f>
        <v>0</v>
      </c>
      <c r="DH176" s="93">
        <f>IF(AND($T176=1,DH$5&lt;=$H176),DG176*(1-BR176)*(1-MIN(1,MAX(Assumptions!$C$27,Assumptions!$C$13*Assumptions!$C$28^(DG$5-1))*$O176)),0)</f>
        <v>0</v>
      </c>
      <c r="DI176" s="93">
        <f>IF(AND($T176=1,DI$5&lt;=$H176),DH176*(1-BS176)*(1-MIN(1,MAX(Assumptions!$C$27,Assumptions!$C$13*Assumptions!$C$28^(DH$5-1))*$O176)),0)</f>
        <v>0</v>
      </c>
      <c r="DJ176" s="93">
        <f>IF(AND($T176=1,DJ$5&lt;=$H176),DI176*(1-BT176)*(1-MIN(1,MAX(Assumptions!$C$27,Assumptions!$C$13*Assumptions!$C$28^(DI$5-1))*$O176)),0)</f>
        <v>0</v>
      </c>
      <c r="DK176" s="93">
        <f>IF(AND($T176=1,DK$5&lt;=$H176),DJ176*(1-BU176)*(1-MIN(1,MAX(Assumptions!$C$27,Assumptions!$C$13*Assumptions!$C$28^(DJ$5-1))*$O176)),0)</f>
        <v>0</v>
      </c>
      <c r="DL176" s="93">
        <f>IF(AND($T176=1,DL$5&lt;=$H176),DK176*(1-BV176)*(1-MIN(1,MAX(Assumptions!$C$27,Assumptions!$C$13*Assumptions!$C$28^(DK$5-1))*$O176)),0)</f>
        <v>0</v>
      </c>
      <c r="DM176" s="93">
        <f>IF(AND($T176=1,DM$5&lt;=$H176),DL176*(1-BW176)*(1-MIN(1,MAX(Assumptions!$C$27,Assumptions!$C$13*Assumptions!$C$28^(DL$5-1))*$O176)),0)</f>
        <v>0</v>
      </c>
      <c r="DN176" s="93">
        <f>IF(AND($T176=1,DN$5&lt;=$H176),DM176*(1-BX176)*(1-MIN(1,MAX(Assumptions!$C$27,Assumptions!$C$13*Assumptions!$C$28^(DM$5-1))*$O176)),0)</f>
        <v>0</v>
      </c>
      <c r="DO176" s="93">
        <f>IF(AND($T176=1,DO$5&lt;=$H176),DN176*(1-BY176)*(1-MIN(1,MAX(Assumptions!$C$27,Assumptions!$C$13*Assumptions!$C$28^(DN$5-1))*$O176)),0)</f>
        <v>0</v>
      </c>
      <c r="DP176" s="93">
        <f>IF(AND($T176=1,DP$5&lt;=$H176),DO176*(1-BZ176)*(1-MIN(1,MAX(Assumptions!$C$27,Assumptions!$C$13*Assumptions!$C$28^(DO$5-1))*$O176)),0)</f>
        <v>0</v>
      </c>
      <c r="DQ176" s="93">
        <f>IF(AND($T176=1,DQ$5&lt;=$H176),DP176*(1-CA176)*(1-MIN(1,MAX(Assumptions!$C$27,Assumptions!$C$13*Assumptions!$C$28^(DP$5-1))*$O176)),0)</f>
        <v>0</v>
      </c>
      <c r="DR176" s="93">
        <f>IF(AND($T176=1,DR$5&lt;=$H176),DQ176*(1-CB176)*(1-MIN(1,MAX(Assumptions!$C$27,Assumptions!$C$13*Assumptions!$C$28^(DQ$5-1))*$O176)),0)</f>
        <v>0</v>
      </c>
      <c r="DS176" s="93">
        <f>IF(AND($T176=1,DS$5&lt;=$H176),DR176*(1-CC176)*(1-MIN(1,MAX(Assumptions!$C$27,Assumptions!$C$13*Assumptions!$C$28^(DR$5-1))*$O176)),0)</f>
        <v>0</v>
      </c>
      <c r="DT176" s="93">
        <f>IF(AND($T176=1,DT$5&lt;=$H176),DS176*(1-CD176)*(1-MIN(1,MAX(Assumptions!$C$27,Assumptions!$C$13*Assumptions!$C$28^(DS$5-1))*$O176)),0)</f>
        <v>0</v>
      </c>
      <c r="DU176" s="93">
        <f>IF(AND($T176=1,DU$5&lt;=$H176),DT176*(1-CE176)*(1-MIN(1,MAX(Assumptions!$C$27,Assumptions!$C$13*Assumptions!$C$28^(DT$5-1))*$O176)),0)</f>
        <v>0</v>
      </c>
      <c r="DV176" s="93">
        <f>IF(AND($T176=1,DV$5&lt;=$H176),DU176*(1-CF176)*(1-MIN(1,MAX(Assumptions!$C$27,Assumptions!$C$13*Assumptions!$C$28^(DU$5-1))*$O176)),0)</f>
        <v>0</v>
      </c>
      <c r="DW176" s="94">
        <f>IF(AND($T176=1,DW$5&lt;=$H176),DV176*(1-CG176)*(1-MIN(1,MAX(Assumptions!$C$27,Assumptions!$C$13*Assumptions!$C$28^(DV$5-1))*$O176)),0)</f>
        <v>0</v>
      </c>
      <c r="DX176" s="26"/>
      <c r="DY176" s="399">
        <f>'Policy Data'!K150</f>
        <v>3</v>
      </c>
      <c r="DZ176" s="100">
        <f>'Policy Data'!L150</f>
        <v>0.75219999999999998</v>
      </c>
      <c r="EA176" s="100">
        <f>'Policy Data'!N150</f>
        <v>3.375E-3</v>
      </c>
      <c r="EB176" s="93" cm="1">
        <f t="array" ref="EB176">IFERROR(DZ176*INDEX(Mortality!$B$4:$E$64,MATCH(D176+DY176-1,Mortality!$A$4:$A$64,0),U176)*V176,0)</f>
        <v>3.9610185952421769E-3</v>
      </c>
      <c r="EC176" s="100">
        <f>'Policy Data'!O150</f>
        <v>0</v>
      </c>
      <c r="ED176" s="400">
        <f>'Policy Data'!Q150</f>
        <v>0</v>
      </c>
    </row>
    <row r="177" spans="1:134" x14ac:dyDescent="0.3">
      <c r="A177" s="399" t="str">
        <f>'Policy Data'!A151</f>
        <v>POL100147</v>
      </c>
      <c r="B177" s="26" t="s">
        <v>426</v>
      </c>
      <c r="C177" s="100" t="str">
        <f>'Policy Data'!B151</f>
        <v>Term Life</v>
      </c>
      <c r="D177" s="100">
        <f>'Policy Data'!C151</f>
        <v>30</v>
      </c>
      <c r="E177" s="100" t="str">
        <f>'Policy Data'!D151</f>
        <v>Male</v>
      </c>
      <c r="F177" s="100" t="str">
        <f>'Policy Data'!E151</f>
        <v>Non-smoker</v>
      </c>
      <c r="G177" s="100" t="str">
        <f>'Policy Data'!F151</f>
        <v>Preferred</v>
      </c>
      <c r="H177" s="100">
        <f>'Policy Data'!G151</f>
        <v>15</v>
      </c>
      <c r="I177" s="279">
        <f>'Policy Data'!H151</f>
        <v>2000000</v>
      </c>
      <c r="J177" s="100" t="str">
        <f>'Policy Data'!I151</f>
        <v>Annual</v>
      </c>
      <c r="K177" s="100" t="str">
        <f>'Policy Data'!J151</f>
        <v>Bancassurance</v>
      </c>
      <c r="L177" s="26" t="s">
        <v>389</v>
      </c>
      <c r="M177" s="106">
        <f>'Policy Data'!R151</f>
        <v>2557.04</v>
      </c>
      <c r="N177" s="415">
        <f>Assumptions!$C$21</f>
        <v>1</v>
      </c>
      <c r="O177" s="415">
        <f>Assumptions!$C$22</f>
        <v>1</v>
      </c>
      <c r="P177" s="415">
        <f>Assumptions!$C$23</f>
        <v>1</v>
      </c>
      <c r="Q177" s="416">
        <f>Assumptions!$C$24</f>
        <v>0</v>
      </c>
      <c r="R177" s="416">
        <f>Assumptions!$C$6+Assumptions!$C$25</f>
        <v>3.5000000000000003E-2</v>
      </c>
      <c r="S177" s="416">
        <f>Assumptions!$C$15</f>
        <v>1.1000000000000001E-3</v>
      </c>
      <c r="T177" s="26">
        <f t="shared" si="54"/>
        <v>1</v>
      </c>
      <c r="U177" s="26">
        <f t="shared" si="55"/>
        <v>3</v>
      </c>
      <c r="V177" s="389">
        <f>IF($G177="Preferred",Assumptions!$C$30,IF($G177="Rated",Assumptions!$C$31,1))</f>
        <v>0.8</v>
      </c>
      <c r="W177" s="390">
        <f>IF($K177="Direct",Assumptions!$C$32,IF($K177="Broker",Assumptions!$C$33,IF($K177="Bancassurance",Assumptions!$C$34,Assumptions!$C$11)))+$Q177</f>
        <v>0.2</v>
      </c>
      <c r="X177" s="390">
        <f>Assumptions!$C$12+$Q177</f>
        <v>0.05</v>
      </c>
      <c r="Y177" s="131">
        <f>MIN($I177,Assumptions!$C$14)</f>
        <v>500000</v>
      </c>
      <c r="Z177" s="131">
        <f>MAX($I177-Assumptions!$C$14,0)</f>
        <v>1500000</v>
      </c>
      <c r="AA177" s="389">
        <f t="shared" si="56"/>
        <v>7.4210394195607021</v>
      </c>
      <c r="AB177" s="389">
        <f t="shared" si="57"/>
        <v>5.0118300502456662E-3</v>
      </c>
      <c r="AC177" s="389">
        <f>IF($T177=1,SUMPRODUCT($CJ177:$DW177,(1+Assumptions!$C$5)^($CJ$5:$DW$5-1),(1+$R177)^(-$CJ$5:$DW$5)),0)</f>
        <v>9.2892446787345762</v>
      </c>
      <c r="AD177" s="389">
        <f t="shared" si="58"/>
        <v>0.51597950720991914</v>
      </c>
      <c r="AE177" s="131">
        <f>IF($T177=1,$AB177*$Y177+(Assumptions!$C$9/(1+$R177)+Assumptions!$C$10*$AC177)*$P177+$S177*$Z177*$AA177,0)</f>
        <v>17663.8291141109</v>
      </c>
      <c r="AF177" s="131">
        <f>IF($T177=1,IF($AA177-$AD177-Assumptions!$C$16*$AA177&gt;0,$AE177/($AA177-$AD177-Assumptions!$C$16*$AA177)*IF($J177="Monthly",1+Assumptions!$C$29,1),"n.a."),"")</f>
        <v>2798.7283582019531</v>
      </c>
      <c r="AG177" s="131">
        <f t="shared" si="59"/>
        <v>2557.04</v>
      </c>
      <c r="AH177" s="131">
        <f t="shared" si="60"/>
        <v>18975.894637393496</v>
      </c>
      <c r="AI177" s="131">
        <f t="shared" si="61"/>
        <v>-7.3147158334541018</v>
      </c>
      <c r="AJ177" s="390">
        <f t="shared" si="62"/>
        <v>-3.8547409612192288E-4</v>
      </c>
      <c r="AK177" s="389">
        <f t="shared" si="63"/>
        <v>0.91364350974125041</v>
      </c>
      <c r="AL177" s="131">
        <f t="shared" si="64"/>
        <v>7517.7450753684998</v>
      </c>
      <c r="AM177" s="131">
        <f t="shared" si="65"/>
        <v>12244.715042275158</v>
      </c>
      <c r="AN177" s="131">
        <f t="shared" si="66"/>
        <v>-4726.9699669066586</v>
      </c>
      <c r="AO177" s="131">
        <f t="shared" si="67"/>
        <v>4719.6552510732045</v>
      </c>
      <c r="AP177" s="26" t="str">
        <f t="shared" si="68"/>
        <v>30-39</v>
      </c>
      <c r="AQ177" s="26" t="str">
        <f t="shared" si="69"/>
        <v>Over 1m</v>
      </c>
      <c r="AR177" s="26" t="str">
        <f>IF($T177=1,IF($AI177&lt;0,"Loss-making",IF($AJ177&lt;Assumptions!$C$16-0.00001,"Below target","At/above target")),"Excluded")</f>
        <v>Loss-making</v>
      </c>
      <c r="AS177" s="103">
        <f t="shared" si="70"/>
        <v>-7.3145388334541019</v>
      </c>
      <c r="AT177" s="26"/>
      <c r="AU177" s="419">
        <f>IF(AND($T177=1,AU$5&lt;=$H177),INDEX(Mortality!$B$4:$E$64,MATCH($D177+AU$5-1,Mortality!$A$4:$A$64,0),$U177)*$V177*$N177,0)</f>
        <v>4.1399999999999998E-4</v>
      </c>
      <c r="AV177" s="93">
        <f>IF(AND($T177=1,AV$5&lt;=$H177),INDEX(Mortality!$B$4:$E$64,MATCH($D177+AV$5-1,Mortality!$A$4:$A$64,0),$U177)*$V177*$N177,0)</f>
        <v>4.4848084601743283E-4</v>
      </c>
      <c r="AW177" s="93">
        <f>IF(AND($T177=1,AW$5&lt;=$H177),INDEX(Mortality!$B$4:$E$64,MATCH($D177+AW$5-1,Mortality!$A$4:$A$64,0),$U177)*$V177*$N177,0)</f>
        <v>4.8583350059060962E-4</v>
      </c>
      <c r="AX177" s="93">
        <f>IF(AND($T177=1,AX$5&lt;=$H177),INDEX(Mortality!$B$4:$E$64,MATCH($D177+AX$5-1,Mortality!$A$4:$A$64,0),$U177)*$V177*$N177,0)</f>
        <v>5.2629714823306168E-4</v>
      </c>
      <c r="AY177" s="93">
        <f>IF(AND($T177=1,AY$5&lt;=$H177),INDEX(Mortality!$B$4:$E$64,MATCH($D177+AY$5-1,Mortality!$A$4:$A$64,0),$U177)*$V177*$N177,0)</f>
        <v>5.7013089443508651E-4</v>
      </c>
      <c r="AZ177" s="93">
        <f>IF(AND($T177=1,AZ$5&lt;=$H177),INDEX(Mortality!$B$4:$E$64,MATCH($D177+AZ$5-1,Mortality!$A$4:$A$64,0),$U177)*$V177*$N177,0)</f>
        <v>6.176154248234856E-4</v>
      </c>
      <c r="BA177" s="93">
        <f>IF(AND($T177=1,BA$5&lt;=$H177),INDEX(Mortality!$B$4:$E$64,MATCH($D177+BA$5-1,Mortality!$A$4:$A$64,0),$U177)*$V177*$N177,0)</f>
        <v>6.6905480250785757E-4</v>
      </c>
      <c r="BB177" s="93">
        <f>IF(AND($T177=1,BB$5&lt;=$H177),INDEX(Mortality!$B$4:$E$64,MATCH($D177+BB$5-1,Mortality!$A$4:$A$64,0),$U177)*$V177*$N177,0)</f>
        <v>7.2477841512258564E-4</v>
      </c>
      <c r="BC177" s="93">
        <f>IF(AND($T177=1,BC$5&lt;=$H177),INDEX(Mortality!$B$4:$E$64,MATCH($D177+BC$5-1,Mortality!$A$4:$A$64,0),$U177)*$V177*$N177,0)</f>
        <v>7.8514308403224956E-4</v>
      </c>
      <c r="BD177" s="93">
        <f>IF(AND($T177=1,BD$5&lt;=$H177),INDEX(Mortality!$B$4:$E$64,MATCH($D177+BD$5-1,Mortality!$A$4:$A$64,0),$U177)*$V177*$N177,0)</f>
        <v>8.505353492065681E-4</v>
      </c>
      <c r="BE177" s="93">
        <f>IF(AND($T177=1,BE$5&lt;=$H177),INDEX(Mortality!$B$4:$E$64,MATCH($D177+BE$5-1,Mortality!$A$4:$A$64,0),$U177)*$V177*$N177,0)</f>
        <v>9.2137394439588014E-4</v>
      </c>
      <c r="BF177" s="93">
        <f>IF(AND($T177=1,BF$5&lt;=$H177),INDEX(Mortality!$B$4:$E$64,MATCH($D177+BF$5-1,Mortality!$A$4:$A$64,0),$U177)*$V177*$N177,0)</f>
        <v>9.9811247845672801E-4</v>
      </c>
      <c r="BG177" s="93">
        <f>IF(AND($T177=1,BG$5&lt;=$H177),INDEX(Mortality!$B$4:$E$64,MATCH($D177+BG$5-1,Mortality!$A$4:$A$64,0),$U177)*$V177*$N177,0)</f>
        <v>1.0812423399971681E-3</v>
      </c>
      <c r="BH177" s="93">
        <f>IF(AND($T177=1,BH$5&lt;=$H177),INDEX(Mortality!$B$4:$E$64,MATCH($D177+BH$5-1,Mortality!$A$4:$A$64,0),$U177)*$V177*$N177,0)</f>
        <v>1.1712958439415442E-3</v>
      </c>
      <c r="BI177" s="93">
        <f>IF(AND($T177=1,BI$5&lt;=$H177),INDEX(Mortality!$B$4:$E$64,MATCH($D177+BI$5-1,Mortality!$A$4:$A$64,0),$U177)*$V177*$N177,0)</f>
        <v>1.2688496401633042E-3</v>
      </c>
      <c r="BJ177" s="93">
        <f>IF(AND($T177=1,BJ$5&lt;=$H177),INDEX(Mortality!$B$4:$E$64,MATCH($D177+BJ$5-1,Mortality!$A$4:$A$64,0),$U177)*$V177*$N177,0)</f>
        <v>0</v>
      </c>
      <c r="BK177" s="93">
        <f>IF(AND($T177=1,BK$5&lt;=$H177),INDEX(Mortality!$B$4:$E$64,MATCH($D177+BK$5-1,Mortality!$A$4:$A$64,0),$U177)*$V177*$N177,0)</f>
        <v>0</v>
      </c>
      <c r="BL177" s="93">
        <f>IF(AND($T177=1,BL$5&lt;=$H177),INDEX(Mortality!$B$4:$E$64,MATCH($D177+BL$5-1,Mortality!$A$4:$A$64,0),$U177)*$V177*$N177,0)</f>
        <v>0</v>
      </c>
      <c r="BM177" s="93">
        <f>IF(AND($T177=1,BM$5&lt;=$H177),INDEX(Mortality!$B$4:$E$64,MATCH($D177+BM$5-1,Mortality!$A$4:$A$64,0),$U177)*$V177*$N177,0)</f>
        <v>0</v>
      </c>
      <c r="BN177" s="93">
        <f>IF(AND($T177=1,BN$5&lt;=$H177),INDEX(Mortality!$B$4:$E$64,MATCH($D177+BN$5-1,Mortality!$A$4:$A$64,0),$U177)*$V177*$N177,0)</f>
        <v>0</v>
      </c>
      <c r="BO177" s="93">
        <f>IF(AND($T177=1,BO$5&lt;=$H177),INDEX(Mortality!$B$4:$E$64,MATCH($D177+BO$5-1,Mortality!$A$4:$A$64,0),$U177)*$V177*$N177,0)</f>
        <v>0</v>
      </c>
      <c r="BP177" s="93">
        <f>IF(AND($T177=1,BP$5&lt;=$H177),INDEX(Mortality!$B$4:$E$64,MATCH($D177+BP$5-1,Mortality!$A$4:$A$64,0),$U177)*$V177*$N177,0)</f>
        <v>0</v>
      </c>
      <c r="BQ177" s="93">
        <f>IF(AND($T177=1,BQ$5&lt;=$H177),INDEX(Mortality!$B$4:$E$64,MATCH($D177+BQ$5-1,Mortality!$A$4:$A$64,0),$U177)*$V177*$N177,0)</f>
        <v>0</v>
      </c>
      <c r="BR177" s="93">
        <f>IF(AND($T177=1,BR$5&lt;=$H177),INDEX(Mortality!$B$4:$E$64,MATCH($D177+BR$5-1,Mortality!$A$4:$A$64,0),$U177)*$V177*$N177,0)</f>
        <v>0</v>
      </c>
      <c r="BS177" s="93">
        <f>IF(AND($T177=1,BS$5&lt;=$H177),INDEX(Mortality!$B$4:$E$64,MATCH($D177+BS$5-1,Mortality!$A$4:$A$64,0),$U177)*$V177*$N177,0)</f>
        <v>0</v>
      </c>
      <c r="BT177" s="93">
        <f>IF(AND($T177=1,BT$5&lt;=$H177),INDEX(Mortality!$B$4:$E$64,MATCH($D177+BT$5-1,Mortality!$A$4:$A$64,0),$U177)*$V177*$N177,0)</f>
        <v>0</v>
      </c>
      <c r="BU177" s="93">
        <f>IF(AND($T177=1,BU$5&lt;=$H177),INDEX(Mortality!$B$4:$E$64,MATCH($D177+BU$5-1,Mortality!$A$4:$A$64,0),$U177)*$V177*$N177,0)</f>
        <v>0</v>
      </c>
      <c r="BV177" s="93">
        <f>IF(AND($T177=1,BV$5&lt;=$H177),INDEX(Mortality!$B$4:$E$64,MATCH($D177+BV$5-1,Mortality!$A$4:$A$64,0),$U177)*$V177*$N177,0)</f>
        <v>0</v>
      </c>
      <c r="BW177" s="93">
        <f>IF(AND($T177=1,BW$5&lt;=$H177),INDEX(Mortality!$B$4:$E$64,MATCH($D177+BW$5-1,Mortality!$A$4:$A$64,0),$U177)*$V177*$N177,0)</f>
        <v>0</v>
      </c>
      <c r="BX177" s="93">
        <f>IF(AND($T177=1,BX$5&lt;=$H177),INDEX(Mortality!$B$4:$E$64,MATCH($D177+BX$5-1,Mortality!$A$4:$A$64,0),$U177)*$V177*$N177,0)</f>
        <v>0</v>
      </c>
      <c r="BY177" s="93">
        <f>IF(AND($T177=1,BY$5&lt;=$H177),INDEX(Mortality!$B$4:$E$64,MATCH($D177+BY$5-1,Mortality!$A$4:$A$64,0),$U177)*$V177*$N177,0)</f>
        <v>0</v>
      </c>
      <c r="BZ177" s="93">
        <f>IF(AND($T177=1,BZ$5&lt;=$H177),INDEX(Mortality!$B$4:$E$64,MATCH($D177+BZ$5-1,Mortality!$A$4:$A$64,0),$U177)*$V177*$N177,0)</f>
        <v>0</v>
      </c>
      <c r="CA177" s="93">
        <f>IF(AND($T177=1,CA$5&lt;=$H177),INDEX(Mortality!$B$4:$E$64,MATCH($D177+CA$5-1,Mortality!$A$4:$A$64,0),$U177)*$V177*$N177,0)</f>
        <v>0</v>
      </c>
      <c r="CB177" s="93">
        <f>IF(AND($T177=1,CB$5&lt;=$H177),INDEX(Mortality!$B$4:$E$64,MATCH($D177+CB$5-1,Mortality!$A$4:$A$64,0),$U177)*$V177*$N177,0)</f>
        <v>0</v>
      </c>
      <c r="CC177" s="93">
        <f>IF(AND($T177=1,CC$5&lt;=$H177),INDEX(Mortality!$B$4:$E$64,MATCH($D177+CC$5-1,Mortality!$A$4:$A$64,0),$U177)*$V177*$N177,0)</f>
        <v>0</v>
      </c>
      <c r="CD177" s="93">
        <f>IF(AND($T177=1,CD$5&lt;=$H177),INDEX(Mortality!$B$4:$E$64,MATCH($D177+CD$5-1,Mortality!$A$4:$A$64,0),$U177)*$V177*$N177,0)</f>
        <v>0</v>
      </c>
      <c r="CE177" s="93">
        <f>IF(AND($T177=1,CE$5&lt;=$H177),INDEX(Mortality!$B$4:$E$64,MATCH($D177+CE$5-1,Mortality!$A$4:$A$64,0),$U177)*$V177*$N177,0)</f>
        <v>0</v>
      </c>
      <c r="CF177" s="93">
        <f>IF(AND($T177=1,CF$5&lt;=$H177),INDEX(Mortality!$B$4:$E$64,MATCH($D177+CF$5-1,Mortality!$A$4:$A$64,0),$U177)*$V177*$N177,0)</f>
        <v>0</v>
      </c>
      <c r="CG177" s="93">
        <f>IF(AND($T177=1,CG$5&lt;=$H177),INDEX(Mortality!$B$4:$E$64,MATCH($D177+CG$5-1,Mortality!$A$4:$A$64,0),$U177)*$V177*$N177,0)</f>
        <v>0</v>
      </c>
      <c r="CH177" s="94">
        <f>IF(AND($T177=1,CH$5&lt;=$H177),INDEX(Mortality!$B$4:$E$64,MATCH($D177+CH$5-1,Mortality!$A$4:$A$64,0),$U177)*$V177*$N177,0)</f>
        <v>0</v>
      </c>
      <c r="CI177" s="26"/>
      <c r="CJ177" s="419">
        <f t="shared" si="71"/>
        <v>1</v>
      </c>
      <c r="CK177" s="93">
        <f>IF(AND($T177=1,CK$5&lt;=$H177),CJ177*(1-AU177)*(1-MIN(1,MAX(Assumptions!$C$27,Assumptions!$C$13*Assumptions!$C$28^(CJ$5-1))*$O177)),0)</f>
        <v>0.87963568000000003</v>
      </c>
      <c r="CL177" s="93">
        <f>IF(AND($T177=1,CL$5&lt;=$H177),CK177*(1-AV177)*(1-MIN(1,MAX(Assumptions!$C$27,Assumptions!$C$13*Assumptions!$C$28^(CK$5-1))*$O177)),0)</f>
        <v>0.78955857986094979</v>
      </c>
      <c r="CM177" s="93">
        <f>IF(AND($T177=1,CM$5&lt;=$H177),CL177*(1-AW177)*(1-MIN(1,MAX(Assumptions!$C$27,Assumptions!$C$13*Assumptions!$C$28^(CL$5-1))*$O177)),0)</f>
        <v>0.72075351457879111</v>
      </c>
      <c r="CN177" s="93">
        <f>IF(AND($T177=1,CN$5&lt;=$H177),CM177*(1-AX177)*(1-MIN(1,MAX(Assumptions!$C$27,Assumptions!$C$13*Assumptions!$C$28^(CM$5-1))*$O177)),0)</f>
        <v>0.66728620856522536</v>
      </c>
      <c r="CO177" s="93">
        <f>IF(AND($T177=1,CO$5&lt;=$H177),CN177*(1-AY177)*(1-MIN(1,MAX(Assumptions!$C$27,Assumptions!$C$13*Assumptions!$C$28^(CN$5-1))*$O177)),0)</f>
        <v>0.62513029059029102</v>
      </c>
      <c r="CP177" s="93">
        <f>IF(AND($T177=1,CP$5&lt;=$H177),CO177*(1-AZ177)*(1-MIN(1,MAX(Assumptions!$C$27,Assumptions!$C$13*Assumptions!$C$28^(CO$5-1))*$O177)),0)</f>
        <v>0.59147992199549726</v>
      </c>
      <c r="CQ177" s="93">
        <f>IF(AND($T177=1,CQ$5&lt;=$H177),CP177*(1-BA177)*(1-MIN(1,MAX(Assumptions!$C$27,Assumptions!$C$13*Assumptions!$C$28^(CP$5-1))*$O177)),0)</f>
        <v>0.56433293562088382</v>
      </c>
      <c r="CR177" s="93">
        <f>IF(AND($T177=1,CR$5&lt;=$H177),CQ177*(1-BB177)*(1-MIN(1,MAX(Assumptions!$C$27,Assumptions!$C$13*Assumptions!$C$28^(CQ$5-1))*$O177)),0)</f>
        <v>0.5422301887232186</v>
      </c>
      <c r="CS177" s="93">
        <f>IF(AND($T177=1,CS$5&lt;=$H177),CR177*(1-BC177)*(1-MIN(1,MAX(Assumptions!$C$27,Assumptions!$C$13*Assumptions!$C$28^(CR$5-1))*$O177)),0)</f>
        <v>0.52408807061331364</v>
      </c>
      <c r="CT177" s="93">
        <f>IF(AND($T177=1,CT$5&lt;=$H177),CS177*(1-BD177)*(1-MIN(1,MAX(Assumptions!$C$27,Assumptions!$C$13*Assumptions!$C$28^(CS$5-1))*$O177)),0)</f>
        <v>0.50908818310467274</v>
      </c>
      <c r="CU177" s="93">
        <f>IF(AND($T177=1,CU$5&lt;=$H177),CT177*(1-BE177)*(1-MIN(1,MAX(Assumptions!$C$27,Assumptions!$C$13*Assumptions!$C$28^(CT$5-1))*$O177)),0)</f>
        <v>0.49660303210353152</v>
      </c>
      <c r="CV177" s="93">
        <f>IF(AND($T177=1,CV$5&lt;=$H177),CU177*(1-BF177)*(1-MIN(1,MAX(Assumptions!$C$27,Assumptions!$C$13*Assumptions!$C$28^(CU$5-1))*$O177)),0)</f>
        <v>0.48614494051053836</v>
      </c>
      <c r="CW177" s="93">
        <f>IF(AND($T177=1,CW$5&lt;=$H177),CV177*(1-BG177)*(1-MIN(1,MAX(Assumptions!$C$27,Assumptions!$C$13*Assumptions!$C$28^(CV$5-1))*$O177)),0)</f>
        <v>0.47590691401713325</v>
      </c>
      <c r="CX177" s="93">
        <f>IF(AND($T177=1,CX$5&lt;=$H177),CW177*(1-BH177)*(1-MIN(1,MAX(Assumptions!$C$27,Assumptions!$C$13*Assumptions!$C$28^(CW$5-1))*$O177)),0)</f>
        <v>0.46584249650210913</v>
      </c>
      <c r="CY177" s="93">
        <f>IF(AND($T177=1,CY$5&lt;=$H177),CX177*(1-BI177)*(1-MIN(1,MAX(Assumptions!$C$27,Assumptions!$C$13*Assumptions!$C$28^(CX$5-1))*$O177)),0)</f>
        <v>0</v>
      </c>
      <c r="CZ177" s="93">
        <f>IF(AND($T177=1,CZ$5&lt;=$H177),CY177*(1-BJ177)*(1-MIN(1,MAX(Assumptions!$C$27,Assumptions!$C$13*Assumptions!$C$28^(CY$5-1))*$O177)),0)</f>
        <v>0</v>
      </c>
      <c r="DA177" s="93">
        <f>IF(AND($T177=1,DA$5&lt;=$H177),CZ177*(1-BK177)*(1-MIN(1,MAX(Assumptions!$C$27,Assumptions!$C$13*Assumptions!$C$28^(CZ$5-1))*$O177)),0)</f>
        <v>0</v>
      </c>
      <c r="DB177" s="93">
        <f>IF(AND($T177=1,DB$5&lt;=$H177),DA177*(1-BL177)*(1-MIN(1,MAX(Assumptions!$C$27,Assumptions!$C$13*Assumptions!$C$28^(DA$5-1))*$O177)),0)</f>
        <v>0</v>
      </c>
      <c r="DC177" s="93">
        <f>IF(AND($T177=1,DC$5&lt;=$H177),DB177*(1-BM177)*(1-MIN(1,MAX(Assumptions!$C$27,Assumptions!$C$13*Assumptions!$C$28^(DB$5-1))*$O177)),0)</f>
        <v>0</v>
      </c>
      <c r="DD177" s="93">
        <f>IF(AND($T177=1,DD$5&lt;=$H177),DC177*(1-BN177)*(1-MIN(1,MAX(Assumptions!$C$27,Assumptions!$C$13*Assumptions!$C$28^(DC$5-1))*$O177)),0)</f>
        <v>0</v>
      </c>
      <c r="DE177" s="93">
        <f>IF(AND($T177=1,DE$5&lt;=$H177),DD177*(1-BO177)*(1-MIN(1,MAX(Assumptions!$C$27,Assumptions!$C$13*Assumptions!$C$28^(DD$5-1))*$O177)),0)</f>
        <v>0</v>
      </c>
      <c r="DF177" s="93">
        <f>IF(AND($T177=1,DF$5&lt;=$H177),DE177*(1-BP177)*(1-MIN(1,MAX(Assumptions!$C$27,Assumptions!$C$13*Assumptions!$C$28^(DE$5-1))*$O177)),0)</f>
        <v>0</v>
      </c>
      <c r="DG177" s="93">
        <f>IF(AND($T177=1,DG$5&lt;=$H177),DF177*(1-BQ177)*(1-MIN(1,MAX(Assumptions!$C$27,Assumptions!$C$13*Assumptions!$C$28^(DF$5-1))*$O177)),0)</f>
        <v>0</v>
      </c>
      <c r="DH177" s="93">
        <f>IF(AND($T177=1,DH$5&lt;=$H177),DG177*(1-BR177)*(1-MIN(1,MAX(Assumptions!$C$27,Assumptions!$C$13*Assumptions!$C$28^(DG$5-1))*$O177)),0)</f>
        <v>0</v>
      </c>
      <c r="DI177" s="93">
        <f>IF(AND($T177=1,DI$5&lt;=$H177),DH177*(1-BS177)*(1-MIN(1,MAX(Assumptions!$C$27,Assumptions!$C$13*Assumptions!$C$28^(DH$5-1))*$O177)),0)</f>
        <v>0</v>
      </c>
      <c r="DJ177" s="93">
        <f>IF(AND($T177=1,DJ$5&lt;=$H177),DI177*(1-BT177)*(1-MIN(1,MAX(Assumptions!$C$27,Assumptions!$C$13*Assumptions!$C$28^(DI$5-1))*$O177)),0)</f>
        <v>0</v>
      </c>
      <c r="DK177" s="93">
        <f>IF(AND($T177=1,DK$5&lt;=$H177),DJ177*(1-BU177)*(1-MIN(1,MAX(Assumptions!$C$27,Assumptions!$C$13*Assumptions!$C$28^(DJ$5-1))*$O177)),0)</f>
        <v>0</v>
      </c>
      <c r="DL177" s="93">
        <f>IF(AND($T177=1,DL$5&lt;=$H177),DK177*(1-BV177)*(1-MIN(1,MAX(Assumptions!$C$27,Assumptions!$C$13*Assumptions!$C$28^(DK$5-1))*$O177)),0)</f>
        <v>0</v>
      </c>
      <c r="DM177" s="93">
        <f>IF(AND($T177=1,DM$5&lt;=$H177),DL177*(1-BW177)*(1-MIN(1,MAX(Assumptions!$C$27,Assumptions!$C$13*Assumptions!$C$28^(DL$5-1))*$O177)),0)</f>
        <v>0</v>
      </c>
      <c r="DN177" s="93">
        <f>IF(AND($T177=1,DN$5&lt;=$H177),DM177*(1-BX177)*(1-MIN(1,MAX(Assumptions!$C$27,Assumptions!$C$13*Assumptions!$C$28^(DM$5-1))*$O177)),0)</f>
        <v>0</v>
      </c>
      <c r="DO177" s="93">
        <f>IF(AND($T177=1,DO$5&lt;=$H177),DN177*(1-BY177)*(1-MIN(1,MAX(Assumptions!$C$27,Assumptions!$C$13*Assumptions!$C$28^(DN$5-1))*$O177)),0)</f>
        <v>0</v>
      </c>
      <c r="DP177" s="93">
        <f>IF(AND($T177=1,DP$5&lt;=$H177),DO177*(1-BZ177)*(1-MIN(1,MAX(Assumptions!$C$27,Assumptions!$C$13*Assumptions!$C$28^(DO$5-1))*$O177)),0)</f>
        <v>0</v>
      </c>
      <c r="DQ177" s="93">
        <f>IF(AND($T177=1,DQ$5&lt;=$H177),DP177*(1-CA177)*(1-MIN(1,MAX(Assumptions!$C$27,Assumptions!$C$13*Assumptions!$C$28^(DP$5-1))*$O177)),0)</f>
        <v>0</v>
      </c>
      <c r="DR177" s="93">
        <f>IF(AND($T177=1,DR$5&lt;=$H177),DQ177*(1-CB177)*(1-MIN(1,MAX(Assumptions!$C$27,Assumptions!$C$13*Assumptions!$C$28^(DQ$5-1))*$O177)),0)</f>
        <v>0</v>
      </c>
      <c r="DS177" s="93">
        <f>IF(AND($T177=1,DS$5&lt;=$H177),DR177*(1-CC177)*(1-MIN(1,MAX(Assumptions!$C$27,Assumptions!$C$13*Assumptions!$C$28^(DR$5-1))*$O177)),0)</f>
        <v>0</v>
      </c>
      <c r="DT177" s="93">
        <f>IF(AND($T177=1,DT$5&lt;=$H177),DS177*(1-CD177)*(1-MIN(1,MAX(Assumptions!$C$27,Assumptions!$C$13*Assumptions!$C$28^(DS$5-1))*$O177)),0)</f>
        <v>0</v>
      </c>
      <c r="DU177" s="93">
        <f>IF(AND($T177=1,DU$5&lt;=$H177),DT177*(1-CE177)*(1-MIN(1,MAX(Assumptions!$C$27,Assumptions!$C$13*Assumptions!$C$28^(DT$5-1))*$O177)),0)</f>
        <v>0</v>
      </c>
      <c r="DV177" s="93">
        <f>IF(AND($T177=1,DV$5&lt;=$H177),DU177*(1-CF177)*(1-MIN(1,MAX(Assumptions!$C$27,Assumptions!$C$13*Assumptions!$C$28^(DU$5-1))*$O177)),0)</f>
        <v>0</v>
      </c>
      <c r="DW177" s="94">
        <f>IF(AND($T177=1,DW$5&lt;=$H177),DV177*(1-CG177)*(1-MIN(1,MAX(Assumptions!$C$27,Assumptions!$C$13*Assumptions!$C$28^(DV$5-1))*$O177)),0)</f>
        <v>0</v>
      </c>
      <c r="DX177" s="26"/>
      <c r="DY177" s="399">
        <f>'Policy Data'!K151</f>
        <v>6</v>
      </c>
      <c r="DZ177" s="100">
        <f>'Policy Data'!L151</f>
        <v>0.5796</v>
      </c>
      <c r="EA177" s="100">
        <f>'Policy Data'!N151</f>
        <v>2.4000000000000001E-4</v>
      </c>
      <c r="EB177" s="93" cm="1">
        <f t="array" ref="EB177">IFERROR(DZ177*INDEX(Mortality!$B$4:$E$64,MATCH(D177+DY177-1,Mortality!$A$4:$A$64,0),U177)*V177,0)</f>
        <v>3.5796990022769228E-4</v>
      </c>
      <c r="EC177" s="100">
        <f>'Policy Data'!O151</f>
        <v>0</v>
      </c>
      <c r="ED177" s="400">
        <f>'Policy Data'!Q151</f>
        <v>0</v>
      </c>
    </row>
    <row r="178" spans="1:134" x14ac:dyDescent="0.3">
      <c r="A178" s="399" t="str">
        <f>'Policy Data'!A152</f>
        <v>POL100148</v>
      </c>
      <c r="B178" s="26" t="s">
        <v>426</v>
      </c>
      <c r="C178" s="100" t="str">
        <f>'Policy Data'!B152</f>
        <v>Term Life</v>
      </c>
      <c r="D178" s="100">
        <f>'Policy Data'!C152</f>
        <v>54</v>
      </c>
      <c r="E178" s="100" t="str">
        <f>'Policy Data'!D152</f>
        <v>Female</v>
      </c>
      <c r="F178" s="100" t="str">
        <f>'Policy Data'!E152</f>
        <v>Smoker</v>
      </c>
      <c r="G178" s="100" t="str">
        <f>'Policy Data'!F152</f>
        <v>Preferred</v>
      </c>
      <c r="H178" s="100">
        <f>'Policy Data'!G152</f>
        <v>20</v>
      </c>
      <c r="I178" s="279">
        <f>'Policy Data'!H152</f>
        <v>500000</v>
      </c>
      <c r="J178" s="100" t="str">
        <f>'Policy Data'!I152</f>
        <v>Monthly</v>
      </c>
      <c r="K178" s="100" t="str">
        <f>'Policy Data'!J152</f>
        <v>Direct</v>
      </c>
      <c r="L178" s="26" t="s">
        <v>389</v>
      </c>
      <c r="M178" s="106">
        <f>'Policy Data'!R152</f>
        <v>2786.9</v>
      </c>
      <c r="N178" s="415">
        <f>Assumptions!$C$21</f>
        <v>1</v>
      </c>
      <c r="O178" s="415">
        <f>Assumptions!$C$22</f>
        <v>1</v>
      </c>
      <c r="P178" s="415">
        <f>Assumptions!$C$23</f>
        <v>1</v>
      </c>
      <c r="Q178" s="416">
        <f>Assumptions!$C$24</f>
        <v>0</v>
      </c>
      <c r="R178" s="416">
        <f>Assumptions!$C$6+Assumptions!$C$25</f>
        <v>3.5000000000000003E-2</v>
      </c>
      <c r="S178" s="416">
        <f>Assumptions!$C$15</f>
        <v>1.1000000000000001E-3</v>
      </c>
      <c r="T178" s="26">
        <f t="shared" si="54"/>
        <v>1</v>
      </c>
      <c r="U178" s="26">
        <f t="shared" si="55"/>
        <v>2</v>
      </c>
      <c r="V178" s="389">
        <f>IF($G178="Preferred",Assumptions!$C$30,IF($G178="Rated",Assumptions!$C$31,1))</f>
        <v>0.8</v>
      </c>
      <c r="W178" s="390">
        <f>IF($K178="Direct",Assumptions!$C$32,IF($K178="Broker",Assumptions!$C$33,IF($K178="Bancassurance",Assumptions!$C$34,Assumptions!$C$11)))+$Q178</f>
        <v>0.1</v>
      </c>
      <c r="X178" s="390">
        <f>Assumptions!$C$12+$Q178</f>
        <v>0.05</v>
      </c>
      <c r="Y178" s="131">
        <f>MIN($I178,Assumptions!$C$14)</f>
        <v>500000</v>
      </c>
      <c r="Z178" s="131">
        <f>MAX($I178-Assumptions!$C$14,0)</f>
        <v>0</v>
      </c>
      <c r="AA178" s="389">
        <f t="shared" si="56"/>
        <v>8.3147847415771725</v>
      </c>
      <c r="AB178" s="389">
        <f t="shared" si="57"/>
        <v>5.4606591921717171E-2</v>
      </c>
      <c r="AC178" s="389">
        <f>IF($T178=1,SUMPRODUCT($CJ178:$DW178,(1+Assumptions!$C$5)^($CJ$5:$DW$5-1),(1+$R178)^(-$CJ$5:$DW$5)),0)</f>
        <v>11.10513338137002</v>
      </c>
      <c r="AD178" s="389">
        <f t="shared" si="58"/>
        <v>0.46404841582281997</v>
      </c>
      <c r="AE178" s="131">
        <f>IF($T178=1,$AB178*$Y178+(Assumptions!$C$9/(1+$R178)+Assumptions!$C$10*$AC178)*$P178+$S178*$Z178*$AA178,0)</f>
        <v>30615.990522151293</v>
      </c>
      <c r="AF178" s="131">
        <f>IF($T178=1,IF($AA178-$AD178-Assumptions!$C$16*$AA178&gt;0,$AE178/($AA178-$AD178-Assumptions!$C$16*$AA178)*IF($J178="Monthly",1+Assumptions!$C$29,1),"n.a."),"")</f>
        <v>4388.593033795024</v>
      </c>
      <c r="AG178" s="131">
        <f t="shared" si="59"/>
        <v>2786.9</v>
      </c>
      <c r="AH178" s="131">
        <f t="shared" si="60"/>
        <v>23172.473596301425</v>
      </c>
      <c r="AI178" s="131">
        <f t="shared" si="61"/>
        <v>-8736.7734559064847</v>
      </c>
      <c r="AJ178" s="390">
        <f t="shared" si="62"/>
        <v>-0.37703240526298271</v>
      </c>
      <c r="AK178" s="389">
        <f t="shared" si="63"/>
        <v>0.63503268098432808</v>
      </c>
      <c r="AL178" s="131">
        <f t="shared" si="64"/>
        <v>0</v>
      </c>
      <c r="AM178" s="131">
        <f t="shared" si="65"/>
        <v>0</v>
      </c>
      <c r="AN178" s="131">
        <f t="shared" si="66"/>
        <v>0</v>
      </c>
      <c r="AO178" s="131">
        <f t="shared" si="67"/>
        <v>-8736.7734559064847</v>
      </c>
      <c r="AP178" s="26" t="str">
        <f t="shared" si="68"/>
        <v>50-59</v>
      </c>
      <c r="AQ178" s="26" t="str">
        <f t="shared" si="69"/>
        <v>250k-500k</v>
      </c>
      <c r="AR178" s="26" t="str">
        <f>IF($T178=1,IF($AI178&lt;0,"Loss-making",IF($AJ178&lt;Assumptions!$C$16-0.00001,"Below target","At/above target")),"Excluded")</f>
        <v>Loss-making</v>
      </c>
      <c r="AS178" s="103">
        <f t="shared" si="70"/>
        <v>-8736.7732779064845</v>
      </c>
      <c r="AT178" s="26"/>
      <c r="AU178" s="419">
        <f>IF(AND($T178=1,AU$5&lt;=$H178),INDEX(Mortality!$B$4:$E$64,MATCH($D178+AU$5-1,Mortality!$A$4:$A$64,0),$U178)*$V178*$N178,0)</f>
        <v>3.4439019311448961E-3</v>
      </c>
      <c r="AV178" s="93">
        <f>IF(AND($T178=1,AV$5&lt;=$H178),INDEX(Mortality!$B$4:$E$64,MATCH($D178+AV$5-1,Mortality!$A$4:$A$64,0),$U178)*$V178*$N178,0)</f>
        <v>3.7307344243500879E-3</v>
      </c>
      <c r="AW178" s="93">
        <f>IF(AND($T178=1,AW$5&lt;=$H178),INDEX(Mortality!$B$4:$E$64,MATCH($D178+AW$5-1,Mortality!$A$4:$A$64,0),$U178)*$V178*$N178,0)</f>
        <v>4.0414563548282325E-3</v>
      </c>
      <c r="AX178" s="93">
        <f>IF(AND($T178=1,AX$5&lt;=$H178),INDEX(Mortality!$B$4:$E$64,MATCH($D178+AX$5-1,Mortality!$A$4:$A$64,0),$U178)*$V178*$N178,0)</f>
        <v>4.3780574037582008E-3</v>
      </c>
      <c r="AY178" s="93">
        <f>IF(AND($T178=1,AY$5&lt;=$H178),INDEX(Mortality!$B$4:$E$64,MATCH($D178+AY$5-1,Mortality!$A$4:$A$64,0),$U178)*$V178*$N178,0)</f>
        <v>4.7426929670298648E-3</v>
      </c>
      <c r="AZ178" s="93">
        <f>IF(AND($T178=1,AZ$5&lt;=$H178),INDEX(Mortality!$B$4:$E$64,MATCH($D178+AZ$5-1,Mortality!$A$4:$A$64,0),$U178)*$V178*$N178,0)</f>
        <v>5.137697957136424E-3</v>
      </c>
      <c r="BA178" s="93">
        <f>IF(AND($T178=1,BA$5&lt;=$H178),INDEX(Mortality!$B$4:$E$64,MATCH($D178+BA$5-1,Mortality!$A$4:$A$64,0),$U178)*$V178*$N178,0)</f>
        <v>5.5656017545859448E-3</v>
      </c>
      <c r="BB178" s="93">
        <f>IF(AND($T178=1,BB$5&lt;=$H178),INDEX(Mortality!$B$4:$E$64,MATCH($D178+BB$5-1,Mortality!$A$4:$A$64,0),$U178)*$V178*$N178,0)</f>
        <v>6.029144404572008E-3</v>
      </c>
      <c r="BC178" s="93">
        <f>IF(AND($T178=1,BC$5&lt;=$H178),INDEX(Mortality!$B$4:$E$64,MATCH($D178+BC$5-1,Mortality!$A$4:$A$64,0),$U178)*$V178*$N178,0)</f>
        <v>6.5312941626176962E-3</v>
      </c>
      <c r="BD178" s="93">
        <f>IF(AND($T178=1,BD$5&lt;=$H178),INDEX(Mortality!$B$4:$E$64,MATCH($D178+BD$5-1,Mortality!$A$4:$A$64,0),$U178)*$V178*$N178,0)</f>
        <v>7.0752665015447044E-3</v>
      </c>
      <c r="BE178" s="93">
        <f>IF(AND($T178=1,BE$5&lt;=$H178),INDEX(Mortality!$B$4:$E$64,MATCH($D178+BE$5-1,Mortality!$A$4:$A$64,0),$U178)*$V178*$N178,0)</f>
        <v>7.664544701477225E-3</v>
      </c>
      <c r="BF178" s="93">
        <f>IF(AND($T178=1,BF$5&lt;=$H178),INDEX(Mortality!$B$4:$E$64,MATCH($D178+BF$5-1,Mortality!$A$4:$A$64,0),$U178)*$V178*$N178,0)</f>
        <v>8.3029021547268798E-3</v>
      </c>
      <c r="BG178" s="93">
        <f>IF(AND($T178=1,BG$5&lt;=$H178),INDEX(Mortality!$B$4:$E$64,MATCH($D178+BG$5-1,Mortality!$A$4:$A$64,0),$U178)*$V178*$N178,0)</f>
        <v>8.9944265283862408E-3</v>
      </c>
      <c r="BH178" s="93">
        <f>IF(AND($T178=1,BH$5&lt;=$H178),INDEX(Mortality!$B$4:$E$64,MATCH($D178+BH$5-1,Mortality!$A$4:$A$64,0),$U178)*$V178*$N178,0)</f>
        <v>9.74354593935336E-3</v>
      </c>
      <c r="BI178" s="93">
        <f>IF(AND($T178=1,BI$5&lt;=$H178),INDEX(Mortality!$B$4:$E$64,MATCH($D178+BI$5-1,Mortality!$A$4:$A$64,0),$U178)*$V178*$N178,0)</f>
        <v>1.0555057309398321E-2</v>
      </c>
      <c r="BJ178" s="93">
        <f>IF(AND($T178=1,BJ$5&lt;=$H178),INDEX(Mortality!$B$4:$E$64,MATCH($D178+BJ$5-1,Mortality!$A$4:$A$64,0),$U178)*$V178*$N178,0)</f>
        <v>1.143415708183928E-2</v>
      </c>
      <c r="BK178" s="93">
        <f>IF(AND($T178=1,BK$5&lt;=$H178),INDEX(Mortality!$B$4:$E$64,MATCH($D178+BK$5-1,Mortality!$A$4:$A$64,0),$U178)*$V178*$N178,0)</f>
        <v>1.2386474496520481E-2</v>
      </c>
      <c r="BL178" s="93">
        <f>IF(AND($T178=1,BL$5&lt;=$H178),INDEX(Mortality!$B$4:$E$64,MATCH($D178+BL$5-1,Mortality!$A$4:$A$64,0),$U178)*$V178*$N178,0)</f>
        <v>1.3418107636166399E-2</v>
      </c>
      <c r="BM178" s="93">
        <f>IF(AND($T178=1,BM$5&lt;=$H178),INDEX(Mortality!$B$4:$E$64,MATCH($D178+BM$5-1,Mortality!$A$4:$A$64,0),$U178)*$V178*$N178,0)</f>
        <v>1.45356624749296E-2</v>
      </c>
      <c r="BN178" s="93">
        <f>IF(AND($T178=1,BN$5&lt;=$H178),INDEX(Mortality!$B$4:$E$64,MATCH($D178+BN$5-1,Mortality!$A$4:$A$64,0),$U178)*$V178*$N178,0)</f>
        <v>1.5746295179179439E-2</v>
      </c>
      <c r="BO178" s="93">
        <f>IF(AND($T178=1,BO$5&lt;=$H178),INDEX(Mortality!$B$4:$E$64,MATCH($D178+BO$5-1,Mortality!$A$4:$A$64,0),$U178)*$V178*$N178,0)</f>
        <v>0</v>
      </c>
      <c r="BP178" s="93">
        <f>IF(AND($T178=1,BP$5&lt;=$H178),INDEX(Mortality!$B$4:$E$64,MATCH($D178+BP$5-1,Mortality!$A$4:$A$64,0),$U178)*$V178*$N178,0)</f>
        <v>0</v>
      </c>
      <c r="BQ178" s="93">
        <f>IF(AND($T178=1,BQ$5&lt;=$H178),INDEX(Mortality!$B$4:$E$64,MATCH($D178+BQ$5-1,Mortality!$A$4:$A$64,0),$U178)*$V178*$N178,0)</f>
        <v>0</v>
      </c>
      <c r="BR178" s="93">
        <f>IF(AND($T178=1,BR$5&lt;=$H178),INDEX(Mortality!$B$4:$E$64,MATCH($D178+BR$5-1,Mortality!$A$4:$A$64,0),$U178)*$V178*$N178,0)</f>
        <v>0</v>
      </c>
      <c r="BS178" s="93">
        <f>IF(AND($T178=1,BS$5&lt;=$H178),INDEX(Mortality!$B$4:$E$64,MATCH($D178+BS$5-1,Mortality!$A$4:$A$64,0),$U178)*$V178*$N178,0)</f>
        <v>0</v>
      </c>
      <c r="BT178" s="93">
        <f>IF(AND($T178=1,BT$5&lt;=$H178),INDEX(Mortality!$B$4:$E$64,MATCH($D178+BT$5-1,Mortality!$A$4:$A$64,0),$U178)*$V178*$N178,0)</f>
        <v>0</v>
      </c>
      <c r="BU178" s="93">
        <f>IF(AND($T178=1,BU$5&lt;=$H178),INDEX(Mortality!$B$4:$E$64,MATCH($D178+BU$5-1,Mortality!$A$4:$A$64,0),$U178)*$V178*$N178,0)</f>
        <v>0</v>
      </c>
      <c r="BV178" s="93">
        <f>IF(AND($T178=1,BV$5&lt;=$H178),INDEX(Mortality!$B$4:$E$64,MATCH($D178+BV$5-1,Mortality!$A$4:$A$64,0),$U178)*$V178*$N178,0)</f>
        <v>0</v>
      </c>
      <c r="BW178" s="93">
        <f>IF(AND($T178=1,BW$5&lt;=$H178),INDEX(Mortality!$B$4:$E$64,MATCH($D178+BW$5-1,Mortality!$A$4:$A$64,0),$U178)*$V178*$N178,0)</f>
        <v>0</v>
      </c>
      <c r="BX178" s="93">
        <f>IF(AND($T178=1,BX$5&lt;=$H178),INDEX(Mortality!$B$4:$E$64,MATCH($D178+BX$5-1,Mortality!$A$4:$A$64,0),$U178)*$V178*$N178,0)</f>
        <v>0</v>
      </c>
      <c r="BY178" s="93">
        <f>IF(AND($T178=1,BY$5&lt;=$H178),INDEX(Mortality!$B$4:$E$64,MATCH($D178+BY$5-1,Mortality!$A$4:$A$64,0),$U178)*$V178*$N178,0)</f>
        <v>0</v>
      </c>
      <c r="BZ178" s="93">
        <f>IF(AND($T178=1,BZ$5&lt;=$H178),INDEX(Mortality!$B$4:$E$64,MATCH($D178+BZ$5-1,Mortality!$A$4:$A$64,0),$U178)*$V178*$N178,0)</f>
        <v>0</v>
      </c>
      <c r="CA178" s="93">
        <f>IF(AND($T178=1,CA$5&lt;=$H178),INDEX(Mortality!$B$4:$E$64,MATCH($D178+CA$5-1,Mortality!$A$4:$A$64,0),$U178)*$V178*$N178,0)</f>
        <v>0</v>
      </c>
      <c r="CB178" s="93">
        <f>IF(AND($T178=1,CB$5&lt;=$H178),INDEX(Mortality!$B$4:$E$64,MATCH($D178+CB$5-1,Mortality!$A$4:$A$64,0),$U178)*$V178*$N178,0)</f>
        <v>0</v>
      </c>
      <c r="CC178" s="93">
        <f>IF(AND($T178=1,CC$5&lt;=$H178),INDEX(Mortality!$B$4:$E$64,MATCH($D178+CC$5-1,Mortality!$A$4:$A$64,0),$U178)*$V178*$N178,0)</f>
        <v>0</v>
      </c>
      <c r="CD178" s="93">
        <f>IF(AND($T178=1,CD$5&lt;=$H178),INDEX(Mortality!$B$4:$E$64,MATCH($D178+CD$5-1,Mortality!$A$4:$A$64,0),$U178)*$V178*$N178,0)</f>
        <v>0</v>
      </c>
      <c r="CE178" s="93">
        <f>IF(AND($T178=1,CE$5&lt;=$H178),INDEX(Mortality!$B$4:$E$64,MATCH($D178+CE$5-1,Mortality!$A$4:$A$64,0),$U178)*$V178*$N178,0)</f>
        <v>0</v>
      </c>
      <c r="CF178" s="93">
        <f>IF(AND($T178=1,CF$5&lt;=$H178),INDEX(Mortality!$B$4:$E$64,MATCH($D178+CF$5-1,Mortality!$A$4:$A$64,0),$U178)*$V178*$N178,0)</f>
        <v>0</v>
      </c>
      <c r="CG178" s="93">
        <f>IF(AND($T178=1,CG$5&lt;=$H178),INDEX(Mortality!$B$4:$E$64,MATCH($D178+CG$5-1,Mortality!$A$4:$A$64,0),$U178)*$V178*$N178,0)</f>
        <v>0</v>
      </c>
      <c r="CH178" s="94">
        <f>IF(AND($T178=1,CH$5&lt;=$H178),INDEX(Mortality!$B$4:$E$64,MATCH($D178+CH$5-1,Mortality!$A$4:$A$64,0),$U178)*$V178*$N178,0)</f>
        <v>0</v>
      </c>
      <c r="CI178" s="26"/>
      <c r="CJ178" s="419">
        <f t="shared" si="71"/>
        <v>1</v>
      </c>
      <c r="CK178" s="93">
        <f>IF(AND($T178=1,CK$5&lt;=$H178),CJ178*(1-AU178)*(1-MIN(1,MAX(Assumptions!$C$27,Assumptions!$C$13*Assumptions!$C$28^(CJ$5-1))*$O178)),0)</f>
        <v>0.87696936630059252</v>
      </c>
      <c r="CL178" s="93">
        <f>IF(AND($T178=1,CL$5&lt;=$H178),CK178*(1-AV178)*(1-MIN(1,MAX(Assumptions!$C$27,Assumptions!$C$13*Assumptions!$C$28^(CK$5-1))*$O178)),0)</f>
        <v>0.78458046859397768</v>
      </c>
      <c r="CM178" s="93">
        <f>IF(AND($T178=1,CM$5&lt;=$H178),CL178*(1-AW178)*(1-MIN(1,MAX(Assumptions!$C$27,Assumptions!$C$13*Assumptions!$C$28^(CL$5-1))*$O178)),0)</f>
        <v>0.71366140674358891</v>
      </c>
      <c r="CN178" s="93">
        <f>IF(AND($T178=1,CN$5&lt;=$H178),CM178*(1-AX178)*(1-MIN(1,MAX(Assumptions!$C$27,Assumptions!$C$13*Assumptions!$C$28^(CM$5-1))*$O178)),0)</f>
        <v>0.65817393515542744</v>
      </c>
      <c r="CO178" s="93">
        <f>IF(AND($T178=1,CO$5&lt;=$H178),CN178*(1-AY178)*(1-MIN(1,MAX(Assumptions!$C$27,Assumptions!$C$13*Assumptions!$C$28^(CN$5-1))*$O178)),0)</f>
        <v>0.61401944349283277</v>
      </c>
      <c r="CP178" s="93">
        <f>IF(AND($T178=1,CP$5&lt;=$H178),CO178*(1-AZ178)*(1-MIN(1,MAX(Assumptions!$C$27,Assumptions!$C$13*Assumptions!$C$28^(CO$5-1))*$O178)),0)</f>
        <v>0.57833952237179365</v>
      </c>
      <c r="CQ178" s="93">
        <f>IF(AND($T178=1,CQ$5&lt;=$H178),CP178*(1-BA178)*(1-MIN(1,MAX(Assumptions!$C$27,Assumptions!$C$13*Assumptions!$C$28^(CP$5-1))*$O178)),0)</f>
        <v>0.54909193502476916</v>
      </c>
      <c r="CR178" s="93">
        <f>IF(AND($T178=1,CR$5&lt;=$H178),CQ178*(1-BB178)*(1-MIN(1,MAX(Assumptions!$C$27,Assumptions!$C$13*Assumptions!$C$28^(CQ$5-1))*$O178)),0)</f>
        <v>0.52478557976291129</v>
      </c>
      <c r="CS178" s="93">
        <f>IF(AND($T178=1,CS$5&lt;=$H178),CR178*(1-BC178)*(1-MIN(1,MAX(Assumptions!$C$27,Assumptions!$C$13*Assumptions!$C$28^(CR$5-1))*$O178)),0)</f>
        <v>0.50431023529068753</v>
      </c>
      <c r="CT178" s="93">
        <f>IF(AND($T178=1,CT$5&lt;=$H178),CS178*(1-BD178)*(1-MIN(1,MAX(Assumptions!$C$27,Assumptions!$C$13*Assumptions!$C$28^(CS$5-1))*$O178)),0)</f>
        <v>0.48682446308114424</v>
      </c>
      <c r="CU178" s="93">
        <f>IF(AND($T178=1,CU$5&lt;=$H178),CT178*(1-BE178)*(1-MIN(1,MAX(Assumptions!$C$27,Assumptions!$C$13*Assumptions!$C$28^(CT$5-1))*$O178)),0)</f>
        <v>0.47168013348853616</v>
      </c>
      <c r="CV178" s="93">
        <f>IF(AND($T178=1,CV$5&lt;=$H178),CU178*(1-BF178)*(1-MIN(1,MAX(Assumptions!$C$27,Assumptions!$C$13*Assumptions!$C$28^(CU$5-1))*$O178)),0)</f>
        <v>0.45837056571172319</v>
      </c>
      <c r="CW178" s="93">
        <f>IF(AND($T178=1,CW$5&lt;=$H178),CV178*(1-BG178)*(1-MIN(1,MAX(Assumptions!$C$27,Assumptions!$C$13*Assumptions!$C$28^(CV$5-1))*$O178)),0)</f>
        <v>0.44516282962894116</v>
      </c>
      <c r="CX178" s="93">
        <f>IF(AND($T178=1,CX$5&lt;=$H178),CW178*(1-BH178)*(1-MIN(1,MAX(Assumptions!$C$27,Assumptions!$C$13*Assumptions!$C$28^(CW$5-1))*$O178)),0)</f>
        <v>0.43200885784499987</v>
      </c>
      <c r="CY178" s="93">
        <f>IF(AND($T178=1,CY$5&lt;=$H178),CX178*(1-BI178)*(1-MIN(1,MAX(Assumptions!$C$27,Assumptions!$C$13*Assumptions!$C$28^(CX$5-1))*$O178)),0)</f>
        <v>0.41890000000043259</v>
      </c>
      <c r="CZ178" s="93">
        <f>IF(AND($T178=1,CZ$5&lt;=$H178),CY178*(1-BJ178)*(1-MIN(1,MAX(Assumptions!$C$27,Assumptions!$C$13*Assumptions!$C$28^(CY$5-1))*$O178)),0)</f>
        <v>0.40582802696686826</v>
      </c>
      <c r="DA178" s="93">
        <f>IF(AND($T178=1,DA$5&lt;=$H178),CZ178*(1-BK178)*(1-MIN(1,MAX(Assumptions!$C$27,Assumptions!$C$13*Assumptions!$C$28^(CZ$5-1))*$O178)),0)</f>
        <v>0.39278522349165251</v>
      </c>
      <c r="DB178" s="93">
        <f>IF(AND($T178=1,DB$5&lt;=$H178),DA178*(1-BL178)*(1-MIN(1,MAX(Assumptions!$C$27,Assumptions!$C$13*Assumptions!$C$28^(DA$5-1))*$O178)),0)</f>
        <v>0.37976449330324691</v>
      </c>
      <c r="DC178" s="93">
        <f>IF(AND($T178=1,DC$5&lt;=$H178),DB178*(1-BM178)*(1-MIN(1,MAX(Assumptions!$C$27,Assumptions!$C$13*Assumptions!$C$28^(DB$5-1))*$O178)),0)</f>
        <v>0.36675947751245569</v>
      </c>
      <c r="DD178" s="93">
        <f>IF(AND($T178=1,DD$5&lt;=$H178),DC178*(1-BN178)*(1-MIN(1,MAX(Assumptions!$C$27,Assumptions!$C$13*Assumptions!$C$28^(DC$5-1))*$O178)),0)</f>
        <v>0</v>
      </c>
      <c r="DE178" s="93">
        <f>IF(AND($T178=1,DE$5&lt;=$H178),DD178*(1-BO178)*(1-MIN(1,MAX(Assumptions!$C$27,Assumptions!$C$13*Assumptions!$C$28^(DD$5-1))*$O178)),0)</f>
        <v>0</v>
      </c>
      <c r="DF178" s="93">
        <f>IF(AND($T178=1,DF$5&lt;=$H178),DE178*(1-BP178)*(1-MIN(1,MAX(Assumptions!$C$27,Assumptions!$C$13*Assumptions!$C$28^(DE$5-1))*$O178)),0)</f>
        <v>0</v>
      </c>
      <c r="DG178" s="93">
        <f>IF(AND($T178=1,DG$5&lt;=$H178),DF178*(1-BQ178)*(1-MIN(1,MAX(Assumptions!$C$27,Assumptions!$C$13*Assumptions!$C$28^(DF$5-1))*$O178)),0)</f>
        <v>0</v>
      </c>
      <c r="DH178" s="93">
        <f>IF(AND($T178=1,DH$5&lt;=$H178),DG178*(1-BR178)*(1-MIN(1,MAX(Assumptions!$C$27,Assumptions!$C$13*Assumptions!$C$28^(DG$5-1))*$O178)),0)</f>
        <v>0</v>
      </c>
      <c r="DI178" s="93">
        <f>IF(AND($T178=1,DI$5&lt;=$H178),DH178*(1-BS178)*(1-MIN(1,MAX(Assumptions!$C$27,Assumptions!$C$13*Assumptions!$C$28^(DH$5-1))*$O178)),0)</f>
        <v>0</v>
      </c>
      <c r="DJ178" s="93">
        <f>IF(AND($T178=1,DJ$5&lt;=$H178),DI178*(1-BT178)*(1-MIN(1,MAX(Assumptions!$C$27,Assumptions!$C$13*Assumptions!$C$28^(DI$5-1))*$O178)),0)</f>
        <v>0</v>
      </c>
      <c r="DK178" s="93">
        <f>IF(AND($T178=1,DK$5&lt;=$H178),DJ178*(1-BU178)*(1-MIN(1,MAX(Assumptions!$C$27,Assumptions!$C$13*Assumptions!$C$28^(DJ$5-1))*$O178)),0)</f>
        <v>0</v>
      </c>
      <c r="DL178" s="93">
        <f>IF(AND($T178=1,DL$5&lt;=$H178),DK178*(1-BV178)*(1-MIN(1,MAX(Assumptions!$C$27,Assumptions!$C$13*Assumptions!$C$28^(DK$5-1))*$O178)),0)</f>
        <v>0</v>
      </c>
      <c r="DM178" s="93">
        <f>IF(AND($T178=1,DM$5&lt;=$H178),DL178*(1-BW178)*(1-MIN(1,MAX(Assumptions!$C$27,Assumptions!$C$13*Assumptions!$C$28^(DL$5-1))*$O178)),0)</f>
        <v>0</v>
      </c>
      <c r="DN178" s="93">
        <f>IF(AND($T178=1,DN$5&lt;=$H178),DM178*(1-BX178)*(1-MIN(1,MAX(Assumptions!$C$27,Assumptions!$C$13*Assumptions!$C$28^(DM$5-1))*$O178)),0)</f>
        <v>0</v>
      </c>
      <c r="DO178" s="93">
        <f>IF(AND($T178=1,DO$5&lt;=$H178),DN178*(1-BY178)*(1-MIN(1,MAX(Assumptions!$C$27,Assumptions!$C$13*Assumptions!$C$28^(DN$5-1))*$O178)),0)</f>
        <v>0</v>
      </c>
      <c r="DP178" s="93">
        <f>IF(AND($T178=1,DP$5&lt;=$H178),DO178*(1-BZ178)*(1-MIN(1,MAX(Assumptions!$C$27,Assumptions!$C$13*Assumptions!$C$28^(DO$5-1))*$O178)),0)</f>
        <v>0</v>
      </c>
      <c r="DQ178" s="93">
        <f>IF(AND($T178=1,DQ$5&lt;=$H178),DP178*(1-CA178)*(1-MIN(1,MAX(Assumptions!$C$27,Assumptions!$C$13*Assumptions!$C$28^(DP$5-1))*$O178)),0)</f>
        <v>0</v>
      </c>
      <c r="DR178" s="93">
        <f>IF(AND($T178=1,DR$5&lt;=$H178),DQ178*(1-CB178)*(1-MIN(1,MAX(Assumptions!$C$27,Assumptions!$C$13*Assumptions!$C$28^(DQ$5-1))*$O178)),0)</f>
        <v>0</v>
      </c>
      <c r="DS178" s="93">
        <f>IF(AND($T178=1,DS$5&lt;=$H178),DR178*(1-CC178)*(1-MIN(1,MAX(Assumptions!$C$27,Assumptions!$C$13*Assumptions!$C$28^(DR$5-1))*$O178)),0)</f>
        <v>0</v>
      </c>
      <c r="DT178" s="93">
        <f>IF(AND($T178=1,DT$5&lt;=$H178),DS178*(1-CD178)*(1-MIN(1,MAX(Assumptions!$C$27,Assumptions!$C$13*Assumptions!$C$28^(DS$5-1))*$O178)),0)</f>
        <v>0</v>
      </c>
      <c r="DU178" s="93">
        <f>IF(AND($T178=1,DU$5&lt;=$H178),DT178*(1-CE178)*(1-MIN(1,MAX(Assumptions!$C$27,Assumptions!$C$13*Assumptions!$C$28^(DT$5-1))*$O178)),0)</f>
        <v>0</v>
      </c>
      <c r="DV178" s="93">
        <f>IF(AND($T178=1,DV$5&lt;=$H178),DU178*(1-CF178)*(1-MIN(1,MAX(Assumptions!$C$27,Assumptions!$C$13*Assumptions!$C$28^(DU$5-1))*$O178)),0)</f>
        <v>0</v>
      </c>
      <c r="DW178" s="94">
        <f>IF(AND($T178=1,DW$5&lt;=$H178),DV178*(1-CG178)*(1-MIN(1,MAX(Assumptions!$C$27,Assumptions!$C$13*Assumptions!$C$28^(DV$5-1))*$O178)),0)</f>
        <v>0</v>
      </c>
      <c r="DX178" s="26"/>
      <c r="DY178" s="399">
        <f>'Policy Data'!K152</f>
        <v>1</v>
      </c>
      <c r="DZ178" s="100">
        <f>'Policy Data'!L152</f>
        <v>0.76639999999999997</v>
      </c>
      <c r="EA178" s="100">
        <f>'Policy Data'!N152</f>
        <v>2.64E-3</v>
      </c>
      <c r="EB178" s="93" cm="1">
        <f t="array" ref="EB178">IFERROR(DZ178*INDEX(Mortality!$B$4:$E$64,MATCH(D178+DY178-1,Mortality!$A$4:$A$64,0),U178)*V178,0)</f>
        <v>2.6394064400294482E-3</v>
      </c>
      <c r="EC178" s="100">
        <f>'Policy Data'!O152</f>
        <v>0</v>
      </c>
      <c r="ED178" s="400">
        <f>'Policy Data'!Q152</f>
        <v>1</v>
      </c>
    </row>
    <row r="179" spans="1:134" x14ac:dyDescent="0.3">
      <c r="A179" s="399" t="str">
        <f>'Policy Data'!A153</f>
        <v>POL100149</v>
      </c>
      <c r="B179" s="26" t="s">
        <v>426</v>
      </c>
      <c r="C179" s="100" t="str">
        <f>'Policy Data'!B153</f>
        <v>Term Life</v>
      </c>
      <c r="D179" s="100">
        <f>'Policy Data'!C153</f>
        <v>49</v>
      </c>
      <c r="E179" s="100" t="str">
        <f>'Policy Data'!D153</f>
        <v>Male</v>
      </c>
      <c r="F179" s="100" t="str">
        <f>'Policy Data'!E153</f>
        <v>Non-smoker</v>
      </c>
      <c r="G179" s="100" t="str">
        <f>'Policy Data'!F153</f>
        <v>Standard</v>
      </c>
      <c r="H179" s="100">
        <f>'Policy Data'!G153</f>
        <v>15</v>
      </c>
      <c r="I179" s="279">
        <f>'Policy Data'!H153</f>
        <v>1000000</v>
      </c>
      <c r="J179" s="100" t="str">
        <f>'Policy Data'!I153</f>
        <v>Monthly</v>
      </c>
      <c r="K179" s="100" t="str">
        <f>'Policy Data'!J153</f>
        <v>Bancassurance</v>
      </c>
      <c r="L179" s="26" t="s">
        <v>389</v>
      </c>
      <c r="M179" s="106">
        <f>'Policy Data'!R153</f>
        <v>3822.03</v>
      </c>
      <c r="N179" s="415">
        <f>Assumptions!$C$21</f>
        <v>1</v>
      </c>
      <c r="O179" s="415">
        <f>Assumptions!$C$22</f>
        <v>1</v>
      </c>
      <c r="P179" s="415">
        <f>Assumptions!$C$23</f>
        <v>1</v>
      </c>
      <c r="Q179" s="416">
        <f>Assumptions!$C$24</f>
        <v>0</v>
      </c>
      <c r="R179" s="416">
        <f>Assumptions!$C$6+Assumptions!$C$25</f>
        <v>3.5000000000000003E-2</v>
      </c>
      <c r="S179" s="416">
        <f>Assumptions!$C$15</f>
        <v>1.1000000000000001E-3</v>
      </c>
      <c r="T179" s="26">
        <f t="shared" si="54"/>
        <v>1</v>
      </c>
      <c r="U179" s="26">
        <f t="shared" si="55"/>
        <v>3</v>
      </c>
      <c r="V179" s="389">
        <f>IF($G179="Preferred",Assumptions!$C$30,IF($G179="Rated",Assumptions!$C$31,1))</f>
        <v>1</v>
      </c>
      <c r="W179" s="390">
        <f>IF($K179="Direct",Assumptions!$C$32,IF($K179="Broker",Assumptions!$C$33,IF($K179="Bancassurance",Assumptions!$C$34,Assumptions!$C$11)))+$Q179</f>
        <v>0.2</v>
      </c>
      <c r="X179" s="390">
        <f>Assumptions!$C$12+$Q179</f>
        <v>0.05</v>
      </c>
      <c r="Y179" s="131">
        <f>MIN($I179,Assumptions!$C$14)</f>
        <v>500000</v>
      </c>
      <c r="Z179" s="131">
        <f>MAX($I179-Assumptions!$C$14,0)</f>
        <v>500000</v>
      </c>
      <c r="AA179" s="389">
        <f t="shared" si="56"/>
        <v>7.3125221239221156</v>
      </c>
      <c r="AB179" s="389">
        <f t="shared" si="57"/>
        <v>2.8082289640999823E-2</v>
      </c>
      <c r="AC179" s="389">
        <f>IF($T179=1,SUMPRODUCT($CJ179:$DW179,(1+Assumptions!$C$5)^($CJ$5:$DW$5-1),(1+$R179)^(-$CJ$5:$DW$5)),0)</f>
        <v>9.1314458771898614</v>
      </c>
      <c r="AD179" s="389">
        <f t="shared" si="58"/>
        <v>0.51055364242798995</v>
      </c>
      <c r="AE179" s="131">
        <f>IF($T179=1,$AB179*$Y179+(Assumptions!$C$9/(1+$R179)+Assumptions!$C$10*$AC179)*$P179+$S179*$Z179*$AA179,0)</f>
        <v>20941.51529903015</v>
      </c>
      <c r="AF179" s="131">
        <f>IF($T179=1,IF($AA179-$AD179-Assumptions!$C$16*$AA179&gt;0,$AE179/($AA179-$AD179-Assumptions!$C$16*$AA179)*IF($J179="Monthly",1+Assumptions!$C$29,1),"n.a."),"")</f>
        <v>3469.4991558862648</v>
      </c>
      <c r="AG179" s="131">
        <f t="shared" si="59"/>
        <v>3822.03</v>
      </c>
      <c r="AH179" s="131">
        <f t="shared" si="60"/>
        <v>27948.678933294046</v>
      </c>
      <c r="AI179" s="131">
        <f t="shared" si="61"/>
        <v>5055.8122962948437</v>
      </c>
      <c r="AJ179" s="390">
        <f t="shared" si="62"/>
        <v>0.1808962888142836</v>
      </c>
      <c r="AK179" s="389">
        <f t="shared" si="63"/>
        <v>1.1016085689243187</v>
      </c>
      <c r="AL179" s="131">
        <f t="shared" si="64"/>
        <v>14041.144820499911</v>
      </c>
      <c r="AM179" s="131">
        <f t="shared" si="65"/>
        <v>4021.8871681571636</v>
      </c>
      <c r="AN179" s="131">
        <f t="shared" si="66"/>
        <v>10019.257652342747</v>
      </c>
      <c r="AO179" s="131">
        <f t="shared" si="67"/>
        <v>-4963.4453560479033</v>
      </c>
      <c r="AP179" s="26" t="str">
        <f t="shared" si="68"/>
        <v>40-49</v>
      </c>
      <c r="AQ179" s="26" t="str">
        <f t="shared" si="69"/>
        <v>500k-1m</v>
      </c>
      <c r="AR179" s="26" t="str">
        <f>IF($T179=1,IF($AI179&lt;0,"Loss-making",IF($AJ179&lt;Assumptions!$C$16-0.00001,"Below target","At/above target")),"Excluded")</f>
        <v>At/above target</v>
      </c>
      <c r="AS179" s="103">
        <f t="shared" si="70"/>
        <v>5055.8124752948434</v>
      </c>
      <c r="AT179" s="26"/>
      <c r="AU179" s="419">
        <f>IF(AND($T179=1,AU$5&lt;=$H179),INDEX(Mortality!$B$4:$E$64,MATCH($D179+AU$5-1,Mortality!$A$4:$A$64,0),$U179)*$V179*$N179,0)</f>
        <v>2.3661265384860701E-3</v>
      </c>
      <c r="AV179" s="93">
        <f>IF(AND($T179=1,AV$5&lt;=$H179),INDEX(Mortality!$B$4:$E$64,MATCH($D179+AV$5-1,Mortality!$A$4:$A$64,0),$U179)*$V179*$N179,0)</f>
        <v>2.5631942796244698E-3</v>
      </c>
      <c r="AW179" s="93">
        <f>IF(AND($T179=1,AW$5&lt;=$H179),INDEX(Mortality!$B$4:$E$64,MATCH($D179+AW$5-1,Mortality!$A$4:$A$64,0),$U179)*$V179*$N179,0)</f>
        <v>2.7766752150556202E-3</v>
      </c>
      <c r="AX179" s="93">
        <f>IF(AND($T179=1,AX$5&lt;=$H179),INDEX(Mortality!$B$4:$E$64,MATCH($D179+AX$5-1,Mortality!$A$4:$A$64,0),$U179)*$V179*$N179,0)</f>
        <v>3.0079363516033399E-3</v>
      </c>
      <c r="AY179" s="93">
        <f>IF(AND($T179=1,AY$5&lt;=$H179),INDEX(Mortality!$B$4:$E$64,MATCH($D179+AY$5-1,Mortality!$A$4:$A$64,0),$U179)*$V179*$N179,0)</f>
        <v>3.2584585500813001E-3</v>
      </c>
      <c r="AZ179" s="93">
        <f>IF(AND($T179=1,AZ$5&lt;=$H179),INDEX(Mortality!$B$4:$E$64,MATCH($D179+AZ$5-1,Mortality!$A$4:$A$64,0),$U179)*$V179*$N179,0)</f>
        <v>3.5298460078579601E-3</v>
      </c>
      <c r="BA179" s="93">
        <f>IF(AND($T179=1,BA$5&lt;=$H179),INDEX(Mortality!$B$4:$E$64,MATCH($D179+BA$5-1,Mortality!$A$4:$A$64,0),$U179)*$V179*$N179,0)</f>
        <v>3.8238365311966099E-3</v>
      </c>
      <c r="BB179" s="93">
        <f>IF(AND($T179=1,BB$5&lt;=$H179),INDEX(Mortality!$B$4:$E$64,MATCH($D179+BB$5-1,Mortality!$A$4:$A$64,0),$U179)*$V179*$N179,0)</f>
        <v>4.1423126631483596E-3</v>
      </c>
      <c r="BC179" s="93">
        <f>IF(AND($T179=1,BC$5&lt;=$H179),INDEX(Mortality!$B$4:$E$64,MATCH($D179+BC$5-1,Mortality!$A$4:$A$64,0),$U179)*$V179*$N179,0)</f>
        <v>4.4873137382548398E-3</v>
      </c>
      <c r="BD179" s="93">
        <f>IF(AND($T179=1,BD$5&lt;=$H179),INDEX(Mortality!$B$4:$E$64,MATCH($D179+BD$5-1,Mortality!$A$4:$A$64,0),$U179)*$V179*$N179,0)</f>
        <v>4.8610489412516398E-3</v>
      </c>
      <c r="BE179" s="93">
        <f>IF(AND($T179=1,BE$5&lt;=$H179),INDEX(Mortality!$B$4:$E$64,MATCH($D179+BE$5-1,Mortality!$A$4:$A$64,0),$U179)*$V179*$N179,0)</f>
        <v>5.2659114533929498E-3</v>
      </c>
      <c r="BF179" s="93">
        <f>IF(AND($T179=1,BF$5&lt;=$H179),INDEX(Mortality!$B$4:$E$64,MATCH($D179+BF$5-1,Mortality!$A$4:$A$64,0),$U179)*$V179*$N179,0)</f>
        <v>5.7044937769820296E-3</v>
      </c>
      <c r="BG179" s="93">
        <f>IF(AND($T179=1,BG$5&lt;=$H179),INDEX(Mortality!$B$4:$E$64,MATCH($D179+BG$5-1,Mortality!$A$4:$A$64,0),$U179)*$V179*$N179,0)</f>
        <v>6.1796043362369098E-3</v>
      </c>
      <c r="BH179" s="93">
        <f>IF(AND($T179=1,BH$5&lt;=$H179),INDEX(Mortality!$B$4:$E$64,MATCH($D179+BH$5-1,Mortality!$A$4:$A$64,0),$U179)*$V179*$N179,0)</f>
        <v>6.6942854607935399E-3</v>
      </c>
      <c r="BI179" s="93">
        <f>IF(AND($T179=1,BI$5&lt;=$H179),INDEX(Mortality!$B$4:$E$64,MATCH($D179+BI$5-1,Mortality!$A$4:$A$64,0),$U179)*$V179*$N179,0)</f>
        <v>7.2518328670021504E-3</v>
      </c>
      <c r="BJ179" s="93">
        <f>IF(AND($T179=1,BJ$5&lt;=$H179),INDEX(Mortality!$B$4:$E$64,MATCH($D179+BJ$5-1,Mortality!$A$4:$A$64,0),$U179)*$V179*$N179,0)</f>
        <v>0</v>
      </c>
      <c r="BK179" s="93">
        <f>IF(AND($T179=1,BK$5&lt;=$H179),INDEX(Mortality!$B$4:$E$64,MATCH($D179+BK$5-1,Mortality!$A$4:$A$64,0),$U179)*$V179*$N179,0)</f>
        <v>0</v>
      </c>
      <c r="BL179" s="93">
        <f>IF(AND($T179=1,BL$5&lt;=$H179),INDEX(Mortality!$B$4:$E$64,MATCH($D179+BL$5-1,Mortality!$A$4:$A$64,0),$U179)*$V179*$N179,0)</f>
        <v>0</v>
      </c>
      <c r="BM179" s="93">
        <f>IF(AND($T179=1,BM$5&lt;=$H179),INDEX(Mortality!$B$4:$E$64,MATCH($D179+BM$5-1,Mortality!$A$4:$A$64,0),$U179)*$V179*$N179,0)</f>
        <v>0</v>
      </c>
      <c r="BN179" s="93">
        <f>IF(AND($T179=1,BN$5&lt;=$H179),INDEX(Mortality!$B$4:$E$64,MATCH($D179+BN$5-1,Mortality!$A$4:$A$64,0),$U179)*$V179*$N179,0)</f>
        <v>0</v>
      </c>
      <c r="BO179" s="93">
        <f>IF(AND($T179=1,BO$5&lt;=$H179),INDEX(Mortality!$B$4:$E$64,MATCH($D179+BO$5-1,Mortality!$A$4:$A$64,0),$U179)*$V179*$N179,0)</f>
        <v>0</v>
      </c>
      <c r="BP179" s="93">
        <f>IF(AND($T179=1,BP$5&lt;=$H179),INDEX(Mortality!$B$4:$E$64,MATCH($D179+BP$5-1,Mortality!$A$4:$A$64,0),$U179)*$V179*$N179,0)</f>
        <v>0</v>
      </c>
      <c r="BQ179" s="93">
        <f>IF(AND($T179=1,BQ$5&lt;=$H179),INDEX(Mortality!$B$4:$E$64,MATCH($D179+BQ$5-1,Mortality!$A$4:$A$64,0),$U179)*$V179*$N179,0)</f>
        <v>0</v>
      </c>
      <c r="BR179" s="93">
        <f>IF(AND($T179=1,BR$5&lt;=$H179),INDEX(Mortality!$B$4:$E$64,MATCH($D179+BR$5-1,Mortality!$A$4:$A$64,0),$U179)*$V179*$N179,0)</f>
        <v>0</v>
      </c>
      <c r="BS179" s="93">
        <f>IF(AND($T179=1,BS$5&lt;=$H179),INDEX(Mortality!$B$4:$E$64,MATCH($D179+BS$5-1,Mortality!$A$4:$A$64,0),$U179)*$V179*$N179,0)</f>
        <v>0</v>
      </c>
      <c r="BT179" s="93">
        <f>IF(AND($T179=1,BT$5&lt;=$H179),INDEX(Mortality!$B$4:$E$64,MATCH($D179+BT$5-1,Mortality!$A$4:$A$64,0),$U179)*$V179*$N179,0)</f>
        <v>0</v>
      </c>
      <c r="BU179" s="93">
        <f>IF(AND($T179=1,BU$5&lt;=$H179),INDEX(Mortality!$B$4:$E$64,MATCH($D179+BU$5-1,Mortality!$A$4:$A$64,0),$U179)*$V179*$N179,0)</f>
        <v>0</v>
      </c>
      <c r="BV179" s="93">
        <f>IF(AND($T179=1,BV$5&lt;=$H179),INDEX(Mortality!$B$4:$E$64,MATCH($D179+BV$5-1,Mortality!$A$4:$A$64,0),$U179)*$V179*$N179,0)</f>
        <v>0</v>
      </c>
      <c r="BW179" s="93">
        <f>IF(AND($T179=1,BW$5&lt;=$H179),INDEX(Mortality!$B$4:$E$64,MATCH($D179+BW$5-1,Mortality!$A$4:$A$64,0),$U179)*$V179*$N179,0)</f>
        <v>0</v>
      </c>
      <c r="BX179" s="93">
        <f>IF(AND($T179=1,BX$5&lt;=$H179),INDEX(Mortality!$B$4:$E$64,MATCH($D179+BX$5-1,Mortality!$A$4:$A$64,0),$U179)*$V179*$N179,0)</f>
        <v>0</v>
      </c>
      <c r="BY179" s="93">
        <f>IF(AND($T179=1,BY$5&lt;=$H179),INDEX(Mortality!$B$4:$E$64,MATCH($D179+BY$5-1,Mortality!$A$4:$A$64,0),$U179)*$V179*$N179,0)</f>
        <v>0</v>
      </c>
      <c r="BZ179" s="93">
        <f>IF(AND($T179=1,BZ$5&lt;=$H179),INDEX(Mortality!$B$4:$E$64,MATCH($D179+BZ$5-1,Mortality!$A$4:$A$64,0),$U179)*$V179*$N179,0)</f>
        <v>0</v>
      </c>
      <c r="CA179" s="93">
        <f>IF(AND($T179=1,CA$5&lt;=$H179),INDEX(Mortality!$B$4:$E$64,MATCH($D179+CA$5-1,Mortality!$A$4:$A$64,0),$U179)*$V179*$N179,0)</f>
        <v>0</v>
      </c>
      <c r="CB179" s="93">
        <f>IF(AND($T179=1,CB$5&lt;=$H179),INDEX(Mortality!$B$4:$E$64,MATCH($D179+CB$5-1,Mortality!$A$4:$A$64,0),$U179)*$V179*$N179,0)</f>
        <v>0</v>
      </c>
      <c r="CC179" s="93">
        <f>IF(AND($T179=1,CC$5&lt;=$H179),INDEX(Mortality!$B$4:$E$64,MATCH($D179+CC$5-1,Mortality!$A$4:$A$64,0),$U179)*$V179*$N179,0)</f>
        <v>0</v>
      </c>
      <c r="CD179" s="93">
        <f>IF(AND($T179=1,CD$5&lt;=$H179),INDEX(Mortality!$B$4:$E$64,MATCH($D179+CD$5-1,Mortality!$A$4:$A$64,0),$U179)*$V179*$N179,0)</f>
        <v>0</v>
      </c>
      <c r="CE179" s="93">
        <f>IF(AND($T179=1,CE$5&lt;=$H179),INDEX(Mortality!$B$4:$E$64,MATCH($D179+CE$5-1,Mortality!$A$4:$A$64,0),$U179)*$V179*$N179,0)</f>
        <v>0</v>
      </c>
      <c r="CF179" s="93">
        <f>IF(AND($T179=1,CF$5&lt;=$H179),INDEX(Mortality!$B$4:$E$64,MATCH($D179+CF$5-1,Mortality!$A$4:$A$64,0),$U179)*$V179*$N179,0)</f>
        <v>0</v>
      </c>
      <c r="CG179" s="93">
        <f>IF(AND($T179=1,CG$5&lt;=$H179),INDEX(Mortality!$B$4:$E$64,MATCH($D179+CG$5-1,Mortality!$A$4:$A$64,0),$U179)*$V179*$N179,0)</f>
        <v>0</v>
      </c>
      <c r="CH179" s="94">
        <f>IF(AND($T179=1,CH$5&lt;=$H179),INDEX(Mortality!$B$4:$E$64,MATCH($D179+CH$5-1,Mortality!$A$4:$A$64,0),$U179)*$V179*$N179,0)</f>
        <v>0</v>
      </c>
      <c r="CI179" s="26"/>
      <c r="CJ179" s="419">
        <f t="shared" si="71"/>
        <v>1</v>
      </c>
      <c r="CK179" s="93">
        <f>IF(AND($T179=1,CK$5&lt;=$H179),CJ179*(1-AU179)*(1-MIN(1,MAX(Assumptions!$C$27,Assumptions!$C$13*Assumptions!$C$28^(CJ$5-1))*$O179)),0)</f>
        <v>0.87791780864613223</v>
      </c>
      <c r="CL179" s="93">
        <f>IF(AND($T179=1,CL$5&lt;=$H179),CK179*(1-AV179)*(1-MIN(1,MAX(Assumptions!$C$27,Assumptions!$C$13*Assumptions!$C$28^(CK$5-1))*$O179)),0)</f>
        <v>0.78634944619744496</v>
      </c>
      <c r="CM179" s="93">
        <f>IF(AND($T179=1,CM$5&lt;=$H179),CL179*(1-AW179)*(1-MIN(1,MAX(Assumptions!$C$27,Assumptions!$C$13*Assumptions!$C$28^(CL$5-1))*$O179)),0)</f>
        <v>0.71617881618392576</v>
      </c>
      <c r="CN179" s="93">
        <f>IF(AND($T179=1,CN$5&lt;=$H179),CM179*(1-AX179)*(1-MIN(1,MAX(Assumptions!$C$27,Assumptions!$C$13*Assumptions!$C$28^(CM$5-1))*$O179)),0)</f>
        <v>0.66140455329447656</v>
      </c>
      <c r="CO179" s="93">
        <f>IF(AND($T179=1,CO$5&lt;=$H179),CN179*(1-AY179)*(1-MIN(1,MAX(Assumptions!$C$27,Assumptions!$C$13*Assumptions!$C$28^(CN$5-1))*$O179)),0)</f>
        <v>0.61795351749723404</v>
      </c>
      <c r="CP179" s="93">
        <f>IF(AND($T179=1,CP$5&lt;=$H179),CO179*(1-AZ179)*(1-MIN(1,MAX(Assumptions!$C$27,Assumptions!$C$13*Assumptions!$C$28^(CO$5-1))*$O179)),0)</f>
        <v>0.582985667212645</v>
      </c>
      <c r="CQ179" s="93">
        <f>IF(AND($T179=1,CQ$5&lt;=$H179),CP179*(1-BA179)*(1-MIN(1,MAX(Assumptions!$C$27,Assumptions!$C$13*Assumptions!$C$28^(CP$5-1))*$O179)),0)</f>
        <v>0.55447258478047401</v>
      </c>
      <c r="CR179" s="93">
        <f>IF(AND($T179=1,CR$5&lt;=$H179),CQ179*(1-BB179)*(1-MIN(1,MAX(Assumptions!$C$27,Assumptions!$C$13*Assumptions!$C$28^(CQ$5-1))*$O179)),0)</f>
        <v>0.5309339972888435</v>
      </c>
      <c r="CS179" s="93">
        <f>IF(AND($T179=1,CS$5&lt;=$H179),CR179*(1-BC179)*(1-MIN(1,MAX(Assumptions!$C$27,Assumptions!$C$13*Assumptions!$C$28^(CR$5-1))*$O179)),0)</f>
        <v>0.51126849580260803</v>
      </c>
      <c r="CT179" s="93">
        <f>IF(AND($T179=1,CT$5&lt;=$H179),CS179*(1-BD179)*(1-MIN(1,MAX(Assumptions!$C$27,Assumptions!$C$13*Assumptions!$C$28^(CS$5-1))*$O179)),0)</f>
        <v>0.4946420574393533</v>
      </c>
      <c r="CU179" s="93">
        <f>IF(AND($T179=1,CU$5&lt;=$H179),CT179*(1-BE179)*(1-MIN(1,MAX(Assumptions!$C$27,Assumptions!$C$13*Assumptions!$C$28^(CT$5-1))*$O179)),0)</f>
        <v>0.48041296973977593</v>
      </c>
      <c r="CV179" s="93">
        <f>IF(AND($T179=1,CV$5&lt;=$H179),CU179*(1-BF179)*(1-MIN(1,MAX(Assumptions!$C$27,Assumptions!$C$13*Assumptions!$C$28^(CU$5-1))*$O179)),0)</f>
        <v>0.46808022593958015</v>
      </c>
      <c r="CW179" s="93">
        <f>IF(AND($T179=1,CW$5&lt;=$H179),CV179*(1-BG179)*(1-MIN(1,MAX(Assumptions!$C$27,Assumptions!$C$13*Assumptions!$C$28^(CV$5-1))*$O179)),0)</f>
        <v>0.45588392183874404</v>
      </c>
      <c r="CX179" s="93">
        <f>IF(AND($T179=1,CX$5&lt;=$H179),CW179*(1-BH179)*(1-MIN(1,MAX(Assumptions!$C$27,Assumptions!$C$13*Assumptions!$C$28^(CW$5-1))*$O179)),0)</f>
        <v>0.44377546263438999</v>
      </c>
      <c r="CY179" s="93">
        <f>IF(AND($T179=1,CY$5&lt;=$H179),CX179*(1-BI179)*(1-MIN(1,MAX(Assumptions!$C$27,Assumptions!$C$13*Assumptions!$C$28^(CX$5-1))*$O179)),0)</f>
        <v>0</v>
      </c>
      <c r="CZ179" s="93">
        <f>IF(AND($T179=1,CZ$5&lt;=$H179),CY179*(1-BJ179)*(1-MIN(1,MAX(Assumptions!$C$27,Assumptions!$C$13*Assumptions!$C$28^(CY$5-1))*$O179)),0)</f>
        <v>0</v>
      </c>
      <c r="DA179" s="93">
        <f>IF(AND($T179=1,DA$5&lt;=$H179),CZ179*(1-BK179)*(1-MIN(1,MAX(Assumptions!$C$27,Assumptions!$C$13*Assumptions!$C$28^(CZ$5-1))*$O179)),0)</f>
        <v>0</v>
      </c>
      <c r="DB179" s="93">
        <f>IF(AND($T179=1,DB$5&lt;=$H179),DA179*(1-BL179)*(1-MIN(1,MAX(Assumptions!$C$27,Assumptions!$C$13*Assumptions!$C$28^(DA$5-1))*$O179)),0)</f>
        <v>0</v>
      </c>
      <c r="DC179" s="93">
        <f>IF(AND($T179=1,DC$5&lt;=$H179),DB179*(1-BM179)*(1-MIN(1,MAX(Assumptions!$C$27,Assumptions!$C$13*Assumptions!$C$28^(DB$5-1))*$O179)),0)</f>
        <v>0</v>
      </c>
      <c r="DD179" s="93">
        <f>IF(AND($T179=1,DD$5&lt;=$H179),DC179*(1-BN179)*(1-MIN(1,MAX(Assumptions!$C$27,Assumptions!$C$13*Assumptions!$C$28^(DC$5-1))*$O179)),0)</f>
        <v>0</v>
      </c>
      <c r="DE179" s="93">
        <f>IF(AND($T179=1,DE$5&lt;=$H179),DD179*(1-BO179)*(1-MIN(1,MAX(Assumptions!$C$27,Assumptions!$C$13*Assumptions!$C$28^(DD$5-1))*$O179)),0)</f>
        <v>0</v>
      </c>
      <c r="DF179" s="93">
        <f>IF(AND($T179=1,DF$5&lt;=$H179),DE179*(1-BP179)*(1-MIN(1,MAX(Assumptions!$C$27,Assumptions!$C$13*Assumptions!$C$28^(DE$5-1))*$O179)),0)</f>
        <v>0</v>
      </c>
      <c r="DG179" s="93">
        <f>IF(AND($T179=1,DG$5&lt;=$H179),DF179*(1-BQ179)*(1-MIN(1,MAX(Assumptions!$C$27,Assumptions!$C$13*Assumptions!$C$28^(DF$5-1))*$O179)),0)</f>
        <v>0</v>
      </c>
      <c r="DH179" s="93">
        <f>IF(AND($T179=1,DH$5&lt;=$H179),DG179*(1-BR179)*(1-MIN(1,MAX(Assumptions!$C$27,Assumptions!$C$13*Assumptions!$C$28^(DG$5-1))*$O179)),0)</f>
        <v>0</v>
      </c>
      <c r="DI179" s="93">
        <f>IF(AND($T179=1,DI$5&lt;=$H179),DH179*(1-BS179)*(1-MIN(1,MAX(Assumptions!$C$27,Assumptions!$C$13*Assumptions!$C$28^(DH$5-1))*$O179)),0)</f>
        <v>0</v>
      </c>
      <c r="DJ179" s="93">
        <f>IF(AND($T179=1,DJ$5&lt;=$H179),DI179*(1-BT179)*(1-MIN(1,MAX(Assumptions!$C$27,Assumptions!$C$13*Assumptions!$C$28^(DI$5-1))*$O179)),0)</f>
        <v>0</v>
      </c>
      <c r="DK179" s="93">
        <f>IF(AND($T179=1,DK$5&lt;=$H179),DJ179*(1-BU179)*(1-MIN(1,MAX(Assumptions!$C$27,Assumptions!$C$13*Assumptions!$C$28^(DJ$5-1))*$O179)),0)</f>
        <v>0</v>
      </c>
      <c r="DL179" s="93">
        <f>IF(AND($T179=1,DL$5&lt;=$H179),DK179*(1-BV179)*(1-MIN(1,MAX(Assumptions!$C$27,Assumptions!$C$13*Assumptions!$C$28^(DK$5-1))*$O179)),0)</f>
        <v>0</v>
      </c>
      <c r="DM179" s="93">
        <f>IF(AND($T179=1,DM$5&lt;=$H179),DL179*(1-BW179)*(1-MIN(1,MAX(Assumptions!$C$27,Assumptions!$C$13*Assumptions!$C$28^(DL$5-1))*$O179)),0)</f>
        <v>0</v>
      </c>
      <c r="DN179" s="93">
        <f>IF(AND($T179=1,DN$5&lt;=$H179),DM179*(1-BX179)*(1-MIN(1,MAX(Assumptions!$C$27,Assumptions!$C$13*Assumptions!$C$28^(DM$5-1))*$O179)),0)</f>
        <v>0</v>
      </c>
      <c r="DO179" s="93">
        <f>IF(AND($T179=1,DO$5&lt;=$H179),DN179*(1-BY179)*(1-MIN(1,MAX(Assumptions!$C$27,Assumptions!$C$13*Assumptions!$C$28^(DN$5-1))*$O179)),0)</f>
        <v>0</v>
      </c>
      <c r="DP179" s="93">
        <f>IF(AND($T179=1,DP$5&lt;=$H179),DO179*(1-BZ179)*(1-MIN(1,MAX(Assumptions!$C$27,Assumptions!$C$13*Assumptions!$C$28^(DO$5-1))*$O179)),0)</f>
        <v>0</v>
      </c>
      <c r="DQ179" s="93">
        <f>IF(AND($T179=1,DQ$5&lt;=$H179),DP179*(1-CA179)*(1-MIN(1,MAX(Assumptions!$C$27,Assumptions!$C$13*Assumptions!$C$28^(DP$5-1))*$O179)),0)</f>
        <v>0</v>
      </c>
      <c r="DR179" s="93">
        <f>IF(AND($T179=1,DR$5&lt;=$H179),DQ179*(1-CB179)*(1-MIN(1,MAX(Assumptions!$C$27,Assumptions!$C$13*Assumptions!$C$28^(DQ$5-1))*$O179)),0)</f>
        <v>0</v>
      </c>
      <c r="DS179" s="93">
        <f>IF(AND($T179=1,DS$5&lt;=$H179),DR179*(1-CC179)*(1-MIN(1,MAX(Assumptions!$C$27,Assumptions!$C$13*Assumptions!$C$28^(DR$5-1))*$O179)),0)</f>
        <v>0</v>
      </c>
      <c r="DT179" s="93">
        <f>IF(AND($T179=1,DT$5&lt;=$H179),DS179*(1-CD179)*(1-MIN(1,MAX(Assumptions!$C$27,Assumptions!$C$13*Assumptions!$C$28^(DS$5-1))*$O179)),0)</f>
        <v>0</v>
      </c>
      <c r="DU179" s="93">
        <f>IF(AND($T179=1,DU$5&lt;=$H179),DT179*(1-CE179)*(1-MIN(1,MAX(Assumptions!$C$27,Assumptions!$C$13*Assumptions!$C$28^(DT$5-1))*$O179)),0)</f>
        <v>0</v>
      </c>
      <c r="DV179" s="93">
        <f>IF(AND($T179=1,DV$5&lt;=$H179),DU179*(1-CF179)*(1-MIN(1,MAX(Assumptions!$C$27,Assumptions!$C$13*Assumptions!$C$28^(DU$5-1))*$O179)),0)</f>
        <v>0</v>
      </c>
      <c r="DW179" s="94">
        <f>IF(AND($T179=1,DW$5&lt;=$H179),DV179*(1-CG179)*(1-MIN(1,MAX(Assumptions!$C$27,Assumptions!$C$13*Assumptions!$C$28^(DV$5-1))*$O179)),0)</f>
        <v>0</v>
      </c>
      <c r="DX179" s="26"/>
      <c r="DY179" s="399">
        <f>'Policy Data'!K153</f>
        <v>6</v>
      </c>
      <c r="DZ179" s="100">
        <f>'Policy Data'!L153</f>
        <v>0.70940000000000003</v>
      </c>
      <c r="EA179" s="100">
        <f>'Policy Data'!N153</f>
        <v>1.6789999999999999E-3</v>
      </c>
      <c r="EB179" s="93" cm="1">
        <f t="array" ref="EB179">IFERROR(DZ179*INDEX(Mortality!$B$4:$E$64,MATCH(D179+DY179-1,Mortality!$A$4:$A$64,0),U179)*V179,0)</f>
        <v>2.5040727579744371E-3</v>
      </c>
      <c r="EC179" s="100">
        <f>'Policy Data'!O153</f>
        <v>0</v>
      </c>
      <c r="ED179" s="400">
        <f>'Policy Data'!Q153</f>
        <v>0</v>
      </c>
    </row>
    <row r="180" spans="1:134" x14ac:dyDescent="0.3">
      <c r="A180" s="399" t="str">
        <f>'Policy Data'!A154</f>
        <v>POL100150</v>
      </c>
      <c r="B180" s="26" t="s">
        <v>426</v>
      </c>
      <c r="C180" s="100" t="str">
        <f>'Policy Data'!B154</f>
        <v>Unit-Linked</v>
      </c>
      <c r="D180" s="100">
        <f>'Policy Data'!C154</f>
        <v>23</v>
      </c>
      <c r="E180" s="100" t="str">
        <f>'Policy Data'!D154</f>
        <v>Female</v>
      </c>
      <c r="F180" s="100" t="str">
        <f>'Policy Data'!E154</f>
        <v>Non-smoker</v>
      </c>
      <c r="G180" s="100" t="str">
        <f>'Policy Data'!F154</f>
        <v>Standard</v>
      </c>
      <c r="H180" s="100">
        <f>'Policy Data'!G154</f>
        <v>15</v>
      </c>
      <c r="I180" s="279">
        <f>'Policy Data'!H154</f>
        <v>500000</v>
      </c>
      <c r="J180" s="100" t="str">
        <f>'Policy Data'!I154</f>
        <v>Annual</v>
      </c>
      <c r="K180" s="100" t="str">
        <f>'Policy Data'!J154</f>
        <v>Bancassurance</v>
      </c>
      <c r="L180" s="26" t="s">
        <v>389</v>
      </c>
      <c r="M180" s="106">
        <f>'Policy Data'!R154</f>
        <v>14226.17</v>
      </c>
      <c r="N180" s="415">
        <f>Assumptions!$C$21</f>
        <v>1</v>
      </c>
      <c r="O180" s="415">
        <f>Assumptions!$C$22</f>
        <v>1</v>
      </c>
      <c r="P180" s="415">
        <f>Assumptions!$C$23</f>
        <v>1</v>
      </c>
      <c r="Q180" s="416">
        <f>Assumptions!$C$24</f>
        <v>0</v>
      </c>
      <c r="R180" s="416">
        <f>Assumptions!$C$6+Assumptions!$C$25</f>
        <v>3.5000000000000003E-2</v>
      </c>
      <c r="S180" s="416">
        <f>Assumptions!$C$15</f>
        <v>1.1000000000000001E-3</v>
      </c>
      <c r="T180" s="26">
        <f t="shared" si="54"/>
        <v>0</v>
      </c>
      <c r="U180" s="26">
        <f t="shared" si="55"/>
        <v>1</v>
      </c>
      <c r="V180" s="389">
        <f>IF($G180="Preferred",Assumptions!$C$30,IF($G180="Rated",Assumptions!$C$31,1))</f>
        <v>1</v>
      </c>
      <c r="W180" s="390">
        <f>IF($K180="Direct",Assumptions!$C$32,IF($K180="Broker",Assumptions!$C$33,IF($K180="Bancassurance",Assumptions!$C$34,Assumptions!$C$11)))+$Q180</f>
        <v>0.2</v>
      </c>
      <c r="X180" s="390">
        <f>Assumptions!$C$12+$Q180</f>
        <v>0.05</v>
      </c>
      <c r="Y180" s="131">
        <f>MIN($I180,Assumptions!$C$14)</f>
        <v>500000</v>
      </c>
      <c r="Z180" s="131">
        <f>MAX($I180-Assumptions!$C$14,0)</f>
        <v>0</v>
      </c>
      <c r="AA180" s="389">
        <f t="shared" si="56"/>
        <v>0</v>
      </c>
      <c r="AB180" s="389">
        <f t="shared" si="57"/>
        <v>0</v>
      </c>
      <c r="AC180" s="389">
        <f>IF($T180=1,SUMPRODUCT($CJ180:$DW180,(1+Assumptions!$C$5)^($CJ$5:$DW$5-1),(1+$R180)^(-$CJ$5:$DW$5)),0)</f>
        <v>0</v>
      </c>
      <c r="AD180" s="389">
        <f t="shared" si="58"/>
        <v>0</v>
      </c>
      <c r="AE180" s="131">
        <f>IF($T180=1,$AB180*$Y180+(Assumptions!$C$9/(1+$R180)+Assumptions!$C$10*$AC180)*$P180+$S180*$Z180*$AA180,0)</f>
        <v>0</v>
      </c>
      <c r="AF180" s="131" t="str">
        <f>IF($T180=1,IF($AA180-$AD180-Assumptions!$C$16*$AA180&gt;0,$AE180/($AA180-$AD180-Assumptions!$C$16*$AA180)*IF($J180="Monthly",1+Assumptions!$C$29,1),"n.a."),"")</f>
        <v/>
      </c>
      <c r="AG180" s="131" t="str">
        <f t="shared" si="59"/>
        <v/>
      </c>
      <c r="AH180" s="131" t="str">
        <f t="shared" si="60"/>
        <v/>
      </c>
      <c r="AI180" s="131" t="str">
        <f t="shared" si="61"/>
        <v/>
      </c>
      <c r="AJ180" s="390" t="str">
        <f t="shared" si="62"/>
        <v/>
      </c>
      <c r="AK180" s="389" t="str">
        <f t="shared" si="63"/>
        <v/>
      </c>
      <c r="AL180" s="131" t="str">
        <f t="shared" si="64"/>
        <v/>
      </c>
      <c r="AM180" s="131" t="str">
        <f t="shared" si="65"/>
        <v/>
      </c>
      <c r="AN180" s="131" t="str">
        <f t="shared" si="66"/>
        <v/>
      </c>
      <c r="AO180" s="131" t="str">
        <f t="shared" si="67"/>
        <v/>
      </c>
      <c r="AP180" s="26" t="str">
        <f t="shared" si="68"/>
        <v>20-29</v>
      </c>
      <c r="AQ180" s="26" t="str">
        <f t="shared" si="69"/>
        <v>250k-500k</v>
      </c>
      <c r="AR180" s="26" t="str">
        <f>IF($T180=1,IF($AI180&lt;0,"Loss-making",IF($AJ180&lt;Assumptions!$C$16-0.00001,"Below target","At/above target")),"Excluded")</f>
        <v>Excluded</v>
      </c>
      <c r="AS180" s="103">
        <f t="shared" si="70"/>
        <v>9.9999999999999997E+98</v>
      </c>
      <c r="AT180" s="26"/>
      <c r="AU180" s="419">
        <f>IF(AND($T180=1,AU$5&lt;=$H180),INDEX(Mortality!$B$4:$E$64,MATCH($D180+AU$5-1,Mortality!$A$4:$A$64,0),$U180)*$V180*$N180,0)</f>
        <v>0</v>
      </c>
      <c r="AV180" s="93">
        <f>IF(AND($T180=1,AV$5&lt;=$H180),INDEX(Mortality!$B$4:$E$64,MATCH($D180+AV$5-1,Mortality!$A$4:$A$64,0),$U180)*$V180*$N180,0)</f>
        <v>0</v>
      </c>
      <c r="AW180" s="93">
        <f>IF(AND($T180=1,AW$5&lt;=$H180),INDEX(Mortality!$B$4:$E$64,MATCH($D180+AW$5-1,Mortality!$A$4:$A$64,0),$U180)*$V180*$N180,0)</f>
        <v>0</v>
      </c>
      <c r="AX180" s="93">
        <f>IF(AND($T180=1,AX$5&lt;=$H180),INDEX(Mortality!$B$4:$E$64,MATCH($D180+AX$5-1,Mortality!$A$4:$A$64,0),$U180)*$V180*$N180,0)</f>
        <v>0</v>
      </c>
      <c r="AY180" s="93">
        <f>IF(AND($T180=1,AY$5&lt;=$H180),INDEX(Mortality!$B$4:$E$64,MATCH($D180+AY$5-1,Mortality!$A$4:$A$64,0),$U180)*$V180*$N180,0)</f>
        <v>0</v>
      </c>
      <c r="AZ180" s="93">
        <f>IF(AND($T180=1,AZ$5&lt;=$H180),INDEX(Mortality!$B$4:$E$64,MATCH($D180+AZ$5-1,Mortality!$A$4:$A$64,0),$U180)*$V180*$N180,0)</f>
        <v>0</v>
      </c>
      <c r="BA180" s="93">
        <f>IF(AND($T180=1,BA$5&lt;=$H180),INDEX(Mortality!$B$4:$E$64,MATCH($D180+BA$5-1,Mortality!$A$4:$A$64,0),$U180)*$V180*$N180,0)</f>
        <v>0</v>
      </c>
      <c r="BB180" s="93">
        <f>IF(AND($T180=1,BB$5&lt;=$H180),INDEX(Mortality!$B$4:$E$64,MATCH($D180+BB$5-1,Mortality!$A$4:$A$64,0),$U180)*$V180*$N180,0)</f>
        <v>0</v>
      </c>
      <c r="BC180" s="93">
        <f>IF(AND($T180=1,BC$5&lt;=$H180),INDEX(Mortality!$B$4:$E$64,MATCH($D180+BC$5-1,Mortality!$A$4:$A$64,0),$U180)*$V180*$N180,0)</f>
        <v>0</v>
      </c>
      <c r="BD180" s="93">
        <f>IF(AND($T180=1,BD$5&lt;=$H180),INDEX(Mortality!$B$4:$E$64,MATCH($D180+BD$5-1,Mortality!$A$4:$A$64,0),$U180)*$V180*$N180,0)</f>
        <v>0</v>
      </c>
      <c r="BE180" s="93">
        <f>IF(AND($T180=1,BE$5&lt;=$H180),INDEX(Mortality!$B$4:$E$64,MATCH($D180+BE$5-1,Mortality!$A$4:$A$64,0),$U180)*$V180*$N180,0)</f>
        <v>0</v>
      </c>
      <c r="BF180" s="93">
        <f>IF(AND($T180=1,BF$5&lt;=$H180),INDEX(Mortality!$B$4:$E$64,MATCH($D180+BF$5-1,Mortality!$A$4:$A$64,0),$U180)*$V180*$N180,0)</f>
        <v>0</v>
      </c>
      <c r="BG180" s="93">
        <f>IF(AND($T180=1,BG$5&lt;=$H180),INDEX(Mortality!$B$4:$E$64,MATCH($D180+BG$5-1,Mortality!$A$4:$A$64,0),$U180)*$V180*$N180,0)</f>
        <v>0</v>
      </c>
      <c r="BH180" s="93">
        <f>IF(AND($T180=1,BH$5&lt;=$H180),INDEX(Mortality!$B$4:$E$64,MATCH($D180+BH$5-1,Mortality!$A$4:$A$64,0),$U180)*$V180*$N180,0)</f>
        <v>0</v>
      </c>
      <c r="BI180" s="93">
        <f>IF(AND($T180=1,BI$5&lt;=$H180),INDEX(Mortality!$B$4:$E$64,MATCH($D180+BI$5-1,Mortality!$A$4:$A$64,0),$U180)*$V180*$N180,0)</f>
        <v>0</v>
      </c>
      <c r="BJ180" s="93">
        <f>IF(AND($T180=1,BJ$5&lt;=$H180),INDEX(Mortality!$B$4:$E$64,MATCH($D180+BJ$5-1,Mortality!$A$4:$A$64,0),$U180)*$V180*$N180,0)</f>
        <v>0</v>
      </c>
      <c r="BK180" s="93">
        <f>IF(AND($T180=1,BK$5&lt;=$H180),INDEX(Mortality!$B$4:$E$64,MATCH($D180+BK$5-1,Mortality!$A$4:$A$64,0),$U180)*$V180*$N180,0)</f>
        <v>0</v>
      </c>
      <c r="BL180" s="93">
        <f>IF(AND($T180=1,BL$5&lt;=$H180),INDEX(Mortality!$B$4:$E$64,MATCH($D180+BL$5-1,Mortality!$A$4:$A$64,0),$U180)*$V180*$N180,0)</f>
        <v>0</v>
      </c>
      <c r="BM180" s="93">
        <f>IF(AND($T180=1,BM$5&lt;=$H180),INDEX(Mortality!$B$4:$E$64,MATCH($D180+BM$5-1,Mortality!$A$4:$A$64,0),$U180)*$V180*$N180,0)</f>
        <v>0</v>
      </c>
      <c r="BN180" s="93">
        <f>IF(AND($T180=1,BN$5&lt;=$H180),INDEX(Mortality!$B$4:$E$64,MATCH($D180+BN$5-1,Mortality!$A$4:$A$64,0),$U180)*$V180*$N180,0)</f>
        <v>0</v>
      </c>
      <c r="BO180" s="93">
        <f>IF(AND($T180=1,BO$5&lt;=$H180),INDEX(Mortality!$B$4:$E$64,MATCH($D180+BO$5-1,Mortality!$A$4:$A$64,0),$U180)*$V180*$N180,0)</f>
        <v>0</v>
      </c>
      <c r="BP180" s="93">
        <f>IF(AND($T180=1,BP$5&lt;=$H180),INDEX(Mortality!$B$4:$E$64,MATCH($D180+BP$5-1,Mortality!$A$4:$A$64,0),$U180)*$V180*$N180,0)</f>
        <v>0</v>
      </c>
      <c r="BQ180" s="93">
        <f>IF(AND($T180=1,BQ$5&lt;=$H180),INDEX(Mortality!$B$4:$E$64,MATCH($D180+BQ$5-1,Mortality!$A$4:$A$64,0),$U180)*$V180*$N180,0)</f>
        <v>0</v>
      </c>
      <c r="BR180" s="93">
        <f>IF(AND($T180=1,BR$5&lt;=$H180),INDEX(Mortality!$B$4:$E$64,MATCH($D180+BR$5-1,Mortality!$A$4:$A$64,0),$U180)*$V180*$N180,0)</f>
        <v>0</v>
      </c>
      <c r="BS180" s="93">
        <f>IF(AND($T180=1,BS$5&lt;=$H180),INDEX(Mortality!$B$4:$E$64,MATCH($D180+BS$5-1,Mortality!$A$4:$A$64,0),$U180)*$V180*$N180,0)</f>
        <v>0</v>
      </c>
      <c r="BT180" s="93">
        <f>IF(AND($T180=1,BT$5&lt;=$H180),INDEX(Mortality!$B$4:$E$64,MATCH($D180+BT$5-1,Mortality!$A$4:$A$64,0),$U180)*$V180*$N180,0)</f>
        <v>0</v>
      </c>
      <c r="BU180" s="93">
        <f>IF(AND($T180=1,BU$5&lt;=$H180),INDEX(Mortality!$B$4:$E$64,MATCH($D180+BU$5-1,Mortality!$A$4:$A$64,0),$U180)*$V180*$N180,0)</f>
        <v>0</v>
      </c>
      <c r="BV180" s="93">
        <f>IF(AND($T180=1,BV$5&lt;=$H180),INDEX(Mortality!$B$4:$E$64,MATCH($D180+BV$5-1,Mortality!$A$4:$A$64,0),$U180)*$V180*$N180,0)</f>
        <v>0</v>
      </c>
      <c r="BW180" s="93">
        <f>IF(AND($T180=1,BW$5&lt;=$H180),INDEX(Mortality!$B$4:$E$64,MATCH($D180+BW$5-1,Mortality!$A$4:$A$64,0),$U180)*$V180*$N180,0)</f>
        <v>0</v>
      </c>
      <c r="BX180" s="93">
        <f>IF(AND($T180=1,BX$5&lt;=$H180),INDEX(Mortality!$B$4:$E$64,MATCH($D180+BX$5-1,Mortality!$A$4:$A$64,0),$U180)*$V180*$N180,0)</f>
        <v>0</v>
      </c>
      <c r="BY180" s="93">
        <f>IF(AND($T180=1,BY$5&lt;=$H180),INDEX(Mortality!$B$4:$E$64,MATCH($D180+BY$5-1,Mortality!$A$4:$A$64,0),$U180)*$V180*$N180,0)</f>
        <v>0</v>
      </c>
      <c r="BZ180" s="93">
        <f>IF(AND($T180=1,BZ$5&lt;=$H180),INDEX(Mortality!$B$4:$E$64,MATCH($D180+BZ$5-1,Mortality!$A$4:$A$64,0),$U180)*$V180*$N180,0)</f>
        <v>0</v>
      </c>
      <c r="CA180" s="93">
        <f>IF(AND($T180=1,CA$5&lt;=$H180),INDEX(Mortality!$B$4:$E$64,MATCH($D180+CA$5-1,Mortality!$A$4:$A$64,0),$U180)*$V180*$N180,0)</f>
        <v>0</v>
      </c>
      <c r="CB180" s="93">
        <f>IF(AND($T180=1,CB$5&lt;=$H180),INDEX(Mortality!$B$4:$E$64,MATCH($D180+CB$5-1,Mortality!$A$4:$A$64,0),$U180)*$V180*$N180,0)</f>
        <v>0</v>
      </c>
      <c r="CC180" s="93">
        <f>IF(AND($T180=1,CC$5&lt;=$H180),INDEX(Mortality!$B$4:$E$64,MATCH($D180+CC$5-1,Mortality!$A$4:$A$64,0),$U180)*$V180*$N180,0)</f>
        <v>0</v>
      </c>
      <c r="CD180" s="93">
        <f>IF(AND($T180=1,CD$5&lt;=$H180),INDEX(Mortality!$B$4:$E$64,MATCH($D180+CD$5-1,Mortality!$A$4:$A$64,0),$U180)*$V180*$N180,0)</f>
        <v>0</v>
      </c>
      <c r="CE180" s="93">
        <f>IF(AND($T180=1,CE$5&lt;=$H180),INDEX(Mortality!$B$4:$E$64,MATCH($D180+CE$5-1,Mortality!$A$4:$A$64,0),$U180)*$V180*$N180,0)</f>
        <v>0</v>
      </c>
      <c r="CF180" s="93">
        <f>IF(AND($T180=1,CF$5&lt;=$H180),INDEX(Mortality!$B$4:$E$64,MATCH($D180+CF$5-1,Mortality!$A$4:$A$64,0),$U180)*$V180*$N180,0)</f>
        <v>0</v>
      </c>
      <c r="CG180" s="93">
        <f>IF(AND($T180=1,CG$5&lt;=$H180),INDEX(Mortality!$B$4:$E$64,MATCH($D180+CG$5-1,Mortality!$A$4:$A$64,0),$U180)*$V180*$N180,0)</f>
        <v>0</v>
      </c>
      <c r="CH180" s="94">
        <f>IF(AND($T180=1,CH$5&lt;=$H180),INDEX(Mortality!$B$4:$E$64,MATCH($D180+CH$5-1,Mortality!$A$4:$A$64,0),$U180)*$V180*$N180,0)</f>
        <v>0</v>
      </c>
      <c r="CI180" s="26"/>
      <c r="CJ180" s="419">
        <f t="shared" si="71"/>
        <v>0</v>
      </c>
      <c r="CK180" s="93">
        <f>IF(AND($T180=1,CK$5&lt;=$H180),CJ180*(1-AU180)*(1-MIN(1,MAX(Assumptions!$C$27,Assumptions!$C$13*Assumptions!$C$28^(CJ$5-1))*$O180)),0)</f>
        <v>0</v>
      </c>
      <c r="CL180" s="93">
        <f>IF(AND($T180=1,CL$5&lt;=$H180),CK180*(1-AV180)*(1-MIN(1,MAX(Assumptions!$C$27,Assumptions!$C$13*Assumptions!$C$28^(CK$5-1))*$O180)),0)</f>
        <v>0</v>
      </c>
      <c r="CM180" s="93">
        <f>IF(AND($T180=1,CM$5&lt;=$H180),CL180*(1-AW180)*(1-MIN(1,MAX(Assumptions!$C$27,Assumptions!$C$13*Assumptions!$C$28^(CL$5-1))*$O180)),0)</f>
        <v>0</v>
      </c>
      <c r="CN180" s="93">
        <f>IF(AND($T180=1,CN$5&lt;=$H180),CM180*(1-AX180)*(1-MIN(1,MAX(Assumptions!$C$27,Assumptions!$C$13*Assumptions!$C$28^(CM$5-1))*$O180)),0)</f>
        <v>0</v>
      </c>
      <c r="CO180" s="93">
        <f>IF(AND($T180=1,CO$5&lt;=$H180),CN180*(1-AY180)*(1-MIN(1,MAX(Assumptions!$C$27,Assumptions!$C$13*Assumptions!$C$28^(CN$5-1))*$O180)),0)</f>
        <v>0</v>
      </c>
      <c r="CP180" s="93">
        <f>IF(AND($T180=1,CP$5&lt;=$H180),CO180*(1-AZ180)*(1-MIN(1,MAX(Assumptions!$C$27,Assumptions!$C$13*Assumptions!$C$28^(CO$5-1))*$O180)),0)</f>
        <v>0</v>
      </c>
      <c r="CQ180" s="93">
        <f>IF(AND($T180=1,CQ$5&lt;=$H180),CP180*(1-BA180)*(1-MIN(1,MAX(Assumptions!$C$27,Assumptions!$C$13*Assumptions!$C$28^(CP$5-1))*$O180)),0)</f>
        <v>0</v>
      </c>
      <c r="CR180" s="93">
        <f>IF(AND($T180=1,CR$5&lt;=$H180),CQ180*(1-BB180)*(1-MIN(1,MAX(Assumptions!$C$27,Assumptions!$C$13*Assumptions!$C$28^(CQ$5-1))*$O180)),0)</f>
        <v>0</v>
      </c>
      <c r="CS180" s="93">
        <f>IF(AND($T180=1,CS$5&lt;=$H180),CR180*(1-BC180)*(1-MIN(1,MAX(Assumptions!$C$27,Assumptions!$C$13*Assumptions!$C$28^(CR$5-1))*$O180)),0)</f>
        <v>0</v>
      </c>
      <c r="CT180" s="93">
        <f>IF(AND($T180=1,CT$5&lt;=$H180),CS180*(1-BD180)*(1-MIN(1,MAX(Assumptions!$C$27,Assumptions!$C$13*Assumptions!$C$28^(CS$5-1))*$O180)),0)</f>
        <v>0</v>
      </c>
      <c r="CU180" s="93">
        <f>IF(AND($T180=1,CU$5&lt;=$H180),CT180*(1-BE180)*(1-MIN(1,MAX(Assumptions!$C$27,Assumptions!$C$13*Assumptions!$C$28^(CT$5-1))*$O180)),0)</f>
        <v>0</v>
      </c>
      <c r="CV180" s="93">
        <f>IF(AND($T180=1,CV$5&lt;=$H180),CU180*(1-BF180)*(1-MIN(1,MAX(Assumptions!$C$27,Assumptions!$C$13*Assumptions!$C$28^(CU$5-1))*$O180)),0)</f>
        <v>0</v>
      </c>
      <c r="CW180" s="93">
        <f>IF(AND($T180=1,CW$5&lt;=$H180),CV180*(1-BG180)*(1-MIN(1,MAX(Assumptions!$C$27,Assumptions!$C$13*Assumptions!$C$28^(CV$5-1))*$O180)),0)</f>
        <v>0</v>
      </c>
      <c r="CX180" s="93">
        <f>IF(AND($T180=1,CX$5&lt;=$H180),CW180*(1-BH180)*(1-MIN(1,MAX(Assumptions!$C$27,Assumptions!$C$13*Assumptions!$C$28^(CW$5-1))*$O180)),0)</f>
        <v>0</v>
      </c>
      <c r="CY180" s="93">
        <f>IF(AND($T180=1,CY$5&lt;=$H180),CX180*(1-BI180)*(1-MIN(1,MAX(Assumptions!$C$27,Assumptions!$C$13*Assumptions!$C$28^(CX$5-1))*$O180)),0)</f>
        <v>0</v>
      </c>
      <c r="CZ180" s="93">
        <f>IF(AND($T180=1,CZ$5&lt;=$H180),CY180*(1-BJ180)*(1-MIN(1,MAX(Assumptions!$C$27,Assumptions!$C$13*Assumptions!$C$28^(CY$5-1))*$O180)),0)</f>
        <v>0</v>
      </c>
      <c r="DA180" s="93">
        <f>IF(AND($T180=1,DA$5&lt;=$H180),CZ180*(1-BK180)*(1-MIN(1,MAX(Assumptions!$C$27,Assumptions!$C$13*Assumptions!$C$28^(CZ$5-1))*$O180)),0)</f>
        <v>0</v>
      </c>
      <c r="DB180" s="93">
        <f>IF(AND($T180=1,DB$5&lt;=$H180),DA180*(1-BL180)*(1-MIN(1,MAX(Assumptions!$C$27,Assumptions!$C$13*Assumptions!$C$28^(DA$5-1))*$O180)),0)</f>
        <v>0</v>
      </c>
      <c r="DC180" s="93">
        <f>IF(AND($T180=1,DC$5&lt;=$H180),DB180*(1-BM180)*(1-MIN(1,MAX(Assumptions!$C$27,Assumptions!$C$13*Assumptions!$C$28^(DB$5-1))*$O180)),0)</f>
        <v>0</v>
      </c>
      <c r="DD180" s="93">
        <f>IF(AND($T180=1,DD$5&lt;=$H180),DC180*(1-BN180)*(1-MIN(1,MAX(Assumptions!$C$27,Assumptions!$C$13*Assumptions!$C$28^(DC$5-1))*$O180)),0)</f>
        <v>0</v>
      </c>
      <c r="DE180" s="93">
        <f>IF(AND($T180=1,DE$5&lt;=$H180),DD180*(1-BO180)*(1-MIN(1,MAX(Assumptions!$C$27,Assumptions!$C$13*Assumptions!$C$28^(DD$5-1))*$O180)),0)</f>
        <v>0</v>
      </c>
      <c r="DF180" s="93">
        <f>IF(AND($T180=1,DF$5&lt;=$H180),DE180*(1-BP180)*(1-MIN(1,MAX(Assumptions!$C$27,Assumptions!$C$13*Assumptions!$C$28^(DE$5-1))*$O180)),0)</f>
        <v>0</v>
      </c>
      <c r="DG180" s="93">
        <f>IF(AND($T180=1,DG$5&lt;=$H180),DF180*(1-BQ180)*(1-MIN(1,MAX(Assumptions!$C$27,Assumptions!$C$13*Assumptions!$C$28^(DF$5-1))*$O180)),0)</f>
        <v>0</v>
      </c>
      <c r="DH180" s="93">
        <f>IF(AND($T180=1,DH$5&lt;=$H180),DG180*(1-BR180)*(1-MIN(1,MAX(Assumptions!$C$27,Assumptions!$C$13*Assumptions!$C$28^(DG$5-1))*$O180)),0)</f>
        <v>0</v>
      </c>
      <c r="DI180" s="93">
        <f>IF(AND($T180=1,DI$5&lt;=$H180),DH180*(1-BS180)*(1-MIN(1,MAX(Assumptions!$C$27,Assumptions!$C$13*Assumptions!$C$28^(DH$5-1))*$O180)),0)</f>
        <v>0</v>
      </c>
      <c r="DJ180" s="93">
        <f>IF(AND($T180=1,DJ$5&lt;=$H180),DI180*(1-BT180)*(1-MIN(1,MAX(Assumptions!$C$27,Assumptions!$C$13*Assumptions!$C$28^(DI$5-1))*$O180)),0)</f>
        <v>0</v>
      </c>
      <c r="DK180" s="93">
        <f>IF(AND($T180=1,DK$5&lt;=$H180),DJ180*(1-BU180)*(1-MIN(1,MAX(Assumptions!$C$27,Assumptions!$C$13*Assumptions!$C$28^(DJ$5-1))*$O180)),0)</f>
        <v>0</v>
      </c>
      <c r="DL180" s="93">
        <f>IF(AND($T180=1,DL$5&lt;=$H180),DK180*(1-BV180)*(1-MIN(1,MAX(Assumptions!$C$27,Assumptions!$C$13*Assumptions!$C$28^(DK$5-1))*$O180)),0)</f>
        <v>0</v>
      </c>
      <c r="DM180" s="93">
        <f>IF(AND($T180=1,DM$5&lt;=$H180),DL180*(1-BW180)*(1-MIN(1,MAX(Assumptions!$C$27,Assumptions!$C$13*Assumptions!$C$28^(DL$5-1))*$O180)),0)</f>
        <v>0</v>
      </c>
      <c r="DN180" s="93">
        <f>IF(AND($T180=1,DN$5&lt;=$H180),DM180*(1-BX180)*(1-MIN(1,MAX(Assumptions!$C$27,Assumptions!$C$13*Assumptions!$C$28^(DM$5-1))*$O180)),0)</f>
        <v>0</v>
      </c>
      <c r="DO180" s="93">
        <f>IF(AND($T180=1,DO$5&lt;=$H180),DN180*(1-BY180)*(1-MIN(1,MAX(Assumptions!$C$27,Assumptions!$C$13*Assumptions!$C$28^(DN$5-1))*$O180)),0)</f>
        <v>0</v>
      </c>
      <c r="DP180" s="93">
        <f>IF(AND($T180=1,DP$5&lt;=$H180),DO180*(1-BZ180)*(1-MIN(1,MAX(Assumptions!$C$27,Assumptions!$C$13*Assumptions!$C$28^(DO$5-1))*$O180)),0)</f>
        <v>0</v>
      </c>
      <c r="DQ180" s="93">
        <f>IF(AND($T180=1,DQ$5&lt;=$H180),DP180*(1-CA180)*(1-MIN(1,MAX(Assumptions!$C$27,Assumptions!$C$13*Assumptions!$C$28^(DP$5-1))*$O180)),0)</f>
        <v>0</v>
      </c>
      <c r="DR180" s="93">
        <f>IF(AND($T180=1,DR$5&lt;=$H180),DQ180*(1-CB180)*(1-MIN(1,MAX(Assumptions!$C$27,Assumptions!$C$13*Assumptions!$C$28^(DQ$5-1))*$O180)),0)</f>
        <v>0</v>
      </c>
      <c r="DS180" s="93">
        <f>IF(AND($T180=1,DS$5&lt;=$H180),DR180*(1-CC180)*(1-MIN(1,MAX(Assumptions!$C$27,Assumptions!$C$13*Assumptions!$C$28^(DR$5-1))*$O180)),0)</f>
        <v>0</v>
      </c>
      <c r="DT180" s="93">
        <f>IF(AND($T180=1,DT$5&lt;=$H180),DS180*(1-CD180)*(1-MIN(1,MAX(Assumptions!$C$27,Assumptions!$C$13*Assumptions!$C$28^(DS$5-1))*$O180)),0)</f>
        <v>0</v>
      </c>
      <c r="DU180" s="93">
        <f>IF(AND($T180=1,DU$5&lt;=$H180),DT180*(1-CE180)*(1-MIN(1,MAX(Assumptions!$C$27,Assumptions!$C$13*Assumptions!$C$28^(DT$5-1))*$O180)),0)</f>
        <v>0</v>
      </c>
      <c r="DV180" s="93">
        <f>IF(AND($T180=1,DV$5&lt;=$H180),DU180*(1-CF180)*(1-MIN(1,MAX(Assumptions!$C$27,Assumptions!$C$13*Assumptions!$C$28^(DU$5-1))*$O180)),0)</f>
        <v>0</v>
      </c>
      <c r="DW180" s="94">
        <f>IF(AND($T180=1,DW$5&lt;=$H180),DV180*(1-CG180)*(1-MIN(1,MAX(Assumptions!$C$27,Assumptions!$C$13*Assumptions!$C$28^(DV$5-1))*$O180)),0)</f>
        <v>0</v>
      </c>
      <c r="DX180" s="26"/>
      <c r="DY180" s="399">
        <f>'Policy Data'!K154</f>
        <v>5</v>
      </c>
      <c r="DZ180" s="100">
        <f>'Policy Data'!L154</f>
        <v>0.52710000000000001</v>
      </c>
      <c r="EA180" s="100">
        <f>'Policy Data'!N154</f>
        <v>1.15E-4</v>
      </c>
      <c r="EB180" s="93" cm="1">
        <f t="array" ref="EB180">IFERROR(DZ180*INDEX(Mortality!$B$4:$E$64,MATCH(D180+DY180-1,Mortality!$A$4:$A$64,0),U180)*V180,0)</f>
        <v>1.5859656617982915E-4</v>
      </c>
      <c r="EC180" s="100">
        <f>'Policy Data'!O154</f>
        <v>0</v>
      </c>
      <c r="ED180" s="400">
        <f>'Policy Data'!Q154</f>
        <v>0</v>
      </c>
    </row>
    <row r="181" spans="1:134" x14ac:dyDescent="0.3">
      <c r="A181" s="399" t="str">
        <f>'Policy Data'!A155</f>
        <v>POL100151</v>
      </c>
      <c r="B181" s="26" t="s">
        <v>426</v>
      </c>
      <c r="C181" s="100" t="str">
        <f>'Policy Data'!B155</f>
        <v>Term Life</v>
      </c>
      <c r="D181" s="100">
        <f>'Policy Data'!C155</f>
        <v>42</v>
      </c>
      <c r="E181" s="100" t="str">
        <f>'Policy Data'!D155</f>
        <v>Female</v>
      </c>
      <c r="F181" s="100" t="str">
        <f>'Policy Data'!E155</f>
        <v>Non-smoker</v>
      </c>
      <c r="G181" s="100" t="str">
        <f>'Policy Data'!F155</f>
        <v>Preferred</v>
      </c>
      <c r="H181" s="100">
        <f>'Policy Data'!G155</f>
        <v>25</v>
      </c>
      <c r="I181" s="279">
        <f>'Policy Data'!H155</f>
        <v>1000000</v>
      </c>
      <c r="J181" s="100" t="str">
        <f>'Policy Data'!I155</f>
        <v>Monthly</v>
      </c>
      <c r="K181" s="100" t="str">
        <f>'Policy Data'!J155</f>
        <v>Broker</v>
      </c>
      <c r="L181" s="26" t="s">
        <v>389</v>
      </c>
      <c r="M181" s="106">
        <f>'Policy Data'!R155</f>
        <v>1973.03</v>
      </c>
      <c r="N181" s="415">
        <f>Assumptions!$C$21</f>
        <v>1</v>
      </c>
      <c r="O181" s="415">
        <f>Assumptions!$C$22</f>
        <v>1</v>
      </c>
      <c r="P181" s="415">
        <f>Assumptions!$C$23</f>
        <v>1</v>
      </c>
      <c r="Q181" s="416">
        <f>Assumptions!$C$24</f>
        <v>0</v>
      </c>
      <c r="R181" s="416">
        <f>Assumptions!$C$6+Assumptions!$C$25</f>
        <v>3.5000000000000003E-2</v>
      </c>
      <c r="S181" s="416">
        <f>Assumptions!$C$15</f>
        <v>1.1000000000000001E-3</v>
      </c>
      <c r="T181" s="26">
        <f t="shared" si="54"/>
        <v>1</v>
      </c>
      <c r="U181" s="26">
        <f t="shared" si="55"/>
        <v>1</v>
      </c>
      <c r="V181" s="389">
        <f>IF($G181="Preferred",Assumptions!$C$30,IF($G181="Rated",Assumptions!$C$31,1))</f>
        <v>0.8</v>
      </c>
      <c r="W181" s="390">
        <f>IF($K181="Direct",Assumptions!$C$32,IF($K181="Broker",Assumptions!$C$33,IF($K181="Bancassurance",Assumptions!$C$34,Assumptions!$C$11)))+$Q181</f>
        <v>0.25</v>
      </c>
      <c r="X181" s="390">
        <f>Assumptions!$C$12+$Q181</f>
        <v>0.05</v>
      </c>
      <c r="Y181" s="131">
        <f>MIN($I181,Assumptions!$C$14)</f>
        <v>500000</v>
      </c>
      <c r="Z181" s="131">
        <f>MAX($I181-Assumptions!$C$14,0)</f>
        <v>500000</v>
      </c>
      <c r="AA181" s="389">
        <f t="shared" si="56"/>
        <v>9.4318843721356043</v>
      </c>
      <c r="AB181" s="389">
        <f t="shared" si="57"/>
        <v>1.7274166952878662E-2</v>
      </c>
      <c r="AC181" s="389">
        <f>IF($T181=1,SUMPRODUCT($CJ181:$DW181,(1+Assumptions!$C$5)^($CJ$5:$DW$5-1),(1+$R181)^(-$CJ$5:$DW$5)),0)</f>
        <v>13.570550695149967</v>
      </c>
      <c r="AD181" s="389">
        <f t="shared" si="58"/>
        <v>0.66483093358262568</v>
      </c>
      <c r="AE181" s="131">
        <f>IF($T181=1,$AB181*$Y181+(Assumptions!$C$9/(1+$R181)+Assumptions!$C$10*$AC181)*$P181+$S181*$Z181*$AA181,0)</f>
        <v>17679.706251438212</v>
      </c>
      <c r="AF181" s="131">
        <f>IF($T181=1,IF($AA181-$AD181-Assumptions!$C$16*$AA181&gt;0,$AE181/($AA181-$AD181-Assumptions!$C$16*$AA181)*IF($J181="Monthly",1+Assumptions!$C$29,1),"n.a."),"")</f>
        <v>2272.7103061664275</v>
      </c>
      <c r="AG181" s="131">
        <f t="shared" si="59"/>
        <v>1973.03</v>
      </c>
      <c r="AH181" s="131">
        <f t="shared" si="60"/>
        <v>18609.390822754711</v>
      </c>
      <c r="AI181" s="131">
        <f t="shared" si="61"/>
        <v>-382.04680557002939</v>
      </c>
      <c r="AJ181" s="390">
        <f t="shared" si="62"/>
        <v>-2.0529785698459299E-2</v>
      </c>
      <c r="AK181" s="389">
        <f t="shared" si="63"/>
        <v>0.86813968091167604</v>
      </c>
      <c r="AL181" s="131">
        <f t="shared" si="64"/>
        <v>8637.0834764393312</v>
      </c>
      <c r="AM181" s="131">
        <f t="shared" si="65"/>
        <v>5187.5364046745826</v>
      </c>
      <c r="AN181" s="131">
        <f t="shared" si="66"/>
        <v>3449.5470717647486</v>
      </c>
      <c r="AO181" s="131">
        <f t="shared" si="67"/>
        <v>-3831.593877334778</v>
      </c>
      <c r="AP181" s="26" t="str">
        <f t="shared" si="68"/>
        <v>40-49</v>
      </c>
      <c r="AQ181" s="26" t="str">
        <f t="shared" si="69"/>
        <v>500k-1m</v>
      </c>
      <c r="AR181" s="26" t="str">
        <f>IF($T181=1,IF($AI181&lt;0,"Loss-making",IF($AJ181&lt;Assumptions!$C$16-0.00001,"Below target","At/above target")),"Excluded")</f>
        <v>Loss-making</v>
      </c>
      <c r="AS181" s="103">
        <f t="shared" si="70"/>
        <v>-382.04662457002939</v>
      </c>
      <c r="AT181" s="26"/>
      <c r="AU181" s="419">
        <f>IF(AND($T181=1,AU$5&lt;=$H181),INDEX(Mortality!$B$4:$E$64,MATCH($D181+AU$5-1,Mortality!$A$4:$A$64,0),$U181)*$V181*$N181,0)</f>
        <v>7.9917912086747446E-4</v>
      </c>
      <c r="AV181" s="93">
        <f>IF(AND($T181=1,AV$5&lt;=$H181),INDEX(Mortality!$B$4:$E$64,MATCH($D181+AV$5-1,Mortality!$A$4:$A$64,0),$U181)*$V181*$N181,0)</f>
        <v>8.6574040639157603E-4</v>
      </c>
      <c r="AW181" s="93">
        <f>IF(AND($T181=1,AW$5&lt;=$H181),INDEX(Mortality!$B$4:$E$64,MATCH($D181+AW$5-1,Mortality!$A$4:$A$64,0),$U181)*$V181*$N181,0)</f>
        <v>9.37845386207656E-4</v>
      </c>
      <c r="AX181" s="93">
        <f>IF(AND($T181=1,AX$5&lt;=$H181),INDEX(Mortality!$B$4:$E$64,MATCH($D181+AX$5-1,Mortality!$A$4:$A$64,0),$U181)*$V181*$N181,0)</f>
        <v>1.0159557783573842E-3</v>
      </c>
      <c r="AY181" s="93">
        <f>IF(AND($T181=1,AY$5&lt;=$H181),INDEX(Mortality!$B$4:$E$64,MATCH($D181+AY$5-1,Mortality!$A$4:$A$64,0),$U181)*$V181*$N181,0)</f>
        <v>1.1005717560242001E-3</v>
      </c>
      <c r="AZ181" s="93">
        <f>IF(AND($T181=1,AZ$5&lt;=$H181),INDEX(Mortality!$B$4:$E$64,MATCH($D181+AZ$5-1,Mortality!$A$4:$A$64,0),$U181)*$V181*$N181,0)</f>
        <v>1.1922351503493361E-3</v>
      </c>
      <c r="BA181" s="93">
        <f>IF(AND($T181=1,BA$5&lt;=$H181),INDEX(Mortality!$B$4:$E$64,MATCH($D181+BA$5-1,Mortality!$A$4:$A$64,0),$U181)*$V181*$N181,0)</f>
        <v>1.2915329200009441E-3</v>
      </c>
      <c r="BB181" s="93">
        <f>IF(AND($T181=1,BB$5&lt;=$H181),INDEX(Mortality!$B$4:$E$64,MATCH($D181+BB$5-1,Mortality!$A$4:$A$64,0),$U181)*$V181*$N181,0)</f>
        <v>1.3991009097135041E-3</v>
      </c>
      <c r="BC181" s="93">
        <f>IF(AND($T181=1,BC$5&lt;=$H181),INDEX(Mortality!$B$4:$E$64,MATCH($D181+BC$5-1,Mortality!$A$4:$A$64,0),$U181)*$V181*$N181,0)</f>
        <v>1.5156279218649042E-3</v>
      </c>
      <c r="BD181" s="93">
        <f>IF(AND($T181=1,BD$5&lt;=$H181),INDEX(Mortality!$B$4:$E$64,MATCH($D181+BD$5-1,Mortality!$A$4:$A$64,0),$U181)*$V181*$N181,0)</f>
        <v>1.641860127163328E-3</v>
      </c>
      <c r="BE181" s="93">
        <f>IF(AND($T181=1,BE$5&lt;=$H181),INDEX(Mortality!$B$4:$E$64,MATCH($D181+BE$5-1,Mortality!$A$4:$A$64,0),$U181)*$V181*$N181,0)</f>
        <v>1.7786058426871921E-3</v>
      </c>
      <c r="BF181" s="93">
        <f>IF(AND($T181=1,BF$5&lt;=$H181),INDEX(Mortality!$B$4:$E$64,MATCH($D181+BF$5-1,Mortality!$A$4:$A$64,0),$U181)*$V181*$N181,0)</f>
        <v>1.92674070787416E-3</v>
      </c>
      <c r="BG181" s="93">
        <f>IF(AND($T181=1,BG$5&lt;=$H181),INDEX(Mortality!$B$4:$E$64,MATCH($D181+BG$5-1,Mortality!$A$4:$A$64,0),$U181)*$V181*$N181,0)</f>
        <v>2.087213291602968E-3</v>
      </c>
      <c r="BH181" s="93">
        <f>IF(AND($T181=1,BH$5&lt;=$H181),INDEX(Mortality!$B$4:$E$64,MATCH($D181+BH$5-1,Mortality!$A$4:$A$64,0),$U181)*$V181*$N181,0)</f>
        <v>2.2610511662727764E-3</v>
      </c>
      <c r="BI181" s="93">
        <f>IF(AND($T181=1,BI$5&lt;=$H181),INDEX(Mortality!$B$4:$E$64,MATCH($D181+BI$5-1,Mortality!$A$4:$A$64,0),$U181)*$V181*$N181,0)</f>
        <v>2.4493674877746879E-3</v>
      </c>
      <c r="BJ181" s="93">
        <f>IF(AND($T181=1,BJ$5&lt;=$H181),INDEX(Mortality!$B$4:$E$64,MATCH($D181+BJ$5-1,Mortality!$A$4:$A$64,0),$U181)*$V181*$N181,0)</f>
        <v>2.6533681234898162E-3</v>
      </c>
      <c r="BK181" s="93">
        <f>IF(AND($T181=1,BK$5&lt;=$H181),INDEX(Mortality!$B$4:$E$64,MATCH($D181+BK$5-1,Mortality!$A$4:$A$64,0),$U181)*$V181*$N181,0)</f>
        <v>2.8743593739574964E-3</v>
      </c>
      <c r="BL181" s="93">
        <f>IF(AND($T181=1,BL$5&lt;=$H181),INDEX(Mortality!$B$4:$E$64,MATCH($D181+BL$5-1,Mortality!$A$4:$A$64,0),$U181)*$V181*$N181,0)</f>
        <v>3.1137563376584399E-3</v>
      </c>
      <c r="BM181" s="93">
        <f>IF(AND($T181=1,BM$5&lt;=$H181),INDEX(Mortality!$B$4:$E$64,MATCH($D181+BM$5-1,Mortality!$A$4:$A$64,0),$U181)*$V181*$N181,0)</f>
        <v>3.3730919724763286E-3</v>
      </c>
      <c r="BN181" s="93">
        <f>IF(AND($T181=1,BN$5&lt;=$H181),INDEX(Mortality!$B$4:$E$64,MATCH($D181+BN$5-1,Mortality!$A$4:$A$64,0),$U181)*$V181*$N181,0)</f>
        <v>3.6540269118618242E-3</v>
      </c>
      <c r="BO181" s="93">
        <f>IF(AND($T181=1,BO$5&lt;=$H181),INDEX(Mortality!$B$4:$E$64,MATCH($D181+BO$5-1,Mortality!$A$4:$A$64,0),$U181)*$V181*$N181,0)</f>
        <v>3.9583600985561842E-3</v>
      </c>
      <c r="BP181" s="93">
        <f>IF(AND($T181=1,BP$5&lt;=$H181),INDEX(Mortality!$B$4:$E$64,MATCH($D181+BP$5-1,Mortality!$A$4:$A$64,0),$U181)*$V181*$N181,0)</f>
        <v>4.2880403039664882E-3</v>
      </c>
      <c r="BQ181" s="93">
        <f>IF(AND($T181=1,BQ$5&lt;=$H181),INDEX(Mortality!$B$4:$E$64,MATCH($D181+BQ$5-1,Mortality!$A$4:$A$64,0),$U181)*$V181*$N181,0)</f>
        <v>4.6451786069558959E-3</v>
      </c>
      <c r="BR181" s="93">
        <f>IF(AND($T181=1,BR$5&lt;=$H181),INDEX(Mortality!$B$4:$E$64,MATCH($D181+BR$5-1,Mortality!$A$4:$A$64,0),$U181)*$V181*$N181,0)</f>
        <v>5.0320619119556959E-3</v>
      </c>
      <c r="BS181" s="93">
        <f>IF(AND($T181=1,BS$5&lt;=$H181),INDEX(Mortality!$B$4:$E$64,MATCH($D181+BS$5-1,Mortality!$A$4:$A$64,0),$U181)*$V181*$N181,0)</f>
        <v>5.4511675929613361E-3</v>
      </c>
      <c r="BT181" s="93">
        <f>IF(AND($T181=1,BT$5&lt;=$H181),INDEX(Mortality!$B$4:$E$64,MATCH($D181+BT$5-1,Mortality!$A$4:$A$64,0),$U181)*$V181*$N181,0)</f>
        <v>0</v>
      </c>
      <c r="BU181" s="93">
        <f>IF(AND($T181=1,BU$5&lt;=$H181),INDEX(Mortality!$B$4:$E$64,MATCH($D181+BU$5-1,Mortality!$A$4:$A$64,0),$U181)*$V181*$N181,0)</f>
        <v>0</v>
      </c>
      <c r="BV181" s="93">
        <f>IF(AND($T181=1,BV$5&lt;=$H181),INDEX(Mortality!$B$4:$E$64,MATCH($D181+BV$5-1,Mortality!$A$4:$A$64,0),$U181)*$V181*$N181,0)</f>
        <v>0</v>
      </c>
      <c r="BW181" s="93">
        <f>IF(AND($T181=1,BW$5&lt;=$H181),INDEX(Mortality!$B$4:$E$64,MATCH($D181+BW$5-1,Mortality!$A$4:$A$64,0),$U181)*$V181*$N181,0)</f>
        <v>0</v>
      </c>
      <c r="BX181" s="93">
        <f>IF(AND($T181=1,BX$5&lt;=$H181),INDEX(Mortality!$B$4:$E$64,MATCH($D181+BX$5-1,Mortality!$A$4:$A$64,0),$U181)*$V181*$N181,0)</f>
        <v>0</v>
      </c>
      <c r="BY181" s="93">
        <f>IF(AND($T181=1,BY$5&lt;=$H181),INDEX(Mortality!$B$4:$E$64,MATCH($D181+BY$5-1,Mortality!$A$4:$A$64,0),$U181)*$V181*$N181,0)</f>
        <v>0</v>
      </c>
      <c r="BZ181" s="93">
        <f>IF(AND($T181=1,BZ$5&lt;=$H181),INDEX(Mortality!$B$4:$E$64,MATCH($D181+BZ$5-1,Mortality!$A$4:$A$64,0),$U181)*$V181*$N181,0)</f>
        <v>0</v>
      </c>
      <c r="CA181" s="93">
        <f>IF(AND($T181=1,CA$5&lt;=$H181),INDEX(Mortality!$B$4:$E$64,MATCH($D181+CA$5-1,Mortality!$A$4:$A$64,0),$U181)*$V181*$N181,0)</f>
        <v>0</v>
      </c>
      <c r="CB181" s="93">
        <f>IF(AND($T181=1,CB$5&lt;=$H181),INDEX(Mortality!$B$4:$E$64,MATCH($D181+CB$5-1,Mortality!$A$4:$A$64,0),$U181)*$V181*$N181,0)</f>
        <v>0</v>
      </c>
      <c r="CC181" s="93">
        <f>IF(AND($T181=1,CC$5&lt;=$H181),INDEX(Mortality!$B$4:$E$64,MATCH($D181+CC$5-1,Mortality!$A$4:$A$64,0),$U181)*$V181*$N181,0)</f>
        <v>0</v>
      </c>
      <c r="CD181" s="93">
        <f>IF(AND($T181=1,CD$5&lt;=$H181),INDEX(Mortality!$B$4:$E$64,MATCH($D181+CD$5-1,Mortality!$A$4:$A$64,0),$U181)*$V181*$N181,0)</f>
        <v>0</v>
      </c>
      <c r="CE181" s="93">
        <f>IF(AND($T181=1,CE$5&lt;=$H181),INDEX(Mortality!$B$4:$E$64,MATCH($D181+CE$5-1,Mortality!$A$4:$A$64,0),$U181)*$V181*$N181,0)</f>
        <v>0</v>
      </c>
      <c r="CF181" s="93">
        <f>IF(AND($T181=1,CF$5&lt;=$H181),INDEX(Mortality!$B$4:$E$64,MATCH($D181+CF$5-1,Mortality!$A$4:$A$64,0),$U181)*$V181*$N181,0)</f>
        <v>0</v>
      </c>
      <c r="CG181" s="93">
        <f>IF(AND($T181=1,CG$5&lt;=$H181),INDEX(Mortality!$B$4:$E$64,MATCH($D181+CG$5-1,Mortality!$A$4:$A$64,0),$U181)*$V181*$N181,0)</f>
        <v>0</v>
      </c>
      <c r="CH181" s="94">
        <f>IF(AND($T181=1,CH$5&lt;=$H181),INDEX(Mortality!$B$4:$E$64,MATCH($D181+CH$5-1,Mortality!$A$4:$A$64,0),$U181)*$V181*$N181,0)</f>
        <v>0</v>
      </c>
      <c r="CI181" s="26"/>
      <c r="CJ181" s="419">
        <f t="shared" si="71"/>
        <v>1</v>
      </c>
      <c r="CK181" s="93">
        <f>IF(AND($T181=1,CK$5&lt;=$H181),CJ181*(1-AU181)*(1-MIN(1,MAX(Assumptions!$C$27,Assumptions!$C$13*Assumptions!$C$28^(CJ$5-1))*$O181)),0)</f>
        <v>0.87929672237363665</v>
      </c>
      <c r="CL181" s="93">
        <f>IF(AND($T181=1,CL$5&lt;=$H181),CK181*(1-AV181)*(1-MIN(1,MAX(Assumptions!$C$27,Assumptions!$C$13*Assumptions!$C$28^(CK$5-1))*$O181)),0)</f>
        <v>0.78892486074533941</v>
      </c>
      <c r="CM181" s="93">
        <f>IF(AND($T181=1,CM$5&lt;=$H181),CL181*(1-AW181)*(1-MIN(1,MAX(Assumptions!$C$27,Assumptions!$C$13*Assumptions!$C$28^(CL$5-1))*$O181)),0)</f>
        <v>0.71984933420118391</v>
      </c>
      <c r="CN181" s="93">
        <f>IF(AND($T181=1,CN$5&lt;=$H181),CM181*(1-AX181)*(1-MIN(1,MAX(Assumptions!$C$27,Assumptions!$C$13*Assumptions!$C$28^(CM$5-1))*$O181)),0)</f>
        <v>0.6661225981661032</v>
      </c>
      <c r="CO181" s="93">
        <f>IF(AND($T181=1,CO$5&lt;=$H181),CN181*(1-AY181)*(1-MIN(1,MAX(Assumptions!$C$27,Assumptions!$C$13*Assumptions!$C$28^(CN$5-1))*$O181)),0)</f>
        <v>0.62370898622582549</v>
      </c>
      <c r="CP181" s="93">
        <f>IF(AND($T181=1,CP$5&lt;=$H181),CO181*(1-AZ181)*(1-MIN(1,MAX(Assumptions!$C$27,Assumptions!$C$13*Assumptions!$C$28^(CO$5-1))*$O181)),0)</f>
        <v>0.5897958126982985</v>
      </c>
      <c r="CQ181" s="93">
        <f>IF(AND($T181=1,CQ$5&lt;=$H181),CP181*(1-BA181)*(1-MIN(1,MAX(Assumptions!$C$27,Assumptions!$C$13*Assumptions!$C$28^(CP$5-1))*$O181)),0)</f>
        <v>0.56237560219759652</v>
      </c>
      <c r="CR181" s="93">
        <f>IF(AND($T181=1,CR$5&lt;=$H181),CQ181*(1-BB181)*(1-MIN(1,MAX(Assumptions!$C$27,Assumptions!$C$13*Assumptions!$C$28^(CQ$5-1))*$O181)),0)</f>
        <v>0.53998488239629683</v>
      </c>
      <c r="CS181" s="93">
        <f>IF(AND($T181=1,CS$5&lt;=$H181),CR181*(1-BC181)*(1-MIN(1,MAX(Assumptions!$C$27,Assumptions!$C$13*Assumptions!$C$28^(CR$5-1))*$O181)),0)</f>
        <v>0.52153633581513814</v>
      </c>
      <c r="CT181" s="93">
        <f>IF(AND($T181=1,CT$5&lt;=$H181),CS181*(1-BD181)*(1-MIN(1,MAX(Assumptions!$C$27,Assumptions!$C$13*Assumptions!$C$28^(CS$5-1))*$O181)),0)</f>
        <v>0.50620824742828918</v>
      </c>
      <c r="CU181" s="93">
        <f>IF(AND($T181=1,CU$5&lt;=$H181),CT181*(1-BE181)*(1-MIN(1,MAX(Assumptions!$C$27,Assumptions!$C$13*Assumptions!$C$28^(CT$5-1))*$O181)),0)</f>
        <v>0.49337003940462515</v>
      </c>
      <c r="CV181" s="93">
        <f>IF(AND($T181=1,CV$5&lt;=$H181),CU181*(1-BF181)*(1-MIN(1,MAX(Assumptions!$C$27,Assumptions!$C$13*Assumptions!$C$28^(CU$5-1))*$O181)),0)</f>
        <v>0.48253107523862965</v>
      </c>
      <c r="CW181" s="93">
        <f>IF(AND($T181=1,CW$5&lt;=$H181),CV181*(1-BG181)*(1-MIN(1,MAX(Assumptions!$C$27,Assumptions!$C$13*Assumptions!$C$28^(CV$5-1))*$O181)),0)</f>
        <v>0.4718934513654845</v>
      </c>
      <c r="CX181" s="93">
        <f>IF(AND($T181=1,CX$5&lt;=$H181),CW181*(1-BH181)*(1-MIN(1,MAX(Assumptions!$C$27,Assumptions!$C$13*Assumptions!$C$28^(CW$5-1))*$O181)),0)</f>
        <v>0.46140994660437973</v>
      </c>
      <c r="CY181" s="93">
        <f>IF(AND($T181=1,CY$5&lt;=$H181),CX181*(1-BI181)*(1-MIN(1,MAX(Assumptions!$C$27,Assumptions!$C$13*Assumptions!$C$28^(CX$5-1))*$O181)),0)</f>
        <v>0.45107418840097846</v>
      </c>
      <c r="CZ181" s="93">
        <f>IF(AND($T181=1,CZ$5&lt;=$H181),CY181*(1-BJ181)*(1-MIN(1,MAX(Assumptions!$C$27,Assumptions!$C$13*Assumptions!$C$28^(CY$5-1))*$O181)),0)</f>
        <v>0.44087977607758333</v>
      </c>
      <c r="DA181" s="93">
        <f>IF(AND($T181=1,DA$5&lt;=$H181),CZ181*(1-BK181)*(1-MIN(1,MAX(Assumptions!$C$27,Assumptions!$C$13*Assumptions!$C$28^(CZ$5-1))*$O181)),0)</f>
        <v>0.43082027857721789</v>
      </c>
      <c r="DB181" s="93">
        <f>IF(AND($T181=1,DB$5&lt;=$H181),DA181*(1-BL181)*(1-MIN(1,MAX(Assumptions!$C$27,Assumptions!$C$13*Assumptions!$C$28^(DA$5-1))*$O181)),0)</f>
        <v>0.42088923302031817</v>
      </c>
      <c r="DC181" s="93">
        <f>IF(AND($T181=1,DC$5&lt;=$H181),DB181*(1-BM181)*(1-MIN(1,MAX(Assumptions!$C$27,Assumptions!$C$13*Assumptions!$C$28^(DB$5-1))*$O181)),0)</f>
        <v>0.41108014422857325</v>
      </c>
      <c r="DD181" s="93">
        <f>IF(AND($T181=1,DD$5&lt;=$H181),DC181*(1-BN181)*(1-MIN(1,MAX(Assumptions!$C$27,Assumptions!$C$13*Assumptions!$C$28^(DC$5-1))*$O181)),0)</f>
        <v>0.40138648539225741</v>
      </c>
      <c r="DE181" s="93">
        <f>IF(AND($T181=1,DE$5&lt;=$H181),DD181*(1-BO181)*(1-MIN(1,MAX(Assumptions!$C$27,Assumptions!$C$13*Assumptions!$C$28^(DD$5-1))*$O181)),0)</f>
        <v>0.39180170008149334</v>
      </c>
      <c r="DF181" s="93">
        <f>IF(AND($T181=1,DF$5&lt;=$H181),DE181*(1-BP181)*(1-MIN(1,MAX(Assumptions!$C$27,Assumptions!$C$13*Assumptions!$C$28^(DE$5-1))*$O181)),0)</f>
        <v>0.3823192058283737</v>
      </c>
      <c r="DG181" s="93">
        <f>IF(AND($T181=1,DG$5&lt;=$H181),DF181*(1-BQ181)*(1-MIN(1,MAX(Assumptions!$C$27,Assumptions!$C$13*Assumptions!$C$28^(DF$5-1))*$O181)),0)</f>
        <v>0.37293239953578278</v>
      </c>
      <c r="DH181" s="93">
        <f>IF(AND($T181=1,DH$5&lt;=$H181),DG181*(1-BR181)*(1-MIN(1,MAX(Assumptions!$C$27,Assumptions!$C$13*Assumptions!$C$28^(DG$5-1))*$O181)),0)</f>
        <v>0.36363466500009761</v>
      </c>
      <c r="DI181" s="93">
        <f>IF(AND($T181=1,DI$5&lt;=$H181),DH181*(1-BS181)*(1-MIN(1,MAX(Assumptions!$C$27,Assumptions!$C$13*Assumptions!$C$28^(DH$5-1))*$O181)),0)</f>
        <v>0</v>
      </c>
      <c r="DJ181" s="93">
        <f>IF(AND($T181=1,DJ$5&lt;=$H181),DI181*(1-BT181)*(1-MIN(1,MAX(Assumptions!$C$27,Assumptions!$C$13*Assumptions!$C$28^(DI$5-1))*$O181)),0)</f>
        <v>0</v>
      </c>
      <c r="DK181" s="93">
        <f>IF(AND($T181=1,DK$5&lt;=$H181),DJ181*(1-BU181)*(1-MIN(1,MAX(Assumptions!$C$27,Assumptions!$C$13*Assumptions!$C$28^(DJ$5-1))*$O181)),0)</f>
        <v>0</v>
      </c>
      <c r="DL181" s="93">
        <f>IF(AND($T181=1,DL$5&lt;=$H181),DK181*(1-BV181)*(1-MIN(1,MAX(Assumptions!$C$27,Assumptions!$C$13*Assumptions!$C$28^(DK$5-1))*$O181)),0)</f>
        <v>0</v>
      </c>
      <c r="DM181" s="93">
        <f>IF(AND($T181=1,DM$5&lt;=$H181),DL181*(1-BW181)*(1-MIN(1,MAX(Assumptions!$C$27,Assumptions!$C$13*Assumptions!$C$28^(DL$5-1))*$O181)),0)</f>
        <v>0</v>
      </c>
      <c r="DN181" s="93">
        <f>IF(AND($T181=1,DN$5&lt;=$H181),DM181*(1-BX181)*(1-MIN(1,MAX(Assumptions!$C$27,Assumptions!$C$13*Assumptions!$C$28^(DM$5-1))*$O181)),0)</f>
        <v>0</v>
      </c>
      <c r="DO181" s="93">
        <f>IF(AND($T181=1,DO$5&lt;=$H181),DN181*(1-BY181)*(1-MIN(1,MAX(Assumptions!$C$27,Assumptions!$C$13*Assumptions!$C$28^(DN$5-1))*$O181)),0)</f>
        <v>0</v>
      </c>
      <c r="DP181" s="93">
        <f>IF(AND($T181=1,DP$5&lt;=$H181),DO181*(1-BZ181)*(1-MIN(1,MAX(Assumptions!$C$27,Assumptions!$C$13*Assumptions!$C$28^(DO$5-1))*$O181)),0)</f>
        <v>0</v>
      </c>
      <c r="DQ181" s="93">
        <f>IF(AND($T181=1,DQ$5&lt;=$H181),DP181*(1-CA181)*(1-MIN(1,MAX(Assumptions!$C$27,Assumptions!$C$13*Assumptions!$C$28^(DP$5-1))*$O181)),0)</f>
        <v>0</v>
      </c>
      <c r="DR181" s="93">
        <f>IF(AND($T181=1,DR$5&lt;=$H181),DQ181*(1-CB181)*(1-MIN(1,MAX(Assumptions!$C$27,Assumptions!$C$13*Assumptions!$C$28^(DQ$5-1))*$O181)),0)</f>
        <v>0</v>
      </c>
      <c r="DS181" s="93">
        <f>IF(AND($T181=1,DS$5&lt;=$H181),DR181*(1-CC181)*(1-MIN(1,MAX(Assumptions!$C$27,Assumptions!$C$13*Assumptions!$C$28^(DR$5-1))*$O181)),0)</f>
        <v>0</v>
      </c>
      <c r="DT181" s="93">
        <f>IF(AND($T181=1,DT$5&lt;=$H181),DS181*(1-CD181)*(1-MIN(1,MAX(Assumptions!$C$27,Assumptions!$C$13*Assumptions!$C$28^(DS$5-1))*$O181)),0)</f>
        <v>0</v>
      </c>
      <c r="DU181" s="93">
        <f>IF(AND($T181=1,DU$5&lt;=$H181),DT181*(1-CE181)*(1-MIN(1,MAX(Assumptions!$C$27,Assumptions!$C$13*Assumptions!$C$28^(DT$5-1))*$O181)),0)</f>
        <v>0</v>
      </c>
      <c r="DV181" s="93">
        <f>IF(AND($T181=1,DV$5&lt;=$H181),DU181*(1-CF181)*(1-MIN(1,MAX(Assumptions!$C$27,Assumptions!$C$13*Assumptions!$C$28^(DU$5-1))*$O181)),0)</f>
        <v>0</v>
      </c>
      <c r="DW181" s="94">
        <f>IF(AND($T181=1,DW$5&lt;=$H181),DV181*(1-CG181)*(1-MIN(1,MAX(Assumptions!$C$27,Assumptions!$C$13*Assumptions!$C$28^(DV$5-1))*$O181)),0)</f>
        <v>0</v>
      </c>
      <c r="DX181" s="26"/>
      <c r="DY181" s="399">
        <f>'Policy Data'!K155</f>
        <v>7</v>
      </c>
      <c r="DZ181" s="100">
        <f>'Policy Data'!L155</f>
        <v>0.64770000000000005</v>
      </c>
      <c r="EA181" s="100">
        <f>'Policy Data'!N155</f>
        <v>5.1800000000000001E-4</v>
      </c>
      <c r="EB181" s="93" cm="1">
        <f t="array" ref="EB181">IFERROR(DZ181*INDEX(Mortality!$B$4:$E$64,MATCH(D181+DY181-1,Mortality!$A$4:$A$64,0),U181)*V181,0)</f>
        <v>8.3652587228461158E-4</v>
      </c>
      <c r="EC181" s="100">
        <f>'Policy Data'!O155</f>
        <v>0</v>
      </c>
      <c r="ED181" s="400">
        <f>'Policy Data'!Q155</f>
        <v>0</v>
      </c>
    </row>
    <row r="182" spans="1:134" x14ac:dyDescent="0.3">
      <c r="A182" s="399" t="str">
        <f>'Policy Data'!A156</f>
        <v>POL100152</v>
      </c>
      <c r="B182" s="26" t="s">
        <v>426</v>
      </c>
      <c r="C182" s="100" t="str">
        <f>'Policy Data'!B156</f>
        <v>Term Life</v>
      </c>
      <c r="D182" s="100">
        <f>'Policy Data'!C156</f>
        <v>57</v>
      </c>
      <c r="E182" s="100" t="str">
        <f>'Policy Data'!D156</f>
        <v>Male</v>
      </c>
      <c r="F182" s="100" t="str">
        <f>'Policy Data'!E156</f>
        <v>Smoker</v>
      </c>
      <c r="G182" s="100" t="str">
        <f>'Policy Data'!F156</f>
        <v>Standard</v>
      </c>
      <c r="H182" s="100">
        <f>'Policy Data'!G156</f>
        <v>15</v>
      </c>
      <c r="I182" s="279">
        <f>'Policy Data'!H156</f>
        <v>1000000</v>
      </c>
      <c r="J182" s="100" t="str">
        <f>'Policy Data'!I156</f>
        <v>Monthly</v>
      </c>
      <c r="K182" s="100" t="str">
        <f>'Policy Data'!J156</f>
        <v>Broker</v>
      </c>
      <c r="L182" s="26" t="s">
        <v>389</v>
      </c>
      <c r="M182" s="106">
        <f>'Policy Data'!R156</f>
        <v>9766.7999999999993</v>
      </c>
      <c r="N182" s="415">
        <f>Assumptions!$C$21</f>
        <v>1</v>
      </c>
      <c r="O182" s="415">
        <f>Assumptions!$C$22</f>
        <v>1</v>
      </c>
      <c r="P182" s="415">
        <f>Assumptions!$C$23</f>
        <v>1</v>
      </c>
      <c r="Q182" s="416">
        <f>Assumptions!$C$24</f>
        <v>0</v>
      </c>
      <c r="R182" s="416">
        <f>Assumptions!$C$6+Assumptions!$C$25</f>
        <v>3.5000000000000003E-2</v>
      </c>
      <c r="S182" s="416">
        <f>Assumptions!$C$15</f>
        <v>1.1000000000000001E-3</v>
      </c>
      <c r="T182" s="26">
        <f t="shared" si="54"/>
        <v>1</v>
      </c>
      <c r="U182" s="26">
        <f t="shared" si="55"/>
        <v>4</v>
      </c>
      <c r="V182" s="389">
        <f>IF($G182="Preferred",Assumptions!$C$30,IF($G182="Rated",Assumptions!$C$31,1))</f>
        <v>1</v>
      </c>
      <c r="W182" s="390">
        <f>IF($K182="Direct",Assumptions!$C$32,IF($K182="Broker",Assumptions!$C$33,IF($K182="Bancassurance",Assumptions!$C$34,Assumptions!$C$11)))+$Q182</f>
        <v>0.25</v>
      </c>
      <c r="X182" s="390">
        <f>Assumptions!$C$12+$Q182</f>
        <v>0.05</v>
      </c>
      <c r="Y182" s="131">
        <f>MIN($I182,Assumptions!$C$14)</f>
        <v>500000</v>
      </c>
      <c r="Z182" s="131">
        <f>MAX($I182-Assumptions!$C$14,0)</f>
        <v>500000</v>
      </c>
      <c r="AA182" s="389">
        <f t="shared" si="56"/>
        <v>7.0445971310728215</v>
      </c>
      <c r="AB182" s="389">
        <f t="shared" si="57"/>
        <v>8.356212360838304E-2</v>
      </c>
      <c r="AC182" s="389">
        <f>IF($T182=1,SUMPRODUCT($CJ182:$DW182,(1+Assumptions!$C$5)^($CJ$5:$DW$5-1),(1+$R182)^(-$CJ$5:$DW$5)),0)</f>
        <v>8.7430792655848109</v>
      </c>
      <c r="AD182" s="389">
        <f t="shared" si="58"/>
        <v>0.54546657152948652</v>
      </c>
      <c r="AE182" s="131">
        <f>IF($T182=1,$AB182*$Y182+(Assumptions!$C$9/(1+$R182)+Assumptions!$C$10*$AC182)*$P182+$S182*$Z182*$AA182,0)</f>
        <v>48448.632882101534</v>
      </c>
      <c r="AF182" s="131">
        <f>IF($T182=1,IF($AA182-$AD182-Assumptions!$C$16*$AA182&gt;0,$AE182/($AA182-$AD182-Assumptions!$C$16*$AA182)*IF($J182="Monthly",1+Assumptions!$C$29,1),"n.a."),"")</f>
        <v>8407.3058683772051</v>
      </c>
      <c r="AG182" s="131">
        <f t="shared" si="59"/>
        <v>9766.7999999999993</v>
      </c>
      <c r="AH182" s="131">
        <f t="shared" si="60"/>
        <v>68803.171259762021</v>
      </c>
      <c r="AI182" s="131">
        <f t="shared" si="61"/>
        <v>15027.075466846305</v>
      </c>
      <c r="AJ182" s="390">
        <f t="shared" si="62"/>
        <v>0.21840672736017547</v>
      </c>
      <c r="AK182" s="389">
        <f t="shared" si="63"/>
        <v>1.1617038981222656</v>
      </c>
      <c r="AL182" s="131">
        <f t="shared" si="64"/>
        <v>41781.061804191522</v>
      </c>
      <c r="AM182" s="131">
        <f t="shared" si="65"/>
        <v>3874.5284220900517</v>
      </c>
      <c r="AN182" s="131">
        <f t="shared" si="66"/>
        <v>37906.533382101472</v>
      </c>
      <c r="AO182" s="131">
        <f t="shared" si="67"/>
        <v>-22879.457915255167</v>
      </c>
      <c r="AP182" s="26" t="str">
        <f t="shared" si="68"/>
        <v>50-59</v>
      </c>
      <c r="AQ182" s="26" t="str">
        <f t="shared" si="69"/>
        <v>500k-1m</v>
      </c>
      <c r="AR182" s="26" t="str">
        <f>IF($T182=1,IF($AI182&lt;0,"Loss-making",IF($AJ182&lt;Assumptions!$C$16-0.00001,"Below target","At/above target")),"Excluded")</f>
        <v>At/above target</v>
      </c>
      <c r="AS182" s="103">
        <f t="shared" si="70"/>
        <v>15027.075648846305</v>
      </c>
      <c r="AT182" s="26"/>
      <c r="AU182" s="419">
        <f>IF(AND($T182=1,AU$5&lt;=$H182),INDEX(Mortality!$B$4:$E$64,MATCH($D182+AU$5-1,Mortality!$A$4:$A$64,0),$U182)*$V182*$N182,0)</f>
        <v>7.4040676681204802E-3</v>
      </c>
      <c r="AV182" s="93">
        <f>IF(AND($T182=1,AV$5&lt;=$H182),INDEX(Mortality!$B$4:$E$64,MATCH($D182+AV$5-1,Mortality!$A$4:$A$64,0),$U182)*$V182*$N182,0)</f>
        <v>8.0207307530652094E-3</v>
      </c>
      <c r="AW182" s="93">
        <f>IF(AND($T182=1,AW$5&lt;=$H182),INDEX(Mortality!$B$4:$E$64,MATCH($D182+AW$5-1,Mortality!$A$4:$A$64,0),$U182)*$V182*$N182,0)</f>
        <v>8.6887538980983704E-3</v>
      </c>
      <c r="AX182" s="93">
        <f>IF(AND($T182=1,AX$5&lt;=$H182),INDEX(Mortality!$B$4:$E$64,MATCH($D182+AX$5-1,Mortality!$A$4:$A$64,0),$U182)*$V182*$N182,0)</f>
        <v>9.4124147320203497E-3</v>
      </c>
      <c r="AY182" s="93">
        <f>IF(AND($T182=1,AY$5&lt;=$H182),INDEX(Mortality!$B$4:$E$64,MATCH($D182+AY$5-1,Mortality!$A$4:$A$64,0),$U182)*$V182*$N182,0)</f>
        <v>1.01963471547909E-2</v>
      </c>
      <c r="AZ182" s="93">
        <f>IF(AND($T182=1,AZ$5&lt;=$H182),INDEX(Mortality!$B$4:$E$64,MATCH($D182+AZ$5-1,Mortality!$A$4:$A$64,0),$U182)*$V182*$N182,0)</f>
        <v>1.1045571010309301E-2</v>
      </c>
      <c r="BA182" s="93">
        <f>IF(AND($T182=1,BA$5&lt;=$H182),INDEX(Mortality!$B$4:$E$64,MATCH($D182+BA$5-1,Mortality!$A$4:$A$64,0),$U182)*$V182*$N182,0)</f>
        <v>1.19655242305535E-2</v>
      </c>
      <c r="BB182" s="93">
        <f>IF(AND($T182=1,BB$5&lt;=$H182),INDEX(Mortality!$B$4:$E$64,MATCH($D182+BB$5-1,Mortality!$A$4:$A$64,0),$U182)*$V182*$N182,0)</f>
        <v>1.2962097656909999E-2</v>
      </c>
      <c r="BC182" s="93">
        <f>IF(AND($T182=1,BC$5&lt;=$H182),INDEX(Mortality!$B$4:$E$64,MATCH($D182+BC$5-1,Mortality!$A$4:$A$64,0),$U182)*$V182*$N182,0)</f>
        <v>1.4041672761670501E-2</v>
      </c>
      <c r="BD182" s="93">
        <f>IF(AND($T182=1,BD$5&lt;=$H182),INDEX(Mortality!$B$4:$E$64,MATCH($D182+BD$5-1,Mortality!$A$4:$A$64,0),$U182)*$V182*$N182,0)</f>
        <v>1.52111625112414E-2</v>
      </c>
      <c r="BE182" s="93">
        <f>IF(AND($T182=1,BE$5&lt;=$H182),INDEX(Mortality!$B$4:$E$64,MATCH($D182+BE$5-1,Mortality!$A$4:$A$64,0),$U182)*$V182*$N182,0)</f>
        <v>1.6478055632729902E-2</v>
      </c>
      <c r="BF182" s="93">
        <f>IF(AND($T182=1,BF$5&lt;=$H182),INDEX(Mortality!$B$4:$E$64,MATCH($D182+BF$5-1,Mortality!$A$4:$A$64,0),$U182)*$V182*$N182,0)</f>
        <v>1.7850464567364801E-2</v>
      </c>
      <c r="BG182" s="93">
        <f>IF(AND($T182=1,BG$5&lt;=$H182),INDEX(Mortality!$B$4:$E$64,MATCH($D182+BG$5-1,Mortality!$A$4:$A$64,0),$U182)*$V182*$N182,0)</f>
        <v>1.93371774178164E-2</v>
      </c>
      <c r="BH182" s="93">
        <f>IF(AND($T182=1,BH$5&lt;=$H182),INDEX(Mortality!$B$4:$E$64,MATCH($D182+BH$5-1,Mortality!$A$4:$A$64,0),$U182)*$V182*$N182,0)</f>
        <v>2.0947714222056699E-2</v>
      </c>
      <c r="BI182" s="93">
        <f>IF(AND($T182=1,BI$5&lt;=$H182),INDEX(Mortality!$B$4:$E$64,MATCH($D182+BI$5-1,Mortality!$A$4:$A$64,0),$U182)*$V182*$N182,0)</f>
        <v>2.2692387914104901E-2</v>
      </c>
      <c r="BJ182" s="93">
        <f>IF(AND($T182=1,BJ$5&lt;=$H182),INDEX(Mortality!$B$4:$E$64,MATCH($D182+BJ$5-1,Mortality!$A$4:$A$64,0),$U182)*$V182*$N182,0)</f>
        <v>0</v>
      </c>
      <c r="BK182" s="93">
        <f>IF(AND($T182=1,BK$5&lt;=$H182),INDEX(Mortality!$B$4:$E$64,MATCH($D182+BK$5-1,Mortality!$A$4:$A$64,0),$U182)*$V182*$N182,0)</f>
        <v>0</v>
      </c>
      <c r="BL182" s="93">
        <f>IF(AND($T182=1,BL$5&lt;=$H182),INDEX(Mortality!$B$4:$E$64,MATCH($D182+BL$5-1,Mortality!$A$4:$A$64,0),$U182)*$V182*$N182,0)</f>
        <v>0</v>
      </c>
      <c r="BM182" s="93">
        <f>IF(AND($T182=1,BM$5&lt;=$H182),INDEX(Mortality!$B$4:$E$64,MATCH($D182+BM$5-1,Mortality!$A$4:$A$64,0),$U182)*$V182*$N182,0)</f>
        <v>0</v>
      </c>
      <c r="BN182" s="93">
        <f>IF(AND($T182=1,BN$5&lt;=$H182),INDEX(Mortality!$B$4:$E$64,MATCH($D182+BN$5-1,Mortality!$A$4:$A$64,0),$U182)*$V182*$N182,0)</f>
        <v>0</v>
      </c>
      <c r="BO182" s="93">
        <f>IF(AND($T182=1,BO$5&lt;=$H182),INDEX(Mortality!$B$4:$E$64,MATCH($D182+BO$5-1,Mortality!$A$4:$A$64,0),$U182)*$V182*$N182,0)</f>
        <v>0</v>
      </c>
      <c r="BP182" s="93">
        <f>IF(AND($T182=1,BP$5&lt;=$H182),INDEX(Mortality!$B$4:$E$64,MATCH($D182+BP$5-1,Mortality!$A$4:$A$64,0),$U182)*$V182*$N182,0)</f>
        <v>0</v>
      </c>
      <c r="BQ182" s="93">
        <f>IF(AND($T182=1,BQ$5&lt;=$H182),INDEX(Mortality!$B$4:$E$64,MATCH($D182+BQ$5-1,Mortality!$A$4:$A$64,0),$U182)*$V182*$N182,0)</f>
        <v>0</v>
      </c>
      <c r="BR182" s="93">
        <f>IF(AND($T182=1,BR$5&lt;=$H182),INDEX(Mortality!$B$4:$E$64,MATCH($D182+BR$5-1,Mortality!$A$4:$A$64,0),$U182)*$V182*$N182,0)</f>
        <v>0</v>
      </c>
      <c r="BS182" s="93">
        <f>IF(AND($T182=1,BS$5&lt;=$H182),INDEX(Mortality!$B$4:$E$64,MATCH($D182+BS$5-1,Mortality!$A$4:$A$64,0),$U182)*$V182*$N182,0)</f>
        <v>0</v>
      </c>
      <c r="BT182" s="93">
        <f>IF(AND($T182=1,BT$5&lt;=$H182),INDEX(Mortality!$B$4:$E$64,MATCH($D182+BT$5-1,Mortality!$A$4:$A$64,0),$U182)*$V182*$N182,0)</f>
        <v>0</v>
      </c>
      <c r="BU182" s="93">
        <f>IF(AND($T182=1,BU$5&lt;=$H182),INDEX(Mortality!$B$4:$E$64,MATCH($D182+BU$5-1,Mortality!$A$4:$A$64,0),$U182)*$V182*$N182,0)</f>
        <v>0</v>
      </c>
      <c r="BV182" s="93">
        <f>IF(AND($T182=1,BV$5&lt;=$H182),INDEX(Mortality!$B$4:$E$64,MATCH($D182+BV$5-1,Mortality!$A$4:$A$64,0),$U182)*$V182*$N182,0)</f>
        <v>0</v>
      </c>
      <c r="BW182" s="93">
        <f>IF(AND($T182=1,BW$5&lt;=$H182),INDEX(Mortality!$B$4:$E$64,MATCH($D182+BW$5-1,Mortality!$A$4:$A$64,0),$U182)*$V182*$N182,0)</f>
        <v>0</v>
      </c>
      <c r="BX182" s="93">
        <f>IF(AND($T182=1,BX$5&lt;=$H182),INDEX(Mortality!$B$4:$E$64,MATCH($D182+BX$5-1,Mortality!$A$4:$A$64,0),$U182)*$V182*$N182,0)</f>
        <v>0</v>
      </c>
      <c r="BY182" s="93">
        <f>IF(AND($T182=1,BY$5&lt;=$H182),INDEX(Mortality!$B$4:$E$64,MATCH($D182+BY$5-1,Mortality!$A$4:$A$64,0),$U182)*$V182*$N182,0)</f>
        <v>0</v>
      </c>
      <c r="BZ182" s="93">
        <f>IF(AND($T182=1,BZ$5&lt;=$H182),INDEX(Mortality!$B$4:$E$64,MATCH($D182+BZ$5-1,Mortality!$A$4:$A$64,0),$U182)*$V182*$N182,0)</f>
        <v>0</v>
      </c>
      <c r="CA182" s="93">
        <f>IF(AND($T182=1,CA$5&lt;=$H182),INDEX(Mortality!$B$4:$E$64,MATCH($D182+CA$5-1,Mortality!$A$4:$A$64,0),$U182)*$V182*$N182,0)</f>
        <v>0</v>
      </c>
      <c r="CB182" s="93">
        <f>IF(AND($T182=1,CB$5&lt;=$H182),INDEX(Mortality!$B$4:$E$64,MATCH($D182+CB$5-1,Mortality!$A$4:$A$64,0),$U182)*$V182*$N182,0)</f>
        <v>0</v>
      </c>
      <c r="CC182" s="93">
        <f>IF(AND($T182=1,CC$5&lt;=$H182),INDEX(Mortality!$B$4:$E$64,MATCH($D182+CC$5-1,Mortality!$A$4:$A$64,0),$U182)*$V182*$N182,0)</f>
        <v>0</v>
      </c>
      <c r="CD182" s="93">
        <f>IF(AND($T182=1,CD$5&lt;=$H182),INDEX(Mortality!$B$4:$E$64,MATCH($D182+CD$5-1,Mortality!$A$4:$A$64,0),$U182)*$V182*$N182,0)</f>
        <v>0</v>
      </c>
      <c r="CE182" s="93">
        <f>IF(AND($T182=1,CE$5&lt;=$H182),INDEX(Mortality!$B$4:$E$64,MATCH($D182+CE$5-1,Mortality!$A$4:$A$64,0),$U182)*$V182*$N182,0)</f>
        <v>0</v>
      </c>
      <c r="CF182" s="93">
        <f>IF(AND($T182=1,CF$5&lt;=$H182),INDEX(Mortality!$B$4:$E$64,MATCH($D182+CF$5-1,Mortality!$A$4:$A$64,0),$U182)*$V182*$N182,0)</f>
        <v>0</v>
      </c>
      <c r="CG182" s="93">
        <f>IF(AND($T182=1,CG$5&lt;=$H182),INDEX(Mortality!$B$4:$E$64,MATCH($D182+CG$5-1,Mortality!$A$4:$A$64,0),$U182)*$V182*$N182,0)</f>
        <v>0</v>
      </c>
      <c r="CH182" s="94">
        <f>IF(AND($T182=1,CH$5&lt;=$H182),INDEX(Mortality!$B$4:$E$64,MATCH($D182+CH$5-1,Mortality!$A$4:$A$64,0),$U182)*$V182*$N182,0)</f>
        <v>0</v>
      </c>
      <c r="CI182" s="26"/>
      <c r="CJ182" s="419">
        <f t="shared" si="71"/>
        <v>1</v>
      </c>
      <c r="CK182" s="93">
        <f>IF(AND($T182=1,CK$5&lt;=$H182),CJ182*(1-AU182)*(1-MIN(1,MAX(Assumptions!$C$27,Assumptions!$C$13*Assumptions!$C$28^(CJ$5-1))*$O182)),0)</f>
        <v>0.87348442045205399</v>
      </c>
      <c r="CL182" s="93">
        <f>IF(AND($T182=1,CL$5&lt;=$H182),CK182*(1-AV182)*(1-MIN(1,MAX(Assumptions!$C$27,Assumptions!$C$13*Assumptions!$C$28^(CK$5-1))*$O182)),0)</f>
        <v>0.77809763651455255</v>
      </c>
      <c r="CM182" s="93">
        <f>IF(AND($T182=1,CM$5&lt;=$H182),CL182*(1-AW182)*(1-MIN(1,MAX(Assumptions!$C$27,Assumptions!$C$13*Assumptions!$C$28^(CL$5-1))*$O182)),0)</f>
        <v>0.70446202514860812</v>
      </c>
      <c r="CN182" s="93">
        <f>IF(AND($T182=1,CN$5&lt;=$H182),CM182*(1-AX182)*(1-MIN(1,MAX(Assumptions!$C$27,Assumptions!$C$13*Assumptions!$C$28^(CM$5-1))*$O182)),0)</f>
        <v>0.64640465606858766</v>
      </c>
      <c r="CO182" s="93">
        <f>IF(AND($T182=1,CO$5&lt;=$H182),CN182*(1-AY182)*(1-MIN(1,MAX(Assumptions!$C$27,Assumptions!$C$13*Assumptions!$C$28^(CN$5-1))*$O182)),0)</f>
        <v>0.5997352804039483</v>
      </c>
      <c r="CP182" s="93">
        <f>IF(AND($T182=1,CP$5&lt;=$H182),CO182*(1-AZ182)*(1-MIN(1,MAX(Assumptions!$C$27,Assumptions!$C$13*Assumptions!$C$28^(CO$5-1))*$O182)),0)</f>
        <v>0.56153088894423719</v>
      </c>
      <c r="CQ182" s="93">
        <f>IF(AND($T182=1,CQ$5&lt;=$H182),CP182*(1-BA182)*(1-MIN(1,MAX(Assumptions!$C$27,Assumptions!$C$13*Assumptions!$C$28^(CP$5-1))*$O182)),0)</f>
        <v>0.52970223378353287</v>
      </c>
      <c r="CR182" s="93">
        <f>IF(AND($T182=1,CR$5&lt;=$H182),CQ182*(1-BB182)*(1-MIN(1,MAX(Assumptions!$C$27,Assumptions!$C$13*Assumptions!$C$28^(CQ$5-1))*$O182)),0)</f>
        <v>0.50272306560684499</v>
      </c>
      <c r="CS182" s="93">
        <f>IF(AND($T182=1,CS$5&lt;=$H182),CR182*(1-BC182)*(1-MIN(1,MAX(Assumptions!$C$27,Assumptions!$C$13*Assumptions!$C$28^(CR$5-1))*$O182)),0)</f>
        <v>0.47945634383195024</v>
      </c>
      <c r="CT182" s="93">
        <f>IF(AND($T182=1,CT$5&lt;=$H182),CS182*(1-BD182)*(1-MIN(1,MAX(Assumptions!$C$27,Assumptions!$C$13*Assumptions!$C$28^(CS$5-1))*$O182)),0)</f>
        <v>0.45903993410341631</v>
      </c>
      <c r="CU182" s="93">
        <f>IF(AND($T182=1,CU$5&lt;=$H182),CT182*(1-BE182)*(1-MIN(1,MAX(Assumptions!$C$27,Assumptions!$C$13*Assumptions!$C$28^(CT$5-1))*$O182)),0)</f>
        <v>0.44080976388114951</v>
      </c>
      <c r="CV182" s="93">
        <f>IF(AND($T182=1,CV$5&lt;=$H182),CU182*(1-BF182)*(1-MIN(1,MAX(Assumptions!$C$27,Assumptions!$C$13*Assumptions!$C$28^(CU$5-1))*$O182)),0)</f>
        <v>0.42424713255338331</v>
      </c>
      <c r="CW182" s="93">
        <f>IF(AND($T182=1,CW$5&lt;=$H182),CV182*(1-BG182)*(1-MIN(1,MAX(Assumptions!$C$27,Assumptions!$C$13*Assumptions!$C$28^(CV$5-1))*$O182)),0)</f>
        <v>0.40772252267255471</v>
      </c>
      <c r="CX182" s="93">
        <f>IF(AND($T182=1,CX$5&lt;=$H182),CW182*(1-BH182)*(1-MIN(1,MAX(Assumptions!$C$27,Assumptions!$C$13*Assumptions!$C$28^(CW$5-1))*$O182)),0)</f>
        <v>0.39119803442999973</v>
      </c>
      <c r="CY182" s="93">
        <f>IF(AND($T182=1,CY$5&lt;=$H182),CX182*(1-BI182)*(1-MIN(1,MAX(Assumptions!$C$27,Assumptions!$C$13*Assumptions!$C$28^(CX$5-1))*$O182)),0)</f>
        <v>0</v>
      </c>
      <c r="CZ182" s="93">
        <f>IF(AND($T182=1,CZ$5&lt;=$H182),CY182*(1-BJ182)*(1-MIN(1,MAX(Assumptions!$C$27,Assumptions!$C$13*Assumptions!$C$28^(CY$5-1))*$O182)),0)</f>
        <v>0</v>
      </c>
      <c r="DA182" s="93">
        <f>IF(AND($T182=1,DA$5&lt;=$H182),CZ182*(1-BK182)*(1-MIN(1,MAX(Assumptions!$C$27,Assumptions!$C$13*Assumptions!$C$28^(CZ$5-1))*$O182)),0)</f>
        <v>0</v>
      </c>
      <c r="DB182" s="93">
        <f>IF(AND($T182=1,DB$5&lt;=$H182),DA182*(1-BL182)*(1-MIN(1,MAX(Assumptions!$C$27,Assumptions!$C$13*Assumptions!$C$28^(DA$5-1))*$O182)),0)</f>
        <v>0</v>
      </c>
      <c r="DC182" s="93">
        <f>IF(AND($T182=1,DC$5&lt;=$H182),DB182*(1-BM182)*(1-MIN(1,MAX(Assumptions!$C$27,Assumptions!$C$13*Assumptions!$C$28^(DB$5-1))*$O182)),0)</f>
        <v>0</v>
      </c>
      <c r="DD182" s="93">
        <f>IF(AND($T182=1,DD$5&lt;=$H182),DC182*(1-BN182)*(1-MIN(1,MAX(Assumptions!$C$27,Assumptions!$C$13*Assumptions!$C$28^(DC$5-1))*$O182)),0)</f>
        <v>0</v>
      </c>
      <c r="DE182" s="93">
        <f>IF(AND($T182=1,DE$5&lt;=$H182),DD182*(1-BO182)*(1-MIN(1,MAX(Assumptions!$C$27,Assumptions!$C$13*Assumptions!$C$28^(DD$5-1))*$O182)),0)</f>
        <v>0</v>
      </c>
      <c r="DF182" s="93">
        <f>IF(AND($T182=1,DF$5&lt;=$H182),DE182*(1-BP182)*(1-MIN(1,MAX(Assumptions!$C$27,Assumptions!$C$13*Assumptions!$C$28^(DE$5-1))*$O182)),0)</f>
        <v>0</v>
      </c>
      <c r="DG182" s="93">
        <f>IF(AND($T182=1,DG$5&lt;=$H182),DF182*(1-BQ182)*(1-MIN(1,MAX(Assumptions!$C$27,Assumptions!$C$13*Assumptions!$C$28^(DF$5-1))*$O182)),0)</f>
        <v>0</v>
      </c>
      <c r="DH182" s="93">
        <f>IF(AND($T182=1,DH$5&lt;=$H182),DG182*(1-BR182)*(1-MIN(1,MAX(Assumptions!$C$27,Assumptions!$C$13*Assumptions!$C$28^(DG$5-1))*$O182)),0)</f>
        <v>0</v>
      </c>
      <c r="DI182" s="93">
        <f>IF(AND($T182=1,DI$5&lt;=$H182),DH182*(1-BS182)*(1-MIN(1,MAX(Assumptions!$C$27,Assumptions!$C$13*Assumptions!$C$28^(DH$5-1))*$O182)),0)</f>
        <v>0</v>
      </c>
      <c r="DJ182" s="93">
        <f>IF(AND($T182=1,DJ$5&lt;=$H182),DI182*(1-BT182)*(1-MIN(1,MAX(Assumptions!$C$27,Assumptions!$C$13*Assumptions!$C$28^(DI$5-1))*$O182)),0)</f>
        <v>0</v>
      </c>
      <c r="DK182" s="93">
        <f>IF(AND($T182=1,DK$5&lt;=$H182),DJ182*(1-BU182)*(1-MIN(1,MAX(Assumptions!$C$27,Assumptions!$C$13*Assumptions!$C$28^(DJ$5-1))*$O182)),0)</f>
        <v>0</v>
      </c>
      <c r="DL182" s="93">
        <f>IF(AND($T182=1,DL$5&lt;=$H182),DK182*(1-BV182)*(1-MIN(1,MAX(Assumptions!$C$27,Assumptions!$C$13*Assumptions!$C$28^(DK$5-1))*$O182)),0)</f>
        <v>0</v>
      </c>
      <c r="DM182" s="93">
        <f>IF(AND($T182=1,DM$5&lt;=$H182),DL182*(1-BW182)*(1-MIN(1,MAX(Assumptions!$C$27,Assumptions!$C$13*Assumptions!$C$28^(DL$5-1))*$O182)),0)</f>
        <v>0</v>
      </c>
      <c r="DN182" s="93">
        <f>IF(AND($T182=1,DN$5&lt;=$H182),DM182*(1-BX182)*(1-MIN(1,MAX(Assumptions!$C$27,Assumptions!$C$13*Assumptions!$C$28^(DM$5-1))*$O182)),0)</f>
        <v>0</v>
      </c>
      <c r="DO182" s="93">
        <f>IF(AND($T182=1,DO$5&lt;=$H182),DN182*(1-BY182)*(1-MIN(1,MAX(Assumptions!$C$27,Assumptions!$C$13*Assumptions!$C$28^(DN$5-1))*$O182)),0)</f>
        <v>0</v>
      </c>
      <c r="DP182" s="93">
        <f>IF(AND($T182=1,DP$5&lt;=$H182),DO182*(1-BZ182)*(1-MIN(1,MAX(Assumptions!$C$27,Assumptions!$C$13*Assumptions!$C$28^(DO$5-1))*$O182)),0)</f>
        <v>0</v>
      </c>
      <c r="DQ182" s="93">
        <f>IF(AND($T182=1,DQ$5&lt;=$H182),DP182*(1-CA182)*(1-MIN(1,MAX(Assumptions!$C$27,Assumptions!$C$13*Assumptions!$C$28^(DP$5-1))*$O182)),0)</f>
        <v>0</v>
      </c>
      <c r="DR182" s="93">
        <f>IF(AND($T182=1,DR$5&lt;=$H182),DQ182*(1-CB182)*(1-MIN(1,MAX(Assumptions!$C$27,Assumptions!$C$13*Assumptions!$C$28^(DQ$5-1))*$O182)),0)</f>
        <v>0</v>
      </c>
      <c r="DS182" s="93">
        <f>IF(AND($T182=1,DS$5&lt;=$H182),DR182*(1-CC182)*(1-MIN(1,MAX(Assumptions!$C$27,Assumptions!$C$13*Assumptions!$C$28^(DR$5-1))*$O182)),0)</f>
        <v>0</v>
      </c>
      <c r="DT182" s="93">
        <f>IF(AND($T182=1,DT$5&lt;=$H182),DS182*(1-CD182)*(1-MIN(1,MAX(Assumptions!$C$27,Assumptions!$C$13*Assumptions!$C$28^(DS$5-1))*$O182)),0)</f>
        <v>0</v>
      </c>
      <c r="DU182" s="93">
        <f>IF(AND($T182=1,DU$5&lt;=$H182),DT182*(1-CE182)*(1-MIN(1,MAX(Assumptions!$C$27,Assumptions!$C$13*Assumptions!$C$28^(DT$5-1))*$O182)),0)</f>
        <v>0</v>
      </c>
      <c r="DV182" s="93">
        <f>IF(AND($T182=1,DV$5&lt;=$H182),DU182*(1-CF182)*(1-MIN(1,MAX(Assumptions!$C$27,Assumptions!$C$13*Assumptions!$C$28^(DU$5-1))*$O182)),0)</f>
        <v>0</v>
      </c>
      <c r="DW182" s="94">
        <f>IF(AND($T182=1,DW$5&lt;=$H182),DV182*(1-CG182)*(1-MIN(1,MAX(Assumptions!$C$27,Assumptions!$C$13*Assumptions!$C$28^(DV$5-1))*$O182)),0)</f>
        <v>0</v>
      </c>
      <c r="DX182" s="26"/>
      <c r="DY182" s="399">
        <f>'Policy Data'!K156</f>
        <v>3</v>
      </c>
      <c r="DZ182" s="100">
        <f>'Policy Data'!L156</f>
        <v>0.54849999999999999</v>
      </c>
      <c r="EA182" s="100">
        <f>'Policy Data'!N156</f>
        <v>4.0610000000000004E-3</v>
      </c>
      <c r="EB182" s="93" cm="1">
        <f t="array" ref="EB182">IFERROR(DZ182*INDEX(Mortality!$B$4:$E$64,MATCH(D182+DY182-1,Mortality!$A$4:$A$64,0),U182)*V182,0)</f>
        <v>4.7657815131069564E-3</v>
      </c>
      <c r="EC182" s="100">
        <f>'Policy Data'!O156</f>
        <v>0</v>
      </c>
      <c r="ED182" s="400">
        <f>'Policy Data'!Q156</f>
        <v>0</v>
      </c>
    </row>
    <row r="183" spans="1:134" x14ac:dyDescent="0.3">
      <c r="A183" s="399" t="str">
        <f>'Policy Data'!A157</f>
        <v>POL100153</v>
      </c>
      <c r="B183" s="26" t="s">
        <v>426</v>
      </c>
      <c r="C183" s="100" t="str">
        <f>'Policy Data'!B157</f>
        <v>Term Life</v>
      </c>
      <c r="D183" s="100">
        <f>'Policy Data'!C157</f>
        <v>42</v>
      </c>
      <c r="E183" s="100" t="str">
        <f>'Policy Data'!D157</f>
        <v>Female</v>
      </c>
      <c r="F183" s="100" t="str">
        <f>'Policy Data'!E157</f>
        <v>Non-smoker</v>
      </c>
      <c r="G183" s="100" t="str">
        <f>'Policy Data'!F157</f>
        <v>Standard</v>
      </c>
      <c r="H183" s="100">
        <f>'Policy Data'!G157</f>
        <v>20</v>
      </c>
      <c r="I183" s="279">
        <f>'Policy Data'!H157</f>
        <v>2000000</v>
      </c>
      <c r="J183" s="100" t="str">
        <f>'Policy Data'!I157</f>
        <v>Annual</v>
      </c>
      <c r="K183" s="100" t="str">
        <f>'Policy Data'!J157</f>
        <v>Bancassurance</v>
      </c>
      <c r="L183" s="26" t="s">
        <v>389</v>
      </c>
      <c r="M183" s="106">
        <f>'Policy Data'!R157</f>
        <v>3937.58</v>
      </c>
      <c r="N183" s="415">
        <f>Assumptions!$C$21</f>
        <v>1</v>
      </c>
      <c r="O183" s="415">
        <f>Assumptions!$C$22</f>
        <v>1</v>
      </c>
      <c r="P183" s="415">
        <f>Assumptions!$C$23</f>
        <v>1</v>
      </c>
      <c r="Q183" s="416">
        <f>Assumptions!$C$24</f>
        <v>0</v>
      </c>
      <c r="R183" s="416">
        <f>Assumptions!$C$6+Assumptions!$C$25</f>
        <v>3.5000000000000003E-2</v>
      </c>
      <c r="S183" s="416">
        <f>Assumptions!$C$15</f>
        <v>1.1000000000000001E-3</v>
      </c>
      <c r="T183" s="26">
        <f t="shared" si="54"/>
        <v>1</v>
      </c>
      <c r="U183" s="26">
        <f t="shared" si="55"/>
        <v>1</v>
      </c>
      <c r="V183" s="389">
        <f>IF($G183="Preferred",Assumptions!$C$30,IF($G183="Rated",Assumptions!$C$31,1))</f>
        <v>1</v>
      </c>
      <c r="W183" s="390">
        <f>IF($K183="Direct",Assumptions!$C$32,IF($K183="Broker",Assumptions!$C$33,IF($K183="Bancassurance",Assumptions!$C$34,Assumptions!$C$11)))+$Q183</f>
        <v>0.2</v>
      </c>
      <c r="X183" s="390">
        <f>Assumptions!$C$12+$Q183</f>
        <v>0.05</v>
      </c>
      <c r="Y183" s="131">
        <f>MIN($I183,Assumptions!$C$14)</f>
        <v>500000</v>
      </c>
      <c r="Z183" s="131">
        <f>MAX($I183-Assumptions!$C$14,0)</f>
        <v>1500000</v>
      </c>
      <c r="AA183" s="389">
        <f t="shared" si="56"/>
        <v>8.5434537372290205</v>
      </c>
      <c r="AB183" s="389">
        <f t="shared" si="57"/>
        <v>1.6504823815727931E-2</v>
      </c>
      <c r="AC183" s="389">
        <f>IF($T183=1,SUMPRODUCT($CJ183:$DW183,(1+Assumptions!$C$5)^($CJ$5:$DW$5-1),(1+$R183)^(-$CJ$5:$DW$5)),0)</f>
        <v>11.484940417911369</v>
      </c>
      <c r="AD183" s="389">
        <f t="shared" si="58"/>
        <v>0.57210022309333519</v>
      </c>
      <c r="AE183" s="131">
        <f>IF($T183=1,$AB183*$Y183+(Assumptions!$C$9/(1+$R183)+Assumptions!$C$10*$AC183)*$P183+$S183*$Z183*$AA183,0)</f>
        <v>25745.362683623654</v>
      </c>
      <c r="AF183" s="131">
        <f>IF($T183=1,IF($AA183-$AD183-Assumptions!$C$16*$AA183&gt;0,$AE183/($AA183-$AD183-Assumptions!$C$16*$AA183)*IF($J183="Monthly",1+Assumptions!$C$29,1),"n.a."),"")</f>
        <v>3532.6284902383259</v>
      </c>
      <c r="AG183" s="131">
        <f t="shared" si="59"/>
        <v>3937.58</v>
      </c>
      <c r="AH183" s="131">
        <f t="shared" si="60"/>
        <v>33640.532566638249</v>
      </c>
      <c r="AI183" s="131">
        <f t="shared" si="61"/>
        <v>5642.4794865667391</v>
      </c>
      <c r="AJ183" s="390">
        <f t="shared" si="62"/>
        <v>0.16772860166198614</v>
      </c>
      <c r="AK183" s="389">
        <f t="shared" si="63"/>
        <v>1.1146317850520291</v>
      </c>
      <c r="AL183" s="131">
        <f t="shared" si="64"/>
        <v>24757.235723591897</v>
      </c>
      <c r="AM183" s="131">
        <f t="shared" si="65"/>
        <v>14096.698666427883</v>
      </c>
      <c r="AN183" s="131">
        <f t="shared" si="66"/>
        <v>10660.537057164014</v>
      </c>
      <c r="AO183" s="131">
        <f t="shared" si="67"/>
        <v>-5018.0575705972751</v>
      </c>
      <c r="AP183" s="26" t="str">
        <f t="shared" si="68"/>
        <v>40-49</v>
      </c>
      <c r="AQ183" s="26" t="str">
        <f t="shared" si="69"/>
        <v>Over 1m</v>
      </c>
      <c r="AR183" s="26" t="str">
        <f>IF($T183=1,IF($AI183&lt;0,"Loss-making",IF($AJ183&lt;Assumptions!$C$16-0.00001,"Below target","At/above target")),"Excluded")</f>
        <v>At/above target</v>
      </c>
      <c r="AS183" s="103">
        <f t="shared" si="70"/>
        <v>5642.4796695667392</v>
      </c>
      <c r="AT183" s="26"/>
      <c r="AU183" s="419">
        <f>IF(AND($T183=1,AU$5&lt;=$H183),INDEX(Mortality!$B$4:$E$64,MATCH($D183+AU$5-1,Mortality!$A$4:$A$64,0),$U183)*$V183*$N183,0)</f>
        <v>9.98973901084343E-4</v>
      </c>
      <c r="AV183" s="93">
        <f>IF(AND($T183=1,AV$5&lt;=$H183),INDEX(Mortality!$B$4:$E$64,MATCH($D183+AV$5-1,Mortality!$A$4:$A$64,0),$U183)*$V183*$N183,0)</f>
        <v>1.08217550798947E-3</v>
      </c>
      <c r="AW183" s="93">
        <f>IF(AND($T183=1,AW$5&lt;=$H183),INDEX(Mortality!$B$4:$E$64,MATCH($D183+AW$5-1,Mortality!$A$4:$A$64,0),$U183)*$V183*$N183,0)</f>
        <v>1.1723067327595699E-3</v>
      </c>
      <c r="AX183" s="93">
        <f>IF(AND($T183=1,AX$5&lt;=$H183),INDEX(Mortality!$B$4:$E$64,MATCH($D183+AX$5-1,Mortality!$A$4:$A$64,0),$U183)*$V183*$N183,0)</f>
        <v>1.2699447229467301E-3</v>
      </c>
      <c r="AY183" s="93">
        <f>IF(AND($T183=1,AY$5&lt;=$H183),INDEX(Mortality!$B$4:$E$64,MATCH($D183+AY$5-1,Mortality!$A$4:$A$64,0),$U183)*$V183*$N183,0)</f>
        <v>1.37571469503025E-3</v>
      </c>
      <c r="AZ183" s="93">
        <f>IF(AND($T183=1,AZ$5&lt;=$H183),INDEX(Mortality!$B$4:$E$64,MATCH($D183+AZ$5-1,Mortality!$A$4:$A$64,0),$U183)*$V183*$N183,0)</f>
        <v>1.4902939379366699E-3</v>
      </c>
      <c r="BA183" s="93">
        <f>IF(AND($T183=1,BA$5&lt;=$H183),INDEX(Mortality!$B$4:$E$64,MATCH($D183+BA$5-1,Mortality!$A$4:$A$64,0),$U183)*$V183*$N183,0)</f>
        <v>1.6144161500011799E-3</v>
      </c>
      <c r="BB183" s="93">
        <f>IF(AND($T183=1,BB$5&lt;=$H183),INDEX(Mortality!$B$4:$E$64,MATCH($D183+BB$5-1,Mortality!$A$4:$A$64,0),$U183)*$V183*$N183,0)</f>
        <v>1.74887613714188E-3</v>
      </c>
      <c r="BC183" s="93">
        <f>IF(AND($T183=1,BC$5&lt;=$H183),INDEX(Mortality!$B$4:$E$64,MATCH($D183+BC$5-1,Mortality!$A$4:$A$64,0),$U183)*$V183*$N183,0)</f>
        <v>1.89453490233113E-3</v>
      </c>
      <c r="BD183" s="93">
        <f>IF(AND($T183=1,BD$5&lt;=$H183),INDEX(Mortality!$B$4:$E$64,MATCH($D183+BD$5-1,Mortality!$A$4:$A$64,0),$U183)*$V183*$N183,0)</f>
        <v>2.05232515895416E-3</v>
      </c>
      <c r="BE183" s="93">
        <f>IF(AND($T183=1,BE$5&lt;=$H183),INDEX(Mortality!$B$4:$E$64,MATCH($D183+BE$5-1,Mortality!$A$4:$A$64,0),$U183)*$V183*$N183,0)</f>
        <v>2.22325730335899E-3</v>
      </c>
      <c r="BF183" s="93">
        <f>IF(AND($T183=1,BF$5&lt;=$H183),INDEX(Mortality!$B$4:$E$64,MATCH($D183+BF$5-1,Mortality!$A$4:$A$64,0),$U183)*$V183*$N183,0)</f>
        <v>2.4084258848427E-3</v>
      </c>
      <c r="BG183" s="93">
        <f>IF(AND($T183=1,BG$5&lt;=$H183),INDEX(Mortality!$B$4:$E$64,MATCH($D183+BG$5-1,Mortality!$A$4:$A$64,0),$U183)*$V183*$N183,0)</f>
        <v>2.6090166145037101E-3</v>
      </c>
      <c r="BH183" s="93">
        <f>IF(AND($T183=1,BH$5&lt;=$H183),INDEX(Mortality!$B$4:$E$64,MATCH($D183+BH$5-1,Mortality!$A$4:$A$64,0),$U183)*$V183*$N183,0)</f>
        <v>2.8263139578409702E-3</v>
      </c>
      <c r="BI183" s="93">
        <f>IF(AND($T183=1,BI$5&lt;=$H183),INDEX(Mortality!$B$4:$E$64,MATCH($D183+BI$5-1,Mortality!$A$4:$A$64,0),$U183)*$V183*$N183,0)</f>
        <v>3.0617093597183598E-3</v>
      </c>
      <c r="BJ183" s="93">
        <f>IF(AND($T183=1,BJ$5&lt;=$H183),INDEX(Mortality!$B$4:$E$64,MATCH($D183+BJ$5-1,Mortality!$A$4:$A$64,0),$U183)*$V183*$N183,0)</f>
        <v>3.31671015436227E-3</v>
      </c>
      <c r="BK183" s="93">
        <f>IF(AND($T183=1,BK$5&lt;=$H183),INDEX(Mortality!$B$4:$E$64,MATCH($D183+BK$5-1,Mortality!$A$4:$A$64,0),$U183)*$V183*$N183,0)</f>
        <v>3.5929492174468702E-3</v>
      </c>
      <c r="BL183" s="93">
        <f>IF(AND($T183=1,BL$5&lt;=$H183),INDEX(Mortality!$B$4:$E$64,MATCH($D183+BL$5-1,Mortality!$A$4:$A$64,0),$U183)*$V183*$N183,0)</f>
        <v>3.8921954220730499E-3</v>
      </c>
      <c r="BM183" s="93">
        <f>IF(AND($T183=1,BM$5&lt;=$H183),INDEX(Mortality!$B$4:$E$64,MATCH($D183+BM$5-1,Mortality!$A$4:$A$64,0),$U183)*$V183*$N183,0)</f>
        <v>4.2163649655954103E-3</v>
      </c>
      <c r="BN183" s="93">
        <f>IF(AND($T183=1,BN$5&lt;=$H183),INDEX(Mortality!$B$4:$E$64,MATCH($D183+BN$5-1,Mortality!$A$4:$A$64,0),$U183)*$V183*$N183,0)</f>
        <v>4.5675336398272801E-3</v>
      </c>
      <c r="BO183" s="93">
        <f>IF(AND($T183=1,BO$5&lt;=$H183),INDEX(Mortality!$B$4:$E$64,MATCH($D183+BO$5-1,Mortality!$A$4:$A$64,0),$U183)*$V183*$N183,0)</f>
        <v>0</v>
      </c>
      <c r="BP183" s="93">
        <f>IF(AND($T183=1,BP$5&lt;=$H183),INDEX(Mortality!$B$4:$E$64,MATCH($D183+BP$5-1,Mortality!$A$4:$A$64,0),$U183)*$V183*$N183,0)</f>
        <v>0</v>
      </c>
      <c r="BQ183" s="93">
        <f>IF(AND($T183=1,BQ$5&lt;=$H183),INDEX(Mortality!$B$4:$E$64,MATCH($D183+BQ$5-1,Mortality!$A$4:$A$64,0),$U183)*$V183*$N183,0)</f>
        <v>0</v>
      </c>
      <c r="BR183" s="93">
        <f>IF(AND($T183=1,BR$5&lt;=$H183),INDEX(Mortality!$B$4:$E$64,MATCH($D183+BR$5-1,Mortality!$A$4:$A$64,0),$U183)*$V183*$N183,0)</f>
        <v>0</v>
      </c>
      <c r="BS183" s="93">
        <f>IF(AND($T183=1,BS$5&lt;=$H183),INDEX(Mortality!$B$4:$E$64,MATCH($D183+BS$5-1,Mortality!$A$4:$A$64,0),$U183)*$V183*$N183,0)</f>
        <v>0</v>
      </c>
      <c r="BT183" s="93">
        <f>IF(AND($T183=1,BT$5&lt;=$H183),INDEX(Mortality!$B$4:$E$64,MATCH($D183+BT$5-1,Mortality!$A$4:$A$64,0),$U183)*$V183*$N183,0)</f>
        <v>0</v>
      </c>
      <c r="BU183" s="93">
        <f>IF(AND($T183=1,BU$5&lt;=$H183),INDEX(Mortality!$B$4:$E$64,MATCH($D183+BU$5-1,Mortality!$A$4:$A$64,0),$U183)*$V183*$N183,0)</f>
        <v>0</v>
      </c>
      <c r="BV183" s="93">
        <f>IF(AND($T183=1,BV$5&lt;=$H183),INDEX(Mortality!$B$4:$E$64,MATCH($D183+BV$5-1,Mortality!$A$4:$A$64,0),$U183)*$V183*$N183,0)</f>
        <v>0</v>
      </c>
      <c r="BW183" s="93">
        <f>IF(AND($T183=1,BW$5&lt;=$H183),INDEX(Mortality!$B$4:$E$64,MATCH($D183+BW$5-1,Mortality!$A$4:$A$64,0),$U183)*$V183*$N183,0)</f>
        <v>0</v>
      </c>
      <c r="BX183" s="93">
        <f>IF(AND($T183=1,BX$5&lt;=$H183),INDEX(Mortality!$B$4:$E$64,MATCH($D183+BX$5-1,Mortality!$A$4:$A$64,0),$U183)*$V183*$N183,0)</f>
        <v>0</v>
      </c>
      <c r="BY183" s="93">
        <f>IF(AND($T183=1,BY$5&lt;=$H183),INDEX(Mortality!$B$4:$E$64,MATCH($D183+BY$5-1,Mortality!$A$4:$A$64,0),$U183)*$V183*$N183,0)</f>
        <v>0</v>
      </c>
      <c r="BZ183" s="93">
        <f>IF(AND($T183=1,BZ$5&lt;=$H183),INDEX(Mortality!$B$4:$E$64,MATCH($D183+BZ$5-1,Mortality!$A$4:$A$64,0),$U183)*$V183*$N183,0)</f>
        <v>0</v>
      </c>
      <c r="CA183" s="93">
        <f>IF(AND($T183=1,CA$5&lt;=$H183),INDEX(Mortality!$B$4:$E$64,MATCH($D183+CA$5-1,Mortality!$A$4:$A$64,0),$U183)*$V183*$N183,0)</f>
        <v>0</v>
      </c>
      <c r="CB183" s="93">
        <f>IF(AND($T183=1,CB$5&lt;=$H183),INDEX(Mortality!$B$4:$E$64,MATCH($D183+CB$5-1,Mortality!$A$4:$A$64,0),$U183)*$V183*$N183,0)</f>
        <v>0</v>
      </c>
      <c r="CC183" s="93">
        <f>IF(AND($T183=1,CC$5&lt;=$H183),INDEX(Mortality!$B$4:$E$64,MATCH($D183+CC$5-1,Mortality!$A$4:$A$64,0),$U183)*$V183*$N183,0)</f>
        <v>0</v>
      </c>
      <c r="CD183" s="93">
        <f>IF(AND($T183=1,CD$5&lt;=$H183),INDEX(Mortality!$B$4:$E$64,MATCH($D183+CD$5-1,Mortality!$A$4:$A$64,0),$U183)*$V183*$N183,0)</f>
        <v>0</v>
      </c>
      <c r="CE183" s="93">
        <f>IF(AND($T183=1,CE$5&lt;=$H183),INDEX(Mortality!$B$4:$E$64,MATCH($D183+CE$5-1,Mortality!$A$4:$A$64,0),$U183)*$V183*$N183,0)</f>
        <v>0</v>
      </c>
      <c r="CF183" s="93">
        <f>IF(AND($T183=1,CF$5&lt;=$H183),INDEX(Mortality!$B$4:$E$64,MATCH($D183+CF$5-1,Mortality!$A$4:$A$64,0),$U183)*$V183*$N183,0)</f>
        <v>0</v>
      </c>
      <c r="CG183" s="93">
        <f>IF(AND($T183=1,CG$5&lt;=$H183),INDEX(Mortality!$B$4:$E$64,MATCH($D183+CG$5-1,Mortality!$A$4:$A$64,0),$U183)*$V183*$N183,0)</f>
        <v>0</v>
      </c>
      <c r="CH183" s="94">
        <f>IF(AND($T183=1,CH$5&lt;=$H183),INDEX(Mortality!$B$4:$E$64,MATCH($D183+CH$5-1,Mortality!$A$4:$A$64,0),$U183)*$V183*$N183,0)</f>
        <v>0</v>
      </c>
      <c r="CI183" s="26"/>
      <c r="CJ183" s="419">
        <f t="shared" si="71"/>
        <v>1</v>
      </c>
      <c r="CK183" s="93">
        <f>IF(AND($T183=1,CK$5&lt;=$H183),CJ183*(1-AU183)*(1-MIN(1,MAX(Assumptions!$C$27,Assumptions!$C$13*Assumptions!$C$28^(CJ$5-1))*$O183)),0)</f>
        <v>0.8791209029670457</v>
      </c>
      <c r="CL183" s="93">
        <f>IF(AND($T183=1,CL$5&lt;=$H183),CK183*(1-AV183)*(1-MIN(1,MAX(Assumptions!$C$27,Assumptions!$C$13*Assumptions!$C$28^(CK$5-1))*$O183)),0)</f>
        <v>0.78859624679184925</v>
      </c>
      <c r="CM183" s="93">
        <f>IF(AND($T183=1,CM$5&lt;=$H183),CL183*(1-AW183)*(1-MIN(1,MAX(Assumptions!$C$27,Assumptions!$C$13*Assumptions!$C$28^(CL$5-1))*$O183)),0)</f>
        <v>0.71938062763443633</v>
      </c>
      <c r="CN183" s="93">
        <f>IF(AND($T183=1,CN$5&lt;=$H183),CM183*(1-AX183)*(1-MIN(1,MAX(Assumptions!$C$27,Assumptions!$C$13*Assumptions!$C$28^(CM$5-1))*$O183)),0)</f>
        <v>0.66551962445786172</v>
      </c>
      <c r="CO183" s="93">
        <f>IF(AND($T183=1,CO$5&lt;=$H183),CN183*(1-AY183)*(1-MIN(1,MAX(Assumptions!$C$27,Assumptions!$C$13*Assumptions!$C$28^(CN$5-1))*$O183)),0)</f>
        <v>0.62297276260114676</v>
      </c>
      <c r="CP183" s="93">
        <f>IF(AND($T183=1,CP$5&lt;=$H183),CO183*(1-AZ183)*(1-MIN(1,MAX(Assumptions!$C$27,Assumptions!$C$13*Assumptions!$C$28^(CO$5-1))*$O183)),0)</f>
        <v>0.58892382414116673</v>
      </c>
      <c r="CQ183" s="93">
        <f>IF(AND($T183=1,CQ$5&lt;=$H183),CP183*(1-BA183)*(1-MIN(1,MAX(Assumptions!$C$27,Assumptions!$C$13*Assumptions!$C$28^(CP$5-1))*$O183)),0)</f>
        <v>0.5613626056154607</v>
      </c>
      <c r="CR183" s="93">
        <f>IF(AND($T183=1,CR$5&lt;=$H183),CQ183*(1-BB183)*(1-MIN(1,MAX(Assumptions!$C$27,Assumptions!$C$13*Assumptions!$C$28^(CQ$5-1))*$O183)),0)</f>
        <v>0.5388234205286041</v>
      </c>
      <c r="CS183" s="93">
        <f>IF(AND($T183=1,CS$5&lt;=$H183),CR183*(1-BC183)*(1-MIN(1,MAX(Assumptions!$C$27,Assumptions!$C$13*Assumptions!$C$28^(CR$5-1))*$O183)),0)</f>
        <v>0.52021706718665772</v>
      </c>
      <c r="CT183" s="93">
        <f>IF(AND($T183=1,CT$5&lt;=$H183),CS183*(1-BD183)*(1-MIN(1,MAX(Assumptions!$C$27,Assumptions!$C$13*Assumptions!$C$28^(CS$5-1))*$O183)),0)</f>
        <v>0.50472015641789647</v>
      </c>
      <c r="CU183" s="93">
        <f>IF(AND($T183=1,CU$5&lt;=$H183),CT183*(1-BE183)*(1-MIN(1,MAX(Assumptions!$C$27,Assumptions!$C$13*Assumptions!$C$28^(CT$5-1))*$O183)),0)</f>
        <v>0.49170056609588958</v>
      </c>
      <c r="CV183" s="93">
        <f>IF(AND($T183=1,CV$5&lt;=$H183),CU183*(1-BF183)*(1-MIN(1,MAX(Assumptions!$C$27,Assumptions!$C$13*Assumptions!$C$28^(CU$5-1))*$O183)),0)</f>
        <v>0.48066619024007123</v>
      </c>
      <c r="CW183" s="93">
        <f>IF(AND($T183=1,CW$5&lt;=$H183),CV183*(1-BG183)*(1-MIN(1,MAX(Assumptions!$C$27,Assumptions!$C$13*Assumptions!$C$28^(CV$5-1))*$O183)),0)</f>
        <v>0.46982388168043054</v>
      </c>
      <c r="CX183" s="93">
        <f>IF(AND($T183=1,CX$5&lt;=$H183),CW183*(1-BH183)*(1-MIN(1,MAX(Assumptions!$C$27,Assumptions!$C$13*Assumptions!$C$28^(CW$5-1))*$O183)),0)</f>
        <v>0.4591260916481919</v>
      </c>
      <c r="CY183" s="93">
        <f>IF(AND($T183=1,CY$5&lt;=$H183),CX183*(1-BI183)*(1-MIN(1,MAX(Assumptions!$C$27,Assumptions!$C$13*Assumptions!$C$28^(CX$5-1))*$O183)),0)</f>
        <v>0.44856597337617965</v>
      </c>
      <c r="CZ183" s="93">
        <f>IF(AND($T183=1,CZ$5&lt;=$H183),CY183*(1-BJ183)*(1-MIN(1,MAX(Assumptions!$C$27,Assumptions!$C$13*Assumptions!$C$28^(CY$5-1))*$O183)),0)</f>
        <v>0.43813664585623385</v>
      </c>
      <c r="DA183" s="93">
        <f>IF(AND($T183=1,DA$5&lt;=$H183),CZ183*(1-BK183)*(1-MIN(1,MAX(Assumptions!$C$27,Assumptions!$C$13*Assumptions!$C$28^(CZ$5-1))*$O183)),0)</f>
        <v>0.42783119427462246</v>
      </c>
      <c r="DB183" s="93">
        <f>IF(AND($T183=1,DB$5&lt;=$H183),DA183*(1-BL183)*(1-MIN(1,MAX(Assumptions!$C$27,Assumptions!$C$13*Assumptions!$C$28^(DA$5-1))*$O183)),0)</f>
        <v>0.41764267182566978</v>
      </c>
      <c r="DC183" s="93">
        <f>IF(AND($T183=1,DC$5&lt;=$H183),DB183*(1-BM183)*(1-MIN(1,MAX(Assumptions!$C$27,Assumptions!$C$13*Assumptions!$C$28^(DB$5-1))*$O183)),0)</f>
        <v>0.40756410313812547</v>
      </c>
      <c r="DD183" s="93">
        <f>IF(AND($T183=1,DD$5&lt;=$H183),DC183*(1-BN183)*(1-MIN(1,MAX(Assumptions!$C$27,Assumptions!$C$13*Assumptions!$C$28^(DC$5-1))*$O183)),0)</f>
        <v>0</v>
      </c>
      <c r="DE183" s="93">
        <f>IF(AND($T183=1,DE$5&lt;=$H183),DD183*(1-BO183)*(1-MIN(1,MAX(Assumptions!$C$27,Assumptions!$C$13*Assumptions!$C$28^(DD$5-1))*$O183)),0)</f>
        <v>0</v>
      </c>
      <c r="DF183" s="93">
        <f>IF(AND($T183=1,DF$5&lt;=$H183),DE183*(1-BP183)*(1-MIN(1,MAX(Assumptions!$C$27,Assumptions!$C$13*Assumptions!$C$28^(DE$5-1))*$O183)),0)</f>
        <v>0</v>
      </c>
      <c r="DG183" s="93">
        <f>IF(AND($T183=1,DG$5&lt;=$H183),DF183*(1-BQ183)*(1-MIN(1,MAX(Assumptions!$C$27,Assumptions!$C$13*Assumptions!$C$28^(DF$5-1))*$O183)),0)</f>
        <v>0</v>
      </c>
      <c r="DH183" s="93">
        <f>IF(AND($T183=1,DH$5&lt;=$H183),DG183*(1-BR183)*(1-MIN(1,MAX(Assumptions!$C$27,Assumptions!$C$13*Assumptions!$C$28^(DG$5-1))*$O183)),0)</f>
        <v>0</v>
      </c>
      <c r="DI183" s="93">
        <f>IF(AND($T183=1,DI$5&lt;=$H183),DH183*(1-BS183)*(1-MIN(1,MAX(Assumptions!$C$27,Assumptions!$C$13*Assumptions!$C$28^(DH$5-1))*$O183)),0)</f>
        <v>0</v>
      </c>
      <c r="DJ183" s="93">
        <f>IF(AND($T183=1,DJ$5&lt;=$H183),DI183*(1-BT183)*(1-MIN(1,MAX(Assumptions!$C$27,Assumptions!$C$13*Assumptions!$C$28^(DI$5-1))*$O183)),0)</f>
        <v>0</v>
      </c>
      <c r="DK183" s="93">
        <f>IF(AND($T183=1,DK$5&lt;=$H183),DJ183*(1-BU183)*(1-MIN(1,MAX(Assumptions!$C$27,Assumptions!$C$13*Assumptions!$C$28^(DJ$5-1))*$O183)),0)</f>
        <v>0</v>
      </c>
      <c r="DL183" s="93">
        <f>IF(AND($T183=1,DL$5&lt;=$H183),DK183*(1-BV183)*(1-MIN(1,MAX(Assumptions!$C$27,Assumptions!$C$13*Assumptions!$C$28^(DK$5-1))*$O183)),0)</f>
        <v>0</v>
      </c>
      <c r="DM183" s="93">
        <f>IF(AND($T183=1,DM$5&lt;=$H183),DL183*(1-BW183)*(1-MIN(1,MAX(Assumptions!$C$27,Assumptions!$C$13*Assumptions!$C$28^(DL$5-1))*$O183)),0)</f>
        <v>0</v>
      </c>
      <c r="DN183" s="93">
        <f>IF(AND($T183=1,DN$5&lt;=$H183),DM183*(1-BX183)*(1-MIN(1,MAX(Assumptions!$C$27,Assumptions!$C$13*Assumptions!$C$28^(DM$5-1))*$O183)),0)</f>
        <v>0</v>
      </c>
      <c r="DO183" s="93">
        <f>IF(AND($T183=1,DO$5&lt;=$H183),DN183*(1-BY183)*(1-MIN(1,MAX(Assumptions!$C$27,Assumptions!$C$13*Assumptions!$C$28^(DN$5-1))*$O183)),0)</f>
        <v>0</v>
      </c>
      <c r="DP183" s="93">
        <f>IF(AND($T183=1,DP$5&lt;=$H183),DO183*(1-BZ183)*(1-MIN(1,MAX(Assumptions!$C$27,Assumptions!$C$13*Assumptions!$C$28^(DO$5-1))*$O183)),0)</f>
        <v>0</v>
      </c>
      <c r="DQ183" s="93">
        <f>IF(AND($T183=1,DQ$5&lt;=$H183),DP183*(1-CA183)*(1-MIN(1,MAX(Assumptions!$C$27,Assumptions!$C$13*Assumptions!$C$28^(DP$5-1))*$O183)),0)</f>
        <v>0</v>
      </c>
      <c r="DR183" s="93">
        <f>IF(AND($T183=1,DR$5&lt;=$H183),DQ183*(1-CB183)*(1-MIN(1,MAX(Assumptions!$C$27,Assumptions!$C$13*Assumptions!$C$28^(DQ$5-1))*$O183)),0)</f>
        <v>0</v>
      </c>
      <c r="DS183" s="93">
        <f>IF(AND($T183=1,DS$5&lt;=$H183),DR183*(1-CC183)*(1-MIN(1,MAX(Assumptions!$C$27,Assumptions!$C$13*Assumptions!$C$28^(DR$5-1))*$O183)),0)</f>
        <v>0</v>
      </c>
      <c r="DT183" s="93">
        <f>IF(AND($T183=1,DT$5&lt;=$H183),DS183*(1-CD183)*(1-MIN(1,MAX(Assumptions!$C$27,Assumptions!$C$13*Assumptions!$C$28^(DS$5-1))*$O183)),0)</f>
        <v>0</v>
      </c>
      <c r="DU183" s="93">
        <f>IF(AND($T183=1,DU$5&lt;=$H183),DT183*(1-CE183)*(1-MIN(1,MAX(Assumptions!$C$27,Assumptions!$C$13*Assumptions!$C$28^(DT$5-1))*$O183)),0)</f>
        <v>0</v>
      </c>
      <c r="DV183" s="93">
        <f>IF(AND($T183=1,DV$5&lt;=$H183),DU183*(1-CF183)*(1-MIN(1,MAX(Assumptions!$C$27,Assumptions!$C$13*Assumptions!$C$28^(DU$5-1))*$O183)),0)</f>
        <v>0</v>
      </c>
      <c r="DW183" s="94">
        <f>IF(AND($T183=1,DW$5&lt;=$H183),DV183*(1-CG183)*(1-MIN(1,MAX(Assumptions!$C$27,Assumptions!$C$13*Assumptions!$C$28^(DV$5-1))*$O183)),0)</f>
        <v>0</v>
      </c>
      <c r="DX183" s="26"/>
      <c r="DY183" s="399">
        <f>'Policy Data'!K157</f>
        <v>3</v>
      </c>
      <c r="DZ183" s="100">
        <f>'Policy Data'!L157</f>
        <v>0.91549999999999998</v>
      </c>
      <c r="EA183" s="100">
        <f>'Policy Data'!N157</f>
        <v>9.1500000000000001E-4</v>
      </c>
      <c r="EB183" s="93" cm="1">
        <f t="array" ref="EB183">IFERROR(DZ183*INDEX(Mortality!$B$4:$E$64,MATCH(D183+DY183-1,Mortality!$A$4:$A$64,0),U183)*V183,0)</f>
        <v>1.0732468138413863E-3</v>
      </c>
      <c r="EC183" s="100">
        <f>'Policy Data'!O157</f>
        <v>0</v>
      </c>
      <c r="ED183" s="400">
        <f>'Policy Data'!Q157</f>
        <v>0</v>
      </c>
    </row>
    <row r="184" spans="1:134" x14ac:dyDescent="0.3">
      <c r="A184" s="399" t="str">
        <f>'Policy Data'!A158</f>
        <v>POL100154</v>
      </c>
      <c r="B184" s="26" t="s">
        <v>426</v>
      </c>
      <c r="C184" s="100" t="str">
        <f>'Policy Data'!B158</f>
        <v>Term Life</v>
      </c>
      <c r="D184" s="100">
        <f>'Policy Data'!C158</f>
        <v>45</v>
      </c>
      <c r="E184" s="100" t="str">
        <f>'Policy Data'!D158</f>
        <v>Female</v>
      </c>
      <c r="F184" s="100" t="str">
        <f>'Policy Data'!E158</f>
        <v>Non-smoker</v>
      </c>
      <c r="G184" s="100" t="str">
        <f>'Policy Data'!F158</f>
        <v>Standard</v>
      </c>
      <c r="H184" s="100">
        <f>'Policy Data'!G158</f>
        <v>10</v>
      </c>
      <c r="I184" s="279">
        <f>'Policy Data'!H158</f>
        <v>250000</v>
      </c>
      <c r="J184" s="100" t="str">
        <f>'Policy Data'!I158</f>
        <v>Annual</v>
      </c>
      <c r="K184" s="100" t="str">
        <f>'Policy Data'!J158</f>
        <v>Broker</v>
      </c>
      <c r="L184" s="26" t="s">
        <v>389</v>
      </c>
      <c r="M184" s="106">
        <f>'Policy Data'!R158</f>
        <v>1200</v>
      </c>
      <c r="N184" s="415">
        <f>Assumptions!$C$21</f>
        <v>1</v>
      </c>
      <c r="O184" s="415">
        <f>Assumptions!$C$22</f>
        <v>1</v>
      </c>
      <c r="P184" s="415">
        <f>Assumptions!$C$23</f>
        <v>1</v>
      </c>
      <c r="Q184" s="416">
        <f>Assumptions!$C$24</f>
        <v>0</v>
      </c>
      <c r="R184" s="416">
        <f>Assumptions!$C$6+Assumptions!$C$25</f>
        <v>3.5000000000000003E-2</v>
      </c>
      <c r="S184" s="416">
        <f>Assumptions!$C$15</f>
        <v>1.1000000000000001E-3</v>
      </c>
      <c r="T184" s="26">
        <f t="shared" si="54"/>
        <v>1</v>
      </c>
      <c r="U184" s="26">
        <f t="shared" si="55"/>
        <v>1</v>
      </c>
      <c r="V184" s="389">
        <f>IF($G184="Preferred",Assumptions!$C$30,IF($G184="Rated",Assumptions!$C$31,1))</f>
        <v>1</v>
      </c>
      <c r="W184" s="390">
        <f>IF($K184="Direct",Assumptions!$C$32,IF($K184="Broker",Assumptions!$C$33,IF($K184="Bancassurance",Assumptions!$C$34,Assumptions!$C$11)))+$Q184</f>
        <v>0.25</v>
      </c>
      <c r="X184" s="390">
        <f>Assumptions!$C$12+$Q184</f>
        <v>0.05</v>
      </c>
      <c r="Y184" s="131">
        <f>MIN($I184,Assumptions!$C$14)</f>
        <v>250000</v>
      </c>
      <c r="Z184" s="131">
        <f>MAX($I184-Assumptions!$C$14,0)</f>
        <v>0</v>
      </c>
      <c r="AA184" s="389">
        <f t="shared" si="56"/>
        <v>5.8384296854628079</v>
      </c>
      <c r="AB184" s="389">
        <f t="shared" si="57"/>
        <v>1.0165496459620003E-2</v>
      </c>
      <c r="AC184" s="389">
        <f>IF($T184=1,SUMPRODUCT($CJ184:$DW184,(1+Assumptions!$C$5)^($CJ$5:$DW$5-1),(1+$R184)^(-$CJ$5:$DW$5)),0)</f>
        <v>6.7699358666550484</v>
      </c>
      <c r="AD184" s="389">
        <f t="shared" si="58"/>
        <v>0.48515819924898584</v>
      </c>
      <c r="AE184" s="131">
        <f>IF($T184=1,$AB184*$Y184+(Assumptions!$C$9/(1+$R184)+Assumptions!$C$10*$AC184)*$P184+$S184*$Z184*$AA184,0)</f>
        <v>4900.325222960415</v>
      </c>
      <c r="AF184" s="131">
        <f>IF($T184=1,IF($AA184-$AD184-Assumptions!$C$16*$AA184&gt;0,$AE184/($AA184-$AD184-Assumptions!$C$16*$AA184)*IF($J184="Monthly",1+Assumptions!$C$29,1),"n.a."),"")</f>
        <v>1002.8914330023081</v>
      </c>
      <c r="AG184" s="131">
        <f t="shared" si="59"/>
        <v>1200</v>
      </c>
      <c r="AH184" s="131">
        <f t="shared" si="60"/>
        <v>7006.1156225553696</v>
      </c>
      <c r="AI184" s="131">
        <f t="shared" si="61"/>
        <v>1523.600560496172</v>
      </c>
      <c r="AJ184" s="390">
        <f t="shared" si="62"/>
        <v>0.21746723042810173</v>
      </c>
      <c r="AK184" s="389">
        <f t="shared" si="63"/>
        <v>1.1965402839344408</v>
      </c>
      <c r="AL184" s="131">
        <f t="shared" si="64"/>
        <v>0</v>
      </c>
      <c r="AM184" s="131">
        <f t="shared" si="65"/>
        <v>0</v>
      </c>
      <c r="AN184" s="131">
        <f t="shared" si="66"/>
        <v>0</v>
      </c>
      <c r="AO184" s="131">
        <f t="shared" si="67"/>
        <v>1523.600560496172</v>
      </c>
      <c r="AP184" s="26" t="str">
        <f t="shared" si="68"/>
        <v>40-49</v>
      </c>
      <c r="AQ184" s="26" t="str">
        <f t="shared" si="69"/>
        <v>Up to 250k</v>
      </c>
      <c r="AR184" s="26" t="str">
        <f>IF($T184=1,IF($AI184&lt;0,"Loss-making",IF($AJ184&lt;Assumptions!$C$16-0.00001,"Below target","At/above target")),"Excluded")</f>
        <v>At/above target</v>
      </c>
      <c r="AS184" s="103">
        <f t="shared" si="70"/>
        <v>1523.600744496172</v>
      </c>
      <c r="AT184" s="26"/>
      <c r="AU184" s="419">
        <f>IF(AND($T184=1,AU$5&lt;=$H184),INDEX(Mortality!$B$4:$E$64,MATCH($D184+AU$5-1,Mortality!$A$4:$A$64,0),$U184)*$V184*$N184,0)</f>
        <v>1.2699447229467301E-3</v>
      </c>
      <c r="AV184" s="93">
        <f>IF(AND($T184=1,AV$5&lt;=$H184),INDEX(Mortality!$B$4:$E$64,MATCH($D184+AV$5-1,Mortality!$A$4:$A$64,0),$U184)*$V184*$N184,0)</f>
        <v>1.37571469503025E-3</v>
      </c>
      <c r="AW184" s="93">
        <f>IF(AND($T184=1,AW$5&lt;=$H184),INDEX(Mortality!$B$4:$E$64,MATCH($D184+AW$5-1,Mortality!$A$4:$A$64,0),$U184)*$V184*$N184,0)</f>
        <v>1.4902939379366699E-3</v>
      </c>
      <c r="AX184" s="93">
        <f>IF(AND($T184=1,AX$5&lt;=$H184),INDEX(Mortality!$B$4:$E$64,MATCH($D184+AX$5-1,Mortality!$A$4:$A$64,0),$U184)*$V184*$N184,0)</f>
        <v>1.6144161500011799E-3</v>
      </c>
      <c r="AY184" s="93">
        <f>IF(AND($T184=1,AY$5&lt;=$H184),INDEX(Mortality!$B$4:$E$64,MATCH($D184+AY$5-1,Mortality!$A$4:$A$64,0),$U184)*$V184*$N184,0)</f>
        <v>1.74887613714188E-3</v>
      </c>
      <c r="AZ184" s="93">
        <f>IF(AND($T184=1,AZ$5&lt;=$H184),INDEX(Mortality!$B$4:$E$64,MATCH($D184+AZ$5-1,Mortality!$A$4:$A$64,0),$U184)*$V184*$N184,0)</f>
        <v>1.89453490233113E-3</v>
      </c>
      <c r="BA184" s="93">
        <f>IF(AND($T184=1,BA$5&lt;=$H184),INDEX(Mortality!$B$4:$E$64,MATCH($D184+BA$5-1,Mortality!$A$4:$A$64,0),$U184)*$V184*$N184,0)</f>
        <v>2.05232515895416E-3</v>
      </c>
      <c r="BB184" s="93">
        <f>IF(AND($T184=1,BB$5&lt;=$H184),INDEX(Mortality!$B$4:$E$64,MATCH($D184+BB$5-1,Mortality!$A$4:$A$64,0),$U184)*$V184*$N184,0)</f>
        <v>2.22325730335899E-3</v>
      </c>
      <c r="BC184" s="93">
        <f>IF(AND($T184=1,BC$5&lt;=$H184),INDEX(Mortality!$B$4:$E$64,MATCH($D184+BC$5-1,Mortality!$A$4:$A$64,0),$U184)*$V184*$N184,0)</f>
        <v>2.4084258848427E-3</v>
      </c>
      <c r="BD184" s="93">
        <f>IF(AND($T184=1,BD$5&lt;=$H184),INDEX(Mortality!$B$4:$E$64,MATCH($D184+BD$5-1,Mortality!$A$4:$A$64,0),$U184)*$V184*$N184,0)</f>
        <v>2.6090166145037101E-3</v>
      </c>
      <c r="BE184" s="93">
        <f>IF(AND($T184=1,BE$5&lt;=$H184),INDEX(Mortality!$B$4:$E$64,MATCH($D184+BE$5-1,Mortality!$A$4:$A$64,0),$U184)*$V184*$N184,0)</f>
        <v>0</v>
      </c>
      <c r="BF184" s="93">
        <f>IF(AND($T184=1,BF$5&lt;=$H184),INDEX(Mortality!$B$4:$E$64,MATCH($D184+BF$5-1,Mortality!$A$4:$A$64,0),$U184)*$V184*$N184,0)</f>
        <v>0</v>
      </c>
      <c r="BG184" s="93">
        <f>IF(AND($T184=1,BG$5&lt;=$H184),INDEX(Mortality!$B$4:$E$64,MATCH($D184+BG$5-1,Mortality!$A$4:$A$64,0),$U184)*$V184*$N184,0)</f>
        <v>0</v>
      </c>
      <c r="BH184" s="93">
        <f>IF(AND($T184=1,BH$5&lt;=$H184),INDEX(Mortality!$B$4:$E$64,MATCH($D184+BH$5-1,Mortality!$A$4:$A$64,0),$U184)*$V184*$N184,0)</f>
        <v>0</v>
      </c>
      <c r="BI184" s="93">
        <f>IF(AND($T184=1,BI$5&lt;=$H184),INDEX(Mortality!$B$4:$E$64,MATCH($D184+BI$5-1,Mortality!$A$4:$A$64,0),$U184)*$V184*$N184,0)</f>
        <v>0</v>
      </c>
      <c r="BJ184" s="93">
        <f>IF(AND($T184=1,BJ$5&lt;=$H184),INDEX(Mortality!$B$4:$E$64,MATCH($D184+BJ$5-1,Mortality!$A$4:$A$64,0),$U184)*$V184*$N184,0)</f>
        <v>0</v>
      </c>
      <c r="BK184" s="93">
        <f>IF(AND($T184=1,BK$5&lt;=$H184),INDEX(Mortality!$B$4:$E$64,MATCH($D184+BK$5-1,Mortality!$A$4:$A$64,0),$U184)*$V184*$N184,0)</f>
        <v>0</v>
      </c>
      <c r="BL184" s="93">
        <f>IF(AND($T184=1,BL$5&lt;=$H184),INDEX(Mortality!$B$4:$E$64,MATCH($D184+BL$5-1,Mortality!$A$4:$A$64,0),$U184)*$V184*$N184,0)</f>
        <v>0</v>
      </c>
      <c r="BM184" s="93">
        <f>IF(AND($T184=1,BM$5&lt;=$H184),INDEX(Mortality!$B$4:$E$64,MATCH($D184+BM$5-1,Mortality!$A$4:$A$64,0),$U184)*$V184*$N184,0)</f>
        <v>0</v>
      </c>
      <c r="BN184" s="93">
        <f>IF(AND($T184=1,BN$5&lt;=$H184),INDEX(Mortality!$B$4:$E$64,MATCH($D184+BN$5-1,Mortality!$A$4:$A$64,0),$U184)*$V184*$N184,0)</f>
        <v>0</v>
      </c>
      <c r="BO184" s="93">
        <f>IF(AND($T184=1,BO$5&lt;=$H184),INDEX(Mortality!$B$4:$E$64,MATCH($D184+BO$5-1,Mortality!$A$4:$A$64,0),$U184)*$V184*$N184,0)</f>
        <v>0</v>
      </c>
      <c r="BP184" s="93">
        <f>IF(AND($T184=1,BP$5&lt;=$H184),INDEX(Mortality!$B$4:$E$64,MATCH($D184+BP$5-1,Mortality!$A$4:$A$64,0),$U184)*$V184*$N184,0)</f>
        <v>0</v>
      </c>
      <c r="BQ184" s="93">
        <f>IF(AND($T184=1,BQ$5&lt;=$H184),INDEX(Mortality!$B$4:$E$64,MATCH($D184+BQ$5-1,Mortality!$A$4:$A$64,0),$U184)*$V184*$N184,0)</f>
        <v>0</v>
      </c>
      <c r="BR184" s="93">
        <f>IF(AND($T184=1,BR$5&lt;=$H184),INDEX(Mortality!$B$4:$E$64,MATCH($D184+BR$5-1,Mortality!$A$4:$A$64,0),$U184)*$V184*$N184,0)</f>
        <v>0</v>
      </c>
      <c r="BS184" s="93">
        <f>IF(AND($T184=1,BS$5&lt;=$H184),INDEX(Mortality!$B$4:$E$64,MATCH($D184+BS$5-1,Mortality!$A$4:$A$64,0),$U184)*$V184*$N184,0)</f>
        <v>0</v>
      </c>
      <c r="BT184" s="93">
        <f>IF(AND($T184=1,BT$5&lt;=$H184),INDEX(Mortality!$B$4:$E$64,MATCH($D184+BT$5-1,Mortality!$A$4:$A$64,0),$U184)*$V184*$N184,0)</f>
        <v>0</v>
      </c>
      <c r="BU184" s="93">
        <f>IF(AND($T184=1,BU$5&lt;=$H184),INDEX(Mortality!$B$4:$E$64,MATCH($D184+BU$5-1,Mortality!$A$4:$A$64,0),$U184)*$V184*$N184,0)</f>
        <v>0</v>
      </c>
      <c r="BV184" s="93">
        <f>IF(AND($T184=1,BV$5&lt;=$H184),INDEX(Mortality!$B$4:$E$64,MATCH($D184+BV$5-1,Mortality!$A$4:$A$64,0),$U184)*$V184*$N184,0)</f>
        <v>0</v>
      </c>
      <c r="BW184" s="93">
        <f>IF(AND($T184=1,BW$5&lt;=$H184),INDEX(Mortality!$B$4:$E$64,MATCH($D184+BW$5-1,Mortality!$A$4:$A$64,0),$U184)*$V184*$N184,0)</f>
        <v>0</v>
      </c>
      <c r="BX184" s="93">
        <f>IF(AND($T184=1,BX$5&lt;=$H184),INDEX(Mortality!$B$4:$E$64,MATCH($D184+BX$5-1,Mortality!$A$4:$A$64,0),$U184)*$V184*$N184,0)</f>
        <v>0</v>
      </c>
      <c r="BY184" s="93">
        <f>IF(AND($T184=1,BY$5&lt;=$H184),INDEX(Mortality!$B$4:$E$64,MATCH($D184+BY$5-1,Mortality!$A$4:$A$64,0),$U184)*$V184*$N184,0)</f>
        <v>0</v>
      </c>
      <c r="BZ184" s="93">
        <f>IF(AND($T184=1,BZ$5&lt;=$H184),INDEX(Mortality!$B$4:$E$64,MATCH($D184+BZ$5-1,Mortality!$A$4:$A$64,0),$U184)*$V184*$N184,0)</f>
        <v>0</v>
      </c>
      <c r="CA184" s="93">
        <f>IF(AND($T184=1,CA$5&lt;=$H184),INDEX(Mortality!$B$4:$E$64,MATCH($D184+CA$5-1,Mortality!$A$4:$A$64,0),$U184)*$V184*$N184,0)</f>
        <v>0</v>
      </c>
      <c r="CB184" s="93">
        <f>IF(AND($T184=1,CB$5&lt;=$H184),INDEX(Mortality!$B$4:$E$64,MATCH($D184+CB$5-1,Mortality!$A$4:$A$64,0),$U184)*$V184*$N184,0)</f>
        <v>0</v>
      </c>
      <c r="CC184" s="93">
        <f>IF(AND($T184=1,CC$5&lt;=$H184),INDEX(Mortality!$B$4:$E$64,MATCH($D184+CC$5-1,Mortality!$A$4:$A$64,0),$U184)*$V184*$N184,0)</f>
        <v>0</v>
      </c>
      <c r="CD184" s="93">
        <f>IF(AND($T184=1,CD$5&lt;=$H184),INDEX(Mortality!$B$4:$E$64,MATCH($D184+CD$5-1,Mortality!$A$4:$A$64,0),$U184)*$V184*$N184,0)</f>
        <v>0</v>
      </c>
      <c r="CE184" s="93">
        <f>IF(AND($T184=1,CE$5&lt;=$H184),INDEX(Mortality!$B$4:$E$64,MATCH($D184+CE$5-1,Mortality!$A$4:$A$64,0),$U184)*$V184*$N184,0)</f>
        <v>0</v>
      </c>
      <c r="CF184" s="93">
        <f>IF(AND($T184=1,CF$5&lt;=$H184),INDEX(Mortality!$B$4:$E$64,MATCH($D184+CF$5-1,Mortality!$A$4:$A$64,0),$U184)*$V184*$N184,0)</f>
        <v>0</v>
      </c>
      <c r="CG184" s="93">
        <f>IF(AND($T184=1,CG$5&lt;=$H184),INDEX(Mortality!$B$4:$E$64,MATCH($D184+CG$5-1,Mortality!$A$4:$A$64,0),$U184)*$V184*$N184,0)</f>
        <v>0</v>
      </c>
      <c r="CH184" s="94">
        <f>IF(AND($T184=1,CH$5&lt;=$H184),INDEX(Mortality!$B$4:$E$64,MATCH($D184+CH$5-1,Mortality!$A$4:$A$64,0),$U184)*$V184*$N184,0)</f>
        <v>0</v>
      </c>
      <c r="CI184" s="26"/>
      <c r="CJ184" s="419">
        <f t="shared" si="71"/>
        <v>1</v>
      </c>
      <c r="CK184" s="93">
        <f>IF(AND($T184=1,CK$5&lt;=$H184),CJ184*(1-AU184)*(1-MIN(1,MAX(Assumptions!$C$27,Assumptions!$C$13*Assumptions!$C$28^(CJ$5-1))*$O184)),0)</f>
        <v>0.87888244864380693</v>
      </c>
      <c r="CL184" s="93">
        <f>IF(AND($T184=1,CL$5&lt;=$H184),CK184*(1-AV184)*(1-MIN(1,MAX(Assumptions!$C$27,Assumptions!$C$13*Assumptions!$C$28^(CK$5-1))*$O184)),0)</f>
        <v>0.78815067471531508</v>
      </c>
      <c r="CM184" s="93">
        <f>IF(AND($T184=1,CM$5&lt;=$H184),CL184*(1-AW184)*(1-MIN(1,MAX(Assumptions!$C$27,Assumptions!$C$13*Assumptions!$C$28^(CL$5-1))*$O184)),0)</f>
        <v>0.71874527079896222</v>
      </c>
      <c r="CN184" s="93">
        <f>IF(AND($T184=1,CN$5&lt;=$H184),CM184*(1-AX184)*(1-MIN(1,MAX(Assumptions!$C$27,Assumptions!$C$13*Assumptions!$C$28^(CM$5-1))*$O184)),0)</f>
        <v>0.6647024963805519</v>
      </c>
      <c r="CO184" s="93">
        <f>IF(AND($T184=1,CO$5&lt;=$H184),CN184*(1-AY184)*(1-MIN(1,MAX(Assumptions!$C$27,Assumptions!$C$13*Assumptions!$C$28^(CN$5-1))*$O184)),0)</f>
        <v>0.62197536991146052</v>
      </c>
      <c r="CP184" s="93">
        <f>IF(AND($T184=1,CP$5&lt;=$H184),CO184*(1-AZ184)*(1-MIN(1,MAX(Assumptions!$C$27,Assumptions!$C$13*Assumptions!$C$28^(CO$5-1))*$O184)),0)</f>
        <v>0.58774290379397132</v>
      </c>
      <c r="CQ184" s="93">
        <f>IF(AND($T184=1,CQ$5&lt;=$H184),CP184*(1-BA184)*(1-MIN(1,MAX(Assumptions!$C$27,Assumptions!$C$13*Assumptions!$C$28^(CP$5-1))*$O184)),0)</f>
        <v>0.55999122198753815</v>
      </c>
      <c r="CR184" s="93">
        <f>IF(AND($T184=1,CR$5&lt;=$H184),CQ184*(1-BB184)*(1-MIN(1,MAX(Assumptions!$C$27,Assumptions!$C$13*Assumptions!$C$28^(CQ$5-1))*$O184)),0)</f>
        <v>0.53725166915745004</v>
      </c>
      <c r="CS184" s="93">
        <f>IF(AND($T184=1,CS$5&lt;=$H184),CR184*(1-BC184)*(1-MIN(1,MAX(Assumptions!$C$27,Assumptions!$C$13*Assumptions!$C$28^(CR$5-1))*$O184)),0)</f>
        <v>0.51843252966879616</v>
      </c>
      <c r="CT184" s="93">
        <f>IF(AND($T184=1,CT$5&lt;=$H184),CS184*(1-BD184)*(1-MIN(1,MAX(Assumptions!$C$27,Assumptions!$C$13*Assumptions!$C$28^(CS$5-1))*$O184)),0)</f>
        <v>0</v>
      </c>
      <c r="CU184" s="93">
        <f>IF(AND($T184=1,CU$5&lt;=$H184),CT184*(1-BE184)*(1-MIN(1,MAX(Assumptions!$C$27,Assumptions!$C$13*Assumptions!$C$28^(CT$5-1))*$O184)),0)</f>
        <v>0</v>
      </c>
      <c r="CV184" s="93">
        <f>IF(AND($T184=1,CV$5&lt;=$H184),CU184*(1-BF184)*(1-MIN(1,MAX(Assumptions!$C$27,Assumptions!$C$13*Assumptions!$C$28^(CU$5-1))*$O184)),0)</f>
        <v>0</v>
      </c>
      <c r="CW184" s="93">
        <f>IF(AND($T184=1,CW$5&lt;=$H184),CV184*(1-BG184)*(1-MIN(1,MAX(Assumptions!$C$27,Assumptions!$C$13*Assumptions!$C$28^(CV$5-1))*$O184)),0)</f>
        <v>0</v>
      </c>
      <c r="CX184" s="93">
        <f>IF(AND($T184=1,CX$5&lt;=$H184),CW184*(1-BH184)*(1-MIN(1,MAX(Assumptions!$C$27,Assumptions!$C$13*Assumptions!$C$28^(CW$5-1))*$O184)),0)</f>
        <v>0</v>
      </c>
      <c r="CY184" s="93">
        <f>IF(AND($T184=1,CY$5&lt;=$H184),CX184*(1-BI184)*(1-MIN(1,MAX(Assumptions!$C$27,Assumptions!$C$13*Assumptions!$C$28^(CX$5-1))*$O184)),0)</f>
        <v>0</v>
      </c>
      <c r="CZ184" s="93">
        <f>IF(AND($T184=1,CZ$5&lt;=$H184),CY184*(1-BJ184)*(1-MIN(1,MAX(Assumptions!$C$27,Assumptions!$C$13*Assumptions!$C$28^(CY$5-1))*$O184)),0)</f>
        <v>0</v>
      </c>
      <c r="DA184" s="93">
        <f>IF(AND($T184=1,DA$5&lt;=$H184),CZ184*(1-BK184)*(1-MIN(1,MAX(Assumptions!$C$27,Assumptions!$C$13*Assumptions!$C$28^(CZ$5-1))*$O184)),0)</f>
        <v>0</v>
      </c>
      <c r="DB184" s="93">
        <f>IF(AND($T184=1,DB$5&lt;=$H184),DA184*(1-BL184)*(1-MIN(1,MAX(Assumptions!$C$27,Assumptions!$C$13*Assumptions!$C$28^(DA$5-1))*$O184)),0)</f>
        <v>0</v>
      </c>
      <c r="DC184" s="93">
        <f>IF(AND($T184=1,DC$5&lt;=$H184),DB184*(1-BM184)*(1-MIN(1,MAX(Assumptions!$C$27,Assumptions!$C$13*Assumptions!$C$28^(DB$5-1))*$O184)),0)</f>
        <v>0</v>
      </c>
      <c r="DD184" s="93">
        <f>IF(AND($T184=1,DD$5&lt;=$H184),DC184*(1-BN184)*(1-MIN(1,MAX(Assumptions!$C$27,Assumptions!$C$13*Assumptions!$C$28^(DC$5-1))*$O184)),0)</f>
        <v>0</v>
      </c>
      <c r="DE184" s="93">
        <f>IF(AND($T184=1,DE$5&lt;=$H184),DD184*(1-BO184)*(1-MIN(1,MAX(Assumptions!$C$27,Assumptions!$C$13*Assumptions!$C$28^(DD$5-1))*$O184)),0)</f>
        <v>0</v>
      </c>
      <c r="DF184" s="93">
        <f>IF(AND($T184=1,DF$5&lt;=$H184),DE184*(1-BP184)*(1-MIN(1,MAX(Assumptions!$C$27,Assumptions!$C$13*Assumptions!$C$28^(DE$5-1))*$O184)),0)</f>
        <v>0</v>
      </c>
      <c r="DG184" s="93">
        <f>IF(AND($T184=1,DG$5&lt;=$H184),DF184*(1-BQ184)*(1-MIN(1,MAX(Assumptions!$C$27,Assumptions!$C$13*Assumptions!$C$28^(DF$5-1))*$O184)),0)</f>
        <v>0</v>
      </c>
      <c r="DH184" s="93">
        <f>IF(AND($T184=1,DH$5&lt;=$H184),DG184*(1-BR184)*(1-MIN(1,MAX(Assumptions!$C$27,Assumptions!$C$13*Assumptions!$C$28^(DG$5-1))*$O184)),0)</f>
        <v>0</v>
      </c>
      <c r="DI184" s="93">
        <f>IF(AND($T184=1,DI$5&lt;=$H184),DH184*(1-BS184)*(1-MIN(1,MAX(Assumptions!$C$27,Assumptions!$C$13*Assumptions!$C$28^(DH$5-1))*$O184)),0)</f>
        <v>0</v>
      </c>
      <c r="DJ184" s="93">
        <f>IF(AND($T184=1,DJ$5&lt;=$H184),DI184*(1-BT184)*(1-MIN(1,MAX(Assumptions!$C$27,Assumptions!$C$13*Assumptions!$C$28^(DI$5-1))*$O184)),0)</f>
        <v>0</v>
      </c>
      <c r="DK184" s="93">
        <f>IF(AND($T184=1,DK$5&lt;=$H184),DJ184*(1-BU184)*(1-MIN(1,MAX(Assumptions!$C$27,Assumptions!$C$13*Assumptions!$C$28^(DJ$5-1))*$O184)),0)</f>
        <v>0</v>
      </c>
      <c r="DL184" s="93">
        <f>IF(AND($T184=1,DL$5&lt;=$H184),DK184*(1-BV184)*(1-MIN(1,MAX(Assumptions!$C$27,Assumptions!$C$13*Assumptions!$C$28^(DK$5-1))*$O184)),0)</f>
        <v>0</v>
      </c>
      <c r="DM184" s="93">
        <f>IF(AND($T184=1,DM$5&lt;=$H184),DL184*(1-BW184)*(1-MIN(1,MAX(Assumptions!$C$27,Assumptions!$C$13*Assumptions!$C$28^(DL$5-1))*$O184)),0)</f>
        <v>0</v>
      </c>
      <c r="DN184" s="93">
        <f>IF(AND($T184=1,DN$5&lt;=$H184),DM184*(1-BX184)*(1-MIN(1,MAX(Assumptions!$C$27,Assumptions!$C$13*Assumptions!$C$28^(DM$5-1))*$O184)),0)</f>
        <v>0</v>
      </c>
      <c r="DO184" s="93">
        <f>IF(AND($T184=1,DO$5&lt;=$H184),DN184*(1-BY184)*(1-MIN(1,MAX(Assumptions!$C$27,Assumptions!$C$13*Assumptions!$C$28^(DN$5-1))*$O184)),0)</f>
        <v>0</v>
      </c>
      <c r="DP184" s="93">
        <f>IF(AND($T184=1,DP$5&lt;=$H184),DO184*(1-BZ184)*(1-MIN(1,MAX(Assumptions!$C$27,Assumptions!$C$13*Assumptions!$C$28^(DO$5-1))*$O184)),0)</f>
        <v>0</v>
      </c>
      <c r="DQ184" s="93">
        <f>IF(AND($T184=1,DQ$5&lt;=$H184),DP184*(1-CA184)*(1-MIN(1,MAX(Assumptions!$C$27,Assumptions!$C$13*Assumptions!$C$28^(DP$5-1))*$O184)),0)</f>
        <v>0</v>
      </c>
      <c r="DR184" s="93">
        <f>IF(AND($T184=1,DR$5&lt;=$H184),DQ184*(1-CB184)*(1-MIN(1,MAX(Assumptions!$C$27,Assumptions!$C$13*Assumptions!$C$28^(DQ$5-1))*$O184)),0)</f>
        <v>0</v>
      </c>
      <c r="DS184" s="93">
        <f>IF(AND($T184=1,DS$5&lt;=$H184),DR184*(1-CC184)*(1-MIN(1,MAX(Assumptions!$C$27,Assumptions!$C$13*Assumptions!$C$28^(DR$5-1))*$O184)),0)</f>
        <v>0</v>
      </c>
      <c r="DT184" s="93">
        <f>IF(AND($T184=1,DT$5&lt;=$H184),DS184*(1-CD184)*(1-MIN(1,MAX(Assumptions!$C$27,Assumptions!$C$13*Assumptions!$C$28^(DS$5-1))*$O184)),0)</f>
        <v>0</v>
      </c>
      <c r="DU184" s="93">
        <f>IF(AND($T184=1,DU$5&lt;=$H184),DT184*(1-CE184)*(1-MIN(1,MAX(Assumptions!$C$27,Assumptions!$C$13*Assumptions!$C$28^(DT$5-1))*$O184)),0)</f>
        <v>0</v>
      </c>
      <c r="DV184" s="93">
        <f>IF(AND($T184=1,DV$5&lt;=$H184),DU184*(1-CF184)*(1-MIN(1,MAX(Assumptions!$C$27,Assumptions!$C$13*Assumptions!$C$28^(DU$5-1))*$O184)),0)</f>
        <v>0</v>
      </c>
      <c r="DW184" s="94">
        <f>IF(AND($T184=1,DW$5&lt;=$H184),DV184*(1-CG184)*(1-MIN(1,MAX(Assumptions!$C$27,Assumptions!$C$13*Assumptions!$C$28^(DV$5-1))*$O184)),0)</f>
        <v>0</v>
      </c>
      <c r="DX184" s="26"/>
      <c r="DY184" s="399">
        <f>'Policy Data'!K158</f>
        <v>1</v>
      </c>
      <c r="DZ184" s="100">
        <f>'Policy Data'!L158</f>
        <v>0.77480000000000004</v>
      </c>
      <c r="EA184" s="100">
        <f>'Policy Data'!N158</f>
        <v>9.8400000000000007E-4</v>
      </c>
      <c r="EB184" s="93" cm="1">
        <f t="array" ref="EB184">IFERROR(DZ184*INDEX(Mortality!$B$4:$E$64,MATCH(D184+DY184-1,Mortality!$A$4:$A$64,0),U184)*V184,0)</f>
        <v>9.8395317133912657E-4</v>
      </c>
      <c r="EC184" s="100">
        <f>'Policy Data'!O158</f>
        <v>0</v>
      </c>
      <c r="ED184" s="400">
        <f>'Policy Data'!Q158</f>
        <v>0</v>
      </c>
    </row>
    <row r="185" spans="1:134" x14ac:dyDescent="0.3">
      <c r="A185" s="399" t="str">
        <f>'Policy Data'!A159</f>
        <v>POL100155</v>
      </c>
      <c r="B185" s="26" t="s">
        <v>426</v>
      </c>
      <c r="C185" s="100" t="str">
        <f>'Policy Data'!B159</f>
        <v>Term Life</v>
      </c>
      <c r="D185" s="100">
        <f>'Policy Data'!C159</f>
        <v>29</v>
      </c>
      <c r="E185" s="100" t="str">
        <f>'Policy Data'!D159</f>
        <v>Female</v>
      </c>
      <c r="F185" s="100" t="str">
        <f>'Policy Data'!E159</f>
        <v>Non-smoker</v>
      </c>
      <c r="G185" s="100" t="str">
        <f>'Policy Data'!F159</f>
        <v>Standard</v>
      </c>
      <c r="H185" s="100">
        <f>'Policy Data'!G159</f>
        <v>15</v>
      </c>
      <c r="I185" s="279">
        <f>'Policy Data'!H159</f>
        <v>1000000</v>
      </c>
      <c r="J185" s="100" t="str">
        <f>'Policy Data'!I159</f>
        <v>Monthly</v>
      </c>
      <c r="K185" s="100" t="str">
        <f>'Policy Data'!J159</f>
        <v>Bancassurance</v>
      </c>
      <c r="L185" s="26" t="s">
        <v>389</v>
      </c>
      <c r="M185" s="106">
        <f>'Policy Data'!R159</f>
        <v>1446.65</v>
      </c>
      <c r="N185" s="415">
        <f>Assumptions!$C$21</f>
        <v>1</v>
      </c>
      <c r="O185" s="415">
        <f>Assumptions!$C$22</f>
        <v>1</v>
      </c>
      <c r="P185" s="415">
        <f>Assumptions!$C$23</f>
        <v>1</v>
      </c>
      <c r="Q185" s="416">
        <f>Assumptions!$C$24</f>
        <v>0</v>
      </c>
      <c r="R185" s="416">
        <f>Assumptions!$C$6+Assumptions!$C$25</f>
        <v>3.5000000000000003E-2</v>
      </c>
      <c r="S185" s="416">
        <f>Assumptions!$C$15</f>
        <v>1.1000000000000001E-3</v>
      </c>
      <c r="T185" s="26">
        <f t="shared" si="54"/>
        <v>1</v>
      </c>
      <c r="U185" s="26">
        <f t="shared" si="55"/>
        <v>1</v>
      </c>
      <c r="V185" s="389">
        <f>IF($G185="Preferred",Assumptions!$C$30,IF($G185="Rated",Assumptions!$C$31,1))</f>
        <v>1</v>
      </c>
      <c r="W185" s="390">
        <f>IF($K185="Direct",Assumptions!$C$32,IF($K185="Broker",Assumptions!$C$33,IF($K185="Bancassurance",Assumptions!$C$34,Assumptions!$C$11)))+$Q185</f>
        <v>0.2</v>
      </c>
      <c r="X185" s="390">
        <f>Assumptions!$C$12+$Q185</f>
        <v>0.05</v>
      </c>
      <c r="Y185" s="131">
        <f>MIN($I185,Assumptions!$C$14)</f>
        <v>500000</v>
      </c>
      <c r="Z185" s="131">
        <f>MAX($I185-Assumptions!$C$14,0)</f>
        <v>500000</v>
      </c>
      <c r="AA185" s="389">
        <f t="shared" si="56"/>
        <v>7.424468954519349</v>
      </c>
      <c r="AB185" s="389">
        <f t="shared" si="57"/>
        <v>4.2771397028994679E-3</v>
      </c>
      <c r="AC185" s="389">
        <f>IF($T185=1,SUMPRODUCT($CJ185:$DW185,(1+Assumptions!$C$5)^($CJ$5:$DW$5-1),(1+$R185)^(-$CJ$5:$DW$5)),0)</f>
        <v>9.2942362094873801</v>
      </c>
      <c r="AD185" s="389">
        <f t="shared" si="58"/>
        <v>0.51615098395785153</v>
      </c>
      <c r="AE185" s="131">
        <f>IF($T185=1,$AB185*$Y185+(Assumptions!$C$9/(1+$R185)+Assumptions!$C$10*$AC185)*$P185+$S185*$Z185*$AA185,0)</f>
        <v>9136.3249599139035</v>
      </c>
      <c r="AF185" s="131">
        <f>IF($T185=1,IF($AA185-$AD185-Assumptions!$C$16*$AA185&gt;0,$AE185/($AA185-$AD185-Assumptions!$C$16*$AA185)*IF($J185="Monthly",1+Assumptions!$C$29,1),"n.a."),"")</f>
        <v>1490.3195306900882</v>
      </c>
      <c r="AG185" s="131">
        <f t="shared" si="59"/>
        <v>1446.65</v>
      </c>
      <c r="AH185" s="131">
        <f t="shared" si="60"/>
        <v>10740.608013055416</v>
      </c>
      <c r="AI185" s="131">
        <f t="shared" si="61"/>
        <v>857.59323219888756</v>
      </c>
      <c r="AJ185" s="390">
        <f t="shared" si="62"/>
        <v>7.9845873823573721E-2</v>
      </c>
      <c r="AK185" s="389">
        <f t="shared" si="63"/>
        <v>0.97069787398554253</v>
      </c>
      <c r="AL185" s="131">
        <f t="shared" si="64"/>
        <v>2138.569851449734</v>
      </c>
      <c r="AM185" s="131">
        <f t="shared" si="65"/>
        <v>4083.457924985642</v>
      </c>
      <c r="AN185" s="131">
        <f t="shared" si="66"/>
        <v>-1944.888073535908</v>
      </c>
      <c r="AO185" s="131">
        <f t="shared" si="67"/>
        <v>2802.4813057347956</v>
      </c>
      <c r="AP185" s="26" t="str">
        <f t="shared" si="68"/>
        <v>20-29</v>
      </c>
      <c r="AQ185" s="26" t="str">
        <f t="shared" si="69"/>
        <v>500k-1m</v>
      </c>
      <c r="AR185" s="26" t="str">
        <f>IF($T185=1,IF($AI185&lt;0,"Loss-making",IF($AJ185&lt;Assumptions!$C$16-0.00001,"Below target","At/above target")),"Excluded")</f>
        <v>Below target</v>
      </c>
      <c r="AS185" s="103">
        <f t="shared" si="70"/>
        <v>857.59341719888755</v>
      </c>
      <c r="AT185" s="26"/>
      <c r="AU185" s="419">
        <f>IF(AND($T185=1,AU$5&lt;=$H185),INDEX(Mortality!$B$4:$E$64,MATCH($D185+AU$5-1,Mortality!$A$4:$A$64,0),$U185)*$V185*$N185,0)</f>
        <v>3.53092002492888E-4</v>
      </c>
      <c r="AV185" s="93">
        <f>IF(AND($T185=1,AV$5&lt;=$H185),INDEX(Mortality!$B$4:$E$64,MATCH($D185+AV$5-1,Mortality!$A$4:$A$64,0),$U185)*$V185*$N185,0)</f>
        <v>3.8249999999999997E-4</v>
      </c>
      <c r="AW185" s="93">
        <f>IF(AND($T185=1,AW$5&lt;=$H185),INDEX(Mortality!$B$4:$E$64,MATCH($D185+AW$5-1,Mortality!$A$4:$A$64,0),$U185)*$V185*$N185,0)</f>
        <v>4.1435730338567202E-4</v>
      </c>
      <c r="AX185" s="93">
        <f>IF(AND($T185=1,AX$5&lt;=$H185),INDEX(Mortality!$B$4:$E$64,MATCH($D185+AX$5-1,Mortality!$A$4:$A$64,0),$U185)*$V185*$N185,0)</f>
        <v>4.4886790815436701E-4</v>
      </c>
      <c r="AY185" s="93">
        <f>IF(AND($T185=1,AY$5&lt;=$H185),INDEX(Mortality!$B$4:$E$64,MATCH($D185+AY$5-1,Mortality!$A$4:$A$64,0),$U185)*$V185*$N185,0)</f>
        <v>4.8625279999793699E-4</v>
      </c>
      <c r="AZ185" s="93">
        <f>IF(AND($T185=1,AZ$5&lt;=$H185),INDEX(Mortality!$B$4:$E$64,MATCH($D185+AZ$5-1,Mortality!$A$4:$A$64,0),$U185)*$V185*$N185,0)</f>
        <v>5.2675136985850396E-4</v>
      </c>
      <c r="BA185" s="93">
        <f>IF(AND($T185=1,BA$5&lt;=$H185),INDEX(Mortality!$B$4:$E$64,MATCH($D185+BA$5-1,Mortality!$A$4:$A$64,0),$U185)*$V185*$N185,0)</f>
        <v>5.7062294684778595E-4</v>
      </c>
      <c r="BB185" s="93">
        <f>IF(AND($T185=1,BB$5&lt;=$H185),INDEX(Mortality!$B$4:$E$64,MATCH($D185+BB$5-1,Mortality!$A$4:$A$64,0),$U185)*$V185*$N185,0)</f>
        <v>6.1814845883878197E-4</v>
      </c>
      <c r="BC185" s="93">
        <f>IF(AND($T185=1,BC$5&lt;=$H185),INDEX(Mortality!$B$4:$E$64,MATCH($D185+BC$5-1,Mortality!$A$4:$A$64,0),$U185)*$V185*$N185,0)</f>
        <v>6.6963223136325904E-4</v>
      </c>
      <c r="BD185" s="93">
        <f>IF(AND($T185=1,BD$5&lt;=$H185),INDEX(Mortality!$B$4:$E$64,MATCH($D185+BD$5-1,Mortality!$A$4:$A$64,0),$U185)*$V185*$N185,0)</f>
        <v>7.2540393633414402E-4</v>
      </c>
      <c r="BE185" s="93">
        <f>IF(AND($T185=1,BE$5&lt;=$H185),INDEX(Mortality!$B$4:$E$64,MATCH($D185+BE$5-1,Mortality!$A$4:$A$64,0),$U185)*$V185*$N185,0)</f>
        <v>7.8582070307128696E-4</v>
      </c>
      <c r="BF185" s="93">
        <f>IF(AND($T185=1,BF$5&lt;=$H185),INDEX(Mortality!$B$4:$E$64,MATCH($D185+BF$5-1,Mortality!$A$4:$A$64,0),$U185)*$V185*$N185,0)</f>
        <v>8.5126940514836905E-4</v>
      </c>
      <c r="BG185" s="93">
        <f>IF(AND($T185=1,BG$5&lt;=$H185),INDEX(Mortality!$B$4:$E$64,MATCH($D185+BG$5-1,Mortality!$A$4:$A$64,0),$U185)*$V185*$N185,0)</f>
        <v>9.2216913770458301E-4</v>
      </c>
      <c r="BH185" s="93">
        <f>IF(AND($T185=1,BH$5&lt;=$H185),INDEX(Mortality!$B$4:$E$64,MATCH($D185+BH$5-1,Mortality!$A$4:$A$64,0),$U185)*$V185*$N185,0)</f>
        <v>9.98973901084343E-4</v>
      </c>
      <c r="BI185" s="93">
        <f>IF(AND($T185=1,BI$5&lt;=$H185),INDEX(Mortality!$B$4:$E$64,MATCH($D185+BI$5-1,Mortality!$A$4:$A$64,0),$U185)*$V185*$N185,0)</f>
        <v>1.08217550798947E-3</v>
      </c>
      <c r="BJ185" s="93">
        <f>IF(AND($T185=1,BJ$5&lt;=$H185),INDEX(Mortality!$B$4:$E$64,MATCH($D185+BJ$5-1,Mortality!$A$4:$A$64,0),$U185)*$V185*$N185,0)</f>
        <v>0</v>
      </c>
      <c r="BK185" s="93">
        <f>IF(AND($T185=1,BK$5&lt;=$H185),INDEX(Mortality!$B$4:$E$64,MATCH($D185+BK$5-1,Mortality!$A$4:$A$64,0),$U185)*$V185*$N185,0)</f>
        <v>0</v>
      </c>
      <c r="BL185" s="93">
        <f>IF(AND($T185=1,BL$5&lt;=$H185),INDEX(Mortality!$B$4:$E$64,MATCH($D185+BL$5-1,Mortality!$A$4:$A$64,0),$U185)*$V185*$N185,0)</f>
        <v>0</v>
      </c>
      <c r="BM185" s="93">
        <f>IF(AND($T185=1,BM$5&lt;=$H185),INDEX(Mortality!$B$4:$E$64,MATCH($D185+BM$5-1,Mortality!$A$4:$A$64,0),$U185)*$V185*$N185,0)</f>
        <v>0</v>
      </c>
      <c r="BN185" s="93">
        <f>IF(AND($T185=1,BN$5&lt;=$H185),INDEX(Mortality!$B$4:$E$64,MATCH($D185+BN$5-1,Mortality!$A$4:$A$64,0),$U185)*$V185*$N185,0)</f>
        <v>0</v>
      </c>
      <c r="BO185" s="93">
        <f>IF(AND($T185=1,BO$5&lt;=$H185),INDEX(Mortality!$B$4:$E$64,MATCH($D185+BO$5-1,Mortality!$A$4:$A$64,0),$U185)*$V185*$N185,0)</f>
        <v>0</v>
      </c>
      <c r="BP185" s="93">
        <f>IF(AND($T185=1,BP$5&lt;=$H185),INDEX(Mortality!$B$4:$E$64,MATCH($D185+BP$5-1,Mortality!$A$4:$A$64,0),$U185)*$V185*$N185,0)</f>
        <v>0</v>
      </c>
      <c r="BQ185" s="93">
        <f>IF(AND($T185=1,BQ$5&lt;=$H185),INDEX(Mortality!$B$4:$E$64,MATCH($D185+BQ$5-1,Mortality!$A$4:$A$64,0),$U185)*$V185*$N185,0)</f>
        <v>0</v>
      </c>
      <c r="BR185" s="93">
        <f>IF(AND($T185=1,BR$5&lt;=$H185),INDEX(Mortality!$B$4:$E$64,MATCH($D185+BR$5-1,Mortality!$A$4:$A$64,0),$U185)*$V185*$N185,0)</f>
        <v>0</v>
      </c>
      <c r="BS185" s="93">
        <f>IF(AND($T185=1,BS$5&lt;=$H185),INDEX(Mortality!$B$4:$E$64,MATCH($D185+BS$5-1,Mortality!$A$4:$A$64,0),$U185)*$V185*$N185,0)</f>
        <v>0</v>
      </c>
      <c r="BT185" s="93">
        <f>IF(AND($T185=1,BT$5&lt;=$H185),INDEX(Mortality!$B$4:$E$64,MATCH($D185+BT$5-1,Mortality!$A$4:$A$64,0),$U185)*$V185*$N185,0)</f>
        <v>0</v>
      </c>
      <c r="BU185" s="93">
        <f>IF(AND($T185=1,BU$5&lt;=$H185),INDEX(Mortality!$B$4:$E$64,MATCH($D185+BU$5-1,Mortality!$A$4:$A$64,0),$U185)*$V185*$N185,0)</f>
        <v>0</v>
      </c>
      <c r="BV185" s="93">
        <f>IF(AND($T185=1,BV$5&lt;=$H185),INDEX(Mortality!$B$4:$E$64,MATCH($D185+BV$5-1,Mortality!$A$4:$A$64,0),$U185)*$V185*$N185,0)</f>
        <v>0</v>
      </c>
      <c r="BW185" s="93">
        <f>IF(AND($T185=1,BW$5&lt;=$H185),INDEX(Mortality!$B$4:$E$64,MATCH($D185+BW$5-1,Mortality!$A$4:$A$64,0),$U185)*$V185*$N185,0)</f>
        <v>0</v>
      </c>
      <c r="BX185" s="93">
        <f>IF(AND($T185=1,BX$5&lt;=$H185),INDEX(Mortality!$B$4:$E$64,MATCH($D185+BX$5-1,Mortality!$A$4:$A$64,0),$U185)*$V185*$N185,0)</f>
        <v>0</v>
      </c>
      <c r="BY185" s="93">
        <f>IF(AND($T185=1,BY$5&lt;=$H185),INDEX(Mortality!$B$4:$E$64,MATCH($D185+BY$5-1,Mortality!$A$4:$A$64,0),$U185)*$V185*$N185,0)</f>
        <v>0</v>
      </c>
      <c r="BZ185" s="93">
        <f>IF(AND($T185=1,BZ$5&lt;=$H185),INDEX(Mortality!$B$4:$E$64,MATCH($D185+BZ$5-1,Mortality!$A$4:$A$64,0),$U185)*$V185*$N185,0)</f>
        <v>0</v>
      </c>
      <c r="CA185" s="93">
        <f>IF(AND($T185=1,CA$5&lt;=$H185),INDEX(Mortality!$B$4:$E$64,MATCH($D185+CA$5-1,Mortality!$A$4:$A$64,0),$U185)*$V185*$N185,0)</f>
        <v>0</v>
      </c>
      <c r="CB185" s="93">
        <f>IF(AND($T185=1,CB$5&lt;=$H185),INDEX(Mortality!$B$4:$E$64,MATCH($D185+CB$5-1,Mortality!$A$4:$A$64,0),$U185)*$V185*$N185,0)</f>
        <v>0</v>
      </c>
      <c r="CC185" s="93">
        <f>IF(AND($T185=1,CC$5&lt;=$H185),INDEX(Mortality!$B$4:$E$64,MATCH($D185+CC$5-1,Mortality!$A$4:$A$64,0),$U185)*$V185*$N185,0)</f>
        <v>0</v>
      </c>
      <c r="CD185" s="93">
        <f>IF(AND($T185=1,CD$5&lt;=$H185),INDEX(Mortality!$B$4:$E$64,MATCH($D185+CD$5-1,Mortality!$A$4:$A$64,0),$U185)*$V185*$N185,0)</f>
        <v>0</v>
      </c>
      <c r="CE185" s="93">
        <f>IF(AND($T185=1,CE$5&lt;=$H185),INDEX(Mortality!$B$4:$E$64,MATCH($D185+CE$5-1,Mortality!$A$4:$A$64,0),$U185)*$V185*$N185,0)</f>
        <v>0</v>
      </c>
      <c r="CF185" s="93">
        <f>IF(AND($T185=1,CF$5&lt;=$H185),INDEX(Mortality!$B$4:$E$64,MATCH($D185+CF$5-1,Mortality!$A$4:$A$64,0),$U185)*$V185*$N185,0)</f>
        <v>0</v>
      </c>
      <c r="CG185" s="93">
        <f>IF(AND($T185=1,CG$5&lt;=$H185),INDEX(Mortality!$B$4:$E$64,MATCH($D185+CG$5-1,Mortality!$A$4:$A$64,0),$U185)*$V185*$N185,0)</f>
        <v>0</v>
      </c>
      <c r="CH185" s="94">
        <f>IF(AND($T185=1,CH$5&lt;=$H185),INDEX(Mortality!$B$4:$E$64,MATCH($D185+CH$5-1,Mortality!$A$4:$A$64,0),$U185)*$V185*$N185,0)</f>
        <v>0</v>
      </c>
      <c r="CI185" s="26"/>
      <c r="CJ185" s="419">
        <f t="shared" si="71"/>
        <v>1</v>
      </c>
      <c r="CK185" s="93">
        <f>IF(AND($T185=1,CK$5&lt;=$H185),CJ185*(1-AU185)*(1-MIN(1,MAX(Assumptions!$C$27,Assumptions!$C$13*Assumptions!$C$28^(CJ$5-1))*$O185)),0)</f>
        <v>0.87968927903780625</v>
      </c>
      <c r="CL185" s="93">
        <f>IF(AND($T185=1,CL$5&lt;=$H185),CK185*(1-AV185)*(1-MIN(1,MAX(Assumptions!$C$27,Assumptions!$C$13*Assumptions!$C$28^(CK$5-1))*$O185)),0)</f>
        <v>0.78965881250393977</v>
      </c>
      <c r="CM185" s="93">
        <f>IF(AND($T185=1,CM$5&lt;=$H185),CL185*(1-AW185)*(1-MIN(1,MAX(Assumptions!$C$27,Assumptions!$C$13*Assumptions!$C$28^(CL$5-1))*$O185)),0)</f>
        <v>0.72089656088139997</v>
      </c>
      <c r="CN185" s="93">
        <f>IF(AND($T185=1,CN$5&lt;=$H185),CM185*(1-AX185)*(1-MIN(1,MAX(Assumptions!$C$27,Assumptions!$C$13*Assumptions!$C$28^(CM$5-1))*$O185)),0)</f>
        <v>0.66747034826434537</v>
      </c>
      <c r="CO185" s="93">
        <f>IF(AND($T185=1,CO$5&lt;=$H185),CN185*(1-AY185)*(1-MIN(1,MAX(Assumptions!$C$27,Assumptions!$C$13*Assumptions!$C$28^(CN$5-1))*$O185)),0)</f>
        <v>0.62535527636013144</v>
      </c>
      <c r="CP185" s="93">
        <f>IF(AND($T185=1,CP$5&lt;=$H185),CO185*(1-AZ185)*(1-MIN(1,MAX(Assumptions!$C$27,Assumptions!$C$13*Assumptions!$C$28^(CO$5-1))*$O185)),0)</f>
        <v>0.59174659375606542</v>
      </c>
      <c r="CQ185" s="93">
        <f>IF(AND($T185=1,CQ$5&lt;=$H185),CP185*(1-BA185)*(1-MIN(1,MAX(Assumptions!$C$27,Assumptions!$C$13*Assumptions!$C$28^(CP$5-1))*$O185)),0)</f>
        <v>0.56464297861207124</v>
      </c>
      <c r="CR185" s="93">
        <f>IF(AND($T185=1,CR$5&lt;=$H185),CQ185*(1-BB185)*(1-MIN(1,MAX(Assumptions!$C$27,Assumptions!$C$13*Assumptions!$C$28^(CQ$5-1))*$O185)),0)</f>
        <v>0.54258598022995608</v>
      </c>
      <c r="CS185" s="93">
        <f>IF(AND($T185=1,CS$5&lt;=$H185),CR185*(1-BC185)*(1-MIN(1,MAX(Assumptions!$C$27,Assumptions!$C$13*Assumptions!$C$28^(CR$5-1))*$O185)),0)</f>
        <v>0.52449258311148006</v>
      </c>
      <c r="CT185" s="93">
        <f>IF(AND($T185=1,CT$5&lt;=$H185),CS185*(1-BD185)*(1-MIN(1,MAX(Assumptions!$C$27,Assumptions!$C$13*Assumptions!$C$28^(CS$5-1))*$O185)),0)</f>
        <v>0.50954492444101429</v>
      </c>
      <c r="CU185" s="93">
        <f>IF(AND($T185=1,CU$5&lt;=$H185),CT185*(1-BE185)*(1-MIN(1,MAX(Assumptions!$C$27,Assumptions!$C$13*Assumptions!$C$28^(CT$5-1))*$O185)),0)</f>
        <v>0.49711601075223494</v>
      </c>
      <c r="CV185" s="93">
        <f>IF(AND($T185=1,CV$5&lt;=$H185),CU185*(1-BF185)*(1-MIN(1,MAX(Assumptions!$C$27,Assumptions!$C$13*Assumptions!$C$28^(CU$5-1))*$O185)),0)</f>
        <v>0.48671864836460438</v>
      </c>
      <c r="CW185" s="93">
        <f>IF(AND($T185=1,CW$5&lt;=$H185),CV185*(1-BG185)*(1-MIN(1,MAX(Assumptions!$C$27,Assumptions!$C$13*Assumptions!$C$28^(CV$5-1))*$O185)),0)</f>
        <v>0.47654441521937052</v>
      </c>
      <c r="CX185" s="93">
        <f>IF(AND($T185=1,CX$5&lt;=$H185),CW185*(1-BH185)*(1-MIN(1,MAX(Assumptions!$C$27,Assumptions!$C$13*Assumptions!$C$28^(CW$5-1))*$O185)),0)</f>
        <v>0.46654699259014171</v>
      </c>
      <c r="CY185" s="93">
        <f>IF(AND($T185=1,CY$5&lt;=$H185),CX185*(1-BI185)*(1-MIN(1,MAX(Assumptions!$C$27,Assumptions!$C$13*Assumptions!$C$28^(CX$5-1))*$O185)),0)</f>
        <v>0</v>
      </c>
      <c r="CZ185" s="93">
        <f>IF(AND($T185=1,CZ$5&lt;=$H185),CY185*(1-BJ185)*(1-MIN(1,MAX(Assumptions!$C$27,Assumptions!$C$13*Assumptions!$C$28^(CY$5-1))*$O185)),0)</f>
        <v>0</v>
      </c>
      <c r="DA185" s="93">
        <f>IF(AND($T185=1,DA$5&lt;=$H185),CZ185*(1-BK185)*(1-MIN(1,MAX(Assumptions!$C$27,Assumptions!$C$13*Assumptions!$C$28^(CZ$5-1))*$O185)),0)</f>
        <v>0</v>
      </c>
      <c r="DB185" s="93">
        <f>IF(AND($T185=1,DB$5&lt;=$H185),DA185*(1-BL185)*(1-MIN(1,MAX(Assumptions!$C$27,Assumptions!$C$13*Assumptions!$C$28^(DA$5-1))*$O185)),0)</f>
        <v>0</v>
      </c>
      <c r="DC185" s="93">
        <f>IF(AND($T185=1,DC$5&lt;=$H185),DB185*(1-BM185)*(1-MIN(1,MAX(Assumptions!$C$27,Assumptions!$C$13*Assumptions!$C$28^(DB$5-1))*$O185)),0)</f>
        <v>0</v>
      </c>
      <c r="DD185" s="93">
        <f>IF(AND($T185=1,DD$5&lt;=$H185),DC185*(1-BN185)*(1-MIN(1,MAX(Assumptions!$C$27,Assumptions!$C$13*Assumptions!$C$28^(DC$5-1))*$O185)),0)</f>
        <v>0</v>
      </c>
      <c r="DE185" s="93">
        <f>IF(AND($T185=1,DE$5&lt;=$H185),DD185*(1-BO185)*(1-MIN(1,MAX(Assumptions!$C$27,Assumptions!$C$13*Assumptions!$C$28^(DD$5-1))*$O185)),0)</f>
        <v>0</v>
      </c>
      <c r="DF185" s="93">
        <f>IF(AND($T185=1,DF$5&lt;=$H185),DE185*(1-BP185)*(1-MIN(1,MAX(Assumptions!$C$27,Assumptions!$C$13*Assumptions!$C$28^(DE$5-1))*$O185)),0)</f>
        <v>0</v>
      </c>
      <c r="DG185" s="93">
        <f>IF(AND($T185=1,DG$5&lt;=$H185),DF185*(1-BQ185)*(1-MIN(1,MAX(Assumptions!$C$27,Assumptions!$C$13*Assumptions!$C$28^(DF$5-1))*$O185)),0)</f>
        <v>0</v>
      </c>
      <c r="DH185" s="93">
        <f>IF(AND($T185=1,DH$5&lt;=$H185),DG185*(1-BR185)*(1-MIN(1,MAX(Assumptions!$C$27,Assumptions!$C$13*Assumptions!$C$28^(DG$5-1))*$O185)),0)</f>
        <v>0</v>
      </c>
      <c r="DI185" s="93">
        <f>IF(AND($T185=1,DI$5&lt;=$H185),DH185*(1-BS185)*(1-MIN(1,MAX(Assumptions!$C$27,Assumptions!$C$13*Assumptions!$C$28^(DH$5-1))*$O185)),0)</f>
        <v>0</v>
      </c>
      <c r="DJ185" s="93">
        <f>IF(AND($T185=1,DJ$5&lt;=$H185),DI185*(1-BT185)*(1-MIN(1,MAX(Assumptions!$C$27,Assumptions!$C$13*Assumptions!$C$28^(DI$5-1))*$O185)),0)</f>
        <v>0</v>
      </c>
      <c r="DK185" s="93">
        <f>IF(AND($T185=1,DK$5&lt;=$H185),DJ185*(1-BU185)*(1-MIN(1,MAX(Assumptions!$C$27,Assumptions!$C$13*Assumptions!$C$28^(DJ$5-1))*$O185)),0)</f>
        <v>0</v>
      </c>
      <c r="DL185" s="93">
        <f>IF(AND($T185=1,DL$5&lt;=$H185),DK185*(1-BV185)*(1-MIN(1,MAX(Assumptions!$C$27,Assumptions!$C$13*Assumptions!$C$28^(DK$5-1))*$O185)),0)</f>
        <v>0</v>
      </c>
      <c r="DM185" s="93">
        <f>IF(AND($T185=1,DM$5&lt;=$H185),DL185*(1-BW185)*(1-MIN(1,MAX(Assumptions!$C$27,Assumptions!$C$13*Assumptions!$C$28^(DL$5-1))*$O185)),0)</f>
        <v>0</v>
      </c>
      <c r="DN185" s="93">
        <f>IF(AND($T185=1,DN$5&lt;=$H185),DM185*(1-BX185)*(1-MIN(1,MAX(Assumptions!$C$27,Assumptions!$C$13*Assumptions!$C$28^(DM$5-1))*$O185)),0)</f>
        <v>0</v>
      </c>
      <c r="DO185" s="93">
        <f>IF(AND($T185=1,DO$5&lt;=$H185),DN185*(1-BY185)*(1-MIN(1,MAX(Assumptions!$C$27,Assumptions!$C$13*Assumptions!$C$28^(DN$5-1))*$O185)),0)</f>
        <v>0</v>
      </c>
      <c r="DP185" s="93">
        <f>IF(AND($T185=1,DP$5&lt;=$H185),DO185*(1-BZ185)*(1-MIN(1,MAX(Assumptions!$C$27,Assumptions!$C$13*Assumptions!$C$28^(DO$5-1))*$O185)),0)</f>
        <v>0</v>
      </c>
      <c r="DQ185" s="93">
        <f>IF(AND($T185=1,DQ$5&lt;=$H185),DP185*(1-CA185)*(1-MIN(1,MAX(Assumptions!$C$27,Assumptions!$C$13*Assumptions!$C$28^(DP$5-1))*$O185)),0)</f>
        <v>0</v>
      </c>
      <c r="DR185" s="93">
        <f>IF(AND($T185=1,DR$5&lt;=$H185),DQ185*(1-CB185)*(1-MIN(1,MAX(Assumptions!$C$27,Assumptions!$C$13*Assumptions!$C$28^(DQ$5-1))*$O185)),0)</f>
        <v>0</v>
      </c>
      <c r="DS185" s="93">
        <f>IF(AND($T185=1,DS$5&lt;=$H185),DR185*(1-CC185)*(1-MIN(1,MAX(Assumptions!$C$27,Assumptions!$C$13*Assumptions!$C$28^(DR$5-1))*$O185)),0)</f>
        <v>0</v>
      </c>
      <c r="DT185" s="93">
        <f>IF(AND($T185=1,DT$5&lt;=$H185),DS185*(1-CD185)*(1-MIN(1,MAX(Assumptions!$C$27,Assumptions!$C$13*Assumptions!$C$28^(DS$5-1))*$O185)),0)</f>
        <v>0</v>
      </c>
      <c r="DU185" s="93">
        <f>IF(AND($T185=1,DU$5&lt;=$H185),DT185*(1-CE185)*(1-MIN(1,MAX(Assumptions!$C$27,Assumptions!$C$13*Assumptions!$C$28^(DT$5-1))*$O185)),0)</f>
        <v>0</v>
      </c>
      <c r="DV185" s="93">
        <f>IF(AND($T185=1,DV$5&lt;=$H185),DU185*(1-CF185)*(1-MIN(1,MAX(Assumptions!$C$27,Assumptions!$C$13*Assumptions!$C$28^(DU$5-1))*$O185)),0)</f>
        <v>0</v>
      </c>
      <c r="DW185" s="94">
        <f>IF(AND($T185=1,DW$5&lt;=$H185),DV185*(1-CG185)*(1-MIN(1,MAX(Assumptions!$C$27,Assumptions!$C$13*Assumptions!$C$28^(DV$5-1))*$O185)),0)</f>
        <v>0</v>
      </c>
      <c r="DX185" s="26"/>
      <c r="DY185" s="399">
        <f>'Policy Data'!K159</f>
        <v>6</v>
      </c>
      <c r="DZ185" s="100">
        <f>'Policy Data'!L159</f>
        <v>0.82579999999999998</v>
      </c>
      <c r="EA185" s="100">
        <f>'Policy Data'!N159</f>
        <v>2.92E-4</v>
      </c>
      <c r="EB185" s="93" cm="1">
        <f t="array" ref="EB185">IFERROR(DZ185*INDEX(Mortality!$B$4:$E$64,MATCH(D185+DY185-1,Mortality!$A$4:$A$64,0),U185)*V185,0)</f>
        <v>4.3499128122915257E-4</v>
      </c>
      <c r="EC185" s="100">
        <f>'Policy Data'!O159</f>
        <v>0</v>
      </c>
      <c r="ED185" s="400">
        <f>'Policy Data'!Q159</f>
        <v>0</v>
      </c>
    </row>
    <row r="186" spans="1:134" x14ac:dyDescent="0.3">
      <c r="A186" s="399" t="str">
        <f>'Policy Data'!A160</f>
        <v>POL100156</v>
      </c>
      <c r="B186" s="26" t="s">
        <v>426</v>
      </c>
      <c r="C186" s="100" t="str">
        <f>'Policy Data'!B160</f>
        <v>Unit-Linked</v>
      </c>
      <c r="D186" s="100">
        <f>'Policy Data'!C160</f>
        <v>65</v>
      </c>
      <c r="E186" s="100" t="str">
        <f>'Policy Data'!D160</f>
        <v>Female</v>
      </c>
      <c r="F186" s="100" t="str">
        <f>'Policy Data'!E160</f>
        <v>Non-smoker</v>
      </c>
      <c r="G186" s="100" t="str">
        <f>'Policy Data'!F160</f>
        <v>Standard</v>
      </c>
      <c r="H186" s="100">
        <f>'Policy Data'!G160</f>
        <v>15</v>
      </c>
      <c r="I186" s="279">
        <f>'Policy Data'!H160</f>
        <v>500000</v>
      </c>
      <c r="J186" s="100" t="str">
        <f>'Policy Data'!I160</f>
        <v>Monthly</v>
      </c>
      <c r="K186" s="100" t="str">
        <f>'Policy Data'!J160</f>
        <v>Direct</v>
      </c>
      <c r="L186" s="26" t="s">
        <v>389</v>
      </c>
      <c r="M186" s="106">
        <f>'Policy Data'!R160</f>
        <v>10764.3</v>
      </c>
      <c r="N186" s="415">
        <f>Assumptions!$C$21</f>
        <v>1</v>
      </c>
      <c r="O186" s="415">
        <f>Assumptions!$C$22</f>
        <v>1</v>
      </c>
      <c r="P186" s="415">
        <f>Assumptions!$C$23</f>
        <v>1</v>
      </c>
      <c r="Q186" s="416">
        <f>Assumptions!$C$24</f>
        <v>0</v>
      </c>
      <c r="R186" s="416">
        <f>Assumptions!$C$6+Assumptions!$C$25</f>
        <v>3.5000000000000003E-2</v>
      </c>
      <c r="S186" s="416">
        <f>Assumptions!$C$15</f>
        <v>1.1000000000000001E-3</v>
      </c>
      <c r="T186" s="26">
        <f t="shared" si="54"/>
        <v>0</v>
      </c>
      <c r="U186" s="26">
        <f t="shared" si="55"/>
        <v>1</v>
      </c>
      <c r="V186" s="389">
        <f>IF($G186="Preferred",Assumptions!$C$30,IF($G186="Rated",Assumptions!$C$31,1))</f>
        <v>1</v>
      </c>
      <c r="W186" s="390">
        <f>IF($K186="Direct",Assumptions!$C$32,IF($K186="Broker",Assumptions!$C$33,IF($K186="Bancassurance",Assumptions!$C$34,Assumptions!$C$11)))+$Q186</f>
        <v>0.1</v>
      </c>
      <c r="X186" s="390">
        <f>Assumptions!$C$12+$Q186</f>
        <v>0.05</v>
      </c>
      <c r="Y186" s="131">
        <f>MIN($I186,Assumptions!$C$14)</f>
        <v>500000</v>
      </c>
      <c r="Z186" s="131">
        <f>MAX($I186-Assumptions!$C$14,0)</f>
        <v>0</v>
      </c>
      <c r="AA186" s="389">
        <f t="shared" si="56"/>
        <v>0</v>
      </c>
      <c r="AB186" s="389">
        <f t="shared" si="57"/>
        <v>0</v>
      </c>
      <c r="AC186" s="389">
        <f>IF($T186=1,SUMPRODUCT($CJ186:$DW186,(1+Assumptions!$C$5)^($CJ$5:$DW$5-1),(1+$R186)^(-$CJ$5:$DW$5)),0)</f>
        <v>0</v>
      </c>
      <c r="AD186" s="389">
        <f t="shared" si="58"/>
        <v>0</v>
      </c>
      <c r="AE186" s="131">
        <f>IF($T186=1,$AB186*$Y186+(Assumptions!$C$9/(1+$R186)+Assumptions!$C$10*$AC186)*$P186+$S186*$Z186*$AA186,0)</f>
        <v>0</v>
      </c>
      <c r="AF186" s="131" t="str">
        <f>IF($T186=1,IF($AA186-$AD186-Assumptions!$C$16*$AA186&gt;0,$AE186/($AA186-$AD186-Assumptions!$C$16*$AA186)*IF($J186="Monthly",1+Assumptions!$C$29,1),"n.a."),"")</f>
        <v/>
      </c>
      <c r="AG186" s="131" t="str">
        <f t="shared" si="59"/>
        <v/>
      </c>
      <c r="AH186" s="131" t="str">
        <f t="shared" si="60"/>
        <v/>
      </c>
      <c r="AI186" s="131" t="str">
        <f t="shared" si="61"/>
        <v/>
      </c>
      <c r="AJ186" s="390" t="str">
        <f t="shared" si="62"/>
        <v/>
      </c>
      <c r="AK186" s="389" t="str">
        <f t="shared" si="63"/>
        <v/>
      </c>
      <c r="AL186" s="131" t="str">
        <f t="shared" si="64"/>
        <v/>
      </c>
      <c r="AM186" s="131" t="str">
        <f t="shared" si="65"/>
        <v/>
      </c>
      <c r="AN186" s="131" t="str">
        <f t="shared" si="66"/>
        <v/>
      </c>
      <c r="AO186" s="131" t="str">
        <f t="shared" si="67"/>
        <v/>
      </c>
      <c r="AP186" s="26" t="str">
        <f t="shared" si="68"/>
        <v>60+</v>
      </c>
      <c r="AQ186" s="26" t="str">
        <f t="shared" si="69"/>
        <v>250k-500k</v>
      </c>
      <c r="AR186" s="26" t="str">
        <f>IF($T186=1,IF($AI186&lt;0,"Loss-making",IF($AJ186&lt;Assumptions!$C$16-0.00001,"Below target","At/above target")),"Excluded")</f>
        <v>Excluded</v>
      </c>
      <c r="AS186" s="103">
        <f t="shared" si="70"/>
        <v>9.9999999999999997E+98</v>
      </c>
      <c r="AT186" s="26"/>
      <c r="AU186" s="419">
        <f>IF(AND($T186=1,AU$5&lt;=$H186),INDEX(Mortality!$B$4:$E$64,MATCH($D186+AU$5-1,Mortality!$A$4:$A$64,0),$U186)*$V186*$N186,0)</f>
        <v>0</v>
      </c>
      <c r="AV186" s="93">
        <f>IF(AND($T186=1,AV$5&lt;=$H186),INDEX(Mortality!$B$4:$E$64,MATCH($D186+AV$5-1,Mortality!$A$4:$A$64,0),$U186)*$V186*$N186,0)</f>
        <v>0</v>
      </c>
      <c r="AW186" s="93">
        <f>IF(AND($T186=1,AW$5&lt;=$H186),INDEX(Mortality!$B$4:$E$64,MATCH($D186+AW$5-1,Mortality!$A$4:$A$64,0),$U186)*$V186*$N186,0)</f>
        <v>0</v>
      </c>
      <c r="AX186" s="93">
        <f>IF(AND($T186=1,AX$5&lt;=$H186),INDEX(Mortality!$B$4:$E$64,MATCH($D186+AX$5-1,Mortality!$A$4:$A$64,0),$U186)*$V186*$N186,0)</f>
        <v>0</v>
      </c>
      <c r="AY186" s="93">
        <f>IF(AND($T186=1,AY$5&lt;=$H186),INDEX(Mortality!$B$4:$E$64,MATCH($D186+AY$5-1,Mortality!$A$4:$A$64,0),$U186)*$V186*$N186,0)</f>
        <v>0</v>
      </c>
      <c r="AZ186" s="93">
        <f>IF(AND($T186=1,AZ$5&lt;=$H186),INDEX(Mortality!$B$4:$E$64,MATCH($D186+AZ$5-1,Mortality!$A$4:$A$64,0),$U186)*$V186*$N186,0)</f>
        <v>0</v>
      </c>
      <c r="BA186" s="93">
        <f>IF(AND($T186=1,BA$5&lt;=$H186),INDEX(Mortality!$B$4:$E$64,MATCH($D186+BA$5-1,Mortality!$A$4:$A$64,0),$U186)*$V186*$N186,0)</f>
        <v>0</v>
      </c>
      <c r="BB186" s="93">
        <f>IF(AND($T186=1,BB$5&lt;=$H186),INDEX(Mortality!$B$4:$E$64,MATCH($D186+BB$5-1,Mortality!$A$4:$A$64,0),$U186)*$V186*$N186,0)</f>
        <v>0</v>
      </c>
      <c r="BC186" s="93">
        <f>IF(AND($T186=1,BC$5&lt;=$H186),INDEX(Mortality!$B$4:$E$64,MATCH($D186+BC$5-1,Mortality!$A$4:$A$64,0),$U186)*$V186*$N186,0)</f>
        <v>0</v>
      </c>
      <c r="BD186" s="93">
        <f>IF(AND($T186=1,BD$5&lt;=$H186),INDEX(Mortality!$B$4:$E$64,MATCH($D186+BD$5-1,Mortality!$A$4:$A$64,0),$U186)*$V186*$N186,0)</f>
        <v>0</v>
      </c>
      <c r="BE186" s="93">
        <f>IF(AND($T186=1,BE$5&lt;=$H186),INDEX(Mortality!$B$4:$E$64,MATCH($D186+BE$5-1,Mortality!$A$4:$A$64,0),$U186)*$V186*$N186,0)</f>
        <v>0</v>
      </c>
      <c r="BF186" s="93">
        <f>IF(AND($T186=1,BF$5&lt;=$H186),INDEX(Mortality!$B$4:$E$64,MATCH($D186+BF$5-1,Mortality!$A$4:$A$64,0),$U186)*$V186*$N186,0)</f>
        <v>0</v>
      </c>
      <c r="BG186" s="93">
        <f>IF(AND($T186=1,BG$5&lt;=$H186),INDEX(Mortality!$B$4:$E$64,MATCH($D186+BG$5-1,Mortality!$A$4:$A$64,0),$U186)*$V186*$N186,0)</f>
        <v>0</v>
      </c>
      <c r="BH186" s="93">
        <f>IF(AND($T186=1,BH$5&lt;=$H186),INDEX(Mortality!$B$4:$E$64,MATCH($D186+BH$5-1,Mortality!$A$4:$A$64,0),$U186)*$V186*$N186,0)</f>
        <v>0</v>
      </c>
      <c r="BI186" s="93">
        <f>IF(AND($T186=1,BI$5&lt;=$H186),INDEX(Mortality!$B$4:$E$64,MATCH($D186+BI$5-1,Mortality!$A$4:$A$64,0),$U186)*$V186*$N186,0)</f>
        <v>0</v>
      </c>
      <c r="BJ186" s="93">
        <f>IF(AND($T186=1,BJ$5&lt;=$H186),INDEX(Mortality!$B$4:$E$64,MATCH($D186+BJ$5-1,Mortality!$A$4:$A$64,0),$U186)*$V186*$N186,0)</f>
        <v>0</v>
      </c>
      <c r="BK186" s="93">
        <f>IF(AND($T186=1,BK$5&lt;=$H186),INDEX(Mortality!$B$4:$E$64,MATCH($D186+BK$5-1,Mortality!$A$4:$A$64,0),$U186)*$V186*$N186,0)</f>
        <v>0</v>
      </c>
      <c r="BL186" s="93">
        <f>IF(AND($T186=1,BL$5&lt;=$H186),INDEX(Mortality!$B$4:$E$64,MATCH($D186+BL$5-1,Mortality!$A$4:$A$64,0),$U186)*$V186*$N186,0)</f>
        <v>0</v>
      </c>
      <c r="BM186" s="93">
        <f>IF(AND($T186=1,BM$5&lt;=$H186),INDEX(Mortality!$B$4:$E$64,MATCH($D186+BM$5-1,Mortality!$A$4:$A$64,0),$U186)*$V186*$N186,0)</f>
        <v>0</v>
      </c>
      <c r="BN186" s="93">
        <f>IF(AND($T186=1,BN$5&lt;=$H186),INDEX(Mortality!$B$4:$E$64,MATCH($D186+BN$5-1,Mortality!$A$4:$A$64,0),$U186)*$V186*$N186,0)</f>
        <v>0</v>
      </c>
      <c r="BO186" s="93">
        <f>IF(AND($T186=1,BO$5&lt;=$H186),INDEX(Mortality!$B$4:$E$64,MATCH($D186+BO$5-1,Mortality!$A$4:$A$64,0),$U186)*$V186*$N186,0)</f>
        <v>0</v>
      </c>
      <c r="BP186" s="93">
        <f>IF(AND($T186=1,BP$5&lt;=$H186),INDEX(Mortality!$B$4:$E$64,MATCH($D186+BP$5-1,Mortality!$A$4:$A$64,0),$U186)*$V186*$N186,0)</f>
        <v>0</v>
      </c>
      <c r="BQ186" s="93">
        <f>IF(AND($T186=1,BQ$5&lt;=$H186),INDEX(Mortality!$B$4:$E$64,MATCH($D186+BQ$5-1,Mortality!$A$4:$A$64,0),$U186)*$V186*$N186,0)</f>
        <v>0</v>
      </c>
      <c r="BR186" s="93">
        <f>IF(AND($T186=1,BR$5&lt;=$H186),INDEX(Mortality!$B$4:$E$64,MATCH($D186+BR$5-1,Mortality!$A$4:$A$64,0),$U186)*$V186*$N186,0)</f>
        <v>0</v>
      </c>
      <c r="BS186" s="93">
        <f>IF(AND($T186=1,BS$5&lt;=$H186),INDEX(Mortality!$B$4:$E$64,MATCH($D186+BS$5-1,Mortality!$A$4:$A$64,0),$U186)*$V186*$N186,0)</f>
        <v>0</v>
      </c>
      <c r="BT186" s="93">
        <f>IF(AND($T186=1,BT$5&lt;=$H186),INDEX(Mortality!$B$4:$E$64,MATCH($D186+BT$5-1,Mortality!$A$4:$A$64,0),$U186)*$V186*$N186,0)</f>
        <v>0</v>
      </c>
      <c r="BU186" s="93">
        <f>IF(AND($T186=1,BU$5&lt;=$H186),INDEX(Mortality!$B$4:$E$64,MATCH($D186+BU$5-1,Mortality!$A$4:$A$64,0),$U186)*$V186*$N186,0)</f>
        <v>0</v>
      </c>
      <c r="BV186" s="93">
        <f>IF(AND($T186=1,BV$5&lt;=$H186),INDEX(Mortality!$B$4:$E$64,MATCH($D186+BV$5-1,Mortality!$A$4:$A$64,0),$U186)*$V186*$N186,0)</f>
        <v>0</v>
      </c>
      <c r="BW186" s="93">
        <f>IF(AND($T186=1,BW$5&lt;=$H186),INDEX(Mortality!$B$4:$E$64,MATCH($D186+BW$5-1,Mortality!$A$4:$A$64,0),$U186)*$V186*$N186,0)</f>
        <v>0</v>
      </c>
      <c r="BX186" s="93">
        <f>IF(AND($T186=1,BX$5&lt;=$H186),INDEX(Mortality!$B$4:$E$64,MATCH($D186+BX$5-1,Mortality!$A$4:$A$64,0),$U186)*$V186*$N186,0)</f>
        <v>0</v>
      </c>
      <c r="BY186" s="93">
        <f>IF(AND($T186=1,BY$5&lt;=$H186),INDEX(Mortality!$B$4:$E$64,MATCH($D186+BY$5-1,Mortality!$A$4:$A$64,0),$U186)*$V186*$N186,0)</f>
        <v>0</v>
      </c>
      <c r="BZ186" s="93">
        <f>IF(AND($T186=1,BZ$5&lt;=$H186),INDEX(Mortality!$B$4:$E$64,MATCH($D186+BZ$5-1,Mortality!$A$4:$A$64,0),$U186)*$V186*$N186,0)</f>
        <v>0</v>
      </c>
      <c r="CA186" s="93">
        <f>IF(AND($T186=1,CA$5&lt;=$H186),INDEX(Mortality!$B$4:$E$64,MATCH($D186+CA$5-1,Mortality!$A$4:$A$64,0),$U186)*$V186*$N186,0)</f>
        <v>0</v>
      </c>
      <c r="CB186" s="93">
        <f>IF(AND($T186=1,CB$5&lt;=$H186),INDEX(Mortality!$B$4:$E$64,MATCH($D186+CB$5-1,Mortality!$A$4:$A$64,0),$U186)*$V186*$N186,0)</f>
        <v>0</v>
      </c>
      <c r="CC186" s="93">
        <f>IF(AND($T186=1,CC$5&lt;=$H186),INDEX(Mortality!$B$4:$E$64,MATCH($D186+CC$5-1,Mortality!$A$4:$A$64,0),$U186)*$V186*$N186,0)</f>
        <v>0</v>
      </c>
      <c r="CD186" s="93">
        <f>IF(AND($T186=1,CD$5&lt;=$H186),INDEX(Mortality!$B$4:$E$64,MATCH($D186+CD$5-1,Mortality!$A$4:$A$64,0),$U186)*$V186*$N186,0)</f>
        <v>0</v>
      </c>
      <c r="CE186" s="93">
        <f>IF(AND($T186=1,CE$5&lt;=$H186),INDEX(Mortality!$B$4:$E$64,MATCH($D186+CE$5-1,Mortality!$A$4:$A$64,0),$U186)*$V186*$N186,0)</f>
        <v>0</v>
      </c>
      <c r="CF186" s="93">
        <f>IF(AND($T186=1,CF$5&lt;=$H186),INDEX(Mortality!$B$4:$E$64,MATCH($D186+CF$5-1,Mortality!$A$4:$A$64,0),$U186)*$V186*$N186,0)</f>
        <v>0</v>
      </c>
      <c r="CG186" s="93">
        <f>IF(AND($T186=1,CG$5&lt;=$H186),INDEX(Mortality!$B$4:$E$64,MATCH($D186+CG$5-1,Mortality!$A$4:$A$64,0),$U186)*$V186*$N186,0)</f>
        <v>0</v>
      </c>
      <c r="CH186" s="94">
        <f>IF(AND($T186=1,CH$5&lt;=$H186),INDEX(Mortality!$B$4:$E$64,MATCH($D186+CH$5-1,Mortality!$A$4:$A$64,0),$U186)*$V186*$N186,0)</f>
        <v>0</v>
      </c>
      <c r="CI186" s="26"/>
      <c r="CJ186" s="419">
        <f t="shared" si="71"/>
        <v>0</v>
      </c>
      <c r="CK186" s="93">
        <f>IF(AND($T186=1,CK$5&lt;=$H186),CJ186*(1-AU186)*(1-MIN(1,MAX(Assumptions!$C$27,Assumptions!$C$13*Assumptions!$C$28^(CJ$5-1))*$O186)),0)</f>
        <v>0</v>
      </c>
      <c r="CL186" s="93">
        <f>IF(AND($T186=1,CL$5&lt;=$H186),CK186*(1-AV186)*(1-MIN(1,MAX(Assumptions!$C$27,Assumptions!$C$13*Assumptions!$C$28^(CK$5-1))*$O186)),0)</f>
        <v>0</v>
      </c>
      <c r="CM186" s="93">
        <f>IF(AND($T186=1,CM$5&lt;=$H186),CL186*(1-AW186)*(1-MIN(1,MAX(Assumptions!$C$27,Assumptions!$C$13*Assumptions!$C$28^(CL$5-1))*$O186)),0)</f>
        <v>0</v>
      </c>
      <c r="CN186" s="93">
        <f>IF(AND($T186=1,CN$5&lt;=$H186),CM186*(1-AX186)*(1-MIN(1,MAX(Assumptions!$C$27,Assumptions!$C$13*Assumptions!$C$28^(CM$5-1))*$O186)),0)</f>
        <v>0</v>
      </c>
      <c r="CO186" s="93">
        <f>IF(AND($T186=1,CO$5&lt;=$H186),CN186*(1-AY186)*(1-MIN(1,MAX(Assumptions!$C$27,Assumptions!$C$13*Assumptions!$C$28^(CN$5-1))*$O186)),0)</f>
        <v>0</v>
      </c>
      <c r="CP186" s="93">
        <f>IF(AND($T186=1,CP$5&lt;=$H186),CO186*(1-AZ186)*(1-MIN(1,MAX(Assumptions!$C$27,Assumptions!$C$13*Assumptions!$C$28^(CO$5-1))*$O186)),0)</f>
        <v>0</v>
      </c>
      <c r="CQ186" s="93">
        <f>IF(AND($T186=1,CQ$5&lt;=$H186),CP186*(1-BA186)*(1-MIN(1,MAX(Assumptions!$C$27,Assumptions!$C$13*Assumptions!$C$28^(CP$5-1))*$O186)),0)</f>
        <v>0</v>
      </c>
      <c r="CR186" s="93">
        <f>IF(AND($T186=1,CR$5&lt;=$H186),CQ186*(1-BB186)*(1-MIN(1,MAX(Assumptions!$C$27,Assumptions!$C$13*Assumptions!$C$28^(CQ$5-1))*$O186)),0)</f>
        <v>0</v>
      </c>
      <c r="CS186" s="93">
        <f>IF(AND($T186=1,CS$5&lt;=$H186),CR186*(1-BC186)*(1-MIN(1,MAX(Assumptions!$C$27,Assumptions!$C$13*Assumptions!$C$28^(CR$5-1))*$O186)),0)</f>
        <v>0</v>
      </c>
      <c r="CT186" s="93">
        <f>IF(AND($T186=1,CT$5&lt;=$H186),CS186*(1-BD186)*(1-MIN(1,MAX(Assumptions!$C$27,Assumptions!$C$13*Assumptions!$C$28^(CS$5-1))*$O186)),0)</f>
        <v>0</v>
      </c>
      <c r="CU186" s="93">
        <f>IF(AND($T186=1,CU$5&lt;=$H186),CT186*(1-BE186)*(1-MIN(1,MAX(Assumptions!$C$27,Assumptions!$C$13*Assumptions!$C$28^(CT$5-1))*$O186)),0)</f>
        <v>0</v>
      </c>
      <c r="CV186" s="93">
        <f>IF(AND($T186=1,CV$5&lt;=$H186),CU186*(1-BF186)*(1-MIN(1,MAX(Assumptions!$C$27,Assumptions!$C$13*Assumptions!$C$28^(CU$5-1))*$O186)),0)</f>
        <v>0</v>
      </c>
      <c r="CW186" s="93">
        <f>IF(AND($T186=1,CW$5&lt;=$H186),CV186*(1-BG186)*(1-MIN(1,MAX(Assumptions!$C$27,Assumptions!$C$13*Assumptions!$C$28^(CV$5-1))*$O186)),0)</f>
        <v>0</v>
      </c>
      <c r="CX186" s="93">
        <f>IF(AND($T186=1,CX$5&lt;=$H186),CW186*(1-BH186)*(1-MIN(1,MAX(Assumptions!$C$27,Assumptions!$C$13*Assumptions!$C$28^(CW$5-1))*$O186)),0)</f>
        <v>0</v>
      </c>
      <c r="CY186" s="93">
        <f>IF(AND($T186=1,CY$5&lt;=$H186),CX186*(1-BI186)*(1-MIN(1,MAX(Assumptions!$C$27,Assumptions!$C$13*Assumptions!$C$28^(CX$5-1))*$O186)),0)</f>
        <v>0</v>
      </c>
      <c r="CZ186" s="93">
        <f>IF(AND($T186=1,CZ$5&lt;=$H186),CY186*(1-BJ186)*(1-MIN(1,MAX(Assumptions!$C$27,Assumptions!$C$13*Assumptions!$C$28^(CY$5-1))*$O186)),0)</f>
        <v>0</v>
      </c>
      <c r="DA186" s="93">
        <f>IF(AND($T186=1,DA$5&lt;=$H186),CZ186*(1-BK186)*(1-MIN(1,MAX(Assumptions!$C$27,Assumptions!$C$13*Assumptions!$C$28^(CZ$5-1))*$O186)),0)</f>
        <v>0</v>
      </c>
      <c r="DB186" s="93">
        <f>IF(AND($T186=1,DB$5&lt;=$H186),DA186*(1-BL186)*(1-MIN(1,MAX(Assumptions!$C$27,Assumptions!$C$13*Assumptions!$C$28^(DA$5-1))*$O186)),0)</f>
        <v>0</v>
      </c>
      <c r="DC186" s="93">
        <f>IF(AND($T186=1,DC$5&lt;=$H186),DB186*(1-BM186)*(1-MIN(1,MAX(Assumptions!$C$27,Assumptions!$C$13*Assumptions!$C$28^(DB$5-1))*$O186)),0)</f>
        <v>0</v>
      </c>
      <c r="DD186" s="93">
        <f>IF(AND($T186=1,DD$5&lt;=$H186),DC186*(1-BN186)*(1-MIN(1,MAX(Assumptions!$C$27,Assumptions!$C$13*Assumptions!$C$28^(DC$5-1))*$O186)),0)</f>
        <v>0</v>
      </c>
      <c r="DE186" s="93">
        <f>IF(AND($T186=1,DE$5&lt;=$H186),DD186*(1-BO186)*(1-MIN(1,MAX(Assumptions!$C$27,Assumptions!$C$13*Assumptions!$C$28^(DD$5-1))*$O186)),0)</f>
        <v>0</v>
      </c>
      <c r="DF186" s="93">
        <f>IF(AND($T186=1,DF$5&lt;=$H186),DE186*(1-BP186)*(1-MIN(1,MAX(Assumptions!$C$27,Assumptions!$C$13*Assumptions!$C$28^(DE$5-1))*$O186)),0)</f>
        <v>0</v>
      </c>
      <c r="DG186" s="93">
        <f>IF(AND($T186=1,DG$5&lt;=$H186),DF186*(1-BQ186)*(1-MIN(1,MAX(Assumptions!$C$27,Assumptions!$C$13*Assumptions!$C$28^(DF$5-1))*$O186)),0)</f>
        <v>0</v>
      </c>
      <c r="DH186" s="93">
        <f>IF(AND($T186=1,DH$5&lt;=$H186),DG186*(1-BR186)*(1-MIN(1,MAX(Assumptions!$C$27,Assumptions!$C$13*Assumptions!$C$28^(DG$5-1))*$O186)),0)</f>
        <v>0</v>
      </c>
      <c r="DI186" s="93">
        <f>IF(AND($T186=1,DI$5&lt;=$H186),DH186*(1-BS186)*(1-MIN(1,MAX(Assumptions!$C$27,Assumptions!$C$13*Assumptions!$C$28^(DH$5-1))*$O186)),0)</f>
        <v>0</v>
      </c>
      <c r="DJ186" s="93">
        <f>IF(AND($T186=1,DJ$5&lt;=$H186),DI186*(1-BT186)*(1-MIN(1,MAX(Assumptions!$C$27,Assumptions!$C$13*Assumptions!$C$28^(DI$5-1))*$O186)),0)</f>
        <v>0</v>
      </c>
      <c r="DK186" s="93">
        <f>IF(AND($T186=1,DK$5&lt;=$H186),DJ186*(1-BU186)*(1-MIN(1,MAX(Assumptions!$C$27,Assumptions!$C$13*Assumptions!$C$28^(DJ$5-1))*$O186)),0)</f>
        <v>0</v>
      </c>
      <c r="DL186" s="93">
        <f>IF(AND($T186=1,DL$5&lt;=$H186),DK186*(1-BV186)*(1-MIN(1,MAX(Assumptions!$C$27,Assumptions!$C$13*Assumptions!$C$28^(DK$5-1))*$O186)),0)</f>
        <v>0</v>
      </c>
      <c r="DM186" s="93">
        <f>IF(AND($T186=1,DM$5&lt;=$H186),DL186*(1-BW186)*(1-MIN(1,MAX(Assumptions!$C$27,Assumptions!$C$13*Assumptions!$C$28^(DL$5-1))*$O186)),0)</f>
        <v>0</v>
      </c>
      <c r="DN186" s="93">
        <f>IF(AND($T186=1,DN$5&lt;=$H186),DM186*(1-BX186)*(1-MIN(1,MAX(Assumptions!$C$27,Assumptions!$C$13*Assumptions!$C$28^(DM$5-1))*$O186)),0)</f>
        <v>0</v>
      </c>
      <c r="DO186" s="93">
        <f>IF(AND($T186=1,DO$5&lt;=$H186),DN186*(1-BY186)*(1-MIN(1,MAX(Assumptions!$C$27,Assumptions!$C$13*Assumptions!$C$28^(DN$5-1))*$O186)),0)</f>
        <v>0</v>
      </c>
      <c r="DP186" s="93">
        <f>IF(AND($T186=1,DP$5&lt;=$H186),DO186*(1-BZ186)*(1-MIN(1,MAX(Assumptions!$C$27,Assumptions!$C$13*Assumptions!$C$28^(DO$5-1))*$O186)),0)</f>
        <v>0</v>
      </c>
      <c r="DQ186" s="93">
        <f>IF(AND($T186=1,DQ$5&lt;=$H186),DP186*(1-CA186)*(1-MIN(1,MAX(Assumptions!$C$27,Assumptions!$C$13*Assumptions!$C$28^(DP$5-1))*$O186)),0)</f>
        <v>0</v>
      </c>
      <c r="DR186" s="93">
        <f>IF(AND($T186=1,DR$5&lt;=$H186),DQ186*(1-CB186)*(1-MIN(1,MAX(Assumptions!$C$27,Assumptions!$C$13*Assumptions!$C$28^(DQ$5-1))*$O186)),0)</f>
        <v>0</v>
      </c>
      <c r="DS186" s="93">
        <f>IF(AND($T186=1,DS$5&lt;=$H186),DR186*(1-CC186)*(1-MIN(1,MAX(Assumptions!$C$27,Assumptions!$C$13*Assumptions!$C$28^(DR$5-1))*$O186)),0)</f>
        <v>0</v>
      </c>
      <c r="DT186" s="93">
        <f>IF(AND($T186=1,DT$5&lt;=$H186),DS186*(1-CD186)*(1-MIN(1,MAX(Assumptions!$C$27,Assumptions!$C$13*Assumptions!$C$28^(DS$5-1))*$O186)),0)</f>
        <v>0</v>
      </c>
      <c r="DU186" s="93">
        <f>IF(AND($T186=1,DU$5&lt;=$H186),DT186*(1-CE186)*(1-MIN(1,MAX(Assumptions!$C$27,Assumptions!$C$13*Assumptions!$C$28^(DT$5-1))*$O186)),0)</f>
        <v>0</v>
      </c>
      <c r="DV186" s="93">
        <f>IF(AND($T186=1,DV$5&lt;=$H186),DU186*(1-CF186)*(1-MIN(1,MAX(Assumptions!$C$27,Assumptions!$C$13*Assumptions!$C$28^(DU$5-1))*$O186)),0)</f>
        <v>0</v>
      </c>
      <c r="DW186" s="94">
        <f>IF(AND($T186=1,DW$5&lt;=$H186),DV186*(1-CG186)*(1-MIN(1,MAX(Assumptions!$C$27,Assumptions!$C$13*Assumptions!$C$28^(DV$5-1))*$O186)),0)</f>
        <v>0</v>
      </c>
      <c r="DX186" s="26"/>
      <c r="DY186" s="399">
        <f>'Policy Data'!K160</f>
        <v>7</v>
      </c>
      <c r="DZ186" s="100">
        <f>'Policy Data'!L160</f>
        <v>0.71989999999999998</v>
      </c>
      <c r="EA186" s="100">
        <f>'Policy Data'!N160</f>
        <v>4.5279999999999999E-3</v>
      </c>
      <c r="EB186" s="93" cm="1">
        <f t="array" ref="EB186">IFERROR(DZ186*INDEX(Mortality!$B$4:$E$64,MATCH(D186+DY186-1,Mortality!$A$4:$A$64,0),U186)*V186,0)</f>
        <v>7.3179512782395248E-3</v>
      </c>
      <c r="EC186" s="100">
        <f>'Policy Data'!O160</f>
        <v>0</v>
      </c>
      <c r="ED186" s="400">
        <f>'Policy Data'!Q160</f>
        <v>0</v>
      </c>
    </row>
    <row r="187" spans="1:134" x14ac:dyDescent="0.3">
      <c r="A187" s="399" t="str">
        <f>'Policy Data'!A161</f>
        <v>POL100157</v>
      </c>
      <c r="B187" s="26" t="s">
        <v>426</v>
      </c>
      <c r="C187" s="100" t="str">
        <f>'Policy Data'!B161</f>
        <v>Unit-Linked</v>
      </c>
      <c r="D187" s="100">
        <f>'Policy Data'!C161</f>
        <v>21</v>
      </c>
      <c r="E187" s="100" t="str">
        <f>'Policy Data'!D161</f>
        <v>Male</v>
      </c>
      <c r="F187" s="100" t="str">
        <f>'Policy Data'!E161</f>
        <v>Non-smoker</v>
      </c>
      <c r="G187" s="100" t="str">
        <f>'Policy Data'!F161</f>
        <v>Standard</v>
      </c>
      <c r="H187" s="100">
        <f>'Policy Data'!G161</f>
        <v>20</v>
      </c>
      <c r="I187" s="279">
        <f>'Policy Data'!H161</f>
        <v>500000</v>
      </c>
      <c r="J187" s="100" t="str">
        <f>'Policy Data'!I161</f>
        <v>Annual</v>
      </c>
      <c r="K187" s="100" t="str">
        <f>'Policy Data'!J161</f>
        <v>Broker</v>
      </c>
      <c r="L187" s="26" t="s">
        <v>389</v>
      </c>
      <c r="M187" s="106">
        <f>'Policy Data'!R161</f>
        <v>9052.36</v>
      </c>
      <c r="N187" s="415">
        <f>Assumptions!$C$21</f>
        <v>1</v>
      </c>
      <c r="O187" s="415">
        <f>Assumptions!$C$22</f>
        <v>1</v>
      </c>
      <c r="P187" s="415">
        <f>Assumptions!$C$23</f>
        <v>1</v>
      </c>
      <c r="Q187" s="416">
        <f>Assumptions!$C$24</f>
        <v>0</v>
      </c>
      <c r="R187" s="416">
        <f>Assumptions!$C$6+Assumptions!$C$25</f>
        <v>3.5000000000000003E-2</v>
      </c>
      <c r="S187" s="416">
        <f>Assumptions!$C$15</f>
        <v>1.1000000000000001E-3</v>
      </c>
      <c r="T187" s="26">
        <f t="shared" si="54"/>
        <v>0</v>
      </c>
      <c r="U187" s="26">
        <f t="shared" si="55"/>
        <v>3</v>
      </c>
      <c r="V187" s="389">
        <f>IF($G187="Preferred",Assumptions!$C$30,IF($G187="Rated",Assumptions!$C$31,1))</f>
        <v>1</v>
      </c>
      <c r="W187" s="390">
        <f>IF($K187="Direct",Assumptions!$C$32,IF($K187="Broker",Assumptions!$C$33,IF($K187="Bancassurance",Assumptions!$C$34,Assumptions!$C$11)))+$Q187</f>
        <v>0.25</v>
      </c>
      <c r="X187" s="390">
        <f>Assumptions!$C$12+$Q187</f>
        <v>0.05</v>
      </c>
      <c r="Y187" s="131">
        <f>MIN($I187,Assumptions!$C$14)</f>
        <v>500000</v>
      </c>
      <c r="Z187" s="131">
        <f>MAX($I187-Assumptions!$C$14,0)</f>
        <v>0</v>
      </c>
      <c r="AA187" s="389">
        <f t="shared" si="56"/>
        <v>0</v>
      </c>
      <c r="AB187" s="389">
        <f t="shared" si="57"/>
        <v>0</v>
      </c>
      <c r="AC187" s="389">
        <f>IF($T187=1,SUMPRODUCT($CJ187:$DW187,(1+Assumptions!$C$5)^($CJ$5:$DW$5-1),(1+$R187)^(-$CJ$5:$DW$5)),0)</f>
        <v>0</v>
      </c>
      <c r="AD187" s="389">
        <f t="shared" si="58"/>
        <v>0</v>
      </c>
      <c r="AE187" s="131">
        <f>IF($T187=1,$AB187*$Y187+(Assumptions!$C$9/(1+$R187)+Assumptions!$C$10*$AC187)*$P187+$S187*$Z187*$AA187,0)</f>
        <v>0</v>
      </c>
      <c r="AF187" s="131" t="str">
        <f>IF($T187=1,IF($AA187-$AD187-Assumptions!$C$16*$AA187&gt;0,$AE187/($AA187-$AD187-Assumptions!$C$16*$AA187)*IF($J187="Monthly",1+Assumptions!$C$29,1),"n.a."),"")</f>
        <v/>
      </c>
      <c r="AG187" s="131" t="str">
        <f t="shared" si="59"/>
        <v/>
      </c>
      <c r="AH187" s="131" t="str">
        <f t="shared" si="60"/>
        <v/>
      </c>
      <c r="AI187" s="131" t="str">
        <f t="shared" si="61"/>
        <v/>
      </c>
      <c r="AJ187" s="390" t="str">
        <f t="shared" si="62"/>
        <v/>
      </c>
      <c r="AK187" s="389" t="str">
        <f t="shared" si="63"/>
        <v/>
      </c>
      <c r="AL187" s="131" t="str">
        <f t="shared" si="64"/>
        <v/>
      </c>
      <c r="AM187" s="131" t="str">
        <f t="shared" si="65"/>
        <v/>
      </c>
      <c r="AN187" s="131" t="str">
        <f t="shared" si="66"/>
        <v/>
      </c>
      <c r="AO187" s="131" t="str">
        <f t="shared" si="67"/>
        <v/>
      </c>
      <c r="AP187" s="26" t="str">
        <f t="shared" si="68"/>
        <v>20-29</v>
      </c>
      <c r="AQ187" s="26" t="str">
        <f t="shared" si="69"/>
        <v>250k-500k</v>
      </c>
      <c r="AR187" s="26" t="str">
        <f>IF($T187=1,IF($AI187&lt;0,"Loss-making",IF($AJ187&lt;Assumptions!$C$16-0.00001,"Below target","At/above target")),"Excluded")</f>
        <v>Excluded</v>
      </c>
      <c r="AS187" s="103">
        <f t="shared" si="70"/>
        <v>9.9999999999999997E+98</v>
      </c>
      <c r="AT187" s="26"/>
      <c r="AU187" s="419">
        <f>IF(AND($T187=1,AU$5&lt;=$H187),INDEX(Mortality!$B$4:$E$64,MATCH($D187+AU$5-1,Mortality!$A$4:$A$64,0),$U187)*$V187*$N187,0)</f>
        <v>0</v>
      </c>
      <c r="AV187" s="93">
        <f>IF(AND($T187=1,AV$5&lt;=$H187),INDEX(Mortality!$B$4:$E$64,MATCH($D187+AV$5-1,Mortality!$A$4:$A$64,0),$U187)*$V187*$N187,0)</f>
        <v>0</v>
      </c>
      <c r="AW187" s="93">
        <f>IF(AND($T187=1,AW$5&lt;=$H187),INDEX(Mortality!$B$4:$E$64,MATCH($D187+AW$5-1,Mortality!$A$4:$A$64,0),$U187)*$V187*$N187,0)</f>
        <v>0</v>
      </c>
      <c r="AX187" s="93">
        <f>IF(AND($T187=1,AX$5&lt;=$H187),INDEX(Mortality!$B$4:$E$64,MATCH($D187+AX$5-1,Mortality!$A$4:$A$64,0),$U187)*$V187*$N187,0)</f>
        <v>0</v>
      </c>
      <c r="AY187" s="93">
        <f>IF(AND($T187=1,AY$5&lt;=$H187),INDEX(Mortality!$B$4:$E$64,MATCH($D187+AY$5-1,Mortality!$A$4:$A$64,0),$U187)*$V187*$N187,0)</f>
        <v>0</v>
      </c>
      <c r="AZ187" s="93">
        <f>IF(AND($T187=1,AZ$5&lt;=$H187),INDEX(Mortality!$B$4:$E$64,MATCH($D187+AZ$5-1,Mortality!$A$4:$A$64,0),$U187)*$V187*$N187,0)</f>
        <v>0</v>
      </c>
      <c r="BA187" s="93">
        <f>IF(AND($T187=1,BA$5&lt;=$H187),INDEX(Mortality!$B$4:$E$64,MATCH($D187+BA$5-1,Mortality!$A$4:$A$64,0),$U187)*$V187*$N187,0)</f>
        <v>0</v>
      </c>
      <c r="BB187" s="93">
        <f>IF(AND($T187=1,BB$5&lt;=$H187),INDEX(Mortality!$B$4:$E$64,MATCH($D187+BB$5-1,Mortality!$A$4:$A$64,0),$U187)*$V187*$N187,0)</f>
        <v>0</v>
      </c>
      <c r="BC187" s="93">
        <f>IF(AND($T187=1,BC$5&lt;=$H187),INDEX(Mortality!$B$4:$E$64,MATCH($D187+BC$5-1,Mortality!$A$4:$A$64,0),$U187)*$V187*$N187,0)</f>
        <v>0</v>
      </c>
      <c r="BD187" s="93">
        <f>IF(AND($T187=1,BD$5&lt;=$H187),INDEX(Mortality!$B$4:$E$64,MATCH($D187+BD$5-1,Mortality!$A$4:$A$64,0),$U187)*$V187*$N187,0)</f>
        <v>0</v>
      </c>
      <c r="BE187" s="93">
        <f>IF(AND($T187=1,BE$5&lt;=$H187),INDEX(Mortality!$B$4:$E$64,MATCH($D187+BE$5-1,Mortality!$A$4:$A$64,0),$U187)*$V187*$N187,0)</f>
        <v>0</v>
      </c>
      <c r="BF187" s="93">
        <f>IF(AND($T187=1,BF$5&lt;=$H187),INDEX(Mortality!$B$4:$E$64,MATCH($D187+BF$5-1,Mortality!$A$4:$A$64,0),$U187)*$V187*$N187,0)</f>
        <v>0</v>
      </c>
      <c r="BG187" s="93">
        <f>IF(AND($T187=1,BG$5&lt;=$H187),INDEX(Mortality!$B$4:$E$64,MATCH($D187+BG$5-1,Mortality!$A$4:$A$64,0),$U187)*$V187*$N187,0)</f>
        <v>0</v>
      </c>
      <c r="BH187" s="93">
        <f>IF(AND($T187=1,BH$5&lt;=$H187),INDEX(Mortality!$B$4:$E$64,MATCH($D187+BH$5-1,Mortality!$A$4:$A$64,0),$U187)*$V187*$N187,0)</f>
        <v>0</v>
      </c>
      <c r="BI187" s="93">
        <f>IF(AND($T187=1,BI$5&lt;=$H187),INDEX(Mortality!$B$4:$E$64,MATCH($D187+BI$5-1,Mortality!$A$4:$A$64,0),$U187)*$V187*$N187,0)</f>
        <v>0</v>
      </c>
      <c r="BJ187" s="93">
        <f>IF(AND($T187=1,BJ$5&lt;=$H187),INDEX(Mortality!$B$4:$E$64,MATCH($D187+BJ$5-1,Mortality!$A$4:$A$64,0),$U187)*$V187*$N187,0)</f>
        <v>0</v>
      </c>
      <c r="BK187" s="93">
        <f>IF(AND($T187=1,BK$5&lt;=$H187),INDEX(Mortality!$B$4:$E$64,MATCH($D187+BK$5-1,Mortality!$A$4:$A$64,0),$U187)*$V187*$N187,0)</f>
        <v>0</v>
      </c>
      <c r="BL187" s="93">
        <f>IF(AND($T187=1,BL$5&lt;=$H187),INDEX(Mortality!$B$4:$E$64,MATCH($D187+BL$5-1,Mortality!$A$4:$A$64,0),$U187)*$V187*$N187,0)</f>
        <v>0</v>
      </c>
      <c r="BM187" s="93">
        <f>IF(AND($T187=1,BM$5&lt;=$H187),INDEX(Mortality!$B$4:$E$64,MATCH($D187+BM$5-1,Mortality!$A$4:$A$64,0),$U187)*$V187*$N187,0)</f>
        <v>0</v>
      </c>
      <c r="BN187" s="93">
        <f>IF(AND($T187=1,BN$5&lt;=$H187),INDEX(Mortality!$B$4:$E$64,MATCH($D187+BN$5-1,Mortality!$A$4:$A$64,0),$U187)*$V187*$N187,0)</f>
        <v>0</v>
      </c>
      <c r="BO187" s="93">
        <f>IF(AND($T187=1,BO$5&lt;=$H187),INDEX(Mortality!$B$4:$E$64,MATCH($D187+BO$5-1,Mortality!$A$4:$A$64,0),$U187)*$V187*$N187,0)</f>
        <v>0</v>
      </c>
      <c r="BP187" s="93">
        <f>IF(AND($T187=1,BP$5&lt;=$H187),INDEX(Mortality!$B$4:$E$64,MATCH($D187+BP$5-1,Mortality!$A$4:$A$64,0),$U187)*$V187*$N187,0)</f>
        <v>0</v>
      </c>
      <c r="BQ187" s="93">
        <f>IF(AND($T187=1,BQ$5&lt;=$H187),INDEX(Mortality!$B$4:$E$64,MATCH($D187+BQ$5-1,Mortality!$A$4:$A$64,0),$U187)*$V187*$N187,0)</f>
        <v>0</v>
      </c>
      <c r="BR187" s="93">
        <f>IF(AND($T187=1,BR$5&lt;=$H187),INDEX(Mortality!$B$4:$E$64,MATCH($D187+BR$5-1,Mortality!$A$4:$A$64,0),$U187)*$V187*$N187,0)</f>
        <v>0</v>
      </c>
      <c r="BS187" s="93">
        <f>IF(AND($T187=1,BS$5&lt;=$H187),INDEX(Mortality!$B$4:$E$64,MATCH($D187+BS$5-1,Mortality!$A$4:$A$64,0),$U187)*$V187*$N187,0)</f>
        <v>0</v>
      </c>
      <c r="BT187" s="93">
        <f>IF(AND($T187=1,BT$5&lt;=$H187),INDEX(Mortality!$B$4:$E$64,MATCH($D187+BT$5-1,Mortality!$A$4:$A$64,0),$U187)*$V187*$N187,0)</f>
        <v>0</v>
      </c>
      <c r="BU187" s="93">
        <f>IF(AND($T187=1,BU$5&lt;=$H187),INDEX(Mortality!$B$4:$E$64,MATCH($D187+BU$5-1,Mortality!$A$4:$A$64,0),$U187)*$V187*$N187,0)</f>
        <v>0</v>
      </c>
      <c r="BV187" s="93">
        <f>IF(AND($T187=1,BV$5&lt;=$H187),INDEX(Mortality!$B$4:$E$64,MATCH($D187+BV$5-1,Mortality!$A$4:$A$64,0),$U187)*$V187*$N187,0)</f>
        <v>0</v>
      </c>
      <c r="BW187" s="93">
        <f>IF(AND($T187=1,BW$5&lt;=$H187),INDEX(Mortality!$B$4:$E$64,MATCH($D187+BW$5-1,Mortality!$A$4:$A$64,0),$U187)*$V187*$N187,0)</f>
        <v>0</v>
      </c>
      <c r="BX187" s="93">
        <f>IF(AND($T187=1,BX$5&lt;=$H187),INDEX(Mortality!$B$4:$E$64,MATCH($D187+BX$5-1,Mortality!$A$4:$A$64,0),$U187)*$V187*$N187,0)</f>
        <v>0</v>
      </c>
      <c r="BY187" s="93">
        <f>IF(AND($T187=1,BY$5&lt;=$H187),INDEX(Mortality!$B$4:$E$64,MATCH($D187+BY$5-1,Mortality!$A$4:$A$64,0),$U187)*$V187*$N187,0)</f>
        <v>0</v>
      </c>
      <c r="BZ187" s="93">
        <f>IF(AND($T187=1,BZ$5&lt;=$H187),INDEX(Mortality!$B$4:$E$64,MATCH($D187+BZ$5-1,Mortality!$A$4:$A$64,0),$U187)*$V187*$N187,0)</f>
        <v>0</v>
      </c>
      <c r="CA187" s="93">
        <f>IF(AND($T187=1,CA$5&lt;=$H187),INDEX(Mortality!$B$4:$E$64,MATCH($D187+CA$5-1,Mortality!$A$4:$A$64,0),$U187)*$V187*$N187,0)</f>
        <v>0</v>
      </c>
      <c r="CB187" s="93">
        <f>IF(AND($T187=1,CB$5&lt;=$H187),INDEX(Mortality!$B$4:$E$64,MATCH($D187+CB$5-1,Mortality!$A$4:$A$64,0),$U187)*$V187*$N187,0)</f>
        <v>0</v>
      </c>
      <c r="CC187" s="93">
        <f>IF(AND($T187=1,CC$5&lt;=$H187),INDEX(Mortality!$B$4:$E$64,MATCH($D187+CC$5-1,Mortality!$A$4:$A$64,0),$U187)*$V187*$N187,0)</f>
        <v>0</v>
      </c>
      <c r="CD187" s="93">
        <f>IF(AND($T187=1,CD$5&lt;=$H187),INDEX(Mortality!$B$4:$E$64,MATCH($D187+CD$5-1,Mortality!$A$4:$A$64,0),$U187)*$V187*$N187,0)</f>
        <v>0</v>
      </c>
      <c r="CE187" s="93">
        <f>IF(AND($T187=1,CE$5&lt;=$H187),INDEX(Mortality!$B$4:$E$64,MATCH($D187+CE$5-1,Mortality!$A$4:$A$64,0),$U187)*$V187*$N187,0)</f>
        <v>0</v>
      </c>
      <c r="CF187" s="93">
        <f>IF(AND($T187=1,CF$5&lt;=$H187),INDEX(Mortality!$B$4:$E$64,MATCH($D187+CF$5-1,Mortality!$A$4:$A$64,0),$U187)*$V187*$N187,0)</f>
        <v>0</v>
      </c>
      <c r="CG187" s="93">
        <f>IF(AND($T187=1,CG$5&lt;=$H187),INDEX(Mortality!$B$4:$E$64,MATCH($D187+CG$5-1,Mortality!$A$4:$A$64,0),$U187)*$V187*$N187,0)</f>
        <v>0</v>
      </c>
      <c r="CH187" s="94">
        <f>IF(AND($T187=1,CH$5&lt;=$H187),INDEX(Mortality!$B$4:$E$64,MATCH($D187+CH$5-1,Mortality!$A$4:$A$64,0),$U187)*$V187*$N187,0)</f>
        <v>0</v>
      </c>
      <c r="CI187" s="26"/>
      <c r="CJ187" s="419">
        <f t="shared" si="71"/>
        <v>0</v>
      </c>
      <c r="CK187" s="93">
        <f>IF(AND($T187=1,CK$5&lt;=$H187),CJ187*(1-AU187)*(1-MIN(1,MAX(Assumptions!$C$27,Assumptions!$C$13*Assumptions!$C$28^(CJ$5-1))*$O187)),0)</f>
        <v>0</v>
      </c>
      <c r="CL187" s="93">
        <f>IF(AND($T187=1,CL$5&lt;=$H187),CK187*(1-AV187)*(1-MIN(1,MAX(Assumptions!$C$27,Assumptions!$C$13*Assumptions!$C$28^(CK$5-1))*$O187)),0)</f>
        <v>0</v>
      </c>
      <c r="CM187" s="93">
        <f>IF(AND($T187=1,CM$5&lt;=$H187),CL187*(1-AW187)*(1-MIN(1,MAX(Assumptions!$C$27,Assumptions!$C$13*Assumptions!$C$28^(CL$5-1))*$O187)),0)</f>
        <v>0</v>
      </c>
      <c r="CN187" s="93">
        <f>IF(AND($T187=1,CN$5&lt;=$H187),CM187*(1-AX187)*(1-MIN(1,MAX(Assumptions!$C$27,Assumptions!$C$13*Assumptions!$C$28^(CM$5-1))*$O187)),0)</f>
        <v>0</v>
      </c>
      <c r="CO187" s="93">
        <f>IF(AND($T187=1,CO$5&lt;=$H187),CN187*(1-AY187)*(1-MIN(1,MAX(Assumptions!$C$27,Assumptions!$C$13*Assumptions!$C$28^(CN$5-1))*$O187)),0)</f>
        <v>0</v>
      </c>
      <c r="CP187" s="93">
        <f>IF(AND($T187=1,CP$5&lt;=$H187),CO187*(1-AZ187)*(1-MIN(1,MAX(Assumptions!$C$27,Assumptions!$C$13*Assumptions!$C$28^(CO$5-1))*$O187)),0)</f>
        <v>0</v>
      </c>
      <c r="CQ187" s="93">
        <f>IF(AND($T187=1,CQ$5&lt;=$H187),CP187*(1-BA187)*(1-MIN(1,MAX(Assumptions!$C$27,Assumptions!$C$13*Assumptions!$C$28^(CP$5-1))*$O187)),0)</f>
        <v>0</v>
      </c>
      <c r="CR187" s="93">
        <f>IF(AND($T187=1,CR$5&lt;=$H187),CQ187*(1-BB187)*(1-MIN(1,MAX(Assumptions!$C$27,Assumptions!$C$13*Assumptions!$C$28^(CQ$5-1))*$O187)),0)</f>
        <v>0</v>
      </c>
      <c r="CS187" s="93">
        <f>IF(AND($T187=1,CS$5&lt;=$H187),CR187*(1-BC187)*(1-MIN(1,MAX(Assumptions!$C$27,Assumptions!$C$13*Assumptions!$C$28^(CR$5-1))*$O187)),0)</f>
        <v>0</v>
      </c>
      <c r="CT187" s="93">
        <f>IF(AND($T187=1,CT$5&lt;=$H187),CS187*(1-BD187)*(1-MIN(1,MAX(Assumptions!$C$27,Assumptions!$C$13*Assumptions!$C$28^(CS$5-1))*$O187)),0)</f>
        <v>0</v>
      </c>
      <c r="CU187" s="93">
        <f>IF(AND($T187=1,CU$5&lt;=$H187),CT187*(1-BE187)*(1-MIN(1,MAX(Assumptions!$C$27,Assumptions!$C$13*Assumptions!$C$28^(CT$5-1))*$O187)),0)</f>
        <v>0</v>
      </c>
      <c r="CV187" s="93">
        <f>IF(AND($T187=1,CV$5&lt;=$H187),CU187*(1-BF187)*(1-MIN(1,MAX(Assumptions!$C$27,Assumptions!$C$13*Assumptions!$C$28^(CU$5-1))*$O187)),0)</f>
        <v>0</v>
      </c>
      <c r="CW187" s="93">
        <f>IF(AND($T187=1,CW$5&lt;=$H187),CV187*(1-BG187)*(1-MIN(1,MAX(Assumptions!$C$27,Assumptions!$C$13*Assumptions!$C$28^(CV$5-1))*$O187)),0)</f>
        <v>0</v>
      </c>
      <c r="CX187" s="93">
        <f>IF(AND($T187=1,CX$5&lt;=$H187),CW187*(1-BH187)*(1-MIN(1,MAX(Assumptions!$C$27,Assumptions!$C$13*Assumptions!$C$28^(CW$5-1))*$O187)),0)</f>
        <v>0</v>
      </c>
      <c r="CY187" s="93">
        <f>IF(AND($T187=1,CY$5&lt;=$H187),CX187*(1-BI187)*(1-MIN(1,MAX(Assumptions!$C$27,Assumptions!$C$13*Assumptions!$C$28^(CX$5-1))*$O187)),0)</f>
        <v>0</v>
      </c>
      <c r="CZ187" s="93">
        <f>IF(AND($T187=1,CZ$5&lt;=$H187),CY187*(1-BJ187)*(1-MIN(1,MAX(Assumptions!$C$27,Assumptions!$C$13*Assumptions!$C$28^(CY$5-1))*$O187)),0)</f>
        <v>0</v>
      </c>
      <c r="DA187" s="93">
        <f>IF(AND($T187=1,DA$5&lt;=$H187),CZ187*(1-BK187)*(1-MIN(1,MAX(Assumptions!$C$27,Assumptions!$C$13*Assumptions!$C$28^(CZ$5-1))*$O187)),0)</f>
        <v>0</v>
      </c>
      <c r="DB187" s="93">
        <f>IF(AND($T187=1,DB$5&lt;=$H187),DA187*(1-BL187)*(1-MIN(1,MAX(Assumptions!$C$27,Assumptions!$C$13*Assumptions!$C$28^(DA$5-1))*$O187)),0)</f>
        <v>0</v>
      </c>
      <c r="DC187" s="93">
        <f>IF(AND($T187=1,DC$5&lt;=$H187),DB187*(1-BM187)*(1-MIN(1,MAX(Assumptions!$C$27,Assumptions!$C$13*Assumptions!$C$28^(DB$5-1))*$O187)),0)</f>
        <v>0</v>
      </c>
      <c r="DD187" s="93">
        <f>IF(AND($T187=1,DD$5&lt;=$H187),DC187*(1-BN187)*(1-MIN(1,MAX(Assumptions!$C$27,Assumptions!$C$13*Assumptions!$C$28^(DC$5-1))*$O187)),0)</f>
        <v>0</v>
      </c>
      <c r="DE187" s="93">
        <f>IF(AND($T187=1,DE$5&lt;=$H187),DD187*(1-BO187)*(1-MIN(1,MAX(Assumptions!$C$27,Assumptions!$C$13*Assumptions!$C$28^(DD$5-1))*$O187)),0)</f>
        <v>0</v>
      </c>
      <c r="DF187" s="93">
        <f>IF(AND($T187=1,DF$5&lt;=$H187),DE187*(1-BP187)*(1-MIN(1,MAX(Assumptions!$C$27,Assumptions!$C$13*Assumptions!$C$28^(DE$5-1))*$O187)),0)</f>
        <v>0</v>
      </c>
      <c r="DG187" s="93">
        <f>IF(AND($T187=1,DG$5&lt;=$H187),DF187*(1-BQ187)*(1-MIN(1,MAX(Assumptions!$C$27,Assumptions!$C$13*Assumptions!$C$28^(DF$5-1))*$O187)),0)</f>
        <v>0</v>
      </c>
      <c r="DH187" s="93">
        <f>IF(AND($T187=1,DH$5&lt;=$H187),DG187*(1-BR187)*(1-MIN(1,MAX(Assumptions!$C$27,Assumptions!$C$13*Assumptions!$C$28^(DG$5-1))*$O187)),0)</f>
        <v>0</v>
      </c>
      <c r="DI187" s="93">
        <f>IF(AND($T187=1,DI$5&lt;=$H187),DH187*(1-BS187)*(1-MIN(1,MAX(Assumptions!$C$27,Assumptions!$C$13*Assumptions!$C$28^(DH$5-1))*$O187)),0)</f>
        <v>0</v>
      </c>
      <c r="DJ187" s="93">
        <f>IF(AND($T187=1,DJ$5&lt;=$H187),DI187*(1-BT187)*(1-MIN(1,MAX(Assumptions!$C$27,Assumptions!$C$13*Assumptions!$C$28^(DI$5-1))*$O187)),0)</f>
        <v>0</v>
      </c>
      <c r="DK187" s="93">
        <f>IF(AND($T187=1,DK$5&lt;=$H187),DJ187*(1-BU187)*(1-MIN(1,MAX(Assumptions!$C$27,Assumptions!$C$13*Assumptions!$C$28^(DJ$5-1))*$O187)),0)</f>
        <v>0</v>
      </c>
      <c r="DL187" s="93">
        <f>IF(AND($T187=1,DL$5&lt;=$H187),DK187*(1-BV187)*(1-MIN(1,MAX(Assumptions!$C$27,Assumptions!$C$13*Assumptions!$C$28^(DK$5-1))*$O187)),0)</f>
        <v>0</v>
      </c>
      <c r="DM187" s="93">
        <f>IF(AND($T187=1,DM$5&lt;=$H187),DL187*(1-BW187)*(1-MIN(1,MAX(Assumptions!$C$27,Assumptions!$C$13*Assumptions!$C$28^(DL$5-1))*$O187)),0)</f>
        <v>0</v>
      </c>
      <c r="DN187" s="93">
        <f>IF(AND($T187=1,DN$5&lt;=$H187),DM187*(1-BX187)*(1-MIN(1,MAX(Assumptions!$C$27,Assumptions!$C$13*Assumptions!$C$28^(DM$5-1))*$O187)),0)</f>
        <v>0</v>
      </c>
      <c r="DO187" s="93">
        <f>IF(AND($T187=1,DO$5&lt;=$H187),DN187*(1-BY187)*(1-MIN(1,MAX(Assumptions!$C$27,Assumptions!$C$13*Assumptions!$C$28^(DN$5-1))*$O187)),0)</f>
        <v>0</v>
      </c>
      <c r="DP187" s="93">
        <f>IF(AND($T187=1,DP$5&lt;=$H187),DO187*(1-BZ187)*(1-MIN(1,MAX(Assumptions!$C$27,Assumptions!$C$13*Assumptions!$C$28^(DO$5-1))*$O187)),0)</f>
        <v>0</v>
      </c>
      <c r="DQ187" s="93">
        <f>IF(AND($T187=1,DQ$5&lt;=$H187),DP187*(1-CA187)*(1-MIN(1,MAX(Assumptions!$C$27,Assumptions!$C$13*Assumptions!$C$28^(DP$5-1))*$O187)),0)</f>
        <v>0</v>
      </c>
      <c r="DR187" s="93">
        <f>IF(AND($T187=1,DR$5&lt;=$H187),DQ187*(1-CB187)*(1-MIN(1,MAX(Assumptions!$C$27,Assumptions!$C$13*Assumptions!$C$28^(DQ$5-1))*$O187)),0)</f>
        <v>0</v>
      </c>
      <c r="DS187" s="93">
        <f>IF(AND($T187=1,DS$5&lt;=$H187),DR187*(1-CC187)*(1-MIN(1,MAX(Assumptions!$C$27,Assumptions!$C$13*Assumptions!$C$28^(DR$5-1))*$O187)),0)</f>
        <v>0</v>
      </c>
      <c r="DT187" s="93">
        <f>IF(AND($T187=1,DT$5&lt;=$H187),DS187*(1-CD187)*(1-MIN(1,MAX(Assumptions!$C$27,Assumptions!$C$13*Assumptions!$C$28^(DS$5-1))*$O187)),0)</f>
        <v>0</v>
      </c>
      <c r="DU187" s="93">
        <f>IF(AND($T187=1,DU$5&lt;=$H187),DT187*(1-CE187)*(1-MIN(1,MAX(Assumptions!$C$27,Assumptions!$C$13*Assumptions!$C$28^(DT$5-1))*$O187)),0)</f>
        <v>0</v>
      </c>
      <c r="DV187" s="93">
        <f>IF(AND($T187=1,DV$5&lt;=$H187),DU187*(1-CF187)*(1-MIN(1,MAX(Assumptions!$C$27,Assumptions!$C$13*Assumptions!$C$28^(DU$5-1))*$O187)),0)</f>
        <v>0</v>
      </c>
      <c r="DW187" s="94">
        <f>IF(AND($T187=1,DW$5&lt;=$H187),DV187*(1-CG187)*(1-MIN(1,MAX(Assumptions!$C$27,Assumptions!$C$13*Assumptions!$C$28^(DV$5-1))*$O187)),0)</f>
        <v>0</v>
      </c>
      <c r="DX187" s="26"/>
      <c r="DY187" s="399">
        <f>'Policy Data'!K161</f>
        <v>4</v>
      </c>
      <c r="DZ187" s="100">
        <f>'Policy Data'!L161</f>
        <v>0.82769999999999999</v>
      </c>
      <c r="EA187" s="100">
        <f>'Policy Data'!N161</f>
        <v>2.0799999999999999E-4</v>
      </c>
      <c r="EB187" s="93" cm="1">
        <f t="array" ref="EB187">IFERROR(DZ187*INDEX(Mortality!$B$4:$E$64,MATCH(D187+DY187-1,Mortality!$A$4:$A$64,0),U187)*V187,0)</f>
        <v>2.6504642943343549E-4</v>
      </c>
      <c r="EC187" s="100">
        <f>'Policy Data'!O161</f>
        <v>0</v>
      </c>
      <c r="ED187" s="400">
        <f>'Policy Data'!Q161</f>
        <v>0</v>
      </c>
    </row>
    <row r="188" spans="1:134" x14ac:dyDescent="0.3">
      <c r="A188" s="399" t="str">
        <f>'Policy Data'!A162</f>
        <v>POL100158</v>
      </c>
      <c r="B188" s="26" t="s">
        <v>426</v>
      </c>
      <c r="C188" s="100" t="str">
        <f>'Policy Data'!B162</f>
        <v>Term Life</v>
      </c>
      <c r="D188" s="100">
        <f>'Policy Data'!C162</f>
        <v>45</v>
      </c>
      <c r="E188" s="100" t="str">
        <f>'Policy Data'!D162</f>
        <v>Male</v>
      </c>
      <c r="F188" s="100" t="str">
        <f>'Policy Data'!E162</f>
        <v>Non-smoker</v>
      </c>
      <c r="G188" s="100" t="str">
        <f>'Policy Data'!F162</f>
        <v>Standard</v>
      </c>
      <c r="H188" s="100">
        <f>'Policy Data'!G162</f>
        <v>15</v>
      </c>
      <c r="I188" s="279">
        <f>'Policy Data'!H162</f>
        <v>250000</v>
      </c>
      <c r="J188" s="100" t="str">
        <f>'Policy Data'!I162</f>
        <v>Monthly</v>
      </c>
      <c r="K188" s="100" t="str">
        <f>'Policy Data'!J162</f>
        <v>Broker</v>
      </c>
      <c r="L188" s="26" t="s">
        <v>389</v>
      </c>
      <c r="M188" s="106">
        <f>'Policy Data'!R162</f>
        <v>1200</v>
      </c>
      <c r="N188" s="415">
        <f>Assumptions!$C$21</f>
        <v>1</v>
      </c>
      <c r="O188" s="415">
        <f>Assumptions!$C$22</f>
        <v>1</v>
      </c>
      <c r="P188" s="415">
        <f>Assumptions!$C$23</f>
        <v>1</v>
      </c>
      <c r="Q188" s="416">
        <f>Assumptions!$C$24</f>
        <v>0</v>
      </c>
      <c r="R188" s="416">
        <f>Assumptions!$C$6+Assumptions!$C$25</f>
        <v>3.5000000000000003E-2</v>
      </c>
      <c r="S188" s="416">
        <f>Assumptions!$C$15</f>
        <v>1.1000000000000001E-3</v>
      </c>
      <c r="T188" s="26">
        <f t="shared" si="54"/>
        <v>1</v>
      </c>
      <c r="U188" s="26">
        <f t="shared" si="55"/>
        <v>3</v>
      </c>
      <c r="V188" s="389">
        <f>IF($G188="Preferred",Assumptions!$C$30,IF($G188="Rated",Assumptions!$C$31,1))</f>
        <v>1</v>
      </c>
      <c r="W188" s="390">
        <f>IF($K188="Direct",Assumptions!$C$32,IF($K188="Broker",Assumptions!$C$33,IF($K188="Bancassurance",Assumptions!$C$34,Assumptions!$C$11)))+$Q188</f>
        <v>0.25</v>
      </c>
      <c r="X188" s="390">
        <f>Assumptions!$C$12+$Q188</f>
        <v>0.05</v>
      </c>
      <c r="Y188" s="131">
        <f>MIN($I188,Assumptions!$C$14)</f>
        <v>250000</v>
      </c>
      <c r="Z188" s="131">
        <f>MAX($I188-Assumptions!$C$14,0)</f>
        <v>0</v>
      </c>
      <c r="AA188" s="389">
        <f t="shared" si="56"/>
        <v>7.3482428721011956</v>
      </c>
      <c r="AB188" s="389">
        <f t="shared" si="57"/>
        <v>2.0526039010992262E-2</v>
      </c>
      <c r="AC188" s="389">
        <f>IF($T188=1,SUMPRODUCT($CJ188:$DW188,(1+Assumptions!$C$5)^($CJ$5:$DW$5-1),(1+$R188)^(-$CJ$5:$DW$5)),0)</f>
        <v>9.1833578079286884</v>
      </c>
      <c r="AD188" s="389">
        <f t="shared" si="58"/>
        <v>0.5606488585809053</v>
      </c>
      <c r="AE188" s="131">
        <f>IF($T188=1,$AB188*$Y188+(Assumptions!$C$9/(1+$R188)+Assumptions!$C$10*$AC188)*$P188+$S188*$Z188*$AA188,0)</f>
        <v>8021.4136878836816</v>
      </c>
      <c r="AF188" s="131">
        <f>IF($T188=1,IF($AA188-$AD188-Assumptions!$C$16*$AA188&gt;0,$AE188/($AA188-$AD188-Assumptions!$C$16*$AA188)*IF($J188="Monthly",1+Assumptions!$C$29,1),"n.a."),"")</f>
        <v>1332.6467426803686</v>
      </c>
      <c r="AG188" s="131">
        <f t="shared" si="59"/>
        <v>1200</v>
      </c>
      <c r="AH188" s="131">
        <f t="shared" si="60"/>
        <v>8817.8914465214348</v>
      </c>
      <c r="AI188" s="131">
        <f t="shared" si="61"/>
        <v>123.6991283406669</v>
      </c>
      <c r="AJ188" s="390">
        <f t="shared" si="62"/>
        <v>1.4028198134539852E-2</v>
      </c>
      <c r="AK188" s="389">
        <f t="shared" si="63"/>
        <v>0.90046368746335992</v>
      </c>
      <c r="AL188" s="131">
        <f t="shared" si="64"/>
        <v>0</v>
      </c>
      <c r="AM188" s="131">
        <f t="shared" si="65"/>
        <v>0</v>
      </c>
      <c r="AN188" s="131">
        <f t="shared" si="66"/>
        <v>0</v>
      </c>
      <c r="AO188" s="131">
        <f t="shared" si="67"/>
        <v>123.6991283406669</v>
      </c>
      <c r="AP188" s="26" t="str">
        <f t="shared" si="68"/>
        <v>40-49</v>
      </c>
      <c r="AQ188" s="26" t="str">
        <f t="shared" si="69"/>
        <v>Up to 250k</v>
      </c>
      <c r="AR188" s="26" t="str">
        <f>IF($T188=1,IF($AI188&lt;0,"Loss-making",IF($AJ188&lt;Assumptions!$C$16-0.00001,"Below target","At/above target")),"Excluded")</f>
        <v>Below target</v>
      </c>
      <c r="AS188" s="103">
        <f t="shared" si="70"/>
        <v>123.6993163406669</v>
      </c>
      <c r="AT188" s="26"/>
      <c r="AU188" s="419">
        <f>IF(AND($T188=1,AU$5&lt;=$H188),INDEX(Mortality!$B$4:$E$64,MATCH($D188+AU$5-1,Mortality!$A$4:$A$64,0),$U188)*$V188*$N188,0)</f>
        <v>1.71816050751616E-3</v>
      </c>
      <c r="AV188" s="93">
        <f>IF(AND($T188=1,AV$5&lt;=$H188),INDEX(Mortality!$B$4:$E$64,MATCH($D188+AV$5-1,Mortality!$A$4:$A$64,0),$U188)*$V188*$N188,0)</f>
        <v>1.8612610579820999E-3</v>
      </c>
      <c r="AW188" s="93">
        <f>IF(AND($T188=1,AW$5&lt;=$H188),INDEX(Mortality!$B$4:$E$64,MATCH($D188+AW$5-1,Mortality!$A$4:$A$64,0),$U188)*$V188*$N188,0)</f>
        <v>2.0162800336790201E-3</v>
      </c>
      <c r="AX188" s="93">
        <f>IF(AND($T188=1,AX$5&lt;=$H188),INDEX(Mortality!$B$4:$E$64,MATCH($D188+AX$5-1,Mortality!$A$4:$A$64,0),$U188)*$V188*$N188,0)</f>
        <v>2.1842100852957199E-3</v>
      </c>
      <c r="AY188" s="93">
        <f>IF(AND($T188=1,AY$5&lt;=$H188),INDEX(Mortality!$B$4:$E$64,MATCH($D188+AY$5-1,Mortality!$A$4:$A$64,0),$U188)*$V188*$N188,0)</f>
        <v>2.3661265384860701E-3</v>
      </c>
      <c r="AZ188" s="93">
        <f>IF(AND($T188=1,AZ$5&lt;=$H188),INDEX(Mortality!$B$4:$E$64,MATCH($D188+AZ$5-1,Mortality!$A$4:$A$64,0),$U188)*$V188*$N188,0)</f>
        <v>2.5631942796244698E-3</v>
      </c>
      <c r="BA188" s="93">
        <f>IF(AND($T188=1,BA$5&lt;=$H188),INDEX(Mortality!$B$4:$E$64,MATCH($D188+BA$5-1,Mortality!$A$4:$A$64,0),$U188)*$V188*$N188,0)</f>
        <v>2.7766752150556202E-3</v>
      </c>
      <c r="BB188" s="93">
        <f>IF(AND($T188=1,BB$5&lt;=$H188),INDEX(Mortality!$B$4:$E$64,MATCH($D188+BB$5-1,Mortality!$A$4:$A$64,0),$U188)*$V188*$N188,0)</f>
        <v>3.0079363516033399E-3</v>
      </c>
      <c r="BC188" s="93">
        <f>IF(AND($T188=1,BC$5&lt;=$H188),INDEX(Mortality!$B$4:$E$64,MATCH($D188+BC$5-1,Mortality!$A$4:$A$64,0),$U188)*$V188*$N188,0)</f>
        <v>3.2584585500813001E-3</v>
      </c>
      <c r="BD188" s="93">
        <f>IF(AND($T188=1,BD$5&lt;=$H188),INDEX(Mortality!$B$4:$E$64,MATCH($D188+BD$5-1,Mortality!$A$4:$A$64,0),$U188)*$V188*$N188,0)</f>
        <v>3.5298460078579601E-3</v>
      </c>
      <c r="BE188" s="93">
        <f>IF(AND($T188=1,BE$5&lt;=$H188),INDEX(Mortality!$B$4:$E$64,MATCH($D188+BE$5-1,Mortality!$A$4:$A$64,0),$U188)*$V188*$N188,0)</f>
        <v>3.8238365311966099E-3</v>
      </c>
      <c r="BF188" s="93">
        <f>IF(AND($T188=1,BF$5&lt;=$H188),INDEX(Mortality!$B$4:$E$64,MATCH($D188+BF$5-1,Mortality!$A$4:$A$64,0),$U188)*$V188*$N188,0)</f>
        <v>4.1423126631483596E-3</v>
      </c>
      <c r="BG188" s="93">
        <f>IF(AND($T188=1,BG$5&lt;=$H188),INDEX(Mortality!$B$4:$E$64,MATCH($D188+BG$5-1,Mortality!$A$4:$A$64,0),$U188)*$V188*$N188,0)</f>
        <v>4.4873137382548398E-3</v>
      </c>
      <c r="BH188" s="93">
        <f>IF(AND($T188=1,BH$5&lt;=$H188),INDEX(Mortality!$B$4:$E$64,MATCH($D188+BH$5-1,Mortality!$A$4:$A$64,0),$U188)*$V188*$N188,0)</f>
        <v>4.8610489412516398E-3</v>
      </c>
      <c r="BI188" s="93">
        <f>IF(AND($T188=1,BI$5&lt;=$H188),INDEX(Mortality!$B$4:$E$64,MATCH($D188+BI$5-1,Mortality!$A$4:$A$64,0),$U188)*$V188*$N188,0)</f>
        <v>5.2659114533929498E-3</v>
      </c>
      <c r="BJ188" s="93">
        <f>IF(AND($T188=1,BJ$5&lt;=$H188),INDEX(Mortality!$B$4:$E$64,MATCH($D188+BJ$5-1,Mortality!$A$4:$A$64,0),$U188)*$V188*$N188,0)</f>
        <v>0</v>
      </c>
      <c r="BK188" s="93">
        <f>IF(AND($T188=1,BK$5&lt;=$H188),INDEX(Mortality!$B$4:$E$64,MATCH($D188+BK$5-1,Mortality!$A$4:$A$64,0),$U188)*$V188*$N188,0)</f>
        <v>0</v>
      </c>
      <c r="BL188" s="93">
        <f>IF(AND($T188=1,BL$5&lt;=$H188),INDEX(Mortality!$B$4:$E$64,MATCH($D188+BL$5-1,Mortality!$A$4:$A$64,0),$U188)*$V188*$N188,0)</f>
        <v>0</v>
      </c>
      <c r="BM188" s="93">
        <f>IF(AND($T188=1,BM$5&lt;=$H188),INDEX(Mortality!$B$4:$E$64,MATCH($D188+BM$5-1,Mortality!$A$4:$A$64,0),$U188)*$V188*$N188,0)</f>
        <v>0</v>
      </c>
      <c r="BN188" s="93">
        <f>IF(AND($T188=1,BN$5&lt;=$H188),INDEX(Mortality!$B$4:$E$64,MATCH($D188+BN$5-1,Mortality!$A$4:$A$64,0),$U188)*$V188*$N188,0)</f>
        <v>0</v>
      </c>
      <c r="BO188" s="93">
        <f>IF(AND($T188=1,BO$5&lt;=$H188),INDEX(Mortality!$B$4:$E$64,MATCH($D188+BO$5-1,Mortality!$A$4:$A$64,0),$U188)*$V188*$N188,0)</f>
        <v>0</v>
      </c>
      <c r="BP188" s="93">
        <f>IF(AND($T188=1,BP$5&lt;=$H188),INDEX(Mortality!$B$4:$E$64,MATCH($D188+BP$5-1,Mortality!$A$4:$A$64,0),$U188)*$V188*$N188,0)</f>
        <v>0</v>
      </c>
      <c r="BQ188" s="93">
        <f>IF(AND($T188=1,BQ$5&lt;=$H188),INDEX(Mortality!$B$4:$E$64,MATCH($D188+BQ$5-1,Mortality!$A$4:$A$64,0),$U188)*$V188*$N188,0)</f>
        <v>0</v>
      </c>
      <c r="BR188" s="93">
        <f>IF(AND($T188=1,BR$5&lt;=$H188),INDEX(Mortality!$B$4:$E$64,MATCH($D188+BR$5-1,Mortality!$A$4:$A$64,0),$U188)*$V188*$N188,0)</f>
        <v>0</v>
      </c>
      <c r="BS188" s="93">
        <f>IF(AND($T188=1,BS$5&lt;=$H188),INDEX(Mortality!$B$4:$E$64,MATCH($D188+BS$5-1,Mortality!$A$4:$A$64,0),$U188)*$V188*$N188,0)</f>
        <v>0</v>
      </c>
      <c r="BT188" s="93">
        <f>IF(AND($T188=1,BT$5&lt;=$H188),INDEX(Mortality!$B$4:$E$64,MATCH($D188+BT$5-1,Mortality!$A$4:$A$64,0),$U188)*$V188*$N188,0)</f>
        <v>0</v>
      </c>
      <c r="BU188" s="93">
        <f>IF(AND($T188=1,BU$5&lt;=$H188),INDEX(Mortality!$B$4:$E$64,MATCH($D188+BU$5-1,Mortality!$A$4:$A$64,0),$U188)*$V188*$N188,0)</f>
        <v>0</v>
      </c>
      <c r="BV188" s="93">
        <f>IF(AND($T188=1,BV$5&lt;=$H188),INDEX(Mortality!$B$4:$E$64,MATCH($D188+BV$5-1,Mortality!$A$4:$A$64,0),$U188)*$V188*$N188,0)</f>
        <v>0</v>
      </c>
      <c r="BW188" s="93">
        <f>IF(AND($T188=1,BW$5&lt;=$H188),INDEX(Mortality!$B$4:$E$64,MATCH($D188+BW$5-1,Mortality!$A$4:$A$64,0),$U188)*$V188*$N188,0)</f>
        <v>0</v>
      </c>
      <c r="BX188" s="93">
        <f>IF(AND($T188=1,BX$5&lt;=$H188),INDEX(Mortality!$B$4:$E$64,MATCH($D188+BX$5-1,Mortality!$A$4:$A$64,0),$U188)*$V188*$N188,0)</f>
        <v>0</v>
      </c>
      <c r="BY188" s="93">
        <f>IF(AND($T188=1,BY$5&lt;=$H188),INDEX(Mortality!$B$4:$E$64,MATCH($D188+BY$5-1,Mortality!$A$4:$A$64,0),$U188)*$V188*$N188,0)</f>
        <v>0</v>
      </c>
      <c r="BZ188" s="93">
        <f>IF(AND($T188=1,BZ$5&lt;=$H188),INDEX(Mortality!$B$4:$E$64,MATCH($D188+BZ$5-1,Mortality!$A$4:$A$64,0),$U188)*$V188*$N188,0)</f>
        <v>0</v>
      </c>
      <c r="CA188" s="93">
        <f>IF(AND($T188=1,CA$5&lt;=$H188),INDEX(Mortality!$B$4:$E$64,MATCH($D188+CA$5-1,Mortality!$A$4:$A$64,0),$U188)*$V188*$N188,0)</f>
        <v>0</v>
      </c>
      <c r="CB188" s="93">
        <f>IF(AND($T188=1,CB$5&lt;=$H188),INDEX(Mortality!$B$4:$E$64,MATCH($D188+CB$5-1,Mortality!$A$4:$A$64,0),$U188)*$V188*$N188,0)</f>
        <v>0</v>
      </c>
      <c r="CC188" s="93">
        <f>IF(AND($T188=1,CC$5&lt;=$H188),INDEX(Mortality!$B$4:$E$64,MATCH($D188+CC$5-1,Mortality!$A$4:$A$64,0),$U188)*$V188*$N188,0)</f>
        <v>0</v>
      </c>
      <c r="CD188" s="93">
        <f>IF(AND($T188=1,CD$5&lt;=$H188),INDEX(Mortality!$B$4:$E$64,MATCH($D188+CD$5-1,Mortality!$A$4:$A$64,0),$U188)*$V188*$N188,0)</f>
        <v>0</v>
      </c>
      <c r="CE188" s="93">
        <f>IF(AND($T188=1,CE$5&lt;=$H188),INDEX(Mortality!$B$4:$E$64,MATCH($D188+CE$5-1,Mortality!$A$4:$A$64,0),$U188)*$V188*$N188,0)</f>
        <v>0</v>
      </c>
      <c r="CF188" s="93">
        <f>IF(AND($T188=1,CF$5&lt;=$H188),INDEX(Mortality!$B$4:$E$64,MATCH($D188+CF$5-1,Mortality!$A$4:$A$64,0),$U188)*$V188*$N188,0)</f>
        <v>0</v>
      </c>
      <c r="CG188" s="93">
        <f>IF(AND($T188=1,CG$5&lt;=$H188),INDEX(Mortality!$B$4:$E$64,MATCH($D188+CG$5-1,Mortality!$A$4:$A$64,0),$U188)*$V188*$N188,0)</f>
        <v>0</v>
      </c>
      <c r="CH188" s="94">
        <f>IF(AND($T188=1,CH$5&lt;=$H188),INDEX(Mortality!$B$4:$E$64,MATCH($D188+CH$5-1,Mortality!$A$4:$A$64,0),$U188)*$V188*$N188,0)</f>
        <v>0</v>
      </c>
      <c r="CI188" s="26"/>
      <c r="CJ188" s="419">
        <f t="shared" si="71"/>
        <v>1</v>
      </c>
      <c r="CK188" s="93">
        <f>IF(AND($T188=1,CK$5&lt;=$H188),CJ188*(1-AU188)*(1-MIN(1,MAX(Assumptions!$C$27,Assumptions!$C$13*Assumptions!$C$28^(CJ$5-1))*$O188)),0)</f>
        <v>0.87848801875338578</v>
      </c>
      <c r="CL188" s="93">
        <f>IF(AND($T188=1,CL$5&lt;=$H188),CK188*(1-AV188)*(1-MIN(1,MAX(Assumptions!$C$27,Assumptions!$C$13*Assumptions!$C$28^(CK$5-1))*$O188)),0)</f>
        <v>0.78741392504633023</v>
      </c>
      <c r="CM188" s="93">
        <f>IF(AND($T188=1,CM$5&lt;=$H188),CL188*(1-AW188)*(1-MIN(1,MAX(Assumptions!$C$27,Assumptions!$C$13*Assumptions!$C$28^(CL$5-1))*$O188)),0)</f>
        <v>0.71769513976226118</v>
      </c>
      <c r="CN188" s="93">
        <f>IF(AND($T188=1,CN$5&lt;=$H188),CM188*(1-AX188)*(1-MIN(1,MAX(Assumptions!$C$27,Assumptions!$C$13*Assumptions!$C$28^(CM$5-1))*$O188)),0)</f>
        <v>0.66335252353319163</v>
      </c>
      <c r="CO188" s="93">
        <f>IF(AND($T188=1,CO$5&lt;=$H188),CN188*(1-AY188)*(1-MIN(1,MAX(Assumptions!$C$27,Assumptions!$C$13*Assumptions!$C$28^(CN$5-1))*$O188)),0)</f>
        <v>0.62032836735284369</v>
      </c>
      <c r="CP188" s="93">
        <f>IF(AND($T188=1,CP$5&lt;=$H188),CO188*(1-AZ188)*(1-MIN(1,MAX(Assumptions!$C$27,Assumptions!$C$13*Assumptions!$C$28^(CO$5-1))*$O188)),0)</f>
        <v>0.5857938463310266</v>
      </c>
      <c r="CQ188" s="93">
        <f>IF(AND($T188=1,CQ$5&lt;=$H188),CP188*(1-BA188)*(1-MIN(1,MAX(Assumptions!$C$27,Assumptions!$C$13*Assumptions!$C$28^(CP$5-1))*$O188)),0)</f>
        <v>0.55772907795298943</v>
      </c>
      <c r="CR188" s="93">
        <f>IF(AND($T188=1,CR$5&lt;=$H188),CQ188*(1-BB188)*(1-MIN(1,MAX(Assumptions!$C$27,Assumptions!$C$13*Assumptions!$C$28^(CQ$5-1))*$O188)),0)</f>
        <v>0.5346605812586176</v>
      </c>
      <c r="CS188" s="93">
        <f>IF(AND($T188=1,CS$5&lt;=$H188),CR188*(1-BC188)*(1-MIN(1,MAX(Assumptions!$C$27,Assumptions!$C$13*Assumptions!$C$28^(CR$5-1))*$O188)),0)</f>
        <v>0.51549258577229984</v>
      </c>
      <c r="CT188" s="93">
        <f>IF(AND($T188=1,CT$5&lt;=$H188),CS188*(1-BD188)*(1-MIN(1,MAX(Assumptions!$C$27,Assumptions!$C$13*Assumptions!$C$28^(CS$5-1))*$O188)),0)</f>
        <v>0.49939593238654206</v>
      </c>
      <c r="CU188" s="93">
        <f>IF(AND($T188=1,CU$5&lt;=$H188),CT188*(1-BE188)*(1-MIN(1,MAX(Assumptions!$C$27,Assumptions!$C$13*Assumptions!$C$28^(CT$5-1))*$O188)),0)</f>
        <v>0.48573324513268201</v>
      </c>
      <c r="CV188" s="93">
        <f>IF(AND($T188=1,CV$5&lt;=$H188),CU188*(1-BF188)*(1-MIN(1,MAX(Assumptions!$C$27,Assumptions!$C$13*Assumptions!$C$28^(CU$5-1))*$O188)),0)</f>
        <v>0.47400748948043936</v>
      </c>
      <c r="CW188" s="93">
        <f>IF(AND($T188=1,CW$5&lt;=$H188),CV188*(1-BG188)*(1-MIN(1,MAX(Assumptions!$C$27,Assumptions!$C$13*Assumptions!$C$28^(CV$5-1))*$O188)),0)</f>
        <v>0.46244285977764088</v>
      </c>
      <c r="CX188" s="93">
        <f>IF(AND($T188=1,CX$5&lt;=$H188),CW188*(1-BH188)*(1-MIN(1,MAX(Assumptions!$C$27,Assumptions!$C$13*Assumptions!$C$28^(CW$5-1))*$O188)),0)</f>
        <v>0.45099100435565481</v>
      </c>
      <c r="CY188" s="93">
        <f>IF(AND($T188=1,CY$5&lt;=$H188),CX188*(1-BI188)*(1-MIN(1,MAX(Assumptions!$C$27,Assumptions!$C$13*Assumptions!$C$28^(CX$5-1))*$O188)),0)</f>
        <v>0</v>
      </c>
      <c r="CZ188" s="93">
        <f>IF(AND($T188=1,CZ$5&lt;=$H188),CY188*(1-BJ188)*(1-MIN(1,MAX(Assumptions!$C$27,Assumptions!$C$13*Assumptions!$C$28^(CY$5-1))*$O188)),0)</f>
        <v>0</v>
      </c>
      <c r="DA188" s="93">
        <f>IF(AND($T188=1,DA$5&lt;=$H188),CZ188*(1-BK188)*(1-MIN(1,MAX(Assumptions!$C$27,Assumptions!$C$13*Assumptions!$C$28^(CZ$5-1))*$O188)),0)</f>
        <v>0</v>
      </c>
      <c r="DB188" s="93">
        <f>IF(AND($T188=1,DB$5&lt;=$H188),DA188*(1-BL188)*(1-MIN(1,MAX(Assumptions!$C$27,Assumptions!$C$13*Assumptions!$C$28^(DA$5-1))*$O188)),0)</f>
        <v>0</v>
      </c>
      <c r="DC188" s="93">
        <f>IF(AND($T188=1,DC$5&lt;=$H188),DB188*(1-BM188)*(1-MIN(1,MAX(Assumptions!$C$27,Assumptions!$C$13*Assumptions!$C$28^(DB$5-1))*$O188)),0)</f>
        <v>0</v>
      </c>
      <c r="DD188" s="93">
        <f>IF(AND($T188=1,DD$5&lt;=$H188),DC188*(1-BN188)*(1-MIN(1,MAX(Assumptions!$C$27,Assumptions!$C$13*Assumptions!$C$28^(DC$5-1))*$O188)),0)</f>
        <v>0</v>
      </c>
      <c r="DE188" s="93">
        <f>IF(AND($T188=1,DE$5&lt;=$H188),DD188*(1-BO188)*(1-MIN(1,MAX(Assumptions!$C$27,Assumptions!$C$13*Assumptions!$C$28^(DD$5-1))*$O188)),0)</f>
        <v>0</v>
      </c>
      <c r="DF188" s="93">
        <f>IF(AND($T188=1,DF$5&lt;=$H188),DE188*(1-BP188)*(1-MIN(1,MAX(Assumptions!$C$27,Assumptions!$C$13*Assumptions!$C$28^(DE$5-1))*$O188)),0)</f>
        <v>0</v>
      </c>
      <c r="DG188" s="93">
        <f>IF(AND($T188=1,DG$5&lt;=$H188),DF188*(1-BQ188)*(1-MIN(1,MAX(Assumptions!$C$27,Assumptions!$C$13*Assumptions!$C$28^(DF$5-1))*$O188)),0)</f>
        <v>0</v>
      </c>
      <c r="DH188" s="93">
        <f>IF(AND($T188=1,DH$5&lt;=$H188),DG188*(1-BR188)*(1-MIN(1,MAX(Assumptions!$C$27,Assumptions!$C$13*Assumptions!$C$28^(DG$5-1))*$O188)),0)</f>
        <v>0</v>
      </c>
      <c r="DI188" s="93">
        <f>IF(AND($T188=1,DI$5&lt;=$H188),DH188*(1-BS188)*(1-MIN(1,MAX(Assumptions!$C$27,Assumptions!$C$13*Assumptions!$C$28^(DH$5-1))*$O188)),0)</f>
        <v>0</v>
      </c>
      <c r="DJ188" s="93">
        <f>IF(AND($T188=1,DJ$5&lt;=$H188),DI188*(1-BT188)*(1-MIN(1,MAX(Assumptions!$C$27,Assumptions!$C$13*Assumptions!$C$28^(DI$5-1))*$O188)),0)</f>
        <v>0</v>
      </c>
      <c r="DK188" s="93">
        <f>IF(AND($T188=1,DK$5&lt;=$H188),DJ188*(1-BU188)*(1-MIN(1,MAX(Assumptions!$C$27,Assumptions!$C$13*Assumptions!$C$28^(DJ$5-1))*$O188)),0)</f>
        <v>0</v>
      </c>
      <c r="DL188" s="93">
        <f>IF(AND($T188=1,DL$5&lt;=$H188),DK188*(1-BV188)*(1-MIN(1,MAX(Assumptions!$C$27,Assumptions!$C$13*Assumptions!$C$28^(DK$5-1))*$O188)),0)</f>
        <v>0</v>
      </c>
      <c r="DM188" s="93">
        <f>IF(AND($T188=1,DM$5&lt;=$H188),DL188*(1-BW188)*(1-MIN(1,MAX(Assumptions!$C$27,Assumptions!$C$13*Assumptions!$C$28^(DL$5-1))*$O188)),0)</f>
        <v>0</v>
      </c>
      <c r="DN188" s="93">
        <f>IF(AND($T188=1,DN$5&lt;=$H188),DM188*(1-BX188)*(1-MIN(1,MAX(Assumptions!$C$27,Assumptions!$C$13*Assumptions!$C$28^(DM$5-1))*$O188)),0)</f>
        <v>0</v>
      </c>
      <c r="DO188" s="93">
        <f>IF(AND($T188=1,DO$5&lt;=$H188),DN188*(1-BY188)*(1-MIN(1,MAX(Assumptions!$C$27,Assumptions!$C$13*Assumptions!$C$28^(DN$5-1))*$O188)),0)</f>
        <v>0</v>
      </c>
      <c r="DP188" s="93">
        <f>IF(AND($T188=1,DP$5&lt;=$H188),DO188*(1-BZ188)*(1-MIN(1,MAX(Assumptions!$C$27,Assumptions!$C$13*Assumptions!$C$28^(DO$5-1))*$O188)),0)</f>
        <v>0</v>
      </c>
      <c r="DQ188" s="93">
        <f>IF(AND($T188=1,DQ$5&lt;=$H188),DP188*(1-CA188)*(1-MIN(1,MAX(Assumptions!$C$27,Assumptions!$C$13*Assumptions!$C$28^(DP$5-1))*$O188)),0)</f>
        <v>0</v>
      </c>
      <c r="DR188" s="93">
        <f>IF(AND($T188=1,DR$5&lt;=$H188),DQ188*(1-CB188)*(1-MIN(1,MAX(Assumptions!$C$27,Assumptions!$C$13*Assumptions!$C$28^(DQ$5-1))*$O188)),0)</f>
        <v>0</v>
      </c>
      <c r="DS188" s="93">
        <f>IF(AND($T188=1,DS$5&lt;=$H188),DR188*(1-CC188)*(1-MIN(1,MAX(Assumptions!$C$27,Assumptions!$C$13*Assumptions!$C$28^(DR$5-1))*$O188)),0)</f>
        <v>0</v>
      </c>
      <c r="DT188" s="93">
        <f>IF(AND($T188=1,DT$5&lt;=$H188),DS188*(1-CD188)*(1-MIN(1,MAX(Assumptions!$C$27,Assumptions!$C$13*Assumptions!$C$28^(DS$5-1))*$O188)),0)</f>
        <v>0</v>
      </c>
      <c r="DU188" s="93">
        <f>IF(AND($T188=1,DU$5&lt;=$H188),DT188*(1-CE188)*(1-MIN(1,MAX(Assumptions!$C$27,Assumptions!$C$13*Assumptions!$C$28^(DT$5-1))*$O188)),0)</f>
        <v>0</v>
      </c>
      <c r="DV188" s="93">
        <f>IF(AND($T188=1,DV$5&lt;=$H188),DU188*(1-CF188)*(1-MIN(1,MAX(Assumptions!$C$27,Assumptions!$C$13*Assumptions!$C$28^(DU$5-1))*$O188)),0)</f>
        <v>0</v>
      </c>
      <c r="DW188" s="94">
        <f>IF(AND($T188=1,DW$5&lt;=$H188),DV188*(1-CG188)*(1-MIN(1,MAX(Assumptions!$C$27,Assumptions!$C$13*Assumptions!$C$28^(DV$5-1))*$O188)),0)</f>
        <v>0</v>
      </c>
      <c r="DX188" s="26"/>
      <c r="DY188" s="399">
        <f>'Policy Data'!K162</f>
        <v>7</v>
      </c>
      <c r="DZ188" s="100">
        <f>'Policy Data'!L162</f>
        <v>0.62229999999999996</v>
      </c>
      <c r="EA188" s="100">
        <f>'Policy Data'!N162</f>
        <v>1.0690000000000001E-3</v>
      </c>
      <c r="EB188" s="93" cm="1">
        <f t="array" ref="EB188">IFERROR(DZ188*INDEX(Mortality!$B$4:$E$64,MATCH(D188+DY188-1,Mortality!$A$4:$A$64,0),U188)*V188,0)</f>
        <v>1.7279249863291124E-3</v>
      </c>
      <c r="EC188" s="100">
        <f>'Policy Data'!O162</f>
        <v>0</v>
      </c>
      <c r="ED188" s="400">
        <f>'Policy Data'!Q162</f>
        <v>0</v>
      </c>
    </row>
    <row r="189" spans="1:134" x14ac:dyDescent="0.3">
      <c r="A189" s="399" t="str">
        <f>'Policy Data'!A163</f>
        <v>POL100159</v>
      </c>
      <c r="B189" s="26" t="s">
        <v>426</v>
      </c>
      <c r="C189" s="100" t="str">
        <f>'Policy Data'!B163</f>
        <v>Term Life</v>
      </c>
      <c r="D189" s="100">
        <f>'Policy Data'!C163</f>
        <v>62</v>
      </c>
      <c r="E189" s="100" t="str">
        <f>'Policy Data'!D163</f>
        <v>Female</v>
      </c>
      <c r="F189" s="100" t="str">
        <f>'Policy Data'!E163</f>
        <v>Non-smoker</v>
      </c>
      <c r="G189" s="100" t="str">
        <f>'Policy Data'!F163</f>
        <v>Preferred</v>
      </c>
      <c r="H189" s="100">
        <f>'Policy Data'!G163</f>
        <v>25</v>
      </c>
      <c r="I189" s="279">
        <f>'Policy Data'!H163</f>
        <v>500000</v>
      </c>
      <c r="J189" s="100" t="str">
        <f>'Policy Data'!I163</f>
        <v>Annual</v>
      </c>
      <c r="K189" s="100" t="str">
        <f>'Policy Data'!J163</f>
        <v>Broker</v>
      </c>
      <c r="L189" s="26" t="s">
        <v>389</v>
      </c>
      <c r="M189" s="106">
        <f>'Policy Data'!R163</f>
        <v>3090.43</v>
      </c>
      <c r="N189" s="415">
        <f>Assumptions!$C$21</f>
        <v>1</v>
      </c>
      <c r="O189" s="415">
        <f>Assumptions!$C$22</f>
        <v>1</v>
      </c>
      <c r="P189" s="415">
        <f>Assumptions!$C$23</f>
        <v>1</v>
      </c>
      <c r="Q189" s="416">
        <f>Assumptions!$C$24</f>
        <v>0</v>
      </c>
      <c r="R189" s="416">
        <f>Assumptions!$C$6+Assumptions!$C$25</f>
        <v>3.5000000000000003E-2</v>
      </c>
      <c r="S189" s="416">
        <f>Assumptions!$C$15</f>
        <v>1.1000000000000001E-3</v>
      </c>
      <c r="T189" s="26">
        <f t="shared" si="54"/>
        <v>0</v>
      </c>
      <c r="U189" s="26">
        <f t="shared" si="55"/>
        <v>1</v>
      </c>
      <c r="V189" s="389">
        <f>IF($G189="Preferred",Assumptions!$C$30,IF($G189="Rated",Assumptions!$C$31,1))</f>
        <v>0.8</v>
      </c>
      <c r="W189" s="390">
        <f>IF($K189="Direct",Assumptions!$C$32,IF($K189="Broker",Assumptions!$C$33,IF($K189="Bancassurance",Assumptions!$C$34,Assumptions!$C$11)))+$Q189</f>
        <v>0.25</v>
      </c>
      <c r="X189" s="390">
        <f>Assumptions!$C$12+$Q189</f>
        <v>0.05</v>
      </c>
      <c r="Y189" s="131">
        <f>MIN($I189,Assumptions!$C$14)</f>
        <v>500000</v>
      </c>
      <c r="Z189" s="131">
        <f>MAX($I189-Assumptions!$C$14,0)</f>
        <v>0</v>
      </c>
      <c r="AA189" s="389">
        <f t="shared" si="56"/>
        <v>0</v>
      </c>
      <c r="AB189" s="389">
        <f t="shared" si="57"/>
        <v>0</v>
      </c>
      <c r="AC189" s="389">
        <f>IF($T189=1,SUMPRODUCT($CJ189:$DW189,(1+Assumptions!$C$5)^($CJ$5:$DW$5-1),(1+$R189)^(-$CJ$5:$DW$5)),0)</f>
        <v>0</v>
      </c>
      <c r="AD189" s="389">
        <f t="shared" si="58"/>
        <v>0</v>
      </c>
      <c r="AE189" s="131">
        <f>IF($T189=1,$AB189*$Y189+(Assumptions!$C$9/(1+$R189)+Assumptions!$C$10*$AC189)*$P189+$S189*$Z189*$AA189,0)</f>
        <v>0</v>
      </c>
      <c r="AF189" s="131" t="str">
        <f>IF($T189=1,IF($AA189-$AD189-Assumptions!$C$16*$AA189&gt;0,$AE189/($AA189-$AD189-Assumptions!$C$16*$AA189)*IF($J189="Monthly",1+Assumptions!$C$29,1),"n.a."),"")</f>
        <v/>
      </c>
      <c r="AG189" s="131" t="str">
        <f t="shared" si="59"/>
        <v/>
      </c>
      <c r="AH189" s="131" t="str">
        <f t="shared" si="60"/>
        <v/>
      </c>
      <c r="AI189" s="131" t="str">
        <f t="shared" si="61"/>
        <v/>
      </c>
      <c r="AJ189" s="390" t="str">
        <f t="shared" si="62"/>
        <v/>
      </c>
      <c r="AK189" s="389" t="str">
        <f t="shared" si="63"/>
        <v/>
      </c>
      <c r="AL189" s="131" t="str">
        <f t="shared" si="64"/>
        <v/>
      </c>
      <c r="AM189" s="131" t="str">
        <f t="shared" si="65"/>
        <v/>
      </c>
      <c r="AN189" s="131" t="str">
        <f t="shared" si="66"/>
        <v/>
      </c>
      <c r="AO189" s="131" t="str">
        <f t="shared" si="67"/>
        <v/>
      </c>
      <c r="AP189" s="26" t="str">
        <f t="shared" si="68"/>
        <v>60+</v>
      </c>
      <c r="AQ189" s="26" t="str">
        <f t="shared" si="69"/>
        <v>250k-500k</v>
      </c>
      <c r="AR189" s="26" t="str">
        <f>IF($T189=1,IF($AI189&lt;0,"Loss-making",IF($AJ189&lt;Assumptions!$C$16-0.00001,"Below target","At/above target")),"Excluded")</f>
        <v>Excluded</v>
      </c>
      <c r="AS189" s="103">
        <f t="shared" si="70"/>
        <v>9.9999999999999997E+98</v>
      </c>
      <c r="AT189" s="26"/>
      <c r="AU189" s="419">
        <f>IF(AND($T189=1,AU$5&lt;=$H189),INDEX(Mortality!$B$4:$E$64,MATCH($D189+AU$5-1,Mortality!$A$4:$A$64,0),$U189)*$V189*$N189,0)</f>
        <v>0</v>
      </c>
      <c r="AV189" s="93">
        <f>IF(AND($T189=1,AV$5&lt;=$H189),INDEX(Mortality!$B$4:$E$64,MATCH($D189+AV$5-1,Mortality!$A$4:$A$64,0),$U189)*$V189*$N189,0)</f>
        <v>0</v>
      </c>
      <c r="AW189" s="93">
        <f>IF(AND($T189=1,AW$5&lt;=$H189),INDEX(Mortality!$B$4:$E$64,MATCH($D189+AW$5-1,Mortality!$A$4:$A$64,0),$U189)*$V189*$N189,0)</f>
        <v>0</v>
      </c>
      <c r="AX189" s="93">
        <f>IF(AND($T189=1,AX$5&lt;=$H189),INDEX(Mortality!$B$4:$E$64,MATCH($D189+AX$5-1,Mortality!$A$4:$A$64,0),$U189)*$V189*$N189,0)</f>
        <v>0</v>
      </c>
      <c r="AY189" s="93">
        <f>IF(AND($T189=1,AY$5&lt;=$H189),INDEX(Mortality!$B$4:$E$64,MATCH($D189+AY$5-1,Mortality!$A$4:$A$64,0),$U189)*$V189*$N189,0)</f>
        <v>0</v>
      </c>
      <c r="AZ189" s="93">
        <f>IF(AND($T189=1,AZ$5&lt;=$H189),INDEX(Mortality!$B$4:$E$64,MATCH($D189+AZ$5-1,Mortality!$A$4:$A$64,0),$U189)*$V189*$N189,0)</f>
        <v>0</v>
      </c>
      <c r="BA189" s="93">
        <f>IF(AND($T189=1,BA$5&lt;=$H189),INDEX(Mortality!$B$4:$E$64,MATCH($D189+BA$5-1,Mortality!$A$4:$A$64,0),$U189)*$V189*$N189,0)</f>
        <v>0</v>
      </c>
      <c r="BB189" s="93">
        <f>IF(AND($T189=1,BB$5&lt;=$H189),INDEX(Mortality!$B$4:$E$64,MATCH($D189+BB$5-1,Mortality!$A$4:$A$64,0),$U189)*$V189*$N189,0)</f>
        <v>0</v>
      </c>
      <c r="BC189" s="93">
        <f>IF(AND($T189=1,BC$5&lt;=$H189),INDEX(Mortality!$B$4:$E$64,MATCH($D189+BC$5-1,Mortality!$A$4:$A$64,0),$U189)*$V189*$N189,0)</f>
        <v>0</v>
      </c>
      <c r="BD189" s="93">
        <f>IF(AND($T189=1,BD$5&lt;=$H189),INDEX(Mortality!$B$4:$E$64,MATCH($D189+BD$5-1,Mortality!$A$4:$A$64,0),$U189)*$V189*$N189,0)</f>
        <v>0</v>
      </c>
      <c r="BE189" s="93">
        <f>IF(AND($T189=1,BE$5&lt;=$H189),INDEX(Mortality!$B$4:$E$64,MATCH($D189+BE$5-1,Mortality!$A$4:$A$64,0),$U189)*$V189*$N189,0)</f>
        <v>0</v>
      </c>
      <c r="BF189" s="93">
        <f>IF(AND($T189=1,BF$5&lt;=$H189),INDEX(Mortality!$B$4:$E$64,MATCH($D189+BF$5-1,Mortality!$A$4:$A$64,0),$U189)*$V189*$N189,0)</f>
        <v>0</v>
      </c>
      <c r="BG189" s="93">
        <f>IF(AND($T189=1,BG$5&lt;=$H189),INDEX(Mortality!$B$4:$E$64,MATCH($D189+BG$5-1,Mortality!$A$4:$A$64,0),$U189)*$V189*$N189,0)</f>
        <v>0</v>
      </c>
      <c r="BH189" s="93">
        <f>IF(AND($T189=1,BH$5&lt;=$H189),INDEX(Mortality!$B$4:$E$64,MATCH($D189+BH$5-1,Mortality!$A$4:$A$64,0),$U189)*$V189*$N189,0)</f>
        <v>0</v>
      </c>
      <c r="BI189" s="93">
        <f>IF(AND($T189=1,BI$5&lt;=$H189),INDEX(Mortality!$B$4:$E$64,MATCH($D189+BI$5-1,Mortality!$A$4:$A$64,0),$U189)*$V189*$N189,0)</f>
        <v>0</v>
      </c>
      <c r="BJ189" s="93">
        <f>IF(AND($T189=1,BJ$5&lt;=$H189),INDEX(Mortality!$B$4:$E$64,MATCH($D189+BJ$5-1,Mortality!$A$4:$A$64,0),$U189)*$V189*$N189,0)</f>
        <v>0</v>
      </c>
      <c r="BK189" s="93">
        <f>IF(AND($T189=1,BK$5&lt;=$H189),INDEX(Mortality!$B$4:$E$64,MATCH($D189+BK$5-1,Mortality!$A$4:$A$64,0),$U189)*$V189*$N189,0)</f>
        <v>0</v>
      </c>
      <c r="BL189" s="93">
        <f>IF(AND($T189=1,BL$5&lt;=$H189),INDEX(Mortality!$B$4:$E$64,MATCH($D189+BL$5-1,Mortality!$A$4:$A$64,0),$U189)*$V189*$N189,0)</f>
        <v>0</v>
      </c>
      <c r="BM189" s="93">
        <f>IF(AND($T189=1,BM$5&lt;=$H189),INDEX(Mortality!$B$4:$E$64,MATCH($D189+BM$5-1,Mortality!$A$4:$A$64,0),$U189)*$V189*$N189,0)</f>
        <v>0</v>
      </c>
      <c r="BN189" s="93">
        <f>IF(AND($T189=1,BN$5&lt;=$H189),INDEX(Mortality!$B$4:$E$64,MATCH($D189+BN$5-1,Mortality!$A$4:$A$64,0),$U189)*$V189*$N189,0)</f>
        <v>0</v>
      </c>
      <c r="BO189" s="93">
        <f>IF(AND($T189=1,BO$5&lt;=$H189),INDEX(Mortality!$B$4:$E$64,MATCH($D189+BO$5-1,Mortality!$A$4:$A$64,0),$U189)*$V189*$N189,0)</f>
        <v>0</v>
      </c>
      <c r="BP189" s="93">
        <f>IF(AND($T189=1,BP$5&lt;=$H189),INDEX(Mortality!$B$4:$E$64,MATCH($D189+BP$5-1,Mortality!$A$4:$A$64,0),$U189)*$V189*$N189,0)</f>
        <v>0</v>
      </c>
      <c r="BQ189" s="93">
        <f>IF(AND($T189=1,BQ$5&lt;=$H189),INDEX(Mortality!$B$4:$E$64,MATCH($D189+BQ$5-1,Mortality!$A$4:$A$64,0),$U189)*$V189*$N189,0)</f>
        <v>0</v>
      </c>
      <c r="BR189" s="93">
        <f>IF(AND($T189=1,BR$5&lt;=$H189),INDEX(Mortality!$B$4:$E$64,MATCH($D189+BR$5-1,Mortality!$A$4:$A$64,0),$U189)*$V189*$N189,0)</f>
        <v>0</v>
      </c>
      <c r="BS189" s="93">
        <f>IF(AND($T189=1,BS$5&lt;=$H189),INDEX(Mortality!$B$4:$E$64,MATCH($D189+BS$5-1,Mortality!$A$4:$A$64,0),$U189)*$V189*$N189,0)</f>
        <v>0</v>
      </c>
      <c r="BT189" s="93">
        <f>IF(AND($T189=1,BT$5&lt;=$H189),INDEX(Mortality!$B$4:$E$64,MATCH($D189+BT$5-1,Mortality!$A$4:$A$64,0),$U189)*$V189*$N189,0)</f>
        <v>0</v>
      </c>
      <c r="BU189" s="93">
        <f>IF(AND($T189=1,BU$5&lt;=$H189),INDEX(Mortality!$B$4:$E$64,MATCH($D189+BU$5-1,Mortality!$A$4:$A$64,0),$U189)*$V189*$N189,0)</f>
        <v>0</v>
      </c>
      <c r="BV189" s="93">
        <f>IF(AND($T189=1,BV$5&lt;=$H189),INDEX(Mortality!$B$4:$E$64,MATCH($D189+BV$5-1,Mortality!$A$4:$A$64,0),$U189)*$V189*$N189,0)</f>
        <v>0</v>
      </c>
      <c r="BW189" s="93">
        <f>IF(AND($T189=1,BW$5&lt;=$H189),INDEX(Mortality!$B$4:$E$64,MATCH($D189+BW$5-1,Mortality!$A$4:$A$64,0),$U189)*$V189*$N189,0)</f>
        <v>0</v>
      </c>
      <c r="BX189" s="93">
        <f>IF(AND($T189=1,BX$5&lt;=$H189),INDEX(Mortality!$B$4:$E$64,MATCH($D189+BX$5-1,Mortality!$A$4:$A$64,0),$U189)*$V189*$N189,0)</f>
        <v>0</v>
      </c>
      <c r="BY189" s="93">
        <f>IF(AND($T189=1,BY$5&lt;=$H189),INDEX(Mortality!$B$4:$E$64,MATCH($D189+BY$5-1,Mortality!$A$4:$A$64,0),$U189)*$V189*$N189,0)</f>
        <v>0</v>
      </c>
      <c r="BZ189" s="93">
        <f>IF(AND($T189=1,BZ$5&lt;=$H189),INDEX(Mortality!$B$4:$E$64,MATCH($D189+BZ$5-1,Mortality!$A$4:$A$64,0),$U189)*$V189*$N189,0)</f>
        <v>0</v>
      </c>
      <c r="CA189" s="93">
        <f>IF(AND($T189=1,CA$5&lt;=$H189),INDEX(Mortality!$B$4:$E$64,MATCH($D189+CA$5-1,Mortality!$A$4:$A$64,0),$U189)*$V189*$N189,0)</f>
        <v>0</v>
      </c>
      <c r="CB189" s="93">
        <f>IF(AND($T189=1,CB$5&lt;=$H189),INDEX(Mortality!$B$4:$E$64,MATCH($D189+CB$5-1,Mortality!$A$4:$A$64,0),$U189)*$V189*$N189,0)</f>
        <v>0</v>
      </c>
      <c r="CC189" s="93">
        <f>IF(AND($T189=1,CC$5&lt;=$H189),INDEX(Mortality!$B$4:$E$64,MATCH($D189+CC$5-1,Mortality!$A$4:$A$64,0),$U189)*$V189*$N189,0)</f>
        <v>0</v>
      </c>
      <c r="CD189" s="93">
        <f>IF(AND($T189=1,CD$5&lt;=$H189),INDEX(Mortality!$B$4:$E$64,MATCH($D189+CD$5-1,Mortality!$A$4:$A$64,0),$U189)*$V189*$N189,0)</f>
        <v>0</v>
      </c>
      <c r="CE189" s="93">
        <f>IF(AND($T189=1,CE$5&lt;=$H189),INDEX(Mortality!$B$4:$E$64,MATCH($D189+CE$5-1,Mortality!$A$4:$A$64,0),$U189)*$V189*$N189,0)</f>
        <v>0</v>
      </c>
      <c r="CF189" s="93">
        <f>IF(AND($T189=1,CF$5&lt;=$H189),INDEX(Mortality!$B$4:$E$64,MATCH($D189+CF$5-1,Mortality!$A$4:$A$64,0),$U189)*$V189*$N189,0)</f>
        <v>0</v>
      </c>
      <c r="CG189" s="93">
        <f>IF(AND($T189=1,CG$5&lt;=$H189),INDEX(Mortality!$B$4:$E$64,MATCH($D189+CG$5-1,Mortality!$A$4:$A$64,0),$U189)*$V189*$N189,0)</f>
        <v>0</v>
      </c>
      <c r="CH189" s="94">
        <f>IF(AND($T189=1,CH$5&lt;=$H189),INDEX(Mortality!$B$4:$E$64,MATCH($D189+CH$5-1,Mortality!$A$4:$A$64,0),$U189)*$V189*$N189,0)</f>
        <v>0</v>
      </c>
      <c r="CI189" s="26"/>
      <c r="CJ189" s="419">
        <f t="shared" si="71"/>
        <v>0</v>
      </c>
      <c r="CK189" s="93">
        <f>IF(AND($T189=1,CK$5&lt;=$H189),CJ189*(1-AU189)*(1-MIN(1,MAX(Assumptions!$C$27,Assumptions!$C$13*Assumptions!$C$28^(CJ$5-1))*$O189)),0)</f>
        <v>0</v>
      </c>
      <c r="CL189" s="93">
        <f>IF(AND($T189=1,CL$5&lt;=$H189),CK189*(1-AV189)*(1-MIN(1,MAX(Assumptions!$C$27,Assumptions!$C$13*Assumptions!$C$28^(CK$5-1))*$O189)),0)</f>
        <v>0</v>
      </c>
      <c r="CM189" s="93">
        <f>IF(AND($T189=1,CM$5&lt;=$H189),CL189*(1-AW189)*(1-MIN(1,MAX(Assumptions!$C$27,Assumptions!$C$13*Assumptions!$C$28^(CL$5-1))*$O189)),0)</f>
        <v>0</v>
      </c>
      <c r="CN189" s="93">
        <f>IF(AND($T189=1,CN$5&lt;=$H189),CM189*(1-AX189)*(1-MIN(1,MAX(Assumptions!$C$27,Assumptions!$C$13*Assumptions!$C$28^(CM$5-1))*$O189)),0)</f>
        <v>0</v>
      </c>
      <c r="CO189" s="93">
        <f>IF(AND($T189=1,CO$5&lt;=$H189),CN189*(1-AY189)*(1-MIN(1,MAX(Assumptions!$C$27,Assumptions!$C$13*Assumptions!$C$28^(CN$5-1))*$O189)),0)</f>
        <v>0</v>
      </c>
      <c r="CP189" s="93">
        <f>IF(AND($T189=1,CP$5&lt;=$H189),CO189*(1-AZ189)*(1-MIN(1,MAX(Assumptions!$C$27,Assumptions!$C$13*Assumptions!$C$28^(CO$5-1))*$O189)),0)</f>
        <v>0</v>
      </c>
      <c r="CQ189" s="93">
        <f>IF(AND($T189=1,CQ$5&lt;=$H189),CP189*(1-BA189)*(1-MIN(1,MAX(Assumptions!$C$27,Assumptions!$C$13*Assumptions!$C$28^(CP$5-1))*$O189)),0)</f>
        <v>0</v>
      </c>
      <c r="CR189" s="93">
        <f>IF(AND($T189=1,CR$5&lt;=$H189),CQ189*(1-BB189)*(1-MIN(1,MAX(Assumptions!$C$27,Assumptions!$C$13*Assumptions!$C$28^(CQ$5-1))*$O189)),0)</f>
        <v>0</v>
      </c>
      <c r="CS189" s="93">
        <f>IF(AND($T189=1,CS$5&lt;=$H189),CR189*(1-BC189)*(1-MIN(1,MAX(Assumptions!$C$27,Assumptions!$C$13*Assumptions!$C$28^(CR$5-1))*$O189)),0)</f>
        <v>0</v>
      </c>
      <c r="CT189" s="93">
        <f>IF(AND($T189=1,CT$5&lt;=$H189),CS189*(1-BD189)*(1-MIN(1,MAX(Assumptions!$C$27,Assumptions!$C$13*Assumptions!$C$28^(CS$5-1))*$O189)),0)</f>
        <v>0</v>
      </c>
      <c r="CU189" s="93">
        <f>IF(AND($T189=1,CU$5&lt;=$H189),CT189*(1-BE189)*(1-MIN(1,MAX(Assumptions!$C$27,Assumptions!$C$13*Assumptions!$C$28^(CT$5-1))*$O189)),0)</f>
        <v>0</v>
      </c>
      <c r="CV189" s="93">
        <f>IF(AND($T189=1,CV$5&lt;=$H189),CU189*(1-BF189)*(1-MIN(1,MAX(Assumptions!$C$27,Assumptions!$C$13*Assumptions!$C$28^(CU$5-1))*$O189)),0)</f>
        <v>0</v>
      </c>
      <c r="CW189" s="93">
        <f>IF(AND($T189=1,CW$5&lt;=$H189),CV189*(1-BG189)*(1-MIN(1,MAX(Assumptions!$C$27,Assumptions!$C$13*Assumptions!$C$28^(CV$5-1))*$O189)),0)</f>
        <v>0</v>
      </c>
      <c r="CX189" s="93">
        <f>IF(AND($T189=1,CX$5&lt;=$H189),CW189*(1-BH189)*(1-MIN(1,MAX(Assumptions!$C$27,Assumptions!$C$13*Assumptions!$C$28^(CW$5-1))*$O189)),0)</f>
        <v>0</v>
      </c>
      <c r="CY189" s="93">
        <f>IF(AND($T189=1,CY$5&lt;=$H189),CX189*(1-BI189)*(1-MIN(1,MAX(Assumptions!$C$27,Assumptions!$C$13*Assumptions!$C$28^(CX$5-1))*$O189)),0)</f>
        <v>0</v>
      </c>
      <c r="CZ189" s="93">
        <f>IF(AND($T189=1,CZ$5&lt;=$H189),CY189*(1-BJ189)*(1-MIN(1,MAX(Assumptions!$C$27,Assumptions!$C$13*Assumptions!$C$28^(CY$5-1))*$O189)),0)</f>
        <v>0</v>
      </c>
      <c r="DA189" s="93">
        <f>IF(AND($T189=1,DA$5&lt;=$H189),CZ189*(1-BK189)*(1-MIN(1,MAX(Assumptions!$C$27,Assumptions!$C$13*Assumptions!$C$28^(CZ$5-1))*$O189)),0)</f>
        <v>0</v>
      </c>
      <c r="DB189" s="93">
        <f>IF(AND($T189=1,DB$5&lt;=$H189),DA189*(1-BL189)*(1-MIN(1,MAX(Assumptions!$C$27,Assumptions!$C$13*Assumptions!$C$28^(DA$5-1))*$O189)),0)</f>
        <v>0</v>
      </c>
      <c r="DC189" s="93">
        <f>IF(AND($T189=1,DC$5&lt;=$H189),DB189*(1-BM189)*(1-MIN(1,MAX(Assumptions!$C$27,Assumptions!$C$13*Assumptions!$C$28^(DB$5-1))*$O189)),0)</f>
        <v>0</v>
      </c>
      <c r="DD189" s="93">
        <f>IF(AND($T189=1,DD$5&lt;=$H189),DC189*(1-BN189)*(1-MIN(1,MAX(Assumptions!$C$27,Assumptions!$C$13*Assumptions!$C$28^(DC$5-1))*$O189)),0)</f>
        <v>0</v>
      </c>
      <c r="DE189" s="93">
        <f>IF(AND($T189=1,DE$5&lt;=$H189),DD189*(1-BO189)*(1-MIN(1,MAX(Assumptions!$C$27,Assumptions!$C$13*Assumptions!$C$28^(DD$5-1))*$O189)),0)</f>
        <v>0</v>
      </c>
      <c r="DF189" s="93">
        <f>IF(AND($T189=1,DF$5&lt;=$H189),DE189*(1-BP189)*(1-MIN(1,MAX(Assumptions!$C$27,Assumptions!$C$13*Assumptions!$C$28^(DE$5-1))*$O189)),0)</f>
        <v>0</v>
      </c>
      <c r="DG189" s="93">
        <f>IF(AND($T189=1,DG$5&lt;=$H189),DF189*(1-BQ189)*(1-MIN(1,MAX(Assumptions!$C$27,Assumptions!$C$13*Assumptions!$C$28^(DF$5-1))*$O189)),0)</f>
        <v>0</v>
      </c>
      <c r="DH189" s="93">
        <f>IF(AND($T189=1,DH$5&lt;=$H189),DG189*(1-BR189)*(1-MIN(1,MAX(Assumptions!$C$27,Assumptions!$C$13*Assumptions!$C$28^(DG$5-1))*$O189)),0)</f>
        <v>0</v>
      </c>
      <c r="DI189" s="93">
        <f>IF(AND($T189=1,DI$5&lt;=$H189),DH189*(1-BS189)*(1-MIN(1,MAX(Assumptions!$C$27,Assumptions!$C$13*Assumptions!$C$28^(DH$5-1))*$O189)),0)</f>
        <v>0</v>
      </c>
      <c r="DJ189" s="93">
        <f>IF(AND($T189=1,DJ$5&lt;=$H189),DI189*(1-BT189)*(1-MIN(1,MAX(Assumptions!$C$27,Assumptions!$C$13*Assumptions!$C$28^(DI$5-1))*$O189)),0)</f>
        <v>0</v>
      </c>
      <c r="DK189" s="93">
        <f>IF(AND($T189=1,DK$5&lt;=$H189),DJ189*(1-BU189)*(1-MIN(1,MAX(Assumptions!$C$27,Assumptions!$C$13*Assumptions!$C$28^(DJ$5-1))*$O189)),0)</f>
        <v>0</v>
      </c>
      <c r="DL189" s="93">
        <f>IF(AND($T189=1,DL$5&lt;=$H189),DK189*(1-BV189)*(1-MIN(1,MAX(Assumptions!$C$27,Assumptions!$C$13*Assumptions!$C$28^(DK$5-1))*$O189)),0)</f>
        <v>0</v>
      </c>
      <c r="DM189" s="93">
        <f>IF(AND($T189=1,DM$5&lt;=$H189),DL189*(1-BW189)*(1-MIN(1,MAX(Assumptions!$C$27,Assumptions!$C$13*Assumptions!$C$28^(DL$5-1))*$O189)),0)</f>
        <v>0</v>
      </c>
      <c r="DN189" s="93">
        <f>IF(AND($T189=1,DN$5&lt;=$H189),DM189*(1-BX189)*(1-MIN(1,MAX(Assumptions!$C$27,Assumptions!$C$13*Assumptions!$C$28^(DM$5-1))*$O189)),0)</f>
        <v>0</v>
      </c>
      <c r="DO189" s="93">
        <f>IF(AND($T189=1,DO$5&lt;=$H189),DN189*(1-BY189)*(1-MIN(1,MAX(Assumptions!$C$27,Assumptions!$C$13*Assumptions!$C$28^(DN$5-1))*$O189)),0)</f>
        <v>0</v>
      </c>
      <c r="DP189" s="93">
        <f>IF(AND($T189=1,DP$5&lt;=$H189),DO189*(1-BZ189)*(1-MIN(1,MAX(Assumptions!$C$27,Assumptions!$C$13*Assumptions!$C$28^(DO$5-1))*$O189)),0)</f>
        <v>0</v>
      </c>
      <c r="DQ189" s="93">
        <f>IF(AND($T189=1,DQ$5&lt;=$H189),DP189*(1-CA189)*(1-MIN(1,MAX(Assumptions!$C$27,Assumptions!$C$13*Assumptions!$C$28^(DP$5-1))*$O189)),0)</f>
        <v>0</v>
      </c>
      <c r="DR189" s="93">
        <f>IF(AND($T189=1,DR$5&lt;=$H189),DQ189*(1-CB189)*(1-MIN(1,MAX(Assumptions!$C$27,Assumptions!$C$13*Assumptions!$C$28^(DQ$5-1))*$O189)),0)</f>
        <v>0</v>
      </c>
      <c r="DS189" s="93">
        <f>IF(AND($T189=1,DS$5&lt;=$H189),DR189*(1-CC189)*(1-MIN(1,MAX(Assumptions!$C$27,Assumptions!$C$13*Assumptions!$C$28^(DR$5-1))*$O189)),0)</f>
        <v>0</v>
      </c>
      <c r="DT189" s="93">
        <f>IF(AND($T189=1,DT$5&lt;=$H189),DS189*(1-CD189)*(1-MIN(1,MAX(Assumptions!$C$27,Assumptions!$C$13*Assumptions!$C$28^(DS$5-1))*$O189)),0)</f>
        <v>0</v>
      </c>
      <c r="DU189" s="93">
        <f>IF(AND($T189=1,DU$5&lt;=$H189),DT189*(1-CE189)*(1-MIN(1,MAX(Assumptions!$C$27,Assumptions!$C$13*Assumptions!$C$28^(DT$5-1))*$O189)),0)</f>
        <v>0</v>
      </c>
      <c r="DV189" s="93">
        <f>IF(AND($T189=1,DV$5&lt;=$H189),DU189*(1-CF189)*(1-MIN(1,MAX(Assumptions!$C$27,Assumptions!$C$13*Assumptions!$C$28^(DU$5-1))*$O189)),0)</f>
        <v>0</v>
      </c>
      <c r="DW189" s="94">
        <f>IF(AND($T189=1,DW$5&lt;=$H189),DV189*(1-CG189)*(1-MIN(1,MAX(Assumptions!$C$27,Assumptions!$C$13*Assumptions!$C$28^(DV$5-1))*$O189)),0)</f>
        <v>0</v>
      </c>
      <c r="DX189" s="26"/>
      <c r="DY189" s="399">
        <f>'Policy Data'!K163</f>
        <v>4</v>
      </c>
      <c r="DZ189" s="100">
        <f>'Policy Data'!L163</f>
        <v>0.73709999999999998</v>
      </c>
      <c r="EA189" s="100">
        <f>'Policy Data'!N163</f>
        <v>2.918E-3</v>
      </c>
      <c r="EB189" s="93" cm="1">
        <f t="array" ref="EB189">IFERROR(DZ189*INDEX(Mortality!$B$4:$E$64,MATCH(D189+DY189-1,Mortality!$A$4:$A$64,0),U189)*V189,0)</f>
        <v>3.7091328353025437E-3</v>
      </c>
      <c r="EC189" s="100">
        <f>'Policy Data'!O163</f>
        <v>0</v>
      </c>
      <c r="ED189" s="400">
        <f>'Policy Data'!Q163</f>
        <v>1</v>
      </c>
    </row>
    <row r="190" spans="1:134" x14ac:dyDescent="0.3">
      <c r="A190" s="399" t="str">
        <f>'Policy Data'!A164</f>
        <v>POL100160</v>
      </c>
      <c r="B190" s="26" t="s">
        <v>426</v>
      </c>
      <c r="C190" s="100" t="str">
        <f>'Policy Data'!B164</f>
        <v>Term Life</v>
      </c>
      <c r="D190" s="100">
        <f>'Policy Data'!C164</f>
        <v>27</v>
      </c>
      <c r="E190" s="100" t="str">
        <f>'Policy Data'!D164</f>
        <v>Male</v>
      </c>
      <c r="F190" s="100" t="str">
        <f>'Policy Data'!E164</f>
        <v>Non-smoker</v>
      </c>
      <c r="G190" s="100" t="str">
        <f>'Policy Data'!F164</f>
        <v>Preferred</v>
      </c>
      <c r="H190" s="100">
        <f>'Policy Data'!G164</f>
        <v>15</v>
      </c>
      <c r="I190" s="279">
        <f>'Policy Data'!H164</f>
        <v>250000</v>
      </c>
      <c r="J190" s="100" t="str">
        <f>'Policy Data'!I164</f>
        <v>Monthly</v>
      </c>
      <c r="K190" s="100" t="str">
        <f>'Policy Data'!J164</f>
        <v>Broker</v>
      </c>
      <c r="L190" s="26" t="s">
        <v>389</v>
      </c>
      <c r="M190" s="106">
        <f>'Policy Data'!R164</f>
        <v>1200</v>
      </c>
      <c r="N190" s="415">
        <f>Assumptions!$C$21</f>
        <v>1</v>
      </c>
      <c r="O190" s="415">
        <f>Assumptions!$C$22</f>
        <v>1</v>
      </c>
      <c r="P190" s="415">
        <f>Assumptions!$C$23</f>
        <v>1</v>
      </c>
      <c r="Q190" s="416">
        <f>Assumptions!$C$24</f>
        <v>0</v>
      </c>
      <c r="R190" s="416">
        <f>Assumptions!$C$6+Assumptions!$C$25</f>
        <v>3.5000000000000003E-2</v>
      </c>
      <c r="S190" s="416">
        <f>Assumptions!$C$15</f>
        <v>1.1000000000000001E-3</v>
      </c>
      <c r="T190" s="26">
        <f t="shared" si="54"/>
        <v>1</v>
      </c>
      <c r="U190" s="26">
        <f t="shared" si="55"/>
        <v>3</v>
      </c>
      <c r="V190" s="389">
        <f>IF($G190="Preferred",Assumptions!$C$30,IF($G190="Rated",Assumptions!$C$31,1))</f>
        <v>0.8</v>
      </c>
      <c r="W190" s="390">
        <f>IF($K190="Direct",Assumptions!$C$32,IF($K190="Broker",Assumptions!$C$33,IF($K190="Bancassurance",Assumptions!$C$34,Assumptions!$C$11)))+$Q190</f>
        <v>0.25</v>
      </c>
      <c r="X190" s="390">
        <f>Assumptions!$C$12+$Q190</f>
        <v>0.05</v>
      </c>
      <c r="Y190" s="131">
        <f>MIN($I190,Assumptions!$C$14)</f>
        <v>250000</v>
      </c>
      <c r="Z190" s="131">
        <f>MAX($I190-Assumptions!$C$14,0)</f>
        <v>0</v>
      </c>
      <c r="AA190" s="389">
        <f t="shared" si="56"/>
        <v>7.426014213743219</v>
      </c>
      <c r="AB190" s="389">
        <f t="shared" si="57"/>
        <v>3.9459959202651452E-3</v>
      </c>
      <c r="AC190" s="389">
        <f>IF($T190=1,SUMPRODUCT($CJ190:$DW190,(1+Assumptions!$C$5)^($CJ$5:$DW$5-1),(1+$R190)^(-$CJ$5:$DW$5)),0)</f>
        <v>9.2964853529937734</v>
      </c>
      <c r="AD190" s="389">
        <f t="shared" si="58"/>
        <v>0.56453742566300646</v>
      </c>
      <c r="AE190" s="131">
        <f>IF($T190=1,$AB190*$Y190+(Assumptions!$C$9/(1+$R190)+Assumptions!$C$10*$AC190)*$P190+$S190*$Z190*$AA190,0)</f>
        <v>3901.2909751162206</v>
      </c>
      <c r="AF190" s="131">
        <f>IF($T190=1,IF($AA190-$AD190-Assumptions!$C$16*$AA190&gt;0,$AE190/($AA190-$AD190-Assumptions!$C$16*$AA190)*IF($J190="Monthly",1+Assumptions!$C$29,1),"n.a."),"")</f>
        <v>641.14824213162581</v>
      </c>
      <c r="AG190" s="131">
        <f t="shared" si="59"/>
        <v>1200</v>
      </c>
      <c r="AH190" s="131">
        <f t="shared" si="60"/>
        <v>8911.2170564918633</v>
      </c>
      <c r="AI190" s="131">
        <f t="shared" si="61"/>
        <v>4332.4811705800348</v>
      </c>
      <c r="AJ190" s="390">
        <f t="shared" si="62"/>
        <v>0.48618287974747537</v>
      </c>
      <c r="AK190" s="389">
        <f t="shared" si="63"/>
        <v>1.8716420340019331</v>
      </c>
      <c r="AL190" s="131">
        <f t="shared" si="64"/>
        <v>0</v>
      </c>
      <c r="AM190" s="131">
        <f t="shared" si="65"/>
        <v>0</v>
      </c>
      <c r="AN190" s="131">
        <f t="shared" si="66"/>
        <v>0</v>
      </c>
      <c r="AO190" s="131">
        <f t="shared" si="67"/>
        <v>4332.4811705800348</v>
      </c>
      <c r="AP190" s="26" t="str">
        <f t="shared" si="68"/>
        <v>20-29</v>
      </c>
      <c r="AQ190" s="26" t="str">
        <f t="shared" si="69"/>
        <v>Up to 250k</v>
      </c>
      <c r="AR190" s="26" t="str">
        <f>IF($T190=1,IF($AI190&lt;0,"Loss-making",IF($AJ190&lt;Assumptions!$C$16-0.00001,"Below target","At/above target")),"Excluded")</f>
        <v>At/above target</v>
      </c>
      <c r="AS190" s="103">
        <f t="shared" si="70"/>
        <v>4332.4813605800346</v>
      </c>
      <c r="AT190" s="26"/>
      <c r="AU190" s="419">
        <f>IF(AND($T190=1,AU$5&lt;=$H190),INDEX(Mortality!$B$4:$E$64,MATCH($D190+AU$5-1,Mortality!$A$4:$A$64,0),$U190)*$V190*$N190,0)</f>
        <v>3.2566393448155281E-4</v>
      </c>
      <c r="AV190" s="93">
        <f>IF(AND($T190=1,AV$5&lt;=$H190),INDEX(Mortality!$B$4:$E$64,MATCH($D190+AV$5-1,Mortality!$A$4:$A$64,0),$U190)*$V190*$N190,0)</f>
        <v>3.5278752863201123E-4</v>
      </c>
      <c r="AW190" s="93">
        <f>IF(AND($T190=1,AW$5&lt;=$H190),INDEX(Mortality!$B$4:$E$64,MATCH($D190+AW$5-1,Mortality!$A$4:$A$64,0),$U190)*$V190*$N190,0)</f>
        <v>3.8217016740406721E-4</v>
      </c>
      <c r="AX190" s="93">
        <f>IF(AND($T190=1,AX$5&lt;=$H190),INDEX(Mortality!$B$4:$E$64,MATCH($D190+AX$5-1,Mortality!$A$4:$A$64,0),$U190)*$V190*$N190,0)</f>
        <v>4.1399999999999998E-4</v>
      </c>
      <c r="AY190" s="93">
        <f>IF(AND($T190=1,AY$5&lt;=$H190),INDEX(Mortality!$B$4:$E$64,MATCH($D190+AY$5-1,Mortality!$A$4:$A$64,0),$U190)*$V190*$N190,0)</f>
        <v>4.4848084601743283E-4</v>
      </c>
      <c r="AZ190" s="93">
        <f>IF(AND($T190=1,AZ$5&lt;=$H190),INDEX(Mortality!$B$4:$E$64,MATCH($D190+AZ$5-1,Mortality!$A$4:$A$64,0),$U190)*$V190*$N190,0)</f>
        <v>4.8583350059060962E-4</v>
      </c>
      <c r="BA190" s="93">
        <f>IF(AND($T190=1,BA$5&lt;=$H190),INDEX(Mortality!$B$4:$E$64,MATCH($D190+BA$5-1,Mortality!$A$4:$A$64,0),$U190)*$V190*$N190,0)</f>
        <v>5.2629714823306168E-4</v>
      </c>
      <c r="BB190" s="93">
        <f>IF(AND($T190=1,BB$5&lt;=$H190),INDEX(Mortality!$B$4:$E$64,MATCH($D190+BB$5-1,Mortality!$A$4:$A$64,0),$U190)*$V190*$N190,0)</f>
        <v>5.7013089443508651E-4</v>
      </c>
      <c r="BC190" s="93">
        <f>IF(AND($T190=1,BC$5&lt;=$H190),INDEX(Mortality!$B$4:$E$64,MATCH($D190+BC$5-1,Mortality!$A$4:$A$64,0),$U190)*$V190*$N190,0)</f>
        <v>6.176154248234856E-4</v>
      </c>
      <c r="BD190" s="93">
        <f>IF(AND($T190=1,BD$5&lt;=$H190),INDEX(Mortality!$B$4:$E$64,MATCH($D190+BD$5-1,Mortality!$A$4:$A$64,0),$U190)*$V190*$N190,0)</f>
        <v>6.6905480250785757E-4</v>
      </c>
      <c r="BE190" s="93">
        <f>IF(AND($T190=1,BE$5&lt;=$H190),INDEX(Mortality!$B$4:$E$64,MATCH($D190+BE$5-1,Mortality!$A$4:$A$64,0),$U190)*$V190*$N190,0)</f>
        <v>7.2477841512258564E-4</v>
      </c>
      <c r="BF190" s="93">
        <f>IF(AND($T190=1,BF$5&lt;=$H190),INDEX(Mortality!$B$4:$E$64,MATCH($D190+BF$5-1,Mortality!$A$4:$A$64,0),$U190)*$V190*$N190,0)</f>
        <v>7.8514308403224956E-4</v>
      </c>
      <c r="BG190" s="93">
        <f>IF(AND($T190=1,BG$5&lt;=$H190),INDEX(Mortality!$B$4:$E$64,MATCH($D190+BG$5-1,Mortality!$A$4:$A$64,0),$U190)*$V190*$N190,0)</f>
        <v>8.505353492065681E-4</v>
      </c>
      <c r="BH190" s="93">
        <f>IF(AND($T190=1,BH$5&lt;=$H190),INDEX(Mortality!$B$4:$E$64,MATCH($D190+BH$5-1,Mortality!$A$4:$A$64,0),$U190)*$V190*$N190,0)</f>
        <v>9.2137394439588014E-4</v>
      </c>
      <c r="BI190" s="93">
        <f>IF(AND($T190=1,BI$5&lt;=$H190),INDEX(Mortality!$B$4:$E$64,MATCH($D190+BI$5-1,Mortality!$A$4:$A$64,0),$U190)*$V190*$N190,0)</f>
        <v>9.9811247845672801E-4</v>
      </c>
      <c r="BJ190" s="93">
        <f>IF(AND($T190=1,BJ$5&lt;=$H190),INDEX(Mortality!$B$4:$E$64,MATCH($D190+BJ$5-1,Mortality!$A$4:$A$64,0),$U190)*$V190*$N190,0)</f>
        <v>0</v>
      </c>
      <c r="BK190" s="93">
        <f>IF(AND($T190=1,BK$5&lt;=$H190),INDEX(Mortality!$B$4:$E$64,MATCH($D190+BK$5-1,Mortality!$A$4:$A$64,0),$U190)*$V190*$N190,0)</f>
        <v>0</v>
      </c>
      <c r="BL190" s="93">
        <f>IF(AND($T190=1,BL$5&lt;=$H190),INDEX(Mortality!$B$4:$E$64,MATCH($D190+BL$5-1,Mortality!$A$4:$A$64,0),$U190)*$V190*$N190,0)</f>
        <v>0</v>
      </c>
      <c r="BM190" s="93">
        <f>IF(AND($T190=1,BM$5&lt;=$H190),INDEX(Mortality!$B$4:$E$64,MATCH($D190+BM$5-1,Mortality!$A$4:$A$64,0),$U190)*$V190*$N190,0)</f>
        <v>0</v>
      </c>
      <c r="BN190" s="93">
        <f>IF(AND($T190=1,BN$5&lt;=$H190),INDEX(Mortality!$B$4:$E$64,MATCH($D190+BN$5-1,Mortality!$A$4:$A$64,0),$U190)*$V190*$N190,0)</f>
        <v>0</v>
      </c>
      <c r="BO190" s="93">
        <f>IF(AND($T190=1,BO$5&lt;=$H190),INDEX(Mortality!$B$4:$E$64,MATCH($D190+BO$5-1,Mortality!$A$4:$A$64,0),$U190)*$V190*$N190,0)</f>
        <v>0</v>
      </c>
      <c r="BP190" s="93">
        <f>IF(AND($T190=1,BP$5&lt;=$H190),INDEX(Mortality!$B$4:$E$64,MATCH($D190+BP$5-1,Mortality!$A$4:$A$64,0),$U190)*$V190*$N190,0)</f>
        <v>0</v>
      </c>
      <c r="BQ190" s="93">
        <f>IF(AND($T190=1,BQ$5&lt;=$H190),INDEX(Mortality!$B$4:$E$64,MATCH($D190+BQ$5-1,Mortality!$A$4:$A$64,0),$U190)*$V190*$N190,0)</f>
        <v>0</v>
      </c>
      <c r="BR190" s="93">
        <f>IF(AND($T190=1,BR$5&lt;=$H190),INDEX(Mortality!$B$4:$E$64,MATCH($D190+BR$5-1,Mortality!$A$4:$A$64,0),$U190)*$V190*$N190,0)</f>
        <v>0</v>
      </c>
      <c r="BS190" s="93">
        <f>IF(AND($T190=1,BS$5&lt;=$H190),INDEX(Mortality!$B$4:$E$64,MATCH($D190+BS$5-1,Mortality!$A$4:$A$64,0),$U190)*$V190*$N190,0)</f>
        <v>0</v>
      </c>
      <c r="BT190" s="93">
        <f>IF(AND($T190=1,BT$5&lt;=$H190),INDEX(Mortality!$B$4:$E$64,MATCH($D190+BT$5-1,Mortality!$A$4:$A$64,0),$U190)*$V190*$N190,0)</f>
        <v>0</v>
      </c>
      <c r="BU190" s="93">
        <f>IF(AND($T190=1,BU$5&lt;=$H190),INDEX(Mortality!$B$4:$E$64,MATCH($D190+BU$5-1,Mortality!$A$4:$A$64,0),$U190)*$V190*$N190,0)</f>
        <v>0</v>
      </c>
      <c r="BV190" s="93">
        <f>IF(AND($T190=1,BV$5&lt;=$H190),INDEX(Mortality!$B$4:$E$64,MATCH($D190+BV$5-1,Mortality!$A$4:$A$64,0),$U190)*$V190*$N190,0)</f>
        <v>0</v>
      </c>
      <c r="BW190" s="93">
        <f>IF(AND($T190=1,BW$5&lt;=$H190),INDEX(Mortality!$B$4:$E$64,MATCH($D190+BW$5-1,Mortality!$A$4:$A$64,0),$U190)*$V190*$N190,0)</f>
        <v>0</v>
      </c>
      <c r="BX190" s="93">
        <f>IF(AND($T190=1,BX$5&lt;=$H190),INDEX(Mortality!$B$4:$E$64,MATCH($D190+BX$5-1,Mortality!$A$4:$A$64,0),$U190)*$V190*$N190,0)</f>
        <v>0</v>
      </c>
      <c r="BY190" s="93">
        <f>IF(AND($T190=1,BY$5&lt;=$H190),INDEX(Mortality!$B$4:$E$64,MATCH($D190+BY$5-1,Mortality!$A$4:$A$64,0),$U190)*$V190*$N190,0)</f>
        <v>0</v>
      </c>
      <c r="BZ190" s="93">
        <f>IF(AND($T190=1,BZ$5&lt;=$H190),INDEX(Mortality!$B$4:$E$64,MATCH($D190+BZ$5-1,Mortality!$A$4:$A$64,0),$U190)*$V190*$N190,0)</f>
        <v>0</v>
      </c>
      <c r="CA190" s="93">
        <f>IF(AND($T190=1,CA$5&lt;=$H190),INDEX(Mortality!$B$4:$E$64,MATCH($D190+CA$5-1,Mortality!$A$4:$A$64,0),$U190)*$V190*$N190,0)</f>
        <v>0</v>
      </c>
      <c r="CB190" s="93">
        <f>IF(AND($T190=1,CB$5&lt;=$H190),INDEX(Mortality!$B$4:$E$64,MATCH($D190+CB$5-1,Mortality!$A$4:$A$64,0),$U190)*$V190*$N190,0)</f>
        <v>0</v>
      </c>
      <c r="CC190" s="93">
        <f>IF(AND($T190=1,CC$5&lt;=$H190),INDEX(Mortality!$B$4:$E$64,MATCH($D190+CC$5-1,Mortality!$A$4:$A$64,0),$U190)*$V190*$N190,0)</f>
        <v>0</v>
      </c>
      <c r="CD190" s="93">
        <f>IF(AND($T190=1,CD$5&lt;=$H190),INDEX(Mortality!$B$4:$E$64,MATCH($D190+CD$5-1,Mortality!$A$4:$A$64,0),$U190)*$V190*$N190,0)</f>
        <v>0</v>
      </c>
      <c r="CE190" s="93">
        <f>IF(AND($T190=1,CE$5&lt;=$H190),INDEX(Mortality!$B$4:$E$64,MATCH($D190+CE$5-1,Mortality!$A$4:$A$64,0),$U190)*$V190*$N190,0)</f>
        <v>0</v>
      </c>
      <c r="CF190" s="93">
        <f>IF(AND($T190=1,CF$5&lt;=$H190),INDEX(Mortality!$B$4:$E$64,MATCH($D190+CF$5-1,Mortality!$A$4:$A$64,0),$U190)*$V190*$N190,0)</f>
        <v>0</v>
      </c>
      <c r="CG190" s="93">
        <f>IF(AND($T190=1,CG$5&lt;=$H190),INDEX(Mortality!$B$4:$E$64,MATCH($D190+CG$5-1,Mortality!$A$4:$A$64,0),$U190)*$V190*$N190,0)</f>
        <v>0</v>
      </c>
      <c r="CH190" s="94">
        <f>IF(AND($T190=1,CH$5&lt;=$H190),INDEX(Mortality!$B$4:$E$64,MATCH($D190+CH$5-1,Mortality!$A$4:$A$64,0),$U190)*$V190*$N190,0)</f>
        <v>0</v>
      </c>
      <c r="CI190" s="26"/>
      <c r="CJ190" s="419">
        <f t="shared" si="71"/>
        <v>1</v>
      </c>
      <c r="CK190" s="93">
        <f>IF(AND($T190=1,CK$5&lt;=$H190),CJ190*(1-AU190)*(1-MIN(1,MAX(Assumptions!$C$27,Assumptions!$C$13*Assumptions!$C$28^(CJ$5-1))*$O190)),0)</f>
        <v>0.87971341573765627</v>
      </c>
      <c r="CL190" s="93">
        <f>IF(AND($T190=1,CL$5&lt;=$H190),CK190*(1-AV190)*(1-MIN(1,MAX(Assumptions!$C$27,Assumptions!$C$13*Assumptions!$C$28^(CK$5-1))*$O190)),0)</f>
        <v>0.78970395130660076</v>
      </c>
      <c r="CM190" s="93">
        <f>IF(AND($T190=1,CM$5&lt;=$H190),CL190*(1-AW190)*(1-MIN(1,MAX(Assumptions!$C$27,Assumptions!$C$13*Assumptions!$C$28^(CL$5-1))*$O190)),0)</f>
        <v>0.72096098360900118</v>
      </c>
      <c r="CN190" s="93">
        <f>IF(AND($T190=1,CN$5&lt;=$H190),CM190*(1-AX190)*(1-MIN(1,MAX(Assumptions!$C$27,Assumptions!$C$13*Assumptions!$C$28^(CM$5-1))*$O190)),0)</f>
        <v>0.66755328239967215</v>
      </c>
      <c r="CO190" s="93">
        <f>IF(AND($T190=1,CO$5&lt;=$H190),CN190*(1-AY190)*(1-MIN(1,MAX(Assumptions!$C$27,Assumptions!$C$13*Assumptions!$C$28^(CN$5-1))*$O190)),0)</f>
        <v>0.62545661295656496</v>
      </c>
      <c r="CP190" s="93">
        <f>IF(AND($T190=1,CP$5&lt;=$H190),CO190*(1-AZ190)*(1-MIN(1,MAX(Assumptions!$C$27,Assumptions!$C$13*Assumptions!$C$28^(CO$5-1))*$O190)),0)</f>
        <v>0.59186671388154188</v>
      </c>
      <c r="CQ190" s="93">
        <f>IF(AND($T190=1,CQ$5&lt;=$H190),CP190*(1-BA190)*(1-MIN(1,MAX(Assumptions!$C$27,Assumptions!$C$13*Assumptions!$C$28^(CP$5-1))*$O190)),0)</f>
        <v>0.56478264453097538</v>
      </c>
      <c r="CR190" s="93">
        <f>IF(AND($T190=1,CR$5&lt;=$H190),CQ190*(1-BB190)*(1-MIN(1,MAX(Assumptions!$C$27,Assumptions!$C$13*Assumptions!$C$28^(CQ$5-1))*$O190)),0)</f>
        <v>0.54274626651323488</v>
      </c>
      <c r="CS190" s="93">
        <f>IF(AND($T190=1,CS$5&lt;=$H190),CR190*(1-BC190)*(1-MIN(1,MAX(Assumptions!$C$27,Assumptions!$C$13*Assumptions!$C$28^(CR$5-1))*$O190)),0)</f>
        <v>0.5246748331679556</v>
      </c>
      <c r="CT190" s="93">
        <f>IF(AND($T190=1,CT$5&lt;=$H190),CS190*(1-BD190)*(1-MIN(1,MAX(Assumptions!$C$27,Assumptions!$C$13*Assumptions!$C$28^(CS$5-1))*$O190)),0)</f>
        <v>0.50975072374545904</v>
      </c>
      <c r="CU190" s="93">
        <f>IF(AND($T190=1,CU$5&lt;=$H190),CT190*(1-BE190)*(1-MIN(1,MAX(Assumptions!$C$27,Assumptions!$C$13*Assumptions!$C$28^(CT$5-1))*$O190)),0)</f>
        <v>0.49734717139102935</v>
      </c>
      <c r="CV190" s="93">
        <f>IF(AND($T190=1,CV$5&lt;=$H190),CU190*(1-BF190)*(1-MIN(1,MAX(Assumptions!$C$27,Assumptions!$C$13*Assumptions!$C$28^(CU$5-1))*$O190)),0)</f>
        <v>0.48697720150831797</v>
      </c>
      <c r="CW190" s="93">
        <f>IF(AND($T190=1,CW$5&lt;=$H190),CV190*(1-BG190)*(1-MIN(1,MAX(Assumptions!$C$27,Assumptions!$C$13*Assumptions!$C$28^(CV$5-1))*$O190)),0)</f>
        <v>0.47683174998049394</v>
      </c>
      <c r="CX190" s="93">
        <f>IF(AND($T190=1,CX$5&lt;=$H190),CW190*(1-BH190)*(1-MIN(1,MAX(Assumptions!$C$27,Assumptions!$C$13*Assumptions!$C$28^(CW$5-1))*$O190)),0)</f>
        <v>0.46686456143759719</v>
      </c>
      <c r="CY190" s="93">
        <f>IF(AND($T190=1,CY$5&lt;=$H190),CX190*(1-BI190)*(1-MIN(1,MAX(Assumptions!$C$27,Assumptions!$C$13*Assumptions!$C$28^(CX$5-1))*$O190)),0)</f>
        <v>0</v>
      </c>
      <c r="CZ190" s="93">
        <f>IF(AND($T190=1,CZ$5&lt;=$H190),CY190*(1-BJ190)*(1-MIN(1,MAX(Assumptions!$C$27,Assumptions!$C$13*Assumptions!$C$28^(CY$5-1))*$O190)),0)</f>
        <v>0</v>
      </c>
      <c r="DA190" s="93">
        <f>IF(AND($T190=1,DA$5&lt;=$H190),CZ190*(1-BK190)*(1-MIN(1,MAX(Assumptions!$C$27,Assumptions!$C$13*Assumptions!$C$28^(CZ$5-1))*$O190)),0)</f>
        <v>0</v>
      </c>
      <c r="DB190" s="93">
        <f>IF(AND($T190=1,DB$5&lt;=$H190),DA190*(1-BL190)*(1-MIN(1,MAX(Assumptions!$C$27,Assumptions!$C$13*Assumptions!$C$28^(DA$5-1))*$O190)),0)</f>
        <v>0</v>
      </c>
      <c r="DC190" s="93">
        <f>IF(AND($T190=1,DC$5&lt;=$H190),DB190*(1-BM190)*(1-MIN(1,MAX(Assumptions!$C$27,Assumptions!$C$13*Assumptions!$C$28^(DB$5-1))*$O190)),0)</f>
        <v>0</v>
      </c>
      <c r="DD190" s="93">
        <f>IF(AND($T190=1,DD$5&lt;=$H190),DC190*(1-BN190)*(1-MIN(1,MAX(Assumptions!$C$27,Assumptions!$C$13*Assumptions!$C$28^(DC$5-1))*$O190)),0)</f>
        <v>0</v>
      </c>
      <c r="DE190" s="93">
        <f>IF(AND($T190=1,DE$5&lt;=$H190),DD190*(1-BO190)*(1-MIN(1,MAX(Assumptions!$C$27,Assumptions!$C$13*Assumptions!$C$28^(DD$5-1))*$O190)),0)</f>
        <v>0</v>
      </c>
      <c r="DF190" s="93">
        <f>IF(AND($T190=1,DF$5&lt;=$H190),DE190*(1-BP190)*(1-MIN(1,MAX(Assumptions!$C$27,Assumptions!$C$13*Assumptions!$C$28^(DE$5-1))*$O190)),0)</f>
        <v>0</v>
      </c>
      <c r="DG190" s="93">
        <f>IF(AND($T190=1,DG$5&lt;=$H190),DF190*(1-BQ190)*(1-MIN(1,MAX(Assumptions!$C$27,Assumptions!$C$13*Assumptions!$C$28^(DF$5-1))*$O190)),0)</f>
        <v>0</v>
      </c>
      <c r="DH190" s="93">
        <f>IF(AND($T190=1,DH$5&lt;=$H190),DG190*(1-BR190)*(1-MIN(1,MAX(Assumptions!$C$27,Assumptions!$C$13*Assumptions!$C$28^(DG$5-1))*$O190)),0)</f>
        <v>0</v>
      </c>
      <c r="DI190" s="93">
        <f>IF(AND($T190=1,DI$5&lt;=$H190),DH190*(1-BS190)*(1-MIN(1,MAX(Assumptions!$C$27,Assumptions!$C$13*Assumptions!$C$28^(DH$5-1))*$O190)),0)</f>
        <v>0</v>
      </c>
      <c r="DJ190" s="93">
        <f>IF(AND($T190=1,DJ$5&lt;=$H190),DI190*(1-BT190)*(1-MIN(1,MAX(Assumptions!$C$27,Assumptions!$C$13*Assumptions!$C$28^(DI$5-1))*$O190)),0)</f>
        <v>0</v>
      </c>
      <c r="DK190" s="93">
        <f>IF(AND($T190=1,DK$5&lt;=$H190),DJ190*(1-BU190)*(1-MIN(1,MAX(Assumptions!$C$27,Assumptions!$C$13*Assumptions!$C$28^(DJ$5-1))*$O190)),0)</f>
        <v>0</v>
      </c>
      <c r="DL190" s="93">
        <f>IF(AND($T190=1,DL$5&lt;=$H190),DK190*(1-BV190)*(1-MIN(1,MAX(Assumptions!$C$27,Assumptions!$C$13*Assumptions!$C$28^(DK$5-1))*$O190)),0)</f>
        <v>0</v>
      </c>
      <c r="DM190" s="93">
        <f>IF(AND($T190=1,DM$5&lt;=$H190),DL190*(1-BW190)*(1-MIN(1,MAX(Assumptions!$C$27,Assumptions!$C$13*Assumptions!$C$28^(DL$5-1))*$O190)),0)</f>
        <v>0</v>
      </c>
      <c r="DN190" s="93">
        <f>IF(AND($T190=1,DN$5&lt;=$H190),DM190*(1-BX190)*(1-MIN(1,MAX(Assumptions!$C$27,Assumptions!$C$13*Assumptions!$C$28^(DM$5-1))*$O190)),0)</f>
        <v>0</v>
      </c>
      <c r="DO190" s="93">
        <f>IF(AND($T190=1,DO$5&lt;=$H190),DN190*(1-BY190)*(1-MIN(1,MAX(Assumptions!$C$27,Assumptions!$C$13*Assumptions!$C$28^(DN$5-1))*$O190)),0)</f>
        <v>0</v>
      </c>
      <c r="DP190" s="93">
        <f>IF(AND($T190=1,DP$5&lt;=$H190),DO190*(1-BZ190)*(1-MIN(1,MAX(Assumptions!$C$27,Assumptions!$C$13*Assumptions!$C$28^(DO$5-1))*$O190)),0)</f>
        <v>0</v>
      </c>
      <c r="DQ190" s="93">
        <f>IF(AND($T190=1,DQ$5&lt;=$H190),DP190*(1-CA190)*(1-MIN(1,MAX(Assumptions!$C$27,Assumptions!$C$13*Assumptions!$C$28^(DP$5-1))*$O190)),0)</f>
        <v>0</v>
      </c>
      <c r="DR190" s="93">
        <f>IF(AND($T190=1,DR$5&lt;=$H190),DQ190*(1-CB190)*(1-MIN(1,MAX(Assumptions!$C$27,Assumptions!$C$13*Assumptions!$C$28^(DQ$5-1))*$O190)),0)</f>
        <v>0</v>
      </c>
      <c r="DS190" s="93">
        <f>IF(AND($T190=1,DS$5&lt;=$H190),DR190*(1-CC190)*(1-MIN(1,MAX(Assumptions!$C$27,Assumptions!$C$13*Assumptions!$C$28^(DR$5-1))*$O190)),0)</f>
        <v>0</v>
      </c>
      <c r="DT190" s="93">
        <f>IF(AND($T190=1,DT$5&lt;=$H190),DS190*(1-CD190)*(1-MIN(1,MAX(Assumptions!$C$27,Assumptions!$C$13*Assumptions!$C$28^(DS$5-1))*$O190)),0)</f>
        <v>0</v>
      </c>
      <c r="DU190" s="93">
        <f>IF(AND($T190=1,DU$5&lt;=$H190),DT190*(1-CE190)*(1-MIN(1,MAX(Assumptions!$C$27,Assumptions!$C$13*Assumptions!$C$28^(DT$5-1))*$O190)),0)</f>
        <v>0</v>
      </c>
      <c r="DV190" s="93">
        <f>IF(AND($T190=1,DV$5&lt;=$H190),DU190*(1-CF190)*(1-MIN(1,MAX(Assumptions!$C$27,Assumptions!$C$13*Assumptions!$C$28^(DU$5-1))*$O190)),0)</f>
        <v>0</v>
      </c>
      <c r="DW190" s="94">
        <f>IF(AND($T190=1,DW$5&lt;=$H190),DV190*(1-CG190)*(1-MIN(1,MAX(Assumptions!$C$27,Assumptions!$C$13*Assumptions!$C$28^(DV$5-1))*$O190)),0)</f>
        <v>0</v>
      </c>
      <c r="DX190" s="26"/>
      <c r="DY190" s="399">
        <f>'Policy Data'!K164</f>
        <v>5</v>
      </c>
      <c r="DZ190" s="100">
        <f>'Policy Data'!L164</f>
        <v>0.91180000000000005</v>
      </c>
      <c r="EA190" s="100">
        <f>'Policy Data'!N164</f>
        <v>2.9700000000000001E-4</v>
      </c>
      <c r="EB190" s="93" cm="1">
        <f t="array" ref="EB190">IFERROR(DZ190*INDEX(Mortality!$B$4:$E$64,MATCH(D190+DY190-1,Mortality!$A$4:$A$64,0),U190)*V190,0)</f>
        <v>4.0892483539869528E-4</v>
      </c>
      <c r="EC190" s="100">
        <f>'Policy Data'!O164</f>
        <v>0</v>
      </c>
      <c r="ED190" s="400">
        <f>'Policy Data'!Q164</f>
        <v>0</v>
      </c>
    </row>
    <row r="191" spans="1:134" x14ac:dyDescent="0.3">
      <c r="A191" s="399" t="str">
        <f>'Policy Data'!A165</f>
        <v>POL100161</v>
      </c>
      <c r="B191" s="26" t="s">
        <v>426</v>
      </c>
      <c r="C191" s="100" t="str">
        <f>'Policy Data'!B165</f>
        <v>Term Life</v>
      </c>
      <c r="D191" s="100">
        <f>'Policy Data'!C165</f>
        <v>63</v>
      </c>
      <c r="E191" s="100" t="str">
        <f>'Policy Data'!D165</f>
        <v>Male</v>
      </c>
      <c r="F191" s="100" t="str">
        <f>'Policy Data'!E165</f>
        <v>Non-smoker</v>
      </c>
      <c r="G191" s="100" t="str">
        <f>'Policy Data'!F165</f>
        <v>Standard</v>
      </c>
      <c r="H191" s="100">
        <f>'Policy Data'!G165</f>
        <v>25</v>
      </c>
      <c r="I191" s="279">
        <f>'Policy Data'!H165</f>
        <v>250000</v>
      </c>
      <c r="J191" s="100" t="str">
        <f>'Policy Data'!I165</f>
        <v>Monthly</v>
      </c>
      <c r="K191" s="100" t="str">
        <f>'Policy Data'!J165</f>
        <v>Broker</v>
      </c>
      <c r="L191" s="26" t="s">
        <v>389</v>
      </c>
      <c r="M191" s="106">
        <f>'Policy Data'!R165</f>
        <v>2756.79</v>
      </c>
      <c r="N191" s="415">
        <f>Assumptions!$C$21</f>
        <v>1</v>
      </c>
      <c r="O191" s="415">
        <f>Assumptions!$C$22</f>
        <v>1</v>
      </c>
      <c r="P191" s="415">
        <f>Assumptions!$C$23</f>
        <v>1</v>
      </c>
      <c r="Q191" s="416">
        <f>Assumptions!$C$24</f>
        <v>0</v>
      </c>
      <c r="R191" s="416">
        <f>Assumptions!$C$6+Assumptions!$C$25</f>
        <v>3.5000000000000003E-2</v>
      </c>
      <c r="S191" s="416">
        <f>Assumptions!$C$15</f>
        <v>1.1000000000000001E-3</v>
      </c>
      <c r="T191" s="26">
        <f t="shared" si="54"/>
        <v>0</v>
      </c>
      <c r="U191" s="26">
        <f t="shared" si="55"/>
        <v>3</v>
      </c>
      <c r="V191" s="389">
        <f>IF($G191="Preferred",Assumptions!$C$30,IF($G191="Rated",Assumptions!$C$31,1))</f>
        <v>1</v>
      </c>
      <c r="W191" s="390">
        <f>IF($K191="Direct",Assumptions!$C$32,IF($K191="Broker",Assumptions!$C$33,IF($K191="Bancassurance",Assumptions!$C$34,Assumptions!$C$11)))+$Q191</f>
        <v>0.25</v>
      </c>
      <c r="X191" s="390">
        <f>Assumptions!$C$12+$Q191</f>
        <v>0.05</v>
      </c>
      <c r="Y191" s="131">
        <f>MIN($I191,Assumptions!$C$14)</f>
        <v>250000</v>
      </c>
      <c r="Z191" s="131">
        <f>MAX($I191-Assumptions!$C$14,0)</f>
        <v>0</v>
      </c>
      <c r="AA191" s="389">
        <f t="shared" si="56"/>
        <v>0</v>
      </c>
      <c r="AB191" s="389">
        <f t="shared" si="57"/>
        <v>0</v>
      </c>
      <c r="AC191" s="389">
        <f>IF($T191=1,SUMPRODUCT($CJ191:$DW191,(1+Assumptions!$C$5)^($CJ$5:$DW$5-1),(1+$R191)^(-$CJ$5:$DW$5)),0)</f>
        <v>0</v>
      </c>
      <c r="AD191" s="389">
        <f t="shared" si="58"/>
        <v>0</v>
      </c>
      <c r="AE191" s="131">
        <f>IF($T191=1,$AB191*$Y191+(Assumptions!$C$9/(1+$R191)+Assumptions!$C$10*$AC191)*$P191+$S191*$Z191*$AA191,0)</f>
        <v>0</v>
      </c>
      <c r="AF191" s="131" t="str">
        <f>IF($T191=1,IF($AA191-$AD191-Assumptions!$C$16*$AA191&gt;0,$AE191/($AA191-$AD191-Assumptions!$C$16*$AA191)*IF($J191="Monthly",1+Assumptions!$C$29,1),"n.a."),"")</f>
        <v/>
      </c>
      <c r="AG191" s="131" t="str">
        <f t="shared" si="59"/>
        <v/>
      </c>
      <c r="AH191" s="131" t="str">
        <f t="shared" si="60"/>
        <v/>
      </c>
      <c r="AI191" s="131" t="str">
        <f t="shared" si="61"/>
        <v/>
      </c>
      <c r="AJ191" s="390" t="str">
        <f t="shared" si="62"/>
        <v/>
      </c>
      <c r="AK191" s="389" t="str">
        <f t="shared" si="63"/>
        <v/>
      </c>
      <c r="AL191" s="131" t="str">
        <f t="shared" si="64"/>
        <v/>
      </c>
      <c r="AM191" s="131" t="str">
        <f t="shared" si="65"/>
        <v/>
      </c>
      <c r="AN191" s="131" t="str">
        <f t="shared" si="66"/>
        <v/>
      </c>
      <c r="AO191" s="131" t="str">
        <f t="shared" si="67"/>
        <v/>
      </c>
      <c r="AP191" s="26" t="str">
        <f t="shared" si="68"/>
        <v>60+</v>
      </c>
      <c r="AQ191" s="26" t="str">
        <f t="shared" si="69"/>
        <v>Up to 250k</v>
      </c>
      <c r="AR191" s="26" t="str">
        <f>IF($T191=1,IF($AI191&lt;0,"Loss-making",IF($AJ191&lt;Assumptions!$C$16-0.00001,"Below target","At/above target")),"Excluded")</f>
        <v>Excluded</v>
      </c>
      <c r="AS191" s="103">
        <f t="shared" si="70"/>
        <v>9.9999999999999997E+98</v>
      </c>
      <c r="AT191" s="26"/>
      <c r="AU191" s="419">
        <f>IF(AND($T191=1,AU$5&lt;=$H191),INDEX(Mortality!$B$4:$E$64,MATCH($D191+AU$5-1,Mortality!$A$4:$A$64,0),$U191)*$V191*$N191,0)</f>
        <v>0</v>
      </c>
      <c r="AV191" s="93">
        <f>IF(AND($T191=1,AV$5&lt;=$H191),INDEX(Mortality!$B$4:$E$64,MATCH($D191+AV$5-1,Mortality!$A$4:$A$64,0),$U191)*$V191*$N191,0)</f>
        <v>0</v>
      </c>
      <c r="AW191" s="93">
        <f>IF(AND($T191=1,AW$5&lt;=$H191),INDEX(Mortality!$B$4:$E$64,MATCH($D191+AW$5-1,Mortality!$A$4:$A$64,0),$U191)*$V191*$N191,0)</f>
        <v>0</v>
      </c>
      <c r="AX191" s="93">
        <f>IF(AND($T191=1,AX$5&lt;=$H191),INDEX(Mortality!$B$4:$E$64,MATCH($D191+AX$5-1,Mortality!$A$4:$A$64,0),$U191)*$V191*$N191,0)</f>
        <v>0</v>
      </c>
      <c r="AY191" s="93">
        <f>IF(AND($T191=1,AY$5&lt;=$H191),INDEX(Mortality!$B$4:$E$64,MATCH($D191+AY$5-1,Mortality!$A$4:$A$64,0),$U191)*$V191*$N191,0)</f>
        <v>0</v>
      </c>
      <c r="AZ191" s="93">
        <f>IF(AND($T191=1,AZ$5&lt;=$H191),INDEX(Mortality!$B$4:$E$64,MATCH($D191+AZ$5-1,Mortality!$A$4:$A$64,0),$U191)*$V191*$N191,0)</f>
        <v>0</v>
      </c>
      <c r="BA191" s="93">
        <f>IF(AND($T191=1,BA$5&lt;=$H191),INDEX(Mortality!$B$4:$E$64,MATCH($D191+BA$5-1,Mortality!$A$4:$A$64,0),$U191)*$V191*$N191,0)</f>
        <v>0</v>
      </c>
      <c r="BB191" s="93">
        <f>IF(AND($T191=1,BB$5&lt;=$H191),INDEX(Mortality!$B$4:$E$64,MATCH($D191+BB$5-1,Mortality!$A$4:$A$64,0),$U191)*$V191*$N191,0)</f>
        <v>0</v>
      </c>
      <c r="BC191" s="93">
        <f>IF(AND($T191=1,BC$5&lt;=$H191),INDEX(Mortality!$B$4:$E$64,MATCH($D191+BC$5-1,Mortality!$A$4:$A$64,0),$U191)*$V191*$N191,0)</f>
        <v>0</v>
      </c>
      <c r="BD191" s="93">
        <f>IF(AND($T191=1,BD$5&lt;=$H191),INDEX(Mortality!$B$4:$E$64,MATCH($D191+BD$5-1,Mortality!$A$4:$A$64,0),$U191)*$V191*$N191,0)</f>
        <v>0</v>
      </c>
      <c r="BE191" s="93">
        <f>IF(AND($T191=1,BE$5&lt;=$H191),INDEX(Mortality!$B$4:$E$64,MATCH($D191+BE$5-1,Mortality!$A$4:$A$64,0),$U191)*$V191*$N191,0)</f>
        <v>0</v>
      </c>
      <c r="BF191" s="93">
        <f>IF(AND($T191=1,BF$5&lt;=$H191),INDEX(Mortality!$B$4:$E$64,MATCH($D191+BF$5-1,Mortality!$A$4:$A$64,0),$U191)*$V191*$N191,0)</f>
        <v>0</v>
      </c>
      <c r="BG191" s="93">
        <f>IF(AND($T191=1,BG$5&lt;=$H191),INDEX(Mortality!$B$4:$E$64,MATCH($D191+BG$5-1,Mortality!$A$4:$A$64,0),$U191)*$V191*$N191,0)</f>
        <v>0</v>
      </c>
      <c r="BH191" s="93">
        <f>IF(AND($T191=1,BH$5&lt;=$H191),INDEX(Mortality!$B$4:$E$64,MATCH($D191+BH$5-1,Mortality!$A$4:$A$64,0),$U191)*$V191*$N191,0)</f>
        <v>0</v>
      </c>
      <c r="BI191" s="93">
        <f>IF(AND($T191=1,BI$5&lt;=$H191),INDEX(Mortality!$B$4:$E$64,MATCH($D191+BI$5-1,Mortality!$A$4:$A$64,0),$U191)*$V191*$N191,0)</f>
        <v>0</v>
      </c>
      <c r="BJ191" s="93">
        <f>IF(AND($T191=1,BJ$5&lt;=$H191),INDEX(Mortality!$B$4:$E$64,MATCH($D191+BJ$5-1,Mortality!$A$4:$A$64,0),$U191)*$V191*$N191,0)</f>
        <v>0</v>
      </c>
      <c r="BK191" s="93">
        <f>IF(AND($T191=1,BK$5&lt;=$H191),INDEX(Mortality!$B$4:$E$64,MATCH($D191+BK$5-1,Mortality!$A$4:$A$64,0),$U191)*$V191*$N191,0)</f>
        <v>0</v>
      </c>
      <c r="BL191" s="93">
        <f>IF(AND($T191=1,BL$5&lt;=$H191),INDEX(Mortality!$B$4:$E$64,MATCH($D191+BL$5-1,Mortality!$A$4:$A$64,0),$U191)*$V191*$N191,0)</f>
        <v>0</v>
      </c>
      <c r="BM191" s="93">
        <f>IF(AND($T191=1,BM$5&lt;=$H191),INDEX(Mortality!$B$4:$E$64,MATCH($D191+BM$5-1,Mortality!$A$4:$A$64,0),$U191)*$V191*$N191,0)</f>
        <v>0</v>
      </c>
      <c r="BN191" s="93">
        <f>IF(AND($T191=1,BN$5&lt;=$H191),INDEX(Mortality!$B$4:$E$64,MATCH($D191+BN$5-1,Mortality!$A$4:$A$64,0),$U191)*$V191*$N191,0)</f>
        <v>0</v>
      </c>
      <c r="BO191" s="93">
        <f>IF(AND($T191=1,BO$5&lt;=$H191),INDEX(Mortality!$B$4:$E$64,MATCH($D191+BO$5-1,Mortality!$A$4:$A$64,0),$U191)*$V191*$N191,0)</f>
        <v>0</v>
      </c>
      <c r="BP191" s="93">
        <f>IF(AND($T191=1,BP$5&lt;=$H191),INDEX(Mortality!$B$4:$E$64,MATCH($D191+BP$5-1,Mortality!$A$4:$A$64,0),$U191)*$V191*$N191,0)</f>
        <v>0</v>
      </c>
      <c r="BQ191" s="93">
        <f>IF(AND($T191=1,BQ$5&lt;=$H191),INDEX(Mortality!$B$4:$E$64,MATCH($D191+BQ$5-1,Mortality!$A$4:$A$64,0),$U191)*$V191*$N191,0)</f>
        <v>0</v>
      </c>
      <c r="BR191" s="93">
        <f>IF(AND($T191=1,BR$5&lt;=$H191),INDEX(Mortality!$B$4:$E$64,MATCH($D191+BR$5-1,Mortality!$A$4:$A$64,0),$U191)*$V191*$N191,0)</f>
        <v>0</v>
      </c>
      <c r="BS191" s="93">
        <f>IF(AND($T191=1,BS$5&lt;=$H191),INDEX(Mortality!$B$4:$E$64,MATCH($D191+BS$5-1,Mortality!$A$4:$A$64,0),$U191)*$V191*$N191,0)</f>
        <v>0</v>
      </c>
      <c r="BT191" s="93">
        <f>IF(AND($T191=1,BT$5&lt;=$H191),INDEX(Mortality!$B$4:$E$64,MATCH($D191+BT$5-1,Mortality!$A$4:$A$64,0),$U191)*$V191*$N191,0)</f>
        <v>0</v>
      </c>
      <c r="BU191" s="93">
        <f>IF(AND($T191=1,BU$5&lt;=$H191),INDEX(Mortality!$B$4:$E$64,MATCH($D191+BU$5-1,Mortality!$A$4:$A$64,0),$U191)*$V191*$N191,0)</f>
        <v>0</v>
      </c>
      <c r="BV191" s="93">
        <f>IF(AND($T191=1,BV$5&lt;=$H191),INDEX(Mortality!$B$4:$E$64,MATCH($D191+BV$5-1,Mortality!$A$4:$A$64,0),$U191)*$V191*$N191,0)</f>
        <v>0</v>
      </c>
      <c r="BW191" s="93">
        <f>IF(AND($T191=1,BW$5&lt;=$H191),INDEX(Mortality!$B$4:$E$64,MATCH($D191+BW$5-1,Mortality!$A$4:$A$64,0),$U191)*$V191*$N191,0)</f>
        <v>0</v>
      </c>
      <c r="BX191" s="93">
        <f>IF(AND($T191=1,BX$5&lt;=$H191),INDEX(Mortality!$B$4:$E$64,MATCH($D191+BX$5-1,Mortality!$A$4:$A$64,0),$U191)*$V191*$N191,0)</f>
        <v>0</v>
      </c>
      <c r="BY191" s="93">
        <f>IF(AND($T191=1,BY$5&lt;=$H191),INDEX(Mortality!$B$4:$E$64,MATCH($D191+BY$5-1,Mortality!$A$4:$A$64,0),$U191)*$V191*$N191,0)</f>
        <v>0</v>
      </c>
      <c r="BZ191" s="93">
        <f>IF(AND($T191=1,BZ$5&lt;=$H191),INDEX(Mortality!$B$4:$E$64,MATCH($D191+BZ$5-1,Mortality!$A$4:$A$64,0),$U191)*$V191*$N191,0)</f>
        <v>0</v>
      </c>
      <c r="CA191" s="93">
        <f>IF(AND($T191=1,CA$5&lt;=$H191),INDEX(Mortality!$B$4:$E$64,MATCH($D191+CA$5-1,Mortality!$A$4:$A$64,0),$U191)*$V191*$N191,0)</f>
        <v>0</v>
      </c>
      <c r="CB191" s="93">
        <f>IF(AND($T191=1,CB$5&lt;=$H191),INDEX(Mortality!$B$4:$E$64,MATCH($D191+CB$5-1,Mortality!$A$4:$A$64,0),$U191)*$V191*$N191,0)</f>
        <v>0</v>
      </c>
      <c r="CC191" s="93">
        <f>IF(AND($T191=1,CC$5&lt;=$H191),INDEX(Mortality!$B$4:$E$64,MATCH($D191+CC$5-1,Mortality!$A$4:$A$64,0),$U191)*$V191*$N191,0)</f>
        <v>0</v>
      </c>
      <c r="CD191" s="93">
        <f>IF(AND($T191=1,CD$5&lt;=$H191),INDEX(Mortality!$B$4:$E$64,MATCH($D191+CD$5-1,Mortality!$A$4:$A$64,0),$U191)*$V191*$N191,0)</f>
        <v>0</v>
      </c>
      <c r="CE191" s="93">
        <f>IF(AND($T191=1,CE$5&lt;=$H191),INDEX(Mortality!$B$4:$E$64,MATCH($D191+CE$5-1,Mortality!$A$4:$A$64,0),$U191)*$V191*$N191,0)</f>
        <v>0</v>
      </c>
      <c r="CF191" s="93">
        <f>IF(AND($T191=1,CF$5&lt;=$H191),INDEX(Mortality!$B$4:$E$64,MATCH($D191+CF$5-1,Mortality!$A$4:$A$64,0),$U191)*$V191*$N191,0)</f>
        <v>0</v>
      </c>
      <c r="CG191" s="93">
        <f>IF(AND($T191=1,CG$5&lt;=$H191),INDEX(Mortality!$B$4:$E$64,MATCH($D191+CG$5-1,Mortality!$A$4:$A$64,0),$U191)*$V191*$N191,0)</f>
        <v>0</v>
      </c>
      <c r="CH191" s="94">
        <f>IF(AND($T191=1,CH$5&lt;=$H191),INDEX(Mortality!$B$4:$E$64,MATCH($D191+CH$5-1,Mortality!$A$4:$A$64,0),$U191)*$V191*$N191,0)</f>
        <v>0</v>
      </c>
      <c r="CI191" s="26"/>
      <c r="CJ191" s="419">
        <f t="shared" si="71"/>
        <v>0</v>
      </c>
      <c r="CK191" s="93">
        <f>IF(AND($T191=1,CK$5&lt;=$H191),CJ191*(1-AU191)*(1-MIN(1,MAX(Assumptions!$C$27,Assumptions!$C$13*Assumptions!$C$28^(CJ$5-1))*$O191)),0)</f>
        <v>0</v>
      </c>
      <c r="CL191" s="93">
        <f>IF(AND($T191=1,CL$5&lt;=$H191),CK191*(1-AV191)*(1-MIN(1,MAX(Assumptions!$C$27,Assumptions!$C$13*Assumptions!$C$28^(CK$5-1))*$O191)),0)</f>
        <v>0</v>
      </c>
      <c r="CM191" s="93">
        <f>IF(AND($T191=1,CM$5&lt;=$H191),CL191*(1-AW191)*(1-MIN(1,MAX(Assumptions!$C$27,Assumptions!$C$13*Assumptions!$C$28^(CL$5-1))*$O191)),0)</f>
        <v>0</v>
      </c>
      <c r="CN191" s="93">
        <f>IF(AND($T191=1,CN$5&lt;=$H191),CM191*(1-AX191)*(1-MIN(1,MAX(Assumptions!$C$27,Assumptions!$C$13*Assumptions!$C$28^(CM$5-1))*$O191)),0)</f>
        <v>0</v>
      </c>
      <c r="CO191" s="93">
        <f>IF(AND($T191=1,CO$5&lt;=$H191),CN191*(1-AY191)*(1-MIN(1,MAX(Assumptions!$C$27,Assumptions!$C$13*Assumptions!$C$28^(CN$5-1))*$O191)),0)</f>
        <v>0</v>
      </c>
      <c r="CP191" s="93">
        <f>IF(AND($T191=1,CP$5&lt;=$H191),CO191*(1-AZ191)*(1-MIN(1,MAX(Assumptions!$C$27,Assumptions!$C$13*Assumptions!$C$28^(CO$5-1))*$O191)),0)</f>
        <v>0</v>
      </c>
      <c r="CQ191" s="93">
        <f>IF(AND($T191=1,CQ$5&lt;=$H191),CP191*(1-BA191)*(1-MIN(1,MAX(Assumptions!$C$27,Assumptions!$C$13*Assumptions!$C$28^(CP$5-1))*$O191)),0)</f>
        <v>0</v>
      </c>
      <c r="CR191" s="93">
        <f>IF(AND($T191=1,CR$5&lt;=$H191),CQ191*(1-BB191)*(1-MIN(1,MAX(Assumptions!$C$27,Assumptions!$C$13*Assumptions!$C$28^(CQ$5-1))*$O191)),0)</f>
        <v>0</v>
      </c>
      <c r="CS191" s="93">
        <f>IF(AND($T191=1,CS$5&lt;=$H191),CR191*(1-BC191)*(1-MIN(1,MAX(Assumptions!$C$27,Assumptions!$C$13*Assumptions!$C$28^(CR$5-1))*$O191)),0)</f>
        <v>0</v>
      </c>
      <c r="CT191" s="93">
        <f>IF(AND($T191=1,CT$5&lt;=$H191),CS191*(1-BD191)*(1-MIN(1,MAX(Assumptions!$C$27,Assumptions!$C$13*Assumptions!$C$28^(CS$5-1))*$O191)),0)</f>
        <v>0</v>
      </c>
      <c r="CU191" s="93">
        <f>IF(AND($T191=1,CU$5&lt;=$H191),CT191*(1-BE191)*(1-MIN(1,MAX(Assumptions!$C$27,Assumptions!$C$13*Assumptions!$C$28^(CT$5-1))*$O191)),0)</f>
        <v>0</v>
      </c>
      <c r="CV191" s="93">
        <f>IF(AND($T191=1,CV$5&lt;=$H191),CU191*(1-BF191)*(1-MIN(1,MAX(Assumptions!$C$27,Assumptions!$C$13*Assumptions!$C$28^(CU$5-1))*$O191)),0)</f>
        <v>0</v>
      </c>
      <c r="CW191" s="93">
        <f>IF(AND($T191=1,CW$5&lt;=$H191),CV191*(1-BG191)*(1-MIN(1,MAX(Assumptions!$C$27,Assumptions!$C$13*Assumptions!$C$28^(CV$5-1))*$O191)),0)</f>
        <v>0</v>
      </c>
      <c r="CX191" s="93">
        <f>IF(AND($T191=1,CX$5&lt;=$H191),CW191*(1-BH191)*(1-MIN(1,MAX(Assumptions!$C$27,Assumptions!$C$13*Assumptions!$C$28^(CW$5-1))*$O191)),0)</f>
        <v>0</v>
      </c>
      <c r="CY191" s="93">
        <f>IF(AND($T191=1,CY$5&lt;=$H191),CX191*(1-BI191)*(1-MIN(1,MAX(Assumptions!$C$27,Assumptions!$C$13*Assumptions!$C$28^(CX$5-1))*$O191)),0)</f>
        <v>0</v>
      </c>
      <c r="CZ191" s="93">
        <f>IF(AND($T191=1,CZ$5&lt;=$H191),CY191*(1-BJ191)*(1-MIN(1,MAX(Assumptions!$C$27,Assumptions!$C$13*Assumptions!$C$28^(CY$5-1))*$O191)),0)</f>
        <v>0</v>
      </c>
      <c r="DA191" s="93">
        <f>IF(AND($T191=1,DA$5&lt;=$H191),CZ191*(1-BK191)*(1-MIN(1,MAX(Assumptions!$C$27,Assumptions!$C$13*Assumptions!$C$28^(CZ$5-1))*$O191)),0)</f>
        <v>0</v>
      </c>
      <c r="DB191" s="93">
        <f>IF(AND($T191=1,DB$5&lt;=$H191),DA191*(1-BL191)*(1-MIN(1,MAX(Assumptions!$C$27,Assumptions!$C$13*Assumptions!$C$28^(DA$5-1))*$O191)),0)</f>
        <v>0</v>
      </c>
      <c r="DC191" s="93">
        <f>IF(AND($T191=1,DC$5&lt;=$H191),DB191*(1-BM191)*(1-MIN(1,MAX(Assumptions!$C$27,Assumptions!$C$13*Assumptions!$C$28^(DB$5-1))*$O191)),0)</f>
        <v>0</v>
      </c>
      <c r="DD191" s="93">
        <f>IF(AND($T191=1,DD$5&lt;=$H191),DC191*(1-BN191)*(1-MIN(1,MAX(Assumptions!$C$27,Assumptions!$C$13*Assumptions!$C$28^(DC$5-1))*$O191)),0)</f>
        <v>0</v>
      </c>
      <c r="DE191" s="93">
        <f>IF(AND($T191=1,DE$5&lt;=$H191),DD191*(1-BO191)*(1-MIN(1,MAX(Assumptions!$C$27,Assumptions!$C$13*Assumptions!$C$28^(DD$5-1))*$O191)),0)</f>
        <v>0</v>
      </c>
      <c r="DF191" s="93">
        <f>IF(AND($T191=1,DF$5&lt;=$H191),DE191*(1-BP191)*(1-MIN(1,MAX(Assumptions!$C$27,Assumptions!$C$13*Assumptions!$C$28^(DE$5-1))*$O191)),0)</f>
        <v>0</v>
      </c>
      <c r="DG191" s="93">
        <f>IF(AND($T191=1,DG$5&lt;=$H191),DF191*(1-BQ191)*(1-MIN(1,MAX(Assumptions!$C$27,Assumptions!$C$13*Assumptions!$C$28^(DF$5-1))*$O191)),0)</f>
        <v>0</v>
      </c>
      <c r="DH191" s="93">
        <f>IF(AND($T191=1,DH$5&lt;=$H191),DG191*(1-BR191)*(1-MIN(1,MAX(Assumptions!$C$27,Assumptions!$C$13*Assumptions!$C$28^(DG$5-1))*$O191)),0)</f>
        <v>0</v>
      </c>
      <c r="DI191" s="93">
        <f>IF(AND($T191=1,DI$5&lt;=$H191),DH191*(1-BS191)*(1-MIN(1,MAX(Assumptions!$C$27,Assumptions!$C$13*Assumptions!$C$28^(DH$5-1))*$O191)),0)</f>
        <v>0</v>
      </c>
      <c r="DJ191" s="93">
        <f>IF(AND($T191=1,DJ$5&lt;=$H191),DI191*(1-BT191)*(1-MIN(1,MAX(Assumptions!$C$27,Assumptions!$C$13*Assumptions!$C$28^(DI$5-1))*$O191)),0)</f>
        <v>0</v>
      </c>
      <c r="DK191" s="93">
        <f>IF(AND($T191=1,DK$5&lt;=$H191),DJ191*(1-BU191)*(1-MIN(1,MAX(Assumptions!$C$27,Assumptions!$C$13*Assumptions!$C$28^(DJ$5-1))*$O191)),0)</f>
        <v>0</v>
      </c>
      <c r="DL191" s="93">
        <f>IF(AND($T191=1,DL$5&lt;=$H191),DK191*(1-BV191)*(1-MIN(1,MAX(Assumptions!$C$27,Assumptions!$C$13*Assumptions!$C$28^(DK$5-1))*$O191)),0)</f>
        <v>0</v>
      </c>
      <c r="DM191" s="93">
        <f>IF(AND($T191=1,DM$5&lt;=$H191),DL191*(1-BW191)*(1-MIN(1,MAX(Assumptions!$C$27,Assumptions!$C$13*Assumptions!$C$28^(DL$5-1))*$O191)),0)</f>
        <v>0</v>
      </c>
      <c r="DN191" s="93">
        <f>IF(AND($T191=1,DN$5&lt;=$H191),DM191*(1-BX191)*(1-MIN(1,MAX(Assumptions!$C$27,Assumptions!$C$13*Assumptions!$C$28^(DM$5-1))*$O191)),0)</f>
        <v>0</v>
      </c>
      <c r="DO191" s="93">
        <f>IF(AND($T191=1,DO$5&lt;=$H191),DN191*(1-BY191)*(1-MIN(1,MAX(Assumptions!$C$27,Assumptions!$C$13*Assumptions!$C$28^(DN$5-1))*$O191)),0)</f>
        <v>0</v>
      </c>
      <c r="DP191" s="93">
        <f>IF(AND($T191=1,DP$5&lt;=$H191),DO191*(1-BZ191)*(1-MIN(1,MAX(Assumptions!$C$27,Assumptions!$C$13*Assumptions!$C$28^(DO$5-1))*$O191)),0)</f>
        <v>0</v>
      </c>
      <c r="DQ191" s="93">
        <f>IF(AND($T191=1,DQ$5&lt;=$H191),DP191*(1-CA191)*(1-MIN(1,MAX(Assumptions!$C$27,Assumptions!$C$13*Assumptions!$C$28^(DP$5-1))*$O191)),0)</f>
        <v>0</v>
      </c>
      <c r="DR191" s="93">
        <f>IF(AND($T191=1,DR$5&lt;=$H191),DQ191*(1-CB191)*(1-MIN(1,MAX(Assumptions!$C$27,Assumptions!$C$13*Assumptions!$C$28^(DQ$5-1))*$O191)),0)</f>
        <v>0</v>
      </c>
      <c r="DS191" s="93">
        <f>IF(AND($T191=1,DS$5&lt;=$H191),DR191*(1-CC191)*(1-MIN(1,MAX(Assumptions!$C$27,Assumptions!$C$13*Assumptions!$C$28^(DR$5-1))*$O191)),0)</f>
        <v>0</v>
      </c>
      <c r="DT191" s="93">
        <f>IF(AND($T191=1,DT$5&lt;=$H191),DS191*(1-CD191)*(1-MIN(1,MAX(Assumptions!$C$27,Assumptions!$C$13*Assumptions!$C$28^(DS$5-1))*$O191)),0)</f>
        <v>0</v>
      </c>
      <c r="DU191" s="93">
        <f>IF(AND($T191=1,DU$5&lt;=$H191),DT191*(1-CE191)*(1-MIN(1,MAX(Assumptions!$C$27,Assumptions!$C$13*Assumptions!$C$28^(DT$5-1))*$O191)),0)</f>
        <v>0</v>
      </c>
      <c r="DV191" s="93">
        <f>IF(AND($T191=1,DV$5&lt;=$H191),DU191*(1-CF191)*(1-MIN(1,MAX(Assumptions!$C$27,Assumptions!$C$13*Assumptions!$C$28^(DU$5-1))*$O191)),0)</f>
        <v>0</v>
      </c>
      <c r="DW191" s="94">
        <f>IF(AND($T191=1,DW$5&lt;=$H191),DV191*(1-CG191)*(1-MIN(1,MAX(Assumptions!$C$27,Assumptions!$C$13*Assumptions!$C$28^(DV$5-1))*$O191)),0)</f>
        <v>0</v>
      </c>
      <c r="DX191" s="26"/>
      <c r="DY191" s="399">
        <f>'Policy Data'!K165</f>
        <v>3</v>
      </c>
      <c r="DZ191" s="100">
        <f>'Policy Data'!L165</f>
        <v>0.8054</v>
      </c>
      <c r="EA191" s="100">
        <f>'Policy Data'!N165</f>
        <v>5.8409999999999998E-3</v>
      </c>
      <c r="EB191" s="93" cm="1">
        <f t="array" ref="EB191">IFERROR(DZ191*INDEX(Mortality!$B$4:$E$64,MATCH(D191+DY191-1,Mortality!$A$4:$A$64,0),U191)*V191,0)</f>
        <v>6.8540383286360062E-3</v>
      </c>
      <c r="EC191" s="100">
        <f>'Policy Data'!O165</f>
        <v>0</v>
      </c>
      <c r="ED191" s="400">
        <f>'Policy Data'!Q165</f>
        <v>0</v>
      </c>
    </row>
    <row r="192" spans="1:134" x14ac:dyDescent="0.3">
      <c r="A192" s="399" t="str">
        <f>'Policy Data'!A166</f>
        <v>POL100162</v>
      </c>
      <c r="B192" s="26" t="s">
        <v>426</v>
      </c>
      <c r="C192" s="100" t="str">
        <f>'Policy Data'!B166</f>
        <v>Term Life</v>
      </c>
      <c r="D192" s="100">
        <f>'Policy Data'!C166</f>
        <v>47</v>
      </c>
      <c r="E192" s="100" t="str">
        <f>'Policy Data'!D166</f>
        <v>Male</v>
      </c>
      <c r="F192" s="100" t="str">
        <f>'Policy Data'!E166</f>
        <v>Smoker</v>
      </c>
      <c r="G192" s="100" t="str">
        <f>'Policy Data'!F166</f>
        <v>Standard</v>
      </c>
      <c r="H192" s="100">
        <f>'Policy Data'!G166</f>
        <v>25</v>
      </c>
      <c r="I192" s="279">
        <f>'Policy Data'!H166</f>
        <v>250000</v>
      </c>
      <c r="J192" s="100" t="str">
        <f>'Policy Data'!I166</f>
        <v>Monthly</v>
      </c>
      <c r="K192" s="100" t="str">
        <f>'Policy Data'!J166</f>
        <v>Bancassurance</v>
      </c>
      <c r="L192" s="26" t="s">
        <v>389</v>
      </c>
      <c r="M192" s="106">
        <f>'Policy Data'!R166</f>
        <v>1598.92</v>
      </c>
      <c r="N192" s="415">
        <f>Assumptions!$C$21</f>
        <v>1</v>
      </c>
      <c r="O192" s="415">
        <f>Assumptions!$C$22</f>
        <v>1</v>
      </c>
      <c r="P192" s="415">
        <f>Assumptions!$C$23</f>
        <v>1</v>
      </c>
      <c r="Q192" s="416">
        <f>Assumptions!$C$24</f>
        <v>0</v>
      </c>
      <c r="R192" s="416">
        <f>Assumptions!$C$6+Assumptions!$C$25</f>
        <v>3.5000000000000003E-2</v>
      </c>
      <c r="S192" s="416">
        <f>Assumptions!$C$15</f>
        <v>1.1000000000000001E-3</v>
      </c>
      <c r="T192" s="26">
        <f t="shared" si="54"/>
        <v>1</v>
      </c>
      <c r="U192" s="26">
        <f t="shared" si="55"/>
        <v>4</v>
      </c>
      <c r="V192" s="389">
        <f>IF($G192="Preferred",Assumptions!$C$30,IF($G192="Rated",Assumptions!$C$31,1))</f>
        <v>1</v>
      </c>
      <c r="W192" s="390">
        <f>IF($K192="Direct",Assumptions!$C$32,IF($K192="Broker",Assumptions!$C$33,IF($K192="Bancassurance",Assumptions!$C$34,Assumptions!$C$11)))+$Q192</f>
        <v>0.2</v>
      </c>
      <c r="X192" s="390">
        <f>Assumptions!$C$12+$Q192</f>
        <v>0.05</v>
      </c>
      <c r="Y192" s="131">
        <f>MIN($I192,Assumptions!$C$14)</f>
        <v>250000</v>
      </c>
      <c r="Z192" s="131">
        <f>MAX($I192-Assumptions!$C$14,0)</f>
        <v>0</v>
      </c>
      <c r="AA192" s="389">
        <f t="shared" si="56"/>
        <v>9.0763672576938514</v>
      </c>
      <c r="AB192" s="389">
        <f t="shared" si="57"/>
        <v>6.7296821661324488E-2</v>
      </c>
      <c r="AC192" s="389">
        <f>IF($T192=1,SUMPRODUCT($CJ192:$DW192,(1+Assumptions!$C$5)^($CJ$5:$DW$5-1),(1+$R192)^(-$CJ$5:$DW$5)),0)</f>
        <v>12.894929253433984</v>
      </c>
      <c r="AD192" s="389">
        <f t="shared" si="58"/>
        <v>0.59874589911657661</v>
      </c>
      <c r="AE192" s="131">
        <f>IF($T192=1,$AB192*$Y192+(Assumptions!$C$9/(1+$R192)+Assumptions!$C$10*$AC192)*$P192+$S192*$Z192*$AA192,0)</f>
        <v>20530.655068477903</v>
      </c>
      <c r="AF192" s="131">
        <f>IF($T192=1,IF($AA192-$AD192-Assumptions!$C$16*$AA192&gt;0,$AE192/($AA192-$AD192-Assumptions!$C$16*$AA192)*IF($J192="Monthly",1+Assumptions!$C$29,1),"n.a."),"")</f>
        <v>2728.0580589507981</v>
      </c>
      <c r="AG192" s="131">
        <f t="shared" si="59"/>
        <v>1598.92</v>
      </c>
      <c r="AH192" s="131">
        <f t="shared" si="60"/>
        <v>14512.385135671853</v>
      </c>
      <c r="AI192" s="131">
        <f t="shared" si="61"/>
        <v>-6975.6167258215246</v>
      </c>
      <c r="AJ192" s="390">
        <f t="shared" si="62"/>
        <v>-0.48066645562453142</v>
      </c>
      <c r="AK192" s="389">
        <f t="shared" si="63"/>
        <v>0.58610189572539351</v>
      </c>
      <c r="AL192" s="131">
        <f t="shared" si="64"/>
        <v>0</v>
      </c>
      <c r="AM192" s="131">
        <f t="shared" si="65"/>
        <v>0</v>
      </c>
      <c r="AN192" s="131">
        <f t="shared" si="66"/>
        <v>0</v>
      </c>
      <c r="AO192" s="131">
        <f t="shared" si="67"/>
        <v>-6975.6167258215246</v>
      </c>
      <c r="AP192" s="26" t="str">
        <f t="shared" si="68"/>
        <v>40-49</v>
      </c>
      <c r="AQ192" s="26" t="str">
        <f t="shared" si="69"/>
        <v>Up to 250k</v>
      </c>
      <c r="AR192" s="26" t="str">
        <f>IF($T192=1,IF($AI192&lt;0,"Loss-making",IF($AJ192&lt;Assumptions!$C$16-0.00001,"Below target","At/above target")),"Excluded")</f>
        <v>Loss-making</v>
      </c>
      <c r="AS192" s="103">
        <f t="shared" si="70"/>
        <v>-6975.6165338215242</v>
      </c>
      <c r="AT192" s="26"/>
      <c r="AU192" s="419">
        <f>IF(AND($T192=1,AU$5&lt;=$H192),INDEX(Mortality!$B$4:$E$64,MATCH($D192+AU$5-1,Mortality!$A$4:$A$64,0),$U192)*$V192*$N192,0)</f>
        <v>3.3268620555703902E-3</v>
      </c>
      <c r="AV192" s="93">
        <f>IF(AND($T192=1,AV$5&lt;=$H192),INDEX(Mortality!$B$4:$E$64,MATCH($D192+AV$5-1,Mortality!$A$4:$A$64,0),$U192)*$V192*$N192,0)</f>
        <v>3.60394664073793E-3</v>
      </c>
      <c r="AW192" s="93">
        <f>IF(AND($T192=1,AW$5&lt;=$H192),INDEX(Mortality!$B$4:$E$64,MATCH($D192+AW$5-1,Mortality!$A$4:$A$64,0),$U192)*$V192*$N192,0)</f>
        <v>3.9041087885020101E-3</v>
      </c>
      <c r="AX192" s="93">
        <f>IF(AND($T192=1,AX$5&lt;=$H192),INDEX(Mortality!$B$4:$E$64,MATCH($D192+AX$5-1,Mortality!$A$4:$A$64,0),$U192)*$V192*$N192,0)</f>
        <v>4.2292705613803799E-3</v>
      </c>
      <c r="AY192" s="93">
        <f>IF(AND($T192=1,AY$5&lt;=$H192),INDEX(Mortality!$B$4:$E$64,MATCH($D192+AY$5-1,Mortality!$A$4:$A$64,0),$U192)*$V192*$N192,0)</f>
        <v>4.5815141048417803E-3</v>
      </c>
      <c r="AZ192" s="93">
        <f>IF(AND($T192=1,AZ$5&lt;=$H192),INDEX(Mortality!$B$4:$E$64,MATCH($D192+AZ$5-1,Mortality!$A$4:$A$64,0),$U192)*$V192*$N192,0)</f>
        <v>4.9630949801455103E-3</v>
      </c>
      <c r="BA192" s="93">
        <f>IF(AND($T192=1,BA$5&lt;=$H192),INDEX(Mortality!$B$4:$E$64,MATCH($D192+BA$5-1,Mortality!$A$4:$A$64,0),$U192)*$V192*$N192,0)</f>
        <v>5.37645660763414E-3</v>
      </c>
      <c r="BB192" s="93">
        <f>IF(AND($T192=1,BB$5&lt;=$H192),INDEX(Mortality!$B$4:$E$64,MATCH($D192+BB$5-1,Mortality!$A$4:$A$64,0),$U192)*$V192*$N192,0)</f>
        <v>5.8242459129656402E-3</v>
      </c>
      <c r="BC192" s="93">
        <f>IF(AND($T192=1,BC$5&lt;=$H192),INDEX(Mortality!$B$4:$E$64,MATCH($D192+BC$5-1,Mortality!$A$4:$A$64,0),$U192)*$V192*$N192,0)</f>
        <v>6.3093302764744104E-3</v>
      </c>
      <c r="BD192" s="93">
        <f>IF(AND($T192=1,BD$5&lt;=$H192),INDEX(Mortality!$B$4:$E$64,MATCH($D192+BD$5-1,Mortality!$A$4:$A$64,0),$U192)*$V192*$N192,0)</f>
        <v>6.8348158941948E-3</v>
      </c>
      <c r="BE192" s="93">
        <f>IF(AND($T192=1,BE$5&lt;=$H192),INDEX(Mortality!$B$4:$E$64,MATCH($D192+BE$5-1,Mortality!$A$4:$A$64,0),$U192)*$V192*$N192,0)</f>
        <v>7.4040676681204802E-3</v>
      </c>
      <c r="BF192" s="93">
        <f>IF(AND($T192=1,BF$5&lt;=$H192),INDEX(Mortality!$B$4:$E$64,MATCH($D192+BF$5-1,Mortality!$A$4:$A$64,0),$U192)*$V192*$N192,0)</f>
        <v>8.0207307530652094E-3</v>
      </c>
      <c r="BG192" s="93">
        <f>IF(AND($T192=1,BG$5&lt;=$H192),INDEX(Mortality!$B$4:$E$64,MATCH($D192+BG$5-1,Mortality!$A$4:$A$64,0),$U192)*$V192*$N192,0)</f>
        <v>8.6887538980983704E-3</v>
      </c>
      <c r="BH192" s="93">
        <f>IF(AND($T192=1,BH$5&lt;=$H192),INDEX(Mortality!$B$4:$E$64,MATCH($D192+BH$5-1,Mortality!$A$4:$A$64,0),$U192)*$V192*$N192,0)</f>
        <v>9.4124147320203497E-3</v>
      </c>
      <c r="BI192" s="93">
        <f>IF(AND($T192=1,BI$5&lt;=$H192),INDEX(Mortality!$B$4:$E$64,MATCH($D192+BI$5-1,Mortality!$A$4:$A$64,0),$U192)*$V192*$N192,0)</f>
        <v>1.01963471547909E-2</v>
      </c>
      <c r="BJ192" s="93">
        <f>IF(AND($T192=1,BJ$5&lt;=$H192),INDEX(Mortality!$B$4:$E$64,MATCH($D192+BJ$5-1,Mortality!$A$4:$A$64,0),$U192)*$V192*$N192,0)</f>
        <v>1.1045571010309301E-2</v>
      </c>
      <c r="BK192" s="93">
        <f>IF(AND($T192=1,BK$5&lt;=$H192),INDEX(Mortality!$B$4:$E$64,MATCH($D192+BK$5-1,Mortality!$A$4:$A$64,0),$U192)*$V192*$N192,0)</f>
        <v>1.19655242305535E-2</v>
      </c>
      <c r="BL192" s="93">
        <f>IF(AND($T192=1,BL$5&lt;=$H192),INDEX(Mortality!$B$4:$E$64,MATCH($D192+BL$5-1,Mortality!$A$4:$A$64,0),$U192)*$V192*$N192,0)</f>
        <v>1.2962097656909999E-2</v>
      </c>
      <c r="BM192" s="93">
        <f>IF(AND($T192=1,BM$5&lt;=$H192),INDEX(Mortality!$B$4:$E$64,MATCH($D192+BM$5-1,Mortality!$A$4:$A$64,0),$U192)*$V192*$N192,0)</f>
        <v>1.4041672761670501E-2</v>
      </c>
      <c r="BN192" s="93">
        <f>IF(AND($T192=1,BN$5&lt;=$H192),INDEX(Mortality!$B$4:$E$64,MATCH($D192+BN$5-1,Mortality!$A$4:$A$64,0),$U192)*$V192*$N192,0)</f>
        <v>1.52111625112414E-2</v>
      </c>
      <c r="BO192" s="93">
        <f>IF(AND($T192=1,BO$5&lt;=$H192),INDEX(Mortality!$B$4:$E$64,MATCH($D192+BO$5-1,Mortality!$A$4:$A$64,0),$U192)*$V192*$N192,0)</f>
        <v>1.6478055632729902E-2</v>
      </c>
      <c r="BP192" s="93">
        <f>IF(AND($T192=1,BP$5&lt;=$H192),INDEX(Mortality!$B$4:$E$64,MATCH($D192+BP$5-1,Mortality!$A$4:$A$64,0),$U192)*$V192*$N192,0)</f>
        <v>1.7850464567364801E-2</v>
      </c>
      <c r="BQ192" s="93">
        <f>IF(AND($T192=1,BQ$5&lt;=$H192),INDEX(Mortality!$B$4:$E$64,MATCH($D192+BQ$5-1,Mortality!$A$4:$A$64,0),$U192)*$V192*$N192,0)</f>
        <v>1.93371774178164E-2</v>
      </c>
      <c r="BR192" s="93">
        <f>IF(AND($T192=1,BR$5&lt;=$H192),INDEX(Mortality!$B$4:$E$64,MATCH($D192+BR$5-1,Mortality!$A$4:$A$64,0),$U192)*$V192*$N192,0)</f>
        <v>2.0947714222056699E-2</v>
      </c>
      <c r="BS192" s="93">
        <f>IF(AND($T192=1,BS$5&lt;=$H192),INDEX(Mortality!$B$4:$E$64,MATCH($D192+BS$5-1,Mortality!$A$4:$A$64,0),$U192)*$V192*$N192,0)</f>
        <v>2.2692387914104901E-2</v>
      </c>
      <c r="BT192" s="93">
        <f>IF(AND($T192=1,BT$5&lt;=$H192),INDEX(Mortality!$B$4:$E$64,MATCH($D192+BT$5-1,Mortality!$A$4:$A$64,0),$U192)*$V192*$N192,0)</f>
        <v>0</v>
      </c>
      <c r="BU192" s="93">
        <f>IF(AND($T192=1,BU$5&lt;=$H192),INDEX(Mortality!$B$4:$E$64,MATCH($D192+BU$5-1,Mortality!$A$4:$A$64,0),$U192)*$V192*$N192,0)</f>
        <v>0</v>
      </c>
      <c r="BV192" s="93">
        <f>IF(AND($T192=1,BV$5&lt;=$H192),INDEX(Mortality!$B$4:$E$64,MATCH($D192+BV$5-1,Mortality!$A$4:$A$64,0),$U192)*$V192*$N192,0)</f>
        <v>0</v>
      </c>
      <c r="BW192" s="93">
        <f>IF(AND($T192=1,BW$5&lt;=$H192),INDEX(Mortality!$B$4:$E$64,MATCH($D192+BW$5-1,Mortality!$A$4:$A$64,0),$U192)*$V192*$N192,0)</f>
        <v>0</v>
      </c>
      <c r="BX192" s="93">
        <f>IF(AND($T192=1,BX$5&lt;=$H192),INDEX(Mortality!$B$4:$E$64,MATCH($D192+BX$5-1,Mortality!$A$4:$A$64,0),$U192)*$V192*$N192,0)</f>
        <v>0</v>
      </c>
      <c r="BY192" s="93">
        <f>IF(AND($T192=1,BY$5&lt;=$H192),INDEX(Mortality!$B$4:$E$64,MATCH($D192+BY$5-1,Mortality!$A$4:$A$64,0),$U192)*$V192*$N192,0)</f>
        <v>0</v>
      </c>
      <c r="BZ192" s="93">
        <f>IF(AND($T192=1,BZ$5&lt;=$H192),INDEX(Mortality!$B$4:$E$64,MATCH($D192+BZ$5-1,Mortality!$A$4:$A$64,0),$U192)*$V192*$N192,0)</f>
        <v>0</v>
      </c>
      <c r="CA192" s="93">
        <f>IF(AND($T192=1,CA$5&lt;=$H192),INDEX(Mortality!$B$4:$E$64,MATCH($D192+CA$5-1,Mortality!$A$4:$A$64,0),$U192)*$V192*$N192,0)</f>
        <v>0</v>
      </c>
      <c r="CB192" s="93">
        <f>IF(AND($T192=1,CB$5&lt;=$H192),INDEX(Mortality!$B$4:$E$64,MATCH($D192+CB$5-1,Mortality!$A$4:$A$64,0),$U192)*$V192*$N192,0)</f>
        <v>0</v>
      </c>
      <c r="CC192" s="93">
        <f>IF(AND($T192=1,CC$5&lt;=$H192),INDEX(Mortality!$B$4:$E$64,MATCH($D192+CC$5-1,Mortality!$A$4:$A$64,0),$U192)*$V192*$N192,0)</f>
        <v>0</v>
      </c>
      <c r="CD192" s="93">
        <f>IF(AND($T192=1,CD$5&lt;=$H192),INDEX(Mortality!$B$4:$E$64,MATCH($D192+CD$5-1,Mortality!$A$4:$A$64,0),$U192)*$V192*$N192,0)</f>
        <v>0</v>
      </c>
      <c r="CE192" s="93">
        <f>IF(AND($T192=1,CE$5&lt;=$H192),INDEX(Mortality!$B$4:$E$64,MATCH($D192+CE$5-1,Mortality!$A$4:$A$64,0),$U192)*$V192*$N192,0)</f>
        <v>0</v>
      </c>
      <c r="CF192" s="93">
        <f>IF(AND($T192=1,CF$5&lt;=$H192),INDEX(Mortality!$B$4:$E$64,MATCH($D192+CF$5-1,Mortality!$A$4:$A$64,0),$U192)*$V192*$N192,0)</f>
        <v>0</v>
      </c>
      <c r="CG192" s="93">
        <f>IF(AND($T192=1,CG$5&lt;=$H192),INDEX(Mortality!$B$4:$E$64,MATCH($D192+CG$5-1,Mortality!$A$4:$A$64,0),$U192)*$V192*$N192,0)</f>
        <v>0</v>
      </c>
      <c r="CH192" s="94">
        <f>IF(AND($T192=1,CH$5&lt;=$H192),INDEX(Mortality!$B$4:$E$64,MATCH($D192+CH$5-1,Mortality!$A$4:$A$64,0),$U192)*$V192*$N192,0)</f>
        <v>0</v>
      </c>
      <c r="CI192" s="26"/>
      <c r="CJ192" s="419">
        <f t="shared" si="71"/>
        <v>1</v>
      </c>
      <c r="CK192" s="93">
        <f>IF(AND($T192=1,CK$5&lt;=$H192),CJ192*(1-AU192)*(1-MIN(1,MAX(Assumptions!$C$27,Assumptions!$C$13*Assumptions!$C$28^(CJ$5-1))*$O192)),0)</f>
        <v>0.87707236139109801</v>
      </c>
      <c r="CL192" s="93">
        <f>IF(AND($T192=1,CL$5&lt;=$H192),CK192*(1-AV192)*(1-MIN(1,MAX(Assumptions!$C$27,Assumptions!$C$13*Assumptions!$C$28^(CK$5-1))*$O192)),0)</f>
        <v>0.78477247258171945</v>
      </c>
      <c r="CM192" s="93">
        <f>IF(AND($T192=1,CM$5&lt;=$H192),CL192*(1-AW192)*(1-MIN(1,MAX(Assumptions!$C$27,Assumptions!$C$13*Assumptions!$C$28^(CL$5-1))*$O192)),0)</f>
        <v>0.7139344967788962</v>
      </c>
      <c r="CN192" s="93">
        <f>IF(AND($T192=1,CN$5&lt;=$H192),CM192*(1-AX192)*(1-MIN(1,MAX(Assumptions!$C$27,Assumptions!$C$13*Assumptions!$C$28^(CM$5-1))*$O192)),0)</f>
        <v>0.6585241882041375</v>
      </c>
      <c r="CO192" s="93">
        <f>IF(AND($T192=1,CO$5&lt;=$H192),CN192*(1-AY192)*(1-MIN(1,MAX(Assumptions!$C$27,Assumptions!$C$13*Assumptions!$C$28^(CN$5-1))*$O192)),0)</f>
        <v>0.6144456908193705</v>
      </c>
      <c r="CP192" s="93">
        <f>IF(AND($T192=1,CP$5&lt;=$H192),CO192*(1-AZ192)*(1-MIN(1,MAX(Assumptions!$C$27,Assumptions!$C$13*Assumptions!$C$28^(CO$5-1))*$O192)),0)</f>
        <v>0.57884257273258988</v>
      </c>
      <c r="CQ192" s="93">
        <f>IF(AND($T192=1,CQ$5&lt;=$H192),CP192*(1-BA192)*(1-MIN(1,MAX(Assumptions!$C$27,Assumptions!$C$13*Assumptions!$C$28^(CP$5-1))*$O192)),0)</f>
        <v>0.54967407548158487</v>
      </c>
      <c r="CR192" s="93">
        <f>IF(AND($T192=1,CR$5&lt;=$H192),CQ192*(1-BB192)*(1-MIN(1,MAX(Assumptions!$C$27,Assumptions!$C$13*Assumptions!$C$28^(CQ$5-1))*$O192)),0)</f>
        <v>0.52545024562114473</v>
      </c>
      <c r="CS192" s="93">
        <f>IF(AND($T192=1,CS$5&lt;=$H192),CR192*(1-BC192)*(1-MIN(1,MAX(Assumptions!$C$27,Assumptions!$C$13*Assumptions!$C$28^(CR$5-1))*$O192)),0)</f>
        <v>0.50506178543090152</v>
      </c>
      <c r="CT192" s="93">
        <f>IF(AND($T192=1,CT$5&lt;=$H192),CS192*(1-BD192)*(1-MIN(1,MAX(Assumptions!$C$27,Assumptions!$C$13*Assumptions!$C$28^(CS$5-1))*$O192)),0)</f>
        <v>0.48766802202504639</v>
      </c>
      <c r="CU192" s="93">
        <f>IF(AND($T192=1,CU$5&lt;=$H192),CT192*(1-BE192)*(1-MIN(1,MAX(Assumptions!$C$27,Assumptions!$C$13*Assumptions!$C$28^(CT$5-1))*$O192)),0)</f>
        <v>0.47262147599623261</v>
      </c>
      <c r="CV192" s="93">
        <f>IF(AND($T192=1,CV$5&lt;=$H192),CU192*(1-BF192)*(1-MIN(1,MAX(Assumptions!$C$27,Assumptions!$C$13*Assumptions!$C$28^(CU$5-1))*$O192)),0)</f>
        <v>0.45941602825133615</v>
      </c>
      <c r="CW192" s="93">
        <f>IF(AND($T192=1,CW$5&lt;=$H192),CV192*(1-BG192)*(1-MIN(1,MAX(Assumptions!$C$27,Assumptions!$C$13*Assumptions!$C$28^(CV$5-1))*$O192)),0)</f>
        <v>0.44631578993611809</v>
      </c>
      <c r="CX192" s="93">
        <f>IF(AND($T192=1,CX$5&lt;=$H192),CW192*(1-BH192)*(1-MIN(1,MAX(Assumptions!$C$27,Assumptions!$C$13*Assumptions!$C$28^(CW$5-1))*$O192)),0)</f>
        <v>0.43327258300739424</v>
      </c>
      <c r="CY192" s="93">
        <f>IF(AND($T192=1,CY$5&lt;=$H192),CX192*(1-BI192)*(1-MIN(1,MAX(Assumptions!$C$27,Assumptions!$C$13*Assumptions!$C$28^(CX$5-1))*$O192)),0)</f>
        <v>0.42027768963162992</v>
      </c>
      <c r="CZ192" s="93">
        <f>IF(AND($T192=1,CZ$5&lt;=$H192),CY192*(1-BJ192)*(1-MIN(1,MAX(Assumptions!$C$27,Assumptions!$C$13*Assumptions!$C$28^(CY$5-1))*$O192)),0)</f>
        <v>0.40732277291541991</v>
      </c>
      <c r="DA192" s="93">
        <f>IF(AND($T192=1,DA$5&lt;=$H192),CZ192*(1-BK192)*(1-MIN(1,MAX(Assumptions!$C$27,Assumptions!$C$13*Assumptions!$C$28^(CZ$5-1))*$O192)),0)</f>
        <v>0.3943999635583153</v>
      </c>
      <c r="DB192" s="93">
        <f>IF(AND($T192=1,DB$5&lt;=$H192),DA192*(1-BL192)*(1-MIN(1,MAX(Assumptions!$C$27,Assumptions!$C$13*Assumptions!$C$28^(DA$5-1))*$O192)),0)</f>
        <v>0.38150195846049484</v>
      </c>
      <c r="DC192" s="93">
        <f>IF(AND($T192=1,DC$5&lt;=$H192),DB192*(1-BM192)*(1-MIN(1,MAX(Assumptions!$C$27,Assumptions!$C$13*Assumptions!$C$28^(DB$5-1))*$O192)),0)</f>
        <v>0.36862213214581907</v>
      </c>
      <c r="DD192" s="93">
        <f>IF(AND($T192=1,DD$5&lt;=$H192),DC192*(1-BN192)*(1-MIN(1,MAX(Assumptions!$C$27,Assumptions!$C$13*Assumptions!$C$28^(DC$5-1))*$O192)),0)</f>
        <v>0.35575466176873854</v>
      </c>
      <c r="DE192" s="93">
        <f>IF(AND($T192=1,DE$5&lt;=$H192),DD192*(1-BO192)*(1-MIN(1,MAX(Assumptions!$C$27,Assumptions!$C$13*Assumptions!$C$28^(DD$5-1))*$O192)),0)</f>
        <v>0.34289466632730009</v>
      </c>
      <c r="DF192" s="93">
        <f>IF(AND($T192=1,DF$5&lt;=$H192),DE192*(1-BP192)*(1-MIN(1,MAX(Assumptions!$C$27,Assumptions!$C$13*Assumptions!$C$28^(DE$5-1))*$O192)),0)</f>
        <v>0.33003836049097246</v>
      </c>
      <c r="DG192" s="93">
        <f>IF(AND($T192=1,DG$5&lt;=$H192),DF192*(1-BQ192)*(1-MIN(1,MAX(Assumptions!$C$27,Assumptions!$C$13*Assumptions!$C$28^(DF$5-1))*$O192)),0)</f>
        <v>0.31718322315628383</v>
      </c>
      <c r="DH192" s="93">
        <f>IF(AND($T192=1,DH$5&lt;=$H192),DG192*(1-BR192)*(1-MIN(1,MAX(Assumptions!$C$27,Assumptions!$C$13*Assumptions!$C$28^(DG$5-1))*$O192)),0)</f>
        <v>0.30432818044874366</v>
      </c>
      <c r="DI192" s="93">
        <f>IF(AND($T192=1,DI$5&lt;=$H192),DH192*(1-BS192)*(1-MIN(1,MAX(Assumptions!$C$27,Assumptions!$C$13*Assumptions!$C$28^(DH$5-1))*$O192)),0)</f>
        <v>0</v>
      </c>
      <c r="DJ192" s="93">
        <f>IF(AND($T192=1,DJ$5&lt;=$H192),DI192*(1-BT192)*(1-MIN(1,MAX(Assumptions!$C$27,Assumptions!$C$13*Assumptions!$C$28^(DI$5-1))*$O192)),0)</f>
        <v>0</v>
      </c>
      <c r="DK192" s="93">
        <f>IF(AND($T192=1,DK$5&lt;=$H192),DJ192*(1-BU192)*(1-MIN(1,MAX(Assumptions!$C$27,Assumptions!$C$13*Assumptions!$C$28^(DJ$5-1))*$O192)),0)</f>
        <v>0</v>
      </c>
      <c r="DL192" s="93">
        <f>IF(AND($T192=1,DL$5&lt;=$H192),DK192*(1-BV192)*(1-MIN(1,MAX(Assumptions!$C$27,Assumptions!$C$13*Assumptions!$C$28^(DK$5-1))*$O192)),0)</f>
        <v>0</v>
      </c>
      <c r="DM192" s="93">
        <f>IF(AND($T192=1,DM$5&lt;=$H192),DL192*(1-BW192)*(1-MIN(1,MAX(Assumptions!$C$27,Assumptions!$C$13*Assumptions!$C$28^(DL$5-1))*$O192)),0)</f>
        <v>0</v>
      </c>
      <c r="DN192" s="93">
        <f>IF(AND($T192=1,DN$5&lt;=$H192),DM192*(1-BX192)*(1-MIN(1,MAX(Assumptions!$C$27,Assumptions!$C$13*Assumptions!$C$28^(DM$5-1))*$O192)),0)</f>
        <v>0</v>
      </c>
      <c r="DO192" s="93">
        <f>IF(AND($T192=1,DO$5&lt;=$H192),DN192*(1-BY192)*(1-MIN(1,MAX(Assumptions!$C$27,Assumptions!$C$13*Assumptions!$C$28^(DN$5-1))*$O192)),0)</f>
        <v>0</v>
      </c>
      <c r="DP192" s="93">
        <f>IF(AND($T192=1,DP$5&lt;=$H192),DO192*(1-BZ192)*(1-MIN(1,MAX(Assumptions!$C$27,Assumptions!$C$13*Assumptions!$C$28^(DO$5-1))*$O192)),0)</f>
        <v>0</v>
      </c>
      <c r="DQ192" s="93">
        <f>IF(AND($T192=1,DQ$5&lt;=$H192),DP192*(1-CA192)*(1-MIN(1,MAX(Assumptions!$C$27,Assumptions!$C$13*Assumptions!$C$28^(DP$5-1))*$O192)),0)</f>
        <v>0</v>
      </c>
      <c r="DR192" s="93">
        <f>IF(AND($T192=1,DR$5&lt;=$H192),DQ192*(1-CB192)*(1-MIN(1,MAX(Assumptions!$C$27,Assumptions!$C$13*Assumptions!$C$28^(DQ$5-1))*$O192)),0)</f>
        <v>0</v>
      </c>
      <c r="DS192" s="93">
        <f>IF(AND($T192=1,DS$5&lt;=$H192),DR192*(1-CC192)*(1-MIN(1,MAX(Assumptions!$C$27,Assumptions!$C$13*Assumptions!$C$28^(DR$5-1))*$O192)),0)</f>
        <v>0</v>
      </c>
      <c r="DT192" s="93">
        <f>IF(AND($T192=1,DT$5&lt;=$H192),DS192*(1-CD192)*(1-MIN(1,MAX(Assumptions!$C$27,Assumptions!$C$13*Assumptions!$C$28^(DS$5-1))*$O192)),0)</f>
        <v>0</v>
      </c>
      <c r="DU192" s="93">
        <f>IF(AND($T192=1,DU$5&lt;=$H192),DT192*(1-CE192)*(1-MIN(1,MAX(Assumptions!$C$27,Assumptions!$C$13*Assumptions!$C$28^(DT$5-1))*$O192)),0)</f>
        <v>0</v>
      </c>
      <c r="DV192" s="93">
        <f>IF(AND($T192=1,DV$5&lt;=$H192),DU192*(1-CF192)*(1-MIN(1,MAX(Assumptions!$C$27,Assumptions!$C$13*Assumptions!$C$28^(DU$5-1))*$O192)),0)</f>
        <v>0</v>
      </c>
      <c r="DW192" s="94">
        <f>IF(AND($T192=1,DW$5&lt;=$H192),DV192*(1-CG192)*(1-MIN(1,MAX(Assumptions!$C$27,Assumptions!$C$13*Assumptions!$C$28^(DV$5-1))*$O192)),0)</f>
        <v>0</v>
      </c>
      <c r="DX192" s="26"/>
      <c r="DY192" s="399">
        <f>'Policy Data'!K166</f>
        <v>1</v>
      </c>
      <c r="DZ192" s="100">
        <f>'Policy Data'!L166</f>
        <v>0.8528</v>
      </c>
      <c r="EA192" s="100">
        <f>'Policy Data'!N166</f>
        <v>2.8370000000000001E-3</v>
      </c>
      <c r="EB192" s="93" cm="1">
        <f t="array" ref="EB192">IFERROR(DZ192*INDEX(Mortality!$B$4:$E$64,MATCH(D192+DY192-1,Mortality!$A$4:$A$64,0),U192)*V192,0)</f>
        <v>2.8371479609904287E-3</v>
      </c>
      <c r="EC192" s="100">
        <f>'Policy Data'!O166</f>
        <v>0</v>
      </c>
      <c r="ED192" s="400">
        <f>'Policy Data'!Q166</f>
        <v>1</v>
      </c>
    </row>
    <row r="193" spans="1:134" x14ac:dyDescent="0.3">
      <c r="A193" s="399" t="str">
        <f>'Policy Data'!A167</f>
        <v>POL100163</v>
      </c>
      <c r="B193" s="26" t="s">
        <v>426</v>
      </c>
      <c r="C193" s="100" t="str">
        <f>'Policy Data'!B167</f>
        <v>Unit-Linked</v>
      </c>
      <c r="D193" s="100">
        <f>'Policy Data'!C167</f>
        <v>45</v>
      </c>
      <c r="E193" s="100" t="str">
        <f>'Policy Data'!D167</f>
        <v>Female</v>
      </c>
      <c r="F193" s="100" t="str">
        <f>'Policy Data'!E167</f>
        <v>Non-smoker</v>
      </c>
      <c r="G193" s="100" t="str">
        <f>'Policy Data'!F167</f>
        <v>Standard</v>
      </c>
      <c r="H193" s="100">
        <f>'Policy Data'!G167</f>
        <v>15</v>
      </c>
      <c r="I193" s="279">
        <f>'Policy Data'!H167</f>
        <v>1000000</v>
      </c>
      <c r="J193" s="100" t="str">
        <f>'Policy Data'!I167</f>
        <v>Annual</v>
      </c>
      <c r="K193" s="100" t="str">
        <f>'Policy Data'!J167</f>
        <v>Broker</v>
      </c>
      <c r="L193" s="26" t="s">
        <v>389</v>
      </c>
      <c r="M193" s="106">
        <f>'Policy Data'!R167</f>
        <v>9858.76</v>
      </c>
      <c r="N193" s="415">
        <f>Assumptions!$C$21</f>
        <v>1</v>
      </c>
      <c r="O193" s="415">
        <f>Assumptions!$C$22</f>
        <v>1</v>
      </c>
      <c r="P193" s="415">
        <f>Assumptions!$C$23</f>
        <v>1</v>
      </c>
      <c r="Q193" s="416">
        <f>Assumptions!$C$24</f>
        <v>0</v>
      </c>
      <c r="R193" s="416">
        <f>Assumptions!$C$6+Assumptions!$C$25</f>
        <v>3.5000000000000003E-2</v>
      </c>
      <c r="S193" s="416">
        <f>Assumptions!$C$15</f>
        <v>1.1000000000000001E-3</v>
      </c>
      <c r="T193" s="26">
        <f t="shared" si="54"/>
        <v>0</v>
      </c>
      <c r="U193" s="26">
        <f t="shared" si="55"/>
        <v>1</v>
      </c>
      <c r="V193" s="389">
        <f>IF($G193="Preferred",Assumptions!$C$30,IF($G193="Rated",Assumptions!$C$31,1))</f>
        <v>1</v>
      </c>
      <c r="W193" s="390">
        <f>IF($K193="Direct",Assumptions!$C$32,IF($K193="Broker",Assumptions!$C$33,IF($K193="Bancassurance",Assumptions!$C$34,Assumptions!$C$11)))+$Q193</f>
        <v>0.25</v>
      </c>
      <c r="X193" s="390">
        <f>Assumptions!$C$12+$Q193</f>
        <v>0.05</v>
      </c>
      <c r="Y193" s="131">
        <f>MIN($I193,Assumptions!$C$14)</f>
        <v>500000</v>
      </c>
      <c r="Z193" s="131">
        <f>MAX($I193-Assumptions!$C$14,0)</f>
        <v>500000</v>
      </c>
      <c r="AA193" s="389">
        <f t="shared" si="56"/>
        <v>0</v>
      </c>
      <c r="AB193" s="389">
        <f t="shared" si="57"/>
        <v>0</v>
      </c>
      <c r="AC193" s="389">
        <f>IF($T193=1,SUMPRODUCT($CJ193:$DW193,(1+Assumptions!$C$5)^($CJ$5:$DW$5-1),(1+$R193)^(-$CJ$5:$DW$5)),0)</f>
        <v>0</v>
      </c>
      <c r="AD193" s="389">
        <f t="shared" si="58"/>
        <v>0</v>
      </c>
      <c r="AE193" s="131">
        <f>IF($T193=1,$AB193*$Y193+(Assumptions!$C$9/(1+$R193)+Assumptions!$C$10*$AC193)*$P193+$S193*$Z193*$AA193,0)</f>
        <v>0</v>
      </c>
      <c r="AF193" s="131" t="str">
        <f>IF($T193=1,IF($AA193-$AD193-Assumptions!$C$16*$AA193&gt;0,$AE193/($AA193-$AD193-Assumptions!$C$16*$AA193)*IF($J193="Monthly",1+Assumptions!$C$29,1),"n.a."),"")</f>
        <v/>
      </c>
      <c r="AG193" s="131" t="str">
        <f t="shared" si="59"/>
        <v/>
      </c>
      <c r="AH193" s="131" t="str">
        <f t="shared" si="60"/>
        <v/>
      </c>
      <c r="AI193" s="131" t="str">
        <f t="shared" si="61"/>
        <v/>
      </c>
      <c r="AJ193" s="390" t="str">
        <f t="shared" si="62"/>
        <v/>
      </c>
      <c r="AK193" s="389" t="str">
        <f t="shared" si="63"/>
        <v/>
      </c>
      <c r="AL193" s="131" t="str">
        <f t="shared" si="64"/>
        <v/>
      </c>
      <c r="AM193" s="131" t="str">
        <f t="shared" si="65"/>
        <v/>
      </c>
      <c r="AN193" s="131" t="str">
        <f t="shared" si="66"/>
        <v/>
      </c>
      <c r="AO193" s="131" t="str">
        <f t="shared" si="67"/>
        <v/>
      </c>
      <c r="AP193" s="26" t="str">
        <f t="shared" si="68"/>
        <v>40-49</v>
      </c>
      <c r="AQ193" s="26" t="str">
        <f t="shared" si="69"/>
        <v>500k-1m</v>
      </c>
      <c r="AR193" s="26" t="str">
        <f>IF($T193=1,IF($AI193&lt;0,"Loss-making",IF($AJ193&lt;Assumptions!$C$16-0.00001,"Below target","At/above target")),"Excluded")</f>
        <v>Excluded</v>
      </c>
      <c r="AS193" s="103">
        <f t="shared" si="70"/>
        <v>9.9999999999999997E+98</v>
      </c>
      <c r="AT193" s="26"/>
      <c r="AU193" s="419">
        <f>IF(AND($T193=1,AU$5&lt;=$H193),INDEX(Mortality!$B$4:$E$64,MATCH($D193+AU$5-1,Mortality!$A$4:$A$64,0),$U193)*$V193*$N193,0)</f>
        <v>0</v>
      </c>
      <c r="AV193" s="93">
        <f>IF(AND($T193=1,AV$5&lt;=$H193),INDEX(Mortality!$B$4:$E$64,MATCH($D193+AV$5-1,Mortality!$A$4:$A$64,0),$U193)*$V193*$N193,0)</f>
        <v>0</v>
      </c>
      <c r="AW193" s="93">
        <f>IF(AND($T193=1,AW$5&lt;=$H193),INDEX(Mortality!$B$4:$E$64,MATCH($D193+AW$5-1,Mortality!$A$4:$A$64,0),$U193)*$V193*$N193,0)</f>
        <v>0</v>
      </c>
      <c r="AX193" s="93">
        <f>IF(AND($T193=1,AX$5&lt;=$H193),INDEX(Mortality!$B$4:$E$64,MATCH($D193+AX$5-1,Mortality!$A$4:$A$64,0),$U193)*$V193*$N193,0)</f>
        <v>0</v>
      </c>
      <c r="AY193" s="93">
        <f>IF(AND($T193=1,AY$5&lt;=$H193),INDEX(Mortality!$B$4:$E$64,MATCH($D193+AY$5-1,Mortality!$A$4:$A$64,0),$U193)*$V193*$N193,0)</f>
        <v>0</v>
      </c>
      <c r="AZ193" s="93">
        <f>IF(AND($T193=1,AZ$5&lt;=$H193),INDEX(Mortality!$B$4:$E$64,MATCH($D193+AZ$5-1,Mortality!$A$4:$A$64,0),$U193)*$V193*$N193,0)</f>
        <v>0</v>
      </c>
      <c r="BA193" s="93">
        <f>IF(AND($T193=1,BA$5&lt;=$H193),INDEX(Mortality!$B$4:$E$64,MATCH($D193+BA$5-1,Mortality!$A$4:$A$64,0),$U193)*$V193*$N193,0)</f>
        <v>0</v>
      </c>
      <c r="BB193" s="93">
        <f>IF(AND($T193=1,BB$5&lt;=$H193),INDEX(Mortality!$B$4:$E$64,MATCH($D193+BB$5-1,Mortality!$A$4:$A$64,0),$U193)*$V193*$N193,0)</f>
        <v>0</v>
      </c>
      <c r="BC193" s="93">
        <f>IF(AND($T193=1,BC$5&lt;=$H193),INDEX(Mortality!$B$4:$E$64,MATCH($D193+BC$5-1,Mortality!$A$4:$A$64,0),$U193)*$V193*$N193,0)</f>
        <v>0</v>
      </c>
      <c r="BD193" s="93">
        <f>IF(AND($T193=1,BD$5&lt;=$H193),INDEX(Mortality!$B$4:$E$64,MATCH($D193+BD$5-1,Mortality!$A$4:$A$64,0),$U193)*$V193*$N193,0)</f>
        <v>0</v>
      </c>
      <c r="BE193" s="93">
        <f>IF(AND($T193=1,BE$5&lt;=$H193),INDEX(Mortality!$B$4:$E$64,MATCH($D193+BE$5-1,Mortality!$A$4:$A$64,0),$U193)*$V193*$N193,0)</f>
        <v>0</v>
      </c>
      <c r="BF193" s="93">
        <f>IF(AND($T193=1,BF$5&lt;=$H193),INDEX(Mortality!$B$4:$E$64,MATCH($D193+BF$5-1,Mortality!$A$4:$A$64,0),$U193)*$V193*$N193,0)</f>
        <v>0</v>
      </c>
      <c r="BG193" s="93">
        <f>IF(AND($T193=1,BG$5&lt;=$H193),INDEX(Mortality!$B$4:$E$64,MATCH($D193+BG$5-1,Mortality!$A$4:$A$64,0),$U193)*$V193*$N193,0)</f>
        <v>0</v>
      </c>
      <c r="BH193" s="93">
        <f>IF(AND($T193=1,BH$5&lt;=$H193),INDEX(Mortality!$B$4:$E$64,MATCH($D193+BH$5-1,Mortality!$A$4:$A$64,0),$U193)*$V193*$N193,0)</f>
        <v>0</v>
      </c>
      <c r="BI193" s="93">
        <f>IF(AND($T193=1,BI$5&lt;=$H193),INDEX(Mortality!$B$4:$E$64,MATCH($D193+BI$5-1,Mortality!$A$4:$A$64,0),$U193)*$V193*$N193,0)</f>
        <v>0</v>
      </c>
      <c r="BJ193" s="93">
        <f>IF(AND($T193=1,BJ$5&lt;=$H193),INDEX(Mortality!$B$4:$E$64,MATCH($D193+BJ$5-1,Mortality!$A$4:$A$64,0),$U193)*$V193*$N193,0)</f>
        <v>0</v>
      </c>
      <c r="BK193" s="93">
        <f>IF(AND($T193=1,BK$5&lt;=$H193),INDEX(Mortality!$B$4:$E$64,MATCH($D193+BK$5-1,Mortality!$A$4:$A$64,0),$U193)*$V193*$N193,0)</f>
        <v>0</v>
      </c>
      <c r="BL193" s="93">
        <f>IF(AND($T193=1,BL$5&lt;=$H193),INDEX(Mortality!$B$4:$E$64,MATCH($D193+BL$5-1,Mortality!$A$4:$A$64,0),$U193)*$V193*$N193,0)</f>
        <v>0</v>
      </c>
      <c r="BM193" s="93">
        <f>IF(AND($T193=1,BM$5&lt;=$H193),INDEX(Mortality!$B$4:$E$64,MATCH($D193+BM$5-1,Mortality!$A$4:$A$64,0),$U193)*$V193*$N193,0)</f>
        <v>0</v>
      </c>
      <c r="BN193" s="93">
        <f>IF(AND($T193=1,BN$5&lt;=$H193),INDEX(Mortality!$B$4:$E$64,MATCH($D193+BN$5-1,Mortality!$A$4:$A$64,0),$U193)*$V193*$N193,0)</f>
        <v>0</v>
      </c>
      <c r="BO193" s="93">
        <f>IF(AND($T193=1,BO$5&lt;=$H193),INDEX(Mortality!$B$4:$E$64,MATCH($D193+BO$5-1,Mortality!$A$4:$A$64,0),$U193)*$V193*$N193,0)</f>
        <v>0</v>
      </c>
      <c r="BP193" s="93">
        <f>IF(AND($T193=1,BP$5&lt;=$H193),INDEX(Mortality!$B$4:$E$64,MATCH($D193+BP$5-1,Mortality!$A$4:$A$64,0),$U193)*$V193*$N193,0)</f>
        <v>0</v>
      </c>
      <c r="BQ193" s="93">
        <f>IF(AND($T193=1,BQ$5&lt;=$H193),INDEX(Mortality!$B$4:$E$64,MATCH($D193+BQ$5-1,Mortality!$A$4:$A$64,0),$U193)*$V193*$N193,0)</f>
        <v>0</v>
      </c>
      <c r="BR193" s="93">
        <f>IF(AND($T193=1,BR$5&lt;=$H193),INDEX(Mortality!$B$4:$E$64,MATCH($D193+BR$5-1,Mortality!$A$4:$A$64,0),$U193)*$V193*$N193,0)</f>
        <v>0</v>
      </c>
      <c r="BS193" s="93">
        <f>IF(AND($T193=1,BS$5&lt;=$H193),INDEX(Mortality!$B$4:$E$64,MATCH($D193+BS$5-1,Mortality!$A$4:$A$64,0),$U193)*$V193*$N193,0)</f>
        <v>0</v>
      </c>
      <c r="BT193" s="93">
        <f>IF(AND($T193=1,BT$5&lt;=$H193),INDEX(Mortality!$B$4:$E$64,MATCH($D193+BT$5-1,Mortality!$A$4:$A$64,0),$U193)*$V193*$N193,0)</f>
        <v>0</v>
      </c>
      <c r="BU193" s="93">
        <f>IF(AND($T193=1,BU$5&lt;=$H193),INDEX(Mortality!$B$4:$E$64,MATCH($D193+BU$5-1,Mortality!$A$4:$A$64,0),$U193)*$V193*$N193,0)</f>
        <v>0</v>
      </c>
      <c r="BV193" s="93">
        <f>IF(AND($T193=1,BV$5&lt;=$H193),INDEX(Mortality!$B$4:$E$64,MATCH($D193+BV$5-1,Mortality!$A$4:$A$64,0),$U193)*$V193*$N193,0)</f>
        <v>0</v>
      </c>
      <c r="BW193" s="93">
        <f>IF(AND($T193=1,BW$5&lt;=$H193),INDEX(Mortality!$B$4:$E$64,MATCH($D193+BW$5-1,Mortality!$A$4:$A$64,0),$U193)*$V193*$N193,0)</f>
        <v>0</v>
      </c>
      <c r="BX193" s="93">
        <f>IF(AND($T193=1,BX$5&lt;=$H193),INDEX(Mortality!$B$4:$E$64,MATCH($D193+BX$5-1,Mortality!$A$4:$A$64,0),$U193)*$V193*$N193,0)</f>
        <v>0</v>
      </c>
      <c r="BY193" s="93">
        <f>IF(AND($T193=1,BY$5&lt;=$H193),INDEX(Mortality!$B$4:$E$64,MATCH($D193+BY$5-1,Mortality!$A$4:$A$64,0),$U193)*$V193*$N193,0)</f>
        <v>0</v>
      </c>
      <c r="BZ193" s="93">
        <f>IF(AND($T193=1,BZ$5&lt;=$H193),INDEX(Mortality!$B$4:$E$64,MATCH($D193+BZ$5-1,Mortality!$A$4:$A$64,0),$U193)*$V193*$N193,0)</f>
        <v>0</v>
      </c>
      <c r="CA193" s="93">
        <f>IF(AND($T193=1,CA$5&lt;=$H193),INDEX(Mortality!$B$4:$E$64,MATCH($D193+CA$5-1,Mortality!$A$4:$A$64,0),$U193)*$V193*$N193,0)</f>
        <v>0</v>
      </c>
      <c r="CB193" s="93">
        <f>IF(AND($T193=1,CB$5&lt;=$H193),INDEX(Mortality!$B$4:$E$64,MATCH($D193+CB$5-1,Mortality!$A$4:$A$64,0),$U193)*$V193*$N193,0)</f>
        <v>0</v>
      </c>
      <c r="CC193" s="93">
        <f>IF(AND($T193=1,CC$5&lt;=$H193),INDEX(Mortality!$B$4:$E$64,MATCH($D193+CC$5-1,Mortality!$A$4:$A$64,0),$U193)*$V193*$N193,0)</f>
        <v>0</v>
      </c>
      <c r="CD193" s="93">
        <f>IF(AND($T193=1,CD$5&lt;=$H193),INDEX(Mortality!$B$4:$E$64,MATCH($D193+CD$5-1,Mortality!$A$4:$A$64,0),$U193)*$V193*$N193,0)</f>
        <v>0</v>
      </c>
      <c r="CE193" s="93">
        <f>IF(AND($T193=1,CE$5&lt;=$H193),INDEX(Mortality!$B$4:$E$64,MATCH($D193+CE$5-1,Mortality!$A$4:$A$64,0),$U193)*$V193*$N193,0)</f>
        <v>0</v>
      </c>
      <c r="CF193" s="93">
        <f>IF(AND($T193=1,CF$5&lt;=$H193),INDEX(Mortality!$B$4:$E$64,MATCH($D193+CF$5-1,Mortality!$A$4:$A$64,0),$U193)*$V193*$N193,0)</f>
        <v>0</v>
      </c>
      <c r="CG193" s="93">
        <f>IF(AND($T193=1,CG$5&lt;=$H193),INDEX(Mortality!$B$4:$E$64,MATCH($D193+CG$5-1,Mortality!$A$4:$A$64,0),$U193)*$V193*$N193,0)</f>
        <v>0</v>
      </c>
      <c r="CH193" s="94">
        <f>IF(AND($T193=1,CH$5&lt;=$H193),INDEX(Mortality!$B$4:$E$64,MATCH($D193+CH$5-1,Mortality!$A$4:$A$64,0),$U193)*$V193*$N193,0)</f>
        <v>0</v>
      </c>
      <c r="CI193" s="26"/>
      <c r="CJ193" s="419">
        <f t="shared" si="71"/>
        <v>0</v>
      </c>
      <c r="CK193" s="93">
        <f>IF(AND($T193=1,CK$5&lt;=$H193),CJ193*(1-AU193)*(1-MIN(1,MAX(Assumptions!$C$27,Assumptions!$C$13*Assumptions!$C$28^(CJ$5-1))*$O193)),0)</f>
        <v>0</v>
      </c>
      <c r="CL193" s="93">
        <f>IF(AND($T193=1,CL$5&lt;=$H193),CK193*(1-AV193)*(1-MIN(1,MAX(Assumptions!$C$27,Assumptions!$C$13*Assumptions!$C$28^(CK$5-1))*$O193)),0)</f>
        <v>0</v>
      </c>
      <c r="CM193" s="93">
        <f>IF(AND($T193=1,CM$5&lt;=$H193),CL193*(1-AW193)*(1-MIN(1,MAX(Assumptions!$C$27,Assumptions!$C$13*Assumptions!$C$28^(CL$5-1))*$O193)),0)</f>
        <v>0</v>
      </c>
      <c r="CN193" s="93">
        <f>IF(AND($T193=1,CN$5&lt;=$H193),CM193*(1-AX193)*(1-MIN(1,MAX(Assumptions!$C$27,Assumptions!$C$13*Assumptions!$C$28^(CM$5-1))*$O193)),0)</f>
        <v>0</v>
      </c>
      <c r="CO193" s="93">
        <f>IF(AND($T193=1,CO$5&lt;=$H193),CN193*(1-AY193)*(1-MIN(1,MAX(Assumptions!$C$27,Assumptions!$C$13*Assumptions!$C$28^(CN$5-1))*$O193)),0)</f>
        <v>0</v>
      </c>
      <c r="CP193" s="93">
        <f>IF(AND($T193=1,CP$5&lt;=$H193),CO193*(1-AZ193)*(1-MIN(1,MAX(Assumptions!$C$27,Assumptions!$C$13*Assumptions!$C$28^(CO$5-1))*$O193)),0)</f>
        <v>0</v>
      </c>
      <c r="CQ193" s="93">
        <f>IF(AND($T193=1,CQ$5&lt;=$H193),CP193*(1-BA193)*(1-MIN(1,MAX(Assumptions!$C$27,Assumptions!$C$13*Assumptions!$C$28^(CP$5-1))*$O193)),0)</f>
        <v>0</v>
      </c>
      <c r="CR193" s="93">
        <f>IF(AND($T193=1,CR$5&lt;=$H193),CQ193*(1-BB193)*(1-MIN(1,MAX(Assumptions!$C$27,Assumptions!$C$13*Assumptions!$C$28^(CQ$5-1))*$O193)),0)</f>
        <v>0</v>
      </c>
      <c r="CS193" s="93">
        <f>IF(AND($T193=1,CS$5&lt;=$H193),CR193*(1-BC193)*(1-MIN(1,MAX(Assumptions!$C$27,Assumptions!$C$13*Assumptions!$C$28^(CR$5-1))*$O193)),0)</f>
        <v>0</v>
      </c>
      <c r="CT193" s="93">
        <f>IF(AND($T193=1,CT$5&lt;=$H193),CS193*(1-BD193)*(1-MIN(1,MAX(Assumptions!$C$27,Assumptions!$C$13*Assumptions!$C$28^(CS$5-1))*$O193)),0)</f>
        <v>0</v>
      </c>
      <c r="CU193" s="93">
        <f>IF(AND($T193=1,CU$5&lt;=$H193),CT193*(1-BE193)*(1-MIN(1,MAX(Assumptions!$C$27,Assumptions!$C$13*Assumptions!$C$28^(CT$5-1))*$O193)),0)</f>
        <v>0</v>
      </c>
      <c r="CV193" s="93">
        <f>IF(AND($T193=1,CV$5&lt;=$H193),CU193*(1-BF193)*(1-MIN(1,MAX(Assumptions!$C$27,Assumptions!$C$13*Assumptions!$C$28^(CU$5-1))*$O193)),0)</f>
        <v>0</v>
      </c>
      <c r="CW193" s="93">
        <f>IF(AND($T193=1,CW$5&lt;=$H193),CV193*(1-BG193)*(1-MIN(1,MAX(Assumptions!$C$27,Assumptions!$C$13*Assumptions!$C$28^(CV$5-1))*$O193)),0)</f>
        <v>0</v>
      </c>
      <c r="CX193" s="93">
        <f>IF(AND($T193=1,CX$5&lt;=$H193),CW193*(1-BH193)*(1-MIN(1,MAX(Assumptions!$C$27,Assumptions!$C$13*Assumptions!$C$28^(CW$5-1))*$O193)),0)</f>
        <v>0</v>
      </c>
      <c r="CY193" s="93">
        <f>IF(AND($T193=1,CY$5&lt;=$H193),CX193*(1-BI193)*(1-MIN(1,MAX(Assumptions!$C$27,Assumptions!$C$13*Assumptions!$C$28^(CX$5-1))*$O193)),0)</f>
        <v>0</v>
      </c>
      <c r="CZ193" s="93">
        <f>IF(AND($T193=1,CZ$5&lt;=$H193),CY193*(1-BJ193)*(1-MIN(1,MAX(Assumptions!$C$27,Assumptions!$C$13*Assumptions!$C$28^(CY$5-1))*$O193)),0)</f>
        <v>0</v>
      </c>
      <c r="DA193" s="93">
        <f>IF(AND($T193=1,DA$5&lt;=$H193),CZ193*(1-BK193)*(1-MIN(1,MAX(Assumptions!$C$27,Assumptions!$C$13*Assumptions!$C$28^(CZ$5-1))*$O193)),0)</f>
        <v>0</v>
      </c>
      <c r="DB193" s="93">
        <f>IF(AND($T193=1,DB$5&lt;=$H193),DA193*(1-BL193)*(1-MIN(1,MAX(Assumptions!$C$27,Assumptions!$C$13*Assumptions!$C$28^(DA$5-1))*$O193)),0)</f>
        <v>0</v>
      </c>
      <c r="DC193" s="93">
        <f>IF(AND($T193=1,DC$5&lt;=$H193),DB193*(1-BM193)*(1-MIN(1,MAX(Assumptions!$C$27,Assumptions!$C$13*Assumptions!$C$28^(DB$5-1))*$O193)),0)</f>
        <v>0</v>
      </c>
      <c r="DD193" s="93">
        <f>IF(AND($T193=1,DD$5&lt;=$H193),DC193*(1-BN193)*(1-MIN(1,MAX(Assumptions!$C$27,Assumptions!$C$13*Assumptions!$C$28^(DC$5-1))*$O193)),0)</f>
        <v>0</v>
      </c>
      <c r="DE193" s="93">
        <f>IF(AND($T193=1,DE$5&lt;=$H193),DD193*(1-BO193)*(1-MIN(1,MAX(Assumptions!$C$27,Assumptions!$C$13*Assumptions!$C$28^(DD$5-1))*$O193)),0)</f>
        <v>0</v>
      </c>
      <c r="DF193" s="93">
        <f>IF(AND($T193=1,DF$5&lt;=$H193),DE193*(1-BP193)*(1-MIN(1,MAX(Assumptions!$C$27,Assumptions!$C$13*Assumptions!$C$28^(DE$5-1))*$O193)),0)</f>
        <v>0</v>
      </c>
      <c r="DG193" s="93">
        <f>IF(AND($T193=1,DG$5&lt;=$H193),DF193*(1-BQ193)*(1-MIN(1,MAX(Assumptions!$C$27,Assumptions!$C$13*Assumptions!$C$28^(DF$5-1))*$O193)),0)</f>
        <v>0</v>
      </c>
      <c r="DH193" s="93">
        <f>IF(AND($T193=1,DH$5&lt;=$H193),DG193*(1-BR193)*(1-MIN(1,MAX(Assumptions!$C$27,Assumptions!$C$13*Assumptions!$C$28^(DG$5-1))*$O193)),0)</f>
        <v>0</v>
      </c>
      <c r="DI193" s="93">
        <f>IF(AND($T193=1,DI$5&lt;=$H193),DH193*(1-BS193)*(1-MIN(1,MAX(Assumptions!$C$27,Assumptions!$C$13*Assumptions!$C$28^(DH$5-1))*$O193)),0)</f>
        <v>0</v>
      </c>
      <c r="DJ193" s="93">
        <f>IF(AND($T193=1,DJ$5&lt;=$H193),DI193*(1-BT193)*(1-MIN(1,MAX(Assumptions!$C$27,Assumptions!$C$13*Assumptions!$C$28^(DI$5-1))*$O193)),0)</f>
        <v>0</v>
      </c>
      <c r="DK193" s="93">
        <f>IF(AND($T193=1,DK$5&lt;=$H193),DJ193*(1-BU193)*(1-MIN(1,MAX(Assumptions!$C$27,Assumptions!$C$13*Assumptions!$C$28^(DJ$5-1))*$O193)),0)</f>
        <v>0</v>
      </c>
      <c r="DL193" s="93">
        <f>IF(AND($T193=1,DL$5&lt;=$H193),DK193*(1-BV193)*(1-MIN(1,MAX(Assumptions!$C$27,Assumptions!$C$13*Assumptions!$C$28^(DK$5-1))*$O193)),0)</f>
        <v>0</v>
      </c>
      <c r="DM193" s="93">
        <f>IF(AND($T193=1,DM$5&lt;=$H193),DL193*(1-BW193)*(1-MIN(1,MAX(Assumptions!$C$27,Assumptions!$C$13*Assumptions!$C$28^(DL$5-1))*$O193)),0)</f>
        <v>0</v>
      </c>
      <c r="DN193" s="93">
        <f>IF(AND($T193=1,DN$5&lt;=$H193),DM193*(1-BX193)*(1-MIN(1,MAX(Assumptions!$C$27,Assumptions!$C$13*Assumptions!$C$28^(DM$5-1))*$O193)),0)</f>
        <v>0</v>
      </c>
      <c r="DO193" s="93">
        <f>IF(AND($T193=1,DO$5&lt;=$H193),DN193*(1-BY193)*(1-MIN(1,MAX(Assumptions!$C$27,Assumptions!$C$13*Assumptions!$C$28^(DN$5-1))*$O193)),0)</f>
        <v>0</v>
      </c>
      <c r="DP193" s="93">
        <f>IF(AND($T193=1,DP$5&lt;=$H193),DO193*(1-BZ193)*(1-MIN(1,MAX(Assumptions!$C$27,Assumptions!$C$13*Assumptions!$C$28^(DO$5-1))*$O193)),0)</f>
        <v>0</v>
      </c>
      <c r="DQ193" s="93">
        <f>IF(AND($T193=1,DQ$5&lt;=$H193),DP193*(1-CA193)*(1-MIN(1,MAX(Assumptions!$C$27,Assumptions!$C$13*Assumptions!$C$28^(DP$5-1))*$O193)),0)</f>
        <v>0</v>
      </c>
      <c r="DR193" s="93">
        <f>IF(AND($T193=1,DR$5&lt;=$H193),DQ193*(1-CB193)*(1-MIN(1,MAX(Assumptions!$C$27,Assumptions!$C$13*Assumptions!$C$28^(DQ$5-1))*$O193)),0)</f>
        <v>0</v>
      </c>
      <c r="DS193" s="93">
        <f>IF(AND($T193=1,DS$5&lt;=$H193),DR193*(1-CC193)*(1-MIN(1,MAX(Assumptions!$C$27,Assumptions!$C$13*Assumptions!$C$28^(DR$5-1))*$O193)),0)</f>
        <v>0</v>
      </c>
      <c r="DT193" s="93">
        <f>IF(AND($T193=1,DT$5&lt;=$H193),DS193*(1-CD193)*(1-MIN(1,MAX(Assumptions!$C$27,Assumptions!$C$13*Assumptions!$C$28^(DS$5-1))*$O193)),0)</f>
        <v>0</v>
      </c>
      <c r="DU193" s="93">
        <f>IF(AND($T193=1,DU$5&lt;=$H193),DT193*(1-CE193)*(1-MIN(1,MAX(Assumptions!$C$27,Assumptions!$C$13*Assumptions!$C$28^(DT$5-1))*$O193)),0)</f>
        <v>0</v>
      </c>
      <c r="DV193" s="93">
        <f>IF(AND($T193=1,DV$5&lt;=$H193),DU193*(1-CF193)*(1-MIN(1,MAX(Assumptions!$C$27,Assumptions!$C$13*Assumptions!$C$28^(DU$5-1))*$O193)),0)</f>
        <v>0</v>
      </c>
      <c r="DW193" s="94">
        <f>IF(AND($T193=1,DW$5&lt;=$H193),DV193*(1-CG193)*(1-MIN(1,MAX(Assumptions!$C$27,Assumptions!$C$13*Assumptions!$C$28^(DV$5-1))*$O193)),0)</f>
        <v>0</v>
      </c>
      <c r="DX193" s="26"/>
      <c r="DY193" s="399">
        <f>'Policy Data'!K167</f>
        <v>7</v>
      </c>
      <c r="DZ193" s="100">
        <f>'Policy Data'!L167</f>
        <v>0.92249999999999999</v>
      </c>
      <c r="EA193" s="100">
        <f>'Policy Data'!N167</f>
        <v>1.1720000000000001E-3</v>
      </c>
      <c r="EB193" s="93" cm="1">
        <f t="array" ref="EB193">IFERROR(DZ193*INDEX(Mortality!$B$4:$E$64,MATCH(D193+DY193-1,Mortality!$A$4:$A$64,0),U193)*V193,0)</f>
        <v>1.8932699591352126E-3</v>
      </c>
      <c r="EC193" s="100">
        <f>'Policy Data'!O167</f>
        <v>0</v>
      </c>
      <c r="ED193" s="400">
        <f>'Policy Data'!Q167</f>
        <v>0</v>
      </c>
    </row>
    <row r="194" spans="1:134" x14ac:dyDescent="0.3">
      <c r="A194" s="399" t="str">
        <f>'Policy Data'!A168</f>
        <v>POL100164</v>
      </c>
      <c r="B194" s="26" t="s">
        <v>426</v>
      </c>
      <c r="C194" s="100" t="str">
        <f>'Policy Data'!B168</f>
        <v>Term Life</v>
      </c>
      <c r="D194" s="100">
        <f>'Policy Data'!C168</f>
        <v>28</v>
      </c>
      <c r="E194" s="100" t="str">
        <f>'Policy Data'!D168</f>
        <v>Female</v>
      </c>
      <c r="F194" s="100" t="str">
        <f>'Policy Data'!E168</f>
        <v>Non-smoker</v>
      </c>
      <c r="G194" s="100" t="str">
        <f>'Policy Data'!F168</f>
        <v>Standard</v>
      </c>
      <c r="H194" s="100">
        <f>'Policy Data'!G168</f>
        <v>25</v>
      </c>
      <c r="I194" s="279">
        <f>'Policy Data'!H168</f>
        <v>500000</v>
      </c>
      <c r="J194" s="100" t="str">
        <f>'Policy Data'!I168</f>
        <v>Monthly</v>
      </c>
      <c r="K194" s="100" t="str">
        <f>'Policy Data'!J168</f>
        <v>Direct</v>
      </c>
      <c r="L194" s="26" t="s">
        <v>389</v>
      </c>
      <c r="M194" s="106">
        <f>'Policy Data'!R168</f>
        <v>1200</v>
      </c>
      <c r="N194" s="415">
        <f>Assumptions!$C$21</f>
        <v>1</v>
      </c>
      <c r="O194" s="415">
        <f>Assumptions!$C$22</f>
        <v>1</v>
      </c>
      <c r="P194" s="415">
        <f>Assumptions!$C$23</f>
        <v>1</v>
      </c>
      <c r="Q194" s="416">
        <f>Assumptions!$C$24</f>
        <v>0</v>
      </c>
      <c r="R194" s="416">
        <f>Assumptions!$C$6+Assumptions!$C$25</f>
        <v>3.5000000000000003E-2</v>
      </c>
      <c r="S194" s="416">
        <f>Assumptions!$C$15</f>
        <v>1.1000000000000001E-3</v>
      </c>
      <c r="T194" s="26">
        <f t="shared" si="54"/>
        <v>1</v>
      </c>
      <c r="U194" s="26">
        <f t="shared" si="55"/>
        <v>1</v>
      </c>
      <c r="V194" s="389">
        <f>IF($G194="Preferred",Assumptions!$C$30,IF($G194="Rated",Assumptions!$C$31,1))</f>
        <v>1</v>
      </c>
      <c r="W194" s="390">
        <f>IF($K194="Direct",Assumptions!$C$32,IF($K194="Broker",Assumptions!$C$33,IF($K194="Bancassurance",Assumptions!$C$34,Assumptions!$C$11)))+$Q194</f>
        <v>0.1</v>
      </c>
      <c r="X194" s="390">
        <f>Assumptions!$C$12+$Q194</f>
        <v>0.05</v>
      </c>
      <c r="Y194" s="131">
        <f>MIN($I194,Assumptions!$C$14)</f>
        <v>500000</v>
      </c>
      <c r="Z194" s="131">
        <f>MAX($I194-Assumptions!$C$14,0)</f>
        <v>0</v>
      </c>
      <c r="AA194" s="389">
        <f t="shared" si="56"/>
        <v>9.501784485141064</v>
      </c>
      <c r="AB194" s="389">
        <f t="shared" si="57"/>
        <v>7.1352181469989456E-3</v>
      </c>
      <c r="AC194" s="389">
        <f>IF($T194=1,SUMPRODUCT($CJ194:$DW194,(1+Assumptions!$C$5)^($CJ$5:$DW$5-1),(1+$R194)^(-$CJ$5:$DW$5)),0)</f>
        <v>13.7042341651777</v>
      </c>
      <c r="AD194" s="389">
        <f t="shared" si="58"/>
        <v>0.52339840300101459</v>
      </c>
      <c r="AE194" s="131">
        <f>IF($T194=1,$AB194*$Y194+(Assumptions!$C$9/(1+$R194)+Assumptions!$C$10*$AC194)*$P194+$S194*$Z194*$AA194,0)</f>
        <v>7452.1058072298711</v>
      </c>
      <c r="AF194" s="131">
        <f>IF($T194=1,IF($AA194-$AD194-Assumptions!$C$16*$AA194&gt;0,$AE194/($AA194-$AD194-Assumptions!$C$16*$AA194)*IF($J194="Monthly",1+Assumptions!$C$29,1),"n.a."),"")</f>
        <v>933.97927993421479</v>
      </c>
      <c r="AG194" s="131">
        <f t="shared" si="59"/>
        <v>1200</v>
      </c>
      <c r="AH194" s="131">
        <f t="shared" si="60"/>
        <v>11402.141382169277</v>
      </c>
      <c r="AI194" s="131">
        <f t="shared" si="61"/>
        <v>3321.9574913381894</v>
      </c>
      <c r="AJ194" s="390">
        <f t="shared" si="62"/>
        <v>0.29134505352942586</v>
      </c>
      <c r="AK194" s="389">
        <f t="shared" si="63"/>
        <v>1.2848250767238889</v>
      </c>
      <c r="AL194" s="131">
        <f t="shared" si="64"/>
        <v>0</v>
      </c>
      <c r="AM194" s="131">
        <f t="shared" si="65"/>
        <v>0</v>
      </c>
      <c r="AN194" s="131">
        <f t="shared" si="66"/>
        <v>0</v>
      </c>
      <c r="AO194" s="131">
        <f t="shared" si="67"/>
        <v>3321.9574913381894</v>
      </c>
      <c r="AP194" s="26" t="str">
        <f t="shared" si="68"/>
        <v>20-29</v>
      </c>
      <c r="AQ194" s="26" t="str">
        <f t="shared" si="69"/>
        <v>250k-500k</v>
      </c>
      <c r="AR194" s="26" t="str">
        <f>IF($T194=1,IF($AI194&lt;0,"Loss-making",IF($AJ194&lt;Assumptions!$C$16-0.00001,"Below target","At/above target")),"Excluded")</f>
        <v>At/above target</v>
      </c>
      <c r="AS194" s="103">
        <f t="shared" si="70"/>
        <v>3321.9576853381895</v>
      </c>
      <c r="AT194" s="26"/>
      <c r="AU194" s="419">
        <f>IF(AND($T194=1,AU$5&lt;=$H194),INDEX(Mortality!$B$4:$E$64,MATCH($D194+AU$5-1,Mortality!$A$4:$A$64,0),$U194)*$V194*$N194,0)</f>
        <v>3.2594499927957602E-4</v>
      </c>
      <c r="AV194" s="93">
        <f>IF(AND($T194=1,AV$5&lt;=$H194),INDEX(Mortality!$B$4:$E$64,MATCH($D194+AV$5-1,Mortality!$A$4:$A$64,0),$U194)*$V194*$N194,0)</f>
        <v>3.53092002492888E-4</v>
      </c>
      <c r="AW194" s="93">
        <f>IF(AND($T194=1,AW$5&lt;=$H194),INDEX(Mortality!$B$4:$E$64,MATCH($D194+AW$5-1,Mortality!$A$4:$A$64,0),$U194)*$V194*$N194,0)</f>
        <v>3.8249999999999997E-4</v>
      </c>
      <c r="AX194" s="93">
        <f>IF(AND($T194=1,AX$5&lt;=$H194),INDEX(Mortality!$B$4:$E$64,MATCH($D194+AX$5-1,Mortality!$A$4:$A$64,0),$U194)*$V194*$N194,0)</f>
        <v>4.1435730338567202E-4</v>
      </c>
      <c r="AY194" s="93">
        <f>IF(AND($T194=1,AY$5&lt;=$H194),INDEX(Mortality!$B$4:$E$64,MATCH($D194+AY$5-1,Mortality!$A$4:$A$64,0),$U194)*$V194*$N194,0)</f>
        <v>4.4886790815436701E-4</v>
      </c>
      <c r="AZ194" s="93">
        <f>IF(AND($T194=1,AZ$5&lt;=$H194),INDEX(Mortality!$B$4:$E$64,MATCH($D194+AZ$5-1,Mortality!$A$4:$A$64,0),$U194)*$V194*$N194,0)</f>
        <v>4.8625279999793699E-4</v>
      </c>
      <c r="BA194" s="93">
        <f>IF(AND($T194=1,BA$5&lt;=$H194),INDEX(Mortality!$B$4:$E$64,MATCH($D194+BA$5-1,Mortality!$A$4:$A$64,0),$U194)*$V194*$N194,0)</f>
        <v>5.2675136985850396E-4</v>
      </c>
      <c r="BB194" s="93">
        <f>IF(AND($T194=1,BB$5&lt;=$H194),INDEX(Mortality!$B$4:$E$64,MATCH($D194+BB$5-1,Mortality!$A$4:$A$64,0),$U194)*$V194*$N194,0)</f>
        <v>5.7062294684778595E-4</v>
      </c>
      <c r="BC194" s="93">
        <f>IF(AND($T194=1,BC$5&lt;=$H194),INDEX(Mortality!$B$4:$E$64,MATCH($D194+BC$5-1,Mortality!$A$4:$A$64,0),$U194)*$V194*$N194,0)</f>
        <v>6.1814845883878197E-4</v>
      </c>
      <c r="BD194" s="93">
        <f>IF(AND($T194=1,BD$5&lt;=$H194),INDEX(Mortality!$B$4:$E$64,MATCH($D194+BD$5-1,Mortality!$A$4:$A$64,0),$U194)*$V194*$N194,0)</f>
        <v>6.6963223136325904E-4</v>
      </c>
      <c r="BE194" s="93">
        <f>IF(AND($T194=1,BE$5&lt;=$H194),INDEX(Mortality!$B$4:$E$64,MATCH($D194+BE$5-1,Mortality!$A$4:$A$64,0),$U194)*$V194*$N194,0)</f>
        <v>7.2540393633414402E-4</v>
      </c>
      <c r="BF194" s="93">
        <f>IF(AND($T194=1,BF$5&lt;=$H194),INDEX(Mortality!$B$4:$E$64,MATCH($D194+BF$5-1,Mortality!$A$4:$A$64,0),$U194)*$V194*$N194,0)</f>
        <v>7.8582070307128696E-4</v>
      </c>
      <c r="BG194" s="93">
        <f>IF(AND($T194=1,BG$5&lt;=$H194),INDEX(Mortality!$B$4:$E$64,MATCH($D194+BG$5-1,Mortality!$A$4:$A$64,0),$U194)*$V194*$N194,0)</f>
        <v>8.5126940514836905E-4</v>
      </c>
      <c r="BH194" s="93">
        <f>IF(AND($T194=1,BH$5&lt;=$H194),INDEX(Mortality!$B$4:$E$64,MATCH($D194+BH$5-1,Mortality!$A$4:$A$64,0),$U194)*$V194*$N194,0)</f>
        <v>9.2216913770458301E-4</v>
      </c>
      <c r="BI194" s="93">
        <f>IF(AND($T194=1,BI$5&lt;=$H194),INDEX(Mortality!$B$4:$E$64,MATCH($D194+BI$5-1,Mortality!$A$4:$A$64,0),$U194)*$V194*$N194,0)</f>
        <v>9.98973901084343E-4</v>
      </c>
      <c r="BJ194" s="93">
        <f>IF(AND($T194=1,BJ$5&lt;=$H194),INDEX(Mortality!$B$4:$E$64,MATCH($D194+BJ$5-1,Mortality!$A$4:$A$64,0),$U194)*$V194*$N194,0)</f>
        <v>1.08217550798947E-3</v>
      </c>
      <c r="BK194" s="93">
        <f>IF(AND($T194=1,BK$5&lt;=$H194),INDEX(Mortality!$B$4:$E$64,MATCH($D194+BK$5-1,Mortality!$A$4:$A$64,0),$U194)*$V194*$N194,0)</f>
        <v>1.1723067327595699E-3</v>
      </c>
      <c r="BL194" s="93">
        <f>IF(AND($T194=1,BL$5&lt;=$H194),INDEX(Mortality!$B$4:$E$64,MATCH($D194+BL$5-1,Mortality!$A$4:$A$64,0),$U194)*$V194*$N194,0)</f>
        <v>1.2699447229467301E-3</v>
      </c>
      <c r="BM194" s="93">
        <f>IF(AND($T194=1,BM$5&lt;=$H194),INDEX(Mortality!$B$4:$E$64,MATCH($D194+BM$5-1,Mortality!$A$4:$A$64,0),$U194)*$V194*$N194,0)</f>
        <v>1.37571469503025E-3</v>
      </c>
      <c r="BN194" s="93">
        <f>IF(AND($T194=1,BN$5&lt;=$H194),INDEX(Mortality!$B$4:$E$64,MATCH($D194+BN$5-1,Mortality!$A$4:$A$64,0),$U194)*$V194*$N194,0)</f>
        <v>1.4902939379366699E-3</v>
      </c>
      <c r="BO194" s="93">
        <f>IF(AND($T194=1,BO$5&lt;=$H194),INDEX(Mortality!$B$4:$E$64,MATCH($D194+BO$5-1,Mortality!$A$4:$A$64,0),$U194)*$V194*$N194,0)</f>
        <v>1.6144161500011799E-3</v>
      </c>
      <c r="BP194" s="93">
        <f>IF(AND($T194=1,BP$5&lt;=$H194),INDEX(Mortality!$B$4:$E$64,MATCH($D194+BP$5-1,Mortality!$A$4:$A$64,0),$U194)*$V194*$N194,0)</f>
        <v>1.74887613714188E-3</v>
      </c>
      <c r="BQ194" s="93">
        <f>IF(AND($T194=1,BQ$5&lt;=$H194),INDEX(Mortality!$B$4:$E$64,MATCH($D194+BQ$5-1,Mortality!$A$4:$A$64,0),$U194)*$V194*$N194,0)</f>
        <v>1.89453490233113E-3</v>
      </c>
      <c r="BR194" s="93">
        <f>IF(AND($T194=1,BR$5&lt;=$H194),INDEX(Mortality!$B$4:$E$64,MATCH($D194+BR$5-1,Mortality!$A$4:$A$64,0),$U194)*$V194*$N194,0)</f>
        <v>2.05232515895416E-3</v>
      </c>
      <c r="BS194" s="93">
        <f>IF(AND($T194=1,BS$5&lt;=$H194),INDEX(Mortality!$B$4:$E$64,MATCH($D194+BS$5-1,Mortality!$A$4:$A$64,0),$U194)*$V194*$N194,0)</f>
        <v>2.22325730335899E-3</v>
      </c>
      <c r="BT194" s="93">
        <f>IF(AND($T194=1,BT$5&lt;=$H194),INDEX(Mortality!$B$4:$E$64,MATCH($D194+BT$5-1,Mortality!$A$4:$A$64,0),$U194)*$V194*$N194,0)</f>
        <v>0</v>
      </c>
      <c r="BU194" s="93">
        <f>IF(AND($T194=1,BU$5&lt;=$H194),INDEX(Mortality!$B$4:$E$64,MATCH($D194+BU$5-1,Mortality!$A$4:$A$64,0),$U194)*$V194*$N194,0)</f>
        <v>0</v>
      </c>
      <c r="BV194" s="93">
        <f>IF(AND($T194=1,BV$5&lt;=$H194),INDEX(Mortality!$B$4:$E$64,MATCH($D194+BV$5-1,Mortality!$A$4:$A$64,0),$U194)*$V194*$N194,0)</f>
        <v>0</v>
      </c>
      <c r="BW194" s="93">
        <f>IF(AND($T194=1,BW$5&lt;=$H194),INDEX(Mortality!$B$4:$E$64,MATCH($D194+BW$5-1,Mortality!$A$4:$A$64,0),$U194)*$V194*$N194,0)</f>
        <v>0</v>
      </c>
      <c r="BX194" s="93">
        <f>IF(AND($T194=1,BX$5&lt;=$H194),INDEX(Mortality!$B$4:$E$64,MATCH($D194+BX$5-1,Mortality!$A$4:$A$64,0),$U194)*$V194*$N194,0)</f>
        <v>0</v>
      </c>
      <c r="BY194" s="93">
        <f>IF(AND($T194=1,BY$5&lt;=$H194),INDEX(Mortality!$B$4:$E$64,MATCH($D194+BY$5-1,Mortality!$A$4:$A$64,0),$U194)*$V194*$N194,0)</f>
        <v>0</v>
      </c>
      <c r="BZ194" s="93">
        <f>IF(AND($T194=1,BZ$5&lt;=$H194),INDEX(Mortality!$B$4:$E$64,MATCH($D194+BZ$5-1,Mortality!$A$4:$A$64,0),$U194)*$V194*$N194,0)</f>
        <v>0</v>
      </c>
      <c r="CA194" s="93">
        <f>IF(AND($T194=1,CA$5&lt;=$H194),INDEX(Mortality!$B$4:$E$64,MATCH($D194+CA$5-1,Mortality!$A$4:$A$64,0),$U194)*$V194*$N194,0)</f>
        <v>0</v>
      </c>
      <c r="CB194" s="93">
        <f>IF(AND($T194=1,CB$5&lt;=$H194),INDEX(Mortality!$B$4:$E$64,MATCH($D194+CB$5-1,Mortality!$A$4:$A$64,0),$U194)*$V194*$N194,0)</f>
        <v>0</v>
      </c>
      <c r="CC194" s="93">
        <f>IF(AND($T194=1,CC$5&lt;=$H194),INDEX(Mortality!$B$4:$E$64,MATCH($D194+CC$5-1,Mortality!$A$4:$A$64,0),$U194)*$V194*$N194,0)</f>
        <v>0</v>
      </c>
      <c r="CD194" s="93">
        <f>IF(AND($T194=1,CD$5&lt;=$H194),INDEX(Mortality!$B$4:$E$64,MATCH($D194+CD$5-1,Mortality!$A$4:$A$64,0),$U194)*$V194*$N194,0)</f>
        <v>0</v>
      </c>
      <c r="CE194" s="93">
        <f>IF(AND($T194=1,CE$5&lt;=$H194),INDEX(Mortality!$B$4:$E$64,MATCH($D194+CE$5-1,Mortality!$A$4:$A$64,0),$U194)*$V194*$N194,0)</f>
        <v>0</v>
      </c>
      <c r="CF194" s="93">
        <f>IF(AND($T194=1,CF$5&lt;=$H194),INDEX(Mortality!$B$4:$E$64,MATCH($D194+CF$5-1,Mortality!$A$4:$A$64,0),$U194)*$V194*$N194,0)</f>
        <v>0</v>
      </c>
      <c r="CG194" s="93">
        <f>IF(AND($T194=1,CG$5&lt;=$H194),INDEX(Mortality!$B$4:$E$64,MATCH($D194+CG$5-1,Mortality!$A$4:$A$64,0),$U194)*$V194*$N194,0)</f>
        <v>0</v>
      </c>
      <c r="CH194" s="94">
        <f>IF(AND($T194=1,CH$5&lt;=$H194),INDEX(Mortality!$B$4:$E$64,MATCH($D194+CH$5-1,Mortality!$A$4:$A$64,0),$U194)*$V194*$N194,0)</f>
        <v>0</v>
      </c>
      <c r="CI194" s="26"/>
      <c r="CJ194" s="419">
        <f t="shared" si="71"/>
        <v>1</v>
      </c>
      <c r="CK194" s="93">
        <f>IF(AND($T194=1,CK$5&lt;=$H194),CJ194*(1-AU194)*(1-MIN(1,MAX(Assumptions!$C$27,Assumptions!$C$13*Assumptions!$C$28^(CJ$5-1))*$O194)),0)</f>
        <v>0.87971316840063396</v>
      </c>
      <c r="CL194" s="93">
        <f>IF(AND($T194=1,CL$5&lt;=$H194),CK194*(1-AV194)*(1-MIN(1,MAX(Assumptions!$C$27,Assumptions!$C$13*Assumptions!$C$28^(CK$5-1))*$O194)),0)</f>
        <v>0.78970348874731289</v>
      </c>
      <c r="CM194" s="93">
        <f>IF(AND($T194=1,CM$5&lt;=$H194),CL194*(1-AW194)*(1-MIN(1,MAX(Assumptions!$C$27,Assumptions!$C$13*Assumptions!$C$28^(CL$5-1))*$O194)),0)</f>
        <v>0.72096032342784655</v>
      </c>
      <c r="CN194" s="93">
        <f>IF(AND($T194=1,CN$5&lt;=$H194),CM194*(1-AX194)*(1-MIN(1,MAX(Assumptions!$C$27,Assumptions!$C$13*Assumptions!$C$28^(CM$5-1))*$O194)),0)</f>
        <v>0.66755243250612362</v>
      </c>
      <c r="CO194" s="93">
        <f>IF(AND($T194=1,CO$5&lt;=$H194),CN194*(1-AY194)*(1-MIN(1,MAX(Assumptions!$C$27,Assumptions!$C$13*Assumptions!$C$28^(CN$5-1))*$O194)),0)</f>
        <v>0.62545557445938404</v>
      </c>
      <c r="CP194" s="93">
        <f>IF(AND($T194=1,CP$5&lt;=$H194),CO194*(1-AZ194)*(1-MIN(1,MAX(Assumptions!$C$27,Assumptions!$C$13*Assumptions!$C$28^(CO$5-1))*$O194)),0)</f>
        <v>0.59186548286686202</v>
      </c>
      <c r="CQ194" s="93">
        <f>IF(AND($T194=1,CQ$5&lt;=$H194),CP194*(1-BA194)*(1-MIN(1,MAX(Assumptions!$C$27,Assumptions!$C$13*Assumptions!$C$28^(CP$5-1))*$O194)),0)</f>
        <v>0.5647812131770017</v>
      </c>
      <c r="CR194" s="93">
        <f>IF(AND($T194=1,CR$5&lt;=$H194),CQ194*(1-BB194)*(1-MIN(1,MAX(Assumptions!$C$27,Assumptions!$C$13*Assumptions!$C$28^(CQ$5-1))*$O194)),0)</f>
        <v>0.54274462379576338</v>
      </c>
      <c r="CS194" s="93">
        <f>IF(AND($T194=1,CS$5&lt;=$H194),CR194*(1-BC194)*(1-MIN(1,MAX(Assumptions!$C$27,Assumptions!$C$13*Assumptions!$C$28^(CR$5-1))*$O194)),0)</f>
        <v>0.52467296530534913</v>
      </c>
      <c r="CT194" s="93">
        <f>IF(AND($T194=1,CT$5&lt;=$H194),CS194*(1-BD194)*(1-MIN(1,MAX(Assumptions!$C$27,Assumptions!$C$13*Assumptions!$C$28^(CS$5-1))*$O194)),0)</f>
        <v>0.50974861447246367</v>
      </c>
      <c r="CU194" s="93">
        <f>IF(AND($T194=1,CU$5&lt;=$H194),CT194*(1-BE194)*(1-MIN(1,MAX(Assumptions!$C$27,Assumptions!$C$13*Assumptions!$C$28^(CT$5-1))*$O194)),0)</f>
        <v>0.49734480211653659</v>
      </c>
      <c r="CV194" s="93">
        <f>IF(AND($T194=1,CV$5&lt;=$H194),CU194*(1-BF194)*(1-MIN(1,MAX(Assumptions!$C$27,Assumptions!$C$13*Assumptions!$C$28^(CU$5-1))*$O194)),0)</f>
        <v>0.48697455139179963</v>
      </c>
      <c r="CW194" s="93">
        <f>IF(AND($T194=1,CW$5&lt;=$H194),CV194*(1-BG194)*(1-MIN(1,MAX(Assumptions!$C$27,Assumptions!$C$13*Assumptions!$C$28^(CV$5-1))*$O194)),0)</f>
        <v>0.4768288047580117</v>
      </c>
      <c r="CX194" s="93">
        <f>IF(AND($T194=1,CX$5&lt;=$H194),CW194*(1-BH194)*(1-MIN(1,MAX(Assumptions!$C$27,Assumptions!$C$13*Assumptions!$C$28^(CW$5-1))*$O194)),0)</f>
        <v>0.46686130619128935</v>
      </c>
      <c r="CY194" s="93">
        <f>IF(AND($T194=1,CY$5&lt;=$H194),CX194*(1-BI194)*(1-MIN(1,MAX(Assumptions!$C$27,Assumptions!$C$13*Assumptions!$C$28^(CX$5-1))*$O194)),0)</f>
        <v>0.4570670254523585</v>
      </c>
      <c r="CZ194" s="93">
        <f>IF(AND($T194=1,CZ$5&lt;=$H194),CY194*(1-BJ194)*(1-MIN(1,MAX(Assumptions!$C$27,Assumptions!$C$13*Assumptions!$C$28^(CY$5-1))*$O194)),0)</f>
        <v>0.44744095073766627</v>
      </c>
      <c r="DA194" s="93">
        <f>IF(AND($T194=1,DA$5&lt;=$H194),CZ194*(1-BK194)*(1-MIN(1,MAX(Assumptions!$C$27,Assumptions!$C$13*Assumptions!$C$28^(CZ$5-1))*$O194)),0)</f>
        <v>0.43797808444463204</v>
      </c>
      <c r="DB194" s="93">
        <f>IF(AND($T194=1,DB$5&lt;=$H194),DA194*(1-BL194)*(1-MIN(1,MAX(Assumptions!$C$27,Assumptions!$C$13*Assumptions!$C$28^(DA$5-1))*$O194)),0)</f>
        <v>0.42867343895777477</v>
      </c>
      <c r="DC194" s="93">
        <f>IF(AND($T194=1,DC$5&lt;=$H194),DB194*(1-BM194)*(1-MIN(1,MAX(Assumptions!$C$27,Assumptions!$C$13*Assumptions!$C$28^(DB$5-1))*$O194)),0)</f>
        <v>0.41952203247626274</v>
      </c>
      <c r="DD194" s="93">
        <f>IF(AND($T194=1,DD$5&lt;=$H194),DC194*(1-BN194)*(1-MIN(1,MAX(Assumptions!$C$27,Assumptions!$C$13*Assumptions!$C$28^(DC$5-1))*$O194)),0)</f>
        <v>0.41051888490774385</v>
      </c>
      <c r="DE194" s="93">
        <f>IF(AND($T194=1,DE$5&lt;=$H194),DD194*(1-BO194)*(1-MIN(1,MAX(Assumptions!$C$27,Assumptions!$C$13*Assumptions!$C$28^(DD$5-1))*$O194)),0)</f>
        <v>0.40165901385826691</v>
      </c>
      <c r="DF194" s="93">
        <f>IF(AND($T194=1,DF$5&lt;=$H194),DE194*(1-BP194)*(1-MIN(1,MAX(Assumptions!$C$27,Assumptions!$C$13*Assumptions!$C$28^(DE$5-1))*$O194)),0)</f>
        <v>0.39293743075378901</v>
      </c>
      <c r="DG194" s="93">
        <f>IF(AND($T194=1,DG$5&lt;=$H194),DF194*(1-BQ194)*(1-MIN(1,MAX(Assumptions!$C$27,Assumptions!$C$13*Assumptions!$C$28^(DF$5-1))*$O194)),0)</f>
        <v>0.38434913713525776</v>
      </c>
      <c r="DH194" s="93">
        <f>IF(AND($T194=1,DH$5&lt;=$H194),DG194*(1-BR194)*(1-MIN(1,MAX(Assumptions!$C$27,Assumptions!$C$13*Assumptions!$C$28^(DG$5-1))*$O194)),0)</f>
        <v>0.37588912117666684</v>
      </c>
      <c r="DI194" s="93">
        <f>IF(AND($T194=1,DI$5&lt;=$H194),DH194*(1-BS194)*(1-MIN(1,MAX(Assumptions!$C$27,Assumptions!$C$13*Assumptions!$C$28^(DH$5-1))*$O194)),0)</f>
        <v>0</v>
      </c>
      <c r="DJ194" s="93">
        <f>IF(AND($T194=1,DJ$5&lt;=$H194),DI194*(1-BT194)*(1-MIN(1,MAX(Assumptions!$C$27,Assumptions!$C$13*Assumptions!$C$28^(DI$5-1))*$O194)),0)</f>
        <v>0</v>
      </c>
      <c r="DK194" s="93">
        <f>IF(AND($T194=1,DK$5&lt;=$H194),DJ194*(1-BU194)*(1-MIN(1,MAX(Assumptions!$C$27,Assumptions!$C$13*Assumptions!$C$28^(DJ$5-1))*$O194)),0)</f>
        <v>0</v>
      </c>
      <c r="DL194" s="93">
        <f>IF(AND($T194=1,DL$5&lt;=$H194),DK194*(1-BV194)*(1-MIN(1,MAX(Assumptions!$C$27,Assumptions!$C$13*Assumptions!$C$28^(DK$5-1))*$O194)),0)</f>
        <v>0</v>
      </c>
      <c r="DM194" s="93">
        <f>IF(AND($T194=1,DM$5&lt;=$H194),DL194*(1-BW194)*(1-MIN(1,MAX(Assumptions!$C$27,Assumptions!$C$13*Assumptions!$C$28^(DL$5-1))*$O194)),0)</f>
        <v>0</v>
      </c>
      <c r="DN194" s="93">
        <f>IF(AND($T194=1,DN$5&lt;=$H194),DM194*(1-BX194)*(1-MIN(1,MAX(Assumptions!$C$27,Assumptions!$C$13*Assumptions!$C$28^(DM$5-1))*$O194)),0)</f>
        <v>0</v>
      </c>
      <c r="DO194" s="93">
        <f>IF(AND($T194=1,DO$5&lt;=$H194),DN194*(1-BY194)*(1-MIN(1,MAX(Assumptions!$C$27,Assumptions!$C$13*Assumptions!$C$28^(DN$5-1))*$O194)),0)</f>
        <v>0</v>
      </c>
      <c r="DP194" s="93">
        <f>IF(AND($T194=1,DP$5&lt;=$H194),DO194*(1-BZ194)*(1-MIN(1,MAX(Assumptions!$C$27,Assumptions!$C$13*Assumptions!$C$28^(DO$5-1))*$O194)),0)</f>
        <v>0</v>
      </c>
      <c r="DQ194" s="93">
        <f>IF(AND($T194=1,DQ$5&lt;=$H194),DP194*(1-CA194)*(1-MIN(1,MAX(Assumptions!$C$27,Assumptions!$C$13*Assumptions!$C$28^(DP$5-1))*$O194)),0)</f>
        <v>0</v>
      </c>
      <c r="DR194" s="93">
        <f>IF(AND($T194=1,DR$5&lt;=$H194),DQ194*(1-CB194)*(1-MIN(1,MAX(Assumptions!$C$27,Assumptions!$C$13*Assumptions!$C$28^(DQ$5-1))*$O194)),0)</f>
        <v>0</v>
      </c>
      <c r="DS194" s="93">
        <f>IF(AND($T194=1,DS$5&lt;=$H194),DR194*(1-CC194)*(1-MIN(1,MAX(Assumptions!$C$27,Assumptions!$C$13*Assumptions!$C$28^(DR$5-1))*$O194)),0)</f>
        <v>0</v>
      </c>
      <c r="DT194" s="93">
        <f>IF(AND($T194=1,DT$5&lt;=$H194),DS194*(1-CD194)*(1-MIN(1,MAX(Assumptions!$C$27,Assumptions!$C$13*Assumptions!$C$28^(DS$5-1))*$O194)),0)</f>
        <v>0</v>
      </c>
      <c r="DU194" s="93">
        <f>IF(AND($T194=1,DU$5&lt;=$H194),DT194*(1-CE194)*(1-MIN(1,MAX(Assumptions!$C$27,Assumptions!$C$13*Assumptions!$C$28^(DT$5-1))*$O194)),0)</f>
        <v>0</v>
      </c>
      <c r="DV194" s="93">
        <f>IF(AND($T194=1,DV$5&lt;=$H194),DU194*(1-CF194)*(1-MIN(1,MAX(Assumptions!$C$27,Assumptions!$C$13*Assumptions!$C$28^(DU$5-1))*$O194)),0)</f>
        <v>0</v>
      </c>
      <c r="DW194" s="94">
        <f>IF(AND($T194=1,DW$5&lt;=$H194),DV194*(1-CG194)*(1-MIN(1,MAX(Assumptions!$C$27,Assumptions!$C$13*Assumptions!$C$28^(DV$5-1))*$O194)),0)</f>
        <v>0</v>
      </c>
      <c r="DX194" s="26"/>
      <c r="DY194" s="399">
        <f>'Policy Data'!K168</f>
        <v>1</v>
      </c>
      <c r="DZ194" s="100">
        <f>'Policy Data'!L168</f>
        <v>0.71819999999999995</v>
      </c>
      <c r="EA194" s="100">
        <f>'Policy Data'!N168</f>
        <v>2.34E-4</v>
      </c>
      <c r="EB194" s="93" cm="1">
        <f t="array" ref="EB194">IFERROR(DZ194*INDEX(Mortality!$B$4:$E$64,MATCH(D194+DY194-1,Mortality!$A$4:$A$64,0),U194)*V194,0)</f>
        <v>2.3409369848259148E-4</v>
      </c>
      <c r="EC194" s="100">
        <f>'Policy Data'!O168</f>
        <v>0</v>
      </c>
      <c r="ED194" s="400">
        <f>'Policy Data'!Q168</f>
        <v>0</v>
      </c>
    </row>
    <row r="195" spans="1:134" x14ac:dyDescent="0.3">
      <c r="A195" s="399" t="str">
        <f>'Policy Data'!A169</f>
        <v>POL100165</v>
      </c>
      <c r="B195" s="26" t="s">
        <v>426</v>
      </c>
      <c r="C195" s="100" t="str">
        <f>'Policy Data'!B169</f>
        <v>Term Life</v>
      </c>
      <c r="D195" s="100">
        <f>'Policy Data'!C169</f>
        <v>20</v>
      </c>
      <c r="E195" s="100" t="str">
        <f>'Policy Data'!D169</f>
        <v>Female</v>
      </c>
      <c r="F195" s="100" t="str">
        <f>'Policy Data'!E169</f>
        <v>Non-smoker</v>
      </c>
      <c r="G195" s="100" t="str">
        <f>'Policy Data'!F169</f>
        <v>Standard</v>
      </c>
      <c r="H195" s="100">
        <f>'Policy Data'!G169</f>
        <v>20</v>
      </c>
      <c r="I195" s="279">
        <f>'Policy Data'!H169</f>
        <v>1000000</v>
      </c>
      <c r="J195" s="100" t="str">
        <f>'Policy Data'!I169</f>
        <v>Annual</v>
      </c>
      <c r="K195" s="100" t="str">
        <f>'Policy Data'!J169</f>
        <v>Bancassurance</v>
      </c>
      <c r="L195" s="26" t="s">
        <v>389</v>
      </c>
      <c r="M195" s="106">
        <f>'Policy Data'!R169</f>
        <v>1232.8</v>
      </c>
      <c r="N195" s="415">
        <f>Assumptions!$C$21</f>
        <v>1</v>
      </c>
      <c r="O195" s="415">
        <f>Assumptions!$C$22</f>
        <v>1</v>
      </c>
      <c r="P195" s="415">
        <f>Assumptions!$C$23</f>
        <v>1</v>
      </c>
      <c r="Q195" s="416">
        <f>Assumptions!$C$24</f>
        <v>0</v>
      </c>
      <c r="R195" s="416">
        <f>Assumptions!$C$6+Assumptions!$C$25</f>
        <v>3.5000000000000003E-2</v>
      </c>
      <c r="S195" s="416">
        <f>Assumptions!$C$15</f>
        <v>1.1000000000000001E-3</v>
      </c>
      <c r="T195" s="26">
        <f t="shared" si="54"/>
        <v>1</v>
      </c>
      <c r="U195" s="26">
        <f t="shared" si="55"/>
        <v>1</v>
      </c>
      <c r="V195" s="389">
        <f>IF($G195="Preferred",Assumptions!$C$30,IF($G195="Rated",Assumptions!$C$31,1))</f>
        <v>1</v>
      </c>
      <c r="W195" s="390">
        <f>IF($K195="Direct",Assumptions!$C$32,IF($K195="Broker",Assumptions!$C$33,IF($K195="Bancassurance",Assumptions!$C$34,Assumptions!$C$11)))+$Q195</f>
        <v>0.2</v>
      </c>
      <c r="X195" s="390">
        <f>Assumptions!$C$12+$Q195</f>
        <v>0.05</v>
      </c>
      <c r="Y195" s="131">
        <f>MIN($I195,Assumptions!$C$14)</f>
        <v>500000</v>
      </c>
      <c r="Z195" s="131">
        <f>MAX($I195-Assumptions!$C$14,0)</f>
        <v>500000</v>
      </c>
      <c r="AA195" s="389">
        <f t="shared" si="56"/>
        <v>8.6235378850559528</v>
      </c>
      <c r="AB195" s="389">
        <f t="shared" si="57"/>
        <v>2.8799109177593072E-3</v>
      </c>
      <c r="AC195" s="389">
        <f>IF($T195=1,SUMPRODUCT($CJ195:$DW195,(1+Assumptions!$C$5)^($CJ$5:$DW$5-1),(1+$R195)^(-$CJ$5:$DW$5)),0)</f>
        <v>11.618411952376867</v>
      </c>
      <c r="AD195" s="389">
        <f t="shared" si="58"/>
        <v>0.57610443048468174</v>
      </c>
      <c r="AE195" s="131">
        <f>IF($T195=1,$AB195*$Y195+(Assumptions!$C$9/(1+$R195)+Assumptions!$C$10*$AC195)*$P195+$S195*$Z195*$AA195,0)</f>
        <v>9608.5171425746412</v>
      </c>
      <c r="AF195" s="131">
        <f>IF($T195=1,IF($AA195-$AD195-Assumptions!$C$16*$AA195&gt;0,$AE195/($AA195-$AD195-Assumptions!$C$16*$AA195)*IF($J195="Monthly",1+Assumptions!$C$29,1),"n.a."),"")</f>
        <v>1305.9396931262122</v>
      </c>
      <c r="AG195" s="131">
        <f t="shared" si="59"/>
        <v>1232.8</v>
      </c>
      <c r="AH195" s="131">
        <f t="shared" si="60"/>
        <v>10631.097504696978</v>
      </c>
      <c r="AI195" s="131">
        <f t="shared" si="61"/>
        <v>312.35882022082114</v>
      </c>
      <c r="AJ195" s="390">
        <f t="shared" si="62"/>
        <v>2.9381615593575015E-2</v>
      </c>
      <c r="AK195" s="389">
        <f t="shared" si="63"/>
        <v>0.94399458603549491</v>
      </c>
      <c r="AL195" s="131">
        <f t="shared" si="64"/>
        <v>1439.9554588796536</v>
      </c>
      <c r="AM195" s="131">
        <f t="shared" si="65"/>
        <v>4742.9458367807738</v>
      </c>
      <c r="AN195" s="131">
        <f t="shared" si="66"/>
        <v>-3302.9903779011202</v>
      </c>
      <c r="AO195" s="131">
        <f t="shared" si="67"/>
        <v>3615.3491981219413</v>
      </c>
      <c r="AP195" s="26" t="str">
        <f t="shared" si="68"/>
        <v>20-29</v>
      </c>
      <c r="AQ195" s="26" t="str">
        <f t="shared" si="69"/>
        <v>500k-1m</v>
      </c>
      <c r="AR195" s="26" t="str">
        <f>IF($T195=1,IF($AI195&lt;0,"Loss-making",IF($AJ195&lt;Assumptions!$C$16-0.00001,"Below target","At/above target")),"Excluded")</f>
        <v>Below target</v>
      </c>
      <c r="AS195" s="103">
        <f t="shared" si="70"/>
        <v>312.35901522082116</v>
      </c>
      <c r="AT195" s="26"/>
      <c r="AU195" s="419">
        <f>IF(AND($T195=1,AU$5&lt;=$H195),INDEX(Mortality!$B$4:$E$64,MATCH($D195+AU$5-1,Mortality!$A$4:$A$64,0),$U195)*$V195*$N195,0)</f>
        <v>1.7186832877483699E-4</v>
      </c>
      <c r="AV195" s="93">
        <f>IF(AND($T195=1,AV$5&lt;=$H195),INDEX(Mortality!$B$4:$E$64,MATCH($D195+AV$5-1,Mortality!$A$4:$A$64,0),$U195)*$V195*$N195,0)</f>
        <v>1.86182737904689E-4</v>
      </c>
      <c r="AW195" s="93">
        <f>IF(AND($T195=1,AW$5&lt;=$H195),INDEX(Mortality!$B$4:$E$64,MATCH($D195+AW$5-1,Mortality!$A$4:$A$64,0),$U195)*$V195*$N195,0)</f>
        <v>2.0168935219646599E-4</v>
      </c>
      <c r="AX195" s="93">
        <f>IF(AND($T195=1,AX$5&lt;=$H195),INDEX(Mortality!$B$4:$E$64,MATCH($D195+AX$5-1,Mortality!$A$4:$A$64,0),$U195)*$V195*$N195,0)</f>
        <v>2.18487466922172E-4</v>
      </c>
      <c r="AY195" s="93">
        <f>IF(AND($T195=1,AY$5&lt;=$H195),INDEX(Mortality!$B$4:$E$64,MATCH($D195+AY$5-1,Mortality!$A$4:$A$64,0),$U195)*$V195*$N195,0)</f>
        <v>2.36684647365849E-4</v>
      </c>
      <c r="AZ195" s="93">
        <f>IF(AND($T195=1,AZ$5&lt;=$H195),INDEX(Mortality!$B$4:$E$64,MATCH($D195+AZ$5-1,Mortality!$A$4:$A$64,0),$U195)*$V195*$N195,0)</f>
        <v>2.5639741760863198E-4</v>
      </c>
      <c r="BA195" s="93">
        <f>IF(AND($T195=1,BA$5&lt;=$H195),INDEX(Mortality!$B$4:$E$64,MATCH($D195+BA$5-1,Mortality!$A$4:$A$64,0),$U195)*$V195*$N195,0)</f>
        <v>2.7775200668068702E-4</v>
      </c>
      <c r="BB195" s="93">
        <f>IF(AND($T195=1,BB$5&lt;=$H195),INDEX(Mortality!$B$4:$E$64,MATCH($D195+BB$5-1,Mortality!$A$4:$A$64,0),$U195)*$V195*$N195,0)</f>
        <v>3.0088515685795699E-4</v>
      </c>
      <c r="BC195" s="93">
        <f>IF(AND($T195=1,BC$5&lt;=$H195),INDEX(Mortality!$B$4:$E$64,MATCH($D195+BC$5-1,Mortality!$A$4:$A$64,0),$U195)*$V195*$N195,0)</f>
        <v>3.2594499927957602E-4</v>
      </c>
      <c r="BD195" s="93">
        <f>IF(AND($T195=1,BD$5&lt;=$H195),INDEX(Mortality!$B$4:$E$64,MATCH($D195+BD$5-1,Mortality!$A$4:$A$64,0),$U195)*$V195*$N195,0)</f>
        <v>3.53092002492888E-4</v>
      </c>
      <c r="BE195" s="93">
        <f>IF(AND($T195=1,BE$5&lt;=$H195),INDEX(Mortality!$B$4:$E$64,MATCH($D195+BE$5-1,Mortality!$A$4:$A$64,0),$U195)*$V195*$N195,0)</f>
        <v>3.8249999999999997E-4</v>
      </c>
      <c r="BF195" s="93">
        <f>IF(AND($T195=1,BF$5&lt;=$H195),INDEX(Mortality!$B$4:$E$64,MATCH($D195+BF$5-1,Mortality!$A$4:$A$64,0),$U195)*$V195*$N195,0)</f>
        <v>4.1435730338567202E-4</v>
      </c>
      <c r="BG195" s="93">
        <f>IF(AND($T195=1,BG$5&lt;=$H195),INDEX(Mortality!$B$4:$E$64,MATCH($D195+BG$5-1,Mortality!$A$4:$A$64,0),$U195)*$V195*$N195,0)</f>
        <v>4.4886790815436701E-4</v>
      </c>
      <c r="BH195" s="93">
        <f>IF(AND($T195=1,BH$5&lt;=$H195),INDEX(Mortality!$B$4:$E$64,MATCH($D195+BH$5-1,Mortality!$A$4:$A$64,0),$U195)*$V195*$N195,0)</f>
        <v>4.8625279999793699E-4</v>
      </c>
      <c r="BI195" s="93">
        <f>IF(AND($T195=1,BI$5&lt;=$H195),INDEX(Mortality!$B$4:$E$64,MATCH($D195+BI$5-1,Mortality!$A$4:$A$64,0),$U195)*$V195*$N195,0)</f>
        <v>5.2675136985850396E-4</v>
      </c>
      <c r="BJ195" s="93">
        <f>IF(AND($T195=1,BJ$5&lt;=$H195),INDEX(Mortality!$B$4:$E$64,MATCH($D195+BJ$5-1,Mortality!$A$4:$A$64,0),$U195)*$V195*$N195,0)</f>
        <v>5.7062294684778595E-4</v>
      </c>
      <c r="BK195" s="93">
        <f>IF(AND($T195=1,BK$5&lt;=$H195),INDEX(Mortality!$B$4:$E$64,MATCH($D195+BK$5-1,Mortality!$A$4:$A$64,0),$U195)*$V195*$N195,0)</f>
        <v>6.1814845883878197E-4</v>
      </c>
      <c r="BL195" s="93">
        <f>IF(AND($T195=1,BL$5&lt;=$H195),INDEX(Mortality!$B$4:$E$64,MATCH($D195+BL$5-1,Mortality!$A$4:$A$64,0),$U195)*$V195*$N195,0)</f>
        <v>6.6963223136325904E-4</v>
      </c>
      <c r="BM195" s="93">
        <f>IF(AND($T195=1,BM$5&lt;=$H195),INDEX(Mortality!$B$4:$E$64,MATCH($D195+BM$5-1,Mortality!$A$4:$A$64,0),$U195)*$V195*$N195,0)</f>
        <v>7.2540393633414402E-4</v>
      </c>
      <c r="BN195" s="93">
        <f>IF(AND($T195=1,BN$5&lt;=$H195),INDEX(Mortality!$B$4:$E$64,MATCH($D195+BN$5-1,Mortality!$A$4:$A$64,0),$U195)*$V195*$N195,0)</f>
        <v>7.8582070307128696E-4</v>
      </c>
      <c r="BO195" s="93">
        <f>IF(AND($T195=1,BO$5&lt;=$H195),INDEX(Mortality!$B$4:$E$64,MATCH($D195+BO$5-1,Mortality!$A$4:$A$64,0),$U195)*$V195*$N195,0)</f>
        <v>0</v>
      </c>
      <c r="BP195" s="93">
        <f>IF(AND($T195=1,BP$5&lt;=$H195),INDEX(Mortality!$B$4:$E$64,MATCH($D195+BP$5-1,Mortality!$A$4:$A$64,0),$U195)*$V195*$N195,0)</f>
        <v>0</v>
      </c>
      <c r="BQ195" s="93">
        <f>IF(AND($T195=1,BQ$5&lt;=$H195),INDEX(Mortality!$B$4:$E$64,MATCH($D195+BQ$5-1,Mortality!$A$4:$A$64,0),$U195)*$V195*$N195,0)</f>
        <v>0</v>
      </c>
      <c r="BR195" s="93">
        <f>IF(AND($T195=1,BR$5&lt;=$H195),INDEX(Mortality!$B$4:$E$64,MATCH($D195+BR$5-1,Mortality!$A$4:$A$64,0),$U195)*$V195*$N195,0)</f>
        <v>0</v>
      </c>
      <c r="BS195" s="93">
        <f>IF(AND($T195=1,BS$5&lt;=$H195),INDEX(Mortality!$B$4:$E$64,MATCH($D195+BS$5-1,Mortality!$A$4:$A$64,0),$U195)*$V195*$N195,0)</f>
        <v>0</v>
      </c>
      <c r="BT195" s="93">
        <f>IF(AND($T195=1,BT$5&lt;=$H195),INDEX(Mortality!$B$4:$E$64,MATCH($D195+BT$5-1,Mortality!$A$4:$A$64,0),$U195)*$V195*$N195,0)</f>
        <v>0</v>
      </c>
      <c r="BU195" s="93">
        <f>IF(AND($T195=1,BU$5&lt;=$H195),INDEX(Mortality!$B$4:$E$64,MATCH($D195+BU$5-1,Mortality!$A$4:$A$64,0),$U195)*$V195*$N195,0)</f>
        <v>0</v>
      </c>
      <c r="BV195" s="93">
        <f>IF(AND($T195=1,BV$5&lt;=$H195),INDEX(Mortality!$B$4:$E$64,MATCH($D195+BV$5-1,Mortality!$A$4:$A$64,0),$U195)*$V195*$N195,0)</f>
        <v>0</v>
      </c>
      <c r="BW195" s="93">
        <f>IF(AND($T195=1,BW$5&lt;=$H195),INDEX(Mortality!$B$4:$E$64,MATCH($D195+BW$5-1,Mortality!$A$4:$A$64,0),$U195)*$V195*$N195,0)</f>
        <v>0</v>
      </c>
      <c r="BX195" s="93">
        <f>IF(AND($T195=1,BX$5&lt;=$H195),INDEX(Mortality!$B$4:$E$64,MATCH($D195+BX$5-1,Mortality!$A$4:$A$64,0),$U195)*$V195*$N195,0)</f>
        <v>0</v>
      </c>
      <c r="BY195" s="93">
        <f>IF(AND($T195=1,BY$5&lt;=$H195),INDEX(Mortality!$B$4:$E$64,MATCH($D195+BY$5-1,Mortality!$A$4:$A$64,0),$U195)*$V195*$N195,0)</f>
        <v>0</v>
      </c>
      <c r="BZ195" s="93">
        <f>IF(AND($T195=1,BZ$5&lt;=$H195),INDEX(Mortality!$B$4:$E$64,MATCH($D195+BZ$5-1,Mortality!$A$4:$A$64,0),$U195)*$V195*$N195,0)</f>
        <v>0</v>
      </c>
      <c r="CA195" s="93">
        <f>IF(AND($T195=1,CA$5&lt;=$H195),INDEX(Mortality!$B$4:$E$64,MATCH($D195+CA$5-1,Mortality!$A$4:$A$64,0),$U195)*$V195*$N195,0)</f>
        <v>0</v>
      </c>
      <c r="CB195" s="93">
        <f>IF(AND($T195=1,CB$5&lt;=$H195),INDEX(Mortality!$B$4:$E$64,MATCH($D195+CB$5-1,Mortality!$A$4:$A$64,0),$U195)*$V195*$N195,0)</f>
        <v>0</v>
      </c>
      <c r="CC195" s="93">
        <f>IF(AND($T195=1,CC$5&lt;=$H195),INDEX(Mortality!$B$4:$E$64,MATCH($D195+CC$5-1,Mortality!$A$4:$A$64,0),$U195)*$V195*$N195,0)</f>
        <v>0</v>
      </c>
      <c r="CD195" s="93">
        <f>IF(AND($T195=1,CD$5&lt;=$H195),INDEX(Mortality!$B$4:$E$64,MATCH($D195+CD$5-1,Mortality!$A$4:$A$64,0),$U195)*$V195*$N195,0)</f>
        <v>0</v>
      </c>
      <c r="CE195" s="93">
        <f>IF(AND($T195=1,CE$5&lt;=$H195),INDEX(Mortality!$B$4:$E$64,MATCH($D195+CE$5-1,Mortality!$A$4:$A$64,0),$U195)*$V195*$N195,0)</f>
        <v>0</v>
      </c>
      <c r="CF195" s="93">
        <f>IF(AND($T195=1,CF$5&lt;=$H195),INDEX(Mortality!$B$4:$E$64,MATCH($D195+CF$5-1,Mortality!$A$4:$A$64,0),$U195)*$V195*$N195,0)</f>
        <v>0</v>
      </c>
      <c r="CG195" s="93">
        <f>IF(AND($T195=1,CG$5&lt;=$H195),INDEX(Mortality!$B$4:$E$64,MATCH($D195+CG$5-1,Mortality!$A$4:$A$64,0),$U195)*$V195*$N195,0)</f>
        <v>0</v>
      </c>
      <c r="CH195" s="94">
        <f>IF(AND($T195=1,CH$5&lt;=$H195),INDEX(Mortality!$B$4:$E$64,MATCH($D195+CH$5-1,Mortality!$A$4:$A$64,0),$U195)*$V195*$N195,0)</f>
        <v>0</v>
      </c>
      <c r="CI195" s="26"/>
      <c r="CJ195" s="419">
        <f t="shared" si="71"/>
        <v>1</v>
      </c>
      <c r="CK195" s="93">
        <f>IF(AND($T195=1,CK$5&lt;=$H195),CJ195*(1-AU195)*(1-MIN(1,MAX(Assumptions!$C$27,Assumptions!$C$13*Assumptions!$C$28^(CJ$5-1))*$O195)),0)</f>
        <v>0.87984875587067812</v>
      </c>
      <c r="CL195" s="93">
        <f>IF(AND($T195=1,CL$5&lt;=$H195),CK195*(1-AV195)*(1-MIN(1,MAX(Assumptions!$C$27,Assumptions!$C$13*Assumptions!$C$28^(CK$5-1))*$O195)),0)</f>
        <v>0.7899570790118905</v>
      </c>
      <c r="CM195" s="93">
        <f>IF(AND($T195=1,CM$5&lt;=$H195),CL195*(1-AW195)*(1-MIN(1,MAX(Assumptions!$C$27,Assumptions!$C$13*Assumptions!$C$28^(CL$5-1))*$O195)),0)</f>
        <v>0.72132228788829422</v>
      </c>
      <c r="CN195" s="93">
        <f>IF(AND($T195=1,CN$5&lt;=$H195),CM195*(1-AX195)*(1-MIN(1,MAX(Assumptions!$C$27,Assumptions!$C$13*Assumptions!$C$28^(CM$5-1))*$O195)),0)</f>
        <v>0.66801845632597201</v>
      </c>
      <c r="CO195" s="93">
        <f>IF(AND($T195=1,CO$5&lt;=$H195),CN195*(1-AY195)*(1-MIN(1,MAX(Assumptions!$C$27,Assumptions!$C$13*Assumptions!$C$28^(CN$5-1))*$O195)),0)</f>
        <v>0.62602507360609161</v>
      </c>
      <c r="CP195" s="93">
        <f>IF(AND($T195=1,CP$5&lt;=$H195),CO195*(1-AZ195)*(1-MIN(1,MAX(Assumptions!$C$27,Assumptions!$C$13*Assumptions!$C$28^(CO$5-1))*$O195)),0)</f>
        <v>0.59254063064510354</v>
      </c>
      <c r="CQ195" s="93">
        <f>IF(AND($T195=1,CQ$5&lt;=$H195),CP195*(1-BA195)*(1-MIN(1,MAX(Assumptions!$C$27,Assumptions!$C$13*Assumptions!$C$28^(CP$5-1))*$O195)),0)</f>
        <v>0.56556633039821003</v>
      </c>
      <c r="CR195" s="93">
        <f>IF(AND($T195=1,CR$5&lt;=$H195),CQ195*(1-BB195)*(1-MIN(1,MAX(Assumptions!$C$27,Assumptions!$C$13*Assumptions!$C$28^(CQ$5-1))*$O195)),0)</f>
        <v>0.5436457933248463</v>
      </c>
      <c r="CS195" s="93">
        <f>IF(AND($T195=1,CS$5&lt;=$H195),CR195*(1-BC195)*(1-MIN(1,MAX(Assumptions!$C$27,Assumptions!$C$13*Assumptions!$C$28^(CR$5-1))*$O195)),0)</f>
        <v>0.52569778957178115</v>
      </c>
      <c r="CT195" s="93">
        <f>IF(AND($T195=1,CT$5&lt;=$H195),CS195*(1-BD195)*(1-MIN(1,MAX(Assumptions!$C$27,Assumptions!$C$13*Assumptions!$C$28^(CS$5-1))*$O195)),0)</f>
        <v>0.51090606700370111</v>
      </c>
      <c r="CU195" s="93">
        <f>IF(AND($T195=1,CU$5&lt;=$H195),CT195*(1-BE195)*(1-MIN(1,MAX(Assumptions!$C$27,Assumptions!$C$13*Assumptions!$C$28^(CT$5-1))*$O195)),0)</f>
        <v>0.49864514293985995</v>
      </c>
      <c r="CV195" s="93">
        <f>IF(AND($T195=1,CV$5&lt;=$H195),CU195*(1-BF195)*(1-MIN(1,MAX(Assumptions!$C$27,Assumptions!$C$13*Assumptions!$C$28^(CU$5-1))*$O195)),0)</f>
        <v>0.48842928732296381</v>
      </c>
      <c r="CW195" s="93">
        <f>IF(AND($T195=1,CW$5&lt;=$H195),CV195*(1-BG195)*(1-MIN(1,MAX(Assumptions!$C$27,Assumptions!$C$13*Assumptions!$C$28^(CV$5-1))*$O195)),0)</f>
        <v>0.47844584614867219</v>
      </c>
      <c r="CX195" s="93">
        <f>IF(AND($T195=1,CX$5&lt;=$H195),CW195*(1-BH195)*(1-MIN(1,MAX(Assumptions!$C$27,Assumptions!$C$13*Assumptions!$C$28^(CW$5-1))*$O195)),0)</f>
        <v>0.46864893650600831</v>
      </c>
      <c r="CY195" s="93">
        <f>IF(AND($T195=1,CY$5&lt;=$H195),CX195*(1-BI195)*(1-MIN(1,MAX(Assumptions!$C$27,Assumptions!$C$13*Assumptions!$C$28^(CX$5-1))*$O195)),0)</f>
        <v>0.4590340335359866</v>
      </c>
      <c r="CZ195" s="93">
        <f>IF(AND($T195=1,CZ$5&lt;=$H195),CY195*(1-BJ195)*(1-MIN(1,MAX(Assumptions!$C$27,Assumptions!$C$13*Assumptions!$C$28^(CY$5-1))*$O195)),0)</f>
        <v>0.44959665621940559</v>
      </c>
      <c r="DA195" s="93">
        <f>IF(AND($T195=1,DA$5&lt;=$H195),CZ195*(1-BK195)*(1-MIN(1,MAX(Assumptions!$C$27,Assumptions!$C$13*Assumptions!$C$28^(CZ$5-1))*$O195)),0)</f>
        <v>0.44033236396447917</v>
      </c>
      <c r="DB195" s="93">
        <f>IF(AND($T195=1,DB$5&lt;=$H195),DA195*(1-BL195)*(1-MIN(1,MAX(Assumptions!$C$27,Assumptions!$C$13*Assumptions!$C$28^(DA$5-1))*$O195)),0)</f>
        <v>0.43123675315663501</v>
      </c>
      <c r="DC195" s="93">
        <f>IF(AND($T195=1,DC$5&lt;=$H195),DB195*(1-BM195)*(1-MIN(1,MAX(Assumptions!$C$27,Assumptions!$C$13*Assumptions!$C$28^(DB$5-1))*$O195)),0)</f>
        <v>0.4223054536720352</v>
      </c>
      <c r="DD195" s="93">
        <f>IF(AND($T195=1,DD$5&lt;=$H195),DC195*(1-BN195)*(1-MIN(1,MAX(Assumptions!$C$27,Assumptions!$C$13*Assumptions!$C$28^(DC$5-1))*$O195)),0)</f>
        <v>0</v>
      </c>
      <c r="DE195" s="93">
        <f>IF(AND($T195=1,DE$5&lt;=$H195),DD195*(1-BO195)*(1-MIN(1,MAX(Assumptions!$C$27,Assumptions!$C$13*Assumptions!$C$28^(DD$5-1))*$O195)),0)</f>
        <v>0</v>
      </c>
      <c r="DF195" s="93">
        <f>IF(AND($T195=1,DF$5&lt;=$H195),DE195*(1-BP195)*(1-MIN(1,MAX(Assumptions!$C$27,Assumptions!$C$13*Assumptions!$C$28^(DE$5-1))*$O195)),0)</f>
        <v>0</v>
      </c>
      <c r="DG195" s="93">
        <f>IF(AND($T195=1,DG$5&lt;=$H195),DF195*(1-BQ195)*(1-MIN(1,MAX(Assumptions!$C$27,Assumptions!$C$13*Assumptions!$C$28^(DF$5-1))*$O195)),0)</f>
        <v>0</v>
      </c>
      <c r="DH195" s="93">
        <f>IF(AND($T195=1,DH$5&lt;=$H195),DG195*(1-BR195)*(1-MIN(1,MAX(Assumptions!$C$27,Assumptions!$C$13*Assumptions!$C$28^(DG$5-1))*$O195)),0)</f>
        <v>0</v>
      </c>
      <c r="DI195" s="93">
        <f>IF(AND($T195=1,DI$5&lt;=$H195),DH195*(1-BS195)*(1-MIN(1,MAX(Assumptions!$C$27,Assumptions!$C$13*Assumptions!$C$28^(DH$5-1))*$O195)),0)</f>
        <v>0</v>
      </c>
      <c r="DJ195" s="93">
        <f>IF(AND($T195=1,DJ$5&lt;=$H195),DI195*(1-BT195)*(1-MIN(1,MAX(Assumptions!$C$27,Assumptions!$C$13*Assumptions!$C$28^(DI$5-1))*$O195)),0)</f>
        <v>0</v>
      </c>
      <c r="DK195" s="93">
        <f>IF(AND($T195=1,DK$5&lt;=$H195),DJ195*(1-BU195)*(1-MIN(1,MAX(Assumptions!$C$27,Assumptions!$C$13*Assumptions!$C$28^(DJ$5-1))*$O195)),0)</f>
        <v>0</v>
      </c>
      <c r="DL195" s="93">
        <f>IF(AND($T195=1,DL$5&lt;=$H195),DK195*(1-BV195)*(1-MIN(1,MAX(Assumptions!$C$27,Assumptions!$C$13*Assumptions!$C$28^(DK$5-1))*$O195)),0)</f>
        <v>0</v>
      </c>
      <c r="DM195" s="93">
        <f>IF(AND($T195=1,DM$5&lt;=$H195),DL195*(1-BW195)*(1-MIN(1,MAX(Assumptions!$C$27,Assumptions!$C$13*Assumptions!$C$28^(DL$5-1))*$O195)),0)</f>
        <v>0</v>
      </c>
      <c r="DN195" s="93">
        <f>IF(AND($T195=1,DN$5&lt;=$H195),DM195*(1-BX195)*(1-MIN(1,MAX(Assumptions!$C$27,Assumptions!$C$13*Assumptions!$C$28^(DM$5-1))*$O195)),0)</f>
        <v>0</v>
      </c>
      <c r="DO195" s="93">
        <f>IF(AND($T195=1,DO$5&lt;=$H195),DN195*(1-BY195)*(1-MIN(1,MAX(Assumptions!$C$27,Assumptions!$C$13*Assumptions!$C$28^(DN$5-1))*$O195)),0)</f>
        <v>0</v>
      </c>
      <c r="DP195" s="93">
        <f>IF(AND($T195=1,DP$5&lt;=$H195),DO195*(1-BZ195)*(1-MIN(1,MAX(Assumptions!$C$27,Assumptions!$C$13*Assumptions!$C$28^(DO$5-1))*$O195)),0)</f>
        <v>0</v>
      </c>
      <c r="DQ195" s="93">
        <f>IF(AND($T195=1,DQ$5&lt;=$H195),DP195*(1-CA195)*(1-MIN(1,MAX(Assumptions!$C$27,Assumptions!$C$13*Assumptions!$C$28^(DP$5-1))*$O195)),0)</f>
        <v>0</v>
      </c>
      <c r="DR195" s="93">
        <f>IF(AND($T195=1,DR$5&lt;=$H195),DQ195*(1-CB195)*(1-MIN(1,MAX(Assumptions!$C$27,Assumptions!$C$13*Assumptions!$C$28^(DQ$5-1))*$O195)),0)</f>
        <v>0</v>
      </c>
      <c r="DS195" s="93">
        <f>IF(AND($T195=1,DS$5&lt;=$H195),DR195*(1-CC195)*(1-MIN(1,MAX(Assumptions!$C$27,Assumptions!$C$13*Assumptions!$C$28^(DR$5-1))*$O195)),0)</f>
        <v>0</v>
      </c>
      <c r="DT195" s="93">
        <f>IF(AND($T195=1,DT$5&lt;=$H195),DS195*(1-CD195)*(1-MIN(1,MAX(Assumptions!$C$27,Assumptions!$C$13*Assumptions!$C$28^(DS$5-1))*$O195)),0)</f>
        <v>0</v>
      </c>
      <c r="DU195" s="93">
        <f>IF(AND($T195=1,DU$5&lt;=$H195),DT195*(1-CE195)*(1-MIN(1,MAX(Assumptions!$C$27,Assumptions!$C$13*Assumptions!$C$28^(DT$5-1))*$O195)),0)</f>
        <v>0</v>
      </c>
      <c r="DV195" s="93">
        <f>IF(AND($T195=1,DV$5&lt;=$H195),DU195*(1-CF195)*(1-MIN(1,MAX(Assumptions!$C$27,Assumptions!$C$13*Assumptions!$C$28^(DU$5-1))*$O195)),0)</f>
        <v>0</v>
      </c>
      <c r="DW195" s="94">
        <f>IF(AND($T195=1,DW$5&lt;=$H195),DV195*(1-CG195)*(1-MIN(1,MAX(Assumptions!$C$27,Assumptions!$C$13*Assumptions!$C$28^(DV$5-1))*$O195)),0)</f>
        <v>0</v>
      </c>
      <c r="DX195" s="26"/>
      <c r="DY195" s="399">
        <f>'Policy Data'!K169</f>
        <v>5</v>
      </c>
      <c r="DZ195" s="100">
        <f>'Policy Data'!L169</f>
        <v>0.88070000000000004</v>
      </c>
      <c r="EA195" s="100">
        <f>'Policy Data'!N169</f>
        <v>1.5100000000000001E-4</v>
      </c>
      <c r="EB195" s="93" cm="1">
        <f t="array" ref="EB195">IFERROR(DZ195*INDEX(Mortality!$B$4:$E$64,MATCH(D195+DY195-1,Mortality!$A$4:$A$64,0),U195)*V195,0)</f>
        <v>2.0844816893510323E-4</v>
      </c>
      <c r="EC195" s="100">
        <f>'Policy Data'!O169</f>
        <v>0</v>
      </c>
      <c r="ED195" s="400">
        <f>'Policy Data'!Q169</f>
        <v>0</v>
      </c>
    </row>
    <row r="196" spans="1:134" x14ac:dyDescent="0.3">
      <c r="A196" s="399" t="str">
        <f>'Policy Data'!A170</f>
        <v>POL100166</v>
      </c>
      <c r="B196" s="26" t="s">
        <v>426</v>
      </c>
      <c r="C196" s="100" t="str">
        <f>'Policy Data'!B170</f>
        <v>Term Life</v>
      </c>
      <c r="D196" s="100">
        <f>'Policy Data'!C170</f>
        <v>26</v>
      </c>
      <c r="E196" s="100" t="str">
        <f>'Policy Data'!D170</f>
        <v>Male</v>
      </c>
      <c r="F196" s="100" t="str">
        <f>'Policy Data'!E170</f>
        <v>Smoker</v>
      </c>
      <c r="G196" s="100" t="str">
        <f>'Policy Data'!F170</f>
        <v>Standard</v>
      </c>
      <c r="H196" s="100">
        <f>'Policy Data'!G170</f>
        <v>20</v>
      </c>
      <c r="I196" s="279">
        <f>'Policy Data'!H170</f>
        <v>250000</v>
      </c>
      <c r="J196" s="100" t="str">
        <f>'Policy Data'!I170</f>
        <v>Monthly</v>
      </c>
      <c r="K196" s="100" t="str">
        <f>'Policy Data'!J170</f>
        <v>Broker</v>
      </c>
      <c r="L196" s="26" t="s">
        <v>389</v>
      </c>
      <c r="M196" s="106">
        <f>'Policy Data'!R170</f>
        <v>1200</v>
      </c>
      <c r="N196" s="415">
        <f>Assumptions!$C$21</f>
        <v>1</v>
      </c>
      <c r="O196" s="415">
        <f>Assumptions!$C$22</f>
        <v>1</v>
      </c>
      <c r="P196" s="415">
        <f>Assumptions!$C$23</f>
        <v>1</v>
      </c>
      <c r="Q196" s="416">
        <f>Assumptions!$C$24</f>
        <v>0</v>
      </c>
      <c r="R196" s="416">
        <f>Assumptions!$C$6+Assumptions!$C$25</f>
        <v>3.5000000000000003E-2</v>
      </c>
      <c r="S196" s="416">
        <f>Assumptions!$C$15</f>
        <v>1.1000000000000001E-3</v>
      </c>
      <c r="T196" s="26">
        <f t="shared" si="54"/>
        <v>1</v>
      </c>
      <c r="U196" s="26">
        <f t="shared" si="55"/>
        <v>4</v>
      </c>
      <c r="V196" s="389">
        <f>IF($G196="Preferred",Assumptions!$C$30,IF($G196="Rated",Assumptions!$C$31,1))</f>
        <v>1</v>
      </c>
      <c r="W196" s="390">
        <f>IF($K196="Direct",Assumptions!$C$32,IF($K196="Broker",Assumptions!$C$33,IF($K196="Bancassurance",Assumptions!$C$34,Assumptions!$C$11)))+$Q196</f>
        <v>0.25</v>
      </c>
      <c r="X196" s="390">
        <f>Assumptions!$C$12+$Q196</f>
        <v>0.05</v>
      </c>
      <c r="Y196" s="131">
        <f>MIN($I196,Assumptions!$C$14)</f>
        <v>250000</v>
      </c>
      <c r="Z196" s="131">
        <f>MAX($I196-Assumptions!$C$14,0)</f>
        <v>0</v>
      </c>
      <c r="AA196" s="389">
        <f t="shared" si="56"/>
        <v>8.5799685424032379</v>
      </c>
      <c r="AB196" s="389">
        <f t="shared" si="57"/>
        <v>1.031046761021836E-2</v>
      </c>
      <c r="AC196" s="389">
        <f>IF($T196=1,SUMPRODUCT($CJ196:$DW196,(1+Assumptions!$C$5)^($CJ$5:$DW$5-1),(1+$R196)^(-$CJ$5:$DW$5)),0)</f>
        <v>11.545768816729648</v>
      </c>
      <c r="AD196" s="389">
        <f t="shared" si="58"/>
        <v>0.62223514209600728</v>
      </c>
      <c r="AE196" s="131">
        <f>IF($T196=1,$AB196*$Y196+(Assumptions!$C$9/(1+$R196)+Assumptions!$C$10*$AC196)*$P196+$S196*$Z196*$AA196,0)</f>
        <v>5987.2512596264169</v>
      </c>
      <c r="AF196" s="131">
        <f>IF($T196=1,IF($AA196-$AD196-Assumptions!$C$16*$AA196&gt;0,$AE196/($AA196-$AD196-Assumptions!$C$16*$AA196)*IF($J196="Monthly",1+Assumptions!$C$29,1),"n.a."),"")</f>
        <v>848.1067121475586</v>
      </c>
      <c r="AG196" s="131">
        <f t="shared" si="59"/>
        <v>1200</v>
      </c>
      <c r="AH196" s="131">
        <f t="shared" si="60"/>
        <v>10295.962250883886</v>
      </c>
      <c r="AI196" s="131">
        <f t="shared" si="61"/>
        <v>3562.02882074226</v>
      </c>
      <c r="AJ196" s="390">
        <f t="shared" si="62"/>
        <v>0.34596366361351683</v>
      </c>
      <c r="AK196" s="389">
        <f t="shared" si="63"/>
        <v>1.4149162868448293</v>
      </c>
      <c r="AL196" s="131">
        <f t="shared" si="64"/>
        <v>0</v>
      </c>
      <c r="AM196" s="131">
        <f t="shared" si="65"/>
        <v>0</v>
      </c>
      <c r="AN196" s="131">
        <f t="shared" si="66"/>
        <v>0</v>
      </c>
      <c r="AO196" s="131">
        <f t="shared" si="67"/>
        <v>3562.02882074226</v>
      </c>
      <c r="AP196" s="26" t="str">
        <f t="shared" si="68"/>
        <v>20-29</v>
      </c>
      <c r="AQ196" s="26" t="str">
        <f t="shared" si="69"/>
        <v>Up to 250k</v>
      </c>
      <c r="AR196" s="26" t="str">
        <f>IF($T196=1,IF($AI196&lt;0,"Loss-making",IF($AJ196&lt;Assumptions!$C$16-0.00001,"Below target","At/above target")),"Excluded")</f>
        <v>At/above target</v>
      </c>
      <c r="AS196" s="103">
        <f t="shared" si="70"/>
        <v>3562.02901674226</v>
      </c>
      <c r="AT196" s="26"/>
      <c r="AU196" s="419">
        <f>IF(AND($T196=1,AU$5&lt;=$H196),INDEX(Mortality!$B$4:$E$64,MATCH($D196+AU$5-1,Mortality!$A$4:$A$64,0),$U196)*$V196*$N196,0)</f>
        <v>6.2004050903129799E-4</v>
      </c>
      <c r="AV196" s="93">
        <f>IF(AND($T196=1,AV$5&lt;=$H196),INDEX(Mortality!$B$4:$E$64,MATCH($D196+AV$5-1,Mortality!$A$4:$A$64,0),$U196)*$V196*$N196,0)</f>
        <v>6.7168186486820302E-4</v>
      </c>
      <c r="AW196" s="93">
        <f>IF(AND($T196=1,AW$5&lt;=$H196),INDEX(Mortality!$B$4:$E$64,MATCH($D196+AW$5-1,Mortality!$A$4:$A$64,0),$U196)*$V196*$N196,0)</f>
        <v>7.2762427780352396E-4</v>
      </c>
      <c r="AX196" s="93">
        <f>IF(AND($T196=1,AX$5&lt;=$H196),INDEX(Mortality!$B$4:$E$64,MATCH($D196+AX$5-1,Mortality!$A$4:$A$64,0),$U196)*$V196*$N196,0)</f>
        <v>7.8822597027088895E-4</v>
      </c>
      <c r="AY196" s="93">
        <f>IF(AND($T196=1,AY$5&lt;=$H196),INDEX(Mortality!$B$4:$E$64,MATCH($D196+AY$5-1,Mortality!$A$4:$A$64,0),$U196)*$V196*$N196,0)</f>
        <v>8.5387500000000003E-4</v>
      </c>
      <c r="AZ196" s="93">
        <f>IF(AND($T196=1,AZ$5&lt;=$H196),INDEX(Mortality!$B$4:$E$64,MATCH($D196+AZ$5-1,Mortality!$A$4:$A$64,0),$U196)*$V196*$N196,0)</f>
        <v>9.2499174491095498E-4</v>
      </c>
      <c r="BA196" s="93">
        <f>IF(AND($T196=1,BA$5&lt;=$H196),INDEX(Mortality!$B$4:$E$64,MATCH($D196+BA$5-1,Mortality!$A$4:$A$64,0),$U196)*$V196*$N196,0)</f>
        <v>1.0020315949681299E-3</v>
      </c>
      <c r="BB196" s="93">
        <f>IF(AND($T196=1,BB$5&lt;=$H196),INDEX(Mortality!$B$4:$E$64,MATCH($D196+BB$5-1,Mortality!$A$4:$A$64,0),$U196)*$V196*$N196,0)</f>
        <v>1.08548786823069E-3</v>
      </c>
      <c r="BC196" s="93">
        <f>IF(AND($T196=1,BC$5&lt;=$H196),INDEX(Mortality!$B$4:$E$64,MATCH($D196+BC$5-1,Mortality!$A$4:$A$64,0),$U196)*$V196*$N196,0)</f>
        <v>1.1758949697723701E-3</v>
      </c>
      <c r="BD196" s="93">
        <f>IF(AND($T196=1,BD$5&lt;=$H196),INDEX(Mortality!$B$4:$E$64,MATCH($D196+BD$5-1,Mortality!$A$4:$A$64,0),$U196)*$V196*$N196,0)</f>
        <v>1.27383181369844E-3</v>
      </c>
      <c r="BE196" s="93">
        <f>IF(AND($T196=1,BE$5&lt;=$H196),INDEX(Mortality!$B$4:$E$64,MATCH($D196+BE$5-1,Mortality!$A$4:$A$64,0),$U196)*$V196*$N196,0)</f>
        <v>1.3799255301724599E-3</v>
      </c>
      <c r="BF196" s="93">
        <f>IF(AND($T196=1,BF$5&lt;=$H196),INDEX(Mortality!$B$4:$E$64,MATCH($D196+BF$5-1,Mortality!$A$4:$A$64,0),$U196)*$V196*$N196,0)</f>
        <v>1.49485548119033E-3</v>
      </c>
      <c r="BG196" s="93">
        <f>IF(AND($T196=1,BG$5&lt;=$H196),INDEX(Mortality!$B$4:$E$64,MATCH($D196+BG$5-1,Mortality!$A$4:$A$64,0),$U196)*$V196*$N196,0)</f>
        <v>1.6193576108165201E-3</v>
      </c>
      <c r="BH196" s="93">
        <f>IF(AND($T196=1,BH$5&lt;=$H196),INDEX(Mortality!$B$4:$E$64,MATCH($D196+BH$5-1,Mortality!$A$4:$A$64,0),$U196)*$V196*$N196,0)</f>
        <v>1.75422915773855E-3</v>
      </c>
      <c r="BI196" s="93">
        <f>IF(AND($T196=1,BI$5&lt;=$H196),INDEX(Mortality!$B$4:$E$64,MATCH($D196+BI$5-1,Mortality!$A$4:$A$64,0),$U196)*$V196*$N196,0)</f>
        <v>1.90033376031651E-3</v>
      </c>
      <c r="BJ196" s="93">
        <f>IF(AND($T196=1,BJ$5&lt;=$H196),INDEX(Mortality!$B$4:$E$64,MATCH($D196+BJ$5-1,Mortality!$A$4:$A$64,0),$U196)*$V196*$N196,0)</f>
        <v>2.0586069868169998E-3</v>
      </c>
      <c r="BK196" s="93">
        <f>IF(AND($T196=1,BK$5&lt;=$H196),INDEX(Mortality!$B$4:$E$64,MATCH($D196+BK$5-1,Mortality!$A$4:$A$64,0),$U196)*$V196*$N196,0)</f>
        <v>2.2300623262441598E-3</v>
      </c>
      <c r="BL196" s="93">
        <f>IF(AND($T196=1,BL$5&lt;=$H196),INDEX(Mortality!$B$4:$E$64,MATCH($D196+BL$5-1,Mortality!$A$4:$A$64,0),$U196)*$V196*$N196,0)</f>
        <v>2.4157976781294401E-3</v>
      </c>
      <c r="BM196" s="93">
        <f>IF(AND($T196=1,BM$5&lt;=$H196),INDEX(Mortality!$B$4:$E$64,MATCH($D196+BM$5-1,Mortality!$A$4:$A$64,0),$U196)*$V196*$N196,0)</f>
        <v>2.6170023828368102E-3</v>
      </c>
      <c r="BN196" s="93">
        <f>IF(AND($T196=1,BN$5&lt;=$H196),INDEX(Mortality!$B$4:$E$64,MATCH($D196+BN$5-1,Mortality!$A$4:$A$64,0),$U196)*$V196*$N196,0)</f>
        <v>2.8349648374016699E-3</v>
      </c>
      <c r="BO196" s="93">
        <f>IF(AND($T196=1,BO$5&lt;=$H196),INDEX(Mortality!$B$4:$E$64,MATCH($D196+BO$5-1,Mortality!$A$4:$A$64,0),$U196)*$V196*$N196,0)</f>
        <v>0</v>
      </c>
      <c r="BP196" s="93">
        <f>IF(AND($T196=1,BP$5&lt;=$H196),INDEX(Mortality!$B$4:$E$64,MATCH($D196+BP$5-1,Mortality!$A$4:$A$64,0),$U196)*$V196*$N196,0)</f>
        <v>0</v>
      </c>
      <c r="BQ196" s="93">
        <f>IF(AND($T196=1,BQ$5&lt;=$H196),INDEX(Mortality!$B$4:$E$64,MATCH($D196+BQ$5-1,Mortality!$A$4:$A$64,0),$U196)*$V196*$N196,0)</f>
        <v>0</v>
      </c>
      <c r="BR196" s="93">
        <f>IF(AND($T196=1,BR$5&lt;=$H196),INDEX(Mortality!$B$4:$E$64,MATCH($D196+BR$5-1,Mortality!$A$4:$A$64,0),$U196)*$V196*$N196,0)</f>
        <v>0</v>
      </c>
      <c r="BS196" s="93">
        <f>IF(AND($T196=1,BS$5&lt;=$H196),INDEX(Mortality!$B$4:$E$64,MATCH($D196+BS$5-1,Mortality!$A$4:$A$64,0),$U196)*$V196*$N196,0)</f>
        <v>0</v>
      </c>
      <c r="BT196" s="93">
        <f>IF(AND($T196=1,BT$5&lt;=$H196),INDEX(Mortality!$B$4:$E$64,MATCH($D196+BT$5-1,Mortality!$A$4:$A$64,0),$U196)*$V196*$N196,0)</f>
        <v>0</v>
      </c>
      <c r="BU196" s="93">
        <f>IF(AND($T196=1,BU$5&lt;=$H196),INDEX(Mortality!$B$4:$E$64,MATCH($D196+BU$5-1,Mortality!$A$4:$A$64,0),$U196)*$V196*$N196,0)</f>
        <v>0</v>
      </c>
      <c r="BV196" s="93">
        <f>IF(AND($T196=1,BV$5&lt;=$H196),INDEX(Mortality!$B$4:$E$64,MATCH($D196+BV$5-1,Mortality!$A$4:$A$64,0),$U196)*$V196*$N196,0)</f>
        <v>0</v>
      </c>
      <c r="BW196" s="93">
        <f>IF(AND($T196=1,BW$5&lt;=$H196),INDEX(Mortality!$B$4:$E$64,MATCH($D196+BW$5-1,Mortality!$A$4:$A$64,0),$U196)*$V196*$N196,0)</f>
        <v>0</v>
      </c>
      <c r="BX196" s="93">
        <f>IF(AND($T196=1,BX$5&lt;=$H196),INDEX(Mortality!$B$4:$E$64,MATCH($D196+BX$5-1,Mortality!$A$4:$A$64,0),$U196)*$V196*$N196,0)</f>
        <v>0</v>
      </c>
      <c r="BY196" s="93">
        <f>IF(AND($T196=1,BY$5&lt;=$H196),INDEX(Mortality!$B$4:$E$64,MATCH($D196+BY$5-1,Mortality!$A$4:$A$64,0),$U196)*$V196*$N196,0)</f>
        <v>0</v>
      </c>
      <c r="BZ196" s="93">
        <f>IF(AND($T196=1,BZ$5&lt;=$H196),INDEX(Mortality!$B$4:$E$64,MATCH($D196+BZ$5-1,Mortality!$A$4:$A$64,0),$U196)*$V196*$N196,0)</f>
        <v>0</v>
      </c>
      <c r="CA196" s="93">
        <f>IF(AND($T196=1,CA$5&lt;=$H196),INDEX(Mortality!$B$4:$E$64,MATCH($D196+CA$5-1,Mortality!$A$4:$A$64,0),$U196)*$V196*$N196,0)</f>
        <v>0</v>
      </c>
      <c r="CB196" s="93">
        <f>IF(AND($T196=1,CB$5&lt;=$H196),INDEX(Mortality!$B$4:$E$64,MATCH($D196+CB$5-1,Mortality!$A$4:$A$64,0),$U196)*$V196*$N196,0)</f>
        <v>0</v>
      </c>
      <c r="CC196" s="93">
        <f>IF(AND($T196=1,CC$5&lt;=$H196),INDEX(Mortality!$B$4:$E$64,MATCH($D196+CC$5-1,Mortality!$A$4:$A$64,0),$U196)*$V196*$N196,0)</f>
        <v>0</v>
      </c>
      <c r="CD196" s="93">
        <f>IF(AND($T196=1,CD$5&lt;=$H196),INDEX(Mortality!$B$4:$E$64,MATCH($D196+CD$5-1,Mortality!$A$4:$A$64,0),$U196)*$V196*$N196,0)</f>
        <v>0</v>
      </c>
      <c r="CE196" s="93">
        <f>IF(AND($T196=1,CE$5&lt;=$H196),INDEX(Mortality!$B$4:$E$64,MATCH($D196+CE$5-1,Mortality!$A$4:$A$64,0),$U196)*$V196*$N196,0)</f>
        <v>0</v>
      </c>
      <c r="CF196" s="93">
        <f>IF(AND($T196=1,CF$5&lt;=$H196),INDEX(Mortality!$B$4:$E$64,MATCH($D196+CF$5-1,Mortality!$A$4:$A$64,0),$U196)*$V196*$N196,0)</f>
        <v>0</v>
      </c>
      <c r="CG196" s="93">
        <f>IF(AND($T196=1,CG$5&lt;=$H196),INDEX(Mortality!$B$4:$E$64,MATCH($D196+CG$5-1,Mortality!$A$4:$A$64,0),$U196)*$V196*$N196,0)</f>
        <v>0</v>
      </c>
      <c r="CH196" s="94">
        <f>IF(AND($T196=1,CH$5&lt;=$H196),INDEX(Mortality!$B$4:$E$64,MATCH($D196+CH$5-1,Mortality!$A$4:$A$64,0),$U196)*$V196*$N196,0)</f>
        <v>0</v>
      </c>
      <c r="CI196" s="26"/>
      <c r="CJ196" s="419">
        <f t="shared" si="71"/>
        <v>1</v>
      </c>
      <c r="CK196" s="93">
        <f>IF(AND($T196=1,CK$5&lt;=$H196),CJ196*(1-AU196)*(1-MIN(1,MAX(Assumptions!$C$27,Assumptions!$C$13*Assumptions!$C$28^(CJ$5-1))*$O196)),0)</f>
        <v>0.87945436435205249</v>
      </c>
      <c r="CL196" s="93">
        <f>IF(AND($T196=1,CL$5&lt;=$H196),CK196*(1-AV196)*(1-MIN(1,MAX(Assumptions!$C$27,Assumptions!$C$13*Assumptions!$C$28^(CK$5-1))*$O196)),0)</f>
        <v>0.78921955842247515</v>
      </c>
      <c r="CM196" s="93">
        <f>IF(AND($T196=1,CM$5&lt;=$H196),CL196*(1-AW196)*(1-MIN(1,MAX(Assumptions!$C$27,Assumptions!$C$13*Assumptions!$C$28^(CL$5-1))*$O196)),0)</f>
        <v>0.72026975533150428</v>
      </c>
      <c r="CN196" s="93">
        <f>IF(AND($T196=1,CN$5&lt;=$H196),CM196*(1-AX196)*(1-MIN(1,MAX(Assumptions!$C$27,Assumptions!$C$13*Assumptions!$C$28^(CM$5-1))*$O196)),0)</f>
        <v>0.66666357964050127</v>
      </c>
      <c r="CO196" s="93">
        <f>IF(AND($T196=1,CO$5&lt;=$H196),CN196*(1-AY196)*(1-MIN(1,MAX(Assumptions!$C$27,Assumptions!$C$13*Assumptions!$C$28^(CN$5-1))*$O196)),0)</f>
        <v>0.62436968373189061</v>
      </c>
      <c r="CP196" s="93">
        <f>IF(AND($T196=1,CP$5&lt;=$H196),CO196*(1-AZ196)*(1-MIN(1,MAX(Assumptions!$C$27,Assumptions!$C$13*Assumptions!$C$28^(CO$5-1))*$O196)),0)</f>
        <v>0.59057856019010235</v>
      </c>
      <c r="CQ196" s="93">
        <f>IF(AND($T196=1,CQ$5&lt;=$H196),CP196*(1-BA196)*(1-MIN(1,MAX(Assumptions!$C$27,Assumptions!$C$13*Assumptions!$C$28^(CP$5-1))*$O196)),0)</f>
        <v>0.56328519433514823</v>
      </c>
      <c r="CR196" s="93">
        <f>IF(AND($T196=1,CR$5&lt;=$H196),CQ196*(1-BB196)*(1-MIN(1,MAX(Assumptions!$C$27,Assumptions!$C$13*Assumptions!$C$28^(CQ$5-1))*$O196)),0)</f>
        <v>0.54102811740324674</v>
      </c>
      <c r="CS196" s="93">
        <f>IF(AND($T196=1,CS$5&lt;=$H196),CR196*(1-BC196)*(1-MIN(1,MAX(Assumptions!$C$27,Assumptions!$C$13*Assumptions!$C$28^(CR$5-1))*$O196)),0)</f>
        <v>0.52272172363179203</v>
      </c>
      <c r="CT196" s="93">
        <f>IF(AND($T196=1,CT$5&lt;=$H196),CS196*(1-BD196)*(1-MIN(1,MAX(Assumptions!$C$27,Assumptions!$C$13*Assumptions!$C$28^(CS$5-1))*$O196)),0)</f>
        <v>0.50754582586748831</v>
      </c>
      <c r="CU196" s="93">
        <f>IF(AND($T196=1,CU$5&lt;=$H196),CT196*(1-BE196)*(1-MIN(1,MAX(Assumptions!$C$27,Assumptions!$C$13*Assumptions!$C$28^(CT$5-1))*$O196)),0)</f>
        <v>0.49487126288722255</v>
      </c>
      <c r="CV196" s="93">
        <f>IF(AND($T196=1,CV$5&lt;=$H196),CU196*(1-BF196)*(1-MIN(1,MAX(Assumptions!$C$27,Assumptions!$C$13*Assumptions!$C$28^(CU$5-1))*$O196)),0)</f>
        <v>0.48420875366760641</v>
      </c>
      <c r="CW196" s="93">
        <f>IF(AND($T196=1,CW$5&lt;=$H196),CV196*(1-BG196)*(1-MIN(1,MAX(Assumptions!$C$27,Assumptions!$C$13*Assumptions!$C$28^(CV$5-1))*$O196)),0)</f>
        <v>0.47375615360638818</v>
      </c>
      <c r="CX196" s="93">
        <f>IF(AND($T196=1,CX$5&lt;=$H196),CW196*(1-BH196)*(1-MIN(1,MAX(Assumptions!$C$27,Assumptions!$C$13*Assumptions!$C$28^(CW$5-1))*$O196)),0)</f>
        <v>0.4634665752131123</v>
      </c>
      <c r="CY196" s="93">
        <f>IF(AND($T196=1,CY$5&lt;=$H196),CX196*(1-BI196)*(1-MIN(1,MAX(Assumptions!$C$27,Assumptions!$C$13*Assumptions!$C$28^(CX$5-1))*$O196)),0)</f>
        <v>0.45333411735278739</v>
      </c>
      <c r="CZ196" s="93">
        <f>IF(AND($T196=1,CZ$5&lt;=$H196),CY196*(1-BJ196)*(1-MIN(1,MAX(Assumptions!$C$27,Assumptions!$C$13*Assumptions!$C$28^(CY$5-1))*$O196)),0)</f>
        <v>0.44335286296001353</v>
      </c>
      <c r="DA196" s="93">
        <f>IF(AND($T196=1,DA$5&lt;=$H196),CZ196*(1-BK196)*(1-MIN(1,MAX(Assumptions!$C$27,Assumptions!$C$13*Assumptions!$C$28^(CZ$5-1))*$O196)),0)</f>
        <v>0.43351687527423199</v>
      </c>
      <c r="DB196" s="93">
        <f>IF(AND($T196=1,DB$5&lt;=$H196),DA196*(1-BL196)*(1-MIN(1,MAX(Assumptions!$C$27,Assumptions!$C$13*Assumptions!$C$28^(DA$5-1))*$O196)),0)</f>
        <v>0.42382019448924424</v>
      </c>
      <c r="DC196" s="93">
        <f>IF(AND($T196=1,DC$5&lt;=$H196),DB196*(1-BM196)*(1-MIN(1,MAX(Assumptions!$C$27,Assumptions!$C$13*Assumptions!$C$28^(DB$5-1))*$O196)),0)</f>
        <v>0.41425683490976406</v>
      </c>
      <c r="DD196" s="93">
        <f>IF(AND($T196=1,DD$5&lt;=$H196),DC196*(1-BN196)*(1-MIN(1,MAX(Assumptions!$C$27,Assumptions!$C$13*Assumptions!$C$28^(DC$5-1))*$O196)),0)</f>
        <v>0</v>
      </c>
      <c r="DE196" s="93">
        <f>IF(AND($T196=1,DE$5&lt;=$H196),DD196*(1-BO196)*(1-MIN(1,MAX(Assumptions!$C$27,Assumptions!$C$13*Assumptions!$C$28^(DD$5-1))*$O196)),0)</f>
        <v>0</v>
      </c>
      <c r="DF196" s="93">
        <f>IF(AND($T196=1,DF$5&lt;=$H196),DE196*(1-BP196)*(1-MIN(1,MAX(Assumptions!$C$27,Assumptions!$C$13*Assumptions!$C$28^(DE$5-1))*$O196)),0)</f>
        <v>0</v>
      </c>
      <c r="DG196" s="93">
        <f>IF(AND($T196=1,DG$5&lt;=$H196),DF196*(1-BQ196)*(1-MIN(1,MAX(Assumptions!$C$27,Assumptions!$C$13*Assumptions!$C$28^(DF$5-1))*$O196)),0)</f>
        <v>0</v>
      </c>
      <c r="DH196" s="93">
        <f>IF(AND($T196=1,DH$5&lt;=$H196),DG196*(1-BR196)*(1-MIN(1,MAX(Assumptions!$C$27,Assumptions!$C$13*Assumptions!$C$28^(DG$5-1))*$O196)),0)</f>
        <v>0</v>
      </c>
      <c r="DI196" s="93">
        <f>IF(AND($T196=1,DI$5&lt;=$H196),DH196*(1-BS196)*(1-MIN(1,MAX(Assumptions!$C$27,Assumptions!$C$13*Assumptions!$C$28^(DH$5-1))*$O196)),0)</f>
        <v>0</v>
      </c>
      <c r="DJ196" s="93">
        <f>IF(AND($T196=1,DJ$5&lt;=$H196),DI196*(1-BT196)*(1-MIN(1,MAX(Assumptions!$C$27,Assumptions!$C$13*Assumptions!$C$28^(DI$5-1))*$O196)),0)</f>
        <v>0</v>
      </c>
      <c r="DK196" s="93">
        <f>IF(AND($T196=1,DK$5&lt;=$H196),DJ196*(1-BU196)*(1-MIN(1,MAX(Assumptions!$C$27,Assumptions!$C$13*Assumptions!$C$28^(DJ$5-1))*$O196)),0)</f>
        <v>0</v>
      </c>
      <c r="DL196" s="93">
        <f>IF(AND($T196=1,DL$5&lt;=$H196),DK196*(1-BV196)*(1-MIN(1,MAX(Assumptions!$C$27,Assumptions!$C$13*Assumptions!$C$28^(DK$5-1))*$O196)),0)</f>
        <v>0</v>
      </c>
      <c r="DM196" s="93">
        <f>IF(AND($T196=1,DM$5&lt;=$H196),DL196*(1-BW196)*(1-MIN(1,MAX(Assumptions!$C$27,Assumptions!$C$13*Assumptions!$C$28^(DL$5-1))*$O196)),0)</f>
        <v>0</v>
      </c>
      <c r="DN196" s="93">
        <f>IF(AND($T196=1,DN$5&lt;=$H196),DM196*(1-BX196)*(1-MIN(1,MAX(Assumptions!$C$27,Assumptions!$C$13*Assumptions!$C$28^(DM$5-1))*$O196)),0)</f>
        <v>0</v>
      </c>
      <c r="DO196" s="93">
        <f>IF(AND($T196=1,DO$5&lt;=$H196),DN196*(1-BY196)*(1-MIN(1,MAX(Assumptions!$C$27,Assumptions!$C$13*Assumptions!$C$28^(DN$5-1))*$O196)),0)</f>
        <v>0</v>
      </c>
      <c r="DP196" s="93">
        <f>IF(AND($T196=1,DP$5&lt;=$H196),DO196*(1-BZ196)*(1-MIN(1,MAX(Assumptions!$C$27,Assumptions!$C$13*Assumptions!$C$28^(DO$5-1))*$O196)),0)</f>
        <v>0</v>
      </c>
      <c r="DQ196" s="93">
        <f>IF(AND($T196=1,DQ$5&lt;=$H196),DP196*(1-CA196)*(1-MIN(1,MAX(Assumptions!$C$27,Assumptions!$C$13*Assumptions!$C$28^(DP$5-1))*$O196)),0)</f>
        <v>0</v>
      </c>
      <c r="DR196" s="93">
        <f>IF(AND($T196=1,DR$5&lt;=$H196),DQ196*(1-CB196)*(1-MIN(1,MAX(Assumptions!$C$27,Assumptions!$C$13*Assumptions!$C$28^(DQ$5-1))*$O196)),0)</f>
        <v>0</v>
      </c>
      <c r="DS196" s="93">
        <f>IF(AND($T196=1,DS$5&lt;=$H196),DR196*(1-CC196)*(1-MIN(1,MAX(Assumptions!$C$27,Assumptions!$C$13*Assumptions!$C$28^(DR$5-1))*$O196)),0)</f>
        <v>0</v>
      </c>
      <c r="DT196" s="93">
        <f>IF(AND($T196=1,DT$5&lt;=$H196),DS196*(1-CD196)*(1-MIN(1,MAX(Assumptions!$C$27,Assumptions!$C$13*Assumptions!$C$28^(DS$5-1))*$O196)),0)</f>
        <v>0</v>
      </c>
      <c r="DU196" s="93">
        <f>IF(AND($T196=1,DU$5&lt;=$H196),DT196*(1-CE196)*(1-MIN(1,MAX(Assumptions!$C$27,Assumptions!$C$13*Assumptions!$C$28^(DT$5-1))*$O196)),0)</f>
        <v>0</v>
      </c>
      <c r="DV196" s="93">
        <f>IF(AND($T196=1,DV$5&lt;=$H196),DU196*(1-CF196)*(1-MIN(1,MAX(Assumptions!$C$27,Assumptions!$C$13*Assumptions!$C$28^(DU$5-1))*$O196)),0)</f>
        <v>0</v>
      </c>
      <c r="DW196" s="94">
        <f>IF(AND($T196=1,DW$5&lt;=$H196),DV196*(1-CG196)*(1-MIN(1,MAX(Assumptions!$C$27,Assumptions!$C$13*Assumptions!$C$28^(DV$5-1))*$O196)),0)</f>
        <v>0</v>
      </c>
      <c r="DX196" s="26"/>
      <c r="DY196" s="399">
        <f>'Policy Data'!K170</f>
        <v>1</v>
      </c>
      <c r="DZ196" s="100">
        <f>'Policy Data'!L170</f>
        <v>0.57379999999999998</v>
      </c>
      <c r="EA196" s="100">
        <f>'Policy Data'!N170</f>
        <v>3.5599999999999998E-4</v>
      </c>
      <c r="EB196" s="93" cm="1">
        <f t="array" ref="EB196">IFERROR(DZ196*INDEX(Mortality!$B$4:$E$64,MATCH(D196+DY196-1,Mortality!$A$4:$A$64,0),U196)*V196,0)</f>
        <v>3.5577924408215875E-4</v>
      </c>
      <c r="EC196" s="100">
        <f>'Policy Data'!O170</f>
        <v>0</v>
      </c>
      <c r="ED196" s="400">
        <f>'Policy Data'!Q170</f>
        <v>0</v>
      </c>
    </row>
    <row r="197" spans="1:134" x14ac:dyDescent="0.3">
      <c r="A197" s="399" t="str">
        <f>'Policy Data'!A171</f>
        <v>POL100167</v>
      </c>
      <c r="B197" s="26" t="s">
        <v>426</v>
      </c>
      <c r="C197" s="100" t="str">
        <f>'Policy Data'!B171</f>
        <v>Term Life</v>
      </c>
      <c r="D197" s="100">
        <f>'Policy Data'!C171</f>
        <v>39</v>
      </c>
      <c r="E197" s="100" t="str">
        <f>'Policy Data'!D171</f>
        <v>Male</v>
      </c>
      <c r="F197" s="100" t="str">
        <f>'Policy Data'!E171</f>
        <v>Non-smoker</v>
      </c>
      <c r="G197" s="100" t="str">
        <f>'Policy Data'!F171</f>
        <v>Standard</v>
      </c>
      <c r="H197" s="100">
        <f>'Policy Data'!G171</f>
        <v>15</v>
      </c>
      <c r="I197" s="279">
        <f>'Policy Data'!H171</f>
        <v>250000</v>
      </c>
      <c r="J197" s="100" t="str">
        <f>'Policy Data'!I171</f>
        <v>Annual</v>
      </c>
      <c r="K197" s="100" t="str">
        <f>'Policy Data'!J171</f>
        <v>Direct</v>
      </c>
      <c r="L197" s="26" t="s">
        <v>389</v>
      </c>
      <c r="M197" s="106">
        <f>'Policy Data'!R171</f>
        <v>1200</v>
      </c>
      <c r="N197" s="415">
        <f>Assumptions!$C$21</f>
        <v>1</v>
      </c>
      <c r="O197" s="415">
        <f>Assumptions!$C$22</f>
        <v>1</v>
      </c>
      <c r="P197" s="415">
        <f>Assumptions!$C$23</f>
        <v>1</v>
      </c>
      <c r="Q197" s="416">
        <f>Assumptions!$C$24</f>
        <v>0</v>
      </c>
      <c r="R197" s="416">
        <f>Assumptions!$C$6+Assumptions!$C$25</f>
        <v>3.5000000000000003E-2</v>
      </c>
      <c r="S197" s="416">
        <f>Assumptions!$C$15</f>
        <v>1.1000000000000001E-3</v>
      </c>
      <c r="T197" s="26">
        <f t="shared" si="54"/>
        <v>1</v>
      </c>
      <c r="U197" s="26">
        <f t="shared" si="55"/>
        <v>3</v>
      </c>
      <c r="V197" s="389">
        <f>IF($G197="Preferred",Assumptions!$C$30,IF($G197="Rated",Assumptions!$C$31,1))</f>
        <v>1</v>
      </c>
      <c r="W197" s="390">
        <f>IF($K197="Direct",Assumptions!$C$32,IF($K197="Broker",Assumptions!$C$33,IF($K197="Bancassurance",Assumptions!$C$34,Assumptions!$C$11)))+$Q197</f>
        <v>0.1</v>
      </c>
      <c r="X197" s="390">
        <f>Assumptions!$C$12+$Q197</f>
        <v>0.05</v>
      </c>
      <c r="Y197" s="131">
        <f>MIN($I197,Assumptions!$C$14)</f>
        <v>250000</v>
      </c>
      <c r="Z197" s="131">
        <f>MAX($I197-Assumptions!$C$14,0)</f>
        <v>0</v>
      </c>
      <c r="AA197" s="389">
        <f t="shared" si="56"/>
        <v>7.3846521258691364</v>
      </c>
      <c r="AB197" s="389">
        <f t="shared" si="57"/>
        <v>1.2785856123411599E-2</v>
      </c>
      <c r="AC197" s="389">
        <f>IF($T197=1,SUMPRODUCT($CJ197:$DW197,(1+Assumptions!$C$5)^($CJ$5:$DW$5-1),(1+$R197)^(-$CJ$5:$DW$5)),0)</f>
        <v>9.2363015982689696</v>
      </c>
      <c r="AD197" s="389">
        <f t="shared" si="58"/>
        <v>0.41754178503741823</v>
      </c>
      <c r="AE197" s="131">
        <f>IF($T197=1,$AB197*$Y197+(Assumptions!$C$9/(1+$R197)+Assumptions!$C$10*$AC197)*$P197+$S197*$Z197*$AA197,0)</f>
        <v>6098.0155998633772</v>
      </c>
      <c r="AF197" s="131">
        <f>IF($T197=1,IF($AA197-$AD197-Assumptions!$C$16*$AA197&gt;0,$AE197/($AA197-$AD197-Assumptions!$C$16*$AA197)*IF($J197="Monthly",1+Assumptions!$C$29,1),"n.a."),"")</f>
        <v>956.3507198888824</v>
      </c>
      <c r="AG197" s="131">
        <f t="shared" si="59"/>
        <v>1200</v>
      </c>
      <c r="AH197" s="131">
        <f t="shared" si="60"/>
        <v>8861.582551042964</v>
      </c>
      <c r="AI197" s="131">
        <f t="shared" si="61"/>
        <v>2262.516809134685</v>
      </c>
      <c r="AJ197" s="390">
        <f t="shared" si="62"/>
        <v>0.25531746684099876</v>
      </c>
      <c r="AK197" s="389">
        <f t="shared" si="63"/>
        <v>1.2547697984055755</v>
      </c>
      <c r="AL197" s="131">
        <f t="shared" si="64"/>
        <v>0</v>
      </c>
      <c r="AM197" s="131">
        <f t="shared" si="65"/>
        <v>0</v>
      </c>
      <c r="AN197" s="131">
        <f t="shared" si="66"/>
        <v>0</v>
      </c>
      <c r="AO197" s="131">
        <f t="shared" si="67"/>
        <v>2262.516809134685</v>
      </c>
      <c r="AP197" s="26" t="str">
        <f t="shared" si="68"/>
        <v>30-39</v>
      </c>
      <c r="AQ197" s="26" t="str">
        <f t="shared" si="69"/>
        <v>Up to 250k</v>
      </c>
      <c r="AR197" s="26" t="str">
        <f>IF($T197=1,IF($AI197&lt;0,"Loss-making",IF($AJ197&lt;Assumptions!$C$16-0.00001,"Below target","At/above target")),"Excluded")</f>
        <v>At/above target</v>
      </c>
      <c r="AS197" s="103">
        <f t="shared" si="70"/>
        <v>2262.5170061346848</v>
      </c>
      <c r="AT197" s="26"/>
      <c r="AU197" s="419">
        <f>IF(AND($T197=1,AU$5&lt;=$H197),INDEX(Mortality!$B$4:$E$64,MATCH($D197+AU$5-1,Mortality!$A$4:$A$64,0),$U197)*$V197*$N197,0)</f>
        <v>1.06316918650821E-3</v>
      </c>
      <c r="AV197" s="93">
        <f>IF(AND($T197=1,AV$5&lt;=$H197),INDEX(Mortality!$B$4:$E$64,MATCH($D197+AV$5-1,Mortality!$A$4:$A$64,0),$U197)*$V197*$N197,0)</f>
        <v>1.1517174304948501E-3</v>
      </c>
      <c r="AW197" s="93">
        <f>IF(AND($T197=1,AW$5&lt;=$H197),INDEX(Mortality!$B$4:$E$64,MATCH($D197+AW$5-1,Mortality!$A$4:$A$64,0),$U197)*$V197*$N197,0)</f>
        <v>1.24764059807091E-3</v>
      </c>
      <c r="AX197" s="93">
        <f>IF(AND($T197=1,AX$5&lt;=$H197),INDEX(Mortality!$B$4:$E$64,MATCH($D197+AX$5-1,Mortality!$A$4:$A$64,0),$U197)*$V197*$N197,0)</f>
        <v>1.3515529249964601E-3</v>
      </c>
      <c r="AY197" s="93">
        <f>IF(AND($T197=1,AY$5&lt;=$H197),INDEX(Mortality!$B$4:$E$64,MATCH($D197+AY$5-1,Mortality!$A$4:$A$64,0),$U197)*$V197*$N197,0)</f>
        <v>1.4641198049269301E-3</v>
      </c>
      <c r="AZ197" s="93">
        <f>IF(AND($T197=1,AZ$5&lt;=$H197),INDEX(Mortality!$B$4:$E$64,MATCH($D197+AZ$5-1,Mortality!$A$4:$A$64,0),$U197)*$V197*$N197,0)</f>
        <v>1.58606205020413E-3</v>
      </c>
      <c r="BA197" s="93">
        <f>IF(AND($T197=1,BA$5&lt;=$H197),INDEX(Mortality!$B$4:$E$64,MATCH($D197+BA$5-1,Mortality!$A$4:$A$64,0),$U197)*$V197*$N197,0)</f>
        <v>1.71816050751616E-3</v>
      </c>
      <c r="BB197" s="93">
        <f>IF(AND($T197=1,BB$5&lt;=$H197),INDEX(Mortality!$B$4:$E$64,MATCH($D197+BB$5-1,Mortality!$A$4:$A$64,0),$U197)*$V197*$N197,0)</f>
        <v>1.8612610579820999E-3</v>
      </c>
      <c r="BC197" s="93">
        <f>IF(AND($T197=1,BC$5&lt;=$H197),INDEX(Mortality!$B$4:$E$64,MATCH($D197+BC$5-1,Mortality!$A$4:$A$64,0),$U197)*$V197*$N197,0)</f>
        <v>2.0162800336790201E-3</v>
      </c>
      <c r="BD197" s="93">
        <f>IF(AND($T197=1,BD$5&lt;=$H197),INDEX(Mortality!$B$4:$E$64,MATCH($D197+BD$5-1,Mortality!$A$4:$A$64,0),$U197)*$V197*$N197,0)</f>
        <v>2.1842100852957199E-3</v>
      </c>
      <c r="BE197" s="93">
        <f>IF(AND($T197=1,BE$5&lt;=$H197),INDEX(Mortality!$B$4:$E$64,MATCH($D197+BE$5-1,Mortality!$A$4:$A$64,0),$U197)*$V197*$N197,0)</f>
        <v>2.3661265384860701E-3</v>
      </c>
      <c r="BF197" s="93">
        <f>IF(AND($T197=1,BF$5&lt;=$H197),INDEX(Mortality!$B$4:$E$64,MATCH($D197+BF$5-1,Mortality!$A$4:$A$64,0),$U197)*$V197*$N197,0)</f>
        <v>2.5631942796244698E-3</v>
      </c>
      <c r="BG197" s="93">
        <f>IF(AND($T197=1,BG$5&lt;=$H197),INDEX(Mortality!$B$4:$E$64,MATCH($D197+BG$5-1,Mortality!$A$4:$A$64,0),$U197)*$V197*$N197,0)</f>
        <v>2.7766752150556202E-3</v>
      </c>
      <c r="BH197" s="93">
        <f>IF(AND($T197=1,BH$5&lt;=$H197),INDEX(Mortality!$B$4:$E$64,MATCH($D197+BH$5-1,Mortality!$A$4:$A$64,0),$U197)*$V197*$N197,0)</f>
        <v>3.0079363516033399E-3</v>
      </c>
      <c r="BI197" s="93">
        <f>IF(AND($T197=1,BI$5&lt;=$H197),INDEX(Mortality!$B$4:$E$64,MATCH($D197+BI$5-1,Mortality!$A$4:$A$64,0),$U197)*$V197*$N197,0)</f>
        <v>3.2584585500813001E-3</v>
      </c>
      <c r="BJ197" s="93">
        <f>IF(AND($T197=1,BJ$5&lt;=$H197),INDEX(Mortality!$B$4:$E$64,MATCH($D197+BJ$5-1,Mortality!$A$4:$A$64,0),$U197)*$V197*$N197,0)</f>
        <v>0</v>
      </c>
      <c r="BK197" s="93">
        <f>IF(AND($T197=1,BK$5&lt;=$H197),INDEX(Mortality!$B$4:$E$64,MATCH($D197+BK$5-1,Mortality!$A$4:$A$64,0),$U197)*$V197*$N197,0)</f>
        <v>0</v>
      </c>
      <c r="BL197" s="93">
        <f>IF(AND($T197=1,BL$5&lt;=$H197),INDEX(Mortality!$B$4:$E$64,MATCH($D197+BL$5-1,Mortality!$A$4:$A$64,0),$U197)*$V197*$N197,0)</f>
        <v>0</v>
      </c>
      <c r="BM197" s="93">
        <f>IF(AND($T197=1,BM$5&lt;=$H197),INDEX(Mortality!$B$4:$E$64,MATCH($D197+BM$5-1,Mortality!$A$4:$A$64,0),$U197)*$V197*$N197,0)</f>
        <v>0</v>
      </c>
      <c r="BN197" s="93">
        <f>IF(AND($T197=1,BN$5&lt;=$H197),INDEX(Mortality!$B$4:$E$64,MATCH($D197+BN$5-1,Mortality!$A$4:$A$64,0),$U197)*$V197*$N197,0)</f>
        <v>0</v>
      </c>
      <c r="BO197" s="93">
        <f>IF(AND($T197=1,BO$5&lt;=$H197),INDEX(Mortality!$B$4:$E$64,MATCH($D197+BO$5-1,Mortality!$A$4:$A$64,0),$U197)*$V197*$N197,0)</f>
        <v>0</v>
      </c>
      <c r="BP197" s="93">
        <f>IF(AND($T197=1,BP$5&lt;=$H197),INDEX(Mortality!$B$4:$E$64,MATCH($D197+BP$5-1,Mortality!$A$4:$A$64,0),$U197)*$V197*$N197,0)</f>
        <v>0</v>
      </c>
      <c r="BQ197" s="93">
        <f>IF(AND($T197=1,BQ$5&lt;=$H197),INDEX(Mortality!$B$4:$E$64,MATCH($D197+BQ$5-1,Mortality!$A$4:$A$64,0),$U197)*$V197*$N197,0)</f>
        <v>0</v>
      </c>
      <c r="BR197" s="93">
        <f>IF(AND($T197=1,BR$5&lt;=$H197),INDEX(Mortality!$B$4:$E$64,MATCH($D197+BR$5-1,Mortality!$A$4:$A$64,0),$U197)*$V197*$N197,0)</f>
        <v>0</v>
      </c>
      <c r="BS197" s="93">
        <f>IF(AND($T197=1,BS$5&lt;=$H197),INDEX(Mortality!$B$4:$E$64,MATCH($D197+BS$5-1,Mortality!$A$4:$A$64,0),$U197)*$V197*$N197,0)</f>
        <v>0</v>
      </c>
      <c r="BT197" s="93">
        <f>IF(AND($T197=1,BT$5&lt;=$H197),INDEX(Mortality!$B$4:$E$64,MATCH($D197+BT$5-1,Mortality!$A$4:$A$64,0),$U197)*$V197*$N197,0)</f>
        <v>0</v>
      </c>
      <c r="BU197" s="93">
        <f>IF(AND($T197=1,BU$5&lt;=$H197),INDEX(Mortality!$B$4:$E$64,MATCH($D197+BU$5-1,Mortality!$A$4:$A$64,0),$U197)*$V197*$N197,0)</f>
        <v>0</v>
      </c>
      <c r="BV197" s="93">
        <f>IF(AND($T197=1,BV$5&lt;=$H197),INDEX(Mortality!$B$4:$E$64,MATCH($D197+BV$5-1,Mortality!$A$4:$A$64,0),$U197)*$V197*$N197,0)</f>
        <v>0</v>
      </c>
      <c r="BW197" s="93">
        <f>IF(AND($T197=1,BW$5&lt;=$H197),INDEX(Mortality!$B$4:$E$64,MATCH($D197+BW$5-1,Mortality!$A$4:$A$64,0),$U197)*$V197*$N197,0)</f>
        <v>0</v>
      </c>
      <c r="BX197" s="93">
        <f>IF(AND($T197=1,BX$5&lt;=$H197),INDEX(Mortality!$B$4:$E$64,MATCH($D197+BX$5-1,Mortality!$A$4:$A$64,0),$U197)*$V197*$N197,0)</f>
        <v>0</v>
      </c>
      <c r="BY197" s="93">
        <f>IF(AND($T197=1,BY$5&lt;=$H197),INDEX(Mortality!$B$4:$E$64,MATCH($D197+BY$5-1,Mortality!$A$4:$A$64,0),$U197)*$V197*$N197,0)</f>
        <v>0</v>
      </c>
      <c r="BZ197" s="93">
        <f>IF(AND($T197=1,BZ$5&lt;=$H197),INDEX(Mortality!$B$4:$E$64,MATCH($D197+BZ$5-1,Mortality!$A$4:$A$64,0),$U197)*$V197*$N197,0)</f>
        <v>0</v>
      </c>
      <c r="CA197" s="93">
        <f>IF(AND($T197=1,CA$5&lt;=$H197),INDEX(Mortality!$B$4:$E$64,MATCH($D197+CA$5-1,Mortality!$A$4:$A$64,0),$U197)*$V197*$N197,0)</f>
        <v>0</v>
      </c>
      <c r="CB197" s="93">
        <f>IF(AND($T197=1,CB$5&lt;=$H197),INDEX(Mortality!$B$4:$E$64,MATCH($D197+CB$5-1,Mortality!$A$4:$A$64,0),$U197)*$V197*$N197,0)</f>
        <v>0</v>
      </c>
      <c r="CC197" s="93">
        <f>IF(AND($T197=1,CC$5&lt;=$H197),INDEX(Mortality!$B$4:$E$64,MATCH($D197+CC$5-1,Mortality!$A$4:$A$64,0),$U197)*$V197*$N197,0)</f>
        <v>0</v>
      </c>
      <c r="CD197" s="93">
        <f>IF(AND($T197=1,CD$5&lt;=$H197),INDEX(Mortality!$B$4:$E$64,MATCH($D197+CD$5-1,Mortality!$A$4:$A$64,0),$U197)*$V197*$N197,0)</f>
        <v>0</v>
      </c>
      <c r="CE197" s="93">
        <f>IF(AND($T197=1,CE$5&lt;=$H197),INDEX(Mortality!$B$4:$E$64,MATCH($D197+CE$5-1,Mortality!$A$4:$A$64,0),$U197)*$V197*$N197,0)</f>
        <v>0</v>
      </c>
      <c r="CF197" s="93">
        <f>IF(AND($T197=1,CF$5&lt;=$H197),INDEX(Mortality!$B$4:$E$64,MATCH($D197+CF$5-1,Mortality!$A$4:$A$64,0),$U197)*$V197*$N197,0)</f>
        <v>0</v>
      </c>
      <c r="CG197" s="93">
        <f>IF(AND($T197=1,CG$5&lt;=$H197),INDEX(Mortality!$B$4:$E$64,MATCH($D197+CG$5-1,Mortality!$A$4:$A$64,0),$U197)*$V197*$N197,0)</f>
        <v>0</v>
      </c>
      <c r="CH197" s="94">
        <f>IF(AND($T197=1,CH$5&lt;=$H197),INDEX(Mortality!$B$4:$E$64,MATCH($D197+CH$5-1,Mortality!$A$4:$A$64,0),$U197)*$V197*$N197,0)</f>
        <v>0</v>
      </c>
      <c r="CI197" s="26"/>
      <c r="CJ197" s="419">
        <f t="shared" si="71"/>
        <v>1</v>
      </c>
      <c r="CK197" s="93">
        <f>IF(AND($T197=1,CK$5&lt;=$H197),CJ197*(1-AU197)*(1-MIN(1,MAX(Assumptions!$C$27,Assumptions!$C$13*Assumptions!$C$28^(CJ$5-1))*$O197)),0)</f>
        <v>0.87906441111587286</v>
      </c>
      <c r="CL197" s="93">
        <f>IF(AND($T197=1,CL$5&lt;=$H197),CK197*(1-AV197)*(1-MIN(1,MAX(Assumptions!$C$27,Assumptions!$C$13*Assumptions!$C$28^(CK$5-1))*$O197)),0)</f>
        <v>0.7884906756253347</v>
      </c>
      <c r="CM197" s="93">
        <f>IF(AND($T197=1,CM$5&lt;=$H197),CL197*(1-AW197)*(1-MIN(1,MAX(Assumptions!$C$27,Assumptions!$C$13*Assumptions!$C$28^(CL$5-1))*$O197)),0)</f>
        <v>0.71923007245370985</v>
      </c>
      <c r="CN197" s="93">
        <f>IF(AND($T197=1,CN$5&lt;=$H197),CM197*(1-AX197)*(1-MIN(1,MAX(Assumptions!$C$27,Assumptions!$C$13*Assumptions!$C$28^(CM$5-1))*$O197)),0)</f>
        <v>0.66532597200802812</v>
      </c>
      <c r="CO197" s="93">
        <f>IF(AND($T197=1,CO$5&lt;=$H197),CN197*(1-AY197)*(1-MIN(1,MAX(Assumptions!$C$27,Assumptions!$C$13*Assumptions!$C$28^(CN$5-1))*$O197)),0)</f>
        <v>0.62273635660984705</v>
      </c>
      <c r="CP197" s="93">
        <f>IF(AND($T197=1,CP$5&lt;=$H197),CO197*(1-AZ197)*(1-MIN(1,MAX(Assumptions!$C$27,Assumptions!$C$13*Assumptions!$C$28^(CO$5-1))*$O197)),0)</f>
        <v>0.58864387619030878</v>
      </c>
      <c r="CQ197" s="93">
        <f>IF(AND($T197=1,CQ$5&lt;=$H197),CP197*(1-BA197)*(1-MIN(1,MAX(Assumptions!$C$27,Assumptions!$C$13*Assumptions!$C$28^(CP$5-1))*$O197)),0)</f>
        <v>0.5610374543837553</v>
      </c>
      <c r="CR197" s="93">
        <f>IF(AND($T197=1,CR$5&lt;=$H197),CQ197*(1-BB197)*(1-MIN(1,MAX(Assumptions!$C$27,Assumptions!$C$13*Assumptions!$C$28^(CQ$5-1))*$O197)),0)</f>
        <v>0.53845069781388799</v>
      </c>
      <c r="CS197" s="93">
        <f>IF(AND($T197=1,CS$5&lt;=$H197),CR197*(1-BC197)*(1-MIN(1,MAX(Assumptions!$C$27,Assumptions!$C$13*Assumptions!$C$28^(CR$5-1))*$O197)),0)</f>
        <v>0.51979380490946159</v>
      </c>
      <c r="CT197" s="93">
        <f>IF(AND($T197=1,CT$5&lt;=$H197),CS197*(1-BD197)*(1-MIN(1,MAX(Assumptions!$C$27,Assumptions!$C$13*Assumptions!$C$28^(CS$5-1))*$O197)),0)</f>
        <v>0.50424285523037182</v>
      </c>
      <c r="CU197" s="93">
        <f>IF(AND($T197=1,CU$5&lt;=$H197),CT197*(1-BE197)*(1-MIN(1,MAX(Assumptions!$C$27,Assumptions!$C$13*Assumptions!$C$28^(CT$5-1))*$O197)),0)</f>
        <v>0.49116523837573978</v>
      </c>
      <c r="CV197" s="93">
        <f>IF(AND($T197=1,CV$5&lt;=$H197),CU197*(1-BF197)*(1-MIN(1,MAX(Assumptions!$C$27,Assumptions!$C$13*Assumptions!$C$28^(CU$5-1))*$O197)),0)</f>
        <v>0.48006838559704013</v>
      </c>
      <c r="CW197" s="93">
        <f>IF(AND($T197=1,CW$5&lt;=$H197),CV197*(1-BG197)*(1-MIN(1,MAX(Assumptions!$C$27,Assumptions!$C$13*Assumptions!$C$28^(CV$5-1))*$O197)),0)</f>
        <v>0.46916068377703662</v>
      </c>
      <c r="CX197" s="93">
        <f>IF(AND($T197=1,CX$5&lt;=$H197),CW197*(1-BH197)*(1-MIN(1,MAX(Assumptions!$C$27,Assumptions!$C$13*Assumptions!$C$28^(CW$5-1))*$O197)),0)</f>
        <v>0.4583944887355294</v>
      </c>
      <c r="CY197" s="93">
        <f>IF(AND($T197=1,CY$5&lt;=$H197),CX197*(1-BI197)*(1-MIN(1,MAX(Assumptions!$C$27,Assumptions!$C$13*Assumptions!$C$28^(CX$5-1))*$O197)),0)</f>
        <v>0</v>
      </c>
      <c r="CZ197" s="93">
        <f>IF(AND($T197=1,CZ$5&lt;=$H197),CY197*(1-BJ197)*(1-MIN(1,MAX(Assumptions!$C$27,Assumptions!$C$13*Assumptions!$C$28^(CY$5-1))*$O197)),0)</f>
        <v>0</v>
      </c>
      <c r="DA197" s="93">
        <f>IF(AND($T197=1,DA$5&lt;=$H197),CZ197*(1-BK197)*(1-MIN(1,MAX(Assumptions!$C$27,Assumptions!$C$13*Assumptions!$C$28^(CZ$5-1))*$O197)),0)</f>
        <v>0</v>
      </c>
      <c r="DB197" s="93">
        <f>IF(AND($T197=1,DB$5&lt;=$H197),DA197*(1-BL197)*(1-MIN(1,MAX(Assumptions!$C$27,Assumptions!$C$13*Assumptions!$C$28^(DA$5-1))*$O197)),0)</f>
        <v>0</v>
      </c>
      <c r="DC197" s="93">
        <f>IF(AND($T197=1,DC$5&lt;=$H197),DB197*(1-BM197)*(1-MIN(1,MAX(Assumptions!$C$27,Assumptions!$C$13*Assumptions!$C$28^(DB$5-1))*$O197)),0)</f>
        <v>0</v>
      </c>
      <c r="DD197" s="93">
        <f>IF(AND($T197=1,DD$5&lt;=$H197),DC197*(1-BN197)*(1-MIN(1,MAX(Assumptions!$C$27,Assumptions!$C$13*Assumptions!$C$28^(DC$5-1))*$O197)),0)</f>
        <v>0</v>
      </c>
      <c r="DE197" s="93">
        <f>IF(AND($T197=1,DE$5&lt;=$H197),DD197*(1-BO197)*(1-MIN(1,MAX(Assumptions!$C$27,Assumptions!$C$13*Assumptions!$C$28^(DD$5-1))*$O197)),0)</f>
        <v>0</v>
      </c>
      <c r="DF197" s="93">
        <f>IF(AND($T197=1,DF$5&lt;=$H197),DE197*(1-BP197)*(1-MIN(1,MAX(Assumptions!$C$27,Assumptions!$C$13*Assumptions!$C$28^(DE$5-1))*$O197)),0)</f>
        <v>0</v>
      </c>
      <c r="DG197" s="93">
        <f>IF(AND($T197=1,DG$5&lt;=$H197),DF197*(1-BQ197)*(1-MIN(1,MAX(Assumptions!$C$27,Assumptions!$C$13*Assumptions!$C$28^(DF$5-1))*$O197)),0)</f>
        <v>0</v>
      </c>
      <c r="DH197" s="93">
        <f>IF(AND($T197=1,DH$5&lt;=$H197),DG197*(1-BR197)*(1-MIN(1,MAX(Assumptions!$C$27,Assumptions!$C$13*Assumptions!$C$28^(DG$5-1))*$O197)),0)</f>
        <v>0</v>
      </c>
      <c r="DI197" s="93">
        <f>IF(AND($T197=1,DI$5&lt;=$H197),DH197*(1-BS197)*(1-MIN(1,MAX(Assumptions!$C$27,Assumptions!$C$13*Assumptions!$C$28^(DH$5-1))*$O197)),0)</f>
        <v>0</v>
      </c>
      <c r="DJ197" s="93">
        <f>IF(AND($T197=1,DJ$5&lt;=$H197),DI197*(1-BT197)*(1-MIN(1,MAX(Assumptions!$C$27,Assumptions!$C$13*Assumptions!$C$28^(DI$5-1))*$O197)),0)</f>
        <v>0</v>
      </c>
      <c r="DK197" s="93">
        <f>IF(AND($T197=1,DK$5&lt;=$H197),DJ197*(1-BU197)*(1-MIN(1,MAX(Assumptions!$C$27,Assumptions!$C$13*Assumptions!$C$28^(DJ$5-1))*$O197)),0)</f>
        <v>0</v>
      </c>
      <c r="DL197" s="93">
        <f>IF(AND($T197=1,DL$5&lt;=$H197),DK197*(1-BV197)*(1-MIN(1,MAX(Assumptions!$C$27,Assumptions!$C$13*Assumptions!$C$28^(DK$5-1))*$O197)),0)</f>
        <v>0</v>
      </c>
      <c r="DM197" s="93">
        <f>IF(AND($T197=1,DM$5&lt;=$H197),DL197*(1-BW197)*(1-MIN(1,MAX(Assumptions!$C$27,Assumptions!$C$13*Assumptions!$C$28^(DL$5-1))*$O197)),0)</f>
        <v>0</v>
      </c>
      <c r="DN197" s="93">
        <f>IF(AND($T197=1,DN$5&lt;=$H197),DM197*(1-BX197)*(1-MIN(1,MAX(Assumptions!$C$27,Assumptions!$C$13*Assumptions!$C$28^(DM$5-1))*$O197)),0)</f>
        <v>0</v>
      </c>
      <c r="DO197" s="93">
        <f>IF(AND($T197=1,DO$5&lt;=$H197),DN197*(1-BY197)*(1-MIN(1,MAX(Assumptions!$C$27,Assumptions!$C$13*Assumptions!$C$28^(DN$5-1))*$O197)),0)</f>
        <v>0</v>
      </c>
      <c r="DP197" s="93">
        <f>IF(AND($T197=1,DP$5&lt;=$H197),DO197*(1-BZ197)*(1-MIN(1,MAX(Assumptions!$C$27,Assumptions!$C$13*Assumptions!$C$28^(DO$5-1))*$O197)),0)</f>
        <v>0</v>
      </c>
      <c r="DQ197" s="93">
        <f>IF(AND($T197=1,DQ$5&lt;=$H197),DP197*(1-CA197)*(1-MIN(1,MAX(Assumptions!$C$27,Assumptions!$C$13*Assumptions!$C$28^(DP$5-1))*$O197)),0)</f>
        <v>0</v>
      </c>
      <c r="DR197" s="93">
        <f>IF(AND($T197=1,DR$5&lt;=$H197),DQ197*(1-CB197)*(1-MIN(1,MAX(Assumptions!$C$27,Assumptions!$C$13*Assumptions!$C$28^(DQ$5-1))*$O197)),0)</f>
        <v>0</v>
      </c>
      <c r="DS197" s="93">
        <f>IF(AND($T197=1,DS$5&lt;=$H197),DR197*(1-CC197)*(1-MIN(1,MAX(Assumptions!$C$27,Assumptions!$C$13*Assumptions!$C$28^(DR$5-1))*$O197)),0)</f>
        <v>0</v>
      </c>
      <c r="DT197" s="93">
        <f>IF(AND($T197=1,DT$5&lt;=$H197),DS197*(1-CD197)*(1-MIN(1,MAX(Assumptions!$C$27,Assumptions!$C$13*Assumptions!$C$28^(DS$5-1))*$O197)),0)</f>
        <v>0</v>
      </c>
      <c r="DU197" s="93">
        <f>IF(AND($T197=1,DU$5&lt;=$H197),DT197*(1-CE197)*(1-MIN(1,MAX(Assumptions!$C$27,Assumptions!$C$13*Assumptions!$C$28^(DT$5-1))*$O197)),0)</f>
        <v>0</v>
      </c>
      <c r="DV197" s="93">
        <f>IF(AND($T197=1,DV$5&lt;=$H197),DU197*(1-CF197)*(1-MIN(1,MAX(Assumptions!$C$27,Assumptions!$C$13*Assumptions!$C$28^(DU$5-1))*$O197)),0)</f>
        <v>0</v>
      </c>
      <c r="DW197" s="94">
        <f>IF(AND($T197=1,DW$5&lt;=$H197),DV197*(1-CG197)*(1-MIN(1,MAX(Assumptions!$C$27,Assumptions!$C$13*Assumptions!$C$28^(DV$5-1))*$O197)),0)</f>
        <v>0</v>
      </c>
      <c r="DX197" s="26"/>
      <c r="DY197" s="399">
        <f>'Policy Data'!K171</f>
        <v>2</v>
      </c>
      <c r="DZ197" s="100">
        <f>'Policy Data'!L171</f>
        <v>0.74070000000000003</v>
      </c>
      <c r="EA197" s="100">
        <f>'Policy Data'!N171</f>
        <v>7.8799999999999996E-4</v>
      </c>
      <c r="EB197" s="93" cm="1">
        <f t="array" ref="EB197">IFERROR(DZ197*INDEX(Mortality!$B$4:$E$64,MATCH(D197+DY197-1,Mortality!$A$4:$A$64,0),U197)*V197,0)</f>
        <v>8.5307710076753553E-4</v>
      </c>
      <c r="EC197" s="100">
        <f>'Policy Data'!O171</f>
        <v>0</v>
      </c>
      <c r="ED197" s="400">
        <f>'Policy Data'!Q171</f>
        <v>0</v>
      </c>
    </row>
    <row r="198" spans="1:134" x14ac:dyDescent="0.3">
      <c r="A198" s="399" t="str">
        <f>'Policy Data'!A172</f>
        <v>POL100168</v>
      </c>
      <c r="B198" s="26" t="s">
        <v>426</v>
      </c>
      <c r="C198" s="100" t="str">
        <f>'Policy Data'!B172</f>
        <v>Term Life</v>
      </c>
      <c r="D198" s="100">
        <f>'Policy Data'!C172</f>
        <v>34</v>
      </c>
      <c r="E198" s="100" t="str">
        <f>'Policy Data'!D172</f>
        <v>Female</v>
      </c>
      <c r="F198" s="100" t="str">
        <f>'Policy Data'!E172</f>
        <v>Non-smoker</v>
      </c>
      <c r="G198" s="100" t="str">
        <f>'Policy Data'!F172</f>
        <v>Rated</v>
      </c>
      <c r="H198" s="100">
        <f>'Policy Data'!G172</f>
        <v>25</v>
      </c>
      <c r="I198" s="279">
        <f>'Policy Data'!H172</f>
        <v>250000</v>
      </c>
      <c r="J198" s="100" t="str">
        <f>'Policy Data'!I172</f>
        <v>Monthly</v>
      </c>
      <c r="K198" s="100" t="str">
        <f>'Policy Data'!J172</f>
        <v>Broker</v>
      </c>
      <c r="L198" s="26" t="s">
        <v>389</v>
      </c>
      <c r="M198" s="106">
        <f>'Policy Data'!R172</f>
        <v>1200</v>
      </c>
      <c r="N198" s="415">
        <f>Assumptions!$C$21</f>
        <v>1</v>
      </c>
      <c r="O198" s="415">
        <f>Assumptions!$C$22</f>
        <v>1</v>
      </c>
      <c r="P198" s="415">
        <f>Assumptions!$C$23</f>
        <v>1</v>
      </c>
      <c r="Q198" s="416">
        <f>Assumptions!$C$24</f>
        <v>0</v>
      </c>
      <c r="R198" s="416">
        <f>Assumptions!$C$6+Assumptions!$C$25</f>
        <v>3.5000000000000003E-2</v>
      </c>
      <c r="S198" s="416">
        <f>Assumptions!$C$15</f>
        <v>1.1000000000000001E-3</v>
      </c>
      <c r="T198" s="26">
        <f t="shared" si="54"/>
        <v>1</v>
      </c>
      <c r="U198" s="26">
        <f t="shared" si="55"/>
        <v>1</v>
      </c>
      <c r="V198" s="389">
        <f>IF($G198="Preferred",Assumptions!$C$30,IF($G198="Rated",Assumptions!$C$31,1))</f>
        <v>1.55</v>
      </c>
      <c r="W198" s="390">
        <f>IF($K198="Direct",Assumptions!$C$32,IF($K198="Broker",Assumptions!$C$33,IF($K198="Bancassurance",Assumptions!$C$34,Assumptions!$C$11)))+$Q198</f>
        <v>0.25</v>
      </c>
      <c r="X198" s="390">
        <f>Assumptions!$C$12+$Q198</f>
        <v>0.05</v>
      </c>
      <c r="Y198" s="131">
        <f>MIN($I198,Assumptions!$C$14)</f>
        <v>250000</v>
      </c>
      <c r="Z198" s="131">
        <f>MAX($I198-Assumptions!$C$14,0)</f>
        <v>0</v>
      </c>
      <c r="AA198" s="389">
        <f t="shared" si="56"/>
        <v>9.4293518162592687</v>
      </c>
      <c r="AB198" s="389">
        <f t="shared" si="57"/>
        <v>1.7639643784969128E-2</v>
      </c>
      <c r="AC198" s="389">
        <f>IF($T198=1,SUMPRODUCT($CJ198:$DW198,(1+Assumptions!$C$5)^($CJ$5:$DW$5-1),(1+$R198)^(-$CJ$5:$DW$5)),0)</f>
        <v>13.565712268036499</v>
      </c>
      <c r="AD198" s="389">
        <f t="shared" si="58"/>
        <v>0.6647043057888089</v>
      </c>
      <c r="AE198" s="131">
        <f>IF($T198=1,$AB198*$Y198+(Assumptions!$C$9/(1+$R198)+Assumptions!$C$10*$AC198)*$P198+$S198*$Z198*$AA198,0)</f>
        <v>8263.9328626016159</v>
      </c>
      <c r="AF198" s="131">
        <f>IF($T198=1,IF($AA198-$AD198-Assumptions!$C$16*$AA198&gt;0,$AE198/($AA198-$AD198-Assumptions!$C$16*$AA198)*IF($J198="Monthly",1+Assumptions!$C$29,1),"n.a."),"")</f>
        <v>1062.613325725476</v>
      </c>
      <c r="AG198" s="131">
        <f t="shared" si="59"/>
        <v>1200</v>
      </c>
      <c r="AH198" s="131">
        <f t="shared" si="60"/>
        <v>11315.222179511122</v>
      </c>
      <c r="AI198" s="131">
        <f t="shared" si="61"/>
        <v>2253.6441499629364</v>
      </c>
      <c r="AJ198" s="390">
        <f t="shared" si="62"/>
        <v>0.1991692354078288</v>
      </c>
      <c r="AK198" s="389">
        <f t="shared" si="63"/>
        <v>1.1292913150517159</v>
      </c>
      <c r="AL198" s="131">
        <f t="shared" si="64"/>
        <v>0</v>
      </c>
      <c r="AM198" s="131">
        <f t="shared" si="65"/>
        <v>0</v>
      </c>
      <c r="AN198" s="131">
        <f t="shared" si="66"/>
        <v>0</v>
      </c>
      <c r="AO198" s="131">
        <f t="shared" si="67"/>
        <v>2253.6441499629364</v>
      </c>
      <c r="AP198" s="26" t="str">
        <f t="shared" si="68"/>
        <v>30-39</v>
      </c>
      <c r="AQ198" s="26" t="str">
        <f t="shared" si="69"/>
        <v>Up to 250k</v>
      </c>
      <c r="AR198" s="26" t="str">
        <f>IF($T198=1,IF($AI198&lt;0,"Loss-making",IF($AJ198&lt;Assumptions!$C$16-0.00001,"Below target","At/above target")),"Excluded")</f>
        <v>At/above target</v>
      </c>
      <c r="AS198" s="103">
        <f t="shared" si="70"/>
        <v>2253.6443479629365</v>
      </c>
      <c r="AT198" s="26"/>
      <c r="AU198" s="419">
        <f>IF(AND($T198=1,AU$5&lt;=$H198),INDEX(Mortality!$B$4:$E$64,MATCH($D198+AU$5-1,Mortality!$A$4:$A$64,0),$U198)*$V198*$N198,0)</f>
        <v>8.1646462328068112E-4</v>
      </c>
      <c r="AV198" s="93">
        <f>IF(AND($T198=1,AV$5&lt;=$H198),INDEX(Mortality!$B$4:$E$64,MATCH($D198+AV$5-1,Mortality!$A$4:$A$64,0),$U198)*$V198*$N198,0)</f>
        <v>8.8446556761406824E-4</v>
      </c>
      <c r="AW198" s="93">
        <f>IF(AND($T198=1,AW$5&lt;=$H198),INDEX(Mortality!$B$4:$E$64,MATCH($D198+AW$5-1,Mortality!$A$4:$A$64,0),$U198)*$V198*$N198,0)</f>
        <v>9.5813011120011212E-4</v>
      </c>
      <c r="AX198" s="93">
        <f>IF(AND($T198=1,AX$5&lt;=$H198),INDEX(Mortality!$B$4:$E$64,MATCH($D198+AX$5-1,Mortality!$A$4:$A$64,0),$U198)*$V198*$N198,0)</f>
        <v>1.0379299586130515E-3</v>
      </c>
      <c r="AY198" s="93">
        <f>IF(AND($T198=1,AY$5&lt;=$H198),INDEX(Mortality!$B$4:$E$64,MATCH($D198+AY$5-1,Mortality!$A$4:$A$64,0),$U198)*$V198*$N198,0)</f>
        <v>1.1243761013179233E-3</v>
      </c>
      <c r="AZ198" s="93">
        <f>IF(AND($T198=1,AZ$5&lt;=$H198),INDEX(Mortality!$B$4:$E$64,MATCH($D198+AZ$5-1,Mortality!$A$4:$A$64,0),$U198)*$V198*$N198,0)</f>
        <v>1.2180220897604949E-3</v>
      </c>
      <c r="BA198" s="93">
        <f>IF(AND($T198=1,BA$5&lt;=$H198),INDEX(Mortality!$B$4:$E$64,MATCH($D198+BA$5-1,Mortality!$A$4:$A$64,0),$U198)*$V198*$N198,0)</f>
        <v>1.319467577979972E-3</v>
      </c>
      <c r="BB198" s="93">
        <f>IF(AND($T198=1,BB$5&lt;=$H198),INDEX(Mortality!$B$4:$E$64,MATCH($D198+BB$5-1,Mortality!$A$4:$A$64,0),$U198)*$V198*$N198,0)</f>
        <v>1.4293621634421036E-3</v>
      </c>
      <c r="BC198" s="93">
        <f>IF(AND($T198=1,BC$5&lt;=$H198),INDEX(Mortality!$B$4:$E$64,MATCH($D198+BC$5-1,Mortality!$A$4:$A$64,0),$U198)*$V198*$N198,0)</f>
        <v>1.5484095466807317E-3</v>
      </c>
      <c r="BD198" s="93">
        <f>IF(AND($T198=1,BD$5&lt;=$H198),INDEX(Mortality!$B$4:$E$64,MATCH($D198+BD$5-1,Mortality!$A$4:$A$64,0),$U198)*$V198*$N198,0)</f>
        <v>1.6773720373836785E-3</v>
      </c>
      <c r="BE198" s="93">
        <f>IF(AND($T198=1,BE$5&lt;=$H198),INDEX(Mortality!$B$4:$E$64,MATCH($D198+BE$5-1,Mortality!$A$4:$A$64,0),$U198)*$V198*$N198,0)</f>
        <v>1.8170754357773335E-3</v>
      </c>
      <c r="BF198" s="93">
        <f>IF(AND($T198=1,BF$5&lt;=$H198),INDEX(Mortality!$B$4:$E$64,MATCH($D198+BF$5-1,Mortality!$A$4:$A$64,0),$U198)*$V198*$N198,0)</f>
        <v>1.9684143205674319E-3</v>
      </c>
      <c r="BG198" s="93">
        <f>IF(AND($T198=1,BG$5&lt;=$H198),INDEX(Mortality!$B$4:$E$64,MATCH($D198+BG$5-1,Mortality!$A$4:$A$64,0),$U198)*$V198*$N198,0)</f>
        <v>2.1323577772968875E-3</v>
      </c>
      <c r="BH198" s="93">
        <f>IF(AND($T198=1,BH$5&lt;=$H198),INDEX(Mortality!$B$4:$E$64,MATCH($D198+BH$5-1,Mortality!$A$4:$A$64,0),$U198)*$V198*$N198,0)</f>
        <v>2.3099556038018386E-3</v>
      </c>
      <c r="BI198" s="93">
        <f>IF(AND($T198=1,BI$5&lt;=$H198),INDEX(Mortality!$B$4:$E$64,MATCH($D198+BI$5-1,Mortality!$A$4:$A$64,0),$U198)*$V198*$N198,0)</f>
        <v>2.5023450325018289E-3</v>
      </c>
      <c r="BJ198" s="93">
        <f>IF(AND($T198=1,BJ$5&lt;=$H198),INDEX(Mortality!$B$4:$E$64,MATCH($D198+BJ$5-1,Mortality!$A$4:$A$64,0),$U198)*$V198*$N198,0)</f>
        <v>2.710758012569914E-3</v>
      </c>
      <c r="BK198" s="93">
        <f>IF(AND($T198=1,BK$5&lt;=$H198),INDEX(Mortality!$B$4:$E$64,MATCH($D198+BK$5-1,Mortality!$A$4:$A$64,0),$U198)*$V198*$N198,0)</f>
        <v>2.9365290986132515E-3</v>
      </c>
      <c r="BL198" s="93">
        <f>IF(AND($T198=1,BL$5&lt;=$H198),INDEX(Mortality!$B$4:$E$64,MATCH($D198+BL$5-1,Mortality!$A$4:$A$64,0),$U198)*$V198*$N198,0)</f>
        <v>3.1811039963789479E-3</v>
      </c>
      <c r="BM198" s="93">
        <f>IF(AND($T198=1,BM$5&lt;=$H198),INDEX(Mortality!$B$4:$E$64,MATCH($D198+BM$5-1,Mortality!$A$4:$A$64,0),$U198)*$V198*$N198,0)</f>
        <v>3.4460488202064346E-3</v>
      </c>
      <c r="BN198" s="93">
        <f>IF(AND($T198=1,BN$5&lt;=$H198),INDEX(Mortality!$B$4:$E$64,MATCH($D198+BN$5-1,Mortality!$A$4:$A$64,0),$U198)*$V198*$N198,0)</f>
        <v>3.7330601215061852E-3</v>
      </c>
      <c r="BO198" s="93">
        <f>IF(AND($T198=1,BO$5&lt;=$H198),INDEX(Mortality!$B$4:$E$64,MATCH($D198+BO$5-1,Mortality!$A$4:$A$64,0),$U198)*$V198*$N198,0)</f>
        <v>4.0439757524807505E-3</v>
      </c>
      <c r="BP198" s="93">
        <f>IF(AND($T198=1,BP$5&lt;=$H198),INDEX(Mortality!$B$4:$E$64,MATCH($D198+BP$5-1,Mortality!$A$4:$A$64,0),$U198)*$V198*$N198,0)</f>
        <v>4.3807866346535036E-3</v>
      </c>
      <c r="BQ198" s="93">
        <f>IF(AND($T198=1,BQ$5&lt;=$H198),INDEX(Mortality!$B$4:$E$64,MATCH($D198+BQ$5-1,Mortality!$A$4:$A$64,0),$U198)*$V198*$N198,0)</f>
        <v>4.7456495075634576E-3</v>
      </c>
      <c r="BR198" s="93">
        <f>IF(AND($T198=1,BR$5&lt;=$H198),INDEX(Mortality!$B$4:$E$64,MATCH($D198+BR$5-1,Mortality!$A$4:$A$64,0),$U198)*$V198*$N198,0)</f>
        <v>5.1409007392615187E-3</v>
      </c>
      <c r="BS198" s="93">
        <f>IF(AND($T198=1,BS$5&lt;=$H198),INDEX(Mortality!$B$4:$E$64,MATCH($D198+BS$5-1,Mortality!$A$4:$A$64,0),$U198)*$V198*$N198,0)</f>
        <v>5.5690712870426493E-3</v>
      </c>
      <c r="BT198" s="93">
        <f>IF(AND($T198=1,BT$5&lt;=$H198),INDEX(Mortality!$B$4:$E$64,MATCH($D198+BT$5-1,Mortality!$A$4:$A$64,0),$U198)*$V198*$N198,0)</f>
        <v>0</v>
      </c>
      <c r="BU198" s="93">
        <f>IF(AND($T198=1,BU$5&lt;=$H198),INDEX(Mortality!$B$4:$E$64,MATCH($D198+BU$5-1,Mortality!$A$4:$A$64,0),$U198)*$V198*$N198,0)</f>
        <v>0</v>
      </c>
      <c r="BV198" s="93">
        <f>IF(AND($T198=1,BV$5&lt;=$H198),INDEX(Mortality!$B$4:$E$64,MATCH($D198+BV$5-1,Mortality!$A$4:$A$64,0),$U198)*$V198*$N198,0)</f>
        <v>0</v>
      </c>
      <c r="BW198" s="93">
        <f>IF(AND($T198=1,BW$5&lt;=$H198),INDEX(Mortality!$B$4:$E$64,MATCH($D198+BW$5-1,Mortality!$A$4:$A$64,0),$U198)*$V198*$N198,0)</f>
        <v>0</v>
      </c>
      <c r="BX198" s="93">
        <f>IF(AND($T198=1,BX$5&lt;=$H198),INDEX(Mortality!$B$4:$E$64,MATCH($D198+BX$5-1,Mortality!$A$4:$A$64,0),$U198)*$V198*$N198,0)</f>
        <v>0</v>
      </c>
      <c r="BY198" s="93">
        <f>IF(AND($T198=1,BY$5&lt;=$H198),INDEX(Mortality!$B$4:$E$64,MATCH($D198+BY$5-1,Mortality!$A$4:$A$64,0),$U198)*$V198*$N198,0)</f>
        <v>0</v>
      </c>
      <c r="BZ198" s="93">
        <f>IF(AND($T198=1,BZ$5&lt;=$H198),INDEX(Mortality!$B$4:$E$64,MATCH($D198+BZ$5-1,Mortality!$A$4:$A$64,0),$U198)*$V198*$N198,0)</f>
        <v>0</v>
      </c>
      <c r="CA198" s="93">
        <f>IF(AND($T198=1,CA$5&lt;=$H198),INDEX(Mortality!$B$4:$E$64,MATCH($D198+CA$5-1,Mortality!$A$4:$A$64,0),$U198)*$V198*$N198,0)</f>
        <v>0</v>
      </c>
      <c r="CB198" s="93">
        <f>IF(AND($T198=1,CB$5&lt;=$H198),INDEX(Mortality!$B$4:$E$64,MATCH($D198+CB$5-1,Mortality!$A$4:$A$64,0),$U198)*$V198*$N198,0)</f>
        <v>0</v>
      </c>
      <c r="CC198" s="93">
        <f>IF(AND($T198=1,CC$5&lt;=$H198),INDEX(Mortality!$B$4:$E$64,MATCH($D198+CC$5-1,Mortality!$A$4:$A$64,0),$U198)*$V198*$N198,0)</f>
        <v>0</v>
      </c>
      <c r="CD198" s="93">
        <f>IF(AND($T198=1,CD$5&lt;=$H198),INDEX(Mortality!$B$4:$E$64,MATCH($D198+CD$5-1,Mortality!$A$4:$A$64,0),$U198)*$V198*$N198,0)</f>
        <v>0</v>
      </c>
      <c r="CE198" s="93">
        <f>IF(AND($T198=1,CE$5&lt;=$H198),INDEX(Mortality!$B$4:$E$64,MATCH($D198+CE$5-1,Mortality!$A$4:$A$64,0),$U198)*$V198*$N198,0)</f>
        <v>0</v>
      </c>
      <c r="CF198" s="93">
        <f>IF(AND($T198=1,CF$5&lt;=$H198),INDEX(Mortality!$B$4:$E$64,MATCH($D198+CF$5-1,Mortality!$A$4:$A$64,0),$U198)*$V198*$N198,0)</f>
        <v>0</v>
      </c>
      <c r="CG198" s="93">
        <f>IF(AND($T198=1,CG$5&lt;=$H198),INDEX(Mortality!$B$4:$E$64,MATCH($D198+CG$5-1,Mortality!$A$4:$A$64,0),$U198)*$V198*$N198,0)</f>
        <v>0</v>
      </c>
      <c r="CH198" s="94">
        <f>IF(AND($T198=1,CH$5&lt;=$H198),INDEX(Mortality!$B$4:$E$64,MATCH($D198+CH$5-1,Mortality!$A$4:$A$64,0),$U198)*$V198*$N198,0)</f>
        <v>0</v>
      </c>
      <c r="CI198" s="26"/>
      <c r="CJ198" s="419">
        <f t="shared" si="71"/>
        <v>1</v>
      </c>
      <c r="CK198" s="93">
        <f>IF(AND($T198=1,CK$5&lt;=$H198),CJ198*(1-AU198)*(1-MIN(1,MAX(Assumptions!$C$27,Assumptions!$C$13*Assumptions!$C$28^(CJ$5-1))*$O198)),0)</f>
        <v>0.87928151113151298</v>
      </c>
      <c r="CL198" s="93">
        <f>IF(AND($T198=1,CL$5&lt;=$H198),CK198*(1-AV198)*(1-MIN(1,MAX(Assumptions!$C$27,Assumptions!$C$13*Assumptions!$C$28^(CK$5-1))*$O198)),0)</f>
        <v>0.78889642758578837</v>
      </c>
      <c r="CM198" s="93">
        <f>IF(AND($T198=1,CM$5&lt;=$H198),CL198*(1-AW198)*(1-MIN(1,MAX(Assumptions!$C$27,Assumptions!$C$13*Assumptions!$C$28^(CL$5-1))*$O198)),0)</f>
        <v>0.71980877542429</v>
      </c>
      <c r="CN198" s="93">
        <f>IF(AND($T198=1,CN$5&lt;=$H198),CM198*(1-AX198)*(1-MIN(1,MAX(Assumptions!$C$27,Assumptions!$C$13*Assumptions!$C$28^(CM$5-1))*$O198)),0)</f>
        <v>0.66607041497887221</v>
      </c>
      <c r="CO198" s="93">
        <f>IF(AND($T198=1,CO$5&lt;=$H198),CN198*(1-AY198)*(1-MIN(1,MAX(Assumptions!$C$27,Assumptions!$C$13*Assumptions!$C$28^(CN$5-1))*$O198)),0)</f>
        <v>0.62364526348850924</v>
      </c>
      <c r="CP198" s="93">
        <f>IF(AND($T198=1,CP$5&lt;=$H198),CO198*(1-AZ198)*(1-MIN(1,MAX(Assumptions!$C$27,Assumptions!$C$13*Assumptions!$C$28^(CO$5-1))*$O198)),0)</f>
        <v>0.58972032915484285</v>
      </c>
      <c r="CQ198" s="93">
        <f>IF(AND($T198=1,CQ$5&lt;=$H198),CP198*(1-BA198)*(1-MIN(1,MAX(Assumptions!$C$27,Assumptions!$C$13*Assumptions!$C$28^(CP$5-1))*$O198)),0)</f>
        <v>0.56228789988841987</v>
      </c>
      <c r="CR198" s="93">
        <f>IF(AND($T198=1,CR$5&lt;=$H198),CQ198*(1-BB198)*(1-MIN(1,MAX(Assumptions!$C$27,Assumptions!$C$13*Assumptions!$C$28^(CQ$5-1))*$O198)),0)</f>
        <v>0.53988431095140688</v>
      </c>
      <c r="CS198" s="93">
        <f>IF(AND($T198=1,CS$5&lt;=$H198),CR198*(1-BC198)*(1-MIN(1,MAX(Assumptions!$C$27,Assumptions!$C$13*Assumptions!$C$28^(CR$5-1))*$O198)),0)</f>
        <v>0.52142208081565411</v>
      </c>
      <c r="CT198" s="93">
        <f>IF(AND($T198=1,CT$5&lt;=$H198),CS198*(1-BD198)*(1-MIN(1,MAX(Assumptions!$C$27,Assumptions!$C$13*Assumptions!$C$28^(CS$5-1))*$O198)),0)</f>
        <v>0.50607934837241619</v>
      </c>
      <c r="CU198" s="93">
        <f>IF(AND($T198=1,CU$5&lt;=$H198),CT198*(1-BE198)*(1-MIN(1,MAX(Assumptions!$C$27,Assumptions!$C$13*Assumptions!$C$28^(CT$5-1))*$O198)),0)</f>
        <v>0.49322540070333548</v>
      </c>
      <c r="CV198" s="93">
        <f>IF(AND($T198=1,CV$5&lt;=$H198),CU198*(1-BF198)*(1-MIN(1,MAX(Assumptions!$C$27,Assumptions!$C$13*Assumptions!$C$28^(CU$5-1))*$O198)),0)</f>
        <v>0.48236947241366479</v>
      </c>
      <c r="CW198" s="93">
        <f>IF(AND($T198=1,CW$5&lt;=$H198),CV198*(1-BG198)*(1-MIN(1,MAX(Assumptions!$C$27,Assumptions!$C$13*Assumptions!$C$28^(CV$5-1))*$O198)),0)</f>
        <v>0.47171407035528023</v>
      </c>
      <c r="CX198" s="93">
        <f>IF(AND($T198=1,CX$5&lt;=$H198),CW198*(1-BH198)*(1-MIN(1,MAX(Assumptions!$C$27,Assumptions!$C$13*Assumptions!$C$28^(CW$5-1))*$O198)),0)</f>
        <v>0.46121194315916941</v>
      </c>
      <c r="CY198" s="93">
        <f>IF(AND($T198=1,CY$5&lt;=$H198),CX198*(1-BI198)*(1-MIN(1,MAX(Assumptions!$C$27,Assumptions!$C$13*Assumptions!$C$28^(CX$5-1))*$O198)),0)</f>
        <v>0.45085667510938904</v>
      </c>
      <c r="CZ198" s="93">
        <f>IF(AND($T198=1,CZ$5&lt;=$H198),CY198*(1-BJ198)*(1-MIN(1,MAX(Assumptions!$C$27,Assumptions!$C$13*Assumptions!$C$28^(CY$5-1))*$O198)),0)</f>
        <v>0.44064182152951931</v>
      </c>
      <c r="DA198" s="93">
        <f>IF(AND($T198=1,DA$5&lt;=$H198),CZ198*(1-BK198)*(1-MIN(1,MAX(Assumptions!$C$27,Assumptions!$C$13*Assumptions!$C$28^(CZ$5-1))*$O198)),0)</f>
        <v>0.43056090671856129</v>
      </c>
      <c r="DB198" s="93">
        <f>IF(AND($T198=1,DB$5&lt;=$H198),DA198*(1-BL198)*(1-MIN(1,MAX(Assumptions!$C$27,Assumptions!$C$13*Assumptions!$C$28^(DA$5-1))*$O198)),0)</f>
        <v>0.42060742274356405</v>
      </c>
      <c r="DC198" s="93">
        <f>IF(AND($T198=1,DC$5&lt;=$H198),DB198*(1-BM198)*(1-MIN(1,MAX(Assumptions!$C$27,Assumptions!$C$13*Assumptions!$C$28^(DB$5-1))*$O198)),0)</f>
        <v>0.41077482925003556</v>
      </c>
      <c r="DD198" s="93">
        <f>IF(AND($T198=1,DD$5&lt;=$H198),DC198*(1-BN198)*(1-MIN(1,MAX(Assumptions!$C$27,Assumptions!$C$13*Assumptions!$C$28^(DC$5-1))*$O198)),0)</f>
        <v>0.40105655447372285</v>
      </c>
      <c r="DE198" s="93">
        <f>IF(AND($T198=1,DE$5&lt;=$H198),DD198*(1-BO198)*(1-MIN(1,MAX(Assumptions!$C$27,Assumptions!$C$13*Assumptions!$C$28^(DD$5-1))*$O198)),0)</f>
        <v>0.39144599766221644</v>
      </c>
      <c r="DF198" s="93">
        <f>IF(AND($T198=1,DF$5&lt;=$H198),DE198*(1-BP198)*(1-MIN(1,MAX(Assumptions!$C$27,Assumptions!$C$13*Assumptions!$C$28^(DE$5-1))*$O198)),0)</f>
        <v>0.38193653314211978</v>
      </c>
      <c r="DG198" s="93">
        <f>IF(AND($T198=1,DG$5&lt;=$H198),DF198*(1-BQ198)*(1-MIN(1,MAX(Assumptions!$C$27,Assumptions!$C$13*Assumptions!$C$28^(DF$5-1))*$O198)),0)</f>
        <v>0.37252151629725949</v>
      </c>
      <c r="DH198" s="93">
        <f>IF(AND($T198=1,DH$5&lt;=$H198),DG198*(1-BR198)*(1-MIN(1,MAX(Assumptions!$C$27,Assumptions!$C$13*Assumptions!$C$28^(DG$5-1))*$O198)),0)</f>
        <v>0.36319429175556134</v>
      </c>
      <c r="DI198" s="93">
        <f>IF(AND($T198=1,DI$5&lt;=$H198),DH198*(1-BS198)*(1-MIN(1,MAX(Assumptions!$C$27,Assumptions!$C$13*Assumptions!$C$28^(DH$5-1))*$O198)),0)</f>
        <v>0</v>
      </c>
      <c r="DJ198" s="93">
        <f>IF(AND($T198=1,DJ$5&lt;=$H198),DI198*(1-BT198)*(1-MIN(1,MAX(Assumptions!$C$27,Assumptions!$C$13*Assumptions!$C$28^(DI$5-1))*$O198)),0)</f>
        <v>0</v>
      </c>
      <c r="DK198" s="93">
        <f>IF(AND($T198=1,DK$5&lt;=$H198),DJ198*(1-BU198)*(1-MIN(1,MAX(Assumptions!$C$27,Assumptions!$C$13*Assumptions!$C$28^(DJ$5-1))*$O198)),0)</f>
        <v>0</v>
      </c>
      <c r="DL198" s="93">
        <f>IF(AND($T198=1,DL$5&lt;=$H198),DK198*(1-BV198)*(1-MIN(1,MAX(Assumptions!$C$27,Assumptions!$C$13*Assumptions!$C$28^(DK$5-1))*$O198)),0)</f>
        <v>0</v>
      </c>
      <c r="DM198" s="93">
        <f>IF(AND($T198=1,DM$5&lt;=$H198),DL198*(1-BW198)*(1-MIN(1,MAX(Assumptions!$C$27,Assumptions!$C$13*Assumptions!$C$28^(DL$5-1))*$O198)),0)</f>
        <v>0</v>
      </c>
      <c r="DN198" s="93">
        <f>IF(AND($T198=1,DN$5&lt;=$H198),DM198*(1-BX198)*(1-MIN(1,MAX(Assumptions!$C$27,Assumptions!$C$13*Assumptions!$C$28^(DM$5-1))*$O198)),0)</f>
        <v>0</v>
      </c>
      <c r="DO198" s="93">
        <f>IF(AND($T198=1,DO$5&lt;=$H198),DN198*(1-BY198)*(1-MIN(1,MAX(Assumptions!$C$27,Assumptions!$C$13*Assumptions!$C$28^(DN$5-1))*$O198)),0)</f>
        <v>0</v>
      </c>
      <c r="DP198" s="93">
        <f>IF(AND($T198=1,DP$5&lt;=$H198),DO198*(1-BZ198)*(1-MIN(1,MAX(Assumptions!$C$27,Assumptions!$C$13*Assumptions!$C$28^(DO$5-1))*$O198)),0)</f>
        <v>0</v>
      </c>
      <c r="DQ198" s="93">
        <f>IF(AND($T198=1,DQ$5&lt;=$H198),DP198*(1-CA198)*(1-MIN(1,MAX(Assumptions!$C$27,Assumptions!$C$13*Assumptions!$C$28^(DP$5-1))*$O198)),0)</f>
        <v>0</v>
      </c>
      <c r="DR198" s="93">
        <f>IF(AND($T198=1,DR$5&lt;=$H198),DQ198*(1-CB198)*(1-MIN(1,MAX(Assumptions!$C$27,Assumptions!$C$13*Assumptions!$C$28^(DQ$5-1))*$O198)),0)</f>
        <v>0</v>
      </c>
      <c r="DS198" s="93">
        <f>IF(AND($T198=1,DS$5&lt;=$H198),DR198*(1-CC198)*(1-MIN(1,MAX(Assumptions!$C$27,Assumptions!$C$13*Assumptions!$C$28^(DR$5-1))*$O198)),0)</f>
        <v>0</v>
      </c>
      <c r="DT198" s="93">
        <f>IF(AND($T198=1,DT$5&lt;=$H198),DS198*(1-CD198)*(1-MIN(1,MAX(Assumptions!$C$27,Assumptions!$C$13*Assumptions!$C$28^(DS$5-1))*$O198)),0)</f>
        <v>0</v>
      </c>
      <c r="DU198" s="93">
        <f>IF(AND($T198=1,DU$5&lt;=$H198),DT198*(1-CE198)*(1-MIN(1,MAX(Assumptions!$C$27,Assumptions!$C$13*Assumptions!$C$28^(DT$5-1))*$O198)),0)</f>
        <v>0</v>
      </c>
      <c r="DV198" s="93">
        <f>IF(AND($T198=1,DV$5&lt;=$H198),DU198*(1-CF198)*(1-MIN(1,MAX(Assumptions!$C$27,Assumptions!$C$13*Assumptions!$C$28^(DU$5-1))*$O198)),0)</f>
        <v>0</v>
      </c>
      <c r="DW198" s="94">
        <f>IF(AND($T198=1,DW$5&lt;=$H198),DV198*(1-CG198)*(1-MIN(1,MAX(Assumptions!$C$27,Assumptions!$C$13*Assumptions!$C$28^(DV$5-1))*$O198)),0)</f>
        <v>0</v>
      </c>
      <c r="DX198" s="26"/>
      <c r="DY198" s="399">
        <f>'Policy Data'!K172</f>
        <v>6</v>
      </c>
      <c r="DZ198" s="100">
        <f>'Policy Data'!L172</f>
        <v>0.50939999999999996</v>
      </c>
      <c r="EA198" s="100">
        <f>'Policy Data'!N172</f>
        <v>4.1599999999999997E-4</v>
      </c>
      <c r="EB198" s="93" cm="1">
        <f t="array" ref="EB198">IFERROR(DZ198*INDEX(Mortality!$B$4:$E$64,MATCH(D198+DY198-1,Mortality!$A$4:$A$64,0),U198)*V198,0)</f>
        <v>6.2046045252399601E-4</v>
      </c>
      <c r="EC198" s="100">
        <f>'Policy Data'!O172</f>
        <v>0</v>
      </c>
      <c r="ED198" s="400">
        <f>'Policy Data'!Q172</f>
        <v>0</v>
      </c>
    </row>
    <row r="199" spans="1:134" x14ac:dyDescent="0.3">
      <c r="A199" s="399" t="str">
        <f>'Policy Data'!A173</f>
        <v>POL100169</v>
      </c>
      <c r="B199" s="26" t="s">
        <v>426</v>
      </c>
      <c r="C199" s="100" t="str">
        <f>'Policy Data'!B173</f>
        <v>Term Life</v>
      </c>
      <c r="D199" s="100">
        <f>'Policy Data'!C173</f>
        <v>37</v>
      </c>
      <c r="E199" s="100" t="str">
        <f>'Policy Data'!D173</f>
        <v>Female</v>
      </c>
      <c r="F199" s="100" t="str">
        <f>'Policy Data'!E173</f>
        <v>Smoker</v>
      </c>
      <c r="G199" s="100" t="str">
        <f>'Policy Data'!F173</f>
        <v>Standard</v>
      </c>
      <c r="H199" s="100">
        <f>'Policy Data'!G173</f>
        <v>20</v>
      </c>
      <c r="I199" s="279">
        <f>'Policy Data'!H173</f>
        <v>500000</v>
      </c>
      <c r="J199" s="100" t="str">
        <f>'Policy Data'!I173</f>
        <v>Monthly</v>
      </c>
      <c r="K199" s="100" t="str">
        <f>'Policy Data'!J173</f>
        <v>Bancassurance</v>
      </c>
      <c r="L199" s="26" t="s">
        <v>389</v>
      </c>
      <c r="M199" s="106">
        <f>'Policy Data'!R173</f>
        <v>1406.89</v>
      </c>
      <c r="N199" s="415">
        <f>Assumptions!$C$21</f>
        <v>1</v>
      </c>
      <c r="O199" s="415">
        <f>Assumptions!$C$22</f>
        <v>1</v>
      </c>
      <c r="P199" s="415">
        <f>Assumptions!$C$23</f>
        <v>1</v>
      </c>
      <c r="Q199" s="416">
        <f>Assumptions!$C$24</f>
        <v>0</v>
      </c>
      <c r="R199" s="416">
        <f>Assumptions!$C$6+Assumptions!$C$25</f>
        <v>3.5000000000000003E-2</v>
      </c>
      <c r="S199" s="416">
        <f>Assumptions!$C$15</f>
        <v>1.1000000000000001E-3</v>
      </c>
      <c r="T199" s="26">
        <f t="shared" si="54"/>
        <v>1</v>
      </c>
      <c r="U199" s="26">
        <f t="shared" si="55"/>
        <v>2</v>
      </c>
      <c r="V199" s="389">
        <f>IF($G199="Preferred",Assumptions!$C$30,IF($G199="Rated",Assumptions!$C$31,1))</f>
        <v>1</v>
      </c>
      <c r="W199" s="390">
        <f>IF($K199="Direct",Assumptions!$C$32,IF($K199="Broker",Assumptions!$C$33,IF($K199="Bancassurance",Assumptions!$C$34,Assumptions!$C$11)))+$Q199</f>
        <v>0.2</v>
      </c>
      <c r="X199" s="390">
        <f>Assumptions!$C$12+$Q199</f>
        <v>0.05</v>
      </c>
      <c r="Y199" s="131">
        <f>MIN($I199,Assumptions!$C$14)</f>
        <v>500000</v>
      </c>
      <c r="Z199" s="131">
        <f>MAX($I199-Assumptions!$C$14,0)</f>
        <v>0</v>
      </c>
      <c r="AA199" s="389">
        <f t="shared" si="56"/>
        <v>8.5332997129246522</v>
      </c>
      <c r="AB199" s="389">
        <f t="shared" si="57"/>
        <v>1.8221979107396855E-2</v>
      </c>
      <c r="AC199" s="389">
        <f>IF($T199=1,SUMPRODUCT($CJ199:$DW199,(1+Assumptions!$C$5)^($CJ$5:$DW$5-1),(1+$R199)^(-$CJ$5:$DW$5)),0)</f>
        <v>11.468033885776979</v>
      </c>
      <c r="AD199" s="389">
        <f t="shared" si="58"/>
        <v>0.57159252187811671</v>
      </c>
      <c r="AE199" s="131">
        <f>IF($T199=1,$AB199*$Y199+(Assumptions!$C$9/(1+$R199)+Assumptions!$C$10*$AC199)*$P199+$S199*$Z199*$AA199,0)</f>
        <v>12503.522225960667</v>
      </c>
      <c r="AF199" s="131">
        <f>IF($T199=1,IF($AA199-$AD199-Assumptions!$C$16*$AA199&gt;0,$AE199/($AA199-$AD199-Assumptions!$C$16*$AA199)*IF($J199="Monthly",1+Assumptions!$C$29,1),"n.a."),"")</f>
        <v>1769.2748228156429</v>
      </c>
      <c r="AG199" s="131">
        <f t="shared" si="59"/>
        <v>1406.89</v>
      </c>
      <c r="AH199" s="131">
        <f t="shared" si="60"/>
        <v>12005.414033116565</v>
      </c>
      <c r="AI199" s="131">
        <f t="shared" si="61"/>
        <v>-1302.275995949205</v>
      </c>
      <c r="AJ199" s="390">
        <f t="shared" si="62"/>
        <v>-0.10847405948323954</v>
      </c>
      <c r="AK199" s="389">
        <f t="shared" si="63"/>
        <v>0.79517889581510026</v>
      </c>
      <c r="AL199" s="131">
        <f t="shared" si="64"/>
        <v>0</v>
      </c>
      <c r="AM199" s="131">
        <f t="shared" si="65"/>
        <v>0</v>
      </c>
      <c r="AN199" s="131">
        <f t="shared" si="66"/>
        <v>0</v>
      </c>
      <c r="AO199" s="131">
        <f t="shared" si="67"/>
        <v>-1302.275995949205</v>
      </c>
      <c r="AP199" s="26" t="str">
        <f t="shared" si="68"/>
        <v>30-39</v>
      </c>
      <c r="AQ199" s="26" t="str">
        <f t="shared" si="69"/>
        <v>250k-500k</v>
      </c>
      <c r="AR199" s="26" t="str">
        <f>IF($T199=1,IF($AI199&lt;0,"Loss-making",IF($AJ199&lt;Assumptions!$C$16-0.00001,"Below target","At/above target")),"Excluded")</f>
        <v>Loss-making</v>
      </c>
      <c r="AS199" s="103">
        <f t="shared" si="70"/>
        <v>-1302.275796949205</v>
      </c>
      <c r="AT199" s="26"/>
      <c r="AU199" s="419">
        <f>IF(AND($T199=1,AU$5&lt;=$H199),INDEX(Mortality!$B$4:$E$64,MATCH($D199+AU$5-1,Mortality!$A$4:$A$64,0),$U199)*$V199*$N199,0)</f>
        <v>1.1048931817493801E-3</v>
      </c>
      <c r="AV199" s="93">
        <f>IF(AND($T199=1,AV$5&lt;=$H199),INDEX(Mortality!$B$4:$E$64,MATCH($D199+AV$5-1,Mortality!$A$4:$A$64,0),$U199)*$V199*$N199,0)</f>
        <v>1.19691649495134E-3</v>
      </c>
      <c r="AW199" s="93">
        <f>IF(AND($T199=1,AW$5&lt;=$H199),INDEX(Mortality!$B$4:$E$64,MATCH($D199+AW$5-1,Mortality!$A$4:$A$64,0),$U199)*$V199*$N199,0)</f>
        <v>1.29660416006762E-3</v>
      </c>
      <c r="AX199" s="93">
        <f>IF(AND($T199=1,AX$5&lt;=$H199),INDEX(Mortality!$B$4:$E$64,MATCH($D199+AX$5-1,Mortality!$A$4:$A$64,0),$U199)*$V199*$N199,0)</f>
        <v>1.4045945184948099E-3</v>
      </c>
      <c r="AY199" s="93">
        <f>IF(AND($T199=1,AY$5&lt;=$H199),INDEX(Mortality!$B$4:$E$64,MATCH($D199+AY$5-1,Mortality!$A$4:$A$64,0),$U199)*$V199*$N199,0)</f>
        <v>1.52157907721256E-3</v>
      </c>
      <c r="AZ199" s="93">
        <f>IF(AND($T199=1,AZ$5&lt;=$H199),INDEX(Mortality!$B$4:$E$64,MATCH($D199+AZ$5-1,Mortality!$A$4:$A$64,0),$U199)*$V199*$N199,0)</f>
        <v>1.6483069367891701E-3</v>
      </c>
      <c r="BA199" s="93">
        <f>IF(AND($T199=1,BA$5&lt;=$H199),INDEX(Mortality!$B$4:$E$64,MATCH($D199+BA$5-1,Mortality!$A$4:$A$64,0),$U199)*$V199*$N199,0)</f>
        <v>1.78558958818263E-3</v>
      </c>
      <c r="BB199" s="93">
        <f>IF(AND($T199=1,BB$5&lt;=$H199),INDEX(Mortality!$B$4:$E$64,MATCH($D199+BB$5-1,Mortality!$A$4:$A$64,0),$U199)*$V199*$N199,0)</f>
        <v>1.9343061090533E-3</v>
      </c>
      <c r="BC199" s="93">
        <f>IF(AND($T199=1,BC$5&lt;=$H199),INDEX(Mortality!$B$4:$E$64,MATCH($D199+BC$5-1,Mortality!$A$4:$A$64,0),$U199)*$V199*$N199,0)</f>
        <v>2.0954087928621002E-3</v>
      </c>
      <c r="BD199" s="93">
        <f>IF(AND($T199=1,BD$5&lt;=$H199),INDEX(Mortality!$B$4:$E$64,MATCH($D199+BD$5-1,Mortality!$A$4:$A$64,0),$U199)*$V199*$N199,0)</f>
        <v>2.2699292467999099E-3</v>
      </c>
      <c r="BE199" s="93">
        <f>IF(AND($T199=1,BE$5&lt;=$H199),INDEX(Mortality!$B$4:$E$64,MATCH($D199+BE$5-1,Mortality!$A$4:$A$64,0),$U199)*$V199*$N199,0)</f>
        <v>2.4589849975955001E-3</v>
      </c>
      <c r="BF199" s="93">
        <f>IF(AND($T199=1,BF$5&lt;=$H199),INDEX(Mortality!$B$4:$E$64,MATCH($D199+BF$5-1,Mortality!$A$4:$A$64,0),$U199)*$V199*$N199,0)</f>
        <v>2.6637866475019501E-3</v>
      </c>
      <c r="BG199" s="93">
        <f>IF(AND($T199=1,BG$5&lt;=$H199),INDEX(Mortality!$B$4:$E$64,MATCH($D199+BG$5-1,Mortality!$A$4:$A$64,0),$U199)*$V199*$N199,0)</f>
        <v>2.8856456262841002E-3</v>
      </c>
      <c r="BH199" s="93">
        <f>IF(AND($T199=1,BH$5&lt;=$H199),INDEX(Mortality!$B$4:$E$64,MATCH($D199+BH$5-1,Mortality!$A$4:$A$64,0),$U199)*$V199*$N199,0)</f>
        <v>3.1259825888463699E-3</v>
      </c>
      <c r="BI199" s="93">
        <f>IF(AND($T199=1,BI$5&lt;=$H199),INDEX(Mortality!$B$4:$E$64,MATCH($D199+BI$5-1,Mortality!$A$4:$A$64,0),$U199)*$V199*$N199,0)</f>
        <v>3.3863365122743599E-3</v>
      </c>
      <c r="BJ199" s="93">
        <f>IF(AND($T199=1,BJ$5&lt;=$H199),INDEX(Mortality!$B$4:$E$64,MATCH($D199+BJ$5-1,Mortality!$A$4:$A$64,0),$U199)*$V199*$N199,0)</f>
        <v>3.6683745505423299E-3</v>
      </c>
      <c r="BK199" s="93">
        <f>IF(AND($T199=1,BK$5&lt;=$H199),INDEX(Mortality!$B$4:$E$64,MATCH($D199+BK$5-1,Mortality!$A$4:$A$64,0),$U199)*$V199*$N199,0)</f>
        <v>3.9739027099904498E-3</v>
      </c>
      <c r="BL199" s="93">
        <f>IF(AND($T199=1,BL$5&lt;=$H199),INDEX(Mortality!$B$4:$E$64,MATCH($D199+BL$5-1,Mortality!$A$4:$A$64,0),$U199)*$V199*$N199,0)</f>
        <v>4.3048774139311198E-3</v>
      </c>
      <c r="BM199" s="93">
        <f>IF(AND($T199=1,BM$5&lt;=$H199),INDEX(Mortality!$B$4:$E$64,MATCH($D199+BM$5-1,Mortality!$A$4:$A$64,0),$U199)*$V199*$N199,0)</f>
        <v>4.6634180304376098E-3</v>
      </c>
      <c r="BN199" s="93">
        <f>IF(AND($T199=1,BN$5&lt;=$H199),INDEX(Mortality!$B$4:$E$64,MATCH($D199+BN$5-1,Mortality!$A$4:$A$64,0),$U199)*$V199*$N199,0)</f>
        <v>5.0518204435352904E-3</v>
      </c>
      <c r="BO199" s="93">
        <f>IF(AND($T199=1,BO$5&lt;=$H199),INDEX(Mortality!$B$4:$E$64,MATCH($D199+BO$5-1,Mortality!$A$4:$A$64,0),$U199)*$V199*$N199,0)</f>
        <v>0</v>
      </c>
      <c r="BP199" s="93">
        <f>IF(AND($T199=1,BP$5&lt;=$H199),INDEX(Mortality!$B$4:$E$64,MATCH($D199+BP$5-1,Mortality!$A$4:$A$64,0),$U199)*$V199*$N199,0)</f>
        <v>0</v>
      </c>
      <c r="BQ199" s="93">
        <f>IF(AND($T199=1,BQ$5&lt;=$H199),INDEX(Mortality!$B$4:$E$64,MATCH($D199+BQ$5-1,Mortality!$A$4:$A$64,0),$U199)*$V199*$N199,0)</f>
        <v>0</v>
      </c>
      <c r="BR199" s="93">
        <f>IF(AND($T199=1,BR$5&lt;=$H199),INDEX(Mortality!$B$4:$E$64,MATCH($D199+BR$5-1,Mortality!$A$4:$A$64,0),$U199)*$V199*$N199,0)</f>
        <v>0</v>
      </c>
      <c r="BS199" s="93">
        <f>IF(AND($T199=1,BS$5&lt;=$H199),INDEX(Mortality!$B$4:$E$64,MATCH($D199+BS$5-1,Mortality!$A$4:$A$64,0),$U199)*$V199*$N199,0)</f>
        <v>0</v>
      </c>
      <c r="BT199" s="93">
        <f>IF(AND($T199=1,BT$5&lt;=$H199),INDEX(Mortality!$B$4:$E$64,MATCH($D199+BT$5-1,Mortality!$A$4:$A$64,0),$U199)*$V199*$N199,0)</f>
        <v>0</v>
      </c>
      <c r="BU199" s="93">
        <f>IF(AND($T199=1,BU$5&lt;=$H199),INDEX(Mortality!$B$4:$E$64,MATCH($D199+BU$5-1,Mortality!$A$4:$A$64,0),$U199)*$V199*$N199,0)</f>
        <v>0</v>
      </c>
      <c r="BV199" s="93">
        <f>IF(AND($T199=1,BV$5&lt;=$H199),INDEX(Mortality!$B$4:$E$64,MATCH($D199+BV$5-1,Mortality!$A$4:$A$64,0),$U199)*$V199*$N199,0)</f>
        <v>0</v>
      </c>
      <c r="BW199" s="93">
        <f>IF(AND($T199=1,BW$5&lt;=$H199),INDEX(Mortality!$B$4:$E$64,MATCH($D199+BW$5-1,Mortality!$A$4:$A$64,0),$U199)*$V199*$N199,0)</f>
        <v>0</v>
      </c>
      <c r="BX199" s="93">
        <f>IF(AND($T199=1,BX$5&lt;=$H199),INDEX(Mortality!$B$4:$E$64,MATCH($D199+BX$5-1,Mortality!$A$4:$A$64,0),$U199)*$V199*$N199,0)</f>
        <v>0</v>
      </c>
      <c r="BY199" s="93">
        <f>IF(AND($T199=1,BY$5&lt;=$H199),INDEX(Mortality!$B$4:$E$64,MATCH($D199+BY$5-1,Mortality!$A$4:$A$64,0),$U199)*$V199*$N199,0)</f>
        <v>0</v>
      </c>
      <c r="BZ199" s="93">
        <f>IF(AND($T199=1,BZ$5&lt;=$H199),INDEX(Mortality!$B$4:$E$64,MATCH($D199+BZ$5-1,Mortality!$A$4:$A$64,0),$U199)*$V199*$N199,0)</f>
        <v>0</v>
      </c>
      <c r="CA199" s="93">
        <f>IF(AND($T199=1,CA$5&lt;=$H199),INDEX(Mortality!$B$4:$E$64,MATCH($D199+CA$5-1,Mortality!$A$4:$A$64,0),$U199)*$V199*$N199,0)</f>
        <v>0</v>
      </c>
      <c r="CB199" s="93">
        <f>IF(AND($T199=1,CB$5&lt;=$H199),INDEX(Mortality!$B$4:$E$64,MATCH($D199+CB$5-1,Mortality!$A$4:$A$64,0),$U199)*$V199*$N199,0)</f>
        <v>0</v>
      </c>
      <c r="CC199" s="93">
        <f>IF(AND($T199=1,CC$5&lt;=$H199),INDEX(Mortality!$B$4:$E$64,MATCH($D199+CC$5-1,Mortality!$A$4:$A$64,0),$U199)*$V199*$N199,0)</f>
        <v>0</v>
      </c>
      <c r="CD199" s="93">
        <f>IF(AND($T199=1,CD$5&lt;=$H199),INDEX(Mortality!$B$4:$E$64,MATCH($D199+CD$5-1,Mortality!$A$4:$A$64,0),$U199)*$V199*$N199,0)</f>
        <v>0</v>
      </c>
      <c r="CE199" s="93">
        <f>IF(AND($T199=1,CE$5&lt;=$H199),INDEX(Mortality!$B$4:$E$64,MATCH($D199+CE$5-1,Mortality!$A$4:$A$64,0),$U199)*$V199*$N199,0)</f>
        <v>0</v>
      </c>
      <c r="CF199" s="93">
        <f>IF(AND($T199=1,CF$5&lt;=$H199),INDEX(Mortality!$B$4:$E$64,MATCH($D199+CF$5-1,Mortality!$A$4:$A$64,0),$U199)*$V199*$N199,0)</f>
        <v>0</v>
      </c>
      <c r="CG199" s="93">
        <f>IF(AND($T199=1,CG$5&lt;=$H199),INDEX(Mortality!$B$4:$E$64,MATCH($D199+CG$5-1,Mortality!$A$4:$A$64,0),$U199)*$V199*$N199,0)</f>
        <v>0</v>
      </c>
      <c r="CH199" s="94">
        <f>IF(AND($T199=1,CH$5&lt;=$H199),INDEX(Mortality!$B$4:$E$64,MATCH($D199+CH$5-1,Mortality!$A$4:$A$64,0),$U199)*$V199*$N199,0)</f>
        <v>0</v>
      </c>
      <c r="CI199" s="26"/>
      <c r="CJ199" s="419">
        <f t="shared" si="71"/>
        <v>1</v>
      </c>
      <c r="CK199" s="93">
        <f>IF(AND($T199=1,CK$5&lt;=$H199),CJ199*(1-AU199)*(1-MIN(1,MAX(Assumptions!$C$27,Assumptions!$C$13*Assumptions!$C$28^(CJ$5-1))*$O199)),0)</f>
        <v>0.87902769400006064</v>
      </c>
      <c r="CL199" s="93">
        <f>IF(AND($T199=1,CL$5&lt;=$H199),CK199*(1-AV199)*(1-MIN(1,MAX(Assumptions!$C$27,Assumptions!$C$13*Assumptions!$C$28^(CK$5-1))*$O199)),0)</f>
        <v>0.78842206298572648</v>
      </c>
      <c r="CM199" s="93">
        <f>IF(AND($T199=1,CM$5&lt;=$H199),CL199*(1-AW199)*(1-MIN(1,MAX(Assumptions!$C$27,Assumptions!$C$13*Assumptions!$C$28^(CL$5-1))*$O199)),0)</f>
        <v>0.71913222972213742</v>
      </c>
      <c r="CN199" s="93">
        <f>IF(AND($T199=1,CN$5&lt;=$H199),CM199*(1-AX199)*(1-MIN(1,MAX(Assumptions!$C$27,Assumptions!$C$13*Assumptions!$C$28^(CM$5-1))*$O199)),0)</f>
        <v>0.66520012938752915</v>
      </c>
      <c r="CO199" s="93">
        <f>IF(AND($T199=1,CO$5&lt;=$H199),CN199*(1-AY199)*(1-MIN(1,MAX(Assumptions!$C$27,Assumptions!$C$13*Assumptions!$C$28^(CN$5-1))*$O199)),0)</f>
        <v>0.62258274190676166</v>
      </c>
      <c r="CP199" s="93">
        <f>IF(AND($T199=1,CP$5&lt;=$H199),CO199*(1-AZ199)*(1-MIN(1,MAX(Assumptions!$C$27,Assumptions!$C$13*Assumptions!$C$28^(CO$5-1))*$O199)),0)</f>
        <v>0.5884619820917627</v>
      </c>
      <c r="CQ199" s="93">
        <f>IF(AND($T199=1,CQ$5&lt;=$H199),CP199*(1-BA199)*(1-MIN(1,MAX(Assumptions!$C$27,Assumptions!$C$13*Assumptions!$C$28^(CP$5-1))*$O199)),0)</f>
        <v>0.56082620717664877</v>
      </c>
      <c r="CR199" s="93">
        <f>IF(AND($T199=1,CR$5&lt;=$H199),CQ199*(1-BB199)*(1-MIN(1,MAX(Assumptions!$C$27,Assumptions!$C$13*Assumptions!$C$28^(CQ$5-1))*$O199)),0)</f>
        <v>0.53820856552532748</v>
      </c>
      <c r="CS199" s="93">
        <f>IF(AND($T199=1,CS$5&lt;=$H199),CR199*(1-BC199)*(1-MIN(1,MAX(Assumptions!$C$27,Assumptions!$C$13*Assumptions!$C$28^(CR$5-1))*$O199)),0)</f>
        <v>0.51951886711001571</v>
      </c>
      <c r="CT199" s="93">
        <f>IF(AND($T199=1,CT$5&lt;=$H199),CS199*(1-BD199)*(1-MIN(1,MAX(Assumptions!$C$27,Assumptions!$C$13*Assumptions!$C$28^(CS$5-1))*$O199)),0)</f>
        <v>0.50393284791462345</v>
      </c>
      <c r="CU199" s="93">
        <f>IF(AND($T199=1,CU$5&lt;=$H199),CT199*(1-BE199)*(1-MIN(1,MAX(Assumptions!$C$27,Assumptions!$C$13*Assumptions!$C$28^(CT$5-1))*$O199)),0)</f>
        <v>0.49081758223518701</v>
      </c>
      <c r="CV199" s="93">
        <f>IF(AND($T199=1,CV$5&lt;=$H199),CU199*(1-BF199)*(1-MIN(1,MAX(Assumptions!$C$27,Assumptions!$C$13*Assumptions!$C$28^(CU$5-1))*$O199)),0)</f>
        <v>0.47968020297669378</v>
      </c>
      <c r="CW199" s="93">
        <f>IF(AND($T199=1,CW$5&lt;=$H199),CV199*(1-BG199)*(1-MIN(1,MAX(Assumptions!$C$27,Assumptions!$C$13*Assumptions!$C$28^(CV$5-1))*$O199)),0)</f>
        <v>0.46873009557901985</v>
      </c>
      <c r="CX199" s="93">
        <f>IF(AND($T199=1,CX$5&lt;=$H199),CW199*(1-BH199)*(1-MIN(1,MAX(Assumptions!$C$27,Assumptions!$C$13*Assumptions!$C$28^(CW$5-1))*$O199)),0)</f>
        <v>0.4579195563921441</v>
      </c>
      <c r="CY199" s="93">
        <f>IF(AND($T199=1,CY$5&lt;=$H199),CX199*(1-BI199)*(1-MIN(1,MAX(Assumptions!$C$27,Assumptions!$C$13*Assumptions!$C$28^(CX$5-1))*$O199)),0)</f>
        <v>0.44724150894507592</v>
      </c>
      <c r="CZ199" s="93">
        <f>IF(AND($T199=1,CZ$5&lt;=$H199),CY199*(1-BJ199)*(1-MIN(1,MAX(Assumptions!$C$27,Assumptions!$C$13*Assumptions!$C$28^(CY$5-1))*$O199)),0)</f>
        <v>0.43668884238420136</v>
      </c>
      <c r="DA199" s="93">
        <f>IF(AND($T199=1,DA$5&lt;=$H199),CZ199*(1-BK199)*(1-MIN(1,MAX(Assumptions!$C$27,Assumptions!$C$13*Assumptions!$C$28^(CZ$5-1))*$O199)),0)</f>
        <v>0.42625441374182765</v>
      </c>
      <c r="DB199" s="93">
        <f>IF(AND($T199=1,DB$5&lt;=$H199),DA199*(1-BL199)*(1-MIN(1,MAX(Assumptions!$C$27,Assumptions!$C$13*Assumptions!$C$28^(DA$5-1))*$O199)),0)</f>
        <v>0.41593105192865154</v>
      </c>
      <c r="DC199" s="93">
        <f>IF(AND($T199=1,DC$5&lt;=$H199),DB199*(1-BM199)*(1-MIN(1,MAX(Assumptions!$C$27,Assumptions!$C$13*Assumptions!$C$28^(DB$5-1))*$O199)),0)</f>
        <v>0.40571156373043521</v>
      </c>
      <c r="DD199" s="93">
        <f>IF(AND($T199=1,DD$5&lt;=$H199),DC199*(1-BN199)*(1-MIN(1,MAX(Assumptions!$C$27,Assumptions!$C$13*Assumptions!$C$28^(DC$5-1))*$O199)),0)</f>
        <v>0</v>
      </c>
      <c r="DE199" s="93">
        <f>IF(AND($T199=1,DE$5&lt;=$H199),DD199*(1-BO199)*(1-MIN(1,MAX(Assumptions!$C$27,Assumptions!$C$13*Assumptions!$C$28^(DD$5-1))*$O199)),0)</f>
        <v>0</v>
      </c>
      <c r="DF199" s="93">
        <f>IF(AND($T199=1,DF$5&lt;=$H199),DE199*(1-BP199)*(1-MIN(1,MAX(Assumptions!$C$27,Assumptions!$C$13*Assumptions!$C$28^(DE$5-1))*$O199)),0)</f>
        <v>0</v>
      </c>
      <c r="DG199" s="93">
        <f>IF(AND($T199=1,DG$5&lt;=$H199),DF199*(1-BQ199)*(1-MIN(1,MAX(Assumptions!$C$27,Assumptions!$C$13*Assumptions!$C$28^(DF$5-1))*$O199)),0)</f>
        <v>0</v>
      </c>
      <c r="DH199" s="93">
        <f>IF(AND($T199=1,DH$5&lt;=$H199),DG199*(1-BR199)*(1-MIN(1,MAX(Assumptions!$C$27,Assumptions!$C$13*Assumptions!$C$28^(DG$5-1))*$O199)),0)</f>
        <v>0</v>
      </c>
      <c r="DI199" s="93">
        <f>IF(AND($T199=1,DI$5&lt;=$H199),DH199*(1-BS199)*(1-MIN(1,MAX(Assumptions!$C$27,Assumptions!$C$13*Assumptions!$C$28^(DH$5-1))*$O199)),0)</f>
        <v>0</v>
      </c>
      <c r="DJ199" s="93">
        <f>IF(AND($T199=1,DJ$5&lt;=$H199),DI199*(1-BT199)*(1-MIN(1,MAX(Assumptions!$C$27,Assumptions!$C$13*Assumptions!$C$28^(DI$5-1))*$O199)),0)</f>
        <v>0</v>
      </c>
      <c r="DK199" s="93">
        <f>IF(AND($T199=1,DK$5&lt;=$H199),DJ199*(1-BU199)*(1-MIN(1,MAX(Assumptions!$C$27,Assumptions!$C$13*Assumptions!$C$28^(DJ$5-1))*$O199)),0)</f>
        <v>0</v>
      </c>
      <c r="DL199" s="93">
        <f>IF(AND($T199=1,DL$5&lt;=$H199),DK199*(1-BV199)*(1-MIN(1,MAX(Assumptions!$C$27,Assumptions!$C$13*Assumptions!$C$28^(DK$5-1))*$O199)),0)</f>
        <v>0</v>
      </c>
      <c r="DM199" s="93">
        <f>IF(AND($T199=1,DM$5&lt;=$H199),DL199*(1-BW199)*(1-MIN(1,MAX(Assumptions!$C$27,Assumptions!$C$13*Assumptions!$C$28^(DL$5-1))*$O199)),0)</f>
        <v>0</v>
      </c>
      <c r="DN199" s="93">
        <f>IF(AND($T199=1,DN$5&lt;=$H199),DM199*(1-BX199)*(1-MIN(1,MAX(Assumptions!$C$27,Assumptions!$C$13*Assumptions!$C$28^(DM$5-1))*$O199)),0)</f>
        <v>0</v>
      </c>
      <c r="DO199" s="93">
        <f>IF(AND($T199=1,DO$5&lt;=$H199),DN199*(1-BY199)*(1-MIN(1,MAX(Assumptions!$C$27,Assumptions!$C$13*Assumptions!$C$28^(DN$5-1))*$O199)),0)</f>
        <v>0</v>
      </c>
      <c r="DP199" s="93">
        <f>IF(AND($T199=1,DP$5&lt;=$H199),DO199*(1-BZ199)*(1-MIN(1,MAX(Assumptions!$C$27,Assumptions!$C$13*Assumptions!$C$28^(DO$5-1))*$O199)),0)</f>
        <v>0</v>
      </c>
      <c r="DQ199" s="93">
        <f>IF(AND($T199=1,DQ$5&lt;=$H199),DP199*(1-CA199)*(1-MIN(1,MAX(Assumptions!$C$27,Assumptions!$C$13*Assumptions!$C$28^(DP$5-1))*$O199)),0)</f>
        <v>0</v>
      </c>
      <c r="DR199" s="93">
        <f>IF(AND($T199=1,DR$5&lt;=$H199),DQ199*(1-CB199)*(1-MIN(1,MAX(Assumptions!$C$27,Assumptions!$C$13*Assumptions!$C$28^(DQ$5-1))*$O199)),0)</f>
        <v>0</v>
      </c>
      <c r="DS199" s="93">
        <f>IF(AND($T199=1,DS$5&lt;=$H199),DR199*(1-CC199)*(1-MIN(1,MAX(Assumptions!$C$27,Assumptions!$C$13*Assumptions!$C$28^(DR$5-1))*$O199)),0)</f>
        <v>0</v>
      </c>
      <c r="DT199" s="93">
        <f>IF(AND($T199=1,DT$5&lt;=$H199),DS199*(1-CD199)*(1-MIN(1,MAX(Assumptions!$C$27,Assumptions!$C$13*Assumptions!$C$28^(DS$5-1))*$O199)),0)</f>
        <v>0</v>
      </c>
      <c r="DU199" s="93">
        <f>IF(AND($T199=1,DU$5&lt;=$H199),DT199*(1-CE199)*(1-MIN(1,MAX(Assumptions!$C$27,Assumptions!$C$13*Assumptions!$C$28^(DT$5-1))*$O199)),0)</f>
        <v>0</v>
      </c>
      <c r="DV199" s="93">
        <f>IF(AND($T199=1,DV$5&lt;=$H199),DU199*(1-CF199)*(1-MIN(1,MAX(Assumptions!$C$27,Assumptions!$C$13*Assumptions!$C$28^(DU$5-1))*$O199)),0)</f>
        <v>0</v>
      </c>
      <c r="DW199" s="94">
        <f>IF(AND($T199=1,DW$5&lt;=$H199),DV199*(1-CG199)*(1-MIN(1,MAX(Assumptions!$C$27,Assumptions!$C$13*Assumptions!$C$28^(DV$5-1))*$O199)),0)</f>
        <v>0</v>
      </c>
      <c r="DX199" s="26"/>
      <c r="DY199" s="399">
        <f>'Policy Data'!K173</f>
        <v>2</v>
      </c>
      <c r="DZ199" s="100">
        <f>'Policy Data'!L173</f>
        <v>0.50460000000000005</v>
      </c>
      <c r="EA199" s="100">
        <f>'Policy Data'!N173</f>
        <v>5.5699999999999999E-4</v>
      </c>
      <c r="EB199" s="93" cm="1">
        <f t="array" ref="EB199">IFERROR(DZ199*INDEX(Mortality!$B$4:$E$64,MATCH(D199+DY199-1,Mortality!$A$4:$A$64,0),U199)*V199,0)</f>
        <v>6.0396406335244625E-4</v>
      </c>
      <c r="EC199" s="100">
        <f>'Policy Data'!O173</f>
        <v>0</v>
      </c>
      <c r="ED199" s="400">
        <f>'Policy Data'!Q173</f>
        <v>0</v>
      </c>
    </row>
    <row r="200" spans="1:134" x14ac:dyDescent="0.3">
      <c r="A200" s="399" t="str">
        <f>'Policy Data'!A174</f>
        <v>POL100170</v>
      </c>
      <c r="B200" s="26" t="s">
        <v>426</v>
      </c>
      <c r="C200" s="100" t="str">
        <f>'Policy Data'!B174</f>
        <v>Term Life</v>
      </c>
      <c r="D200" s="100">
        <f>'Policy Data'!C174</f>
        <v>42</v>
      </c>
      <c r="E200" s="100" t="str">
        <f>'Policy Data'!D174</f>
        <v>Female</v>
      </c>
      <c r="F200" s="100" t="str">
        <f>'Policy Data'!E174</f>
        <v>Non-smoker</v>
      </c>
      <c r="G200" s="100" t="str">
        <f>'Policy Data'!F174</f>
        <v>Standard</v>
      </c>
      <c r="H200" s="100">
        <f>'Policy Data'!G174</f>
        <v>20</v>
      </c>
      <c r="I200" s="279">
        <f>'Policy Data'!H174</f>
        <v>1000000</v>
      </c>
      <c r="J200" s="100" t="str">
        <f>'Policy Data'!I174</f>
        <v>Annual</v>
      </c>
      <c r="K200" s="100" t="str">
        <f>'Policy Data'!J174</f>
        <v>Direct</v>
      </c>
      <c r="L200" s="26" t="s">
        <v>389</v>
      </c>
      <c r="M200" s="106">
        <f>'Policy Data'!R174</f>
        <v>2208.79</v>
      </c>
      <c r="N200" s="415">
        <f>Assumptions!$C$21</f>
        <v>1</v>
      </c>
      <c r="O200" s="415">
        <f>Assumptions!$C$22</f>
        <v>1</v>
      </c>
      <c r="P200" s="415">
        <f>Assumptions!$C$23</f>
        <v>1</v>
      </c>
      <c r="Q200" s="416">
        <f>Assumptions!$C$24</f>
        <v>0</v>
      </c>
      <c r="R200" s="416">
        <f>Assumptions!$C$6+Assumptions!$C$25</f>
        <v>3.5000000000000003E-2</v>
      </c>
      <c r="S200" s="416">
        <f>Assumptions!$C$15</f>
        <v>1.1000000000000001E-3</v>
      </c>
      <c r="T200" s="26">
        <f t="shared" si="54"/>
        <v>1</v>
      </c>
      <c r="U200" s="26">
        <f t="shared" si="55"/>
        <v>1</v>
      </c>
      <c r="V200" s="389">
        <f>IF($G200="Preferred",Assumptions!$C$30,IF($G200="Rated",Assumptions!$C$31,1))</f>
        <v>1</v>
      </c>
      <c r="W200" s="390">
        <f>IF($K200="Direct",Assumptions!$C$32,IF($K200="Broker",Assumptions!$C$33,IF($K200="Bancassurance",Assumptions!$C$34,Assumptions!$C$11)))+$Q200</f>
        <v>0.1</v>
      </c>
      <c r="X200" s="390">
        <f>Assumptions!$C$12+$Q200</f>
        <v>0.05</v>
      </c>
      <c r="Y200" s="131">
        <f>MIN($I200,Assumptions!$C$14)</f>
        <v>500000</v>
      </c>
      <c r="Z200" s="131">
        <f>MAX($I200-Assumptions!$C$14,0)</f>
        <v>500000</v>
      </c>
      <c r="AA200" s="389">
        <f t="shared" si="56"/>
        <v>8.5434537372290205</v>
      </c>
      <c r="AB200" s="389">
        <f t="shared" si="57"/>
        <v>1.6504823815727931E-2</v>
      </c>
      <c r="AC200" s="389">
        <f>IF($T200=1,SUMPRODUCT($CJ200:$DW200,(1+Assumptions!$C$5)^($CJ$5:$DW$5-1),(1+$R200)^(-$CJ$5:$DW$5)),0)</f>
        <v>11.484940417911369</v>
      </c>
      <c r="AD200" s="389">
        <f t="shared" si="58"/>
        <v>0.47548186560541239</v>
      </c>
      <c r="AE200" s="131">
        <f>IF($T200=1,$AB200*$Y200+(Assumptions!$C$9/(1+$R200)+Assumptions!$C$10*$AC200)*$P200+$S200*$Z200*$AA200,0)</f>
        <v>16347.563572671734</v>
      </c>
      <c r="AF200" s="131">
        <f>IF($T200=1,IF($AA200-$AD200-Assumptions!$C$16*$AA200&gt;0,$AE200/($AA200-$AD200-Assumptions!$C$16*$AA200)*IF($J200="Monthly",1+Assumptions!$C$29,1),"n.a."),"")</f>
        <v>2213.7684845026838</v>
      </c>
      <c r="AG200" s="131">
        <f t="shared" si="59"/>
        <v>2208.79</v>
      </c>
      <c r="AH200" s="131">
        <f t="shared" si="60"/>
        <v>18870.695180254086</v>
      </c>
      <c r="AI200" s="131">
        <f t="shared" si="61"/>
        <v>1472.8920176517786</v>
      </c>
      <c r="AJ200" s="390">
        <f t="shared" si="62"/>
        <v>7.8051815451557024E-2</v>
      </c>
      <c r="AK200" s="389">
        <f t="shared" si="63"/>
        <v>0.9977511268510979</v>
      </c>
      <c r="AL200" s="131">
        <f t="shared" si="64"/>
        <v>8252.4119078639651</v>
      </c>
      <c r="AM200" s="131">
        <f t="shared" si="65"/>
        <v>4698.8995554759613</v>
      </c>
      <c r="AN200" s="131">
        <f t="shared" si="66"/>
        <v>3553.5123523880038</v>
      </c>
      <c r="AO200" s="131">
        <f t="shared" si="67"/>
        <v>-2080.6203347362252</v>
      </c>
      <c r="AP200" s="26" t="str">
        <f t="shared" si="68"/>
        <v>40-49</v>
      </c>
      <c r="AQ200" s="26" t="str">
        <f t="shared" si="69"/>
        <v>500k-1m</v>
      </c>
      <c r="AR200" s="26" t="str">
        <f>IF($T200=1,IF($AI200&lt;0,"Loss-making",IF($AJ200&lt;Assumptions!$C$16-0.00001,"Below target","At/above target")),"Excluded")</f>
        <v>Below target</v>
      </c>
      <c r="AS200" s="103">
        <f t="shared" si="70"/>
        <v>1472.8922176517785</v>
      </c>
      <c r="AT200" s="26"/>
      <c r="AU200" s="419">
        <f>IF(AND($T200=1,AU$5&lt;=$H200),INDEX(Mortality!$B$4:$E$64,MATCH($D200+AU$5-1,Mortality!$A$4:$A$64,0),$U200)*$V200*$N200,0)</f>
        <v>9.98973901084343E-4</v>
      </c>
      <c r="AV200" s="93">
        <f>IF(AND($T200=1,AV$5&lt;=$H200),INDEX(Mortality!$B$4:$E$64,MATCH($D200+AV$5-1,Mortality!$A$4:$A$64,0),$U200)*$V200*$N200,0)</f>
        <v>1.08217550798947E-3</v>
      </c>
      <c r="AW200" s="93">
        <f>IF(AND($T200=1,AW$5&lt;=$H200),INDEX(Mortality!$B$4:$E$64,MATCH($D200+AW$5-1,Mortality!$A$4:$A$64,0),$U200)*$V200*$N200,0)</f>
        <v>1.1723067327595699E-3</v>
      </c>
      <c r="AX200" s="93">
        <f>IF(AND($T200=1,AX$5&lt;=$H200),INDEX(Mortality!$B$4:$E$64,MATCH($D200+AX$5-1,Mortality!$A$4:$A$64,0),$U200)*$V200*$N200,0)</f>
        <v>1.2699447229467301E-3</v>
      </c>
      <c r="AY200" s="93">
        <f>IF(AND($T200=1,AY$5&lt;=$H200),INDEX(Mortality!$B$4:$E$64,MATCH($D200+AY$5-1,Mortality!$A$4:$A$64,0),$U200)*$V200*$N200,0)</f>
        <v>1.37571469503025E-3</v>
      </c>
      <c r="AZ200" s="93">
        <f>IF(AND($T200=1,AZ$5&lt;=$H200),INDEX(Mortality!$B$4:$E$64,MATCH($D200+AZ$5-1,Mortality!$A$4:$A$64,0),$U200)*$V200*$N200,0)</f>
        <v>1.4902939379366699E-3</v>
      </c>
      <c r="BA200" s="93">
        <f>IF(AND($T200=1,BA$5&lt;=$H200),INDEX(Mortality!$B$4:$E$64,MATCH($D200+BA$5-1,Mortality!$A$4:$A$64,0),$U200)*$V200*$N200,0)</f>
        <v>1.6144161500011799E-3</v>
      </c>
      <c r="BB200" s="93">
        <f>IF(AND($T200=1,BB$5&lt;=$H200),INDEX(Mortality!$B$4:$E$64,MATCH($D200+BB$5-1,Mortality!$A$4:$A$64,0),$U200)*$V200*$N200,0)</f>
        <v>1.74887613714188E-3</v>
      </c>
      <c r="BC200" s="93">
        <f>IF(AND($T200=1,BC$5&lt;=$H200),INDEX(Mortality!$B$4:$E$64,MATCH($D200+BC$5-1,Mortality!$A$4:$A$64,0),$U200)*$V200*$N200,0)</f>
        <v>1.89453490233113E-3</v>
      </c>
      <c r="BD200" s="93">
        <f>IF(AND($T200=1,BD$5&lt;=$H200),INDEX(Mortality!$B$4:$E$64,MATCH($D200+BD$5-1,Mortality!$A$4:$A$64,0),$U200)*$V200*$N200,0)</f>
        <v>2.05232515895416E-3</v>
      </c>
      <c r="BE200" s="93">
        <f>IF(AND($T200=1,BE$5&lt;=$H200),INDEX(Mortality!$B$4:$E$64,MATCH($D200+BE$5-1,Mortality!$A$4:$A$64,0),$U200)*$V200*$N200,0)</f>
        <v>2.22325730335899E-3</v>
      </c>
      <c r="BF200" s="93">
        <f>IF(AND($T200=1,BF$5&lt;=$H200),INDEX(Mortality!$B$4:$E$64,MATCH($D200+BF$5-1,Mortality!$A$4:$A$64,0),$U200)*$V200*$N200,0)</f>
        <v>2.4084258848427E-3</v>
      </c>
      <c r="BG200" s="93">
        <f>IF(AND($T200=1,BG$5&lt;=$H200),INDEX(Mortality!$B$4:$E$64,MATCH($D200+BG$5-1,Mortality!$A$4:$A$64,0),$U200)*$V200*$N200,0)</f>
        <v>2.6090166145037101E-3</v>
      </c>
      <c r="BH200" s="93">
        <f>IF(AND($T200=1,BH$5&lt;=$H200),INDEX(Mortality!$B$4:$E$64,MATCH($D200+BH$5-1,Mortality!$A$4:$A$64,0),$U200)*$V200*$N200,0)</f>
        <v>2.8263139578409702E-3</v>
      </c>
      <c r="BI200" s="93">
        <f>IF(AND($T200=1,BI$5&lt;=$H200),INDEX(Mortality!$B$4:$E$64,MATCH($D200+BI$5-1,Mortality!$A$4:$A$64,0),$U200)*$V200*$N200,0)</f>
        <v>3.0617093597183598E-3</v>
      </c>
      <c r="BJ200" s="93">
        <f>IF(AND($T200=1,BJ$5&lt;=$H200),INDEX(Mortality!$B$4:$E$64,MATCH($D200+BJ$5-1,Mortality!$A$4:$A$64,0),$U200)*$V200*$N200,0)</f>
        <v>3.31671015436227E-3</v>
      </c>
      <c r="BK200" s="93">
        <f>IF(AND($T200=1,BK$5&lt;=$H200),INDEX(Mortality!$B$4:$E$64,MATCH($D200+BK$5-1,Mortality!$A$4:$A$64,0),$U200)*$V200*$N200,0)</f>
        <v>3.5929492174468702E-3</v>
      </c>
      <c r="BL200" s="93">
        <f>IF(AND($T200=1,BL$5&lt;=$H200),INDEX(Mortality!$B$4:$E$64,MATCH($D200+BL$5-1,Mortality!$A$4:$A$64,0),$U200)*$V200*$N200,0)</f>
        <v>3.8921954220730499E-3</v>
      </c>
      <c r="BM200" s="93">
        <f>IF(AND($T200=1,BM$5&lt;=$H200),INDEX(Mortality!$B$4:$E$64,MATCH($D200+BM$5-1,Mortality!$A$4:$A$64,0),$U200)*$V200*$N200,0)</f>
        <v>4.2163649655954103E-3</v>
      </c>
      <c r="BN200" s="93">
        <f>IF(AND($T200=1,BN$5&lt;=$H200),INDEX(Mortality!$B$4:$E$64,MATCH($D200+BN$5-1,Mortality!$A$4:$A$64,0),$U200)*$V200*$N200,0)</f>
        <v>4.5675336398272801E-3</v>
      </c>
      <c r="BO200" s="93">
        <f>IF(AND($T200=1,BO$5&lt;=$H200),INDEX(Mortality!$B$4:$E$64,MATCH($D200+BO$5-1,Mortality!$A$4:$A$64,0),$U200)*$V200*$N200,0)</f>
        <v>0</v>
      </c>
      <c r="BP200" s="93">
        <f>IF(AND($T200=1,BP$5&lt;=$H200),INDEX(Mortality!$B$4:$E$64,MATCH($D200+BP$5-1,Mortality!$A$4:$A$64,0),$U200)*$V200*$N200,0)</f>
        <v>0</v>
      </c>
      <c r="BQ200" s="93">
        <f>IF(AND($T200=1,BQ$5&lt;=$H200),INDEX(Mortality!$B$4:$E$64,MATCH($D200+BQ$5-1,Mortality!$A$4:$A$64,0),$U200)*$V200*$N200,0)</f>
        <v>0</v>
      </c>
      <c r="BR200" s="93">
        <f>IF(AND($T200=1,BR$5&lt;=$H200),INDEX(Mortality!$B$4:$E$64,MATCH($D200+BR$5-1,Mortality!$A$4:$A$64,0),$U200)*$V200*$N200,0)</f>
        <v>0</v>
      </c>
      <c r="BS200" s="93">
        <f>IF(AND($T200=1,BS$5&lt;=$H200),INDEX(Mortality!$B$4:$E$64,MATCH($D200+BS$5-1,Mortality!$A$4:$A$64,0),$U200)*$V200*$N200,0)</f>
        <v>0</v>
      </c>
      <c r="BT200" s="93">
        <f>IF(AND($T200=1,BT$5&lt;=$H200),INDEX(Mortality!$B$4:$E$64,MATCH($D200+BT$5-1,Mortality!$A$4:$A$64,0),$U200)*$V200*$N200,0)</f>
        <v>0</v>
      </c>
      <c r="BU200" s="93">
        <f>IF(AND($T200=1,BU$5&lt;=$H200),INDEX(Mortality!$B$4:$E$64,MATCH($D200+BU$5-1,Mortality!$A$4:$A$64,0),$U200)*$V200*$N200,0)</f>
        <v>0</v>
      </c>
      <c r="BV200" s="93">
        <f>IF(AND($T200=1,BV$5&lt;=$H200),INDEX(Mortality!$B$4:$E$64,MATCH($D200+BV$5-1,Mortality!$A$4:$A$64,0),$U200)*$V200*$N200,0)</f>
        <v>0</v>
      </c>
      <c r="BW200" s="93">
        <f>IF(AND($T200=1,BW$5&lt;=$H200),INDEX(Mortality!$B$4:$E$64,MATCH($D200+BW$5-1,Mortality!$A$4:$A$64,0),$U200)*$V200*$N200,0)</f>
        <v>0</v>
      </c>
      <c r="BX200" s="93">
        <f>IF(AND($T200=1,BX$5&lt;=$H200),INDEX(Mortality!$B$4:$E$64,MATCH($D200+BX$5-1,Mortality!$A$4:$A$64,0),$U200)*$V200*$N200,0)</f>
        <v>0</v>
      </c>
      <c r="BY200" s="93">
        <f>IF(AND($T200=1,BY$5&lt;=$H200),INDEX(Mortality!$B$4:$E$64,MATCH($D200+BY$5-1,Mortality!$A$4:$A$64,0),$U200)*$V200*$N200,0)</f>
        <v>0</v>
      </c>
      <c r="BZ200" s="93">
        <f>IF(AND($T200=1,BZ$5&lt;=$H200),INDEX(Mortality!$B$4:$E$64,MATCH($D200+BZ$5-1,Mortality!$A$4:$A$64,0),$U200)*$V200*$N200,0)</f>
        <v>0</v>
      </c>
      <c r="CA200" s="93">
        <f>IF(AND($T200=1,CA$5&lt;=$H200),INDEX(Mortality!$B$4:$E$64,MATCH($D200+CA$5-1,Mortality!$A$4:$A$64,0),$U200)*$V200*$N200,0)</f>
        <v>0</v>
      </c>
      <c r="CB200" s="93">
        <f>IF(AND($T200=1,CB$5&lt;=$H200),INDEX(Mortality!$B$4:$E$64,MATCH($D200+CB$5-1,Mortality!$A$4:$A$64,0),$U200)*$V200*$N200,0)</f>
        <v>0</v>
      </c>
      <c r="CC200" s="93">
        <f>IF(AND($T200=1,CC$5&lt;=$H200),INDEX(Mortality!$B$4:$E$64,MATCH($D200+CC$5-1,Mortality!$A$4:$A$64,0),$U200)*$V200*$N200,0)</f>
        <v>0</v>
      </c>
      <c r="CD200" s="93">
        <f>IF(AND($T200=1,CD$5&lt;=$H200),INDEX(Mortality!$B$4:$E$64,MATCH($D200+CD$5-1,Mortality!$A$4:$A$64,0),$U200)*$V200*$N200,0)</f>
        <v>0</v>
      </c>
      <c r="CE200" s="93">
        <f>IF(AND($T200=1,CE$5&lt;=$H200),INDEX(Mortality!$B$4:$E$64,MATCH($D200+CE$5-1,Mortality!$A$4:$A$64,0),$U200)*$V200*$N200,0)</f>
        <v>0</v>
      </c>
      <c r="CF200" s="93">
        <f>IF(AND($T200=1,CF$5&lt;=$H200),INDEX(Mortality!$B$4:$E$64,MATCH($D200+CF$5-1,Mortality!$A$4:$A$64,0),$U200)*$V200*$N200,0)</f>
        <v>0</v>
      </c>
      <c r="CG200" s="93">
        <f>IF(AND($T200=1,CG$5&lt;=$H200),INDEX(Mortality!$B$4:$E$64,MATCH($D200+CG$5-1,Mortality!$A$4:$A$64,0),$U200)*$V200*$N200,0)</f>
        <v>0</v>
      </c>
      <c r="CH200" s="94">
        <f>IF(AND($T200=1,CH$5&lt;=$H200),INDEX(Mortality!$B$4:$E$64,MATCH($D200+CH$5-1,Mortality!$A$4:$A$64,0),$U200)*$V200*$N200,0)</f>
        <v>0</v>
      </c>
      <c r="CI200" s="26"/>
      <c r="CJ200" s="419">
        <f t="shared" si="71"/>
        <v>1</v>
      </c>
      <c r="CK200" s="93">
        <f>IF(AND($T200=1,CK$5&lt;=$H200),CJ200*(1-AU200)*(1-MIN(1,MAX(Assumptions!$C$27,Assumptions!$C$13*Assumptions!$C$28^(CJ$5-1))*$O200)),0)</f>
        <v>0.8791209029670457</v>
      </c>
      <c r="CL200" s="93">
        <f>IF(AND($T200=1,CL$5&lt;=$H200),CK200*(1-AV200)*(1-MIN(1,MAX(Assumptions!$C$27,Assumptions!$C$13*Assumptions!$C$28^(CK$5-1))*$O200)),0)</f>
        <v>0.78859624679184925</v>
      </c>
      <c r="CM200" s="93">
        <f>IF(AND($T200=1,CM$5&lt;=$H200),CL200*(1-AW200)*(1-MIN(1,MAX(Assumptions!$C$27,Assumptions!$C$13*Assumptions!$C$28^(CL$5-1))*$O200)),0)</f>
        <v>0.71938062763443633</v>
      </c>
      <c r="CN200" s="93">
        <f>IF(AND($T200=1,CN$5&lt;=$H200),CM200*(1-AX200)*(1-MIN(1,MAX(Assumptions!$C$27,Assumptions!$C$13*Assumptions!$C$28^(CM$5-1))*$O200)),0)</f>
        <v>0.66551962445786172</v>
      </c>
      <c r="CO200" s="93">
        <f>IF(AND($T200=1,CO$5&lt;=$H200),CN200*(1-AY200)*(1-MIN(1,MAX(Assumptions!$C$27,Assumptions!$C$13*Assumptions!$C$28^(CN$5-1))*$O200)),0)</f>
        <v>0.62297276260114676</v>
      </c>
      <c r="CP200" s="93">
        <f>IF(AND($T200=1,CP$5&lt;=$H200),CO200*(1-AZ200)*(1-MIN(1,MAX(Assumptions!$C$27,Assumptions!$C$13*Assumptions!$C$28^(CO$5-1))*$O200)),0)</f>
        <v>0.58892382414116673</v>
      </c>
      <c r="CQ200" s="93">
        <f>IF(AND($T200=1,CQ$5&lt;=$H200),CP200*(1-BA200)*(1-MIN(1,MAX(Assumptions!$C$27,Assumptions!$C$13*Assumptions!$C$28^(CP$5-1))*$O200)),0)</f>
        <v>0.5613626056154607</v>
      </c>
      <c r="CR200" s="93">
        <f>IF(AND($T200=1,CR$5&lt;=$H200),CQ200*(1-BB200)*(1-MIN(1,MAX(Assumptions!$C$27,Assumptions!$C$13*Assumptions!$C$28^(CQ$5-1))*$O200)),0)</f>
        <v>0.5388234205286041</v>
      </c>
      <c r="CS200" s="93">
        <f>IF(AND($T200=1,CS$5&lt;=$H200),CR200*(1-BC200)*(1-MIN(1,MAX(Assumptions!$C$27,Assumptions!$C$13*Assumptions!$C$28^(CR$5-1))*$O200)),0)</f>
        <v>0.52021706718665772</v>
      </c>
      <c r="CT200" s="93">
        <f>IF(AND($T200=1,CT$5&lt;=$H200),CS200*(1-BD200)*(1-MIN(1,MAX(Assumptions!$C$27,Assumptions!$C$13*Assumptions!$C$28^(CS$5-1))*$O200)),0)</f>
        <v>0.50472015641789647</v>
      </c>
      <c r="CU200" s="93">
        <f>IF(AND($T200=1,CU$5&lt;=$H200),CT200*(1-BE200)*(1-MIN(1,MAX(Assumptions!$C$27,Assumptions!$C$13*Assumptions!$C$28^(CT$5-1))*$O200)),0)</f>
        <v>0.49170056609588958</v>
      </c>
      <c r="CV200" s="93">
        <f>IF(AND($T200=1,CV$5&lt;=$H200),CU200*(1-BF200)*(1-MIN(1,MAX(Assumptions!$C$27,Assumptions!$C$13*Assumptions!$C$28^(CU$5-1))*$O200)),0)</f>
        <v>0.48066619024007123</v>
      </c>
      <c r="CW200" s="93">
        <f>IF(AND($T200=1,CW$5&lt;=$H200),CV200*(1-BG200)*(1-MIN(1,MAX(Assumptions!$C$27,Assumptions!$C$13*Assumptions!$C$28^(CV$5-1))*$O200)),0)</f>
        <v>0.46982388168043054</v>
      </c>
      <c r="CX200" s="93">
        <f>IF(AND($T200=1,CX$5&lt;=$H200),CW200*(1-BH200)*(1-MIN(1,MAX(Assumptions!$C$27,Assumptions!$C$13*Assumptions!$C$28^(CW$5-1))*$O200)),0)</f>
        <v>0.4591260916481919</v>
      </c>
      <c r="CY200" s="93">
        <f>IF(AND($T200=1,CY$5&lt;=$H200),CX200*(1-BI200)*(1-MIN(1,MAX(Assumptions!$C$27,Assumptions!$C$13*Assumptions!$C$28^(CX$5-1))*$O200)),0)</f>
        <v>0.44856597337617965</v>
      </c>
      <c r="CZ200" s="93">
        <f>IF(AND($T200=1,CZ$5&lt;=$H200),CY200*(1-BJ200)*(1-MIN(1,MAX(Assumptions!$C$27,Assumptions!$C$13*Assumptions!$C$28^(CY$5-1))*$O200)),0)</f>
        <v>0.43813664585623385</v>
      </c>
      <c r="DA200" s="93">
        <f>IF(AND($T200=1,DA$5&lt;=$H200),CZ200*(1-BK200)*(1-MIN(1,MAX(Assumptions!$C$27,Assumptions!$C$13*Assumptions!$C$28^(CZ$5-1))*$O200)),0)</f>
        <v>0.42783119427462246</v>
      </c>
      <c r="DB200" s="93">
        <f>IF(AND($T200=1,DB$5&lt;=$H200),DA200*(1-BL200)*(1-MIN(1,MAX(Assumptions!$C$27,Assumptions!$C$13*Assumptions!$C$28^(DA$5-1))*$O200)),0)</f>
        <v>0.41764267182566978</v>
      </c>
      <c r="DC200" s="93">
        <f>IF(AND($T200=1,DC$5&lt;=$H200),DB200*(1-BM200)*(1-MIN(1,MAX(Assumptions!$C$27,Assumptions!$C$13*Assumptions!$C$28^(DB$5-1))*$O200)),0)</f>
        <v>0.40756410313812547</v>
      </c>
      <c r="DD200" s="93">
        <f>IF(AND($T200=1,DD$5&lt;=$H200),DC200*(1-BN200)*(1-MIN(1,MAX(Assumptions!$C$27,Assumptions!$C$13*Assumptions!$C$28^(DC$5-1))*$O200)),0)</f>
        <v>0</v>
      </c>
      <c r="DE200" s="93">
        <f>IF(AND($T200=1,DE$5&lt;=$H200),DD200*(1-BO200)*(1-MIN(1,MAX(Assumptions!$C$27,Assumptions!$C$13*Assumptions!$C$28^(DD$5-1))*$O200)),0)</f>
        <v>0</v>
      </c>
      <c r="DF200" s="93">
        <f>IF(AND($T200=1,DF$5&lt;=$H200),DE200*(1-BP200)*(1-MIN(1,MAX(Assumptions!$C$27,Assumptions!$C$13*Assumptions!$C$28^(DE$5-1))*$O200)),0)</f>
        <v>0</v>
      </c>
      <c r="DG200" s="93">
        <f>IF(AND($T200=1,DG$5&lt;=$H200),DF200*(1-BQ200)*(1-MIN(1,MAX(Assumptions!$C$27,Assumptions!$C$13*Assumptions!$C$28^(DF$5-1))*$O200)),0)</f>
        <v>0</v>
      </c>
      <c r="DH200" s="93">
        <f>IF(AND($T200=1,DH$5&lt;=$H200),DG200*(1-BR200)*(1-MIN(1,MAX(Assumptions!$C$27,Assumptions!$C$13*Assumptions!$C$28^(DG$5-1))*$O200)),0)</f>
        <v>0</v>
      </c>
      <c r="DI200" s="93">
        <f>IF(AND($T200=1,DI$5&lt;=$H200),DH200*(1-BS200)*(1-MIN(1,MAX(Assumptions!$C$27,Assumptions!$C$13*Assumptions!$C$28^(DH$5-1))*$O200)),0)</f>
        <v>0</v>
      </c>
      <c r="DJ200" s="93">
        <f>IF(AND($T200=1,DJ$5&lt;=$H200),DI200*(1-BT200)*(1-MIN(1,MAX(Assumptions!$C$27,Assumptions!$C$13*Assumptions!$C$28^(DI$5-1))*$O200)),0)</f>
        <v>0</v>
      </c>
      <c r="DK200" s="93">
        <f>IF(AND($T200=1,DK$5&lt;=$H200),DJ200*(1-BU200)*(1-MIN(1,MAX(Assumptions!$C$27,Assumptions!$C$13*Assumptions!$C$28^(DJ$5-1))*$O200)),0)</f>
        <v>0</v>
      </c>
      <c r="DL200" s="93">
        <f>IF(AND($T200=1,DL$5&lt;=$H200),DK200*(1-BV200)*(1-MIN(1,MAX(Assumptions!$C$27,Assumptions!$C$13*Assumptions!$C$28^(DK$5-1))*$O200)),0)</f>
        <v>0</v>
      </c>
      <c r="DM200" s="93">
        <f>IF(AND($T200=1,DM$5&lt;=$H200),DL200*(1-BW200)*(1-MIN(1,MAX(Assumptions!$C$27,Assumptions!$C$13*Assumptions!$C$28^(DL$5-1))*$O200)),0)</f>
        <v>0</v>
      </c>
      <c r="DN200" s="93">
        <f>IF(AND($T200=1,DN$5&lt;=$H200),DM200*(1-BX200)*(1-MIN(1,MAX(Assumptions!$C$27,Assumptions!$C$13*Assumptions!$C$28^(DM$5-1))*$O200)),0)</f>
        <v>0</v>
      </c>
      <c r="DO200" s="93">
        <f>IF(AND($T200=1,DO$5&lt;=$H200),DN200*(1-BY200)*(1-MIN(1,MAX(Assumptions!$C$27,Assumptions!$C$13*Assumptions!$C$28^(DN$5-1))*$O200)),0)</f>
        <v>0</v>
      </c>
      <c r="DP200" s="93">
        <f>IF(AND($T200=1,DP$5&lt;=$H200),DO200*(1-BZ200)*(1-MIN(1,MAX(Assumptions!$C$27,Assumptions!$C$13*Assumptions!$C$28^(DO$5-1))*$O200)),0)</f>
        <v>0</v>
      </c>
      <c r="DQ200" s="93">
        <f>IF(AND($T200=1,DQ$5&lt;=$H200),DP200*(1-CA200)*(1-MIN(1,MAX(Assumptions!$C$27,Assumptions!$C$13*Assumptions!$C$28^(DP$5-1))*$O200)),0)</f>
        <v>0</v>
      </c>
      <c r="DR200" s="93">
        <f>IF(AND($T200=1,DR$5&lt;=$H200),DQ200*(1-CB200)*(1-MIN(1,MAX(Assumptions!$C$27,Assumptions!$C$13*Assumptions!$C$28^(DQ$5-1))*$O200)),0)</f>
        <v>0</v>
      </c>
      <c r="DS200" s="93">
        <f>IF(AND($T200=1,DS$5&lt;=$H200),DR200*(1-CC200)*(1-MIN(1,MAX(Assumptions!$C$27,Assumptions!$C$13*Assumptions!$C$28^(DR$5-1))*$O200)),0)</f>
        <v>0</v>
      </c>
      <c r="DT200" s="93">
        <f>IF(AND($T200=1,DT$5&lt;=$H200),DS200*(1-CD200)*(1-MIN(1,MAX(Assumptions!$C$27,Assumptions!$C$13*Assumptions!$C$28^(DS$5-1))*$O200)),0)</f>
        <v>0</v>
      </c>
      <c r="DU200" s="93">
        <f>IF(AND($T200=1,DU$5&lt;=$H200),DT200*(1-CE200)*(1-MIN(1,MAX(Assumptions!$C$27,Assumptions!$C$13*Assumptions!$C$28^(DT$5-1))*$O200)),0)</f>
        <v>0</v>
      </c>
      <c r="DV200" s="93">
        <f>IF(AND($T200=1,DV$5&lt;=$H200),DU200*(1-CF200)*(1-MIN(1,MAX(Assumptions!$C$27,Assumptions!$C$13*Assumptions!$C$28^(DU$5-1))*$O200)),0)</f>
        <v>0</v>
      </c>
      <c r="DW200" s="94">
        <f>IF(AND($T200=1,DW$5&lt;=$H200),DV200*(1-CG200)*(1-MIN(1,MAX(Assumptions!$C$27,Assumptions!$C$13*Assumptions!$C$28^(DV$5-1))*$O200)),0)</f>
        <v>0</v>
      </c>
      <c r="DX200" s="26"/>
      <c r="DY200" s="399">
        <f>'Policy Data'!K174</f>
        <v>5</v>
      </c>
      <c r="DZ200" s="100">
        <f>'Policy Data'!L174</f>
        <v>0.9869</v>
      </c>
      <c r="EA200" s="100">
        <f>'Policy Data'!N174</f>
        <v>9.859999999999999E-4</v>
      </c>
      <c r="EB200" s="93" cm="1">
        <f t="array" ref="EB200">IFERROR(DZ200*INDEX(Mortality!$B$4:$E$64,MATCH(D200+DY200-1,Mortality!$A$4:$A$64,0),U200)*V200,0)</f>
        <v>1.3576928325253537E-3</v>
      </c>
      <c r="EC200" s="100">
        <f>'Policy Data'!O174</f>
        <v>0</v>
      </c>
      <c r="ED200" s="400">
        <f>'Policy Data'!Q174</f>
        <v>0</v>
      </c>
    </row>
    <row r="201" spans="1:134" x14ac:dyDescent="0.3">
      <c r="A201" s="399" t="str">
        <f>'Policy Data'!A175</f>
        <v>POL100171</v>
      </c>
      <c r="B201" s="26" t="s">
        <v>426</v>
      </c>
      <c r="C201" s="100" t="str">
        <f>'Policy Data'!B175</f>
        <v>Unit-Linked</v>
      </c>
      <c r="D201" s="100">
        <f>'Policy Data'!C175</f>
        <v>46</v>
      </c>
      <c r="E201" s="100" t="str">
        <f>'Policy Data'!D175</f>
        <v>Male</v>
      </c>
      <c r="F201" s="100" t="str">
        <f>'Policy Data'!E175</f>
        <v>Non-smoker</v>
      </c>
      <c r="G201" s="100" t="str">
        <f>'Policy Data'!F175</f>
        <v>Standard</v>
      </c>
      <c r="H201" s="100">
        <f>'Policy Data'!G175</f>
        <v>10</v>
      </c>
      <c r="I201" s="279">
        <f>'Policy Data'!H175</f>
        <v>500000</v>
      </c>
      <c r="J201" s="100" t="str">
        <f>'Policy Data'!I175</f>
        <v>Monthly</v>
      </c>
      <c r="K201" s="100" t="str">
        <f>'Policy Data'!J175</f>
        <v>Direct</v>
      </c>
      <c r="L201" s="26" t="s">
        <v>389</v>
      </c>
      <c r="M201" s="106">
        <f>'Policy Data'!R175</f>
        <v>12645.44</v>
      </c>
      <c r="N201" s="415">
        <f>Assumptions!$C$21</f>
        <v>1</v>
      </c>
      <c r="O201" s="415">
        <f>Assumptions!$C$22</f>
        <v>1</v>
      </c>
      <c r="P201" s="415">
        <f>Assumptions!$C$23</f>
        <v>1</v>
      </c>
      <c r="Q201" s="416">
        <f>Assumptions!$C$24</f>
        <v>0</v>
      </c>
      <c r="R201" s="416">
        <f>Assumptions!$C$6+Assumptions!$C$25</f>
        <v>3.5000000000000003E-2</v>
      </c>
      <c r="S201" s="416">
        <f>Assumptions!$C$15</f>
        <v>1.1000000000000001E-3</v>
      </c>
      <c r="T201" s="26">
        <f t="shared" si="54"/>
        <v>0</v>
      </c>
      <c r="U201" s="26">
        <f t="shared" si="55"/>
        <v>3</v>
      </c>
      <c r="V201" s="389">
        <f>IF($G201="Preferred",Assumptions!$C$30,IF($G201="Rated",Assumptions!$C$31,1))</f>
        <v>1</v>
      </c>
      <c r="W201" s="390">
        <f>IF($K201="Direct",Assumptions!$C$32,IF($K201="Broker",Assumptions!$C$33,IF($K201="Bancassurance",Assumptions!$C$34,Assumptions!$C$11)))+$Q201</f>
        <v>0.1</v>
      </c>
      <c r="X201" s="390">
        <f>Assumptions!$C$12+$Q201</f>
        <v>0.05</v>
      </c>
      <c r="Y201" s="131">
        <f>MIN($I201,Assumptions!$C$14)</f>
        <v>500000</v>
      </c>
      <c r="Z201" s="131">
        <f>MAX($I201-Assumptions!$C$14,0)</f>
        <v>0</v>
      </c>
      <c r="AA201" s="389">
        <f t="shared" si="56"/>
        <v>0</v>
      </c>
      <c r="AB201" s="389">
        <f t="shared" si="57"/>
        <v>0</v>
      </c>
      <c r="AC201" s="389">
        <f>IF($T201=1,SUMPRODUCT($CJ201:$DW201,(1+Assumptions!$C$5)^($CJ$5:$DW$5-1),(1+$R201)^(-$CJ$5:$DW$5)),0)</f>
        <v>0</v>
      </c>
      <c r="AD201" s="389">
        <f t="shared" si="58"/>
        <v>0</v>
      </c>
      <c r="AE201" s="131">
        <f>IF($T201=1,$AB201*$Y201+(Assumptions!$C$9/(1+$R201)+Assumptions!$C$10*$AC201)*$P201+$S201*$Z201*$AA201,0)</f>
        <v>0</v>
      </c>
      <c r="AF201" s="131" t="str">
        <f>IF($T201=1,IF($AA201-$AD201-Assumptions!$C$16*$AA201&gt;0,$AE201/($AA201-$AD201-Assumptions!$C$16*$AA201)*IF($J201="Monthly",1+Assumptions!$C$29,1),"n.a."),"")</f>
        <v/>
      </c>
      <c r="AG201" s="131" t="str">
        <f t="shared" si="59"/>
        <v/>
      </c>
      <c r="AH201" s="131" t="str">
        <f t="shared" si="60"/>
        <v/>
      </c>
      <c r="AI201" s="131" t="str">
        <f t="shared" si="61"/>
        <v/>
      </c>
      <c r="AJ201" s="390" t="str">
        <f t="shared" si="62"/>
        <v/>
      </c>
      <c r="AK201" s="389" t="str">
        <f t="shared" si="63"/>
        <v/>
      </c>
      <c r="AL201" s="131" t="str">
        <f t="shared" si="64"/>
        <v/>
      </c>
      <c r="AM201" s="131" t="str">
        <f t="shared" si="65"/>
        <v/>
      </c>
      <c r="AN201" s="131" t="str">
        <f t="shared" si="66"/>
        <v/>
      </c>
      <c r="AO201" s="131" t="str">
        <f t="shared" si="67"/>
        <v/>
      </c>
      <c r="AP201" s="26" t="str">
        <f t="shared" si="68"/>
        <v>40-49</v>
      </c>
      <c r="AQ201" s="26" t="str">
        <f t="shared" si="69"/>
        <v>250k-500k</v>
      </c>
      <c r="AR201" s="26" t="str">
        <f>IF($T201=1,IF($AI201&lt;0,"Loss-making",IF($AJ201&lt;Assumptions!$C$16-0.00001,"Below target","At/above target")),"Excluded")</f>
        <v>Excluded</v>
      </c>
      <c r="AS201" s="103">
        <f t="shared" si="70"/>
        <v>9.9999999999999997E+98</v>
      </c>
      <c r="AT201" s="26"/>
      <c r="AU201" s="419">
        <f>IF(AND($T201=1,AU$5&lt;=$H201),INDEX(Mortality!$B$4:$E$64,MATCH($D201+AU$5-1,Mortality!$A$4:$A$64,0),$U201)*$V201*$N201,0)</f>
        <v>0</v>
      </c>
      <c r="AV201" s="93">
        <f>IF(AND($T201=1,AV$5&lt;=$H201),INDEX(Mortality!$B$4:$E$64,MATCH($D201+AV$5-1,Mortality!$A$4:$A$64,0),$U201)*$V201*$N201,0)</f>
        <v>0</v>
      </c>
      <c r="AW201" s="93">
        <f>IF(AND($T201=1,AW$5&lt;=$H201),INDEX(Mortality!$B$4:$E$64,MATCH($D201+AW$5-1,Mortality!$A$4:$A$64,0),$U201)*$V201*$N201,0)</f>
        <v>0</v>
      </c>
      <c r="AX201" s="93">
        <f>IF(AND($T201=1,AX$5&lt;=$H201),INDEX(Mortality!$B$4:$E$64,MATCH($D201+AX$5-1,Mortality!$A$4:$A$64,0),$U201)*$V201*$N201,0)</f>
        <v>0</v>
      </c>
      <c r="AY201" s="93">
        <f>IF(AND($T201=1,AY$5&lt;=$H201),INDEX(Mortality!$B$4:$E$64,MATCH($D201+AY$5-1,Mortality!$A$4:$A$64,0),$U201)*$V201*$N201,0)</f>
        <v>0</v>
      </c>
      <c r="AZ201" s="93">
        <f>IF(AND($T201=1,AZ$5&lt;=$H201),INDEX(Mortality!$B$4:$E$64,MATCH($D201+AZ$5-1,Mortality!$A$4:$A$64,0),$U201)*$V201*$N201,0)</f>
        <v>0</v>
      </c>
      <c r="BA201" s="93">
        <f>IF(AND($T201=1,BA$5&lt;=$H201),INDEX(Mortality!$B$4:$E$64,MATCH($D201+BA$5-1,Mortality!$A$4:$A$64,0),$U201)*$V201*$N201,0)</f>
        <v>0</v>
      </c>
      <c r="BB201" s="93">
        <f>IF(AND($T201=1,BB$5&lt;=$H201),INDEX(Mortality!$B$4:$E$64,MATCH($D201+BB$5-1,Mortality!$A$4:$A$64,0),$U201)*$V201*$N201,0)</f>
        <v>0</v>
      </c>
      <c r="BC201" s="93">
        <f>IF(AND($T201=1,BC$5&lt;=$H201),INDEX(Mortality!$B$4:$E$64,MATCH($D201+BC$5-1,Mortality!$A$4:$A$64,0),$U201)*$V201*$N201,0)</f>
        <v>0</v>
      </c>
      <c r="BD201" s="93">
        <f>IF(AND($T201=1,BD$5&lt;=$H201),INDEX(Mortality!$B$4:$E$64,MATCH($D201+BD$5-1,Mortality!$A$4:$A$64,0),$U201)*$V201*$N201,0)</f>
        <v>0</v>
      </c>
      <c r="BE201" s="93">
        <f>IF(AND($T201=1,BE$5&lt;=$H201),INDEX(Mortality!$B$4:$E$64,MATCH($D201+BE$5-1,Mortality!$A$4:$A$64,0),$U201)*$V201*$N201,0)</f>
        <v>0</v>
      </c>
      <c r="BF201" s="93">
        <f>IF(AND($T201=1,BF$5&lt;=$H201),INDEX(Mortality!$B$4:$E$64,MATCH($D201+BF$5-1,Mortality!$A$4:$A$64,0),$U201)*$V201*$N201,0)</f>
        <v>0</v>
      </c>
      <c r="BG201" s="93">
        <f>IF(AND($T201=1,BG$5&lt;=$H201),INDEX(Mortality!$B$4:$E$64,MATCH($D201+BG$5-1,Mortality!$A$4:$A$64,0),$U201)*$V201*$N201,0)</f>
        <v>0</v>
      </c>
      <c r="BH201" s="93">
        <f>IF(AND($T201=1,BH$5&lt;=$H201),INDEX(Mortality!$B$4:$E$64,MATCH($D201+BH$5-1,Mortality!$A$4:$A$64,0),$U201)*$V201*$N201,0)</f>
        <v>0</v>
      </c>
      <c r="BI201" s="93">
        <f>IF(AND($T201=1,BI$5&lt;=$H201),INDEX(Mortality!$B$4:$E$64,MATCH($D201+BI$5-1,Mortality!$A$4:$A$64,0),$U201)*$V201*$N201,0)</f>
        <v>0</v>
      </c>
      <c r="BJ201" s="93">
        <f>IF(AND($T201=1,BJ$5&lt;=$H201),INDEX(Mortality!$B$4:$E$64,MATCH($D201+BJ$5-1,Mortality!$A$4:$A$64,0),$U201)*$V201*$N201,0)</f>
        <v>0</v>
      </c>
      <c r="BK201" s="93">
        <f>IF(AND($T201=1,BK$5&lt;=$H201),INDEX(Mortality!$B$4:$E$64,MATCH($D201+BK$5-1,Mortality!$A$4:$A$64,0),$U201)*$V201*$N201,0)</f>
        <v>0</v>
      </c>
      <c r="BL201" s="93">
        <f>IF(AND($T201=1,BL$5&lt;=$H201),INDEX(Mortality!$B$4:$E$64,MATCH($D201+BL$5-1,Mortality!$A$4:$A$64,0),$U201)*$V201*$N201,0)</f>
        <v>0</v>
      </c>
      <c r="BM201" s="93">
        <f>IF(AND($T201=1,BM$5&lt;=$H201),INDEX(Mortality!$B$4:$E$64,MATCH($D201+BM$5-1,Mortality!$A$4:$A$64,0),$U201)*$V201*$N201,0)</f>
        <v>0</v>
      </c>
      <c r="BN201" s="93">
        <f>IF(AND($T201=1,BN$5&lt;=$H201),INDEX(Mortality!$B$4:$E$64,MATCH($D201+BN$5-1,Mortality!$A$4:$A$64,0),$U201)*$V201*$N201,0)</f>
        <v>0</v>
      </c>
      <c r="BO201" s="93">
        <f>IF(AND($T201=1,BO$5&lt;=$H201),INDEX(Mortality!$B$4:$E$64,MATCH($D201+BO$5-1,Mortality!$A$4:$A$64,0),$U201)*$V201*$N201,0)</f>
        <v>0</v>
      </c>
      <c r="BP201" s="93">
        <f>IF(AND($T201=1,BP$5&lt;=$H201),INDEX(Mortality!$B$4:$E$64,MATCH($D201+BP$5-1,Mortality!$A$4:$A$64,0),$U201)*$V201*$N201,0)</f>
        <v>0</v>
      </c>
      <c r="BQ201" s="93">
        <f>IF(AND($T201=1,BQ$5&lt;=$H201),INDEX(Mortality!$B$4:$E$64,MATCH($D201+BQ$5-1,Mortality!$A$4:$A$64,0),$U201)*$V201*$N201,0)</f>
        <v>0</v>
      </c>
      <c r="BR201" s="93">
        <f>IF(AND($T201=1,BR$5&lt;=$H201),INDEX(Mortality!$B$4:$E$64,MATCH($D201+BR$5-1,Mortality!$A$4:$A$64,0),$U201)*$V201*$N201,0)</f>
        <v>0</v>
      </c>
      <c r="BS201" s="93">
        <f>IF(AND($T201=1,BS$5&lt;=$H201),INDEX(Mortality!$B$4:$E$64,MATCH($D201+BS$5-1,Mortality!$A$4:$A$64,0),$U201)*$V201*$N201,0)</f>
        <v>0</v>
      </c>
      <c r="BT201" s="93">
        <f>IF(AND($T201=1,BT$5&lt;=$H201),INDEX(Mortality!$B$4:$E$64,MATCH($D201+BT$5-1,Mortality!$A$4:$A$64,0),$U201)*$V201*$N201,0)</f>
        <v>0</v>
      </c>
      <c r="BU201" s="93">
        <f>IF(AND($T201=1,BU$5&lt;=$H201),INDEX(Mortality!$B$4:$E$64,MATCH($D201+BU$5-1,Mortality!$A$4:$A$64,0),$U201)*$V201*$N201,0)</f>
        <v>0</v>
      </c>
      <c r="BV201" s="93">
        <f>IF(AND($T201=1,BV$5&lt;=$H201),INDEX(Mortality!$B$4:$E$64,MATCH($D201+BV$5-1,Mortality!$A$4:$A$64,0),$U201)*$V201*$N201,0)</f>
        <v>0</v>
      </c>
      <c r="BW201" s="93">
        <f>IF(AND($T201=1,BW$5&lt;=$H201),INDEX(Mortality!$B$4:$E$64,MATCH($D201+BW$5-1,Mortality!$A$4:$A$64,0),$U201)*$V201*$N201,0)</f>
        <v>0</v>
      </c>
      <c r="BX201" s="93">
        <f>IF(AND($T201=1,BX$5&lt;=$H201),INDEX(Mortality!$B$4:$E$64,MATCH($D201+BX$5-1,Mortality!$A$4:$A$64,0),$U201)*$V201*$N201,0)</f>
        <v>0</v>
      </c>
      <c r="BY201" s="93">
        <f>IF(AND($T201=1,BY$5&lt;=$H201),INDEX(Mortality!$B$4:$E$64,MATCH($D201+BY$5-1,Mortality!$A$4:$A$64,0),$U201)*$V201*$N201,0)</f>
        <v>0</v>
      </c>
      <c r="BZ201" s="93">
        <f>IF(AND($T201=1,BZ$5&lt;=$H201),INDEX(Mortality!$B$4:$E$64,MATCH($D201+BZ$5-1,Mortality!$A$4:$A$64,0),$U201)*$V201*$N201,0)</f>
        <v>0</v>
      </c>
      <c r="CA201" s="93">
        <f>IF(AND($T201=1,CA$5&lt;=$H201),INDEX(Mortality!$B$4:$E$64,MATCH($D201+CA$5-1,Mortality!$A$4:$A$64,0),$U201)*$V201*$N201,0)</f>
        <v>0</v>
      </c>
      <c r="CB201" s="93">
        <f>IF(AND($T201=1,CB$5&lt;=$H201),INDEX(Mortality!$B$4:$E$64,MATCH($D201+CB$5-1,Mortality!$A$4:$A$64,0),$U201)*$V201*$N201,0)</f>
        <v>0</v>
      </c>
      <c r="CC201" s="93">
        <f>IF(AND($T201=1,CC$5&lt;=$H201),INDEX(Mortality!$B$4:$E$64,MATCH($D201+CC$5-1,Mortality!$A$4:$A$64,0),$U201)*$V201*$N201,0)</f>
        <v>0</v>
      </c>
      <c r="CD201" s="93">
        <f>IF(AND($T201=1,CD$5&lt;=$H201),INDEX(Mortality!$B$4:$E$64,MATCH($D201+CD$5-1,Mortality!$A$4:$A$64,0),$U201)*$V201*$N201,0)</f>
        <v>0</v>
      </c>
      <c r="CE201" s="93">
        <f>IF(AND($T201=1,CE$5&lt;=$H201),INDEX(Mortality!$B$4:$E$64,MATCH($D201+CE$5-1,Mortality!$A$4:$A$64,0),$U201)*$V201*$N201,0)</f>
        <v>0</v>
      </c>
      <c r="CF201" s="93">
        <f>IF(AND($T201=1,CF$5&lt;=$H201),INDEX(Mortality!$B$4:$E$64,MATCH($D201+CF$5-1,Mortality!$A$4:$A$64,0),$U201)*$V201*$N201,0)</f>
        <v>0</v>
      </c>
      <c r="CG201" s="93">
        <f>IF(AND($T201=1,CG$5&lt;=$H201),INDEX(Mortality!$B$4:$E$64,MATCH($D201+CG$5-1,Mortality!$A$4:$A$64,0),$U201)*$V201*$N201,0)</f>
        <v>0</v>
      </c>
      <c r="CH201" s="94">
        <f>IF(AND($T201=1,CH$5&lt;=$H201),INDEX(Mortality!$B$4:$E$64,MATCH($D201+CH$5-1,Mortality!$A$4:$A$64,0),$U201)*$V201*$N201,0)</f>
        <v>0</v>
      </c>
      <c r="CI201" s="26"/>
      <c r="CJ201" s="419">
        <f t="shared" si="71"/>
        <v>0</v>
      </c>
      <c r="CK201" s="93">
        <f>IF(AND($T201=1,CK$5&lt;=$H201),CJ201*(1-AU201)*(1-MIN(1,MAX(Assumptions!$C$27,Assumptions!$C$13*Assumptions!$C$28^(CJ$5-1))*$O201)),0)</f>
        <v>0</v>
      </c>
      <c r="CL201" s="93">
        <f>IF(AND($T201=1,CL$5&lt;=$H201),CK201*(1-AV201)*(1-MIN(1,MAX(Assumptions!$C$27,Assumptions!$C$13*Assumptions!$C$28^(CK$5-1))*$O201)),0)</f>
        <v>0</v>
      </c>
      <c r="CM201" s="93">
        <f>IF(AND($T201=1,CM$5&lt;=$H201),CL201*(1-AW201)*(1-MIN(1,MAX(Assumptions!$C$27,Assumptions!$C$13*Assumptions!$C$28^(CL$5-1))*$O201)),0)</f>
        <v>0</v>
      </c>
      <c r="CN201" s="93">
        <f>IF(AND($T201=1,CN$5&lt;=$H201),CM201*(1-AX201)*(1-MIN(1,MAX(Assumptions!$C$27,Assumptions!$C$13*Assumptions!$C$28^(CM$5-1))*$O201)),0)</f>
        <v>0</v>
      </c>
      <c r="CO201" s="93">
        <f>IF(AND($T201=1,CO$5&lt;=$H201),CN201*(1-AY201)*(1-MIN(1,MAX(Assumptions!$C$27,Assumptions!$C$13*Assumptions!$C$28^(CN$5-1))*$O201)),0)</f>
        <v>0</v>
      </c>
      <c r="CP201" s="93">
        <f>IF(AND($T201=1,CP$5&lt;=$H201),CO201*(1-AZ201)*(1-MIN(1,MAX(Assumptions!$C$27,Assumptions!$C$13*Assumptions!$C$28^(CO$5-1))*$O201)),0)</f>
        <v>0</v>
      </c>
      <c r="CQ201" s="93">
        <f>IF(AND($T201=1,CQ$5&lt;=$H201),CP201*(1-BA201)*(1-MIN(1,MAX(Assumptions!$C$27,Assumptions!$C$13*Assumptions!$C$28^(CP$5-1))*$O201)),0)</f>
        <v>0</v>
      </c>
      <c r="CR201" s="93">
        <f>IF(AND($T201=1,CR$5&lt;=$H201),CQ201*(1-BB201)*(1-MIN(1,MAX(Assumptions!$C$27,Assumptions!$C$13*Assumptions!$C$28^(CQ$5-1))*$O201)),0)</f>
        <v>0</v>
      </c>
      <c r="CS201" s="93">
        <f>IF(AND($T201=1,CS$5&lt;=$H201),CR201*(1-BC201)*(1-MIN(1,MAX(Assumptions!$C$27,Assumptions!$C$13*Assumptions!$C$28^(CR$5-1))*$O201)),0)</f>
        <v>0</v>
      </c>
      <c r="CT201" s="93">
        <f>IF(AND($T201=1,CT$5&lt;=$H201),CS201*(1-BD201)*(1-MIN(1,MAX(Assumptions!$C$27,Assumptions!$C$13*Assumptions!$C$28^(CS$5-1))*$O201)),0)</f>
        <v>0</v>
      </c>
      <c r="CU201" s="93">
        <f>IF(AND($T201=1,CU$5&lt;=$H201),CT201*(1-BE201)*(1-MIN(1,MAX(Assumptions!$C$27,Assumptions!$C$13*Assumptions!$C$28^(CT$5-1))*$O201)),0)</f>
        <v>0</v>
      </c>
      <c r="CV201" s="93">
        <f>IF(AND($T201=1,CV$5&lt;=$H201),CU201*(1-BF201)*(1-MIN(1,MAX(Assumptions!$C$27,Assumptions!$C$13*Assumptions!$C$28^(CU$5-1))*$O201)),0)</f>
        <v>0</v>
      </c>
      <c r="CW201" s="93">
        <f>IF(AND($T201=1,CW$5&lt;=$H201),CV201*(1-BG201)*(1-MIN(1,MAX(Assumptions!$C$27,Assumptions!$C$13*Assumptions!$C$28^(CV$5-1))*$O201)),0)</f>
        <v>0</v>
      </c>
      <c r="CX201" s="93">
        <f>IF(AND($T201=1,CX$5&lt;=$H201),CW201*(1-BH201)*(1-MIN(1,MAX(Assumptions!$C$27,Assumptions!$C$13*Assumptions!$C$28^(CW$5-1))*$O201)),0)</f>
        <v>0</v>
      </c>
      <c r="CY201" s="93">
        <f>IF(AND($T201=1,CY$5&lt;=$H201),CX201*(1-BI201)*(1-MIN(1,MAX(Assumptions!$C$27,Assumptions!$C$13*Assumptions!$C$28^(CX$5-1))*$O201)),0)</f>
        <v>0</v>
      </c>
      <c r="CZ201" s="93">
        <f>IF(AND($T201=1,CZ$5&lt;=$H201),CY201*(1-BJ201)*(1-MIN(1,MAX(Assumptions!$C$27,Assumptions!$C$13*Assumptions!$C$28^(CY$5-1))*$O201)),0)</f>
        <v>0</v>
      </c>
      <c r="DA201" s="93">
        <f>IF(AND($T201=1,DA$5&lt;=$H201),CZ201*(1-BK201)*(1-MIN(1,MAX(Assumptions!$C$27,Assumptions!$C$13*Assumptions!$C$28^(CZ$5-1))*$O201)),0)</f>
        <v>0</v>
      </c>
      <c r="DB201" s="93">
        <f>IF(AND($T201=1,DB$5&lt;=$H201),DA201*(1-BL201)*(1-MIN(1,MAX(Assumptions!$C$27,Assumptions!$C$13*Assumptions!$C$28^(DA$5-1))*$O201)),0)</f>
        <v>0</v>
      </c>
      <c r="DC201" s="93">
        <f>IF(AND($T201=1,DC$5&lt;=$H201),DB201*(1-BM201)*(1-MIN(1,MAX(Assumptions!$C$27,Assumptions!$C$13*Assumptions!$C$28^(DB$5-1))*$O201)),0)</f>
        <v>0</v>
      </c>
      <c r="DD201" s="93">
        <f>IF(AND($T201=1,DD$5&lt;=$H201),DC201*(1-BN201)*(1-MIN(1,MAX(Assumptions!$C$27,Assumptions!$C$13*Assumptions!$C$28^(DC$5-1))*$O201)),0)</f>
        <v>0</v>
      </c>
      <c r="DE201" s="93">
        <f>IF(AND($T201=1,DE$5&lt;=$H201),DD201*(1-BO201)*(1-MIN(1,MAX(Assumptions!$C$27,Assumptions!$C$13*Assumptions!$C$28^(DD$5-1))*$O201)),0)</f>
        <v>0</v>
      </c>
      <c r="DF201" s="93">
        <f>IF(AND($T201=1,DF$5&lt;=$H201),DE201*(1-BP201)*(1-MIN(1,MAX(Assumptions!$C$27,Assumptions!$C$13*Assumptions!$C$28^(DE$5-1))*$O201)),0)</f>
        <v>0</v>
      </c>
      <c r="DG201" s="93">
        <f>IF(AND($T201=1,DG$5&lt;=$H201),DF201*(1-BQ201)*(1-MIN(1,MAX(Assumptions!$C$27,Assumptions!$C$13*Assumptions!$C$28^(DF$5-1))*$O201)),0)</f>
        <v>0</v>
      </c>
      <c r="DH201" s="93">
        <f>IF(AND($T201=1,DH$5&lt;=$H201),DG201*(1-BR201)*(1-MIN(1,MAX(Assumptions!$C$27,Assumptions!$C$13*Assumptions!$C$28^(DG$5-1))*$O201)),0)</f>
        <v>0</v>
      </c>
      <c r="DI201" s="93">
        <f>IF(AND($T201=1,DI$5&lt;=$H201),DH201*(1-BS201)*(1-MIN(1,MAX(Assumptions!$C$27,Assumptions!$C$13*Assumptions!$C$28^(DH$5-1))*$O201)),0)</f>
        <v>0</v>
      </c>
      <c r="DJ201" s="93">
        <f>IF(AND($T201=1,DJ$5&lt;=$H201),DI201*(1-BT201)*(1-MIN(1,MAX(Assumptions!$C$27,Assumptions!$C$13*Assumptions!$C$28^(DI$5-1))*$O201)),0)</f>
        <v>0</v>
      </c>
      <c r="DK201" s="93">
        <f>IF(AND($T201=1,DK$5&lt;=$H201),DJ201*(1-BU201)*(1-MIN(1,MAX(Assumptions!$C$27,Assumptions!$C$13*Assumptions!$C$28^(DJ$5-1))*$O201)),0)</f>
        <v>0</v>
      </c>
      <c r="DL201" s="93">
        <f>IF(AND($T201=1,DL$5&lt;=$H201),DK201*(1-BV201)*(1-MIN(1,MAX(Assumptions!$C$27,Assumptions!$C$13*Assumptions!$C$28^(DK$5-1))*$O201)),0)</f>
        <v>0</v>
      </c>
      <c r="DM201" s="93">
        <f>IF(AND($T201=1,DM$5&lt;=$H201),DL201*(1-BW201)*(1-MIN(1,MAX(Assumptions!$C$27,Assumptions!$C$13*Assumptions!$C$28^(DL$5-1))*$O201)),0)</f>
        <v>0</v>
      </c>
      <c r="DN201" s="93">
        <f>IF(AND($T201=1,DN$5&lt;=$H201),DM201*(1-BX201)*(1-MIN(1,MAX(Assumptions!$C$27,Assumptions!$C$13*Assumptions!$C$28^(DM$5-1))*$O201)),0)</f>
        <v>0</v>
      </c>
      <c r="DO201" s="93">
        <f>IF(AND($T201=1,DO$5&lt;=$H201),DN201*(1-BY201)*(1-MIN(1,MAX(Assumptions!$C$27,Assumptions!$C$13*Assumptions!$C$28^(DN$5-1))*$O201)),0)</f>
        <v>0</v>
      </c>
      <c r="DP201" s="93">
        <f>IF(AND($T201=1,DP$5&lt;=$H201),DO201*(1-BZ201)*(1-MIN(1,MAX(Assumptions!$C$27,Assumptions!$C$13*Assumptions!$C$28^(DO$5-1))*$O201)),0)</f>
        <v>0</v>
      </c>
      <c r="DQ201" s="93">
        <f>IF(AND($T201=1,DQ$5&lt;=$H201),DP201*(1-CA201)*(1-MIN(1,MAX(Assumptions!$C$27,Assumptions!$C$13*Assumptions!$C$28^(DP$5-1))*$O201)),0)</f>
        <v>0</v>
      </c>
      <c r="DR201" s="93">
        <f>IF(AND($T201=1,DR$5&lt;=$H201),DQ201*(1-CB201)*(1-MIN(1,MAX(Assumptions!$C$27,Assumptions!$C$13*Assumptions!$C$28^(DQ$5-1))*$O201)),0)</f>
        <v>0</v>
      </c>
      <c r="DS201" s="93">
        <f>IF(AND($T201=1,DS$5&lt;=$H201),DR201*(1-CC201)*(1-MIN(1,MAX(Assumptions!$C$27,Assumptions!$C$13*Assumptions!$C$28^(DR$5-1))*$O201)),0)</f>
        <v>0</v>
      </c>
      <c r="DT201" s="93">
        <f>IF(AND($T201=1,DT$5&lt;=$H201),DS201*(1-CD201)*(1-MIN(1,MAX(Assumptions!$C$27,Assumptions!$C$13*Assumptions!$C$28^(DS$5-1))*$O201)),0)</f>
        <v>0</v>
      </c>
      <c r="DU201" s="93">
        <f>IF(AND($T201=1,DU$5&lt;=$H201),DT201*(1-CE201)*(1-MIN(1,MAX(Assumptions!$C$27,Assumptions!$C$13*Assumptions!$C$28^(DT$5-1))*$O201)),0)</f>
        <v>0</v>
      </c>
      <c r="DV201" s="93">
        <f>IF(AND($T201=1,DV$5&lt;=$H201),DU201*(1-CF201)*(1-MIN(1,MAX(Assumptions!$C$27,Assumptions!$C$13*Assumptions!$C$28^(DU$5-1))*$O201)),0)</f>
        <v>0</v>
      </c>
      <c r="DW201" s="94">
        <f>IF(AND($T201=1,DW$5&lt;=$H201),DV201*(1-CG201)*(1-MIN(1,MAX(Assumptions!$C$27,Assumptions!$C$13*Assumptions!$C$28^(DV$5-1))*$O201)),0)</f>
        <v>0</v>
      </c>
      <c r="DX201" s="26"/>
      <c r="DY201" s="399">
        <f>'Policy Data'!K175</f>
        <v>2</v>
      </c>
      <c r="DZ201" s="100">
        <f>'Policy Data'!L175</f>
        <v>0.50919999999999999</v>
      </c>
      <c r="EA201" s="100">
        <f>'Policy Data'!N175</f>
        <v>9.4799999999999995E-4</v>
      </c>
      <c r="EB201" s="93" cm="1">
        <f t="array" ref="EB201">IFERROR(DZ201*INDEX(Mortality!$B$4:$E$64,MATCH(D201+DY201-1,Mortality!$A$4:$A$64,0),U201)*V201,0)</f>
        <v>1.0266897931493571E-3</v>
      </c>
      <c r="EC201" s="100">
        <f>'Policy Data'!O175</f>
        <v>0</v>
      </c>
      <c r="ED201" s="400">
        <f>'Policy Data'!Q175</f>
        <v>0</v>
      </c>
    </row>
    <row r="202" spans="1:134" x14ac:dyDescent="0.3">
      <c r="A202" s="399" t="str">
        <f>'Policy Data'!A176</f>
        <v>POL100172</v>
      </c>
      <c r="B202" s="26" t="s">
        <v>426</v>
      </c>
      <c r="C202" s="100" t="str">
        <f>'Policy Data'!B176</f>
        <v>Term Life</v>
      </c>
      <c r="D202" s="100">
        <f>'Policy Data'!C176</f>
        <v>26</v>
      </c>
      <c r="E202" s="100" t="str">
        <f>'Policy Data'!D176</f>
        <v>Female</v>
      </c>
      <c r="F202" s="100" t="str">
        <f>'Policy Data'!E176</f>
        <v>Non-smoker</v>
      </c>
      <c r="G202" s="100" t="str">
        <f>'Policy Data'!F176</f>
        <v>Rated</v>
      </c>
      <c r="H202" s="100">
        <f>'Policy Data'!G176</f>
        <v>20</v>
      </c>
      <c r="I202" s="279">
        <f>'Policy Data'!H176</f>
        <v>2000000</v>
      </c>
      <c r="J202" s="100" t="str">
        <f>'Policy Data'!I176</f>
        <v>Monthly</v>
      </c>
      <c r="K202" s="100" t="str">
        <f>'Policy Data'!J176</f>
        <v>Direct</v>
      </c>
      <c r="L202" s="26" t="s">
        <v>389</v>
      </c>
      <c r="M202" s="106">
        <f>'Policy Data'!R176</f>
        <v>2596.02</v>
      </c>
      <c r="N202" s="415">
        <f>Assumptions!$C$21</f>
        <v>1</v>
      </c>
      <c r="O202" s="415">
        <f>Assumptions!$C$22</f>
        <v>1</v>
      </c>
      <c r="P202" s="415">
        <f>Assumptions!$C$23</f>
        <v>1</v>
      </c>
      <c r="Q202" s="416">
        <f>Assumptions!$C$24</f>
        <v>0</v>
      </c>
      <c r="R202" s="416">
        <f>Assumptions!$C$6+Assumptions!$C$25</f>
        <v>3.5000000000000003E-2</v>
      </c>
      <c r="S202" s="416">
        <f>Assumptions!$C$15</f>
        <v>1.1000000000000001E-3</v>
      </c>
      <c r="T202" s="26">
        <f t="shared" si="54"/>
        <v>1</v>
      </c>
      <c r="U202" s="26">
        <f t="shared" si="55"/>
        <v>1</v>
      </c>
      <c r="V202" s="389">
        <f>IF($G202="Preferred",Assumptions!$C$30,IF($G202="Rated",Assumptions!$C$31,1))</f>
        <v>1.55</v>
      </c>
      <c r="W202" s="390">
        <f>IF($K202="Direct",Assumptions!$C$32,IF($K202="Broker",Assumptions!$C$33,IF($K202="Bancassurance",Assumptions!$C$34,Assumptions!$C$11)))+$Q202</f>
        <v>0.1</v>
      </c>
      <c r="X202" s="390">
        <f>Assumptions!$C$12+$Q202</f>
        <v>0.05</v>
      </c>
      <c r="Y202" s="131">
        <f>MIN($I202,Assumptions!$C$14)</f>
        <v>500000</v>
      </c>
      <c r="Z202" s="131">
        <f>MAX($I202-Assumptions!$C$14,0)</f>
        <v>1500000</v>
      </c>
      <c r="AA202" s="389">
        <f t="shared" si="56"/>
        <v>8.598342490929971</v>
      </c>
      <c r="AB202" s="389">
        <f t="shared" si="57"/>
        <v>7.1821047553181378E-3</v>
      </c>
      <c r="AC202" s="389">
        <f>IF($T202=1,SUMPRODUCT($CJ202:$DW202,(1+Assumptions!$C$5)^($CJ$5:$DW$5-1),(1+$R202)^(-$CJ$5:$DW$5)),0)</f>
        <v>11.576395382971796</v>
      </c>
      <c r="AD202" s="389">
        <f t="shared" si="58"/>
        <v>0.4782263032904599</v>
      </c>
      <c r="AE202" s="131">
        <f>IF($T202=1,$AB202*$Y202+(Assumptions!$C$9/(1+$R202)+Assumptions!$C$10*$AC202)*$P202+$S202*$Z202*$AA202,0)</f>
        <v>21194.689689338622</v>
      </c>
      <c r="AF202" s="131">
        <f>IF($T202=1,IF($AA202-$AD202-Assumptions!$C$16*$AA202&gt;0,$AE202/($AA202-$AD202-Assumptions!$C$16*$AA202)*IF($J202="Monthly",1+Assumptions!$C$29,1),"n.a."),"")</f>
        <v>2937.2712084387704</v>
      </c>
      <c r="AG202" s="131">
        <f t="shared" si="59"/>
        <v>2596.02</v>
      </c>
      <c r="AH202" s="131">
        <f t="shared" si="60"/>
        <v>22321.469073304022</v>
      </c>
      <c r="AI202" s="131">
        <f t="shared" si="61"/>
        <v>-114.7056639026996</v>
      </c>
      <c r="AJ202" s="390">
        <f t="shared" si="62"/>
        <v>-5.1388044185624419E-3</v>
      </c>
      <c r="AK202" s="389">
        <f t="shared" si="63"/>
        <v>0.8838203270238183</v>
      </c>
      <c r="AL202" s="131">
        <f t="shared" si="64"/>
        <v>10773.157132977207</v>
      </c>
      <c r="AM202" s="131">
        <f t="shared" si="65"/>
        <v>14187.265110034452</v>
      </c>
      <c r="AN202" s="131">
        <f t="shared" si="66"/>
        <v>-3414.1079770572451</v>
      </c>
      <c r="AO202" s="131">
        <f t="shared" si="67"/>
        <v>3299.4023131545455</v>
      </c>
      <c r="AP202" s="26" t="str">
        <f t="shared" si="68"/>
        <v>20-29</v>
      </c>
      <c r="AQ202" s="26" t="str">
        <f t="shared" si="69"/>
        <v>Over 1m</v>
      </c>
      <c r="AR202" s="26" t="str">
        <f>IF($T202=1,IF($AI202&lt;0,"Loss-making",IF($AJ202&lt;Assumptions!$C$16-0.00001,"Below target","At/above target")),"Excluded")</f>
        <v>Loss-making</v>
      </c>
      <c r="AS202" s="103">
        <f t="shared" si="70"/>
        <v>-114.7054619026996</v>
      </c>
      <c r="AT202" s="26"/>
      <c r="AU202" s="419">
        <f>IF(AND($T202=1,AU$5&lt;=$H202),INDEX(Mortality!$B$4:$E$64,MATCH($D202+AU$5-1,Mortality!$A$4:$A$64,0),$U202)*$V202*$N202,0)</f>
        <v>4.305156103550649E-4</v>
      </c>
      <c r="AV202" s="93">
        <f>IF(AND($T202=1,AV$5&lt;=$H202),INDEX(Mortality!$B$4:$E$64,MATCH($D202+AV$5-1,Mortality!$A$4:$A$64,0),$U202)*$V202*$N202,0)</f>
        <v>4.6637199312983335E-4</v>
      </c>
      <c r="AW202" s="93">
        <f>IF(AND($T202=1,AW$5&lt;=$H202),INDEX(Mortality!$B$4:$E$64,MATCH($D202+AW$5-1,Mortality!$A$4:$A$64,0),$U202)*$V202*$N202,0)</f>
        <v>5.0521474888334285E-4</v>
      </c>
      <c r="AX202" s="93">
        <f>IF(AND($T202=1,AX$5&lt;=$H202),INDEX(Mortality!$B$4:$E$64,MATCH($D202+AX$5-1,Mortality!$A$4:$A$64,0),$U202)*$V202*$N202,0)</f>
        <v>5.4729260386397641E-4</v>
      </c>
      <c r="AY202" s="93">
        <f>IF(AND($T202=1,AY$5&lt;=$H202),INDEX(Mortality!$B$4:$E$64,MATCH($D202+AY$5-1,Mortality!$A$4:$A$64,0),$U202)*$V202*$N202,0)</f>
        <v>5.9287499999999998E-4</v>
      </c>
      <c r="AZ202" s="93">
        <f>IF(AND($T202=1,AZ$5&lt;=$H202),INDEX(Mortality!$B$4:$E$64,MATCH($D202+AZ$5-1,Mortality!$A$4:$A$64,0),$U202)*$V202*$N202,0)</f>
        <v>6.4225382024779164E-4</v>
      </c>
      <c r="BA202" s="93">
        <f>IF(AND($T202=1,BA$5&lt;=$H202),INDEX(Mortality!$B$4:$E$64,MATCH($D202+BA$5-1,Mortality!$A$4:$A$64,0),$U202)*$V202*$N202,0)</f>
        <v>6.9574525763926886E-4</v>
      </c>
      <c r="BB202" s="93">
        <f>IF(AND($T202=1,BB$5&lt;=$H202),INDEX(Mortality!$B$4:$E$64,MATCH($D202+BB$5-1,Mortality!$A$4:$A$64,0),$U202)*$V202*$N202,0)</f>
        <v>7.5369183999680239E-4</v>
      </c>
      <c r="BC202" s="93">
        <f>IF(AND($T202=1,BC$5&lt;=$H202),INDEX(Mortality!$B$4:$E$64,MATCH($D202+BC$5-1,Mortality!$A$4:$A$64,0),$U202)*$V202*$N202,0)</f>
        <v>8.1646462328068112E-4</v>
      </c>
      <c r="BD202" s="93">
        <f>IF(AND($T202=1,BD$5&lt;=$H202),INDEX(Mortality!$B$4:$E$64,MATCH($D202+BD$5-1,Mortality!$A$4:$A$64,0),$U202)*$V202*$N202,0)</f>
        <v>8.8446556761406824E-4</v>
      </c>
      <c r="BE202" s="93">
        <f>IF(AND($T202=1,BE$5&lt;=$H202),INDEX(Mortality!$B$4:$E$64,MATCH($D202+BE$5-1,Mortality!$A$4:$A$64,0),$U202)*$V202*$N202,0)</f>
        <v>9.5813011120011212E-4</v>
      </c>
      <c r="BF202" s="93">
        <f>IF(AND($T202=1,BF$5&lt;=$H202),INDEX(Mortality!$B$4:$E$64,MATCH($D202+BF$5-1,Mortality!$A$4:$A$64,0),$U202)*$V202*$N202,0)</f>
        <v>1.0379299586130515E-3</v>
      </c>
      <c r="BG202" s="93">
        <f>IF(AND($T202=1,BG$5&lt;=$H202),INDEX(Mortality!$B$4:$E$64,MATCH($D202+BG$5-1,Mortality!$A$4:$A$64,0),$U202)*$V202*$N202,0)</f>
        <v>1.1243761013179233E-3</v>
      </c>
      <c r="BH202" s="93">
        <f>IF(AND($T202=1,BH$5&lt;=$H202),INDEX(Mortality!$B$4:$E$64,MATCH($D202+BH$5-1,Mortality!$A$4:$A$64,0),$U202)*$V202*$N202,0)</f>
        <v>1.2180220897604949E-3</v>
      </c>
      <c r="BI202" s="93">
        <f>IF(AND($T202=1,BI$5&lt;=$H202),INDEX(Mortality!$B$4:$E$64,MATCH($D202+BI$5-1,Mortality!$A$4:$A$64,0),$U202)*$V202*$N202,0)</f>
        <v>1.319467577979972E-3</v>
      </c>
      <c r="BJ202" s="93">
        <f>IF(AND($T202=1,BJ$5&lt;=$H202),INDEX(Mortality!$B$4:$E$64,MATCH($D202+BJ$5-1,Mortality!$A$4:$A$64,0),$U202)*$V202*$N202,0)</f>
        <v>1.4293621634421036E-3</v>
      </c>
      <c r="BK202" s="93">
        <f>IF(AND($T202=1,BK$5&lt;=$H202),INDEX(Mortality!$B$4:$E$64,MATCH($D202+BK$5-1,Mortality!$A$4:$A$64,0),$U202)*$V202*$N202,0)</f>
        <v>1.5484095466807317E-3</v>
      </c>
      <c r="BL202" s="93">
        <f>IF(AND($T202=1,BL$5&lt;=$H202),INDEX(Mortality!$B$4:$E$64,MATCH($D202+BL$5-1,Mortality!$A$4:$A$64,0),$U202)*$V202*$N202,0)</f>
        <v>1.6773720373836785E-3</v>
      </c>
      <c r="BM202" s="93">
        <f>IF(AND($T202=1,BM$5&lt;=$H202),INDEX(Mortality!$B$4:$E$64,MATCH($D202+BM$5-1,Mortality!$A$4:$A$64,0),$U202)*$V202*$N202,0)</f>
        <v>1.8170754357773335E-3</v>
      </c>
      <c r="BN202" s="93">
        <f>IF(AND($T202=1,BN$5&lt;=$H202),INDEX(Mortality!$B$4:$E$64,MATCH($D202+BN$5-1,Mortality!$A$4:$A$64,0),$U202)*$V202*$N202,0)</f>
        <v>1.9684143205674319E-3</v>
      </c>
      <c r="BO202" s="93">
        <f>IF(AND($T202=1,BO$5&lt;=$H202),INDEX(Mortality!$B$4:$E$64,MATCH($D202+BO$5-1,Mortality!$A$4:$A$64,0),$U202)*$V202*$N202,0)</f>
        <v>0</v>
      </c>
      <c r="BP202" s="93">
        <f>IF(AND($T202=1,BP$5&lt;=$H202),INDEX(Mortality!$B$4:$E$64,MATCH($D202+BP$5-1,Mortality!$A$4:$A$64,0),$U202)*$V202*$N202,0)</f>
        <v>0</v>
      </c>
      <c r="BQ202" s="93">
        <f>IF(AND($T202=1,BQ$5&lt;=$H202),INDEX(Mortality!$B$4:$E$64,MATCH($D202+BQ$5-1,Mortality!$A$4:$A$64,0),$U202)*$V202*$N202,0)</f>
        <v>0</v>
      </c>
      <c r="BR202" s="93">
        <f>IF(AND($T202=1,BR$5&lt;=$H202),INDEX(Mortality!$B$4:$E$64,MATCH($D202+BR$5-1,Mortality!$A$4:$A$64,0),$U202)*$V202*$N202,0)</f>
        <v>0</v>
      </c>
      <c r="BS202" s="93">
        <f>IF(AND($T202=1,BS$5&lt;=$H202),INDEX(Mortality!$B$4:$E$64,MATCH($D202+BS$5-1,Mortality!$A$4:$A$64,0),$U202)*$V202*$N202,0)</f>
        <v>0</v>
      </c>
      <c r="BT202" s="93">
        <f>IF(AND($T202=1,BT$5&lt;=$H202),INDEX(Mortality!$B$4:$E$64,MATCH($D202+BT$5-1,Mortality!$A$4:$A$64,0),$U202)*$V202*$N202,0)</f>
        <v>0</v>
      </c>
      <c r="BU202" s="93">
        <f>IF(AND($T202=1,BU$5&lt;=$H202),INDEX(Mortality!$B$4:$E$64,MATCH($D202+BU$5-1,Mortality!$A$4:$A$64,0),$U202)*$V202*$N202,0)</f>
        <v>0</v>
      </c>
      <c r="BV202" s="93">
        <f>IF(AND($T202=1,BV$5&lt;=$H202),INDEX(Mortality!$B$4:$E$64,MATCH($D202+BV$5-1,Mortality!$A$4:$A$64,0),$U202)*$V202*$N202,0)</f>
        <v>0</v>
      </c>
      <c r="BW202" s="93">
        <f>IF(AND($T202=1,BW$5&lt;=$H202),INDEX(Mortality!$B$4:$E$64,MATCH($D202+BW$5-1,Mortality!$A$4:$A$64,0),$U202)*$V202*$N202,0)</f>
        <v>0</v>
      </c>
      <c r="BX202" s="93">
        <f>IF(AND($T202=1,BX$5&lt;=$H202),INDEX(Mortality!$B$4:$E$64,MATCH($D202+BX$5-1,Mortality!$A$4:$A$64,0),$U202)*$V202*$N202,0)</f>
        <v>0</v>
      </c>
      <c r="BY202" s="93">
        <f>IF(AND($T202=1,BY$5&lt;=$H202),INDEX(Mortality!$B$4:$E$64,MATCH($D202+BY$5-1,Mortality!$A$4:$A$64,0),$U202)*$V202*$N202,0)</f>
        <v>0</v>
      </c>
      <c r="BZ202" s="93">
        <f>IF(AND($T202=1,BZ$5&lt;=$H202),INDEX(Mortality!$B$4:$E$64,MATCH($D202+BZ$5-1,Mortality!$A$4:$A$64,0),$U202)*$V202*$N202,0)</f>
        <v>0</v>
      </c>
      <c r="CA202" s="93">
        <f>IF(AND($T202=1,CA$5&lt;=$H202),INDEX(Mortality!$B$4:$E$64,MATCH($D202+CA$5-1,Mortality!$A$4:$A$64,0),$U202)*$V202*$N202,0)</f>
        <v>0</v>
      </c>
      <c r="CB202" s="93">
        <f>IF(AND($T202=1,CB$5&lt;=$H202),INDEX(Mortality!$B$4:$E$64,MATCH($D202+CB$5-1,Mortality!$A$4:$A$64,0),$U202)*$V202*$N202,0)</f>
        <v>0</v>
      </c>
      <c r="CC202" s="93">
        <f>IF(AND($T202=1,CC$5&lt;=$H202),INDEX(Mortality!$B$4:$E$64,MATCH($D202+CC$5-1,Mortality!$A$4:$A$64,0),$U202)*$V202*$N202,0)</f>
        <v>0</v>
      </c>
      <c r="CD202" s="93">
        <f>IF(AND($T202=1,CD$5&lt;=$H202),INDEX(Mortality!$B$4:$E$64,MATCH($D202+CD$5-1,Mortality!$A$4:$A$64,0),$U202)*$V202*$N202,0)</f>
        <v>0</v>
      </c>
      <c r="CE202" s="93">
        <f>IF(AND($T202=1,CE$5&lt;=$H202),INDEX(Mortality!$B$4:$E$64,MATCH($D202+CE$5-1,Mortality!$A$4:$A$64,0),$U202)*$V202*$N202,0)</f>
        <v>0</v>
      </c>
      <c r="CF202" s="93">
        <f>IF(AND($T202=1,CF$5&lt;=$H202),INDEX(Mortality!$B$4:$E$64,MATCH($D202+CF$5-1,Mortality!$A$4:$A$64,0),$U202)*$V202*$N202,0)</f>
        <v>0</v>
      </c>
      <c r="CG202" s="93">
        <f>IF(AND($T202=1,CG$5&lt;=$H202),INDEX(Mortality!$B$4:$E$64,MATCH($D202+CG$5-1,Mortality!$A$4:$A$64,0),$U202)*$V202*$N202,0)</f>
        <v>0</v>
      </c>
      <c r="CH202" s="94">
        <f>IF(AND($T202=1,CH$5&lt;=$H202),INDEX(Mortality!$B$4:$E$64,MATCH($D202+CH$5-1,Mortality!$A$4:$A$64,0),$U202)*$V202*$N202,0)</f>
        <v>0</v>
      </c>
      <c r="CI202" s="26"/>
      <c r="CJ202" s="419">
        <f t="shared" si="71"/>
        <v>1</v>
      </c>
      <c r="CK202" s="93">
        <f>IF(AND($T202=1,CK$5&lt;=$H202),CJ202*(1-AU202)*(1-MIN(1,MAX(Assumptions!$C$27,Assumptions!$C$13*Assumptions!$C$28^(CJ$5-1))*$O202)),0)</f>
        <v>0.87962114626288745</v>
      </c>
      <c r="CL202" s="93">
        <f>IF(AND($T202=1,CL$5&lt;=$H202),CK202*(1-AV202)*(1-MIN(1,MAX(Assumptions!$C$27,Assumptions!$C$13*Assumptions!$C$28^(CK$5-1))*$O202)),0)</f>
        <v>0.78953140220494378</v>
      </c>
      <c r="CM202" s="93">
        <f>IF(AND($T202=1,CM$5&lt;=$H202),CL202*(1-AW202)*(1-MIN(1,MAX(Assumptions!$C$27,Assumptions!$C$13*Assumptions!$C$28^(CL$5-1))*$O202)),0)</f>
        <v>0.72071472987289364</v>
      </c>
      <c r="CN202" s="93">
        <f>IF(AND($T202=1,CN$5&lt;=$H202),CM202*(1-AX202)*(1-MIN(1,MAX(Assumptions!$C$27,Assumptions!$C$13*Assumptions!$C$28^(CM$5-1))*$O202)),0)</f>
        <v>0.66723628440523952</v>
      </c>
      <c r="CO202" s="93">
        <f>IF(AND($T202=1,CO$5&lt;=$H202),CN202*(1-AY202)*(1-MIN(1,MAX(Assumptions!$C$27,Assumptions!$C$13*Assumptions!$C$28^(CN$5-1))*$O202)),0)</f>
        <v>0.62506929532174305</v>
      </c>
      <c r="CP202" s="93">
        <f>IF(AND($T202=1,CP$5&lt;=$H202),CO202*(1-AZ202)*(1-MIN(1,MAX(Assumptions!$C$27,Assumptions!$C$13*Assumptions!$C$28^(CO$5-1))*$O202)),0)</f>
        <v>0.59140762936418023</v>
      </c>
      <c r="CQ202" s="93">
        <f>IF(AND($T202=1,CQ$5&lt;=$H202),CP202*(1-BA202)*(1-MIN(1,MAX(Assumptions!$C$27,Assumptions!$C$13*Assumptions!$C$28^(CP$5-1))*$O202)),0)</f>
        <v>0.56424889043902782</v>
      </c>
      <c r="CR202" s="93">
        <f>IF(AND($T202=1,CR$5&lt;=$H202),CQ202*(1-BB202)*(1-MIN(1,MAX(Assumptions!$C$27,Assumptions!$C$13*Assumptions!$C$28^(CQ$5-1))*$O202)),0)</f>
        <v>0.54213374850094043</v>
      </c>
      <c r="CS202" s="93">
        <f>IF(AND($T202=1,CS$5&lt;=$H202),CR202*(1-BC202)*(1-MIN(1,MAX(Assumptions!$C$27,Assumptions!$C$13*Assumptions!$C$28^(CR$5-1))*$O202)),0)</f>
        <v>0.52397843189845561</v>
      </c>
      <c r="CT202" s="93">
        <f>IF(AND($T202=1,CT$5&lt;=$H202),CS202*(1-BD202)*(1-MIN(1,MAX(Assumptions!$C$27,Assumptions!$C$13*Assumptions!$C$28^(CS$5-1))*$O202)),0)</f>
        <v>0.50896439779092117</v>
      </c>
      <c r="CU202" s="93">
        <f>IF(AND($T202=1,CU$5&lt;=$H202),CT202*(1-BE202)*(1-MIN(1,MAX(Assumptions!$C$27,Assumptions!$C$13*Assumptions!$C$28^(CT$5-1))*$O202)),0)</f>
        <v>0.49646401695199316</v>
      </c>
      <c r="CV202" s="93">
        <f>IF(AND($T202=1,CV$5&lt;=$H202),CU202*(1-BF202)*(1-MIN(1,MAX(Assumptions!$C$27,Assumptions!$C$13*Assumptions!$C$28^(CU$5-1))*$O202)),0)</f>
        <v>0.48598948193272679</v>
      </c>
      <c r="CW202" s="93">
        <f>IF(AND($T202=1,CW$5&lt;=$H202),CV202*(1-BG202)*(1-MIN(1,MAX(Assumptions!$C$27,Assumptions!$C$13*Assumptions!$C$28^(CV$5-1))*$O202)),0)</f>
        <v>0.47573418603427481</v>
      </c>
      <c r="CX202" s="93">
        <f>IF(AND($T202=1,CX$5&lt;=$H202),CW202*(1-BH202)*(1-MIN(1,MAX(Assumptions!$C$27,Assumptions!$C$13*Assumptions!$C$28^(CW$5-1))*$O202)),0)</f>
        <v>0.46565163666109421</v>
      </c>
      <c r="CY202" s="93">
        <f>IF(AND($T202=1,CY$5&lt;=$H202),CX202*(1-BI202)*(1-MIN(1,MAX(Assumptions!$C$27,Assumptions!$C$13*Assumptions!$C$28^(CX$5-1))*$O202)),0)</f>
        <v>0.45573647993540889</v>
      </c>
      <c r="CZ202" s="93">
        <f>IF(AND($T202=1,CZ$5&lt;=$H202),CY202*(1-BJ202)*(1-MIN(1,MAX(Assumptions!$C$27,Assumptions!$C$13*Assumptions!$C$28^(CY$5-1))*$O202)),0)</f>
        <v>0.44598336610539913</v>
      </c>
      <c r="DA202" s="93">
        <f>IF(AND($T202=1,DA$5&lt;=$H202),CZ202*(1-BK202)*(1-MIN(1,MAX(Assumptions!$C$27,Assumptions!$C$13*Assumptions!$C$28^(CZ$5-1))*$O202)),0)</f>
        <v>0.43638694517958748</v>
      </c>
      <c r="DB202" s="93">
        <f>IF(AND($T202=1,DB$5&lt;=$H202),DA202*(1-BL202)*(1-MIN(1,MAX(Assumptions!$C$27,Assumptions!$C$13*Assumptions!$C$28^(DA$5-1))*$O202)),0)</f>
        <v>0.42694186268185863</v>
      </c>
      <c r="DC202" s="93">
        <f>IF(AND($T202=1,DC$5&lt;=$H202),DB202*(1-BM202)*(1-MIN(1,MAX(Assumptions!$C$27,Assumptions!$C$13*Assumptions!$C$28^(DB$5-1))*$O202)),0)</f>
        <v>0.41764275556846092</v>
      </c>
      <c r="DD202" s="93">
        <f>IF(AND($T202=1,DD$5&lt;=$H202),DC202*(1-BN202)*(1-MIN(1,MAX(Assumptions!$C$27,Assumptions!$C$13*Assumptions!$C$28^(DC$5-1))*$O202)),0)</f>
        <v>0</v>
      </c>
      <c r="DE202" s="93">
        <f>IF(AND($T202=1,DE$5&lt;=$H202),DD202*(1-BO202)*(1-MIN(1,MAX(Assumptions!$C$27,Assumptions!$C$13*Assumptions!$C$28^(DD$5-1))*$O202)),0)</f>
        <v>0</v>
      </c>
      <c r="DF202" s="93">
        <f>IF(AND($T202=1,DF$5&lt;=$H202),DE202*(1-BP202)*(1-MIN(1,MAX(Assumptions!$C$27,Assumptions!$C$13*Assumptions!$C$28^(DE$5-1))*$O202)),0)</f>
        <v>0</v>
      </c>
      <c r="DG202" s="93">
        <f>IF(AND($T202=1,DG$5&lt;=$H202),DF202*(1-BQ202)*(1-MIN(1,MAX(Assumptions!$C$27,Assumptions!$C$13*Assumptions!$C$28^(DF$5-1))*$O202)),0)</f>
        <v>0</v>
      </c>
      <c r="DH202" s="93">
        <f>IF(AND($T202=1,DH$5&lt;=$H202),DG202*(1-BR202)*(1-MIN(1,MAX(Assumptions!$C$27,Assumptions!$C$13*Assumptions!$C$28^(DG$5-1))*$O202)),0)</f>
        <v>0</v>
      </c>
      <c r="DI202" s="93">
        <f>IF(AND($T202=1,DI$5&lt;=$H202),DH202*(1-BS202)*(1-MIN(1,MAX(Assumptions!$C$27,Assumptions!$C$13*Assumptions!$C$28^(DH$5-1))*$O202)),0)</f>
        <v>0</v>
      </c>
      <c r="DJ202" s="93">
        <f>IF(AND($T202=1,DJ$5&lt;=$H202),DI202*(1-BT202)*(1-MIN(1,MAX(Assumptions!$C$27,Assumptions!$C$13*Assumptions!$C$28^(DI$5-1))*$O202)),0)</f>
        <v>0</v>
      </c>
      <c r="DK202" s="93">
        <f>IF(AND($T202=1,DK$5&lt;=$H202),DJ202*(1-BU202)*(1-MIN(1,MAX(Assumptions!$C$27,Assumptions!$C$13*Assumptions!$C$28^(DJ$5-1))*$O202)),0)</f>
        <v>0</v>
      </c>
      <c r="DL202" s="93">
        <f>IF(AND($T202=1,DL$5&lt;=$H202),DK202*(1-BV202)*(1-MIN(1,MAX(Assumptions!$C$27,Assumptions!$C$13*Assumptions!$C$28^(DK$5-1))*$O202)),0)</f>
        <v>0</v>
      </c>
      <c r="DM202" s="93">
        <f>IF(AND($T202=1,DM$5&lt;=$H202),DL202*(1-BW202)*(1-MIN(1,MAX(Assumptions!$C$27,Assumptions!$C$13*Assumptions!$C$28^(DL$5-1))*$O202)),0)</f>
        <v>0</v>
      </c>
      <c r="DN202" s="93">
        <f>IF(AND($T202=1,DN$5&lt;=$H202),DM202*(1-BX202)*(1-MIN(1,MAX(Assumptions!$C$27,Assumptions!$C$13*Assumptions!$C$28^(DM$5-1))*$O202)),0)</f>
        <v>0</v>
      </c>
      <c r="DO202" s="93">
        <f>IF(AND($T202=1,DO$5&lt;=$H202),DN202*(1-BY202)*(1-MIN(1,MAX(Assumptions!$C$27,Assumptions!$C$13*Assumptions!$C$28^(DN$5-1))*$O202)),0)</f>
        <v>0</v>
      </c>
      <c r="DP202" s="93">
        <f>IF(AND($T202=1,DP$5&lt;=$H202),DO202*(1-BZ202)*(1-MIN(1,MAX(Assumptions!$C$27,Assumptions!$C$13*Assumptions!$C$28^(DO$5-1))*$O202)),0)</f>
        <v>0</v>
      </c>
      <c r="DQ202" s="93">
        <f>IF(AND($T202=1,DQ$5&lt;=$H202),DP202*(1-CA202)*(1-MIN(1,MAX(Assumptions!$C$27,Assumptions!$C$13*Assumptions!$C$28^(DP$5-1))*$O202)),0)</f>
        <v>0</v>
      </c>
      <c r="DR202" s="93">
        <f>IF(AND($T202=1,DR$5&lt;=$H202),DQ202*(1-CB202)*(1-MIN(1,MAX(Assumptions!$C$27,Assumptions!$C$13*Assumptions!$C$28^(DQ$5-1))*$O202)),0)</f>
        <v>0</v>
      </c>
      <c r="DS202" s="93">
        <f>IF(AND($T202=1,DS$5&lt;=$H202),DR202*(1-CC202)*(1-MIN(1,MAX(Assumptions!$C$27,Assumptions!$C$13*Assumptions!$C$28^(DR$5-1))*$O202)),0)</f>
        <v>0</v>
      </c>
      <c r="DT202" s="93">
        <f>IF(AND($T202=1,DT$5&lt;=$H202),DS202*(1-CD202)*(1-MIN(1,MAX(Assumptions!$C$27,Assumptions!$C$13*Assumptions!$C$28^(DS$5-1))*$O202)),0)</f>
        <v>0</v>
      </c>
      <c r="DU202" s="93">
        <f>IF(AND($T202=1,DU$5&lt;=$H202),DT202*(1-CE202)*(1-MIN(1,MAX(Assumptions!$C$27,Assumptions!$C$13*Assumptions!$C$28^(DT$5-1))*$O202)),0)</f>
        <v>0</v>
      </c>
      <c r="DV202" s="93">
        <f>IF(AND($T202=1,DV$5&lt;=$H202),DU202*(1-CF202)*(1-MIN(1,MAX(Assumptions!$C$27,Assumptions!$C$13*Assumptions!$C$28^(DU$5-1))*$O202)),0)</f>
        <v>0</v>
      </c>
      <c r="DW202" s="94">
        <f>IF(AND($T202=1,DW$5&lt;=$H202),DV202*(1-CG202)*(1-MIN(1,MAX(Assumptions!$C$27,Assumptions!$C$13*Assumptions!$C$28^(DV$5-1))*$O202)),0)</f>
        <v>0</v>
      </c>
      <c r="DX202" s="26"/>
      <c r="DY202" s="399">
        <f>'Policy Data'!K176</f>
        <v>5</v>
      </c>
      <c r="DZ202" s="100">
        <f>'Policy Data'!L176</f>
        <v>0.65690000000000004</v>
      </c>
      <c r="EA202" s="100">
        <f>'Policy Data'!N176</f>
        <v>2.8299999999999999E-4</v>
      </c>
      <c r="EB202" s="93" cm="1">
        <f t="array" ref="EB202">IFERROR(DZ202*INDEX(Mortality!$B$4:$E$64,MATCH(D202+DY202-1,Mortality!$A$4:$A$64,0),U202)*V202,0)</f>
        <v>3.8945958749999997E-4</v>
      </c>
      <c r="EC202" s="100">
        <f>'Policy Data'!O176</f>
        <v>0</v>
      </c>
      <c r="ED202" s="400">
        <f>'Policy Data'!Q176</f>
        <v>0</v>
      </c>
    </row>
    <row r="203" spans="1:134" x14ac:dyDescent="0.3">
      <c r="A203" s="399" t="str">
        <f>'Policy Data'!A177</f>
        <v>POL100173</v>
      </c>
      <c r="B203" s="26" t="s">
        <v>426</v>
      </c>
      <c r="C203" s="100" t="str">
        <f>'Policy Data'!B177</f>
        <v>Term Life</v>
      </c>
      <c r="D203" s="100">
        <f>'Policy Data'!C177</f>
        <v>30</v>
      </c>
      <c r="E203" s="100" t="str">
        <f>'Policy Data'!D177</f>
        <v>Male</v>
      </c>
      <c r="F203" s="100" t="str">
        <f>'Policy Data'!E177</f>
        <v>Smoker</v>
      </c>
      <c r="G203" s="100" t="str">
        <f>'Policy Data'!F177</f>
        <v>Standard</v>
      </c>
      <c r="H203" s="100">
        <f>'Policy Data'!G177</f>
        <v>15</v>
      </c>
      <c r="I203" s="279">
        <f>'Policy Data'!H177</f>
        <v>500000</v>
      </c>
      <c r="J203" s="100" t="str">
        <f>'Policy Data'!I177</f>
        <v>Monthly</v>
      </c>
      <c r="K203" s="100" t="str">
        <f>'Policy Data'!J177</f>
        <v>Direct</v>
      </c>
      <c r="L203" s="26" t="s">
        <v>389</v>
      </c>
      <c r="M203" s="106">
        <f>'Policy Data'!R177</f>
        <v>1258.79</v>
      </c>
      <c r="N203" s="415">
        <f>Assumptions!$C$21</f>
        <v>1</v>
      </c>
      <c r="O203" s="415">
        <f>Assumptions!$C$22</f>
        <v>1</v>
      </c>
      <c r="P203" s="415">
        <f>Assumptions!$C$23</f>
        <v>1</v>
      </c>
      <c r="Q203" s="416">
        <f>Assumptions!$C$24</f>
        <v>0</v>
      </c>
      <c r="R203" s="416">
        <f>Assumptions!$C$6+Assumptions!$C$25</f>
        <v>3.5000000000000003E-2</v>
      </c>
      <c r="S203" s="416">
        <f>Assumptions!$C$15</f>
        <v>1.1000000000000001E-3</v>
      </c>
      <c r="T203" s="26">
        <f t="shared" si="54"/>
        <v>1</v>
      </c>
      <c r="U203" s="26">
        <f t="shared" si="55"/>
        <v>4</v>
      </c>
      <c r="V203" s="389">
        <f>IF($G203="Preferred",Assumptions!$C$30,IF($G203="Rated",Assumptions!$C$31,1))</f>
        <v>1</v>
      </c>
      <c r="W203" s="390">
        <f>IF($K203="Direct",Assumptions!$C$32,IF($K203="Broker",Assumptions!$C$33,IF($K203="Bancassurance",Assumptions!$C$34,Assumptions!$C$11)))+$Q203</f>
        <v>0.1</v>
      </c>
      <c r="X203" s="390">
        <f>Assumptions!$C$12+$Q203</f>
        <v>0.05</v>
      </c>
      <c r="Y203" s="131">
        <f>MIN($I203,Assumptions!$C$14)</f>
        <v>500000</v>
      </c>
      <c r="Z203" s="131">
        <f>MAX($I203-Assumptions!$C$14,0)</f>
        <v>0</v>
      </c>
      <c r="AA203" s="389">
        <f t="shared" si="56"/>
        <v>7.3963505602841773</v>
      </c>
      <c r="AB203" s="389">
        <f t="shared" si="57"/>
        <v>1.0290717890811634E-2</v>
      </c>
      <c r="AC203" s="389">
        <f>IF($T203=1,SUMPRODUCT($CJ203:$DW203,(1+Assumptions!$C$5)^($CJ$5:$DW$5-1),(1+$R203)^(-$CJ$5:$DW$5)),0)</f>
        <v>9.2533192924866992</v>
      </c>
      <c r="AD203" s="389">
        <f t="shared" si="58"/>
        <v>0.41812670675817021</v>
      </c>
      <c r="AE203" s="131">
        <f>IF($T203=1,$AB203*$Y203+(Assumptions!$C$9/(1+$R203)+Assumptions!$C$10*$AC203)*$P203+$S203*$Z203*$AA203,0)</f>
        <v>8050.6544071441949</v>
      </c>
      <c r="AF203" s="131">
        <f>IF($T203=1,IF($AA203-$AD203-Assumptions!$C$16*$AA203&gt;0,$AE203/($AA203-$AD203-Assumptions!$C$16*$AA203)*IF($J203="Monthly",1+Assumptions!$C$29,1),"n.a."),"")</f>
        <v>1298.3877731983844</v>
      </c>
      <c r="AG203" s="131">
        <f t="shared" si="59"/>
        <v>1258.79</v>
      </c>
      <c r="AH203" s="131">
        <f t="shared" si="60"/>
        <v>9310.4521217801193</v>
      </c>
      <c r="AI203" s="131">
        <f t="shared" si="61"/>
        <v>733.46399743580696</v>
      </c>
      <c r="AJ203" s="390">
        <f t="shared" si="62"/>
        <v>7.8778558532082515E-2</v>
      </c>
      <c r="AK203" s="389">
        <f t="shared" si="63"/>
        <v>0.96950235205862945</v>
      </c>
      <c r="AL203" s="131">
        <f t="shared" si="64"/>
        <v>0</v>
      </c>
      <c r="AM203" s="131">
        <f t="shared" si="65"/>
        <v>0</v>
      </c>
      <c r="AN203" s="131">
        <f t="shared" si="66"/>
        <v>0</v>
      </c>
      <c r="AO203" s="131">
        <f t="shared" si="67"/>
        <v>733.46399743580696</v>
      </c>
      <c r="AP203" s="26" t="str">
        <f t="shared" si="68"/>
        <v>30-39</v>
      </c>
      <c r="AQ203" s="26" t="str">
        <f t="shared" si="69"/>
        <v>250k-500k</v>
      </c>
      <c r="AR203" s="26" t="str">
        <f>IF($T203=1,IF($AI203&lt;0,"Loss-making",IF($AJ203&lt;Assumptions!$C$16-0.00001,"Below target","At/above target")),"Excluded")</f>
        <v>Below target</v>
      </c>
      <c r="AS203" s="103">
        <f t="shared" si="70"/>
        <v>733.46420043580702</v>
      </c>
      <c r="AT203" s="26"/>
      <c r="AU203" s="419">
        <f>IF(AND($T203=1,AU$5&lt;=$H203),INDEX(Mortality!$B$4:$E$64,MATCH($D203+AU$5-1,Mortality!$A$4:$A$64,0),$U203)*$V203*$N203,0)</f>
        <v>8.5387500000000003E-4</v>
      </c>
      <c r="AV203" s="93">
        <f>IF(AND($T203=1,AV$5&lt;=$H203),INDEX(Mortality!$B$4:$E$64,MATCH($D203+AV$5-1,Mortality!$A$4:$A$64,0),$U203)*$V203*$N203,0)</f>
        <v>9.2499174491095498E-4</v>
      </c>
      <c r="AW203" s="93">
        <f>IF(AND($T203=1,AW$5&lt;=$H203),INDEX(Mortality!$B$4:$E$64,MATCH($D203+AW$5-1,Mortality!$A$4:$A$64,0),$U203)*$V203*$N203,0)</f>
        <v>1.0020315949681299E-3</v>
      </c>
      <c r="AX203" s="93">
        <f>IF(AND($T203=1,AX$5&lt;=$H203),INDEX(Mortality!$B$4:$E$64,MATCH($D203+AX$5-1,Mortality!$A$4:$A$64,0),$U203)*$V203*$N203,0)</f>
        <v>1.08548786823069E-3</v>
      </c>
      <c r="AY203" s="93">
        <f>IF(AND($T203=1,AY$5&lt;=$H203),INDEX(Mortality!$B$4:$E$64,MATCH($D203+AY$5-1,Mortality!$A$4:$A$64,0),$U203)*$V203*$N203,0)</f>
        <v>1.1758949697723701E-3</v>
      </c>
      <c r="AZ203" s="93">
        <f>IF(AND($T203=1,AZ$5&lt;=$H203),INDEX(Mortality!$B$4:$E$64,MATCH($D203+AZ$5-1,Mortality!$A$4:$A$64,0),$U203)*$V203*$N203,0)</f>
        <v>1.27383181369844E-3</v>
      </c>
      <c r="BA203" s="93">
        <f>IF(AND($T203=1,BA$5&lt;=$H203),INDEX(Mortality!$B$4:$E$64,MATCH($D203+BA$5-1,Mortality!$A$4:$A$64,0),$U203)*$V203*$N203,0)</f>
        <v>1.3799255301724599E-3</v>
      </c>
      <c r="BB203" s="93">
        <f>IF(AND($T203=1,BB$5&lt;=$H203),INDEX(Mortality!$B$4:$E$64,MATCH($D203+BB$5-1,Mortality!$A$4:$A$64,0),$U203)*$V203*$N203,0)</f>
        <v>1.49485548119033E-3</v>
      </c>
      <c r="BC203" s="93">
        <f>IF(AND($T203=1,BC$5&lt;=$H203),INDEX(Mortality!$B$4:$E$64,MATCH($D203+BC$5-1,Mortality!$A$4:$A$64,0),$U203)*$V203*$N203,0)</f>
        <v>1.6193576108165201E-3</v>
      </c>
      <c r="BD203" s="93">
        <f>IF(AND($T203=1,BD$5&lt;=$H203),INDEX(Mortality!$B$4:$E$64,MATCH($D203+BD$5-1,Mortality!$A$4:$A$64,0),$U203)*$V203*$N203,0)</f>
        <v>1.75422915773855E-3</v>
      </c>
      <c r="BE203" s="93">
        <f>IF(AND($T203=1,BE$5&lt;=$H203),INDEX(Mortality!$B$4:$E$64,MATCH($D203+BE$5-1,Mortality!$A$4:$A$64,0),$U203)*$V203*$N203,0)</f>
        <v>1.90033376031651E-3</v>
      </c>
      <c r="BF203" s="93">
        <f>IF(AND($T203=1,BF$5&lt;=$H203),INDEX(Mortality!$B$4:$E$64,MATCH($D203+BF$5-1,Mortality!$A$4:$A$64,0),$U203)*$V203*$N203,0)</f>
        <v>2.0586069868169998E-3</v>
      </c>
      <c r="BG203" s="93">
        <f>IF(AND($T203=1,BG$5&lt;=$H203),INDEX(Mortality!$B$4:$E$64,MATCH($D203+BG$5-1,Mortality!$A$4:$A$64,0),$U203)*$V203*$N203,0)</f>
        <v>2.2300623262441598E-3</v>
      </c>
      <c r="BH203" s="93">
        <f>IF(AND($T203=1,BH$5&lt;=$H203),INDEX(Mortality!$B$4:$E$64,MATCH($D203+BH$5-1,Mortality!$A$4:$A$64,0),$U203)*$V203*$N203,0)</f>
        <v>2.4157976781294401E-3</v>
      </c>
      <c r="BI203" s="93">
        <f>IF(AND($T203=1,BI$5&lt;=$H203),INDEX(Mortality!$B$4:$E$64,MATCH($D203+BI$5-1,Mortality!$A$4:$A$64,0),$U203)*$V203*$N203,0)</f>
        <v>2.6170023828368102E-3</v>
      </c>
      <c r="BJ203" s="93">
        <f>IF(AND($T203=1,BJ$5&lt;=$H203),INDEX(Mortality!$B$4:$E$64,MATCH($D203+BJ$5-1,Mortality!$A$4:$A$64,0),$U203)*$V203*$N203,0)</f>
        <v>0</v>
      </c>
      <c r="BK203" s="93">
        <f>IF(AND($T203=1,BK$5&lt;=$H203),INDEX(Mortality!$B$4:$E$64,MATCH($D203+BK$5-1,Mortality!$A$4:$A$64,0),$U203)*$V203*$N203,0)</f>
        <v>0</v>
      </c>
      <c r="BL203" s="93">
        <f>IF(AND($T203=1,BL$5&lt;=$H203),INDEX(Mortality!$B$4:$E$64,MATCH($D203+BL$5-1,Mortality!$A$4:$A$64,0),$U203)*$V203*$N203,0)</f>
        <v>0</v>
      </c>
      <c r="BM203" s="93">
        <f>IF(AND($T203=1,BM$5&lt;=$H203),INDEX(Mortality!$B$4:$E$64,MATCH($D203+BM$5-1,Mortality!$A$4:$A$64,0),$U203)*$V203*$N203,0)</f>
        <v>0</v>
      </c>
      <c r="BN203" s="93">
        <f>IF(AND($T203=1,BN$5&lt;=$H203),INDEX(Mortality!$B$4:$E$64,MATCH($D203+BN$5-1,Mortality!$A$4:$A$64,0),$U203)*$V203*$N203,0)</f>
        <v>0</v>
      </c>
      <c r="BO203" s="93">
        <f>IF(AND($T203=1,BO$5&lt;=$H203),INDEX(Mortality!$B$4:$E$64,MATCH($D203+BO$5-1,Mortality!$A$4:$A$64,0),$U203)*$V203*$N203,0)</f>
        <v>0</v>
      </c>
      <c r="BP203" s="93">
        <f>IF(AND($T203=1,BP$5&lt;=$H203),INDEX(Mortality!$B$4:$E$64,MATCH($D203+BP$5-1,Mortality!$A$4:$A$64,0),$U203)*$V203*$N203,0)</f>
        <v>0</v>
      </c>
      <c r="BQ203" s="93">
        <f>IF(AND($T203=1,BQ$5&lt;=$H203),INDEX(Mortality!$B$4:$E$64,MATCH($D203+BQ$5-1,Mortality!$A$4:$A$64,0),$U203)*$V203*$N203,0)</f>
        <v>0</v>
      </c>
      <c r="BR203" s="93">
        <f>IF(AND($T203=1,BR$5&lt;=$H203),INDEX(Mortality!$B$4:$E$64,MATCH($D203+BR$5-1,Mortality!$A$4:$A$64,0),$U203)*$V203*$N203,0)</f>
        <v>0</v>
      </c>
      <c r="BS203" s="93">
        <f>IF(AND($T203=1,BS$5&lt;=$H203),INDEX(Mortality!$B$4:$E$64,MATCH($D203+BS$5-1,Mortality!$A$4:$A$64,0),$U203)*$V203*$N203,0)</f>
        <v>0</v>
      </c>
      <c r="BT203" s="93">
        <f>IF(AND($T203=1,BT$5&lt;=$H203),INDEX(Mortality!$B$4:$E$64,MATCH($D203+BT$5-1,Mortality!$A$4:$A$64,0),$U203)*$V203*$N203,0)</f>
        <v>0</v>
      </c>
      <c r="BU203" s="93">
        <f>IF(AND($T203=1,BU$5&lt;=$H203),INDEX(Mortality!$B$4:$E$64,MATCH($D203+BU$5-1,Mortality!$A$4:$A$64,0),$U203)*$V203*$N203,0)</f>
        <v>0</v>
      </c>
      <c r="BV203" s="93">
        <f>IF(AND($T203=1,BV$5&lt;=$H203),INDEX(Mortality!$B$4:$E$64,MATCH($D203+BV$5-1,Mortality!$A$4:$A$64,0),$U203)*$V203*$N203,0)</f>
        <v>0</v>
      </c>
      <c r="BW203" s="93">
        <f>IF(AND($T203=1,BW$5&lt;=$H203),INDEX(Mortality!$B$4:$E$64,MATCH($D203+BW$5-1,Mortality!$A$4:$A$64,0),$U203)*$V203*$N203,0)</f>
        <v>0</v>
      </c>
      <c r="BX203" s="93">
        <f>IF(AND($T203=1,BX$5&lt;=$H203),INDEX(Mortality!$B$4:$E$64,MATCH($D203+BX$5-1,Mortality!$A$4:$A$64,0),$U203)*$V203*$N203,0)</f>
        <v>0</v>
      </c>
      <c r="BY203" s="93">
        <f>IF(AND($T203=1,BY$5&lt;=$H203),INDEX(Mortality!$B$4:$E$64,MATCH($D203+BY$5-1,Mortality!$A$4:$A$64,0),$U203)*$V203*$N203,0)</f>
        <v>0</v>
      </c>
      <c r="BZ203" s="93">
        <f>IF(AND($T203=1,BZ$5&lt;=$H203),INDEX(Mortality!$B$4:$E$64,MATCH($D203+BZ$5-1,Mortality!$A$4:$A$64,0),$U203)*$V203*$N203,0)</f>
        <v>0</v>
      </c>
      <c r="CA203" s="93">
        <f>IF(AND($T203=1,CA$5&lt;=$H203),INDEX(Mortality!$B$4:$E$64,MATCH($D203+CA$5-1,Mortality!$A$4:$A$64,0),$U203)*$V203*$N203,0)</f>
        <v>0</v>
      </c>
      <c r="CB203" s="93">
        <f>IF(AND($T203=1,CB$5&lt;=$H203),INDEX(Mortality!$B$4:$E$64,MATCH($D203+CB$5-1,Mortality!$A$4:$A$64,0),$U203)*$V203*$N203,0)</f>
        <v>0</v>
      </c>
      <c r="CC203" s="93">
        <f>IF(AND($T203=1,CC$5&lt;=$H203),INDEX(Mortality!$B$4:$E$64,MATCH($D203+CC$5-1,Mortality!$A$4:$A$64,0),$U203)*$V203*$N203,0)</f>
        <v>0</v>
      </c>
      <c r="CD203" s="93">
        <f>IF(AND($T203=1,CD$5&lt;=$H203),INDEX(Mortality!$B$4:$E$64,MATCH($D203+CD$5-1,Mortality!$A$4:$A$64,0),$U203)*$V203*$N203,0)</f>
        <v>0</v>
      </c>
      <c r="CE203" s="93">
        <f>IF(AND($T203=1,CE$5&lt;=$H203),INDEX(Mortality!$B$4:$E$64,MATCH($D203+CE$5-1,Mortality!$A$4:$A$64,0),$U203)*$V203*$N203,0)</f>
        <v>0</v>
      </c>
      <c r="CF203" s="93">
        <f>IF(AND($T203=1,CF$5&lt;=$H203),INDEX(Mortality!$B$4:$E$64,MATCH($D203+CF$5-1,Mortality!$A$4:$A$64,0),$U203)*$V203*$N203,0)</f>
        <v>0</v>
      </c>
      <c r="CG203" s="93">
        <f>IF(AND($T203=1,CG$5&lt;=$H203),INDEX(Mortality!$B$4:$E$64,MATCH($D203+CG$5-1,Mortality!$A$4:$A$64,0),$U203)*$V203*$N203,0)</f>
        <v>0</v>
      </c>
      <c r="CH203" s="94">
        <f>IF(AND($T203=1,CH$5&lt;=$H203),INDEX(Mortality!$B$4:$E$64,MATCH($D203+CH$5-1,Mortality!$A$4:$A$64,0),$U203)*$V203*$N203,0)</f>
        <v>0</v>
      </c>
      <c r="CI203" s="26"/>
      <c r="CJ203" s="419">
        <f t="shared" si="71"/>
        <v>1</v>
      </c>
      <c r="CK203" s="93">
        <f>IF(AND($T203=1,CK$5&lt;=$H203),CJ203*(1-AU203)*(1-MIN(1,MAX(Assumptions!$C$27,Assumptions!$C$13*Assumptions!$C$28^(CJ$5-1))*$O203)),0)</f>
        <v>0.87924859</v>
      </c>
      <c r="CL203" s="93">
        <f>IF(AND($T203=1,CL$5&lt;=$H203),CK203*(1-AV203)*(1-MIN(1,MAX(Assumptions!$C$27,Assumptions!$C$13*Assumptions!$C$28^(CK$5-1))*$O203)),0)</f>
        <v>0.78883489249664784</v>
      </c>
      <c r="CM203" s="93">
        <f>IF(AND($T203=1,CM$5&lt;=$H203),CL203*(1-AW203)*(1-MIN(1,MAX(Assumptions!$C$27,Assumptions!$C$13*Assumptions!$C$28^(CL$5-1))*$O203)),0)</f>
        <v>0.71972100076168599</v>
      </c>
      <c r="CN203" s="93">
        <f>IF(AND($T203=1,CN$5&lt;=$H203),CM203*(1-AX203)*(1-MIN(1,MAX(Assumptions!$C$27,Assumptions!$C$13*Assumptions!$C$28^(CM$5-1))*$O203)),0)</f>
        <v>0.66595748729764737</v>
      </c>
      <c r="CO203" s="93">
        <f>IF(AND($T203=1,CO$5&lt;=$H203),CN203*(1-AY203)*(1-MIN(1,MAX(Assumptions!$C$27,Assumptions!$C$13*Assumptions!$C$28^(CN$5-1))*$O203)),0)</f>
        <v>0.62350736849029431</v>
      </c>
      <c r="CP203" s="93">
        <f>IF(AND($T203=1,CP$5&lt;=$H203),CO203*(1-AZ203)*(1-MIN(1,MAX(Assumptions!$C$27,Assumptions!$C$13*Assumptions!$C$28^(CO$5-1))*$O203)),0)</f>
        <v>0.58955699036281006</v>
      </c>
      <c r="CQ203" s="93">
        <f>IF(AND($T203=1,CQ$5&lt;=$H203),CP203*(1-BA203)*(1-MIN(1,MAX(Assumptions!$C$27,Assumptions!$C$13*Assumptions!$C$28^(CP$5-1))*$O203)),0)</f>
        <v>0.56209812897914524</v>
      </c>
      <c r="CR203" s="93">
        <f>IF(AND($T203=1,CR$5&lt;=$H203),CQ203*(1-BB203)*(1-MIN(1,MAX(Assumptions!$C$27,Assumptions!$C$13*Assumptions!$C$28^(CQ$5-1))*$O203)),0)</f>
        <v>0.53966670372629966</v>
      </c>
      <c r="CS203" s="93">
        <f>IF(AND($T203=1,CS$5&lt;=$H203),CR203*(1-BC203)*(1-MIN(1,MAX(Assumptions!$C$27,Assumptions!$C$13*Assumptions!$C$28^(CR$5-1))*$O203)),0)</f>
        <v>0.5211748787029995</v>
      </c>
      <c r="CT203" s="93">
        <f>IF(AND($T203=1,CT$5&lt;=$H203),CS203*(1-BD203)*(1-MIN(1,MAX(Assumptions!$C$27,Assumptions!$C$13*Assumptions!$C$28^(CS$5-1))*$O203)),0)</f>
        <v>0.50580047744613332</v>
      </c>
      <c r="CU203" s="93">
        <f>IF(AND($T203=1,CU$5&lt;=$H203),CT203*(1-BE203)*(1-MIN(1,MAX(Assumptions!$C$27,Assumptions!$C$13*Assumptions!$C$28^(CT$5-1))*$O203)),0)</f>
        <v>0.49291249563587036</v>
      </c>
      <c r="CV203" s="93">
        <f>IF(AND($T203=1,CV$5&lt;=$H203),CU203*(1-BF203)*(1-MIN(1,MAX(Assumptions!$C$27,Assumptions!$C$13*Assumptions!$C$28^(CU$5-1))*$O203)),0)</f>
        <v>0.48201989006941992</v>
      </c>
      <c r="CW203" s="93">
        <f>IF(AND($T203=1,CW$5&lt;=$H203),CV203*(1-BG203)*(1-MIN(1,MAX(Assumptions!$C$27,Assumptions!$C$13*Assumptions!$C$28^(CV$5-1))*$O203)),0)</f>
        <v>0.47132605655863424</v>
      </c>
      <c r="CX203" s="93">
        <f>IF(AND($T203=1,CX$5&lt;=$H203),CW203*(1-BH203)*(1-MIN(1,MAX(Assumptions!$C$27,Assumptions!$C$13*Assumptions!$C$28^(CW$5-1))*$O203)),0)</f>
        <v>0.46078367960224681</v>
      </c>
      <c r="CY203" s="93">
        <f>IF(AND($T203=1,CY$5&lt;=$H203),CX203*(1-BI203)*(1-MIN(1,MAX(Assumptions!$C$27,Assumptions!$C$13*Assumptions!$C$28^(CX$5-1))*$O203)),0)</f>
        <v>0</v>
      </c>
      <c r="CZ203" s="93">
        <f>IF(AND($T203=1,CZ$5&lt;=$H203),CY203*(1-BJ203)*(1-MIN(1,MAX(Assumptions!$C$27,Assumptions!$C$13*Assumptions!$C$28^(CY$5-1))*$O203)),0)</f>
        <v>0</v>
      </c>
      <c r="DA203" s="93">
        <f>IF(AND($T203=1,DA$5&lt;=$H203),CZ203*(1-BK203)*(1-MIN(1,MAX(Assumptions!$C$27,Assumptions!$C$13*Assumptions!$C$28^(CZ$5-1))*$O203)),0)</f>
        <v>0</v>
      </c>
      <c r="DB203" s="93">
        <f>IF(AND($T203=1,DB$5&lt;=$H203),DA203*(1-BL203)*(1-MIN(1,MAX(Assumptions!$C$27,Assumptions!$C$13*Assumptions!$C$28^(DA$5-1))*$O203)),0)</f>
        <v>0</v>
      </c>
      <c r="DC203" s="93">
        <f>IF(AND($T203=1,DC$5&lt;=$H203),DB203*(1-BM203)*(1-MIN(1,MAX(Assumptions!$C$27,Assumptions!$C$13*Assumptions!$C$28^(DB$5-1))*$O203)),0)</f>
        <v>0</v>
      </c>
      <c r="DD203" s="93">
        <f>IF(AND($T203=1,DD$5&lt;=$H203),DC203*(1-BN203)*(1-MIN(1,MAX(Assumptions!$C$27,Assumptions!$C$13*Assumptions!$C$28^(DC$5-1))*$O203)),0)</f>
        <v>0</v>
      </c>
      <c r="DE203" s="93">
        <f>IF(AND($T203=1,DE$5&lt;=$H203),DD203*(1-BO203)*(1-MIN(1,MAX(Assumptions!$C$27,Assumptions!$C$13*Assumptions!$C$28^(DD$5-1))*$O203)),0)</f>
        <v>0</v>
      </c>
      <c r="DF203" s="93">
        <f>IF(AND($T203=1,DF$5&lt;=$H203),DE203*(1-BP203)*(1-MIN(1,MAX(Assumptions!$C$27,Assumptions!$C$13*Assumptions!$C$28^(DE$5-1))*$O203)),0)</f>
        <v>0</v>
      </c>
      <c r="DG203" s="93">
        <f>IF(AND($T203=1,DG$5&lt;=$H203),DF203*(1-BQ203)*(1-MIN(1,MAX(Assumptions!$C$27,Assumptions!$C$13*Assumptions!$C$28^(DF$5-1))*$O203)),0)</f>
        <v>0</v>
      </c>
      <c r="DH203" s="93">
        <f>IF(AND($T203=1,DH$5&lt;=$H203),DG203*(1-BR203)*(1-MIN(1,MAX(Assumptions!$C$27,Assumptions!$C$13*Assumptions!$C$28^(DG$5-1))*$O203)),0)</f>
        <v>0</v>
      </c>
      <c r="DI203" s="93">
        <f>IF(AND($T203=1,DI$5&lt;=$H203),DH203*(1-BS203)*(1-MIN(1,MAX(Assumptions!$C$27,Assumptions!$C$13*Assumptions!$C$28^(DH$5-1))*$O203)),0)</f>
        <v>0</v>
      </c>
      <c r="DJ203" s="93">
        <f>IF(AND($T203=1,DJ$5&lt;=$H203),DI203*(1-BT203)*(1-MIN(1,MAX(Assumptions!$C$27,Assumptions!$C$13*Assumptions!$C$28^(DI$5-1))*$O203)),0)</f>
        <v>0</v>
      </c>
      <c r="DK203" s="93">
        <f>IF(AND($T203=1,DK$5&lt;=$H203),DJ203*(1-BU203)*(1-MIN(1,MAX(Assumptions!$C$27,Assumptions!$C$13*Assumptions!$C$28^(DJ$5-1))*$O203)),0)</f>
        <v>0</v>
      </c>
      <c r="DL203" s="93">
        <f>IF(AND($T203=1,DL$5&lt;=$H203),DK203*(1-BV203)*(1-MIN(1,MAX(Assumptions!$C$27,Assumptions!$C$13*Assumptions!$C$28^(DK$5-1))*$O203)),0)</f>
        <v>0</v>
      </c>
      <c r="DM203" s="93">
        <f>IF(AND($T203=1,DM$5&lt;=$H203),DL203*(1-BW203)*(1-MIN(1,MAX(Assumptions!$C$27,Assumptions!$C$13*Assumptions!$C$28^(DL$5-1))*$O203)),0)</f>
        <v>0</v>
      </c>
      <c r="DN203" s="93">
        <f>IF(AND($T203=1,DN$5&lt;=$H203),DM203*(1-BX203)*(1-MIN(1,MAX(Assumptions!$C$27,Assumptions!$C$13*Assumptions!$C$28^(DM$5-1))*$O203)),0)</f>
        <v>0</v>
      </c>
      <c r="DO203" s="93">
        <f>IF(AND($T203=1,DO$5&lt;=$H203),DN203*(1-BY203)*(1-MIN(1,MAX(Assumptions!$C$27,Assumptions!$C$13*Assumptions!$C$28^(DN$5-1))*$O203)),0)</f>
        <v>0</v>
      </c>
      <c r="DP203" s="93">
        <f>IF(AND($T203=1,DP$5&lt;=$H203),DO203*(1-BZ203)*(1-MIN(1,MAX(Assumptions!$C$27,Assumptions!$C$13*Assumptions!$C$28^(DO$5-1))*$O203)),0)</f>
        <v>0</v>
      </c>
      <c r="DQ203" s="93">
        <f>IF(AND($T203=1,DQ$5&lt;=$H203),DP203*(1-CA203)*(1-MIN(1,MAX(Assumptions!$C$27,Assumptions!$C$13*Assumptions!$C$28^(DP$5-1))*$O203)),0)</f>
        <v>0</v>
      </c>
      <c r="DR203" s="93">
        <f>IF(AND($T203=1,DR$5&lt;=$H203),DQ203*(1-CB203)*(1-MIN(1,MAX(Assumptions!$C$27,Assumptions!$C$13*Assumptions!$C$28^(DQ$5-1))*$O203)),0)</f>
        <v>0</v>
      </c>
      <c r="DS203" s="93">
        <f>IF(AND($T203=1,DS$5&lt;=$H203),DR203*(1-CC203)*(1-MIN(1,MAX(Assumptions!$C$27,Assumptions!$C$13*Assumptions!$C$28^(DR$5-1))*$O203)),0)</f>
        <v>0</v>
      </c>
      <c r="DT203" s="93">
        <f>IF(AND($T203=1,DT$5&lt;=$H203),DS203*(1-CD203)*(1-MIN(1,MAX(Assumptions!$C$27,Assumptions!$C$13*Assumptions!$C$28^(DS$5-1))*$O203)),0)</f>
        <v>0</v>
      </c>
      <c r="DU203" s="93">
        <f>IF(AND($T203=1,DU$5&lt;=$H203),DT203*(1-CE203)*(1-MIN(1,MAX(Assumptions!$C$27,Assumptions!$C$13*Assumptions!$C$28^(DT$5-1))*$O203)),0)</f>
        <v>0</v>
      </c>
      <c r="DV203" s="93">
        <f>IF(AND($T203=1,DV$5&lt;=$H203),DU203*(1-CF203)*(1-MIN(1,MAX(Assumptions!$C$27,Assumptions!$C$13*Assumptions!$C$28^(DU$5-1))*$O203)),0)</f>
        <v>0</v>
      </c>
      <c r="DW203" s="94">
        <f>IF(AND($T203=1,DW$5&lt;=$H203),DV203*(1-CG203)*(1-MIN(1,MAX(Assumptions!$C$27,Assumptions!$C$13*Assumptions!$C$28^(DV$5-1))*$O203)),0)</f>
        <v>0</v>
      </c>
      <c r="DX203" s="26"/>
      <c r="DY203" s="399">
        <f>'Policy Data'!K177</f>
        <v>3</v>
      </c>
      <c r="DZ203" s="100">
        <f>'Policy Data'!L177</f>
        <v>0.70189999999999997</v>
      </c>
      <c r="EA203" s="100">
        <f>'Policy Data'!N177</f>
        <v>5.9900000000000003E-4</v>
      </c>
      <c r="EB203" s="93" cm="1">
        <f t="array" ref="EB203">IFERROR(DZ203*INDEX(Mortality!$B$4:$E$64,MATCH(D203+DY203-1,Mortality!$A$4:$A$64,0),U203)*V203,0)</f>
        <v>7.033259765081303E-4</v>
      </c>
      <c r="EC203" s="100">
        <f>'Policy Data'!O177</f>
        <v>0</v>
      </c>
      <c r="ED203" s="400">
        <f>'Policy Data'!Q177</f>
        <v>0</v>
      </c>
    </row>
    <row r="204" spans="1:134" x14ac:dyDescent="0.3">
      <c r="A204" s="399" t="str">
        <f>'Policy Data'!A178</f>
        <v>POL100174</v>
      </c>
      <c r="B204" s="26" t="s">
        <v>426</v>
      </c>
      <c r="C204" s="100" t="str">
        <f>'Policy Data'!B178</f>
        <v>Unit-Linked</v>
      </c>
      <c r="D204" s="100">
        <f>'Policy Data'!C178</f>
        <v>31</v>
      </c>
      <c r="E204" s="100" t="str">
        <f>'Policy Data'!D178</f>
        <v>Female</v>
      </c>
      <c r="F204" s="100" t="str">
        <f>'Policy Data'!E178</f>
        <v>Non-smoker</v>
      </c>
      <c r="G204" s="100" t="str">
        <f>'Policy Data'!F178</f>
        <v>Standard</v>
      </c>
      <c r="H204" s="100">
        <f>'Policy Data'!G178</f>
        <v>20</v>
      </c>
      <c r="I204" s="279">
        <f>'Policy Data'!H178</f>
        <v>500000</v>
      </c>
      <c r="J204" s="100" t="str">
        <f>'Policy Data'!I178</f>
        <v>Annual</v>
      </c>
      <c r="K204" s="100" t="str">
        <f>'Policy Data'!J178</f>
        <v>Bancassurance</v>
      </c>
      <c r="L204" s="26" t="s">
        <v>389</v>
      </c>
      <c r="M204" s="106">
        <f>'Policy Data'!R178</f>
        <v>17024.23</v>
      </c>
      <c r="N204" s="415">
        <f>Assumptions!$C$21</f>
        <v>1</v>
      </c>
      <c r="O204" s="415">
        <f>Assumptions!$C$22</f>
        <v>1</v>
      </c>
      <c r="P204" s="415">
        <f>Assumptions!$C$23</f>
        <v>1</v>
      </c>
      <c r="Q204" s="416">
        <f>Assumptions!$C$24</f>
        <v>0</v>
      </c>
      <c r="R204" s="416">
        <f>Assumptions!$C$6+Assumptions!$C$25</f>
        <v>3.5000000000000003E-2</v>
      </c>
      <c r="S204" s="416">
        <f>Assumptions!$C$15</f>
        <v>1.1000000000000001E-3</v>
      </c>
      <c r="T204" s="26">
        <f t="shared" si="54"/>
        <v>0</v>
      </c>
      <c r="U204" s="26">
        <f t="shared" si="55"/>
        <v>1</v>
      </c>
      <c r="V204" s="389">
        <f>IF($G204="Preferred",Assumptions!$C$30,IF($G204="Rated",Assumptions!$C$31,1))</f>
        <v>1</v>
      </c>
      <c r="W204" s="390">
        <f>IF($K204="Direct",Assumptions!$C$32,IF($K204="Broker",Assumptions!$C$33,IF($K204="Bancassurance",Assumptions!$C$34,Assumptions!$C$11)))+$Q204</f>
        <v>0.2</v>
      </c>
      <c r="X204" s="390">
        <f>Assumptions!$C$12+$Q204</f>
        <v>0.05</v>
      </c>
      <c r="Y204" s="131">
        <f>MIN($I204,Assumptions!$C$14)</f>
        <v>500000</v>
      </c>
      <c r="Z204" s="131">
        <f>MAX($I204-Assumptions!$C$14,0)</f>
        <v>0</v>
      </c>
      <c r="AA204" s="389">
        <f t="shared" si="56"/>
        <v>0</v>
      </c>
      <c r="AB204" s="389">
        <f t="shared" si="57"/>
        <v>0</v>
      </c>
      <c r="AC204" s="389">
        <f>IF($T204=1,SUMPRODUCT($CJ204:$DW204,(1+Assumptions!$C$5)^($CJ$5:$DW$5-1),(1+$R204)^(-$CJ$5:$DW$5)),0)</f>
        <v>0</v>
      </c>
      <c r="AD204" s="389">
        <f t="shared" si="58"/>
        <v>0</v>
      </c>
      <c r="AE204" s="131">
        <f>IF($T204=1,$AB204*$Y204+(Assumptions!$C$9/(1+$R204)+Assumptions!$C$10*$AC204)*$P204+$S204*$Z204*$AA204,0)</f>
        <v>0</v>
      </c>
      <c r="AF204" s="131" t="str">
        <f>IF($T204=1,IF($AA204-$AD204-Assumptions!$C$16*$AA204&gt;0,$AE204/($AA204-$AD204-Assumptions!$C$16*$AA204)*IF($J204="Monthly",1+Assumptions!$C$29,1),"n.a."),"")</f>
        <v/>
      </c>
      <c r="AG204" s="131" t="str">
        <f t="shared" si="59"/>
        <v/>
      </c>
      <c r="AH204" s="131" t="str">
        <f t="shared" si="60"/>
        <v/>
      </c>
      <c r="AI204" s="131" t="str">
        <f t="shared" si="61"/>
        <v/>
      </c>
      <c r="AJ204" s="390" t="str">
        <f t="shared" si="62"/>
        <v/>
      </c>
      <c r="AK204" s="389" t="str">
        <f t="shared" si="63"/>
        <v/>
      </c>
      <c r="AL204" s="131" t="str">
        <f t="shared" si="64"/>
        <v/>
      </c>
      <c r="AM204" s="131" t="str">
        <f t="shared" si="65"/>
        <v/>
      </c>
      <c r="AN204" s="131" t="str">
        <f t="shared" si="66"/>
        <v/>
      </c>
      <c r="AO204" s="131" t="str">
        <f t="shared" si="67"/>
        <v/>
      </c>
      <c r="AP204" s="26" t="str">
        <f t="shared" si="68"/>
        <v>30-39</v>
      </c>
      <c r="AQ204" s="26" t="str">
        <f t="shared" si="69"/>
        <v>250k-500k</v>
      </c>
      <c r="AR204" s="26" t="str">
        <f>IF($T204=1,IF($AI204&lt;0,"Loss-making",IF($AJ204&lt;Assumptions!$C$16-0.00001,"Below target","At/above target")),"Excluded")</f>
        <v>Excluded</v>
      </c>
      <c r="AS204" s="103">
        <f t="shared" si="70"/>
        <v>9.9999999999999997E+98</v>
      </c>
      <c r="AT204" s="26"/>
      <c r="AU204" s="419">
        <f>IF(AND($T204=1,AU$5&lt;=$H204),INDEX(Mortality!$B$4:$E$64,MATCH($D204+AU$5-1,Mortality!$A$4:$A$64,0),$U204)*$V204*$N204,0)</f>
        <v>0</v>
      </c>
      <c r="AV204" s="93">
        <f>IF(AND($T204=1,AV$5&lt;=$H204),INDEX(Mortality!$B$4:$E$64,MATCH($D204+AV$5-1,Mortality!$A$4:$A$64,0),$U204)*$V204*$N204,0)</f>
        <v>0</v>
      </c>
      <c r="AW204" s="93">
        <f>IF(AND($T204=1,AW$5&lt;=$H204),INDEX(Mortality!$B$4:$E$64,MATCH($D204+AW$5-1,Mortality!$A$4:$A$64,0),$U204)*$V204*$N204,0)</f>
        <v>0</v>
      </c>
      <c r="AX204" s="93">
        <f>IF(AND($T204=1,AX$5&lt;=$H204),INDEX(Mortality!$B$4:$E$64,MATCH($D204+AX$5-1,Mortality!$A$4:$A$64,0),$U204)*$V204*$N204,0)</f>
        <v>0</v>
      </c>
      <c r="AY204" s="93">
        <f>IF(AND($T204=1,AY$5&lt;=$H204),INDEX(Mortality!$B$4:$E$64,MATCH($D204+AY$5-1,Mortality!$A$4:$A$64,0),$U204)*$V204*$N204,0)</f>
        <v>0</v>
      </c>
      <c r="AZ204" s="93">
        <f>IF(AND($T204=1,AZ$5&lt;=$H204),INDEX(Mortality!$B$4:$E$64,MATCH($D204+AZ$5-1,Mortality!$A$4:$A$64,0),$U204)*$V204*$N204,0)</f>
        <v>0</v>
      </c>
      <c r="BA204" s="93">
        <f>IF(AND($T204=1,BA$5&lt;=$H204),INDEX(Mortality!$B$4:$E$64,MATCH($D204+BA$5-1,Mortality!$A$4:$A$64,0),$U204)*$V204*$N204,0)</f>
        <v>0</v>
      </c>
      <c r="BB204" s="93">
        <f>IF(AND($T204=1,BB$5&lt;=$H204),INDEX(Mortality!$B$4:$E$64,MATCH($D204+BB$5-1,Mortality!$A$4:$A$64,0),$U204)*$V204*$N204,0)</f>
        <v>0</v>
      </c>
      <c r="BC204" s="93">
        <f>IF(AND($T204=1,BC$5&lt;=$H204),INDEX(Mortality!$B$4:$E$64,MATCH($D204+BC$5-1,Mortality!$A$4:$A$64,0),$U204)*$V204*$N204,0)</f>
        <v>0</v>
      </c>
      <c r="BD204" s="93">
        <f>IF(AND($T204=1,BD$5&lt;=$H204),INDEX(Mortality!$B$4:$E$64,MATCH($D204+BD$5-1,Mortality!$A$4:$A$64,0),$U204)*$V204*$N204,0)</f>
        <v>0</v>
      </c>
      <c r="BE204" s="93">
        <f>IF(AND($T204=1,BE$5&lt;=$H204),INDEX(Mortality!$B$4:$E$64,MATCH($D204+BE$5-1,Mortality!$A$4:$A$64,0),$U204)*$V204*$N204,0)</f>
        <v>0</v>
      </c>
      <c r="BF204" s="93">
        <f>IF(AND($T204=1,BF$5&lt;=$H204),INDEX(Mortality!$B$4:$E$64,MATCH($D204+BF$5-1,Mortality!$A$4:$A$64,0),$U204)*$V204*$N204,0)</f>
        <v>0</v>
      </c>
      <c r="BG204" s="93">
        <f>IF(AND($T204=1,BG$5&lt;=$H204),INDEX(Mortality!$B$4:$E$64,MATCH($D204+BG$5-1,Mortality!$A$4:$A$64,0),$U204)*$V204*$N204,0)</f>
        <v>0</v>
      </c>
      <c r="BH204" s="93">
        <f>IF(AND($T204=1,BH$5&lt;=$H204),INDEX(Mortality!$B$4:$E$64,MATCH($D204+BH$5-1,Mortality!$A$4:$A$64,0),$U204)*$V204*$N204,0)</f>
        <v>0</v>
      </c>
      <c r="BI204" s="93">
        <f>IF(AND($T204=1,BI$5&lt;=$H204),INDEX(Mortality!$B$4:$E$64,MATCH($D204+BI$5-1,Mortality!$A$4:$A$64,0),$U204)*$V204*$N204,0)</f>
        <v>0</v>
      </c>
      <c r="BJ204" s="93">
        <f>IF(AND($T204=1,BJ$5&lt;=$H204),INDEX(Mortality!$B$4:$E$64,MATCH($D204+BJ$5-1,Mortality!$A$4:$A$64,0),$U204)*$V204*$N204,0)</f>
        <v>0</v>
      </c>
      <c r="BK204" s="93">
        <f>IF(AND($T204=1,BK$5&lt;=$H204),INDEX(Mortality!$B$4:$E$64,MATCH($D204+BK$5-1,Mortality!$A$4:$A$64,0),$U204)*$V204*$N204,0)</f>
        <v>0</v>
      </c>
      <c r="BL204" s="93">
        <f>IF(AND($T204=1,BL$5&lt;=$H204),INDEX(Mortality!$B$4:$E$64,MATCH($D204+BL$5-1,Mortality!$A$4:$A$64,0),$U204)*$V204*$N204,0)</f>
        <v>0</v>
      </c>
      <c r="BM204" s="93">
        <f>IF(AND($T204=1,BM$5&lt;=$H204),INDEX(Mortality!$B$4:$E$64,MATCH($D204+BM$5-1,Mortality!$A$4:$A$64,0),$U204)*$V204*$N204,0)</f>
        <v>0</v>
      </c>
      <c r="BN204" s="93">
        <f>IF(AND($T204=1,BN$5&lt;=$H204),INDEX(Mortality!$B$4:$E$64,MATCH($D204+BN$5-1,Mortality!$A$4:$A$64,0),$U204)*$V204*$N204,0)</f>
        <v>0</v>
      </c>
      <c r="BO204" s="93">
        <f>IF(AND($T204=1,BO$5&lt;=$H204),INDEX(Mortality!$B$4:$E$64,MATCH($D204+BO$5-1,Mortality!$A$4:$A$64,0),$U204)*$V204*$N204,0)</f>
        <v>0</v>
      </c>
      <c r="BP204" s="93">
        <f>IF(AND($T204=1,BP$5&lt;=$H204),INDEX(Mortality!$B$4:$E$64,MATCH($D204+BP$5-1,Mortality!$A$4:$A$64,0),$U204)*$V204*$N204,0)</f>
        <v>0</v>
      </c>
      <c r="BQ204" s="93">
        <f>IF(AND($T204=1,BQ$5&lt;=$H204),INDEX(Mortality!$B$4:$E$64,MATCH($D204+BQ$5-1,Mortality!$A$4:$A$64,0),$U204)*$V204*$N204,0)</f>
        <v>0</v>
      </c>
      <c r="BR204" s="93">
        <f>IF(AND($T204=1,BR$5&lt;=$H204),INDEX(Mortality!$B$4:$E$64,MATCH($D204+BR$5-1,Mortality!$A$4:$A$64,0),$U204)*$V204*$N204,0)</f>
        <v>0</v>
      </c>
      <c r="BS204" s="93">
        <f>IF(AND($T204=1,BS$5&lt;=$H204),INDEX(Mortality!$B$4:$E$64,MATCH($D204+BS$5-1,Mortality!$A$4:$A$64,0),$U204)*$V204*$N204,0)</f>
        <v>0</v>
      </c>
      <c r="BT204" s="93">
        <f>IF(AND($T204=1,BT$5&lt;=$H204),INDEX(Mortality!$B$4:$E$64,MATCH($D204+BT$5-1,Mortality!$A$4:$A$64,0),$U204)*$V204*$N204,0)</f>
        <v>0</v>
      </c>
      <c r="BU204" s="93">
        <f>IF(AND($T204=1,BU$5&lt;=$H204),INDEX(Mortality!$B$4:$E$64,MATCH($D204+BU$5-1,Mortality!$A$4:$A$64,0),$U204)*$V204*$N204,0)</f>
        <v>0</v>
      </c>
      <c r="BV204" s="93">
        <f>IF(AND($T204=1,BV$5&lt;=$H204),INDEX(Mortality!$B$4:$E$64,MATCH($D204+BV$5-1,Mortality!$A$4:$A$64,0),$U204)*$V204*$N204,0)</f>
        <v>0</v>
      </c>
      <c r="BW204" s="93">
        <f>IF(AND($T204=1,BW$5&lt;=$H204),INDEX(Mortality!$B$4:$E$64,MATCH($D204+BW$5-1,Mortality!$A$4:$A$64,0),$U204)*$V204*$N204,0)</f>
        <v>0</v>
      </c>
      <c r="BX204" s="93">
        <f>IF(AND($T204=1,BX$5&lt;=$H204),INDEX(Mortality!$B$4:$E$64,MATCH($D204+BX$5-1,Mortality!$A$4:$A$64,0),$U204)*$V204*$N204,0)</f>
        <v>0</v>
      </c>
      <c r="BY204" s="93">
        <f>IF(AND($T204=1,BY$5&lt;=$H204),INDEX(Mortality!$B$4:$E$64,MATCH($D204+BY$5-1,Mortality!$A$4:$A$64,0),$U204)*$V204*$N204,0)</f>
        <v>0</v>
      </c>
      <c r="BZ204" s="93">
        <f>IF(AND($T204=1,BZ$5&lt;=$H204),INDEX(Mortality!$B$4:$E$64,MATCH($D204+BZ$5-1,Mortality!$A$4:$A$64,0),$U204)*$V204*$N204,0)</f>
        <v>0</v>
      </c>
      <c r="CA204" s="93">
        <f>IF(AND($T204=1,CA$5&lt;=$H204),INDEX(Mortality!$B$4:$E$64,MATCH($D204+CA$5-1,Mortality!$A$4:$A$64,0),$U204)*$V204*$N204,0)</f>
        <v>0</v>
      </c>
      <c r="CB204" s="93">
        <f>IF(AND($T204=1,CB$5&lt;=$H204),INDEX(Mortality!$B$4:$E$64,MATCH($D204+CB$5-1,Mortality!$A$4:$A$64,0),$U204)*$V204*$N204,0)</f>
        <v>0</v>
      </c>
      <c r="CC204" s="93">
        <f>IF(AND($T204=1,CC$5&lt;=$H204),INDEX(Mortality!$B$4:$E$64,MATCH($D204+CC$5-1,Mortality!$A$4:$A$64,0),$U204)*$V204*$N204,0)</f>
        <v>0</v>
      </c>
      <c r="CD204" s="93">
        <f>IF(AND($T204=1,CD$5&lt;=$H204),INDEX(Mortality!$B$4:$E$64,MATCH($D204+CD$5-1,Mortality!$A$4:$A$64,0),$U204)*$V204*$N204,0)</f>
        <v>0</v>
      </c>
      <c r="CE204" s="93">
        <f>IF(AND($T204=1,CE$5&lt;=$H204),INDEX(Mortality!$B$4:$E$64,MATCH($D204+CE$5-1,Mortality!$A$4:$A$64,0),$U204)*$V204*$N204,0)</f>
        <v>0</v>
      </c>
      <c r="CF204" s="93">
        <f>IF(AND($T204=1,CF$5&lt;=$H204),INDEX(Mortality!$B$4:$E$64,MATCH($D204+CF$5-1,Mortality!$A$4:$A$64,0),$U204)*$V204*$N204,0)</f>
        <v>0</v>
      </c>
      <c r="CG204" s="93">
        <f>IF(AND($T204=1,CG$5&lt;=$H204),INDEX(Mortality!$B$4:$E$64,MATCH($D204+CG$5-1,Mortality!$A$4:$A$64,0),$U204)*$V204*$N204,0)</f>
        <v>0</v>
      </c>
      <c r="CH204" s="94">
        <f>IF(AND($T204=1,CH$5&lt;=$H204),INDEX(Mortality!$B$4:$E$64,MATCH($D204+CH$5-1,Mortality!$A$4:$A$64,0),$U204)*$V204*$N204,0)</f>
        <v>0</v>
      </c>
      <c r="CI204" s="26"/>
      <c r="CJ204" s="419">
        <f t="shared" si="71"/>
        <v>0</v>
      </c>
      <c r="CK204" s="93">
        <f>IF(AND($T204=1,CK$5&lt;=$H204),CJ204*(1-AU204)*(1-MIN(1,MAX(Assumptions!$C$27,Assumptions!$C$13*Assumptions!$C$28^(CJ$5-1))*$O204)),0)</f>
        <v>0</v>
      </c>
      <c r="CL204" s="93">
        <f>IF(AND($T204=1,CL$5&lt;=$H204),CK204*(1-AV204)*(1-MIN(1,MAX(Assumptions!$C$27,Assumptions!$C$13*Assumptions!$C$28^(CK$5-1))*$O204)),0)</f>
        <v>0</v>
      </c>
      <c r="CM204" s="93">
        <f>IF(AND($T204=1,CM$5&lt;=$H204),CL204*(1-AW204)*(1-MIN(1,MAX(Assumptions!$C$27,Assumptions!$C$13*Assumptions!$C$28^(CL$5-1))*$O204)),0)</f>
        <v>0</v>
      </c>
      <c r="CN204" s="93">
        <f>IF(AND($T204=1,CN$5&lt;=$H204),CM204*(1-AX204)*(1-MIN(1,MAX(Assumptions!$C$27,Assumptions!$C$13*Assumptions!$C$28^(CM$5-1))*$O204)),0)</f>
        <v>0</v>
      </c>
      <c r="CO204" s="93">
        <f>IF(AND($T204=1,CO$5&lt;=$H204),CN204*(1-AY204)*(1-MIN(1,MAX(Assumptions!$C$27,Assumptions!$C$13*Assumptions!$C$28^(CN$5-1))*$O204)),0)</f>
        <v>0</v>
      </c>
      <c r="CP204" s="93">
        <f>IF(AND($T204=1,CP$5&lt;=$H204),CO204*(1-AZ204)*(1-MIN(1,MAX(Assumptions!$C$27,Assumptions!$C$13*Assumptions!$C$28^(CO$5-1))*$O204)),0)</f>
        <v>0</v>
      </c>
      <c r="CQ204" s="93">
        <f>IF(AND($T204=1,CQ$5&lt;=$H204),CP204*(1-BA204)*(1-MIN(1,MAX(Assumptions!$C$27,Assumptions!$C$13*Assumptions!$C$28^(CP$5-1))*$O204)),0)</f>
        <v>0</v>
      </c>
      <c r="CR204" s="93">
        <f>IF(AND($T204=1,CR$5&lt;=$H204),CQ204*(1-BB204)*(1-MIN(1,MAX(Assumptions!$C$27,Assumptions!$C$13*Assumptions!$C$28^(CQ$5-1))*$O204)),0)</f>
        <v>0</v>
      </c>
      <c r="CS204" s="93">
        <f>IF(AND($T204=1,CS$5&lt;=$H204),CR204*(1-BC204)*(1-MIN(1,MAX(Assumptions!$C$27,Assumptions!$C$13*Assumptions!$C$28^(CR$5-1))*$O204)),0)</f>
        <v>0</v>
      </c>
      <c r="CT204" s="93">
        <f>IF(AND($T204=1,CT$5&lt;=$H204),CS204*(1-BD204)*(1-MIN(1,MAX(Assumptions!$C$27,Assumptions!$C$13*Assumptions!$C$28^(CS$5-1))*$O204)),0)</f>
        <v>0</v>
      </c>
      <c r="CU204" s="93">
        <f>IF(AND($T204=1,CU$5&lt;=$H204),CT204*(1-BE204)*(1-MIN(1,MAX(Assumptions!$C$27,Assumptions!$C$13*Assumptions!$C$28^(CT$5-1))*$O204)),0)</f>
        <v>0</v>
      </c>
      <c r="CV204" s="93">
        <f>IF(AND($T204=1,CV$5&lt;=$H204),CU204*(1-BF204)*(1-MIN(1,MAX(Assumptions!$C$27,Assumptions!$C$13*Assumptions!$C$28^(CU$5-1))*$O204)),0)</f>
        <v>0</v>
      </c>
      <c r="CW204" s="93">
        <f>IF(AND($T204=1,CW$5&lt;=$H204),CV204*(1-BG204)*(1-MIN(1,MAX(Assumptions!$C$27,Assumptions!$C$13*Assumptions!$C$28^(CV$5-1))*$O204)),0)</f>
        <v>0</v>
      </c>
      <c r="CX204" s="93">
        <f>IF(AND($T204=1,CX$5&lt;=$H204),CW204*(1-BH204)*(1-MIN(1,MAX(Assumptions!$C$27,Assumptions!$C$13*Assumptions!$C$28^(CW$5-1))*$O204)),0)</f>
        <v>0</v>
      </c>
      <c r="CY204" s="93">
        <f>IF(AND($T204=1,CY$5&lt;=$H204),CX204*(1-BI204)*(1-MIN(1,MAX(Assumptions!$C$27,Assumptions!$C$13*Assumptions!$C$28^(CX$5-1))*$O204)),0)</f>
        <v>0</v>
      </c>
      <c r="CZ204" s="93">
        <f>IF(AND($T204=1,CZ$5&lt;=$H204),CY204*(1-BJ204)*(1-MIN(1,MAX(Assumptions!$C$27,Assumptions!$C$13*Assumptions!$C$28^(CY$5-1))*$O204)),0)</f>
        <v>0</v>
      </c>
      <c r="DA204" s="93">
        <f>IF(AND($T204=1,DA$5&lt;=$H204),CZ204*(1-BK204)*(1-MIN(1,MAX(Assumptions!$C$27,Assumptions!$C$13*Assumptions!$C$28^(CZ$5-1))*$O204)),0)</f>
        <v>0</v>
      </c>
      <c r="DB204" s="93">
        <f>IF(AND($T204=1,DB$5&lt;=$H204),DA204*(1-BL204)*(1-MIN(1,MAX(Assumptions!$C$27,Assumptions!$C$13*Assumptions!$C$28^(DA$5-1))*$O204)),0)</f>
        <v>0</v>
      </c>
      <c r="DC204" s="93">
        <f>IF(AND($T204=1,DC$5&lt;=$H204),DB204*(1-BM204)*(1-MIN(1,MAX(Assumptions!$C$27,Assumptions!$C$13*Assumptions!$C$28^(DB$5-1))*$O204)),0)</f>
        <v>0</v>
      </c>
      <c r="DD204" s="93">
        <f>IF(AND($T204=1,DD$5&lt;=$H204),DC204*(1-BN204)*(1-MIN(1,MAX(Assumptions!$C$27,Assumptions!$C$13*Assumptions!$C$28^(DC$5-1))*$O204)),0)</f>
        <v>0</v>
      </c>
      <c r="DE204" s="93">
        <f>IF(AND($T204=1,DE$5&lt;=$H204),DD204*(1-BO204)*(1-MIN(1,MAX(Assumptions!$C$27,Assumptions!$C$13*Assumptions!$C$28^(DD$5-1))*$O204)),0)</f>
        <v>0</v>
      </c>
      <c r="DF204" s="93">
        <f>IF(AND($T204=1,DF$5&lt;=$H204),DE204*(1-BP204)*(1-MIN(1,MAX(Assumptions!$C$27,Assumptions!$C$13*Assumptions!$C$28^(DE$5-1))*$O204)),0)</f>
        <v>0</v>
      </c>
      <c r="DG204" s="93">
        <f>IF(AND($T204=1,DG$5&lt;=$H204),DF204*(1-BQ204)*(1-MIN(1,MAX(Assumptions!$C$27,Assumptions!$C$13*Assumptions!$C$28^(DF$5-1))*$O204)),0)</f>
        <v>0</v>
      </c>
      <c r="DH204" s="93">
        <f>IF(AND($T204=1,DH$5&lt;=$H204),DG204*(1-BR204)*(1-MIN(1,MAX(Assumptions!$C$27,Assumptions!$C$13*Assumptions!$C$28^(DG$5-1))*$O204)),0)</f>
        <v>0</v>
      </c>
      <c r="DI204" s="93">
        <f>IF(AND($T204=1,DI$5&lt;=$H204),DH204*(1-BS204)*(1-MIN(1,MAX(Assumptions!$C$27,Assumptions!$C$13*Assumptions!$C$28^(DH$5-1))*$O204)),0)</f>
        <v>0</v>
      </c>
      <c r="DJ204" s="93">
        <f>IF(AND($T204=1,DJ$5&lt;=$H204),DI204*(1-BT204)*(1-MIN(1,MAX(Assumptions!$C$27,Assumptions!$C$13*Assumptions!$C$28^(DI$5-1))*$O204)),0)</f>
        <v>0</v>
      </c>
      <c r="DK204" s="93">
        <f>IF(AND($T204=1,DK$5&lt;=$H204),DJ204*(1-BU204)*(1-MIN(1,MAX(Assumptions!$C$27,Assumptions!$C$13*Assumptions!$C$28^(DJ$5-1))*$O204)),0)</f>
        <v>0</v>
      </c>
      <c r="DL204" s="93">
        <f>IF(AND($T204=1,DL$5&lt;=$H204),DK204*(1-BV204)*(1-MIN(1,MAX(Assumptions!$C$27,Assumptions!$C$13*Assumptions!$C$28^(DK$5-1))*$O204)),0)</f>
        <v>0</v>
      </c>
      <c r="DM204" s="93">
        <f>IF(AND($T204=1,DM$5&lt;=$H204),DL204*(1-BW204)*(1-MIN(1,MAX(Assumptions!$C$27,Assumptions!$C$13*Assumptions!$C$28^(DL$5-1))*$O204)),0)</f>
        <v>0</v>
      </c>
      <c r="DN204" s="93">
        <f>IF(AND($T204=1,DN$5&lt;=$H204),DM204*(1-BX204)*(1-MIN(1,MAX(Assumptions!$C$27,Assumptions!$C$13*Assumptions!$C$28^(DM$5-1))*$O204)),0)</f>
        <v>0</v>
      </c>
      <c r="DO204" s="93">
        <f>IF(AND($T204=1,DO$5&lt;=$H204),DN204*(1-BY204)*(1-MIN(1,MAX(Assumptions!$C$27,Assumptions!$C$13*Assumptions!$C$28^(DN$5-1))*$O204)),0)</f>
        <v>0</v>
      </c>
      <c r="DP204" s="93">
        <f>IF(AND($T204=1,DP$5&lt;=$H204),DO204*(1-BZ204)*(1-MIN(1,MAX(Assumptions!$C$27,Assumptions!$C$13*Assumptions!$C$28^(DO$5-1))*$O204)),0)</f>
        <v>0</v>
      </c>
      <c r="DQ204" s="93">
        <f>IF(AND($T204=1,DQ$5&lt;=$H204),DP204*(1-CA204)*(1-MIN(1,MAX(Assumptions!$C$27,Assumptions!$C$13*Assumptions!$C$28^(DP$5-1))*$O204)),0)</f>
        <v>0</v>
      </c>
      <c r="DR204" s="93">
        <f>IF(AND($T204=1,DR$5&lt;=$H204),DQ204*(1-CB204)*(1-MIN(1,MAX(Assumptions!$C$27,Assumptions!$C$13*Assumptions!$C$28^(DQ$5-1))*$O204)),0)</f>
        <v>0</v>
      </c>
      <c r="DS204" s="93">
        <f>IF(AND($T204=1,DS$5&lt;=$H204),DR204*(1-CC204)*(1-MIN(1,MAX(Assumptions!$C$27,Assumptions!$C$13*Assumptions!$C$28^(DR$5-1))*$O204)),0)</f>
        <v>0</v>
      </c>
      <c r="DT204" s="93">
        <f>IF(AND($T204=1,DT$5&lt;=$H204),DS204*(1-CD204)*(1-MIN(1,MAX(Assumptions!$C$27,Assumptions!$C$13*Assumptions!$C$28^(DS$5-1))*$O204)),0)</f>
        <v>0</v>
      </c>
      <c r="DU204" s="93">
        <f>IF(AND($T204=1,DU$5&lt;=$H204),DT204*(1-CE204)*(1-MIN(1,MAX(Assumptions!$C$27,Assumptions!$C$13*Assumptions!$C$28^(DT$5-1))*$O204)),0)</f>
        <v>0</v>
      </c>
      <c r="DV204" s="93">
        <f>IF(AND($T204=1,DV$5&lt;=$H204),DU204*(1-CF204)*(1-MIN(1,MAX(Assumptions!$C$27,Assumptions!$C$13*Assumptions!$C$28^(DU$5-1))*$O204)),0)</f>
        <v>0</v>
      </c>
      <c r="DW204" s="94">
        <f>IF(AND($T204=1,DW$5&lt;=$H204),DV204*(1-CG204)*(1-MIN(1,MAX(Assumptions!$C$27,Assumptions!$C$13*Assumptions!$C$28^(DV$5-1))*$O204)),0)</f>
        <v>0</v>
      </c>
      <c r="DX204" s="26"/>
      <c r="DY204" s="399">
        <f>'Policy Data'!K178</f>
        <v>7</v>
      </c>
      <c r="DZ204" s="100">
        <f>'Policy Data'!L178</f>
        <v>0.78769999999999996</v>
      </c>
      <c r="EA204" s="100">
        <f>'Policy Data'!N178</f>
        <v>3.2600000000000001E-4</v>
      </c>
      <c r="EB204" s="93" cm="1">
        <f t="array" ref="EB204">IFERROR(DZ204*INDEX(Mortality!$B$4:$E$64,MATCH(D204+DY204-1,Mortality!$A$4:$A$64,0),U204)*V204,0)</f>
        <v>5.274693086448391E-4</v>
      </c>
      <c r="EC204" s="100">
        <f>'Policy Data'!O178</f>
        <v>0</v>
      </c>
      <c r="ED204" s="400">
        <f>'Policy Data'!Q178</f>
        <v>0</v>
      </c>
    </row>
    <row r="205" spans="1:134" x14ac:dyDescent="0.3">
      <c r="A205" s="399" t="str">
        <f>'Policy Data'!A179</f>
        <v>POL100175</v>
      </c>
      <c r="B205" s="26" t="s">
        <v>426</v>
      </c>
      <c r="C205" s="100" t="str">
        <f>'Policy Data'!B179</f>
        <v>Term Life</v>
      </c>
      <c r="D205" s="100">
        <f>'Policy Data'!C179</f>
        <v>36</v>
      </c>
      <c r="E205" s="100" t="str">
        <f>'Policy Data'!D179</f>
        <v>Male</v>
      </c>
      <c r="F205" s="100" t="str">
        <f>'Policy Data'!E179</f>
        <v>Non-smoker</v>
      </c>
      <c r="G205" s="100" t="str">
        <f>'Policy Data'!F179</f>
        <v>Preferred</v>
      </c>
      <c r="H205" s="100">
        <f>'Policy Data'!G179</f>
        <v>20</v>
      </c>
      <c r="I205" s="279">
        <f>'Policy Data'!H179</f>
        <v>250000</v>
      </c>
      <c r="J205" s="100" t="str">
        <f>'Policy Data'!I179</f>
        <v>Monthly</v>
      </c>
      <c r="K205" s="100" t="str">
        <f>'Policy Data'!J179</f>
        <v>Broker</v>
      </c>
      <c r="L205" s="26" t="s">
        <v>389</v>
      </c>
      <c r="M205" s="106">
        <f>'Policy Data'!R179</f>
        <v>1200</v>
      </c>
      <c r="N205" s="415">
        <f>Assumptions!$C$21</f>
        <v>1</v>
      </c>
      <c r="O205" s="415">
        <f>Assumptions!$C$22</f>
        <v>1</v>
      </c>
      <c r="P205" s="415">
        <f>Assumptions!$C$23</f>
        <v>1</v>
      </c>
      <c r="Q205" s="416">
        <f>Assumptions!$C$24</f>
        <v>0</v>
      </c>
      <c r="R205" s="416">
        <f>Assumptions!$C$6+Assumptions!$C$25</f>
        <v>3.5000000000000003E-2</v>
      </c>
      <c r="S205" s="416">
        <f>Assumptions!$C$15</f>
        <v>1.1000000000000001E-3</v>
      </c>
      <c r="T205" s="26">
        <f t="shared" si="54"/>
        <v>1</v>
      </c>
      <c r="U205" s="26">
        <f t="shared" si="55"/>
        <v>3</v>
      </c>
      <c r="V205" s="389">
        <f>IF($G205="Preferred",Assumptions!$C$30,IF($G205="Rated",Assumptions!$C$31,1))</f>
        <v>0.8</v>
      </c>
      <c r="W205" s="390">
        <f>IF($K205="Direct",Assumptions!$C$32,IF($K205="Broker",Assumptions!$C$33,IF($K205="Bancassurance",Assumptions!$C$34,Assumptions!$C$11)))+$Q205</f>
        <v>0.25</v>
      </c>
      <c r="X205" s="390">
        <f>Assumptions!$C$12+$Q205</f>
        <v>0.05</v>
      </c>
      <c r="Y205" s="131">
        <f>MIN($I205,Assumptions!$C$14)</f>
        <v>250000</v>
      </c>
      <c r="Z205" s="131">
        <f>MAX($I205-Assumptions!$C$14,0)</f>
        <v>0</v>
      </c>
      <c r="AA205" s="389">
        <f t="shared" si="56"/>
        <v>8.5752288066027376</v>
      </c>
      <c r="AB205" s="389">
        <f t="shared" si="57"/>
        <v>1.1116219560134671E-2</v>
      </c>
      <c r="AC205" s="389">
        <f>IF($T205=1,SUMPRODUCT($CJ205:$DW205,(1+Assumptions!$C$5)^($CJ$5:$DW$5-1),(1+$R205)^(-$CJ$5:$DW$5)),0)</f>
        <v>11.537870374588461</v>
      </c>
      <c r="AD205" s="389">
        <f t="shared" si="58"/>
        <v>0.62199815530598235</v>
      </c>
      <c r="AE205" s="131">
        <f>IF($T205=1,$AB205*$Y205+(Assumptions!$C$9/(1+$R205)+Assumptions!$C$10*$AC205)*$P205+$S205*$Z205*$AA205,0)</f>
        <v>6186.9515898344343</v>
      </c>
      <c r="AF205" s="131">
        <f>IF($T205=1,IF($AA205-$AD205-Assumptions!$C$16*$AA205&gt;0,$AE205/($AA205-$AD205-Assumptions!$C$16*$AA205)*IF($J205="Monthly",1+Assumptions!$C$29,1),"n.a."),"")</f>
        <v>876.8919681235285</v>
      </c>
      <c r="AG205" s="131">
        <f t="shared" si="59"/>
        <v>1200</v>
      </c>
      <c r="AH205" s="131">
        <f t="shared" si="60"/>
        <v>10290.274567923285</v>
      </c>
      <c r="AI205" s="131">
        <f t="shared" si="61"/>
        <v>3356.9251917216716</v>
      </c>
      <c r="AJ205" s="390">
        <f t="shared" si="62"/>
        <v>0.3262230924513751</v>
      </c>
      <c r="AK205" s="389">
        <f t="shared" si="63"/>
        <v>1.3684695990178748</v>
      </c>
      <c r="AL205" s="131">
        <f t="shared" si="64"/>
        <v>0</v>
      </c>
      <c r="AM205" s="131">
        <f t="shared" si="65"/>
        <v>0</v>
      </c>
      <c r="AN205" s="131">
        <f t="shared" si="66"/>
        <v>0</v>
      </c>
      <c r="AO205" s="131">
        <f t="shared" si="67"/>
        <v>3356.9251917216716</v>
      </c>
      <c r="AP205" s="26" t="str">
        <f t="shared" si="68"/>
        <v>30-39</v>
      </c>
      <c r="AQ205" s="26" t="str">
        <f t="shared" si="69"/>
        <v>Up to 250k</v>
      </c>
      <c r="AR205" s="26" t="str">
        <f>IF($T205=1,IF($AI205&lt;0,"Loss-making",IF($AJ205&lt;Assumptions!$C$16-0.00001,"Below target","At/above target")),"Excluded")</f>
        <v>At/above target</v>
      </c>
      <c r="AS205" s="103">
        <f t="shared" si="70"/>
        <v>3356.9253967216714</v>
      </c>
      <c r="AT205" s="26"/>
      <c r="AU205" s="419">
        <f>IF(AND($T205=1,AU$5&lt;=$H205),INDEX(Mortality!$B$4:$E$64,MATCH($D205+AU$5-1,Mortality!$A$4:$A$64,0),$U205)*$V205*$N205,0)</f>
        <v>6.6905480250785757E-4</v>
      </c>
      <c r="AV205" s="93">
        <f>IF(AND($T205=1,AV$5&lt;=$H205),INDEX(Mortality!$B$4:$E$64,MATCH($D205+AV$5-1,Mortality!$A$4:$A$64,0),$U205)*$V205*$N205,0)</f>
        <v>7.2477841512258564E-4</v>
      </c>
      <c r="AW205" s="93">
        <f>IF(AND($T205=1,AW$5&lt;=$H205),INDEX(Mortality!$B$4:$E$64,MATCH($D205+AW$5-1,Mortality!$A$4:$A$64,0),$U205)*$V205*$N205,0)</f>
        <v>7.8514308403224956E-4</v>
      </c>
      <c r="AX205" s="93">
        <f>IF(AND($T205=1,AX$5&lt;=$H205),INDEX(Mortality!$B$4:$E$64,MATCH($D205+AX$5-1,Mortality!$A$4:$A$64,0),$U205)*$V205*$N205,0)</f>
        <v>8.505353492065681E-4</v>
      </c>
      <c r="AY205" s="93">
        <f>IF(AND($T205=1,AY$5&lt;=$H205),INDEX(Mortality!$B$4:$E$64,MATCH($D205+AY$5-1,Mortality!$A$4:$A$64,0),$U205)*$V205*$N205,0)</f>
        <v>9.2137394439588014E-4</v>
      </c>
      <c r="AZ205" s="93">
        <f>IF(AND($T205=1,AZ$5&lt;=$H205),INDEX(Mortality!$B$4:$E$64,MATCH($D205+AZ$5-1,Mortality!$A$4:$A$64,0),$U205)*$V205*$N205,0)</f>
        <v>9.9811247845672801E-4</v>
      </c>
      <c r="BA205" s="93">
        <f>IF(AND($T205=1,BA$5&lt;=$H205),INDEX(Mortality!$B$4:$E$64,MATCH($D205+BA$5-1,Mortality!$A$4:$A$64,0),$U205)*$V205*$N205,0)</f>
        <v>1.0812423399971681E-3</v>
      </c>
      <c r="BB205" s="93">
        <f>IF(AND($T205=1,BB$5&lt;=$H205),INDEX(Mortality!$B$4:$E$64,MATCH($D205+BB$5-1,Mortality!$A$4:$A$64,0),$U205)*$V205*$N205,0)</f>
        <v>1.1712958439415442E-3</v>
      </c>
      <c r="BC205" s="93">
        <f>IF(AND($T205=1,BC$5&lt;=$H205),INDEX(Mortality!$B$4:$E$64,MATCH($D205+BC$5-1,Mortality!$A$4:$A$64,0),$U205)*$V205*$N205,0)</f>
        <v>1.2688496401633042E-3</v>
      </c>
      <c r="BD205" s="93">
        <f>IF(AND($T205=1,BD$5&lt;=$H205),INDEX(Mortality!$B$4:$E$64,MATCH($D205+BD$5-1,Mortality!$A$4:$A$64,0),$U205)*$V205*$N205,0)</f>
        <v>1.374528406012928E-3</v>
      </c>
      <c r="BE205" s="93">
        <f>IF(AND($T205=1,BE$5&lt;=$H205),INDEX(Mortality!$B$4:$E$64,MATCH($D205+BE$5-1,Mortality!$A$4:$A$64,0),$U205)*$V205*$N205,0)</f>
        <v>1.4890088463856801E-3</v>
      </c>
      <c r="BF205" s="93">
        <f>IF(AND($T205=1,BF$5&lt;=$H205),INDEX(Mortality!$B$4:$E$64,MATCH($D205+BF$5-1,Mortality!$A$4:$A$64,0),$U205)*$V205*$N205,0)</f>
        <v>1.6130240269432161E-3</v>
      </c>
      <c r="BG205" s="93">
        <f>IF(AND($T205=1,BG$5&lt;=$H205),INDEX(Mortality!$B$4:$E$64,MATCH($D205+BG$5-1,Mortality!$A$4:$A$64,0),$U205)*$V205*$N205,0)</f>
        <v>1.7473680682365761E-3</v>
      </c>
      <c r="BH205" s="93">
        <f>IF(AND($T205=1,BH$5&lt;=$H205),INDEX(Mortality!$B$4:$E$64,MATCH($D205+BH$5-1,Mortality!$A$4:$A$64,0),$U205)*$V205*$N205,0)</f>
        <v>1.8929012307888561E-3</v>
      </c>
      <c r="BI205" s="93">
        <f>IF(AND($T205=1,BI$5&lt;=$H205),INDEX(Mortality!$B$4:$E$64,MATCH($D205+BI$5-1,Mortality!$A$4:$A$64,0),$U205)*$V205*$N205,0)</f>
        <v>2.0505554236995758E-3</v>
      </c>
      <c r="BJ205" s="93">
        <f>IF(AND($T205=1,BJ$5&lt;=$H205),INDEX(Mortality!$B$4:$E$64,MATCH($D205+BJ$5-1,Mortality!$A$4:$A$64,0),$U205)*$V205*$N205,0)</f>
        <v>2.2213401720444963E-3</v>
      </c>
      <c r="BK205" s="93">
        <f>IF(AND($T205=1,BK$5&lt;=$H205),INDEX(Mortality!$B$4:$E$64,MATCH($D205+BK$5-1,Mortality!$A$4:$A$64,0),$U205)*$V205*$N205,0)</f>
        <v>2.4063490812826719E-3</v>
      </c>
      <c r="BL205" s="93">
        <f>IF(AND($T205=1,BL$5&lt;=$H205),INDEX(Mortality!$B$4:$E$64,MATCH($D205+BL$5-1,Mortality!$A$4:$A$64,0),$U205)*$V205*$N205,0)</f>
        <v>2.60676684006504E-3</v>
      </c>
      <c r="BM205" s="93">
        <f>IF(AND($T205=1,BM$5&lt;=$H205),INDEX(Mortality!$B$4:$E$64,MATCH($D205+BM$5-1,Mortality!$A$4:$A$64,0),$U205)*$V205*$N205,0)</f>
        <v>2.8238768062863683E-3</v>
      </c>
      <c r="BN205" s="93">
        <f>IF(AND($T205=1,BN$5&lt;=$H205),INDEX(Mortality!$B$4:$E$64,MATCH($D205+BN$5-1,Mortality!$A$4:$A$64,0),$U205)*$V205*$N205,0)</f>
        <v>3.0590692249572882E-3</v>
      </c>
      <c r="BO205" s="93">
        <f>IF(AND($T205=1,BO$5&lt;=$H205),INDEX(Mortality!$B$4:$E$64,MATCH($D205+BO$5-1,Mortality!$A$4:$A$64,0),$U205)*$V205*$N205,0)</f>
        <v>0</v>
      </c>
      <c r="BP205" s="93">
        <f>IF(AND($T205=1,BP$5&lt;=$H205),INDEX(Mortality!$B$4:$E$64,MATCH($D205+BP$5-1,Mortality!$A$4:$A$64,0),$U205)*$V205*$N205,0)</f>
        <v>0</v>
      </c>
      <c r="BQ205" s="93">
        <f>IF(AND($T205=1,BQ$5&lt;=$H205),INDEX(Mortality!$B$4:$E$64,MATCH($D205+BQ$5-1,Mortality!$A$4:$A$64,0),$U205)*$V205*$N205,0)</f>
        <v>0</v>
      </c>
      <c r="BR205" s="93">
        <f>IF(AND($T205=1,BR$5&lt;=$H205),INDEX(Mortality!$B$4:$E$64,MATCH($D205+BR$5-1,Mortality!$A$4:$A$64,0),$U205)*$V205*$N205,0)</f>
        <v>0</v>
      </c>
      <c r="BS205" s="93">
        <f>IF(AND($T205=1,BS$5&lt;=$H205),INDEX(Mortality!$B$4:$E$64,MATCH($D205+BS$5-1,Mortality!$A$4:$A$64,0),$U205)*$V205*$N205,0)</f>
        <v>0</v>
      </c>
      <c r="BT205" s="93">
        <f>IF(AND($T205=1,BT$5&lt;=$H205),INDEX(Mortality!$B$4:$E$64,MATCH($D205+BT$5-1,Mortality!$A$4:$A$64,0),$U205)*$V205*$N205,0)</f>
        <v>0</v>
      </c>
      <c r="BU205" s="93">
        <f>IF(AND($T205=1,BU$5&lt;=$H205),INDEX(Mortality!$B$4:$E$64,MATCH($D205+BU$5-1,Mortality!$A$4:$A$64,0),$U205)*$V205*$N205,0)</f>
        <v>0</v>
      </c>
      <c r="BV205" s="93">
        <f>IF(AND($T205=1,BV$5&lt;=$H205),INDEX(Mortality!$B$4:$E$64,MATCH($D205+BV$5-1,Mortality!$A$4:$A$64,0),$U205)*$V205*$N205,0)</f>
        <v>0</v>
      </c>
      <c r="BW205" s="93">
        <f>IF(AND($T205=1,BW$5&lt;=$H205),INDEX(Mortality!$B$4:$E$64,MATCH($D205+BW$5-1,Mortality!$A$4:$A$64,0),$U205)*$V205*$N205,0)</f>
        <v>0</v>
      </c>
      <c r="BX205" s="93">
        <f>IF(AND($T205=1,BX$5&lt;=$H205),INDEX(Mortality!$B$4:$E$64,MATCH($D205+BX$5-1,Mortality!$A$4:$A$64,0),$U205)*$V205*$N205,0)</f>
        <v>0</v>
      </c>
      <c r="BY205" s="93">
        <f>IF(AND($T205=1,BY$5&lt;=$H205),INDEX(Mortality!$B$4:$E$64,MATCH($D205+BY$5-1,Mortality!$A$4:$A$64,0),$U205)*$V205*$N205,0)</f>
        <v>0</v>
      </c>
      <c r="BZ205" s="93">
        <f>IF(AND($T205=1,BZ$5&lt;=$H205),INDEX(Mortality!$B$4:$E$64,MATCH($D205+BZ$5-1,Mortality!$A$4:$A$64,0),$U205)*$V205*$N205,0)</f>
        <v>0</v>
      </c>
      <c r="CA205" s="93">
        <f>IF(AND($T205=1,CA$5&lt;=$H205),INDEX(Mortality!$B$4:$E$64,MATCH($D205+CA$5-1,Mortality!$A$4:$A$64,0),$U205)*$V205*$N205,0)</f>
        <v>0</v>
      </c>
      <c r="CB205" s="93">
        <f>IF(AND($T205=1,CB$5&lt;=$H205),INDEX(Mortality!$B$4:$E$64,MATCH($D205+CB$5-1,Mortality!$A$4:$A$64,0),$U205)*$V205*$N205,0)</f>
        <v>0</v>
      </c>
      <c r="CC205" s="93">
        <f>IF(AND($T205=1,CC$5&lt;=$H205),INDEX(Mortality!$B$4:$E$64,MATCH($D205+CC$5-1,Mortality!$A$4:$A$64,0),$U205)*$V205*$N205,0)</f>
        <v>0</v>
      </c>
      <c r="CD205" s="93">
        <f>IF(AND($T205=1,CD$5&lt;=$H205),INDEX(Mortality!$B$4:$E$64,MATCH($D205+CD$5-1,Mortality!$A$4:$A$64,0),$U205)*$V205*$N205,0)</f>
        <v>0</v>
      </c>
      <c r="CE205" s="93">
        <f>IF(AND($T205=1,CE$5&lt;=$H205),INDEX(Mortality!$B$4:$E$64,MATCH($D205+CE$5-1,Mortality!$A$4:$A$64,0),$U205)*$V205*$N205,0)</f>
        <v>0</v>
      </c>
      <c r="CF205" s="93">
        <f>IF(AND($T205=1,CF$5&lt;=$H205),INDEX(Mortality!$B$4:$E$64,MATCH($D205+CF$5-1,Mortality!$A$4:$A$64,0),$U205)*$V205*$N205,0)</f>
        <v>0</v>
      </c>
      <c r="CG205" s="93">
        <f>IF(AND($T205=1,CG$5&lt;=$H205),INDEX(Mortality!$B$4:$E$64,MATCH($D205+CG$5-1,Mortality!$A$4:$A$64,0),$U205)*$V205*$N205,0)</f>
        <v>0</v>
      </c>
      <c r="CH205" s="94">
        <f>IF(AND($T205=1,CH$5&lt;=$H205),INDEX(Mortality!$B$4:$E$64,MATCH($D205+CH$5-1,Mortality!$A$4:$A$64,0),$U205)*$V205*$N205,0)</f>
        <v>0</v>
      </c>
      <c r="CI205" s="26"/>
      <c r="CJ205" s="419">
        <f t="shared" si="71"/>
        <v>1</v>
      </c>
      <c r="CK205" s="93">
        <f>IF(AND($T205=1,CK$5&lt;=$H205),CJ205*(1-AU205)*(1-MIN(1,MAX(Assumptions!$C$27,Assumptions!$C$13*Assumptions!$C$28^(CJ$5-1))*$O205)),0)</f>
        <v>0.8794112317737931</v>
      </c>
      <c r="CL205" s="93">
        <f>IF(AND($T205=1,CL$5&lt;=$H205),CK205*(1-AV205)*(1-MIN(1,MAX(Assumptions!$C$27,Assumptions!$C$13*Assumptions!$C$28^(CK$5-1))*$O205)),0)</f>
        <v>0.78913892043849843</v>
      </c>
      <c r="CM205" s="93">
        <f>IF(AND($T205=1,CM$5&lt;=$H205),CL205*(1-AW205)*(1-MIN(1,MAX(Assumptions!$C$27,Assumptions!$C$13*Assumptions!$C$28^(CL$5-1))*$O205)),0)</f>
        <v>0.72015470726068587</v>
      </c>
      <c r="CN205" s="93">
        <f>IF(AND($T205=1,CN$5&lt;=$H205),CM205*(1-AX205)*(1-MIN(1,MAX(Assumptions!$C$27,Assumptions!$C$13*Assumptions!$C$28^(CM$5-1))*$O205)),0)</f>
        <v>0.66651552851661233</v>
      </c>
      <c r="CO205" s="93">
        <f>IF(AND($T205=1,CO$5&lt;=$H205),CN205*(1-AY205)*(1-MIN(1,MAX(Assumptions!$C$27,Assumptions!$C$13*Assumptions!$C$28^(CN$5-1))*$O205)),0)</f>
        <v>0.62418885419575765</v>
      </c>
      <c r="CP205" s="93">
        <f>IF(AND($T205=1,CP$5&lt;=$H205),CO205*(1-AZ205)*(1-MIN(1,MAX(Assumptions!$C$27,Assumptions!$C$13*Assumptions!$C$28^(CO$5-1))*$O205)),0)</f>
        <v>0.5903643062163213</v>
      </c>
      <c r="CQ205" s="93">
        <f>IF(AND($T205=1,CQ$5&lt;=$H205),CP205*(1-BA205)*(1-MIN(1,MAX(Assumptions!$C$27,Assumptions!$C$13*Assumptions!$C$28^(CP$5-1))*$O205)),0)</f>
        <v>0.56303619523761317</v>
      </c>
      <c r="CR205" s="93">
        <f>IF(AND($T205=1,CR$5&lt;=$H205),CQ205*(1-BB205)*(1-MIN(1,MAX(Assumptions!$C$27,Assumptions!$C$13*Assumptions!$C$28^(CQ$5-1))*$O205)),0)</f>
        <v>0.54074250257080247</v>
      </c>
      <c r="CS205" s="93">
        <f>IF(AND($T205=1,CS$5&lt;=$H205),CR205*(1-BC205)*(1-MIN(1,MAX(Assumptions!$C$27,Assumptions!$C$13*Assumptions!$C$28^(CR$5-1))*$O205)),0)</f>
        <v>0.52239715200290848</v>
      </c>
      <c r="CT205" s="93">
        <f>IF(AND($T205=1,CT$5&lt;=$H205),CS205*(1-BD205)*(1-MIN(1,MAX(Assumptions!$C$27,Assumptions!$C$13*Assumptions!$C$28^(CS$5-1))*$O205)),0)</f>
        <v>0.50717953580512576</v>
      </c>
      <c r="CU205" s="93">
        <f>IF(AND($T205=1,CU$5&lt;=$H205),CT205*(1-BE205)*(1-MIN(1,MAX(Assumptions!$C$27,Assumptions!$C$13*Assumptions!$C$28^(CT$5-1))*$O205)),0)</f>
        <v>0.49446010213248948</v>
      </c>
      <c r="CV205" s="93">
        <f>IF(AND($T205=1,CV$5&lt;=$H205),CU205*(1-BF205)*(1-MIN(1,MAX(Assumptions!$C$27,Assumptions!$C$13*Assumptions!$C$28^(CU$5-1))*$O205)),0)</f>
        <v>0.48374919549856676</v>
      </c>
      <c r="CW205" s="93">
        <f>IF(AND($T205=1,CW$5&lt;=$H205),CV205*(1-BG205)*(1-MIN(1,MAX(Assumptions!$C$27,Assumptions!$C$13*Assumptions!$C$28^(CV$5-1))*$O205)),0)</f>
        <v>0.47324582944929106</v>
      </c>
      <c r="CX205" s="93">
        <f>IF(AND($T205=1,CX$5&lt;=$H205),CW205*(1-BH205)*(1-MIN(1,MAX(Assumptions!$C$27,Assumptions!$C$13*Assumptions!$C$28^(CW$5-1))*$O205)),0)</f>
        <v>0.46290302139953554</v>
      </c>
      <c r="CY205" s="93">
        <f>IF(AND($T205=1,CY$5&lt;=$H205),CX205*(1-BI205)*(1-MIN(1,MAX(Assumptions!$C$27,Assumptions!$C$13*Assumptions!$C$28^(CX$5-1))*$O205)),0)</f>
        <v>0.45271473683639063</v>
      </c>
      <c r="CZ205" s="93">
        <f>IF(AND($T205=1,CZ$5&lt;=$H205),CY205*(1-BJ205)*(1-MIN(1,MAX(Assumptions!$C$27,Assumptions!$C$13*Assumptions!$C$28^(CY$5-1))*$O205)),0)</f>
        <v>0.44267492133687986</v>
      </c>
      <c r="DA205" s="93">
        <f>IF(AND($T205=1,DA$5&lt;=$H205),CZ205*(1-BK205)*(1-MIN(1,MAX(Assumptions!$C$27,Assumptions!$C$13*Assumptions!$C$28^(CZ$5-1))*$O205)),0)</f>
        <v>0.43277749712768165</v>
      </c>
      <c r="DB205" s="93">
        <f>IF(AND($T205=1,DB$5&lt;=$H205),DA205*(1-BL205)*(1-MIN(1,MAX(Assumptions!$C$27,Assumptions!$C$13*Assumptions!$C$28^(DA$5-1))*$O205)),0)</f>
        <v>0.42301636015706201</v>
      </c>
      <c r="DC205" s="93">
        <f>IF(AND($T205=1,DC$5&lt;=$H205),DB205*(1-BM205)*(1-MIN(1,MAX(Assumptions!$C$27,Assumptions!$C$13*Assumptions!$C$28^(DB$5-1))*$O205)),0)</f>
        <v>0.41338537778755613</v>
      </c>
      <c r="DD205" s="93">
        <f>IF(AND($T205=1,DD$5&lt;=$H205),DC205*(1-BN205)*(1-MIN(1,MAX(Assumptions!$C$27,Assumptions!$C$13*Assumptions!$C$28^(DC$5-1))*$O205)),0)</f>
        <v>0</v>
      </c>
      <c r="DE205" s="93">
        <f>IF(AND($T205=1,DE$5&lt;=$H205),DD205*(1-BO205)*(1-MIN(1,MAX(Assumptions!$C$27,Assumptions!$C$13*Assumptions!$C$28^(DD$5-1))*$O205)),0)</f>
        <v>0</v>
      </c>
      <c r="DF205" s="93">
        <f>IF(AND($T205=1,DF$5&lt;=$H205),DE205*(1-BP205)*(1-MIN(1,MAX(Assumptions!$C$27,Assumptions!$C$13*Assumptions!$C$28^(DE$5-1))*$O205)),0)</f>
        <v>0</v>
      </c>
      <c r="DG205" s="93">
        <f>IF(AND($T205=1,DG$5&lt;=$H205),DF205*(1-BQ205)*(1-MIN(1,MAX(Assumptions!$C$27,Assumptions!$C$13*Assumptions!$C$28^(DF$5-1))*$O205)),0)</f>
        <v>0</v>
      </c>
      <c r="DH205" s="93">
        <f>IF(AND($T205=1,DH$5&lt;=$H205),DG205*(1-BR205)*(1-MIN(1,MAX(Assumptions!$C$27,Assumptions!$C$13*Assumptions!$C$28^(DG$5-1))*$O205)),0)</f>
        <v>0</v>
      </c>
      <c r="DI205" s="93">
        <f>IF(AND($T205=1,DI$5&lt;=$H205),DH205*(1-BS205)*(1-MIN(1,MAX(Assumptions!$C$27,Assumptions!$C$13*Assumptions!$C$28^(DH$5-1))*$O205)),0)</f>
        <v>0</v>
      </c>
      <c r="DJ205" s="93">
        <f>IF(AND($T205=1,DJ$5&lt;=$H205),DI205*(1-BT205)*(1-MIN(1,MAX(Assumptions!$C$27,Assumptions!$C$13*Assumptions!$C$28^(DI$5-1))*$O205)),0)</f>
        <v>0</v>
      </c>
      <c r="DK205" s="93">
        <f>IF(AND($T205=1,DK$5&lt;=$H205),DJ205*(1-BU205)*(1-MIN(1,MAX(Assumptions!$C$27,Assumptions!$C$13*Assumptions!$C$28^(DJ$5-1))*$O205)),0)</f>
        <v>0</v>
      </c>
      <c r="DL205" s="93">
        <f>IF(AND($T205=1,DL$5&lt;=$H205),DK205*(1-BV205)*(1-MIN(1,MAX(Assumptions!$C$27,Assumptions!$C$13*Assumptions!$C$28^(DK$5-1))*$O205)),0)</f>
        <v>0</v>
      </c>
      <c r="DM205" s="93">
        <f>IF(AND($T205=1,DM$5&lt;=$H205),DL205*(1-BW205)*(1-MIN(1,MAX(Assumptions!$C$27,Assumptions!$C$13*Assumptions!$C$28^(DL$5-1))*$O205)),0)</f>
        <v>0</v>
      </c>
      <c r="DN205" s="93">
        <f>IF(AND($T205=1,DN$5&lt;=$H205),DM205*(1-BX205)*(1-MIN(1,MAX(Assumptions!$C$27,Assumptions!$C$13*Assumptions!$C$28^(DM$5-1))*$O205)),0)</f>
        <v>0</v>
      </c>
      <c r="DO205" s="93">
        <f>IF(AND($T205=1,DO$5&lt;=$H205),DN205*(1-BY205)*(1-MIN(1,MAX(Assumptions!$C$27,Assumptions!$C$13*Assumptions!$C$28^(DN$5-1))*$O205)),0)</f>
        <v>0</v>
      </c>
      <c r="DP205" s="93">
        <f>IF(AND($T205=1,DP$5&lt;=$H205),DO205*(1-BZ205)*(1-MIN(1,MAX(Assumptions!$C$27,Assumptions!$C$13*Assumptions!$C$28^(DO$5-1))*$O205)),0)</f>
        <v>0</v>
      </c>
      <c r="DQ205" s="93">
        <f>IF(AND($T205=1,DQ$5&lt;=$H205),DP205*(1-CA205)*(1-MIN(1,MAX(Assumptions!$C$27,Assumptions!$C$13*Assumptions!$C$28^(DP$5-1))*$O205)),0)</f>
        <v>0</v>
      </c>
      <c r="DR205" s="93">
        <f>IF(AND($T205=1,DR$5&lt;=$H205),DQ205*(1-CB205)*(1-MIN(1,MAX(Assumptions!$C$27,Assumptions!$C$13*Assumptions!$C$28^(DQ$5-1))*$O205)),0)</f>
        <v>0</v>
      </c>
      <c r="DS205" s="93">
        <f>IF(AND($T205=1,DS$5&lt;=$H205),DR205*(1-CC205)*(1-MIN(1,MAX(Assumptions!$C$27,Assumptions!$C$13*Assumptions!$C$28^(DR$5-1))*$O205)),0)</f>
        <v>0</v>
      </c>
      <c r="DT205" s="93">
        <f>IF(AND($T205=1,DT$5&lt;=$H205),DS205*(1-CD205)*(1-MIN(1,MAX(Assumptions!$C$27,Assumptions!$C$13*Assumptions!$C$28^(DS$5-1))*$O205)),0)</f>
        <v>0</v>
      </c>
      <c r="DU205" s="93">
        <f>IF(AND($T205=1,DU$5&lt;=$H205),DT205*(1-CE205)*(1-MIN(1,MAX(Assumptions!$C$27,Assumptions!$C$13*Assumptions!$C$28^(DT$5-1))*$O205)),0)</f>
        <v>0</v>
      </c>
      <c r="DV205" s="93">
        <f>IF(AND($T205=1,DV$5&lt;=$H205),DU205*(1-CF205)*(1-MIN(1,MAX(Assumptions!$C$27,Assumptions!$C$13*Assumptions!$C$28^(DU$5-1))*$O205)),0)</f>
        <v>0</v>
      </c>
      <c r="DW205" s="94">
        <f>IF(AND($T205=1,DW$5&lt;=$H205),DV205*(1-CG205)*(1-MIN(1,MAX(Assumptions!$C$27,Assumptions!$C$13*Assumptions!$C$28^(DV$5-1))*$O205)),0)</f>
        <v>0</v>
      </c>
      <c r="DX205" s="26"/>
      <c r="DY205" s="399">
        <f>'Policy Data'!K179</f>
        <v>3</v>
      </c>
      <c r="DZ205" s="100">
        <f>'Policy Data'!L179</f>
        <v>0.80610000000000004</v>
      </c>
      <c r="EA205" s="100">
        <f>'Policy Data'!N179</f>
        <v>5.3899999999999998E-4</v>
      </c>
      <c r="EB205" s="93" cm="1">
        <f t="array" ref="EB205">IFERROR(DZ205*INDEX(Mortality!$B$4:$E$64,MATCH(D205+DY205-1,Mortality!$A$4:$A$64,0),U205)*V205,0)</f>
        <v>6.3290384003839636E-4</v>
      </c>
      <c r="EC205" s="100">
        <f>'Policy Data'!O179</f>
        <v>0</v>
      </c>
      <c r="ED205" s="400">
        <f>'Policy Data'!Q179</f>
        <v>0</v>
      </c>
    </row>
    <row r="206" spans="1:134" x14ac:dyDescent="0.3">
      <c r="A206" s="399" t="str">
        <f>'Policy Data'!A180</f>
        <v>POL100176</v>
      </c>
      <c r="B206" s="26" t="s">
        <v>426</v>
      </c>
      <c r="C206" s="100" t="str">
        <f>'Policy Data'!B180</f>
        <v>Unit-Linked</v>
      </c>
      <c r="D206" s="100">
        <f>'Policy Data'!C180</f>
        <v>38</v>
      </c>
      <c r="E206" s="100" t="str">
        <f>'Policy Data'!D180</f>
        <v>Male</v>
      </c>
      <c r="F206" s="100" t="str">
        <f>'Policy Data'!E180</f>
        <v>Smoker</v>
      </c>
      <c r="G206" s="100" t="str">
        <f>'Policy Data'!F180</f>
        <v>Preferred</v>
      </c>
      <c r="H206" s="100">
        <f>'Policy Data'!G180</f>
        <v>15</v>
      </c>
      <c r="I206" s="279">
        <f>'Policy Data'!H180</f>
        <v>500000</v>
      </c>
      <c r="J206" s="100" t="str">
        <f>'Policy Data'!I180</f>
        <v>Annual</v>
      </c>
      <c r="K206" s="100" t="str">
        <f>'Policy Data'!J180</f>
        <v>Broker</v>
      </c>
      <c r="L206" s="26" t="s">
        <v>389</v>
      </c>
      <c r="M206" s="106">
        <f>'Policy Data'!R180</f>
        <v>13243.73</v>
      </c>
      <c r="N206" s="415">
        <f>Assumptions!$C$21</f>
        <v>1</v>
      </c>
      <c r="O206" s="415">
        <f>Assumptions!$C$22</f>
        <v>1</v>
      </c>
      <c r="P206" s="415">
        <f>Assumptions!$C$23</f>
        <v>1</v>
      </c>
      <c r="Q206" s="416">
        <f>Assumptions!$C$24</f>
        <v>0</v>
      </c>
      <c r="R206" s="416">
        <f>Assumptions!$C$6+Assumptions!$C$25</f>
        <v>3.5000000000000003E-2</v>
      </c>
      <c r="S206" s="416">
        <f>Assumptions!$C$15</f>
        <v>1.1000000000000001E-3</v>
      </c>
      <c r="T206" s="26">
        <f t="shared" si="54"/>
        <v>0</v>
      </c>
      <c r="U206" s="26">
        <f t="shared" si="55"/>
        <v>4</v>
      </c>
      <c r="V206" s="389">
        <f>IF($G206="Preferred",Assumptions!$C$30,IF($G206="Rated",Assumptions!$C$31,1))</f>
        <v>0.8</v>
      </c>
      <c r="W206" s="390">
        <f>IF($K206="Direct",Assumptions!$C$32,IF($K206="Broker",Assumptions!$C$33,IF($K206="Bancassurance",Assumptions!$C$34,Assumptions!$C$11)))+$Q206</f>
        <v>0.25</v>
      </c>
      <c r="X206" s="390">
        <f>Assumptions!$C$12+$Q206</f>
        <v>0.05</v>
      </c>
      <c r="Y206" s="131">
        <f>MIN($I206,Assumptions!$C$14)</f>
        <v>500000</v>
      </c>
      <c r="Z206" s="131">
        <f>MAX($I206-Assumptions!$C$14,0)</f>
        <v>0</v>
      </c>
      <c r="AA206" s="389">
        <f t="shared" si="56"/>
        <v>0</v>
      </c>
      <c r="AB206" s="389">
        <f t="shared" si="57"/>
        <v>0</v>
      </c>
      <c r="AC206" s="389">
        <f>IF($T206=1,SUMPRODUCT($CJ206:$DW206,(1+Assumptions!$C$5)^($CJ$5:$DW$5-1),(1+$R206)^(-$CJ$5:$DW$5)),0)</f>
        <v>0</v>
      </c>
      <c r="AD206" s="389">
        <f t="shared" si="58"/>
        <v>0</v>
      </c>
      <c r="AE206" s="131">
        <f>IF($T206=1,$AB206*$Y206+(Assumptions!$C$9/(1+$R206)+Assumptions!$C$10*$AC206)*$P206+$S206*$Z206*$AA206,0)</f>
        <v>0</v>
      </c>
      <c r="AF206" s="131" t="str">
        <f>IF($T206=1,IF($AA206-$AD206-Assumptions!$C$16*$AA206&gt;0,$AE206/($AA206-$AD206-Assumptions!$C$16*$AA206)*IF($J206="Monthly",1+Assumptions!$C$29,1),"n.a."),"")</f>
        <v/>
      </c>
      <c r="AG206" s="131" t="str">
        <f t="shared" si="59"/>
        <v/>
      </c>
      <c r="AH206" s="131" t="str">
        <f t="shared" si="60"/>
        <v/>
      </c>
      <c r="AI206" s="131" t="str">
        <f t="shared" si="61"/>
        <v/>
      </c>
      <c r="AJ206" s="390" t="str">
        <f t="shared" si="62"/>
        <v/>
      </c>
      <c r="AK206" s="389" t="str">
        <f t="shared" si="63"/>
        <v/>
      </c>
      <c r="AL206" s="131" t="str">
        <f t="shared" si="64"/>
        <v/>
      </c>
      <c r="AM206" s="131" t="str">
        <f t="shared" si="65"/>
        <v/>
      </c>
      <c r="AN206" s="131" t="str">
        <f t="shared" si="66"/>
        <v/>
      </c>
      <c r="AO206" s="131" t="str">
        <f t="shared" si="67"/>
        <v/>
      </c>
      <c r="AP206" s="26" t="str">
        <f t="shared" si="68"/>
        <v>30-39</v>
      </c>
      <c r="AQ206" s="26" t="str">
        <f t="shared" si="69"/>
        <v>250k-500k</v>
      </c>
      <c r="AR206" s="26" t="str">
        <f>IF($T206=1,IF($AI206&lt;0,"Loss-making",IF($AJ206&lt;Assumptions!$C$16-0.00001,"Below target","At/above target")),"Excluded")</f>
        <v>Excluded</v>
      </c>
      <c r="AS206" s="103">
        <f t="shared" si="70"/>
        <v>9.9999999999999997E+98</v>
      </c>
      <c r="AT206" s="26"/>
      <c r="AU206" s="419">
        <f>IF(AND($T206=1,AU$5&lt;=$H206),INDEX(Mortality!$B$4:$E$64,MATCH($D206+AU$5-1,Mortality!$A$4:$A$64,0),$U206)*$V206*$N206,0)</f>
        <v>0</v>
      </c>
      <c r="AV206" s="93">
        <f>IF(AND($T206=1,AV$5&lt;=$H206),INDEX(Mortality!$B$4:$E$64,MATCH($D206+AV$5-1,Mortality!$A$4:$A$64,0),$U206)*$V206*$N206,0)</f>
        <v>0</v>
      </c>
      <c r="AW206" s="93">
        <f>IF(AND($T206=1,AW$5&lt;=$H206),INDEX(Mortality!$B$4:$E$64,MATCH($D206+AW$5-1,Mortality!$A$4:$A$64,0),$U206)*$V206*$N206,0)</f>
        <v>0</v>
      </c>
      <c r="AX206" s="93">
        <f>IF(AND($T206=1,AX$5&lt;=$H206),INDEX(Mortality!$B$4:$E$64,MATCH($D206+AX$5-1,Mortality!$A$4:$A$64,0),$U206)*$V206*$N206,0)</f>
        <v>0</v>
      </c>
      <c r="AY206" s="93">
        <f>IF(AND($T206=1,AY$5&lt;=$H206),INDEX(Mortality!$B$4:$E$64,MATCH($D206+AY$5-1,Mortality!$A$4:$A$64,0),$U206)*$V206*$N206,0)</f>
        <v>0</v>
      </c>
      <c r="AZ206" s="93">
        <f>IF(AND($T206=1,AZ$5&lt;=$H206),INDEX(Mortality!$B$4:$E$64,MATCH($D206+AZ$5-1,Mortality!$A$4:$A$64,0),$U206)*$V206*$N206,0)</f>
        <v>0</v>
      </c>
      <c r="BA206" s="93">
        <f>IF(AND($T206=1,BA$5&lt;=$H206),INDEX(Mortality!$B$4:$E$64,MATCH($D206+BA$5-1,Mortality!$A$4:$A$64,0),$U206)*$V206*$N206,0)</f>
        <v>0</v>
      </c>
      <c r="BB206" s="93">
        <f>IF(AND($T206=1,BB$5&lt;=$H206),INDEX(Mortality!$B$4:$E$64,MATCH($D206+BB$5-1,Mortality!$A$4:$A$64,0),$U206)*$V206*$N206,0)</f>
        <v>0</v>
      </c>
      <c r="BC206" s="93">
        <f>IF(AND($T206=1,BC$5&lt;=$H206),INDEX(Mortality!$B$4:$E$64,MATCH($D206+BC$5-1,Mortality!$A$4:$A$64,0),$U206)*$V206*$N206,0)</f>
        <v>0</v>
      </c>
      <c r="BD206" s="93">
        <f>IF(AND($T206=1,BD$5&lt;=$H206),INDEX(Mortality!$B$4:$E$64,MATCH($D206+BD$5-1,Mortality!$A$4:$A$64,0),$U206)*$V206*$N206,0)</f>
        <v>0</v>
      </c>
      <c r="BE206" s="93">
        <f>IF(AND($T206=1,BE$5&lt;=$H206),INDEX(Mortality!$B$4:$E$64,MATCH($D206+BE$5-1,Mortality!$A$4:$A$64,0),$U206)*$V206*$N206,0)</f>
        <v>0</v>
      </c>
      <c r="BF206" s="93">
        <f>IF(AND($T206=1,BF$5&lt;=$H206),INDEX(Mortality!$B$4:$E$64,MATCH($D206+BF$5-1,Mortality!$A$4:$A$64,0),$U206)*$V206*$N206,0)</f>
        <v>0</v>
      </c>
      <c r="BG206" s="93">
        <f>IF(AND($T206=1,BG$5&lt;=$H206),INDEX(Mortality!$B$4:$E$64,MATCH($D206+BG$5-1,Mortality!$A$4:$A$64,0),$U206)*$V206*$N206,0)</f>
        <v>0</v>
      </c>
      <c r="BH206" s="93">
        <f>IF(AND($T206=1,BH$5&lt;=$H206),INDEX(Mortality!$B$4:$E$64,MATCH($D206+BH$5-1,Mortality!$A$4:$A$64,0),$U206)*$V206*$N206,0)</f>
        <v>0</v>
      </c>
      <c r="BI206" s="93">
        <f>IF(AND($T206=1,BI$5&lt;=$H206),INDEX(Mortality!$B$4:$E$64,MATCH($D206+BI$5-1,Mortality!$A$4:$A$64,0),$U206)*$V206*$N206,0)</f>
        <v>0</v>
      </c>
      <c r="BJ206" s="93">
        <f>IF(AND($T206=1,BJ$5&lt;=$H206),INDEX(Mortality!$B$4:$E$64,MATCH($D206+BJ$5-1,Mortality!$A$4:$A$64,0),$U206)*$V206*$N206,0)</f>
        <v>0</v>
      </c>
      <c r="BK206" s="93">
        <f>IF(AND($T206=1,BK$5&lt;=$H206),INDEX(Mortality!$B$4:$E$64,MATCH($D206+BK$5-1,Mortality!$A$4:$A$64,0),$U206)*$V206*$N206,0)</f>
        <v>0</v>
      </c>
      <c r="BL206" s="93">
        <f>IF(AND($T206=1,BL$5&lt;=$H206),INDEX(Mortality!$B$4:$E$64,MATCH($D206+BL$5-1,Mortality!$A$4:$A$64,0),$U206)*$V206*$N206,0)</f>
        <v>0</v>
      </c>
      <c r="BM206" s="93">
        <f>IF(AND($T206=1,BM$5&lt;=$H206),INDEX(Mortality!$B$4:$E$64,MATCH($D206+BM$5-1,Mortality!$A$4:$A$64,0),$U206)*$V206*$N206,0)</f>
        <v>0</v>
      </c>
      <c r="BN206" s="93">
        <f>IF(AND($T206=1,BN$5&lt;=$H206),INDEX(Mortality!$B$4:$E$64,MATCH($D206+BN$5-1,Mortality!$A$4:$A$64,0),$U206)*$V206*$N206,0)</f>
        <v>0</v>
      </c>
      <c r="BO206" s="93">
        <f>IF(AND($T206=1,BO$5&lt;=$H206),INDEX(Mortality!$B$4:$E$64,MATCH($D206+BO$5-1,Mortality!$A$4:$A$64,0),$U206)*$V206*$N206,0)</f>
        <v>0</v>
      </c>
      <c r="BP206" s="93">
        <f>IF(AND($T206=1,BP$5&lt;=$H206),INDEX(Mortality!$B$4:$E$64,MATCH($D206+BP$5-1,Mortality!$A$4:$A$64,0),$U206)*$V206*$N206,0)</f>
        <v>0</v>
      </c>
      <c r="BQ206" s="93">
        <f>IF(AND($T206=1,BQ$5&lt;=$H206),INDEX(Mortality!$B$4:$E$64,MATCH($D206+BQ$5-1,Mortality!$A$4:$A$64,0),$U206)*$V206*$N206,0)</f>
        <v>0</v>
      </c>
      <c r="BR206" s="93">
        <f>IF(AND($T206=1,BR$5&lt;=$H206),INDEX(Mortality!$B$4:$E$64,MATCH($D206+BR$5-1,Mortality!$A$4:$A$64,0),$U206)*$V206*$N206,0)</f>
        <v>0</v>
      </c>
      <c r="BS206" s="93">
        <f>IF(AND($T206=1,BS$5&lt;=$H206),INDEX(Mortality!$B$4:$E$64,MATCH($D206+BS$5-1,Mortality!$A$4:$A$64,0),$U206)*$V206*$N206,0)</f>
        <v>0</v>
      </c>
      <c r="BT206" s="93">
        <f>IF(AND($T206=1,BT$5&lt;=$H206),INDEX(Mortality!$B$4:$E$64,MATCH($D206+BT$5-1,Mortality!$A$4:$A$64,0),$U206)*$V206*$N206,0)</f>
        <v>0</v>
      </c>
      <c r="BU206" s="93">
        <f>IF(AND($T206=1,BU$5&lt;=$H206),INDEX(Mortality!$B$4:$E$64,MATCH($D206+BU$5-1,Mortality!$A$4:$A$64,0),$U206)*$V206*$N206,0)</f>
        <v>0</v>
      </c>
      <c r="BV206" s="93">
        <f>IF(AND($T206=1,BV$5&lt;=$H206),INDEX(Mortality!$B$4:$E$64,MATCH($D206+BV$5-1,Mortality!$A$4:$A$64,0),$U206)*$V206*$N206,0)</f>
        <v>0</v>
      </c>
      <c r="BW206" s="93">
        <f>IF(AND($T206=1,BW$5&lt;=$H206),INDEX(Mortality!$B$4:$E$64,MATCH($D206+BW$5-1,Mortality!$A$4:$A$64,0),$U206)*$V206*$N206,0)</f>
        <v>0</v>
      </c>
      <c r="BX206" s="93">
        <f>IF(AND($T206=1,BX$5&lt;=$H206),INDEX(Mortality!$B$4:$E$64,MATCH($D206+BX$5-1,Mortality!$A$4:$A$64,0),$U206)*$V206*$N206,0)</f>
        <v>0</v>
      </c>
      <c r="BY206" s="93">
        <f>IF(AND($T206=1,BY$5&lt;=$H206),INDEX(Mortality!$B$4:$E$64,MATCH($D206+BY$5-1,Mortality!$A$4:$A$64,0),$U206)*$V206*$N206,0)</f>
        <v>0</v>
      </c>
      <c r="BZ206" s="93">
        <f>IF(AND($T206=1,BZ$5&lt;=$H206),INDEX(Mortality!$B$4:$E$64,MATCH($D206+BZ$5-1,Mortality!$A$4:$A$64,0),$U206)*$V206*$N206,0)</f>
        <v>0</v>
      </c>
      <c r="CA206" s="93">
        <f>IF(AND($T206=1,CA$5&lt;=$H206),INDEX(Mortality!$B$4:$E$64,MATCH($D206+CA$5-1,Mortality!$A$4:$A$64,0),$U206)*$V206*$N206,0)</f>
        <v>0</v>
      </c>
      <c r="CB206" s="93">
        <f>IF(AND($T206=1,CB$5&lt;=$H206),INDEX(Mortality!$B$4:$E$64,MATCH($D206+CB$5-1,Mortality!$A$4:$A$64,0),$U206)*$V206*$N206,0)</f>
        <v>0</v>
      </c>
      <c r="CC206" s="93">
        <f>IF(AND($T206=1,CC$5&lt;=$H206),INDEX(Mortality!$B$4:$E$64,MATCH($D206+CC$5-1,Mortality!$A$4:$A$64,0),$U206)*$V206*$N206,0)</f>
        <v>0</v>
      </c>
      <c r="CD206" s="93">
        <f>IF(AND($T206=1,CD$5&lt;=$H206),INDEX(Mortality!$B$4:$E$64,MATCH($D206+CD$5-1,Mortality!$A$4:$A$64,0),$U206)*$V206*$N206,0)</f>
        <v>0</v>
      </c>
      <c r="CE206" s="93">
        <f>IF(AND($T206=1,CE$5&lt;=$H206),INDEX(Mortality!$B$4:$E$64,MATCH($D206+CE$5-1,Mortality!$A$4:$A$64,0),$U206)*$V206*$N206,0)</f>
        <v>0</v>
      </c>
      <c r="CF206" s="93">
        <f>IF(AND($T206=1,CF$5&lt;=$H206),INDEX(Mortality!$B$4:$E$64,MATCH($D206+CF$5-1,Mortality!$A$4:$A$64,0),$U206)*$V206*$N206,0)</f>
        <v>0</v>
      </c>
      <c r="CG206" s="93">
        <f>IF(AND($T206=1,CG$5&lt;=$H206),INDEX(Mortality!$B$4:$E$64,MATCH($D206+CG$5-1,Mortality!$A$4:$A$64,0),$U206)*$V206*$N206,0)</f>
        <v>0</v>
      </c>
      <c r="CH206" s="94">
        <f>IF(AND($T206=1,CH$5&lt;=$H206),INDEX(Mortality!$B$4:$E$64,MATCH($D206+CH$5-1,Mortality!$A$4:$A$64,0),$U206)*$V206*$N206,0)</f>
        <v>0</v>
      </c>
      <c r="CI206" s="26"/>
      <c r="CJ206" s="419">
        <f t="shared" si="71"/>
        <v>0</v>
      </c>
      <c r="CK206" s="93">
        <f>IF(AND($T206=1,CK$5&lt;=$H206),CJ206*(1-AU206)*(1-MIN(1,MAX(Assumptions!$C$27,Assumptions!$C$13*Assumptions!$C$28^(CJ$5-1))*$O206)),0)</f>
        <v>0</v>
      </c>
      <c r="CL206" s="93">
        <f>IF(AND($T206=1,CL$5&lt;=$H206),CK206*(1-AV206)*(1-MIN(1,MAX(Assumptions!$C$27,Assumptions!$C$13*Assumptions!$C$28^(CK$5-1))*$O206)),0)</f>
        <v>0</v>
      </c>
      <c r="CM206" s="93">
        <f>IF(AND($T206=1,CM$5&lt;=$H206),CL206*(1-AW206)*(1-MIN(1,MAX(Assumptions!$C$27,Assumptions!$C$13*Assumptions!$C$28^(CL$5-1))*$O206)),0)</f>
        <v>0</v>
      </c>
      <c r="CN206" s="93">
        <f>IF(AND($T206=1,CN$5&lt;=$H206),CM206*(1-AX206)*(1-MIN(1,MAX(Assumptions!$C$27,Assumptions!$C$13*Assumptions!$C$28^(CM$5-1))*$O206)),0)</f>
        <v>0</v>
      </c>
      <c r="CO206" s="93">
        <f>IF(AND($T206=1,CO$5&lt;=$H206),CN206*(1-AY206)*(1-MIN(1,MAX(Assumptions!$C$27,Assumptions!$C$13*Assumptions!$C$28^(CN$5-1))*$O206)),0)</f>
        <v>0</v>
      </c>
      <c r="CP206" s="93">
        <f>IF(AND($T206=1,CP$5&lt;=$H206),CO206*(1-AZ206)*(1-MIN(1,MAX(Assumptions!$C$27,Assumptions!$C$13*Assumptions!$C$28^(CO$5-1))*$O206)),0)</f>
        <v>0</v>
      </c>
      <c r="CQ206" s="93">
        <f>IF(AND($T206=1,CQ$5&lt;=$H206),CP206*(1-BA206)*(1-MIN(1,MAX(Assumptions!$C$27,Assumptions!$C$13*Assumptions!$C$28^(CP$5-1))*$O206)),0)</f>
        <v>0</v>
      </c>
      <c r="CR206" s="93">
        <f>IF(AND($T206=1,CR$5&lt;=$H206),CQ206*(1-BB206)*(1-MIN(1,MAX(Assumptions!$C$27,Assumptions!$C$13*Assumptions!$C$28^(CQ$5-1))*$O206)),0)</f>
        <v>0</v>
      </c>
      <c r="CS206" s="93">
        <f>IF(AND($T206=1,CS$5&lt;=$H206),CR206*(1-BC206)*(1-MIN(1,MAX(Assumptions!$C$27,Assumptions!$C$13*Assumptions!$C$28^(CR$5-1))*$O206)),0)</f>
        <v>0</v>
      </c>
      <c r="CT206" s="93">
        <f>IF(AND($T206=1,CT$5&lt;=$H206),CS206*(1-BD206)*(1-MIN(1,MAX(Assumptions!$C$27,Assumptions!$C$13*Assumptions!$C$28^(CS$5-1))*$O206)),0)</f>
        <v>0</v>
      </c>
      <c r="CU206" s="93">
        <f>IF(AND($T206=1,CU$5&lt;=$H206),CT206*(1-BE206)*(1-MIN(1,MAX(Assumptions!$C$27,Assumptions!$C$13*Assumptions!$C$28^(CT$5-1))*$O206)),0)</f>
        <v>0</v>
      </c>
      <c r="CV206" s="93">
        <f>IF(AND($T206=1,CV$5&lt;=$H206),CU206*(1-BF206)*(1-MIN(1,MAX(Assumptions!$C$27,Assumptions!$C$13*Assumptions!$C$28^(CU$5-1))*$O206)),0)</f>
        <v>0</v>
      </c>
      <c r="CW206" s="93">
        <f>IF(AND($T206=1,CW$5&lt;=$H206),CV206*(1-BG206)*(1-MIN(1,MAX(Assumptions!$C$27,Assumptions!$C$13*Assumptions!$C$28^(CV$5-1))*$O206)),0)</f>
        <v>0</v>
      </c>
      <c r="CX206" s="93">
        <f>IF(AND($T206=1,CX$5&lt;=$H206),CW206*(1-BH206)*(1-MIN(1,MAX(Assumptions!$C$27,Assumptions!$C$13*Assumptions!$C$28^(CW$5-1))*$O206)),0)</f>
        <v>0</v>
      </c>
      <c r="CY206" s="93">
        <f>IF(AND($T206=1,CY$5&lt;=$H206),CX206*(1-BI206)*(1-MIN(1,MAX(Assumptions!$C$27,Assumptions!$C$13*Assumptions!$C$28^(CX$5-1))*$O206)),0)</f>
        <v>0</v>
      </c>
      <c r="CZ206" s="93">
        <f>IF(AND($T206=1,CZ$5&lt;=$H206),CY206*(1-BJ206)*(1-MIN(1,MAX(Assumptions!$C$27,Assumptions!$C$13*Assumptions!$C$28^(CY$5-1))*$O206)),0)</f>
        <v>0</v>
      </c>
      <c r="DA206" s="93">
        <f>IF(AND($T206=1,DA$5&lt;=$H206),CZ206*(1-BK206)*(1-MIN(1,MAX(Assumptions!$C$27,Assumptions!$C$13*Assumptions!$C$28^(CZ$5-1))*$O206)),0)</f>
        <v>0</v>
      </c>
      <c r="DB206" s="93">
        <f>IF(AND($T206=1,DB$5&lt;=$H206),DA206*(1-BL206)*(1-MIN(1,MAX(Assumptions!$C$27,Assumptions!$C$13*Assumptions!$C$28^(DA$5-1))*$O206)),0)</f>
        <v>0</v>
      </c>
      <c r="DC206" s="93">
        <f>IF(AND($T206=1,DC$5&lt;=$H206),DB206*(1-BM206)*(1-MIN(1,MAX(Assumptions!$C$27,Assumptions!$C$13*Assumptions!$C$28^(DB$5-1))*$O206)),0)</f>
        <v>0</v>
      </c>
      <c r="DD206" s="93">
        <f>IF(AND($T206=1,DD$5&lt;=$H206),DC206*(1-BN206)*(1-MIN(1,MAX(Assumptions!$C$27,Assumptions!$C$13*Assumptions!$C$28^(DC$5-1))*$O206)),0)</f>
        <v>0</v>
      </c>
      <c r="DE206" s="93">
        <f>IF(AND($T206=1,DE$5&lt;=$H206),DD206*(1-BO206)*(1-MIN(1,MAX(Assumptions!$C$27,Assumptions!$C$13*Assumptions!$C$28^(DD$5-1))*$O206)),0)</f>
        <v>0</v>
      </c>
      <c r="DF206" s="93">
        <f>IF(AND($T206=1,DF$5&lt;=$H206),DE206*(1-BP206)*(1-MIN(1,MAX(Assumptions!$C$27,Assumptions!$C$13*Assumptions!$C$28^(DE$5-1))*$O206)),0)</f>
        <v>0</v>
      </c>
      <c r="DG206" s="93">
        <f>IF(AND($T206=1,DG$5&lt;=$H206),DF206*(1-BQ206)*(1-MIN(1,MAX(Assumptions!$C$27,Assumptions!$C$13*Assumptions!$C$28^(DF$5-1))*$O206)),0)</f>
        <v>0</v>
      </c>
      <c r="DH206" s="93">
        <f>IF(AND($T206=1,DH$5&lt;=$H206),DG206*(1-BR206)*(1-MIN(1,MAX(Assumptions!$C$27,Assumptions!$C$13*Assumptions!$C$28^(DG$5-1))*$O206)),0)</f>
        <v>0</v>
      </c>
      <c r="DI206" s="93">
        <f>IF(AND($T206=1,DI$5&lt;=$H206),DH206*(1-BS206)*(1-MIN(1,MAX(Assumptions!$C$27,Assumptions!$C$13*Assumptions!$C$28^(DH$5-1))*$O206)),0)</f>
        <v>0</v>
      </c>
      <c r="DJ206" s="93">
        <f>IF(AND($T206=1,DJ$5&lt;=$H206),DI206*(1-BT206)*(1-MIN(1,MAX(Assumptions!$C$27,Assumptions!$C$13*Assumptions!$C$28^(DI$5-1))*$O206)),0)</f>
        <v>0</v>
      </c>
      <c r="DK206" s="93">
        <f>IF(AND($T206=1,DK$5&lt;=$H206),DJ206*(1-BU206)*(1-MIN(1,MAX(Assumptions!$C$27,Assumptions!$C$13*Assumptions!$C$28^(DJ$5-1))*$O206)),0)</f>
        <v>0</v>
      </c>
      <c r="DL206" s="93">
        <f>IF(AND($T206=1,DL$5&lt;=$H206),DK206*(1-BV206)*(1-MIN(1,MAX(Assumptions!$C$27,Assumptions!$C$13*Assumptions!$C$28^(DK$5-1))*$O206)),0)</f>
        <v>0</v>
      </c>
      <c r="DM206" s="93">
        <f>IF(AND($T206=1,DM$5&lt;=$H206),DL206*(1-BW206)*(1-MIN(1,MAX(Assumptions!$C$27,Assumptions!$C$13*Assumptions!$C$28^(DL$5-1))*$O206)),0)</f>
        <v>0</v>
      </c>
      <c r="DN206" s="93">
        <f>IF(AND($T206=1,DN$5&lt;=$H206),DM206*(1-BX206)*(1-MIN(1,MAX(Assumptions!$C$27,Assumptions!$C$13*Assumptions!$C$28^(DM$5-1))*$O206)),0)</f>
        <v>0</v>
      </c>
      <c r="DO206" s="93">
        <f>IF(AND($T206=1,DO$5&lt;=$H206),DN206*(1-BY206)*(1-MIN(1,MAX(Assumptions!$C$27,Assumptions!$C$13*Assumptions!$C$28^(DN$5-1))*$O206)),0)</f>
        <v>0</v>
      </c>
      <c r="DP206" s="93">
        <f>IF(AND($T206=1,DP$5&lt;=$H206),DO206*(1-BZ206)*(1-MIN(1,MAX(Assumptions!$C$27,Assumptions!$C$13*Assumptions!$C$28^(DO$5-1))*$O206)),0)</f>
        <v>0</v>
      </c>
      <c r="DQ206" s="93">
        <f>IF(AND($T206=1,DQ$5&lt;=$H206),DP206*(1-CA206)*(1-MIN(1,MAX(Assumptions!$C$27,Assumptions!$C$13*Assumptions!$C$28^(DP$5-1))*$O206)),0)</f>
        <v>0</v>
      </c>
      <c r="DR206" s="93">
        <f>IF(AND($T206=1,DR$5&lt;=$H206),DQ206*(1-CB206)*(1-MIN(1,MAX(Assumptions!$C$27,Assumptions!$C$13*Assumptions!$C$28^(DQ$5-1))*$O206)),0)</f>
        <v>0</v>
      </c>
      <c r="DS206" s="93">
        <f>IF(AND($T206=1,DS$5&lt;=$H206),DR206*(1-CC206)*(1-MIN(1,MAX(Assumptions!$C$27,Assumptions!$C$13*Assumptions!$C$28^(DR$5-1))*$O206)),0)</f>
        <v>0</v>
      </c>
      <c r="DT206" s="93">
        <f>IF(AND($T206=1,DT$5&lt;=$H206),DS206*(1-CD206)*(1-MIN(1,MAX(Assumptions!$C$27,Assumptions!$C$13*Assumptions!$C$28^(DS$5-1))*$O206)),0)</f>
        <v>0</v>
      </c>
      <c r="DU206" s="93">
        <f>IF(AND($T206=1,DU$5&lt;=$H206),DT206*(1-CE206)*(1-MIN(1,MAX(Assumptions!$C$27,Assumptions!$C$13*Assumptions!$C$28^(DT$5-1))*$O206)),0)</f>
        <v>0</v>
      </c>
      <c r="DV206" s="93">
        <f>IF(AND($T206=1,DV$5&lt;=$H206),DU206*(1-CF206)*(1-MIN(1,MAX(Assumptions!$C$27,Assumptions!$C$13*Assumptions!$C$28^(DU$5-1))*$O206)),0)</f>
        <v>0</v>
      </c>
      <c r="DW206" s="94">
        <f>IF(AND($T206=1,DW$5&lt;=$H206),DV206*(1-CG206)*(1-MIN(1,MAX(Assumptions!$C$27,Assumptions!$C$13*Assumptions!$C$28^(DV$5-1))*$O206)),0)</f>
        <v>0</v>
      </c>
      <c r="DX206" s="26"/>
      <c r="DY206" s="399">
        <f>'Policy Data'!K180</f>
        <v>7</v>
      </c>
      <c r="DZ206" s="100">
        <f>'Policy Data'!L180</f>
        <v>0.71460000000000001</v>
      </c>
      <c r="EA206" s="100">
        <f>'Policy Data'!N180</f>
        <v>9.2599999999999996E-4</v>
      </c>
      <c r="EB206" s="93" cm="1">
        <f t="array" ref="EB206">IFERROR(DZ206*INDEX(Mortality!$B$4:$E$64,MATCH(D206+DY206-1,Mortality!$A$4:$A$64,0),U206)*V206,0)</f>
        <v>1.4960879222201478E-3</v>
      </c>
      <c r="EC206" s="100">
        <f>'Policy Data'!O180</f>
        <v>0</v>
      </c>
      <c r="ED206" s="400">
        <f>'Policy Data'!Q180</f>
        <v>0</v>
      </c>
    </row>
    <row r="207" spans="1:134" x14ac:dyDescent="0.3">
      <c r="A207" s="399" t="str">
        <f>'Policy Data'!A181</f>
        <v>POL100177</v>
      </c>
      <c r="B207" s="26" t="s">
        <v>426</v>
      </c>
      <c r="C207" s="100" t="str">
        <f>'Policy Data'!B181</f>
        <v>Term Life</v>
      </c>
      <c r="D207" s="100">
        <f>'Policy Data'!C181</f>
        <v>27</v>
      </c>
      <c r="E207" s="100" t="str">
        <f>'Policy Data'!D181</f>
        <v>Male</v>
      </c>
      <c r="F207" s="100" t="str">
        <f>'Policy Data'!E181</f>
        <v>Non-smoker</v>
      </c>
      <c r="G207" s="100" t="str">
        <f>'Policy Data'!F181</f>
        <v>Rated</v>
      </c>
      <c r="H207" s="100">
        <f>'Policy Data'!G181</f>
        <v>15</v>
      </c>
      <c r="I207" s="279">
        <f>'Policy Data'!H181</f>
        <v>2000000</v>
      </c>
      <c r="J207" s="100" t="str">
        <f>'Policy Data'!I181</f>
        <v>Monthly</v>
      </c>
      <c r="K207" s="100" t="str">
        <f>'Policy Data'!J181</f>
        <v>Bancassurance</v>
      </c>
      <c r="L207" s="26" t="s">
        <v>389</v>
      </c>
      <c r="M207" s="106">
        <f>'Policy Data'!R181</f>
        <v>3069.1</v>
      </c>
      <c r="N207" s="415">
        <f>Assumptions!$C$21</f>
        <v>1</v>
      </c>
      <c r="O207" s="415">
        <f>Assumptions!$C$22</f>
        <v>1</v>
      </c>
      <c r="P207" s="415">
        <f>Assumptions!$C$23</f>
        <v>1</v>
      </c>
      <c r="Q207" s="416">
        <f>Assumptions!$C$24</f>
        <v>0</v>
      </c>
      <c r="R207" s="416">
        <f>Assumptions!$C$6+Assumptions!$C$25</f>
        <v>3.5000000000000003E-2</v>
      </c>
      <c r="S207" s="416">
        <f>Assumptions!$C$15</f>
        <v>1.1000000000000001E-3</v>
      </c>
      <c r="T207" s="26">
        <f t="shared" si="54"/>
        <v>1</v>
      </c>
      <c r="U207" s="26">
        <f t="shared" si="55"/>
        <v>3</v>
      </c>
      <c r="V207" s="389">
        <f>IF($G207="Preferred",Assumptions!$C$30,IF($G207="Rated",Assumptions!$C$31,1))</f>
        <v>1.55</v>
      </c>
      <c r="W207" s="390">
        <f>IF($K207="Direct",Assumptions!$C$32,IF($K207="Broker",Assumptions!$C$33,IF($K207="Bancassurance",Assumptions!$C$34,Assumptions!$C$11)))+$Q207</f>
        <v>0.2</v>
      </c>
      <c r="X207" s="390">
        <f>Assumptions!$C$12+$Q207</f>
        <v>0.05</v>
      </c>
      <c r="Y207" s="131">
        <f>MIN($I207,Assumptions!$C$14)</f>
        <v>500000</v>
      </c>
      <c r="Z207" s="131">
        <f>MAX($I207-Assumptions!$C$14,0)</f>
        <v>1500000</v>
      </c>
      <c r="AA207" s="389">
        <f t="shared" si="56"/>
        <v>7.4088439866258158</v>
      </c>
      <c r="AB207" s="389">
        <f t="shared" si="57"/>
        <v>7.6216270709012247E-3</v>
      </c>
      <c r="AC207" s="389">
        <f>IF($T207=1,SUMPRODUCT($CJ207:$DW207,(1+Assumptions!$C$5)^($CJ$5:$DW$5-1),(1+$R207)^(-$CJ$5:$DW$5)),0)</f>
        <v>9.2714970107368373</v>
      </c>
      <c r="AD207" s="389">
        <f t="shared" si="58"/>
        <v>0.51536973556317489</v>
      </c>
      <c r="AE207" s="131">
        <f>IF($T207=1,$AB207*$Y207+(Assumptions!$C$9/(1+$R207)+Assumptions!$C$10*$AC207)*$P207+$S207*$Z207*$AA207,0)</f>
        <v>18944.700673136616</v>
      </c>
      <c r="AF207" s="131">
        <f>IF($T207=1,IF($AA207-$AD207-Assumptions!$C$16*$AA207&gt;0,$AE207/($AA207-$AD207-Assumptions!$C$16*$AA207)*IF($J207="Monthly",1+Assumptions!$C$29,1),"n.a."),"")</f>
        <v>3096.9312978717867</v>
      </c>
      <c r="AG207" s="131">
        <f t="shared" si="59"/>
        <v>3069.1</v>
      </c>
      <c r="AH207" s="131">
        <f t="shared" si="60"/>
        <v>22738.483079353289</v>
      </c>
      <c r="AI207" s="131">
        <f t="shared" si="61"/>
        <v>2212.0611507997346</v>
      </c>
      <c r="AJ207" s="390">
        <f t="shared" si="62"/>
        <v>9.7282705406514236E-2</v>
      </c>
      <c r="AK207" s="389">
        <f t="shared" si="63"/>
        <v>0.99101326597367123</v>
      </c>
      <c r="AL207" s="131">
        <f t="shared" si="64"/>
        <v>11432.440606351836</v>
      </c>
      <c r="AM207" s="131">
        <f t="shared" si="65"/>
        <v>12224.592577932595</v>
      </c>
      <c r="AN207" s="131">
        <f t="shared" si="66"/>
        <v>-792.15197158075898</v>
      </c>
      <c r="AO207" s="131">
        <f t="shared" si="67"/>
        <v>3004.2131223804936</v>
      </c>
      <c r="AP207" s="26" t="str">
        <f t="shared" si="68"/>
        <v>20-29</v>
      </c>
      <c r="AQ207" s="26" t="str">
        <f t="shared" si="69"/>
        <v>Over 1m</v>
      </c>
      <c r="AR207" s="26" t="str">
        <f>IF($T207=1,IF($AI207&lt;0,"Loss-making",IF($AJ207&lt;Assumptions!$C$16-0.00001,"Below target","At/above target")),"Excluded")</f>
        <v>At/above target</v>
      </c>
      <c r="AS207" s="103">
        <f t="shared" si="70"/>
        <v>2212.0613577997347</v>
      </c>
      <c r="AT207" s="26"/>
      <c r="AU207" s="419">
        <f>IF(AND($T207=1,AU$5&lt;=$H207),INDEX(Mortality!$B$4:$E$64,MATCH($D207+AU$5-1,Mortality!$A$4:$A$64,0),$U207)*$V207*$N207,0)</f>
        <v>6.3097387305800854E-4</v>
      </c>
      <c r="AV207" s="93">
        <f>IF(AND($T207=1,AV$5&lt;=$H207),INDEX(Mortality!$B$4:$E$64,MATCH($D207+AV$5-1,Mortality!$A$4:$A$64,0),$U207)*$V207*$N207,0)</f>
        <v>6.8352583672452174E-4</v>
      </c>
      <c r="AW207" s="93">
        <f>IF(AND($T207=1,AW$5&lt;=$H207),INDEX(Mortality!$B$4:$E$64,MATCH($D207+AW$5-1,Mortality!$A$4:$A$64,0),$U207)*$V207*$N207,0)</f>
        <v>7.404546993453802E-4</v>
      </c>
      <c r="AX207" s="93">
        <f>IF(AND($T207=1,AX$5&lt;=$H207),INDEX(Mortality!$B$4:$E$64,MATCH($D207+AX$5-1,Mortality!$A$4:$A$64,0),$U207)*$V207*$N207,0)</f>
        <v>8.02125E-4</v>
      </c>
      <c r="AY207" s="93">
        <f>IF(AND($T207=1,AY$5&lt;=$H207),INDEX(Mortality!$B$4:$E$64,MATCH($D207+AY$5-1,Mortality!$A$4:$A$64,0),$U207)*$V207*$N207,0)</f>
        <v>8.6893163915877612E-4</v>
      </c>
      <c r="AZ207" s="93">
        <f>IF(AND($T207=1,AZ$5&lt;=$H207),INDEX(Mortality!$B$4:$E$64,MATCH($D207+AZ$5-1,Mortality!$A$4:$A$64,0),$U207)*$V207*$N207,0)</f>
        <v>9.413024073943061E-4</v>
      </c>
      <c r="BA207" s="93">
        <f>IF(AND($T207=1,BA$5&lt;=$H207),INDEX(Mortality!$B$4:$E$64,MATCH($D207+BA$5-1,Mortality!$A$4:$A$64,0),$U207)*$V207*$N207,0)</f>
        <v>1.0197007247015569E-3</v>
      </c>
      <c r="BB207" s="93">
        <f>IF(AND($T207=1,BB$5&lt;=$H207),INDEX(Mortality!$B$4:$E$64,MATCH($D207+BB$5-1,Mortality!$A$4:$A$64,0),$U207)*$V207*$N207,0)</f>
        <v>1.1046286079679801E-3</v>
      </c>
      <c r="BC207" s="93">
        <f>IF(AND($T207=1,BC$5&lt;=$H207),INDEX(Mortality!$B$4:$E$64,MATCH($D207+BC$5-1,Mortality!$A$4:$A$64,0),$U207)*$V207*$N207,0)</f>
        <v>1.1966298855955034E-3</v>
      </c>
      <c r="BD207" s="93">
        <f>IF(AND($T207=1,BD$5&lt;=$H207),INDEX(Mortality!$B$4:$E$64,MATCH($D207+BD$5-1,Mortality!$A$4:$A$64,0),$U207)*$V207*$N207,0)</f>
        <v>1.296293679858974E-3</v>
      </c>
      <c r="BE207" s="93">
        <f>IF(AND($T207=1,BE$5&lt;=$H207),INDEX(Mortality!$B$4:$E$64,MATCH($D207+BE$5-1,Mortality!$A$4:$A$64,0),$U207)*$V207*$N207,0)</f>
        <v>1.4042581793000095E-3</v>
      </c>
      <c r="BF207" s="93">
        <f>IF(AND($T207=1,BF$5&lt;=$H207),INDEX(Mortality!$B$4:$E$64,MATCH($D207+BF$5-1,Mortality!$A$4:$A$64,0),$U207)*$V207*$N207,0)</f>
        <v>1.5212147253124836E-3</v>
      </c>
      <c r="BG207" s="93">
        <f>IF(AND($T207=1,BG$5&lt;=$H207),INDEX(Mortality!$B$4:$E$64,MATCH($D207+BG$5-1,Mortality!$A$4:$A$64,0),$U207)*$V207*$N207,0)</f>
        <v>1.6479122390877256E-3</v>
      </c>
      <c r="BH207" s="93">
        <f>IF(AND($T207=1,BH$5&lt;=$H207),INDEX(Mortality!$B$4:$E$64,MATCH($D207+BH$5-1,Mortality!$A$4:$A$64,0),$U207)*$V207*$N207,0)</f>
        <v>1.7851620172670178E-3</v>
      </c>
      <c r="BI207" s="93">
        <f>IF(AND($T207=1,BI$5&lt;=$H207),INDEX(Mortality!$B$4:$E$64,MATCH($D207+BI$5-1,Mortality!$A$4:$A$64,0),$U207)*$V207*$N207,0)</f>
        <v>1.9338429270099105E-3</v>
      </c>
      <c r="BJ207" s="93">
        <f>IF(AND($T207=1,BJ$5&lt;=$H207),INDEX(Mortality!$B$4:$E$64,MATCH($D207+BJ$5-1,Mortality!$A$4:$A$64,0),$U207)*$V207*$N207,0)</f>
        <v>0</v>
      </c>
      <c r="BK207" s="93">
        <f>IF(AND($T207=1,BK$5&lt;=$H207),INDEX(Mortality!$B$4:$E$64,MATCH($D207+BK$5-1,Mortality!$A$4:$A$64,0),$U207)*$V207*$N207,0)</f>
        <v>0</v>
      </c>
      <c r="BL207" s="93">
        <f>IF(AND($T207=1,BL$5&lt;=$H207),INDEX(Mortality!$B$4:$E$64,MATCH($D207+BL$5-1,Mortality!$A$4:$A$64,0),$U207)*$V207*$N207,0)</f>
        <v>0</v>
      </c>
      <c r="BM207" s="93">
        <f>IF(AND($T207=1,BM$5&lt;=$H207),INDEX(Mortality!$B$4:$E$64,MATCH($D207+BM$5-1,Mortality!$A$4:$A$64,0),$U207)*$V207*$N207,0)</f>
        <v>0</v>
      </c>
      <c r="BN207" s="93">
        <f>IF(AND($T207=1,BN$5&lt;=$H207),INDEX(Mortality!$B$4:$E$64,MATCH($D207+BN$5-1,Mortality!$A$4:$A$64,0),$U207)*$V207*$N207,0)</f>
        <v>0</v>
      </c>
      <c r="BO207" s="93">
        <f>IF(AND($T207=1,BO$5&lt;=$H207),INDEX(Mortality!$B$4:$E$64,MATCH($D207+BO$5-1,Mortality!$A$4:$A$64,0),$U207)*$V207*$N207,0)</f>
        <v>0</v>
      </c>
      <c r="BP207" s="93">
        <f>IF(AND($T207=1,BP$5&lt;=$H207),INDEX(Mortality!$B$4:$E$64,MATCH($D207+BP$5-1,Mortality!$A$4:$A$64,0),$U207)*$V207*$N207,0)</f>
        <v>0</v>
      </c>
      <c r="BQ207" s="93">
        <f>IF(AND($T207=1,BQ$5&lt;=$H207),INDEX(Mortality!$B$4:$E$64,MATCH($D207+BQ$5-1,Mortality!$A$4:$A$64,0),$U207)*$V207*$N207,0)</f>
        <v>0</v>
      </c>
      <c r="BR207" s="93">
        <f>IF(AND($T207=1,BR$5&lt;=$H207),INDEX(Mortality!$B$4:$E$64,MATCH($D207+BR$5-1,Mortality!$A$4:$A$64,0),$U207)*$V207*$N207,0)</f>
        <v>0</v>
      </c>
      <c r="BS207" s="93">
        <f>IF(AND($T207=1,BS$5&lt;=$H207),INDEX(Mortality!$B$4:$E$64,MATCH($D207+BS$5-1,Mortality!$A$4:$A$64,0),$U207)*$V207*$N207,0)</f>
        <v>0</v>
      </c>
      <c r="BT207" s="93">
        <f>IF(AND($T207=1,BT$5&lt;=$H207),INDEX(Mortality!$B$4:$E$64,MATCH($D207+BT$5-1,Mortality!$A$4:$A$64,0),$U207)*$V207*$N207,0)</f>
        <v>0</v>
      </c>
      <c r="BU207" s="93">
        <f>IF(AND($T207=1,BU$5&lt;=$H207),INDEX(Mortality!$B$4:$E$64,MATCH($D207+BU$5-1,Mortality!$A$4:$A$64,0),$U207)*$V207*$N207,0)</f>
        <v>0</v>
      </c>
      <c r="BV207" s="93">
        <f>IF(AND($T207=1,BV$5&lt;=$H207),INDEX(Mortality!$B$4:$E$64,MATCH($D207+BV$5-1,Mortality!$A$4:$A$64,0),$U207)*$V207*$N207,0)</f>
        <v>0</v>
      </c>
      <c r="BW207" s="93">
        <f>IF(AND($T207=1,BW$5&lt;=$H207),INDEX(Mortality!$B$4:$E$64,MATCH($D207+BW$5-1,Mortality!$A$4:$A$64,0),$U207)*$V207*$N207,0)</f>
        <v>0</v>
      </c>
      <c r="BX207" s="93">
        <f>IF(AND($T207=1,BX$5&lt;=$H207),INDEX(Mortality!$B$4:$E$64,MATCH($D207+BX$5-1,Mortality!$A$4:$A$64,0),$U207)*$V207*$N207,0)</f>
        <v>0</v>
      </c>
      <c r="BY207" s="93">
        <f>IF(AND($T207=1,BY$5&lt;=$H207),INDEX(Mortality!$B$4:$E$64,MATCH($D207+BY$5-1,Mortality!$A$4:$A$64,0),$U207)*$V207*$N207,0)</f>
        <v>0</v>
      </c>
      <c r="BZ207" s="93">
        <f>IF(AND($T207=1,BZ$5&lt;=$H207),INDEX(Mortality!$B$4:$E$64,MATCH($D207+BZ$5-1,Mortality!$A$4:$A$64,0),$U207)*$V207*$N207,0)</f>
        <v>0</v>
      </c>
      <c r="CA207" s="93">
        <f>IF(AND($T207=1,CA$5&lt;=$H207),INDEX(Mortality!$B$4:$E$64,MATCH($D207+CA$5-1,Mortality!$A$4:$A$64,0),$U207)*$V207*$N207,0)</f>
        <v>0</v>
      </c>
      <c r="CB207" s="93">
        <f>IF(AND($T207=1,CB$5&lt;=$H207),INDEX(Mortality!$B$4:$E$64,MATCH($D207+CB$5-1,Mortality!$A$4:$A$64,0),$U207)*$V207*$N207,0)</f>
        <v>0</v>
      </c>
      <c r="CC207" s="93">
        <f>IF(AND($T207=1,CC$5&lt;=$H207),INDEX(Mortality!$B$4:$E$64,MATCH($D207+CC$5-1,Mortality!$A$4:$A$64,0),$U207)*$V207*$N207,0)</f>
        <v>0</v>
      </c>
      <c r="CD207" s="93">
        <f>IF(AND($T207=1,CD$5&lt;=$H207),INDEX(Mortality!$B$4:$E$64,MATCH($D207+CD$5-1,Mortality!$A$4:$A$64,0),$U207)*$V207*$N207,0)</f>
        <v>0</v>
      </c>
      <c r="CE207" s="93">
        <f>IF(AND($T207=1,CE$5&lt;=$H207),INDEX(Mortality!$B$4:$E$64,MATCH($D207+CE$5-1,Mortality!$A$4:$A$64,0),$U207)*$V207*$N207,0)</f>
        <v>0</v>
      </c>
      <c r="CF207" s="93">
        <f>IF(AND($T207=1,CF$5&lt;=$H207),INDEX(Mortality!$B$4:$E$64,MATCH($D207+CF$5-1,Mortality!$A$4:$A$64,0),$U207)*$V207*$N207,0)</f>
        <v>0</v>
      </c>
      <c r="CG207" s="93">
        <f>IF(AND($T207=1,CG$5&lt;=$H207),INDEX(Mortality!$B$4:$E$64,MATCH($D207+CG$5-1,Mortality!$A$4:$A$64,0),$U207)*$V207*$N207,0)</f>
        <v>0</v>
      </c>
      <c r="CH207" s="94">
        <f>IF(AND($T207=1,CH$5&lt;=$H207),INDEX(Mortality!$B$4:$E$64,MATCH($D207+CH$5-1,Mortality!$A$4:$A$64,0),$U207)*$V207*$N207,0)</f>
        <v>0</v>
      </c>
      <c r="CI207" s="26"/>
      <c r="CJ207" s="419">
        <f t="shared" si="71"/>
        <v>1</v>
      </c>
      <c r="CK207" s="93">
        <f>IF(AND($T207=1,CK$5&lt;=$H207),CJ207*(1-AU207)*(1-MIN(1,MAX(Assumptions!$C$27,Assumptions!$C$13*Assumptions!$C$28^(CJ$5-1))*$O207)),0)</f>
        <v>0.87944474299170894</v>
      </c>
      <c r="CL207" s="93">
        <f>IF(AND($T207=1,CL$5&lt;=$H207),CK207*(1-AV207)*(1-MIN(1,MAX(Assumptions!$C$27,Assumptions!$C$13*Assumptions!$C$28^(CK$5-1))*$O207)),0)</f>
        <v>0.78920157056953655</v>
      </c>
      <c r="CM207" s="93">
        <f>IF(AND($T207=1,CM$5&lt;=$H207),CL207*(1-AW207)*(1-MIN(1,MAX(Assumptions!$C$27,Assumptions!$C$13*Assumptions!$C$28^(CL$5-1))*$O207)),0)</f>
        <v>0.72024409109610965</v>
      </c>
      <c r="CN207" s="93">
        <f>IF(AND($T207=1,CN$5&lt;=$H207),CM207*(1-AX207)*(1-MIN(1,MAX(Assumptions!$C$27,Assumptions!$C$13*Assumptions!$C$28^(CM$5-1))*$O207)),0)</f>
        <v>0.66663055251342118</v>
      </c>
      <c r="CO207" s="93">
        <f>IF(AND($T207=1,CO$5&lt;=$H207),CN207*(1-AY207)*(1-MIN(1,MAX(Assumptions!$C$27,Assumptions!$C$13*Assumptions!$C$28^(CN$5-1))*$O207)),0)</f>
        <v>0.62432934340636181</v>
      </c>
      <c r="CP207" s="93">
        <f>IF(AND($T207=1,CP$5&lt;=$H207),CO207*(1-AZ207)*(1-MIN(1,MAX(Assumptions!$C$27,Assumptions!$C$13*Assumptions!$C$28^(CO$5-1))*$O207)),0)</f>
        <v>0.59053076207519128</v>
      </c>
      <c r="CQ207" s="93">
        <f>IF(AND($T207=1,CQ$5&lt;=$H207),CP207*(1-BA207)*(1-MIN(1,MAX(Assumptions!$C$27,Assumptions!$C$13*Assumptions!$C$28^(CP$5-1))*$O207)),0)</f>
        <v>0.5632296432562961</v>
      </c>
      <c r="CR207" s="93">
        <f>IF(AND($T207=1,CR$5&lt;=$H207),CQ207*(1-BB207)*(1-MIN(1,MAX(Assumptions!$C$27,Assumptions!$C$13*Assumptions!$C$28^(CQ$5-1))*$O207)),0)</f>
        <v>0.54096439540391383</v>
      </c>
      <c r="CS207" s="93">
        <f>IF(AND($T207=1,CS$5&lt;=$H207),CR207*(1-BC207)*(1-MIN(1,MAX(Assumptions!$C$27,Assumptions!$C$13*Assumptions!$C$28^(CR$5-1))*$O207)),0)</f>
        <v>0.52264930767670481</v>
      </c>
      <c r="CT207" s="93">
        <f>IF(AND($T207=1,CT$5&lt;=$H207),CS207*(1-BD207)*(1-MIN(1,MAX(Assumptions!$C$27,Assumptions!$C$13*Assumptions!$C$28^(CS$5-1))*$O207)),0)</f>
        <v>0.50746409893998112</v>
      </c>
      <c r="CU207" s="93">
        <f>IF(AND($T207=1,CU$5&lt;=$H207),CT207*(1-BE207)*(1-MIN(1,MAX(Assumptions!$C$27,Assumptions!$C$13*Assumptions!$C$28^(CT$5-1))*$O207)),0)</f>
        <v>0.49477952063873343</v>
      </c>
      <c r="CV207" s="93">
        <f>IF(AND($T207=1,CV$5&lt;=$H207),CU207*(1-BF207)*(1-MIN(1,MAX(Assumptions!$C$27,Assumptions!$C$13*Assumptions!$C$28^(CU$5-1))*$O207)),0)</f>
        <v>0.48410620798499476</v>
      </c>
      <c r="CW207" s="93">
        <f>IF(AND($T207=1,CW$5&lt;=$H207),CV207*(1-BG207)*(1-MIN(1,MAX(Assumptions!$C$27,Assumptions!$C$13*Assumptions!$C$28^(CV$5-1))*$O207)),0)</f>
        <v>0.47364227457104113</v>
      </c>
      <c r="CX207" s="93">
        <f>IF(AND($T207=1,CX$5&lt;=$H207),CW207*(1-BH207)*(1-MIN(1,MAX(Assumptions!$C$27,Assumptions!$C$13*Assumptions!$C$28^(CW$5-1))*$O207)),0)</f>
        <v>0.46334081144525086</v>
      </c>
      <c r="CY207" s="93">
        <f>IF(AND($T207=1,CY$5&lt;=$H207),CX207*(1-BI207)*(1-MIN(1,MAX(Assumptions!$C$27,Assumptions!$C$13*Assumptions!$C$28^(CX$5-1))*$O207)),0)</f>
        <v>0</v>
      </c>
      <c r="CZ207" s="93">
        <f>IF(AND($T207=1,CZ$5&lt;=$H207),CY207*(1-BJ207)*(1-MIN(1,MAX(Assumptions!$C$27,Assumptions!$C$13*Assumptions!$C$28^(CY$5-1))*$O207)),0)</f>
        <v>0</v>
      </c>
      <c r="DA207" s="93">
        <f>IF(AND($T207=1,DA$5&lt;=$H207),CZ207*(1-BK207)*(1-MIN(1,MAX(Assumptions!$C$27,Assumptions!$C$13*Assumptions!$C$28^(CZ$5-1))*$O207)),0)</f>
        <v>0</v>
      </c>
      <c r="DB207" s="93">
        <f>IF(AND($T207=1,DB$5&lt;=$H207),DA207*(1-BL207)*(1-MIN(1,MAX(Assumptions!$C$27,Assumptions!$C$13*Assumptions!$C$28^(DA$5-1))*$O207)),0)</f>
        <v>0</v>
      </c>
      <c r="DC207" s="93">
        <f>IF(AND($T207=1,DC$5&lt;=$H207),DB207*(1-BM207)*(1-MIN(1,MAX(Assumptions!$C$27,Assumptions!$C$13*Assumptions!$C$28^(DB$5-1))*$O207)),0)</f>
        <v>0</v>
      </c>
      <c r="DD207" s="93">
        <f>IF(AND($T207=1,DD$5&lt;=$H207),DC207*(1-BN207)*(1-MIN(1,MAX(Assumptions!$C$27,Assumptions!$C$13*Assumptions!$C$28^(DC$5-1))*$O207)),0)</f>
        <v>0</v>
      </c>
      <c r="DE207" s="93">
        <f>IF(AND($T207=1,DE$5&lt;=$H207),DD207*(1-BO207)*(1-MIN(1,MAX(Assumptions!$C$27,Assumptions!$C$13*Assumptions!$C$28^(DD$5-1))*$O207)),0)</f>
        <v>0</v>
      </c>
      <c r="DF207" s="93">
        <f>IF(AND($T207=1,DF$5&lt;=$H207),DE207*(1-BP207)*(1-MIN(1,MAX(Assumptions!$C$27,Assumptions!$C$13*Assumptions!$C$28^(DE$5-1))*$O207)),0)</f>
        <v>0</v>
      </c>
      <c r="DG207" s="93">
        <f>IF(AND($T207=1,DG$5&lt;=$H207),DF207*(1-BQ207)*(1-MIN(1,MAX(Assumptions!$C$27,Assumptions!$C$13*Assumptions!$C$28^(DF$5-1))*$O207)),0)</f>
        <v>0</v>
      </c>
      <c r="DH207" s="93">
        <f>IF(AND($T207=1,DH$5&lt;=$H207),DG207*(1-BR207)*(1-MIN(1,MAX(Assumptions!$C$27,Assumptions!$C$13*Assumptions!$C$28^(DG$5-1))*$O207)),0)</f>
        <v>0</v>
      </c>
      <c r="DI207" s="93">
        <f>IF(AND($T207=1,DI$5&lt;=$H207),DH207*(1-BS207)*(1-MIN(1,MAX(Assumptions!$C$27,Assumptions!$C$13*Assumptions!$C$28^(DH$5-1))*$O207)),0)</f>
        <v>0</v>
      </c>
      <c r="DJ207" s="93">
        <f>IF(AND($T207=1,DJ$5&lt;=$H207),DI207*(1-BT207)*(1-MIN(1,MAX(Assumptions!$C$27,Assumptions!$C$13*Assumptions!$C$28^(DI$5-1))*$O207)),0)</f>
        <v>0</v>
      </c>
      <c r="DK207" s="93">
        <f>IF(AND($T207=1,DK$5&lt;=$H207),DJ207*(1-BU207)*(1-MIN(1,MAX(Assumptions!$C$27,Assumptions!$C$13*Assumptions!$C$28^(DJ$5-1))*$O207)),0)</f>
        <v>0</v>
      </c>
      <c r="DL207" s="93">
        <f>IF(AND($T207=1,DL$5&lt;=$H207),DK207*(1-BV207)*(1-MIN(1,MAX(Assumptions!$C$27,Assumptions!$C$13*Assumptions!$C$28^(DK$5-1))*$O207)),0)</f>
        <v>0</v>
      </c>
      <c r="DM207" s="93">
        <f>IF(AND($T207=1,DM$5&lt;=$H207),DL207*(1-BW207)*(1-MIN(1,MAX(Assumptions!$C$27,Assumptions!$C$13*Assumptions!$C$28^(DL$5-1))*$O207)),0)</f>
        <v>0</v>
      </c>
      <c r="DN207" s="93">
        <f>IF(AND($T207=1,DN$5&lt;=$H207),DM207*(1-BX207)*(1-MIN(1,MAX(Assumptions!$C$27,Assumptions!$C$13*Assumptions!$C$28^(DM$5-1))*$O207)),0)</f>
        <v>0</v>
      </c>
      <c r="DO207" s="93">
        <f>IF(AND($T207=1,DO$5&lt;=$H207),DN207*(1-BY207)*(1-MIN(1,MAX(Assumptions!$C$27,Assumptions!$C$13*Assumptions!$C$28^(DN$5-1))*$O207)),0)</f>
        <v>0</v>
      </c>
      <c r="DP207" s="93">
        <f>IF(AND($T207=1,DP$5&lt;=$H207),DO207*(1-BZ207)*(1-MIN(1,MAX(Assumptions!$C$27,Assumptions!$C$13*Assumptions!$C$28^(DO$5-1))*$O207)),0)</f>
        <v>0</v>
      </c>
      <c r="DQ207" s="93">
        <f>IF(AND($T207=1,DQ$5&lt;=$H207),DP207*(1-CA207)*(1-MIN(1,MAX(Assumptions!$C$27,Assumptions!$C$13*Assumptions!$C$28^(DP$5-1))*$O207)),0)</f>
        <v>0</v>
      </c>
      <c r="DR207" s="93">
        <f>IF(AND($T207=1,DR$5&lt;=$H207),DQ207*(1-CB207)*(1-MIN(1,MAX(Assumptions!$C$27,Assumptions!$C$13*Assumptions!$C$28^(DQ$5-1))*$O207)),0)</f>
        <v>0</v>
      </c>
      <c r="DS207" s="93">
        <f>IF(AND($T207=1,DS$5&lt;=$H207),DR207*(1-CC207)*(1-MIN(1,MAX(Assumptions!$C$27,Assumptions!$C$13*Assumptions!$C$28^(DR$5-1))*$O207)),0)</f>
        <v>0</v>
      </c>
      <c r="DT207" s="93">
        <f>IF(AND($T207=1,DT$5&lt;=$H207),DS207*(1-CD207)*(1-MIN(1,MAX(Assumptions!$C$27,Assumptions!$C$13*Assumptions!$C$28^(DS$5-1))*$O207)),0)</f>
        <v>0</v>
      </c>
      <c r="DU207" s="93">
        <f>IF(AND($T207=1,DU$5&lt;=$H207),DT207*(1-CE207)*(1-MIN(1,MAX(Assumptions!$C$27,Assumptions!$C$13*Assumptions!$C$28^(DT$5-1))*$O207)),0)</f>
        <v>0</v>
      </c>
      <c r="DV207" s="93">
        <f>IF(AND($T207=1,DV$5&lt;=$H207),DU207*(1-CF207)*(1-MIN(1,MAX(Assumptions!$C$27,Assumptions!$C$13*Assumptions!$C$28^(DU$5-1))*$O207)),0)</f>
        <v>0</v>
      </c>
      <c r="DW207" s="94">
        <f>IF(AND($T207=1,DW$5&lt;=$H207),DV207*(1-CG207)*(1-MIN(1,MAX(Assumptions!$C$27,Assumptions!$C$13*Assumptions!$C$28^(DV$5-1))*$O207)),0)</f>
        <v>0</v>
      </c>
      <c r="DX207" s="26"/>
      <c r="DY207" s="399">
        <f>'Policy Data'!K181</f>
        <v>1</v>
      </c>
      <c r="DZ207" s="100">
        <f>'Policy Data'!L181</f>
        <v>0.91849999999999998</v>
      </c>
      <c r="EA207" s="100">
        <f>'Policy Data'!N181</f>
        <v>5.8E-4</v>
      </c>
      <c r="EB207" s="93" cm="1">
        <f t="array" ref="EB207">IFERROR(DZ207*INDEX(Mortality!$B$4:$E$64,MATCH(D207+DY207-1,Mortality!$A$4:$A$64,0),U207)*V207,0)</f>
        <v>5.7954950240378085E-4</v>
      </c>
      <c r="EC207" s="100">
        <f>'Policy Data'!O181</f>
        <v>0</v>
      </c>
      <c r="ED207" s="400">
        <f>'Policy Data'!Q181</f>
        <v>0</v>
      </c>
    </row>
    <row r="208" spans="1:134" x14ac:dyDescent="0.3">
      <c r="A208" s="399" t="str">
        <f>'Policy Data'!A182</f>
        <v>POL100178</v>
      </c>
      <c r="B208" s="26" t="s">
        <v>426</v>
      </c>
      <c r="C208" s="100" t="str">
        <f>'Policy Data'!B182</f>
        <v>Term Life</v>
      </c>
      <c r="D208" s="100">
        <f>'Policy Data'!C182</f>
        <v>55</v>
      </c>
      <c r="E208" s="100" t="str">
        <f>'Policy Data'!D182</f>
        <v>Female</v>
      </c>
      <c r="F208" s="100" t="str">
        <f>'Policy Data'!E182</f>
        <v>Non-smoker</v>
      </c>
      <c r="G208" s="100" t="str">
        <f>'Policy Data'!F182</f>
        <v>Standard</v>
      </c>
      <c r="H208" s="100">
        <f>'Policy Data'!G182</f>
        <v>15</v>
      </c>
      <c r="I208" s="279">
        <f>'Policy Data'!H182</f>
        <v>250000</v>
      </c>
      <c r="J208" s="100" t="str">
        <f>'Policy Data'!I182</f>
        <v>Monthly</v>
      </c>
      <c r="K208" s="100" t="str">
        <f>'Policy Data'!J182</f>
        <v>Broker</v>
      </c>
      <c r="L208" s="26" t="s">
        <v>389</v>
      </c>
      <c r="M208" s="106">
        <f>'Policy Data'!R182</f>
        <v>1451.26</v>
      </c>
      <c r="N208" s="415">
        <f>Assumptions!$C$21</f>
        <v>1</v>
      </c>
      <c r="O208" s="415">
        <f>Assumptions!$C$22</f>
        <v>1</v>
      </c>
      <c r="P208" s="415">
        <f>Assumptions!$C$23</f>
        <v>1</v>
      </c>
      <c r="Q208" s="416">
        <f>Assumptions!$C$24</f>
        <v>0</v>
      </c>
      <c r="R208" s="416">
        <f>Assumptions!$C$6+Assumptions!$C$25</f>
        <v>3.5000000000000003E-2</v>
      </c>
      <c r="S208" s="416">
        <f>Assumptions!$C$15</f>
        <v>1.1000000000000001E-3</v>
      </c>
      <c r="T208" s="26">
        <f t="shared" si="54"/>
        <v>1</v>
      </c>
      <c r="U208" s="26">
        <f t="shared" si="55"/>
        <v>1</v>
      </c>
      <c r="V208" s="389">
        <f>IF($G208="Preferred",Assumptions!$C$30,IF($G208="Rated",Assumptions!$C$31,1))</f>
        <v>1</v>
      </c>
      <c r="W208" s="390">
        <f>IF($K208="Direct",Assumptions!$C$32,IF($K208="Broker",Assumptions!$C$33,IF($K208="Bancassurance",Assumptions!$C$34,Assumptions!$C$11)))+$Q208</f>
        <v>0.25</v>
      </c>
      <c r="X208" s="390">
        <f>Assumptions!$C$12+$Q208</f>
        <v>0.05</v>
      </c>
      <c r="Y208" s="131">
        <f>MIN($I208,Assumptions!$C$14)</f>
        <v>250000</v>
      </c>
      <c r="Z208" s="131">
        <f>MAX($I208-Assumptions!$C$14,0)</f>
        <v>0</v>
      </c>
      <c r="AA208" s="389">
        <f t="shared" si="56"/>
        <v>7.2873315904302851</v>
      </c>
      <c r="AB208" s="389">
        <f t="shared" si="57"/>
        <v>3.3388587617753596E-2</v>
      </c>
      <c r="AC208" s="389">
        <f>IF($T208=1,SUMPRODUCT($CJ208:$DW208,(1+Assumptions!$C$5)^($CJ$5:$DW$5-1),(1+$R208)^(-$CJ$5:$DW$5)),0)</f>
        <v>9.0948556448069322</v>
      </c>
      <c r="AD208" s="389">
        <f t="shared" si="58"/>
        <v>0.55760329449735968</v>
      </c>
      <c r="AE208" s="131">
        <f>IF($T208=1,$AB208*$Y208+(Assumptions!$C$9/(1+$R208)+Assumptions!$C$10*$AC208)*$P208+$S208*$Z208*$AA208,0)</f>
        <v>11217.58036368723</v>
      </c>
      <c r="AF208" s="131">
        <f>IF($T208=1,IF($AA208-$AD208-Assumptions!$C$16*$AA208&gt;0,$AE208/($AA208-$AD208-Assumptions!$C$16*$AA208)*IF($J208="Monthly",1+Assumptions!$C$29,1),"n.a."),"")</f>
        <v>1879.7125712089721</v>
      </c>
      <c r="AG208" s="131">
        <f t="shared" si="59"/>
        <v>1451.26</v>
      </c>
      <c r="AH208" s="131">
        <f t="shared" si="60"/>
        <v>10575.812843927855</v>
      </c>
      <c r="AI208" s="131">
        <f t="shared" si="61"/>
        <v>-1450.9948769316125</v>
      </c>
      <c r="AJ208" s="390">
        <f t="shared" si="62"/>
        <v>-0.13719937165536233</v>
      </c>
      <c r="AK208" s="389">
        <f t="shared" si="63"/>
        <v>0.77206484769455741</v>
      </c>
      <c r="AL208" s="131">
        <f t="shared" si="64"/>
        <v>0</v>
      </c>
      <c r="AM208" s="131">
        <f t="shared" si="65"/>
        <v>0</v>
      </c>
      <c r="AN208" s="131">
        <f t="shared" si="66"/>
        <v>0</v>
      </c>
      <c r="AO208" s="131">
        <f t="shared" si="67"/>
        <v>-1450.9948769316125</v>
      </c>
      <c r="AP208" s="26" t="str">
        <f t="shared" si="68"/>
        <v>50-59</v>
      </c>
      <c r="AQ208" s="26" t="str">
        <f t="shared" si="69"/>
        <v>Up to 250k</v>
      </c>
      <c r="AR208" s="26" t="str">
        <f>IF($T208=1,IF($AI208&lt;0,"Loss-making",IF($AJ208&lt;Assumptions!$C$16-0.00001,"Below target","At/above target")),"Excluded")</f>
        <v>Loss-making</v>
      </c>
      <c r="AS208" s="103">
        <f t="shared" si="70"/>
        <v>-1450.9946689316125</v>
      </c>
      <c r="AT208" s="26"/>
      <c r="AU208" s="419">
        <f>IF(AND($T208=1,AU$5&lt;=$H208),INDEX(Mortality!$B$4:$E$64,MATCH($D208+AU$5-1,Mortality!$A$4:$A$64,0),$U208)*$V208*$N208,0)</f>
        <v>2.8263139578409702E-3</v>
      </c>
      <c r="AV208" s="93">
        <f>IF(AND($T208=1,AV$5&lt;=$H208),INDEX(Mortality!$B$4:$E$64,MATCH($D208+AV$5-1,Mortality!$A$4:$A$64,0),$U208)*$V208*$N208,0)</f>
        <v>3.0617093597183598E-3</v>
      </c>
      <c r="AW208" s="93">
        <f>IF(AND($T208=1,AW$5&lt;=$H208),INDEX(Mortality!$B$4:$E$64,MATCH($D208+AW$5-1,Mortality!$A$4:$A$64,0),$U208)*$V208*$N208,0)</f>
        <v>3.31671015436227E-3</v>
      </c>
      <c r="AX208" s="93">
        <f>IF(AND($T208=1,AX$5&lt;=$H208),INDEX(Mortality!$B$4:$E$64,MATCH($D208+AX$5-1,Mortality!$A$4:$A$64,0),$U208)*$V208*$N208,0)</f>
        <v>3.5929492174468702E-3</v>
      </c>
      <c r="AY208" s="93">
        <f>IF(AND($T208=1,AY$5&lt;=$H208),INDEX(Mortality!$B$4:$E$64,MATCH($D208+AY$5-1,Mortality!$A$4:$A$64,0),$U208)*$V208*$N208,0)</f>
        <v>3.8921954220730499E-3</v>
      </c>
      <c r="AZ208" s="93">
        <f>IF(AND($T208=1,AZ$5&lt;=$H208),INDEX(Mortality!$B$4:$E$64,MATCH($D208+AZ$5-1,Mortality!$A$4:$A$64,0),$U208)*$V208*$N208,0)</f>
        <v>4.2163649655954103E-3</v>
      </c>
      <c r="BA208" s="93">
        <f>IF(AND($T208=1,BA$5&lt;=$H208),INDEX(Mortality!$B$4:$E$64,MATCH($D208+BA$5-1,Mortality!$A$4:$A$64,0),$U208)*$V208*$N208,0)</f>
        <v>4.5675336398272801E-3</v>
      </c>
      <c r="BB208" s="93">
        <f>IF(AND($T208=1,BB$5&lt;=$H208),INDEX(Mortality!$B$4:$E$64,MATCH($D208+BB$5-1,Mortality!$A$4:$A$64,0),$U208)*$V208*$N208,0)</f>
        <v>4.9479501231952296E-3</v>
      </c>
      <c r="BC208" s="93">
        <f>IF(AND($T208=1,BC$5&lt;=$H208),INDEX(Mortality!$B$4:$E$64,MATCH($D208+BC$5-1,Mortality!$A$4:$A$64,0),$U208)*$V208*$N208,0)</f>
        <v>5.36005037995811E-3</v>
      </c>
      <c r="BD208" s="93">
        <f>IF(AND($T208=1,BD$5&lt;=$H208),INDEX(Mortality!$B$4:$E$64,MATCH($D208+BD$5-1,Mortality!$A$4:$A$64,0),$U208)*$V208*$N208,0)</f>
        <v>5.8064732586948697E-3</v>
      </c>
      <c r="BE208" s="93">
        <f>IF(AND($T208=1,BE$5&lt;=$H208),INDEX(Mortality!$B$4:$E$64,MATCH($D208+BE$5-1,Mortality!$A$4:$A$64,0),$U208)*$V208*$N208,0)</f>
        <v>6.2900773899446198E-3</v>
      </c>
      <c r="BF208" s="93">
        <f>IF(AND($T208=1,BF$5&lt;=$H208),INDEX(Mortality!$B$4:$E$64,MATCH($D208+BF$5-1,Mortality!$A$4:$A$64,0),$U208)*$V208*$N208,0)</f>
        <v>6.8139594912016701E-3</v>
      </c>
      <c r="BG208" s="93">
        <f>IF(AND($T208=1,BG$5&lt;=$H208),INDEX(Mortality!$B$4:$E$64,MATCH($D208+BG$5-1,Mortality!$A$4:$A$64,0),$U208)*$V208*$N208,0)</f>
        <v>7.3814741964798002E-3</v>
      </c>
      <c r="BH208" s="93">
        <f>IF(AND($T208=1,BH$5&lt;=$H208),INDEX(Mortality!$B$4:$E$64,MATCH($D208+BH$5-1,Mortality!$A$4:$A$64,0),$U208)*$V208*$N208,0)</f>
        <v>7.9962555374229801E-3</v>
      </c>
      <c r="BI208" s="93">
        <f>IF(AND($T208=1,BI$5&lt;=$H208),INDEX(Mortality!$B$4:$E$64,MATCH($D208+BI$5-1,Mortality!$A$4:$A$64,0),$U208)*$V208*$N208,0)</f>
        <v>8.6622402135145896E-3</v>
      </c>
      <c r="BJ208" s="93">
        <f>IF(AND($T208=1,BJ$5&lt;=$H208),INDEX(Mortality!$B$4:$E$64,MATCH($D208+BJ$5-1,Mortality!$A$4:$A$64,0),$U208)*$V208*$N208,0)</f>
        <v>0</v>
      </c>
      <c r="BK208" s="93">
        <f>IF(AND($T208=1,BK$5&lt;=$H208),INDEX(Mortality!$B$4:$E$64,MATCH($D208+BK$5-1,Mortality!$A$4:$A$64,0),$U208)*$V208*$N208,0)</f>
        <v>0</v>
      </c>
      <c r="BL208" s="93">
        <f>IF(AND($T208=1,BL$5&lt;=$H208),INDEX(Mortality!$B$4:$E$64,MATCH($D208+BL$5-1,Mortality!$A$4:$A$64,0),$U208)*$V208*$N208,0)</f>
        <v>0</v>
      </c>
      <c r="BM208" s="93">
        <f>IF(AND($T208=1,BM$5&lt;=$H208),INDEX(Mortality!$B$4:$E$64,MATCH($D208+BM$5-1,Mortality!$A$4:$A$64,0),$U208)*$V208*$N208,0)</f>
        <v>0</v>
      </c>
      <c r="BN208" s="93">
        <f>IF(AND($T208=1,BN$5&lt;=$H208),INDEX(Mortality!$B$4:$E$64,MATCH($D208+BN$5-1,Mortality!$A$4:$A$64,0),$U208)*$V208*$N208,0)</f>
        <v>0</v>
      </c>
      <c r="BO208" s="93">
        <f>IF(AND($T208=1,BO$5&lt;=$H208),INDEX(Mortality!$B$4:$E$64,MATCH($D208+BO$5-1,Mortality!$A$4:$A$64,0),$U208)*$V208*$N208,0)</f>
        <v>0</v>
      </c>
      <c r="BP208" s="93">
        <f>IF(AND($T208=1,BP$5&lt;=$H208),INDEX(Mortality!$B$4:$E$64,MATCH($D208+BP$5-1,Mortality!$A$4:$A$64,0),$U208)*$V208*$N208,0)</f>
        <v>0</v>
      </c>
      <c r="BQ208" s="93">
        <f>IF(AND($T208=1,BQ$5&lt;=$H208),INDEX(Mortality!$B$4:$E$64,MATCH($D208+BQ$5-1,Mortality!$A$4:$A$64,0),$U208)*$V208*$N208,0)</f>
        <v>0</v>
      </c>
      <c r="BR208" s="93">
        <f>IF(AND($T208=1,BR$5&lt;=$H208),INDEX(Mortality!$B$4:$E$64,MATCH($D208+BR$5-1,Mortality!$A$4:$A$64,0),$U208)*$V208*$N208,0)</f>
        <v>0</v>
      </c>
      <c r="BS208" s="93">
        <f>IF(AND($T208=1,BS$5&lt;=$H208),INDEX(Mortality!$B$4:$E$64,MATCH($D208+BS$5-1,Mortality!$A$4:$A$64,0),$U208)*$V208*$N208,0)</f>
        <v>0</v>
      </c>
      <c r="BT208" s="93">
        <f>IF(AND($T208=1,BT$5&lt;=$H208),INDEX(Mortality!$B$4:$E$64,MATCH($D208+BT$5-1,Mortality!$A$4:$A$64,0),$U208)*$V208*$N208,0)</f>
        <v>0</v>
      </c>
      <c r="BU208" s="93">
        <f>IF(AND($T208=1,BU$5&lt;=$H208),INDEX(Mortality!$B$4:$E$64,MATCH($D208+BU$5-1,Mortality!$A$4:$A$64,0),$U208)*$V208*$N208,0)</f>
        <v>0</v>
      </c>
      <c r="BV208" s="93">
        <f>IF(AND($T208=1,BV$5&lt;=$H208),INDEX(Mortality!$B$4:$E$64,MATCH($D208+BV$5-1,Mortality!$A$4:$A$64,0),$U208)*$V208*$N208,0)</f>
        <v>0</v>
      </c>
      <c r="BW208" s="93">
        <f>IF(AND($T208=1,BW$5&lt;=$H208),INDEX(Mortality!$B$4:$E$64,MATCH($D208+BW$5-1,Mortality!$A$4:$A$64,0),$U208)*$V208*$N208,0)</f>
        <v>0</v>
      </c>
      <c r="BX208" s="93">
        <f>IF(AND($T208=1,BX$5&lt;=$H208),INDEX(Mortality!$B$4:$E$64,MATCH($D208+BX$5-1,Mortality!$A$4:$A$64,0),$U208)*$V208*$N208,0)</f>
        <v>0</v>
      </c>
      <c r="BY208" s="93">
        <f>IF(AND($T208=1,BY$5&lt;=$H208),INDEX(Mortality!$B$4:$E$64,MATCH($D208+BY$5-1,Mortality!$A$4:$A$64,0),$U208)*$V208*$N208,0)</f>
        <v>0</v>
      </c>
      <c r="BZ208" s="93">
        <f>IF(AND($T208=1,BZ$5&lt;=$H208),INDEX(Mortality!$B$4:$E$64,MATCH($D208+BZ$5-1,Mortality!$A$4:$A$64,0),$U208)*$V208*$N208,0)</f>
        <v>0</v>
      </c>
      <c r="CA208" s="93">
        <f>IF(AND($T208=1,CA$5&lt;=$H208),INDEX(Mortality!$B$4:$E$64,MATCH($D208+CA$5-1,Mortality!$A$4:$A$64,0),$U208)*$V208*$N208,0)</f>
        <v>0</v>
      </c>
      <c r="CB208" s="93">
        <f>IF(AND($T208=1,CB$5&lt;=$H208),INDEX(Mortality!$B$4:$E$64,MATCH($D208+CB$5-1,Mortality!$A$4:$A$64,0),$U208)*$V208*$N208,0)</f>
        <v>0</v>
      </c>
      <c r="CC208" s="93">
        <f>IF(AND($T208=1,CC$5&lt;=$H208),INDEX(Mortality!$B$4:$E$64,MATCH($D208+CC$5-1,Mortality!$A$4:$A$64,0),$U208)*$V208*$N208,0)</f>
        <v>0</v>
      </c>
      <c r="CD208" s="93">
        <f>IF(AND($T208=1,CD$5&lt;=$H208),INDEX(Mortality!$B$4:$E$64,MATCH($D208+CD$5-1,Mortality!$A$4:$A$64,0),$U208)*$V208*$N208,0)</f>
        <v>0</v>
      </c>
      <c r="CE208" s="93">
        <f>IF(AND($T208=1,CE$5&lt;=$H208),INDEX(Mortality!$B$4:$E$64,MATCH($D208+CE$5-1,Mortality!$A$4:$A$64,0),$U208)*$V208*$N208,0)</f>
        <v>0</v>
      </c>
      <c r="CF208" s="93">
        <f>IF(AND($T208=1,CF$5&lt;=$H208),INDEX(Mortality!$B$4:$E$64,MATCH($D208+CF$5-1,Mortality!$A$4:$A$64,0),$U208)*$V208*$N208,0)</f>
        <v>0</v>
      </c>
      <c r="CG208" s="93">
        <f>IF(AND($T208=1,CG$5&lt;=$H208),INDEX(Mortality!$B$4:$E$64,MATCH($D208+CG$5-1,Mortality!$A$4:$A$64,0),$U208)*$V208*$N208,0)</f>
        <v>0</v>
      </c>
      <c r="CH208" s="94">
        <f>IF(AND($T208=1,CH$5&lt;=$H208),INDEX(Mortality!$B$4:$E$64,MATCH($D208+CH$5-1,Mortality!$A$4:$A$64,0),$U208)*$V208*$N208,0)</f>
        <v>0</v>
      </c>
      <c r="CI208" s="26"/>
      <c r="CJ208" s="419">
        <f t="shared" si="71"/>
        <v>1</v>
      </c>
      <c r="CK208" s="93">
        <f>IF(AND($T208=1,CK$5&lt;=$H208),CJ208*(1-AU208)*(1-MIN(1,MAX(Assumptions!$C$27,Assumptions!$C$13*Assumptions!$C$28^(CJ$5-1))*$O208)),0)</f>
        <v>0.87751284371709992</v>
      </c>
      <c r="CL208" s="93">
        <f>IF(AND($T208=1,CL$5&lt;=$H208),CK208*(1-AV208)*(1-MIN(1,MAX(Assumptions!$C$27,Assumptions!$C$13*Assumptions!$C$28^(CK$5-1))*$O208)),0)</f>
        <v>0.78559388667833596</v>
      </c>
      <c r="CM208" s="93">
        <f>IF(AND($T208=1,CM$5&lt;=$H208),CL208*(1-AW208)*(1-MIN(1,MAX(Assumptions!$C$27,Assumptions!$C$13*Assumptions!$C$28^(CL$5-1))*$O208)),0)</f>
        <v>0.71510321389424703</v>
      </c>
      <c r="CN208" s="93">
        <f>IF(AND($T208=1,CN$5&lt;=$H208),CM208*(1-AX208)*(1-MIN(1,MAX(Assumptions!$C$27,Assumptions!$C$13*Assumptions!$C$28^(CM$5-1))*$O208)),0)</f>
        <v>0.66002369975347175</v>
      </c>
      <c r="CO208" s="93">
        <f>IF(AND($T208=1,CO$5&lt;=$H208),CN208*(1-AY208)*(1-MIN(1,MAX(Assumptions!$C$27,Assumptions!$C$13*Assumptions!$C$28^(CN$5-1))*$O208)),0)</f>
        <v>0.61627129936539138</v>
      </c>
      <c r="CP208" s="93">
        <f>IF(AND($T208=1,CP$5&lt;=$H208),CO208*(1-AZ208)*(1-MIN(1,MAX(Assumptions!$C$27,Assumptions!$C$13*Assumptions!$C$28^(CO$5-1))*$O208)),0)</f>
        <v>0.58099808489515259</v>
      </c>
      <c r="CQ208" s="93">
        <f>IF(AND($T208=1,CQ$5&lt;=$H208),CP208*(1-BA208)*(1-MIN(1,MAX(Assumptions!$C$27,Assumptions!$C$13*Assumptions!$C$28^(CP$5-1))*$O208)),0)</f>
        <v>0.55216968132308497</v>
      </c>
      <c r="CR208" s="93">
        <f>IF(AND($T208=1,CR$5&lt;=$H208),CQ208*(1-BB208)*(1-MIN(1,MAX(Assumptions!$C$27,Assumptions!$C$13*Assumptions!$C$28^(CQ$5-1))*$O208)),0)</f>
        <v>0.52830112158821374</v>
      </c>
      <c r="CS208" s="93">
        <f>IF(AND($T208=1,CS$5&lt;=$H208),CR208*(1-BC208)*(1-MIN(1,MAX(Assumptions!$C$27,Assumptions!$C$13*Assumptions!$C$28^(CR$5-1))*$O208)),0)</f>
        <v>0.50828714900554295</v>
      </c>
      <c r="CT208" s="93">
        <f>IF(AND($T208=1,CT$5&lt;=$H208),CS208*(1-BD208)*(1-MIN(1,MAX(Assumptions!$C$27,Assumptions!$C$13*Assumptions!$C$28^(CS$5-1))*$O208)),0)</f>
        <v>0.49129047327300879</v>
      </c>
      <c r="CU208" s="93">
        <f>IF(AND($T208=1,CU$5&lt;=$H208),CT208*(1-BE208)*(1-MIN(1,MAX(Assumptions!$C$27,Assumptions!$C$13*Assumptions!$C$28^(CT$5-1))*$O208)),0)</f>
        <v>0.47666652291690914</v>
      </c>
      <c r="CV208" s="93">
        <f>IF(AND($T208=1,CV$5&lt;=$H208),CU208*(1-BF208)*(1-MIN(1,MAX(Assumptions!$C$27,Assumptions!$C$13*Assumptions!$C$28^(CU$5-1))*$O208)),0)</f>
        <v>0.46391172931567543</v>
      </c>
      <c r="CW208" s="93">
        <f>IF(AND($T208=1,CW$5&lt;=$H208),CV208*(1-BG208)*(1-MIN(1,MAX(Assumptions!$C$27,Assumptions!$C$13*Assumptions!$C$28^(CV$5-1))*$O208)),0)</f>
        <v>0.45127762931916166</v>
      </c>
      <c r="CX208" s="93">
        <f>IF(AND($T208=1,CX$5&lt;=$H208),CW208*(1-BH208)*(1-MIN(1,MAX(Assumptions!$C$27,Assumptions!$C$13*Assumptions!$C$28^(CW$5-1))*$O208)),0)</f>
        <v>0.43871571611526711</v>
      </c>
      <c r="CY208" s="93">
        <f>IF(AND($T208=1,CY$5&lt;=$H208),CX208*(1-BI208)*(1-MIN(1,MAX(Assumptions!$C$27,Assumptions!$C$13*Assumptions!$C$28^(CX$5-1))*$O208)),0)</f>
        <v>0</v>
      </c>
      <c r="CZ208" s="93">
        <f>IF(AND($T208=1,CZ$5&lt;=$H208),CY208*(1-BJ208)*(1-MIN(1,MAX(Assumptions!$C$27,Assumptions!$C$13*Assumptions!$C$28^(CY$5-1))*$O208)),0)</f>
        <v>0</v>
      </c>
      <c r="DA208" s="93">
        <f>IF(AND($T208=1,DA$5&lt;=$H208),CZ208*(1-BK208)*(1-MIN(1,MAX(Assumptions!$C$27,Assumptions!$C$13*Assumptions!$C$28^(CZ$5-1))*$O208)),0)</f>
        <v>0</v>
      </c>
      <c r="DB208" s="93">
        <f>IF(AND($T208=1,DB$5&lt;=$H208),DA208*(1-BL208)*(1-MIN(1,MAX(Assumptions!$C$27,Assumptions!$C$13*Assumptions!$C$28^(DA$5-1))*$O208)),0)</f>
        <v>0</v>
      </c>
      <c r="DC208" s="93">
        <f>IF(AND($T208=1,DC$5&lt;=$H208),DB208*(1-BM208)*(1-MIN(1,MAX(Assumptions!$C$27,Assumptions!$C$13*Assumptions!$C$28^(DB$5-1))*$O208)),0)</f>
        <v>0</v>
      </c>
      <c r="DD208" s="93">
        <f>IF(AND($T208=1,DD$5&lt;=$H208),DC208*(1-BN208)*(1-MIN(1,MAX(Assumptions!$C$27,Assumptions!$C$13*Assumptions!$C$28^(DC$5-1))*$O208)),0)</f>
        <v>0</v>
      </c>
      <c r="DE208" s="93">
        <f>IF(AND($T208=1,DE$5&lt;=$H208),DD208*(1-BO208)*(1-MIN(1,MAX(Assumptions!$C$27,Assumptions!$C$13*Assumptions!$C$28^(DD$5-1))*$O208)),0)</f>
        <v>0</v>
      </c>
      <c r="DF208" s="93">
        <f>IF(AND($T208=1,DF$5&lt;=$H208),DE208*(1-BP208)*(1-MIN(1,MAX(Assumptions!$C$27,Assumptions!$C$13*Assumptions!$C$28^(DE$5-1))*$O208)),0)</f>
        <v>0</v>
      </c>
      <c r="DG208" s="93">
        <f>IF(AND($T208=1,DG$5&lt;=$H208),DF208*(1-BQ208)*(1-MIN(1,MAX(Assumptions!$C$27,Assumptions!$C$13*Assumptions!$C$28^(DF$5-1))*$O208)),0)</f>
        <v>0</v>
      </c>
      <c r="DH208" s="93">
        <f>IF(AND($T208=1,DH$5&lt;=$H208),DG208*(1-BR208)*(1-MIN(1,MAX(Assumptions!$C$27,Assumptions!$C$13*Assumptions!$C$28^(DG$5-1))*$O208)),0)</f>
        <v>0</v>
      </c>
      <c r="DI208" s="93">
        <f>IF(AND($T208=1,DI$5&lt;=$H208),DH208*(1-BS208)*(1-MIN(1,MAX(Assumptions!$C$27,Assumptions!$C$13*Assumptions!$C$28^(DH$5-1))*$O208)),0)</f>
        <v>0</v>
      </c>
      <c r="DJ208" s="93">
        <f>IF(AND($T208=1,DJ$5&lt;=$H208),DI208*(1-BT208)*(1-MIN(1,MAX(Assumptions!$C$27,Assumptions!$C$13*Assumptions!$C$28^(DI$5-1))*$O208)),0)</f>
        <v>0</v>
      </c>
      <c r="DK208" s="93">
        <f>IF(AND($T208=1,DK$5&lt;=$H208),DJ208*(1-BU208)*(1-MIN(1,MAX(Assumptions!$C$27,Assumptions!$C$13*Assumptions!$C$28^(DJ$5-1))*$O208)),0)</f>
        <v>0</v>
      </c>
      <c r="DL208" s="93">
        <f>IF(AND($T208=1,DL$5&lt;=$H208),DK208*(1-BV208)*(1-MIN(1,MAX(Assumptions!$C$27,Assumptions!$C$13*Assumptions!$C$28^(DK$5-1))*$O208)),0)</f>
        <v>0</v>
      </c>
      <c r="DM208" s="93">
        <f>IF(AND($T208=1,DM$5&lt;=$H208),DL208*(1-BW208)*(1-MIN(1,MAX(Assumptions!$C$27,Assumptions!$C$13*Assumptions!$C$28^(DL$5-1))*$O208)),0)</f>
        <v>0</v>
      </c>
      <c r="DN208" s="93">
        <f>IF(AND($T208=1,DN$5&lt;=$H208),DM208*(1-BX208)*(1-MIN(1,MAX(Assumptions!$C$27,Assumptions!$C$13*Assumptions!$C$28^(DM$5-1))*$O208)),0)</f>
        <v>0</v>
      </c>
      <c r="DO208" s="93">
        <f>IF(AND($T208=1,DO$5&lt;=$H208),DN208*(1-BY208)*(1-MIN(1,MAX(Assumptions!$C$27,Assumptions!$C$13*Assumptions!$C$28^(DN$5-1))*$O208)),0)</f>
        <v>0</v>
      </c>
      <c r="DP208" s="93">
        <f>IF(AND($T208=1,DP$5&lt;=$H208),DO208*(1-BZ208)*(1-MIN(1,MAX(Assumptions!$C$27,Assumptions!$C$13*Assumptions!$C$28^(DO$5-1))*$O208)),0)</f>
        <v>0</v>
      </c>
      <c r="DQ208" s="93">
        <f>IF(AND($T208=1,DQ$5&lt;=$H208),DP208*(1-CA208)*(1-MIN(1,MAX(Assumptions!$C$27,Assumptions!$C$13*Assumptions!$C$28^(DP$5-1))*$O208)),0)</f>
        <v>0</v>
      </c>
      <c r="DR208" s="93">
        <f>IF(AND($T208=1,DR$5&lt;=$H208),DQ208*(1-CB208)*(1-MIN(1,MAX(Assumptions!$C$27,Assumptions!$C$13*Assumptions!$C$28^(DQ$5-1))*$O208)),0)</f>
        <v>0</v>
      </c>
      <c r="DS208" s="93">
        <f>IF(AND($T208=1,DS$5&lt;=$H208),DR208*(1-CC208)*(1-MIN(1,MAX(Assumptions!$C$27,Assumptions!$C$13*Assumptions!$C$28^(DR$5-1))*$O208)),0)</f>
        <v>0</v>
      </c>
      <c r="DT208" s="93">
        <f>IF(AND($T208=1,DT$5&lt;=$H208),DS208*(1-CD208)*(1-MIN(1,MAX(Assumptions!$C$27,Assumptions!$C$13*Assumptions!$C$28^(DS$5-1))*$O208)),0)</f>
        <v>0</v>
      </c>
      <c r="DU208" s="93">
        <f>IF(AND($T208=1,DU$5&lt;=$H208),DT208*(1-CE208)*(1-MIN(1,MAX(Assumptions!$C$27,Assumptions!$C$13*Assumptions!$C$28^(DT$5-1))*$O208)),0)</f>
        <v>0</v>
      </c>
      <c r="DV208" s="93">
        <f>IF(AND($T208=1,DV$5&lt;=$H208),DU208*(1-CF208)*(1-MIN(1,MAX(Assumptions!$C$27,Assumptions!$C$13*Assumptions!$C$28^(DU$5-1))*$O208)),0)</f>
        <v>0</v>
      </c>
      <c r="DW208" s="94">
        <f>IF(AND($T208=1,DW$5&lt;=$H208),DV208*(1-CG208)*(1-MIN(1,MAX(Assumptions!$C$27,Assumptions!$C$13*Assumptions!$C$28^(DV$5-1))*$O208)),0)</f>
        <v>0</v>
      </c>
      <c r="DX208" s="26"/>
      <c r="DY208" s="399">
        <f>'Policy Data'!K182</f>
        <v>4</v>
      </c>
      <c r="DZ208" s="100">
        <f>'Policy Data'!L182</f>
        <v>0.96230000000000004</v>
      </c>
      <c r="EA208" s="100">
        <f>'Policy Data'!N182</f>
        <v>2.7200000000000002E-3</v>
      </c>
      <c r="EB208" s="93" cm="1">
        <f t="array" ref="EB208">IFERROR(DZ208*INDEX(Mortality!$B$4:$E$64,MATCH(D208+DY208-1,Mortality!$A$4:$A$64,0),U208)*V208,0)</f>
        <v>3.4574950319491236E-3</v>
      </c>
      <c r="EC208" s="100">
        <f>'Policy Data'!O182</f>
        <v>0</v>
      </c>
      <c r="ED208" s="400">
        <f>'Policy Data'!Q182</f>
        <v>0</v>
      </c>
    </row>
    <row r="209" spans="1:134" x14ac:dyDescent="0.3">
      <c r="A209" s="399" t="str">
        <f>'Policy Data'!A183</f>
        <v>POL100179</v>
      </c>
      <c r="B209" s="26" t="s">
        <v>426</v>
      </c>
      <c r="C209" s="100" t="str">
        <f>'Policy Data'!B183</f>
        <v>Term Life</v>
      </c>
      <c r="D209" s="100">
        <f>'Policy Data'!C183</f>
        <v>30</v>
      </c>
      <c r="E209" s="100" t="str">
        <f>'Policy Data'!D183</f>
        <v>Male</v>
      </c>
      <c r="F209" s="100" t="str">
        <f>'Policy Data'!E183</f>
        <v>Smoker</v>
      </c>
      <c r="G209" s="100" t="str">
        <f>'Policy Data'!F183</f>
        <v>Rated</v>
      </c>
      <c r="H209" s="100">
        <f>'Policy Data'!G183</f>
        <v>20</v>
      </c>
      <c r="I209" s="279">
        <f>'Policy Data'!H183</f>
        <v>1000000</v>
      </c>
      <c r="J209" s="100" t="str">
        <f>'Policy Data'!I183</f>
        <v>Monthly</v>
      </c>
      <c r="K209" s="100" t="str">
        <f>'Policy Data'!J183</f>
        <v>Bancassurance</v>
      </c>
      <c r="L209" s="26" t="s">
        <v>389</v>
      </c>
      <c r="M209" s="106">
        <f>'Policy Data'!R183</f>
        <v>2591.7399999999998</v>
      </c>
      <c r="N209" s="415">
        <f>Assumptions!$C$21</f>
        <v>1</v>
      </c>
      <c r="O209" s="415">
        <f>Assumptions!$C$22</f>
        <v>1</v>
      </c>
      <c r="P209" s="415">
        <f>Assumptions!$C$23</f>
        <v>1</v>
      </c>
      <c r="Q209" s="416">
        <f>Assumptions!$C$24</f>
        <v>0</v>
      </c>
      <c r="R209" s="416">
        <f>Assumptions!$C$6+Assumptions!$C$25</f>
        <v>3.5000000000000003E-2</v>
      </c>
      <c r="S209" s="416">
        <f>Assumptions!$C$15</f>
        <v>1.1000000000000001E-3</v>
      </c>
      <c r="T209" s="26">
        <f t="shared" si="54"/>
        <v>1</v>
      </c>
      <c r="U209" s="26">
        <f t="shared" si="55"/>
        <v>4</v>
      </c>
      <c r="V209" s="389">
        <f>IF($G209="Preferred",Assumptions!$C$30,IF($G209="Rated",Assumptions!$C$31,1))</f>
        <v>1.55</v>
      </c>
      <c r="W209" s="390">
        <f>IF($K209="Direct",Assumptions!$C$32,IF($K209="Broker",Assumptions!$C$33,IF($K209="Bancassurance",Assumptions!$C$34,Assumptions!$C$11)))+$Q209</f>
        <v>0.2</v>
      </c>
      <c r="X209" s="390">
        <f>Assumptions!$C$12+$Q209</f>
        <v>0.05</v>
      </c>
      <c r="Y209" s="131">
        <f>MIN($I209,Assumptions!$C$14)</f>
        <v>500000</v>
      </c>
      <c r="Z209" s="131">
        <f>MAX($I209-Assumptions!$C$14,0)</f>
        <v>500000</v>
      </c>
      <c r="AA209" s="389">
        <f t="shared" si="56"/>
        <v>8.5124144201089749</v>
      </c>
      <c r="AB209" s="389">
        <f t="shared" si="57"/>
        <v>2.1746554467717446E-2</v>
      </c>
      <c r="AC209" s="389">
        <f>IF($T209=1,SUMPRODUCT($CJ209:$DW209,(1+Assumptions!$C$5)^($CJ$5:$DW$5-1),(1+$R209)^(-$CJ$5:$DW$5)),0)</f>
        <v>11.433271549045084</v>
      </c>
      <c r="AD209" s="389">
        <f t="shared" si="58"/>
        <v>0.57054825723733282</v>
      </c>
      <c r="AE209" s="131">
        <f>IF($T209=1,$AB209*$Y209+(Assumptions!$C$9/(1+$R209)+Assumptions!$C$10*$AC209)*$P209+$S209*$Z209*$AA209,0)</f>
        <v>18939.990123099884</v>
      </c>
      <c r="AF209" s="131">
        <f>IF($T209=1,IF($AA209-$AD209-Assumptions!$C$16*$AA209&gt;0,$AE209/($AA209-$AD209-Assumptions!$C$16*$AA209)*IF($J209="Monthly",1+Assumptions!$C$29,1),"n.a."),"")</f>
        <v>2686.7554083242699</v>
      </c>
      <c r="AG209" s="131">
        <f t="shared" si="59"/>
        <v>2591.7399999999998</v>
      </c>
      <c r="AH209" s="131">
        <f t="shared" si="60"/>
        <v>22061.964949173234</v>
      </c>
      <c r="AI209" s="131">
        <f t="shared" si="61"/>
        <v>1643.2620858610644</v>
      </c>
      <c r="AJ209" s="390">
        <f t="shared" si="62"/>
        <v>7.4483940557735551E-2</v>
      </c>
      <c r="AK209" s="389">
        <f t="shared" si="63"/>
        <v>0.9646356315018898</v>
      </c>
      <c r="AL209" s="131">
        <f t="shared" si="64"/>
        <v>10873.277233858724</v>
      </c>
      <c r="AM209" s="131">
        <f t="shared" si="65"/>
        <v>4681.8279310599364</v>
      </c>
      <c r="AN209" s="131">
        <f t="shared" si="66"/>
        <v>6191.4493027987874</v>
      </c>
      <c r="AO209" s="131">
        <f t="shared" si="67"/>
        <v>-4548.187216937723</v>
      </c>
      <c r="AP209" s="26" t="str">
        <f t="shared" si="68"/>
        <v>30-39</v>
      </c>
      <c r="AQ209" s="26" t="str">
        <f t="shared" si="69"/>
        <v>500k-1m</v>
      </c>
      <c r="AR209" s="26" t="str">
        <f>IF($T209=1,IF($AI209&lt;0,"Loss-making",IF($AJ209&lt;Assumptions!$C$16-0.00001,"Below target","At/above target")),"Excluded")</f>
        <v>Below target</v>
      </c>
      <c r="AS209" s="103">
        <f t="shared" si="70"/>
        <v>1643.2622948610644</v>
      </c>
      <c r="AT209" s="26"/>
      <c r="AU209" s="419">
        <f>IF(AND($T209=1,AU$5&lt;=$H209),INDEX(Mortality!$B$4:$E$64,MATCH($D209+AU$5-1,Mortality!$A$4:$A$64,0),$U209)*$V209*$N209,0)</f>
        <v>1.32350625E-3</v>
      </c>
      <c r="AV209" s="93">
        <f>IF(AND($T209=1,AV$5&lt;=$H209),INDEX(Mortality!$B$4:$E$64,MATCH($D209+AV$5-1,Mortality!$A$4:$A$64,0),$U209)*$V209*$N209,0)</f>
        <v>1.4337372046119802E-3</v>
      </c>
      <c r="AW209" s="93">
        <f>IF(AND($T209=1,AW$5&lt;=$H209),INDEX(Mortality!$B$4:$E$64,MATCH($D209+AW$5-1,Mortality!$A$4:$A$64,0),$U209)*$V209*$N209,0)</f>
        <v>1.5531489722006013E-3</v>
      </c>
      <c r="AX209" s="93">
        <f>IF(AND($T209=1,AX$5&lt;=$H209),INDEX(Mortality!$B$4:$E$64,MATCH($D209+AX$5-1,Mortality!$A$4:$A$64,0),$U209)*$V209*$N209,0)</f>
        <v>1.6825061957575695E-3</v>
      </c>
      <c r="AY209" s="93">
        <f>IF(AND($T209=1,AY$5&lt;=$H209),INDEX(Mortality!$B$4:$E$64,MATCH($D209+AY$5-1,Mortality!$A$4:$A$64,0),$U209)*$V209*$N209,0)</f>
        <v>1.8226372031471736E-3</v>
      </c>
      <c r="AZ209" s="93">
        <f>IF(AND($T209=1,AZ$5&lt;=$H209),INDEX(Mortality!$B$4:$E$64,MATCH($D209+AZ$5-1,Mortality!$A$4:$A$64,0),$U209)*$V209*$N209,0)</f>
        <v>1.9744393112325819E-3</v>
      </c>
      <c r="BA209" s="93">
        <f>IF(AND($T209=1,BA$5&lt;=$H209),INDEX(Mortality!$B$4:$E$64,MATCH($D209+BA$5-1,Mortality!$A$4:$A$64,0),$U209)*$V209*$N209,0)</f>
        <v>2.1388845717673129E-3</v>
      </c>
      <c r="BB209" s="93">
        <f>IF(AND($T209=1,BB$5&lt;=$H209),INDEX(Mortality!$B$4:$E$64,MATCH($D209+BB$5-1,Mortality!$A$4:$A$64,0),$U209)*$V209*$N209,0)</f>
        <v>2.3170259958450114E-3</v>
      </c>
      <c r="BC209" s="93">
        <f>IF(AND($T209=1,BC$5&lt;=$H209),INDEX(Mortality!$B$4:$E$64,MATCH($D209+BC$5-1,Mortality!$A$4:$A$64,0),$U209)*$V209*$N209,0)</f>
        <v>2.5100042967656062E-3</v>
      </c>
      <c r="BD209" s="93">
        <f>IF(AND($T209=1,BD$5&lt;=$H209),INDEX(Mortality!$B$4:$E$64,MATCH($D209+BD$5-1,Mortality!$A$4:$A$64,0),$U209)*$V209*$N209,0)</f>
        <v>2.7190551944947525E-3</v>
      </c>
      <c r="BE209" s="93">
        <f>IF(AND($T209=1,BE$5&lt;=$H209),INDEX(Mortality!$B$4:$E$64,MATCH($D209+BE$5-1,Mortality!$A$4:$A$64,0),$U209)*$V209*$N209,0)</f>
        <v>2.9455173284905906E-3</v>
      </c>
      <c r="BF209" s="93">
        <f>IF(AND($T209=1,BF$5&lt;=$H209),INDEX(Mortality!$B$4:$E$64,MATCH($D209+BF$5-1,Mortality!$A$4:$A$64,0),$U209)*$V209*$N209,0)</f>
        <v>3.19084082956635E-3</v>
      </c>
      <c r="BG209" s="93">
        <f>IF(AND($T209=1,BG$5&lt;=$H209),INDEX(Mortality!$B$4:$E$64,MATCH($D209+BG$5-1,Mortality!$A$4:$A$64,0),$U209)*$V209*$N209,0)</f>
        <v>3.4565966056784476E-3</v>
      </c>
      <c r="BH209" s="93">
        <f>IF(AND($T209=1,BH$5&lt;=$H209),INDEX(Mortality!$B$4:$E$64,MATCH($D209+BH$5-1,Mortality!$A$4:$A$64,0),$U209)*$V209*$N209,0)</f>
        <v>3.7444864011006323E-3</v>
      </c>
      <c r="BI209" s="93">
        <f>IF(AND($T209=1,BI$5&lt;=$H209),INDEX(Mortality!$B$4:$E$64,MATCH($D209+BI$5-1,Mortality!$A$4:$A$64,0),$U209)*$V209*$N209,0)</f>
        <v>4.0563536933970563E-3</v>
      </c>
      <c r="BJ209" s="93">
        <f>IF(AND($T209=1,BJ$5&lt;=$H209),INDEX(Mortality!$B$4:$E$64,MATCH($D209+BJ$5-1,Mortality!$A$4:$A$64,0),$U209)*$V209*$N209,0)</f>
        <v>4.3941954979725886E-3</v>
      </c>
      <c r="BK209" s="93">
        <f>IF(AND($T209=1,BK$5&lt;=$H209),INDEX(Mortality!$B$4:$E$64,MATCH($D209+BK$5-1,Mortality!$A$4:$A$64,0),$U209)*$V209*$N209,0)</f>
        <v>4.7601751557892289E-3</v>
      </c>
      <c r="BL209" s="93">
        <f>IF(AND($T209=1,BL$5&lt;=$H209),INDEX(Mortality!$B$4:$E$64,MATCH($D209+BL$5-1,Mortality!$A$4:$A$64,0),$U209)*$V209*$N209,0)</f>
        <v>5.1566361861341047E-3</v>
      </c>
      <c r="BM209" s="93">
        <f>IF(AND($T209=1,BM$5&lt;=$H209),INDEX(Mortality!$B$4:$E$64,MATCH($D209+BM$5-1,Mortality!$A$4:$A$64,0),$U209)*$V209*$N209,0)</f>
        <v>5.5861172931437912E-3</v>
      </c>
      <c r="BN209" s="93">
        <f>IF(AND($T209=1,BN$5&lt;=$H209),INDEX(Mortality!$B$4:$E$64,MATCH($D209+BN$5-1,Mortality!$A$4:$A$64,0),$U209)*$V209*$N209,0)</f>
        <v>6.051368622178116E-3</v>
      </c>
      <c r="BO209" s="93">
        <f>IF(AND($T209=1,BO$5&lt;=$H209),INDEX(Mortality!$B$4:$E$64,MATCH($D209+BO$5-1,Mortality!$A$4:$A$64,0),$U209)*$V209*$N209,0)</f>
        <v>0</v>
      </c>
      <c r="BP209" s="93">
        <f>IF(AND($T209=1,BP$5&lt;=$H209),INDEX(Mortality!$B$4:$E$64,MATCH($D209+BP$5-1,Mortality!$A$4:$A$64,0),$U209)*$V209*$N209,0)</f>
        <v>0</v>
      </c>
      <c r="BQ209" s="93">
        <f>IF(AND($T209=1,BQ$5&lt;=$H209),INDEX(Mortality!$B$4:$E$64,MATCH($D209+BQ$5-1,Mortality!$A$4:$A$64,0),$U209)*$V209*$N209,0)</f>
        <v>0</v>
      </c>
      <c r="BR209" s="93">
        <f>IF(AND($T209=1,BR$5&lt;=$H209),INDEX(Mortality!$B$4:$E$64,MATCH($D209+BR$5-1,Mortality!$A$4:$A$64,0),$U209)*$V209*$N209,0)</f>
        <v>0</v>
      </c>
      <c r="BS209" s="93">
        <f>IF(AND($T209=1,BS$5&lt;=$H209),INDEX(Mortality!$B$4:$E$64,MATCH($D209+BS$5-1,Mortality!$A$4:$A$64,0),$U209)*$V209*$N209,0)</f>
        <v>0</v>
      </c>
      <c r="BT209" s="93">
        <f>IF(AND($T209=1,BT$5&lt;=$H209),INDEX(Mortality!$B$4:$E$64,MATCH($D209+BT$5-1,Mortality!$A$4:$A$64,0),$U209)*$V209*$N209,0)</f>
        <v>0</v>
      </c>
      <c r="BU209" s="93">
        <f>IF(AND($T209=1,BU$5&lt;=$H209),INDEX(Mortality!$B$4:$E$64,MATCH($D209+BU$5-1,Mortality!$A$4:$A$64,0),$U209)*$V209*$N209,0)</f>
        <v>0</v>
      </c>
      <c r="BV209" s="93">
        <f>IF(AND($T209=1,BV$5&lt;=$H209),INDEX(Mortality!$B$4:$E$64,MATCH($D209+BV$5-1,Mortality!$A$4:$A$64,0),$U209)*$V209*$N209,0)</f>
        <v>0</v>
      </c>
      <c r="BW209" s="93">
        <f>IF(AND($T209=1,BW$5&lt;=$H209),INDEX(Mortality!$B$4:$E$64,MATCH($D209+BW$5-1,Mortality!$A$4:$A$64,0),$U209)*$V209*$N209,0)</f>
        <v>0</v>
      </c>
      <c r="BX209" s="93">
        <f>IF(AND($T209=1,BX$5&lt;=$H209),INDEX(Mortality!$B$4:$E$64,MATCH($D209+BX$5-1,Mortality!$A$4:$A$64,0),$U209)*$V209*$N209,0)</f>
        <v>0</v>
      </c>
      <c r="BY209" s="93">
        <f>IF(AND($T209=1,BY$5&lt;=$H209),INDEX(Mortality!$B$4:$E$64,MATCH($D209+BY$5-1,Mortality!$A$4:$A$64,0),$U209)*$V209*$N209,0)</f>
        <v>0</v>
      </c>
      <c r="BZ209" s="93">
        <f>IF(AND($T209=1,BZ$5&lt;=$H209),INDEX(Mortality!$B$4:$E$64,MATCH($D209+BZ$5-1,Mortality!$A$4:$A$64,0),$U209)*$V209*$N209,0)</f>
        <v>0</v>
      </c>
      <c r="CA209" s="93">
        <f>IF(AND($T209=1,CA$5&lt;=$H209),INDEX(Mortality!$B$4:$E$64,MATCH($D209+CA$5-1,Mortality!$A$4:$A$64,0),$U209)*$V209*$N209,0)</f>
        <v>0</v>
      </c>
      <c r="CB209" s="93">
        <f>IF(AND($T209=1,CB$5&lt;=$H209),INDEX(Mortality!$B$4:$E$64,MATCH($D209+CB$5-1,Mortality!$A$4:$A$64,0),$U209)*$V209*$N209,0)</f>
        <v>0</v>
      </c>
      <c r="CC209" s="93">
        <f>IF(AND($T209=1,CC$5&lt;=$H209),INDEX(Mortality!$B$4:$E$64,MATCH($D209+CC$5-1,Mortality!$A$4:$A$64,0),$U209)*$V209*$N209,0)</f>
        <v>0</v>
      </c>
      <c r="CD209" s="93">
        <f>IF(AND($T209=1,CD$5&lt;=$H209),INDEX(Mortality!$B$4:$E$64,MATCH($D209+CD$5-1,Mortality!$A$4:$A$64,0),$U209)*$V209*$N209,0)</f>
        <v>0</v>
      </c>
      <c r="CE209" s="93">
        <f>IF(AND($T209=1,CE$5&lt;=$H209),INDEX(Mortality!$B$4:$E$64,MATCH($D209+CE$5-1,Mortality!$A$4:$A$64,0),$U209)*$V209*$N209,0)</f>
        <v>0</v>
      </c>
      <c r="CF209" s="93">
        <f>IF(AND($T209=1,CF$5&lt;=$H209),INDEX(Mortality!$B$4:$E$64,MATCH($D209+CF$5-1,Mortality!$A$4:$A$64,0),$U209)*$V209*$N209,0)</f>
        <v>0</v>
      </c>
      <c r="CG209" s="93">
        <f>IF(AND($T209=1,CG$5&lt;=$H209),INDEX(Mortality!$B$4:$E$64,MATCH($D209+CG$5-1,Mortality!$A$4:$A$64,0),$U209)*$V209*$N209,0)</f>
        <v>0</v>
      </c>
      <c r="CH209" s="94">
        <f>IF(AND($T209=1,CH$5&lt;=$H209),INDEX(Mortality!$B$4:$E$64,MATCH($D209+CH$5-1,Mortality!$A$4:$A$64,0),$U209)*$V209*$N209,0)</f>
        <v>0</v>
      </c>
      <c r="CI209" s="26"/>
      <c r="CJ209" s="419">
        <f t="shared" si="71"/>
        <v>1</v>
      </c>
      <c r="CK209" s="93">
        <f>IF(AND($T209=1,CK$5&lt;=$H209),CJ209*(1-AU209)*(1-MIN(1,MAX(Assumptions!$C$27,Assumptions!$C$13*Assumptions!$C$28^(CJ$5-1))*$O209)),0)</f>
        <v>0.87883531449999996</v>
      </c>
      <c r="CL209" s="93">
        <f>IF(AND($T209=1,CL$5&lt;=$H209),CK209*(1-AV209)*(1-MIN(1,MAX(Assumptions!$C$27,Assumptions!$C$13*Assumptions!$C$28^(CK$5-1))*$O209)),0)</f>
        <v>0.78806261546036127</v>
      </c>
      <c r="CM209" s="93">
        <f>IF(AND($T209=1,CM$5&lt;=$H209),CL209*(1-AW209)*(1-MIN(1,MAX(Assumptions!$C$27,Assumptions!$C$13*Assumptions!$C$28^(CL$5-1))*$O209)),0)</f>
        <v>0.71861972700691079</v>
      </c>
      <c r="CN209" s="93">
        <f>IF(AND($T209=1,CN$5&lt;=$H209),CM209*(1-AX209)*(1-MIN(1,MAX(Assumptions!$C$27,Assumptions!$C$13*Assumptions!$C$28^(CM$5-1))*$O209)),0)</f>
        <v>0.66454106739058827</v>
      </c>
      <c r="CO209" s="93">
        <f>IF(AND($T209=1,CO$5&lt;=$H209),CN209*(1-AY209)*(1-MIN(1,MAX(Assumptions!$C$27,Assumptions!$C$13*Assumptions!$C$28^(CN$5-1))*$O209)),0)</f>
        <v>0.62177837080935494</v>
      </c>
      <c r="CP209" s="93">
        <f>IF(AND($T209=1,CP$5&lt;=$H209),CO209*(1-AZ209)*(1-MIN(1,MAX(Assumptions!$C$27,Assumptions!$C$13*Assumptions!$C$28^(CO$5-1))*$O209)),0)</f>
        <v>0.5875097096985229</v>
      </c>
      <c r="CQ209" s="93">
        <f>IF(AND($T209=1,CQ$5&lt;=$H209),CP209*(1-BA209)*(1-MIN(1,MAX(Assumptions!$C$27,Assumptions!$C$13*Assumptions!$C$28^(CP$5-1))*$O209)),0)</f>
        <v>0.55972048578132039</v>
      </c>
      <c r="CR209" s="93">
        <f>IF(AND($T209=1,CR$5&lt;=$H209),CQ209*(1-BB209)*(1-MIN(1,MAX(Assumptions!$C$27,Assumptions!$C$13*Assumptions!$C$28^(CQ$5-1))*$O209)),0)</f>
        <v>0.53694146150314292</v>
      </c>
      <c r="CS209" s="93">
        <f>IF(AND($T209=1,CS$5&lt;=$H209),CR209*(1-BC209)*(1-MIN(1,MAX(Assumptions!$C$27,Assumptions!$C$13*Assumptions!$C$28^(CR$5-1))*$O209)),0)</f>
        <v>0.51808042992385128</v>
      </c>
      <c r="CT209" s="93">
        <f>IF(AND($T209=1,CT$5&lt;=$H209),CS209*(1-BD209)*(1-MIN(1,MAX(Assumptions!$C$27,Assumptions!$C$13*Assumptions!$C$28^(CS$5-1))*$O209)),0)</f>
        <v>0.50231134894396545</v>
      </c>
      <c r="CU209" s="93">
        <f>IF(AND($T209=1,CU$5&lt;=$H209),CT209*(1-BE209)*(1-MIN(1,MAX(Assumptions!$C$27,Assumptions!$C$13*Assumptions!$C$28^(CT$5-1))*$O209)),0)</f>
        <v>0.4889996671068032</v>
      </c>
      <c r="CV209" s="93">
        <f>IF(AND($T209=1,CV$5&lt;=$H209),CU209*(1-BF209)*(1-MIN(1,MAX(Assumptions!$C$27,Assumptions!$C$13*Assumptions!$C$28^(CU$5-1))*$O209)),0)</f>
        <v>0.47765098523181582</v>
      </c>
      <c r="CW209" s="93">
        <f>IF(AND($T209=1,CW$5&lt;=$H209),CV209*(1-BG209)*(1-MIN(1,MAX(Assumptions!$C$27,Assumptions!$C$13*Assumptions!$C$28^(CV$5-1))*$O209)),0)</f>
        <v>0.46647993968841328</v>
      </c>
      <c r="CX209" s="93">
        <f>IF(AND($T209=1,CX$5&lt;=$H209),CW209*(1-BH209)*(1-MIN(1,MAX(Assumptions!$C$27,Assumptions!$C$13*Assumptions!$C$28^(CW$5-1))*$O209)),0)</f>
        <v>0.45543854765990655</v>
      </c>
      <c r="CY209" s="93">
        <f>IF(AND($T209=1,CY$5&lt;=$H209),CX209*(1-BI209)*(1-MIN(1,MAX(Assumptions!$C$27,Assumptions!$C$13*Assumptions!$C$28^(CX$5-1))*$O209)),0)</f>
        <v>0.44451930526849104</v>
      </c>
      <c r="CZ209" s="93">
        <f>IF(AND($T209=1,CZ$5&lt;=$H209),CY209*(1-BJ209)*(1-MIN(1,MAX(Assumptions!$C$27,Assumptions!$C$13*Assumptions!$C$28^(CY$5-1))*$O209)),0)</f>
        <v>0.43371468052774798</v>
      </c>
      <c r="DA209" s="93">
        <f>IF(AND($T209=1,DA$5&lt;=$H209),CZ209*(1-BK209)*(1-MIN(1,MAX(Assumptions!$C$27,Assumptions!$C$13*Assumptions!$C$28^(CZ$5-1))*$O209)),0)</f>
        <v>0.42301712022718274</v>
      </c>
      <c r="DB209" s="93">
        <f>IF(AND($T209=1,DB$5&lt;=$H209),DA209*(1-BL209)*(1-MIN(1,MAX(Assumptions!$C$27,Assumptions!$C$13*Assumptions!$C$28^(DA$5-1))*$O209)),0)</f>
        <v>0.41241905934091166</v>
      </c>
      <c r="DC209" s="93">
        <f>IF(AND($T209=1,DC$5&lt;=$H209),DB209*(1-BM209)*(1-MIN(1,MAX(Assumptions!$C$27,Assumptions!$C$13*Assumptions!$C$28^(DB$5-1))*$O209)),0)</f>
        <v>0.4019129333394752</v>
      </c>
      <c r="DD209" s="93">
        <f>IF(AND($T209=1,DD$5&lt;=$H209),DC209*(1-BN209)*(1-MIN(1,MAX(Assumptions!$C$27,Assumptions!$C$13*Assumptions!$C$28^(DC$5-1))*$O209)),0)</f>
        <v>0</v>
      </c>
      <c r="DE209" s="93">
        <f>IF(AND($T209=1,DE$5&lt;=$H209),DD209*(1-BO209)*(1-MIN(1,MAX(Assumptions!$C$27,Assumptions!$C$13*Assumptions!$C$28^(DD$5-1))*$O209)),0)</f>
        <v>0</v>
      </c>
      <c r="DF209" s="93">
        <f>IF(AND($T209=1,DF$5&lt;=$H209),DE209*(1-BP209)*(1-MIN(1,MAX(Assumptions!$C$27,Assumptions!$C$13*Assumptions!$C$28^(DE$5-1))*$O209)),0)</f>
        <v>0</v>
      </c>
      <c r="DG209" s="93">
        <f>IF(AND($T209=1,DG$5&lt;=$H209),DF209*(1-BQ209)*(1-MIN(1,MAX(Assumptions!$C$27,Assumptions!$C$13*Assumptions!$C$28^(DF$5-1))*$O209)),0)</f>
        <v>0</v>
      </c>
      <c r="DH209" s="93">
        <f>IF(AND($T209=1,DH$5&lt;=$H209),DG209*(1-BR209)*(1-MIN(1,MAX(Assumptions!$C$27,Assumptions!$C$13*Assumptions!$C$28^(DG$5-1))*$O209)),0)</f>
        <v>0</v>
      </c>
      <c r="DI209" s="93">
        <f>IF(AND($T209=1,DI$5&lt;=$H209),DH209*(1-BS209)*(1-MIN(1,MAX(Assumptions!$C$27,Assumptions!$C$13*Assumptions!$C$28^(DH$5-1))*$O209)),0)</f>
        <v>0</v>
      </c>
      <c r="DJ209" s="93">
        <f>IF(AND($T209=1,DJ$5&lt;=$H209),DI209*(1-BT209)*(1-MIN(1,MAX(Assumptions!$C$27,Assumptions!$C$13*Assumptions!$C$28^(DI$5-1))*$O209)),0)</f>
        <v>0</v>
      </c>
      <c r="DK209" s="93">
        <f>IF(AND($T209=1,DK$5&lt;=$H209),DJ209*(1-BU209)*(1-MIN(1,MAX(Assumptions!$C$27,Assumptions!$C$13*Assumptions!$C$28^(DJ$5-1))*$O209)),0)</f>
        <v>0</v>
      </c>
      <c r="DL209" s="93">
        <f>IF(AND($T209=1,DL$5&lt;=$H209),DK209*(1-BV209)*(1-MIN(1,MAX(Assumptions!$C$27,Assumptions!$C$13*Assumptions!$C$28^(DK$5-1))*$O209)),0)</f>
        <v>0</v>
      </c>
      <c r="DM209" s="93">
        <f>IF(AND($T209=1,DM$5&lt;=$H209),DL209*(1-BW209)*(1-MIN(1,MAX(Assumptions!$C$27,Assumptions!$C$13*Assumptions!$C$28^(DL$5-1))*$O209)),0)</f>
        <v>0</v>
      </c>
      <c r="DN209" s="93">
        <f>IF(AND($T209=1,DN$5&lt;=$H209),DM209*(1-BX209)*(1-MIN(1,MAX(Assumptions!$C$27,Assumptions!$C$13*Assumptions!$C$28^(DM$5-1))*$O209)),0)</f>
        <v>0</v>
      </c>
      <c r="DO209" s="93">
        <f>IF(AND($T209=1,DO$5&lt;=$H209),DN209*(1-BY209)*(1-MIN(1,MAX(Assumptions!$C$27,Assumptions!$C$13*Assumptions!$C$28^(DN$5-1))*$O209)),0)</f>
        <v>0</v>
      </c>
      <c r="DP209" s="93">
        <f>IF(AND($T209=1,DP$5&lt;=$H209),DO209*(1-BZ209)*(1-MIN(1,MAX(Assumptions!$C$27,Assumptions!$C$13*Assumptions!$C$28^(DO$5-1))*$O209)),0)</f>
        <v>0</v>
      </c>
      <c r="DQ209" s="93">
        <f>IF(AND($T209=1,DQ$5&lt;=$H209),DP209*(1-CA209)*(1-MIN(1,MAX(Assumptions!$C$27,Assumptions!$C$13*Assumptions!$C$28^(DP$5-1))*$O209)),0)</f>
        <v>0</v>
      </c>
      <c r="DR209" s="93">
        <f>IF(AND($T209=1,DR$5&lt;=$H209),DQ209*(1-CB209)*(1-MIN(1,MAX(Assumptions!$C$27,Assumptions!$C$13*Assumptions!$C$28^(DQ$5-1))*$O209)),0)</f>
        <v>0</v>
      </c>
      <c r="DS209" s="93">
        <f>IF(AND($T209=1,DS$5&lt;=$H209),DR209*(1-CC209)*(1-MIN(1,MAX(Assumptions!$C$27,Assumptions!$C$13*Assumptions!$C$28^(DR$5-1))*$O209)),0)</f>
        <v>0</v>
      </c>
      <c r="DT209" s="93">
        <f>IF(AND($T209=1,DT$5&lt;=$H209),DS209*(1-CD209)*(1-MIN(1,MAX(Assumptions!$C$27,Assumptions!$C$13*Assumptions!$C$28^(DS$5-1))*$O209)),0)</f>
        <v>0</v>
      </c>
      <c r="DU209" s="93">
        <f>IF(AND($T209=1,DU$5&lt;=$H209),DT209*(1-CE209)*(1-MIN(1,MAX(Assumptions!$C$27,Assumptions!$C$13*Assumptions!$C$28^(DT$5-1))*$O209)),0)</f>
        <v>0</v>
      </c>
      <c r="DV209" s="93">
        <f>IF(AND($T209=1,DV$5&lt;=$H209),DU209*(1-CF209)*(1-MIN(1,MAX(Assumptions!$C$27,Assumptions!$C$13*Assumptions!$C$28^(DU$5-1))*$O209)),0)</f>
        <v>0</v>
      </c>
      <c r="DW209" s="94">
        <f>IF(AND($T209=1,DW$5&lt;=$H209),DV209*(1-CG209)*(1-MIN(1,MAX(Assumptions!$C$27,Assumptions!$C$13*Assumptions!$C$28^(DV$5-1))*$O209)),0)</f>
        <v>0</v>
      </c>
      <c r="DX209" s="26"/>
      <c r="DY209" s="399">
        <f>'Policy Data'!K183</f>
        <v>2</v>
      </c>
      <c r="DZ209" s="100">
        <f>'Policy Data'!L183</f>
        <v>0.77100000000000002</v>
      </c>
      <c r="EA209" s="100">
        <f>'Policy Data'!N183</f>
        <v>1.0200000000000001E-3</v>
      </c>
      <c r="EB209" s="93" cm="1">
        <f t="array" ref="EB209">IFERROR(DZ209*INDEX(Mortality!$B$4:$E$64,MATCH(D209+DY209-1,Mortality!$A$4:$A$64,0),U209)*V209,0)</f>
        <v>1.1054113847558369E-3</v>
      </c>
      <c r="EC209" s="100">
        <f>'Policy Data'!O183</f>
        <v>0</v>
      </c>
      <c r="ED209" s="400">
        <f>'Policy Data'!Q183</f>
        <v>0</v>
      </c>
    </row>
    <row r="210" spans="1:134" x14ac:dyDescent="0.3">
      <c r="A210" s="399" t="str">
        <f>'Policy Data'!A184</f>
        <v>POL100180</v>
      </c>
      <c r="B210" s="26" t="s">
        <v>426</v>
      </c>
      <c r="C210" s="100" t="str">
        <f>'Policy Data'!B184</f>
        <v>Term Life</v>
      </c>
      <c r="D210" s="100">
        <f>'Policy Data'!C184</f>
        <v>33</v>
      </c>
      <c r="E210" s="100" t="str">
        <f>'Policy Data'!D184</f>
        <v>Male</v>
      </c>
      <c r="F210" s="100" t="str">
        <f>'Policy Data'!E184</f>
        <v>Non-smoker</v>
      </c>
      <c r="G210" s="100" t="str">
        <f>'Policy Data'!F184</f>
        <v>Standard</v>
      </c>
      <c r="H210" s="100">
        <f>'Policy Data'!G184</f>
        <v>25</v>
      </c>
      <c r="I210" s="279">
        <f>'Policy Data'!H184</f>
        <v>500000</v>
      </c>
      <c r="J210" s="100" t="str">
        <f>'Policy Data'!I184</f>
        <v>Annual</v>
      </c>
      <c r="K210" s="100" t="str">
        <f>'Policy Data'!J184</f>
        <v>Bancassurance</v>
      </c>
      <c r="L210" s="26" t="s">
        <v>389</v>
      </c>
      <c r="M210" s="106">
        <f>'Policy Data'!R184</f>
        <v>1200</v>
      </c>
      <c r="N210" s="415">
        <f>Assumptions!$C$21</f>
        <v>1</v>
      </c>
      <c r="O210" s="415">
        <f>Assumptions!$C$22</f>
        <v>1</v>
      </c>
      <c r="P210" s="415">
        <f>Assumptions!$C$23</f>
        <v>1</v>
      </c>
      <c r="Q210" s="416">
        <f>Assumptions!$C$24</f>
        <v>0</v>
      </c>
      <c r="R210" s="416">
        <f>Assumptions!$C$6+Assumptions!$C$25</f>
        <v>3.5000000000000003E-2</v>
      </c>
      <c r="S210" s="416">
        <f>Assumptions!$C$15</f>
        <v>1.1000000000000001E-3</v>
      </c>
      <c r="T210" s="26">
        <f t="shared" si="54"/>
        <v>1</v>
      </c>
      <c r="U210" s="26">
        <f t="shared" si="55"/>
        <v>3</v>
      </c>
      <c r="V210" s="389">
        <f>IF($G210="Preferred",Assumptions!$C$30,IF($G210="Rated",Assumptions!$C$31,1))</f>
        <v>1</v>
      </c>
      <c r="W210" s="390">
        <f>IF($K210="Direct",Assumptions!$C$32,IF($K210="Broker",Assumptions!$C$33,IF($K210="Bancassurance",Assumptions!$C$34,Assumptions!$C$11)))+$Q210</f>
        <v>0.2</v>
      </c>
      <c r="X210" s="390">
        <f>Assumptions!$C$12+$Q210</f>
        <v>0.05</v>
      </c>
      <c r="Y210" s="131">
        <f>MIN($I210,Assumptions!$C$14)</f>
        <v>500000</v>
      </c>
      <c r="Z210" s="131">
        <f>MAX($I210-Assumptions!$C$14,0)</f>
        <v>0</v>
      </c>
      <c r="AA210" s="389">
        <f t="shared" si="56"/>
        <v>9.4526421243429333</v>
      </c>
      <c r="AB210" s="389">
        <f t="shared" si="57"/>
        <v>1.4273659642895085E-2</v>
      </c>
      <c r="AC210" s="389">
        <f>IF($T210=1,SUMPRODUCT($CJ210:$DW210,(1+Assumptions!$C$5)^($CJ$5:$DW$5-1),(1+$R210)^(-$CJ$5:$DW$5)),0)</f>
        <v>13.610221619770382</v>
      </c>
      <c r="AD210" s="389">
        <f t="shared" si="58"/>
        <v>0.61755964244903072</v>
      </c>
      <c r="AE210" s="131">
        <f>IF($T210=1,$AB210*$Y210+(Assumptions!$C$9/(1+$R210)+Assumptions!$C$10*$AC210)*$P210+$S210*$Z210*$AA210,0)</f>
        <v>11000.643795188331</v>
      </c>
      <c r="AF210" s="131">
        <f>IF($T210=1,IF($AA210-$AD210-Assumptions!$C$16*$AA210&gt;0,$AE210/($AA210-$AD210-Assumptions!$C$16*$AA210)*IF($J210="Monthly",1+Assumptions!$C$29,1),"n.a."),"")</f>
        <v>1361.6560584710098</v>
      </c>
      <c r="AG210" s="131">
        <f t="shared" si="59"/>
        <v>1200</v>
      </c>
      <c r="AH210" s="131">
        <f t="shared" si="60"/>
        <v>11343.17054921152</v>
      </c>
      <c r="AI210" s="131">
        <f t="shared" si="61"/>
        <v>-398.54481691564797</v>
      </c>
      <c r="AJ210" s="390">
        <f t="shared" si="62"/>
        <v>-3.5135222130936873E-2</v>
      </c>
      <c r="AK210" s="389">
        <f t="shared" si="63"/>
        <v>0.88127981551190548</v>
      </c>
      <c r="AL210" s="131">
        <f t="shared" si="64"/>
        <v>0</v>
      </c>
      <c r="AM210" s="131">
        <f t="shared" si="65"/>
        <v>0</v>
      </c>
      <c r="AN210" s="131">
        <f t="shared" si="66"/>
        <v>0</v>
      </c>
      <c r="AO210" s="131">
        <f t="shared" si="67"/>
        <v>-398.54481691564797</v>
      </c>
      <c r="AP210" s="26" t="str">
        <f t="shared" si="68"/>
        <v>30-39</v>
      </c>
      <c r="AQ210" s="26" t="str">
        <f t="shared" si="69"/>
        <v>250k-500k</v>
      </c>
      <c r="AR210" s="26" t="str">
        <f>IF($T210=1,IF($AI210&lt;0,"Loss-making",IF($AJ210&lt;Assumptions!$C$16-0.00001,"Below target","At/above target")),"Excluded")</f>
        <v>Loss-making</v>
      </c>
      <c r="AS210" s="103">
        <f t="shared" si="70"/>
        <v>-398.54460691564799</v>
      </c>
      <c r="AT210" s="26"/>
      <c r="AU210" s="419">
        <f>IF(AND($T210=1,AU$5&lt;=$H210),INDEX(Mortality!$B$4:$E$64,MATCH($D210+AU$5-1,Mortality!$A$4:$A$64,0),$U210)*$V210*$N210,0)</f>
        <v>6.5787143529132705E-4</v>
      </c>
      <c r="AV210" s="93">
        <f>IF(AND($T210=1,AV$5&lt;=$H210),INDEX(Mortality!$B$4:$E$64,MATCH($D210+AV$5-1,Mortality!$A$4:$A$64,0),$U210)*$V210*$N210,0)</f>
        <v>7.1266361804385805E-4</v>
      </c>
      <c r="AW210" s="93">
        <f>IF(AND($T210=1,AW$5&lt;=$H210),INDEX(Mortality!$B$4:$E$64,MATCH($D210+AW$5-1,Mortality!$A$4:$A$64,0),$U210)*$V210*$N210,0)</f>
        <v>7.7201928102935699E-4</v>
      </c>
      <c r="AX210" s="93">
        <f>IF(AND($T210=1,AX$5&lt;=$H210),INDEX(Mortality!$B$4:$E$64,MATCH($D210+AX$5-1,Mortality!$A$4:$A$64,0),$U210)*$V210*$N210,0)</f>
        <v>8.3631850313482196E-4</v>
      </c>
      <c r="AY210" s="93">
        <f>IF(AND($T210=1,AY$5&lt;=$H210),INDEX(Mortality!$B$4:$E$64,MATCH($D210+AY$5-1,Mortality!$A$4:$A$64,0),$U210)*$V210*$N210,0)</f>
        <v>9.0597301890323197E-4</v>
      </c>
      <c r="AZ210" s="93">
        <f>IF(AND($T210=1,AZ$5&lt;=$H210),INDEX(Mortality!$B$4:$E$64,MATCH($D210+AZ$5-1,Mortality!$A$4:$A$64,0),$U210)*$V210*$N210,0)</f>
        <v>9.8142885504031189E-4</v>
      </c>
      <c r="BA210" s="93">
        <f>IF(AND($T210=1,BA$5&lt;=$H210),INDEX(Mortality!$B$4:$E$64,MATCH($D210+BA$5-1,Mortality!$A$4:$A$64,0),$U210)*$V210*$N210,0)</f>
        <v>1.06316918650821E-3</v>
      </c>
      <c r="BB210" s="93">
        <f>IF(AND($T210=1,BB$5&lt;=$H210),INDEX(Mortality!$B$4:$E$64,MATCH($D210+BB$5-1,Mortality!$A$4:$A$64,0),$U210)*$V210*$N210,0)</f>
        <v>1.1517174304948501E-3</v>
      </c>
      <c r="BC210" s="93">
        <f>IF(AND($T210=1,BC$5&lt;=$H210),INDEX(Mortality!$B$4:$E$64,MATCH($D210+BC$5-1,Mortality!$A$4:$A$64,0),$U210)*$V210*$N210,0)</f>
        <v>1.24764059807091E-3</v>
      </c>
      <c r="BD210" s="93">
        <f>IF(AND($T210=1,BD$5&lt;=$H210),INDEX(Mortality!$B$4:$E$64,MATCH($D210+BD$5-1,Mortality!$A$4:$A$64,0),$U210)*$V210*$N210,0)</f>
        <v>1.3515529249964601E-3</v>
      </c>
      <c r="BE210" s="93">
        <f>IF(AND($T210=1,BE$5&lt;=$H210),INDEX(Mortality!$B$4:$E$64,MATCH($D210+BE$5-1,Mortality!$A$4:$A$64,0),$U210)*$V210*$N210,0)</f>
        <v>1.4641198049269301E-3</v>
      </c>
      <c r="BF210" s="93">
        <f>IF(AND($T210=1,BF$5&lt;=$H210),INDEX(Mortality!$B$4:$E$64,MATCH($D210+BF$5-1,Mortality!$A$4:$A$64,0),$U210)*$V210*$N210,0)</f>
        <v>1.58606205020413E-3</v>
      </c>
      <c r="BG210" s="93">
        <f>IF(AND($T210=1,BG$5&lt;=$H210),INDEX(Mortality!$B$4:$E$64,MATCH($D210+BG$5-1,Mortality!$A$4:$A$64,0),$U210)*$V210*$N210,0)</f>
        <v>1.71816050751616E-3</v>
      </c>
      <c r="BH210" s="93">
        <f>IF(AND($T210=1,BH$5&lt;=$H210),INDEX(Mortality!$B$4:$E$64,MATCH($D210+BH$5-1,Mortality!$A$4:$A$64,0),$U210)*$V210*$N210,0)</f>
        <v>1.8612610579820999E-3</v>
      </c>
      <c r="BI210" s="93">
        <f>IF(AND($T210=1,BI$5&lt;=$H210),INDEX(Mortality!$B$4:$E$64,MATCH($D210+BI$5-1,Mortality!$A$4:$A$64,0),$U210)*$V210*$N210,0)</f>
        <v>2.0162800336790201E-3</v>
      </c>
      <c r="BJ210" s="93">
        <f>IF(AND($T210=1,BJ$5&lt;=$H210),INDEX(Mortality!$B$4:$E$64,MATCH($D210+BJ$5-1,Mortality!$A$4:$A$64,0),$U210)*$V210*$N210,0)</f>
        <v>2.1842100852957199E-3</v>
      </c>
      <c r="BK210" s="93">
        <f>IF(AND($T210=1,BK$5&lt;=$H210),INDEX(Mortality!$B$4:$E$64,MATCH($D210+BK$5-1,Mortality!$A$4:$A$64,0),$U210)*$V210*$N210,0)</f>
        <v>2.3661265384860701E-3</v>
      </c>
      <c r="BL210" s="93">
        <f>IF(AND($T210=1,BL$5&lt;=$H210),INDEX(Mortality!$B$4:$E$64,MATCH($D210+BL$5-1,Mortality!$A$4:$A$64,0),$U210)*$V210*$N210,0)</f>
        <v>2.5631942796244698E-3</v>
      </c>
      <c r="BM210" s="93">
        <f>IF(AND($T210=1,BM$5&lt;=$H210),INDEX(Mortality!$B$4:$E$64,MATCH($D210+BM$5-1,Mortality!$A$4:$A$64,0),$U210)*$V210*$N210,0)</f>
        <v>2.7766752150556202E-3</v>
      </c>
      <c r="BN210" s="93">
        <f>IF(AND($T210=1,BN$5&lt;=$H210),INDEX(Mortality!$B$4:$E$64,MATCH($D210+BN$5-1,Mortality!$A$4:$A$64,0),$U210)*$V210*$N210,0)</f>
        <v>3.0079363516033399E-3</v>
      </c>
      <c r="BO210" s="93">
        <f>IF(AND($T210=1,BO$5&lt;=$H210),INDEX(Mortality!$B$4:$E$64,MATCH($D210+BO$5-1,Mortality!$A$4:$A$64,0),$U210)*$V210*$N210,0)</f>
        <v>3.2584585500813001E-3</v>
      </c>
      <c r="BP210" s="93">
        <f>IF(AND($T210=1,BP$5&lt;=$H210),INDEX(Mortality!$B$4:$E$64,MATCH($D210+BP$5-1,Mortality!$A$4:$A$64,0),$U210)*$V210*$N210,0)</f>
        <v>3.5298460078579601E-3</v>
      </c>
      <c r="BQ210" s="93">
        <f>IF(AND($T210=1,BQ$5&lt;=$H210),INDEX(Mortality!$B$4:$E$64,MATCH($D210+BQ$5-1,Mortality!$A$4:$A$64,0),$U210)*$V210*$N210,0)</f>
        <v>3.8238365311966099E-3</v>
      </c>
      <c r="BR210" s="93">
        <f>IF(AND($T210=1,BR$5&lt;=$H210),INDEX(Mortality!$B$4:$E$64,MATCH($D210+BR$5-1,Mortality!$A$4:$A$64,0),$U210)*$V210*$N210,0)</f>
        <v>4.1423126631483596E-3</v>
      </c>
      <c r="BS210" s="93">
        <f>IF(AND($T210=1,BS$5&lt;=$H210),INDEX(Mortality!$B$4:$E$64,MATCH($D210+BS$5-1,Mortality!$A$4:$A$64,0),$U210)*$V210*$N210,0)</f>
        <v>4.4873137382548398E-3</v>
      </c>
      <c r="BT210" s="93">
        <f>IF(AND($T210=1,BT$5&lt;=$H210),INDEX(Mortality!$B$4:$E$64,MATCH($D210+BT$5-1,Mortality!$A$4:$A$64,0),$U210)*$V210*$N210,0)</f>
        <v>0</v>
      </c>
      <c r="BU210" s="93">
        <f>IF(AND($T210=1,BU$5&lt;=$H210),INDEX(Mortality!$B$4:$E$64,MATCH($D210+BU$5-1,Mortality!$A$4:$A$64,0),$U210)*$V210*$N210,0)</f>
        <v>0</v>
      </c>
      <c r="BV210" s="93">
        <f>IF(AND($T210=1,BV$5&lt;=$H210),INDEX(Mortality!$B$4:$E$64,MATCH($D210+BV$5-1,Mortality!$A$4:$A$64,0),$U210)*$V210*$N210,0)</f>
        <v>0</v>
      </c>
      <c r="BW210" s="93">
        <f>IF(AND($T210=1,BW$5&lt;=$H210),INDEX(Mortality!$B$4:$E$64,MATCH($D210+BW$5-1,Mortality!$A$4:$A$64,0),$U210)*$V210*$N210,0)</f>
        <v>0</v>
      </c>
      <c r="BX210" s="93">
        <f>IF(AND($T210=1,BX$5&lt;=$H210),INDEX(Mortality!$B$4:$E$64,MATCH($D210+BX$5-1,Mortality!$A$4:$A$64,0),$U210)*$V210*$N210,0)</f>
        <v>0</v>
      </c>
      <c r="BY210" s="93">
        <f>IF(AND($T210=1,BY$5&lt;=$H210),INDEX(Mortality!$B$4:$E$64,MATCH($D210+BY$5-1,Mortality!$A$4:$A$64,0),$U210)*$V210*$N210,0)</f>
        <v>0</v>
      </c>
      <c r="BZ210" s="93">
        <f>IF(AND($T210=1,BZ$5&lt;=$H210),INDEX(Mortality!$B$4:$E$64,MATCH($D210+BZ$5-1,Mortality!$A$4:$A$64,0),$U210)*$V210*$N210,0)</f>
        <v>0</v>
      </c>
      <c r="CA210" s="93">
        <f>IF(AND($T210=1,CA$5&lt;=$H210),INDEX(Mortality!$B$4:$E$64,MATCH($D210+CA$5-1,Mortality!$A$4:$A$64,0),$U210)*$V210*$N210,0)</f>
        <v>0</v>
      </c>
      <c r="CB210" s="93">
        <f>IF(AND($T210=1,CB$5&lt;=$H210),INDEX(Mortality!$B$4:$E$64,MATCH($D210+CB$5-1,Mortality!$A$4:$A$64,0),$U210)*$V210*$N210,0)</f>
        <v>0</v>
      </c>
      <c r="CC210" s="93">
        <f>IF(AND($T210=1,CC$5&lt;=$H210),INDEX(Mortality!$B$4:$E$64,MATCH($D210+CC$5-1,Mortality!$A$4:$A$64,0),$U210)*$V210*$N210,0)</f>
        <v>0</v>
      </c>
      <c r="CD210" s="93">
        <f>IF(AND($T210=1,CD$5&lt;=$H210),INDEX(Mortality!$B$4:$E$64,MATCH($D210+CD$5-1,Mortality!$A$4:$A$64,0),$U210)*$V210*$N210,0)</f>
        <v>0</v>
      </c>
      <c r="CE210" s="93">
        <f>IF(AND($T210=1,CE$5&lt;=$H210),INDEX(Mortality!$B$4:$E$64,MATCH($D210+CE$5-1,Mortality!$A$4:$A$64,0),$U210)*$V210*$N210,0)</f>
        <v>0</v>
      </c>
      <c r="CF210" s="93">
        <f>IF(AND($T210=1,CF$5&lt;=$H210),INDEX(Mortality!$B$4:$E$64,MATCH($D210+CF$5-1,Mortality!$A$4:$A$64,0),$U210)*$V210*$N210,0)</f>
        <v>0</v>
      </c>
      <c r="CG210" s="93">
        <f>IF(AND($T210=1,CG$5&lt;=$H210),INDEX(Mortality!$B$4:$E$64,MATCH($D210+CG$5-1,Mortality!$A$4:$A$64,0),$U210)*$V210*$N210,0)</f>
        <v>0</v>
      </c>
      <c r="CH210" s="94">
        <f>IF(AND($T210=1,CH$5&lt;=$H210),INDEX(Mortality!$B$4:$E$64,MATCH($D210+CH$5-1,Mortality!$A$4:$A$64,0),$U210)*$V210*$N210,0)</f>
        <v>0</v>
      </c>
      <c r="CI210" s="26"/>
      <c r="CJ210" s="419">
        <f t="shared" si="71"/>
        <v>1</v>
      </c>
      <c r="CK210" s="93">
        <f>IF(AND($T210=1,CK$5&lt;=$H210),CJ210*(1-AU210)*(1-MIN(1,MAX(Assumptions!$C$27,Assumptions!$C$13*Assumptions!$C$28^(CJ$5-1))*$O210)),0)</f>
        <v>0.87942107313694373</v>
      </c>
      <c r="CL210" s="93">
        <f>IF(AND($T210=1,CL$5&lt;=$H210),CK210*(1-AV210)*(1-MIN(1,MAX(Assumptions!$C$27,Assumptions!$C$13*Assumptions!$C$28^(CK$5-1))*$O210)),0)</f>
        <v>0.78915731887639384</v>
      </c>
      <c r="CM210" s="93">
        <f>IF(AND($T210=1,CM$5&lt;=$H210),CL210*(1-AW210)*(1-MIN(1,MAX(Assumptions!$C$27,Assumptions!$C$13*Assumptions!$C$28^(CL$5-1))*$O210)),0)</f>
        <v>0.72018095617640931</v>
      </c>
      <c r="CN210" s="93">
        <f>IF(AND($T210=1,CN$5&lt;=$H210),CM210*(1-AX210)*(1-MIN(1,MAX(Assumptions!$C$27,Assumptions!$C$13*Assumptions!$C$28^(CM$5-1))*$O210)),0)</f>
        <v>0.66654930649881705</v>
      </c>
      <c r="CO210" s="93">
        <f>IF(AND($T210=1,CO$5&lt;=$H210),CN210*(1-AY210)*(1-MIN(1,MAX(Assumptions!$C$27,Assumptions!$C$13*Assumptions!$C$28^(CN$5-1))*$O210)),0)</f>
        <v>0.62423010956626379</v>
      </c>
      <c r="CP210" s="93">
        <f>IF(AND($T210=1,CP$5&lt;=$H210),CO210*(1-AZ210)*(1-MIN(1,MAX(Assumptions!$C$27,Assumptions!$C$13*Assumptions!$C$28^(CO$5-1))*$O210)),0)</f>
        <v>0.59041318588261249</v>
      </c>
      <c r="CQ210" s="93">
        <f>IF(AND($T210=1,CQ$5&lt;=$H210),CP210*(1-BA210)*(1-MIN(1,MAX(Assumptions!$C$27,Assumptions!$C$13*Assumptions!$C$28^(CP$5-1))*$O210)),0)</f>
        <v>0.5630929999494233</v>
      </c>
      <c r="CR210" s="93">
        <f>IF(AND($T210=1,CR$5&lt;=$H210),CQ210*(1-BB210)*(1-MIN(1,MAX(Assumptions!$C$27,Assumptions!$C$13*Assumptions!$C$28^(CQ$5-1))*$O210)),0)</f>
        <v>0.54080765843690914</v>
      </c>
      <c r="CS210" s="93">
        <f>IF(AND($T210=1,CS$5&lt;=$H210),CR210*(1-BC210)*(1-MIN(1,MAX(Assumptions!$C$27,Assumptions!$C$13*Assumptions!$C$28^(CR$5-1))*$O210)),0)</f>
        <v>0.52247119233261885</v>
      </c>
      <c r="CT210" s="93">
        <f>IF(AND($T210=1,CT$5&lt;=$H210),CS210*(1-BD210)*(1-MIN(1,MAX(Assumptions!$C$27,Assumptions!$C$13*Assumptions!$C$28^(CS$5-1))*$O210)),0)</f>
        <v>0.50726308970013823</v>
      </c>
      <c r="CU210" s="93">
        <f>IF(AND($T210=1,CU$5&lt;=$H210),CT210*(1-BE210)*(1-MIN(1,MAX(Assumptions!$C$27,Assumptions!$C$13*Assumptions!$C$28^(CT$5-1))*$O210)),0)</f>
        <v>0.49455388761989938</v>
      </c>
      <c r="CV210" s="93">
        <f>IF(AND($T210=1,CV$5&lt;=$H210),CU210*(1-BF210)*(1-MIN(1,MAX(Assumptions!$C$27,Assumptions!$C$13*Assumptions!$C$28^(CU$5-1))*$O210)),0)</f>
        <v>0.48385401580627457</v>
      </c>
      <c r="CW210" s="93">
        <f>IF(AND($T210=1,CW$5&lt;=$H210),CV210*(1-BG210)*(1-MIN(1,MAX(Assumptions!$C$27,Assumptions!$C$13*Assumptions!$C$28^(CV$5-1))*$O210)),0)</f>
        <v>0.47336222340601486</v>
      </c>
      <c r="CX210" s="93">
        <f>IF(AND($T210=1,CX$5&lt;=$H210),CW210*(1-BH210)*(1-MIN(1,MAX(Assumptions!$C$27,Assumptions!$C$13*Assumptions!$C$28^(CW$5-1))*$O210)),0)</f>
        <v>0.46303154927860402</v>
      </c>
      <c r="CY210" s="93">
        <f>IF(AND($T210=1,CY$5&lt;=$H210),CX210*(1-BI210)*(1-MIN(1,MAX(Assumptions!$C$27,Assumptions!$C$13*Assumptions!$C$28^(CX$5-1))*$O210)),0)</f>
        <v>0.45285598905061347</v>
      </c>
      <c r="CZ210" s="93">
        <f>IF(AND($T210=1,CZ$5&lt;=$H210),CY210*(1-BJ210)*(1-MIN(1,MAX(Assumptions!$C$27,Assumptions!$C$13*Assumptions!$C$28^(CY$5-1))*$O210)),0)</f>
        <v>0.44282951930349973</v>
      </c>
      <c r="DA210" s="93">
        <f>IF(AND($T210=1,DA$5&lt;=$H210),CZ210*(1-BK210)*(1-MIN(1,MAX(Assumptions!$C$27,Assumptions!$C$13*Assumptions!$C$28^(CZ$5-1))*$O210)),0)</f>
        <v>0.43294609405333367</v>
      </c>
      <c r="DB210" s="93">
        <f>IF(AND($T210=1,DB$5&lt;=$H210),DA210*(1-BL210)*(1-MIN(1,MAX(Assumptions!$C$27,Assumptions!$C$13*Assumptions!$C$28^(DA$5-1))*$O210)),0)</f>
        <v>0.42319964171963698</v>
      </c>
      <c r="DC210" s="93">
        <f>IF(AND($T210=1,DC$5&lt;=$H210),DB210*(1-BM210)*(1-MIN(1,MAX(Assumptions!$C$27,Assumptions!$C$13*Assumptions!$C$28^(DB$5-1))*$O210)),0)</f>
        <v>0.41358406268818459</v>
      </c>
      <c r="DD210" s="93">
        <f>IF(AND($T210=1,DD$5&lt;=$H210),DC210*(1-BN210)*(1-MIN(1,MAX(Assumptions!$C$27,Assumptions!$C$13*Assumptions!$C$28^(DC$5-1))*$O210)),0)</f>
        <v>0.40409322758854938</v>
      </c>
      <c r="DE210" s="93">
        <f>IF(AND($T210=1,DE$5&lt;=$H210),DD210*(1-BO210)*(1-MIN(1,MAX(Assumptions!$C$27,Assumptions!$C$13*Assumptions!$C$28^(DD$5-1))*$O210)),0)</f>
        <v>0.39472097642496179</v>
      </c>
      <c r="DF210" s="93">
        <f>IF(AND($T210=1,DF$5&lt;=$H210),DE210*(1-BP210)*(1-MIN(1,MAX(Assumptions!$C$27,Assumptions!$C$13*Assumptions!$C$28^(DE$5-1))*$O210)),0)</f>
        <v>0.38546111871886812</v>
      </c>
      <c r="DG210" s="93">
        <f>IF(AND($T210=1,DG$5&lt;=$H210),DF210*(1-BQ210)*(1-MIN(1,MAX(Assumptions!$C$27,Assumptions!$C$13*Assumptions!$C$28^(DF$5-1))*$O210)),0)</f>
        <v>0.37630743484351992</v>
      </c>
      <c r="DH210" s="93">
        <f>IF(AND($T210=1,DH$5&lt;=$H210),DG210*(1-BR210)*(1-MIN(1,MAX(Assumptions!$C$27,Assumptions!$C$13*Assumptions!$C$28^(DG$5-1))*$O210)),0)</f>
        <v>0.36725367875511211</v>
      </c>
      <c r="DI210" s="93">
        <f>IF(AND($T210=1,DI$5&lt;=$H210),DH210*(1-BS210)*(1-MIN(1,MAX(Assumptions!$C$27,Assumptions!$C$13*Assumptions!$C$28^(DH$5-1))*$O210)),0)</f>
        <v>0</v>
      </c>
      <c r="DJ210" s="93">
        <f>IF(AND($T210=1,DJ$5&lt;=$H210),DI210*(1-BT210)*(1-MIN(1,MAX(Assumptions!$C$27,Assumptions!$C$13*Assumptions!$C$28^(DI$5-1))*$O210)),0)</f>
        <v>0</v>
      </c>
      <c r="DK210" s="93">
        <f>IF(AND($T210=1,DK$5&lt;=$H210),DJ210*(1-BU210)*(1-MIN(1,MAX(Assumptions!$C$27,Assumptions!$C$13*Assumptions!$C$28^(DJ$5-1))*$O210)),0)</f>
        <v>0</v>
      </c>
      <c r="DL210" s="93">
        <f>IF(AND($T210=1,DL$5&lt;=$H210),DK210*(1-BV210)*(1-MIN(1,MAX(Assumptions!$C$27,Assumptions!$C$13*Assumptions!$C$28^(DK$5-1))*$O210)),0)</f>
        <v>0</v>
      </c>
      <c r="DM210" s="93">
        <f>IF(AND($T210=1,DM$5&lt;=$H210),DL210*(1-BW210)*(1-MIN(1,MAX(Assumptions!$C$27,Assumptions!$C$13*Assumptions!$C$28^(DL$5-1))*$O210)),0)</f>
        <v>0</v>
      </c>
      <c r="DN210" s="93">
        <f>IF(AND($T210=1,DN$5&lt;=$H210),DM210*(1-BX210)*(1-MIN(1,MAX(Assumptions!$C$27,Assumptions!$C$13*Assumptions!$C$28^(DM$5-1))*$O210)),0)</f>
        <v>0</v>
      </c>
      <c r="DO210" s="93">
        <f>IF(AND($T210=1,DO$5&lt;=$H210),DN210*(1-BY210)*(1-MIN(1,MAX(Assumptions!$C$27,Assumptions!$C$13*Assumptions!$C$28^(DN$5-1))*$O210)),0)</f>
        <v>0</v>
      </c>
      <c r="DP210" s="93">
        <f>IF(AND($T210=1,DP$5&lt;=$H210),DO210*(1-BZ210)*(1-MIN(1,MAX(Assumptions!$C$27,Assumptions!$C$13*Assumptions!$C$28^(DO$5-1))*$O210)),0)</f>
        <v>0</v>
      </c>
      <c r="DQ210" s="93">
        <f>IF(AND($T210=1,DQ$5&lt;=$H210),DP210*(1-CA210)*(1-MIN(1,MAX(Assumptions!$C$27,Assumptions!$C$13*Assumptions!$C$28^(DP$5-1))*$O210)),0)</f>
        <v>0</v>
      </c>
      <c r="DR210" s="93">
        <f>IF(AND($T210=1,DR$5&lt;=$H210),DQ210*(1-CB210)*(1-MIN(1,MAX(Assumptions!$C$27,Assumptions!$C$13*Assumptions!$C$28^(DQ$5-1))*$O210)),0)</f>
        <v>0</v>
      </c>
      <c r="DS210" s="93">
        <f>IF(AND($T210=1,DS$5&lt;=$H210),DR210*(1-CC210)*(1-MIN(1,MAX(Assumptions!$C$27,Assumptions!$C$13*Assumptions!$C$28^(DR$5-1))*$O210)),0)</f>
        <v>0</v>
      </c>
      <c r="DT210" s="93">
        <f>IF(AND($T210=1,DT$5&lt;=$H210),DS210*(1-CD210)*(1-MIN(1,MAX(Assumptions!$C$27,Assumptions!$C$13*Assumptions!$C$28^(DS$5-1))*$O210)),0)</f>
        <v>0</v>
      </c>
      <c r="DU210" s="93">
        <f>IF(AND($T210=1,DU$5&lt;=$H210),DT210*(1-CE210)*(1-MIN(1,MAX(Assumptions!$C$27,Assumptions!$C$13*Assumptions!$C$28^(DT$5-1))*$O210)),0)</f>
        <v>0</v>
      </c>
      <c r="DV210" s="93">
        <f>IF(AND($T210=1,DV$5&lt;=$H210),DU210*(1-CF210)*(1-MIN(1,MAX(Assumptions!$C$27,Assumptions!$C$13*Assumptions!$C$28^(DU$5-1))*$O210)),0)</f>
        <v>0</v>
      </c>
      <c r="DW210" s="94">
        <f>IF(AND($T210=1,DW$5&lt;=$H210),DV210*(1-CG210)*(1-MIN(1,MAX(Assumptions!$C$27,Assumptions!$C$13*Assumptions!$C$28^(DV$5-1))*$O210)),0)</f>
        <v>0</v>
      </c>
      <c r="DX210" s="26"/>
      <c r="DY210" s="399">
        <f>'Policy Data'!K184</f>
        <v>2</v>
      </c>
      <c r="DZ210" s="100">
        <f>'Policy Data'!L184</f>
        <v>0.7278</v>
      </c>
      <c r="EA210" s="100">
        <f>'Policy Data'!N184</f>
        <v>4.7899999999999999E-4</v>
      </c>
      <c r="EB210" s="93" cm="1">
        <f t="array" ref="EB210">IFERROR(DZ210*INDEX(Mortality!$B$4:$E$64,MATCH(D210+DY210-1,Mortality!$A$4:$A$64,0),U210)*V210,0)</f>
        <v>5.1867658121231984E-4</v>
      </c>
      <c r="EC210" s="100">
        <f>'Policy Data'!O184</f>
        <v>0</v>
      </c>
      <c r="ED210" s="400">
        <f>'Policy Data'!Q184</f>
        <v>0</v>
      </c>
    </row>
    <row r="211" spans="1:134" x14ac:dyDescent="0.3">
      <c r="A211" s="399" t="str">
        <f>'Policy Data'!A185</f>
        <v>POL100181</v>
      </c>
      <c r="B211" s="26" t="s">
        <v>426</v>
      </c>
      <c r="C211" s="100" t="str">
        <f>'Policy Data'!B185</f>
        <v>Term Life</v>
      </c>
      <c r="D211" s="100">
        <f>'Policy Data'!C185</f>
        <v>20</v>
      </c>
      <c r="E211" s="100" t="str">
        <f>'Policy Data'!D185</f>
        <v>Male</v>
      </c>
      <c r="F211" s="100" t="str">
        <f>'Policy Data'!E185</f>
        <v>Non-smoker</v>
      </c>
      <c r="G211" s="100" t="str">
        <f>'Policy Data'!F185</f>
        <v>Standard</v>
      </c>
      <c r="H211" s="100">
        <f>'Policy Data'!G185</f>
        <v>20</v>
      </c>
      <c r="I211" s="279">
        <f>'Policy Data'!H185</f>
        <v>500000</v>
      </c>
      <c r="J211" s="100" t="str">
        <f>'Policy Data'!I185</f>
        <v>Monthly</v>
      </c>
      <c r="K211" s="100" t="str">
        <f>'Policy Data'!J185</f>
        <v>Bancassurance</v>
      </c>
      <c r="L211" s="26" t="s">
        <v>389</v>
      </c>
      <c r="M211" s="106">
        <f>'Policy Data'!R185</f>
        <v>1200</v>
      </c>
      <c r="N211" s="415">
        <f>Assumptions!$C$21</f>
        <v>1</v>
      </c>
      <c r="O211" s="415">
        <f>Assumptions!$C$22</f>
        <v>1</v>
      </c>
      <c r="P211" s="415">
        <f>Assumptions!$C$23</f>
        <v>1</v>
      </c>
      <c r="Q211" s="416">
        <f>Assumptions!$C$24</f>
        <v>0</v>
      </c>
      <c r="R211" s="416">
        <f>Assumptions!$C$6+Assumptions!$C$25</f>
        <v>3.5000000000000003E-2</v>
      </c>
      <c r="S211" s="416">
        <f>Assumptions!$C$15</f>
        <v>1.1000000000000001E-3</v>
      </c>
      <c r="T211" s="26">
        <f t="shared" si="54"/>
        <v>1</v>
      </c>
      <c r="U211" s="26">
        <f t="shared" si="55"/>
        <v>3</v>
      </c>
      <c r="V211" s="389">
        <f>IF($G211="Preferred",Assumptions!$C$30,IF($G211="Rated",Assumptions!$C$31,1))</f>
        <v>1</v>
      </c>
      <c r="W211" s="390">
        <f>IF($K211="Direct",Assumptions!$C$32,IF($K211="Broker",Assumptions!$C$33,IF($K211="Bancassurance",Assumptions!$C$34,Assumptions!$C$11)))+$Q211</f>
        <v>0.2</v>
      </c>
      <c r="X211" s="390">
        <f>Assumptions!$C$12+$Q211</f>
        <v>0.05</v>
      </c>
      <c r="Y211" s="131">
        <f>MIN($I211,Assumptions!$C$14)</f>
        <v>500000</v>
      </c>
      <c r="Z211" s="131">
        <f>MAX($I211-Assumptions!$C$14,0)</f>
        <v>0</v>
      </c>
      <c r="AA211" s="389">
        <f t="shared" si="56"/>
        <v>8.6176164242683182</v>
      </c>
      <c r="AB211" s="389">
        <f t="shared" si="57"/>
        <v>3.8923082098080842E-3</v>
      </c>
      <c r="AC211" s="389">
        <f>IF($T211=1,SUMPRODUCT($CJ211:$DW211,(1+Assumptions!$C$5)^($CJ$5:$DW$5-1),(1+$R211)^(-$CJ$5:$DW$5)),0)</f>
        <v>11.608535111661062</v>
      </c>
      <c r="AD211" s="389">
        <f t="shared" si="58"/>
        <v>0.57580835744530001</v>
      </c>
      <c r="AE211" s="131">
        <f>IF($T211=1,$AB211*$Y211+(Assumptions!$C$9/(1+$R211)+Assumptions!$C$10*$AC211)*$P211+$S211*$Z211*$AA211,0)</f>
        <v>5369.5970468607802</v>
      </c>
      <c r="AF211" s="131">
        <f>IF($T211=1,IF($AA211-$AD211-Assumptions!$C$16*$AA211&gt;0,$AE211/($AA211-$AD211-Assumptions!$C$16*$AA211)*IF($J211="Monthly",1+Assumptions!$C$29,1),"n.a."),"")</f>
        <v>752.22864593667714</v>
      </c>
      <c r="AG211" s="131">
        <f t="shared" si="59"/>
        <v>1200</v>
      </c>
      <c r="AH211" s="131">
        <f t="shared" si="60"/>
        <v>10341.139709121982</v>
      </c>
      <c r="AI211" s="131">
        <f t="shared" si="61"/>
        <v>4280.5726333268403</v>
      </c>
      <c r="AJ211" s="390">
        <f t="shared" si="62"/>
        <v>0.4139362540040844</v>
      </c>
      <c r="AK211" s="389">
        <f t="shared" si="63"/>
        <v>1.595259641442871</v>
      </c>
      <c r="AL211" s="131">
        <f t="shared" si="64"/>
        <v>0</v>
      </c>
      <c r="AM211" s="131">
        <f t="shared" si="65"/>
        <v>0</v>
      </c>
      <c r="AN211" s="131">
        <f t="shared" si="66"/>
        <v>0</v>
      </c>
      <c r="AO211" s="131">
        <f t="shared" si="67"/>
        <v>4280.5726333268403</v>
      </c>
      <c r="AP211" s="26" t="str">
        <f t="shared" si="68"/>
        <v>20-29</v>
      </c>
      <c r="AQ211" s="26" t="str">
        <f t="shared" si="69"/>
        <v>250k-500k</v>
      </c>
      <c r="AR211" s="26" t="str">
        <f>IF($T211=1,IF($AI211&lt;0,"Loss-making",IF($AJ211&lt;Assumptions!$C$16-0.00001,"Below target","At/above target")),"Excluded")</f>
        <v>At/above target</v>
      </c>
      <c r="AS211" s="103">
        <f t="shared" si="70"/>
        <v>4280.5728443268399</v>
      </c>
      <c r="AT211" s="26"/>
      <c r="AU211" s="419">
        <f>IF(AND($T211=1,AU$5&lt;=$H211),INDEX(Mortality!$B$4:$E$64,MATCH($D211+AU$5-1,Mortality!$A$4:$A$64,0),$U211)*$V211*$N211,0)</f>
        <v>2.32527738930662E-4</v>
      </c>
      <c r="AV211" s="93">
        <f>IF(AND($T211=1,AV$5&lt;=$H211),INDEX(Mortality!$B$4:$E$64,MATCH($D211+AV$5-1,Mortality!$A$4:$A$64,0),$U211)*$V211*$N211,0)</f>
        <v>2.5189429245928499E-4</v>
      </c>
      <c r="AW211" s="93">
        <f>IF(AND($T211=1,AW$5&lt;=$H211),INDEX(Mortality!$B$4:$E$64,MATCH($D211+AW$5-1,Mortality!$A$4:$A$64,0),$U211)*$V211*$N211,0)</f>
        <v>2.7287382944227802E-4</v>
      </c>
      <c r="AX211" s="93">
        <f>IF(AND($T211=1,AX$5&lt;=$H211),INDEX(Mortality!$B$4:$E$64,MATCH($D211+AX$5-1,Mortality!$A$4:$A$64,0),$U211)*$V211*$N211,0)</f>
        <v>2.9560069054176198E-4</v>
      </c>
      <c r="AY211" s="93">
        <f>IF(AND($T211=1,AY$5&lt;=$H211),INDEX(Mortality!$B$4:$E$64,MATCH($D211+AY$5-1,Mortality!$A$4:$A$64,0),$U211)*$V211*$N211,0)</f>
        <v>3.20220405259678E-4</v>
      </c>
      <c r="AZ211" s="93">
        <f>IF(AND($T211=1,AZ$5&lt;=$H211),INDEX(Mortality!$B$4:$E$64,MATCH($D211+AZ$5-1,Mortality!$A$4:$A$64,0),$U211)*$V211*$N211,0)</f>
        <v>3.4689062382344302E-4</v>
      </c>
      <c r="BA211" s="93">
        <f>IF(AND($T211=1,BA$5&lt;=$H211),INDEX(Mortality!$B$4:$E$64,MATCH($D211+BA$5-1,Mortality!$A$4:$A$64,0),$U211)*$V211*$N211,0)</f>
        <v>3.7578212668563498E-4</v>
      </c>
      <c r="BB211" s="93">
        <f>IF(AND($T211=1,BB$5&lt;=$H211),INDEX(Mortality!$B$4:$E$64,MATCH($D211+BB$5-1,Mortality!$A$4:$A$64,0),$U211)*$V211*$N211,0)</f>
        <v>4.0707991810194101E-4</v>
      </c>
      <c r="BC211" s="93">
        <f>IF(AND($T211=1,BC$5&lt;=$H211),INDEX(Mortality!$B$4:$E$64,MATCH($D211+BC$5-1,Mortality!$A$4:$A$64,0),$U211)*$V211*$N211,0)</f>
        <v>4.4098441079001399E-4</v>
      </c>
      <c r="BD211" s="93">
        <f>IF(AND($T211=1,BD$5&lt;=$H211),INDEX(Mortality!$B$4:$E$64,MATCH($D211+BD$5-1,Mortality!$A$4:$A$64,0),$U211)*$V211*$N211,0)</f>
        <v>4.7771270925508401E-4</v>
      </c>
      <c r="BE211" s="93">
        <f>IF(AND($T211=1,BE$5&lt;=$H211),INDEX(Mortality!$B$4:$E$64,MATCH($D211+BE$5-1,Mortality!$A$4:$A$64,0),$U211)*$V211*$N211,0)</f>
        <v>5.1749999999999995E-4</v>
      </c>
      <c r="BF211" s="93">
        <f>IF(AND($T211=1,BF$5&lt;=$H211),INDEX(Mortality!$B$4:$E$64,MATCH($D211+BF$5-1,Mortality!$A$4:$A$64,0),$U211)*$V211*$N211,0)</f>
        <v>5.6060105752179102E-4</v>
      </c>
      <c r="BG211" s="93">
        <f>IF(AND($T211=1,BG$5&lt;=$H211),INDEX(Mortality!$B$4:$E$64,MATCH($D211+BG$5-1,Mortality!$A$4:$A$64,0),$U211)*$V211*$N211,0)</f>
        <v>6.07291875738262E-4</v>
      </c>
      <c r="BH211" s="93">
        <f>IF(AND($T211=1,BH$5&lt;=$H211),INDEX(Mortality!$B$4:$E$64,MATCH($D211+BH$5-1,Mortality!$A$4:$A$64,0),$U211)*$V211*$N211,0)</f>
        <v>6.5787143529132705E-4</v>
      </c>
      <c r="BI211" s="93">
        <f>IF(AND($T211=1,BI$5&lt;=$H211),INDEX(Mortality!$B$4:$E$64,MATCH($D211+BI$5-1,Mortality!$A$4:$A$64,0),$U211)*$V211*$N211,0)</f>
        <v>7.1266361804385805E-4</v>
      </c>
      <c r="BJ211" s="93">
        <f>IF(AND($T211=1,BJ$5&lt;=$H211),INDEX(Mortality!$B$4:$E$64,MATCH($D211+BJ$5-1,Mortality!$A$4:$A$64,0),$U211)*$V211*$N211,0)</f>
        <v>7.7201928102935699E-4</v>
      </c>
      <c r="BK211" s="93">
        <f>IF(AND($T211=1,BK$5&lt;=$H211),INDEX(Mortality!$B$4:$E$64,MATCH($D211+BK$5-1,Mortality!$A$4:$A$64,0),$U211)*$V211*$N211,0)</f>
        <v>8.3631850313482196E-4</v>
      </c>
      <c r="BL211" s="93">
        <f>IF(AND($T211=1,BL$5&lt;=$H211),INDEX(Mortality!$B$4:$E$64,MATCH($D211+BL$5-1,Mortality!$A$4:$A$64,0),$U211)*$V211*$N211,0)</f>
        <v>9.0597301890323197E-4</v>
      </c>
      <c r="BM211" s="93">
        <f>IF(AND($T211=1,BM$5&lt;=$H211),INDEX(Mortality!$B$4:$E$64,MATCH($D211+BM$5-1,Mortality!$A$4:$A$64,0),$U211)*$V211*$N211,0)</f>
        <v>9.8142885504031189E-4</v>
      </c>
      <c r="BN211" s="93">
        <f>IF(AND($T211=1,BN$5&lt;=$H211),INDEX(Mortality!$B$4:$E$64,MATCH($D211+BN$5-1,Mortality!$A$4:$A$64,0),$U211)*$V211*$N211,0)</f>
        <v>1.06316918650821E-3</v>
      </c>
      <c r="BO211" s="93">
        <f>IF(AND($T211=1,BO$5&lt;=$H211),INDEX(Mortality!$B$4:$E$64,MATCH($D211+BO$5-1,Mortality!$A$4:$A$64,0),$U211)*$V211*$N211,0)</f>
        <v>0</v>
      </c>
      <c r="BP211" s="93">
        <f>IF(AND($T211=1,BP$5&lt;=$H211),INDEX(Mortality!$B$4:$E$64,MATCH($D211+BP$5-1,Mortality!$A$4:$A$64,0),$U211)*$V211*$N211,0)</f>
        <v>0</v>
      </c>
      <c r="BQ211" s="93">
        <f>IF(AND($T211=1,BQ$5&lt;=$H211),INDEX(Mortality!$B$4:$E$64,MATCH($D211+BQ$5-1,Mortality!$A$4:$A$64,0),$U211)*$V211*$N211,0)</f>
        <v>0</v>
      </c>
      <c r="BR211" s="93">
        <f>IF(AND($T211=1,BR$5&lt;=$H211),INDEX(Mortality!$B$4:$E$64,MATCH($D211+BR$5-1,Mortality!$A$4:$A$64,0),$U211)*$V211*$N211,0)</f>
        <v>0</v>
      </c>
      <c r="BS211" s="93">
        <f>IF(AND($T211=1,BS$5&lt;=$H211),INDEX(Mortality!$B$4:$E$64,MATCH($D211+BS$5-1,Mortality!$A$4:$A$64,0),$U211)*$V211*$N211,0)</f>
        <v>0</v>
      </c>
      <c r="BT211" s="93">
        <f>IF(AND($T211=1,BT$5&lt;=$H211),INDEX(Mortality!$B$4:$E$64,MATCH($D211+BT$5-1,Mortality!$A$4:$A$64,0),$U211)*$V211*$N211,0)</f>
        <v>0</v>
      </c>
      <c r="BU211" s="93">
        <f>IF(AND($T211=1,BU$5&lt;=$H211),INDEX(Mortality!$B$4:$E$64,MATCH($D211+BU$5-1,Mortality!$A$4:$A$64,0),$U211)*$V211*$N211,0)</f>
        <v>0</v>
      </c>
      <c r="BV211" s="93">
        <f>IF(AND($T211=1,BV$5&lt;=$H211),INDEX(Mortality!$B$4:$E$64,MATCH($D211+BV$5-1,Mortality!$A$4:$A$64,0),$U211)*$V211*$N211,0)</f>
        <v>0</v>
      </c>
      <c r="BW211" s="93">
        <f>IF(AND($T211=1,BW$5&lt;=$H211),INDEX(Mortality!$B$4:$E$64,MATCH($D211+BW$5-1,Mortality!$A$4:$A$64,0),$U211)*$V211*$N211,0)</f>
        <v>0</v>
      </c>
      <c r="BX211" s="93">
        <f>IF(AND($T211=1,BX$5&lt;=$H211),INDEX(Mortality!$B$4:$E$64,MATCH($D211+BX$5-1,Mortality!$A$4:$A$64,0),$U211)*$V211*$N211,0)</f>
        <v>0</v>
      </c>
      <c r="BY211" s="93">
        <f>IF(AND($T211=1,BY$5&lt;=$H211),INDEX(Mortality!$B$4:$E$64,MATCH($D211+BY$5-1,Mortality!$A$4:$A$64,0),$U211)*$V211*$N211,0)</f>
        <v>0</v>
      </c>
      <c r="BZ211" s="93">
        <f>IF(AND($T211=1,BZ$5&lt;=$H211),INDEX(Mortality!$B$4:$E$64,MATCH($D211+BZ$5-1,Mortality!$A$4:$A$64,0),$U211)*$V211*$N211,0)</f>
        <v>0</v>
      </c>
      <c r="CA211" s="93">
        <f>IF(AND($T211=1,CA$5&lt;=$H211),INDEX(Mortality!$B$4:$E$64,MATCH($D211+CA$5-1,Mortality!$A$4:$A$64,0),$U211)*$V211*$N211,0)</f>
        <v>0</v>
      </c>
      <c r="CB211" s="93">
        <f>IF(AND($T211=1,CB$5&lt;=$H211),INDEX(Mortality!$B$4:$E$64,MATCH($D211+CB$5-1,Mortality!$A$4:$A$64,0),$U211)*$V211*$N211,0)</f>
        <v>0</v>
      </c>
      <c r="CC211" s="93">
        <f>IF(AND($T211=1,CC$5&lt;=$H211),INDEX(Mortality!$B$4:$E$64,MATCH($D211+CC$5-1,Mortality!$A$4:$A$64,0),$U211)*$V211*$N211,0)</f>
        <v>0</v>
      </c>
      <c r="CD211" s="93">
        <f>IF(AND($T211=1,CD$5&lt;=$H211),INDEX(Mortality!$B$4:$E$64,MATCH($D211+CD$5-1,Mortality!$A$4:$A$64,0),$U211)*$V211*$N211,0)</f>
        <v>0</v>
      </c>
      <c r="CE211" s="93">
        <f>IF(AND($T211=1,CE$5&lt;=$H211),INDEX(Mortality!$B$4:$E$64,MATCH($D211+CE$5-1,Mortality!$A$4:$A$64,0),$U211)*$V211*$N211,0)</f>
        <v>0</v>
      </c>
      <c r="CF211" s="93">
        <f>IF(AND($T211=1,CF$5&lt;=$H211),INDEX(Mortality!$B$4:$E$64,MATCH($D211+CF$5-1,Mortality!$A$4:$A$64,0),$U211)*$V211*$N211,0)</f>
        <v>0</v>
      </c>
      <c r="CG211" s="93">
        <f>IF(AND($T211=1,CG$5&lt;=$H211),INDEX(Mortality!$B$4:$E$64,MATCH($D211+CG$5-1,Mortality!$A$4:$A$64,0),$U211)*$V211*$N211,0)</f>
        <v>0</v>
      </c>
      <c r="CH211" s="94">
        <f>IF(AND($T211=1,CH$5&lt;=$H211),INDEX(Mortality!$B$4:$E$64,MATCH($D211+CH$5-1,Mortality!$A$4:$A$64,0),$U211)*$V211*$N211,0)</f>
        <v>0</v>
      </c>
      <c r="CI211" s="26"/>
      <c r="CJ211" s="419">
        <f t="shared" si="71"/>
        <v>1</v>
      </c>
      <c r="CK211" s="93">
        <f>IF(AND($T211=1,CK$5&lt;=$H211),CJ211*(1-AU211)*(1-MIN(1,MAX(Assumptions!$C$27,Assumptions!$C$13*Assumptions!$C$28^(CJ$5-1))*$O211)),0)</f>
        <v>0.87979537558974097</v>
      </c>
      <c r="CL211" s="93">
        <f>IF(AND($T211=1,CL$5&lt;=$H211),CK211*(1-AV211)*(1-MIN(1,MAX(Assumptions!$C$27,Assumptions!$C$13*Assumptions!$C$28^(CK$5-1))*$O211)),0)</f>
        <v>0.78985723662017582</v>
      </c>
      <c r="CM211" s="93">
        <f>IF(AND($T211=1,CM$5&lt;=$H211),CL211*(1-AW211)*(1-MIN(1,MAX(Assumptions!$C$27,Assumptions!$C$13*Assumptions!$C$28^(CL$5-1))*$O211)),0)</f>
        <v>0.72117976940601825</v>
      </c>
      <c r="CN211" s="93">
        <f>IF(AND($T211=1,CN$5&lt;=$H211),CM211*(1-AX211)*(1-MIN(1,MAX(Assumptions!$C$27,Assumptions!$C$13*Assumptions!$C$28^(CM$5-1))*$O211)),0)</f>
        <v>0.66783495545312332</v>
      </c>
      <c r="CO211" s="93">
        <f>IF(AND($T211=1,CO$5&lt;=$H211),CN211*(1-AY211)*(1-MIN(1,MAX(Assumptions!$C$27,Assumptions!$C$13*Assumptions!$C$28^(CN$5-1))*$O211)),0)</f>
        <v>0.62580081458600034</v>
      </c>
      <c r="CP211" s="93">
        <f>IF(AND($T211=1,CP$5&lt;=$H211),CO211*(1-AZ211)*(1-MIN(1,MAX(Assumptions!$C$27,Assumptions!$C$13*Assumptions!$C$28^(CO$5-1))*$O211)),0)</f>
        <v>0.59227475121324946</v>
      </c>
      <c r="CQ211" s="93">
        <f>IF(AND($T211=1,CQ$5&lt;=$H211),CP211*(1-BA211)*(1-MIN(1,MAX(Assumptions!$C$27,Assumptions!$C$13*Assumptions!$C$28^(CP$5-1))*$O211)),0)</f>
        <v>0.5652571215743285</v>
      </c>
      <c r="CR211" s="93">
        <f>IF(AND($T211=1,CR$5&lt;=$H211),CQ211*(1-BB211)*(1-MIN(1,MAX(Assumptions!$C$27,Assumptions!$C$13*Assumptions!$C$28^(CQ$5-1))*$O211)),0)</f>
        <v>0.54329085085191642</v>
      </c>
      <c r="CS211" s="93">
        <f>IF(AND($T211=1,CS$5&lt;=$H211),CR211*(1-BC211)*(1-MIN(1,MAX(Assumptions!$C$27,Assumptions!$C$13*Assumptions!$C$28^(CR$5-1))*$O211)),0)</f>
        <v>0.52529410903747553</v>
      </c>
      <c r="CT211" s="93">
        <f>IF(AND($T211=1,CT$5&lt;=$H211),CS211*(1-BD211)*(1-MIN(1,MAX(Assumptions!$C$27,Assumptions!$C$13*Assumptions!$C$28^(CS$5-1))*$O211)),0)</f>
        <v>0.51045010189885665</v>
      </c>
      <c r="CU211" s="93">
        <f>IF(AND($T211=1,CU$5&lt;=$H211),CT211*(1-BE211)*(1-MIN(1,MAX(Assumptions!$C$27,Assumptions!$C$13*Assumptions!$C$28^(CT$5-1))*$O211)),0)</f>
        <v>0.49813283751244514</v>
      </c>
      <c r="CV211" s="93">
        <f>IF(AND($T211=1,CV$5&lt;=$H211),CU211*(1-BF211)*(1-MIN(1,MAX(Assumptions!$C$27,Assumptions!$C$13*Assumptions!$C$28^(CU$5-1))*$O211)),0)</f>
        <v>0.48785609168714617</v>
      </c>
      <c r="CW211" s="93">
        <f>IF(AND($T211=1,CW$5&lt;=$H211),CV211*(1-BG211)*(1-MIN(1,MAX(Assumptions!$C$27,Assumptions!$C$13*Assumptions!$C$28^(CV$5-1))*$O211)),0)</f>
        <v>0.47780862423321241</v>
      </c>
      <c r="CX211" s="93">
        <f>IF(AND($T211=1,CX$5&lt;=$H211),CW211*(1-BH211)*(1-MIN(1,MAX(Assumptions!$C$27,Assumptions!$C$13*Assumptions!$C$28^(CW$5-1))*$O211)),0)</f>
        <v>0.46794440183603769</v>
      </c>
      <c r="CY211" s="93">
        <f>IF(AND($T211=1,CY$5&lt;=$H211),CX211*(1-BI211)*(1-MIN(1,MAX(Assumptions!$C$27,Assumptions!$C$13*Assumptions!$C$28^(CX$5-1))*$O211)),0)</f>
        <v>0.45825869658787016</v>
      </c>
      <c r="CZ211" s="93">
        <f>IF(AND($T211=1,CZ$5&lt;=$H211),CY211*(1-BJ211)*(1-MIN(1,MAX(Assumptions!$C$27,Assumptions!$C$13*Assumptions!$C$28^(CY$5-1))*$O211)),0)</f>
        <v>0.44874681379763681</v>
      </c>
      <c r="DA211" s="93">
        <f>IF(AND($T211=1,DA$5&lt;=$H211),CZ211*(1-BK211)*(1-MIN(1,MAX(Assumptions!$C$27,Assumptions!$C$13*Assumptions!$C$28^(CZ$5-1))*$O211)),0)</f>
        <v>0.43940408816335436</v>
      </c>
      <c r="DB211" s="93">
        <f>IF(AND($T211=1,DB$5&lt;=$H211),DA211*(1-BL211)*(1-MIN(1,MAX(Assumptions!$C$27,Assumptions!$C$13*Assumptions!$C$28^(DA$5-1))*$O211)),0)</f>
        <v>0.43022587991678091</v>
      </c>
      <c r="DC211" s="93">
        <f>IF(AND($T211=1,DC$5&lt;=$H211),DB211*(1-BM211)*(1-MIN(1,MAX(Assumptions!$C$27,Assumptions!$C$13*Assumptions!$C$28^(DB$5-1))*$O211)),0)</f>
        <v>0.42120757094756461</v>
      </c>
      <c r="DD211" s="93">
        <f>IF(AND($T211=1,DD$5&lt;=$H211),DC211*(1-BN211)*(1-MIN(1,MAX(Assumptions!$C$27,Assumptions!$C$13*Assumptions!$C$28^(DC$5-1))*$O211)),0)</f>
        <v>0</v>
      </c>
      <c r="DE211" s="93">
        <f>IF(AND($T211=1,DE$5&lt;=$H211),DD211*(1-BO211)*(1-MIN(1,MAX(Assumptions!$C$27,Assumptions!$C$13*Assumptions!$C$28^(DD$5-1))*$O211)),0)</f>
        <v>0</v>
      </c>
      <c r="DF211" s="93">
        <f>IF(AND($T211=1,DF$5&lt;=$H211),DE211*(1-BP211)*(1-MIN(1,MAX(Assumptions!$C$27,Assumptions!$C$13*Assumptions!$C$28^(DE$5-1))*$O211)),0)</f>
        <v>0</v>
      </c>
      <c r="DG211" s="93">
        <f>IF(AND($T211=1,DG$5&lt;=$H211),DF211*(1-BQ211)*(1-MIN(1,MAX(Assumptions!$C$27,Assumptions!$C$13*Assumptions!$C$28^(DF$5-1))*$O211)),0)</f>
        <v>0</v>
      </c>
      <c r="DH211" s="93">
        <f>IF(AND($T211=1,DH$5&lt;=$H211),DG211*(1-BR211)*(1-MIN(1,MAX(Assumptions!$C$27,Assumptions!$C$13*Assumptions!$C$28^(DG$5-1))*$O211)),0)</f>
        <v>0</v>
      </c>
      <c r="DI211" s="93">
        <f>IF(AND($T211=1,DI$5&lt;=$H211),DH211*(1-BS211)*(1-MIN(1,MAX(Assumptions!$C$27,Assumptions!$C$13*Assumptions!$C$28^(DH$5-1))*$O211)),0)</f>
        <v>0</v>
      </c>
      <c r="DJ211" s="93">
        <f>IF(AND($T211=1,DJ$5&lt;=$H211),DI211*(1-BT211)*(1-MIN(1,MAX(Assumptions!$C$27,Assumptions!$C$13*Assumptions!$C$28^(DI$5-1))*$O211)),0)</f>
        <v>0</v>
      </c>
      <c r="DK211" s="93">
        <f>IF(AND($T211=1,DK$5&lt;=$H211),DJ211*(1-BU211)*(1-MIN(1,MAX(Assumptions!$C$27,Assumptions!$C$13*Assumptions!$C$28^(DJ$5-1))*$O211)),0)</f>
        <v>0</v>
      </c>
      <c r="DL211" s="93">
        <f>IF(AND($T211=1,DL$5&lt;=$H211),DK211*(1-BV211)*(1-MIN(1,MAX(Assumptions!$C$27,Assumptions!$C$13*Assumptions!$C$28^(DK$5-1))*$O211)),0)</f>
        <v>0</v>
      </c>
      <c r="DM211" s="93">
        <f>IF(AND($T211=1,DM$5&lt;=$H211),DL211*(1-BW211)*(1-MIN(1,MAX(Assumptions!$C$27,Assumptions!$C$13*Assumptions!$C$28^(DL$5-1))*$O211)),0)</f>
        <v>0</v>
      </c>
      <c r="DN211" s="93">
        <f>IF(AND($T211=1,DN$5&lt;=$H211),DM211*(1-BX211)*(1-MIN(1,MAX(Assumptions!$C$27,Assumptions!$C$13*Assumptions!$C$28^(DM$5-1))*$O211)),0)</f>
        <v>0</v>
      </c>
      <c r="DO211" s="93">
        <f>IF(AND($T211=1,DO$5&lt;=$H211),DN211*(1-BY211)*(1-MIN(1,MAX(Assumptions!$C$27,Assumptions!$C$13*Assumptions!$C$28^(DN$5-1))*$O211)),0)</f>
        <v>0</v>
      </c>
      <c r="DP211" s="93">
        <f>IF(AND($T211=1,DP$5&lt;=$H211),DO211*(1-BZ211)*(1-MIN(1,MAX(Assumptions!$C$27,Assumptions!$C$13*Assumptions!$C$28^(DO$5-1))*$O211)),0)</f>
        <v>0</v>
      </c>
      <c r="DQ211" s="93">
        <f>IF(AND($T211=1,DQ$5&lt;=$H211),DP211*(1-CA211)*(1-MIN(1,MAX(Assumptions!$C$27,Assumptions!$C$13*Assumptions!$C$28^(DP$5-1))*$O211)),0)</f>
        <v>0</v>
      </c>
      <c r="DR211" s="93">
        <f>IF(AND($T211=1,DR$5&lt;=$H211),DQ211*(1-CB211)*(1-MIN(1,MAX(Assumptions!$C$27,Assumptions!$C$13*Assumptions!$C$28^(DQ$5-1))*$O211)),0)</f>
        <v>0</v>
      </c>
      <c r="DS211" s="93">
        <f>IF(AND($T211=1,DS$5&lt;=$H211),DR211*(1-CC211)*(1-MIN(1,MAX(Assumptions!$C$27,Assumptions!$C$13*Assumptions!$C$28^(DR$5-1))*$O211)),0)</f>
        <v>0</v>
      </c>
      <c r="DT211" s="93">
        <f>IF(AND($T211=1,DT$5&lt;=$H211),DS211*(1-CD211)*(1-MIN(1,MAX(Assumptions!$C$27,Assumptions!$C$13*Assumptions!$C$28^(DS$5-1))*$O211)),0)</f>
        <v>0</v>
      </c>
      <c r="DU211" s="93">
        <f>IF(AND($T211=1,DU$5&lt;=$H211),DT211*(1-CE211)*(1-MIN(1,MAX(Assumptions!$C$27,Assumptions!$C$13*Assumptions!$C$28^(DT$5-1))*$O211)),0)</f>
        <v>0</v>
      </c>
      <c r="DV211" s="93">
        <f>IF(AND($T211=1,DV$5&lt;=$H211),DU211*(1-CF211)*(1-MIN(1,MAX(Assumptions!$C$27,Assumptions!$C$13*Assumptions!$C$28^(DU$5-1))*$O211)),0)</f>
        <v>0</v>
      </c>
      <c r="DW211" s="94">
        <f>IF(AND($T211=1,DW$5&lt;=$H211),DV211*(1-CG211)*(1-MIN(1,MAX(Assumptions!$C$27,Assumptions!$C$13*Assumptions!$C$28^(DV$5-1))*$O211)),0)</f>
        <v>0</v>
      </c>
      <c r="DX211" s="26"/>
      <c r="DY211" s="399">
        <f>'Policy Data'!K185</f>
        <v>4</v>
      </c>
      <c r="DZ211" s="100">
        <f>'Policy Data'!L185</f>
        <v>0.55389999999999995</v>
      </c>
      <c r="EA211" s="100">
        <f>'Policy Data'!N185</f>
        <v>1.2899999999999999E-4</v>
      </c>
      <c r="EB211" s="93" cm="1">
        <f t="array" ref="EB211">IFERROR(DZ211*INDEX(Mortality!$B$4:$E$64,MATCH(D211+DY211-1,Mortality!$A$4:$A$64,0),U211)*V211,0)</f>
        <v>1.6373322249108195E-4</v>
      </c>
      <c r="EC211" s="100">
        <f>'Policy Data'!O185</f>
        <v>0</v>
      </c>
      <c r="ED211" s="400">
        <f>'Policy Data'!Q185</f>
        <v>0</v>
      </c>
    </row>
    <row r="212" spans="1:134" x14ac:dyDescent="0.3">
      <c r="A212" s="399" t="str">
        <f>'Policy Data'!A186</f>
        <v>POL100182</v>
      </c>
      <c r="B212" s="26" t="s">
        <v>426</v>
      </c>
      <c r="C212" s="100" t="str">
        <f>'Policy Data'!B186</f>
        <v>Term Life</v>
      </c>
      <c r="D212" s="100">
        <f>'Policy Data'!C186</f>
        <v>62</v>
      </c>
      <c r="E212" s="100" t="str">
        <f>'Policy Data'!D186</f>
        <v>Male</v>
      </c>
      <c r="F212" s="100" t="str">
        <f>'Policy Data'!E186</f>
        <v>Smoker</v>
      </c>
      <c r="G212" s="100" t="str">
        <f>'Policy Data'!F186</f>
        <v>Preferred</v>
      </c>
      <c r="H212" s="100">
        <f>'Policy Data'!G186</f>
        <v>25</v>
      </c>
      <c r="I212" s="279">
        <f>'Policy Data'!H186</f>
        <v>2000000</v>
      </c>
      <c r="J212" s="100" t="str">
        <f>'Policy Data'!I186</f>
        <v>Annual</v>
      </c>
      <c r="K212" s="100" t="str">
        <f>'Policy Data'!J186</f>
        <v>Bancassurance</v>
      </c>
      <c r="L212" s="26" t="s">
        <v>389</v>
      </c>
      <c r="M212" s="106">
        <f>'Policy Data'!R186</f>
        <v>22434.04</v>
      </c>
      <c r="N212" s="415">
        <f>Assumptions!$C$21</f>
        <v>1</v>
      </c>
      <c r="O212" s="415">
        <f>Assumptions!$C$22</f>
        <v>1</v>
      </c>
      <c r="P212" s="415">
        <f>Assumptions!$C$23</f>
        <v>1</v>
      </c>
      <c r="Q212" s="416">
        <f>Assumptions!$C$24</f>
        <v>0</v>
      </c>
      <c r="R212" s="416">
        <f>Assumptions!$C$6+Assumptions!$C$25</f>
        <v>3.5000000000000003E-2</v>
      </c>
      <c r="S212" s="416">
        <f>Assumptions!$C$15</f>
        <v>1.1000000000000001E-3</v>
      </c>
      <c r="T212" s="26">
        <f t="shared" si="54"/>
        <v>0</v>
      </c>
      <c r="U212" s="26">
        <f t="shared" si="55"/>
        <v>4</v>
      </c>
      <c r="V212" s="389">
        <f>IF($G212="Preferred",Assumptions!$C$30,IF($G212="Rated",Assumptions!$C$31,1))</f>
        <v>0.8</v>
      </c>
      <c r="W212" s="390">
        <f>IF($K212="Direct",Assumptions!$C$32,IF($K212="Broker",Assumptions!$C$33,IF($K212="Bancassurance",Assumptions!$C$34,Assumptions!$C$11)))+$Q212</f>
        <v>0.2</v>
      </c>
      <c r="X212" s="390">
        <f>Assumptions!$C$12+$Q212</f>
        <v>0.05</v>
      </c>
      <c r="Y212" s="131">
        <f>MIN($I212,Assumptions!$C$14)</f>
        <v>500000</v>
      </c>
      <c r="Z212" s="131">
        <f>MAX($I212-Assumptions!$C$14,0)</f>
        <v>1500000</v>
      </c>
      <c r="AA212" s="389">
        <f t="shared" si="56"/>
        <v>0</v>
      </c>
      <c r="AB212" s="389">
        <f t="shared" si="57"/>
        <v>0</v>
      </c>
      <c r="AC212" s="389">
        <f>IF($T212=1,SUMPRODUCT($CJ212:$DW212,(1+Assumptions!$C$5)^($CJ$5:$DW$5-1),(1+$R212)^(-$CJ$5:$DW$5)),0)</f>
        <v>0</v>
      </c>
      <c r="AD212" s="389">
        <f t="shared" si="58"/>
        <v>0</v>
      </c>
      <c r="AE212" s="131">
        <f>IF($T212=1,$AB212*$Y212+(Assumptions!$C$9/(1+$R212)+Assumptions!$C$10*$AC212)*$P212+$S212*$Z212*$AA212,0)</f>
        <v>0</v>
      </c>
      <c r="AF212" s="131" t="str">
        <f>IF($T212=1,IF($AA212-$AD212-Assumptions!$C$16*$AA212&gt;0,$AE212/($AA212-$AD212-Assumptions!$C$16*$AA212)*IF($J212="Monthly",1+Assumptions!$C$29,1),"n.a."),"")</f>
        <v/>
      </c>
      <c r="AG212" s="131" t="str">
        <f t="shared" si="59"/>
        <v/>
      </c>
      <c r="AH212" s="131" t="str">
        <f t="shared" si="60"/>
        <v/>
      </c>
      <c r="AI212" s="131" t="str">
        <f t="shared" si="61"/>
        <v/>
      </c>
      <c r="AJ212" s="390" t="str">
        <f t="shared" si="62"/>
        <v/>
      </c>
      <c r="AK212" s="389" t="str">
        <f t="shared" si="63"/>
        <v/>
      </c>
      <c r="AL212" s="131" t="str">
        <f t="shared" si="64"/>
        <v/>
      </c>
      <c r="AM212" s="131" t="str">
        <f t="shared" si="65"/>
        <v/>
      </c>
      <c r="AN212" s="131" t="str">
        <f t="shared" si="66"/>
        <v/>
      </c>
      <c r="AO212" s="131" t="str">
        <f t="shared" si="67"/>
        <v/>
      </c>
      <c r="AP212" s="26" t="str">
        <f t="shared" si="68"/>
        <v>60+</v>
      </c>
      <c r="AQ212" s="26" t="str">
        <f t="shared" si="69"/>
        <v>Over 1m</v>
      </c>
      <c r="AR212" s="26" t="str">
        <f>IF($T212=1,IF($AI212&lt;0,"Loss-making",IF($AJ212&lt;Assumptions!$C$16-0.00001,"Below target","At/above target")),"Excluded")</f>
        <v>Excluded</v>
      </c>
      <c r="AS212" s="103">
        <f t="shared" si="70"/>
        <v>9.9999999999999997E+98</v>
      </c>
      <c r="AT212" s="26"/>
      <c r="AU212" s="419">
        <f>IF(AND($T212=1,AU$5&lt;=$H212),INDEX(Mortality!$B$4:$E$64,MATCH($D212+AU$5-1,Mortality!$A$4:$A$64,0),$U212)*$V212*$N212,0)</f>
        <v>0</v>
      </c>
      <c r="AV212" s="93">
        <f>IF(AND($T212=1,AV$5&lt;=$H212),INDEX(Mortality!$B$4:$E$64,MATCH($D212+AV$5-1,Mortality!$A$4:$A$64,0),$U212)*$V212*$N212,0)</f>
        <v>0</v>
      </c>
      <c r="AW212" s="93">
        <f>IF(AND($T212=1,AW$5&lt;=$H212),INDEX(Mortality!$B$4:$E$64,MATCH($D212+AW$5-1,Mortality!$A$4:$A$64,0),$U212)*$V212*$N212,0)</f>
        <v>0</v>
      </c>
      <c r="AX212" s="93">
        <f>IF(AND($T212=1,AX$5&lt;=$H212),INDEX(Mortality!$B$4:$E$64,MATCH($D212+AX$5-1,Mortality!$A$4:$A$64,0),$U212)*$V212*$N212,0)</f>
        <v>0</v>
      </c>
      <c r="AY212" s="93">
        <f>IF(AND($T212=1,AY$5&lt;=$H212),INDEX(Mortality!$B$4:$E$64,MATCH($D212+AY$5-1,Mortality!$A$4:$A$64,0),$U212)*$V212*$N212,0)</f>
        <v>0</v>
      </c>
      <c r="AZ212" s="93">
        <f>IF(AND($T212=1,AZ$5&lt;=$H212),INDEX(Mortality!$B$4:$E$64,MATCH($D212+AZ$5-1,Mortality!$A$4:$A$64,0),$U212)*$V212*$N212,0)</f>
        <v>0</v>
      </c>
      <c r="BA212" s="93">
        <f>IF(AND($T212=1,BA$5&lt;=$H212),INDEX(Mortality!$B$4:$E$64,MATCH($D212+BA$5-1,Mortality!$A$4:$A$64,0),$U212)*$V212*$N212,0)</f>
        <v>0</v>
      </c>
      <c r="BB212" s="93">
        <f>IF(AND($T212=1,BB$5&lt;=$H212),INDEX(Mortality!$B$4:$E$64,MATCH($D212+BB$5-1,Mortality!$A$4:$A$64,0),$U212)*$V212*$N212,0)</f>
        <v>0</v>
      </c>
      <c r="BC212" s="93">
        <f>IF(AND($T212=1,BC$5&lt;=$H212),INDEX(Mortality!$B$4:$E$64,MATCH($D212+BC$5-1,Mortality!$A$4:$A$64,0),$U212)*$V212*$N212,0)</f>
        <v>0</v>
      </c>
      <c r="BD212" s="93">
        <f>IF(AND($T212=1,BD$5&lt;=$H212),INDEX(Mortality!$B$4:$E$64,MATCH($D212+BD$5-1,Mortality!$A$4:$A$64,0),$U212)*$V212*$N212,0)</f>
        <v>0</v>
      </c>
      <c r="BE212" s="93">
        <f>IF(AND($T212=1,BE$5&lt;=$H212),INDEX(Mortality!$B$4:$E$64,MATCH($D212+BE$5-1,Mortality!$A$4:$A$64,0),$U212)*$V212*$N212,0)</f>
        <v>0</v>
      </c>
      <c r="BF212" s="93">
        <f>IF(AND($T212=1,BF$5&lt;=$H212),INDEX(Mortality!$B$4:$E$64,MATCH($D212+BF$5-1,Mortality!$A$4:$A$64,0),$U212)*$V212*$N212,0)</f>
        <v>0</v>
      </c>
      <c r="BG212" s="93">
        <f>IF(AND($T212=1,BG$5&lt;=$H212),INDEX(Mortality!$B$4:$E$64,MATCH($D212+BG$5-1,Mortality!$A$4:$A$64,0),$U212)*$V212*$N212,0)</f>
        <v>0</v>
      </c>
      <c r="BH212" s="93">
        <f>IF(AND($T212=1,BH$5&lt;=$H212),INDEX(Mortality!$B$4:$E$64,MATCH($D212+BH$5-1,Mortality!$A$4:$A$64,0),$U212)*$V212*$N212,0)</f>
        <v>0</v>
      </c>
      <c r="BI212" s="93">
        <f>IF(AND($T212=1,BI$5&lt;=$H212),INDEX(Mortality!$B$4:$E$64,MATCH($D212+BI$5-1,Mortality!$A$4:$A$64,0),$U212)*$V212*$N212,0)</f>
        <v>0</v>
      </c>
      <c r="BJ212" s="93">
        <f>IF(AND($T212=1,BJ$5&lt;=$H212),INDEX(Mortality!$B$4:$E$64,MATCH($D212+BJ$5-1,Mortality!$A$4:$A$64,0),$U212)*$V212*$N212,0)</f>
        <v>0</v>
      </c>
      <c r="BK212" s="93">
        <f>IF(AND($T212=1,BK$5&lt;=$H212),INDEX(Mortality!$B$4:$E$64,MATCH($D212+BK$5-1,Mortality!$A$4:$A$64,0),$U212)*$V212*$N212,0)</f>
        <v>0</v>
      </c>
      <c r="BL212" s="93">
        <f>IF(AND($T212=1,BL$5&lt;=$H212),INDEX(Mortality!$B$4:$E$64,MATCH($D212+BL$5-1,Mortality!$A$4:$A$64,0),$U212)*$V212*$N212,0)</f>
        <v>0</v>
      </c>
      <c r="BM212" s="93">
        <f>IF(AND($T212=1,BM$5&lt;=$H212),INDEX(Mortality!$B$4:$E$64,MATCH($D212+BM$5-1,Mortality!$A$4:$A$64,0),$U212)*$V212*$N212,0)</f>
        <v>0</v>
      </c>
      <c r="BN212" s="93">
        <f>IF(AND($T212=1,BN$5&lt;=$H212),INDEX(Mortality!$B$4:$E$64,MATCH($D212+BN$5-1,Mortality!$A$4:$A$64,0),$U212)*$V212*$N212,0)</f>
        <v>0</v>
      </c>
      <c r="BO212" s="93">
        <f>IF(AND($T212=1,BO$5&lt;=$H212),INDEX(Mortality!$B$4:$E$64,MATCH($D212+BO$5-1,Mortality!$A$4:$A$64,0),$U212)*$V212*$N212,0)</f>
        <v>0</v>
      </c>
      <c r="BP212" s="93">
        <f>IF(AND($T212=1,BP$5&lt;=$H212),INDEX(Mortality!$B$4:$E$64,MATCH($D212+BP$5-1,Mortality!$A$4:$A$64,0),$U212)*$V212*$N212,0)</f>
        <v>0</v>
      </c>
      <c r="BQ212" s="93">
        <f>IF(AND($T212=1,BQ$5&lt;=$H212),INDEX(Mortality!$B$4:$E$64,MATCH($D212+BQ$5-1,Mortality!$A$4:$A$64,0),$U212)*$V212*$N212,0)</f>
        <v>0</v>
      </c>
      <c r="BR212" s="93">
        <f>IF(AND($T212=1,BR$5&lt;=$H212),INDEX(Mortality!$B$4:$E$64,MATCH($D212+BR$5-1,Mortality!$A$4:$A$64,0),$U212)*$V212*$N212,0)</f>
        <v>0</v>
      </c>
      <c r="BS212" s="93">
        <f>IF(AND($T212=1,BS$5&lt;=$H212),INDEX(Mortality!$B$4:$E$64,MATCH($D212+BS$5-1,Mortality!$A$4:$A$64,0),$U212)*$V212*$N212,0)</f>
        <v>0</v>
      </c>
      <c r="BT212" s="93">
        <f>IF(AND($T212=1,BT$5&lt;=$H212),INDEX(Mortality!$B$4:$E$64,MATCH($D212+BT$5-1,Mortality!$A$4:$A$64,0),$U212)*$V212*$N212,0)</f>
        <v>0</v>
      </c>
      <c r="BU212" s="93">
        <f>IF(AND($T212=1,BU$5&lt;=$H212),INDEX(Mortality!$B$4:$E$64,MATCH($D212+BU$5-1,Mortality!$A$4:$A$64,0),$U212)*$V212*$N212,0)</f>
        <v>0</v>
      </c>
      <c r="BV212" s="93">
        <f>IF(AND($T212=1,BV$5&lt;=$H212),INDEX(Mortality!$B$4:$E$64,MATCH($D212+BV$5-1,Mortality!$A$4:$A$64,0),$U212)*$V212*$N212,0)</f>
        <v>0</v>
      </c>
      <c r="BW212" s="93">
        <f>IF(AND($T212=1,BW$5&lt;=$H212),INDEX(Mortality!$B$4:$E$64,MATCH($D212+BW$5-1,Mortality!$A$4:$A$64,0),$U212)*$V212*$N212,0)</f>
        <v>0</v>
      </c>
      <c r="BX212" s="93">
        <f>IF(AND($T212=1,BX$5&lt;=$H212),INDEX(Mortality!$B$4:$E$64,MATCH($D212+BX$5-1,Mortality!$A$4:$A$64,0),$U212)*$V212*$N212,0)</f>
        <v>0</v>
      </c>
      <c r="BY212" s="93">
        <f>IF(AND($T212=1,BY$5&lt;=$H212),INDEX(Mortality!$B$4:$E$64,MATCH($D212+BY$5-1,Mortality!$A$4:$A$64,0),$U212)*$V212*$N212,0)</f>
        <v>0</v>
      </c>
      <c r="BZ212" s="93">
        <f>IF(AND($T212=1,BZ$5&lt;=$H212),INDEX(Mortality!$B$4:$E$64,MATCH($D212+BZ$5-1,Mortality!$A$4:$A$64,0),$U212)*$V212*$N212,0)</f>
        <v>0</v>
      </c>
      <c r="CA212" s="93">
        <f>IF(AND($T212=1,CA$5&lt;=$H212),INDEX(Mortality!$B$4:$E$64,MATCH($D212+CA$5-1,Mortality!$A$4:$A$64,0),$U212)*$V212*$N212,0)</f>
        <v>0</v>
      </c>
      <c r="CB212" s="93">
        <f>IF(AND($T212=1,CB$5&lt;=$H212),INDEX(Mortality!$B$4:$E$64,MATCH($D212+CB$5-1,Mortality!$A$4:$A$64,0),$U212)*$V212*$N212,0)</f>
        <v>0</v>
      </c>
      <c r="CC212" s="93">
        <f>IF(AND($T212=1,CC$5&lt;=$H212),INDEX(Mortality!$B$4:$E$64,MATCH($D212+CC$5-1,Mortality!$A$4:$A$64,0),$U212)*$V212*$N212,0)</f>
        <v>0</v>
      </c>
      <c r="CD212" s="93">
        <f>IF(AND($T212=1,CD$5&lt;=$H212),INDEX(Mortality!$B$4:$E$64,MATCH($D212+CD$5-1,Mortality!$A$4:$A$64,0),$U212)*$V212*$N212,0)</f>
        <v>0</v>
      </c>
      <c r="CE212" s="93">
        <f>IF(AND($T212=1,CE$5&lt;=$H212),INDEX(Mortality!$B$4:$E$64,MATCH($D212+CE$5-1,Mortality!$A$4:$A$64,0),$U212)*$V212*$N212,0)</f>
        <v>0</v>
      </c>
      <c r="CF212" s="93">
        <f>IF(AND($T212=1,CF$5&lt;=$H212),INDEX(Mortality!$B$4:$E$64,MATCH($D212+CF$5-1,Mortality!$A$4:$A$64,0),$U212)*$V212*$N212,0)</f>
        <v>0</v>
      </c>
      <c r="CG212" s="93">
        <f>IF(AND($T212=1,CG$5&lt;=$H212),INDEX(Mortality!$B$4:$E$64,MATCH($D212+CG$5-1,Mortality!$A$4:$A$64,0),$U212)*$V212*$N212,0)</f>
        <v>0</v>
      </c>
      <c r="CH212" s="94">
        <f>IF(AND($T212=1,CH$5&lt;=$H212),INDEX(Mortality!$B$4:$E$64,MATCH($D212+CH$5-1,Mortality!$A$4:$A$64,0),$U212)*$V212*$N212,0)</f>
        <v>0</v>
      </c>
      <c r="CI212" s="26"/>
      <c r="CJ212" s="419">
        <f t="shared" si="71"/>
        <v>0</v>
      </c>
      <c r="CK212" s="93">
        <f>IF(AND($T212=1,CK$5&lt;=$H212),CJ212*(1-AU212)*(1-MIN(1,MAX(Assumptions!$C$27,Assumptions!$C$13*Assumptions!$C$28^(CJ$5-1))*$O212)),0)</f>
        <v>0</v>
      </c>
      <c r="CL212" s="93">
        <f>IF(AND($T212=1,CL$5&lt;=$H212),CK212*(1-AV212)*(1-MIN(1,MAX(Assumptions!$C$27,Assumptions!$C$13*Assumptions!$C$28^(CK$5-1))*$O212)),0)</f>
        <v>0</v>
      </c>
      <c r="CM212" s="93">
        <f>IF(AND($T212=1,CM$5&lt;=$H212),CL212*(1-AW212)*(1-MIN(1,MAX(Assumptions!$C$27,Assumptions!$C$13*Assumptions!$C$28^(CL$5-1))*$O212)),0)</f>
        <v>0</v>
      </c>
      <c r="CN212" s="93">
        <f>IF(AND($T212=1,CN$5&lt;=$H212),CM212*(1-AX212)*(1-MIN(1,MAX(Assumptions!$C$27,Assumptions!$C$13*Assumptions!$C$28^(CM$5-1))*$O212)),0)</f>
        <v>0</v>
      </c>
      <c r="CO212" s="93">
        <f>IF(AND($T212=1,CO$5&lt;=$H212),CN212*(1-AY212)*(1-MIN(1,MAX(Assumptions!$C$27,Assumptions!$C$13*Assumptions!$C$28^(CN$5-1))*$O212)),0)</f>
        <v>0</v>
      </c>
      <c r="CP212" s="93">
        <f>IF(AND($T212=1,CP$5&lt;=$H212),CO212*(1-AZ212)*(1-MIN(1,MAX(Assumptions!$C$27,Assumptions!$C$13*Assumptions!$C$28^(CO$5-1))*$O212)),0)</f>
        <v>0</v>
      </c>
      <c r="CQ212" s="93">
        <f>IF(AND($T212=1,CQ$5&lt;=$H212),CP212*(1-BA212)*(1-MIN(1,MAX(Assumptions!$C$27,Assumptions!$C$13*Assumptions!$C$28^(CP$5-1))*$O212)),0)</f>
        <v>0</v>
      </c>
      <c r="CR212" s="93">
        <f>IF(AND($T212=1,CR$5&lt;=$H212),CQ212*(1-BB212)*(1-MIN(1,MAX(Assumptions!$C$27,Assumptions!$C$13*Assumptions!$C$28^(CQ$5-1))*$O212)),0)</f>
        <v>0</v>
      </c>
      <c r="CS212" s="93">
        <f>IF(AND($T212=1,CS$5&lt;=$H212),CR212*(1-BC212)*(1-MIN(1,MAX(Assumptions!$C$27,Assumptions!$C$13*Assumptions!$C$28^(CR$5-1))*$O212)),0)</f>
        <v>0</v>
      </c>
      <c r="CT212" s="93">
        <f>IF(AND($T212=1,CT$5&lt;=$H212),CS212*(1-BD212)*(1-MIN(1,MAX(Assumptions!$C$27,Assumptions!$C$13*Assumptions!$C$28^(CS$5-1))*$O212)),0)</f>
        <v>0</v>
      </c>
      <c r="CU212" s="93">
        <f>IF(AND($T212=1,CU$5&lt;=$H212),CT212*(1-BE212)*(1-MIN(1,MAX(Assumptions!$C$27,Assumptions!$C$13*Assumptions!$C$28^(CT$5-1))*$O212)),0)</f>
        <v>0</v>
      </c>
      <c r="CV212" s="93">
        <f>IF(AND($T212=1,CV$5&lt;=$H212),CU212*(1-BF212)*(1-MIN(1,MAX(Assumptions!$C$27,Assumptions!$C$13*Assumptions!$C$28^(CU$5-1))*$O212)),0)</f>
        <v>0</v>
      </c>
      <c r="CW212" s="93">
        <f>IF(AND($T212=1,CW$5&lt;=$H212),CV212*(1-BG212)*(1-MIN(1,MAX(Assumptions!$C$27,Assumptions!$C$13*Assumptions!$C$28^(CV$5-1))*$O212)),0)</f>
        <v>0</v>
      </c>
      <c r="CX212" s="93">
        <f>IF(AND($T212=1,CX$5&lt;=$H212),CW212*(1-BH212)*(1-MIN(1,MAX(Assumptions!$C$27,Assumptions!$C$13*Assumptions!$C$28^(CW$5-1))*$O212)),0)</f>
        <v>0</v>
      </c>
      <c r="CY212" s="93">
        <f>IF(AND($T212=1,CY$5&lt;=$H212),CX212*(1-BI212)*(1-MIN(1,MAX(Assumptions!$C$27,Assumptions!$C$13*Assumptions!$C$28^(CX$5-1))*$O212)),0)</f>
        <v>0</v>
      </c>
      <c r="CZ212" s="93">
        <f>IF(AND($T212=1,CZ$5&lt;=$H212),CY212*(1-BJ212)*(1-MIN(1,MAX(Assumptions!$C$27,Assumptions!$C$13*Assumptions!$C$28^(CY$5-1))*$O212)),0)</f>
        <v>0</v>
      </c>
      <c r="DA212" s="93">
        <f>IF(AND($T212=1,DA$5&lt;=$H212),CZ212*(1-BK212)*(1-MIN(1,MAX(Assumptions!$C$27,Assumptions!$C$13*Assumptions!$C$28^(CZ$5-1))*$O212)),0)</f>
        <v>0</v>
      </c>
      <c r="DB212" s="93">
        <f>IF(AND($T212=1,DB$5&lt;=$H212),DA212*(1-BL212)*(1-MIN(1,MAX(Assumptions!$C$27,Assumptions!$C$13*Assumptions!$C$28^(DA$5-1))*$O212)),0)</f>
        <v>0</v>
      </c>
      <c r="DC212" s="93">
        <f>IF(AND($T212=1,DC$5&lt;=$H212),DB212*(1-BM212)*(1-MIN(1,MAX(Assumptions!$C$27,Assumptions!$C$13*Assumptions!$C$28^(DB$5-1))*$O212)),0)</f>
        <v>0</v>
      </c>
      <c r="DD212" s="93">
        <f>IF(AND($T212=1,DD$5&lt;=$H212),DC212*(1-BN212)*(1-MIN(1,MAX(Assumptions!$C$27,Assumptions!$C$13*Assumptions!$C$28^(DC$5-1))*$O212)),0)</f>
        <v>0</v>
      </c>
      <c r="DE212" s="93">
        <f>IF(AND($T212=1,DE$5&lt;=$H212),DD212*(1-BO212)*(1-MIN(1,MAX(Assumptions!$C$27,Assumptions!$C$13*Assumptions!$C$28^(DD$5-1))*$O212)),0)</f>
        <v>0</v>
      </c>
      <c r="DF212" s="93">
        <f>IF(AND($T212=1,DF$5&lt;=$H212),DE212*(1-BP212)*(1-MIN(1,MAX(Assumptions!$C$27,Assumptions!$C$13*Assumptions!$C$28^(DE$5-1))*$O212)),0)</f>
        <v>0</v>
      </c>
      <c r="DG212" s="93">
        <f>IF(AND($T212=1,DG$5&lt;=$H212),DF212*(1-BQ212)*(1-MIN(1,MAX(Assumptions!$C$27,Assumptions!$C$13*Assumptions!$C$28^(DF$5-1))*$O212)),0)</f>
        <v>0</v>
      </c>
      <c r="DH212" s="93">
        <f>IF(AND($T212=1,DH$5&lt;=$H212),DG212*(1-BR212)*(1-MIN(1,MAX(Assumptions!$C$27,Assumptions!$C$13*Assumptions!$C$28^(DG$5-1))*$O212)),0)</f>
        <v>0</v>
      </c>
      <c r="DI212" s="93">
        <f>IF(AND($T212=1,DI$5&lt;=$H212),DH212*(1-BS212)*(1-MIN(1,MAX(Assumptions!$C$27,Assumptions!$C$13*Assumptions!$C$28^(DH$5-1))*$O212)),0)</f>
        <v>0</v>
      </c>
      <c r="DJ212" s="93">
        <f>IF(AND($T212=1,DJ$5&lt;=$H212),DI212*(1-BT212)*(1-MIN(1,MAX(Assumptions!$C$27,Assumptions!$C$13*Assumptions!$C$28^(DI$5-1))*$O212)),0)</f>
        <v>0</v>
      </c>
      <c r="DK212" s="93">
        <f>IF(AND($T212=1,DK$5&lt;=$H212),DJ212*(1-BU212)*(1-MIN(1,MAX(Assumptions!$C$27,Assumptions!$C$13*Assumptions!$C$28^(DJ$5-1))*$O212)),0)</f>
        <v>0</v>
      </c>
      <c r="DL212" s="93">
        <f>IF(AND($T212=1,DL$5&lt;=$H212),DK212*(1-BV212)*(1-MIN(1,MAX(Assumptions!$C$27,Assumptions!$C$13*Assumptions!$C$28^(DK$5-1))*$O212)),0)</f>
        <v>0</v>
      </c>
      <c r="DM212" s="93">
        <f>IF(AND($T212=1,DM$5&lt;=$H212),DL212*(1-BW212)*(1-MIN(1,MAX(Assumptions!$C$27,Assumptions!$C$13*Assumptions!$C$28^(DL$5-1))*$O212)),0)</f>
        <v>0</v>
      </c>
      <c r="DN212" s="93">
        <f>IF(AND($T212=1,DN$5&lt;=$H212),DM212*(1-BX212)*(1-MIN(1,MAX(Assumptions!$C$27,Assumptions!$C$13*Assumptions!$C$28^(DM$5-1))*$O212)),0)</f>
        <v>0</v>
      </c>
      <c r="DO212" s="93">
        <f>IF(AND($T212=1,DO$5&lt;=$H212),DN212*(1-BY212)*(1-MIN(1,MAX(Assumptions!$C$27,Assumptions!$C$13*Assumptions!$C$28^(DN$5-1))*$O212)),0)</f>
        <v>0</v>
      </c>
      <c r="DP212" s="93">
        <f>IF(AND($T212=1,DP$5&lt;=$H212),DO212*(1-BZ212)*(1-MIN(1,MAX(Assumptions!$C$27,Assumptions!$C$13*Assumptions!$C$28^(DO$5-1))*$O212)),0)</f>
        <v>0</v>
      </c>
      <c r="DQ212" s="93">
        <f>IF(AND($T212=1,DQ$5&lt;=$H212),DP212*(1-CA212)*(1-MIN(1,MAX(Assumptions!$C$27,Assumptions!$C$13*Assumptions!$C$28^(DP$5-1))*$O212)),0)</f>
        <v>0</v>
      </c>
      <c r="DR212" s="93">
        <f>IF(AND($T212=1,DR$5&lt;=$H212),DQ212*(1-CB212)*(1-MIN(1,MAX(Assumptions!$C$27,Assumptions!$C$13*Assumptions!$C$28^(DQ$5-1))*$O212)),0)</f>
        <v>0</v>
      </c>
      <c r="DS212" s="93">
        <f>IF(AND($T212=1,DS$5&lt;=$H212),DR212*(1-CC212)*(1-MIN(1,MAX(Assumptions!$C$27,Assumptions!$C$13*Assumptions!$C$28^(DR$5-1))*$O212)),0)</f>
        <v>0</v>
      </c>
      <c r="DT212" s="93">
        <f>IF(AND($T212=1,DT$5&lt;=$H212),DS212*(1-CD212)*(1-MIN(1,MAX(Assumptions!$C$27,Assumptions!$C$13*Assumptions!$C$28^(DS$5-1))*$O212)),0)</f>
        <v>0</v>
      </c>
      <c r="DU212" s="93">
        <f>IF(AND($T212=1,DU$5&lt;=$H212),DT212*(1-CE212)*(1-MIN(1,MAX(Assumptions!$C$27,Assumptions!$C$13*Assumptions!$C$28^(DT$5-1))*$O212)),0)</f>
        <v>0</v>
      </c>
      <c r="DV212" s="93">
        <f>IF(AND($T212=1,DV$5&lt;=$H212),DU212*(1-CF212)*(1-MIN(1,MAX(Assumptions!$C$27,Assumptions!$C$13*Assumptions!$C$28^(DU$5-1))*$O212)),0)</f>
        <v>0</v>
      </c>
      <c r="DW212" s="94">
        <f>IF(AND($T212=1,DW$5&lt;=$H212),DV212*(1-CG212)*(1-MIN(1,MAX(Assumptions!$C$27,Assumptions!$C$13*Assumptions!$C$28^(DV$5-1))*$O212)),0)</f>
        <v>0</v>
      </c>
      <c r="DX212" s="26"/>
      <c r="DY212" s="399">
        <f>'Policy Data'!K186</f>
        <v>6</v>
      </c>
      <c r="DZ212" s="100">
        <f>'Policy Data'!L186</f>
        <v>0.53420000000000001</v>
      </c>
      <c r="EA212" s="100">
        <f>'Policy Data'!N186</f>
        <v>4.7210000000000004E-3</v>
      </c>
      <c r="EB212" s="93" cm="1">
        <f t="array" ref="EB212">IFERROR(DZ212*INDEX(Mortality!$B$4:$E$64,MATCH(D212+DY212-1,Mortality!$A$4:$A$64,0),U212)*V212,0)</f>
        <v>7.0420618552034511E-3</v>
      </c>
      <c r="EC212" s="100">
        <f>'Policy Data'!O186</f>
        <v>0</v>
      </c>
      <c r="ED212" s="400">
        <f>'Policy Data'!Q186</f>
        <v>0</v>
      </c>
    </row>
    <row r="213" spans="1:134" x14ac:dyDescent="0.3">
      <c r="A213" s="399" t="str">
        <f>'Policy Data'!A187</f>
        <v>POL100183</v>
      </c>
      <c r="B213" s="26" t="s">
        <v>426</v>
      </c>
      <c r="C213" s="100" t="str">
        <f>'Policy Data'!B187</f>
        <v>Term Life</v>
      </c>
      <c r="D213" s="100">
        <f>'Policy Data'!C187</f>
        <v>26</v>
      </c>
      <c r="E213" s="100" t="str">
        <f>'Policy Data'!D187</f>
        <v>Male</v>
      </c>
      <c r="F213" s="100" t="str">
        <f>'Policy Data'!E187</f>
        <v>Non-smoker</v>
      </c>
      <c r="G213" s="100" t="str">
        <f>'Policy Data'!F187</f>
        <v>Standard</v>
      </c>
      <c r="H213" s="100">
        <f>'Policy Data'!G187</f>
        <v>25</v>
      </c>
      <c r="I213" s="279">
        <f>'Policy Data'!H187</f>
        <v>250000</v>
      </c>
      <c r="J213" s="100" t="str">
        <f>'Policy Data'!I187</f>
        <v>Annual</v>
      </c>
      <c r="K213" s="100" t="str">
        <f>'Policy Data'!J187</f>
        <v>Bancassurance</v>
      </c>
      <c r="L213" s="26" t="s">
        <v>389</v>
      </c>
      <c r="M213" s="106">
        <f>'Policy Data'!R187</f>
        <v>1200</v>
      </c>
      <c r="N213" s="415">
        <f>Assumptions!$C$21</f>
        <v>1</v>
      </c>
      <c r="O213" s="415">
        <f>Assumptions!$C$22</f>
        <v>1</v>
      </c>
      <c r="P213" s="415">
        <f>Assumptions!$C$23</f>
        <v>1</v>
      </c>
      <c r="Q213" s="416">
        <f>Assumptions!$C$24</f>
        <v>0</v>
      </c>
      <c r="R213" s="416">
        <f>Assumptions!$C$6+Assumptions!$C$25</f>
        <v>3.5000000000000003E-2</v>
      </c>
      <c r="S213" s="416">
        <f>Assumptions!$C$15</f>
        <v>1.1000000000000001E-3</v>
      </c>
      <c r="T213" s="26">
        <f t="shared" si="54"/>
        <v>1</v>
      </c>
      <c r="U213" s="26">
        <f t="shared" si="55"/>
        <v>3</v>
      </c>
      <c r="V213" s="389">
        <f>IF($G213="Preferred",Assumptions!$C$30,IF($G213="Rated",Assumptions!$C$31,1))</f>
        <v>1</v>
      </c>
      <c r="W213" s="390">
        <f>IF($K213="Direct",Assumptions!$C$32,IF($K213="Broker",Assumptions!$C$33,IF($K213="Bancassurance",Assumptions!$C$34,Assumptions!$C$11)))+$Q213</f>
        <v>0.2</v>
      </c>
      <c r="X213" s="390">
        <f>Assumptions!$C$12+$Q213</f>
        <v>0.05</v>
      </c>
      <c r="Y213" s="131">
        <f>MIN($I213,Assumptions!$C$14)</f>
        <v>250000</v>
      </c>
      <c r="Z213" s="131">
        <f>MAX($I213-Assumptions!$C$14,0)</f>
        <v>0</v>
      </c>
      <c r="AA213" s="389">
        <f t="shared" si="56"/>
        <v>9.4943715041700827</v>
      </c>
      <c r="AB213" s="389">
        <f t="shared" si="57"/>
        <v>8.2151786904721431E-3</v>
      </c>
      <c r="AC213" s="389">
        <f>IF($T213=1,SUMPRODUCT($CJ213:$DW213,(1+Assumptions!$C$5)^($CJ$5:$DW$5-1),(1+$R213)^(-$CJ$5:$DW$5)),0)</f>
        <v>13.69004416164362</v>
      </c>
      <c r="AD213" s="389">
        <f t="shared" si="58"/>
        <v>0.61964611144038817</v>
      </c>
      <c r="AE213" s="131">
        <f>IF($T213=1,$AB213*$Y213+(Assumptions!$C$9/(1+$R213)+Assumptions!$C$10*$AC213)*$P213+$S213*$Z213*$AA213,0)</f>
        <v>5935.1696055709363</v>
      </c>
      <c r="AF213" s="131">
        <f>IF($T213=1,IF($AA213-$AD213-Assumptions!$C$16*$AA213&gt;0,$AE213/($AA213-$AD213-Assumptions!$C$16*$AA213)*IF($J213="Monthly",1+Assumptions!$C$29,1),"n.a."),"")</f>
        <v>731.36674363803604</v>
      </c>
      <c r="AG213" s="131">
        <f t="shared" si="59"/>
        <v>1200</v>
      </c>
      <c r="AH213" s="131">
        <f t="shared" si="60"/>
        <v>11393.245805004099</v>
      </c>
      <c r="AI213" s="131">
        <f t="shared" si="61"/>
        <v>4714.5008657046965</v>
      </c>
      <c r="AJ213" s="390">
        <f t="shared" si="62"/>
        <v>0.41379787168587295</v>
      </c>
      <c r="AK213" s="389">
        <f t="shared" si="63"/>
        <v>1.6407636940542887</v>
      </c>
      <c r="AL213" s="131">
        <f t="shared" si="64"/>
        <v>0</v>
      </c>
      <c r="AM213" s="131">
        <f t="shared" si="65"/>
        <v>0</v>
      </c>
      <c r="AN213" s="131">
        <f t="shared" si="66"/>
        <v>0</v>
      </c>
      <c r="AO213" s="131">
        <f t="shared" si="67"/>
        <v>4714.5008657046965</v>
      </c>
      <c r="AP213" s="26" t="str">
        <f t="shared" si="68"/>
        <v>20-29</v>
      </c>
      <c r="AQ213" s="26" t="str">
        <f t="shared" si="69"/>
        <v>Up to 250k</v>
      </c>
      <c r="AR213" s="26" t="str">
        <f>IF($T213=1,IF($AI213&lt;0,"Loss-making",IF($AJ213&lt;Assumptions!$C$16-0.00001,"Below target","At/above target")),"Excluded")</f>
        <v>At/above target</v>
      </c>
      <c r="AS213" s="103">
        <f t="shared" si="70"/>
        <v>4714.5010787046967</v>
      </c>
      <c r="AT213" s="26"/>
      <c r="AU213" s="419">
        <f>IF(AND($T213=1,AU$5&lt;=$H213),INDEX(Mortality!$B$4:$E$64,MATCH($D213+AU$5-1,Mortality!$A$4:$A$64,0),$U213)*$V213*$N213,0)</f>
        <v>3.7578212668563498E-4</v>
      </c>
      <c r="AV213" s="93">
        <f>IF(AND($T213=1,AV$5&lt;=$H213),INDEX(Mortality!$B$4:$E$64,MATCH($D213+AV$5-1,Mortality!$A$4:$A$64,0),$U213)*$V213*$N213,0)</f>
        <v>4.0707991810194101E-4</v>
      </c>
      <c r="AW213" s="93">
        <f>IF(AND($T213=1,AW$5&lt;=$H213),INDEX(Mortality!$B$4:$E$64,MATCH($D213+AW$5-1,Mortality!$A$4:$A$64,0),$U213)*$V213*$N213,0)</f>
        <v>4.4098441079001399E-4</v>
      </c>
      <c r="AX213" s="93">
        <f>IF(AND($T213=1,AX$5&lt;=$H213),INDEX(Mortality!$B$4:$E$64,MATCH($D213+AX$5-1,Mortality!$A$4:$A$64,0),$U213)*$V213*$N213,0)</f>
        <v>4.7771270925508401E-4</v>
      </c>
      <c r="AY213" s="93">
        <f>IF(AND($T213=1,AY$5&lt;=$H213),INDEX(Mortality!$B$4:$E$64,MATCH($D213+AY$5-1,Mortality!$A$4:$A$64,0),$U213)*$V213*$N213,0)</f>
        <v>5.1749999999999995E-4</v>
      </c>
      <c r="AZ213" s="93">
        <f>IF(AND($T213=1,AZ$5&lt;=$H213),INDEX(Mortality!$B$4:$E$64,MATCH($D213+AZ$5-1,Mortality!$A$4:$A$64,0),$U213)*$V213*$N213,0)</f>
        <v>5.6060105752179102E-4</v>
      </c>
      <c r="BA213" s="93">
        <f>IF(AND($T213=1,BA$5&lt;=$H213),INDEX(Mortality!$B$4:$E$64,MATCH($D213+BA$5-1,Mortality!$A$4:$A$64,0),$U213)*$V213*$N213,0)</f>
        <v>6.07291875738262E-4</v>
      </c>
      <c r="BB213" s="93">
        <f>IF(AND($T213=1,BB$5&lt;=$H213),INDEX(Mortality!$B$4:$E$64,MATCH($D213+BB$5-1,Mortality!$A$4:$A$64,0),$U213)*$V213*$N213,0)</f>
        <v>6.5787143529132705E-4</v>
      </c>
      <c r="BC213" s="93">
        <f>IF(AND($T213=1,BC$5&lt;=$H213),INDEX(Mortality!$B$4:$E$64,MATCH($D213+BC$5-1,Mortality!$A$4:$A$64,0),$U213)*$V213*$N213,0)</f>
        <v>7.1266361804385805E-4</v>
      </c>
      <c r="BD213" s="93">
        <f>IF(AND($T213=1,BD$5&lt;=$H213),INDEX(Mortality!$B$4:$E$64,MATCH($D213+BD$5-1,Mortality!$A$4:$A$64,0),$U213)*$V213*$N213,0)</f>
        <v>7.7201928102935699E-4</v>
      </c>
      <c r="BE213" s="93">
        <f>IF(AND($T213=1,BE$5&lt;=$H213),INDEX(Mortality!$B$4:$E$64,MATCH($D213+BE$5-1,Mortality!$A$4:$A$64,0),$U213)*$V213*$N213,0)</f>
        <v>8.3631850313482196E-4</v>
      </c>
      <c r="BF213" s="93">
        <f>IF(AND($T213=1,BF$5&lt;=$H213),INDEX(Mortality!$B$4:$E$64,MATCH($D213+BF$5-1,Mortality!$A$4:$A$64,0),$U213)*$V213*$N213,0)</f>
        <v>9.0597301890323197E-4</v>
      </c>
      <c r="BG213" s="93">
        <f>IF(AND($T213=1,BG$5&lt;=$H213),INDEX(Mortality!$B$4:$E$64,MATCH($D213+BG$5-1,Mortality!$A$4:$A$64,0),$U213)*$V213*$N213,0)</f>
        <v>9.8142885504031189E-4</v>
      </c>
      <c r="BH213" s="93">
        <f>IF(AND($T213=1,BH$5&lt;=$H213),INDEX(Mortality!$B$4:$E$64,MATCH($D213+BH$5-1,Mortality!$A$4:$A$64,0),$U213)*$V213*$N213,0)</f>
        <v>1.06316918650821E-3</v>
      </c>
      <c r="BI213" s="93">
        <f>IF(AND($T213=1,BI$5&lt;=$H213),INDEX(Mortality!$B$4:$E$64,MATCH($D213+BI$5-1,Mortality!$A$4:$A$64,0),$U213)*$V213*$N213,0)</f>
        <v>1.1517174304948501E-3</v>
      </c>
      <c r="BJ213" s="93">
        <f>IF(AND($T213=1,BJ$5&lt;=$H213),INDEX(Mortality!$B$4:$E$64,MATCH($D213+BJ$5-1,Mortality!$A$4:$A$64,0),$U213)*$V213*$N213,0)</f>
        <v>1.24764059807091E-3</v>
      </c>
      <c r="BK213" s="93">
        <f>IF(AND($T213=1,BK$5&lt;=$H213),INDEX(Mortality!$B$4:$E$64,MATCH($D213+BK$5-1,Mortality!$A$4:$A$64,0),$U213)*$V213*$N213,0)</f>
        <v>1.3515529249964601E-3</v>
      </c>
      <c r="BL213" s="93">
        <f>IF(AND($T213=1,BL$5&lt;=$H213),INDEX(Mortality!$B$4:$E$64,MATCH($D213+BL$5-1,Mortality!$A$4:$A$64,0),$U213)*$V213*$N213,0)</f>
        <v>1.4641198049269301E-3</v>
      </c>
      <c r="BM213" s="93">
        <f>IF(AND($T213=1,BM$5&lt;=$H213),INDEX(Mortality!$B$4:$E$64,MATCH($D213+BM$5-1,Mortality!$A$4:$A$64,0),$U213)*$V213*$N213,0)</f>
        <v>1.58606205020413E-3</v>
      </c>
      <c r="BN213" s="93">
        <f>IF(AND($T213=1,BN$5&lt;=$H213),INDEX(Mortality!$B$4:$E$64,MATCH($D213+BN$5-1,Mortality!$A$4:$A$64,0),$U213)*$V213*$N213,0)</f>
        <v>1.71816050751616E-3</v>
      </c>
      <c r="BO213" s="93">
        <f>IF(AND($T213=1,BO$5&lt;=$H213),INDEX(Mortality!$B$4:$E$64,MATCH($D213+BO$5-1,Mortality!$A$4:$A$64,0),$U213)*$V213*$N213,0)</f>
        <v>1.8612610579820999E-3</v>
      </c>
      <c r="BP213" s="93">
        <f>IF(AND($T213=1,BP$5&lt;=$H213),INDEX(Mortality!$B$4:$E$64,MATCH($D213+BP$5-1,Mortality!$A$4:$A$64,0),$U213)*$V213*$N213,0)</f>
        <v>2.0162800336790201E-3</v>
      </c>
      <c r="BQ213" s="93">
        <f>IF(AND($T213=1,BQ$5&lt;=$H213),INDEX(Mortality!$B$4:$E$64,MATCH($D213+BQ$5-1,Mortality!$A$4:$A$64,0),$U213)*$V213*$N213,0)</f>
        <v>2.1842100852957199E-3</v>
      </c>
      <c r="BR213" s="93">
        <f>IF(AND($T213=1,BR$5&lt;=$H213),INDEX(Mortality!$B$4:$E$64,MATCH($D213+BR$5-1,Mortality!$A$4:$A$64,0),$U213)*$V213*$N213,0)</f>
        <v>2.3661265384860701E-3</v>
      </c>
      <c r="BS213" s="93">
        <f>IF(AND($T213=1,BS$5&lt;=$H213),INDEX(Mortality!$B$4:$E$64,MATCH($D213+BS$5-1,Mortality!$A$4:$A$64,0),$U213)*$V213*$N213,0)</f>
        <v>2.5631942796244698E-3</v>
      </c>
      <c r="BT213" s="93">
        <f>IF(AND($T213=1,BT$5&lt;=$H213),INDEX(Mortality!$B$4:$E$64,MATCH($D213+BT$5-1,Mortality!$A$4:$A$64,0),$U213)*$V213*$N213,0)</f>
        <v>0</v>
      </c>
      <c r="BU213" s="93">
        <f>IF(AND($T213=1,BU$5&lt;=$H213),INDEX(Mortality!$B$4:$E$64,MATCH($D213+BU$5-1,Mortality!$A$4:$A$64,0),$U213)*$V213*$N213,0)</f>
        <v>0</v>
      </c>
      <c r="BV213" s="93">
        <f>IF(AND($T213=1,BV$5&lt;=$H213),INDEX(Mortality!$B$4:$E$64,MATCH($D213+BV$5-1,Mortality!$A$4:$A$64,0),$U213)*$V213*$N213,0)</f>
        <v>0</v>
      </c>
      <c r="BW213" s="93">
        <f>IF(AND($T213=1,BW$5&lt;=$H213),INDEX(Mortality!$B$4:$E$64,MATCH($D213+BW$5-1,Mortality!$A$4:$A$64,0),$U213)*$V213*$N213,0)</f>
        <v>0</v>
      </c>
      <c r="BX213" s="93">
        <f>IF(AND($T213=1,BX$5&lt;=$H213),INDEX(Mortality!$B$4:$E$64,MATCH($D213+BX$5-1,Mortality!$A$4:$A$64,0),$U213)*$V213*$N213,0)</f>
        <v>0</v>
      </c>
      <c r="BY213" s="93">
        <f>IF(AND($T213=1,BY$5&lt;=$H213),INDEX(Mortality!$B$4:$E$64,MATCH($D213+BY$5-1,Mortality!$A$4:$A$64,0),$U213)*$V213*$N213,0)</f>
        <v>0</v>
      </c>
      <c r="BZ213" s="93">
        <f>IF(AND($T213=1,BZ$5&lt;=$H213),INDEX(Mortality!$B$4:$E$64,MATCH($D213+BZ$5-1,Mortality!$A$4:$A$64,0),$U213)*$V213*$N213,0)</f>
        <v>0</v>
      </c>
      <c r="CA213" s="93">
        <f>IF(AND($T213=1,CA$5&lt;=$H213),INDEX(Mortality!$B$4:$E$64,MATCH($D213+CA$5-1,Mortality!$A$4:$A$64,0),$U213)*$V213*$N213,0)</f>
        <v>0</v>
      </c>
      <c r="CB213" s="93">
        <f>IF(AND($T213=1,CB$5&lt;=$H213),INDEX(Mortality!$B$4:$E$64,MATCH($D213+CB$5-1,Mortality!$A$4:$A$64,0),$U213)*$V213*$N213,0)</f>
        <v>0</v>
      </c>
      <c r="CC213" s="93">
        <f>IF(AND($T213=1,CC$5&lt;=$H213),INDEX(Mortality!$B$4:$E$64,MATCH($D213+CC$5-1,Mortality!$A$4:$A$64,0),$U213)*$V213*$N213,0)</f>
        <v>0</v>
      </c>
      <c r="CD213" s="93">
        <f>IF(AND($T213=1,CD$5&lt;=$H213),INDEX(Mortality!$B$4:$E$64,MATCH($D213+CD$5-1,Mortality!$A$4:$A$64,0),$U213)*$V213*$N213,0)</f>
        <v>0</v>
      </c>
      <c r="CE213" s="93">
        <f>IF(AND($T213=1,CE$5&lt;=$H213),INDEX(Mortality!$B$4:$E$64,MATCH($D213+CE$5-1,Mortality!$A$4:$A$64,0),$U213)*$V213*$N213,0)</f>
        <v>0</v>
      </c>
      <c r="CF213" s="93">
        <f>IF(AND($T213=1,CF$5&lt;=$H213),INDEX(Mortality!$B$4:$E$64,MATCH($D213+CF$5-1,Mortality!$A$4:$A$64,0),$U213)*$V213*$N213,0)</f>
        <v>0</v>
      </c>
      <c r="CG213" s="93">
        <f>IF(AND($T213=1,CG$5&lt;=$H213),INDEX(Mortality!$B$4:$E$64,MATCH($D213+CG$5-1,Mortality!$A$4:$A$64,0),$U213)*$V213*$N213,0)</f>
        <v>0</v>
      </c>
      <c r="CH213" s="94">
        <f>IF(AND($T213=1,CH$5&lt;=$H213),INDEX(Mortality!$B$4:$E$64,MATCH($D213+CH$5-1,Mortality!$A$4:$A$64,0),$U213)*$V213*$N213,0)</f>
        <v>0</v>
      </c>
      <c r="CI213" s="26"/>
      <c r="CJ213" s="419">
        <f t="shared" si="71"/>
        <v>1</v>
      </c>
      <c r="CK213" s="93">
        <f>IF(AND($T213=1,CK$5&lt;=$H213),CJ213*(1-AU213)*(1-MIN(1,MAX(Assumptions!$C$27,Assumptions!$C$13*Assumptions!$C$28^(CJ$5-1))*$O213)),0)</f>
        <v>0.87966931172851659</v>
      </c>
      <c r="CL213" s="93">
        <f>IF(AND($T213=1,CL$5&lt;=$H213),CK213*(1-AV213)*(1-MIN(1,MAX(Assumptions!$C$27,Assumptions!$C$13*Assumptions!$C$28^(CK$5-1))*$O213)),0)</f>
        <v>0.78962147198339294</v>
      </c>
      <c r="CM213" s="93">
        <f>IF(AND($T213=1,CM$5&lt;=$H213),CL213*(1-AW213)*(1-MIN(1,MAX(Assumptions!$C$27,Assumptions!$C$13*Assumptions!$C$28^(CL$5-1))*$O213)),0)</f>
        <v>0.72084326947571775</v>
      </c>
      <c r="CN213" s="93">
        <f>IF(AND($T213=1,CN$5&lt;=$H213),CM213*(1-AX213)*(1-MIN(1,MAX(Assumptions!$C$27,Assumptions!$C$13*Assumptions!$C$28^(CM$5-1))*$O213)),0)</f>
        <v>0.66740174605526748</v>
      </c>
      <c r="CO213" s="93">
        <f>IF(AND($T213=1,CO$5&lt;=$H213),CN213*(1-AY213)*(1-MIN(1,MAX(Assumptions!$C$27,Assumptions!$C$13*Assumptions!$C$28^(CN$5-1))*$O213)),0)</f>
        <v>0.62527145461498823</v>
      </c>
      <c r="CP213" s="93">
        <f>IF(AND($T213=1,CP$5&lt;=$H213),CO213*(1-AZ213)*(1-MIN(1,MAX(Assumptions!$C$27,Assumptions!$C$13*Assumptions!$C$28^(CO$5-1))*$O213)),0)</f>
        <v>0.59164723856392509</v>
      </c>
      <c r="CQ213" s="93">
        <f>IF(AND($T213=1,CQ$5&lt;=$H213),CP213*(1-BA213)*(1-MIN(1,MAX(Assumptions!$C$27,Assumptions!$C$13*Assumptions!$C$28^(CP$5-1))*$O213)),0)</f>
        <v>0.56452746096364603</v>
      </c>
      <c r="CR213" s="93">
        <f>IF(AND($T213=1,CR$5&lt;=$H213),CQ213*(1-BB213)*(1-MIN(1,MAX(Assumptions!$C$27,Assumptions!$C$13*Assumptions!$C$28^(CQ$5-1))*$O213)),0)</f>
        <v>0.54245341306976624</v>
      </c>
      <c r="CS213" s="93">
        <f>IF(AND($T213=1,CS$5&lt;=$H213),CR213*(1-BC213)*(1-MIN(1,MAX(Assumptions!$C$27,Assumptions!$C$13*Assumptions!$C$28^(CR$5-1))*$O213)),0)</f>
        <v>0.52434185736659855</v>
      </c>
      <c r="CT213" s="93">
        <f>IF(AND($T213=1,CT$5&lt;=$H213),CS213*(1-BD213)*(1-MIN(1,MAX(Assumptions!$C$27,Assumptions!$C$13*Assumptions!$C$28^(CS$5-1))*$O213)),0)</f>
        <v>0.50937473124648558</v>
      </c>
      <c r="CU213" s="93">
        <f>IF(AND($T213=1,CU$5&lt;=$H213),CT213*(1-BE213)*(1-MIN(1,MAX(Assumptions!$C$27,Assumptions!$C$13*Assumptions!$C$28^(CT$5-1))*$O213)),0)</f>
        <v>0.49692485432570982</v>
      </c>
      <c r="CV213" s="93">
        <f>IF(AND($T213=1,CV$5&lt;=$H213),CU213*(1-BF213)*(1-MIN(1,MAX(Assumptions!$C$27,Assumptions!$C$13*Assumptions!$C$28^(CU$5-1))*$O213)),0)</f>
        <v>0.48650485233777324</v>
      </c>
      <c r="CW213" s="93">
        <f>IF(AND($T213=1,CW$5&lt;=$H213),CV213*(1-BG213)*(1-MIN(1,MAX(Assumptions!$C$27,Assumptions!$C$13*Assumptions!$C$28^(CV$5-1))*$O213)),0)</f>
        <v>0.47630683478882035</v>
      </c>
      <c r="CX213" s="93">
        <f>IF(AND($T213=1,CX$5&lt;=$H213),CW213*(1-BH213)*(1-MIN(1,MAX(Assumptions!$C$27,Assumptions!$C$13*Assumptions!$C$28^(CW$5-1))*$O213)),0)</f>
        <v>0.46628443123797464</v>
      </c>
      <c r="CY213" s="93">
        <f>IF(AND($T213=1,CY$5&lt;=$H213),CX213*(1-BI213)*(1-MIN(1,MAX(Assumptions!$C$27,Assumptions!$C$13*Assumptions!$C$28^(CX$5-1))*$O213)),0)</f>
        <v>0.45643245526433052</v>
      </c>
      <c r="CZ213" s="93">
        <f>IF(AND($T213=1,CZ$5&lt;=$H213),CY213*(1-BJ213)*(1-MIN(1,MAX(Assumptions!$C$27,Assumptions!$C$13*Assumptions!$C$28^(CY$5-1))*$O213)),0)</f>
        <v>0.44674573177080823</v>
      </c>
      <c r="DA213" s="93">
        <f>IF(AND($T213=1,DA$5&lt;=$H213),CZ213*(1-BK213)*(1-MIN(1,MAX(Assumptions!$C$27,Assumptions!$C$13*Assumptions!$C$28^(CZ$5-1))*$O213)),0)</f>
        <v>0.43721909264489761</v>
      </c>
      <c r="DB213" s="93">
        <f>IF(AND($T213=1,DB$5&lt;=$H213),DA213*(1-BL213)*(1-MIN(1,MAX(Assumptions!$C$27,Assumptions!$C$13*Assumptions!$C$28^(DA$5-1))*$O213)),0)</f>
        <v>0.42784737248201876</v>
      </c>
      <c r="DC213" s="93">
        <f>IF(AND($T213=1,DC$5&lt;=$H213),DB213*(1-BM213)*(1-MIN(1,MAX(Assumptions!$C$27,Assumptions!$C$13*Assumptions!$C$28^(DB$5-1))*$O213)),0)</f>
        <v>0.41862540440122054</v>
      </c>
      <c r="DD213" s="93">
        <f>IF(AND($T213=1,DD$5&lt;=$H213),DC213*(1-BN213)*(1-MIN(1,MAX(Assumptions!$C$27,Assumptions!$C$13*Assumptions!$C$28^(DC$5-1))*$O213)),0)</f>
        <v>0.4095480159886567</v>
      </c>
      <c r="DE213" s="93">
        <f>IF(AND($T213=1,DE$5&lt;=$H213),DD213*(1-BO213)*(1-MIN(1,MAX(Assumptions!$C$27,Assumptions!$C$13*Assumptions!$C$28^(DD$5-1))*$O213)),0)</f>
        <v>0.40061002541082069</v>
      </c>
      <c r="DF213" s="93">
        <f>IF(AND($T213=1,DF$5&lt;=$H213),DE213*(1-BP213)*(1-MIN(1,MAX(Assumptions!$C$27,Assumptions!$C$13*Assumptions!$C$28^(DE$5-1))*$O213)),0)</f>
        <v>0.39180623774698736</v>
      </c>
      <c r="DG213" s="93">
        <f>IF(AND($T213=1,DG$5&lt;=$H213),DF213*(1-BQ213)*(1-MIN(1,MAX(Assumptions!$C$27,Assumptions!$C$13*Assumptions!$C$28^(DF$5-1))*$O213)),0)</f>
        <v>0.38313144159879825</v>
      </c>
      <c r="DH213" s="93">
        <f>IF(AND($T213=1,DH$5&lt;=$H213),DG213*(1-BR213)*(1-MIN(1,MAX(Assumptions!$C$27,Assumptions!$C$13*Assumptions!$C$28^(DG$5-1))*$O213)),0)</f>
        <v>0.37458040604456083</v>
      </c>
      <c r="DI213" s="93">
        <f>IF(AND($T213=1,DI$5&lt;=$H213),DH213*(1-BS213)*(1-MIN(1,MAX(Assumptions!$C$27,Assumptions!$C$13*Assumptions!$C$28^(DH$5-1))*$O213)),0)</f>
        <v>0</v>
      </c>
      <c r="DJ213" s="93">
        <f>IF(AND($T213=1,DJ$5&lt;=$H213),DI213*(1-BT213)*(1-MIN(1,MAX(Assumptions!$C$27,Assumptions!$C$13*Assumptions!$C$28^(DI$5-1))*$O213)),0)</f>
        <v>0</v>
      </c>
      <c r="DK213" s="93">
        <f>IF(AND($T213=1,DK$5&lt;=$H213),DJ213*(1-BU213)*(1-MIN(1,MAX(Assumptions!$C$27,Assumptions!$C$13*Assumptions!$C$28^(DJ$5-1))*$O213)),0)</f>
        <v>0</v>
      </c>
      <c r="DL213" s="93">
        <f>IF(AND($T213=1,DL$5&lt;=$H213),DK213*(1-BV213)*(1-MIN(1,MAX(Assumptions!$C$27,Assumptions!$C$13*Assumptions!$C$28^(DK$5-1))*$O213)),0)</f>
        <v>0</v>
      </c>
      <c r="DM213" s="93">
        <f>IF(AND($T213=1,DM$5&lt;=$H213),DL213*(1-BW213)*(1-MIN(1,MAX(Assumptions!$C$27,Assumptions!$C$13*Assumptions!$C$28^(DL$5-1))*$O213)),0)</f>
        <v>0</v>
      </c>
      <c r="DN213" s="93">
        <f>IF(AND($T213=1,DN$5&lt;=$H213),DM213*(1-BX213)*(1-MIN(1,MAX(Assumptions!$C$27,Assumptions!$C$13*Assumptions!$C$28^(DM$5-1))*$O213)),0)</f>
        <v>0</v>
      </c>
      <c r="DO213" s="93">
        <f>IF(AND($T213=1,DO$5&lt;=$H213),DN213*(1-BY213)*(1-MIN(1,MAX(Assumptions!$C$27,Assumptions!$C$13*Assumptions!$C$28^(DN$5-1))*$O213)),0)</f>
        <v>0</v>
      </c>
      <c r="DP213" s="93">
        <f>IF(AND($T213=1,DP$5&lt;=$H213),DO213*(1-BZ213)*(1-MIN(1,MAX(Assumptions!$C$27,Assumptions!$C$13*Assumptions!$C$28^(DO$5-1))*$O213)),0)</f>
        <v>0</v>
      </c>
      <c r="DQ213" s="93">
        <f>IF(AND($T213=1,DQ$5&lt;=$H213),DP213*(1-CA213)*(1-MIN(1,MAX(Assumptions!$C$27,Assumptions!$C$13*Assumptions!$C$28^(DP$5-1))*$O213)),0)</f>
        <v>0</v>
      </c>
      <c r="DR213" s="93">
        <f>IF(AND($T213=1,DR$5&lt;=$H213),DQ213*(1-CB213)*(1-MIN(1,MAX(Assumptions!$C$27,Assumptions!$C$13*Assumptions!$C$28^(DQ$5-1))*$O213)),0)</f>
        <v>0</v>
      </c>
      <c r="DS213" s="93">
        <f>IF(AND($T213=1,DS$5&lt;=$H213),DR213*(1-CC213)*(1-MIN(1,MAX(Assumptions!$C$27,Assumptions!$C$13*Assumptions!$C$28^(DR$5-1))*$O213)),0)</f>
        <v>0</v>
      </c>
      <c r="DT213" s="93">
        <f>IF(AND($T213=1,DT$5&lt;=$H213),DS213*(1-CD213)*(1-MIN(1,MAX(Assumptions!$C$27,Assumptions!$C$13*Assumptions!$C$28^(DS$5-1))*$O213)),0)</f>
        <v>0</v>
      </c>
      <c r="DU213" s="93">
        <f>IF(AND($T213=1,DU$5&lt;=$H213),DT213*(1-CE213)*(1-MIN(1,MAX(Assumptions!$C$27,Assumptions!$C$13*Assumptions!$C$28^(DT$5-1))*$O213)),0)</f>
        <v>0</v>
      </c>
      <c r="DV213" s="93">
        <f>IF(AND($T213=1,DV$5&lt;=$H213),DU213*(1-CF213)*(1-MIN(1,MAX(Assumptions!$C$27,Assumptions!$C$13*Assumptions!$C$28^(DU$5-1))*$O213)),0)</f>
        <v>0</v>
      </c>
      <c r="DW213" s="94">
        <f>IF(AND($T213=1,DW$5&lt;=$H213),DV213*(1-CG213)*(1-MIN(1,MAX(Assumptions!$C$27,Assumptions!$C$13*Assumptions!$C$28^(DV$5-1))*$O213)),0)</f>
        <v>0</v>
      </c>
      <c r="DX213" s="26"/>
      <c r="DY213" s="399">
        <f>'Policy Data'!K187</f>
        <v>7</v>
      </c>
      <c r="DZ213" s="100">
        <f>'Policy Data'!L187</f>
        <v>0.66500000000000004</v>
      </c>
      <c r="EA213" s="100">
        <f>'Policy Data'!N187</f>
        <v>2.5000000000000001E-4</v>
      </c>
      <c r="EB213" s="93" cm="1">
        <f t="array" ref="EB213">IFERROR(DZ213*INDEX(Mortality!$B$4:$E$64,MATCH(D213+DY213-1,Mortality!$A$4:$A$64,0),U213)*V213,0)</f>
        <v>4.0384909736594426E-4</v>
      </c>
      <c r="EC213" s="100">
        <f>'Policy Data'!O187</f>
        <v>0</v>
      </c>
      <c r="ED213" s="400">
        <f>'Policy Data'!Q187</f>
        <v>0</v>
      </c>
    </row>
    <row r="214" spans="1:134" x14ac:dyDescent="0.3">
      <c r="A214" s="399" t="str">
        <f>'Policy Data'!A188</f>
        <v>POL100184</v>
      </c>
      <c r="B214" s="26" t="s">
        <v>426</v>
      </c>
      <c r="C214" s="100" t="str">
        <f>'Policy Data'!B188</f>
        <v>Term Life</v>
      </c>
      <c r="D214" s="100">
        <f>'Policy Data'!C188</f>
        <v>49</v>
      </c>
      <c r="E214" s="100" t="str">
        <f>'Policy Data'!D188</f>
        <v>Female</v>
      </c>
      <c r="F214" s="100" t="str">
        <f>'Policy Data'!E188</f>
        <v>Non-smoker</v>
      </c>
      <c r="G214" s="100" t="str">
        <f>'Policy Data'!F188</f>
        <v>Standard</v>
      </c>
      <c r="H214" s="100">
        <f>'Policy Data'!G188</f>
        <v>10</v>
      </c>
      <c r="I214" s="279">
        <f>'Policy Data'!H188</f>
        <v>1000000</v>
      </c>
      <c r="J214" s="100" t="str">
        <f>'Policy Data'!I188</f>
        <v>Monthly</v>
      </c>
      <c r="K214" s="100" t="str">
        <f>'Policy Data'!J188</f>
        <v>Bancassurance</v>
      </c>
      <c r="L214" s="26" t="s">
        <v>389</v>
      </c>
      <c r="M214" s="106">
        <f>'Policy Data'!R188</f>
        <v>3093.67</v>
      </c>
      <c r="N214" s="415">
        <f>Assumptions!$C$21</f>
        <v>1</v>
      </c>
      <c r="O214" s="415">
        <f>Assumptions!$C$22</f>
        <v>1</v>
      </c>
      <c r="P214" s="415">
        <f>Assumptions!$C$23</f>
        <v>1</v>
      </c>
      <c r="Q214" s="416">
        <f>Assumptions!$C$24</f>
        <v>0</v>
      </c>
      <c r="R214" s="416">
        <f>Assumptions!$C$6+Assumptions!$C$25</f>
        <v>3.5000000000000003E-2</v>
      </c>
      <c r="S214" s="416">
        <f>Assumptions!$C$15</f>
        <v>1.1000000000000001E-3</v>
      </c>
      <c r="T214" s="26">
        <f t="shared" si="54"/>
        <v>1</v>
      </c>
      <c r="U214" s="26">
        <f t="shared" si="55"/>
        <v>1</v>
      </c>
      <c r="V214" s="389">
        <f>IF($G214="Preferred",Assumptions!$C$30,IF($G214="Rated",Assumptions!$C$31,1))</f>
        <v>1</v>
      </c>
      <c r="W214" s="390">
        <f>IF($K214="Direct",Assumptions!$C$32,IF($K214="Broker",Assumptions!$C$33,IF($K214="Bancassurance",Assumptions!$C$34,Assumptions!$C$11)))+$Q214</f>
        <v>0.2</v>
      </c>
      <c r="X214" s="390">
        <f>Assumptions!$C$12+$Q214</f>
        <v>0.05</v>
      </c>
      <c r="Y214" s="131">
        <f>MIN($I214,Assumptions!$C$14)</f>
        <v>500000</v>
      </c>
      <c r="Z214" s="131">
        <f>MAX($I214-Assumptions!$C$14,0)</f>
        <v>500000</v>
      </c>
      <c r="AA214" s="389">
        <f t="shared" si="56"/>
        <v>5.8259724339113239</v>
      </c>
      <c r="AB214" s="389">
        <f t="shared" si="57"/>
        <v>1.3963168596648144E-2</v>
      </c>
      <c r="AC214" s="389">
        <f>IF($T214=1,SUMPRODUCT($CJ214:$DW214,(1+Assumptions!$C$5)^($CJ$5:$DW$5-1),(1+$R214)^(-$CJ$5:$DW$5)),0)</f>
        <v>6.7540611025091799</v>
      </c>
      <c r="AD214" s="389">
        <f t="shared" si="58"/>
        <v>0.43622615792745029</v>
      </c>
      <c r="AE214" s="131">
        <f>IF($T214=1,$AB214*$Y214+(Assumptions!$C$9/(1+$R214)+Assumptions!$C$10*$AC214)*$P214+$S214*$Z214*$AA214,0)</f>
        <v>12541.327796918626</v>
      </c>
      <c r="AF214" s="131">
        <f>IF($T214=1,IF($AA214-$AD214-Assumptions!$C$16*$AA214&gt;0,$AE214/($AA214-$AD214-Assumptions!$C$16*$AA214)*IF($J214="Monthly",1+Assumptions!$C$29,1),"n.a."),"")</f>
        <v>2623.5656766825446</v>
      </c>
      <c r="AG214" s="131">
        <f t="shared" si="59"/>
        <v>3093.67</v>
      </c>
      <c r="AH214" s="131">
        <f t="shared" si="60"/>
        <v>18023.636139618447</v>
      </c>
      <c r="AI214" s="131">
        <f t="shared" si="61"/>
        <v>4132.7685647044036</v>
      </c>
      <c r="AJ214" s="390">
        <f t="shared" si="62"/>
        <v>0.22929715916867663</v>
      </c>
      <c r="AK214" s="389">
        <f t="shared" si="63"/>
        <v>1.1791852696868235</v>
      </c>
      <c r="AL214" s="131">
        <f t="shared" si="64"/>
        <v>6981.5842983240718</v>
      </c>
      <c r="AM214" s="131">
        <f t="shared" si="65"/>
        <v>3204.2848386512283</v>
      </c>
      <c r="AN214" s="131">
        <f t="shared" si="66"/>
        <v>3777.2994596728436</v>
      </c>
      <c r="AO214" s="131">
        <f t="shared" si="67"/>
        <v>355.46910503156005</v>
      </c>
      <c r="AP214" s="26" t="str">
        <f t="shared" si="68"/>
        <v>40-49</v>
      </c>
      <c r="AQ214" s="26" t="str">
        <f t="shared" si="69"/>
        <v>500k-1m</v>
      </c>
      <c r="AR214" s="26" t="str">
        <f>IF($T214=1,IF($AI214&lt;0,"Loss-making",IF($AJ214&lt;Assumptions!$C$16-0.00001,"Below target","At/above target")),"Excluded")</f>
        <v>At/above target</v>
      </c>
      <c r="AS214" s="103">
        <f t="shared" si="70"/>
        <v>4132.7687787044033</v>
      </c>
      <c r="AT214" s="26"/>
      <c r="AU214" s="419">
        <f>IF(AND($T214=1,AU$5&lt;=$H214),INDEX(Mortality!$B$4:$E$64,MATCH($D214+AU$5-1,Mortality!$A$4:$A$64,0),$U214)*$V214*$N214,0)</f>
        <v>1.74887613714188E-3</v>
      </c>
      <c r="AV214" s="93">
        <f>IF(AND($T214=1,AV$5&lt;=$H214),INDEX(Mortality!$B$4:$E$64,MATCH($D214+AV$5-1,Mortality!$A$4:$A$64,0),$U214)*$V214*$N214,0)</f>
        <v>1.89453490233113E-3</v>
      </c>
      <c r="AW214" s="93">
        <f>IF(AND($T214=1,AW$5&lt;=$H214),INDEX(Mortality!$B$4:$E$64,MATCH($D214+AW$5-1,Mortality!$A$4:$A$64,0),$U214)*$V214*$N214,0)</f>
        <v>2.05232515895416E-3</v>
      </c>
      <c r="AX214" s="93">
        <f>IF(AND($T214=1,AX$5&lt;=$H214),INDEX(Mortality!$B$4:$E$64,MATCH($D214+AX$5-1,Mortality!$A$4:$A$64,0),$U214)*$V214*$N214,0)</f>
        <v>2.22325730335899E-3</v>
      </c>
      <c r="AY214" s="93">
        <f>IF(AND($T214=1,AY$5&lt;=$H214),INDEX(Mortality!$B$4:$E$64,MATCH($D214+AY$5-1,Mortality!$A$4:$A$64,0),$U214)*$V214*$N214,0)</f>
        <v>2.4084258848427E-3</v>
      </c>
      <c r="AZ214" s="93">
        <f>IF(AND($T214=1,AZ$5&lt;=$H214),INDEX(Mortality!$B$4:$E$64,MATCH($D214+AZ$5-1,Mortality!$A$4:$A$64,0),$U214)*$V214*$N214,0)</f>
        <v>2.6090166145037101E-3</v>
      </c>
      <c r="BA214" s="93">
        <f>IF(AND($T214=1,BA$5&lt;=$H214),INDEX(Mortality!$B$4:$E$64,MATCH($D214+BA$5-1,Mortality!$A$4:$A$64,0),$U214)*$V214*$N214,0)</f>
        <v>2.8263139578409702E-3</v>
      </c>
      <c r="BB214" s="93">
        <f>IF(AND($T214=1,BB$5&lt;=$H214),INDEX(Mortality!$B$4:$E$64,MATCH($D214+BB$5-1,Mortality!$A$4:$A$64,0),$U214)*$V214*$N214,0)</f>
        <v>3.0617093597183598E-3</v>
      </c>
      <c r="BC214" s="93">
        <f>IF(AND($T214=1,BC$5&lt;=$H214),INDEX(Mortality!$B$4:$E$64,MATCH($D214+BC$5-1,Mortality!$A$4:$A$64,0),$U214)*$V214*$N214,0)</f>
        <v>3.31671015436227E-3</v>
      </c>
      <c r="BD214" s="93">
        <f>IF(AND($T214=1,BD$5&lt;=$H214),INDEX(Mortality!$B$4:$E$64,MATCH($D214+BD$5-1,Mortality!$A$4:$A$64,0),$U214)*$V214*$N214,0)</f>
        <v>3.5929492174468702E-3</v>
      </c>
      <c r="BE214" s="93">
        <f>IF(AND($T214=1,BE$5&lt;=$H214),INDEX(Mortality!$B$4:$E$64,MATCH($D214+BE$5-1,Mortality!$A$4:$A$64,0),$U214)*$V214*$N214,0)</f>
        <v>0</v>
      </c>
      <c r="BF214" s="93">
        <f>IF(AND($T214=1,BF$5&lt;=$H214),INDEX(Mortality!$B$4:$E$64,MATCH($D214+BF$5-1,Mortality!$A$4:$A$64,0),$U214)*$V214*$N214,0)</f>
        <v>0</v>
      </c>
      <c r="BG214" s="93">
        <f>IF(AND($T214=1,BG$5&lt;=$H214),INDEX(Mortality!$B$4:$E$64,MATCH($D214+BG$5-1,Mortality!$A$4:$A$64,0),$U214)*$V214*$N214,0)</f>
        <v>0</v>
      </c>
      <c r="BH214" s="93">
        <f>IF(AND($T214=1,BH$5&lt;=$H214),INDEX(Mortality!$B$4:$E$64,MATCH($D214+BH$5-1,Mortality!$A$4:$A$64,0),$U214)*$V214*$N214,0)</f>
        <v>0</v>
      </c>
      <c r="BI214" s="93">
        <f>IF(AND($T214=1,BI$5&lt;=$H214),INDEX(Mortality!$B$4:$E$64,MATCH($D214+BI$5-1,Mortality!$A$4:$A$64,0),$U214)*$V214*$N214,0)</f>
        <v>0</v>
      </c>
      <c r="BJ214" s="93">
        <f>IF(AND($T214=1,BJ$5&lt;=$H214),INDEX(Mortality!$B$4:$E$64,MATCH($D214+BJ$5-1,Mortality!$A$4:$A$64,0),$U214)*$V214*$N214,0)</f>
        <v>0</v>
      </c>
      <c r="BK214" s="93">
        <f>IF(AND($T214=1,BK$5&lt;=$H214),INDEX(Mortality!$B$4:$E$64,MATCH($D214+BK$5-1,Mortality!$A$4:$A$64,0),$U214)*$V214*$N214,0)</f>
        <v>0</v>
      </c>
      <c r="BL214" s="93">
        <f>IF(AND($T214=1,BL$5&lt;=$H214),INDEX(Mortality!$B$4:$E$64,MATCH($D214+BL$5-1,Mortality!$A$4:$A$64,0),$U214)*$V214*$N214,0)</f>
        <v>0</v>
      </c>
      <c r="BM214" s="93">
        <f>IF(AND($T214=1,BM$5&lt;=$H214),INDEX(Mortality!$B$4:$E$64,MATCH($D214+BM$5-1,Mortality!$A$4:$A$64,0),$U214)*$V214*$N214,0)</f>
        <v>0</v>
      </c>
      <c r="BN214" s="93">
        <f>IF(AND($T214=1,BN$5&lt;=$H214),INDEX(Mortality!$B$4:$E$64,MATCH($D214+BN$5-1,Mortality!$A$4:$A$64,0),$U214)*$V214*$N214,0)</f>
        <v>0</v>
      </c>
      <c r="BO214" s="93">
        <f>IF(AND($T214=1,BO$5&lt;=$H214),INDEX(Mortality!$B$4:$E$64,MATCH($D214+BO$5-1,Mortality!$A$4:$A$64,0),$U214)*$V214*$N214,0)</f>
        <v>0</v>
      </c>
      <c r="BP214" s="93">
        <f>IF(AND($T214=1,BP$5&lt;=$H214),INDEX(Mortality!$B$4:$E$64,MATCH($D214+BP$5-1,Mortality!$A$4:$A$64,0),$U214)*$V214*$N214,0)</f>
        <v>0</v>
      </c>
      <c r="BQ214" s="93">
        <f>IF(AND($T214=1,BQ$5&lt;=$H214),INDEX(Mortality!$B$4:$E$64,MATCH($D214+BQ$5-1,Mortality!$A$4:$A$64,0),$U214)*$V214*$N214,0)</f>
        <v>0</v>
      </c>
      <c r="BR214" s="93">
        <f>IF(AND($T214=1,BR$5&lt;=$H214),INDEX(Mortality!$B$4:$E$64,MATCH($D214+BR$5-1,Mortality!$A$4:$A$64,0),$U214)*$V214*$N214,0)</f>
        <v>0</v>
      </c>
      <c r="BS214" s="93">
        <f>IF(AND($T214=1,BS$5&lt;=$H214),INDEX(Mortality!$B$4:$E$64,MATCH($D214+BS$5-1,Mortality!$A$4:$A$64,0),$U214)*$V214*$N214,0)</f>
        <v>0</v>
      </c>
      <c r="BT214" s="93">
        <f>IF(AND($T214=1,BT$5&lt;=$H214),INDEX(Mortality!$B$4:$E$64,MATCH($D214+BT$5-1,Mortality!$A$4:$A$64,0),$U214)*$V214*$N214,0)</f>
        <v>0</v>
      </c>
      <c r="BU214" s="93">
        <f>IF(AND($T214=1,BU$5&lt;=$H214),INDEX(Mortality!$B$4:$E$64,MATCH($D214+BU$5-1,Mortality!$A$4:$A$64,0),$U214)*$V214*$N214,0)</f>
        <v>0</v>
      </c>
      <c r="BV214" s="93">
        <f>IF(AND($T214=1,BV$5&lt;=$H214),INDEX(Mortality!$B$4:$E$64,MATCH($D214+BV$5-1,Mortality!$A$4:$A$64,0),$U214)*$V214*$N214,0)</f>
        <v>0</v>
      </c>
      <c r="BW214" s="93">
        <f>IF(AND($T214=1,BW$5&lt;=$H214),INDEX(Mortality!$B$4:$E$64,MATCH($D214+BW$5-1,Mortality!$A$4:$A$64,0),$U214)*$V214*$N214,0)</f>
        <v>0</v>
      </c>
      <c r="BX214" s="93">
        <f>IF(AND($T214=1,BX$5&lt;=$H214),INDEX(Mortality!$B$4:$E$64,MATCH($D214+BX$5-1,Mortality!$A$4:$A$64,0),$U214)*$V214*$N214,0)</f>
        <v>0</v>
      </c>
      <c r="BY214" s="93">
        <f>IF(AND($T214=1,BY$5&lt;=$H214),INDEX(Mortality!$B$4:$E$64,MATCH($D214+BY$5-1,Mortality!$A$4:$A$64,0),$U214)*$V214*$N214,0)</f>
        <v>0</v>
      </c>
      <c r="BZ214" s="93">
        <f>IF(AND($T214=1,BZ$5&lt;=$H214),INDEX(Mortality!$B$4:$E$64,MATCH($D214+BZ$5-1,Mortality!$A$4:$A$64,0),$U214)*$V214*$N214,0)</f>
        <v>0</v>
      </c>
      <c r="CA214" s="93">
        <f>IF(AND($T214=1,CA$5&lt;=$H214),INDEX(Mortality!$B$4:$E$64,MATCH($D214+CA$5-1,Mortality!$A$4:$A$64,0),$U214)*$V214*$N214,0)</f>
        <v>0</v>
      </c>
      <c r="CB214" s="93">
        <f>IF(AND($T214=1,CB$5&lt;=$H214),INDEX(Mortality!$B$4:$E$64,MATCH($D214+CB$5-1,Mortality!$A$4:$A$64,0),$U214)*$V214*$N214,0)</f>
        <v>0</v>
      </c>
      <c r="CC214" s="93">
        <f>IF(AND($T214=1,CC$5&lt;=$H214),INDEX(Mortality!$B$4:$E$64,MATCH($D214+CC$5-1,Mortality!$A$4:$A$64,0),$U214)*$V214*$N214,0)</f>
        <v>0</v>
      </c>
      <c r="CD214" s="93">
        <f>IF(AND($T214=1,CD$5&lt;=$H214),INDEX(Mortality!$B$4:$E$64,MATCH($D214+CD$5-1,Mortality!$A$4:$A$64,0),$U214)*$V214*$N214,0)</f>
        <v>0</v>
      </c>
      <c r="CE214" s="93">
        <f>IF(AND($T214=1,CE$5&lt;=$H214),INDEX(Mortality!$B$4:$E$64,MATCH($D214+CE$5-1,Mortality!$A$4:$A$64,0),$U214)*$V214*$N214,0)</f>
        <v>0</v>
      </c>
      <c r="CF214" s="93">
        <f>IF(AND($T214=1,CF$5&lt;=$H214),INDEX(Mortality!$B$4:$E$64,MATCH($D214+CF$5-1,Mortality!$A$4:$A$64,0),$U214)*$V214*$N214,0)</f>
        <v>0</v>
      </c>
      <c r="CG214" s="93">
        <f>IF(AND($T214=1,CG$5&lt;=$H214),INDEX(Mortality!$B$4:$E$64,MATCH($D214+CG$5-1,Mortality!$A$4:$A$64,0),$U214)*$V214*$N214,0)</f>
        <v>0</v>
      </c>
      <c r="CH214" s="94">
        <f>IF(AND($T214=1,CH$5&lt;=$H214),INDEX(Mortality!$B$4:$E$64,MATCH($D214+CH$5-1,Mortality!$A$4:$A$64,0),$U214)*$V214*$N214,0)</f>
        <v>0</v>
      </c>
      <c r="CI214" s="26"/>
      <c r="CJ214" s="419">
        <f t="shared" si="71"/>
        <v>1</v>
      </c>
      <c r="CK214" s="93">
        <f>IF(AND($T214=1,CK$5&lt;=$H214),CJ214*(1-AU214)*(1-MIN(1,MAX(Assumptions!$C$27,Assumptions!$C$13*Assumptions!$C$28^(CJ$5-1))*$O214)),0)</f>
        <v>0.87846098899931513</v>
      </c>
      <c r="CL214" s="93">
        <f>IF(AND($T214=1,CL$5&lt;=$H214),CK214*(1-AV214)*(1-MIN(1,MAX(Assumptions!$C$27,Assumptions!$C$13*Assumptions!$C$28^(CK$5-1))*$O214)),0)</f>
        <v>0.78736344916779699</v>
      </c>
      <c r="CM214" s="93">
        <f>IF(AND($T214=1,CM$5&lt;=$H214),CL214*(1-AW214)*(1-MIN(1,MAX(Assumptions!$C$27,Assumptions!$C$13*Assumptions!$C$28^(CL$5-1))*$O214)),0)</f>
        <v>0.71762321307722543</v>
      </c>
      <c r="CN214" s="93">
        <f>IF(AND($T214=1,CN$5&lt;=$H214),CM214*(1-AX214)*(1-MIN(1,MAX(Assumptions!$C$27,Assumptions!$C$13*Assumptions!$C$28^(CM$5-1))*$O214)),0)</f>
        <v>0.66326008684201088</v>
      </c>
      <c r="CO214" s="93">
        <f>IF(AND($T214=1,CO$5&lt;=$H214),CN214*(1-AY214)*(1-MIN(1,MAX(Assumptions!$C$27,Assumptions!$C$13*Assumptions!$C$28^(CN$5-1))*$O214)),0)</f>
        <v>0.62021562792907081</v>
      </c>
      <c r="CP214" s="93">
        <f>IF(AND($T214=1,CP$5&lt;=$H214),CO214*(1-AZ214)*(1-MIN(1,MAX(Assumptions!$C$27,Assumptions!$C$13*Assumptions!$C$28^(CO$5-1))*$O214)),0)</f>
        <v>0.58566047673371102</v>
      </c>
      <c r="CQ214" s="93">
        <f>IF(AND($T214=1,CQ$5&lt;=$H214),CP214*(1-BA214)*(1-MIN(1,MAX(Assumptions!$C$27,Assumptions!$C$13*Assumptions!$C$28^(CP$5-1))*$O214)),0)</f>
        <v>0.55757434221732738</v>
      </c>
      <c r="CR214" s="93">
        <f>IF(AND($T214=1,CR$5&lt;=$H214),CQ214*(1-BB214)*(1-MIN(1,MAX(Assumptions!$C$27,Assumptions!$C$13*Assumptions!$C$28^(CQ$5-1))*$O214)),0)</f>
        <v>0.53448341657378506</v>
      </c>
      <c r="CS214" s="93">
        <f>IF(AND($T214=1,CS$5&lt;=$H214),CR214*(1-BC214)*(1-MIN(1,MAX(Assumptions!$C$27,Assumptions!$C$13*Assumptions!$C$28^(CR$5-1))*$O214)),0)</f>
        <v>0.51529165612529659</v>
      </c>
      <c r="CT214" s="93">
        <f>IF(AND($T214=1,CT$5&lt;=$H214),CS214*(1-BD214)*(1-MIN(1,MAX(Assumptions!$C$27,Assumptions!$C$13*Assumptions!$C$28^(CS$5-1))*$O214)),0)</f>
        <v>0</v>
      </c>
      <c r="CU214" s="93">
        <f>IF(AND($T214=1,CU$5&lt;=$H214),CT214*(1-BE214)*(1-MIN(1,MAX(Assumptions!$C$27,Assumptions!$C$13*Assumptions!$C$28^(CT$5-1))*$O214)),0)</f>
        <v>0</v>
      </c>
      <c r="CV214" s="93">
        <f>IF(AND($T214=1,CV$5&lt;=$H214),CU214*(1-BF214)*(1-MIN(1,MAX(Assumptions!$C$27,Assumptions!$C$13*Assumptions!$C$28^(CU$5-1))*$O214)),0)</f>
        <v>0</v>
      </c>
      <c r="CW214" s="93">
        <f>IF(AND($T214=1,CW$5&lt;=$H214),CV214*(1-BG214)*(1-MIN(1,MAX(Assumptions!$C$27,Assumptions!$C$13*Assumptions!$C$28^(CV$5-1))*$O214)),0)</f>
        <v>0</v>
      </c>
      <c r="CX214" s="93">
        <f>IF(AND($T214=1,CX$5&lt;=$H214),CW214*(1-BH214)*(1-MIN(1,MAX(Assumptions!$C$27,Assumptions!$C$13*Assumptions!$C$28^(CW$5-1))*$O214)),0)</f>
        <v>0</v>
      </c>
      <c r="CY214" s="93">
        <f>IF(AND($T214=1,CY$5&lt;=$H214),CX214*(1-BI214)*(1-MIN(1,MAX(Assumptions!$C$27,Assumptions!$C$13*Assumptions!$C$28^(CX$5-1))*$O214)),0)</f>
        <v>0</v>
      </c>
      <c r="CZ214" s="93">
        <f>IF(AND($T214=1,CZ$5&lt;=$H214),CY214*(1-BJ214)*(1-MIN(1,MAX(Assumptions!$C$27,Assumptions!$C$13*Assumptions!$C$28^(CY$5-1))*$O214)),0)</f>
        <v>0</v>
      </c>
      <c r="DA214" s="93">
        <f>IF(AND($T214=1,DA$5&lt;=$H214),CZ214*(1-BK214)*(1-MIN(1,MAX(Assumptions!$C$27,Assumptions!$C$13*Assumptions!$C$28^(CZ$5-1))*$O214)),0)</f>
        <v>0</v>
      </c>
      <c r="DB214" s="93">
        <f>IF(AND($T214=1,DB$5&lt;=$H214),DA214*(1-BL214)*(1-MIN(1,MAX(Assumptions!$C$27,Assumptions!$C$13*Assumptions!$C$28^(DA$5-1))*$O214)),0)</f>
        <v>0</v>
      </c>
      <c r="DC214" s="93">
        <f>IF(AND($T214=1,DC$5&lt;=$H214),DB214*(1-BM214)*(1-MIN(1,MAX(Assumptions!$C$27,Assumptions!$C$13*Assumptions!$C$28^(DB$5-1))*$O214)),0)</f>
        <v>0</v>
      </c>
      <c r="DD214" s="93">
        <f>IF(AND($T214=1,DD$5&lt;=$H214),DC214*(1-BN214)*(1-MIN(1,MAX(Assumptions!$C$27,Assumptions!$C$13*Assumptions!$C$28^(DC$5-1))*$O214)),0)</f>
        <v>0</v>
      </c>
      <c r="DE214" s="93">
        <f>IF(AND($T214=1,DE$5&lt;=$H214),DD214*(1-BO214)*(1-MIN(1,MAX(Assumptions!$C$27,Assumptions!$C$13*Assumptions!$C$28^(DD$5-1))*$O214)),0)</f>
        <v>0</v>
      </c>
      <c r="DF214" s="93">
        <f>IF(AND($T214=1,DF$5&lt;=$H214),DE214*(1-BP214)*(1-MIN(1,MAX(Assumptions!$C$27,Assumptions!$C$13*Assumptions!$C$28^(DE$5-1))*$O214)),0)</f>
        <v>0</v>
      </c>
      <c r="DG214" s="93">
        <f>IF(AND($T214=1,DG$5&lt;=$H214),DF214*(1-BQ214)*(1-MIN(1,MAX(Assumptions!$C$27,Assumptions!$C$13*Assumptions!$C$28^(DF$5-1))*$O214)),0)</f>
        <v>0</v>
      </c>
      <c r="DH214" s="93">
        <f>IF(AND($T214=1,DH$5&lt;=$H214),DG214*(1-BR214)*(1-MIN(1,MAX(Assumptions!$C$27,Assumptions!$C$13*Assumptions!$C$28^(DG$5-1))*$O214)),0)</f>
        <v>0</v>
      </c>
      <c r="DI214" s="93">
        <f>IF(AND($T214=1,DI$5&lt;=$H214),DH214*(1-BS214)*(1-MIN(1,MAX(Assumptions!$C$27,Assumptions!$C$13*Assumptions!$C$28^(DH$5-1))*$O214)),0)</f>
        <v>0</v>
      </c>
      <c r="DJ214" s="93">
        <f>IF(AND($T214=1,DJ$5&lt;=$H214),DI214*(1-BT214)*(1-MIN(1,MAX(Assumptions!$C$27,Assumptions!$C$13*Assumptions!$C$28^(DI$5-1))*$O214)),0)</f>
        <v>0</v>
      </c>
      <c r="DK214" s="93">
        <f>IF(AND($T214=1,DK$5&lt;=$H214),DJ214*(1-BU214)*(1-MIN(1,MAX(Assumptions!$C$27,Assumptions!$C$13*Assumptions!$C$28^(DJ$5-1))*$O214)),0)</f>
        <v>0</v>
      </c>
      <c r="DL214" s="93">
        <f>IF(AND($T214=1,DL$5&lt;=$H214),DK214*(1-BV214)*(1-MIN(1,MAX(Assumptions!$C$27,Assumptions!$C$13*Assumptions!$C$28^(DK$5-1))*$O214)),0)</f>
        <v>0</v>
      </c>
      <c r="DM214" s="93">
        <f>IF(AND($T214=1,DM$5&lt;=$H214),DL214*(1-BW214)*(1-MIN(1,MAX(Assumptions!$C$27,Assumptions!$C$13*Assumptions!$C$28^(DL$5-1))*$O214)),0)</f>
        <v>0</v>
      </c>
      <c r="DN214" s="93">
        <f>IF(AND($T214=1,DN$5&lt;=$H214),DM214*(1-BX214)*(1-MIN(1,MAX(Assumptions!$C$27,Assumptions!$C$13*Assumptions!$C$28^(DM$5-1))*$O214)),0)</f>
        <v>0</v>
      </c>
      <c r="DO214" s="93">
        <f>IF(AND($T214=1,DO$5&lt;=$H214),DN214*(1-BY214)*(1-MIN(1,MAX(Assumptions!$C$27,Assumptions!$C$13*Assumptions!$C$28^(DN$5-1))*$O214)),0)</f>
        <v>0</v>
      </c>
      <c r="DP214" s="93">
        <f>IF(AND($T214=1,DP$5&lt;=$H214),DO214*(1-BZ214)*(1-MIN(1,MAX(Assumptions!$C$27,Assumptions!$C$13*Assumptions!$C$28^(DO$5-1))*$O214)),0)</f>
        <v>0</v>
      </c>
      <c r="DQ214" s="93">
        <f>IF(AND($T214=1,DQ$5&lt;=$H214),DP214*(1-CA214)*(1-MIN(1,MAX(Assumptions!$C$27,Assumptions!$C$13*Assumptions!$C$28^(DP$5-1))*$O214)),0)</f>
        <v>0</v>
      </c>
      <c r="DR214" s="93">
        <f>IF(AND($T214=1,DR$5&lt;=$H214),DQ214*(1-CB214)*(1-MIN(1,MAX(Assumptions!$C$27,Assumptions!$C$13*Assumptions!$C$28^(DQ$5-1))*$O214)),0)</f>
        <v>0</v>
      </c>
      <c r="DS214" s="93">
        <f>IF(AND($T214=1,DS$5&lt;=$H214),DR214*(1-CC214)*(1-MIN(1,MAX(Assumptions!$C$27,Assumptions!$C$13*Assumptions!$C$28^(DR$5-1))*$O214)),0)</f>
        <v>0</v>
      </c>
      <c r="DT214" s="93">
        <f>IF(AND($T214=1,DT$5&lt;=$H214),DS214*(1-CD214)*(1-MIN(1,MAX(Assumptions!$C$27,Assumptions!$C$13*Assumptions!$C$28^(DS$5-1))*$O214)),0)</f>
        <v>0</v>
      </c>
      <c r="DU214" s="93">
        <f>IF(AND($T214=1,DU$5&lt;=$H214),DT214*(1-CE214)*(1-MIN(1,MAX(Assumptions!$C$27,Assumptions!$C$13*Assumptions!$C$28^(DT$5-1))*$O214)),0)</f>
        <v>0</v>
      </c>
      <c r="DV214" s="93">
        <f>IF(AND($T214=1,DV$5&lt;=$H214),DU214*(1-CF214)*(1-MIN(1,MAX(Assumptions!$C$27,Assumptions!$C$13*Assumptions!$C$28^(DU$5-1))*$O214)),0)</f>
        <v>0</v>
      </c>
      <c r="DW214" s="94">
        <f>IF(AND($T214=1,DW$5&lt;=$H214),DV214*(1-CG214)*(1-MIN(1,MAX(Assumptions!$C$27,Assumptions!$C$13*Assumptions!$C$28^(DV$5-1))*$O214)),0)</f>
        <v>0</v>
      </c>
      <c r="DX214" s="26"/>
      <c r="DY214" s="399">
        <f>'Policy Data'!K188</f>
        <v>1</v>
      </c>
      <c r="DZ214" s="100">
        <f>'Policy Data'!L188</f>
        <v>0.52749999999999997</v>
      </c>
      <c r="EA214" s="100">
        <f>'Policy Data'!N188</f>
        <v>9.2299999999999999E-4</v>
      </c>
      <c r="EB214" s="93" cm="1">
        <f t="array" ref="EB214">IFERROR(DZ214*INDEX(Mortality!$B$4:$E$64,MATCH(D214+DY214-1,Mortality!$A$4:$A$64,0),U214)*V214,0)</f>
        <v>9.2253216234234161E-4</v>
      </c>
      <c r="EC214" s="100">
        <f>'Policy Data'!O188</f>
        <v>0</v>
      </c>
      <c r="ED214" s="400">
        <f>'Policy Data'!Q188</f>
        <v>0</v>
      </c>
    </row>
    <row r="215" spans="1:134" x14ac:dyDescent="0.3">
      <c r="A215" s="399" t="str">
        <f>'Policy Data'!A189</f>
        <v>POL100185</v>
      </c>
      <c r="B215" s="26" t="s">
        <v>426</v>
      </c>
      <c r="C215" s="100" t="str">
        <f>'Policy Data'!B189</f>
        <v>Term Life</v>
      </c>
      <c r="D215" s="100">
        <f>'Policy Data'!C189</f>
        <v>37</v>
      </c>
      <c r="E215" s="100" t="str">
        <f>'Policy Data'!D189</f>
        <v>Male</v>
      </c>
      <c r="F215" s="100" t="str">
        <f>'Policy Data'!E189</f>
        <v>Non-smoker</v>
      </c>
      <c r="G215" s="100" t="str">
        <f>'Policy Data'!F189</f>
        <v>Standard</v>
      </c>
      <c r="H215" s="100">
        <f>'Policy Data'!G189</f>
        <v>25</v>
      </c>
      <c r="I215" s="279">
        <f>'Policy Data'!H189</f>
        <v>500000</v>
      </c>
      <c r="J215" s="100" t="str">
        <f>'Policy Data'!I189</f>
        <v>Annual</v>
      </c>
      <c r="K215" s="100" t="str">
        <f>'Policy Data'!J189</f>
        <v>Direct</v>
      </c>
      <c r="L215" s="26" t="s">
        <v>389</v>
      </c>
      <c r="M215" s="106">
        <f>'Policy Data'!R189</f>
        <v>1289.52</v>
      </c>
      <c r="N215" s="415">
        <f>Assumptions!$C$21</f>
        <v>1</v>
      </c>
      <c r="O215" s="415">
        <f>Assumptions!$C$22</f>
        <v>1</v>
      </c>
      <c r="P215" s="415">
        <f>Assumptions!$C$23</f>
        <v>1</v>
      </c>
      <c r="Q215" s="416">
        <f>Assumptions!$C$24</f>
        <v>0</v>
      </c>
      <c r="R215" s="416">
        <f>Assumptions!$C$6+Assumptions!$C$25</f>
        <v>3.5000000000000003E-2</v>
      </c>
      <c r="S215" s="416">
        <f>Assumptions!$C$15</f>
        <v>1.1000000000000001E-3</v>
      </c>
      <c r="T215" s="26">
        <f t="shared" si="54"/>
        <v>1</v>
      </c>
      <c r="U215" s="26">
        <f t="shared" si="55"/>
        <v>3</v>
      </c>
      <c r="V215" s="389">
        <f>IF($G215="Preferred",Assumptions!$C$30,IF($G215="Rated",Assumptions!$C$31,1))</f>
        <v>1</v>
      </c>
      <c r="W215" s="390">
        <f>IF($K215="Direct",Assumptions!$C$32,IF($K215="Broker",Assumptions!$C$33,IF($K215="Bancassurance",Assumptions!$C$34,Assumptions!$C$11)))+$Q215</f>
        <v>0.1</v>
      </c>
      <c r="X215" s="390">
        <f>Assumptions!$C$12+$Q215</f>
        <v>0.05</v>
      </c>
      <c r="Y215" s="131">
        <f>MIN($I215,Assumptions!$C$14)</f>
        <v>500000</v>
      </c>
      <c r="Z215" s="131">
        <f>MAX($I215-Assumptions!$C$14,0)</f>
        <v>0</v>
      </c>
      <c r="AA215" s="389">
        <f t="shared" si="56"/>
        <v>9.4162607272674013</v>
      </c>
      <c r="AB215" s="389">
        <f t="shared" si="57"/>
        <v>1.9526753292867884E-2</v>
      </c>
      <c r="AC215" s="389">
        <f>IF($T215=1,SUMPRODUCT($CJ215:$DW215,(1+Assumptions!$C$5)^($CJ$5:$DW$5-1),(1+$R215)^(-$CJ$5:$DW$5)),0)</f>
        <v>13.540707540704098</v>
      </c>
      <c r="AD215" s="389">
        <f t="shared" si="58"/>
        <v>0.51912221510733136</v>
      </c>
      <c r="AE215" s="131">
        <f>IF($T215=1,$AB215*$Y215+(Assumptions!$C$9/(1+$R215)+Assumptions!$C$10*$AC215)*$P215+$S215*$Z215*$AA215,0)</f>
        <v>13611.897522780149</v>
      </c>
      <c r="AF215" s="131">
        <f>IF($T215=1,IF($AA215-$AD215-Assumptions!$C$16*$AA215&gt;0,$AE215/($AA215-$AD215-Assumptions!$C$16*$AA215)*IF($J215="Monthly",1+Assumptions!$C$29,1),"n.a."),"")</f>
        <v>1671.435274269011</v>
      </c>
      <c r="AG215" s="131">
        <f t="shared" si="59"/>
        <v>1289.52</v>
      </c>
      <c r="AH215" s="131">
        <f t="shared" si="60"/>
        <v>12142.456533025859</v>
      </c>
      <c r="AI215" s="131">
        <f t="shared" si="61"/>
        <v>-2138.8594685794978</v>
      </c>
      <c r="AJ215" s="390">
        <f t="shared" si="62"/>
        <v>-0.17614717934234198</v>
      </c>
      <c r="AK215" s="389">
        <f t="shared" si="63"/>
        <v>0.77150459838414109</v>
      </c>
      <c r="AL215" s="131">
        <f t="shared" si="64"/>
        <v>0</v>
      </c>
      <c r="AM215" s="131">
        <f t="shared" si="65"/>
        <v>0</v>
      </c>
      <c r="AN215" s="131">
        <f t="shared" si="66"/>
        <v>0</v>
      </c>
      <c r="AO215" s="131">
        <f t="shared" si="67"/>
        <v>-2138.8594685794978</v>
      </c>
      <c r="AP215" s="26" t="str">
        <f t="shared" si="68"/>
        <v>30-39</v>
      </c>
      <c r="AQ215" s="26" t="str">
        <f t="shared" si="69"/>
        <v>250k-500k</v>
      </c>
      <c r="AR215" s="26" t="str">
        <f>IF($T215=1,IF($AI215&lt;0,"Loss-making",IF($AJ215&lt;Assumptions!$C$16-0.00001,"Below target","At/above target")),"Excluded")</f>
        <v>Loss-making</v>
      </c>
      <c r="AS215" s="103">
        <f t="shared" si="70"/>
        <v>-2138.8592535794978</v>
      </c>
      <c r="AT215" s="26"/>
      <c r="AU215" s="419">
        <f>IF(AND($T215=1,AU$5&lt;=$H215),INDEX(Mortality!$B$4:$E$64,MATCH($D215+AU$5-1,Mortality!$A$4:$A$64,0),$U215)*$V215*$N215,0)</f>
        <v>9.0597301890323197E-4</v>
      </c>
      <c r="AV215" s="93">
        <f>IF(AND($T215=1,AV$5&lt;=$H215),INDEX(Mortality!$B$4:$E$64,MATCH($D215+AV$5-1,Mortality!$A$4:$A$64,0),$U215)*$V215*$N215,0)</f>
        <v>9.8142885504031189E-4</v>
      </c>
      <c r="AW215" s="93">
        <f>IF(AND($T215=1,AW$5&lt;=$H215),INDEX(Mortality!$B$4:$E$64,MATCH($D215+AW$5-1,Mortality!$A$4:$A$64,0),$U215)*$V215*$N215,0)</f>
        <v>1.06316918650821E-3</v>
      </c>
      <c r="AX215" s="93">
        <f>IF(AND($T215=1,AX$5&lt;=$H215),INDEX(Mortality!$B$4:$E$64,MATCH($D215+AX$5-1,Mortality!$A$4:$A$64,0),$U215)*$V215*$N215,0)</f>
        <v>1.1517174304948501E-3</v>
      </c>
      <c r="AY215" s="93">
        <f>IF(AND($T215=1,AY$5&lt;=$H215),INDEX(Mortality!$B$4:$E$64,MATCH($D215+AY$5-1,Mortality!$A$4:$A$64,0),$U215)*$V215*$N215,0)</f>
        <v>1.24764059807091E-3</v>
      </c>
      <c r="AZ215" s="93">
        <f>IF(AND($T215=1,AZ$5&lt;=$H215),INDEX(Mortality!$B$4:$E$64,MATCH($D215+AZ$5-1,Mortality!$A$4:$A$64,0),$U215)*$V215*$N215,0)</f>
        <v>1.3515529249964601E-3</v>
      </c>
      <c r="BA215" s="93">
        <f>IF(AND($T215=1,BA$5&lt;=$H215),INDEX(Mortality!$B$4:$E$64,MATCH($D215+BA$5-1,Mortality!$A$4:$A$64,0),$U215)*$V215*$N215,0)</f>
        <v>1.4641198049269301E-3</v>
      </c>
      <c r="BB215" s="93">
        <f>IF(AND($T215=1,BB$5&lt;=$H215),INDEX(Mortality!$B$4:$E$64,MATCH($D215+BB$5-1,Mortality!$A$4:$A$64,0),$U215)*$V215*$N215,0)</f>
        <v>1.58606205020413E-3</v>
      </c>
      <c r="BC215" s="93">
        <f>IF(AND($T215=1,BC$5&lt;=$H215),INDEX(Mortality!$B$4:$E$64,MATCH($D215+BC$5-1,Mortality!$A$4:$A$64,0),$U215)*$V215*$N215,0)</f>
        <v>1.71816050751616E-3</v>
      </c>
      <c r="BD215" s="93">
        <f>IF(AND($T215=1,BD$5&lt;=$H215),INDEX(Mortality!$B$4:$E$64,MATCH($D215+BD$5-1,Mortality!$A$4:$A$64,0),$U215)*$V215*$N215,0)</f>
        <v>1.8612610579820999E-3</v>
      </c>
      <c r="BE215" s="93">
        <f>IF(AND($T215=1,BE$5&lt;=$H215),INDEX(Mortality!$B$4:$E$64,MATCH($D215+BE$5-1,Mortality!$A$4:$A$64,0),$U215)*$V215*$N215,0)</f>
        <v>2.0162800336790201E-3</v>
      </c>
      <c r="BF215" s="93">
        <f>IF(AND($T215=1,BF$5&lt;=$H215),INDEX(Mortality!$B$4:$E$64,MATCH($D215+BF$5-1,Mortality!$A$4:$A$64,0),$U215)*$V215*$N215,0)</f>
        <v>2.1842100852957199E-3</v>
      </c>
      <c r="BG215" s="93">
        <f>IF(AND($T215=1,BG$5&lt;=$H215),INDEX(Mortality!$B$4:$E$64,MATCH($D215+BG$5-1,Mortality!$A$4:$A$64,0),$U215)*$V215*$N215,0)</f>
        <v>2.3661265384860701E-3</v>
      </c>
      <c r="BH215" s="93">
        <f>IF(AND($T215=1,BH$5&lt;=$H215),INDEX(Mortality!$B$4:$E$64,MATCH($D215+BH$5-1,Mortality!$A$4:$A$64,0),$U215)*$V215*$N215,0)</f>
        <v>2.5631942796244698E-3</v>
      </c>
      <c r="BI215" s="93">
        <f>IF(AND($T215=1,BI$5&lt;=$H215),INDEX(Mortality!$B$4:$E$64,MATCH($D215+BI$5-1,Mortality!$A$4:$A$64,0),$U215)*$V215*$N215,0)</f>
        <v>2.7766752150556202E-3</v>
      </c>
      <c r="BJ215" s="93">
        <f>IF(AND($T215=1,BJ$5&lt;=$H215),INDEX(Mortality!$B$4:$E$64,MATCH($D215+BJ$5-1,Mortality!$A$4:$A$64,0),$U215)*$V215*$N215,0)</f>
        <v>3.0079363516033399E-3</v>
      </c>
      <c r="BK215" s="93">
        <f>IF(AND($T215=1,BK$5&lt;=$H215),INDEX(Mortality!$B$4:$E$64,MATCH($D215+BK$5-1,Mortality!$A$4:$A$64,0),$U215)*$V215*$N215,0)</f>
        <v>3.2584585500813001E-3</v>
      </c>
      <c r="BL215" s="93">
        <f>IF(AND($T215=1,BL$5&lt;=$H215),INDEX(Mortality!$B$4:$E$64,MATCH($D215+BL$5-1,Mortality!$A$4:$A$64,0),$U215)*$V215*$N215,0)</f>
        <v>3.5298460078579601E-3</v>
      </c>
      <c r="BM215" s="93">
        <f>IF(AND($T215=1,BM$5&lt;=$H215),INDEX(Mortality!$B$4:$E$64,MATCH($D215+BM$5-1,Mortality!$A$4:$A$64,0),$U215)*$V215*$N215,0)</f>
        <v>3.8238365311966099E-3</v>
      </c>
      <c r="BN215" s="93">
        <f>IF(AND($T215=1,BN$5&lt;=$H215),INDEX(Mortality!$B$4:$E$64,MATCH($D215+BN$5-1,Mortality!$A$4:$A$64,0),$U215)*$V215*$N215,0)</f>
        <v>4.1423126631483596E-3</v>
      </c>
      <c r="BO215" s="93">
        <f>IF(AND($T215=1,BO$5&lt;=$H215),INDEX(Mortality!$B$4:$E$64,MATCH($D215+BO$5-1,Mortality!$A$4:$A$64,0),$U215)*$V215*$N215,0)</f>
        <v>4.4873137382548398E-3</v>
      </c>
      <c r="BP215" s="93">
        <f>IF(AND($T215=1,BP$5&lt;=$H215),INDEX(Mortality!$B$4:$E$64,MATCH($D215+BP$5-1,Mortality!$A$4:$A$64,0),$U215)*$V215*$N215,0)</f>
        <v>4.8610489412516398E-3</v>
      </c>
      <c r="BQ215" s="93">
        <f>IF(AND($T215=1,BQ$5&lt;=$H215),INDEX(Mortality!$B$4:$E$64,MATCH($D215+BQ$5-1,Mortality!$A$4:$A$64,0),$U215)*$V215*$N215,0)</f>
        <v>5.2659114533929498E-3</v>
      </c>
      <c r="BR215" s="93">
        <f>IF(AND($T215=1,BR$5&lt;=$H215),INDEX(Mortality!$B$4:$E$64,MATCH($D215+BR$5-1,Mortality!$A$4:$A$64,0),$U215)*$V215*$N215,0)</f>
        <v>5.7044937769820296E-3</v>
      </c>
      <c r="BS215" s="93">
        <f>IF(AND($T215=1,BS$5&lt;=$H215),INDEX(Mortality!$B$4:$E$64,MATCH($D215+BS$5-1,Mortality!$A$4:$A$64,0),$U215)*$V215*$N215,0)</f>
        <v>6.1796043362369098E-3</v>
      </c>
      <c r="BT215" s="93">
        <f>IF(AND($T215=1,BT$5&lt;=$H215),INDEX(Mortality!$B$4:$E$64,MATCH($D215+BT$5-1,Mortality!$A$4:$A$64,0),$U215)*$V215*$N215,0)</f>
        <v>0</v>
      </c>
      <c r="BU215" s="93">
        <f>IF(AND($T215=1,BU$5&lt;=$H215),INDEX(Mortality!$B$4:$E$64,MATCH($D215+BU$5-1,Mortality!$A$4:$A$64,0),$U215)*$V215*$N215,0)</f>
        <v>0</v>
      </c>
      <c r="BV215" s="93">
        <f>IF(AND($T215=1,BV$5&lt;=$H215),INDEX(Mortality!$B$4:$E$64,MATCH($D215+BV$5-1,Mortality!$A$4:$A$64,0),$U215)*$V215*$N215,0)</f>
        <v>0</v>
      </c>
      <c r="BW215" s="93">
        <f>IF(AND($T215=1,BW$5&lt;=$H215),INDEX(Mortality!$B$4:$E$64,MATCH($D215+BW$5-1,Mortality!$A$4:$A$64,0),$U215)*$V215*$N215,0)</f>
        <v>0</v>
      </c>
      <c r="BX215" s="93">
        <f>IF(AND($T215=1,BX$5&lt;=$H215),INDEX(Mortality!$B$4:$E$64,MATCH($D215+BX$5-1,Mortality!$A$4:$A$64,0),$U215)*$V215*$N215,0)</f>
        <v>0</v>
      </c>
      <c r="BY215" s="93">
        <f>IF(AND($T215=1,BY$5&lt;=$H215),INDEX(Mortality!$B$4:$E$64,MATCH($D215+BY$5-1,Mortality!$A$4:$A$64,0),$U215)*$V215*$N215,0)</f>
        <v>0</v>
      </c>
      <c r="BZ215" s="93">
        <f>IF(AND($T215=1,BZ$5&lt;=$H215),INDEX(Mortality!$B$4:$E$64,MATCH($D215+BZ$5-1,Mortality!$A$4:$A$64,0),$U215)*$V215*$N215,0)</f>
        <v>0</v>
      </c>
      <c r="CA215" s="93">
        <f>IF(AND($T215=1,CA$5&lt;=$H215),INDEX(Mortality!$B$4:$E$64,MATCH($D215+CA$5-1,Mortality!$A$4:$A$64,0),$U215)*$V215*$N215,0)</f>
        <v>0</v>
      </c>
      <c r="CB215" s="93">
        <f>IF(AND($T215=1,CB$5&lt;=$H215),INDEX(Mortality!$B$4:$E$64,MATCH($D215+CB$5-1,Mortality!$A$4:$A$64,0),$U215)*$V215*$N215,0)</f>
        <v>0</v>
      </c>
      <c r="CC215" s="93">
        <f>IF(AND($T215=1,CC$5&lt;=$H215),INDEX(Mortality!$B$4:$E$64,MATCH($D215+CC$5-1,Mortality!$A$4:$A$64,0),$U215)*$V215*$N215,0)</f>
        <v>0</v>
      </c>
      <c r="CD215" s="93">
        <f>IF(AND($T215=1,CD$5&lt;=$H215),INDEX(Mortality!$B$4:$E$64,MATCH($D215+CD$5-1,Mortality!$A$4:$A$64,0),$U215)*$V215*$N215,0)</f>
        <v>0</v>
      </c>
      <c r="CE215" s="93">
        <f>IF(AND($T215=1,CE$5&lt;=$H215),INDEX(Mortality!$B$4:$E$64,MATCH($D215+CE$5-1,Mortality!$A$4:$A$64,0),$U215)*$V215*$N215,0)</f>
        <v>0</v>
      </c>
      <c r="CF215" s="93">
        <f>IF(AND($T215=1,CF$5&lt;=$H215),INDEX(Mortality!$B$4:$E$64,MATCH($D215+CF$5-1,Mortality!$A$4:$A$64,0),$U215)*$V215*$N215,0)</f>
        <v>0</v>
      </c>
      <c r="CG215" s="93">
        <f>IF(AND($T215=1,CG$5&lt;=$H215),INDEX(Mortality!$B$4:$E$64,MATCH($D215+CG$5-1,Mortality!$A$4:$A$64,0),$U215)*$V215*$N215,0)</f>
        <v>0</v>
      </c>
      <c r="CH215" s="94">
        <f>IF(AND($T215=1,CH$5&lt;=$H215),INDEX(Mortality!$B$4:$E$64,MATCH($D215+CH$5-1,Mortality!$A$4:$A$64,0),$U215)*$V215*$N215,0)</f>
        <v>0</v>
      </c>
      <c r="CI215" s="26"/>
      <c r="CJ215" s="419">
        <f t="shared" si="71"/>
        <v>1</v>
      </c>
      <c r="CK215" s="93">
        <f>IF(AND($T215=1,CK$5&lt;=$H215),CJ215*(1-AU215)*(1-MIN(1,MAX(Assumptions!$C$27,Assumptions!$C$13*Assumptions!$C$28^(CJ$5-1))*$O215)),0)</f>
        <v>0.87920274374336516</v>
      </c>
      <c r="CL215" s="93">
        <f>IF(AND($T215=1,CL$5&lt;=$H215),CK215*(1-AV215)*(1-MIN(1,MAX(Assumptions!$C$27,Assumptions!$C$13*Assumptions!$C$28^(CK$5-1))*$O215)),0)</f>
        <v>0.78874920218349986</v>
      </c>
      <c r="CM215" s="93">
        <f>IF(AND($T215=1,CM$5&lt;=$H215),CL215*(1-AW215)*(1-MIN(1,MAX(Assumptions!$C$27,Assumptions!$C$13*Assumptions!$C$28^(CL$5-1))*$O215)),0)</f>
        <v>0.71959877685913676</v>
      </c>
      <c r="CN215" s="93">
        <f>IF(AND($T215=1,CN$5&lt;=$H215),CM215*(1-AX215)*(1-MIN(1,MAX(Assumptions!$C$27,Assumptions!$C$13*Assumptions!$C$28^(CM$5-1))*$O215)),0)</f>
        <v>0.66580024707763885</v>
      </c>
      <c r="CO215" s="93">
        <f>IF(AND($T215=1,CO$5&lt;=$H215),CN215*(1-AY215)*(1-MIN(1,MAX(Assumptions!$C$27,Assumptions!$C$13*Assumptions!$C$28^(CN$5-1))*$O215)),0)</f>
        <v>0.6233153752138324</v>
      </c>
      <c r="CP215" s="93">
        <f>IF(AND($T215=1,CP$5&lt;=$H215),CO215*(1-AZ215)*(1-MIN(1,MAX(Assumptions!$C$27,Assumptions!$C$13*Assumptions!$C$28^(CO$5-1))*$O215)),0)</f>
        <v>0.58932958590423901</v>
      </c>
      <c r="CQ215" s="93">
        <f>IF(AND($T215=1,CQ$5&lt;=$H215),CP215*(1-BA215)*(1-MIN(1,MAX(Assumptions!$C$27,Assumptions!$C$13*Assumptions!$C$28^(CP$5-1))*$O215)),0)</f>
        <v>0.56183394341706061</v>
      </c>
      <c r="CR215" s="93">
        <f>IF(AND($T215=1,CR$5&lt;=$H215),CQ215*(1-BB215)*(1-MIN(1,MAX(Assumptions!$C$27,Assumptions!$C$13*Assumptions!$C$28^(CQ$5-1))*$O215)),0)</f>
        <v>0.53936378924320372</v>
      </c>
      <c r="CS215" s="93">
        <f>IF(AND($T215=1,CS$5&lt;=$H215),CR215*(1-BC215)*(1-MIN(1,MAX(Assumptions!$C$27,Assumptions!$C$13*Assumptions!$C$28^(CR$5-1))*$O215)),0)</f>
        <v>0.52083079550699307</v>
      </c>
      <c r="CT215" s="93">
        <f>IF(AND($T215=1,CT$5&lt;=$H215),CS215*(1-BD215)*(1-MIN(1,MAX(Assumptions!$C$27,Assumptions!$C$13*Assumptions!$C$28^(CS$5-1))*$O215)),0)</f>
        <v>0.50541234841711702</v>
      </c>
      <c r="CU215" s="93">
        <f>IF(AND($T215=1,CU$5&lt;=$H215),CT215*(1-BE215)*(1-MIN(1,MAX(Assumptions!$C$27,Assumptions!$C$13*Assumptions!$C$28^(CT$5-1))*$O215)),0)</f>
        <v>0.49247704003549508</v>
      </c>
      <c r="CV215" s="93">
        <f>IF(AND($T215=1,CV$5&lt;=$H215),CU215*(1-BF215)*(1-MIN(1,MAX(Assumptions!$C$27,Assumptions!$C$13*Assumptions!$C$28^(CU$5-1))*$O215)),0)</f>
        <v>0.48153344287866356</v>
      </c>
      <c r="CW215" s="93">
        <f>IF(AND($T215=1,CW$5&lt;=$H215),CV215*(1-BG215)*(1-MIN(1,MAX(Assumptions!$C$27,Assumptions!$C$13*Assumptions!$C$28^(CV$5-1))*$O215)),0)</f>
        <v>0.47078619234389374</v>
      </c>
      <c r="CX215" s="93">
        <f>IF(AND($T215=1,CX$5&lt;=$H215),CW215*(1-BH215)*(1-MIN(1,MAX(Assumptions!$C$27,Assumptions!$C$13*Assumptions!$C$28^(CW$5-1))*$O215)),0)</f>
        <v>0.46018788635137664</v>
      </c>
      <c r="CY215" s="93">
        <f>IF(AND($T215=1,CY$5&lt;=$H215),CX215*(1-BI215)*(1-MIN(1,MAX(Assumptions!$C$27,Assumptions!$C$13*Assumptions!$C$28^(CX$5-1))*$O215)),0)</f>
        <v>0.44973189217201437</v>
      </c>
      <c r="CZ215" s="93">
        <f>IF(AND($T215=1,CZ$5&lt;=$H215),CY215*(1-BJ215)*(1-MIN(1,MAX(Assumptions!$C$27,Assumptions!$C$13*Assumptions!$C$28^(CY$5-1))*$O215)),0)</f>
        <v>0.43941154471977328</v>
      </c>
      <c r="DA215" s="93">
        <f>IF(AND($T215=1,DA$5&lt;=$H215),CZ215*(1-BK215)*(1-MIN(1,MAX(Assumptions!$C$27,Assumptions!$C$13*Assumptions!$C$28^(CZ$5-1))*$O215)),0)</f>
        <v>0.42922014560657917</v>
      </c>
      <c r="DB215" s="93">
        <f>IF(AND($T215=1,DB$5&lt;=$H215),DA215*(1-BL215)*(1-MIN(1,MAX(Assumptions!$C$27,Assumptions!$C$13*Assumptions!$C$28^(DA$5-1))*$O215)),0)</f>
        <v>0.4191509632973352</v>
      </c>
      <c r="DC215" s="93">
        <f>IF(AND($T215=1,DC$5&lt;=$H215),DB215*(1-BM215)*(1-MIN(1,MAX(Assumptions!$C$27,Assumptions!$C$13*Assumptions!$C$28^(DB$5-1))*$O215)),0)</f>
        <v>0.40919723456115681</v>
      </c>
      <c r="DD215" s="93">
        <f>IF(AND($T215=1,DD$5&lt;=$H215),DC215*(1-BN215)*(1-MIN(1,MAX(Assumptions!$C$27,Assumptions!$C$13*Assumptions!$C$28^(DC$5-1))*$O215)),0)</f>
        <v>0.39935216744121466</v>
      </c>
      <c r="DE215" s="93">
        <f>IF(AND($T215=1,DE$5&lt;=$H215),DD215*(1-BO215)*(1-MIN(1,MAX(Assumptions!$C$27,Assumptions!$C$13*Assumptions!$C$28^(DD$5-1))*$O215)),0)</f>
        <v>0.38960894599437673</v>
      </c>
      <c r="DF215" s="93">
        <f>IF(AND($T215=1,DF$5&lt;=$H215),DE215*(1-BP215)*(1-MIN(1,MAX(Assumptions!$C$27,Assumptions!$C$13*Assumptions!$C$28^(DE$5-1))*$O215)),0)</f>
        <v>0.37996073708314959</v>
      </c>
      <c r="DG215" s="93">
        <f>IF(AND($T215=1,DG$5&lt;=$H215),DF215*(1-BQ215)*(1-MIN(1,MAX(Assumptions!$C$27,Assumptions!$C$13*Assumptions!$C$28^(DF$5-1))*$O215)),0)</f>
        <v>0.37040069953618571</v>
      </c>
      <c r="DH215" s="93">
        <f>IF(AND($T215=1,DH$5&lt;=$H215),DG215*(1-BR215)*(1-MIN(1,MAX(Assumptions!$C$27,Assumptions!$C$13*Assumptions!$C$28^(DG$5-1))*$O215)),0)</f>
        <v>0.36092199602967789</v>
      </c>
      <c r="DI215" s="93">
        <f>IF(AND($T215=1,DI$5&lt;=$H215),DH215*(1-BS215)*(1-MIN(1,MAX(Assumptions!$C$27,Assumptions!$C$13*Assumptions!$C$28^(DH$5-1))*$O215)),0)</f>
        <v>0</v>
      </c>
      <c r="DJ215" s="93">
        <f>IF(AND($T215=1,DJ$5&lt;=$H215),DI215*(1-BT215)*(1-MIN(1,MAX(Assumptions!$C$27,Assumptions!$C$13*Assumptions!$C$28^(DI$5-1))*$O215)),0)</f>
        <v>0</v>
      </c>
      <c r="DK215" s="93">
        <f>IF(AND($T215=1,DK$5&lt;=$H215),DJ215*(1-BU215)*(1-MIN(1,MAX(Assumptions!$C$27,Assumptions!$C$13*Assumptions!$C$28^(DJ$5-1))*$O215)),0)</f>
        <v>0</v>
      </c>
      <c r="DL215" s="93">
        <f>IF(AND($T215=1,DL$5&lt;=$H215),DK215*(1-BV215)*(1-MIN(1,MAX(Assumptions!$C$27,Assumptions!$C$13*Assumptions!$C$28^(DK$5-1))*$O215)),0)</f>
        <v>0</v>
      </c>
      <c r="DM215" s="93">
        <f>IF(AND($T215=1,DM$5&lt;=$H215),DL215*(1-BW215)*(1-MIN(1,MAX(Assumptions!$C$27,Assumptions!$C$13*Assumptions!$C$28^(DL$5-1))*$O215)),0)</f>
        <v>0</v>
      </c>
      <c r="DN215" s="93">
        <f>IF(AND($T215=1,DN$5&lt;=$H215),DM215*(1-BX215)*(1-MIN(1,MAX(Assumptions!$C$27,Assumptions!$C$13*Assumptions!$C$28^(DM$5-1))*$O215)),0)</f>
        <v>0</v>
      </c>
      <c r="DO215" s="93">
        <f>IF(AND($T215=1,DO$5&lt;=$H215),DN215*(1-BY215)*(1-MIN(1,MAX(Assumptions!$C$27,Assumptions!$C$13*Assumptions!$C$28^(DN$5-1))*$O215)),0)</f>
        <v>0</v>
      </c>
      <c r="DP215" s="93">
        <f>IF(AND($T215=1,DP$5&lt;=$H215),DO215*(1-BZ215)*(1-MIN(1,MAX(Assumptions!$C$27,Assumptions!$C$13*Assumptions!$C$28^(DO$5-1))*$O215)),0)</f>
        <v>0</v>
      </c>
      <c r="DQ215" s="93">
        <f>IF(AND($T215=1,DQ$5&lt;=$H215),DP215*(1-CA215)*(1-MIN(1,MAX(Assumptions!$C$27,Assumptions!$C$13*Assumptions!$C$28^(DP$5-1))*$O215)),0)</f>
        <v>0</v>
      </c>
      <c r="DR215" s="93">
        <f>IF(AND($T215=1,DR$5&lt;=$H215),DQ215*(1-CB215)*(1-MIN(1,MAX(Assumptions!$C$27,Assumptions!$C$13*Assumptions!$C$28^(DQ$5-1))*$O215)),0)</f>
        <v>0</v>
      </c>
      <c r="DS215" s="93">
        <f>IF(AND($T215=1,DS$5&lt;=$H215),DR215*(1-CC215)*(1-MIN(1,MAX(Assumptions!$C$27,Assumptions!$C$13*Assumptions!$C$28^(DR$5-1))*$O215)),0)</f>
        <v>0</v>
      </c>
      <c r="DT215" s="93">
        <f>IF(AND($T215=1,DT$5&lt;=$H215),DS215*(1-CD215)*(1-MIN(1,MAX(Assumptions!$C$27,Assumptions!$C$13*Assumptions!$C$28^(DS$5-1))*$O215)),0)</f>
        <v>0</v>
      </c>
      <c r="DU215" s="93">
        <f>IF(AND($T215=1,DU$5&lt;=$H215),DT215*(1-CE215)*(1-MIN(1,MAX(Assumptions!$C$27,Assumptions!$C$13*Assumptions!$C$28^(DT$5-1))*$O215)),0)</f>
        <v>0</v>
      </c>
      <c r="DV215" s="93">
        <f>IF(AND($T215=1,DV$5&lt;=$H215),DU215*(1-CF215)*(1-MIN(1,MAX(Assumptions!$C$27,Assumptions!$C$13*Assumptions!$C$28^(DU$5-1))*$O215)),0)</f>
        <v>0</v>
      </c>
      <c r="DW215" s="94">
        <f>IF(AND($T215=1,DW$5&lt;=$H215),DV215*(1-CG215)*(1-MIN(1,MAX(Assumptions!$C$27,Assumptions!$C$13*Assumptions!$C$28^(DV$5-1))*$O215)),0)</f>
        <v>0</v>
      </c>
      <c r="DX215" s="26"/>
      <c r="DY215" s="399">
        <f>'Policy Data'!K189</f>
        <v>5</v>
      </c>
      <c r="DZ215" s="100">
        <f>'Policy Data'!L189</f>
        <v>0.75329999999999997</v>
      </c>
      <c r="EA215" s="100">
        <f>'Policy Data'!N189</f>
        <v>6.8300000000000001E-4</v>
      </c>
      <c r="EB215" s="93" cm="1">
        <f t="array" ref="EB215">IFERROR(DZ215*INDEX(Mortality!$B$4:$E$64,MATCH(D215+DY215-1,Mortality!$A$4:$A$64,0),U215)*V215,0)</f>
        <v>9.3984766252681645E-4</v>
      </c>
      <c r="EC215" s="100">
        <f>'Policy Data'!O189</f>
        <v>0</v>
      </c>
      <c r="ED215" s="400">
        <f>'Policy Data'!Q189</f>
        <v>0</v>
      </c>
    </row>
    <row r="216" spans="1:134" x14ac:dyDescent="0.3">
      <c r="A216" s="399" t="str">
        <f>'Policy Data'!A190</f>
        <v>POL100186</v>
      </c>
      <c r="B216" s="26" t="s">
        <v>426</v>
      </c>
      <c r="C216" s="100" t="str">
        <f>'Policy Data'!B190</f>
        <v>Term Life</v>
      </c>
      <c r="D216" s="100">
        <f>'Policy Data'!C190</f>
        <v>55</v>
      </c>
      <c r="E216" s="100" t="str">
        <f>'Policy Data'!D190</f>
        <v>Male</v>
      </c>
      <c r="F216" s="100" t="str">
        <f>'Policy Data'!E190</f>
        <v>Non-smoker</v>
      </c>
      <c r="G216" s="100" t="str">
        <f>'Policy Data'!F190</f>
        <v>Preferred</v>
      </c>
      <c r="H216" s="100">
        <f>'Policy Data'!G190</f>
        <v>15</v>
      </c>
      <c r="I216" s="279">
        <f>'Policy Data'!H190</f>
        <v>250000</v>
      </c>
      <c r="J216" s="100" t="str">
        <f>'Policy Data'!I190</f>
        <v>Monthly</v>
      </c>
      <c r="K216" s="100" t="str">
        <f>'Policy Data'!J190</f>
        <v>Bancassurance</v>
      </c>
      <c r="L216" s="26" t="s">
        <v>389</v>
      </c>
      <c r="M216" s="106">
        <f>'Policy Data'!R190</f>
        <v>1519.93</v>
      </c>
      <c r="N216" s="415">
        <f>Assumptions!$C$21</f>
        <v>1</v>
      </c>
      <c r="O216" s="415">
        <f>Assumptions!$C$22</f>
        <v>1</v>
      </c>
      <c r="P216" s="415">
        <f>Assumptions!$C$23</f>
        <v>1</v>
      </c>
      <c r="Q216" s="416">
        <f>Assumptions!$C$24</f>
        <v>0</v>
      </c>
      <c r="R216" s="416">
        <f>Assumptions!$C$6+Assumptions!$C$25</f>
        <v>3.5000000000000003E-2</v>
      </c>
      <c r="S216" s="416">
        <f>Assumptions!$C$15</f>
        <v>1.1000000000000001E-3</v>
      </c>
      <c r="T216" s="26">
        <f t="shared" si="54"/>
        <v>1</v>
      </c>
      <c r="U216" s="26">
        <f t="shared" si="55"/>
        <v>3</v>
      </c>
      <c r="V216" s="389">
        <f>IF($G216="Preferred",Assumptions!$C$30,IF($G216="Rated",Assumptions!$C$31,1))</f>
        <v>0.8</v>
      </c>
      <c r="W216" s="390">
        <f>IF($K216="Direct",Assumptions!$C$32,IF($K216="Broker",Assumptions!$C$33,IF($K216="Bancassurance",Assumptions!$C$34,Assumptions!$C$11)))+$Q216</f>
        <v>0.2</v>
      </c>
      <c r="X216" s="390">
        <f>Assumptions!$C$12+$Q216</f>
        <v>0.05</v>
      </c>
      <c r="Y216" s="131">
        <f>MIN($I216,Assumptions!$C$14)</f>
        <v>250000</v>
      </c>
      <c r="Z216" s="131">
        <f>MAX($I216-Assumptions!$C$14,0)</f>
        <v>0</v>
      </c>
      <c r="AA216" s="389">
        <f t="shared" si="56"/>
        <v>7.274646701197649</v>
      </c>
      <c r="AB216" s="389">
        <f t="shared" si="57"/>
        <v>3.6053580494346579E-2</v>
      </c>
      <c r="AC216" s="389">
        <f>IF($T216=1,SUMPRODUCT($CJ216:$DW216,(1+Assumptions!$C$5)^($CJ$5:$DW$5-1),(1+$R216)^(-$CJ$5:$DW$5)),0)</f>
        <v>9.0764361634949999</v>
      </c>
      <c r="AD216" s="389">
        <f t="shared" si="58"/>
        <v>0.50865987129176649</v>
      </c>
      <c r="AE216" s="131">
        <f>IF($T216=1,$AB216*$Y216+(Assumptions!$C$9/(1+$R216)+Assumptions!$C$10*$AC216)*$P216+$S216*$Z216*$AA216,0)</f>
        <v>11879.776296946849</v>
      </c>
      <c r="AF216" s="131">
        <f>IF($T216=1,IF($AA216-$AD216-Assumptions!$C$16*$AA216&gt;0,$AE216/($AA216-$AD216-Assumptions!$C$16*$AA216)*IF($J216="Monthly",1+Assumptions!$C$29,1),"n.a."),"")</f>
        <v>1978.6771862997437</v>
      </c>
      <c r="AG216" s="131">
        <f t="shared" si="59"/>
        <v>1519.93</v>
      </c>
      <c r="AH216" s="131">
        <f t="shared" si="60"/>
        <v>11056.953760551343</v>
      </c>
      <c r="AI216" s="131">
        <f t="shared" si="61"/>
        <v>-1595.9499345680015</v>
      </c>
      <c r="AJ216" s="390">
        <f t="shared" si="62"/>
        <v>-0.14433902584109398</v>
      </c>
      <c r="AK216" s="389">
        <f t="shared" si="63"/>
        <v>0.76815460880830644</v>
      </c>
      <c r="AL216" s="131">
        <f t="shared" si="64"/>
        <v>0</v>
      </c>
      <c r="AM216" s="131">
        <f t="shared" si="65"/>
        <v>0</v>
      </c>
      <c r="AN216" s="131">
        <f t="shared" si="66"/>
        <v>0</v>
      </c>
      <c r="AO216" s="131">
        <f t="shared" si="67"/>
        <v>-1595.9499345680015</v>
      </c>
      <c r="AP216" s="26" t="str">
        <f t="shared" si="68"/>
        <v>50-59</v>
      </c>
      <c r="AQ216" s="26" t="str">
        <f t="shared" si="69"/>
        <v>Up to 250k</v>
      </c>
      <c r="AR216" s="26" t="str">
        <f>IF($T216=1,IF($AI216&lt;0,"Loss-making",IF($AJ216&lt;Assumptions!$C$16-0.00001,"Below target","At/above target")),"Excluded")</f>
        <v>Loss-making</v>
      </c>
      <c r="AS216" s="103">
        <f t="shared" si="70"/>
        <v>-1595.9497185680016</v>
      </c>
      <c r="AT216" s="26"/>
      <c r="AU216" s="419">
        <f>IF(AND($T216=1,AU$5&lt;=$H216),INDEX(Mortality!$B$4:$E$64,MATCH($D216+AU$5-1,Mortality!$A$4:$A$64,0),$U216)*$V216*$N216,0)</f>
        <v>3.0590692249572882E-3</v>
      </c>
      <c r="AV216" s="93">
        <f>IF(AND($T216=1,AV$5&lt;=$H216),INDEX(Mortality!$B$4:$E$64,MATCH($D216+AV$5-1,Mortality!$A$4:$A$64,0),$U216)*$V216*$N216,0)</f>
        <v>3.313850130518688E-3</v>
      </c>
      <c r="AW216" s="93">
        <f>IF(AND($T216=1,AW$5&lt;=$H216),INDEX(Mortality!$B$4:$E$64,MATCH($D216+AW$5-1,Mortality!$A$4:$A$64,0),$U216)*$V216*$N216,0)</f>
        <v>3.5898509906038718E-3</v>
      </c>
      <c r="AX216" s="93">
        <f>IF(AND($T216=1,AX$5&lt;=$H216),INDEX(Mortality!$B$4:$E$64,MATCH($D216+AX$5-1,Mortality!$A$4:$A$64,0),$U216)*$V216*$N216,0)</f>
        <v>3.888839153001312E-3</v>
      </c>
      <c r="AY216" s="93">
        <f>IF(AND($T216=1,AY$5&lt;=$H216),INDEX(Mortality!$B$4:$E$64,MATCH($D216+AY$5-1,Mortality!$A$4:$A$64,0),$U216)*$V216*$N216,0)</f>
        <v>4.2127291627143603E-3</v>
      </c>
      <c r="AZ216" s="93">
        <f>IF(AND($T216=1,AZ$5&lt;=$H216),INDEX(Mortality!$B$4:$E$64,MATCH($D216+AZ$5-1,Mortality!$A$4:$A$64,0),$U216)*$V216*$N216,0)</f>
        <v>4.5635950215856241E-3</v>
      </c>
      <c r="BA216" s="93">
        <f>IF(AND($T216=1,BA$5&lt;=$H216),INDEX(Mortality!$B$4:$E$64,MATCH($D216+BA$5-1,Mortality!$A$4:$A$64,0),$U216)*$V216*$N216,0)</f>
        <v>4.9436834689895286E-3</v>
      </c>
      <c r="BB216" s="93">
        <f>IF(AND($T216=1,BB$5&lt;=$H216),INDEX(Mortality!$B$4:$E$64,MATCH($D216+BB$5-1,Mortality!$A$4:$A$64,0),$U216)*$V216*$N216,0)</f>
        <v>5.3554283686348325E-3</v>
      </c>
      <c r="BC216" s="93">
        <f>IF(AND($T216=1,BC$5&lt;=$H216),INDEX(Mortality!$B$4:$E$64,MATCH($D216+BC$5-1,Mortality!$A$4:$A$64,0),$U216)*$V216*$N216,0)</f>
        <v>5.801466293601721E-3</v>
      </c>
      <c r="BD216" s="93">
        <f>IF(AND($T216=1,BD$5&lt;=$H216),INDEX(Mortality!$B$4:$E$64,MATCH($D216+BD$5-1,Mortality!$A$4:$A$64,0),$U216)*$V216*$N216,0)</f>
        <v>6.2846534094109126E-3</v>
      </c>
      <c r="BE216" s="93">
        <f>IF(AND($T216=1,BE$5&lt;=$H216),INDEX(Mortality!$B$4:$E$64,MATCH($D216+BE$5-1,Mortality!$A$4:$A$64,0),$U216)*$V216*$N216,0)</f>
        <v>6.8080837632341759E-3</v>
      </c>
      <c r="BF216" s="93">
        <f>IF(AND($T216=1,BF$5&lt;=$H216),INDEX(Mortality!$B$4:$E$64,MATCH($D216+BF$5-1,Mortality!$A$4:$A$64,0),$U216)*$V216*$N216,0)</f>
        <v>7.3751090963594477E-3</v>
      </c>
      <c r="BG216" s="93">
        <f>IF(AND($T216=1,BG$5&lt;=$H216),INDEX(Mortality!$B$4:$E$64,MATCH($D216+BG$5-1,Mortality!$A$4:$A$64,0),$U216)*$V216*$N216,0)</f>
        <v>7.9893603067781437E-3</v>
      </c>
      <c r="BH216" s="93">
        <f>IF(AND($T216=1,BH$5&lt;=$H216),INDEX(Mortality!$B$4:$E$64,MATCH($D216+BH$5-1,Mortality!$A$4:$A$64,0),$U216)*$V216*$N216,0)</f>
        <v>8.6547706993283999E-3</v>
      </c>
      <c r="BI216" s="93">
        <f>IF(AND($T216=1,BI$5&lt;=$H216),INDEX(Mortality!$B$4:$E$64,MATCH($D216+BI$5-1,Mortality!$A$4:$A$64,0),$U216)*$V216*$N216,0)</f>
        <v>9.3756011722746415E-3</v>
      </c>
      <c r="BJ216" s="93">
        <f>IF(AND($T216=1,BJ$5&lt;=$H216),INDEX(Mortality!$B$4:$E$64,MATCH($D216+BJ$5-1,Mortality!$A$4:$A$64,0),$U216)*$V216*$N216,0)</f>
        <v>0</v>
      </c>
      <c r="BK216" s="93">
        <f>IF(AND($T216=1,BK$5&lt;=$H216),INDEX(Mortality!$B$4:$E$64,MATCH($D216+BK$5-1,Mortality!$A$4:$A$64,0),$U216)*$V216*$N216,0)</f>
        <v>0</v>
      </c>
      <c r="BL216" s="93">
        <f>IF(AND($T216=1,BL$5&lt;=$H216),INDEX(Mortality!$B$4:$E$64,MATCH($D216+BL$5-1,Mortality!$A$4:$A$64,0),$U216)*$V216*$N216,0)</f>
        <v>0</v>
      </c>
      <c r="BM216" s="93">
        <f>IF(AND($T216=1,BM$5&lt;=$H216),INDEX(Mortality!$B$4:$E$64,MATCH($D216+BM$5-1,Mortality!$A$4:$A$64,0),$U216)*$V216*$N216,0)</f>
        <v>0</v>
      </c>
      <c r="BN216" s="93">
        <f>IF(AND($T216=1,BN$5&lt;=$H216),INDEX(Mortality!$B$4:$E$64,MATCH($D216+BN$5-1,Mortality!$A$4:$A$64,0),$U216)*$V216*$N216,0)</f>
        <v>0</v>
      </c>
      <c r="BO216" s="93">
        <f>IF(AND($T216=1,BO$5&lt;=$H216),INDEX(Mortality!$B$4:$E$64,MATCH($D216+BO$5-1,Mortality!$A$4:$A$64,0),$U216)*$V216*$N216,0)</f>
        <v>0</v>
      </c>
      <c r="BP216" s="93">
        <f>IF(AND($T216=1,BP$5&lt;=$H216),INDEX(Mortality!$B$4:$E$64,MATCH($D216+BP$5-1,Mortality!$A$4:$A$64,0),$U216)*$V216*$N216,0)</f>
        <v>0</v>
      </c>
      <c r="BQ216" s="93">
        <f>IF(AND($T216=1,BQ$5&lt;=$H216),INDEX(Mortality!$B$4:$E$64,MATCH($D216+BQ$5-1,Mortality!$A$4:$A$64,0),$U216)*$V216*$N216,0)</f>
        <v>0</v>
      </c>
      <c r="BR216" s="93">
        <f>IF(AND($T216=1,BR$5&lt;=$H216),INDEX(Mortality!$B$4:$E$64,MATCH($D216+BR$5-1,Mortality!$A$4:$A$64,0),$U216)*$V216*$N216,0)</f>
        <v>0</v>
      </c>
      <c r="BS216" s="93">
        <f>IF(AND($T216=1,BS$5&lt;=$H216),INDEX(Mortality!$B$4:$E$64,MATCH($D216+BS$5-1,Mortality!$A$4:$A$64,0),$U216)*$V216*$N216,0)</f>
        <v>0</v>
      </c>
      <c r="BT216" s="93">
        <f>IF(AND($T216=1,BT$5&lt;=$H216),INDEX(Mortality!$B$4:$E$64,MATCH($D216+BT$5-1,Mortality!$A$4:$A$64,0),$U216)*$V216*$N216,0)</f>
        <v>0</v>
      </c>
      <c r="BU216" s="93">
        <f>IF(AND($T216=1,BU$5&lt;=$H216),INDEX(Mortality!$B$4:$E$64,MATCH($D216+BU$5-1,Mortality!$A$4:$A$64,0),$U216)*$V216*$N216,0)</f>
        <v>0</v>
      </c>
      <c r="BV216" s="93">
        <f>IF(AND($T216=1,BV$5&lt;=$H216),INDEX(Mortality!$B$4:$E$64,MATCH($D216+BV$5-1,Mortality!$A$4:$A$64,0),$U216)*$V216*$N216,0)</f>
        <v>0</v>
      </c>
      <c r="BW216" s="93">
        <f>IF(AND($T216=1,BW$5&lt;=$H216),INDEX(Mortality!$B$4:$E$64,MATCH($D216+BW$5-1,Mortality!$A$4:$A$64,0),$U216)*$V216*$N216,0)</f>
        <v>0</v>
      </c>
      <c r="BX216" s="93">
        <f>IF(AND($T216=1,BX$5&lt;=$H216),INDEX(Mortality!$B$4:$E$64,MATCH($D216+BX$5-1,Mortality!$A$4:$A$64,0),$U216)*$V216*$N216,0)</f>
        <v>0</v>
      </c>
      <c r="BY216" s="93">
        <f>IF(AND($T216=1,BY$5&lt;=$H216),INDEX(Mortality!$B$4:$E$64,MATCH($D216+BY$5-1,Mortality!$A$4:$A$64,0),$U216)*$V216*$N216,0)</f>
        <v>0</v>
      </c>
      <c r="BZ216" s="93">
        <f>IF(AND($T216=1,BZ$5&lt;=$H216),INDEX(Mortality!$B$4:$E$64,MATCH($D216+BZ$5-1,Mortality!$A$4:$A$64,0),$U216)*$V216*$N216,0)</f>
        <v>0</v>
      </c>
      <c r="CA216" s="93">
        <f>IF(AND($T216=1,CA$5&lt;=$H216),INDEX(Mortality!$B$4:$E$64,MATCH($D216+CA$5-1,Mortality!$A$4:$A$64,0),$U216)*$V216*$N216,0)</f>
        <v>0</v>
      </c>
      <c r="CB216" s="93">
        <f>IF(AND($T216=1,CB$5&lt;=$H216),INDEX(Mortality!$B$4:$E$64,MATCH($D216+CB$5-1,Mortality!$A$4:$A$64,0),$U216)*$V216*$N216,0)</f>
        <v>0</v>
      </c>
      <c r="CC216" s="93">
        <f>IF(AND($T216=1,CC$5&lt;=$H216),INDEX(Mortality!$B$4:$E$64,MATCH($D216+CC$5-1,Mortality!$A$4:$A$64,0),$U216)*$V216*$N216,0)</f>
        <v>0</v>
      </c>
      <c r="CD216" s="93">
        <f>IF(AND($T216=1,CD$5&lt;=$H216),INDEX(Mortality!$B$4:$E$64,MATCH($D216+CD$5-1,Mortality!$A$4:$A$64,0),$U216)*$V216*$N216,0)</f>
        <v>0</v>
      </c>
      <c r="CE216" s="93">
        <f>IF(AND($T216=1,CE$5&lt;=$H216),INDEX(Mortality!$B$4:$E$64,MATCH($D216+CE$5-1,Mortality!$A$4:$A$64,0),$U216)*$V216*$N216,0)</f>
        <v>0</v>
      </c>
      <c r="CF216" s="93">
        <f>IF(AND($T216=1,CF$5&lt;=$H216),INDEX(Mortality!$B$4:$E$64,MATCH($D216+CF$5-1,Mortality!$A$4:$A$64,0),$U216)*$V216*$N216,0)</f>
        <v>0</v>
      </c>
      <c r="CG216" s="93">
        <f>IF(AND($T216=1,CG$5&lt;=$H216),INDEX(Mortality!$B$4:$E$64,MATCH($D216+CG$5-1,Mortality!$A$4:$A$64,0),$U216)*$V216*$N216,0)</f>
        <v>0</v>
      </c>
      <c r="CH216" s="94">
        <f>IF(AND($T216=1,CH$5&lt;=$H216),INDEX(Mortality!$B$4:$E$64,MATCH($D216+CH$5-1,Mortality!$A$4:$A$64,0),$U216)*$V216*$N216,0)</f>
        <v>0</v>
      </c>
      <c r="CI216" s="26"/>
      <c r="CJ216" s="419">
        <f t="shared" si="71"/>
        <v>1</v>
      </c>
      <c r="CK216" s="93">
        <f>IF(AND($T216=1,CK$5&lt;=$H216),CJ216*(1-AU216)*(1-MIN(1,MAX(Assumptions!$C$27,Assumptions!$C$13*Assumptions!$C$28^(CJ$5-1))*$O216)),0)</f>
        <v>0.87730801908203759</v>
      </c>
      <c r="CL216" s="93">
        <f>IF(AND($T216=1,CL$5&lt;=$H216),CK216*(1-AV216)*(1-MIN(1,MAX(Assumptions!$C$27,Assumptions!$C$13*Assumptions!$C$28^(CK$5-1))*$O216)),0)</f>
        <v>0.78521187510607082</v>
      </c>
      <c r="CM216" s="93">
        <f>IF(AND($T216=1,CM$5&lt;=$H216),CL216*(1-AW216)*(1-MIN(1,MAX(Assumptions!$C$27,Assumptions!$C$13*Assumptions!$C$28^(CL$5-1))*$O216)),0)</f>
        <v>0.71455960131421115</v>
      </c>
      <c r="CN216" s="93">
        <f>IF(AND($T216=1,CN$5&lt;=$H216),CM216*(1-AX216)*(1-MIN(1,MAX(Assumptions!$C$27,Assumptions!$C$13*Assumptions!$C$28^(CM$5-1))*$O216)),0)</f>
        <v>0.6593261083486246</v>
      </c>
      <c r="CO216" s="93">
        <f>IF(AND($T216=1,CO$5&lt;=$H216),CN216*(1-AY216)*(1-MIN(1,MAX(Assumptions!$C$27,Assumptions!$C$13*Assumptions!$C$28^(CN$5-1))*$O216)),0)</f>
        <v>0.61542185268987715</v>
      </c>
      <c r="CP216" s="93">
        <f>IF(AND($T216=1,CP$5&lt;=$H216),CO216*(1-AZ216)*(1-MIN(1,MAX(Assumptions!$C$27,Assumptions!$C$13*Assumptions!$C$28^(CO$5-1))*$O216)),0)</f>
        <v>0.57999494261743156</v>
      </c>
      <c r="CQ216" s="93">
        <f>IF(AND($T216=1,CQ$5&lt;=$H216),CP216*(1-BA216)*(1-MIN(1,MAX(Assumptions!$C$27,Assumptions!$C$13*Assumptions!$C$28^(CP$5-1))*$O216)),0)</f>
        <v>0.55100802241987001</v>
      </c>
      <c r="CR216" s="93">
        <f>IF(AND($T216=1,CR$5&lt;=$H216),CQ216*(1-BB216)*(1-MIN(1,MAX(Assumptions!$C$27,Assumptions!$C$13*Assumptions!$C$28^(CQ$5-1))*$O216)),0)</f>
        <v>0.52697379102748254</v>
      </c>
      <c r="CS216" s="93">
        <f>IF(AND($T216=1,CS$5&lt;=$H216),CR216*(1-BC216)*(1-MIN(1,MAX(Assumptions!$C$27,Assumptions!$C$13*Assumptions!$C$28^(CR$5-1))*$O216)),0)</f>
        <v>0.50678509418175166</v>
      </c>
      <c r="CT216" s="93">
        <f>IF(AND($T216=1,CT$5&lt;=$H216),CS216*(1-BD216)*(1-MIN(1,MAX(Assumptions!$C$27,Assumptions!$C$13*Assumptions!$C$28^(CS$5-1))*$O216)),0)</f>
        <v>0.48960304672549898</v>
      </c>
      <c r="CU216" s="93">
        <f>IF(AND($T216=1,CU$5&lt;=$H216),CT216*(1-BE216)*(1-MIN(1,MAX(Assumptions!$C$27,Assumptions!$C$13*Assumptions!$C$28^(CT$5-1))*$O216)),0)</f>
        <v>0.4747816991852114</v>
      </c>
      <c r="CV216" s="93">
        <f>IF(AND($T216=1,CV$5&lt;=$H216),CU216*(1-BF216)*(1-MIN(1,MAX(Assumptions!$C$27,Assumptions!$C$13*Assumptions!$C$28^(CU$5-1))*$O216)),0)</f>
        <v>0.46181626683255933</v>
      </c>
      <c r="CW216" s="93">
        <f>IF(AND($T216=1,CW$5&lt;=$H216),CV216*(1-BG216)*(1-MIN(1,MAX(Assumptions!$C$27,Assumptions!$C$13*Assumptions!$C$28^(CV$5-1))*$O216)),0)</f>
        <v>0.44896411727567676</v>
      </c>
      <c r="CX216" s="93">
        <f>IF(AND($T216=1,CX$5&lt;=$H216),CW216*(1-BH216)*(1-MIN(1,MAX(Assumptions!$C$27,Assumptions!$C$13*Assumptions!$C$28^(CW$5-1))*$O216)),0)</f>
        <v>0.43617686707266079</v>
      </c>
      <c r="CY216" s="93">
        <f>IF(AND($T216=1,CY$5&lt;=$H216),CX216*(1-BI216)*(1-MIN(1,MAX(Assumptions!$C$27,Assumptions!$C$13*Assumptions!$C$28^(CX$5-1))*$O216)),0)</f>
        <v>0</v>
      </c>
      <c r="CZ216" s="93">
        <f>IF(AND($T216=1,CZ$5&lt;=$H216),CY216*(1-BJ216)*(1-MIN(1,MAX(Assumptions!$C$27,Assumptions!$C$13*Assumptions!$C$28^(CY$5-1))*$O216)),0)</f>
        <v>0</v>
      </c>
      <c r="DA216" s="93">
        <f>IF(AND($T216=1,DA$5&lt;=$H216),CZ216*(1-BK216)*(1-MIN(1,MAX(Assumptions!$C$27,Assumptions!$C$13*Assumptions!$C$28^(CZ$5-1))*$O216)),0)</f>
        <v>0</v>
      </c>
      <c r="DB216" s="93">
        <f>IF(AND($T216=1,DB$5&lt;=$H216),DA216*(1-BL216)*(1-MIN(1,MAX(Assumptions!$C$27,Assumptions!$C$13*Assumptions!$C$28^(DA$5-1))*$O216)),0)</f>
        <v>0</v>
      </c>
      <c r="DC216" s="93">
        <f>IF(AND($T216=1,DC$5&lt;=$H216),DB216*(1-BM216)*(1-MIN(1,MAX(Assumptions!$C$27,Assumptions!$C$13*Assumptions!$C$28^(DB$5-1))*$O216)),0)</f>
        <v>0</v>
      </c>
      <c r="DD216" s="93">
        <f>IF(AND($T216=1,DD$5&lt;=$H216),DC216*(1-BN216)*(1-MIN(1,MAX(Assumptions!$C$27,Assumptions!$C$13*Assumptions!$C$28^(DC$5-1))*$O216)),0)</f>
        <v>0</v>
      </c>
      <c r="DE216" s="93">
        <f>IF(AND($T216=1,DE$5&lt;=$H216),DD216*(1-BO216)*(1-MIN(1,MAX(Assumptions!$C$27,Assumptions!$C$13*Assumptions!$C$28^(DD$5-1))*$O216)),0)</f>
        <v>0</v>
      </c>
      <c r="DF216" s="93">
        <f>IF(AND($T216=1,DF$5&lt;=$H216),DE216*(1-BP216)*(1-MIN(1,MAX(Assumptions!$C$27,Assumptions!$C$13*Assumptions!$C$28^(DE$5-1))*$O216)),0)</f>
        <v>0</v>
      </c>
      <c r="DG216" s="93">
        <f>IF(AND($T216=1,DG$5&lt;=$H216),DF216*(1-BQ216)*(1-MIN(1,MAX(Assumptions!$C$27,Assumptions!$C$13*Assumptions!$C$28^(DF$5-1))*$O216)),0)</f>
        <v>0</v>
      </c>
      <c r="DH216" s="93">
        <f>IF(AND($T216=1,DH$5&lt;=$H216),DG216*(1-BR216)*(1-MIN(1,MAX(Assumptions!$C$27,Assumptions!$C$13*Assumptions!$C$28^(DG$5-1))*$O216)),0)</f>
        <v>0</v>
      </c>
      <c r="DI216" s="93">
        <f>IF(AND($T216=1,DI$5&lt;=$H216),DH216*(1-BS216)*(1-MIN(1,MAX(Assumptions!$C$27,Assumptions!$C$13*Assumptions!$C$28^(DH$5-1))*$O216)),0)</f>
        <v>0</v>
      </c>
      <c r="DJ216" s="93">
        <f>IF(AND($T216=1,DJ$5&lt;=$H216),DI216*(1-BT216)*(1-MIN(1,MAX(Assumptions!$C$27,Assumptions!$C$13*Assumptions!$C$28^(DI$5-1))*$O216)),0)</f>
        <v>0</v>
      </c>
      <c r="DK216" s="93">
        <f>IF(AND($T216=1,DK$5&lt;=$H216),DJ216*(1-BU216)*(1-MIN(1,MAX(Assumptions!$C$27,Assumptions!$C$13*Assumptions!$C$28^(DJ$5-1))*$O216)),0)</f>
        <v>0</v>
      </c>
      <c r="DL216" s="93">
        <f>IF(AND($T216=1,DL$5&lt;=$H216),DK216*(1-BV216)*(1-MIN(1,MAX(Assumptions!$C$27,Assumptions!$C$13*Assumptions!$C$28^(DK$5-1))*$O216)),0)</f>
        <v>0</v>
      </c>
      <c r="DM216" s="93">
        <f>IF(AND($T216=1,DM$5&lt;=$H216),DL216*(1-BW216)*(1-MIN(1,MAX(Assumptions!$C$27,Assumptions!$C$13*Assumptions!$C$28^(DL$5-1))*$O216)),0)</f>
        <v>0</v>
      </c>
      <c r="DN216" s="93">
        <f>IF(AND($T216=1,DN$5&lt;=$H216),DM216*(1-BX216)*(1-MIN(1,MAX(Assumptions!$C$27,Assumptions!$C$13*Assumptions!$C$28^(DM$5-1))*$O216)),0)</f>
        <v>0</v>
      </c>
      <c r="DO216" s="93">
        <f>IF(AND($T216=1,DO$5&lt;=$H216),DN216*(1-BY216)*(1-MIN(1,MAX(Assumptions!$C$27,Assumptions!$C$13*Assumptions!$C$28^(DN$5-1))*$O216)),0)</f>
        <v>0</v>
      </c>
      <c r="DP216" s="93">
        <f>IF(AND($T216=1,DP$5&lt;=$H216),DO216*(1-BZ216)*(1-MIN(1,MAX(Assumptions!$C$27,Assumptions!$C$13*Assumptions!$C$28^(DO$5-1))*$O216)),0)</f>
        <v>0</v>
      </c>
      <c r="DQ216" s="93">
        <f>IF(AND($T216=1,DQ$5&lt;=$H216),DP216*(1-CA216)*(1-MIN(1,MAX(Assumptions!$C$27,Assumptions!$C$13*Assumptions!$C$28^(DP$5-1))*$O216)),0)</f>
        <v>0</v>
      </c>
      <c r="DR216" s="93">
        <f>IF(AND($T216=1,DR$5&lt;=$H216),DQ216*(1-CB216)*(1-MIN(1,MAX(Assumptions!$C$27,Assumptions!$C$13*Assumptions!$C$28^(DQ$5-1))*$O216)),0)</f>
        <v>0</v>
      </c>
      <c r="DS216" s="93">
        <f>IF(AND($T216=1,DS$5&lt;=$H216),DR216*(1-CC216)*(1-MIN(1,MAX(Assumptions!$C$27,Assumptions!$C$13*Assumptions!$C$28^(DR$5-1))*$O216)),0)</f>
        <v>0</v>
      </c>
      <c r="DT216" s="93">
        <f>IF(AND($T216=1,DT$5&lt;=$H216),DS216*(1-CD216)*(1-MIN(1,MAX(Assumptions!$C$27,Assumptions!$C$13*Assumptions!$C$28^(DS$5-1))*$O216)),0)</f>
        <v>0</v>
      </c>
      <c r="DU216" s="93">
        <f>IF(AND($T216=1,DU$5&lt;=$H216),DT216*(1-CE216)*(1-MIN(1,MAX(Assumptions!$C$27,Assumptions!$C$13*Assumptions!$C$28^(DT$5-1))*$O216)),0)</f>
        <v>0</v>
      </c>
      <c r="DV216" s="93">
        <f>IF(AND($T216=1,DV$5&lt;=$H216),DU216*(1-CF216)*(1-MIN(1,MAX(Assumptions!$C$27,Assumptions!$C$13*Assumptions!$C$28^(DU$5-1))*$O216)),0)</f>
        <v>0</v>
      </c>
      <c r="DW216" s="94">
        <f>IF(AND($T216=1,DW$5&lt;=$H216),DV216*(1-CG216)*(1-MIN(1,MAX(Assumptions!$C$27,Assumptions!$C$13*Assumptions!$C$28^(DV$5-1))*$O216)),0)</f>
        <v>0</v>
      </c>
      <c r="DX216" s="26"/>
      <c r="DY216" s="399">
        <f>'Policy Data'!K190</f>
        <v>3</v>
      </c>
      <c r="DZ216" s="100">
        <f>'Policy Data'!L190</f>
        <v>0.96940000000000004</v>
      </c>
      <c r="EA216" s="100">
        <f>'Policy Data'!N190</f>
        <v>2.9650000000000002E-3</v>
      </c>
      <c r="EB216" s="93" cm="1">
        <f t="array" ref="EB216">IFERROR(DZ216*INDEX(Mortality!$B$4:$E$64,MATCH(D216+DY216-1,Mortality!$A$4:$A$64,0),U216)*V216,0)</f>
        <v>3.480001550291394E-3</v>
      </c>
      <c r="EC216" s="100">
        <f>'Policy Data'!O190</f>
        <v>0</v>
      </c>
      <c r="ED216" s="400">
        <f>'Policy Data'!Q190</f>
        <v>0</v>
      </c>
    </row>
    <row r="217" spans="1:134" x14ac:dyDescent="0.3">
      <c r="A217" s="399" t="str">
        <f>'Policy Data'!A191</f>
        <v>POL100187</v>
      </c>
      <c r="B217" s="26" t="s">
        <v>426</v>
      </c>
      <c r="C217" s="100" t="str">
        <f>'Policy Data'!B191</f>
        <v>Unit-Linked</v>
      </c>
      <c r="D217" s="100">
        <f>'Policy Data'!C191</f>
        <v>57</v>
      </c>
      <c r="E217" s="100" t="str">
        <f>'Policy Data'!D191</f>
        <v>Male</v>
      </c>
      <c r="F217" s="100" t="str">
        <f>'Policy Data'!E191</f>
        <v>Smoker</v>
      </c>
      <c r="G217" s="100" t="str">
        <f>'Policy Data'!F191</f>
        <v>Preferred</v>
      </c>
      <c r="H217" s="100">
        <f>'Policy Data'!G191</f>
        <v>10</v>
      </c>
      <c r="I217" s="279">
        <f>'Policy Data'!H191</f>
        <v>500000</v>
      </c>
      <c r="J217" s="100" t="str">
        <f>'Policy Data'!I191</f>
        <v>Annual</v>
      </c>
      <c r="K217" s="100" t="str">
        <f>'Policy Data'!J191</f>
        <v>Direct</v>
      </c>
      <c r="L217" s="26" t="s">
        <v>389</v>
      </c>
      <c r="M217" s="106">
        <f>'Policy Data'!R191</f>
        <v>10512.46</v>
      </c>
      <c r="N217" s="415">
        <f>Assumptions!$C$21</f>
        <v>1</v>
      </c>
      <c r="O217" s="415">
        <f>Assumptions!$C$22</f>
        <v>1</v>
      </c>
      <c r="P217" s="415">
        <f>Assumptions!$C$23</f>
        <v>1</v>
      </c>
      <c r="Q217" s="416">
        <f>Assumptions!$C$24</f>
        <v>0</v>
      </c>
      <c r="R217" s="416">
        <f>Assumptions!$C$6+Assumptions!$C$25</f>
        <v>3.5000000000000003E-2</v>
      </c>
      <c r="S217" s="416">
        <f>Assumptions!$C$15</f>
        <v>1.1000000000000001E-3</v>
      </c>
      <c r="T217" s="26">
        <f t="shared" si="54"/>
        <v>0</v>
      </c>
      <c r="U217" s="26">
        <f t="shared" si="55"/>
        <v>4</v>
      </c>
      <c r="V217" s="389">
        <f>IF($G217="Preferred",Assumptions!$C$30,IF($G217="Rated",Assumptions!$C$31,1))</f>
        <v>0.8</v>
      </c>
      <c r="W217" s="390">
        <f>IF($K217="Direct",Assumptions!$C$32,IF($K217="Broker",Assumptions!$C$33,IF($K217="Bancassurance",Assumptions!$C$34,Assumptions!$C$11)))+$Q217</f>
        <v>0.1</v>
      </c>
      <c r="X217" s="390">
        <f>Assumptions!$C$12+$Q217</f>
        <v>0.05</v>
      </c>
      <c r="Y217" s="131">
        <f>MIN($I217,Assumptions!$C$14)</f>
        <v>500000</v>
      </c>
      <c r="Z217" s="131">
        <f>MAX($I217-Assumptions!$C$14,0)</f>
        <v>0</v>
      </c>
      <c r="AA217" s="389">
        <f t="shared" si="56"/>
        <v>0</v>
      </c>
      <c r="AB217" s="389">
        <f t="shared" si="57"/>
        <v>0</v>
      </c>
      <c r="AC217" s="389">
        <f>IF($T217=1,SUMPRODUCT($CJ217:$DW217,(1+Assumptions!$C$5)^($CJ$5:$DW$5-1),(1+$R217)^(-$CJ$5:$DW$5)),0)</f>
        <v>0</v>
      </c>
      <c r="AD217" s="389">
        <f t="shared" si="58"/>
        <v>0</v>
      </c>
      <c r="AE217" s="131">
        <f>IF($T217=1,$AB217*$Y217+(Assumptions!$C$9/(1+$R217)+Assumptions!$C$10*$AC217)*$P217+$S217*$Z217*$AA217,0)</f>
        <v>0</v>
      </c>
      <c r="AF217" s="131" t="str">
        <f>IF($T217=1,IF($AA217-$AD217-Assumptions!$C$16*$AA217&gt;0,$AE217/($AA217-$AD217-Assumptions!$C$16*$AA217)*IF($J217="Monthly",1+Assumptions!$C$29,1),"n.a."),"")</f>
        <v/>
      </c>
      <c r="AG217" s="131" t="str">
        <f t="shared" si="59"/>
        <v/>
      </c>
      <c r="AH217" s="131" t="str">
        <f t="shared" si="60"/>
        <v/>
      </c>
      <c r="AI217" s="131" t="str">
        <f t="shared" si="61"/>
        <v/>
      </c>
      <c r="AJ217" s="390" t="str">
        <f t="shared" si="62"/>
        <v/>
      </c>
      <c r="AK217" s="389" t="str">
        <f t="shared" si="63"/>
        <v/>
      </c>
      <c r="AL217" s="131" t="str">
        <f t="shared" si="64"/>
        <v/>
      </c>
      <c r="AM217" s="131" t="str">
        <f t="shared" si="65"/>
        <v/>
      </c>
      <c r="AN217" s="131" t="str">
        <f t="shared" si="66"/>
        <v/>
      </c>
      <c r="AO217" s="131" t="str">
        <f t="shared" si="67"/>
        <v/>
      </c>
      <c r="AP217" s="26" t="str">
        <f t="shared" si="68"/>
        <v>50-59</v>
      </c>
      <c r="AQ217" s="26" t="str">
        <f t="shared" si="69"/>
        <v>250k-500k</v>
      </c>
      <c r="AR217" s="26" t="str">
        <f>IF($T217=1,IF($AI217&lt;0,"Loss-making",IF($AJ217&lt;Assumptions!$C$16-0.00001,"Below target","At/above target")),"Excluded")</f>
        <v>Excluded</v>
      </c>
      <c r="AS217" s="103">
        <f t="shared" si="70"/>
        <v>9.9999999999999997E+98</v>
      </c>
      <c r="AT217" s="26"/>
      <c r="AU217" s="419">
        <f>IF(AND($T217=1,AU$5&lt;=$H217),INDEX(Mortality!$B$4:$E$64,MATCH($D217+AU$5-1,Mortality!$A$4:$A$64,0),$U217)*$V217*$N217,0)</f>
        <v>0</v>
      </c>
      <c r="AV217" s="93">
        <f>IF(AND($T217=1,AV$5&lt;=$H217),INDEX(Mortality!$B$4:$E$64,MATCH($D217+AV$5-1,Mortality!$A$4:$A$64,0),$U217)*$V217*$N217,0)</f>
        <v>0</v>
      </c>
      <c r="AW217" s="93">
        <f>IF(AND($T217=1,AW$5&lt;=$H217),INDEX(Mortality!$B$4:$E$64,MATCH($D217+AW$5-1,Mortality!$A$4:$A$64,0),$U217)*$V217*$N217,0)</f>
        <v>0</v>
      </c>
      <c r="AX217" s="93">
        <f>IF(AND($T217=1,AX$5&lt;=$H217),INDEX(Mortality!$B$4:$E$64,MATCH($D217+AX$5-1,Mortality!$A$4:$A$64,0),$U217)*$V217*$N217,0)</f>
        <v>0</v>
      </c>
      <c r="AY217" s="93">
        <f>IF(AND($T217=1,AY$5&lt;=$H217),INDEX(Mortality!$B$4:$E$64,MATCH($D217+AY$5-1,Mortality!$A$4:$A$64,0),$U217)*$V217*$N217,0)</f>
        <v>0</v>
      </c>
      <c r="AZ217" s="93">
        <f>IF(AND($T217=1,AZ$5&lt;=$H217),INDEX(Mortality!$B$4:$E$64,MATCH($D217+AZ$5-1,Mortality!$A$4:$A$64,0),$U217)*$V217*$N217,0)</f>
        <v>0</v>
      </c>
      <c r="BA217" s="93">
        <f>IF(AND($T217=1,BA$5&lt;=$H217),INDEX(Mortality!$B$4:$E$64,MATCH($D217+BA$5-1,Mortality!$A$4:$A$64,0),$U217)*$V217*$N217,0)</f>
        <v>0</v>
      </c>
      <c r="BB217" s="93">
        <f>IF(AND($T217=1,BB$5&lt;=$H217),INDEX(Mortality!$B$4:$E$64,MATCH($D217+BB$5-1,Mortality!$A$4:$A$64,0),$U217)*$V217*$N217,0)</f>
        <v>0</v>
      </c>
      <c r="BC217" s="93">
        <f>IF(AND($T217=1,BC$5&lt;=$H217),INDEX(Mortality!$B$4:$E$64,MATCH($D217+BC$5-1,Mortality!$A$4:$A$64,0),$U217)*$V217*$N217,0)</f>
        <v>0</v>
      </c>
      <c r="BD217" s="93">
        <f>IF(AND($T217=1,BD$5&lt;=$H217),INDEX(Mortality!$B$4:$E$64,MATCH($D217+BD$5-1,Mortality!$A$4:$A$64,0),$U217)*$V217*$N217,0)</f>
        <v>0</v>
      </c>
      <c r="BE217" s="93">
        <f>IF(AND($T217=1,BE$5&lt;=$H217),INDEX(Mortality!$B$4:$E$64,MATCH($D217+BE$5-1,Mortality!$A$4:$A$64,0),$U217)*$V217*$N217,0)</f>
        <v>0</v>
      </c>
      <c r="BF217" s="93">
        <f>IF(AND($T217=1,BF$5&lt;=$H217),INDEX(Mortality!$B$4:$E$64,MATCH($D217+BF$5-1,Mortality!$A$4:$A$64,0),$U217)*$V217*$N217,0)</f>
        <v>0</v>
      </c>
      <c r="BG217" s="93">
        <f>IF(AND($T217=1,BG$5&lt;=$H217),INDEX(Mortality!$B$4:$E$64,MATCH($D217+BG$5-1,Mortality!$A$4:$A$64,0),$U217)*$V217*$N217,0)</f>
        <v>0</v>
      </c>
      <c r="BH217" s="93">
        <f>IF(AND($T217=1,BH$5&lt;=$H217),INDEX(Mortality!$B$4:$E$64,MATCH($D217+BH$5-1,Mortality!$A$4:$A$64,0),$U217)*$V217*$N217,0)</f>
        <v>0</v>
      </c>
      <c r="BI217" s="93">
        <f>IF(AND($T217=1,BI$5&lt;=$H217),INDEX(Mortality!$B$4:$E$64,MATCH($D217+BI$5-1,Mortality!$A$4:$A$64,0),$U217)*$V217*$N217,0)</f>
        <v>0</v>
      </c>
      <c r="BJ217" s="93">
        <f>IF(AND($T217=1,BJ$5&lt;=$H217),INDEX(Mortality!$B$4:$E$64,MATCH($D217+BJ$5-1,Mortality!$A$4:$A$64,0),$U217)*$V217*$N217,0)</f>
        <v>0</v>
      </c>
      <c r="BK217" s="93">
        <f>IF(AND($T217=1,BK$5&lt;=$H217),INDEX(Mortality!$B$4:$E$64,MATCH($D217+BK$5-1,Mortality!$A$4:$A$64,0),$U217)*$V217*$N217,0)</f>
        <v>0</v>
      </c>
      <c r="BL217" s="93">
        <f>IF(AND($T217=1,BL$5&lt;=$H217),INDEX(Mortality!$B$4:$E$64,MATCH($D217+BL$5-1,Mortality!$A$4:$A$64,0),$U217)*$V217*$N217,0)</f>
        <v>0</v>
      </c>
      <c r="BM217" s="93">
        <f>IF(AND($T217=1,BM$5&lt;=$H217),INDEX(Mortality!$B$4:$E$64,MATCH($D217+BM$5-1,Mortality!$A$4:$A$64,0),$U217)*$V217*$N217,0)</f>
        <v>0</v>
      </c>
      <c r="BN217" s="93">
        <f>IF(AND($T217=1,BN$5&lt;=$H217),INDEX(Mortality!$B$4:$E$64,MATCH($D217+BN$5-1,Mortality!$A$4:$A$64,0),$U217)*$V217*$N217,0)</f>
        <v>0</v>
      </c>
      <c r="BO217" s="93">
        <f>IF(AND($T217=1,BO$5&lt;=$H217),INDEX(Mortality!$B$4:$E$64,MATCH($D217+BO$5-1,Mortality!$A$4:$A$64,0),$U217)*$V217*$N217,0)</f>
        <v>0</v>
      </c>
      <c r="BP217" s="93">
        <f>IF(AND($T217=1,BP$5&lt;=$H217),INDEX(Mortality!$B$4:$E$64,MATCH($D217+BP$5-1,Mortality!$A$4:$A$64,0),$U217)*$V217*$N217,0)</f>
        <v>0</v>
      </c>
      <c r="BQ217" s="93">
        <f>IF(AND($T217=1,BQ$5&lt;=$H217),INDEX(Mortality!$B$4:$E$64,MATCH($D217+BQ$5-1,Mortality!$A$4:$A$64,0),$U217)*$V217*$N217,0)</f>
        <v>0</v>
      </c>
      <c r="BR217" s="93">
        <f>IF(AND($T217=1,BR$5&lt;=$H217),INDEX(Mortality!$B$4:$E$64,MATCH($D217+BR$5-1,Mortality!$A$4:$A$64,0),$U217)*$V217*$N217,0)</f>
        <v>0</v>
      </c>
      <c r="BS217" s="93">
        <f>IF(AND($T217=1,BS$5&lt;=$H217),INDEX(Mortality!$B$4:$E$64,MATCH($D217+BS$5-1,Mortality!$A$4:$A$64,0),$U217)*$V217*$N217,0)</f>
        <v>0</v>
      </c>
      <c r="BT217" s="93">
        <f>IF(AND($T217=1,BT$5&lt;=$H217),INDEX(Mortality!$B$4:$E$64,MATCH($D217+BT$5-1,Mortality!$A$4:$A$64,0),$U217)*$V217*$N217,0)</f>
        <v>0</v>
      </c>
      <c r="BU217" s="93">
        <f>IF(AND($T217=1,BU$5&lt;=$H217),INDEX(Mortality!$B$4:$E$64,MATCH($D217+BU$5-1,Mortality!$A$4:$A$64,0),$U217)*$V217*$N217,0)</f>
        <v>0</v>
      </c>
      <c r="BV217" s="93">
        <f>IF(AND($T217=1,BV$5&lt;=$H217),INDEX(Mortality!$B$4:$E$64,MATCH($D217+BV$5-1,Mortality!$A$4:$A$64,0),$U217)*$V217*$N217,0)</f>
        <v>0</v>
      </c>
      <c r="BW217" s="93">
        <f>IF(AND($T217=1,BW$5&lt;=$H217),INDEX(Mortality!$B$4:$E$64,MATCH($D217+BW$5-1,Mortality!$A$4:$A$64,0),$U217)*$V217*$N217,0)</f>
        <v>0</v>
      </c>
      <c r="BX217" s="93">
        <f>IF(AND($T217=1,BX$5&lt;=$H217),INDEX(Mortality!$B$4:$E$64,MATCH($D217+BX$5-1,Mortality!$A$4:$A$64,0),$U217)*$V217*$N217,0)</f>
        <v>0</v>
      </c>
      <c r="BY217" s="93">
        <f>IF(AND($T217=1,BY$5&lt;=$H217),INDEX(Mortality!$B$4:$E$64,MATCH($D217+BY$5-1,Mortality!$A$4:$A$64,0),$U217)*$V217*$N217,0)</f>
        <v>0</v>
      </c>
      <c r="BZ217" s="93">
        <f>IF(AND($T217=1,BZ$5&lt;=$H217),INDEX(Mortality!$B$4:$E$64,MATCH($D217+BZ$5-1,Mortality!$A$4:$A$64,0),$U217)*$V217*$N217,0)</f>
        <v>0</v>
      </c>
      <c r="CA217" s="93">
        <f>IF(AND($T217=1,CA$5&lt;=$H217),INDEX(Mortality!$B$4:$E$64,MATCH($D217+CA$5-1,Mortality!$A$4:$A$64,0),$U217)*$V217*$N217,0)</f>
        <v>0</v>
      </c>
      <c r="CB217" s="93">
        <f>IF(AND($T217=1,CB$5&lt;=$H217),INDEX(Mortality!$B$4:$E$64,MATCH($D217+CB$5-1,Mortality!$A$4:$A$64,0),$U217)*$V217*$N217,0)</f>
        <v>0</v>
      </c>
      <c r="CC217" s="93">
        <f>IF(AND($T217=1,CC$5&lt;=$H217),INDEX(Mortality!$B$4:$E$64,MATCH($D217+CC$5-1,Mortality!$A$4:$A$64,0),$U217)*$V217*$N217,0)</f>
        <v>0</v>
      </c>
      <c r="CD217" s="93">
        <f>IF(AND($T217=1,CD$5&lt;=$H217),INDEX(Mortality!$B$4:$E$64,MATCH($D217+CD$5-1,Mortality!$A$4:$A$64,0),$U217)*$V217*$N217,0)</f>
        <v>0</v>
      </c>
      <c r="CE217" s="93">
        <f>IF(AND($T217=1,CE$5&lt;=$H217),INDEX(Mortality!$B$4:$E$64,MATCH($D217+CE$5-1,Mortality!$A$4:$A$64,0),$U217)*$V217*$N217,0)</f>
        <v>0</v>
      </c>
      <c r="CF217" s="93">
        <f>IF(AND($T217=1,CF$5&lt;=$H217),INDEX(Mortality!$B$4:$E$64,MATCH($D217+CF$5-1,Mortality!$A$4:$A$64,0),$U217)*$V217*$N217,0)</f>
        <v>0</v>
      </c>
      <c r="CG217" s="93">
        <f>IF(AND($T217=1,CG$5&lt;=$H217),INDEX(Mortality!$B$4:$E$64,MATCH($D217+CG$5-1,Mortality!$A$4:$A$64,0),$U217)*$V217*$N217,0)</f>
        <v>0</v>
      </c>
      <c r="CH217" s="94">
        <f>IF(AND($T217=1,CH$5&lt;=$H217),INDEX(Mortality!$B$4:$E$64,MATCH($D217+CH$5-1,Mortality!$A$4:$A$64,0),$U217)*$V217*$N217,0)</f>
        <v>0</v>
      </c>
      <c r="CI217" s="26"/>
      <c r="CJ217" s="419">
        <f t="shared" si="71"/>
        <v>0</v>
      </c>
      <c r="CK217" s="93">
        <f>IF(AND($T217=1,CK$5&lt;=$H217),CJ217*(1-AU217)*(1-MIN(1,MAX(Assumptions!$C$27,Assumptions!$C$13*Assumptions!$C$28^(CJ$5-1))*$O217)),0)</f>
        <v>0</v>
      </c>
      <c r="CL217" s="93">
        <f>IF(AND($T217=1,CL$5&lt;=$H217),CK217*(1-AV217)*(1-MIN(1,MAX(Assumptions!$C$27,Assumptions!$C$13*Assumptions!$C$28^(CK$5-1))*$O217)),0)</f>
        <v>0</v>
      </c>
      <c r="CM217" s="93">
        <f>IF(AND($T217=1,CM$5&lt;=$H217),CL217*(1-AW217)*(1-MIN(1,MAX(Assumptions!$C$27,Assumptions!$C$13*Assumptions!$C$28^(CL$5-1))*$O217)),0)</f>
        <v>0</v>
      </c>
      <c r="CN217" s="93">
        <f>IF(AND($T217=1,CN$5&lt;=$H217),CM217*(1-AX217)*(1-MIN(1,MAX(Assumptions!$C$27,Assumptions!$C$13*Assumptions!$C$28^(CM$5-1))*$O217)),0)</f>
        <v>0</v>
      </c>
      <c r="CO217" s="93">
        <f>IF(AND($T217=1,CO$5&lt;=$H217),CN217*(1-AY217)*(1-MIN(1,MAX(Assumptions!$C$27,Assumptions!$C$13*Assumptions!$C$28^(CN$5-1))*$O217)),0)</f>
        <v>0</v>
      </c>
      <c r="CP217" s="93">
        <f>IF(AND($T217=1,CP$5&lt;=$H217),CO217*(1-AZ217)*(1-MIN(1,MAX(Assumptions!$C$27,Assumptions!$C$13*Assumptions!$C$28^(CO$5-1))*$O217)),0)</f>
        <v>0</v>
      </c>
      <c r="CQ217" s="93">
        <f>IF(AND($T217=1,CQ$5&lt;=$H217),CP217*(1-BA217)*(1-MIN(1,MAX(Assumptions!$C$27,Assumptions!$C$13*Assumptions!$C$28^(CP$5-1))*$O217)),0)</f>
        <v>0</v>
      </c>
      <c r="CR217" s="93">
        <f>IF(AND($T217=1,CR$5&lt;=$H217),CQ217*(1-BB217)*(1-MIN(1,MAX(Assumptions!$C$27,Assumptions!$C$13*Assumptions!$C$28^(CQ$5-1))*$O217)),0)</f>
        <v>0</v>
      </c>
      <c r="CS217" s="93">
        <f>IF(AND($T217=1,CS$5&lt;=$H217),CR217*(1-BC217)*(1-MIN(1,MAX(Assumptions!$C$27,Assumptions!$C$13*Assumptions!$C$28^(CR$5-1))*$O217)),0)</f>
        <v>0</v>
      </c>
      <c r="CT217" s="93">
        <f>IF(AND($T217=1,CT$5&lt;=$H217),CS217*(1-BD217)*(1-MIN(1,MAX(Assumptions!$C$27,Assumptions!$C$13*Assumptions!$C$28^(CS$5-1))*$O217)),0)</f>
        <v>0</v>
      </c>
      <c r="CU217" s="93">
        <f>IF(AND($T217=1,CU$5&lt;=$H217),CT217*(1-BE217)*(1-MIN(1,MAX(Assumptions!$C$27,Assumptions!$C$13*Assumptions!$C$28^(CT$5-1))*$O217)),0)</f>
        <v>0</v>
      </c>
      <c r="CV217" s="93">
        <f>IF(AND($T217=1,CV$5&lt;=$H217),CU217*(1-BF217)*(1-MIN(1,MAX(Assumptions!$C$27,Assumptions!$C$13*Assumptions!$C$28^(CU$5-1))*$O217)),0)</f>
        <v>0</v>
      </c>
      <c r="CW217" s="93">
        <f>IF(AND($T217=1,CW$5&lt;=$H217),CV217*(1-BG217)*(1-MIN(1,MAX(Assumptions!$C$27,Assumptions!$C$13*Assumptions!$C$28^(CV$5-1))*$O217)),0)</f>
        <v>0</v>
      </c>
      <c r="CX217" s="93">
        <f>IF(AND($T217=1,CX$5&lt;=$H217),CW217*(1-BH217)*(1-MIN(1,MAX(Assumptions!$C$27,Assumptions!$C$13*Assumptions!$C$28^(CW$5-1))*$O217)),0)</f>
        <v>0</v>
      </c>
      <c r="CY217" s="93">
        <f>IF(AND($T217=1,CY$5&lt;=$H217),CX217*(1-BI217)*(1-MIN(1,MAX(Assumptions!$C$27,Assumptions!$C$13*Assumptions!$C$28^(CX$5-1))*$O217)),0)</f>
        <v>0</v>
      </c>
      <c r="CZ217" s="93">
        <f>IF(AND($T217=1,CZ$5&lt;=$H217),CY217*(1-BJ217)*(1-MIN(1,MAX(Assumptions!$C$27,Assumptions!$C$13*Assumptions!$C$28^(CY$5-1))*$O217)),0)</f>
        <v>0</v>
      </c>
      <c r="DA217" s="93">
        <f>IF(AND($T217=1,DA$5&lt;=$H217),CZ217*(1-BK217)*(1-MIN(1,MAX(Assumptions!$C$27,Assumptions!$C$13*Assumptions!$C$28^(CZ$5-1))*$O217)),0)</f>
        <v>0</v>
      </c>
      <c r="DB217" s="93">
        <f>IF(AND($T217=1,DB$5&lt;=$H217),DA217*(1-BL217)*(1-MIN(1,MAX(Assumptions!$C$27,Assumptions!$C$13*Assumptions!$C$28^(DA$5-1))*$O217)),0)</f>
        <v>0</v>
      </c>
      <c r="DC217" s="93">
        <f>IF(AND($T217=1,DC$5&lt;=$H217),DB217*(1-BM217)*(1-MIN(1,MAX(Assumptions!$C$27,Assumptions!$C$13*Assumptions!$C$28^(DB$5-1))*$O217)),0)</f>
        <v>0</v>
      </c>
      <c r="DD217" s="93">
        <f>IF(AND($T217=1,DD$5&lt;=$H217),DC217*(1-BN217)*(1-MIN(1,MAX(Assumptions!$C$27,Assumptions!$C$13*Assumptions!$C$28^(DC$5-1))*$O217)),0)</f>
        <v>0</v>
      </c>
      <c r="DE217" s="93">
        <f>IF(AND($T217=1,DE$5&lt;=$H217),DD217*(1-BO217)*(1-MIN(1,MAX(Assumptions!$C$27,Assumptions!$C$13*Assumptions!$C$28^(DD$5-1))*$O217)),0)</f>
        <v>0</v>
      </c>
      <c r="DF217" s="93">
        <f>IF(AND($T217=1,DF$5&lt;=$H217),DE217*(1-BP217)*(1-MIN(1,MAX(Assumptions!$C$27,Assumptions!$C$13*Assumptions!$C$28^(DE$5-1))*$O217)),0)</f>
        <v>0</v>
      </c>
      <c r="DG217" s="93">
        <f>IF(AND($T217=1,DG$5&lt;=$H217),DF217*(1-BQ217)*(1-MIN(1,MAX(Assumptions!$C$27,Assumptions!$C$13*Assumptions!$C$28^(DF$5-1))*$O217)),0)</f>
        <v>0</v>
      </c>
      <c r="DH217" s="93">
        <f>IF(AND($T217=1,DH$5&lt;=$H217),DG217*(1-BR217)*(1-MIN(1,MAX(Assumptions!$C$27,Assumptions!$C$13*Assumptions!$C$28^(DG$5-1))*$O217)),0)</f>
        <v>0</v>
      </c>
      <c r="DI217" s="93">
        <f>IF(AND($T217=1,DI$5&lt;=$H217),DH217*(1-BS217)*(1-MIN(1,MAX(Assumptions!$C$27,Assumptions!$C$13*Assumptions!$C$28^(DH$5-1))*$O217)),0)</f>
        <v>0</v>
      </c>
      <c r="DJ217" s="93">
        <f>IF(AND($T217=1,DJ$5&lt;=$H217),DI217*(1-BT217)*(1-MIN(1,MAX(Assumptions!$C$27,Assumptions!$C$13*Assumptions!$C$28^(DI$5-1))*$O217)),0)</f>
        <v>0</v>
      </c>
      <c r="DK217" s="93">
        <f>IF(AND($T217=1,DK$5&lt;=$H217),DJ217*(1-BU217)*(1-MIN(1,MAX(Assumptions!$C$27,Assumptions!$C$13*Assumptions!$C$28^(DJ$5-1))*$O217)),0)</f>
        <v>0</v>
      </c>
      <c r="DL217" s="93">
        <f>IF(AND($T217=1,DL$5&lt;=$H217),DK217*(1-BV217)*(1-MIN(1,MAX(Assumptions!$C$27,Assumptions!$C$13*Assumptions!$C$28^(DK$5-1))*$O217)),0)</f>
        <v>0</v>
      </c>
      <c r="DM217" s="93">
        <f>IF(AND($T217=1,DM$5&lt;=$H217),DL217*(1-BW217)*(1-MIN(1,MAX(Assumptions!$C$27,Assumptions!$C$13*Assumptions!$C$28^(DL$5-1))*$O217)),0)</f>
        <v>0</v>
      </c>
      <c r="DN217" s="93">
        <f>IF(AND($T217=1,DN$5&lt;=$H217),DM217*(1-BX217)*(1-MIN(1,MAX(Assumptions!$C$27,Assumptions!$C$13*Assumptions!$C$28^(DM$5-1))*$O217)),0)</f>
        <v>0</v>
      </c>
      <c r="DO217" s="93">
        <f>IF(AND($T217=1,DO$5&lt;=$H217),DN217*(1-BY217)*(1-MIN(1,MAX(Assumptions!$C$27,Assumptions!$C$13*Assumptions!$C$28^(DN$5-1))*$O217)),0)</f>
        <v>0</v>
      </c>
      <c r="DP217" s="93">
        <f>IF(AND($T217=1,DP$5&lt;=$H217),DO217*(1-BZ217)*(1-MIN(1,MAX(Assumptions!$C$27,Assumptions!$C$13*Assumptions!$C$28^(DO$5-1))*$O217)),0)</f>
        <v>0</v>
      </c>
      <c r="DQ217" s="93">
        <f>IF(AND($T217=1,DQ$5&lt;=$H217),DP217*(1-CA217)*(1-MIN(1,MAX(Assumptions!$C$27,Assumptions!$C$13*Assumptions!$C$28^(DP$5-1))*$O217)),0)</f>
        <v>0</v>
      </c>
      <c r="DR217" s="93">
        <f>IF(AND($T217=1,DR$5&lt;=$H217),DQ217*(1-CB217)*(1-MIN(1,MAX(Assumptions!$C$27,Assumptions!$C$13*Assumptions!$C$28^(DQ$5-1))*$O217)),0)</f>
        <v>0</v>
      </c>
      <c r="DS217" s="93">
        <f>IF(AND($T217=1,DS$5&lt;=$H217),DR217*(1-CC217)*(1-MIN(1,MAX(Assumptions!$C$27,Assumptions!$C$13*Assumptions!$C$28^(DR$5-1))*$O217)),0)</f>
        <v>0</v>
      </c>
      <c r="DT217" s="93">
        <f>IF(AND($T217=1,DT$5&lt;=$H217),DS217*(1-CD217)*(1-MIN(1,MAX(Assumptions!$C$27,Assumptions!$C$13*Assumptions!$C$28^(DS$5-1))*$O217)),0)</f>
        <v>0</v>
      </c>
      <c r="DU217" s="93">
        <f>IF(AND($T217=1,DU$5&lt;=$H217),DT217*(1-CE217)*(1-MIN(1,MAX(Assumptions!$C$27,Assumptions!$C$13*Assumptions!$C$28^(DT$5-1))*$O217)),0)</f>
        <v>0</v>
      </c>
      <c r="DV217" s="93">
        <f>IF(AND($T217=1,DV$5&lt;=$H217),DU217*(1-CF217)*(1-MIN(1,MAX(Assumptions!$C$27,Assumptions!$C$13*Assumptions!$C$28^(DU$5-1))*$O217)),0)</f>
        <v>0</v>
      </c>
      <c r="DW217" s="94">
        <f>IF(AND($T217=1,DW$5&lt;=$H217),DV217*(1-CG217)*(1-MIN(1,MAX(Assumptions!$C$27,Assumptions!$C$13*Assumptions!$C$28^(DV$5-1))*$O217)),0)</f>
        <v>0</v>
      </c>
      <c r="DX217" s="26"/>
      <c r="DY217" s="399">
        <f>'Policy Data'!K191</f>
        <v>5</v>
      </c>
      <c r="DZ217" s="100">
        <f>'Policy Data'!L191</f>
        <v>0.77100000000000002</v>
      </c>
      <c r="EA217" s="100">
        <f>'Policy Data'!N191</f>
        <v>4.5669999999999999E-3</v>
      </c>
      <c r="EB217" s="93" cm="1">
        <f t="array" ref="EB217">IFERROR(DZ217*INDEX(Mortality!$B$4:$E$64,MATCH(D217+DY217-1,Mortality!$A$4:$A$64,0),U217)*V217,0)</f>
        <v>6.2891069250750279E-3</v>
      </c>
      <c r="EC217" s="100">
        <f>'Policy Data'!O191</f>
        <v>0</v>
      </c>
      <c r="ED217" s="400">
        <f>'Policy Data'!Q191</f>
        <v>0</v>
      </c>
    </row>
    <row r="218" spans="1:134" x14ac:dyDescent="0.3">
      <c r="A218" s="399" t="str">
        <f>'Policy Data'!A192</f>
        <v>POL100188</v>
      </c>
      <c r="B218" s="26" t="s">
        <v>426</v>
      </c>
      <c r="C218" s="100" t="str">
        <f>'Policy Data'!B192</f>
        <v>Unit-Linked</v>
      </c>
      <c r="D218" s="100">
        <f>'Policy Data'!C192</f>
        <v>57</v>
      </c>
      <c r="E218" s="100" t="str">
        <f>'Policy Data'!D192</f>
        <v>Female</v>
      </c>
      <c r="F218" s="100" t="str">
        <f>'Policy Data'!E192</f>
        <v>Non-smoker</v>
      </c>
      <c r="G218" s="100" t="str">
        <f>'Policy Data'!F192</f>
        <v>Standard</v>
      </c>
      <c r="H218" s="100">
        <f>'Policy Data'!G192</f>
        <v>15</v>
      </c>
      <c r="I218" s="279">
        <f>'Policy Data'!H192</f>
        <v>500000</v>
      </c>
      <c r="J218" s="100" t="str">
        <f>'Policy Data'!I192</f>
        <v>Annual</v>
      </c>
      <c r="K218" s="100" t="str">
        <f>'Policy Data'!J192</f>
        <v>Broker</v>
      </c>
      <c r="L218" s="26" t="s">
        <v>389</v>
      </c>
      <c r="M218" s="106">
        <f>'Policy Data'!R192</f>
        <v>12807.31</v>
      </c>
      <c r="N218" s="415">
        <f>Assumptions!$C$21</f>
        <v>1</v>
      </c>
      <c r="O218" s="415">
        <f>Assumptions!$C$22</f>
        <v>1</v>
      </c>
      <c r="P218" s="415">
        <f>Assumptions!$C$23</f>
        <v>1</v>
      </c>
      <c r="Q218" s="416">
        <f>Assumptions!$C$24</f>
        <v>0</v>
      </c>
      <c r="R218" s="416">
        <f>Assumptions!$C$6+Assumptions!$C$25</f>
        <v>3.5000000000000003E-2</v>
      </c>
      <c r="S218" s="416">
        <f>Assumptions!$C$15</f>
        <v>1.1000000000000001E-3</v>
      </c>
      <c r="T218" s="26">
        <f t="shared" si="54"/>
        <v>0</v>
      </c>
      <c r="U218" s="26">
        <f t="shared" si="55"/>
        <v>1</v>
      </c>
      <c r="V218" s="389">
        <f>IF($G218="Preferred",Assumptions!$C$30,IF($G218="Rated",Assumptions!$C$31,1))</f>
        <v>1</v>
      </c>
      <c r="W218" s="390">
        <f>IF($K218="Direct",Assumptions!$C$32,IF($K218="Broker",Assumptions!$C$33,IF($K218="Bancassurance",Assumptions!$C$34,Assumptions!$C$11)))+$Q218</f>
        <v>0.25</v>
      </c>
      <c r="X218" s="390">
        <f>Assumptions!$C$12+$Q218</f>
        <v>0.05</v>
      </c>
      <c r="Y218" s="131">
        <f>MIN($I218,Assumptions!$C$14)</f>
        <v>500000</v>
      </c>
      <c r="Z218" s="131">
        <f>MAX($I218-Assumptions!$C$14,0)</f>
        <v>0</v>
      </c>
      <c r="AA218" s="389">
        <f t="shared" si="56"/>
        <v>0</v>
      </c>
      <c r="AB218" s="389">
        <f t="shared" si="57"/>
        <v>0</v>
      </c>
      <c r="AC218" s="389">
        <f>IF($T218=1,SUMPRODUCT($CJ218:$DW218,(1+Assumptions!$C$5)^($CJ$5:$DW$5-1),(1+$R218)^(-$CJ$5:$DW$5)),0)</f>
        <v>0</v>
      </c>
      <c r="AD218" s="389">
        <f t="shared" si="58"/>
        <v>0</v>
      </c>
      <c r="AE218" s="131">
        <f>IF($T218=1,$AB218*$Y218+(Assumptions!$C$9/(1+$R218)+Assumptions!$C$10*$AC218)*$P218+$S218*$Z218*$AA218,0)</f>
        <v>0</v>
      </c>
      <c r="AF218" s="131" t="str">
        <f>IF($T218=1,IF($AA218-$AD218-Assumptions!$C$16*$AA218&gt;0,$AE218/($AA218-$AD218-Assumptions!$C$16*$AA218)*IF($J218="Monthly",1+Assumptions!$C$29,1),"n.a."),"")</f>
        <v/>
      </c>
      <c r="AG218" s="131" t="str">
        <f t="shared" si="59"/>
        <v/>
      </c>
      <c r="AH218" s="131" t="str">
        <f t="shared" si="60"/>
        <v/>
      </c>
      <c r="AI218" s="131" t="str">
        <f t="shared" si="61"/>
        <v/>
      </c>
      <c r="AJ218" s="390" t="str">
        <f t="shared" si="62"/>
        <v/>
      </c>
      <c r="AK218" s="389" t="str">
        <f t="shared" si="63"/>
        <v/>
      </c>
      <c r="AL218" s="131" t="str">
        <f t="shared" si="64"/>
        <v/>
      </c>
      <c r="AM218" s="131" t="str">
        <f t="shared" si="65"/>
        <v/>
      </c>
      <c r="AN218" s="131" t="str">
        <f t="shared" si="66"/>
        <v/>
      </c>
      <c r="AO218" s="131" t="str">
        <f t="shared" si="67"/>
        <v/>
      </c>
      <c r="AP218" s="26" t="str">
        <f t="shared" si="68"/>
        <v>50-59</v>
      </c>
      <c r="AQ218" s="26" t="str">
        <f t="shared" si="69"/>
        <v>250k-500k</v>
      </c>
      <c r="AR218" s="26" t="str">
        <f>IF($T218=1,IF($AI218&lt;0,"Loss-making",IF($AJ218&lt;Assumptions!$C$16-0.00001,"Below target","At/above target")),"Excluded")</f>
        <v>Excluded</v>
      </c>
      <c r="AS218" s="103">
        <f t="shared" si="70"/>
        <v>9.9999999999999997E+98</v>
      </c>
      <c r="AT218" s="26"/>
      <c r="AU218" s="419">
        <f>IF(AND($T218=1,AU$5&lt;=$H218),INDEX(Mortality!$B$4:$E$64,MATCH($D218+AU$5-1,Mortality!$A$4:$A$64,0),$U218)*$V218*$N218,0)</f>
        <v>0</v>
      </c>
      <c r="AV218" s="93">
        <f>IF(AND($T218=1,AV$5&lt;=$H218),INDEX(Mortality!$B$4:$E$64,MATCH($D218+AV$5-1,Mortality!$A$4:$A$64,0),$U218)*$V218*$N218,0)</f>
        <v>0</v>
      </c>
      <c r="AW218" s="93">
        <f>IF(AND($T218=1,AW$5&lt;=$H218),INDEX(Mortality!$B$4:$E$64,MATCH($D218+AW$5-1,Mortality!$A$4:$A$64,0),$U218)*$V218*$N218,0)</f>
        <v>0</v>
      </c>
      <c r="AX218" s="93">
        <f>IF(AND($T218=1,AX$5&lt;=$H218),INDEX(Mortality!$B$4:$E$64,MATCH($D218+AX$5-1,Mortality!$A$4:$A$64,0),$U218)*$V218*$N218,0)</f>
        <v>0</v>
      </c>
      <c r="AY218" s="93">
        <f>IF(AND($T218=1,AY$5&lt;=$H218),INDEX(Mortality!$B$4:$E$64,MATCH($D218+AY$5-1,Mortality!$A$4:$A$64,0),$U218)*$V218*$N218,0)</f>
        <v>0</v>
      </c>
      <c r="AZ218" s="93">
        <f>IF(AND($T218=1,AZ$5&lt;=$H218),INDEX(Mortality!$B$4:$E$64,MATCH($D218+AZ$5-1,Mortality!$A$4:$A$64,0),$U218)*$V218*$N218,0)</f>
        <v>0</v>
      </c>
      <c r="BA218" s="93">
        <f>IF(AND($T218=1,BA$5&lt;=$H218),INDEX(Mortality!$B$4:$E$64,MATCH($D218+BA$5-1,Mortality!$A$4:$A$64,0),$U218)*$V218*$N218,0)</f>
        <v>0</v>
      </c>
      <c r="BB218" s="93">
        <f>IF(AND($T218=1,BB$5&lt;=$H218),INDEX(Mortality!$B$4:$E$64,MATCH($D218+BB$5-1,Mortality!$A$4:$A$64,0),$U218)*$V218*$N218,0)</f>
        <v>0</v>
      </c>
      <c r="BC218" s="93">
        <f>IF(AND($T218=1,BC$5&lt;=$H218),INDEX(Mortality!$B$4:$E$64,MATCH($D218+BC$5-1,Mortality!$A$4:$A$64,0),$U218)*$V218*$N218,0)</f>
        <v>0</v>
      </c>
      <c r="BD218" s="93">
        <f>IF(AND($T218=1,BD$5&lt;=$H218),INDEX(Mortality!$B$4:$E$64,MATCH($D218+BD$5-1,Mortality!$A$4:$A$64,0),$U218)*$V218*$N218,0)</f>
        <v>0</v>
      </c>
      <c r="BE218" s="93">
        <f>IF(AND($T218=1,BE$5&lt;=$H218),INDEX(Mortality!$B$4:$E$64,MATCH($D218+BE$5-1,Mortality!$A$4:$A$64,0),$U218)*$V218*$N218,0)</f>
        <v>0</v>
      </c>
      <c r="BF218" s="93">
        <f>IF(AND($T218=1,BF$5&lt;=$H218),INDEX(Mortality!$B$4:$E$64,MATCH($D218+BF$5-1,Mortality!$A$4:$A$64,0),$U218)*$V218*$N218,0)</f>
        <v>0</v>
      </c>
      <c r="BG218" s="93">
        <f>IF(AND($T218=1,BG$5&lt;=$H218),INDEX(Mortality!$B$4:$E$64,MATCH($D218+BG$5-1,Mortality!$A$4:$A$64,0),$U218)*$V218*$N218,0)</f>
        <v>0</v>
      </c>
      <c r="BH218" s="93">
        <f>IF(AND($T218=1,BH$5&lt;=$H218),INDEX(Mortality!$B$4:$E$64,MATCH($D218+BH$5-1,Mortality!$A$4:$A$64,0),$U218)*$V218*$N218,0)</f>
        <v>0</v>
      </c>
      <c r="BI218" s="93">
        <f>IF(AND($T218=1,BI$5&lt;=$H218),INDEX(Mortality!$B$4:$E$64,MATCH($D218+BI$5-1,Mortality!$A$4:$A$64,0),$U218)*$V218*$N218,0)</f>
        <v>0</v>
      </c>
      <c r="BJ218" s="93">
        <f>IF(AND($T218=1,BJ$5&lt;=$H218),INDEX(Mortality!$B$4:$E$64,MATCH($D218+BJ$5-1,Mortality!$A$4:$A$64,0),$U218)*$V218*$N218,0)</f>
        <v>0</v>
      </c>
      <c r="BK218" s="93">
        <f>IF(AND($T218=1,BK$5&lt;=$H218),INDEX(Mortality!$B$4:$E$64,MATCH($D218+BK$5-1,Mortality!$A$4:$A$64,0),$U218)*$V218*$N218,0)</f>
        <v>0</v>
      </c>
      <c r="BL218" s="93">
        <f>IF(AND($T218=1,BL$5&lt;=$H218),INDEX(Mortality!$B$4:$E$64,MATCH($D218+BL$5-1,Mortality!$A$4:$A$64,0),$U218)*$V218*$N218,0)</f>
        <v>0</v>
      </c>
      <c r="BM218" s="93">
        <f>IF(AND($T218=1,BM$5&lt;=$H218),INDEX(Mortality!$B$4:$E$64,MATCH($D218+BM$5-1,Mortality!$A$4:$A$64,0),$U218)*$V218*$N218,0)</f>
        <v>0</v>
      </c>
      <c r="BN218" s="93">
        <f>IF(AND($T218=1,BN$5&lt;=$H218),INDEX(Mortality!$B$4:$E$64,MATCH($D218+BN$5-1,Mortality!$A$4:$A$64,0),$U218)*$V218*$N218,0)</f>
        <v>0</v>
      </c>
      <c r="BO218" s="93">
        <f>IF(AND($T218=1,BO$5&lt;=$H218),INDEX(Mortality!$B$4:$E$64,MATCH($D218+BO$5-1,Mortality!$A$4:$A$64,0),$U218)*$V218*$N218,0)</f>
        <v>0</v>
      </c>
      <c r="BP218" s="93">
        <f>IF(AND($T218=1,BP$5&lt;=$H218),INDEX(Mortality!$B$4:$E$64,MATCH($D218+BP$5-1,Mortality!$A$4:$A$64,0),$U218)*$V218*$N218,0)</f>
        <v>0</v>
      </c>
      <c r="BQ218" s="93">
        <f>IF(AND($T218=1,BQ$5&lt;=$H218),INDEX(Mortality!$B$4:$E$64,MATCH($D218+BQ$5-1,Mortality!$A$4:$A$64,0),$U218)*$V218*$N218,0)</f>
        <v>0</v>
      </c>
      <c r="BR218" s="93">
        <f>IF(AND($T218=1,BR$5&lt;=$H218),INDEX(Mortality!$B$4:$E$64,MATCH($D218+BR$5-1,Mortality!$A$4:$A$64,0),$U218)*$V218*$N218,0)</f>
        <v>0</v>
      </c>
      <c r="BS218" s="93">
        <f>IF(AND($T218=1,BS$5&lt;=$H218),INDEX(Mortality!$B$4:$E$64,MATCH($D218+BS$5-1,Mortality!$A$4:$A$64,0),$U218)*$V218*$N218,0)</f>
        <v>0</v>
      </c>
      <c r="BT218" s="93">
        <f>IF(AND($T218=1,BT$5&lt;=$H218),INDEX(Mortality!$B$4:$E$64,MATCH($D218+BT$5-1,Mortality!$A$4:$A$64,0),$U218)*$V218*$N218,0)</f>
        <v>0</v>
      </c>
      <c r="BU218" s="93">
        <f>IF(AND($T218=1,BU$5&lt;=$H218),INDEX(Mortality!$B$4:$E$64,MATCH($D218+BU$5-1,Mortality!$A$4:$A$64,0),$U218)*$V218*$N218,0)</f>
        <v>0</v>
      </c>
      <c r="BV218" s="93">
        <f>IF(AND($T218=1,BV$5&lt;=$H218),INDEX(Mortality!$B$4:$E$64,MATCH($D218+BV$5-1,Mortality!$A$4:$A$64,0),$U218)*$V218*$N218,0)</f>
        <v>0</v>
      </c>
      <c r="BW218" s="93">
        <f>IF(AND($T218=1,BW$5&lt;=$H218),INDEX(Mortality!$B$4:$E$64,MATCH($D218+BW$5-1,Mortality!$A$4:$A$64,0),$U218)*$V218*$N218,0)</f>
        <v>0</v>
      </c>
      <c r="BX218" s="93">
        <f>IF(AND($T218=1,BX$5&lt;=$H218),INDEX(Mortality!$B$4:$E$64,MATCH($D218+BX$5-1,Mortality!$A$4:$A$64,0),$U218)*$V218*$N218,0)</f>
        <v>0</v>
      </c>
      <c r="BY218" s="93">
        <f>IF(AND($T218=1,BY$5&lt;=$H218),INDEX(Mortality!$B$4:$E$64,MATCH($D218+BY$5-1,Mortality!$A$4:$A$64,0),$U218)*$V218*$N218,0)</f>
        <v>0</v>
      </c>
      <c r="BZ218" s="93">
        <f>IF(AND($T218=1,BZ$5&lt;=$H218),INDEX(Mortality!$B$4:$E$64,MATCH($D218+BZ$5-1,Mortality!$A$4:$A$64,0),$U218)*$V218*$N218,0)</f>
        <v>0</v>
      </c>
      <c r="CA218" s="93">
        <f>IF(AND($T218=1,CA$5&lt;=$H218),INDEX(Mortality!$B$4:$E$64,MATCH($D218+CA$5-1,Mortality!$A$4:$A$64,0),$U218)*$V218*$N218,0)</f>
        <v>0</v>
      </c>
      <c r="CB218" s="93">
        <f>IF(AND($T218=1,CB$5&lt;=$H218),INDEX(Mortality!$B$4:$E$64,MATCH($D218+CB$5-1,Mortality!$A$4:$A$64,0),$U218)*$V218*$N218,0)</f>
        <v>0</v>
      </c>
      <c r="CC218" s="93">
        <f>IF(AND($T218=1,CC$5&lt;=$H218),INDEX(Mortality!$B$4:$E$64,MATCH($D218+CC$5-1,Mortality!$A$4:$A$64,0),$U218)*$V218*$N218,0)</f>
        <v>0</v>
      </c>
      <c r="CD218" s="93">
        <f>IF(AND($T218=1,CD$5&lt;=$H218),INDEX(Mortality!$B$4:$E$64,MATCH($D218+CD$5-1,Mortality!$A$4:$A$64,0),$U218)*$V218*$N218,0)</f>
        <v>0</v>
      </c>
      <c r="CE218" s="93">
        <f>IF(AND($T218=1,CE$5&lt;=$H218),INDEX(Mortality!$B$4:$E$64,MATCH($D218+CE$5-1,Mortality!$A$4:$A$64,0),$U218)*$V218*$N218,0)</f>
        <v>0</v>
      </c>
      <c r="CF218" s="93">
        <f>IF(AND($T218=1,CF$5&lt;=$H218),INDEX(Mortality!$B$4:$E$64,MATCH($D218+CF$5-1,Mortality!$A$4:$A$64,0),$U218)*$V218*$N218,0)</f>
        <v>0</v>
      </c>
      <c r="CG218" s="93">
        <f>IF(AND($T218=1,CG$5&lt;=$H218),INDEX(Mortality!$B$4:$E$64,MATCH($D218+CG$5-1,Mortality!$A$4:$A$64,0),$U218)*$V218*$N218,0)</f>
        <v>0</v>
      </c>
      <c r="CH218" s="94">
        <f>IF(AND($T218=1,CH$5&lt;=$H218),INDEX(Mortality!$B$4:$E$64,MATCH($D218+CH$5-1,Mortality!$A$4:$A$64,0),$U218)*$V218*$N218,0)</f>
        <v>0</v>
      </c>
      <c r="CI218" s="26"/>
      <c r="CJ218" s="419">
        <f t="shared" si="71"/>
        <v>0</v>
      </c>
      <c r="CK218" s="93">
        <f>IF(AND($T218=1,CK$5&lt;=$H218),CJ218*(1-AU218)*(1-MIN(1,MAX(Assumptions!$C$27,Assumptions!$C$13*Assumptions!$C$28^(CJ$5-1))*$O218)),0)</f>
        <v>0</v>
      </c>
      <c r="CL218" s="93">
        <f>IF(AND($T218=1,CL$5&lt;=$H218),CK218*(1-AV218)*(1-MIN(1,MAX(Assumptions!$C$27,Assumptions!$C$13*Assumptions!$C$28^(CK$5-1))*$O218)),0)</f>
        <v>0</v>
      </c>
      <c r="CM218" s="93">
        <f>IF(AND($T218=1,CM$5&lt;=$H218),CL218*(1-AW218)*(1-MIN(1,MAX(Assumptions!$C$27,Assumptions!$C$13*Assumptions!$C$28^(CL$5-1))*$O218)),0)</f>
        <v>0</v>
      </c>
      <c r="CN218" s="93">
        <f>IF(AND($T218=1,CN$5&lt;=$H218),CM218*(1-AX218)*(1-MIN(1,MAX(Assumptions!$C$27,Assumptions!$C$13*Assumptions!$C$28^(CM$5-1))*$O218)),0)</f>
        <v>0</v>
      </c>
      <c r="CO218" s="93">
        <f>IF(AND($T218=1,CO$5&lt;=$H218),CN218*(1-AY218)*(1-MIN(1,MAX(Assumptions!$C$27,Assumptions!$C$13*Assumptions!$C$28^(CN$5-1))*$O218)),0)</f>
        <v>0</v>
      </c>
      <c r="CP218" s="93">
        <f>IF(AND($T218=1,CP$5&lt;=$H218),CO218*(1-AZ218)*(1-MIN(1,MAX(Assumptions!$C$27,Assumptions!$C$13*Assumptions!$C$28^(CO$5-1))*$O218)),0)</f>
        <v>0</v>
      </c>
      <c r="CQ218" s="93">
        <f>IF(AND($T218=1,CQ$5&lt;=$H218),CP218*(1-BA218)*(1-MIN(1,MAX(Assumptions!$C$27,Assumptions!$C$13*Assumptions!$C$28^(CP$5-1))*$O218)),0)</f>
        <v>0</v>
      </c>
      <c r="CR218" s="93">
        <f>IF(AND($T218=1,CR$5&lt;=$H218),CQ218*(1-BB218)*(1-MIN(1,MAX(Assumptions!$C$27,Assumptions!$C$13*Assumptions!$C$28^(CQ$5-1))*$O218)),0)</f>
        <v>0</v>
      </c>
      <c r="CS218" s="93">
        <f>IF(AND($T218=1,CS$5&lt;=$H218),CR218*(1-BC218)*(1-MIN(1,MAX(Assumptions!$C$27,Assumptions!$C$13*Assumptions!$C$28^(CR$5-1))*$O218)),0)</f>
        <v>0</v>
      </c>
      <c r="CT218" s="93">
        <f>IF(AND($T218=1,CT$5&lt;=$H218),CS218*(1-BD218)*(1-MIN(1,MAX(Assumptions!$C$27,Assumptions!$C$13*Assumptions!$C$28^(CS$5-1))*$O218)),0)</f>
        <v>0</v>
      </c>
      <c r="CU218" s="93">
        <f>IF(AND($T218=1,CU$5&lt;=$H218),CT218*(1-BE218)*(1-MIN(1,MAX(Assumptions!$C$27,Assumptions!$C$13*Assumptions!$C$28^(CT$5-1))*$O218)),0)</f>
        <v>0</v>
      </c>
      <c r="CV218" s="93">
        <f>IF(AND($T218=1,CV$5&lt;=$H218),CU218*(1-BF218)*(1-MIN(1,MAX(Assumptions!$C$27,Assumptions!$C$13*Assumptions!$C$28^(CU$5-1))*$O218)),0)</f>
        <v>0</v>
      </c>
      <c r="CW218" s="93">
        <f>IF(AND($T218=1,CW$5&lt;=$H218),CV218*(1-BG218)*(1-MIN(1,MAX(Assumptions!$C$27,Assumptions!$C$13*Assumptions!$C$28^(CV$5-1))*$O218)),0)</f>
        <v>0</v>
      </c>
      <c r="CX218" s="93">
        <f>IF(AND($T218=1,CX$5&lt;=$H218),CW218*(1-BH218)*(1-MIN(1,MAX(Assumptions!$C$27,Assumptions!$C$13*Assumptions!$C$28^(CW$5-1))*$O218)),0)</f>
        <v>0</v>
      </c>
      <c r="CY218" s="93">
        <f>IF(AND($T218=1,CY$5&lt;=$H218),CX218*(1-BI218)*(1-MIN(1,MAX(Assumptions!$C$27,Assumptions!$C$13*Assumptions!$C$28^(CX$5-1))*$O218)),0)</f>
        <v>0</v>
      </c>
      <c r="CZ218" s="93">
        <f>IF(AND($T218=1,CZ$5&lt;=$H218),CY218*(1-BJ218)*(1-MIN(1,MAX(Assumptions!$C$27,Assumptions!$C$13*Assumptions!$C$28^(CY$5-1))*$O218)),0)</f>
        <v>0</v>
      </c>
      <c r="DA218" s="93">
        <f>IF(AND($T218=1,DA$5&lt;=$H218),CZ218*(1-BK218)*(1-MIN(1,MAX(Assumptions!$C$27,Assumptions!$C$13*Assumptions!$C$28^(CZ$5-1))*$O218)),0)</f>
        <v>0</v>
      </c>
      <c r="DB218" s="93">
        <f>IF(AND($T218=1,DB$5&lt;=$H218),DA218*(1-BL218)*(1-MIN(1,MAX(Assumptions!$C$27,Assumptions!$C$13*Assumptions!$C$28^(DA$5-1))*$O218)),0)</f>
        <v>0</v>
      </c>
      <c r="DC218" s="93">
        <f>IF(AND($T218=1,DC$5&lt;=$H218),DB218*(1-BM218)*(1-MIN(1,MAX(Assumptions!$C$27,Assumptions!$C$13*Assumptions!$C$28^(DB$5-1))*$O218)),0)</f>
        <v>0</v>
      </c>
      <c r="DD218" s="93">
        <f>IF(AND($T218=1,DD$5&lt;=$H218),DC218*(1-BN218)*(1-MIN(1,MAX(Assumptions!$C$27,Assumptions!$C$13*Assumptions!$C$28^(DC$5-1))*$O218)),0)</f>
        <v>0</v>
      </c>
      <c r="DE218" s="93">
        <f>IF(AND($T218=1,DE$5&lt;=$H218),DD218*(1-BO218)*(1-MIN(1,MAX(Assumptions!$C$27,Assumptions!$C$13*Assumptions!$C$28^(DD$5-1))*$O218)),0)</f>
        <v>0</v>
      </c>
      <c r="DF218" s="93">
        <f>IF(AND($T218=1,DF$5&lt;=$H218),DE218*(1-BP218)*(1-MIN(1,MAX(Assumptions!$C$27,Assumptions!$C$13*Assumptions!$C$28^(DE$5-1))*$O218)),0)</f>
        <v>0</v>
      </c>
      <c r="DG218" s="93">
        <f>IF(AND($T218=1,DG$5&lt;=$H218),DF218*(1-BQ218)*(1-MIN(1,MAX(Assumptions!$C$27,Assumptions!$C$13*Assumptions!$C$28^(DF$5-1))*$O218)),0)</f>
        <v>0</v>
      </c>
      <c r="DH218" s="93">
        <f>IF(AND($T218=1,DH$5&lt;=$H218),DG218*(1-BR218)*(1-MIN(1,MAX(Assumptions!$C$27,Assumptions!$C$13*Assumptions!$C$28^(DG$5-1))*$O218)),0)</f>
        <v>0</v>
      </c>
      <c r="DI218" s="93">
        <f>IF(AND($T218=1,DI$5&lt;=$H218),DH218*(1-BS218)*(1-MIN(1,MAX(Assumptions!$C$27,Assumptions!$C$13*Assumptions!$C$28^(DH$5-1))*$O218)),0)</f>
        <v>0</v>
      </c>
      <c r="DJ218" s="93">
        <f>IF(AND($T218=1,DJ$5&lt;=$H218),DI218*(1-BT218)*(1-MIN(1,MAX(Assumptions!$C$27,Assumptions!$C$13*Assumptions!$C$28^(DI$5-1))*$O218)),0)</f>
        <v>0</v>
      </c>
      <c r="DK218" s="93">
        <f>IF(AND($T218=1,DK$5&lt;=$H218),DJ218*(1-BU218)*(1-MIN(1,MAX(Assumptions!$C$27,Assumptions!$C$13*Assumptions!$C$28^(DJ$5-1))*$O218)),0)</f>
        <v>0</v>
      </c>
      <c r="DL218" s="93">
        <f>IF(AND($T218=1,DL$5&lt;=$H218),DK218*(1-BV218)*(1-MIN(1,MAX(Assumptions!$C$27,Assumptions!$C$13*Assumptions!$C$28^(DK$5-1))*$O218)),0)</f>
        <v>0</v>
      </c>
      <c r="DM218" s="93">
        <f>IF(AND($T218=1,DM$5&lt;=$H218),DL218*(1-BW218)*(1-MIN(1,MAX(Assumptions!$C$27,Assumptions!$C$13*Assumptions!$C$28^(DL$5-1))*$O218)),0)</f>
        <v>0</v>
      </c>
      <c r="DN218" s="93">
        <f>IF(AND($T218=1,DN$5&lt;=$H218),DM218*(1-BX218)*(1-MIN(1,MAX(Assumptions!$C$27,Assumptions!$C$13*Assumptions!$C$28^(DM$5-1))*$O218)),0)</f>
        <v>0</v>
      </c>
      <c r="DO218" s="93">
        <f>IF(AND($T218=1,DO$5&lt;=$H218),DN218*(1-BY218)*(1-MIN(1,MAX(Assumptions!$C$27,Assumptions!$C$13*Assumptions!$C$28^(DN$5-1))*$O218)),0)</f>
        <v>0</v>
      </c>
      <c r="DP218" s="93">
        <f>IF(AND($T218=1,DP$5&lt;=$H218),DO218*(1-BZ218)*(1-MIN(1,MAX(Assumptions!$C$27,Assumptions!$C$13*Assumptions!$C$28^(DO$5-1))*$O218)),0)</f>
        <v>0</v>
      </c>
      <c r="DQ218" s="93">
        <f>IF(AND($T218=1,DQ$5&lt;=$H218),DP218*(1-CA218)*(1-MIN(1,MAX(Assumptions!$C$27,Assumptions!$C$13*Assumptions!$C$28^(DP$5-1))*$O218)),0)</f>
        <v>0</v>
      </c>
      <c r="DR218" s="93">
        <f>IF(AND($T218=1,DR$5&lt;=$H218),DQ218*(1-CB218)*(1-MIN(1,MAX(Assumptions!$C$27,Assumptions!$C$13*Assumptions!$C$28^(DQ$5-1))*$O218)),0)</f>
        <v>0</v>
      </c>
      <c r="DS218" s="93">
        <f>IF(AND($T218=1,DS$5&lt;=$H218),DR218*(1-CC218)*(1-MIN(1,MAX(Assumptions!$C$27,Assumptions!$C$13*Assumptions!$C$28^(DR$5-1))*$O218)),0)</f>
        <v>0</v>
      </c>
      <c r="DT218" s="93">
        <f>IF(AND($T218=1,DT$5&lt;=$H218),DS218*(1-CD218)*(1-MIN(1,MAX(Assumptions!$C$27,Assumptions!$C$13*Assumptions!$C$28^(DS$5-1))*$O218)),0)</f>
        <v>0</v>
      </c>
      <c r="DU218" s="93">
        <f>IF(AND($T218=1,DU$5&lt;=$H218),DT218*(1-CE218)*(1-MIN(1,MAX(Assumptions!$C$27,Assumptions!$C$13*Assumptions!$C$28^(DT$5-1))*$O218)),0)</f>
        <v>0</v>
      </c>
      <c r="DV218" s="93">
        <f>IF(AND($T218=1,DV$5&lt;=$H218),DU218*(1-CF218)*(1-MIN(1,MAX(Assumptions!$C$27,Assumptions!$C$13*Assumptions!$C$28^(DU$5-1))*$O218)),0)</f>
        <v>0</v>
      </c>
      <c r="DW218" s="94">
        <f>IF(AND($T218=1,DW$5&lt;=$H218),DV218*(1-CG218)*(1-MIN(1,MAX(Assumptions!$C$27,Assumptions!$C$13*Assumptions!$C$28^(DV$5-1))*$O218)),0)</f>
        <v>0</v>
      </c>
      <c r="DX218" s="26"/>
      <c r="DY218" s="399">
        <f>'Policy Data'!K192</f>
        <v>1</v>
      </c>
      <c r="DZ218" s="100">
        <f>'Policy Data'!L192</f>
        <v>0.78010000000000002</v>
      </c>
      <c r="EA218" s="100">
        <f>'Policy Data'!N192</f>
        <v>2.5869999999999999E-3</v>
      </c>
      <c r="EB218" s="93" cm="1">
        <f t="array" ref="EB218">IFERROR(DZ218*INDEX(Mortality!$B$4:$E$64,MATCH(D218+DY218-1,Mortality!$A$4:$A$64,0),U218)*V218,0)</f>
        <v>2.5873655914180069E-3</v>
      </c>
      <c r="EC218" s="100">
        <f>'Policy Data'!O192</f>
        <v>0</v>
      </c>
      <c r="ED218" s="400">
        <f>'Policy Data'!Q192</f>
        <v>0</v>
      </c>
    </row>
    <row r="219" spans="1:134" x14ac:dyDescent="0.3">
      <c r="A219" s="399" t="str">
        <f>'Policy Data'!A193</f>
        <v>POL100189</v>
      </c>
      <c r="B219" s="26" t="s">
        <v>426</v>
      </c>
      <c r="C219" s="100" t="str">
        <f>'Policy Data'!B193</f>
        <v>Term Life</v>
      </c>
      <c r="D219" s="100">
        <f>'Policy Data'!C193</f>
        <v>58</v>
      </c>
      <c r="E219" s="100" t="str">
        <f>'Policy Data'!D193</f>
        <v>Male</v>
      </c>
      <c r="F219" s="100" t="str">
        <f>'Policy Data'!E193</f>
        <v>Non-smoker</v>
      </c>
      <c r="G219" s="100" t="str">
        <f>'Policy Data'!F193</f>
        <v>Standard</v>
      </c>
      <c r="H219" s="100">
        <f>'Policy Data'!G193</f>
        <v>20</v>
      </c>
      <c r="I219" s="279">
        <f>'Policy Data'!H193</f>
        <v>500000</v>
      </c>
      <c r="J219" s="100" t="str">
        <f>'Policy Data'!I193</f>
        <v>Monthly</v>
      </c>
      <c r="K219" s="100" t="str">
        <f>'Policy Data'!J193</f>
        <v>Bancassurance</v>
      </c>
      <c r="L219" s="26" t="s">
        <v>389</v>
      </c>
      <c r="M219" s="106">
        <f>'Policy Data'!R193</f>
        <v>3623.02</v>
      </c>
      <c r="N219" s="415">
        <f>Assumptions!$C$21</f>
        <v>1</v>
      </c>
      <c r="O219" s="415">
        <f>Assumptions!$C$22</f>
        <v>1</v>
      </c>
      <c r="P219" s="415">
        <f>Assumptions!$C$23</f>
        <v>1</v>
      </c>
      <c r="Q219" s="416">
        <f>Assumptions!$C$24</f>
        <v>0</v>
      </c>
      <c r="R219" s="416">
        <f>Assumptions!$C$6+Assumptions!$C$25</f>
        <v>3.5000000000000003E-2</v>
      </c>
      <c r="S219" s="416">
        <f>Assumptions!$C$15</f>
        <v>1.1000000000000001E-3</v>
      </c>
      <c r="T219" s="26">
        <f t="shared" si="54"/>
        <v>1</v>
      </c>
      <c r="U219" s="26">
        <f t="shared" si="55"/>
        <v>3</v>
      </c>
      <c r="V219" s="389">
        <f>IF($G219="Preferred",Assumptions!$C$30,IF($G219="Rated",Assumptions!$C$31,1))</f>
        <v>1</v>
      </c>
      <c r="W219" s="390">
        <f>IF($K219="Direct",Assumptions!$C$32,IF($K219="Broker",Assumptions!$C$33,IF($K219="Bancassurance",Assumptions!$C$34,Assumptions!$C$11)))+$Q219</f>
        <v>0.2</v>
      </c>
      <c r="X219" s="390">
        <f>Assumptions!$C$12+$Q219</f>
        <v>0.05</v>
      </c>
      <c r="Y219" s="131">
        <f>MIN($I219,Assumptions!$C$14)</f>
        <v>500000</v>
      </c>
      <c r="Z219" s="131">
        <f>MAX($I219-Assumptions!$C$14,0)</f>
        <v>0</v>
      </c>
      <c r="AA219" s="389">
        <f t="shared" si="56"/>
        <v>8.1875402065987011</v>
      </c>
      <c r="AB219" s="389">
        <f t="shared" si="57"/>
        <v>7.5290474262313112E-2</v>
      </c>
      <c r="AC219" s="389">
        <f>IF($T219=1,SUMPRODUCT($CJ219:$DW219,(1+Assumptions!$C$5)^($CJ$5:$DW$5-1),(1+$R219)^(-$CJ$5:$DW$5)),0)</f>
        <v>10.894654473964065</v>
      </c>
      <c r="AD219" s="389">
        <f t="shared" si="58"/>
        <v>0.55430454656181916</v>
      </c>
      <c r="AE219" s="131">
        <f>IF($T219=1,$AB219*$Y219+(Assumptions!$C$9/(1+$R219)+Assumptions!$C$10*$AC219)*$P219+$S219*$Z219*$AA219,0)</f>
        <v>40911.626332819957</v>
      </c>
      <c r="AF219" s="131">
        <f>IF($T219=1,IF($AA219-$AD219-Assumptions!$C$16*$AA219&gt;0,$AE219/($AA219-$AD219-Assumptions!$C$16*$AA219)*IF($J219="Monthly",1+Assumptions!$C$29,1),"n.a."),"")</f>
        <v>6038.631625405571</v>
      </c>
      <c r="AG219" s="131">
        <f t="shared" si="59"/>
        <v>3623.02</v>
      </c>
      <c r="AH219" s="131">
        <f t="shared" si="60"/>
        <v>29663.621919311227</v>
      </c>
      <c r="AI219" s="131">
        <f t="shared" si="61"/>
        <v>-13256.260871793133</v>
      </c>
      <c r="AJ219" s="390">
        <f t="shared" si="62"/>
        <v>-0.44688611889174645</v>
      </c>
      <c r="AK219" s="389">
        <f t="shared" si="63"/>
        <v>0.59997367363117937</v>
      </c>
      <c r="AL219" s="131">
        <f t="shared" si="64"/>
        <v>0</v>
      </c>
      <c r="AM219" s="131">
        <f t="shared" si="65"/>
        <v>0</v>
      </c>
      <c r="AN219" s="131">
        <f t="shared" si="66"/>
        <v>0</v>
      </c>
      <c r="AO219" s="131">
        <f t="shared" si="67"/>
        <v>-13256.260871793133</v>
      </c>
      <c r="AP219" s="26" t="str">
        <f t="shared" si="68"/>
        <v>50-59</v>
      </c>
      <c r="AQ219" s="26" t="str">
        <f t="shared" si="69"/>
        <v>250k-500k</v>
      </c>
      <c r="AR219" s="26" t="str">
        <f>IF($T219=1,IF($AI219&lt;0,"Loss-making",IF($AJ219&lt;Assumptions!$C$16-0.00001,"Below target","At/above target")),"Excluded")</f>
        <v>Loss-making</v>
      </c>
      <c r="AS219" s="103">
        <f t="shared" si="70"/>
        <v>-13256.260652793133</v>
      </c>
      <c r="AT219" s="26"/>
      <c r="AU219" s="419">
        <f>IF(AND($T219=1,AU$5&lt;=$H219),INDEX(Mortality!$B$4:$E$64,MATCH($D219+AU$5-1,Mortality!$A$4:$A$64,0),$U219)*$V219*$N219,0)</f>
        <v>4.8610489412516398E-3</v>
      </c>
      <c r="AV219" s="93">
        <f>IF(AND($T219=1,AV$5&lt;=$H219),INDEX(Mortality!$B$4:$E$64,MATCH($D219+AV$5-1,Mortality!$A$4:$A$64,0),$U219)*$V219*$N219,0)</f>
        <v>5.2659114533929498E-3</v>
      </c>
      <c r="AW219" s="93">
        <f>IF(AND($T219=1,AW$5&lt;=$H219),INDEX(Mortality!$B$4:$E$64,MATCH($D219+AW$5-1,Mortality!$A$4:$A$64,0),$U219)*$V219*$N219,0)</f>
        <v>5.7044937769820296E-3</v>
      </c>
      <c r="AX219" s="93">
        <f>IF(AND($T219=1,AX$5&lt;=$H219),INDEX(Mortality!$B$4:$E$64,MATCH($D219+AX$5-1,Mortality!$A$4:$A$64,0),$U219)*$V219*$N219,0)</f>
        <v>6.1796043362369098E-3</v>
      </c>
      <c r="AY219" s="93">
        <f>IF(AND($T219=1,AY$5&lt;=$H219),INDEX(Mortality!$B$4:$E$64,MATCH($D219+AY$5-1,Mortality!$A$4:$A$64,0),$U219)*$V219*$N219,0)</f>
        <v>6.6942854607935399E-3</v>
      </c>
      <c r="AZ219" s="93">
        <f>IF(AND($T219=1,AZ$5&lt;=$H219),INDEX(Mortality!$B$4:$E$64,MATCH($D219+AZ$5-1,Mortality!$A$4:$A$64,0),$U219)*$V219*$N219,0)</f>
        <v>7.2518328670021504E-3</v>
      </c>
      <c r="BA219" s="93">
        <f>IF(AND($T219=1,BA$5&lt;=$H219),INDEX(Mortality!$B$4:$E$64,MATCH($D219+BA$5-1,Mortality!$A$4:$A$64,0),$U219)*$V219*$N219,0)</f>
        <v>7.8558167617636399E-3</v>
      </c>
      <c r="BB219" s="93">
        <f>IF(AND($T219=1,BB$5&lt;=$H219),INDEX(Mortality!$B$4:$E$64,MATCH($D219+BB$5-1,Mortality!$A$4:$A$64,0),$U219)*$V219*$N219,0)</f>
        <v>8.5101047040427192E-3</v>
      </c>
      <c r="BC219" s="93">
        <f>IF(AND($T219=1,BC$5&lt;=$H219),INDEX(Mortality!$B$4:$E$64,MATCH($D219+BC$5-1,Mortality!$A$4:$A$64,0),$U219)*$V219*$N219,0)</f>
        <v>9.2188863704493092E-3</v>
      </c>
      <c r="BD219" s="93">
        <f>IF(AND($T219=1,BD$5&lt;=$H219),INDEX(Mortality!$B$4:$E$64,MATCH($D219+BD$5-1,Mortality!$A$4:$A$64,0),$U219)*$V219*$N219,0)</f>
        <v>9.9867003834726801E-3</v>
      </c>
      <c r="BE219" s="93">
        <f>IF(AND($T219=1,BE$5&lt;=$H219),INDEX(Mortality!$B$4:$E$64,MATCH($D219+BE$5-1,Mortality!$A$4:$A$64,0),$U219)*$V219*$N219,0)</f>
        <v>1.08184633741605E-2</v>
      </c>
      <c r="BF219" s="93">
        <f>IF(AND($T219=1,BF$5&lt;=$H219),INDEX(Mortality!$B$4:$E$64,MATCH($D219+BF$5-1,Mortality!$A$4:$A$64,0),$U219)*$V219*$N219,0)</f>
        <v>1.1719501465343301E-2</v>
      </c>
      <c r="BG219" s="93">
        <f>IF(AND($T219=1,BG$5&lt;=$H219),INDEX(Mortality!$B$4:$E$64,MATCH($D219+BG$5-1,Mortality!$A$4:$A$64,0),$U219)*$V219*$N219,0)</f>
        <v>1.2695584377004099E-2</v>
      </c>
      <c r="BH219" s="93">
        <f>IF(AND($T219=1,BH$5&lt;=$H219),INDEX(Mortality!$B$4:$E$64,MATCH($D219+BH$5-1,Mortality!$A$4:$A$64,0),$U219)*$V219*$N219,0)</f>
        <v>1.3752962372184801E-2</v>
      </c>
      <c r="BI219" s="93">
        <f>IF(AND($T219=1,BI$5&lt;=$H219),INDEX(Mortality!$B$4:$E$64,MATCH($D219+BI$5-1,Mortality!$A$4:$A$64,0),$U219)*$V219*$N219,0)</f>
        <v>1.4898406280008099E-2</v>
      </c>
      <c r="BJ219" s="93">
        <f>IF(AND($T219=1,BJ$5&lt;=$H219),INDEX(Mortality!$B$4:$E$64,MATCH($D219+BJ$5-1,Mortality!$A$4:$A$64,0),$U219)*$V219*$N219,0)</f>
        <v>1.61392508521001E-2</v>
      </c>
      <c r="BK219" s="93">
        <f>IF(AND($T219=1,BK$5&lt;=$H219),INDEX(Mortality!$B$4:$E$64,MATCH($D219+BK$5-1,Mortality!$A$4:$A$64,0),$U219)*$V219*$N219,0)</f>
        <v>1.7483441730042099E-2</v>
      </c>
      <c r="BL219" s="93">
        <f>IF(AND($T219=1,BL$5&lt;=$H219),INDEX(Mortality!$B$4:$E$64,MATCH($D219+BL$5-1,Mortality!$A$4:$A$64,0),$U219)*$V219*$N219,0)</f>
        <v>1.8939586324603401E-2</v>
      </c>
      <c r="BM219" s="93">
        <f>IF(AND($T219=1,BM$5&lt;=$H219),INDEX(Mortality!$B$4:$E$64,MATCH($D219+BM$5-1,Mortality!$A$4:$A$64,0),$U219)*$V219*$N219,0)</f>
        <v>2.0517008932556299E-2</v>
      </c>
      <c r="BN219" s="93">
        <f>IF(AND($T219=1,BN$5&lt;=$H219),INDEX(Mortality!$B$4:$E$64,MATCH($D219+BN$5-1,Mortality!$A$4:$A$64,0),$U219)*$V219*$N219,0)</f>
        <v>2.22258104440099E-2</v>
      </c>
      <c r="BO219" s="93">
        <f>IF(AND($T219=1,BO$5&lt;=$H219),INDEX(Mortality!$B$4:$E$64,MATCH($D219+BO$5-1,Mortality!$A$4:$A$64,0),$U219)*$V219*$N219,0)</f>
        <v>0</v>
      </c>
      <c r="BP219" s="93">
        <f>IF(AND($T219=1,BP$5&lt;=$H219),INDEX(Mortality!$B$4:$E$64,MATCH($D219+BP$5-1,Mortality!$A$4:$A$64,0),$U219)*$V219*$N219,0)</f>
        <v>0</v>
      </c>
      <c r="BQ219" s="93">
        <f>IF(AND($T219=1,BQ$5&lt;=$H219),INDEX(Mortality!$B$4:$E$64,MATCH($D219+BQ$5-1,Mortality!$A$4:$A$64,0),$U219)*$V219*$N219,0)</f>
        <v>0</v>
      </c>
      <c r="BR219" s="93">
        <f>IF(AND($T219=1,BR$5&lt;=$H219),INDEX(Mortality!$B$4:$E$64,MATCH($D219+BR$5-1,Mortality!$A$4:$A$64,0),$U219)*$V219*$N219,0)</f>
        <v>0</v>
      </c>
      <c r="BS219" s="93">
        <f>IF(AND($T219=1,BS$5&lt;=$H219),INDEX(Mortality!$B$4:$E$64,MATCH($D219+BS$5-1,Mortality!$A$4:$A$64,0),$U219)*$V219*$N219,0)</f>
        <v>0</v>
      </c>
      <c r="BT219" s="93">
        <f>IF(AND($T219=1,BT$5&lt;=$H219),INDEX(Mortality!$B$4:$E$64,MATCH($D219+BT$5-1,Mortality!$A$4:$A$64,0),$U219)*$V219*$N219,0)</f>
        <v>0</v>
      </c>
      <c r="BU219" s="93">
        <f>IF(AND($T219=1,BU$5&lt;=$H219),INDEX(Mortality!$B$4:$E$64,MATCH($D219+BU$5-1,Mortality!$A$4:$A$64,0),$U219)*$V219*$N219,0)</f>
        <v>0</v>
      </c>
      <c r="BV219" s="93">
        <f>IF(AND($T219=1,BV$5&lt;=$H219),INDEX(Mortality!$B$4:$E$64,MATCH($D219+BV$5-1,Mortality!$A$4:$A$64,0),$U219)*$V219*$N219,0)</f>
        <v>0</v>
      </c>
      <c r="BW219" s="93">
        <f>IF(AND($T219=1,BW$5&lt;=$H219),INDEX(Mortality!$B$4:$E$64,MATCH($D219+BW$5-1,Mortality!$A$4:$A$64,0),$U219)*$V219*$N219,0)</f>
        <v>0</v>
      </c>
      <c r="BX219" s="93">
        <f>IF(AND($T219=1,BX$5&lt;=$H219),INDEX(Mortality!$B$4:$E$64,MATCH($D219+BX$5-1,Mortality!$A$4:$A$64,0),$U219)*$V219*$N219,0)</f>
        <v>0</v>
      </c>
      <c r="BY219" s="93">
        <f>IF(AND($T219=1,BY$5&lt;=$H219),INDEX(Mortality!$B$4:$E$64,MATCH($D219+BY$5-1,Mortality!$A$4:$A$64,0),$U219)*$V219*$N219,0)</f>
        <v>0</v>
      </c>
      <c r="BZ219" s="93">
        <f>IF(AND($T219=1,BZ$5&lt;=$H219),INDEX(Mortality!$B$4:$E$64,MATCH($D219+BZ$5-1,Mortality!$A$4:$A$64,0),$U219)*$V219*$N219,0)</f>
        <v>0</v>
      </c>
      <c r="CA219" s="93">
        <f>IF(AND($T219=1,CA$5&lt;=$H219),INDEX(Mortality!$B$4:$E$64,MATCH($D219+CA$5-1,Mortality!$A$4:$A$64,0),$U219)*$V219*$N219,0)</f>
        <v>0</v>
      </c>
      <c r="CB219" s="93">
        <f>IF(AND($T219=1,CB$5&lt;=$H219),INDEX(Mortality!$B$4:$E$64,MATCH($D219+CB$5-1,Mortality!$A$4:$A$64,0),$U219)*$V219*$N219,0)</f>
        <v>0</v>
      </c>
      <c r="CC219" s="93">
        <f>IF(AND($T219=1,CC$5&lt;=$H219),INDEX(Mortality!$B$4:$E$64,MATCH($D219+CC$5-1,Mortality!$A$4:$A$64,0),$U219)*$V219*$N219,0)</f>
        <v>0</v>
      </c>
      <c r="CD219" s="93">
        <f>IF(AND($T219=1,CD$5&lt;=$H219),INDEX(Mortality!$B$4:$E$64,MATCH($D219+CD$5-1,Mortality!$A$4:$A$64,0),$U219)*$V219*$N219,0)</f>
        <v>0</v>
      </c>
      <c r="CE219" s="93">
        <f>IF(AND($T219=1,CE$5&lt;=$H219),INDEX(Mortality!$B$4:$E$64,MATCH($D219+CE$5-1,Mortality!$A$4:$A$64,0),$U219)*$V219*$N219,0)</f>
        <v>0</v>
      </c>
      <c r="CF219" s="93">
        <f>IF(AND($T219=1,CF$5&lt;=$H219),INDEX(Mortality!$B$4:$E$64,MATCH($D219+CF$5-1,Mortality!$A$4:$A$64,0),$U219)*$V219*$N219,0)</f>
        <v>0</v>
      </c>
      <c r="CG219" s="93">
        <f>IF(AND($T219=1,CG$5&lt;=$H219),INDEX(Mortality!$B$4:$E$64,MATCH($D219+CG$5-1,Mortality!$A$4:$A$64,0),$U219)*$V219*$N219,0)</f>
        <v>0</v>
      </c>
      <c r="CH219" s="94">
        <f>IF(AND($T219=1,CH$5&lt;=$H219),INDEX(Mortality!$B$4:$E$64,MATCH($D219+CH$5-1,Mortality!$A$4:$A$64,0),$U219)*$V219*$N219,0)</f>
        <v>0</v>
      </c>
      <c r="CI219" s="26"/>
      <c r="CJ219" s="419">
        <f t="shared" si="71"/>
        <v>1</v>
      </c>
      <c r="CK219" s="93">
        <f>IF(AND($T219=1,CK$5&lt;=$H219),CJ219*(1-AU219)*(1-MIN(1,MAX(Assumptions!$C$27,Assumptions!$C$13*Assumptions!$C$28^(CJ$5-1))*$O219)),0)</f>
        <v>0.87572227693169857</v>
      </c>
      <c r="CL219" s="93">
        <f>IF(AND($T219=1,CL$5&lt;=$H219),CK219*(1-AV219)*(1-MIN(1,MAX(Assumptions!$C$27,Assumptions!$C$13*Assumptions!$C$28^(CK$5-1))*$O219)),0)</f>
        <v>0.78225749926532417</v>
      </c>
      <c r="CM219" s="93">
        <f>IF(AND($T219=1,CM$5&lt;=$H219),CL219*(1-AW219)*(1-MIN(1,MAX(Assumptions!$C$27,Assumptions!$C$13*Assumptions!$C$28^(CL$5-1))*$O219)),0)</f>
        <v>0.71036027965173343</v>
      </c>
      <c r="CN219" s="93">
        <f>IF(AND($T219=1,CN$5&lt;=$H219),CM219*(1-AX219)*(1-MIN(1,MAX(Assumptions!$C$27,Assumptions!$C$13*Assumptions!$C$28^(CM$5-1))*$O219)),0)</f>
        <v>0.65394403567037362</v>
      </c>
      <c r="CO219" s="93">
        <f>IF(AND($T219=1,CO$5&lt;=$H219),CN219*(1-AY219)*(1-MIN(1,MAX(Assumptions!$C$27,Assumptions!$C$13*Assumptions!$C$28^(CN$5-1))*$O219)),0)</f>
        <v>0.60887702443052194</v>
      </c>
      <c r="CP219" s="93">
        <f>IF(AND($T219=1,CP$5&lt;=$H219),CO219*(1-AZ219)*(1-MIN(1,MAX(Assumptions!$C$27,Assumptions!$C$13*Assumptions!$C$28^(CO$5-1))*$O219)),0)</f>
        <v>0.5722772138996749</v>
      </c>
      <c r="CQ219" s="93">
        <f>IF(AND($T219=1,CQ$5&lt;=$H219),CP219*(1-BA219)*(1-MIN(1,MAX(Assumptions!$C$27,Assumptions!$C$13*Assumptions!$C$28^(CP$5-1))*$O219)),0)</f>
        <v>0.54208488643966668</v>
      </c>
      <c r="CR219" s="93">
        <f>IF(AND($T219=1,CR$5&lt;=$H219),CQ219*(1-BB219)*(1-MIN(1,MAX(Assumptions!$C$27,Assumptions!$C$13*Assumptions!$C$28^(CQ$5-1))*$O219)),0)</f>
        <v>0.5167955542718895</v>
      </c>
      <c r="CS219" s="93">
        <f>IF(AND($T219=1,CS$5&lt;=$H219),CR219*(1-BC219)*(1-MIN(1,MAX(Assumptions!$C$27,Assumptions!$C$13*Assumptions!$C$28^(CR$5-1))*$O219)),0)</f>
        <v>0.49528843427214686</v>
      </c>
      <c r="CT219" s="93">
        <f>IF(AND($T219=1,CT$5&lt;=$H219),CS219*(1-BD219)*(1-MIN(1,MAX(Assumptions!$C$27,Assumptions!$C$13*Assumptions!$C$28^(CS$5-1))*$O219)),0)</f>
        <v>0.47671355126485798</v>
      </c>
      <c r="CU219" s="93">
        <f>IF(AND($T219=1,CU$5&lt;=$H219),CT219*(1-BE219)*(1-MIN(1,MAX(Assumptions!$C$27,Assumptions!$C$13*Assumptions!$C$28^(CT$5-1))*$O219)),0)</f>
        <v>0.46041576063205142</v>
      </c>
      <c r="CV219" s="93">
        <f>IF(AND($T219=1,CV$5&lt;=$H219),CU219*(1-BF219)*(1-MIN(1,MAX(Assumptions!$C$27,Assumptions!$C$13*Assumptions!$C$28^(CU$5-1))*$O219)),0)</f>
        <v>0.44588257637910816</v>
      </c>
      <c r="CW219" s="93">
        <f>IF(AND($T219=1,CW$5&lt;=$H219),CV219*(1-BG219)*(1-MIN(1,MAX(Assumptions!$C$27,Assumptions!$C$13*Assumptions!$C$28^(CV$5-1))*$O219)),0)</f>
        <v>0.4314173997782822</v>
      </c>
      <c r="CX219" s="93">
        <f>IF(AND($T219=1,CX$5&lt;=$H219),CW219*(1-BH219)*(1-MIN(1,MAX(Assumptions!$C$27,Assumptions!$C$13*Assumptions!$C$28^(CW$5-1))*$O219)),0)</f>
        <v>0.41697444986217713</v>
      </c>
      <c r="CY219" s="93">
        <f>IF(AND($T219=1,CY$5&lt;=$H219),CX219*(1-BI219)*(1-MIN(1,MAX(Assumptions!$C$27,Assumptions!$C$13*Assumptions!$C$28^(CX$5-1))*$O219)),0)</f>
        <v>0.40254695119775263</v>
      </c>
      <c r="CZ219" s="93">
        <f>IF(AND($T219=1,CZ$5&lt;=$H219),CY219*(1-BJ219)*(1-MIN(1,MAX(Assumptions!$C$27,Assumptions!$C$13*Assumptions!$C$28^(CY$5-1))*$O219)),0)</f>
        <v>0.38812914207317156</v>
      </c>
      <c r="DA219" s="93">
        <f>IF(AND($T219=1,DA$5&lt;=$H219),CZ219*(1-BK219)*(1-MIN(1,MAX(Assumptions!$C$27,Assumptions!$C$13*Assumptions!$C$28^(CZ$5-1))*$O219)),0)</f>
        <v>0.37371644265732396</v>
      </c>
      <c r="DB219" s="93">
        <f>IF(AND($T219=1,DB$5&lt;=$H219),DA219*(1-BL219)*(1-MIN(1,MAX(Assumptions!$C$27,Assumptions!$C$13*Assumptions!$C$28^(DA$5-1))*$O219)),0)</f>
        <v>0.35930563967407808</v>
      </c>
      <c r="DC219" s="93">
        <f>IF(AND($T219=1,DC$5&lt;=$H219),DB219*(1-BM219)*(1-MIN(1,MAX(Assumptions!$C$27,Assumptions!$C$13*Assumptions!$C$28^(DB$5-1))*$O219)),0)</f>
        <v>0.34489508740225983</v>
      </c>
      <c r="DD219" s="93">
        <f>IF(AND($T219=1,DD$5&lt;=$H219),DC219*(1-BN219)*(1-MIN(1,MAX(Assumptions!$C$27,Assumptions!$C$13*Assumptions!$C$28^(DC$5-1))*$O219)),0)</f>
        <v>0</v>
      </c>
      <c r="DE219" s="93">
        <f>IF(AND($T219=1,DE$5&lt;=$H219),DD219*(1-BO219)*(1-MIN(1,MAX(Assumptions!$C$27,Assumptions!$C$13*Assumptions!$C$28^(DD$5-1))*$O219)),0)</f>
        <v>0</v>
      </c>
      <c r="DF219" s="93">
        <f>IF(AND($T219=1,DF$5&lt;=$H219),DE219*(1-BP219)*(1-MIN(1,MAX(Assumptions!$C$27,Assumptions!$C$13*Assumptions!$C$28^(DE$5-1))*$O219)),0)</f>
        <v>0</v>
      </c>
      <c r="DG219" s="93">
        <f>IF(AND($T219=1,DG$5&lt;=$H219),DF219*(1-BQ219)*(1-MIN(1,MAX(Assumptions!$C$27,Assumptions!$C$13*Assumptions!$C$28^(DF$5-1))*$O219)),0)</f>
        <v>0</v>
      </c>
      <c r="DH219" s="93">
        <f>IF(AND($T219=1,DH$5&lt;=$H219),DG219*(1-BR219)*(1-MIN(1,MAX(Assumptions!$C$27,Assumptions!$C$13*Assumptions!$C$28^(DG$5-1))*$O219)),0)</f>
        <v>0</v>
      </c>
      <c r="DI219" s="93">
        <f>IF(AND($T219=1,DI$5&lt;=$H219),DH219*(1-BS219)*(1-MIN(1,MAX(Assumptions!$C$27,Assumptions!$C$13*Assumptions!$C$28^(DH$5-1))*$O219)),0)</f>
        <v>0</v>
      </c>
      <c r="DJ219" s="93">
        <f>IF(AND($T219=1,DJ$5&lt;=$H219),DI219*(1-BT219)*(1-MIN(1,MAX(Assumptions!$C$27,Assumptions!$C$13*Assumptions!$C$28^(DI$5-1))*$O219)),0)</f>
        <v>0</v>
      </c>
      <c r="DK219" s="93">
        <f>IF(AND($T219=1,DK$5&lt;=$H219),DJ219*(1-BU219)*(1-MIN(1,MAX(Assumptions!$C$27,Assumptions!$C$13*Assumptions!$C$28^(DJ$5-1))*$O219)),0)</f>
        <v>0</v>
      </c>
      <c r="DL219" s="93">
        <f>IF(AND($T219=1,DL$5&lt;=$H219),DK219*(1-BV219)*(1-MIN(1,MAX(Assumptions!$C$27,Assumptions!$C$13*Assumptions!$C$28^(DK$5-1))*$O219)),0)</f>
        <v>0</v>
      </c>
      <c r="DM219" s="93">
        <f>IF(AND($T219=1,DM$5&lt;=$H219),DL219*(1-BW219)*(1-MIN(1,MAX(Assumptions!$C$27,Assumptions!$C$13*Assumptions!$C$28^(DL$5-1))*$O219)),0)</f>
        <v>0</v>
      </c>
      <c r="DN219" s="93">
        <f>IF(AND($T219=1,DN$5&lt;=$H219),DM219*(1-BX219)*(1-MIN(1,MAX(Assumptions!$C$27,Assumptions!$C$13*Assumptions!$C$28^(DM$5-1))*$O219)),0)</f>
        <v>0</v>
      </c>
      <c r="DO219" s="93">
        <f>IF(AND($T219=1,DO$5&lt;=$H219),DN219*(1-BY219)*(1-MIN(1,MAX(Assumptions!$C$27,Assumptions!$C$13*Assumptions!$C$28^(DN$5-1))*$O219)),0)</f>
        <v>0</v>
      </c>
      <c r="DP219" s="93">
        <f>IF(AND($T219=1,DP$5&lt;=$H219),DO219*(1-BZ219)*(1-MIN(1,MAX(Assumptions!$C$27,Assumptions!$C$13*Assumptions!$C$28^(DO$5-1))*$O219)),0)</f>
        <v>0</v>
      </c>
      <c r="DQ219" s="93">
        <f>IF(AND($T219=1,DQ$5&lt;=$H219),DP219*(1-CA219)*(1-MIN(1,MAX(Assumptions!$C$27,Assumptions!$C$13*Assumptions!$C$28^(DP$5-1))*$O219)),0)</f>
        <v>0</v>
      </c>
      <c r="DR219" s="93">
        <f>IF(AND($T219=1,DR$5&lt;=$H219),DQ219*(1-CB219)*(1-MIN(1,MAX(Assumptions!$C$27,Assumptions!$C$13*Assumptions!$C$28^(DQ$5-1))*$O219)),0)</f>
        <v>0</v>
      </c>
      <c r="DS219" s="93">
        <f>IF(AND($T219=1,DS$5&lt;=$H219),DR219*(1-CC219)*(1-MIN(1,MAX(Assumptions!$C$27,Assumptions!$C$13*Assumptions!$C$28^(DR$5-1))*$O219)),0)</f>
        <v>0</v>
      </c>
      <c r="DT219" s="93">
        <f>IF(AND($T219=1,DT$5&lt;=$H219),DS219*(1-CD219)*(1-MIN(1,MAX(Assumptions!$C$27,Assumptions!$C$13*Assumptions!$C$28^(DS$5-1))*$O219)),0)</f>
        <v>0</v>
      </c>
      <c r="DU219" s="93">
        <f>IF(AND($T219=1,DU$5&lt;=$H219),DT219*(1-CE219)*(1-MIN(1,MAX(Assumptions!$C$27,Assumptions!$C$13*Assumptions!$C$28^(DT$5-1))*$O219)),0)</f>
        <v>0</v>
      </c>
      <c r="DV219" s="93">
        <f>IF(AND($T219=1,DV$5&lt;=$H219),DU219*(1-CF219)*(1-MIN(1,MAX(Assumptions!$C$27,Assumptions!$C$13*Assumptions!$C$28^(DU$5-1))*$O219)),0)</f>
        <v>0</v>
      </c>
      <c r="DW219" s="94">
        <f>IF(AND($T219=1,DW$5&lt;=$H219),DV219*(1-CG219)*(1-MIN(1,MAX(Assumptions!$C$27,Assumptions!$C$13*Assumptions!$C$28^(DV$5-1))*$O219)),0)</f>
        <v>0</v>
      </c>
      <c r="DX219" s="26"/>
      <c r="DY219" s="399">
        <f>'Policy Data'!K193</f>
        <v>3</v>
      </c>
      <c r="DZ219" s="100">
        <f>'Policy Data'!L193</f>
        <v>0.68610000000000004</v>
      </c>
      <c r="EA219" s="100">
        <f>'Policy Data'!N193</f>
        <v>3.3349999999999999E-3</v>
      </c>
      <c r="EB219" s="93" cm="1">
        <f t="array" ref="EB219">IFERROR(DZ219*INDEX(Mortality!$B$4:$E$64,MATCH(D219+DY219-1,Mortality!$A$4:$A$64,0),U219)*V219,0)</f>
        <v>3.913853180387371E-3</v>
      </c>
      <c r="EC219" s="100">
        <f>'Policy Data'!O193</f>
        <v>0</v>
      </c>
      <c r="ED219" s="400">
        <f>'Policy Data'!Q193</f>
        <v>0</v>
      </c>
    </row>
    <row r="220" spans="1:134" x14ac:dyDescent="0.3">
      <c r="A220" s="399" t="str">
        <f>'Policy Data'!A194</f>
        <v>POL100190</v>
      </c>
      <c r="B220" s="26" t="s">
        <v>426</v>
      </c>
      <c r="C220" s="100" t="str">
        <f>'Policy Data'!B194</f>
        <v>Term Life</v>
      </c>
      <c r="D220" s="100">
        <f>'Policy Data'!C194</f>
        <v>39</v>
      </c>
      <c r="E220" s="100" t="str">
        <f>'Policy Data'!D194</f>
        <v>Male</v>
      </c>
      <c r="F220" s="100" t="str">
        <f>'Policy Data'!E194</f>
        <v>Non-smoker</v>
      </c>
      <c r="G220" s="100" t="str">
        <f>'Policy Data'!F194</f>
        <v>Standard</v>
      </c>
      <c r="H220" s="100">
        <f>'Policy Data'!G194</f>
        <v>15</v>
      </c>
      <c r="I220" s="279">
        <f>'Policy Data'!H194</f>
        <v>2000000</v>
      </c>
      <c r="J220" s="100" t="str">
        <f>'Policy Data'!I194</f>
        <v>Monthly</v>
      </c>
      <c r="K220" s="100" t="str">
        <f>'Policy Data'!J194</f>
        <v>Bancassurance</v>
      </c>
      <c r="L220" s="26" t="s">
        <v>389</v>
      </c>
      <c r="M220" s="106">
        <f>'Policy Data'!R194</f>
        <v>4089.08</v>
      </c>
      <c r="N220" s="415">
        <f>Assumptions!$C$21</f>
        <v>1</v>
      </c>
      <c r="O220" s="415">
        <f>Assumptions!$C$22</f>
        <v>1</v>
      </c>
      <c r="P220" s="415">
        <f>Assumptions!$C$23</f>
        <v>1</v>
      </c>
      <c r="Q220" s="416">
        <f>Assumptions!$C$24</f>
        <v>0</v>
      </c>
      <c r="R220" s="416">
        <f>Assumptions!$C$6+Assumptions!$C$25</f>
        <v>3.5000000000000003E-2</v>
      </c>
      <c r="S220" s="416">
        <f>Assumptions!$C$15</f>
        <v>1.1000000000000001E-3</v>
      </c>
      <c r="T220" s="26">
        <f t="shared" si="54"/>
        <v>1</v>
      </c>
      <c r="U220" s="26">
        <f t="shared" si="55"/>
        <v>3</v>
      </c>
      <c r="V220" s="389">
        <f>IF($G220="Preferred",Assumptions!$C$30,IF($G220="Rated",Assumptions!$C$31,1))</f>
        <v>1</v>
      </c>
      <c r="W220" s="390">
        <f>IF($K220="Direct",Assumptions!$C$32,IF($K220="Broker",Assumptions!$C$33,IF($K220="Bancassurance",Assumptions!$C$34,Assumptions!$C$11)))+$Q220</f>
        <v>0.2</v>
      </c>
      <c r="X220" s="390">
        <f>Assumptions!$C$12+$Q220</f>
        <v>0.05</v>
      </c>
      <c r="Y220" s="131">
        <f>MIN($I220,Assumptions!$C$14)</f>
        <v>500000</v>
      </c>
      <c r="Z220" s="131">
        <f>MAX($I220-Assumptions!$C$14,0)</f>
        <v>1500000</v>
      </c>
      <c r="AA220" s="389">
        <f t="shared" si="56"/>
        <v>7.3846521258691364</v>
      </c>
      <c r="AB220" s="389">
        <f t="shared" si="57"/>
        <v>1.2785856123411599E-2</v>
      </c>
      <c r="AC220" s="389">
        <f>IF($T220=1,SUMPRODUCT($CJ220:$DW220,(1+Assumptions!$C$5)^($CJ$5:$DW$5-1),(1+$R220)^(-$CJ$5:$DW$5)),0)</f>
        <v>9.2363015982689696</v>
      </c>
      <c r="AD220" s="389">
        <f t="shared" si="58"/>
        <v>0.51416014252534092</v>
      </c>
      <c r="AE220" s="131">
        <f>IF($T220=1,$AB220*$Y220+(Assumptions!$C$9/(1+$R220)+Assumptions!$C$10*$AC220)*$P220+$S220*$Z220*$AA220,0)</f>
        <v>21479.155638400349</v>
      </c>
      <c r="AF220" s="131">
        <f>IF($T220=1,IF($AA220-$AD220-Assumptions!$C$16*$AA220&gt;0,$AE220/($AA220-$AD220-Assumptions!$C$16*$AA220)*IF($J220="Monthly",1+Assumptions!$C$29,1),"n.a."),"")</f>
        <v>3523.0123262485317</v>
      </c>
      <c r="AG220" s="131">
        <f t="shared" si="59"/>
        <v>4089.08</v>
      </c>
      <c r="AH220" s="131">
        <f t="shared" si="60"/>
        <v>30196.433314848968</v>
      </c>
      <c r="AI220" s="131">
        <f t="shared" si="61"/>
        <v>6614.835720851097</v>
      </c>
      <c r="AJ220" s="390">
        <f t="shared" si="62"/>
        <v>0.2190601668707105</v>
      </c>
      <c r="AK220" s="389">
        <f t="shared" si="63"/>
        <v>1.1606771766121646</v>
      </c>
      <c r="AL220" s="131">
        <f t="shared" si="64"/>
        <v>19178.784185117398</v>
      </c>
      <c r="AM220" s="131">
        <f t="shared" si="65"/>
        <v>12184.676007684075</v>
      </c>
      <c r="AN220" s="131">
        <f t="shared" si="66"/>
        <v>6994.1081774333234</v>
      </c>
      <c r="AO220" s="131">
        <f t="shared" si="67"/>
        <v>-379.27245658222637</v>
      </c>
      <c r="AP220" s="26" t="str">
        <f t="shared" si="68"/>
        <v>30-39</v>
      </c>
      <c r="AQ220" s="26" t="str">
        <f t="shared" si="69"/>
        <v>Over 1m</v>
      </c>
      <c r="AR220" s="26" t="str">
        <f>IF($T220=1,IF($AI220&lt;0,"Loss-making",IF($AJ220&lt;Assumptions!$C$16-0.00001,"Below target","At/above target")),"Excluded")</f>
        <v>At/above target</v>
      </c>
      <c r="AS220" s="103">
        <f t="shared" si="70"/>
        <v>6614.8359408510969</v>
      </c>
      <c r="AT220" s="26"/>
      <c r="AU220" s="419">
        <f>IF(AND($T220=1,AU$5&lt;=$H220),INDEX(Mortality!$B$4:$E$64,MATCH($D220+AU$5-1,Mortality!$A$4:$A$64,0),$U220)*$V220*$N220,0)</f>
        <v>1.06316918650821E-3</v>
      </c>
      <c r="AV220" s="93">
        <f>IF(AND($T220=1,AV$5&lt;=$H220),INDEX(Mortality!$B$4:$E$64,MATCH($D220+AV$5-1,Mortality!$A$4:$A$64,0),$U220)*$V220*$N220,0)</f>
        <v>1.1517174304948501E-3</v>
      </c>
      <c r="AW220" s="93">
        <f>IF(AND($T220=1,AW$5&lt;=$H220),INDEX(Mortality!$B$4:$E$64,MATCH($D220+AW$5-1,Mortality!$A$4:$A$64,0),$U220)*$V220*$N220,0)</f>
        <v>1.24764059807091E-3</v>
      </c>
      <c r="AX220" s="93">
        <f>IF(AND($T220=1,AX$5&lt;=$H220),INDEX(Mortality!$B$4:$E$64,MATCH($D220+AX$5-1,Mortality!$A$4:$A$64,0),$U220)*$V220*$N220,0)</f>
        <v>1.3515529249964601E-3</v>
      </c>
      <c r="AY220" s="93">
        <f>IF(AND($T220=1,AY$5&lt;=$H220),INDEX(Mortality!$B$4:$E$64,MATCH($D220+AY$5-1,Mortality!$A$4:$A$64,0),$U220)*$V220*$N220,0)</f>
        <v>1.4641198049269301E-3</v>
      </c>
      <c r="AZ220" s="93">
        <f>IF(AND($T220=1,AZ$5&lt;=$H220),INDEX(Mortality!$B$4:$E$64,MATCH($D220+AZ$5-1,Mortality!$A$4:$A$64,0),$U220)*$V220*$N220,0)</f>
        <v>1.58606205020413E-3</v>
      </c>
      <c r="BA220" s="93">
        <f>IF(AND($T220=1,BA$5&lt;=$H220),INDEX(Mortality!$B$4:$E$64,MATCH($D220+BA$5-1,Mortality!$A$4:$A$64,0),$U220)*$V220*$N220,0)</f>
        <v>1.71816050751616E-3</v>
      </c>
      <c r="BB220" s="93">
        <f>IF(AND($T220=1,BB$5&lt;=$H220),INDEX(Mortality!$B$4:$E$64,MATCH($D220+BB$5-1,Mortality!$A$4:$A$64,0),$U220)*$V220*$N220,0)</f>
        <v>1.8612610579820999E-3</v>
      </c>
      <c r="BC220" s="93">
        <f>IF(AND($T220=1,BC$5&lt;=$H220),INDEX(Mortality!$B$4:$E$64,MATCH($D220+BC$5-1,Mortality!$A$4:$A$64,0),$U220)*$V220*$N220,0)</f>
        <v>2.0162800336790201E-3</v>
      </c>
      <c r="BD220" s="93">
        <f>IF(AND($T220=1,BD$5&lt;=$H220),INDEX(Mortality!$B$4:$E$64,MATCH($D220+BD$5-1,Mortality!$A$4:$A$64,0),$U220)*$V220*$N220,0)</f>
        <v>2.1842100852957199E-3</v>
      </c>
      <c r="BE220" s="93">
        <f>IF(AND($T220=1,BE$5&lt;=$H220),INDEX(Mortality!$B$4:$E$64,MATCH($D220+BE$5-1,Mortality!$A$4:$A$64,0),$U220)*$V220*$N220,0)</f>
        <v>2.3661265384860701E-3</v>
      </c>
      <c r="BF220" s="93">
        <f>IF(AND($T220=1,BF$5&lt;=$H220),INDEX(Mortality!$B$4:$E$64,MATCH($D220+BF$5-1,Mortality!$A$4:$A$64,0),$U220)*$V220*$N220,0)</f>
        <v>2.5631942796244698E-3</v>
      </c>
      <c r="BG220" s="93">
        <f>IF(AND($T220=1,BG$5&lt;=$H220),INDEX(Mortality!$B$4:$E$64,MATCH($D220+BG$5-1,Mortality!$A$4:$A$64,0),$U220)*$V220*$N220,0)</f>
        <v>2.7766752150556202E-3</v>
      </c>
      <c r="BH220" s="93">
        <f>IF(AND($T220=1,BH$5&lt;=$H220),INDEX(Mortality!$B$4:$E$64,MATCH($D220+BH$5-1,Mortality!$A$4:$A$64,0),$U220)*$V220*$N220,0)</f>
        <v>3.0079363516033399E-3</v>
      </c>
      <c r="BI220" s="93">
        <f>IF(AND($T220=1,BI$5&lt;=$H220),INDEX(Mortality!$B$4:$E$64,MATCH($D220+BI$5-1,Mortality!$A$4:$A$64,0),$U220)*$V220*$N220,0)</f>
        <v>3.2584585500813001E-3</v>
      </c>
      <c r="BJ220" s="93">
        <f>IF(AND($T220=1,BJ$5&lt;=$H220),INDEX(Mortality!$B$4:$E$64,MATCH($D220+BJ$5-1,Mortality!$A$4:$A$64,0),$U220)*$V220*$N220,0)</f>
        <v>0</v>
      </c>
      <c r="BK220" s="93">
        <f>IF(AND($T220=1,BK$5&lt;=$H220),INDEX(Mortality!$B$4:$E$64,MATCH($D220+BK$5-1,Mortality!$A$4:$A$64,0),$U220)*$V220*$N220,0)</f>
        <v>0</v>
      </c>
      <c r="BL220" s="93">
        <f>IF(AND($T220=1,BL$5&lt;=$H220),INDEX(Mortality!$B$4:$E$64,MATCH($D220+BL$5-1,Mortality!$A$4:$A$64,0),$U220)*$V220*$N220,0)</f>
        <v>0</v>
      </c>
      <c r="BM220" s="93">
        <f>IF(AND($T220=1,BM$5&lt;=$H220),INDEX(Mortality!$B$4:$E$64,MATCH($D220+BM$5-1,Mortality!$A$4:$A$64,0),$U220)*$V220*$N220,0)</f>
        <v>0</v>
      </c>
      <c r="BN220" s="93">
        <f>IF(AND($T220=1,BN$5&lt;=$H220),INDEX(Mortality!$B$4:$E$64,MATCH($D220+BN$5-1,Mortality!$A$4:$A$64,0),$U220)*$V220*$N220,0)</f>
        <v>0</v>
      </c>
      <c r="BO220" s="93">
        <f>IF(AND($T220=1,BO$5&lt;=$H220),INDEX(Mortality!$B$4:$E$64,MATCH($D220+BO$5-1,Mortality!$A$4:$A$64,0),$U220)*$V220*$N220,0)</f>
        <v>0</v>
      </c>
      <c r="BP220" s="93">
        <f>IF(AND($T220=1,BP$5&lt;=$H220),INDEX(Mortality!$B$4:$E$64,MATCH($D220+BP$5-1,Mortality!$A$4:$A$64,0),$U220)*$V220*$N220,0)</f>
        <v>0</v>
      </c>
      <c r="BQ220" s="93">
        <f>IF(AND($T220=1,BQ$5&lt;=$H220),INDEX(Mortality!$B$4:$E$64,MATCH($D220+BQ$5-1,Mortality!$A$4:$A$64,0),$U220)*$V220*$N220,0)</f>
        <v>0</v>
      </c>
      <c r="BR220" s="93">
        <f>IF(AND($T220=1,BR$5&lt;=$H220),INDEX(Mortality!$B$4:$E$64,MATCH($D220+BR$5-1,Mortality!$A$4:$A$64,0),$U220)*$V220*$N220,0)</f>
        <v>0</v>
      </c>
      <c r="BS220" s="93">
        <f>IF(AND($T220=1,BS$5&lt;=$H220),INDEX(Mortality!$B$4:$E$64,MATCH($D220+BS$5-1,Mortality!$A$4:$A$64,0),$U220)*$V220*$N220,0)</f>
        <v>0</v>
      </c>
      <c r="BT220" s="93">
        <f>IF(AND($T220=1,BT$5&lt;=$H220),INDEX(Mortality!$B$4:$E$64,MATCH($D220+BT$5-1,Mortality!$A$4:$A$64,0),$U220)*$V220*$N220,0)</f>
        <v>0</v>
      </c>
      <c r="BU220" s="93">
        <f>IF(AND($T220=1,BU$5&lt;=$H220),INDEX(Mortality!$B$4:$E$64,MATCH($D220+BU$5-1,Mortality!$A$4:$A$64,0),$U220)*$V220*$N220,0)</f>
        <v>0</v>
      </c>
      <c r="BV220" s="93">
        <f>IF(AND($T220=1,BV$5&lt;=$H220),INDEX(Mortality!$B$4:$E$64,MATCH($D220+BV$5-1,Mortality!$A$4:$A$64,0),$U220)*$V220*$N220,0)</f>
        <v>0</v>
      </c>
      <c r="BW220" s="93">
        <f>IF(AND($T220=1,BW$5&lt;=$H220),INDEX(Mortality!$B$4:$E$64,MATCH($D220+BW$5-1,Mortality!$A$4:$A$64,0),$U220)*$V220*$N220,0)</f>
        <v>0</v>
      </c>
      <c r="BX220" s="93">
        <f>IF(AND($T220=1,BX$5&lt;=$H220),INDEX(Mortality!$B$4:$E$64,MATCH($D220+BX$5-1,Mortality!$A$4:$A$64,0),$U220)*$V220*$N220,0)</f>
        <v>0</v>
      </c>
      <c r="BY220" s="93">
        <f>IF(AND($T220=1,BY$5&lt;=$H220),INDEX(Mortality!$B$4:$E$64,MATCH($D220+BY$5-1,Mortality!$A$4:$A$64,0),$U220)*$V220*$N220,0)</f>
        <v>0</v>
      </c>
      <c r="BZ220" s="93">
        <f>IF(AND($T220=1,BZ$5&lt;=$H220),INDEX(Mortality!$B$4:$E$64,MATCH($D220+BZ$5-1,Mortality!$A$4:$A$64,0),$U220)*$V220*$N220,0)</f>
        <v>0</v>
      </c>
      <c r="CA220" s="93">
        <f>IF(AND($T220=1,CA$5&lt;=$H220),INDEX(Mortality!$B$4:$E$64,MATCH($D220+CA$5-1,Mortality!$A$4:$A$64,0),$U220)*$V220*$N220,0)</f>
        <v>0</v>
      </c>
      <c r="CB220" s="93">
        <f>IF(AND($T220=1,CB$5&lt;=$H220),INDEX(Mortality!$B$4:$E$64,MATCH($D220+CB$5-1,Mortality!$A$4:$A$64,0),$U220)*$V220*$N220,0)</f>
        <v>0</v>
      </c>
      <c r="CC220" s="93">
        <f>IF(AND($T220=1,CC$5&lt;=$H220),INDEX(Mortality!$B$4:$E$64,MATCH($D220+CC$5-1,Mortality!$A$4:$A$64,0),$U220)*$V220*$N220,0)</f>
        <v>0</v>
      </c>
      <c r="CD220" s="93">
        <f>IF(AND($T220=1,CD$5&lt;=$H220),INDEX(Mortality!$B$4:$E$64,MATCH($D220+CD$5-1,Mortality!$A$4:$A$64,0),$U220)*$V220*$N220,0)</f>
        <v>0</v>
      </c>
      <c r="CE220" s="93">
        <f>IF(AND($T220=1,CE$5&lt;=$H220),INDEX(Mortality!$B$4:$E$64,MATCH($D220+CE$5-1,Mortality!$A$4:$A$64,0),$U220)*$V220*$N220,0)</f>
        <v>0</v>
      </c>
      <c r="CF220" s="93">
        <f>IF(AND($T220=1,CF$5&lt;=$H220),INDEX(Mortality!$B$4:$E$64,MATCH($D220+CF$5-1,Mortality!$A$4:$A$64,0),$U220)*$V220*$N220,0)</f>
        <v>0</v>
      </c>
      <c r="CG220" s="93">
        <f>IF(AND($T220=1,CG$5&lt;=$H220),INDEX(Mortality!$B$4:$E$64,MATCH($D220+CG$5-1,Mortality!$A$4:$A$64,0),$U220)*$V220*$N220,0)</f>
        <v>0</v>
      </c>
      <c r="CH220" s="94">
        <f>IF(AND($T220=1,CH$5&lt;=$H220),INDEX(Mortality!$B$4:$E$64,MATCH($D220+CH$5-1,Mortality!$A$4:$A$64,0),$U220)*$V220*$N220,0)</f>
        <v>0</v>
      </c>
      <c r="CI220" s="26"/>
      <c r="CJ220" s="419">
        <f t="shared" si="71"/>
        <v>1</v>
      </c>
      <c r="CK220" s="93">
        <f>IF(AND($T220=1,CK$5&lt;=$H220),CJ220*(1-AU220)*(1-MIN(1,MAX(Assumptions!$C$27,Assumptions!$C$13*Assumptions!$C$28^(CJ$5-1))*$O220)),0)</f>
        <v>0.87906441111587286</v>
      </c>
      <c r="CL220" s="93">
        <f>IF(AND($T220=1,CL$5&lt;=$H220),CK220*(1-AV220)*(1-MIN(1,MAX(Assumptions!$C$27,Assumptions!$C$13*Assumptions!$C$28^(CK$5-1))*$O220)),0)</f>
        <v>0.7884906756253347</v>
      </c>
      <c r="CM220" s="93">
        <f>IF(AND($T220=1,CM$5&lt;=$H220),CL220*(1-AW220)*(1-MIN(1,MAX(Assumptions!$C$27,Assumptions!$C$13*Assumptions!$C$28^(CL$5-1))*$O220)),0)</f>
        <v>0.71923007245370985</v>
      </c>
      <c r="CN220" s="93">
        <f>IF(AND($T220=1,CN$5&lt;=$H220),CM220*(1-AX220)*(1-MIN(1,MAX(Assumptions!$C$27,Assumptions!$C$13*Assumptions!$C$28^(CM$5-1))*$O220)),0)</f>
        <v>0.66532597200802812</v>
      </c>
      <c r="CO220" s="93">
        <f>IF(AND($T220=1,CO$5&lt;=$H220),CN220*(1-AY220)*(1-MIN(1,MAX(Assumptions!$C$27,Assumptions!$C$13*Assumptions!$C$28^(CN$5-1))*$O220)),0)</f>
        <v>0.62273635660984705</v>
      </c>
      <c r="CP220" s="93">
        <f>IF(AND($T220=1,CP$5&lt;=$H220),CO220*(1-AZ220)*(1-MIN(1,MAX(Assumptions!$C$27,Assumptions!$C$13*Assumptions!$C$28^(CO$5-1))*$O220)),0)</f>
        <v>0.58864387619030878</v>
      </c>
      <c r="CQ220" s="93">
        <f>IF(AND($T220=1,CQ$5&lt;=$H220),CP220*(1-BA220)*(1-MIN(1,MAX(Assumptions!$C$27,Assumptions!$C$13*Assumptions!$C$28^(CP$5-1))*$O220)),0)</f>
        <v>0.5610374543837553</v>
      </c>
      <c r="CR220" s="93">
        <f>IF(AND($T220=1,CR$5&lt;=$H220),CQ220*(1-BB220)*(1-MIN(1,MAX(Assumptions!$C$27,Assumptions!$C$13*Assumptions!$C$28^(CQ$5-1))*$O220)),0)</f>
        <v>0.53845069781388799</v>
      </c>
      <c r="CS220" s="93">
        <f>IF(AND($T220=1,CS$5&lt;=$H220),CR220*(1-BC220)*(1-MIN(1,MAX(Assumptions!$C$27,Assumptions!$C$13*Assumptions!$C$28^(CR$5-1))*$O220)),0)</f>
        <v>0.51979380490946159</v>
      </c>
      <c r="CT220" s="93">
        <f>IF(AND($T220=1,CT$5&lt;=$H220),CS220*(1-BD220)*(1-MIN(1,MAX(Assumptions!$C$27,Assumptions!$C$13*Assumptions!$C$28^(CS$5-1))*$O220)),0)</f>
        <v>0.50424285523037182</v>
      </c>
      <c r="CU220" s="93">
        <f>IF(AND($T220=1,CU$5&lt;=$H220),CT220*(1-BE220)*(1-MIN(1,MAX(Assumptions!$C$27,Assumptions!$C$13*Assumptions!$C$28^(CT$5-1))*$O220)),0)</f>
        <v>0.49116523837573978</v>
      </c>
      <c r="CV220" s="93">
        <f>IF(AND($T220=1,CV$5&lt;=$H220),CU220*(1-BF220)*(1-MIN(1,MAX(Assumptions!$C$27,Assumptions!$C$13*Assumptions!$C$28^(CU$5-1))*$O220)),0)</f>
        <v>0.48006838559704013</v>
      </c>
      <c r="CW220" s="93">
        <f>IF(AND($T220=1,CW$5&lt;=$H220),CV220*(1-BG220)*(1-MIN(1,MAX(Assumptions!$C$27,Assumptions!$C$13*Assumptions!$C$28^(CV$5-1))*$O220)),0)</f>
        <v>0.46916068377703662</v>
      </c>
      <c r="CX220" s="93">
        <f>IF(AND($T220=1,CX$5&lt;=$H220),CW220*(1-BH220)*(1-MIN(1,MAX(Assumptions!$C$27,Assumptions!$C$13*Assumptions!$C$28^(CW$5-1))*$O220)),0)</f>
        <v>0.4583944887355294</v>
      </c>
      <c r="CY220" s="93">
        <f>IF(AND($T220=1,CY$5&lt;=$H220),CX220*(1-BI220)*(1-MIN(1,MAX(Assumptions!$C$27,Assumptions!$C$13*Assumptions!$C$28^(CX$5-1))*$O220)),0)</f>
        <v>0</v>
      </c>
      <c r="CZ220" s="93">
        <f>IF(AND($T220=1,CZ$5&lt;=$H220),CY220*(1-BJ220)*(1-MIN(1,MAX(Assumptions!$C$27,Assumptions!$C$13*Assumptions!$C$28^(CY$5-1))*$O220)),0)</f>
        <v>0</v>
      </c>
      <c r="DA220" s="93">
        <f>IF(AND($T220=1,DA$5&lt;=$H220),CZ220*(1-BK220)*(1-MIN(1,MAX(Assumptions!$C$27,Assumptions!$C$13*Assumptions!$C$28^(CZ$5-1))*$O220)),0)</f>
        <v>0</v>
      </c>
      <c r="DB220" s="93">
        <f>IF(AND($T220=1,DB$5&lt;=$H220),DA220*(1-BL220)*(1-MIN(1,MAX(Assumptions!$C$27,Assumptions!$C$13*Assumptions!$C$28^(DA$5-1))*$O220)),0)</f>
        <v>0</v>
      </c>
      <c r="DC220" s="93">
        <f>IF(AND($T220=1,DC$5&lt;=$H220),DB220*(1-BM220)*(1-MIN(1,MAX(Assumptions!$C$27,Assumptions!$C$13*Assumptions!$C$28^(DB$5-1))*$O220)),0)</f>
        <v>0</v>
      </c>
      <c r="DD220" s="93">
        <f>IF(AND($T220=1,DD$5&lt;=$H220),DC220*(1-BN220)*(1-MIN(1,MAX(Assumptions!$C$27,Assumptions!$C$13*Assumptions!$C$28^(DC$5-1))*$O220)),0)</f>
        <v>0</v>
      </c>
      <c r="DE220" s="93">
        <f>IF(AND($T220=1,DE$5&lt;=$H220),DD220*(1-BO220)*(1-MIN(1,MAX(Assumptions!$C$27,Assumptions!$C$13*Assumptions!$C$28^(DD$5-1))*$O220)),0)</f>
        <v>0</v>
      </c>
      <c r="DF220" s="93">
        <f>IF(AND($T220=1,DF$5&lt;=$H220),DE220*(1-BP220)*(1-MIN(1,MAX(Assumptions!$C$27,Assumptions!$C$13*Assumptions!$C$28^(DE$5-1))*$O220)),0)</f>
        <v>0</v>
      </c>
      <c r="DG220" s="93">
        <f>IF(AND($T220=1,DG$5&lt;=$H220),DF220*(1-BQ220)*(1-MIN(1,MAX(Assumptions!$C$27,Assumptions!$C$13*Assumptions!$C$28^(DF$5-1))*$O220)),0)</f>
        <v>0</v>
      </c>
      <c r="DH220" s="93">
        <f>IF(AND($T220=1,DH$5&lt;=$H220),DG220*(1-BR220)*(1-MIN(1,MAX(Assumptions!$C$27,Assumptions!$C$13*Assumptions!$C$28^(DG$5-1))*$O220)),0)</f>
        <v>0</v>
      </c>
      <c r="DI220" s="93">
        <f>IF(AND($T220=1,DI$5&lt;=$H220),DH220*(1-BS220)*(1-MIN(1,MAX(Assumptions!$C$27,Assumptions!$C$13*Assumptions!$C$28^(DH$5-1))*$O220)),0)</f>
        <v>0</v>
      </c>
      <c r="DJ220" s="93">
        <f>IF(AND($T220=1,DJ$5&lt;=$H220),DI220*(1-BT220)*(1-MIN(1,MAX(Assumptions!$C$27,Assumptions!$C$13*Assumptions!$C$28^(DI$5-1))*$O220)),0)</f>
        <v>0</v>
      </c>
      <c r="DK220" s="93">
        <f>IF(AND($T220=1,DK$5&lt;=$H220),DJ220*(1-BU220)*(1-MIN(1,MAX(Assumptions!$C$27,Assumptions!$C$13*Assumptions!$C$28^(DJ$5-1))*$O220)),0)</f>
        <v>0</v>
      </c>
      <c r="DL220" s="93">
        <f>IF(AND($T220=1,DL$5&lt;=$H220),DK220*(1-BV220)*(1-MIN(1,MAX(Assumptions!$C$27,Assumptions!$C$13*Assumptions!$C$28^(DK$5-1))*$O220)),0)</f>
        <v>0</v>
      </c>
      <c r="DM220" s="93">
        <f>IF(AND($T220=1,DM$5&lt;=$H220),DL220*(1-BW220)*(1-MIN(1,MAX(Assumptions!$C$27,Assumptions!$C$13*Assumptions!$C$28^(DL$5-1))*$O220)),0)</f>
        <v>0</v>
      </c>
      <c r="DN220" s="93">
        <f>IF(AND($T220=1,DN$5&lt;=$H220),DM220*(1-BX220)*(1-MIN(1,MAX(Assumptions!$C$27,Assumptions!$C$13*Assumptions!$C$28^(DM$5-1))*$O220)),0)</f>
        <v>0</v>
      </c>
      <c r="DO220" s="93">
        <f>IF(AND($T220=1,DO$5&lt;=$H220),DN220*(1-BY220)*(1-MIN(1,MAX(Assumptions!$C$27,Assumptions!$C$13*Assumptions!$C$28^(DN$5-1))*$O220)),0)</f>
        <v>0</v>
      </c>
      <c r="DP220" s="93">
        <f>IF(AND($T220=1,DP$5&lt;=$H220),DO220*(1-BZ220)*(1-MIN(1,MAX(Assumptions!$C$27,Assumptions!$C$13*Assumptions!$C$28^(DO$5-1))*$O220)),0)</f>
        <v>0</v>
      </c>
      <c r="DQ220" s="93">
        <f>IF(AND($T220=1,DQ$5&lt;=$H220),DP220*(1-CA220)*(1-MIN(1,MAX(Assumptions!$C$27,Assumptions!$C$13*Assumptions!$C$28^(DP$5-1))*$O220)),0)</f>
        <v>0</v>
      </c>
      <c r="DR220" s="93">
        <f>IF(AND($T220=1,DR$5&lt;=$H220),DQ220*(1-CB220)*(1-MIN(1,MAX(Assumptions!$C$27,Assumptions!$C$13*Assumptions!$C$28^(DQ$5-1))*$O220)),0)</f>
        <v>0</v>
      </c>
      <c r="DS220" s="93">
        <f>IF(AND($T220=1,DS$5&lt;=$H220),DR220*(1-CC220)*(1-MIN(1,MAX(Assumptions!$C$27,Assumptions!$C$13*Assumptions!$C$28^(DR$5-1))*$O220)),0)</f>
        <v>0</v>
      </c>
      <c r="DT220" s="93">
        <f>IF(AND($T220=1,DT$5&lt;=$H220),DS220*(1-CD220)*(1-MIN(1,MAX(Assumptions!$C$27,Assumptions!$C$13*Assumptions!$C$28^(DS$5-1))*$O220)),0)</f>
        <v>0</v>
      </c>
      <c r="DU220" s="93">
        <f>IF(AND($T220=1,DU$5&lt;=$H220),DT220*(1-CE220)*(1-MIN(1,MAX(Assumptions!$C$27,Assumptions!$C$13*Assumptions!$C$28^(DT$5-1))*$O220)),0)</f>
        <v>0</v>
      </c>
      <c r="DV220" s="93">
        <f>IF(AND($T220=1,DV$5&lt;=$H220),DU220*(1-CF220)*(1-MIN(1,MAX(Assumptions!$C$27,Assumptions!$C$13*Assumptions!$C$28^(DU$5-1))*$O220)),0)</f>
        <v>0</v>
      </c>
      <c r="DW220" s="94">
        <f>IF(AND($T220=1,DW$5&lt;=$H220),DV220*(1-CG220)*(1-MIN(1,MAX(Assumptions!$C$27,Assumptions!$C$13*Assumptions!$C$28^(DV$5-1))*$O220)),0)</f>
        <v>0</v>
      </c>
      <c r="DX220" s="26"/>
      <c r="DY220" s="399">
        <f>'Policy Data'!K194</f>
        <v>3</v>
      </c>
      <c r="DZ220" s="100">
        <f>'Policy Data'!L194</f>
        <v>0.82320000000000004</v>
      </c>
      <c r="EA220" s="100">
        <f>'Policy Data'!N194</f>
        <v>8.7500000000000002E-4</v>
      </c>
      <c r="EB220" s="93" cm="1">
        <f t="array" ref="EB220">IFERROR(DZ220*INDEX(Mortality!$B$4:$E$64,MATCH(D220+DY220-1,Mortality!$A$4:$A$64,0),U220)*V220,0)</f>
        <v>1.0270577403319731E-3</v>
      </c>
      <c r="EC220" s="100">
        <f>'Policy Data'!O194</f>
        <v>0</v>
      </c>
      <c r="ED220" s="400">
        <f>'Policy Data'!Q194</f>
        <v>0</v>
      </c>
    </row>
    <row r="221" spans="1:134" x14ac:dyDescent="0.3">
      <c r="A221" s="399" t="str">
        <f>'Policy Data'!A195</f>
        <v>POL100191</v>
      </c>
      <c r="B221" s="26" t="s">
        <v>426</v>
      </c>
      <c r="C221" s="100" t="str">
        <f>'Policy Data'!B195</f>
        <v>Term Life</v>
      </c>
      <c r="D221" s="100">
        <f>'Policy Data'!C195</f>
        <v>28</v>
      </c>
      <c r="E221" s="100" t="str">
        <f>'Policy Data'!D195</f>
        <v>Male</v>
      </c>
      <c r="F221" s="100" t="str">
        <f>'Policy Data'!E195</f>
        <v>Non-smoker</v>
      </c>
      <c r="G221" s="100" t="str">
        <f>'Policy Data'!F195</f>
        <v>Standard</v>
      </c>
      <c r="H221" s="100">
        <f>'Policy Data'!G195</f>
        <v>15</v>
      </c>
      <c r="I221" s="279">
        <f>'Policy Data'!H195</f>
        <v>1000000</v>
      </c>
      <c r="J221" s="100" t="str">
        <f>'Policy Data'!I195</f>
        <v>Monthly</v>
      </c>
      <c r="K221" s="100" t="str">
        <f>'Policy Data'!J195</f>
        <v>Direct</v>
      </c>
      <c r="L221" s="26" t="s">
        <v>389</v>
      </c>
      <c r="M221" s="106">
        <f>'Policy Data'!R195</f>
        <v>1550.36</v>
      </c>
      <c r="N221" s="415">
        <f>Assumptions!$C$21</f>
        <v>1</v>
      </c>
      <c r="O221" s="415">
        <f>Assumptions!$C$22</f>
        <v>1</v>
      </c>
      <c r="P221" s="415">
        <f>Assumptions!$C$23</f>
        <v>1</v>
      </c>
      <c r="Q221" s="416">
        <f>Assumptions!$C$24</f>
        <v>0</v>
      </c>
      <c r="R221" s="416">
        <f>Assumptions!$C$6+Assumptions!$C$25</f>
        <v>3.5000000000000003E-2</v>
      </c>
      <c r="S221" s="416">
        <f>Assumptions!$C$15</f>
        <v>1.1000000000000001E-3</v>
      </c>
      <c r="T221" s="26">
        <f t="shared" si="54"/>
        <v>1</v>
      </c>
      <c r="U221" s="26">
        <f t="shared" si="55"/>
        <v>3</v>
      </c>
      <c r="V221" s="389">
        <f>IF($G221="Preferred",Assumptions!$C$30,IF($G221="Rated",Assumptions!$C$31,1))</f>
        <v>1</v>
      </c>
      <c r="W221" s="390">
        <f>IF($K221="Direct",Assumptions!$C$32,IF($K221="Broker",Assumptions!$C$33,IF($K221="Bancassurance",Assumptions!$C$34,Assumptions!$C$11)))+$Q221</f>
        <v>0.1</v>
      </c>
      <c r="X221" s="390">
        <f>Assumptions!$C$12+$Q221</f>
        <v>0.05</v>
      </c>
      <c r="Y221" s="131">
        <f>MIN($I221,Assumptions!$C$14)</f>
        <v>500000</v>
      </c>
      <c r="Z221" s="131">
        <f>MAX($I221-Assumptions!$C$14,0)</f>
        <v>500000</v>
      </c>
      <c r="AA221" s="389">
        <f t="shared" si="56"/>
        <v>7.4195208668553319</v>
      </c>
      <c r="AB221" s="389">
        <f t="shared" si="57"/>
        <v>5.3370322839905978E-3</v>
      </c>
      <c r="AC221" s="389">
        <f>IF($T221=1,SUMPRODUCT($CJ221:$DW221,(1+Assumptions!$C$5)^($CJ$5:$DW$5-1),(1+$R221)^(-$CJ$5:$DW$5)),0)</f>
        <v>9.2870345826062586</v>
      </c>
      <c r="AD221" s="389">
        <f t="shared" si="58"/>
        <v>0.41928522208672803</v>
      </c>
      <c r="AE221" s="131">
        <f>IF($T221=1,$AB221*$Y221+(Assumptions!$C$9/(1+$R221)+Assumptions!$C$10*$AC221)*$P221+$S221*$Z221*$AA221,0)</f>
        <v>9661.9654443304134</v>
      </c>
      <c r="AF221" s="131">
        <f>IF($T221=1,IF($AA221-$AD221-Assumptions!$C$16*$AA221&gt;0,$AE221/($AA221-$AD221-Assumptions!$C$16*$AA221)*IF($J221="Monthly",1+Assumptions!$C$29,1),"n.a."),"")</f>
        <v>1553.352714035623</v>
      </c>
      <c r="AG221" s="131">
        <f t="shared" si="59"/>
        <v>1550.36</v>
      </c>
      <c r="AH221" s="131">
        <f t="shared" si="60"/>
        <v>11502.928371137832</v>
      </c>
      <c r="AI221" s="131">
        <f t="shared" si="61"/>
        <v>1190.919889893039</v>
      </c>
      <c r="AJ221" s="390">
        <f t="shared" si="62"/>
        <v>0.10353188783485723</v>
      </c>
      <c r="AK221" s="389">
        <f t="shared" si="63"/>
        <v>0.99807338410099533</v>
      </c>
      <c r="AL221" s="131">
        <f t="shared" si="64"/>
        <v>2668.5161419952988</v>
      </c>
      <c r="AM221" s="131">
        <f t="shared" si="65"/>
        <v>4080.7364767704325</v>
      </c>
      <c r="AN221" s="131">
        <f t="shared" si="66"/>
        <v>-1412.2203347751338</v>
      </c>
      <c r="AO221" s="131">
        <f t="shared" si="67"/>
        <v>2603.1402246681728</v>
      </c>
      <c r="AP221" s="26" t="str">
        <f t="shared" si="68"/>
        <v>20-29</v>
      </c>
      <c r="AQ221" s="26" t="str">
        <f t="shared" si="69"/>
        <v>500k-1m</v>
      </c>
      <c r="AR221" s="26" t="str">
        <f>IF($T221=1,IF($AI221&lt;0,"Loss-making",IF($AJ221&lt;Assumptions!$C$16-0.00001,"Below target","At/above target")),"Excluded")</f>
        <v>At/above target</v>
      </c>
      <c r="AS221" s="103">
        <f t="shared" si="70"/>
        <v>1190.920110893039</v>
      </c>
      <c r="AT221" s="26"/>
      <c r="AU221" s="419">
        <f>IF(AND($T221=1,AU$5&lt;=$H221),INDEX(Mortality!$B$4:$E$64,MATCH($D221+AU$5-1,Mortality!$A$4:$A$64,0),$U221)*$V221*$N221,0)</f>
        <v>4.4098441079001399E-4</v>
      </c>
      <c r="AV221" s="93">
        <f>IF(AND($T221=1,AV$5&lt;=$H221),INDEX(Mortality!$B$4:$E$64,MATCH($D221+AV$5-1,Mortality!$A$4:$A$64,0),$U221)*$V221*$N221,0)</f>
        <v>4.7771270925508401E-4</v>
      </c>
      <c r="AW221" s="93">
        <f>IF(AND($T221=1,AW$5&lt;=$H221),INDEX(Mortality!$B$4:$E$64,MATCH($D221+AW$5-1,Mortality!$A$4:$A$64,0),$U221)*$V221*$N221,0)</f>
        <v>5.1749999999999995E-4</v>
      </c>
      <c r="AX221" s="93">
        <f>IF(AND($T221=1,AX$5&lt;=$H221),INDEX(Mortality!$B$4:$E$64,MATCH($D221+AX$5-1,Mortality!$A$4:$A$64,0),$U221)*$V221*$N221,0)</f>
        <v>5.6060105752179102E-4</v>
      </c>
      <c r="AY221" s="93">
        <f>IF(AND($T221=1,AY$5&lt;=$H221),INDEX(Mortality!$B$4:$E$64,MATCH($D221+AY$5-1,Mortality!$A$4:$A$64,0),$U221)*$V221*$N221,0)</f>
        <v>6.07291875738262E-4</v>
      </c>
      <c r="AZ221" s="93">
        <f>IF(AND($T221=1,AZ$5&lt;=$H221),INDEX(Mortality!$B$4:$E$64,MATCH($D221+AZ$5-1,Mortality!$A$4:$A$64,0),$U221)*$V221*$N221,0)</f>
        <v>6.5787143529132705E-4</v>
      </c>
      <c r="BA221" s="93">
        <f>IF(AND($T221=1,BA$5&lt;=$H221),INDEX(Mortality!$B$4:$E$64,MATCH($D221+BA$5-1,Mortality!$A$4:$A$64,0),$U221)*$V221*$N221,0)</f>
        <v>7.1266361804385805E-4</v>
      </c>
      <c r="BB221" s="93">
        <f>IF(AND($T221=1,BB$5&lt;=$H221),INDEX(Mortality!$B$4:$E$64,MATCH($D221+BB$5-1,Mortality!$A$4:$A$64,0),$U221)*$V221*$N221,0)</f>
        <v>7.7201928102935699E-4</v>
      </c>
      <c r="BC221" s="93">
        <f>IF(AND($T221=1,BC$5&lt;=$H221),INDEX(Mortality!$B$4:$E$64,MATCH($D221+BC$5-1,Mortality!$A$4:$A$64,0),$U221)*$V221*$N221,0)</f>
        <v>8.3631850313482196E-4</v>
      </c>
      <c r="BD221" s="93">
        <f>IF(AND($T221=1,BD$5&lt;=$H221),INDEX(Mortality!$B$4:$E$64,MATCH($D221+BD$5-1,Mortality!$A$4:$A$64,0),$U221)*$V221*$N221,0)</f>
        <v>9.0597301890323197E-4</v>
      </c>
      <c r="BE221" s="93">
        <f>IF(AND($T221=1,BE$5&lt;=$H221),INDEX(Mortality!$B$4:$E$64,MATCH($D221+BE$5-1,Mortality!$A$4:$A$64,0),$U221)*$V221*$N221,0)</f>
        <v>9.8142885504031189E-4</v>
      </c>
      <c r="BF221" s="93">
        <f>IF(AND($T221=1,BF$5&lt;=$H221),INDEX(Mortality!$B$4:$E$64,MATCH($D221+BF$5-1,Mortality!$A$4:$A$64,0),$U221)*$V221*$N221,0)</f>
        <v>1.06316918650821E-3</v>
      </c>
      <c r="BG221" s="93">
        <f>IF(AND($T221=1,BG$5&lt;=$H221),INDEX(Mortality!$B$4:$E$64,MATCH($D221+BG$5-1,Mortality!$A$4:$A$64,0),$U221)*$V221*$N221,0)</f>
        <v>1.1517174304948501E-3</v>
      </c>
      <c r="BH221" s="93">
        <f>IF(AND($T221=1,BH$5&lt;=$H221),INDEX(Mortality!$B$4:$E$64,MATCH($D221+BH$5-1,Mortality!$A$4:$A$64,0),$U221)*$V221*$N221,0)</f>
        <v>1.24764059807091E-3</v>
      </c>
      <c r="BI221" s="93">
        <f>IF(AND($T221=1,BI$5&lt;=$H221),INDEX(Mortality!$B$4:$E$64,MATCH($D221+BI$5-1,Mortality!$A$4:$A$64,0),$U221)*$V221*$N221,0)</f>
        <v>1.3515529249964601E-3</v>
      </c>
      <c r="BJ221" s="93">
        <f>IF(AND($T221=1,BJ$5&lt;=$H221),INDEX(Mortality!$B$4:$E$64,MATCH($D221+BJ$5-1,Mortality!$A$4:$A$64,0),$U221)*$V221*$N221,0)</f>
        <v>0</v>
      </c>
      <c r="BK221" s="93">
        <f>IF(AND($T221=1,BK$5&lt;=$H221),INDEX(Mortality!$B$4:$E$64,MATCH($D221+BK$5-1,Mortality!$A$4:$A$64,0),$U221)*$V221*$N221,0)</f>
        <v>0</v>
      </c>
      <c r="BL221" s="93">
        <f>IF(AND($T221=1,BL$5&lt;=$H221),INDEX(Mortality!$B$4:$E$64,MATCH($D221+BL$5-1,Mortality!$A$4:$A$64,0),$U221)*$V221*$N221,0)</f>
        <v>0</v>
      </c>
      <c r="BM221" s="93">
        <f>IF(AND($T221=1,BM$5&lt;=$H221),INDEX(Mortality!$B$4:$E$64,MATCH($D221+BM$5-1,Mortality!$A$4:$A$64,0),$U221)*$V221*$N221,0)</f>
        <v>0</v>
      </c>
      <c r="BN221" s="93">
        <f>IF(AND($T221=1,BN$5&lt;=$H221),INDEX(Mortality!$B$4:$E$64,MATCH($D221+BN$5-1,Mortality!$A$4:$A$64,0),$U221)*$V221*$N221,0)</f>
        <v>0</v>
      </c>
      <c r="BO221" s="93">
        <f>IF(AND($T221=1,BO$5&lt;=$H221),INDEX(Mortality!$B$4:$E$64,MATCH($D221+BO$5-1,Mortality!$A$4:$A$64,0),$U221)*$V221*$N221,0)</f>
        <v>0</v>
      </c>
      <c r="BP221" s="93">
        <f>IF(AND($T221=1,BP$5&lt;=$H221),INDEX(Mortality!$B$4:$E$64,MATCH($D221+BP$5-1,Mortality!$A$4:$A$64,0),$U221)*$V221*$N221,0)</f>
        <v>0</v>
      </c>
      <c r="BQ221" s="93">
        <f>IF(AND($T221=1,BQ$5&lt;=$H221),INDEX(Mortality!$B$4:$E$64,MATCH($D221+BQ$5-1,Mortality!$A$4:$A$64,0),$U221)*$V221*$N221,0)</f>
        <v>0</v>
      </c>
      <c r="BR221" s="93">
        <f>IF(AND($T221=1,BR$5&lt;=$H221),INDEX(Mortality!$B$4:$E$64,MATCH($D221+BR$5-1,Mortality!$A$4:$A$64,0),$U221)*$V221*$N221,0)</f>
        <v>0</v>
      </c>
      <c r="BS221" s="93">
        <f>IF(AND($T221=1,BS$5&lt;=$H221),INDEX(Mortality!$B$4:$E$64,MATCH($D221+BS$5-1,Mortality!$A$4:$A$64,0),$U221)*$V221*$N221,0)</f>
        <v>0</v>
      </c>
      <c r="BT221" s="93">
        <f>IF(AND($T221=1,BT$5&lt;=$H221),INDEX(Mortality!$B$4:$E$64,MATCH($D221+BT$5-1,Mortality!$A$4:$A$64,0),$U221)*$V221*$N221,0)</f>
        <v>0</v>
      </c>
      <c r="BU221" s="93">
        <f>IF(AND($T221=1,BU$5&lt;=$H221),INDEX(Mortality!$B$4:$E$64,MATCH($D221+BU$5-1,Mortality!$A$4:$A$64,0),$U221)*$V221*$N221,0)</f>
        <v>0</v>
      </c>
      <c r="BV221" s="93">
        <f>IF(AND($T221=1,BV$5&lt;=$H221),INDEX(Mortality!$B$4:$E$64,MATCH($D221+BV$5-1,Mortality!$A$4:$A$64,0),$U221)*$V221*$N221,0)</f>
        <v>0</v>
      </c>
      <c r="BW221" s="93">
        <f>IF(AND($T221=1,BW$5&lt;=$H221),INDEX(Mortality!$B$4:$E$64,MATCH($D221+BW$5-1,Mortality!$A$4:$A$64,0),$U221)*$V221*$N221,0)</f>
        <v>0</v>
      </c>
      <c r="BX221" s="93">
        <f>IF(AND($T221=1,BX$5&lt;=$H221),INDEX(Mortality!$B$4:$E$64,MATCH($D221+BX$5-1,Mortality!$A$4:$A$64,0),$U221)*$V221*$N221,0)</f>
        <v>0</v>
      </c>
      <c r="BY221" s="93">
        <f>IF(AND($T221=1,BY$5&lt;=$H221),INDEX(Mortality!$B$4:$E$64,MATCH($D221+BY$5-1,Mortality!$A$4:$A$64,0),$U221)*$V221*$N221,0)</f>
        <v>0</v>
      </c>
      <c r="BZ221" s="93">
        <f>IF(AND($T221=1,BZ$5&lt;=$H221),INDEX(Mortality!$B$4:$E$64,MATCH($D221+BZ$5-1,Mortality!$A$4:$A$64,0),$U221)*$V221*$N221,0)</f>
        <v>0</v>
      </c>
      <c r="CA221" s="93">
        <f>IF(AND($T221=1,CA$5&lt;=$H221),INDEX(Mortality!$B$4:$E$64,MATCH($D221+CA$5-1,Mortality!$A$4:$A$64,0),$U221)*$V221*$N221,0)</f>
        <v>0</v>
      </c>
      <c r="CB221" s="93">
        <f>IF(AND($T221=1,CB$5&lt;=$H221),INDEX(Mortality!$B$4:$E$64,MATCH($D221+CB$5-1,Mortality!$A$4:$A$64,0),$U221)*$V221*$N221,0)</f>
        <v>0</v>
      </c>
      <c r="CC221" s="93">
        <f>IF(AND($T221=1,CC$5&lt;=$H221),INDEX(Mortality!$B$4:$E$64,MATCH($D221+CC$5-1,Mortality!$A$4:$A$64,0),$U221)*$V221*$N221,0)</f>
        <v>0</v>
      </c>
      <c r="CD221" s="93">
        <f>IF(AND($T221=1,CD$5&lt;=$H221),INDEX(Mortality!$B$4:$E$64,MATCH($D221+CD$5-1,Mortality!$A$4:$A$64,0),$U221)*$V221*$N221,0)</f>
        <v>0</v>
      </c>
      <c r="CE221" s="93">
        <f>IF(AND($T221=1,CE$5&lt;=$H221),INDEX(Mortality!$B$4:$E$64,MATCH($D221+CE$5-1,Mortality!$A$4:$A$64,0),$U221)*$V221*$N221,0)</f>
        <v>0</v>
      </c>
      <c r="CF221" s="93">
        <f>IF(AND($T221=1,CF$5&lt;=$H221),INDEX(Mortality!$B$4:$E$64,MATCH($D221+CF$5-1,Mortality!$A$4:$A$64,0),$U221)*$V221*$N221,0)</f>
        <v>0</v>
      </c>
      <c r="CG221" s="93">
        <f>IF(AND($T221=1,CG$5&lt;=$H221),INDEX(Mortality!$B$4:$E$64,MATCH($D221+CG$5-1,Mortality!$A$4:$A$64,0),$U221)*$V221*$N221,0)</f>
        <v>0</v>
      </c>
      <c r="CH221" s="94">
        <f>IF(AND($T221=1,CH$5&lt;=$H221),INDEX(Mortality!$B$4:$E$64,MATCH($D221+CH$5-1,Mortality!$A$4:$A$64,0),$U221)*$V221*$N221,0)</f>
        <v>0</v>
      </c>
      <c r="CI221" s="26"/>
      <c r="CJ221" s="419">
        <f t="shared" si="71"/>
        <v>1</v>
      </c>
      <c r="CK221" s="93">
        <f>IF(AND($T221=1,CK$5&lt;=$H221),CJ221*(1-AU221)*(1-MIN(1,MAX(Assumptions!$C$27,Assumptions!$C$13*Assumptions!$C$28^(CJ$5-1))*$O221)),0)</f>
        <v>0.87961193371850477</v>
      </c>
      <c r="CL221" s="93">
        <f>IF(AND($T221=1,CL$5&lt;=$H221),CK221*(1-AV221)*(1-MIN(1,MAX(Assumptions!$C$27,Assumptions!$C$13*Assumptions!$C$28^(CK$5-1))*$O221)),0)</f>
        <v>0.78951417526286238</v>
      </c>
      <c r="CM221" s="93">
        <f>IF(AND($T221=1,CM$5&lt;=$H221),CL221*(1-AW221)*(1-MIN(1,MAX(Assumptions!$C$27,Assumptions!$C$13*Assumptions!$C$28^(CL$5-1))*$O221)),0)</f>
        <v>0.72069014601175385</v>
      </c>
      <c r="CN221" s="93">
        <f>IF(AND($T221=1,CN$5&lt;=$H221),CM221*(1-AX221)*(1-MIN(1,MAX(Assumptions!$C$27,Assumptions!$C$13*Assumptions!$C$28^(CM$5-1))*$O221)),0)</f>
        <v>0.66720464027211424</v>
      </c>
      <c r="CO221" s="93">
        <f>IF(AND($T221=1,CO$5&lt;=$H221),CN221*(1-AY221)*(1-MIN(1,MAX(Assumptions!$C$27,Assumptions!$C$13*Assumptions!$C$28^(CN$5-1))*$O221)),0)</f>
        <v>0.62503063452204499</v>
      </c>
      <c r="CP221" s="93">
        <f>IF(AND($T221=1,CP$5&lt;=$H221),CO221*(1-AZ221)*(1-MIN(1,MAX(Assumptions!$C$27,Assumptions!$C$13*Assumptions!$C$28^(CO$5-1))*$O221)),0)</f>
        <v>0.59136180881176814</v>
      </c>
      <c r="CQ221" s="93">
        <f>IF(AND($T221=1,CQ$5&lt;=$H221),CP221*(1-BA221)*(1-MIN(1,MAX(Assumptions!$C$27,Assumptions!$C$13*Assumptions!$C$28^(CP$5-1))*$O221)),0)</f>
        <v>0.56419562199486195</v>
      </c>
      <c r="CR221" s="93">
        <f>IF(AND($T221=1,CR$5&lt;=$H221),CQ221*(1-BB221)*(1-MIN(1,MAX(Assumptions!$C$27,Assumptions!$C$13*Assumptions!$C$28^(CQ$5-1))*$O221)),0)</f>
        <v>0.54207262537756729</v>
      </c>
      <c r="CS221" s="93">
        <f>IF(AND($T221=1,CS$5&lt;=$H221),CR221*(1-BC221)*(1-MIN(1,MAX(Assumptions!$C$27,Assumptions!$C$13*Assumptions!$C$28^(CR$5-1))*$O221)),0)</f>
        <v>0.52390894537314658</v>
      </c>
      <c r="CT221" s="93">
        <f>IF(AND($T221=1,CT$5&lt;=$H221),CS221*(1-BD221)*(1-MIN(1,MAX(Assumptions!$C$27,Assumptions!$C$13*Assumptions!$C$28^(CS$5-1))*$O221)),0)</f>
        <v>0.50888594756223937</v>
      </c>
      <c r="CU221" s="93">
        <f>IF(AND($T221=1,CU$5&lt;=$H221),CT221*(1-BE221)*(1-MIN(1,MAX(Assumptions!$C$27,Assumptions!$C$13*Assumptions!$C$28^(CT$5-1))*$O221)),0)</f>
        <v>0.49637591719744784</v>
      </c>
      <c r="CV221" s="93">
        <f>IF(AND($T221=1,CV$5&lt;=$H221),CU221*(1-BF221)*(1-MIN(1,MAX(Assumptions!$C$27,Assumptions!$C$13*Assumptions!$C$28^(CU$5-1))*$O221)),0)</f>
        <v>0.48589096436630053</v>
      </c>
      <c r="CW221" s="93">
        <f>IF(AND($T221=1,CW$5&lt;=$H221),CV221*(1-BG221)*(1-MIN(1,MAX(Assumptions!$C$27,Assumptions!$C$13*Assumptions!$C$28^(CV$5-1))*$O221)),0)</f>
        <v>0.47562472816785356</v>
      </c>
      <c r="CX221" s="93">
        <f>IF(AND($T221=1,CX$5&lt;=$H221),CW221*(1-BH221)*(1-MIN(1,MAX(Assumptions!$C$27,Assumptions!$C$13*Assumptions!$C$28^(CW$5-1))*$O221)),0)</f>
        <v>0.46553069305859401</v>
      </c>
      <c r="CY221" s="93">
        <f>IF(AND($T221=1,CY$5&lt;=$H221),CX221*(1-BI221)*(1-MIN(1,MAX(Assumptions!$C$27,Assumptions!$C$13*Assumptions!$C$28^(CX$5-1))*$O221)),0)</f>
        <v>0</v>
      </c>
      <c r="CZ221" s="93">
        <f>IF(AND($T221=1,CZ$5&lt;=$H221),CY221*(1-BJ221)*(1-MIN(1,MAX(Assumptions!$C$27,Assumptions!$C$13*Assumptions!$C$28^(CY$5-1))*$O221)),0)</f>
        <v>0</v>
      </c>
      <c r="DA221" s="93">
        <f>IF(AND($T221=1,DA$5&lt;=$H221),CZ221*(1-BK221)*(1-MIN(1,MAX(Assumptions!$C$27,Assumptions!$C$13*Assumptions!$C$28^(CZ$5-1))*$O221)),0)</f>
        <v>0</v>
      </c>
      <c r="DB221" s="93">
        <f>IF(AND($T221=1,DB$5&lt;=$H221),DA221*(1-BL221)*(1-MIN(1,MAX(Assumptions!$C$27,Assumptions!$C$13*Assumptions!$C$28^(DA$5-1))*$O221)),0)</f>
        <v>0</v>
      </c>
      <c r="DC221" s="93">
        <f>IF(AND($T221=1,DC$5&lt;=$H221),DB221*(1-BM221)*(1-MIN(1,MAX(Assumptions!$C$27,Assumptions!$C$13*Assumptions!$C$28^(DB$5-1))*$O221)),0)</f>
        <v>0</v>
      </c>
      <c r="DD221" s="93">
        <f>IF(AND($T221=1,DD$5&lt;=$H221),DC221*(1-BN221)*(1-MIN(1,MAX(Assumptions!$C$27,Assumptions!$C$13*Assumptions!$C$28^(DC$5-1))*$O221)),0)</f>
        <v>0</v>
      </c>
      <c r="DE221" s="93">
        <f>IF(AND($T221=1,DE$5&lt;=$H221),DD221*(1-BO221)*(1-MIN(1,MAX(Assumptions!$C$27,Assumptions!$C$13*Assumptions!$C$28^(DD$5-1))*$O221)),0)</f>
        <v>0</v>
      </c>
      <c r="DF221" s="93">
        <f>IF(AND($T221=1,DF$5&lt;=$H221),DE221*(1-BP221)*(1-MIN(1,MAX(Assumptions!$C$27,Assumptions!$C$13*Assumptions!$C$28^(DE$5-1))*$O221)),0)</f>
        <v>0</v>
      </c>
      <c r="DG221" s="93">
        <f>IF(AND($T221=1,DG$5&lt;=$H221),DF221*(1-BQ221)*(1-MIN(1,MAX(Assumptions!$C$27,Assumptions!$C$13*Assumptions!$C$28^(DF$5-1))*$O221)),0)</f>
        <v>0</v>
      </c>
      <c r="DH221" s="93">
        <f>IF(AND($T221=1,DH$5&lt;=$H221),DG221*(1-BR221)*(1-MIN(1,MAX(Assumptions!$C$27,Assumptions!$C$13*Assumptions!$C$28^(DG$5-1))*$O221)),0)</f>
        <v>0</v>
      </c>
      <c r="DI221" s="93">
        <f>IF(AND($T221=1,DI$5&lt;=$H221),DH221*(1-BS221)*(1-MIN(1,MAX(Assumptions!$C$27,Assumptions!$C$13*Assumptions!$C$28^(DH$5-1))*$O221)),0)</f>
        <v>0</v>
      </c>
      <c r="DJ221" s="93">
        <f>IF(AND($T221=1,DJ$5&lt;=$H221),DI221*(1-BT221)*(1-MIN(1,MAX(Assumptions!$C$27,Assumptions!$C$13*Assumptions!$C$28^(DI$5-1))*$O221)),0)</f>
        <v>0</v>
      </c>
      <c r="DK221" s="93">
        <f>IF(AND($T221=1,DK$5&lt;=$H221),DJ221*(1-BU221)*(1-MIN(1,MAX(Assumptions!$C$27,Assumptions!$C$13*Assumptions!$C$28^(DJ$5-1))*$O221)),0)</f>
        <v>0</v>
      </c>
      <c r="DL221" s="93">
        <f>IF(AND($T221=1,DL$5&lt;=$H221),DK221*(1-BV221)*(1-MIN(1,MAX(Assumptions!$C$27,Assumptions!$C$13*Assumptions!$C$28^(DK$5-1))*$O221)),0)</f>
        <v>0</v>
      </c>
      <c r="DM221" s="93">
        <f>IF(AND($T221=1,DM$5&lt;=$H221),DL221*(1-BW221)*(1-MIN(1,MAX(Assumptions!$C$27,Assumptions!$C$13*Assumptions!$C$28^(DL$5-1))*$O221)),0)</f>
        <v>0</v>
      </c>
      <c r="DN221" s="93">
        <f>IF(AND($T221=1,DN$5&lt;=$H221),DM221*(1-BX221)*(1-MIN(1,MAX(Assumptions!$C$27,Assumptions!$C$13*Assumptions!$C$28^(DM$5-1))*$O221)),0)</f>
        <v>0</v>
      </c>
      <c r="DO221" s="93">
        <f>IF(AND($T221=1,DO$5&lt;=$H221),DN221*(1-BY221)*(1-MIN(1,MAX(Assumptions!$C$27,Assumptions!$C$13*Assumptions!$C$28^(DN$5-1))*$O221)),0)</f>
        <v>0</v>
      </c>
      <c r="DP221" s="93">
        <f>IF(AND($T221=1,DP$5&lt;=$H221),DO221*(1-BZ221)*(1-MIN(1,MAX(Assumptions!$C$27,Assumptions!$C$13*Assumptions!$C$28^(DO$5-1))*$O221)),0)</f>
        <v>0</v>
      </c>
      <c r="DQ221" s="93">
        <f>IF(AND($T221=1,DQ$5&lt;=$H221),DP221*(1-CA221)*(1-MIN(1,MAX(Assumptions!$C$27,Assumptions!$C$13*Assumptions!$C$28^(DP$5-1))*$O221)),0)</f>
        <v>0</v>
      </c>
      <c r="DR221" s="93">
        <f>IF(AND($T221=1,DR$5&lt;=$H221),DQ221*(1-CB221)*(1-MIN(1,MAX(Assumptions!$C$27,Assumptions!$C$13*Assumptions!$C$28^(DQ$5-1))*$O221)),0)</f>
        <v>0</v>
      </c>
      <c r="DS221" s="93">
        <f>IF(AND($T221=1,DS$5&lt;=$H221),DR221*(1-CC221)*(1-MIN(1,MAX(Assumptions!$C$27,Assumptions!$C$13*Assumptions!$C$28^(DR$5-1))*$O221)),0)</f>
        <v>0</v>
      </c>
      <c r="DT221" s="93">
        <f>IF(AND($T221=1,DT$5&lt;=$H221),DS221*(1-CD221)*(1-MIN(1,MAX(Assumptions!$C$27,Assumptions!$C$13*Assumptions!$C$28^(DS$5-1))*$O221)),0)</f>
        <v>0</v>
      </c>
      <c r="DU221" s="93">
        <f>IF(AND($T221=1,DU$5&lt;=$H221),DT221*(1-CE221)*(1-MIN(1,MAX(Assumptions!$C$27,Assumptions!$C$13*Assumptions!$C$28^(DT$5-1))*$O221)),0)</f>
        <v>0</v>
      </c>
      <c r="DV221" s="93">
        <f>IF(AND($T221=1,DV$5&lt;=$H221),DU221*(1-CF221)*(1-MIN(1,MAX(Assumptions!$C$27,Assumptions!$C$13*Assumptions!$C$28^(DU$5-1))*$O221)),0)</f>
        <v>0</v>
      </c>
      <c r="DW221" s="94">
        <f>IF(AND($T221=1,DW$5&lt;=$H221),DV221*(1-CG221)*(1-MIN(1,MAX(Assumptions!$C$27,Assumptions!$C$13*Assumptions!$C$28^(DV$5-1))*$O221)),0)</f>
        <v>0</v>
      </c>
      <c r="DX221" s="26"/>
      <c r="DY221" s="399">
        <f>'Policy Data'!K195</f>
        <v>7</v>
      </c>
      <c r="DZ221" s="100">
        <f>'Policy Data'!L195</f>
        <v>0.84470000000000001</v>
      </c>
      <c r="EA221" s="100">
        <f>'Policy Data'!N195</f>
        <v>3.7300000000000001E-4</v>
      </c>
      <c r="EB221" s="93" cm="1">
        <f t="array" ref="EB221">IFERROR(DZ221*INDEX(Mortality!$B$4:$E$64,MATCH(D221+DY221-1,Mortality!$A$4:$A$64,0),U221)*V221,0)</f>
        <v>6.0198695816164691E-4</v>
      </c>
      <c r="EC221" s="100">
        <f>'Policy Data'!O195</f>
        <v>0</v>
      </c>
      <c r="ED221" s="400">
        <f>'Policy Data'!Q195</f>
        <v>0</v>
      </c>
    </row>
    <row r="222" spans="1:134" x14ac:dyDescent="0.3">
      <c r="A222" s="399" t="str">
        <f>'Policy Data'!A196</f>
        <v>POL100192</v>
      </c>
      <c r="B222" s="26" t="s">
        <v>426</v>
      </c>
      <c r="C222" s="100" t="str">
        <f>'Policy Data'!B196</f>
        <v>Term Life</v>
      </c>
      <c r="D222" s="100">
        <f>'Policy Data'!C196</f>
        <v>47</v>
      </c>
      <c r="E222" s="100" t="str">
        <f>'Policy Data'!D196</f>
        <v>Female</v>
      </c>
      <c r="F222" s="100" t="str">
        <f>'Policy Data'!E196</f>
        <v>Non-smoker</v>
      </c>
      <c r="G222" s="100" t="str">
        <f>'Policy Data'!F196</f>
        <v>Preferred</v>
      </c>
      <c r="H222" s="100">
        <f>'Policy Data'!G196</f>
        <v>25</v>
      </c>
      <c r="I222" s="279">
        <f>'Policy Data'!H196</f>
        <v>250000</v>
      </c>
      <c r="J222" s="100" t="str">
        <f>'Policy Data'!I196</f>
        <v>Annual</v>
      </c>
      <c r="K222" s="100" t="str">
        <f>'Policy Data'!J196</f>
        <v>Bancassurance</v>
      </c>
      <c r="L222" s="26" t="s">
        <v>389</v>
      </c>
      <c r="M222" s="106">
        <f>'Policy Data'!R196</f>
        <v>1200</v>
      </c>
      <c r="N222" s="415">
        <f>Assumptions!$C$21</f>
        <v>1</v>
      </c>
      <c r="O222" s="415">
        <f>Assumptions!$C$22</f>
        <v>1</v>
      </c>
      <c r="P222" s="415">
        <f>Assumptions!$C$23</f>
        <v>1</v>
      </c>
      <c r="Q222" s="416">
        <f>Assumptions!$C$24</f>
        <v>0</v>
      </c>
      <c r="R222" s="416">
        <f>Assumptions!$C$6+Assumptions!$C$25</f>
        <v>3.5000000000000003E-2</v>
      </c>
      <c r="S222" s="416">
        <f>Assumptions!$C$15</f>
        <v>1.1000000000000001E-3</v>
      </c>
      <c r="T222" s="26">
        <f t="shared" ref="T222:T279" si="72">IF(AND($C222="Term Life",ISNUMBER($D222),$D222&gt;=20,$D222=INT($D222),$H222&gt;=1,$H222&lt;=40,$D222+$H222-1&lt;=80,$I222&gt;0,$N222&gt;=0,$O222&gt;=0,$P222&gt;=0,$R222&gt;-1),1,0)</f>
        <v>1</v>
      </c>
      <c r="U222" s="26">
        <f t="shared" ref="U222:U279" si="73">IF($E222="Female",IF($F222="Non-smoker",1,2),IF($F222="Non-smoker",3,4))</f>
        <v>1</v>
      </c>
      <c r="V222" s="389">
        <f>IF($G222="Preferred",Assumptions!$C$30,IF($G222="Rated",Assumptions!$C$31,1))</f>
        <v>0.8</v>
      </c>
      <c r="W222" s="390">
        <f>IF($K222="Direct",Assumptions!$C$32,IF($K222="Broker",Assumptions!$C$33,IF($K222="Bancassurance",Assumptions!$C$34,Assumptions!$C$11)))+$Q222</f>
        <v>0.2</v>
      </c>
      <c r="X222" s="390">
        <f>Assumptions!$C$12+$Q222</f>
        <v>0.05</v>
      </c>
      <c r="Y222" s="131">
        <f>MIN($I222,Assumptions!$C$14)</f>
        <v>250000</v>
      </c>
      <c r="Z222" s="131">
        <f>MAX($I222-Assumptions!$C$14,0)</f>
        <v>0</v>
      </c>
      <c r="AA222" s="389">
        <f t="shared" ref="AA222:AA279" si="74">IF($T222=1,SUMPRODUCT($CJ222:$DW222,(1+$R222)^(-$CJ$5:$DW$5)),0)</f>
        <v>9.3746516607665384</v>
      </c>
      <c r="AB222" s="389">
        <f t="shared" ref="AB222:AB279" si="75">IF($T222=1,SUMPRODUCT($CJ222:$DW222,$AU222:$CH222,(1+$R222)^(-$CJ$5:$DW$5)),0)</f>
        <v>2.550158238358911E-2</v>
      </c>
      <c r="AC222" s="389">
        <f>IF($T222=1,SUMPRODUCT($CJ222:$DW222,(1+Assumptions!$C$5)^($CJ$5:$DW$5-1),(1+$R222)^(-$CJ$5:$DW$5)),0)</f>
        <v>13.461295466369712</v>
      </c>
      <c r="AD222" s="389">
        <f t="shared" ref="AD222:AD279" si="76">IF($T222=1,$W222/(1+$R222)+$X222*($AA222-1/(1+$R222)),0)</f>
        <v>0.61366011927021091</v>
      </c>
      <c r="AE222" s="131">
        <f>IF($T222=1,$AB222*$Y222+(Assumptions!$C$9/(1+$R222)+Assumptions!$C$10*$AC222)*$P222+$S222*$Z222*$AA222,0)</f>
        <v>10206.445815889918</v>
      </c>
      <c r="AF222" s="131">
        <f>IF($T222=1,IF($AA222-$AD222-Assumptions!$C$16*$AA222&gt;0,$AE222/($AA222-$AD222-Assumptions!$C$16*$AA222)*IF($J222="Monthly",1+Assumptions!$C$29,1),"n.a."),"")</f>
        <v>1274.0508161656035</v>
      </c>
      <c r="AG222" s="131">
        <f t="shared" ref="AG222:AG279" si="77">IF($T222=1,IF($L222="Technical",$AF222,$M222),"")</f>
        <v>1200</v>
      </c>
      <c r="AH222" s="131">
        <f t="shared" ref="AH222:AH279" si="78">IF($T222=1,$AG222*$AA222,"")</f>
        <v>11249.581992919846</v>
      </c>
      <c r="AI222" s="131">
        <f t="shared" ref="AI222:AI279" si="79">IF($T222=1,$AG222*($AA222-$AD222)-$AE222,"")</f>
        <v>306.74403390567568</v>
      </c>
      <c r="AJ222" s="390">
        <f t="shared" ref="AJ222:AJ279" si="80">IF($T222=1,IF($AH222=0,"",$AI222/$AH222),"")</f>
        <v>2.7267149490419404E-2</v>
      </c>
      <c r="AK222" s="389">
        <f t="shared" ref="AK222:AK279" si="81">IF(AND($T222=1,ISNUMBER($AF222)),$M222/$AF222,"")</f>
        <v>0.94187765886099617</v>
      </c>
      <c r="AL222" s="131">
        <f t="shared" ref="AL222:AL279" si="82">IF($T222=1,$AB222*$Z222,"")</f>
        <v>0</v>
      </c>
      <c r="AM222" s="131">
        <f t="shared" ref="AM222:AM279" si="83">IF($T222=1,$S222*$Z222*$AA222,"")</f>
        <v>0</v>
      </c>
      <c r="AN222" s="131">
        <f t="shared" ref="AN222:AN279" si="84">IF($T222=1,$AL222-$AM222,"")</f>
        <v>0</v>
      </c>
      <c r="AO222" s="131">
        <f t="shared" ref="AO222:AO279" si="85">IF($T222=1,$AI222-$AN222,"")</f>
        <v>306.74403390567568</v>
      </c>
      <c r="AP222" s="26" t="str">
        <f t="shared" ref="AP222:AP279" si="86">IF($D222&lt;30,"20-29",IF($D222&lt;40,"30-39",IF($D222&lt;50,"40-49",IF($D222&lt;60,"50-59","60+"))))</f>
        <v>40-49</v>
      </c>
      <c r="AQ222" s="26" t="str">
        <f t="shared" ref="AQ222:AQ279" si="87">IF($I222&lt;=250000,"Up to 250k",IF($I222&lt;=500000,"250k-500k",IF($I222&lt;=1000000,"500k-1m","Over 1m")))</f>
        <v>Up to 250k</v>
      </c>
      <c r="AR222" s="26" t="str">
        <f>IF($T222=1,IF($AI222&lt;0,"Loss-making",IF($AJ222&lt;Assumptions!$C$16-0.00001,"Below target","At/above target")),"Excluded")</f>
        <v>Below target</v>
      </c>
      <c r="AS222" s="103">
        <f t="shared" ref="AS222:AS279" si="88">IF($T222=1,$AI222+ROW()/1000000,1E+99)</f>
        <v>306.74425590567569</v>
      </c>
      <c r="AT222" s="26"/>
      <c r="AU222" s="419">
        <f>IF(AND($T222=1,AU$5&lt;=$H222),INDEX(Mortality!$B$4:$E$64,MATCH($D222+AU$5-1,Mortality!$A$4:$A$64,0),$U222)*$V222*$N222,0)</f>
        <v>1.1922351503493361E-3</v>
      </c>
      <c r="AV222" s="93">
        <f>IF(AND($T222=1,AV$5&lt;=$H222),INDEX(Mortality!$B$4:$E$64,MATCH($D222+AV$5-1,Mortality!$A$4:$A$64,0),$U222)*$V222*$N222,0)</f>
        <v>1.2915329200009441E-3</v>
      </c>
      <c r="AW222" s="93">
        <f>IF(AND($T222=1,AW$5&lt;=$H222),INDEX(Mortality!$B$4:$E$64,MATCH($D222+AW$5-1,Mortality!$A$4:$A$64,0),$U222)*$V222*$N222,0)</f>
        <v>1.3991009097135041E-3</v>
      </c>
      <c r="AX222" s="93">
        <f>IF(AND($T222=1,AX$5&lt;=$H222),INDEX(Mortality!$B$4:$E$64,MATCH($D222+AX$5-1,Mortality!$A$4:$A$64,0),$U222)*$V222*$N222,0)</f>
        <v>1.5156279218649042E-3</v>
      </c>
      <c r="AY222" s="93">
        <f>IF(AND($T222=1,AY$5&lt;=$H222),INDEX(Mortality!$B$4:$E$64,MATCH($D222+AY$5-1,Mortality!$A$4:$A$64,0),$U222)*$V222*$N222,0)</f>
        <v>1.641860127163328E-3</v>
      </c>
      <c r="AZ222" s="93">
        <f>IF(AND($T222=1,AZ$5&lt;=$H222),INDEX(Mortality!$B$4:$E$64,MATCH($D222+AZ$5-1,Mortality!$A$4:$A$64,0),$U222)*$V222*$N222,0)</f>
        <v>1.7786058426871921E-3</v>
      </c>
      <c r="BA222" s="93">
        <f>IF(AND($T222=1,BA$5&lt;=$H222),INDEX(Mortality!$B$4:$E$64,MATCH($D222+BA$5-1,Mortality!$A$4:$A$64,0),$U222)*$V222*$N222,0)</f>
        <v>1.92674070787416E-3</v>
      </c>
      <c r="BB222" s="93">
        <f>IF(AND($T222=1,BB$5&lt;=$H222),INDEX(Mortality!$B$4:$E$64,MATCH($D222+BB$5-1,Mortality!$A$4:$A$64,0),$U222)*$V222*$N222,0)</f>
        <v>2.087213291602968E-3</v>
      </c>
      <c r="BC222" s="93">
        <f>IF(AND($T222=1,BC$5&lt;=$H222),INDEX(Mortality!$B$4:$E$64,MATCH($D222+BC$5-1,Mortality!$A$4:$A$64,0),$U222)*$V222*$N222,0)</f>
        <v>2.2610511662727764E-3</v>
      </c>
      <c r="BD222" s="93">
        <f>IF(AND($T222=1,BD$5&lt;=$H222),INDEX(Mortality!$B$4:$E$64,MATCH($D222+BD$5-1,Mortality!$A$4:$A$64,0),$U222)*$V222*$N222,0)</f>
        <v>2.4493674877746879E-3</v>
      </c>
      <c r="BE222" s="93">
        <f>IF(AND($T222=1,BE$5&lt;=$H222),INDEX(Mortality!$B$4:$E$64,MATCH($D222+BE$5-1,Mortality!$A$4:$A$64,0),$U222)*$V222*$N222,0)</f>
        <v>2.6533681234898162E-3</v>
      </c>
      <c r="BF222" s="93">
        <f>IF(AND($T222=1,BF$5&lt;=$H222),INDEX(Mortality!$B$4:$E$64,MATCH($D222+BF$5-1,Mortality!$A$4:$A$64,0),$U222)*$V222*$N222,0)</f>
        <v>2.8743593739574964E-3</v>
      </c>
      <c r="BG222" s="93">
        <f>IF(AND($T222=1,BG$5&lt;=$H222),INDEX(Mortality!$B$4:$E$64,MATCH($D222+BG$5-1,Mortality!$A$4:$A$64,0),$U222)*$V222*$N222,0)</f>
        <v>3.1137563376584399E-3</v>
      </c>
      <c r="BH222" s="93">
        <f>IF(AND($T222=1,BH$5&lt;=$H222),INDEX(Mortality!$B$4:$E$64,MATCH($D222+BH$5-1,Mortality!$A$4:$A$64,0),$U222)*$V222*$N222,0)</f>
        <v>3.3730919724763286E-3</v>
      </c>
      <c r="BI222" s="93">
        <f>IF(AND($T222=1,BI$5&lt;=$H222),INDEX(Mortality!$B$4:$E$64,MATCH($D222+BI$5-1,Mortality!$A$4:$A$64,0),$U222)*$V222*$N222,0)</f>
        <v>3.6540269118618242E-3</v>
      </c>
      <c r="BJ222" s="93">
        <f>IF(AND($T222=1,BJ$5&lt;=$H222),INDEX(Mortality!$B$4:$E$64,MATCH($D222+BJ$5-1,Mortality!$A$4:$A$64,0),$U222)*$V222*$N222,0)</f>
        <v>3.9583600985561842E-3</v>
      </c>
      <c r="BK222" s="93">
        <f>IF(AND($T222=1,BK$5&lt;=$H222),INDEX(Mortality!$B$4:$E$64,MATCH($D222+BK$5-1,Mortality!$A$4:$A$64,0),$U222)*$V222*$N222,0)</f>
        <v>4.2880403039664882E-3</v>
      </c>
      <c r="BL222" s="93">
        <f>IF(AND($T222=1,BL$5&lt;=$H222),INDEX(Mortality!$B$4:$E$64,MATCH($D222+BL$5-1,Mortality!$A$4:$A$64,0),$U222)*$V222*$N222,0)</f>
        <v>4.6451786069558959E-3</v>
      </c>
      <c r="BM222" s="93">
        <f>IF(AND($T222=1,BM$5&lt;=$H222),INDEX(Mortality!$B$4:$E$64,MATCH($D222+BM$5-1,Mortality!$A$4:$A$64,0),$U222)*$V222*$N222,0)</f>
        <v>5.0320619119556959E-3</v>
      </c>
      <c r="BN222" s="93">
        <f>IF(AND($T222=1,BN$5&lt;=$H222),INDEX(Mortality!$B$4:$E$64,MATCH($D222+BN$5-1,Mortality!$A$4:$A$64,0),$U222)*$V222*$N222,0)</f>
        <v>5.4511675929613361E-3</v>
      </c>
      <c r="BO222" s="93">
        <f>IF(AND($T222=1,BO$5&lt;=$H222),INDEX(Mortality!$B$4:$E$64,MATCH($D222+BO$5-1,Mortality!$A$4:$A$64,0),$U222)*$V222*$N222,0)</f>
        <v>5.9051793571838406E-3</v>
      </c>
      <c r="BP222" s="93">
        <f>IF(AND($T222=1,BP$5&lt;=$H222),INDEX(Mortality!$B$4:$E$64,MATCH($D222+BP$5-1,Mortality!$A$4:$A$64,0),$U222)*$V222*$N222,0)</f>
        <v>6.3970044299383848E-3</v>
      </c>
      <c r="BQ222" s="93">
        <f>IF(AND($T222=1,BQ$5&lt;=$H222),INDEX(Mortality!$B$4:$E$64,MATCH($D222+BQ$5-1,Mortality!$A$4:$A$64,0),$U222)*$V222*$N222,0)</f>
        <v>6.9297921708116718E-3</v>
      </c>
      <c r="BR222" s="93">
        <f>IF(AND($T222=1,BR$5&lt;=$H222),INDEX(Mortality!$B$4:$E$64,MATCH($D222+BR$5-1,Mortality!$A$4:$A$64,0),$U222)*$V222*$N222,0)</f>
        <v>7.5069542403154643E-3</v>
      </c>
      <c r="BS222" s="93">
        <f>IF(AND($T222=1,BS$5&lt;=$H222),INDEX(Mortality!$B$4:$E$64,MATCH($D222+BS$5-1,Mortality!$A$4:$A$64,0),$U222)*$V222*$N222,0)</f>
        <v>8.132186446161439E-3</v>
      </c>
      <c r="BT222" s="93">
        <f>IF(AND($T222=1,BT$5&lt;=$H222),INDEX(Mortality!$B$4:$E$64,MATCH($D222+BT$5-1,Mortality!$A$4:$A$64,0),$U222)*$V222*$N222,0)</f>
        <v>0</v>
      </c>
      <c r="BU222" s="93">
        <f>IF(AND($T222=1,BU$5&lt;=$H222),INDEX(Mortality!$B$4:$E$64,MATCH($D222+BU$5-1,Mortality!$A$4:$A$64,0),$U222)*$V222*$N222,0)</f>
        <v>0</v>
      </c>
      <c r="BV222" s="93">
        <f>IF(AND($T222=1,BV$5&lt;=$H222),INDEX(Mortality!$B$4:$E$64,MATCH($D222+BV$5-1,Mortality!$A$4:$A$64,0),$U222)*$V222*$N222,0)</f>
        <v>0</v>
      </c>
      <c r="BW222" s="93">
        <f>IF(AND($T222=1,BW$5&lt;=$H222),INDEX(Mortality!$B$4:$E$64,MATCH($D222+BW$5-1,Mortality!$A$4:$A$64,0),$U222)*$V222*$N222,0)</f>
        <v>0</v>
      </c>
      <c r="BX222" s="93">
        <f>IF(AND($T222=1,BX$5&lt;=$H222),INDEX(Mortality!$B$4:$E$64,MATCH($D222+BX$5-1,Mortality!$A$4:$A$64,0),$U222)*$V222*$N222,0)</f>
        <v>0</v>
      </c>
      <c r="BY222" s="93">
        <f>IF(AND($T222=1,BY$5&lt;=$H222),INDEX(Mortality!$B$4:$E$64,MATCH($D222+BY$5-1,Mortality!$A$4:$A$64,0),$U222)*$V222*$N222,0)</f>
        <v>0</v>
      </c>
      <c r="BZ222" s="93">
        <f>IF(AND($T222=1,BZ$5&lt;=$H222),INDEX(Mortality!$B$4:$E$64,MATCH($D222+BZ$5-1,Mortality!$A$4:$A$64,0),$U222)*$V222*$N222,0)</f>
        <v>0</v>
      </c>
      <c r="CA222" s="93">
        <f>IF(AND($T222=1,CA$5&lt;=$H222),INDEX(Mortality!$B$4:$E$64,MATCH($D222+CA$5-1,Mortality!$A$4:$A$64,0),$U222)*$V222*$N222,0)</f>
        <v>0</v>
      </c>
      <c r="CB222" s="93">
        <f>IF(AND($T222=1,CB$5&lt;=$H222),INDEX(Mortality!$B$4:$E$64,MATCH($D222+CB$5-1,Mortality!$A$4:$A$64,0),$U222)*$V222*$N222,0)</f>
        <v>0</v>
      </c>
      <c r="CC222" s="93">
        <f>IF(AND($T222=1,CC$5&lt;=$H222),INDEX(Mortality!$B$4:$E$64,MATCH($D222+CC$5-1,Mortality!$A$4:$A$64,0),$U222)*$V222*$N222,0)</f>
        <v>0</v>
      </c>
      <c r="CD222" s="93">
        <f>IF(AND($T222=1,CD$5&lt;=$H222),INDEX(Mortality!$B$4:$E$64,MATCH($D222+CD$5-1,Mortality!$A$4:$A$64,0),$U222)*$V222*$N222,0)</f>
        <v>0</v>
      </c>
      <c r="CE222" s="93">
        <f>IF(AND($T222=1,CE$5&lt;=$H222),INDEX(Mortality!$B$4:$E$64,MATCH($D222+CE$5-1,Mortality!$A$4:$A$64,0),$U222)*$V222*$N222,0)</f>
        <v>0</v>
      </c>
      <c r="CF222" s="93">
        <f>IF(AND($T222=1,CF$5&lt;=$H222),INDEX(Mortality!$B$4:$E$64,MATCH($D222+CF$5-1,Mortality!$A$4:$A$64,0),$U222)*$V222*$N222,0)</f>
        <v>0</v>
      </c>
      <c r="CG222" s="93">
        <f>IF(AND($T222=1,CG$5&lt;=$H222),INDEX(Mortality!$B$4:$E$64,MATCH($D222+CG$5-1,Mortality!$A$4:$A$64,0),$U222)*$V222*$N222,0)</f>
        <v>0</v>
      </c>
      <c r="CH222" s="94">
        <f>IF(AND($T222=1,CH$5&lt;=$H222),INDEX(Mortality!$B$4:$E$64,MATCH($D222+CH$5-1,Mortality!$A$4:$A$64,0),$U222)*$V222*$N222,0)</f>
        <v>0</v>
      </c>
      <c r="CI222" s="26"/>
      <c r="CJ222" s="419">
        <f t="shared" ref="CJ222:CJ279" si="89">IF($T222=1,1,0)</f>
        <v>1</v>
      </c>
      <c r="CK222" s="93">
        <f>IF(AND($T222=1,CK$5&lt;=$H222),CJ222*(1-AU222)*(1-MIN(1,MAX(Assumptions!$C$27,Assumptions!$C$13*Assumptions!$C$28^(CJ$5-1))*$O222)),0)</f>
        <v>0.87895083306769251</v>
      </c>
      <c r="CL222" s="93">
        <f>IF(AND($T222=1,CL$5&lt;=$H222),CK222*(1-AV222)*(1-MIN(1,MAX(Assumptions!$C$27,Assumptions!$C$13*Assumptions!$C$28^(CK$5-1))*$O222)),0)</f>
        <v>0.78827844394028757</v>
      </c>
      <c r="CM222" s="93">
        <f>IF(AND($T222=1,CM$5&lt;=$H222),CL222*(1-AW222)*(1-MIN(1,MAX(Assumptions!$C$27,Assumptions!$C$13*Assumptions!$C$28^(CL$5-1))*$O222)),0)</f>
        <v>0.71892744155297195</v>
      </c>
      <c r="CN222" s="93">
        <f>IF(AND($T222=1,CN$5&lt;=$H222),CM222*(1-AX222)*(1-MIN(1,MAX(Assumptions!$C$27,Assumptions!$C$13*Assumptions!$C$28^(CM$5-1))*$O222)),0)</f>
        <v>0.66493675726874113</v>
      </c>
      <c r="CO222" s="93">
        <f>IF(AND($T222=1,CO$5&lt;=$H222),CN222*(1-AY222)*(1-MIN(1,MAX(Assumptions!$C$27,Assumptions!$C$13*Assumptions!$C$28^(CN$5-1))*$O222)),0)</f>
        <v>0.62226127392525787</v>
      </c>
      <c r="CP222" s="93">
        <f>IF(AND($T222=1,CP$5&lt;=$H222),CO222*(1-AZ222)*(1-MIN(1,MAX(Assumptions!$C$27,Assumptions!$C$13*Assumptions!$C$28^(CO$5-1))*$O222)),0)</f>
        <v>0.58808136933122146</v>
      </c>
      <c r="CQ222" s="93">
        <f>IF(AND($T222=1,CQ$5&lt;=$H222),CP222*(1-BA222)*(1-MIN(1,MAX(Assumptions!$C$27,Assumptions!$C$13*Assumptions!$C$28^(CP$5-1))*$O222)),0)</f>
        <v>0.56038421746940892</v>
      </c>
      <c r="CR222" s="93">
        <f>IF(AND($T222=1,CR$5&lt;=$H222),CQ222*(1-BB222)*(1-MIN(1,MAX(Assumptions!$C$27,Assumptions!$C$13*Assumptions!$C$28^(CQ$5-1))*$O222)),0)</f>
        <v>0.53770201041931442</v>
      </c>
      <c r="CS222" s="93">
        <f>IF(AND($T222=1,CS$5&lt;=$H222),CR222*(1-BC222)*(1-MIN(1,MAX(Assumptions!$C$27,Assumptions!$C$13*Assumptions!$C$28^(CR$5-1))*$O222)),0)</f>
        <v>0.51894374863965465</v>
      </c>
      <c r="CT222" s="93">
        <f>IF(AND($T222=1,CT$5&lt;=$H222),CS222*(1-BD222)*(1-MIN(1,MAX(Assumptions!$C$27,Assumptions!$C$13*Assumptions!$C$28^(CS$5-1))*$O222)),0)</f>
        <v>0.50328445328127402</v>
      </c>
      <c r="CU222" s="93">
        <f>IF(AND($T222=1,CU$5&lt;=$H222),CT222*(1-BE222)*(1-MIN(1,MAX(Assumptions!$C$27,Assumptions!$C$13*Assumptions!$C$28^(CT$5-1))*$O222)),0)</f>
        <v>0.49009054382560496</v>
      </c>
      <c r="CV222" s="93">
        <f>IF(AND($T222=1,CV$5&lt;=$H222),CU222*(1-BF222)*(1-MIN(1,MAX(Assumptions!$C$27,Assumptions!$C$13*Assumptions!$C$28^(CU$5-1))*$O222)),0)</f>
        <v>0.47886853481819031</v>
      </c>
      <c r="CW222" s="93">
        <f>IF(AND($T222=1,CW$5&lt;=$H222),CV222*(1-BG222)*(1-MIN(1,MAX(Assumptions!$C$27,Assumptions!$C$13*Assumptions!$C$28^(CV$5-1))*$O222)),0)</f>
        <v>0.46782990578533507</v>
      </c>
      <c r="CX222" s="93">
        <f>IF(AND($T222=1,CX$5&lt;=$H222),CW222*(1-BH222)*(1-MIN(1,MAX(Assumptions!$C$27,Assumptions!$C$13*Assumptions!$C$28^(CW$5-1))*$O222)),0)</f>
        <v>0.45692683503593329</v>
      </c>
      <c r="CY222" s="93">
        <f>IF(AND($T222=1,CY$5&lt;=$H222),CX222*(1-BI222)*(1-MIN(1,MAX(Assumptions!$C$27,Assumptions!$C$13*Assumptions!$C$28^(CX$5-1))*$O222)),0)</f>
        <v>0.44615206784228095</v>
      </c>
      <c r="CZ222" s="93">
        <f>IF(AND($T222=1,CZ$5&lt;=$H222),CY222*(1-BJ222)*(1-MIN(1,MAX(Assumptions!$C$27,Assumptions!$C$13*Assumptions!$C$28^(CY$5-1))*$O222)),0)</f>
        <v>0.43549831655306481</v>
      </c>
      <c r="DA222" s="93">
        <f>IF(AND($T222=1,DA$5&lt;=$H222),CZ222*(1-BK222)*(1-MIN(1,MAX(Assumptions!$C$27,Assumptions!$C$13*Assumptions!$C$28^(CZ$5-1))*$O222)),0)</f>
        <v>0.4249582645749882</v>
      </c>
      <c r="DB222" s="93">
        <f>IF(AND($T222=1,DB$5&lt;=$H222),DA222*(1-BL222)*(1-MIN(1,MAX(Assumptions!$C$27,Assumptions!$C$13*Assumptions!$C$28^(DA$5-1))*$O222)),0)</f>
        <v>0.41452457238482465</v>
      </c>
      <c r="DC222" s="93">
        <f>IF(AND($T222=1,DC$5&lt;=$H222),DB222*(1-BM222)*(1-MIN(1,MAX(Assumptions!$C$27,Assumptions!$C$13*Assumptions!$C$28^(DB$5-1))*$O222)),0)</f>
        <v>0.40418988589110605</v>
      </c>
      <c r="DD222" s="93">
        <f>IF(AND($T222=1,DD$5&lt;=$H222),DC222*(1-BN222)*(1-MIN(1,MAX(Assumptions!$C$27,Assumptions!$C$13*Assumptions!$C$28^(DC$5-1))*$O222)),0)</f>
        <v>0.39394684750205899</v>
      </c>
      <c r="DE222" s="93">
        <f>IF(AND($T222=1,DE$5&lt;=$H222),DD222*(1-BO222)*(1-MIN(1,MAX(Assumptions!$C$27,Assumptions!$C$13*Assumptions!$C$28^(DD$5-1))*$O222)),0)</f>
        <v>0.38378811029615495</v>
      </c>
      <c r="DF222" s="93">
        <f>IF(AND($T222=1,DF$5&lt;=$H222),DE222*(1-BP222)*(1-MIN(1,MAX(Assumptions!$C$27,Assumptions!$C$13*Assumptions!$C$28^(DE$5-1))*$O222)),0)</f>
        <v>0.3737063557333441</v>
      </c>
      <c r="DG222" s="93">
        <f>IF(AND($T222=1,DG$5&lt;=$H222),DF222*(1-BQ222)*(1-MIN(1,MAX(Assumptions!$C$27,Assumptions!$C$13*Assumptions!$C$28^(DF$5-1))*$O222)),0)</f>
        <v>0.36369431538809655</v>
      </c>
      <c r="DH222" s="93">
        <f>IF(AND($T222=1,DH$5&lt;=$H222),DG222*(1-BR222)*(1-MIN(1,MAX(Assumptions!$C$27,Assumptions!$C$13*Assumptions!$C$28^(DG$5-1))*$O222)),0)</f>
        <v>0.35374479722891494</v>
      </c>
      <c r="DI222" s="93">
        <f>IF(AND($T222=1,DI$5&lt;=$H222),DH222*(1-BS222)*(1-MIN(1,MAX(Assumptions!$C$27,Assumptions!$C$13*Assumptions!$C$28^(DH$5-1))*$O222)),0)</f>
        <v>0</v>
      </c>
      <c r="DJ222" s="93">
        <f>IF(AND($T222=1,DJ$5&lt;=$H222),DI222*(1-BT222)*(1-MIN(1,MAX(Assumptions!$C$27,Assumptions!$C$13*Assumptions!$C$28^(DI$5-1))*$O222)),0)</f>
        <v>0</v>
      </c>
      <c r="DK222" s="93">
        <f>IF(AND($T222=1,DK$5&lt;=$H222),DJ222*(1-BU222)*(1-MIN(1,MAX(Assumptions!$C$27,Assumptions!$C$13*Assumptions!$C$28^(DJ$5-1))*$O222)),0)</f>
        <v>0</v>
      </c>
      <c r="DL222" s="93">
        <f>IF(AND($T222=1,DL$5&lt;=$H222),DK222*(1-BV222)*(1-MIN(1,MAX(Assumptions!$C$27,Assumptions!$C$13*Assumptions!$C$28^(DK$5-1))*$O222)),0)</f>
        <v>0</v>
      </c>
      <c r="DM222" s="93">
        <f>IF(AND($T222=1,DM$5&lt;=$H222),DL222*(1-BW222)*(1-MIN(1,MAX(Assumptions!$C$27,Assumptions!$C$13*Assumptions!$C$28^(DL$5-1))*$O222)),0)</f>
        <v>0</v>
      </c>
      <c r="DN222" s="93">
        <f>IF(AND($T222=1,DN$5&lt;=$H222),DM222*(1-BX222)*(1-MIN(1,MAX(Assumptions!$C$27,Assumptions!$C$13*Assumptions!$C$28^(DM$5-1))*$O222)),0)</f>
        <v>0</v>
      </c>
      <c r="DO222" s="93">
        <f>IF(AND($T222=1,DO$5&lt;=$H222),DN222*(1-BY222)*(1-MIN(1,MAX(Assumptions!$C$27,Assumptions!$C$13*Assumptions!$C$28^(DN$5-1))*$O222)),0)</f>
        <v>0</v>
      </c>
      <c r="DP222" s="93">
        <f>IF(AND($T222=1,DP$5&lt;=$H222),DO222*(1-BZ222)*(1-MIN(1,MAX(Assumptions!$C$27,Assumptions!$C$13*Assumptions!$C$28^(DO$5-1))*$O222)),0)</f>
        <v>0</v>
      </c>
      <c r="DQ222" s="93">
        <f>IF(AND($T222=1,DQ$5&lt;=$H222),DP222*(1-CA222)*(1-MIN(1,MAX(Assumptions!$C$27,Assumptions!$C$13*Assumptions!$C$28^(DP$5-1))*$O222)),0)</f>
        <v>0</v>
      </c>
      <c r="DR222" s="93">
        <f>IF(AND($T222=1,DR$5&lt;=$H222),DQ222*(1-CB222)*(1-MIN(1,MAX(Assumptions!$C$27,Assumptions!$C$13*Assumptions!$C$28^(DQ$5-1))*$O222)),0)</f>
        <v>0</v>
      </c>
      <c r="DS222" s="93">
        <f>IF(AND($T222=1,DS$5&lt;=$H222),DR222*(1-CC222)*(1-MIN(1,MAX(Assumptions!$C$27,Assumptions!$C$13*Assumptions!$C$28^(DR$5-1))*$O222)),0)</f>
        <v>0</v>
      </c>
      <c r="DT222" s="93">
        <f>IF(AND($T222=1,DT$5&lt;=$H222),DS222*(1-CD222)*(1-MIN(1,MAX(Assumptions!$C$27,Assumptions!$C$13*Assumptions!$C$28^(DS$5-1))*$O222)),0)</f>
        <v>0</v>
      </c>
      <c r="DU222" s="93">
        <f>IF(AND($T222=1,DU$5&lt;=$H222),DT222*(1-CE222)*(1-MIN(1,MAX(Assumptions!$C$27,Assumptions!$C$13*Assumptions!$C$28^(DT$5-1))*$O222)),0)</f>
        <v>0</v>
      </c>
      <c r="DV222" s="93">
        <f>IF(AND($T222=1,DV$5&lt;=$H222),DU222*(1-CF222)*(1-MIN(1,MAX(Assumptions!$C$27,Assumptions!$C$13*Assumptions!$C$28^(DU$5-1))*$O222)),0)</f>
        <v>0</v>
      </c>
      <c r="DW222" s="94">
        <f>IF(AND($T222=1,DW$5&lt;=$H222),DV222*(1-CG222)*(1-MIN(1,MAX(Assumptions!$C$27,Assumptions!$C$13*Assumptions!$C$28^(DV$5-1))*$O222)),0)</f>
        <v>0</v>
      </c>
      <c r="DX222" s="26"/>
      <c r="DY222" s="399">
        <f>'Policy Data'!K196</f>
        <v>4</v>
      </c>
      <c r="DZ222" s="100">
        <f>'Policy Data'!L196</f>
        <v>0.73719999999999997</v>
      </c>
      <c r="EA222" s="100">
        <f>'Policy Data'!N196</f>
        <v>8.7900000000000001E-4</v>
      </c>
      <c r="EB222" s="93" cm="1">
        <f t="array" ref="EB222">IFERROR(DZ222*INDEX(Mortality!$B$4:$E$64,MATCH(D222+DY222-1,Mortality!$A$4:$A$64,0),U222)*V222,0)</f>
        <v>1.1173209039988072E-3</v>
      </c>
      <c r="EC222" s="100">
        <f>'Policy Data'!O196</f>
        <v>0</v>
      </c>
      <c r="ED222" s="400">
        <f>'Policy Data'!Q196</f>
        <v>0</v>
      </c>
    </row>
    <row r="223" spans="1:134" x14ac:dyDescent="0.3">
      <c r="A223" s="399" t="str">
        <f>'Policy Data'!A197</f>
        <v>POL100193</v>
      </c>
      <c r="B223" s="26" t="s">
        <v>426</v>
      </c>
      <c r="C223" s="100" t="str">
        <f>'Policy Data'!B197</f>
        <v>Term Life</v>
      </c>
      <c r="D223" s="100">
        <f>'Policy Data'!C197</f>
        <v>34</v>
      </c>
      <c r="E223" s="100" t="str">
        <f>'Policy Data'!D197</f>
        <v>Male</v>
      </c>
      <c r="F223" s="100" t="str">
        <f>'Policy Data'!E197</f>
        <v>Non-smoker</v>
      </c>
      <c r="G223" s="100" t="str">
        <f>'Policy Data'!F197</f>
        <v>Standard</v>
      </c>
      <c r="H223" s="100">
        <f>'Policy Data'!G197</f>
        <v>20</v>
      </c>
      <c r="I223" s="279">
        <f>'Policy Data'!H197</f>
        <v>500000</v>
      </c>
      <c r="J223" s="100" t="str">
        <f>'Policy Data'!I197</f>
        <v>Monthly</v>
      </c>
      <c r="K223" s="100" t="str">
        <f>'Policy Data'!J197</f>
        <v>Direct</v>
      </c>
      <c r="L223" s="26" t="s">
        <v>389</v>
      </c>
      <c r="M223" s="106">
        <f>'Policy Data'!R197</f>
        <v>1200</v>
      </c>
      <c r="N223" s="415">
        <f>Assumptions!$C$21</f>
        <v>1</v>
      </c>
      <c r="O223" s="415">
        <f>Assumptions!$C$22</f>
        <v>1</v>
      </c>
      <c r="P223" s="415">
        <f>Assumptions!$C$23</f>
        <v>1</v>
      </c>
      <c r="Q223" s="416">
        <f>Assumptions!$C$24</f>
        <v>0</v>
      </c>
      <c r="R223" s="416">
        <f>Assumptions!$C$6+Assumptions!$C$25</f>
        <v>3.5000000000000003E-2</v>
      </c>
      <c r="S223" s="416">
        <f>Assumptions!$C$15</f>
        <v>1.1000000000000001E-3</v>
      </c>
      <c r="T223" s="26">
        <f t="shared" si="72"/>
        <v>1</v>
      </c>
      <c r="U223" s="26">
        <f t="shared" si="73"/>
        <v>3</v>
      </c>
      <c r="V223" s="389">
        <f>IF($G223="Preferred",Assumptions!$C$30,IF($G223="Rated",Assumptions!$C$31,1))</f>
        <v>1</v>
      </c>
      <c r="W223" s="390">
        <f>IF($K223="Direct",Assumptions!$C$32,IF($K223="Broker",Assumptions!$C$33,IF($K223="Bancassurance",Assumptions!$C$34,Assumptions!$C$11)))+$Q223</f>
        <v>0.1</v>
      </c>
      <c r="X223" s="390">
        <f>Assumptions!$C$12+$Q223</f>
        <v>0.05</v>
      </c>
      <c r="Y223" s="131">
        <f>MIN($I223,Assumptions!$C$14)</f>
        <v>500000</v>
      </c>
      <c r="Z223" s="131">
        <f>MAX($I223-Assumptions!$C$14,0)</f>
        <v>0</v>
      </c>
      <c r="AA223" s="389">
        <f t="shared" si="74"/>
        <v>8.5710159472843497</v>
      </c>
      <c r="AB223" s="389">
        <f t="shared" si="75"/>
        <v>1.1831976038371579E-2</v>
      </c>
      <c r="AC223" s="389">
        <f>IF($T223=1,SUMPRODUCT($CJ223:$DW223,(1+Assumptions!$C$5)^($CJ$5:$DW$5-1),(1+$R223)^(-$CJ$5:$DW$5)),0)</f>
        <v>11.530850616736751</v>
      </c>
      <c r="AD223" s="389">
        <f t="shared" si="76"/>
        <v>0.47685997610817887</v>
      </c>
      <c r="AE223" s="131">
        <f>IF($T223=1,$AB223*$Y223+(Assumptions!$C$9/(1+$R223)+Assumptions!$C$10*$AC223)*$P223+$S223*$Z223*$AA223,0)</f>
        <v>9322.3403722591793</v>
      </c>
      <c r="AF223" s="131">
        <f>IF($T223=1,IF($AA223-$AD223-Assumptions!$C$16*$AA223&gt;0,$AE223/($AA223-$AD223-Assumptions!$C$16*$AA223)*IF($J223="Monthly",1+Assumptions!$C$29,1),"n.a."),"")</f>
        <v>1296.0846838550274</v>
      </c>
      <c r="AG223" s="131">
        <f t="shared" si="77"/>
        <v>1200</v>
      </c>
      <c r="AH223" s="131">
        <f t="shared" si="78"/>
        <v>10285.21913674122</v>
      </c>
      <c r="AI223" s="131">
        <f t="shared" si="79"/>
        <v>390.64679315222565</v>
      </c>
      <c r="AJ223" s="390">
        <f t="shared" si="80"/>
        <v>3.7981377738150808E-2</v>
      </c>
      <c r="AK223" s="389">
        <f t="shared" si="81"/>
        <v>0.92586542758206469</v>
      </c>
      <c r="AL223" s="131">
        <f t="shared" si="82"/>
        <v>0</v>
      </c>
      <c r="AM223" s="131">
        <f t="shared" si="83"/>
        <v>0</v>
      </c>
      <c r="AN223" s="131">
        <f t="shared" si="84"/>
        <v>0</v>
      </c>
      <c r="AO223" s="131">
        <f t="shared" si="85"/>
        <v>390.64679315222565</v>
      </c>
      <c r="AP223" s="26" t="str">
        <f t="shared" si="86"/>
        <v>30-39</v>
      </c>
      <c r="AQ223" s="26" t="str">
        <f t="shared" si="87"/>
        <v>250k-500k</v>
      </c>
      <c r="AR223" s="26" t="str">
        <f>IF($T223=1,IF($AI223&lt;0,"Loss-making",IF($AJ223&lt;Assumptions!$C$16-0.00001,"Below target","At/above target")),"Excluded")</f>
        <v>Below target</v>
      </c>
      <c r="AS223" s="103">
        <f t="shared" si="88"/>
        <v>390.64701615222566</v>
      </c>
      <c r="AT223" s="26"/>
      <c r="AU223" s="419">
        <f>IF(AND($T223=1,AU$5&lt;=$H223),INDEX(Mortality!$B$4:$E$64,MATCH($D223+AU$5-1,Mortality!$A$4:$A$64,0),$U223)*$V223*$N223,0)</f>
        <v>7.1266361804385805E-4</v>
      </c>
      <c r="AV223" s="93">
        <f>IF(AND($T223=1,AV$5&lt;=$H223),INDEX(Mortality!$B$4:$E$64,MATCH($D223+AV$5-1,Mortality!$A$4:$A$64,0),$U223)*$V223*$N223,0)</f>
        <v>7.7201928102935699E-4</v>
      </c>
      <c r="AW223" s="93">
        <f>IF(AND($T223=1,AW$5&lt;=$H223),INDEX(Mortality!$B$4:$E$64,MATCH($D223+AW$5-1,Mortality!$A$4:$A$64,0),$U223)*$V223*$N223,0)</f>
        <v>8.3631850313482196E-4</v>
      </c>
      <c r="AX223" s="93">
        <f>IF(AND($T223=1,AX$5&lt;=$H223),INDEX(Mortality!$B$4:$E$64,MATCH($D223+AX$5-1,Mortality!$A$4:$A$64,0),$U223)*$V223*$N223,0)</f>
        <v>9.0597301890323197E-4</v>
      </c>
      <c r="AY223" s="93">
        <f>IF(AND($T223=1,AY$5&lt;=$H223),INDEX(Mortality!$B$4:$E$64,MATCH($D223+AY$5-1,Mortality!$A$4:$A$64,0),$U223)*$V223*$N223,0)</f>
        <v>9.8142885504031189E-4</v>
      </c>
      <c r="AZ223" s="93">
        <f>IF(AND($T223=1,AZ$5&lt;=$H223),INDEX(Mortality!$B$4:$E$64,MATCH($D223+AZ$5-1,Mortality!$A$4:$A$64,0),$U223)*$V223*$N223,0)</f>
        <v>1.06316918650821E-3</v>
      </c>
      <c r="BA223" s="93">
        <f>IF(AND($T223=1,BA$5&lt;=$H223),INDEX(Mortality!$B$4:$E$64,MATCH($D223+BA$5-1,Mortality!$A$4:$A$64,0),$U223)*$V223*$N223,0)</f>
        <v>1.1517174304948501E-3</v>
      </c>
      <c r="BB223" s="93">
        <f>IF(AND($T223=1,BB$5&lt;=$H223),INDEX(Mortality!$B$4:$E$64,MATCH($D223+BB$5-1,Mortality!$A$4:$A$64,0),$U223)*$V223*$N223,0)</f>
        <v>1.24764059807091E-3</v>
      </c>
      <c r="BC223" s="93">
        <f>IF(AND($T223=1,BC$5&lt;=$H223),INDEX(Mortality!$B$4:$E$64,MATCH($D223+BC$5-1,Mortality!$A$4:$A$64,0),$U223)*$V223*$N223,0)</f>
        <v>1.3515529249964601E-3</v>
      </c>
      <c r="BD223" s="93">
        <f>IF(AND($T223=1,BD$5&lt;=$H223),INDEX(Mortality!$B$4:$E$64,MATCH($D223+BD$5-1,Mortality!$A$4:$A$64,0),$U223)*$V223*$N223,0)</f>
        <v>1.4641198049269301E-3</v>
      </c>
      <c r="BE223" s="93">
        <f>IF(AND($T223=1,BE$5&lt;=$H223),INDEX(Mortality!$B$4:$E$64,MATCH($D223+BE$5-1,Mortality!$A$4:$A$64,0),$U223)*$V223*$N223,0)</f>
        <v>1.58606205020413E-3</v>
      </c>
      <c r="BF223" s="93">
        <f>IF(AND($T223=1,BF$5&lt;=$H223),INDEX(Mortality!$B$4:$E$64,MATCH($D223+BF$5-1,Mortality!$A$4:$A$64,0),$U223)*$V223*$N223,0)</f>
        <v>1.71816050751616E-3</v>
      </c>
      <c r="BG223" s="93">
        <f>IF(AND($T223=1,BG$5&lt;=$H223),INDEX(Mortality!$B$4:$E$64,MATCH($D223+BG$5-1,Mortality!$A$4:$A$64,0),$U223)*$V223*$N223,0)</f>
        <v>1.8612610579820999E-3</v>
      </c>
      <c r="BH223" s="93">
        <f>IF(AND($T223=1,BH$5&lt;=$H223),INDEX(Mortality!$B$4:$E$64,MATCH($D223+BH$5-1,Mortality!$A$4:$A$64,0),$U223)*$V223*$N223,0)</f>
        <v>2.0162800336790201E-3</v>
      </c>
      <c r="BI223" s="93">
        <f>IF(AND($T223=1,BI$5&lt;=$H223),INDEX(Mortality!$B$4:$E$64,MATCH($D223+BI$5-1,Mortality!$A$4:$A$64,0),$U223)*$V223*$N223,0)</f>
        <v>2.1842100852957199E-3</v>
      </c>
      <c r="BJ223" s="93">
        <f>IF(AND($T223=1,BJ$5&lt;=$H223),INDEX(Mortality!$B$4:$E$64,MATCH($D223+BJ$5-1,Mortality!$A$4:$A$64,0),$U223)*$V223*$N223,0)</f>
        <v>2.3661265384860701E-3</v>
      </c>
      <c r="BK223" s="93">
        <f>IF(AND($T223=1,BK$5&lt;=$H223),INDEX(Mortality!$B$4:$E$64,MATCH($D223+BK$5-1,Mortality!$A$4:$A$64,0),$U223)*$V223*$N223,0)</f>
        <v>2.5631942796244698E-3</v>
      </c>
      <c r="BL223" s="93">
        <f>IF(AND($T223=1,BL$5&lt;=$H223),INDEX(Mortality!$B$4:$E$64,MATCH($D223+BL$5-1,Mortality!$A$4:$A$64,0),$U223)*$V223*$N223,0)</f>
        <v>2.7766752150556202E-3</v>
      </c>
      <c r="BM223" s="93">
        <f>IF(AND($T223=1,BM$5&lt;=$H223),INDEX(Mortality!$B$4:$E$64,MATCH($D223+BM$5-1,Mortality!$A$4:$A$64,0),$U223)*$V223*$N223,0)</f>
        <v>3.0079363516033399E-3</v>
      </c>
      <c r="BN223" s="93">
        <f>IF(AND($T223=1,BN$5&lt;=$H223),INDEX(Mortality!$B$4:$E$64,MATCH($D223+BN$5-1,Mortality!$A$4:$A$64,0),$U223)*$V223*$N223,0)</f>
        <v>3.2584585500813001E-3</v>
      </c>
      <c r="BO223" s="93">
        <f>IF(AND($T223=1,BO$5&lt;=$H223),INDEX(Mortality!$B$4:$E$64,MATCH($D223+BO$5-1,Mortality!$A$4:$A$64,0),$U223)*$V223*$N223,0)</f>
        <v>0</v>
      </c>
      <c r="BP223" s="93">
        <f>IF(AND($T223=1,BP$5&lt;=$H223),INDEX(Mortality!$B$4:$E$64,MATCH($D223+BP$5-1,Mortality!$A$4:$A$64,0),$U223)*$V223*$N223,0)</f>
        <v>0</v>
      </c>
      <c r="BQ223" s="93">
        <f>IF(AND($T223=1,BQ$5&lt;=$H223),INDEX(Mortality!$B$4:$E$64,MATCH($D223+BQ$5-1,Mortality!$A$4:$A$64,0),$U223)*$V223*$N223,0)</f>
        <v>0</v>
      </c>
      <c r="BR223" s="93">
        <f>IF(AND($T223=1,BR$5&lt;=$H223),INDEX(Mortality!$B$4:$E$64,MATCH($D223+BR$5-1,Mortality!$A$4:$A$64,0),$U223)*$V223*$N223,0)</f>
        <v>0</v>
      </c>
      <c r="BS223" s="93">
        <f>IF(AND($T223=1,BS$5&lt;=$H223),INDEX(Mortality!$B$4:$E$64,MATCH($D223+BS$5-1,Mortality!$A$4:$A$64,0),$U223)*$V223*$N223,0)</f>
        <v>0</v>
      </c>
      <c r="BT223" s="93">
        <f>IF(AND($T223=1,BT$5&lt;=$H223),INDEX(Mortality!$B$4:$E$64,MATCH($D223+BT$5-1,Mortality!$A$4:$A$64,0),$U223)*$V223*$N223,0)</f>
        <v>0</v>
      </c>
      <c r="BU223" s="93">
        <f>IF(AND($T223=1,BU$5&lt;=$H223),INDEX(Mortality!$B$4:$E$64,MATCH($D223+BU$5-1,Mortality!$A$4:$A$64,0),$U223)*$V223*$N223,0)</f>
        <v>0</v>
      </c>
      <c r="BV223" s="93">
        <f>IF(AND($T223=1,BV$5&lt;=$H223),INDEX(Mortality!$B$4:$E$64,MATCH($D223+BV$5-1,Mortality!$A$4:$A$64,0),$U223)*$V223*$N223,0)</f>
        <v>0</v>
      </c>
      <c r="BW223" s="93">
        <f>IF(AND($T223=1,BW$5&lt;=$H223),INDEX(Mortality!$B$4:$E$64,MATCH($D223+BW$5-1,Mortality!$A$4:$A$64,0),$U223)*$V223*$N223,0)</f>
        <v>0</v>
      </c>
      <c r="BX223" s="93">
        <f>IF(AND($T223=1,BX$5&lt;=$H223),INDEX(Mortality!$B$4:$E$64,MATCH($D223+BX$5-1,Mortality!$A$4:$A$64,0),$U223)*$V223*$N223,0)</f>
        <v>0</v>
      </c>
      <c r="BY223" s="93">
        <f>IF(AND($T223=1,BY$5&lt;=$H223),INDEX(Mortality!$B$4:$E$64,MATCH($D223+BY$5-1,Mortality!$A$4:$A$64,0),$U223)*$V223*$N223,0)</f>
        <v>0</v>
      </c>
      <c r="BZ223" s="93">
        <f>IF(AND($T223=1,BZ$5&lt;=$H223),INDEX(Mortality!$B$4:$E$64,MATCH($D223+BZ$5-1,Mortality!$A$4:$A$64,0),$U223)*$V223*$N223,0)</f>
        <v>0</v>
      </c>
      <c r="CA223" s="93">
        <f>IF(AND($T223=1,CA$5&lt;=$H223),INDEX(Mortality!$B$4:$E$64,MATCH($D223+CA$5-1,Mortality!$A$4:$A$64,0),$U223)*$V223*$N223,0)</f>
        <v>0</v>
      </c>
      <c r="CB223" s="93">
        <f>IF(AND($T223=1,CB$5&lt;=$H223),INDEX(Mortality!$B$4:$E$64,MATCH($D223+CB$5-1,Mortality!$A$4:$A$64,0),$U223)*$V223*$N223,0)</f>
        <v>0</v>
      </c>
      <c r="CC223" s="93">
        <f>IF(AND($T223=1,CC$5&lt;=$H223),INDEX(Mortality!$B$4:$E$64,MATCH($D223+CC$5-1,Mortality!$A$4:$A$64,0),$U223)*$V223*$N223,0)</f>
        <v>0</v>
      </c>
      <c r="CD223" s="93">
        <f>IF(AND($T223=1,CD$5&lt;=$H223),INDEX(Mortality!$B$4:$E$64,MATCH($D223+CD$5-1,Mortality!$A$4:$A$64,0),$U223)*$V223*$N223,0)</f>
        <v>0</v>
      </c>
      <c r="CE223" s="93">
        <f>IF(AND($T223=1,CE$5&lt;=$H223),INDEX(Mortality!$B$4:$E$64,MATCH($D223+CE$5-1,Mortality!$A$4:$A$64,0),$U223)*$V223*$N223,0)</f>
        <v>0</v>
      </c>
      <c r="CF223" s="93">
        <f>IF(AND($T223=1,CF$5&lt;=$H223),INDEX(Mortality!$B$4:$E$64,MATCH($D223+CF$5-1,Mortality!$A$4:$A$64,0),$U223)*$V223*$N223,0)</f>
        <v>0</v>
      </c>
      <c r="CG223" s="93">
        <f>IF(AND($T223=1,CG$5&lt;=$H223),INDEX(Mortality!$B$4:$E$64,MATCH($D223+CG$5-1,Mortality!$A$4:$A$64,0),$U223)*$V223*$N223,0)</f>
        <v>0</v>
      </c>
      <c r="CH223" s="94">
        <f>IF(AND($T223=1,CH$5&lt;=$H223),INDEX(Mortality!$B$4:$E$64,MATCH($D223+CH$5-1,Mortality!$A$4:$A$64,0),$U223)*$V223*$N223,0)</f>
        <v>0</v>
      </c>
      <c r="CI223" s="26"/>
      <c r="CJ223" s="419">
        <f t="shared" si="89"/>
        <v>1</v>
      </c>
      <c r="CK223" s="93">
        <f>IF(AND($T223=1,CK$5&lt;=$H223),CJ223*(1-AU223)*(1-MIN(1,MAX(Assumptions!$C$27,Assumptions!$C$13*Assumptions!$C$28^(CJ$5-1))*$O223)),0)</f>
        <v>0.87937285601612136</v>
      </c>
      <c r="CL223" s="93">
        <f>IF(AND($T223=1,CL$5&lt;=$H223),CK223*(1-AV223)*(1-MIN(1,MAX(Assumptions!$C$27,Assumptions!$C$13*Assumptions!$C$28^(CK$5-1))*$O223)),0)</f>
        <v>0.7890671789680247</v>
      </c>
      <c r="CM223" s="93">
        <f>IF(AND($T223=1,CM$5&lt;=$H223),CL223*(1-AW223)*(1-MIN(1,MAX(Assumptions!$C$27,Assumptions!$C$13*Assumptions!$C$28^(CL$5-1))*$O223)),0)</f>
        <v>0.72005235739499795</v>
      </c>
      <c r="CN223" s="93">
        <f>IF(AND($T223=1,CN$5&lt;=$H223),CM223*(1-AX223)*(1-MIN(1,MAX(Assumptions!$C$27,Assumptions!$C$13*Assumptions!$C$28^(CM$5-1))*$O223)),0)</f>
        <v>0.66638382569522547</v>
      </c>
      <c r="CO223" s="93">
        <f>IF(AND($T223=1,CO$5&lt;=$H223),CN223*(1-AY223)*(1-MIN(1,MAX(Assumptions!$C$27,Assumptions!$C$13*Assumptions!$C$28^(CN$5-1))*$O223)),0)</f>
        <v>0.62402800232209998</v>
      </c>
      <c r="CP223" s="93">
        <f>IF(AND($T223=1,CP$5&lt;=$H223),CO223*(1-AZ223)*(1-MIN(1,MAX(Assumptions!$C$27,Assumptions!$C$13*Assumptions!$C$28^(CO$5-1))*$O223)),0)</f>
        <v>0.59017373521833316</v>
      </c>
      <c r="CQ223" s="93">
        <f>IF(AND($T223=1,CQ$5&lt;=$H223),CP223*(1-BA223)*(1-MIN(1,MAX(Assumptions!$C$27,Assumptions!$C$13*Assumptions!$C$28^(CP$5-1))*$O223)),0)</f>
        <v>0.56281473566434637</v>
      </c>
      <c r="CR223" s="93">
        <f>IF(AND($T223=1,CR$5&lt;=$H223),CQ223*(1-BB223)*(1-MIN(1,MAX(Assumptions!$C$27,Assumptions!$C$13*Assumptions!$C$28^(CQ$5-1))*$O223)),0)</f>
        <v>0.54048849678963695</v>
      </c>
      <c r="CS223" s="93">
        <f>IF(AND($T223=1,CS$5&lt;=$H223),CR223*(1-BC223)*(1-MIN(1,MAX(Assumptions!$C$27,Assumptions!$C$13*Assumptions!$C$28^(CR$5-1))*$O223)),0)</f>
        <v>0.52210852514921302</v>
      </c>
      <c r="CT223" s="93">
        <f>IF(AND($T223=1,CT$5&lt;=$H223),CS223*(1-BD223)*(1-MIN(1,MAX(Assumptions!$C$27,Assumptions!$C$13*Assumptions!$C$28^(CS$5-1))*$O223)),0)</f>
        <v>0.50685384042768478</v>
      </c>
      <c r="CU223" s="93">
        <f>IF(AND($T223=1,CU$5&lt;=$H223),CT223*(1-BE223)*(1-MIN(1,MAX(Assumptions!$C$27,Assumptions!$C$13*Assumptions!$C$28^(CT$5-1))*$O223)),0)</f>
        <v>0.49409454515455481</v>
      </c>
      <c r="CV223" s="93">
        <f>IF(AND($T223=1,CV$5&lt;=$H223),CU223*(1-BF223)*(1-MIN(1,MAX(Assumptions!$C$27,Assumptions!$C$13*Assumptions!$C$28^(CU$5-1))*$O223)),0)</f>
        <v>0.48334065295400647</v>
      </c>
      <c r="CW223" s="93">
        <f>IF(AND($T223=1,CW$5&lt;=$H223),CV223*(1-BG223)*(1-MIN(1,MAX(Assumptions!$C$27,Assumptions!$C$13*Assumptions!$C$28^(CV$5-1))*$O223)),0)</f>
        <v>0.472792209222545</v>
      </c>
      <c r="CX223" s="93">
        <f>IF(AND($T223=1,CX$5&lt;=$H223),CW223*(1-BH223)*(1-MIN(1,MAX(Assumptions!$C$27,Assumptions!$C$13*Assumptions!$C$28^(CW$5-1))*$O223)),0)</f>
        <v>0.46240214917639039</v>
      </c>
      <c r="CY223" s="93">
        <f>IF(AND($T223=1,CY$5&lt;=$H223),CX223*(1-BI223)*(1-MIN(1,MAX(Assumptions!$C$27,Assumptions!$C$13*Assumptions!$C$28^(CX$5-1))*$O223)),0)</f>
        <v>0.45216432242392296</v>
      </c>
      <c r="CZ223" s="93">
        <f>IF(AND($T223=1,CZ$5&lt;=$H223),CY223*(1-BJ223)*(1-MIN(1,MAX(Assumptions!$C$27,Assumptions!$C$13*Assumptions!$C$28^(CY$5-1))*$O223)),0)</f>
        <v>0.44207255553246155</v>
      </c>
      <c r="DA223" s="93">
        <f>IF(AND($T223=1,DA$5&lt;=$H223),CZ223*(1-BK223)*(1-MIN(1,MAX(Assumptions!$C$27,Assumptions!$C$13*Assumptions!$C$28^(CZ$5-1))*$O223)),0)</f>
        <v>0.4321206489332029</v>
      </c>
      <c r="DB223" s="93">
        <f>IF(AND($T223=1,DB$5&lt;=$H223),DA223*(1-BL223)*(1-MIN(1,MAX(Assumptions!$C$27,Assumptions!$C$13*Assumptions!$C$28^(DA$5-1))*$O223)),0)</f>
        <v>0.4223023744326484</v>
      </c>
      <c r="DC223" s="93">
        <f>IF(AND($T223=1,DC$5&lt;=$H223),DB223*(1-BM223)*(1-MIN(1,MAX(Assumptions!$C$27,Assumptions!$C$13*Assumptions!$C$28^(DB$5-1))*$O223)),0)</f>
        <v>0.41261147345383953</v>
      </c>
      <c r="DD223" s="93">
        <f>IF(AND($T223=1,DD$5&lt;=$H223),DC223*(1-BN223)*(1-MIN(1,MAX(Assumptions!$C$27,Assumptions!$C$13*Assumptions!$C$28^(DC$5-1))*$O223)),0)</f>
        <v>0</v>
      </c>
      <c r="DE223" s="93">
        <f>IF(AND($T223=1,DE$5&lt;=$H223),DD223*(1-BO223)*(1-MIN(1,MAX(Assumptions!$C$27,Assumptions!$C$13*Assumptions!$C$28^(DD$5-1))*$O223)),0)</f>
        <v>0</v>
      </c>
      <c r="DF223" s="93">
        <f>IF(AND($T223=1,DF$5&lt;=$H223),DE223*(1-BP223)*(1-MIN(1,MAX(Assumptions!$C$27,Assumptions!$C$13*Assumptions!$C$28^(DE$5-1))*$O223)),0)</f>
        <v>0</v>
      </c>
      <c r="DG223" s="93">
        <f>IF(AND($T223=1,DG$5&lt;=$H223),DF223*(1-BQ223)*(1-MIN(1,MAX(Assumptions!$C$27,Assumptions!$C$13*Assumptions!$C$28^(DF$5-1))*$O223)),0)</f>
        <v>0</v>
      </c>
      <c r="DH223" s="93">
        <f>IF(AND($T223=1,DH$5&lt;=$H223),DG223*(1-BR223)*(1-MIN(1,MAX(Assumptions!$C$27,Assumptions!$C$13*Assumptions!$C$28^(DG$5-1))*$O223)),0)</f>
        <v>0</v>
      </c>
      <c r="DI223" s="93">
        <f>IF(AND($T223=1,DI$5&lt;=$H223),DH223*(1-BS223)*(1-MIN(1,MAX(Assumptions!$C$27,Assumptions!$C$13*Assumptions!$C$28^(DH$5-1))*$O223)),0)</f>
        <v>0</v>
      </c>
      <c r="DJ223" s="93">
        <f>IF(AND($T223=1,DJ$5&lt;=$H223),DI223*(1-BT223)*(1-MIN(1,MAX(Assumptions!$C$27,Assumptions!$C$13*Assumptions!$C$28^(DI$5-1))*$O223)),0)</f>
        <v>0</v>
      </c>
      <c r="DK223" s="93">
        <f>IF(AND($T223=1,DK$5&lt;=$H223),DJ223*(1-BU223)*(1-MIN(1,MAX(Assumptions!$C$27,Assumptions!$C$13*Assumptions!$C$28^(DJ$5-1))*$O223)),0)</f>
        <v>0</v>
      </c>
      <c r="DL223" s="93">
        <f>IF(AND($T223=1,DL$5&lt;=$H223),DK223*(1-BV223)*(1-MIN(1,MAX(Assumptions!$C$27,Assumptions!$C$13*Assumptions!$C$28^(DK$5-1))*$O223)),0)</f>
        <v>0</v>
      </c>
      <c r="DM223" s="93">
        <f>IF(AND($T223=1,DM$5&lt;=$H223),DL223*(1-BW223)*(1-MIN(1,MAX(Assumptions!$C$27,Assumptions!$C$13*Assumptions!$C$28^(DL$5-1))*$O223)),0)</f>
        <v>0</v>
      </c>
      <c r="DN223" s="93">
        <f>IF(AND($T223=1,DN$5&lt;=$H223),DM223*(1-BX223)*(1-MIN(1,MAX(Assumptions!$C$27,Assumptions!$C$13*Assumptions!$C$28^(DM$5-1))*$O223)),0)</f>
        <v>0</v>
      </c>
      <c r="DO223" s="93">
        <f>IF(AND($T223=1,DO$5&lt;=$H223),DN223*(1-BY223)*(1-MIN(1,MAX(Assumptions!$C$27,Assumptions!$C$13*Assumptions!$C$28^(DN$5-1))*$O223)),0)</f>
        <v>0</v>
      </c>
      <c r="DP223" s="93">
        <f>IF(AND($T223=1,DP$5&lt;=$H223),DO223*(1-BZ223)*(1-MIN(1,MAX(Assumptions!$C$27,Assumptions!$C$13*Assumptions!$C$28^(DO$5-1))*$O223)),0)</f>
        <v>0</v>
      </c>
      <c r="DQ223" s="93">
        <f>IF(AND($T223=1,DQ$5&lt;=$H223),DP223*(1-CA223)*(1-MIN(1,MAX(Assumptions!$C$27,Assumptions!$C$13*Assumptions!$C$28^(DP$5-1))*$O223)),0)</f>
        <v>0</v>
      </c>
      <c r="DR223" s="93">
        <f>IF(AND($T223=1,DR$5&lt;=$H223),DQ223*(1-CB223)*(1-MIN(1,MAX(Assumptions!$C$27,Assumptions!$C$13*Assumptions!$C$28^(DQ$5-1))*$O223)),0)</f>
        <v>0</v>
      </c>
      <c r="DS223" s="93">
        <f>IF(AND($T223=1,DS$5&lt;=$H223),DR223*(1-CC223)*(1-MIN(1,MAX(Assumptions!$C$27,Assumptions!$C$13*Assumptions!$C$28^(DR$5-1))*$O223)),0)</f>
        <v>0</v>
      </c>
      <c r="DT223" s="93">
        <f>IF(AND($T223=1,DT$5&lt;=$H223),DS223*(1-CD223)*(1-MIN(1,MAX(Assumptions!$C$27,Assumptions!$C$13*Assumptions!$C$28^(DS$5-1))*$O223)),0)</f>
        <v>0</v>
      </c>
      <c r="DU223" s="93">
        <f>IF(AND($T223=1,DU$5&lt;=$H223),DT223*(1-CE223)*(1-MIN(1,MAX(Assumptions!$C$27,Assumptions!$C$13*Assumptions!$C$28^(DT$5-1))*$O223)),0)</f>
        <v>0</v>
      </c>
      <c r="DV223" s="93">
        <f>IF(AND($T223=1,DV$5&lt;=$H223),DU223*(1-CF223)*(1-MIN(1,MAX(Assumptions!$C$27,Assumptions!$C$13*Assumptions!$C$28^(DU$5-1))*$O223)),0)</f>
        <v>0</v>
      </c>
      <c r="DW223" s="94">
        <f>IF(AND($T223=1,DW$5&lt;=$H223),DV223*(1-CG223)*(1-MIN(1,MAX(Assumptions!$C$27,Assumptions!$C$13*Assumptions!$C$28^(DV$5-1))*$O223)),0)</f>
        <v>0</v>
      </c>
      <c r="DX223" s="26"/>
      <c r="DY223" s="399">
        <f>'Policy Data'!K197</f>
        <v>2</v>
      </c>
      <c r="DZ223" s="100">
        <f>'Policy Data'!L197</f>
        <v>0.83250000000000002</v>
      </c>
      <c r="EA223" s="100">
        <f>'Policy Data'!N197</f>
        <v>5.9299999999999999E-4</v>
      </c>
      <c r="EB223" s="93" cm="1">
        <f t="array" ref="EB223">IFERROR(DZ223*INDEX(Mortality!$B$4:$E$64,MATCH(D223+DY223-1,Mortality!$A$4:$A$64,0),U223)*V223,0)</f>
        <v>6.4270605145693967E-4</v>
      </c>
      <c r="EC223" s="100">
        <f>'Policy Data'!O197</f>
        <v>0</v>
      </c>
      <c r="ED223" s="400">
        <f>'Policy Data'!Q197</f>
        <v>0</v>
      </c>
    </row>
    <row r="224" spans="1:134" x14ac:dyDescent="0.3">
      <c r="A224" s="399" t="str">
        <f>'Policy Data'!A198</f>
        <v>POL100194</v>
      </c>
      <c r="B224" s="26" t="s">
        <v>426</v>
      </c>
      <c r="C224" s="100" t="str">
        <f>'Policy Data'!B198</f>
        <v>Term Life</v>
      </c>
      <c r="D224" s="100">
        <f>'Policy Data'!C198</f>
        <v>53</v>
      </c>
      <c r="E224" s="100" t="str">
        <f>'Policy Data'!D198</f>
        <v>Male</v>
      </c>
      <c r="F224" s="100" t="str">
        <f>'Policy Data'!E198</f>
        <v>Non-smoker</v>
      </c>
      <c r="G224" s="100" t="str">
        <f>'Policy Data'!F198</f>
        <v>Standard</v>
      </c>
      <c r="H224" s="100">
        <f>'Policy Data'!G198</f>
        <v>20</v>
      </c>
      <c r="I224" s="279">
        <f>'Policy Data'!H198</f>
        <v>500000</v>
      </c>
      <c r="J224" s="100" t="str">
        <f>'Policy Data'!I198</f>
        <v>Annual</v>
      </c>
      <c r="K224" s="100" t="str">
        <f>'Policy Data'!J198</f>
        <v>Broker</v>
      </c>
      <c r="L224" s="26" t="s">
        <v>389</v>
      </c>
      <c r="M224" s="106">
        <f>'Policy Data'!R198</f>
        <v>2677.49</v>
      </c>
      <c r="N224" s="415">
        <f>Assumptions!$C$21</f>
        <v>1</v>
      </c>
      <c r="O224" s="415">
        <f>Assumptions!$C$22</f>
        <v>1</v>
      </c>
      <c r="P224" s="415">
        <f>Assumptions!$C$23</f>
        <v>1</v>
      </c>
      <c r="Q224" s="416">
        <f>Assumptions!$C$24</f>
        <v>0</v>
      </c>
      <c r="R224" s="416">
        <f>Assumptions!$C$6+Assumptions!$C$25</f>
        <v>3.5000000000000003E-2</v>
      </c>
      <c r="S224" s="416">
        <f>Assumptions!$C$15</f>
        <v>1.1000000000000001E-3</v>
      </c>
      <c r="T224" s="26">
        <f t="shared" si="72"/>
        <v>1</v>
      </c>
      <c r="U224" s="26">
        <f t="shared" si="73"/>
        <v>3</v>
      </c>
      <c r="V224" s="389">
        <f>IF($G224="Preferred",Assumptions!$C$30,IF($G224="Rated",Assumptions!$C$31,1))</f>
        <v>1</v>
      </c>
      <c r="W224" s="390">
        <f>IF($K224="Direct",Assumptions!$C$32,IF($K224="Broker",Assumptions!$C$33,IF($K224="Bancassurance",Assumptions!$C$34,Assumptions!$C$11)))+$Q224</f>
        <v>0.25</v>
      </c>
      <c r="X224" s="390">
        <f>Assumptions!$C$12+$Q224</f>
        <v>0.05</v>
      </c>
      <c r="Y224" s="131">
        <f>MIN($I224,Assumptions!$C$14)</f>
        <v>500000</v>
      </c>
      <c r="Z224" s="131">
        <f>MAX($I224-Assumptions!$C$14,0)</f>
        <v>0</v>
      </c>
      <c r="AA224" s="389">
        <f t="shared" si="74"/>
        <v>8.3317177168909513</v>
      </c>
      <c r="AB224" s="389">
        <f t="shared" si="75"/>
        <v>5.1826081169380589E-2</v>
      </c>
      <c r="AC224" s="389">
        <f>IF($T224=1,SUMPRODUCT($CJ224:$DW224,(1+Assumptions!$C$5)^($CJ$5:$DW$5-1),(1+$R224)^(-$CJ$5:$DW$5)),0)</f>
        <v>11.13319034288835</v>
      </c>
      <c r="AD224" s="389">
        <f t="shared" si="76"/>
        <v>0.60982260082039308</v>
      </c>
      <c r="AE224" s="131">
        <f>IF($T224=1,$AB224*$Y224+(Assumptions!$C$9/(1+$R224)+Assumptions!$C$10*$AC224)*$P224+$S224*$Z224*$AA224,0)</f>
        <v>29231.907677517036</v>
      </c>
      <c r="AF224" s="131">
        <f>IF($T224=1,IF($AA224-$AD224-Assumptions!$C$16*$AA224&gt;0,$AE224/($AA224-$AD224-Assumptions!$C$16*$AA224)*IF($J224="Monthly",1+Assumptions!$C$29,1),"n.a."),"")</f>
        <v>4143.2212122743731</v>
      </c>
      <c r="AG224" s="131">
        <f t="shared" si="77"/>
        <v>2677.49</v>
      </c>
      <c r="AH224" s="131">
        <f t="shared" si="78"/>
        <v>22308.09086979835</v>
      </c>
      <c r="AI224" s="131">
        <f t="shared" si="79"/>
        <v>-8556.6107231892784</v>
      </c>
      <c r="AJ224" s="390">
        <f t="shared" si="80"/>
        <v>-0.38356535183266555</v>
      </c>
      <c r="AK224" s="389">
        <f t="shared" si="81"/>
        <v>0.64623389937951747</v>
      </c>
      <c r="AL224" s="131">
        <f t="shared" si="82"/>
        <v>0</v>
      </c>
      <c r="AM224" s="131">
        <f t="shared" si="83"/>
        <v>0</v>
      </c>
      <c r="AN224" s="131">
        <f t="shared" si="84"/>
        <v>0</v>
      </c>
      <c r="AO224" s="131">
        <f t="shared" si="85"/>
        <v>-8556.6107231892784</v>
      </c>
      <c r="AP224" s="26" t="str">
        <f t="shared" si="86"/>
        <v>50-59</v>
      </c>
      <c r="AQ224" s="26" t="str">
        <f t="shared" si="87"/>
        <v>250k-500k</v>
      </c>
      <c r="AR224" s="26" t="str">
        <f>IF($T224=1,IF($AI224&lt;0,"Loss-making",IF($AJ224&lt;Assumptions!$C$16-0.00001,"Below target","At/above target")),"Excluded")</f>
        <v>Loss-making</v>
      </c>
      <c r="AS224" s="103">
        <f t="shared" si="88"/>
        <v>-8556.6104991892789</v>
      </c>
      <c r="AT224" s="26"/>
      <c r="AU224" s="419">
        <f>IF(AND($T224=1,AU$5&lt;=$H224),INDEX(Mortality!$B$4:$E$64,MATCH($D224+AU$5-1,Mortality!$A$4:$A$64,0),$U224)*$V224*$N224,0)</f>
        <v>3.2584585500813001E-3</v>
      </c>
      <c r="AV224" s="93">
        <f>IF(AND($T224=1,AV$5&lt;=$H224),INDEX(Mortality!$B$4:$E$64,MATCH($D224+AV$5-1,Mortality!$A$4:$A$64,0),$U224)*$V224*$N224,0)</f>
        <v>3.5298460078579601E-3</v>
      </c>
      <c r="AW224" s="93">
        <f>IF(AND($T224=1,AW$5&lt;=$H224),INDEX(Mortality!$B$4:$E$64,MATCH($D224+AW$5-1,Mortality!$A$4:$A$64,0),$U224)*$V224*$N224,0)</f>
        <v>3.8238365311966099E-3</v>
      </c>
      <c r="AX224" s="93">
        <f>IF(AND($T224=1,AX$5&lt;=$H224),INDEX(Mortality!$B$4:$E$64,MATCH($D224+AX$5-1,Mortality!$A$4:$A$64,0),$U224)*$V224*$N224,0)</f>
        <v>4.1423126631483596E-3</v>
      </c>
      <c r="AY224" s="93">
        <f>IF(AND($T224=1,AY$5&lt;=$H224),INDEX(Mortality!$B$4:$E$64,MATCH($D224+AY$5-1,Mortality!$A$4:$A$64,0),$U224)*$V224*$N224,0)</f>
        <v>4.4873137382548398E-3</v>
      </c>
      <c r="AZ224" s="93">
        <f>IF(AND($T224=1,AZ$5&lt;=$H224),INDEX(Mortality!$B$4:$E$64,MATCH($D224+AZ$5-1,Mortality!$A$4:$A$64,0),$U224)*$V224*$N224,0)</f>
        <v>4.8610489412516398E-3</v>
      </c>
      <c r="BA224" s="93">
        <f>IF(AND($T224=1,BA$5&lt;=$H224),INDEX(Mortality!$B$4:$E$64,MATCH($D224+BA$5-1,Mortality!$A$4:$A$64,0),$U224)*$V224*$N224,0)</f>
        <v>5.2659114533929498E-3</v>
      </c>
      <c r="BB224" s="93">
        <f>IF(AND($T224=1,BB$5&lt;=$H224),INDEX(Mortality!$B$4:$E$64,MATCH($D224+BB$5-1,Mortality!$A$4:$A$64,0),$U224)*$V224*$N224,0)</f>
        <v>5.7044937769820296E-3</v>
      </c>
      <c r="BC224" s="93">
        <f>IF(AND($T224=1,BC$5&lt;=$H224),INDEX(Mortality!$B$4:$E$64,MATCH($D224+BC$5-1,Mortality!$A$4:$A$64,0),$U224)*$V224*$N224,0)</f>
        <v>6.1796043362369098E-3</v>
      </c>
      <c r="BD224" s="93">
        <f>IF(AND($T224=1,BD$5&lt;=$H224),INDEX(Mortality!$B$4:$E$64,MATCH($D224+BD$5-1,Mortality!$A$4:$A$64,0),$U224)*$V224*$N224,0)</f>
        <v>6.6942854607935399E-3</v>
      </c>
      <c r="BE224" s="93">
        <f>IF(AND($T224=1,BE$5&lt;=$H224),INDEX(Mortality!$B$4:$E$64,MATCH($D224+BE$5-1,Mortality!$A$4:$A$64,0),$U224)*$V224*$N224,0)</f>
        <v>7.2518328670021504E-3</v>
      </c>
      <c r="BF224" s="93">
        <f>IF(AND($T224=1,BF$5&lt;=$H224),INDEX(Mortality!$B$4:$E$64,MATCH($D224+BF$5-1,Mortality!$A$4:$A$64,0),$U224)*$V224*$N224,0)</f>
        <v>7.8558167617636399E-3</v>
      </c>
      <c r="BG224" s="93">
        <f>IF(AND($T224=1,BG$5&lt;=$H224),INDEX(Mortality!$B$4:$E$64,MATCH($D224+BG$5-1,Mortality!$A$4:$A$64,0),$U224)*$V224*$N224,0)</f>
        <v>8.5101047040427192E-3</v>
      </c>
      <c r="BH224" s="93">
        <f>IF(AND($T224=1,BH$5&lt;=$H224),INDEX(Mortality!$B$4:$E$64,MATCH($D224+BH$5-1,Mortality!$A$4:$A$64,0),$U224)*$V224*$N224,0)</f>
        <v>9.2188863704493092E-3</v>
      </c>
      <c r="BI224" s="93">
        <f>IF(AND($T224=1,BI$5&lt;=$H224),INDEX(Mortality!$B$4:$E$64,MATCH($D224+BI$5-1,Mortality!$A$4:$A$64,0),$U224)*$V224*$N224,0)</f>
        <v>9.9867003834726801E-3</v>
      </c>
      <c r="BJ224" s="93">
        <f>IF(AND($T224=1,BJ$5&lt;=$H224),INDEX(Mortality!$B$4:$E$64,MATCH($D224+BJ$5-1,Mortality!$A$4:$A$64,0),$U224)*$V224*$N224,0)</f>
        <v>1.08184633741605E-2</v>
      </c>
      <c r="BK224" s="93">
        <f>IF(AND($T224=1,BK$5&lt;=$H224),INDEX(Mortality!$B$4:$E$64,MATCH($D224+BK$5-1,Mortality!$A$4:$A$64,0),$U224)*$V224*$N224,0)</f>
        <v>1.1719501465343301E-2</v>
      </c>
      <c r="BL224" s="93">
        <f>IF(AND($T224=1,BL$5&lt;=$H224),INDEX(Mortality!$B$4:$E$64,MATCH($D224+BL$5-1,Mortality!$A$4:$A$64,0),$U224)*$V224*$N224,0)</f>
        <v>1.2695584377004099E-2</v>
      </c>
      <c r="BM224" s="93">
        <f>IF(AND($T224=1,BM$5&lt;=$H224),INDEX(Mortality!$B$4:$E$64,MATCH($D224+BM$5-1,Mortality!$A$4:$A$64,0),$U224)*$V224*$N224,0)</f>
        <v>1.3752962372184801E-2</v>
      </c>
      <c r="BN224" s="93">
        <f>IF(AND($T224=1,BN$5&lt;=$H224),INDEX(Mortality!$B$4:$E$64,MATCH($D224+BN$5-1,Mortality!$A$4:$A$64,0),$U224)*$V224*$N224,0)</f>
        <v>1.4898406280008099E-2</v>
      </c>
      <c r="BO224" s="93">
        <f>IF(AND($T224=1,BO$5&lt;=$H224),INDEX(Mortality!$B$4:$E$64,MATCH($D224+BO$5-1,Mortality!$A$4:$A$64,0),$U224)*$V224*$N224,0)</f>
        <v>0</v>
      </c>
      <c r="BP224" s="93">
        <f>IF(AND($T224=1,BP$5&lt;=$H224),INDEX(Mortality!$B$4:$E$64,MATCH($D224+BP$5-1,Mortality!$A$4:$A$64,0),$U224)*$V224*$N224,0)</f>
        <v>0</v>
      </c>
      <c r="BQ224" s="93">
        <f>IF(AND($T224=1,BQ$5&lt;=$H224),INDEX(Mortality!$B$4:$E$64,MATCH($D224+BQ$5-1,Mortality!$A$4:$A$64,0),$U224)*$V224*$N224,0)</f>
        <v>0</v>
      </c>
      <c r="BR224" s="93">
        <f>IF(AND($T224=1,BR$5&lt;=$H224),INDEX(Mortality!$B$4:$E$64,MATCH($D224+BR$5-1,Mortality!$A$4:$A$64,0),$U224)*$V224*$N224,0)</f>
        <v>0</v>
      </c>
      <c r="BS224" s="93">
        <f>IF(AND($T224=1,BS$5&lt;=$H224),INDEX(Mortality!$B$4:$E$64,MATCH($D224+BS$5-1,Mortality!$A$4:$A$64,0),$U224)*$V224*$N224,0)</f>
        <v>0</v>
      </c>
      <c r="BT224" s="93">
        <f>IF(AND($T224=1,BT$5&lt;=$H224),INDEX(Mortality!$B$4:$E$64,MATCH($D224+BT$5-1,Mortality!$A$4:$A$64,0),$U224)*$V224*$N224,0)</f>
        <v>0</v>
      </c>
      <c r="BU224" s="93">
        <f>IF(AND($T224=1,BU$5&lt;=$H224),INDEX(Mortality!$B$4:$E$64,MATCH($D224+BU$5-1,Mortality!$A$4:$A$64,0),$U224)*$V224*$N224,0)</f>
        <v>0</v>
      </c>
      <c r="BV224" s="93">
        <f>IF(AND($T224=1,BV$5&lt;=$H224),INDEX(Mortality!$B$4:$E$64,MATCH($D224+BV$5-1,Mortality!$A$4:$A$64,0),$U224)*$V224*$N224,0)</f>
        <v>0</v>
      </c>
      <c r="BW224" s="93">
        <f>IF(AND($T224=1,BW$5&lt;=$H224),INDEX(Mortality!$B$4:$E$64,MATCH($D224+BW$5-1,Mortality!$A$4:$A$64,0),$U224)*$V224*$N224,0)</f>
        <v>0</v>
      </c>
      <c r="BX224" s="93">
        <f>IF(AND($T224=1,BX$5&lt;=$H224),INDEX(Mortality!$B$4:$E$64,MATCH($D224+BX$5-1,Mortality!$A$4:$A$64,0),$U224)*$V224*$N224,0)</f>
        <v>0</v>
      </c>
      <c r="BY224" s="93">
        <f>IF(AND($T224=1,BY$5&lt;=$H224),INDEX(Mortality!$B$4:$E$64,MATCH($D224+BY$5-1,Mortality!$A$4:$A$64,0),$U224)*$V224*$N224,0)</f>
        <v>0</v>
      </c>
      <c r="BZ224" s="93">
        <f>IF(AND($T224=1,BZ$5&lt;=$H224),INDEX(Mortality!$B$4:$E$64,MATCH($D224+BZ$5-1,Mortality!$A$4:$A$64,0),$U224)*$V224*$N224,0)</f>
        <v>0</v>
      </c>
      <c r="CA224" s="93">
        <f>IF(AND($T224=1,CA$5&lt;=$H224),INDEX(Mortality!$B$4:$E$64,MATCH($D224+CA$5-1,Mortality!$A$4:$A$64,0),$U224)*$V224*$N224,0)</f>
        <v>0</v>
      </c>
      <c r="CB224" s="93">
        <f>IF(AND($T224=1,CB$5&lt;=$H224),INDEX(Mortality!$B$4:$E$64,MATCH($D224+CB$5-1,Mortality!$A$4:$A$64,0),$U224)*$V224*$N224,0)</f>
        <v>0</v>
      </c>
      <c r="CC224" s="93">
        <f>IF(AND($T224=1,CC$5&lt;=$H224),INDEX(Mortality!$B$4:$E$64,MATCH($D224+CC$5-1,Mortality!$A$4:$A$64,0),$U224)*$V224*$N224,0)</f>
        <v>0</v>
      </c>
      <c r="CD224" s="93">
        <f>IF(AND($T224=1,CD$5&lt;=$H224),INDEX(Mortality!$B$4:$E$64,MATCH($D224+CD$5-1,Mortality!$A$4:$A$64,0),$U224)*$V224*$N224,0)</f>
        <v>0</v>
      </c>
      <c r="CE224" s="93">
        <f>IF(AND($T224=1,CE$5&lt;=$H224),INDEX(Mortality!$B$4:$E$64,MATCH($D224+CE$5-1,Mortality!$A$4:$A$64,0),$U224)*$V224*$N224,0)</f>
        <v>0</v>
      </c>
      <c r="CF224" s="93">
        <f>IF(AND($T224=1,CF$5&lt;=$H224),INDEX(Mortality!$B$4:$E$64,MATCH($D224+CF$5-1,Mortality!$A$4:$A$64,0),$U224)*$V224*$N224,0)</f>
        <v>0</v>
      </c>
      <c r="CG224" s="93">
        <f>IF(AND($T224=1,CG$5&lt;=$H224),INDEX(Mortality!$B$4:$E$64,MATCH($D224+CG$5-1,Mortality!$A$4:$A$64,0),$U224)*$V224*$N224,0)</f>
        <v>0</v>
      </c>
      <c r="CH224" s="94">
        <f>IF(AND($T224=1,CH$5&lt;=$H224),INDEX(Mortality!$B$4:$E$64,MATCH($D224+CH$5-1,Mortality!$A$4:$A$64,0),$U224)*$V224*$N224,0)</f>
        <v>0</v>
      </c>
      <c r="CI224" s="26"/>
      <c r="CJ224" s="419">
        <f t="shared" si="89"/>
        <v>1</v>
      </c>
      <c r="CK224" s="93">
        <f>IF(AND($T224=1,CK$5&lt;=$H224),CJ224*(1-AU224)*(1-MIN(1,MAX(Assumptions!$C$27,Assumptions!$C$13*Assumptions!$C$28^(CJ$5-1))*$O224)),0)</f>
        <v>0.87713255647592847</v>
      </c>
      <c r="CL224" s="93">
        <f>IF(AND($T224=1,CL$5&lt;=$H224),CK224*(1-AV224)*(1-MIN(1,MAX(Assumptions!$C$27,Assumptions!$C$13*Assumptions!$C$28^(CK$5-1))*$O224)),0)</f>
        <v>0.78488469943353445</v>
      </c>
      <c r="CM224" s="93">
        <f>IF(AND($T224=1,CM$5&lt;=$H224),CL224*(1-AW224)*(1-MIN(1,MAX(Assumptions!$C$27,Assumptions!$C$13*Assumptions!$C$28^(CL$5-1))*$O224)),0)</f>
        <v>0.71409413538336286</v>
      </c>
      <c r="CN224" s="93">
        <f>IF(AND($T224=1,CN$5&lt;=$H224),CM224*(1-AX224)*(1-MIN(1,MAX(Assumptions!$C$27,Assumptions!$C$13*Assumptions!$C$28^(CM$5-1))*$O224)),0)</f>
        <v>0.65872895679354393</v>
      </c>
      <c r="CO224" s="93">
        <f>IF(AND($T224=1,CO$5&lt;=$H224),CN224*(1-AY224)*(1-MIN(1,MAX(Assumptions!$C$27,Assumptions!$C$13*Assumptions!$C$28^(CN$5-1))*$O224)),0)</f>
        <v>0.61469491866050541</v>
      </c>
      <c r="CP224" s="93">
        <f>IF(AND($T224=1,CP$5&lt;=$H224),CO224*(1-AZ224)*(1-MIN(1,MAX(Assumptions!$C$27,Assumptions!$C$13*Assumptions!$C$28^(CO$5-1))*$O224)),0)</f>
        <v>0.57913674674225335</v>
      </c>
      <c r="CQ224" s="93">
        <f>IF(AND($T224=1,CQ$5&lt;=$H224),CP224*(1-BA224)*(1-MIN(1,MAX(Assumptions!$C$27,Assumptions!$C$13*Assumptions!$C$28^(CP$5-1))*$O224)),0)</f>
        <v>0.55001454906092062</v>
      </c>
      <c r="CR224" s="93">
        <f>IF(AND($T224=1,CR$5&lt;=$H224),CQ224*(1-BB224)*(1-MIN(1,MAX(Assumptions!$C$27,Assumptions!$C$13*Assumptions!$C$28^(CQ$5-1))*$O224)),0)</f>
        <v>0.525839046343616</v>
      </c>
      <c r="CS224" s="93">
        <f>IF(AND($T224=1,CS$5&lt;=$H224),CR224*(1-BC224)*(1-MIN(1,MAX(Assumptions!$C$27,Assumptions!$C$13*Assumptions!$C$28^(CR$5-1))*$O224)),0)</f>
        <v>0.50550148436522846</v>
      </c>
      <c r="CT224" s="93">
        <f>IF(AND($T224=1,CT$5&lt;=$H224),CS224*(1-BD224)*(1-MIN(1,MAX(Assumptions!$C$27,Assumptions!$C$13*Assumptions!$C$28^(CS$5-1))*$O224)),0)</f>
        <v>0.48816164212010904</v>
      </c>
      <c r="CU224" s="93">
        <f>IF(AND($T224=1,CU$5&lt;=$H224),CT224*(1-BE224)*(1-MIN(1,MAX(Assumptions!$C$27,Assumptions!$C$13*Assumptions!$C$28^(CT$5-1))*$O224)),0)</f>
        <v>0.47317242539899301</v>
      </c>
      <c r="CV224" s="93">
        <f>IF(AND($T224=1,CV$5&lt;=$H224),CU224*(1-BF224)*(1-MIN(1,MAX(Assumptions!$C$27,Assumptions!$C$13*Assumptions!$C$28^(CU$5-1))*$O224)),0)</f>
        <v>0.46002804941993275</v>
      </c>
      <c r="CW224" s="93">
        <f>IF(AND($T224=1,CW$5&lt;=$H224),CV224*(1-BG224)*(1-MIN(1,MAX(Assumptions!$C$27,Assumptions!$C$13*Assumptions!$C$28^(CV$5-1))*$O224)),0)</f>
        <v>0.44699089930152114</v>
      </c>
      <c r="CX224" s="93">
        <f>IF(AND($T224=1,CX$5&lt;=$H224),CW224*(1-BH224)*(1-MIN(1,MAX(Assumptions!$C$27,Assumptions!$C$13*Assumptions!$C$28^(CW$5-1))*$O224)),0)</f>
        <v>0.43401273817239078</v>
      </c>
      <c r="CY224" s="93">
        <f>IF(AND($T224=1,CY$5&lt;=$H224),CX224*(1-BI224)*(1-MIN(1,MAX(Assumptions!$C$27,Assumptions!$C$13*Assumptions!$C$28^(CX$5-1))*$O224)),0)</f>
        <v>0.42108481533377945</v>
      </c>
      <c r="CZ224" s="93">
        <f>IF(AND($T224=1,CZ$5&lt;=$H224),CY224*(1-BJ224)*(1-MIN(1,MAX(Assumptions!$C$27,Assumptions!$C$13*Assumptions!$C$28^(CY$5-1))*$O224)),0)</f>
        <v>0.40819873818804231</v>
      </c>
      <c r="DA224" s="93">
        <f>IF(AND($T224=1,DA$5&lt;=$H224),CZ224*(1-BK224)*(1-MIN(1,MAX(Assumptions!$C$27,Assumptions!$C$13*Assumptions!$C$28^(CZ$5-1))*$O224)),0)</f>
        <v>0.39534655542814234</v>
      </c>
      <c r="DB224" s="93">
        <f>IF(AND($T224=1,DB$5&lt;=$H224),DA224*(1-BL224)*(1-MIN(1,MAX(Assumptions!$C$27,Assumptions!$C$13*Assumptions!$C$28^(DA$5-1))*$O224)),0)</f>
        <v>0.38252085187803547</v>
      </c>
      <c r="DC224" s="93">
        <f>IF(AND($T224=1,DC$5&lt;=$H224),DB224*(1-BM224)*(1-MIN(1,MAX(Assumptions!$C$27,Assumptions!$C$13*Assumptions!$C$28^(DB$5-1))*$O224)),0)</f>
        <v>0.36971485585566916</v>
      </c>
      <c r="DD224" s="93">
        <f>IF(AND($T224=1,DD$5&lt;=$H224),DC224*(1-BN224)*(1-MIN(1,MAX(Assumptions!$C$27,Assumptions!$C$13*Assumptions!$C$28^(DC$5-1))*$O224)),0)</f>
        <v>0</v>
      </c>
      <c r="DE224" s="93">
        <f>IF(AND($T224=1,DE$5&lt;=$H224),DD224*(1-BO224)*(1-MIN(1,MAX(Assumptions!$C$27,Assumptions!$C$13*Assumptions!$C$28^(DD$5-1))*$O224)),0)</f>
        <v>0</v>
      </c>
      <c r="DF224" s="93">
        <f>IF(AND($T224=1,DF$5&lt;=$H224),DE224*(1-BP224)*(1-MIN(1,MAX(Assumptions!$C$27,Assumptions!$C$13*Assumptions!$C$28^(DE$5-1))*$O224)),0)</f>
        <v>0</v>
      </c>
      <c r="DG224" s="93">
        <f>IF(AND($T224=1,DG$5&lt;=$H224),DF224*(1-BQ224)*(1-MIN(1,MAX(Assumptions!$C$27,Assumptions!$C$13*Assumptions!$C$28^(DF$5-1))*$O224)),0)</f>
        <v>0</v>
      </c>
      <c r="DH224" s="93">
        <f>IF(AND($T224=1,DH$5&lt;=$H224),DG224*(1-BR224)*(1-MIN(1,MAX(Assumptions!$C$27,Assumptions!$C$13*Assumptions!$C$28^(DG$5-1))*$O224)),0)</f>
        <v>0</v>
      </c>
      <c r="DI224" s="93">
        <f>IF(AND($T224=1,DI$5&lt;=$H224),DH224*(1-BS224)*(1-MIN(1,MAX(Assumptions!$C$27,Assumptions!$C$13*Assumptions!$C$28^(DH$5-1))*$O224)),0)</f>
        <v>0</v>
      </c>
      <c r="DJ224" s="93">
        <f>IF(AND($T224=1,DJ$5&lt;=$H224),DI224*(1-BT224)*(1-MIN(1,MAX(Assumptions!$C$27,Assumptions!$C$13*Assumptions!$C$28^(DI$5-1))*$O224)),0)</f>
        <v>0</v>
      </c>
      <c r="DK224" s="93">
        <f>IF(AND($T224=1,DK$5&lt;=$H224),DJ224*(1-BU224)*(1-MIN(1,MAX(Assumptions!$C$27,Assumptions!$C$13*Assumptions!$C$28^(DJ$5-1))*$O224)),0)</f>
        <v>0</v>
      </c>
      <c r="DL224" s="93">
        <f>IF(AND($T224=1,DL$5&lt;=$H224),DK224*(1-BV224)*(1-MIN(1,MAX(Assumptions!$C$27,Assumptions!$C$13*Assumptions!$C$28^(DK$5-1))*$O224)),0)</f>
        <v>0</v>
      </c>
      <c r="DM224" s="93">
        <f>IF(AND($T224=1,DM$5&lt;=$H224),DL224*(1-BW224)*(1-MIN(1,MAX(Assumptions!$C$27,Assumptions!$C$13*Assumptions!$C$28^(DL$5-1))*$O224)),0)</f>
        <v>0</v>
      </c>
      <c r="DN224" s="93">
        <f>IF(AND($T224=1,DN$5&lt;=$H224),DM224*(1-BX224)*(1-MIN(1,MAX(Assumptions!$C$27,Assumptions!$C$13*Assumptions!$C$28^(DM$5-1))*$O224)),0)</f>
        <v>0</v>
      </c>
      <c r="DO224" s="93">
        <f>IF(AND($T224=1,DO$5&lt;=$H224),DN224*(1-BY224)*(1-MIN(1,MAX(Assumptions!$C$27,Assumptions!$C$13*Assumptions!$C$28^(DN$5-1))*$O224)),0)</f>
        <v>0</v>
      </c>
      <c r="DP224" s="93">
        <f>IF(AND($T224=1,DP$5&lt;=$H224),DO224*(1-BZ224)*(1-MIN(1,MAX(Assumptions!$C$27,Assumptions!$C$13*Assumptions!$C$28^(DO$5-1))*$O224)),0)</f>
        <v>0</v>
      </c>
      <c r="DQ224" s="93">
        <f>IF(AND($T224=1,DQ$5&lt;=$H224),DP224*(1-CA224)*(1-MIN(1,MAX(Assumptions!$C$27,Assumptions!$C$13*Assumptions!$C$28^(DP$5-1))*$O224)),0)</f>
        <v>0</v>
      </c>
      <c r="DR224" s="93">
        <f>IF(AND($T224=1,DR$5&lt;=$H224),DQ224*(1-CB224)*(1-MIN(1,MAX(Assumptions!$C$27,Assumptions!$C$13*Assumptions!$C$28^(DQ$5-1))*$O224)),0)</f>
        <v>0</v>
      </c>
      <c r="DS224" s="93">
        <f>IF(AND($T224=1,DS$5&lt;=$H224),DR224*(1-CC224)*(1-MIN(1,MAX(Assumptions!$C$27,Assumptions!$C$13*Assumptions!$C$28^(DR$5-1))*$O224)),0)</f>
        <v>0</v>
      </c>
      <c r="DT224" s="93">
        <f>IF(AND($T224=1,DT$5&lt;=$H224),DS224*(1-CD224)*(1-MIN(1,MAX(Assumptions!$C$27,Assumptions!$C$13*Assumptions!$C$28^(DS$5-1))*$O224)),0)</f>
        <v>0</v>
      </c>
      <c r="DU224" s="93">
        <f>IF(AND($T224=1,DU$5&lt;=$H224),DT224*(1-CE224)*(1-MIN(1,MAX(Assumptions!$C$27,Assumptions!$C$13*Assumptions!$C$28^(DT$5-1))*$O224)),0)</f>
        <v>0</v>
      </c>
      <c r="DV224" s="93">
        <f>IF(AND($T224=1,DV$5&lt;=$H224),DU224*(1-CF224)*(1-MIN(1,MAX(Assumptions!$C$27,Assumptions!$C$13*Assumptions!$C$28^(DU$5-1))*$O224)),0)</f>
        <v>0</v>
      </c>
      <c r="DW224" s="94">
        <f>IF(AND($T224=1,DW$5&lt;=$H224),DV224*(1-CG224)*(1-MIN(1,MAX(Assumptions!$C$27,Assumptions!$C$13*Assumptions!$C$28^(DV$5-1))*$O224)),0)</f>
        <v>0</v>
      </c>
      <c r="DX224" s="26"/>
      <c r="DY224" s="399">
        <f>'Policy Data'!K198</f>
        <v>1</v>
      </c>
      <c r="DZ224" s="100">
        <f>'Policy Data'!L198</f>
        <v>0.59850000000000003</v>
      </c>
      <c r="EA224" s="100">
        <f>'Policy Data'!N198</f>
        <v>1.9499999999999999E-3</v>
      </c>
      <c r="EB224" s="93" cm="1">
        <f t="array" ref="EB224">IFERROR(DZ224*INDEX(Mortality!$B$4:$E$64,MATCH(D224+DY224-1,Mortality!$A$4:$A$64,0),U224)*V224,0)</f>
        <v>1.9501874422236582E-3</v>
      </c>
      <c r="EC224" s="100">
        <f>'Policy Data'!O198</f>
        <v>0</v>
      </c>
      <c r="ED224" s="400">
        <f>'Policy Data'!Q198</f>
        <v>0</v>
      </c>
    </row>
    <row r="225" spans="1:134" x14ac:dyDescent="0.3">
      <c r="A225" s="399" t="str">
        <f>'Policy Data'!A199</f>
        <v>POL100195</v>
      </c>
      <c r="B225" s="26" t="s">
        <v>426</v>
      </c>
      <c r="C225" s="100" t="str">
        <f>'Policy Data'!B199</f>
        <v>Term Life</v>
      </c>
      <c r="D225" s="100">
        <f>'Policy Data'!C199</f>
        <v>44</v>
      </c>
      <c r="E225" s="100" t="str">
        <f>'Policy Data'!D199</f>
        <v>Male</v>
      </c>
      <c r="F225" s="100" t="str">
        <f>'Policy Data'!E199</f>
        <v>Non-smoker</v>
      </c>
      <c r="G225" s="100" t="str">
        <f>'Policy Data'!F199</f>
        <v>Standard</v>
      </c>
      <c r="H225" s="100">
        <f>'Policy Data'!G199</f>
        <v>15</v>
      </c>
      <c r="I225" s="279">
        <f>'Policy Data'!H199</f>
        <v>500000</v>
      </c>
      <c r="J225" s="100" t="str">
        <f>'Policy Data'!I199</f>
        <v>Annual</v>
      </c>
      <c r="K225" s="100" t="str">
        <f>'Policy Data'!J199</f>
        <v>Broker</v>
      </c>
      <c r="L225" s="26" t="s">
        <v>389</v>
      </c>
      <c r="M225" s="106">
        <f>'Policy Data'!R199</f>
        <v>1690.78</v>
      </c>
      <c r="N225" s="415">
        <f>Assumptions!$C$21</f>
        <v>1</v>
      </c>
      <c r="O225" s="415">
        <f>Assumptions!$C$22</f>
        <v>1</v>
      </c>
      <c r="P225" s="415">
        <f>Assumptions!$C$23</f>
        <v>1</v>
      </c>
      <c r="Q225" s="416">
        <f>Assumptions!$C$24</f>
        <v>0</v>
      </c>
      <c r="R225" s="416">
        <f>Assumptions!$C$6+Assumptions!$C$25</f>
        <v>3.5000000000000003E-2</v>
      </c>
      <c r="S225" s="416">
        <f>Assumptions!$C$15</f>
        <v>1.1000000000000001E-3</v>
      </c>
      <c r="T225" s="26">
        <f t="shared" si="72"/>
        <v>1</v>
      </c>
      <c r="U225" s="26">
        <f t="shared" si="73"/>
        <v>3</v>
      </c>
      <c r="V225" s="389">
        <f>IF($G225="Preferred",Assumptions!$C$30,IF($G225="Rated",Assumptions!$C$31,1))</f>
        <v>1</v>
      </c>
      <c r="W225" s="390">
        <f>IF($K225="Direct",Assumptions!$C$32,IF($K225="Broker",Assumptions!$C$33,IF($K225="Bancassurance",Assumptions!$C$34,Assumptions!$C$11)))+$Q225</f>
        <v>0.25</v>
      </c>
      <c r="X225" s="390">
        <f>Assumptions!$C$12+$Q225</f>
        <v>0.05</v>
      </c>
      <c r="Y225" s="131">
        <f>MIN($I225,Assumptions!$C$14)</f>
        <v>500000</v>
      </c>
      <c r="Z225" s="131">
        <f>MAX($I225-Assumptions!$C$14,0)</f>
        <v>0</v>
      </c>
      <c r="AA225" s="389">
        <f t="shared" si="74"/>
        <v>7.355561407252468</v>
      </c>
      <c r="AB225" s="389">
        <f t="shared" si="75"/>
        <v>1.8973304306394555E-2</v>
      </c>
      <c r="AC225" s="389">
        <f>IF($T225=1,SUMPRODUCT($CJ225:$DW225,(1+Assumptions!$C$5)^($CJ$5:$DW$5-1),(1+$R225)^(-$CJ$5:$DW$5)),0)</f>
        <v>9.1939973848424401</v>
      </c>
      <c r="AD225" s="389">
        <f t="shared" si="76"/>
        <v>0.56101478533846882</v>
      </c>
      <c r="AE225" s="131">
        <f>IF($T225=1,$AB225*$Y225+(Assumptions!$C$9/(1+$R225)+Assumptions!$C$10*$AC225)*$P225+$S225*$Z225*$AA225,0)</f>
        <v>12378.896795253919</v>
      </c>
      <c r="AF225" s="131">
        <f>IF($T225=1,IF($AA225-$AD225-Assumptions!$C$16*$AA225&gt;0,$AE225/($AA225-$AD225-Assumptions!$C$16*$AA225)*IF($J225="Monthly",1+Assumptions!$C$29,1),"n.a."),"")</f>
        <v>1994.6332456389503</v>
      </c>
      <c r="AG225" s="131">
        <f t="shared" si="77"/>
        <v>1690.78</v>
      </c>
      <c r="AH225" s="131">
        <f t="shared" si="78"/>
        <v>12436.636116154328</v>
      </c>
      <c r="AI225" s="131">
        <f t="shared" si="79"/>
        <v>-890.81325785416811</v>
      </c>
      <c r="AJ225" s="390">
        <f t="shared" si="80"/>
        <v>-7.1628151658876912E-2</v>
      </c>
      <c r="AK225" s="389">
        <f t="shared" si="81"/>
        <v>0.84766460385472242</v>
      </c>
      <c r="AL225" s="131">
        <f t="shared" si="82"/>
        <v>0</v>
      </c>
      <c r="AM225" s="131">
        <f t="shared" si="83"/>
        <v>0</v>
      </c>
      <c r="AN225" s="131">
        <f t="shared" si="84"/>
        <v>0</v>
      </c>
      <c r="AO225" s="131">
        <f t="shared" si="85"/>
        <v>-890.81325785416811</v>
      </c>
      <c r="AP225" s="26" t="str">
        <f t="shared" si="86"/>
        <v>40-49</v>
      </c>
      <c r="AQ225" s="26" t="str">
        <f t="shared" si="87"/>
        <v>250k-500k</v>
      </c>
      <c r="AR225" s="26" t="str">
        <f>IF($T225=1,IF($AI225&lt;0,"Loss-making",IF($AJ225&lt;Assumptions!$C$16-0.00001,"Below target","At/above target")),"Excluded")</f>
        <v>Loss-making</v>
      </c>
      <c r="AS225" s="103">
        <f t="shared" si="88"/>
        <v>-890.81303285416811</v>
      </c>
      <c r="AT225" s="26"/>
      <c r="AU225" s="419">
        <f>IF(AND($T225=1,AU$5&lt;=$H225),INDEX(Mortality!$B$4:$E$64,MATCH($D225+AU$5-1,Mortality!$A$4:$A$64,0),$U225)*$V225*$N225,0)</f>
        <v>1.58606205020413E-3</v>
      </c>
      <c r="AV225" s="93">
        <f>IF(AND($T225=1,AV$5&lt;=$H225),INDEX(Mortality!$B$4:$E$64,MATCH($D225+AV$5-1,Mortality!$A$4:$A$64,0),$U225)*$V225*$N225,0)</f>
        <v>1.71816050751616E-3</v>
      </c>
      <c r="AW225" s="93">
        <f>IF(AND($T225=1,AW$5&lt;=$H225),INDEX(Mortality!$B$4:$E$64,MATCH($D225+AW$5-1,Mortality!$A$4:$A$64,0),$U225)*$V225*$N225,0)</f>
        <v>1.8612610579820999E-3</v>
      </c>
      <c r="AX225" s="93">
        <f>IF(AND($T225=1,AX$5&lt;=$H225),INDEX(Mortality!$B$4:$E$64,MATCH($D225+AX$5-1,Mortality!$A$4:$A$64,0),$U225)*$V225*$N225,0)</f>
        <v>2.0162800336790201E-3</v>
      </c>
      <c r="AY225" s="93">
        <f>IF(AND($T225=1,AY$5&lt;=$H225),INDEX(Mortality!$B$4:$E$64,MATCH($D225+AY$5-1,Mortality!$A$4:$A$64,0),$U225)*$V225*$N225,0)</f>
        <v>2.1842100852957199E-3</v>
      </c>
      <c r="AZ225" s="93">
        <f>IF(AND($T225=1,AZ$5&lt;=$H225),INDEX(Mortality!$B$4:$E$64,MATCH($D225+AZ$5-1,Mortality!$A$4:$A$64,0),$U225)*$V225*$N225,0)</f>
        <v>2.3661265384860701E-3</v>
      </c>
      <c r="BA225" s="93">
        <f>IF(AND($T225=1,BA$5&lt;=$H225),INDEX(Mortality!$B$4:$E$64,MATCH($D225+BA$5-1,Mortality!$A$4:$A$64,0),$U225)*$V225*$N225,0)</f>
        <v>2.5631942796244698E-3</v>
      </c>
      <c r="BB225" s="93">
        <f>IF(AND($T225=1,BB$5&lt;=$H225),INDEX(Mortality!$B$4:$E$64,MATCH($D225+BB$5-1,Mortality!$A$4:$A$64,0),$U225)*$V225*$N225,0)</f>
        <v>2.7766752150556202E-3</v>
      </c>
      <c r="BC225" s="93">
        <f>IF(AND($T225=1,BC$5&lt;=$H225),INDEX(Mortality!$B$4:$E$64,MATCH($D225+BC$5-1,Mortality!$A$4:$A$64,0),$U225)*$V225*$N225,0)</f>
        <v>3.0079363516033399E-3</v>
      </c>
      <c r="BD225" s="93">
        <f>IF(AND($T225=1,BD$5&lt;=$H225),INDEX(Mortality!$B$4:$E$64,MATCH($D225+BD$5-1,Mortality!$A$4:$A$64,0),$U225)*$V225*$N225,0)</f>
        <v>3.2584585500813001E-3</v>
      </c>
      <c r="BE225" s="93">
        <f>IF(AND($T225=1,BE$5&lt;=$H225),INDEX(Mortality!$B$4:$E$64,MATCH($D225+BE$5-1,Mortality!$A$4:$A$64,0),$U225)*$V225*$N225,0)</f>
        <v>3.5298460078579601E-3</v>
      </c>
      <c r="BF225" s="93">
        <f>IF(AND($T225=1,BF$5&lt;=$H225),INDEX(Mortality!$B$4:$E$64,MATCH($D225+BF$5-1,Mortality!$A$4:$A$64,0),$U225)*$V225*$N225,0)</f>
        <v>3.8238365311966099E-3</v>
      </c>
      <c r="BG225" s="93">
        <f>IF(AND($T225=1,BG$5&lt;=$H225),INDEX(Mortality!$B$4:$E$64,MATCH($D225+BG$5-1,Mortality!$A$4:$A$64,0),$U225)*$V225*$N225,0)</f>
        <v>4.1423126631483596E-3</v>
      </c>
      <c r="BH225" s="93">
        <f>IF(AND($T225=1,BH$5&lt;=$H225),INDEX(Mortality!$B$4:$E$64,MATCH($D225+BH$5-1,Mortality!$A$4:$A$64,0),$U225)*$V225*$N225,0)</f>
        <v>4.4873137382548398E-3</v>
      </c>
      <c r="BI225" s="93">
        <f>IF(AND($T225=1,BI$5&lt;=$H225),INDEX(Mortality!$B$4:$E$64,MATCH($D225+BI$5-1,Mortality!$A$4:$A$64,0),$U225)*$V225*$N225,0)</f>
        <v>4.8610489412516398E-3</v>
      </c>
      <c r="BJ225" s="93">
        <f>IF(AND($T225=1,BJ$5&lt;=$H225),INDEX(Mortality!$B$4:$E$64,MATCH($D225+BJ$5-1,Mortality!$A$4:$A$64,0),$U225)*$V225*$N225,0)</f>
        <v>0</v>
      </c>
      <c r="BK225" s="93">
        <f>IF(AND($T225=1,BK$5&lt;=$H225),INDEX(Mortality!$B$4:$E$64,MATCH($D225+BK$5-1,Mortality!$A$4:$A$64,0),$U225)*$V225*$N225,0)</f>
        <v>0</v>
      </c>
      <c r="BL225" s="93">
        <f>IF(AND($T225=1,BL$5&lt;=$H225),INDEX(Mortality!$B$4:$E$64,MATCH($D225+BL$5-1,Mortality!$A$4:$A$64,0),$U225)*$V225*$N225,0)</f>
        <v>0</v>
      </c>
      <c r="BM225" s="93">
        <f>IF(AND($T225=1,BM$5&lt;=$H225),INDEX(Mortality!$B$4:$E$64,MATCH($D225+BM$5-1,Mortality!$A$4:$A$64,0),$U225)*$V225*$N225,0)</f>
        <v>0</v>
      </c>
      <c r="BN225" s="93">
        <f>IF(AND($T225=1,BN$5&lt;=$H225),INDEX(Mortality!$B$4:$E$64,MATCH($D225+BN$5-1,Mortality!$A$4:$A$64,0),$U225)*$V225*$N225,0)</f>
        <v>0</v>
      </c>
      <c r="BO225" s="93">
        <f>IF(AND($T225=1,BO$5&lt;=$H225),INDEX(Mortality!$B$4:$E$64,MATCH($D225+BO$5-1,Mortality!$A$4:$A$64,0),$U225)*$V225*$N225,0)</f>
        <v>0</v>
      </c>
      <c r="BP225" s="93">
        <f>IF(AND($T225=1,BP$5&lt;=$H225),INDEX(Mortality!$B$4:$E$64,MATCH($D225+BP$5-1,Mortality!$A$4:$A$64,0),$U225)*$V225*$N225,0)</f>
        <v>0</v>
      </c>
      <c r="BQ225" s="93">
        <f>IF(AND($T225=1,BQ$5&lt;=$H225),INDEX(Mortality!$B$4:$E$64,MATCH($D225+BQ$5-1,Mortality!$A$4:$A$64,0),$U225)*$V225*$N225,0)</f>
        <v>0</v>
      </c>
      <c r="BR225" s="93">
        <f>IF(AND($T225=1,BR$5&lt;=$H225),INDEX(Mortality!$B$4:$E$64,MATCH($D225+BR$5-1,Mortality!$A$4:$A$64,0),$U225)*$V225*$N225,0)</f>
        <v>0</v>
      </c>
      <c r="BS225" s="93">
        <f>IF(AND($T225=1,BS$5&lt;=$H225),INDEX(Mortality!$B$4:$E$64,MATCH($D225+BS$5-1,Mortality!$A$4:$A$64,0),$U225)*$V225*$N225,0)</f>
        <v>0</v>
      </c>
      <c r="BT225" s="93">
        <f>IF(AND($T225=1,BT$5&lt;=$H225),INDEX(Mortality!$B$4:$E$64,MATCH($D225+BT$5-1,Mortality!$A$4:$A$64,0),$U225)*$V225*$N225,0)</f>
        <v>0</v>
      </c>
      <c r="BU225" s="93">
        <f>IF(AND($T225=1,BU$5&lt;=$H225),INDEX(Mortality!$B$4:$E$64,MATCH($D225+BU$5-1,Mortality!$A$4:$A$64,0),$U225)*$V225*$N225,0)</f>
        <v>0</v>
      </c>
      <c r="BV225" s="93">
        <f>IF(AND($T225=1,BV$5&lt;=$H225),INDEX(Mortality!$B$4:$E$64,MATCH($D225+BV$5-1,Mortality!$A$4:$A$64,0),$U225)*$V225*$N225,0)</f>
        <v>0</v>
      </c>
      <c r="BW225" s="93">
        <f>IF(AND($T225=1,BW$5&lt;=$H225),INDEX(Mortality!$B$4:$E$64,MATCH($D225+BW$5-1,Mortality!$A$4:$A$64,0),$U225)*$V225*$N225,0)</f>
        <v>0</v>
      </c>
      <c r="BX225" s="93">
        <f>IF(AND($T225=1,BX$5&lt;=$H225),INDEX(Mortality!$B$4:$E$64,MATCH($D225+BX$5-1,Mortality!$A$4:$A$64,0),$U225)*$V225*$N225,0)</f>
        <v>0</v>
      </c>
      <c r="BY225" s="93">
        <f>IF(AND($T225=1,BY$5&lt;=$H225),INDEX(Mortality!$B$4:$E$64,MATCH($D225+BY$5-1,Mortality!$A$4:$A$64,0),$U225)*$V225*$N225,0)</f>
        <v>0</v>
      </c>
      <c r="BZ225" s="93">
        <f>IF(AND($T225=1,BZ$5&lt;=$H225),INDEX(Mortality!$B$4:$E$64,MATCH($D225+BZ$5-1,Mortality!$A$4:$A$64,0),$U225)*$V225*$N225,0)</f>
        <v>0</v>
      </c>
      <c r="CA225" s="93">
        <f>IF(AND($T225=1,CA$5&lt;=$H225),INDEX(Mortality!$B$4:$E$64,MATCH($D225+CA$5-1,Mortality!$A$4:$A$64,0),$U225)*$V225*$N225,0)</f>
        <v>0</v>
      </c>
      <c r="CB225" s="93">
        <f>IF(AND($T225=1,CB$5&lt;=$H225),INDEX(Mortality!$B$4:$E$64,MATCH($D225+CB$5-1,Mortality!$A$4:$A$64,0),$U225)*$V225*$N225,0)</f>
        <v>0</v>
      </c>
      <c r="CC225" s="93">
        <f>IF(AND($T225=1,CC$5&lt;=$H225),INDEX(Mortality!$B$4:$E$64,MATCH($D225+CC$5-1,Mortality!$A$4:$A$64,0),$U225)*$V225*$N225,0)</f>
        <v>0</v>
      </c>
      <c r="CD225" s="93">
        <f>IF(AND($T225=1,CD$5&lt;=$H225),INDEX(Mortality!$B$4:$E$64,MATCH($D225+CD$5-1,Mortality!$A$4:$A$64,0),$U225)*$V225*$N225,0)</f>
        <v>0</v>
      </c>
      <c r="CE225" s="93">
        <f>IF(AND($T225=1,CE$5&lt;=$H225),INDEX(Mortality!$B$4:$E$64,MATCH($D225+CE$5-1,Mortality!$A$4:$A$64,0),$U225)*$V225*$N225,0)</f>
        <v>0</v>
      </c>
      <c r="CF225" s="93">
        <f>IF(AND($T225=1,CF$5&lt;=$H225),INDEX(Mortality!$B$4:$E$64,MATCH($D225+CF$5-1,Mortality!$A$4:$A$64,0),$U225)*$V225*$N225,0)</f>
        <v>0</v>
      </c>
      <c r="CG225" s="93">
        <f>IF(AND($T225=1,CG$5&lt;=$H225),INDEX(Mortality!$B$4:$E$64,MATCH($D225+CG$5-1,Mortality!$A$4:$A$64,0),$U225)*$V225*$N225,0)</f>
        <v>0</v>
      </c>
      <c r="CH225" s="94">
        <f>IF(AND($T225=1,CH$5&lt;=$H225),INDEX(Mortality!$B$4:$E$64,MATCH($D225+CH$5-1,Mortality!$A$4:$A$64,0),$U225)*$V225*$N225,0)</f>
        <v>0</v>
      </c>
      <c r="CI225" s="26"/>
      <c r="CJ225" s="419">
        <f t="shared" si="89"/>
        <v>1</v>
      </c>
      <c r="CK225" s="93">
        <f>IF(AND($T225=1,CK$5&lt;=$H225),CJ225*(1-AU225)*(1-MIN(1,MAX(Assumptions!$C$27,Assumptions!$C$13*Assumptions!$C$28^(CJ$5-1))*$O225)),0)</f>
        <v>0.87860426539582037</v>
      </c>
      <c r="CL225" s="93">
        <f>IF(AND($T225=1,CL$5&lt;=$H225),CK225*(1-AV225)*(1-MIN(1,MAX(Assumptions!$C$27,Assumptions!$C$13*Assumptions!$C$28^(CK$5-1))*$O225)),0)</f>
        <v>0.78763102465626322</v>
      </c>
      <c r="CM225" s="93">
        <f>IF(AND($T225=1,CM$5&lt;=$H225),CL225*(1-AW225)*(1-MIN(1,MAX(Assumptions!$C$27,Assumptions!$C$13*Assumptions!$C$28^(CL$5-1))*$O225)),0)</f>
        <v>0.71800452893324751</v>
      </c>
      <c r="CN225" s="93">
        <f>IF(AND($T225=1,CN$5&lt;=$H225),CM225*(1-AX225)*(1-MIN(1,MAX(Assumptions!$C$27,Assumptions!$C$13*Assumptions!$C$28^(CM$5-1))*$O225)),0)</f>
        <v>0.66375017509627054</v>
      </c>
      <c r="CO225" s="93">
        <f>IF(AND($T225=1,CO$5&lt;=$H225),CN225*(1-AY225)*(1-MIN(1,MAX(Assumptions!$C$27,Assumptions!$C$13*Assumptions!$C$28^(CN$5-1))*$O225)),0)</f>
        <v>0.6208134111583099</v>
      </c>
      <c r="CP225" s="93">
        <f>IF(AND($T225=1,CP$5&lt;=$H225),CO225*(1-AZ225)*(1-MIN(1,MAX(Assumptions!$C$27,Assumptions!$C$13*Assumptions!$C$28^(CO$5-1))*$O225)),0)</f>
        <v>0.58636771531577159</v>
      </c>
      <c r="CQ225" s="93">
        <f>IF(AND($T225=1,CQ$5&lt;=$H225),CP225*(1-BA225)*(1-MIN(1,MAX(Assumptions!$C$27,Assumptions!$C$13*Assumptions!$C$28^(CP$5-1))*$O225)),0)</f>
        <v>0.55839496649182241</v>
      </c>
      <c r="CR225" s="93">
        <f>IF(AND($T225=1,CR$5&lt;=$H225),CQ225*(1-BB225)*(1-MIN(1,MAX(Assumptions!$C$27,Assumptions!$C$13*Assumptions!$C$28^(CQ$5-1))*$O225)),0)</f>
        <v>0.53542309499185714</v>
      </c>
      <c r="CS225" s="93">
        <f>IF(AND($T225=1,CS$5&lt;=$H225),CR225*(1-BC225)*(1-MIN(1,MAX(Assumptions!$C$27,Assumptions!$C$13*Assumptions!$C$28^(CR$5-1))*$O225)),0)</f>
        <v>0.51635751209502945</v>
      </c>
      <c r="CT225" s="93">
        <f>IF(AND($T225=1,CT$5&lt;=$H225),CS225*(1-BD225)*(1-MIN(1,MAX(Assumptions!$C$27,Assumptions!$C$13*Assumptions!$C$28^(CS$5-1))*$O225)),0)</f>
        <v>0.50037008881059697</v>
      </c>
      <c r="CU225" s="93">
        <f>IF(AND($T225=1,CU$5&lt;=$H225),CT225*(1-BE225)*(1-MIN(1,MAX(Assumptions!$C$27,Assumptions!$C$13*Assumptions!$C$28^(CT$5-1))*$O225)),0)</f>
        <v>0.48682437891040914</v>
      </c>
      <c r="CV225" s="93">
        <f>IF(AND($T225=1,CV$5&lt;=$H225),CU225*(1-BF225)*(1-MIN(1,MAX(Assumptions!$C$27,Assumptions!$C$13*Assumptions!$C$28^(CU$5-1))*$O225)),0)</f>
        <v>0.47522421145882232</v>
      </c>
      <c r="CW225" s="93">
        <f>IF(AND($T225=1,CW$5&lt;=$H225),CV225*(1-BG225)*(1-MIN(1,MAX(Assumptions!$C$27,Assumptions!$C$13*Assumptions!$C$28^(CV$5-1))*$O225)),0)</f>
        <v>0.46379057050606448</v>
      </c>
      <c r="CX225" s="93">
        <f>IF(AND($T225=1,CX$5&lt;=$H225),CW225*(1-BH225)*(1-MIN(1,MAX(Assumptions!$C$27,Assumptions!$C$13*Assumptions!$C$28^(CW$5-1))*$O225)),0)</f>
        <v>0.45247520877321235</v>
      </c>
      <c r="CY225" s="93">
        <f>IF(AND($T225=1,CY$5&lt;=$H225),CX225*(1-BI225)*(1-MIN(1,MAX(Assumptions!$C$27,Assumptions!$C$13*Assumptions!$C$28^(CX$5-1))*$O225)),0)</f>
        <v>0</v>
      </c>
      <c r="CZ225" s="93">
        <f>IF(AND($T225=1,CZ$5&lt;=$H225),CY225*(1-BJ225)*(1-MIN(1,MAX(Assumptions!$C$27,Assumptions!$C$13*Assumptions!$C$28^(CY$5-1))*$O225)),0)</f>
        <v>0</v>
      </c>
      <c r="DA225" s="93">
        <f>IF(AND($T225=1,DA$5&lt;=$H225),CZ225*(1-BK225)*(1-MIN(1,MAX(Assumptions!$C$27,Assumptions!$C$13*Assumptions!$C$28^(CZ$5-1))*$O225)),0)</f>
        <v>0</v>
      </c>
      <c r="DB225" s="93">
        <f>IF(AND($T225=1,DB$5&lt;=$H225),DA225*(1-BL225)*(1-MIN(1,MAX(Assumptions!$C$27,Assumptions!$C$13*Assumptions!$C$28^(DA$5-1))*$O225)),0)</f>
        <v>0</v>
      </c>
      <c r="DC225" s="93">
        <f>IF(AND($T225=1,DC$5&lt;=$H225),DB225*(1-BM225)*(1-MIN(1,MAX(Assumptions!$C$27,Assumptions!$C$13*Assumptions!$C$28^(DB$5-1))*$O225)),0)</f>
        <v>0</v>
      </c>
      <c r="DD225" s="93">
        <f>IF(AND($T225=1,DD$5&lt;=$H225),DC225*(1-BN225)*(1-MIN(1,MAX(Assumptions!$C$27,Assumptions!$C$13*Assumptions!$C$28^(DC$5-1))*$O225)),0)</f>
        <v>0</v>
      </c>
      <c r="DE225" s="93">
        <f>IF(AND($T225=1,DE$5&lt;=$H225),DD225*(1-BO225)*(1-MIN(1,MAX(Assumptions!$C$27,Assumptions!$C$13*Assumptions!$C$28^(DD$5-1))*$O225)),0)</f>
        <v>0</v>
      </c>
      <c r="DF225" s="93">
        <f>IF(AND($T225=1,DF$5&lt;=$H225),DE225*(1-BP225)*(1-MIN(1,MAX(Assumptions!$C$27,Assumptions!$C$13*Assumptions!$C$28^(DE$5-1))*$O225)),0)</f>
        <v>0</v>
      </c>
      <c r="DG225" s="93">
        <f>IF(AND($T225=1,DG$5&lt;=$H225),DF225*(1-BQ225)*(1-MIN(1,MAX(Assumptions!$C$27,Assumptions!$C$13*Assumptions!$C$28^(DF$5-1))*$O225)),0)</f>
        <v>0</v>
      </c>
      <c r="DH225" s="93">
        <f>IF(AND($T225=1,DH$5&lt;=$H225),DG225*(1-BR225)*(1-MIN(1,MAX(Assumptions!$C$27,Assumptions!$C$13*Assumptions!$C$28^(DG$5-1))*$O225)),0)</f>
        <v>0</v>
      </c>
      <c r="DI225" s="93">
        <f>IF(AND($T225=1,DI$5&lt;=$H225),DH225*(1-BS225)*(1-MIN(1,MAX(Assumptions!$C$27,Assumptions!$C$13*Assumptions!$C$28^(DH$5-1))*$O225)),0)</f>
        <v>0</v>
      </c>
      <c r="DJ225" s="93">
        <f>IF(AND($T225=1,DJ$5&lt;=$H225),DI225*(1-BT225)*(1-MIN(1,MAX(Assumptions!$C$27,Assumptions!$C$13*Assumptions!$C$28^(DI$5-1))*$O225)),0)</f>
        <v>0</v>
      </c>
      <c r="DK225" s="93">
        <f>IF(AND($T225=1,DK$5&lt;=$H225),DJ225*(1-BU225)*(1-MIN(1,MAX(Assumptions!$C$27,Assumptions!$C$13*Assumptions!$C$28^(DJ$5-1))*$O225)),0)</f>
        <v>0</v>
      </c>
      <c r="DL225" s="93">
        <f>IF(AND($T225=1,DL$5&lt;=$H225),DK225*(1-BV225)*(1-MIN(1,MAX(Assumptions!$C$27,Assumptions!$C$13*Assumptions!$C$28^(DK$5-1))*$O225)),0)</f>
        <v>0</v>
      </c>
      <c r="DM225" s="93">
        <f>IF(AND($T225=1,DM$5&lt;=$H225),DL225*(1-BW225)*(1-MIN(1,MAX(Assumptions!$C$27,Assumptions!$C$13*Assumptions!$C$28^(DL$5-1))*$O225)),0)</f>
        <v>0</v>
      </c>
      <c r="DN225" s="93">
        <f>IF(AND($T225=1,DN$5&lt;=$H225),DM225*(1-BX225)*(1-MIN(1,MAX(Assumptions!$C$27,Assumptions!$C$13*Assumptions!$C$28^(DM$5-1))*$O225)),0)</f>
        <v>0</v>
      </c>
      <c r="DO225" s="93">
        <f>IF(AND($T225=1,DO$5&lt;=$H225),DN225*(1-BY225)*(1-MIN(1,MAX(Assumptions!$C$27,Assumptions!$C$13*Assumptions!$C$28^(DN$5-1))*$O225)),0)</f>
        <v>0</v>
      </c>
      <c r="DP225" s="93">
        <f>IF(AND($T225=1,DP$5&lt;=$H225),DO225*(1-BZ225)*(1-MIN(1,MAX(Assumptions!$C$27,Assumptions!$C$13*Assumptions!$C$28^(DO$5-1))*$O225)),0)</f>
        <v>0</v>
      </c>
      <c r="DQ225" s="93">
        <f>IF(AND($T225=1,DQ$5&lt;=$H225),DP225*(1-CA225)*(1-MIN(1,MAX(Assumptions!$C$27,Assumptions!$C$13*Assumptions!$C$28^(DP$5-1))*$O225)),0)</f>
        <v>0</v>
      </c>
      <c r="DR225" s="93">
        <f>IF(AND($T225=1,DR$5&lt;=$H225),DQ225*(1-CB225)*(1-MIN(1,MAX(Assumptions!$C$27,Assumptions!$C$13*Assumptions!$C$28^(DQ$5-1))*$O225)),0)</f>
        <v>0</v>
      </c>
      <c r="DS225" s="93">
        <f>IF(AND($T225=1,DS$5&lt;=$H225),DR225*(1-CC225)*(1-MIN(1,MAX(Assumptions!$C$27,Assumptions!$C$13*Assumptions!$C$28^(DR$5-1))*$O225)),0)</f>
        <v>0</v>
      </c>
      <c r="DT225" s="93">
        <f>IF(AND($T225=1,DT$5&lt;=$H225),DS225*(1-CD225)*(1-MIN(1,MAX(Assumptions!$C$27,Assumptions!$C$13*Assumptions!$C$28^(DS$5-1))*$O225)),0)</f>
        <v>0</v>
      </c>
      <c r="DU225" s="93">
        <f>IF(AND($T225=1,DU$5&lt;=$H225),DT225*(1-CE225)*(1-MIN(1,MAX(Assumptions!$C$27,Assumptions!$C$13*Assumptions!$C$28^(DT$5-1))*$O225)),0)</f>
        <v>0</v>
      </c>
      <c r="DV225" s="93">
        <f>IF(AND($T225=1,DV$5&lt;=$H225),DU225*(1-CF225)*(1-MIN(1,MAX(Assumptions!$C$27,Assumptions!$C$13*Assumptions!$C$28^(DU$5-1))*$O225)),0)</f>
        <v>0</v>
      </c>
      <c r="DW225" s="94">
        <f>IF(AND($T225=1,DW$5&lt;=$H225),DV225*(1-CG225)*(1-MIN(1,MAX(Assumptions!$C$27,Assumptions!$C$13*Assumptions!$C$28^(DV$5-1))*$O225)),0)</f>
        <v>0</v>
      </c>
      <c r="DX225" s="26"/>
      <c r="DY225" s="399">
        <f>'Policy Data'!K199</f>
        <v>6</v>
      </c>
      <c r="DZ225" s="100">
        <f>'Policy Data'!L199</f>
        <v>0.81530000000000002</v>
      </c>
      <c r="EA225" s="100">
        <f>'Policy Data'!N199</f>
        <v>1.2930000000000001E-3</v>
      </c>
      <c r="EB225" s="93" cm="1">
        <f t="array" ref="EB225">IFERROR(DZ225*INDEX(Mortality!$B$4:$E$64,MATCH(D225+DY225-1,Mortality!$A$4:$A$64,0),U225)*V225,0)</f>
        <v>1.929102966827693E-3</v>
      </c>
      <c r="EC225" s="100">
        <f>'Policy Data'!O199</f>
        <v>0</v>
      </c>
      <c r="ED225" s="400">
        <f>'Policy Data'!Q199</f>
        <v>0</v>
      </c>
    </row>
    <row r="226" spans="1:134" x14ac:dyDescent="0.3">
      <c r="A226" s="399" t="str">
        <f>'Policy Data'!A200</f>
        <v>POL100196</v>
      </c>
      <c r="B226" s="26" t="s">
        <v>426</v>
      </c>
      <c r="C226" s="100" t="str">
        <f>'Policy Data'!B200</f>
        <v>Term Life</v>
      </c>
      <c r="D226" s="100">
        <f>'Policy Data'!C200</f>
        <v>64</v>
      </c>
      <c r="E226" s="100" t="str">
        <f>'Policy Data'!D200</f>
        <v>Male</v>
      </c>
      <c r="F226" s="100" t="str">
        <f>'Policy Data'!E200</f>
        <v>Non-smoker</v>
      </c>
      <c r="G226" s="100" t="str">
        <f>'Policy Data'!F200</f>
        <v>Standard</v>
      </c>
      <c r="H226" s="100">
        <f>'Policy Data'!G200</f>
        <v>20</v>
      </c>
      <c r="I226" s="279">
        <f>'Policy Data'!H200</f>
        <v>1000000</v>
      </c>
      <c r="J226" s="100" t="str">
        <f>'Policy Data'!I200</f>
        <v>Annual</v>
      </c>
      <c r="K226" s="100" t="str">
        <f>'Policy Data'!J200</f>
        <v>Broker</v>
      </c>
      <c r="L226" s="26" t="s">
        <v>389</v>
      </c>
      <c r="M226" s="106">
        <f>'Policy Data'!R200</f>
        <v>10299.86</v>
      </c>
      <c r="N226" s="415">
        <f>Assumptions!$C$21</f>
        <v>1</v>
      </c>
      <c r="O226" s="415">
        <f>Assumptions!$C$22</f>
        <v>1</v>
      </c>
      <c r="P226" s="415">
        <f>Assumptions!$C$23</f>
        <v>1</v>
      </c>
      <c r="Q226" s="416">
        <f>Assumptions!$C$24</f>
        <v>0</v>
      </c>
      <c r="R226" s="416">
        <f>Assumptions!$C$6+Assumptions!$C$25</f>
        <v>3.5000000000000003E-2</v>
      </c>
      <c r="S226" s="416">
        <f>Assumptions!$C$15</f>
        <v>1.1000000000000001E-3</v>
      </c>
      <c r="T226" s="26">
        <f t="shared" si="72"/>
        <v>0</v>
      </c>
      <c r="U226" s="26">
        <f t="shared" si="73"/>
        <v>3</v>
      </c>
      <c r="V226" s="389">
        <f>IF($G226="Preferred",Assumptions!$C$30,IF($G226="Rated",Assumptions!$C$31,1))</f>
        <v>1</v>
      </c>
      <c r="W226" s="390">
        <f>IF($K226="Direct",Assumptions!$C$32,IF($K226="Broker",Assumptions!$C$33,IF($K226="Bancassurance",Assumptions!$C$34,Assumptions!$C$11)))+$Q226</f>
        <v>0.25</v>
      </c>
      <c r="X226" s="390">
        <f>Assumptions!$C$12+$Q226</f>
        <v>0.05</v>
      </c>
      <c r="Y226" s="131">
        <f>MIN($I226,Assumptions!$C$14)</f>
        <v>500000</v>
      </c>
      <c r="Z226" s="131">
        <f>MAX($I226-Assumptions!$C$14,0)</f>
        <v>500000</v>
      </c>
      <c r="AA226" s="389">
        <f t="shared" si="74"/>
        <v>0</v>
      </c>
      <c r="AB226" s="389">
        <f t="shared" si="75"/>
        <v>0</v>
      </c>
      <c r="AC226" s="389">
        <f>IF($T226=1,SUMPRODUCT($CJ226:$DW226,(1+Assumptions!$C$5)^($CJ$5:$DW$5-1),(1+$R226)^(-$CJ$5:$DW$5)),0)</f>
        <v>0</v>
      </c>
      <c r="AD226" s="389">
        <f t="shared" si="76"/>
        <v>0</v>
      </c>
      <c r="AE226" s="131">
        <f>IF($T226=1,$AB226*$Y226+(Assumptions!$C$9/(1+$R226)+Assumptions!$C$10*$AC226)*$P226+$S226*$Z226*$AA226,0)</f>
        <v>0</v>
      </c>
      <c r="AF226" s="131" t="str">
        <f>IF($T226=1,IF($AA226-$AD226-Assumptions!$C$16*$AA226&gt;0,$AE226/($AA226-$AD226-Assumptions!$C$16*$AA226)*IF($J226="Monthly",1+Assumptions!$C$29,1),"n.a."),"")</f>
        <v/>
      </c>
      <c r="AG226" s="131" t="str">
        <f t="shared" si="77"/>
        <v/>
      </c>
      <c r="AH226" s="131" t="str">
        <f t="shared" si="78"/>
        <v/>
      </c>
      <c r="AI226" s="131" t="str">
        <f t="shared" si="79"/>
        <v/>
      </c>
      <c r="AJ226" s="390" t="str">
        <f t="shared" si="80"/>
        <v/>
      </c>
      <c r="AK226" s="389" t="str">
        <f t="shared" si="81"/>
        <v/>
      </c>
      <c r="AL226" s="131" t="str">
        <f t="shared" si="82"/>
        <v/>
      </c>
      <c r="AM226" s="131" t="str">
        <f t="shared" si="83"/>
        <v/>
      </c>
      <c r="AN226" s="131" t="str">
        <f t="shared" si="84"/>
        <v/>
      </c>
      <c r="AO226" s="131" t="str">
        <f t="shared" si="85"/>
        <v/>
      </c>
      <c r="AP226" s="26" t="str">
        <f t="shared" si="86"/>
        <v>60+</v>
      </c>
      <c r="AQ226" s="26" t="str">
        <f t="shared" si="87"/>
        <v>500k-1m</v>
      </c>
      <c r="AR226" s="26" t="str">
        <f>IF($T226=1,IF($AI226&lt;0,"Loss-making",IF($AJ226&lt;Assumptions!$C$16-0.00001,"Below target","At/above target")),"Excluded")</f>
        <v>Excluded</v>
      </c>
      <c r="AS226" s="103">
        <f t="shared" si="88"/>
        <v>9.9999999999999997E+98</v>
      </c>
      <c r="AT226" s="26"/>
      <c r="AU226" s="419">
        <f>IF(AND($T226=1,AU$5&lt;=$H226),INDEX(Mortality!$B$4:$E$64,MATCH($D226+AU$5-1,Mortality!$A$4:$A$64,0),$U226)*$V226*$N226,0)</f>
        <v>0</v>
      </c>
      <c r="AV226" s="93">
        <f>IF(AND($T226=1,AV$5&lt;=$H226),INDEX(Mortality!$B$4:$E$64,MATCH($D226+AV$5-1,Mortality!$A$4:$A$64,0),$U226)*$V226*$N226,0)</f>
        <v>0</v>
      </c>
      <c r="AW226" s="93">
        <f>IF(AND($T226=1,AW$5&lt;=$H226),INDEX(Mortality!$B$4:$E$64,MATCH($D226+AW$5-1,Mortality!$A$4:$A$64,0),$U226)*$V226*$N226,0)</f>
        <v>0</v>
      </c>
      <c r="AX226" s="93">
        <f>IF(AND($T226=1,AX$5&lt;=$H226),INDEX(Mortality!$B$4:$E$64,MATCH($D226+AX$5-1,Mortality!$A$4:$A$64,0),$U226)*$V226*$N226,0)</f>
        <v>0</v>
      </c>
      <c r="AY226" s="93">
        <f>IF(AND($T226=1,AY$5&lt;=$H226),INDEX(Mortality!$B$4:$E$64,MATCH($D226+AY$5-1,Mortality!$A$4:$A$64,0),$U226)*$V226*$N226,0)</f>
        <v>0</v>
      </c>
      <c r="AZ226" s="93">
        <f>IF(AND($T226=1,AZ$5&lt;=$H226),INDEX(Mortality!$B$4:$E$64,MATCH($D226+AZ$5-1,Mortality!$A$4:$A$64,0),$U226)*$V226*$N226,0)</f>
        <v>0</v>
      </c>
      <c r="BA226" s="93">
        <f>IF(AND($T226=1,BA$5&lt;=$H226),INDEX(Mortality!$B$4:$E$64,MATCH($D226+BA$5-1,Mortality!$A$4:$A$64,0),$U226)*$V226*$N226,0)</f>
        <v>0</v>
      </c>
      <c r="BB226" s="93">
        <f>IF(AND($T226=1,BB$5&lt;=$H226),INDEX(Mortality!$B$4:$E$64,MATCH($D226+BB$5-1,Mortality!$A$4:$A$64,0),$U226)*$V226*$N226,0)</f>
        <v>0</v>
      </c>
      <c r="BC226" s="93">
        <f>IF(AND($T226=1,BC$5&lt;=$H226),INDEX(Mortality!$B$4:$E$64,MATCH($D226+BC$5-1,Mortality!$A$4:$A$64,0),$U226)*$V226*$N226,0)</f>
        <v>0</v>
      </c>
      <c r="BD226" s="93">
        <f>IF(AND($T226=1,BD$5&lt;=$H226),INDEX(Mortality!$B$4:$E$64,MATCH($D226+BD$5-1,Mortality!$A$4:$A$64,0),$U226)*$V226*$N226,0)</f>
        <v>0</v>
      </c>
      <c r="BE226" s="93">
        <f>IF(AND($T226=1,BE$5&lt;=$H226),INDEX(Mortality!$B$4:$E$64,MATCH($D226+BE$5-1,Mortality!$A$4:$A$64,0),$U226)*$V226*$N226,0)</f>
        <v>0</v>
      </c>
      <c r="BF226" s="93">
        <f>IF(AND($T226=1,BF$5&lt;=$H226),INDEX(Mortality!$B$4:$E$64,MATCH($D226+BF$5-1,Mortality!$A$4:$A$64,0),$U226)*$V226*$N226,0)</f>
        <v>0</v>
      </c>
      <c r="BG226" s="93">
        <f>IF(AND($T226=1,BG$5&lt;=$H226),INDEX(Mortality!$B$4:$E$64,MATCH($D226+BG$5-1,Mortality!$A$4:$A$64,0),$U226)*$V226*$N226,0)</f>
        <v>0</v>
      </c>
      <c r="BH226" s="93">
        <f>IF(AND($T226=1,BH$5&lt;=$H226),INDEX(Mortality!$B$4:$E$64,MATCH($D226+BH$5-1,Mortality!$A$4:$A$64,0),$U226)*$V226*$N226,0)</f>
        <v>0</v>
      </c>
      <c r="BI226" s="93">
        <f>IF(AND($T226=1,BI$5&lt;=$H226),INDEX(Mortality!$B$4:$E$64,MATCH($D226+BI$5-1,Mortality!$A$4:$A$64,0),$U226)*$V226*$N226,0)</f>
        <v>0</v>
      </c>
      <c r="BJ226" s="93">
        <f>IF(AND($T226=1,BJ$5&lt;=$H226),INDEX(Mortality!$B$4:$E$64,MATCH($D226+BJ$5-1,Mortality!$A$4:$A$64,0),$U226)*$V226*$N226,0)</f>
        <v>0</v>
      </c>
      <c r="BK226" s="93">
        <f>IF(AND($T226=1,BK$5&lt;=$H226),INDEX(Mortality!$B$4:$E$64,MATCH($D226+BK$5-1,Mortality!$A$4:$A$64,0),$U226)*$V226*$N226,0)</f>
        <v>0</v>
      </c>
      <c r="BL226" s="93">
        <f>IF(AND($T226=1,BL$5&lt;=$H226),INDEX(Mortality!$B$4:$E$64,MATCH($D226+BL$5-1,Mortality!$A$4:$A$64,0),$U226)*$V226*$N226,0)</f>
        <v>0</v>
      </c>
      <c r="BM226" s="93">
        <f>IF(AND($T226=1,BM$5&lt;=$H226),INDEX(Mortality!$B$4:$E$64,MATCH($D226+BM$5-1,Mortality!$A$4:$A$64,0),$U226)*$V226*$N226,0)</f>
        <v>0</v>
      </c>
      <c r="BN226" s="93">
        <f>IF(AND($T226=1,BN$5&lt;=$H226),INDEX(Mortality!$B$4:$E$64,MATCH($D226+BN$5-1,Mortality!$A$4:$A$64,0),$U226)*$V226*$N226,0)</f>
        <v>0</v>
      </c>
      <c r="BO226" s="93">
        <f>IF(AND($T226=1,BO$5&lt;=$H226),INDEX(Mortality!$B$4:$E$64,MATCH($D226+BO$5-1,Mortality!$A$4:$A$64,0),$U226)*$V226*$N226,0)</f>
        <v>0</v>
      </c>
      <c r="BP226" s="93">
        <f>IF(AND($T226=1,BP$5&lt;=$H226),INDEX(Mortality!$B$4:$E$64,MATCH($D226+BP$5-1,Mortality!$A$4:$A$64,0),$U226)*$V226*$N226,0)</f>
        <v>0</v>
      </c>
      <c r="BQ226" s="93">
        <f>IF(AND($T226=1,BQ$5&lt;=$H226),INDEX(Mortality!$B$4:$E$64,MATCH($D226+BQ$5-1,Mortality!$A$4:$A$64,0),$U226)*$V226*$N226,0)</f>
        <v>0</v>
      </c>
      <c r="BR226" s="93">
        <f>IF(AND($T226=1,BR$5&lt;=$H226),INDEX(Mortality!$B$4:$E$64,MATCH($D226+BR$5-1,Mortality!$A$4:$A$64,0),$U226)*$V226*$N226,0)</f>
        <v>0</v>
      </c>
      <c r="BS226" s="93">
        <f>IF(AND($T226=1,BS$5&lt;=$H226),INDEX(Mortality!$B$4:$E$64,MATCH($D226+BS$5-1,Mortality!$A$4:$A$64,0),$U226)*$V226*$N226,0)</f>
        <v>0</v>
      </c>
      <c r="BT226" s="93">
        <f>IF(AND($T226=1,BT$5&lt;=$H226),INDEX(Mortality!$B$4:$E$64,MATCH($D226+BT$5-1,Mortality!$A$4:$A$64,0),$U226)*$V226*$N226,0)</f>
        <v>0</v>
      </c>
      <c r="BU226" s="93">
        <f>IF(AND($T226=1,BU$5&lt;=$H226),INDEX(Mortality!$B$4:$E$64,MATCH($D226+BU$5-1,Mortality!$A$4:$A$64,0),$U226)*$V226*$N226,0)</f>
        <v>0</v>
      </c>
      <c r="BV226" s="93">
        <f>IF(AND($T226=1,BV$5&lt;=$H226),INDEX(Mortality!$B$4:$E$64,MATCH($D226+BV$5-1,Mortality!$A$4:$A$64,0),$U226)*$V226*$N226,0)</f>
        <v>0</v>
      </c>
      <c r="BW226" s="93">
        <f>IF(AND($T226=1,BW$5&lt;=$H226),INDEX(Mortality!$B$4:$E$64,MATCH($D226+BW$5-1,Mortality!$A$4:$A$64,0),$U226)*$V226*$N226,0)</f>
        <v>0</v>
      </c>
      <c r="BX226" s="93">
        <f>IF(AND($T226=1,BX$5&lt;=$H226),INDEX(Mortality!$B$4:$E$64,MATCH($D226+BX$5-1,Mortality!$A$4:$A$64,0),$U226)*$V226*$N226,0)</f>
        <v>0</v>
      </c>
      <c r="BY226" s="93">
        <f>IF(AND($T226=1,BY$5&lt;=$H226),INDEX(Mortality!$B$4:$E$64,MATCH($D226+BY$5-1,Mortality!$A$4:$A$64,0),$U226)*$V226*$N226,0)</f>
        <v>0</v>
      </c>
      <c r="BZ226" s="93">
        <f>IF(AND($T226=1,BZ$5&lt;=$H226),INDEX(Mortality!$B$4:$E$64,MATCH($D226+BZ$5-1,Mortality!$A$4:$A$64,0),$U226)*$V226*$N226,0)</f>
        <v>0</v>
      </c>
      <c r="CA226" s="93">
        <f>IF(AND($T226=1,CA$5&lt;=$H226),INDEX(Mortality!$B$4:$E$64,MATCH($D226+CA$5-1,Mortality!$A$4:$A$64,0),$U226)*$V226*$N226,0)</f>
        <v>0</v>
      </c>
      <c r="CB226" s="93">
        <f>IF(AND($T226=1,CB$5&lt;=$H226),INDEX(Mortality!$B$4:$E$64,MATCH($D226+CB$5-1,Mortality!$A$4:$A$64,0),$U226)*$V226*$N226,0)</f>
        <v>0</v>
      </c>
      <c r="CC226" s="93">
        <f>IF(AND($T226=1,CC$5&lt;=$H226),INDEX(Mortality!$B$4:$E$64,MATCH($D226+CC$5-1,Mortality!$A$4:$A$64,0),$U226)*$V226*$N226,0)</f>
        <v>0</v>
      </c>
      <c r="CD226" s="93">
        <f>IF(AND($T226=1,CD$5&lt;=$H226),INDEX(Mortality!$B$4:$E$64,MATCH($D226+CD$5-1,Mortality!$A$4:$A$64,0),$U226)*$V226*$N226,0)</f>
        <v>0</v>
      </c>
      <c r="CE226" s="93">
        <f>IF(AND($T226=1,CE$5&lt;=$H226),INDEX(Mortality!$B$4:$E$64,MATCH($D226+CE$5-1,Mortality!$A$4:$A$64,0),$U226)*$V226*$N226,0)</f>
        <v>0</v>
      </c>
      <c r="CF226" s="93">
        <f>IF(AND($T226=1,CF$5&lt;=$H226),INDEX(Mortality!$B$4:$E$64,MATCH($D226+CF$5-1,Mortality!$A$4:$A$64,0),$U226)*$V226*$N226,0)</f>
        <v>0</v>
      </c>
      <c r="CG226" s="93">
        <f>IF(AND($T226=1,CG$5&lt;=$H226),INDEX(Mortality!$B$4:$E$64,MATCH($D226+CG$5-1,Mortality!$A$4:$A$64,0),$U226)*$V226*$N226,0)</f>
        <v>0</v>
      </c>
      <c r="CH226" s="94">
        <f>IF(AND($T226=1,CH$5&lt;=$H226),INDEX(Mortality!$B$4:$E$64,MATCH($D226+CH$5-1,Mortality!$A$4:$A$64,0),$U226)*$V226*$N226,0)</f>
        <v>0</v>
      </c>
      <c r="CI226" s="26"/>
      <c r="CJ226" s="419">
        <f t="shared" si="89"/>
        <v>0</v>
      </c>
      <c r="CK226" s="93">
        <f>IF(AND($T226=1,CK$5&lt;=$H226),CJ226*(1-AU226)*(1-MIN(1,MAX(Assumptions!$C$27,Assumptions!$C$13*Assumptions!$C$28^(CJ$5-1))*$O226)),0)</f>
        <v>0</v>
      </c>
      <c r="CL226" s="93">
        <f>IF(AND($T226=1,CL$5&lt;=$H226),CK226*(1-AV226)*(1-MIN(1,MAX(Assumptions!$C$27,Assumptions!$C$13*Assumptions!$C$28^(CK$5-1))*$O226)),0)</f>
        <v>0</v>
      </c>
      <c r="CM226" s="93">
        <f>IF(AND($T226=1,CM$5&lt;=$H226),CL226*(1-AW226)*(1-MIN(1,MAX(Assumptions!$C$27,Assumptions!$C$13*Assumptions!$C$28^(CL$5-1))*$O226)),0)</f>
        <v>0</v>
      </c>
      <c r="CN226" s="93">
        <f>IF(AND($T226=1,CN$5&lt;=$H226),CM226*(1-AX226)*(1-MIN(1,MAX(Assumptions!$C$27,Assumptions!$C$13*Assumptions!$C$28^(CM$5-1))*$O226)),0)</f>
        <v>0</v>
      </c>
      <c r="CO226" s="93">
        <f>IF(AND($T226=1,CO$5&lt;=$H226),CN226*(1-AY226)*(1-MIN(1,MAX(Assumptions!$C$27,Assumptions!$C$13*Assumptions!$C$28^(CN$5-1))*$O226)),0)</f>
        <v>0</v>
      </c>
      <c r="CP226" s="93">
        <f>IF(AND($T226=1,CP$5&lt;=$H226),CO226*(1-AZ226)*(1-MIN(1,MAX(Assumptions!$C$27,Assumptions!$C$13*Assumptions!$C$28^(CO$5-1))*$O226)),0)</f>
        <v>0</v>
      </c>
      <c r="CQ226" s="93">
        <f>IF(AND($T226=1,CQ$5&lt;=$H226),CP226*(1-BA226)*(1-MIN(1,MAX(Assumptions!$C$27,Assumptions!$C$13*Assumptions!$C$28^(CP$5-1))*$O226)),0)</f>
        <v>0</v>
      </c>
      <c r="CR226" s="93">
        <f>IF(AND($T226=1,CR$5&lt;=$H226),CQ226*(1-BB226)*(1-MIN(1,MAX(Assumptions!$C$27,Assumptions!$C$13*Assumptions!$C$28^(CQ$5-1))*$O226)),0)</f>
        <v>0</v>
      </c>
      <c r="CS226" s="93">
        <f>IF(AND($T226=1,CS$5&lt;=$H226),CR226*(1-BC226)*(1-MIN(1,MAX(Assumptions!$C$27,Assumptions!$C$13*Assumptions!$C$28^(CR$5-1))*$O226)),0)</f>
        <v>0</v>
      </c>
      <c r="CT226" s="93">
        <f>IF(AND($T226=1,CT$5&lt;=$H226),CS226*(1-BD226)*(1-MIN(1,MAX(Assumptions!$C$27,Assumptions!$C$13*Assumptions!$C$28^(CS$5-1))*$O226)),0)</f>
        <v>0</v>
      </c>
      <c r="CU226" s="93">
        <f>IF(AND($T226=1,CU$5&lt;=$H226),CT226*(1-BE226)*(1-MIN(1,MAX(Assumptions!$C$27,Assumptions!$C$13*Assumptions!$C$28^(CT$5-1))*$O226)),0)</f>
        <v>0</v>
      </c>
      <c r="CV226" s="93">
        <f>IF(AND($T226=1,CV$5&lt;=$H226),CU226*(1-BF226)*(1-MIN(1,MAX(Assumptions!$C$27,Assumptions!$C$13*Assumptions!$C$28^(CU$5-1))*$O226)),0)</f>
        <v>0</v>
      </c>
      <c r="CW226" s="93">
        <f>IF(AND($T226=1,CW$5&lt;=$H226),CV226*(1-BG226)*(1-MIN(1,MAX(Assumptions!$C$27,Assumptions!$C$13*Assumptions!$C$28^(CV$5-1))*$O226)),0)</f>
        <v>0</v>
      </c>
      <c r="CX226" s="93">
        <f>IF(AND($T226=1,CX$5&lt;=$H226),CW226*(1-BH226)*(1-MIN(1,MAX(Assumptions!$C$27,Assumptions!$C$13*Assumptions!$C$28^(CW$5-1))*$O226)),0)</f>
        <v>0</v>
      </c>
      <c r="CY226" s="93">
        <f>IF(AND($T226=1,CY$5&lt;=$H226),CX226*(1-BI226)*(1-MIN(1,MAX(Assumptions!$C$27,Assumptions!$C$13*Assumptions!$C$28^(CX$5-1))*$O226)),0)</f>
        <v>0</v>
      </c>
      <c r="CZ226" s="93">
        <f>IF(AND($T226=1,CZ$5&lt;=$H226),CY226*(1-BJ226)*(1-MIN(1,MAX(Assumptions!$C$27,Assumptions!$C$13*Assumptions!$C$28^(CY$5-1))*$O226)),0)</f>
        <v>0</v>
      </c>
      <c r="DA226" s="93">
        <f>IF(AND($T226=1,DA$5&lt;=$H226),CZ226*(1-BK226)*(1-MIN(1,MAX(Assumptions!$C$27,Assumptions!$C$13*Assumptions!$C$28^(CZ$5-1))*$O226)),0)</f>
        <v>0</v>
      </c>
      <c r="DB226" s="93">
        <f>IF(AND($T226=1,DB$5&lt;=$H226),DA226*(1-BL226)*(1-MIN(1,MAX(Assumptions!$C$27,Assumptions!$C$13*Assumptions!$C$28^(DA$5-1))*$O226)),0)</f>
        <v>0</v>
      </c>
      <c r="DC226" s="93">
        <f>IF(AND($T226=1,DC$5&lt;=$H226),DB226*(1-BM226)*(1-MIN(1,MAX(Assumptions!$C$27,Assumptions!$C$13*Assumptions!$C$28^(DB$5-1))*$O226)),0)</f>
        <v>0</v>
      </c>
      <c r="DD226" s="93">
        <f>IF(AND($T226=1,DD$5&lt;=$H226),DC226*(1-BN226)*(1-MIN(1,MAX(Assumptions!$C$27,Assumptions!$C$13*Assumptions!$C$28^(DC$5-1))*$O226)),0)</f>
        <v>0</v>
      </c>
      <c r="DE226" s="93">
        <f>IF(AND($T226=1,DE$5&lt;=$H226),DD226*(1-BO226)*(1-MIN(1,MAX(Assumptions!$C$27,Assumptions!$C$13*Assumptions!$C$28^(DD$5-1))*$O226)),0)</f>
        <v>0</v>
      </c>
      <c r="DF226" s="93">
        <f>IF(AND($T226=1,DF$5&lt;=$H226),DE226*(1-BP226)*(1-MIN(1,MAX(Assumptions!$C$27,Assumptions!$C$13*Assumptions!$C$28^(DE$5-1))*$O226)),0)</f>
        <v>0</v>
      </c>
      <c r="DG226" s="93">
        <f>IF(AND($T226=1,DG$5&lt;=$H226),DF226*(1-BQ226)*(1-MIN(1,MAX(Assumptions!$C$27,Assumptions!$C$13*Assumptions!$C$28^(DF$5-1))*$O226)),0)</f>
        <v>0</v>
      </c>
      <c r="DH226" s="93">
        <f>IF(AND($T226=1,DH$5&lt;=$H226),DG226*(1-BR226)*(1-MIN(1,MAX(Assumptions!$C$27,Assumptions!$C$13*Assumptions!$C$28^(DG$5-1))*$O226)),0)</f>
        <v>0</v>
      </c>
      <c r="DI226" s="93">
        <f>IF(AND($T226=1,DI$5&lt;=$H226),DH226*(1-BS226)*(1-MIN(1,MAX(Assumptions!$C$27,Assumptions!$C$13*Assumptions!$C$28^(DH$5-1))*$O226)),0)</f>
        <v>0</v>
      </c>
      <c r="DJ226" s="93">
        <f>IF(AND($T226=1,DJ$5&lt;=$H226),DI226*(1-BT226)*(1-MIN(1,MAX(Assumptions!$C$27,Assumptions!$C$13*Assumptions!$C$28^(DI$5-1))*$O226)),0)</f>
        <v>0</v>
      </c>
      <c r="DK226" s="93">
        <f>IF(AND($T226=1,DK$5&lt;=$H226),DJ226*(1-BU226)*(1-MIN(1,MAX(Assumptions!$C$27,Assumptions!$C$13*Assumptions!$C$28^(DJ$5-1))*$O226)),0)</f>
        <v>0</v>
      </c>
      <c r="DL226" s="93">
        <f>IF(AND($T226=1,DL$5&lt;=$H226),DK226*(1-BV226)*(1-MIN(1,MAX(Assumptions!$C$27,Assumptions!$C$13*Assumptions!$C$28^(DK$5-1))*$O226)),0)</f>
        <v>0</v>
      </c>
      <c r="DM226" s="93">
        <f>IF(AND($T226=1,DM$5&lt;=$H226),DL226*(1-BW226)*(1-MIN(1,MAX(Assumptions!$C$27,Assumptions!$C$13*Assumptions!$C$28^(DL$5-1))*$O226)),0)</f>
        <v>0</v>
      </c>
      <c r="DN226" s="93">
        <f>IF(AND($T226=1,DN$5&lt;=$H226),DM226*(1-BX226)*(1-MIN(1,MAX(Assumptions!$C$27,Assumptions!$C$13*Assumptions!$C$28^(DM$5-1))*$O226)),0)</f>
        <v>0</v>
      </c>
      <c r="DO226" s="93">
        <f>IF(AND($T226=1,DO$5&lt;=$H226),DN226*(1-BY226)*(1-MIN(1,MAX(Assumptions!$C$27,Assumptions!$C$13*Assumptions!$C$28^(DN$5-1))*$O226)),0)</f>
        <v>0</v>
      </c>
      <c r="DP226" s="93">
        <f>IF(AND($T226=1,DP$5&lt;=$H226),DO226*(1-BZ226)*(1-MIN(1,MAX(Assumptions!$C$27,Assumptions!$C$13*Assumptions!$C$28^(DO$5-1))*$O226)),0)</f>
        <v>0</v>
      </c>
      <c r="DQ226" s="93">
        <f>IF(AND($T226=1,DQ$5&lt;=$H226),DP226*(1-CA226)*(1-MIN(1,MAX(Assumptions!$C$27,Assumptions!$C$13*Assumptions!$C$28^(DP$5-1))*$O226)),0)</f>
        <v>0</v>
      </c>
      <c r="DR226" s="93">
        <f>IF(AND($T226=1,DR$5&lt;=$H226),DQ226*(1-CB226)*(1-MIN(1,MAX(Assumptions!$C$27,Assumptions!$C$13*Assumptions!$C$28^(DQ$5-1))*$O226)),0)</f>
        <v>0</v>
      </c>
      <c r="DS226" s="93">
        <f>IF(AND($T226=1,DS$5&lt;=$H226),DR226*(1-CC226)*(1-MIN(1,MAX(Assumptions!$C$27,Assumptions!$C$13*Assumptions!$C$28^(DR$5-1))*$O226)),0)</f>
        <v>0</v>
      </c>
      <c r="DT226" s="93">
        <f>IF(AND($T226=1,DT$5&lt;=$H226),DS226*(1-CD226)*(1-MIN(1,MAX(Assumptions!$C$27,Assumptions!$C$13*Assumptions!$C$28^(DS$5-1))*$O226)),0)</f>
        <v>0</v>
      </c>
      <c r="DU226" s="93">
        <f>IF(AND($T226=1,DU$5&lt;=$H226),DT226*(1-CE226)*(1-MIN(1,MAX(Assumptions!$C$27,Assumptions!$C$13*Assumptions!$C$28^(DT$5-1))*$O226)),0)</f>
        <v>0</v>
      </c>
      <c r="DV226" s="93">
        <f>IF(AND($T226=1,DV$5&lt;=$H226),DU226*(1-CF226)*(1-MIN(1,MAX(Assumptions!$C$27,Assumptions!$C$13*Assumptions!$C$28^(DU$5-1))*$O226)),0)</f>
        <v>0</v>
      </c>
      <c r="DW226" s="94">
        <f>IF(AND($T226=1,DW$5&lt;=$H226),DV226*(1-CG226)*(1-MIN(1,MAX(Assumptions!$C$27,Assumptions!$C$13*Assumptions!$C$28^(DV$5-1))*$O226)),0)</f>
        <v>0</v>
      </c>
      <c r="DX226" s="26"/>
      <c r="DY226" s="399">
        <f>'Policy Data'!K200</f>
        <v>3</v>
      </c>
      <c r="DZ226" s="100">
        <f>'Policy Data'!L200</f>
        <v>0.79020000000000001</v>
      </c>
      <c r="EA226" s="100">
        <f>'Policy Data'!N200</f>
        <v>6.2069999999999998E-3</v>
      </c>
      <c r="EB226" s="93" cm="1">
        <f t="array" ref="EB226">IFERROR(DZ226*INDEX(Mortality!$B$4:$E$64,MATCH(D226+DY226-1,Mortality!$A$4:$A$64,0),U226)*V226,0)</f>
        <v>7.2847640099290446E-3</v>
      </c>
      <c r="EC226" s="100">
        <f>'Policy Data'!O200</f>
        <v>0</v>
      </c>
      <c r="ED226" s="400">
        <f>'Policy Data'!Q200</f>
        <v>0</v>
      </c>
    </row>
    <row r="227" spans="1:134" x14ac:dyDescent="0.3">
      <c r="A227" s="399" t="str">
        <f>'Policy Data'!A201</f>
        <v>POL100197</v>
      </c>
      <c r="B227" s="26" t="s">
        <v>426</v>
      </c>
      <c r="C227" s="100" t="str">
        <f>'Policy Data'!B201</f>
        <v>Term Life</v>
      </c>
      <c r="D227" s="100">
        <f>'Policy Data'!C201</f>
        <v>26</v>
      </c>
      <c r="E227" s="100" t="str">
        <f>'Policy Data'!D201</f>
        <v>Male</v>
      </c>
      <c r="F227" s="100" t="str">
        <f>'Policy Data'!E201</f>
        <v>Non-smoker</v>
      </c>
      <c r="G227" s="100" t="str">
        <f>'Policy Data'!F201</f>
        <v>Standard</v>
      </c>
      <c r="H227" s="100">
        <f>'Policy Data'!G201</f>
        <v>10</v>
      </c>
      <c r="I227" s="279">
        <f>'Policy Data'!H201</f>
        <v>2000000</v>
      </c>
      <c r="J227" s="100" t="str">
        <f>'Policy Data'!I201</f>
        <v>Annual</v>
      </c>
      <c r="K227" s="100" t="str">
        <f>'Policy Data'!J201</f>
        <v>Bancassurance</v>
      </c>
      <c r="L227" s="26" t="s">
        <v>389</v>
      </c>
      <c r="M227" s="106">
        <f>'Policy Data'!R201</f>
        <v>2466.85</v>
      </c>
      <c r="N227" s="415">
        <f>Assumptions!$C$21</f>
        <v>1</v>
      </c>
      <c r="O227" s="415">
        <f>Assumptions!$C$22</f>
        <v>1</v>
      </c>
      <c r="P227" s="415">
        <f>Assumptions!$C$23</f>
        <v>1</v>
      </c>
      <c r="Q227" s="416">
        <f>Assumptions!$C$24</f>
        <v>0</v>
      </c>
      <c r="R227" s="416">
        <f>Assumptions!$C$6+Assumptions!$C$25</f>
        <v>3.5000000000000003E-2</v>
      </c>
      <c r="S227" s="416">
        <f>Assumptions!$C$15</f>
        <v>1.1000000000000001E-3</v>
      </c>
      <c r="T227" s="26">
        <f t="shared" si="72"/>
        <v>1</v>
      </c>
      <c r="U227" s="26">
        <f t="shared" si="73"/>
        <v>3</v>
      </c>
      <c r="V227" s="389">
        <f>IF($G227="Preferred",Assumptions!$C$30,IF($G227="Rated",Assumptions!$C$31,1))</f>
        <v>1</v>
      </c>
      <c r="W227" s="390">
        <f>IF($K227="Direct",Assumptions!$C$32,IF($K227="Broker",Assumptions!$C$33,IF($K227="Bancassurance",Assumptions!$C$34,Assumptions!$C$11)))+$Q227</f>
        <v>0.2</v>
      </c>
      <c r="X227" s="390">
        <f>Assumptions!$C$12+$Q227</f>
        <v>0.05</v>
      </c>
      <c r="Y227" s="131">
        <f>MIN($I227,Assumptions!$C$14)</f>
        <v>500000</v>
      </c>
      <c r="Z227" s="131">
        <f>MAX($I227-Assumptions!$C$14,0)</f>
        <v>1500000</v>
      </c>
      <c r="AA227" s="389">
        <f t="shared" si="74"/>
        <v>5.8617927112430168</v>
      </c>
      <c r="AB227" s="389">
        <f t="shared" si="75"/>
        <v>3.0225351046488601E-3</v>
      </c>
      <c r="AC227" s="389">
        <f>IF($T227=1,SUMPRODUCT($CJ227:$DW227,(1+Assumptions!$C$5)^($CJ$5:$DW$5-1),(1+$R227)^(-$CJ$5:$DW$5)),0)</f>
        <v>6.7997143830447282</v>
      </c>
      <c r="AD227" s="389">
        <f t="shared" si="76"/>
        <v>0.43801717179403493</v>
      </c>
      <c r="AE227" s="131">
        <f>IF($T227=1,$AB227*$Y227+(Assumptions!$C$9/(1+$R227)+Assumptions!$C$10*$AC227)*$P227+$S227*$Z227*$AA227,0)</f>
        <v>13548.727907536551</v>
      </c>
      <c r="AF227" s="131">
        <f>IF($T227=1,IF($AA227-$AD227-Assumptions!$C$16*$AA227&gt;0,$AE227/($AA227-$AD227-Assumptions!$C$16*$AA227)*IF($J227="Monthly",1+Assumptions!$C$29,1),"n.a."),"")</f>
        <v>2734.4474186877128</v>
      </c>
      <c r="AG227" s="131">
        <f t="shared" si="77"/>
        <v>2466.85</v>
      </c>
      <c r="AH227" s="131">
        <f t="shared" si="78"/>
        <v>14460.163349729835</v>
      </c>
      <c r="AI227" s="131">
        <f t="shared" si="79"/>
        <v>-169.08721804683228</v>
      </c>
      <c r="AJ227" s="390">
        <f t="shared" si="80"/>
        <v>-1.1693313136050527E-2</v>
      </c>
      <c r="AK227" s="389">
        <f t="shared" si="81"/>
        <v>0.9021383929861283</v>
      </c>
      <c r="AL227" s="131">
        <f t="shared" si="82"/>
        <v>4533.8026569732901</v>
      </c>
      <c r="AM227" s="131">
        <f t="shared" si="83"/>
        <v>9671.9579735509778</v>
      </c>
      <c r="AN227" s="131">
        <f t="shared" si="84"/>
        <v>-5138.1553165776877</v>
      </c>
      <c r="AO227" s="131">
        <f t="shared" si="85"/>
        <v>4969.0680985308554</v>
      </c>
      <c r="AP227" s="26" t="str">
        <f t="shared" si="86"/>
        <v>20-29</v>
      </c>
      <c r="AQ227" s="26" t="str">
        <f t="shared" si="87"/>
        <v>Over 1m</v>
      </c>
      <c r="AR227" s="26" t="str">
        <f>IF($T227=1,IF($AI227&lt;0,"Loss-making",IF($AJ227&lt;Assumptions!$C$16-0.00001,"Below target","At/above target")),"Excluded")</f>
        <v>Loss-making</v>
      </c>
      <c r="AS227" s="103">
        <f t="shared" si="88"/>
        <v>-169.08699104683228</v>
      </c>
      <c r="AT227" s="26"/>
      <c r="AU227" s="419">
        <f>IF(AND($T227=1,AU$5&lt;=$H227),INDEX(Mortality!$B$4:$E$64,MATCH($D227+AU$5-1,Mortality!$A$4:$A$64,0),$U227)*$V227*$N227,0)</f>
        <v>3.7578212668563498E-4</v>
      </c>
      <c r="AV227" s="93">
        <f>IF(AND($T227=1,AV$5&lt;=$H227),INDEX(Mortality!$B$4:$E$64,MATCH($D227+AV$5-1,Mortality!$A$4:$A$64,0),$U227)*$V227*$N227,0)</f>
        <v>4.0707991810194101E-4</v>
      </c>
      <c r="AW227" s="93">
        <f>IF(AND($T227=1,AW$5&lt;=$H227),INDEX(Mortality!$B$4:$E$64,MATCH($D227+AW$5-1,Mortality!$A$4:$A$64,0),$U227)*$V227*$N227,0)</f>
        <v>4.4098441079001399E-4</v>
      </c>
      <c r="AX227" s="93">
        <f>IF(AND($T227=1,AX$5&lt;=$H227),INDEX(Mortality!$B$4:$E$64,MATCH($D227+AX$5-1,Mortality!$A$4:$A$64,0),$U227)*$V227*$N227,0)</f>
        <v>4.7771270925508401E-4</v>
      </c>
      <c r="AY227" s="93">
        <f>IF(AND($T227=1,AY$5&lt;=$H227),INDEX(Mortality!$B$4:$E$64,MATCH($D227+AY$5-1,Mortality!$A$4:$A$64,0),$U227)*$V227*$N227,0)</f>
        <v>5.1749999999999995E-4</v>
      </c>
      <c r="AZ227" s="93">
        <f>IF(AND($T227=1,AZ$5&lt;=$H227),INDEX(Mortality!$B$4:$E$64,MATCH($D227+AZ$5-1,Mortality!$A$4:$A$64,0),$U227)*$V227*$N227,0)</f>
        <v>5.6060105752179102E-4</v>
      </c>
      <c r="BA227" s="93">
        <f>IF(AND($T227=1,BA$5&lt;=$H227),INDEX(Mortality!$B$4:$E$64,MATCH($D227+BA$5-1,Mortality!$A$4:$A$64,0),$U227)*$V227*$N227,0)</f>
        <v>6.07291875738262E-4</v>
      </c>
      <c r="BB227" s="93">
        <f>IF(AND($T227=1,BB$5&lt;=$H227),INDEX(Mortality!$B$4:$E$64,MATCH($D227+BB$5-1,Mortality!$A$4:$A$64,0),$U227)*$V227*$N227,0)</f>
        <v>6.5787143529132705E-4</v>
      </c>
      <c r="BC227" s="93">
        <f>IF(AND($T227=1,BC$5&lt;=$H227),INDEX(Mortality!$B$4:$E$64,MATCH($D227+BC$5-1,Mortality!$A$4:$A$64,0),$U227)*$V227*$N227,0)</f>
        <v>7.1266361804385805E-4</v>
      </c>
      <c r="BD227" s="93">
        <f>IF(AND($T227=1,BD$5&lt;=$H227),INDEX(Mortality!$B$4:$E$64,MATCH($D227+BD$5-1,Mortality!$A$4:$A$64,0),$U227)*$V227*$N227,0)</f>
        <v>7.7201928102935699E-4</v>
      </c>
      <c r="BE227" s="93">
        <f>IF(AND($T227=1,BE$5&lt;=$H227),INDEX(Mortality!$B$4:$E$64,MATCH($D227+BE$5-1,Mortality!$A$4:$A$64,0),$U227)*$V227*$N227,0)</f>
        <v>0</v>
      </c>
      <c r="BF227" s="93">
        <f>IF(AND($T227=1,BF$5&lt;=$H227),INDEX(Mortality!$B$4:$E$64,MATCH($D227+BF$5-1,Mortality!$A$4:$A$64,0),$U227)*$V227*$N227,0)</f>
        <v>0</v>
      </c>
      <c r="BG227" s="93">
        <f>IF(AND($T227=1,BG$5&lt;=$H227),INDEX(Mortality!$B$4:$E$64,MATCH($D227+BG$5-1,Mortality!$A$4:$A$64,0),$U227)*$V227*$N227,0)</f>
        <v>0</v>
      </c>
      <c r="BH227" s="93">
        <f>IF(AND($T227=1,BH$5&lt;=$H227),INDEX(Mortality!$B$4:$E$64,MATCH($D227+BH$5-1,Mortality!$A$4:$A$64,0),$U227)*$V227*$N227,0)</f>
        <v>0</v>
      </c>
      <c r="BI227" s="93">
        <f>IF(AND($T227=1,BI$5&lt;=$H227),INDEX(Mortality!$B$4:$E$64,MATCH($D227+BI$5-1,Mortality!$A$4:$A$64,0),$U227)*$V227*$N227,0)</f>
        <v>0</v>
      </c>
      <c r="BJ227" s="93">
        <f>IF(AND($T227=1,BJ$5&lt;=$H227),INDEX(Mortality!$B$4:$E$64,MATCH($D227+BJ$5-1,Mortality!$A$4:$A$64,0),$U227)*$V227*$N227,0)</f>
        <v>0</v>
      </c>
      <c r="BK227" s="93">
        <f>IF(AND($T227=1,BK$5&lt;=$H227),INDEX(Mortality!$B$4:$E$64,MATCH($D227+BK$5-1,Mortality!$A$4:$A$64,0),$U227)*$V227*$N227,0)</f>
        <v>0</v>
      </c>
      <c r="BL227" s="93">
        <f>IF(AND($T227=1,BL$5&lt;=$H227),INDEX(Mortality!$B$4:$E$64,MATCH($D227+BL$5-1,Mortality!$A$4:$A$64,0),$U227)*$V227*$N227,0)</f>
        <v>0</v>
      </c>
      <c r="BM227" s="93">
        <f>IF(AND($T227=1,BM$5&lt;=$H227),INDEX(Mortality!$B$4:$E$64,MATCH($D227+BM$5-1,Mortality!$A$4:$A$64,0),$U227)*$V227*$N227,0)</f>
        <v>0</v>
      </c>
      <c r="BN227" s="93">
        <f>IF(AND($T227=1,BN$5&lt;=$H227),INDEX(Mortality!$B$4:$E$64,MATCH($D227+BN$5-1,Mortality!$A$4:$A$64,0),$U227)*$V227*$N227,0)</f>
        <v>0</v>
      </c>
      <c r="BO227" s="93">
        <f>IF(AND($T227=1,BO$5&lt;=$H227),INDEX(Mortality!$B$4:$E$64,MATCH($D227+BO$5-1,Mortality!$A$4:$A$64,0),$U227)*$V227*$N227,0)</f>
        <v>0</v>
      </c>
      <c r="BP227" s="93">
        <f>IF(AND($T227=1,BP$5&lt;=$H227),INDEX(Mortality!$B$4:$E$64,MATCH($D227+BP$5-1,Mortality!$A$4:$A$64,0),$U227)*$V227*$N227,0)</f>
        <v>0</v>
      </c>
      <c r="BQ227" s="93">
        <f>IF(AND($T227=1,BQ$5&lt;=$H227),INDEX(Mortality!$B$4:$E$64,MATCH($D227+BQ$5-1,Mortality!$A$4:$A$64,0),$U227)*$V227*$N227,0)</f>
        <v>0</v>
      </c>
      <c r="BR227" s="93">
        <f>IF(AND($T227=1,BR$5&lt;=$H227),INDEX(Mortality!$B$4:$E$64,MATCH($D227+BR$5-1,Mortality!$A$4:$A$64,0),$U227)*$V227*$N227,0)</f>
        <v>0</v>
      </c>
      <c r="BS227" s="93">
        <f>IF(AND($T227=1,BS$5&lt;=$H227),INDEX(Mortality!$B$4:$E$64,MATCH($D227+BS$5-1,Mortality!$A$4:$A$64,0),$U227)*$V227*$N227,0)</f>
        <v>0</v>
      </c>
      <c r="BT227" s="93">
        <f>IF(AND($T227=1,BT$5&lt;=$H227),INDEX(Mortality!$B$4:$E$64,MATCH($D227+BT$5-1,Mortality!$A$4:$A$64,0),$U227)*$V227*$N227,0)</f>
        <v>0</v>
      </c>
      <c r="BU227" s="93">
        <f>IF(AND($T227=1,BU$5&lt;=$H227),INDEX(Mortality!$B$4:$E$64,MATCH($D227+BU$5-1,Mortality!$A$4:$A$64,0),$U227)*$V227*$N227,0)</f>
        <v>0</v>
      </c>
      <c r="BV227" s="93">
        <f>IF(AND($T227=1,BV$5&lt;=$H227),INDEX(Mortality!$B$4:$E$64,MATCH($D227+BV$5-1,Mortality!$A$4:$A$64,0),$U227)*$V227*$N227,0)</f>
        <v>0</v>
      </c>
      <c r="BW227" s="93">
        <f>IF(AND($T227=1,BW$5&lt;=$H227),INDEX(Mortality!$B$4:$E$64,MATCH($D227+BW$5-1,Mortality!$A$4:$A$64,0),$U227)*$V227*$N227,0)</f>
        <v>0</v>
      </c>
      <c r="BX227" s="93">
        <f>IF(AND($T227=1,BX$5&lt;=$H227),INDEX(Mortality!$B$4:$E$64,MATCH($D227+BX$5-1,Mortality!$A$4:$A$64,0),$U227)*$V227*$N227,0)</f>
        <v>0</v>
      </c>
      <c r="BY227" s="93">
        <f>IF(AND($T227=1,BY$5&lt;=$H227),INDEX(Mortality!$B$4:$E$64,MATCH($D227+BY$5-1,Mortality!$A$4:$A$64,0),$U227)*$V227*$N227,0)</f>
        <v>0</v>
      </c>
      <c r="BZ227" s="93">
        <f>IF(AND($T227=1,BZ$5&lt;=$H227),INDEX(Mortality!$B$4:$E$64,MATCH($D227+BZ$5-1,Mortality!$A$4:$A$64,0),$U227)*$V227*$N227,0)</f>
        <v>0</v>
      </c>
      <c r="CA227" s="93">
        <f>IF(AND($T227=1,CA$5&lt;=$H227),INDEX(Mortality!$B$4:$E$64,MATCH($D227+CA$5-1,Mortality!$A$4:$A$64,0),$U227)*$V227*$N227,0)</f>
        <v>0</v>
      </c>
      <c r="CB227" s="93">
        <f>IF(AND($T227=1,CB$5&lt;=$H227),INDEX(Mortality!$B$4:$E$64,MATCH($D227+CB$5-1,Mortality!$A$4:$A$64,0),$U227)*$V227*$N227,0)</f>
        <v>0</v>
      </c>
      <c r="CC227" s="93">
        <f>IF(AND($T227=1,CC$5&lt;=$H227),INDEX(Mortality!$B$4:$E$64,MATCH($D227+CC$5-1,Mortality!$A$4:$A$64,0),$U227)*$V227*$N227,0)</f>
        <v>0</v>
      </c>
      <c r="CD227" s="93">
        <f>IF(AND($T227=1,CD$5&lt;=$H227),INDEX(Mortality!$B$4:$E$64,MATCH($D227+CD$5-1,Mortality!$A$4:$A$64,0),$U227)*$V227*$N227,0)</f>
        <v>0</v>
      </c>
      <c r="CE227" s="93">
        <f>IF(AND($T227=1,CE$5&lt;=$H227),INDEX(Mortality!$B$4:$E$64,MATCH($D227+CE$5-1,Mortality!$A$4:$A$64,0),$U227)*$V227*$N227,0)</f>
        <v>0</v>
      </c>
      <c r="CF227" s="93">
        <f>IF(AND($T227=1,CF$5&lt;=$H227),INDEX(Mortality!$B$4:$E$64,MATCH($D227+CF$5-1,Mortality!$A$4:$A$64,0),$U227)*$V227*$N227,0)</f>
        <v>0</v>
      </c>
      <c r="CG227" s="93">
        <f>IF(AND($T227=1,CG$5&lt;=$H227),INDEX(Mortality!$B$4:$E$64,MATCH($D227+CG$5-1,Mortality!$A$4:$A$64,0),$U227)*$V227*$N227,0)</f>
        <v>0</v>
      </c>
      <c r="CH227" s="94">
        <f>IF(AND($T227=1,CH$5&lt;=$H227),INDEX(Mortality!$B$4:$E$64,MATCH($D227+CH$5-1,Mortality!$A$4:$A$64,0),$U227)*$V227*$N227,0)</f>
        <v>0</v>
      </c>
      <c r="CI227" s="26"/>
      <c r="CJ227" s="419">
        <f t="shared" si="89"/>
        <v>1</v>
      </c>
      <c r="CK227" s="93">
        <f>IF(AND($T227=1,CK$5&lt;=$H227),CJ227*(1-AU227)*(1-MIN(1,MAX(Assumptions!$C$27,Assumptions!$C$13*Assumptions!$C$28^(CJ$5-1))*$O227)),0)</f>
        <v>0.87966931172851659</v>
      </c>
      <c r="CL227" s="93">
        <f>IF(AND($T227=1,CL$5&lt;=$H227),CK227*(1-AV227)*(1-MIN(1,MAX(Assumptions!$C$27,Assumptions!$C$13*Assumptions!$C$28^(CK$5-1))*$O227)),0)</f>
        <v>0.78962147198339294</v>
      </c>
      <c r="CM227" s="93">
        <f>IF(AND($T227=1,CM$5&lt;=$H227),CL227*(1-AW227)*(1-MIN(1,MAX(Assumptions!$C$27,Assumptions!$C$13*Assumptions!$C$28^(CL$5-1))*$O227)),0)</f>
        <v>0.72084326947571775</v>
      </c>
      <c r="CN227" s="93">
        <f>IF(AND($T227=1,CN$5&lt;=$H227),CM227*(1-AX227)*(1-MIN(1,MAX(Assumptions!$C$27,Assumptions!$C$13*Assumptions!$C$28^(CM$5-1))*$O227)),0)</f>
        <v>0.66740174605526748</v>
      </c>
      <c r="CO227" s="93">
        <f>IF(AND($T227=1,CO$5&lt;=$H227),CN227*(1-AY227)*(1-MIN(1,MAX(Assumptions!$C$27,Assumptions!$C$13*Assumptions!$C$28^(CN$5-1))*$O227)),0)</f>
        <v>0.62527145461498823</v>
      </c>
      <c r="CP227" s="93">
        <f>IF(AND($T227=1,CP$5&lt;=$H227),CO227*(1-AZ227)*(1-MIN(1,MAX(Assumptions!$C$27,Assumptions!$C$13*Assumptions!$C$28^(CO$5-1))*$O227)),0)</f>
        <v>0.59164723856392509</v>
      </c>
      <c r="CQ227" s="93">
        <f>IF(AND($T227=1,CQ$5&lt;=$H227),CP227*(1-BA227)*(1-MIN(1,MAX(Assumptions!$C$27,Assumptions!$C$13*Assumptions!$C$28^(CP$5-1))*$O227)),0)</f>
        <v>0.56452746096364603</v>
      </c>
      <c r="CR227" s="93">
        <f>IF(AND($T227=1,CR$5&lt;=$H227),CQ227*(1-BB227)*(1-MIN(1,MAX(Assumptions!$C$27,Assumptions!$C$13*Assumptions!$C$28^(CQ$5-1))*$O227)),0)</f>
        <v>0.54245341306976624</v>
      </c>
      <c r="CS227" s="93">
        <f>IF(AND($T227=1,CS$5&lt;=$H227),CR227*(1-BC227)*(1-MIN(1,MAX(Assumptions!$C$27,Assumptions!$C$13*Assumptions!$C$28^(CR$5-1))*$O227)),0)</f>
        <v>0.52434185736659855</v>
      </c>
      <c r="CT227" s="93">
        <f>IF(AND($T227=1,CT$5&lt;=$H227),CS227*(1-BD227)*(1-MIN(1,MAX(Assumptions!$C$27,Assumptions!$C$13*Assumptions!$C$28^(CS$5-1))*$O227)),0)</f>
        <v>0</v>
      </c>
      <c r="CU227" s="93">
        <f>IF(AND($T227=1,CU$5&lt;=$H227),CT227*(1-BE227)*(1-MIN(1,MAX(Assumptions!$C$27,Assumptions!$C$13*Assumptions!$C$28^(CT$5-1))*$O227)),0)</f>
        <v>0</v>
      </c>
      <c r="CV227" s="93">
        <f>IF(AND($T227=1,CV$5&lt;=$H227),CU227*(1-BF227)*(1-MIN(1,MAX(Assumptions!$C$27,Assumptions!$C$13*Assumptions!$C$28^(CU$5-1))*$O227)),0)</f>
        <v>0</v>
      </c>
      <c r="CW227" s="93">
        <f>IF(AND($T227=1,CW$5&lt;=$H227),CV227*(1-BG227)*(1-MIN(1,MAX(Assumptions!$C$27,Assumptions!$C$13*Assumptions!$C$28^(CV$5-1))*$O227)),0)</f>
        <v>0</v>
      </c>
      <c r="CX227" s="93">
        <f>IF(AND($T227=1,CX$5&lt;=$H227),CW227*(1-BH227)*(1-MIN(1,MAX(Assumptions!$C$27,Assumptions!$C$13*Assumptions!$C$28^(CW$5-1))*$O227)),0)</f>
        <v>0</v>
      </c>
      <c r="CY227" s="93">
        <f>IF(AND($T227=1,CY$5&lt;=$H227),CX227*(1-BI227)*(1-MIN(1,MAX(Assumptions!$C$27,Assumptions!$C$13*Assumptions!$C$28^(CX$5-1))*$O227)),0)</f>
        <v>0</v>
      </c>
      <c r="CZ227" s="93">
        <f>IF(AND($T227=1,CZ$5&lt;=$H227),CY227*(1-BJ227)*(1-MIN(1,MAX(Assumptions!$C$27,Assumptions!$C$13*Assumptions!$C$28^(CY$5-1))*$O227)),0)</f>
        <v>0</v>
      </c>
      <c r="DA227" s="93">
        <f>IF(AND($T227=1,DA$5&lt;=$H227),CZ227*(1-BK227)*(1-MIN(1,MAX(Assumptions!$C$27,Assumptions!$C$13*Assumptions!$C$28^(CZ$5-1))*$O227)),0)</f>
        <v>0</v>
      </c>
      <c r="DB227" s="93">
        <f>IF(AND($T227=1,DB$5&lt;=$H227),DA227*(1-BL227)*(1-MIN(1,MAX(Assumptions!$C$27,Assumptions!$C$13*Assumptions!$C$28^(DA$5-1))*$O227)),0)</f>
        <v>0</v>
      </c>
      <c r="DC227" s="93">
        <f>IF(AND($T227=1,DC$5&lt;=$H227),DB227*(1-BM227)*(1-MIN(1,MAX(Assumptions!$C$27,Assumptions!$C$13*Assumptions!$C$28^(DB$5-1))*$O227)),0)</f>
        <v>0</v>
      </c>
      <c r="DD227" s="93">
        <f>IF(AND($T227=1,DD$5&lt;=$H227),DC227*(1-BN227)*(1-MIN(1,MAX(Assumptions!$C$27,Assumptions!$C$13*Assumptions!$C$28^(DC$5-1))*$O227)),0)</f>
        <v>0</v>
      </c>
      <c r="DE227" s="93">
        <f>IF(AND($T227=1,DE$5&lt;=$H227),DD227*(1-BO227)*(1-MIN(1,MAX(Assumptions!$C$27,Assumptions!$C$13*Assumptions!$C$28^(DD$5-1))*$O227)),0)</f>
        <v>0</v>
      </c>
      <c r="DF227" s="93">
        <f>IF(AND($T227=1,DF$5&lt;=$H227),DE227*(1-BP227)*(1-MIN(1,MAX(Assumptions!$C$27,Assumptions!$C$13*Assumptions!$C$28^(DE$5-1))*$O227)),0)</f>
        <v>0</v>
      </c>
      <c r="DG227" s="93">
        <f>IF(AND($T227=1,DG$5&lt;=$H227),DF227*(1-BQ227)*(1-MIN(1,MAX(Assumptions!$C$27,Assumptions!$C$13*Assumptions!$C$28^(DF$5-1))*$O227)),0)</f>
        <v>0</v>
      </c>
      <c r="DH227" s="93">
        <f>IF(AND($T227=1,DH$5&lt;=$H227),DG227*(1-BR227)*(1-MIN(1,MAX(Assumptions!$C$27,Assumptions!$C$13*Assumptions!$C$28^(DG$5-1))*$O227)),0)</f>
        <v>0</v>
      </c>
      <c r="DI227" s="93">
        <f>IF(AND($T227=1,DI$5&lt;=$H227),DH227*(1-BS227)*(1-MIN(1,MAX(Assumptions!$C$27,Assumptions!$C$13*Assumptions!$C$28^(DH$5-1))*$O227)),0)</f>
        <v>0</v>
      </c>
      <c r="DJ227" s="93">
        <f>IF(AND($T227=1,DJ$5&lt;=$H227),DI227*(1-BT227)*(1-MIN(1,MAX(Assumptions!$C$27,Assumptions!$C$13*Assumptions!$C$28^(DI$5-1))*$O227)),0)</f>
        <v>0</v>
      </c>
      <c r="DK227" s="93">
        <f>IF(AND($T227=1,DK$5&lt;=$H227),DJ227*(1-BU227)*(1-MIN(1,MAX(Assumptions!$C$27,Assumptions!$C$13*Assumptions!$C$28^(DJ$5-1))*$O227)),0)</f>
        <v>0</v>
      </c>
      <c r="DL227" s="93">
        <f>IF(AND($T227=1,DL$5&lt;=$H227),DK227*(1-BV227)*(1-MIN(1,MAX(Assumptions!$C$27,Assumptions!$C$13*Assumptions!$C$28^(DK$5-1))*$O227)),0)</f>
        <v>0</v>
      </c>
      <c r="DM227" s="93">
        <f>IF(AND($T227=1,DM$5&lt;=$H227),DL227*(1-BW227)*(1-MIN(1,MAX(Assumptions!$C$27,Assumptions!$C$13*Assumptions!$C$28^(DL$5-1))*$O227)),0)</f>
        <v>0</v>
      </c>
      <c r="DN227" s="93">
        <f>IF(AND($T227=1,DN$5&lt;=$H227),DM227*(1-BX227)*(1-MIN(1,MAX(Assumptions!$C$27,Assumptions!$C$13*Assumptions!$C$28^(DM$5-1))*$O227)),0)</f>
        <v>0</v>
      </c>
      <c r="DO227" s="93">
        <f>IF(AND($T227=1,DO$5&lt;=$H227),DN227*(1-BY227)*(1-MIN(1,MAX(Assumptions!$C$27,Assumptions!$C$13*Assumptions!$C$28^(DN$5-1))*$O227)),0)</f>
        <v>0</v>
      </c>
      <c r="DP227" s="93">
        <f>IF(AND($T227=1,DP$5&lt;=$H227),DO227*(1-BZ227)*(1-MIN(1,MAX(Assumptions!$C$27,Assumptions!$C$13*Assumptions!$C$28^(DO$5-1))*$O227)),0)</f>
        <v>0</v>
      </c>
      <c r="DQ227" s="93">
        <f>IF(AND($T227=1,DQ$5&lt;=$H227),DP227*(1-CA227)*(1-MIN(1,MAX(Assumptions!$C$27,Assumptions!$C$13*Assumptions!$C$28^(DP$5-1))*$O227)),0)</f>
        <v>0</v>
      </c>
      <c r="DR227" s="93">
        <f>IF(AND($T227=1,DR$5&lt;=$H227),DQ227*(1-CB227)*(1-MIN(1,MAX(Assumptions!$C$27,Assumptions!$C$13*Assumptions!$C$28^(DQ$5-1))*$O227)),0)</f>
        <v>0</v>
      </c>
      <c r="DS227" s="93">
        <f>IF(AND($T227=1,DS$5&lt;=$H227),DR227*(1-CC227)*(1-MIN(1,MAX(Assumptions!$C$27,Assumptions!$C$13*Assumptions!$C$28^(DR$5-1))*$O227)),0)</f>
        <v>0</v>
      </c>
      <c r="DT227" s="93">
        <f>IF(AND($T227=1,DT$5&lt;=$H227),DS227*(1-CD227)*(1-MIN(1,MAX(Assumptions!$C$27,Assumptions!$C$13*Assumptions!$C$28^(DS$5-1))*$O227)),0)</f>
        <v>0</v>
      </c>
      <c r="DU227" s="93">
        <f>IF(AND($T227=1,DU$5&lt;=$H227),DT227*(1-CE227)*(1-MIN(1,MAX(Assumptions!$C$27,Assumptions!$C$13*Assumptions!$C$28^(DT$5-1))*$O227)),0)</f>
        <v>0</v>
      </c>
      <c r="DV227" s="93">
        <f>IF(AND($T227=1,DV$5&lt;=$H227),DU227*(1-CF227)*(1-MIN(1,MAX(Assumptions!$C$27,Assumptions!$C$13*Assumptions!$C$28^(DU$5-1))*$O227)),0)</f>
        <v>0</v>
      </c>
      <c r="DW227" s="94">
        <f>IF(AND($T227=1,DW$5&lt;=$H227),DV227*(1-CG227)*(1-MIN(1,MAX(Assumptions!$C$27,Assumptions!$C$13*Assumptions!$C$28^(DV$5-1))*$O227)),0)</f>
        <v>0</v>
      </c>
      <c r="DX227" s="26"/>
      <c r="DY227" s="399">
        <f>'Policy Data'!K201</f>
        <v>3</v>
      </c>
      <c r="DZ227" s="100">
        <f>'Policy Data'!L201</f>
        <v>0.71860000000000002</v>
      </c>
      <c r="EA227" s="100">
        <f>'Policy Data'!N201</f>
        <v>2.7E-4</v>
      </c>
      <c r="EB227" s="93" cm="1">
        <f t="array" ref="EB227">IFERROR(DZ227*INDEX(Mortality!$B$4:$E$64,MATCH(D227+DY227-1,Mortality!$A$4:$A$64,0),U227)*V227,0)</f>
        <v>3.1689139759370408E-4</v>
      </c>
      <c r="EC227" s="100">
        <f>'Policy Data'!O201</f>
        <v>0</v>
      </c>
      <c r="ED227" s="400">
        <f>'Policy Data'!Q201</f>
        <v>0</v>
      </c>
    </row>
    <row r="228" spans="1:134" x14ac:dyDescent="0.3">
      <c r="A228" s="399" t="str">
        <f>'Policy Data'!A202</f>
        <v>POL100198</v>
      </c>
      <c r="B228" s="26" t="s">
        <v>426</v>
      </c>
      <c r="C228" s="100" t="str">
        <f>'Policy Data'!B202</f>
        <v>Term Life</v>
      </c>
      <c r="D228" s="100">
        <f>'Policy Data'!C202</f>
        <v>23</v>
      </c>
      <c r="E228" s="100" t="str">
        <f>'Policy Data'!D202</f>
        <v>Female</v>
      </c>
      <c r="F228" s="100" t="str">
        <f>'Policy Data'!E202</f>
        <v>Non-smoker</v>
      </c>
      <c r="G228" s="100" t="str">
        <f>'Policy Data'!F202</f>
        <v>Standard</v>
      </c>
      <c r="H228" s="100">
        <f>'Policy Data'!G202</f>
        <v>20</v>
      </c>
      <c r="I228" s="279">
        <f>'Policy Data'!H202</f>
        <v>500000</v>
      </c>
      <c r="J228" s="100" t="str">
        <f>'Policy Data'!I202</f>
        <v>Annual</v>
      </c>
      <c r="K228" s="100" t="str">
        <f>'Policy Data'!J202</f>
        <v>Bancassurance</v>
      </c>
      <c r="L228" s="26" t="s">
        <v>389</v>
      </c>
      <c r="M228" s="106">
        <f>'Policy Data'!R202</f>
        <v>1200</v>
      </c>
      <c r="N228" s="415">
        <f>Assumptions!$C$21</f>
        <v>1</v>
      </c>
      <c r="O228" s="415">
        <f>Assumptions!$C$22</f>
        <v>1</v>
      </c>
      <c r="P228" s="415">
        <f>Assumptions!$C$23</f>
        <v>1</v>
      </c>
      <c r="Q228" s="416">
        <f>Assumptions!$C$24</f>
        <v>0</v>
      </c>
      <c r="R228" s="416">
        <f>Assumptions!$C$6+Assumptions!$C$25</f>
        <v>3.5000000000000003E-2</v>
      </c>
      <c r="S228" s="416">
        <f>Assumptions!$C$15</f>
        <v>1.1000000000000001E-3</v>
      </c>
      <c r="T228" s="26">
        <f t="shared" si="72"/>
        <v>1</v>
      </c>
      <c r="U228" s="26">
        <f t="shared" si="73"/>
        <v>1</v>
      </c>
      <c r="V228" s="389">
        <f>IF($G228="Preferred",Assumptions!$C$30,IF($G228="Rated",Assumptions!$C$31,1))</f>
        <v>1</v>
      </c>
      <c r="W228" s="390">
        <f>IF($K228="Direct",Assumptions!$C$32,IF($K228="Broker",Assumptions!$C$33,IF($K228="Bancassurance",Assumptions!$C$34,Assumptions!$C$11)))+$Q228</f>
        <v>0.2</v>
      </c>
      <c r="X228" s="390">
        <f>Assumptions!$C$12+$Q228</f>
        <v>0.05</v>
      </c>
      <c r="Y228" s="131">
        <f>MIN($I228,Assumptions!$C$14)</f>
        <v>500000</v>
      </c>
      <c r="Z228" s="131">
        <f>MAX($I228-Assumptions!$C$14,0)</f>
        <v>0</v>
      </c>
      <c r="AA228" s="389">
        <f t="shared" si="74"/>
        <v>8.6189863277041443</v>
      </c>
      <c r="AB228" s="389">
        <f t="shared" si="75"/>
        <v>3.6581650249534543E-3</v>
      </c>
      <c r="AC228" s="389">
        <f>IF($T228=1,SUMPRODUCT($CJ228:$DW228,(1+Assumptions!$C$5)^($CJ$5:$DW$5-1),(1+$R228)^(-$CJ$5:$DW$5)),0)</f>
        <v>11.610819963215166</v>
      </c>
      <c r="AD228" s="389">
        <f t="shared" si="76"/>
        <v>0.57587685261709132</v>
      </c>
      <c r="AE228" s="131">
        <f>IF($T228=1,$AB228*$Y228+(Assumptions!$C$9/(1+$R228)+Assumptions!$C$10*$AC228)*$P228+$S228*$Z228*$AA228,0)</f>
        <v>5253.0281217753682</v>
      </c>
      <c r="AF228" s="131">
        <f>IF($T228=1,IF($AA228-$AD228-Assumptions!$C$16*$AA228&gt;0,$AE228/($AA228-$AD228-Assumptions!$C$16*$AA228)*IF($J228="Monthly",1+Assumptions!$C$29,1),"n.a."),"")</f>
        <v>714.34873516245636</v>
      </c>
      <c r="AG228" s="131">
        <f t="shared" si="77"/>
        <v>1200</v>
      </c>
      <c r="AH228" s="131">
        <f t="shared" si="78"/>
        <v>10342.783593244973</v>
      </c>
      <c r="AI228" s="131">
        <f t="shared" si="79"/>
        <v>4398.7032483290959</v>
      </c>
      <c r="AJ228" s="390">
        <f t="shared" si="80"/>
        <v>0.42529201241355907</v>
      </c>
      <c r="AK228" s="389">
        <f t="shared" si="81"/>
        <v>1.6798517879745352</v>
      </c>
      <c r="AL228" s="131">
        <f t="shared" si="82"/>
        <v>0</v>
      </c>
      <c r="AM228" s="131">
        <f t="shared" si="83"/>
        <v>0</v>
      </c>
      <c r="AN228" s="131">
        <f t="shared" si="84"/>
        <v>0</v>
      </c>
      <c r="AO228" s="131">
        <f t="shared" si="85"/>
        <v>4398.7032483290959</v>
      </c>
      <c r="AP228" s="26" t="str">
        <f t="shared" si="86"/>
        <v>20-29</v>
      </c>
      <c r="AQ228" s="26" t="str">
        <f t="shared" si="87"/>
        <v>250k-500k</v>
      </c>
      <c r="AR228" s="26" t="str">
        <f>IF($T228=1,IF($AI228&lt;0,"Loss-making",IF($AJ228&lt;Assumptions!$C$16-0.00001,"Below target","At/above target")),"Excluded")</f>
        <v>At/above target</v>
      </c>
      <c r="AS228" s="103">
        <f t="shared" si="88"/>
        <v>4398.7034763290958</v>
      </c>
      <c r="AT228" s="26"/>
      <c r="AU228" s="419">
        <f>IF(AND($T228=1,AU$5&lt;=$H228),INDEX(Mortality!$B$4:$E$64,MATCH($D228+AU$5-1,Mortality!$A$4:$A$64,0),$U228)*$V228*$N228,0)</f>
        <v>2.18487466922172E-4</v>
      </c>
      <c r="AV228" s="93">
        <f>IF(AND($T228=1,AV$5&lt;=$H228),INDEX(Mortality!$B$4:$E$64,MATCH($D228+AV$5-1,Mortality!$A$4:$A$64,0),$U228)*$V228*$N228,0)</f>
        <v>2.36684647365849E-4</v>
      </c>
      <c r="AW228" s="93">
        <f>IF(AND($T228=1,AW$5&lt;=$H228),INDEX(Mortality!$B$4:$E$64,MATCH($D228+AW$5-1,Mortality!$A$4:$A$64,0),$U228)*$V228*$N228,0)</f>
        <v>2.5639741760863198E-4</v>
      </c>
      <c r="AX228" s="93">
        <f>IF(AND($T228=1,AX$5&lt;=$H228),INDEX(Mortality!$B$4:$E$64,MATCH($D228+AX$5-1,Mortality!$A$4:$A$64,0),$U228)*$V228*$N228,0)</f>
        <v>2.7775200668068702E-4</v>
      </c>
      <c r="AY228" s="93">
        <f>IF(AND($T228=1,AY$5&lt;=$H228),INDEX(Mortality!$B$4:$E$64,MATCH($D228+AY$5-1,Mortality!$A$4:$A$64,0),$U228)*$V228*$N228,0)</f>
        <v>3.0088515685795699E-4</v>
      </c>
      <c r="AZ228" s="93">
        <f>IF(AND($T228=1,AZ$5&lt;=$H228),INDEX(Mortality!$B$4:$E$64,MATCH($D228+AZ$5-1,Mortality!$A$4:$A$64,0),$U228)*$V228*$N228,0)</f>
        <v>3.2594499927957602E-4</v>
      </c>
      <c r="BA228" s="93">
        <f>IF(AND($T228=1,BA$5&lt;=$H228),INDEX(Mortality!$B$4:$E$64,MATCH($D228+BA$5-1,Mortality!$A$4:$A$64,0),$U228)*$V228*$N228,0)</f>
        <v>3.53092002492888E-4</v>
      </c>
      <c r="BB228" s="93">
        <f>IF(AND($T228=1,BB$5&lt;=$H228),INDEX(Mortality!$B$4:$E$64,MATCH($D228+BB$5-1,Mortality!$A$4:$A$64,0),$U228)*$V228*$N228,0)</f>
        <v>3.8249999999999997E-4</v>
      </c>
      <c r="BC228" s="93">
        <f>IF(AND($T228=1,BC$5&lt;=$H228),INDEX(Mortality!$B$4:$E$64,MATCH($D228+BC$5-1,Mortality!$A$4:$A$64,0),$U228)*$V228*$N228,0)</f>
        <v>4.1435730338567202E-4</v>
      </c>
      <c r="BD228" s="93">
        <f>IF(AND($T228=1,BD$5&lt;=$H228),INDEX(Mortality!$B$4:$E$64,MATCH($D228+BD$5-1,Mortality!$A$4:$A$64,0),$U228)*$V228*$N228,0)</f>
        <v>4.4886790815436701E-4</v>
      </c>
      <c r="BE228" s="93">
        <f>IF(AND($T228=1,BE$5&lt;=$H228),INDEX(Mortality!$B$4:$E$64,MATCH($D228+BE$5-1,Mortality!$A$4:$A$64,0),$U228)*$V228*$N228,0)</f>
        <v>4.8625279999793699E-4</v>
      </c>
      <c r="BF228" s="93">
        <f>IF(AND($T228=1,BF$5&lt;=$H228),INDEX(Mortality!$B$4:$E$64,MATCH($D228+BF$5-1,Mortality!$A$4:$A$64,0),$U228)*$V228*$N228,0)</f>
        <v>5.2675136985850396E-4</v>
      </c>
      <c r="BG228" s="93">
        <f>IF(AND($T228=1,BG$5&lt;=$H228),INDEX(Mortality!$B$4:$E$64,MATCH($D228+BG$5-1,Mortality!$A$4:$A$64,0),$U228)*$V228*$N228,0)</f>
        <v>5.7062294684778595E-4</v>
      </c>
      <c r="BH228" s="93">
        <f>IF(AND($T228=1,BH$5&lt;=$H228),INDEX(Mortality!$B$4:$E$64,MATCH($D228+BH$5-1,Mortality!$A$4:$A$64,0),$U228)*$V228*$N228,0)</f>
        <v>6.1814845883878197E-4</v>
      </c>
      <c r="BI228" s="93">
        <f>IF(AND($T228=1,BI$5&lt;=$H228),INDEX(Mortality!$B$4:$E$64,MATCH($D228+BI$5-1,Mortality!$A$4:$A$64,0),$U228)*$V228*$N228,0)</f>
        <v>6.6963223136325904E-4</v>
      </c>
      <c r="BJ228" s="93">
        <f>IF(AND($T228=1,BJ$5&lt;=$H228),INDEX(Mortality!$B$4:$E$64,MATCH($D228+BJ$5-1,Mortality!$A$4:$A$64,0),$U228)*$V228*$N228,0)</f>
        <v>7.2540393633414402E-4</v>
      </c>
      <c r="BK228" s="93">
        <f>IF(AND($T228=1,BK$5&lt;=$H228),INDEX(Mortality!$B$4:$E$64,MATCH($D228+BK$5-1,Mortality!$A$4:$A$64,0),$U228)*$V228*$N228,0)</f>
        <v>7.8582070307128696E-4</v>
      </c>
      <c r="BL228" s="93">
        <f>IF(AND($T228=1,BL$5&lt;=$H228),INDEX(Mortality!$B$4:$E$64,MATCH($D228+BL$5-1,Mortality!$A$4:$A$64,0),$U228)*$V228*$N228,0)</f>
        <v>8.5126940514836905E-4</v>
      </c>
      <c r="BM228" s="93">
        <f>IF(AND($T228=1,BM$5&lt;=$H228),INDEX(Mortality!$B$4:$E$64,MATCH($D228+BM$5-1,Mortality!$A$4:$A$64,0),$U228)*$V228*$N228,0)</f>
        <v>9.2216913770458301E-4</v>
      </c>
      <c r="BN228" s="93">
        <f>IF(AND($T228=1,BN$5&lt;=$H228),INDEX(Mortality!$B$4:$E$64,MATCH($D228+BN$5-1,Mortality!$A$4:$A$64,0),$U228)*$V228*$N228,0)</f>
        <v>9.98973901084343E-4</v>
      </c>
      <c r="BO228" s="93">
        <f>IF(AND($T228=1,BO$5&lt;=$H228),INDEX(Mortality!$B$4:$E$64,MATCH($D228+BO$5-1,Mortality!$A$4:$A$64,0),$U228)*$V228*$N228,0)</f>
        <v>0</v>
      </c>
      <c r="BP228" s="93">
        <f>IF(AND($T228=1,BP$5&lt;=$H228),INDEX(Mortality!$B$4:$E$64,MATCH($D228+BP$5-1,Mortality!$A$4:$A$64,0),$U228)*$V228*$N228,0)</f>
        <v>0</v>
      </c>
      <c r="BQ228" s="93">
        <f>IF(AND($T228=1,BQ$5&lt;=$H228),INDEX(Mortality!$B$4:$E$64,MATCH($D228+BQ$5-1,Mortality!$A$4:$A$64,0),$U228)*$V228*$N228,0)</f>
        <v>0</v>
      </c>
      <c r="BR228" s="93">
        <f>IF(AND($T228=1,BR$5&lt;=$H228),INDEX(Mortality!$B$4:$E$64,MATCH($D228+BR$5-1,Mortality!$A$4:$A$64,0),$U228)*$V228*$N228,0)</f>
        <v>0</v>
      </c>
      <c r="BS228" s="93">
        <f>IF(AND($T228=1,BS$5&lt;=$H228),INDEX(Mortality!$B$4:$E$64,MATCH($D228+BS$5-1,Mortality!$A$4:$A$64,0),$U228)*$V228*$N228,0)</f>
        <v>0</v>
      </c>
      <c r="BT228" s="93">
        <f>IF(AND($T228=1,BT$5&lt;=$H228),INDEX(Mortality!$B$4:$E$64,MATCH($D228+BT$5-1,Mortality!$A$4:$A$64,0),$U228)*$V228*$N228,0)</f>
        <v>0</v>
      </c>
      <c r="BU228" s="93">
        <f>IF(AND($T228=1,BU$5&lt;=$H228),INDEX(Mortality!$B$4:$E$64,MATCH($D228+BU$5-1,Mortality!$A$4:$A$64,0),$U228)*$V228*$N228,0)</f>
        <v>0</v>
      </c>
      <c r="BV228" s="93">
        <f>IF(AND($T228=1,BV$5&lt;=$H228),INDEX(Mortality!$B$4:$E$64,MATCH($D228+BV$5-1,Mortality!$A$4:$A$64,0),$U228)*$V228*$N228,0)</f>
        <v>0</v>
      </c>
      <c r="BW228" s="93">
        <f>IF(AND($T228=1,BW$5&lt;=$H228),INDEX(Mortality!$B$4:$E$64,MATCH($D228+BW$5-1,Mortality!$A$4:$A$64,0),$U228)*$V228*$N228,0)</f>
        <v>0</v>
      </c>
      <c r="BX228" s="93">
        <f>IF(AND($T228=1,BX$5&lt;=$H228),INDEX(Mortality!$B$4:$E$64,MATCH($D228+BX$5-1,Mortality!$A$4:$A$64,0),$U228)*$V228*$N228,0)</f>
        <v>0</v>
      </c>
      <c r="BY228" s="93">
        <f>IF(AND($T228=1,BY$5&lt;=$H228),INDEX(Mortality!$B$4:$E$64,MATCH($D228+BY$5-1,Mortality!$A$4:$A$64,0),$U228)*$V228*$N228,0)</f>
        <v>0</v>
      </c>
      <c r="BZ228" s="93">
        <f>IF(AND($T228=1,BZ$5&lt;=$H228),INDEX(Mortality!$B$4:$E$64,MATCH($D228+BZ$5-1,Mortality!$A$4:$A$64,0),$U228)*$V228*$N228,0)</f>
        <v>0</v>
      </c>
      <c r="CA228" s="93">
        <f>IF(AND($T228=1,CA$5&lt;=$H228),INDEX(Mortality!$B$4:$E$64,MATCH($D228+CA$5-1,Mortality!$A$4:$A$64,0),$U228)*$V228*$N228,0)</f>
        <v>0</v>
      </c>
      <c r="CB228" s="93">
        <f>IF(AND($T228=1,CB$5&lt;=$H228),INDEX(Mortality!$B$4:$E$64,MATCH($D228+CB$5-1,Mortality!$A$4:$A$64,0),$U228)*$V228*$N228,0)</f>
        <v>0</v>
      </c>
      <c r="CC228" s="93">
        <f>IF(AND($T228=1,CC$5&lt;=$H228),INDEX(Mortality!$B$4:$E$64,MATCH($D228+CC$5-1,Mortality!$A$4:$A$64,0),$U228)*$V228*$N228,0)</f>
        <v>0</v>
      </c>
      <c r="CD228" s="93">
        <f>IF(AND($T228=1,CD$5&lt;=$H228),INDEX(Mortality!$B$4:$E$64,MATCH($D228+CD$5-1,Mortality!$A$4:$A$64,0),$U228)*$V228*$N228,0)</f>
        <v>0</v>
      </c>
      <c r="CE228" s="93">
        <f>IF(AND($T228=1,CE$5&lt;=$H228),INDEX(Mortality!$B$4:$E$64,MATCH($D228+CE$5-1,Mortality!$A$4:$A$64,0),$U228)*$V228*$N228,0)</f>
        <v>0</v>
      </c>
      <c r="CF228" s="93">
        <f>IF(AND($T228=1,CF$5&lt;=$H228),INDEX(Mortality!$B$4:$E$64,MATCH($D228+CF$5-1,Mortality!$A$4:$A$64,0),$U228)*$V228*$N228,0)</f>
        <v>0</v>
      </c>
      <c r="CG228" s="93">
        <f>IF(AND($T228=1,CG$5&lt;=$H228),INDEX(Mortality!$B$4:$E$64,MATCH($D228+CG$5-1,Mortality!$A$4:$A$64,0),$U228)*$V228*$N228,0)</f>
        <v>0</v>
      </c>
      <c r="CH228" s="94">
        <f>IF(AND($T228=1,CH$5&lt;=$H228),INDEX(Mortality!$B$4:$E$64,MATCH($D228+CH$5-1,Mortality!$A$4:$A$64,0),$U228)*$V228*$N228,0)</f>
        <v>0</v>
      </c>
      <c r="CI228" s="26"/>
      <c r="CJ228" s="419">
        <f t="shared" si="89"/>
        <v>1</v>
      </c>
      <c r="CK228" s="93">
        <f>IF(AND($T228=1,CK$5&lt;=$H228),CJ228*(1-AU228)*(1-MIN(1,MAX(Assumptions!$C$27,Assumptions!$C$13*Assumptions!$C$28^(CJ$5-1))*$O228)),0)</f>
        <v>0.87980773102910848</v>
      </c>
      <c r="CL228" s="93">
        <f>IF(AND($T228=1,CL$5&lt;=$H228),CK228*(1-AV228)*(1-MIN(1,MAX(Assumptions!$C$27,Assumptions!$C$13*Assumptions!$C$28^(CK$5-1))*$O228)),0)</f>
        <v>0.78988034565379306</v>
      </c>
      <c r="CM228" s="93">
        <f>IF(AND($T228=1,CM$5&lt;=$H228),CL228*(1-AW228)*(1-MIN(1,MAX(Assumptions!$C$27,Assumptions!$C$13*Assumptions!$C$28^(CL$5-1))*$O228)),0)</f>
        <v>0.72121275517321304</v>
      </c>
      <c r="CN228" s="93">
        <f>IF(AND($T228=1,CN$5&lt;=$H228),CM228*(1-AX228)*(1-MIN(1,MAX(Assumptions!$C$27,Assumptions!$C$13*Assumptions!$C$28^(CM$5-1))*$O228)),0)</f>
        <v>0.66787742534711114</v>
      </c>
      <c r="CO228" s="93">
        <f>IF(AND($T228=1,CO$5&lt;=$H228),CN228*(1-AY228)*(1-MIN(1,MAX(Assumptions!$C$27,Assumptions!$C$13*Assumptions!$C$28^(CN$5-1))*$O228)),0)</f>
        <v>0.62585271604598691</v>
      </c>
      <c r="CP228" s="93">
        <f>IF(AND($T228=1,CP$5&lt;=$H228),CO228*(1-AZ228)*(1-MIN(1,MAX(Assumptions!$C$27,Assumptions!$C$13*Assumptions!$C$28^(CO$5-1))*$O228)),0)</f>
        <v>0.59233628305196573</v>
      </c>
      <c r="CQ228" s="93">
        <f>IF(AND($T228=1,CQ$5&lt;=$H228),CP228*(1-BA228)*(1-MIN(1,MAX(Assumptions!$C$27,Assumptions!$C$13*Assumptions!$C$28^(CP$5-1))*$O228)),0)</f>
        <v>0.56532867844134715</v>
      </c>
      <c r="CR228" s="93">
        <f>IF(AND($T228=1,CR$5&lt;=$H228),CQ228*(1-BB228)*(1-MIN(1,MAX(Assumptions!$C$27,Assumptions!$C$13*Assumptions!$C$28^(CQ$5-1))*$O228)),0)</f>
        <v>0.54337298814530377</v>
      </c>
      <c r="CS228" s="93">
        <f>IF(AND($T228=1,CS$5&lt;=$H228),CR228*(1-BC228)*(1-MIN(1,MAX(Assumptions!$C$27,Assumptions!$C$13*Assumptions!$C$28^(CR$5-1))*$O228)),0)</f>
        <v>0.52538752084690865</v>
      </c>
      <c r="CT228" s="93">
        <f>IF(AND($T228=1,CT$5&lt;=$H228),CS228*(1-BD228)*(1-MIN(1,MAX(Assumptions!$C$27,Assumptions!$C$13*Assumptions!$C$28^(CS$5-1))*$O228)),0)</f>
        <v>0.51055560752193674</v>
      </c>
      <c r="CU228" s="93">
        <f>IF(AND($T228=1,CU$5&lt;=$H228),CT228*(1-BE228)*(1-MIN(1,MAX(Assumptions!$C$27,Assumptions!$C$13*Assumptions!$C$28^(CT$5-1))*$O228)),0)</f>
        <v>0.4982513737979245</v>
      </c>
      <c r="CV228" s="93">
        <f>IF(AND($T228=1,CV$5&lt;=$H228),CU228*(1-BF228)*(1-MIN(1,MAX(Assumptions!$C$27,Assumptions!$C$13*Assumptions!$C$28^(CU$5-1))*$O228)),0)</f>
        <v>0.48798870947690781</v>
      </c>
      <c r="CW228" s="93">
        <f>IF(AND($T228=1,CW$5&lt;=$H228),CV228*(1-BG228)*(1-MIN(1,MAX(Assumptions!$C$27,Assumptions!$C$13*Assumptions!$C$28^(CV$5-1))*$O228)),0)</f>
        <v>0.4779560468830481</v>
      </c>
      <c r="CX228" s="93">
        <f>IF(AND($T228=1,CX$5&lt;=$H228),CW228*(1-BH228)*(1-MIN(1,MAX(Assumptions!$C$27,Assumptions!$C$13*Assumptions!$C$28^(CW$5-1))*$O228)),0)</f>
        <v>0.46810738710748917</v>
      </c>
      <c r="CY228" s="93">
        <f>IF(AND($T228=1,CY$5&lt;=$H228),CX228*(1-BI228)*(1-MIN(1,MAX(Assumptions!$C$27,Assumptions!$C$13*Assumptions!$C$28^(CX$5-1))*$O228)),0)</f>
        <v>0.45843804876707589</v>
      </c>
      <c r="CZ228" s="93">
        <f>IF(AND($T228=1,CZ$5&lt;=$H228),CY228*(1-BJ228)*(1-MIN(1,MAX(Assumptions!$C$27,Assumptions!$C$13*Assumptions!$C$28^(CY$5-1))*$O228)),0)</f>
        <v>0.44894338608189621</v>
      </c>
      <c r="DA228" s="93">
        <f>IF(AND($T228=1,DA$5&lt;=$H228),CZ228*(1-BK228)*(1-MIN(1,MAX(Assumptions!$C$27,Assumptions!$C$13*Assumptions!$C$28^(CZ$5-1))*$O228)),0)</f>
        <v>0.43961878513311398</v>
      </c>
      <c r="DB228" s="93">
        <f>IF(AND($T228=1,DB$5&lt;=$H228),DA228*(1-BL228)*(1-MIN(1,MAX(Assumptions!$C$27,Assumptions!$C$13*Assumptions!$C$28^(DA$5-1))*$O228)),0)</f>
        <v>0.43045966008917363</v>
      </c>
      <c r="DC228" s="93">
        <f>IF(AND($T228=1,DC$5&lt;=$H228),DB228*(1-BM228)*(1-MIN(1,MAX(Assumptions!$C$27,Assumptions!$C$13*Assumptions!$C$28^(DB$5-1))*$O228)),0)</f>
        <v>0.42146144940610036</v>
      </c>
      <c r="DD228" s="93">
        <f>IF(AND($T228=1,DD$5&lt;=$H228),DC228*(1-BN228)*(1-MIN(1,MAX(Assumptions!$C$27,Assumptions!$C$13*Assumptions!$C$28^(DC$5-1))*$O228)),0)</f>
        <v>0</v>
      </c>
      <c r="DE228" s="93">
        <f>IF(AND($T228=1,DE$5&lt;=$H228),DD228*(1-BO228)*(1-MIN(1,MAX(Assumptions!$C$27,Assumptions!$C$13*Assumptions!$C$28^(DD$5-1))*$O228)),0)</f>
        <v>0</v>
      </c>
      <c r="DF228" s="93">
        <f>IF(AND($T228=1,DF$5&lt;=$H228),DE228*(1-BP228)*(1-MIN(1,MAX(Assumptions!$C$27,Assumptions!$C$13*Assumptions!$C$28^(DE$5-1))*$O228)),0)</f>
        <v>0</v>
      </c>
      <c r="DG228" s="93">
        <f>IF(AND($T228=1,DG$5&lt;=$H228),DF228*(1-BQ228)*(1-MIN(1,MAX(Assumptions!$C$27,Assumptions!$C$13*Assumptions!$C$28^(DF$5-1))*$O228)),0)</f>
        <v>0</v>
      </c>
      <c r="DH228" s="93">
        <f>IF(AND($T228=1,DH$5&lt;=$H228),DG228*(1-BR228)*(1-MIN(1,MAX(Assumptions!$C$27,Assumptions!$C$13*Assumptions!$C$28^(DG$5-1))*$O228)),0)</f>
        <v>0</v>
      </c>
      <c r="DI228" s="93">
        <f>IF(AND($T228=1,DI$5&lt;=$H228),DH228*(1-BS228)*(1-MIN(1,MAX(Assumptions!$C$27,Assumptions!$C$13*Assumptions!$C$28^(DH$5-1))*$O228)),0)</f>
        <v>0</v>
      </c>
      <c r="DJ228" s="93">
        <f>IF(AND($T228=1,DJ$5&lt;=$H228),DI228*(1-BT228)*(1-MIN(1,MAX(Assumptions!$C$27,Assumptions!$C$13*Assumptions!$C$28^(DI$5-1))*$O228)),0)</f>
        <v>0</v>
      </c>
      <c r="DK228" s="93">
        <f>IF(AND($T228=1,DK$5&lt;=$H228),DJ228*(1-BU228)*(1-MIN(1,MAX(Assumptions!$C$27,Assumptions!$C$13*Assumptions!$C$28^(DJ$5-1))*$O228)),0)</f>
        <v>0</v>
      </c>
      <c r="DL228" s="93">
        <f>IF(AND($T228=1,DL$5&lt;=$H228),DK228*(1-BV228)*(1-MIN(1,MAX(Assumptions!$C$27,Assumptions!$C$13*Assumptions!$C$28^(DK$5-1))*$O228)),0)</f>
        <v>0</v>
      </c>
      <c r="DM228" s="93">
        <f>IF(AND($T228=1,DM$5&lt;=$H228),DL228*(1-BW228)*(1-MIN(1,MAX(Assumptions!$C$27,Assumptions!$C$13*Assumptions!$C$28^(DL$5-1))*$O228)),0)</f>
        <v>0</v>
      </c>
      <c r="DN228" s="93">
        <f>IF(AND($T228=1,DN$5&lt;=$H228),DM228*(1-BX228)*(1-MIN(1,MAX(Assumptions!$C$27,Assumptions!$C$13*Assumptions!$C$28^(DM$5-1))*$O228)),0)</f>
        <v>0</v>
      </c>
      <c r="DO228" s="93">
        <f>IF(AND($T228=1,DO$5&lt;=$H228),DN228*(1-BY228)*(1-MIN(1,MAX(Assumptions!$C$27,Assumptions!$C$13*Assumptions!$C$28^(DN$5-1))*$O228)),0)</f>
        <v>0</v>
      </c>
      <c r="DP228" s="93">
        <f>IF(AND($T228=1,DP$5&lt;=$H228),DO228*(1-BZ228)*(1-MIN(1,MAX(Assumptions!$C$27,Assumptions!$C$13*Assumptions!$C$28^(DO$5-1))*$O228)),0)</f>
        <v>0</v>
      </c>
      <c r="DQ228" s="93">
        <f>IF(AND($T228=1,DQ$5&lt;=$H228),DP228*(1-CA228)*(1-MIN(1,MAX(Assumptions!$C$27,Assumptions!$C$13*Assumptions!$C$28^(DP$5-1))*$O228)),0)</f>
        <v>0</v>
      </c>
      <c r="DR228" s="93">
        <f>IF(AND($T228=1,DR$5&lt;=$H228),DQ228*(1-CB228)*(1-MIN(1,MAX(Assumptions!$C$27,Assumptions!$C$13*Assumptions!$C$28^(DQ$5-1))*$O228)),0)</f>
        <v>0</v>
      </c>
      <c r="DS228" s="93">
        <f>IF(AND($T228=1,DS$5&lt;=$H228),DR228*(1-CC228)*(1-MIN(1,MAX(Assumptions!$C$27,Assumptions!$C$13*Assumptions!$C$28^(DR$5-1))*$O228)),0)</f>
        <v>0</v>
      </c>
      <c r="DT228" s="93">
        <f>IF(AND($T228=1,DT$5&lt;=$H228),DS228*(1-CD228)*(1-MIN(1,MAX(Assumptions!$C$27,Assumptions!$C$13*Assumptions!$C$28^(DS$5-1))*$O228)),0)</f>
        <v>0</v>
      </c>
      <c r="DU228" s="93">
        <f>IF(AND($T228=1,DU$5&lt;=$H228),DT228*(1-CE228)*(1-MIN(1,MAX(Assumptions!$C$27,Assumptions!$C$13*Assumptions!$C$28^(DT$5-1))*$O228)),0)</f>
        <v>0</v>
      </c>
      <c r="DV228" s="93">
        <f>IF(AND($T228=1,DV$5&lt;=$H228),DU228*(1-CF228)*(1-MIN(1,MAX(Assumptions!$C$27,Assumptions!$C$13*Assumptions!$C$28^(DU$5-1))*$O228)),0)</f>
        <v>0</v>
      </c>
      <c r="DW228" s="94">
        <f>IF(AND($T228=1,DW$5&lt;=$H228),DV228*(1-CG228)*(1-MIN(1,MAX(Assumptions!$C$27,Assumptions!$C$13*Assumptions!$C$28^(DV$5-1))*$O228)),0)</f>
        <v>0</v>
      </c>
      <c r="DX228" s="26"/>
      <c r="DY228" s="399">
        <f>'Policy Data'!K202</f>
        <v>6</v>
      </c>
      <c r="DZ228" s="100">
        <f>'Policy Data'!L202</f>
        <v>0.86370000000000002</v>
      </c>
      <c r="EA228" s="100">
        <f>'Policy Data'!N202</f>
        <v>1.8900000000000001E-4</v>
      </c>
      <c r="EB228" s="93" cm="1">
        <f t="array" ref="EB228">IFERROR(DZ228*INDEX(Mortality!$B$4:$E$64,MATCH(D228+DY228-1,Mortality!$A$4:$A$64,0),U228)*V228,0)</f>
        <v>2.8151869587776982E-4</v>
      </c>
      <c r="EC228" s="100">
        <f>'Policy Data'!O202</f>
        <v>0</v>
      </c>
      <c r="ED228" s="400">
        <f>'Policy Data'!Q202</f>
        <v>0</v>
      </c>
    </row>
    <row r="229" spans="1:134" x14ac:dyDescent="0.3">
      <c r="A229" s="399" t="str">
        <f>'Policy Data'!A203</f>
        <v>POL100199</v>
      </c>
      <c r="B229" s="26" t="s">
        <v>426</v>
      </c>
      <c r="C229" s="100" t="str">
        <f>'Policy Data'!B203</f>
        <v>Term Life</v>
      </c>
      <c r="D229" s="100">
        <f>'Policy Data'!C203</f>
        <v>47</v>
      </c>
      <c r="E229" s="100" t="str">
        <f>'Policy Data'!D203</f>
        <v>Female</v>
      </c>
      <c r="F229" s="100" t="str">
        <f>'Policy Data'!E203</f>
        <v>Non-smoker</v>
      </c>
      <c r="G229" s="100" t="str">
        <f>'Policy Data'!F203</f>
        <v>Standard</v>
      </c>
      <c r="H229" s="100">
        <f>'Policy Data'!G203</f>
        <v>20</v>
      </c>
      <c r="I229" s="279">
        <f>'Policy Data'!H203</f>
        <v>250000</v>
      </c>
      <c r="J229" s="100" t="str">
        <f>'Policy Data'!I203</f>
        <v>Monthly</v>
      </c>
      <c r="K229" s="100" t="str">
        <f>'Policy Data'!J203</f>
        <v>Broker</v>
      </c>
      <c r="L229" s="26" t="s">
        <v>389</v>
      </c>
      <c r="M229" s="106">
        <f>'Policy Data'!R203</f>
        <v>1200</v>
      </c>
      <c r="N229" s="415">
        <f>Assumptions!$C$21</f>
        <v>1</v>
      </c>
      <c r="O229" s="415">
        <f>Assumptions!$C$22</f>
        <v>1</v>
      </c>
      <c r="P229" s="415">
        <f>Assumptions!$C$23</f>
        <v>1</v>
      </c>
      <c r="Q229" s="416">
        <f>Assumptions!$C$24</f>
        <v>0</v>
      </c>
      <c r="R229" s="416">
        <f>Assumptions!$C$6+Assumptions!$C$25</f>
        <v>3.5000000000000003E-2</v>
      </c>
      <c r="S229" s="416">
        <f>Assumptions!$C$15</f>
        <v>1.1000000000000001E-3</v>
      </c>
      <c r="T229" s="26">
        <f t="shared" si="72"/>
        <v>1</v>
      </c>
      <c r="U229" s="26">
        <f t="shared" si="73"/>
        <v>1</v>
      </c>
      <c r="V229" s="389">
        <f>IF($G229="Preferred",Assumptions!$C$30,IF($G229="Rated",Assumptions!$C$31,1))</f>
        <v>1</v>
      </c>
      <c r="W229" s="390">
        <f>IF($K229="Direct",Assumptions!$C$32,IF($K229="Broker",Assumptions!$C$33,IF($K229="Bancassurance",Assumptions!$C$34,Assumptions!$C$11)))+$Q229</f>
        <v>0.25</v>
      </c>
      <c r="X229" s="390">
        <f>Assumptions!$C$12+$Q229</f>
        <v>0.05</v>
      </c>
      <c r="Y229" s="131">
        <f>MIN($I229,Assumptions!$C$14)</f>
        <v>250000</v>
      </c>
      <c r="Z229" s="131">
        <f>MAX($I229-Assumptions!$C$14,0)</f>
        <v>0</v>
      </c>
      <c r="AA229" s="389">
        <f t="shared" si="74"/>
        <v>8.4965454270122507</v>
      </c>
      <c r="AB229" s="389">
        <f t="shared" si="75"/>
        <v>2.4417964247584432E-2</v>
      </c>
      <c r="AC229" s="389">
        <f>IF($T229=1,SUMPRODUCT($CJ229:$DW229,(1+Assumptions!$C$5)^($CJ$5:$DW$5-1),(1+$R229)^(-$CJ$5:$DW$5)),0)</f>
        <v>11.406869245998204</v>
      </c>
      <c r="AD229" s="389">
        <f t="shared" si="76"/>
        <v>0.61806398632645798</v>
      </c>
      <c r="AE229" s="131">
        <f>IF($T229=1,$AB229*$Y229+(Assumptions!$C$9/(1+$R229)+Assumptions!$C$10*$AC229)*$P229+$S229*$Z229*$AA229,0)</f>
        <v>9483.5675134070189</v>
      </c>
      <c r="AF229" s="131">
        <f>IF($T229=1,IF($AA229-$AD229-Assumptions!$C$16*$AA229&gt;0,$AE229/($AA229-$AD229-Assumptions!$C$16*$AA229)*IF($J229="Monthly",1+Assumptions!$C$29,1),"n.a."),"")</f>
        <v>1356.9111229100718</v>
      </c>
      <c r="AG229" s="131">
        <f t="shared" si="77"/>
        <v>1200</v>
      </c>
      <c r="AH229" s="131">
        <f t="shared" si="78"/>
        <v>10195.8545124147</v>
      </c>
      <c r="AI229" s="131">
        <f t="shared" si="79"/>
        <v>-29.389784584067456</v>
      </c>
      <c r="AJ229" s="390">
        <f t="shared" si="80"/>
        <v>-2.8825229457993735E-3</v>
      </c>
      <c r="AK229" s="389">
        <f t="shared" si="81"/>
        <v>0.88436153240931836</v>
      </c>
      <c r="AL229" s="131">
        <f t="shared" si="82"/>
        <v>0</v>
      </c>
      <c r="AM229" s="131">
        <f t="shared" si="83"/>
        <v>0</v>
      </c>
      <c r="AN229" s="131">
        <f t="shared" si="84"/>
        <v>0</v>
      </c>
      <c r="AO229" s="131">
        <f t="shared" si="85"/>
        <v>-29.389784584067456</v>
      </c>
      <c r="AP229" s="26" t="str">
        <f t="shared" si="86"/>
        <v>40-49</v>
      </c>
      <c r="AQ229" s="26" t="str">
        <f t="shared" si="87"/>
        <v>Up to 250k</v>
      </c>
      <c r="AR229" s="26" t="str">
        <f>IF($T229=1,IF($AI229&lt;0,"Loss-making",IF($AJ229&lt;Assumptions!$C$16-0.00001,"Below target","At/above target")),"Excluded")</f>
        <v>Loss-making</v>
      </c>
      <c r="AS229" s="103">
        <f t="shared" si="88"/>
        <v>-29.389555584067455</v>
      </c>
      <c r="AT229" s="26"/>
      <c r="AU229" s="419">
        <f>IF(AND($T229=1,AU$5&lt;=$H229),INDEX(Mortality!$B$4:$E$64,MATCH($D229+AU$5-1,Mortality!$A$4:$A$64,0),$U229)*$V229*$N229,0)</f>
        <v>1.4902939379366699E-3</v>
      </c>
      <c r="AV229" s="93">
        <f>IF(AND($T229=1,AV$5&lt;=$H229),INDEX(Mortality!$B$4:$E$64,MATCH($D229+AV$5-1,Mortality!$A$4:$A$64,0),$U229)*$V229*$N229,0)</f>
        <v>1.6144161500011799E-3</v>
      </c>
      <c r="AW229" s="93">
        <f>IF(AND($T229=1,AW$5&lt;=$H229),INDEX(Mortality!$B$4:$E$64,MATCH($D229+AW$5-1,Mortality!$A$4:$A$64,0),$U229)*$V229*$N229,0)</f>
        <v>1.74887613714188E-3</v>
      </c>
      <c r="AX229" s="93">
        <f>IF(AND($T229=1,AX$5&lt;=$H229),INDEX(Mortality!$B$4:$E$64,MATCH($D229+AX$5-1,Mortality!$A$4:$A$64,0),$U229)*$V229*$N229,0)</f>
        <v>1.89453490233113E-3</v>
      </c>
      <c r="AY229" s="93">
        <f>IF(AND($T229=1,AY$5&lt;=$H229),INDEX(Mortality!$B$4:$E$64,MATCH($D229+AY$5-1,Mortality!$A$4:$A$64,0),$U229)*$V229*$N229,0)</f>
        <v>2.05232515895416E-3</v>
      </c>
      <c r="AZ229" s="93">
        <f>IF(AND($T229=1,AZ$5&lt;=$H229),INDEX(Mortality!$B$4:$E$64,MATCH($D229+AZ$5-1,Mortality!$A$4:$A$64,0),$U229)*$V229*$N229,0)</f>
        <v>2.22325730335899E-3</v>
      </c>
      <c r="BA229" s="93">
        <f>IF(AND($T229=1,BA$5&lt;=$H229),INDEX(Mortality!$B$4:$E$64,MATCH($D229+BA$5-1,Mortality!$A$4:$A$64,0),$U229)*$V229*$N229,0)</f>
        <v>2.4084258848427E-3</v>
      </c>
      <c r="BB229" s="93">
        <f>IF(AND($T229=1,BB$5&lt;=$H229),INDEX(Mortality!$B$4:$E$64,MATCH($D229+BB$5-1,Mortality!$A$4:$A$64,0),$U229)*$V229*$N229,0)</f>
        <v>2.6090166145037101E-3</v>
      </c>
      <c r="BC229" s="93">
        <f>IF(AND($T229=1,BC$5&lt;=$H229),INDEX(Mortality!$B$4:$E$64,MATCH($D229+BC$5-1,Mortality!$A$4:$A$64,0),$U229)*$V229*$N229,0)</f>
        <v>2.8263139578409702E-3</v>
      </c>
      <c r="BD229" s="93">
        <f>IF(AND($T229=1,BD$5&lt;=$H229),INDEX(Mortality!$B$4:$E$64,MATCH($D229+BD$5-1,Mortality!$A$4:$A$64,0),$U229)*$V229*$N229,0)</f>
        <v>3.0617093597183598E-3</v>
      </c>
      <c r="BE229" s="93">
        <f>IF(AND($T229=1,BE$5&lt;=$H229),INDEX(Mortality!$B$4:$E$64,MATCH($D229+BE$5-1,Mortality!$A$4:$A$64,0),$U229)*$V229*$N229,0)</f>
        <v>3.31671015436227E-3</v>
      </c>
      <c r="BF229" s="93">
        <f>IF(AND($T229=1,BF$5&lt;=$H229),INDEX(Mortality!$B$4:$E$64,MATCH($D229+BF$5-1,Mortality!$A$4:$A$64,0),$U229)*$V229*$N229,0)</f>
        <v>3.5929492174468702E-3</v>
      </c>
      <c r="BG229" s="93">
        <f>IF(AND($T229=1,BG$5&lt;=$H229),INDEX(Mortality!$B$4:$E$64,MATCH($D229+BG$5-1,Mortality!$A$4:$A$64,0),$U229)*$V229*$N229,0)</f>
        <v>3.8921954220730499E-3</v>
      </c>
      <c r="BH229" s="93">
        <f>IF(AND($T229=1,BH$5&lt;=$H229),INDEX(Mortality!$B$4:$E$64,MATCH($D229+BH$5-1,Mortality!$A$4:$A$64,0),$U229)*$V229*$N229,0)</f>
        <v>4.2163649655954103E-3</v>
      </c>
      <c r="BI229" s="93">
        <f>IF(AND($T229=1,BI$5&lt;=$H229),INDEX(Mortality!$B$4:$E$64,MATCH($D229+BI$5-1,Mortality!$A$4:$A$64,0),$U229)*$V229*$N229,0)</f>
        <v>4.5675336398272801E-3</v>
      </c>
      <c r="BJ229" s="93">
        <f>IF(AND($T229=1,BJ$5&lt;=$H229),INDEX(Mortality!$B$4:$E$64,MATCH($D229+BJ$5-1,Mortality!$A$4:$A$64,0),$U229)*$V229*$N229,0)</f>
        <v>4.9479501231952296E-3</v>
      </c>
      <c r="BK229" s="93">
        <f>IF(AND($T229=1,BK$5&lt;=$H229),INDEX(Mortality!$B$4:$E$64,MATCH($D229+BK$5-1,Mortality!$A$4:$A$64,0),$U229)*$V229*$N229,0)</f>
        <v>5.36005037995811E-3</v>
      </c>
      <c r="BL229" s="93">
        <f>IF(AND($T229=1,BL$5&lt;=$H229),INDEX(Mortality!$B$4:$E$64,MATCH($D229+BL$5-1,Mortality!$A$4:$A$64,0),$U229)*$V229*$N229,0)</f>
        <v>5.8064732586948697E-3</v>
      </c>
      <c r="BM229" s="93">
        <f>IF(AND($T229=1,BM$5&lt;=$H229),INDEX(Mortality!$B$4:$E$64,MATCH($D229+BM$5-1,Mortality!$A$4:$A$64,0),$U229)*$V229*$N229,0)</f>
        <v>6.2900773899446198E-3</v>
      </c>
      <c r="BN229" s="93">
        <f>IF(AND($T229=1,BN$5&lt;=$H229),INDEX(Mortality!$B$4:$E$64,MATCH($D229+BN$5-1,Mortality!$A$4:$A$64,0),$U229)*$V229*$N229,0)</f>
        <v>6.8139594912016701E-3</v>
      </c>
      <c r="BO229" s="93">
        <f>IF(AND($T229=1,BO$5&lt;=$H229),INDEX(Mortality!$B$4:$E$64,MATCH($D229+BO$5-1,Mortality!$A$4:$A$64,0),$U229)*$V229*$N229,0)</f>
        <v>0</v>
      </c>
      <c r="BP229" s="93">
        <f>IF(AND($T229=1,BP$5&lt;=$H229),INDEX(Mortality!$B$4:$E$64,MATCH($D229+BP$5-1,Mortality!$A$4:$A$64,0),$U229)*$V229*$N229,0)</f>
        <v>0</v>
      </c>
      <c r="BQ229" s="93">
        <f>IF(AND($T229=1,BQ$5&lt;=$H229),INDEX(Mortality!$B$4:$E$64,MATCH($D229+BQ$5-1,Mortality!$A$4:$A$64,0),$U229)*$V229*$N229,0)</f>
        <v>0</v>
      </c>
      <c r="BR229" s="93">
        <f>IF(AND($T229=1,BR$5&lt;=$H229),INDEX(Mortality!$B$4:$E$64,MATCH($D229+BR$5-1,Mortality!$A$4:$A$64,0),$U229)*$V229*$N229,0)</f>
        <v>0</v>
      </c>
      <c r="BS229" s="93">
        <f>IF(AND($T229=1,BS$5&lt;=$H229),INDEX(Mortality!$B$4:$E$64,MATCH($D229+BS$5-1,Mortality!$A$4:$A$64,0),$U229)*$V229*$N229,0)</f>
        <v>0</v>
      </c>
      <c r="BT229" s="93">
        <f>IF(AND($T229=1,BT$5&lt;=$H229),INDEX(Mortality!$B$4:$E$64,MATCH($D229+BT$5-1,Mortality!$A$4:$A$64,0),$U229)*$V229*$N229,0)</f>
        <v>0</v>
      </c>
      <c r="BU229" s="93">
        <f>IF(AND($T229=1,BU$5&lt;=$H229),INDEX(Mortality!$B$4:$E$64,MATCH($D229+BU$5-1,Mortality!$A$4:$A$64,0),$U229)*$V229*$N229,0)</f>
        <v>0</v>
      </c>
      <c r="BV229" s="93">
        <f>IF(AND($T229=1,BV$5&lt;=$H229),INDEX(Mortality!$B$4:$E$64,MATCH($D229+BV$5-1,Mortality!$A$4:$A$64,0),$U229)*$V229*$N229,0)</f>
        <v>0</v>
      </c>
      <c r="BW229" s="93">
        <f>IF(AND($T229=1,BW$5&lt;=$H229),INDEX(Mortality!$B$4:$E$64,MATCH($D229+BW$5-1,Mortality!$A$4:$A$64,0),$U229)*$V229*$N229,0)</f>
        <v>0</v>
      </c>
      <c r="BX229" s="93">
        <f>IF(AND($T229=1,BX$5&lt;=$H229),INDEX(Mortality!$B$4:$E$64,MATCH($D229+BX$5-1,Mortality!$A$4:$A$64,0),$U229)*$V229*$N229,0)</f>
        <v>0</v>
      </c>
      <c r="BY229" s="93">
        <f>IF(AND($T229=1,BY$5&lt;=$H229),INDEX(Mortality!$B$4:$E$64,MATCH($D229+BY$5-1,Mortality!$A$4:$A$64,0),$U229)*$V229*$N229,0)</f>
        <v>0</v>
      </c>
      <c r="BZ229" s="93">
        <f>IF(AND($T229=1,BZ$5&lt;=$H229),INDEX(Mortality!$B$4:$E$64,MATCH($D229+BZ$5-1,Mortality!$A$4:$A$64,0),$U229)*$V229*$N229,0)</f>
        <v>0</v>
      </c>
      <c r="CA229" s="93">
        <f>IF(AND($T229=1,CA$5&lt;=$H229),INDEX(Mortality!$B$4:$E$64,MATCH($D229+CA$5-1,Mortality!$A$4:$A$64,0),$U229)*$V229*$N229,0)</f>
        <v>0</v>
      </c>
      <c r="CB229" s="93">
        <f>IF(AND($T229=1,CB$5&lt;=$H229),INDEX(Mortality!$B$4:$E$64,MATCH($D229+CB$5-1,Mortality!$A$4:$A$64,0),$U229)*$V229*$N229,0)</f>
        <v>0</v>
      </c>
      <c r="CC229" s="93">
        <f>IF(AND($T229=1,CC$5&lt;=$H229),INDEX(Mortality!$B$4:$E$64,MATCH($D229+CC$5-1,Mortality!$A$4:$A$64,0),$U229)*$V229*$N229,0)</f>
        <v>0</v>
      </c>
      <c r="CD229" s="93">
        <f>IF(AND($T229=1,CD$5&lt;=$H229),INDEX(Mortality!$B$4:$E$64,MATCH($D229+CD$5-1,Mortality!$A$4:$A$64,0),$U229)*$V229*$N229,0)</f>
        <v>0</v>
      </c>
      <c r="CE229" s="93">
        <f>IF(AND($T229=1,CE$5&lt;=$H229),INDEX(Mortality!$B$4:$E$64,MATCH($D229+CE$5-1,Mortality!$A$4:$A$64,0),$U229)*$V229*$N229,0)</f>
        <v>0</v>
      </c>
      <c r="CF229" s="93">
        <f>IF(AND($T229=1,CF$5&lt;=$H229),INDEX(Mortality!$B$4:$E$64,MATCH($D229+CF$5-1,Mortality!$A$4:$A$64,0),$U229)*$V229*$N229,0)</f>
        <v>0</v>
      </c>
      <c r="CG229" s="93">
        <f>IF(AND($T229=1,CG$5&lt;=$H229),INDEX(Mortality!$B$4:$E$64,MATCH($D229+CG$5-1,Mortality!$A$4:$A$64,0),$U229)*$V229*$N229,0)</f>
        <v>0</v>
      </c>
      <c r="CH229" s="94">
        <f>IF(AND($T229=1,CH$5&lt;=$H229),INDEX(Mortality!$B$4:$E$64,MATCH($D229+CH$5-1,Mortality!$A$4:$A$64,0),$U229)*$V229*$N229,0)</f>
        <v>0</v>
      </c>
      <c r="CI229" s="26"/>
      <c r="CJ229" s="419">
        <f t="shared" si="89"/>
        <v>1</v>
      </c>
      <c r="CK229" s="93">
        <f>IF(AND($T229=1,CK$5&lt;=$H229),CJ229*(1-AU229)*(1-MIN(1,MAX(Assumptions!$C$27,Assumptions!$C$13*Assumptions!$C$28^(CJ$5-1))*$O229)),0)</f>
        <v>0.87868854133461571</v>
      </c>
      <c r="CL229" s="93">
        <f>IF(AND($T229=1,CL$5&lt;=$H229),CK229*(1-AV229)*(1-MIN(1,MAX(Assumptions!$C$27,Assumptions!$C$13*Assumptions!$C$28^(CK$5-1))*$O229)),0)</f>
        <v>0.78778843518167241</v>
      </c>
      <c r="CM229" s="93">
        <f>IF(AND($T229=1,CM$5&lt;=$H229),CL229*(1-AW229)*(1-MIN(1,MAX(Assumptions!$C$27,Assumptions!$C$13*Assumptions!$C$28^(CL$5-1))*$O229)),0)</f>
        <v>0.71822888389509743</v>
      </c>
      <c r="CN229" s="93">
        <f>IF(AND($T229=1,CN$5&lt;=$H229),CM229*(1-AX229)*(1-MIN(1,MAX(Assumptions!$C$27,Assumptions!$C$13*Assumptions!$C$28^(CM$5-1))*$O229)),0)</f>
        <v>0.6640385741085334</v>
      </c>
      <c r="CO229" s="93">
        <f>IF(AND($T229=1,CO$5&lt;=$H229),CN229*(1-AY229)*(1-MIN(1,MAX(Assumptions!$C$27,Assumptions!$C$13*Assumptions!$C$28^(CN$5-1))*$O229)),0)</f>
        <v>0.62116524498464265</v>
      </c>
      <c r="CP229" s="93">
        <f>IF(AND($T229=1,CP$5&lt;=$H229),CO229*(1-AZ229)*(1-MIN(1,MAX(Assumptions!$C$27,Assumptions!$C$13*Assumptions!$C$28^(CO$5-1))*$O229)),0)</f>
        <v>0.5867840479060844</v>
      </c>
      <c r="CQ229" s="93">
        <f>IF(AND($T229=1,CQ$5&lt;=$H229),CP229*(1-BA229)*(1-MIN(1,MAX(Assumptions!$C$27,Assumptions!$C$13*Assumptions!$C$28^(CP$5-1))*$O229)),0)</f>
        <v>0.55887814337816022</v>
      </c>
      <c r="CR229" s="93">
        <f>IF(AND($T229=1,CR$5&lt;=$H229),CQ229*(1-BB229)*(1-MIN(1,MAX(Assumptions!$C$27,Assumptions!$C$13*Assumptions!$C$28^(CQ$5-1))*$O229)),0)</f>
        <v>0.53597649054214247</v>
      </c>
      <c r="CS229" s="93">
        <f>IF(AND($T229=1,CS$5&lt;=$H229),CR229*(1-BC229)*(1-MIN(1,MAX(Assumptions!$C$27,Assumptions!$C$13*Assumptions!$C$28^(CR$5-1))*$O229)),0)</f>
        <v>0.5169853643427611</v>
      </c>
      <c r="CT229" s="93">
        <f>IF(AND($T229=1,CT$5&lt;=$H229),CS229*(1-BD229)*(1-MIN(1,MAX(Assumptions!$C$27,Assumptions!$C$13*Assumptions!$C$28^(CS$5-1))*$O229)),0)</f>
        <v>0.50107739088463343</v>
      </c>
      <c r="CU229" s="93">
        <f>IF(AND($T229=1,CU$5&lt;=$H229),CT229*(1-BE229)*(1-MIN(1,MAX(Assumptions!$C$27,Assumptions!$C$13*Assumptions!$C$28^(CT$5-1))*$O229)),0)</f>
        <v>0.4876168078124048</v>
      </c>
      <c r="CV229" s="93">
        <f>IF(AND($T229=1,CV$5&lt;=$H229),CU229*(1-BF229)*(1-MIN(1,MAX(Assumptions!$C$27,Assumptions!$C$13*Assumptions!$C$28^(CU$5-1))*$O229)),0)</f>
        <v>0.47610808187942044</v>
      </c>
      <c r="CW229" s="93">
        <f>IF(AND($T229=1,CW$5&lt;=$H229),CV229*(1-BG229)*(1-MIN(1,MAX(Assumptions!$C$27,Assumptions!$C$13*Assumptions!$C$28^(CV$5-1))*$O229)),0)</f>
        <v>0.464769876659063</v>
      </c>
      <c r="CX229" s="93">
        <f>IF(AND($T229=1,CX$5&lt;=$H229),CW229*(1-BH229)*(1-MIN(1,MAX(Assumptions!$C$27,Assumptions!$C$13*Assumptions!$C$28^(CW$5-1))*$O229)),0)</f>
        <v>0.45355403248937254</v>
      </c>
      <c r="CY229" s="93">
        <f>IF(AND($T229=1,CY$5&lt;=$H229),CX229*(1-BI229)*(1-MIN(1,MAX(Assumptions!$C$27,Assumptions!$C$13*Assumptions!$C$28^(CX$5-1))*$O229)),0)</f>
        <v>0.44245276100472808</v>
      </c>
      <c r="CZ229" s="93">
        <f>IF(AND($T229=1,CZ$5&lt;=$H229),CY229*(1-BJ229)*(1-MIN(1,MAX(Assumptions!$C$27,Assumptions!$C$13*Assumptions!$C$28^(CY$5-1))*$O229)),0)</f>
        <v>0.43145825627517848</v>
      </c>
      <c r="DA229" s="93">
        <f>IF(AND($T229=1,DA$5&lt;=$H229),CZ229*(1-BK229)*(1-MIN(1,MAX(Assumptions!$C$27,Assumptions!$C$13*Assumptions!$C$28^(CZ$5-1))*$O229)),0)</f>
        <v>0.42056270591900069</v>
      </c>
      <c r="DB229" s="93">
        <f>IF(AND($T229=1,DB$5&lt;=$H229),DA229*(1-BL229)*(1-MIN(1,MAX(Assumptions!$C$27,Assumptions!$C$13*Assumptions!$C$28^(DA$5-1))*$O229)),0)</f>
        <v>0.40975830541720809</v>
      </c>
      <c r="DC229" s="93">
        <f>IF(AND($T229=1,DC$5&lt;=$H229),DB229*(1-BM229)*(1-MIN(1,MAX(Assumptions!$C$27,Assumptions!$C$13*Assumptions!$C$28^(DB$5-1))*$O229)),0)</f>
        <v>0.39903727608566208</v>
      </c>
      <c r="DD229" s="93">
        <f>IF(AND($T229=1,DD$5&lt;=$H229),DC229*(1-BN229)*(1-MIN(1,MAX(Assumptions!$C$27,Assumptions!$C$13*Assumptions!$C$28^(DC$5-1))*$O229)),0)</f>
        <v>0</v>
      </c>
      <c r="DE229" s="93">
        <f>IF(AND($T229=1,DE$5&lt;=$H229),DD229*(1-BO229)*(1-MIN(1,MAX(Assumptions!$C$27,Assumptions!$C$13*Assumptions!$C$28^(DD$5-1))*$O229)),0)</f>
        <v>0</v>
      </c>
      <c r="DF229" s="93">
        <f>IF(AND($T229=1,DF$5&lt;=$H229),DE229*(1-BP229)*(1-MIN(1,MAX(Assumptions!$C$27,Assumptions!$C$13*Assumptions!$C$28^(DE$5-1))*$O229)),0)</f>
        <v>0</v>
      </c>
      <c r="DG229" s="93">
        <f>IF(AND($T229=1,DG$5&lt;=$H229),DF229*(1-BQ229)*(1-MIN(1,MAX(Assumptions!$C$27,Assumptions!$C$13*Assumptions!$C$28^(DF$5-1))*$O229)),0)</f>
        <v>0</v>
      </c>
      <c r="DH229" s="93">
        <f>IF(AND($T229=1,DH$5&lt;=$H229),DG229*(1-BR229)*(1-MIN(1,MAX(Assumptions!$C$27,Assumptions!$C$13*Assumptions!$C$28^(DG$5-1))*$O229)),0)</f>
        <v>0</v>
      </c>
      <c r="DI229" s="93">
        <f>IF(AND($T229=1,DI$5&lt;=$H229),DH229*(1-BS229)*(1-MIN(1,MAX(Assumptions!$C$27,Assumptions!$C$13*Assumptions!$C$28^(DH$5-1))*$O229)),0)</f>
        <v>0</v>
      </c>
      <c r="DJ229" s="93">
        <f>IF(AND($T229=1,DJ$5&lt;=$H229),DI229*(1-BT229)*(1-MIN(1,MAX(Assumptions!$C$27,Assumptions!$C$13*Assumptions!$C$28^(DI$5-1))*$O229)),0)</f>
        <v>0</v>
      </c>
      <c r="DK229" s="93">
        <f>IF(AND($T229=1,DK$5&lt;=$H229),DJ229*(1-BU229)*(1-MIN(1,MAX(Assumptions!$C$27,Assumptions!$C$13*Assumptions!$C$28^(DJ$5-1))*$O229)),0)</f>
        <v>0</v>
      </c>
      <c r="DL229" s="93">
        <f>IF(AND($T229=1,DL$5&lt;=$H229),DK229*(1-BV229)*(1-MIN(1,MAX(Assumptions!$C$27,Assumptions!$C$13*Assumptions!$C$28^(DK$5-1))*$O229)),0)</f>
        <v>0</v>
      </c>
      <c r="DM229" s="93">
        <f>IF(AND($T229=1,DM$5&lt;=$H229),DL229*(1-BW229)*(1-MIN(1,MAX(Assumptions!$C$27,Assumptions!$C$13*Assumptions!$C$28^(DL$5-1))*$O229)),0)</f>
        <v>0</v>
      </c>
      <c r="DN229" s="93">
        <f>IF(AND($T229=1,DN$5&lt;=$H229),DM229*(1-BX229)*(1-MIN(1,MAX(Assumptions!$C$27,Assumptions!$C$13*Assumptions!$C$28^(DM$5-1))*$O229)),0)</f>
        <v>0</v>
      </c>
      <c r="DO229" s="93">
        <f>IF(AND($T229=1,DO$5&lt;=$H229),DN229*(1-BY229)*(1-MIN(1,MAX(Assumptions!$C$27,Assumptions!$C$13*Assumptions!$C$28^(DN$5-1))*$O229)),0)</f>
        <v>0</v>
      </c>
      <c r="DP229" s="93">
        <f>IF(AND($T229=1,DP$5&lt;=$H229),DO229*(1-BZ229)*(1-MIN(1,MAX(Assumptions!$C$27,Assumptions!$C$13*Assumptions!$C$28^(DO$5-1))*$O229)),0)</f>
        <v>0</v>
      </c>
      <c r="DQ229" s="93">
        <f>IF(AND($T229=1,DQ$5&lt;=$H229),DP229*(1-CA229)*(1-MIN(1,MAX(Assumptions!$C$27,Assumptions!$C$13*Assumptions!$C$28^(DP$5-1))*$O229)),0)</f>
        <v>0</v>
      </c>
      <c r="DR229" s="93">
        <f>IF(AND($T229=1,DR$5&lt;=$H229),DQ229*(1-CB229)*(1-MIN(1,MAX(Assumptions!$C$27,Assumptions!$C$13*Assumptions!$C$28^(DQ$5-1))*$O229)),0)</f>
        <v>0</v>
      </c>
      <c r="DS229" s="93">
        <f>IF(AND($T229=1,DS$5&lt;=$H229),DR229*(1-CC229)*(1-MIN(1,MAX(Assumptions!$C$27,Assumptions!$C$13*Assumptions!$C$28^(DR$5-1))*$O229)),0)</f>
        <v>0</v>
      </c>
      <c r="DT229" s="93">
        <f>IF(AND($T229=1,DT$5&lt;=$H229),DS229*(1-CD229)*(1-MIN(1,MAX(Assumptions!$C$27,Assumptions!$C$13*Assumptions!$C$28^(DS$5-1))*$O229)),0)</f>
        <v>0</v>
      </c>
      <c r="DU229" s="93">
        <f>IF(AND($T229=1,DU$5&lt;=$H229),DT229*(1-CE229)*(1-MIN(1,MAX(Assumptions!$C$27,Assumptions!$C$13*Assumptions!$C$28^(DT$5-1))*$O229)),0)</f>
        <v>0</v>
      </c>
      <c r="DV229" s="93">
        <f>IF(AND($T229=1,DV$5&lt;=$H229),DU229*(1-CF229)*(1-MIN(1,MAX(Assumptions!$C$27,Assumptions!$C$13*Assumptions!$C$28^(DU$5-1))*$O229)),0)</f>
        <v>0</v>
      </c>
      <c r="DW229" s="94">
        <f>IF(AND($T229=1,DW$5&lt;=$H229),DV229*(1-CG229)*(1-MIN(1,MAX(Assumptions!$C$27,Assumptions!$C$13*Assumptions!$C$28^(DV$5-1))*$O229)),0)</f>
        <v>0</v>
      </c>
      <c r="DX229" s="26"/>
      <c r="DY229" s="399">
        <f>'Policy Data'!K203</f>
        <v>2</v>
      </c>
      <c r="DZ229" s="100">
        <f>'Policy Data'!L203</f>
        <v>0.95279999999999998</v>
      </c>
      <c r="EA229" s="100">
        <f>'Policy Data'!N203</f>
        <v>1.42E-3</v>
      </c>
      <c r="EB229" s="93" cm="1">
        <f t="array" ref="EB229">IFERROR(DZ229*INDEX(Mortality!$B$4:$E$64,MATCH(D229+DY229-1,Mortality!$A$4:$A$64,0),U229)*V229,0)</f>
        <v>1.5382157077211242E-3</v>
      </c>
      <c r="EC229" s="100">
        <f>'Policy Data'!O203</f>
        <v>0</v>
      </c>
      <c r="ED229" s="400">
        <f>'Policy Data'!Q203</f>
        <v>0</v>
      </c>
    </row>
    <row r="230" spans="1:134" x14ac:dyDescent="0.3">
      <c r="A230" s="399" t="str">
        <f>'Policy Data'!A204</f>
        <v>POL100200</v>
      </c>
      <c r="B230" s="26" t="s">
        <v>426</v>
      </c>
      <c r="C230" s="100" t="str">
        <f>'Policy Data'!B204</f>
        <v>Unit-Linked</v>
      </c>
      <c r="D230" s="100">
        <f>'Policy Data'!C204</f>
        <v>47</v>
      </c>
      <c r="E230" s="100" t="str">
        <f>'Policy Data'!D204</f>
        <v>Male</v>
      </c>
      <c r="F230" s="100" t="str">
        <f>'Policy Data'!E204</f>
        <v>Non-smoker</v>
      </c>
      <c r="G230" s="100" t="str">
        <f>'Policy Data'!F204</f>
        <v>Preferred</v>
      </c>
      <c r="H230" s="100">
        <f>'Policy Data'!G204</f>
        <v>25</v>
      </c>
      <c r="I230" s="279">
        <f>'Policy Data'!H204</f>
        <v>2000000</v>
      </c>
      <c r="J230" s="100" t="str">
        <f>'Policy Data'!I204</f>
        <v>Monthly</v>
      </c>
      <c r="K230" s="100" t="str">
        <f>'Policy Data'!J204</f>
        <v>Direct</v>
      </c>
      <c r="L230" s="26" t="s">
        <v>389</v>
      </c>
      <c r="M230" s="106">
        <f>'Policy Data'!R204</f>
        <v>11047.35</v>
      </c>
      <c r="N230" s="415">
        <f>Assumptions!$C$21</f>
        <v>1</v>
      </c>
      <c r="O230" s="415">
        <f>Assumptions!$C$22</f>
        <v>1</v>
      </c>
      <c r="P230" s="415">
        <f>Assumptions!$C$23</f>
        <v>1</v>
      </c>
      <c r="Q230" s="416">
        <f>Assumptions!$C$24</f>
        <v>0</v>
      </c>
      <c r="R230" s="416">
        <f>Assumptions!$C$6+Assumptions!$C$25</f>
        <v>3.5000000000000003E-2</v>
      </c>
      <c r="S230" s="416">
        <f>Assumptions!$C$15</f>
        <v>1.1000000000000001E-3</v>
      </c>
      <c r="T230" s="26">
        <f t="shared" si="72"/>
        <v>0</v>
      </c>
      <c r="U230" s="26">
        <f t="shared" si="73"/>
        <v>3</v>
      </c>
      <c r="V230" s="389">
        <f>IF($G230="Preferred",Assumptions!$C$30,IF($G230="Rated",Assumptions!$C$31,1))</f>
        <v>0.8</v>
      </c>
      <c r="W230" s="390">
        <f>IF($K230="Direct",Assumptions!$C$32,IF($K230="Broker",Assumptions!$C$33,IF($K230="Bancassurance",Assumptions!$C$34,Assumptions!$C$11)))+$Q230</f>
        <v>0.1</v>
      </c>
      <c r="X230" s="390">
        <f>Assumptions!$C$12+$Q230</f>
        <v>0.05</v>
      </c>
      <c r="Y230" s="131">
        <f>MIN($I230,Assumptions!$C$14)</f>
        <v>500000</v>
      </c>
      <c r="Z230" s="131">
        <f>MAX($I230-Assumptions!$C$14,0)</f>
        <v>1500000</v>
      </c>
      <c r="AA230" s="389">
        <f t="shared" si="74"/>
        <v>0</v>
      </c>
      <c r="AB230" s="389">
        <f t="shared" si="75"/>
        <v>0</v>
      </c>
      <c r="AC230" s="389">
        <f>IF($T230=1,SUMPRODUCT($CJ230:$DW230,(1+Assumptions!$C$5)^($CJ$5:$DW$5-1),(1+$R230)^(-$CJ$5:$DW$5)),0)</f>
        <v>0</v>
      </c>
      <c r="AD230" s="389">
        <f t="shared" si="76"/>
        <v>0</v>
      </c>
      <c r="AE230" s="131">
        <f>IF($T230=1,$AB230*$Y230+(Assumptions!$C$9/(1+$R230)+Assumptions!$C$10*$AC230)*$P230+$S230*$Z230*$AA230,0)</f>
        <v>0</v>
      </c>
      <c r="AF230" s="131" t="str">
        <f>IF($T230=1,IF($AA230-$AD230-Assumptions!$C$16*$AA230&gt;0,$AE230/($AA230-$AD230-Assumptions!$C$16*$AA230)*IF($J230="Monthly",1+Assumptions!$C$29,1),"n.a."),"")</f>
        <v/>
      </c>
      <c r="AG230" s="131" t="str">
        <f t="shared" si="77"/>
        <v/>
      </c>
      <c r="AH230" s="131" t="str">
        <f t="shared" si="78"/>
        <v/>
      </c>
      <c r="AI230" s="131" t="str">
        <f t="shared" si="79"/>
        <v/>
      </c>
      <c r="AJ230" s="390" t="str">
        <f t="shared" si="80"/>
        <v/>
      </c>
      <c r="AK230" s="389" t="str">
        <f t="shared" si="81"/>
        <v/>
      </c>
      <c r="AL230" s="131" t="str">
        <f t="shared" si="82"/>
        <v/>
      </c>
      <c r="AM230" s="131" t="str">
        <f t="shared" si="83"/>
        <v/>
      </c>
      <c r="AN230" s="131" t="str">
        <f t="shared" si="84"/>
        <v/>
      </c>
      <c r="AO230" s="131" t="str">
        <f t="shared" si="85"/>
        <v/>
      </c>
      <c r="AP230" s="26" t="str">
        <f t="shared" si="86"/>
        <v>40-49</v>
      </c>
      <c r="AQ230" s="26" t="str">
        <f t="shared" si="87"/>
        <v>Over 1m</v>
      </c>
      <c r="AR230" s="26" t="str">
        <f>IF($T230=1,IF($AI230&lt;0,"Loss-making",IF($AJ230&lt;Assumptions!$C$16-0.00001,"Below target","At/above target")),"Excluded")</f>
        <v>Excluded</v>
      </c>
      <c r="AS230" s="103">
        <f t="shared" si="88"/>
        <v>9.9999999999999997E+98</v>
      </c>
      <c r="AT230" s="26"/>
      <c r="AU230" s="419">
        <f>IF(AND($T230=1,AU$5&lt;=$H230),INDEX(Mortality!$B$4:$E$64,MATCH($D230+AU$5-1,Mortality!$A$4:$A$64,0),$U230)*$V230*$N230,0)</f>
        <v>0</v>
      </c>
      <c r="AV230" s="93">
        <f>IF(AND($T230=1,AV$5&lt;=$H230),INDEX(Mortality!$B$4:$E$64,MATCH($D230+AV$5-1,Mortality!$A$4:$A$64,0),$U230)*$V230*$N230,0)</f>
        <v>0</v>
      </c>
      <c r="AW230" s="93">
        <f>IF(AND($T230=1,AW$5&lt;=$H230),INDEX(Mortality!$B$4:$E$64,MATCH($D230+AW$5-1,Mortality!$A$4:$A$64,0),$U230)*$V230*$N230,0)</f>
        <v>0</v>
      </c>
      <c r="AX230" s="93">
        <f>IF(AND($T230=1,AX$5&lt;=$H230),INDEX(Mortality!$B$4:$E$64,MATCH($D230+AX$5-1,Mortality!$A$4:$A$64,0),$U230)*$V230*$N230,0)</f>
        <v>0</v>
      </c>
      <c r="AY230" s="93">
        <f>IF(AND($T230=1,AY$5&lt;=$H230),INDEX(Mortality!$B$4:$E$64,MATCH($D230+AY$5-1,Mortality!$A$4:$A$64,0),$U230)*$V230*$N230,0)</f>
        <v>0</v>
      </c>
      <c r="AZ230" s="93">
        <f>IF(AND($T230=1,AZ$5&lt;=$H230),INDEX(Mortality!$B$4:$E$64,MATCH($D230+AZ$5-1,Mortality!$A$4:$A$64,0),$U230)*$V230*$N230,0)</f>
        <v>0</v>
      </c>
      <c r="BA230" s="93">
        <f>IF(AND($T230=1,BA$5&lt;=$H230),INDEX(Mortality!$B$4:$E$64,MATCH($D230+BA$5-1,Mortality!$A$4:$A$64,0),$U230)*$V230*$N230,0)</f>
        <v>0</v>
      </c>
      <c r="BB230" s="93">
        <f>IF(AND($T230=1,BB$5&lt;=$H230),INDEX(Mortality!$B$4:$E$64,MATCH($D230+BB$5-1,Mortality!$A$4:$A$64,0),$U230)*$V230*$N230,0)</f>
        <v>0</v>
      </c>
      <c r="BC230" s="93">
        <f>IF(AND($T230=1,BC$5&lt;=$H230),INDEX(Mortality!$B$4:$E$64,MATCH($D230+BC$5-1,Mortality!$A$4:$A$64,0),$U230)*$V230*$N230,0)</f>
        <v>0</v>
      </c>
      <c r="BD230" s="93">
        <f>IF(AND($T230=1,BD$5&lt;=$H230),INDEX(Mortality!$B$4:$E$64,MATCH($D230+BD$5-1,Mortality!$A$4:$A$64,0),$U230)*$V230*$N230,0)</f>
        <v>0</v>
      </c>
      <c r="BE230" s="93">
        <f>IF(AND($T230=1,BE$5&lt;=$H230),INDEX(Mortality!$B$4:$E$64,MATCH($D230+BE$5-1,Mortality!$A$4:$A$64,0),$U230)*$V230*$N230,0)</f>
        <v>0</v>
      </c>
      <c r="BF230" s="93">
        <f>IF(AND($T230=1,BF$5&lt;=$H230),INDEX(Mortality!$B$4:$E$64,MATCH($D230+BF$5-1,Mortality!$A$4:$A$64,0),$U230)*$V230*$N230,0)</f>
        <v>0</v>
      </c>
      <c r="BG230" s="93">
        <f>IF(AND($T230=1,BG$5&lt;=$H230),INDEX(Mortality!$B$4:$E$64,MATCH($D230+BG$5-1,Mortality!$A$4:$A$64,0),$U230)*$V230*$N230,0)</f>
        <v>0</v>
      </c>
      <c r="BH230" s="93">
        <f>IF(AND($T230=1,BH$5&lt;=$H230),INDEX(Mortality!$B$4:$E$64,MATCH($D230+BH$5-1,Mortality!$A$4:$A$64,0),$U230)*$V230*$N230,0)</f>
        <v>0</v>
      </c>
      <c r="BI230" s="93">
        <f>IF(AND($T230=1,BI$5&lt;=$H230),INDEX(Mortality!$B$4:$E$64,MATCH($D230+BI$5-1,Mortality!$A$4:$A$64,0),$U230)*$V230*$N230,0)</f>
        <v>0</v>
      </c>
      <c r="BJ230" s="93">
        <f>IF(AND($T230=1,BJ$5&lt;=$H230),INDEX(Mortality!$B$4:$E$64,MATCH($D230+BJ$5-1,Mortality!$A$4:$A$64,0),$U230)*$V230*$N230,0)</f>
        <v>0</v>
      </c>
      <c r="BK230" s="93">
        <f>IF(AND($T230=1,BK$5&lt;=$H230),INDEX(Mortality!$B$4:$E$64,MATCH($D230+BK$5-1,Mortality!$A$4:$A$64,0),$U230)*$V230*$N230,0)</f>
        <v>0</v>
      </c>
      <c r="BL230" s="93">
        <f>IF(AND($T230=1,BL$5&lt;=$H230),INDEX(Mortality!$B$4:$E$64,MATCH($D230+BL$5-1,Mortality!$A$4:$A$64,0),$U230)*$V230*$N230,0)</f>
        <v>0</v>
      </c>
      <c r="BM230" s="93">
        <f>IF(AND($T230=1,BM$5&lt;=$H230),INDEX(Mortality!$B$4:$E$64,MATCH($D230+BM$5-1,Mortality!$A$4:$A$64,0),$U230)*$V230*$N230,0)</f>
        <v>0</v>
      </c>
      <c r="BN230" s="93">
        <f>IF(AND($T230=1,BN$5&lt;=$H230),INDEX(Mortality!$B$4:$E$64,MATCH($D230+BN$5-1,Mortality!$A$4:$A$64,0),$U230)*$V230*$N230,0)</f>
        <v>0</v>
      </c>
      <c r="BO230" s="93">
        <f>IF(AND($T230=1,BO$5&lt;=$H230),INDEX(Mortality!$B$4:$E$64,MATCH($D230+BO$5-1,Mortality!$A$4:$A$64,0),$U230)*$V230*$N230,0)</f>
        <v>0</v>
      </c>
      <c r="BP230" s="93">
        <f>IF(AND($T230=1,BP$5&lt;=$H230),INDEX(Mortality!$B$4:$E$64,MATCH($D230+BP$5-1,Mortality!$A$4:$A$64,0),$U230)*$V230*$N230,0)</f>
        <v>0</v>
      </c>
      <c r="BQ230" s="93">
        <f>IF(AND($T230=1,BQ$5&lt;=$H230),INDEX(Mortality!$B$4:$E$64,MATCH($D230+BQ$5-1,Mortality!$A$4:$A$64,0),$U230)*$V230*$N230,0)</f>
        <v>0</v>
      </c>
      <c r="BR230" s="93">
        <f>IF(AND($T230=1,BR$5&lt;=$H230),INDEX(Mortality!$B$4:$E$64,MATCH($D230+BR$5-1,Mortality!$A$4:$A$64,0),$U230)*$V230*$N230,0)</f>
        <v>0</v>
      </c>
      <c r="BS230" s="93">
        <f>IF(AND($T230=1,BS$5&lt;=$H230),INDEX(Mortality!$B$4:$E$64,MATCH($D230+BS$5-1,Mortality!$A$4:$A$64,0),$U230)*$V230*$N230,0)</f>
        <v>0</v>
      </c>
      <c r="BT230" s="93">
        <f>IF(AND($T230=1,BT$5&lt;=$H230),INDEX(Mortality!$B$4:$E$64,MATCH($D230+BT$5-1,Mortality!$A$4:$A$64,0),$U230)*$V230*$N230,0)</f>
        <v>0</v>
      </c>
      <c r="BU230" s="93">
        <f>IF(AND($T230=1,BU$5&lt;=$H230),INDEX(Mortality!$B$4:$E$64,MATCH($D230+BU$5-1,Mortality!$A$4:$A$64,0),$U230)*$V230*$N230,0)</f>
        <v>0</v>
      </c>
      <c r="BV230" s="93">
        <f>IF(AND($T230=1,BV$5&lt;=$H230),INDEX(Mortality!$B$4:$E$64,MATCH($D230+BV$5-1,Mortality!$A$4:$A$64,0),$U230)*$V230*$N230,0)</f>
        <v>0</v>
      </c>
      <c r="BW230" s="93">
        <f>IF(AND($T230=1,BW$5&lt;=$H230),INDEX(Mortality!$B$4:$E$64,MATCH($D230+BW$5-1,Mortality!$A$4:$A$64,0),$U230)*$V230*$N230,0)</f>
        <v>0</v>
      </c>
      <c r="BX230" s="93">
        <f>IF(AND($T230=1,BX$5&lt;=$H230),INDEX(Mortality!$B$4:$E$64,MATCH($D230+BX$5-1,Mortality!$A$4:$A$64,0),$U230)*$V230*$N230,0)</f>
        <v>0</v>
      </c>
      <c r="BY230" s="93">
        <f>IF(AND($T230=1,BY$5&lt;=$H230),INDEX(Mortality!$B$4:$E$64,MATCH($D230+BY$5-1,Mortality!$A$4:$A$64,0),$U230)*$V230*$N230,0)</f>
        <v>0</v>
      </c>
      <c r="BZ230" s="93">
        <f>IF(AND($T230=1,BZ$5&lt;=$H230),INDEX(Mortality!$B$4:$E$64,MATCH($D230+BZ$5-1,Mortality!$A$4:$A$64,0),$U230)*$V230*$N230,0)</f>
        <v>0</v>
      </c>
      <c r="CA230" s="93">
        <f>IF(AND($T230=1,CA$5&lt;=$H230),INDEX(Mortality!$B$4:$E$64,MATCH($D230+CA$5-1,Mortality!$A$4:$A$64,0),$U230)*$V230*$N230,0)</f>
        <v>0</v>
      </c>
      <c r="CB230" s="93">
        <f>IF(AND($T230=1,CB$5&lt;=$H230),INDEX(Mortality!$B$4:$E$64,MATCH($D230+CB$5-1,Mortality!$A$4:$A$64,0),$U230)*$V230*$N230,0)</f>
        <v>0</v>
      </c>
      <c r="CC230" s="93">
        <f>IF(AND($T230=1,CC$5&lt;=$H230),INDEX(Mortality!$B$4:$E$64,MATCH($D230+CC$5-1,Mortality!$A$4:$A$64,0),$U230)*$V230*$N230,0)</f>
        <v>0</v>
      </c>
      <c r="CD230" s="93">
        <f>IF(AND($T230=1,CD$5&lt;=$H230),INDEX(Mortality!$B$4:$E$64,MATCH($D230+CD$5-1,Mortality!$A$4:$A$64,0),$U230)*$V230*$N230,0)</f>
        <v>0</v>
      </c>
      <c r="CE230" s="93">
        <f>IF(AND($T230=1,CE$5&lt;=$H230),INDEX(Mortality!$B$4:$E$64,MATCH($D230+CE$5-1,Mortality!$A$4:$A$64,0),$U230)*$V230*$N230,0)</f>
        <v>0</v>
      </c>
      <c r="CF230" s="93">
        <f>IF(AND($T230=1,CF$5&lt;=$H230),INDEX(Mortality!$B$4:$E$64,MATCH($D230+CF$5-1,Mortality!$A$4:$A$64,0),$U230)*$V230*$N230,0)</f>
        <v>0</v>
      </c>
      <c r="CG230" s="93">
        <f>IF(AND($T230=1,CG$5&lt;=$H230),INDEX(Mortality!$B$4:$E$64,MATCH($D230+CG$5-1,Mortality!$A$4:$A$64,0),$U230)*$V230*$N230,0)</f>
        <v>0</v>
      </c>
      <c r="CH230" s="94">
        <f>IF(AND($T230=1,CH$5&lt;=$H230),INDEX(Mortality!$B$4:$E$64,MATCH($D230+CH$5-1,Mortality!$A$4:$A$64,0),$U230)*$V230*$N230,0)</f>
        <v>0</v>
      </c>
      <c r="CI230" s="26"/>
      <c r="CJ230" s="419">
        <f t="shared" si="89"/>
        <v>0</v>
      </c>
      <c r="CK230" s="93">
        <f>IF(AND($T230=1,CK$5&lt;=$H230),CJ230*(1-AU230)*(1-MIN(1,MAX(Assumptions!$C$27,Assumptions!$C$13*Assumptions!$C$28^(CJ$5-1))*$O230)),0)</f>
        <v>0</v>
      </c>
      <c r="CL230" s="93">
        <f>IF(AND($T230=1,CL$5&lt;=$H230),CK230*(1-AV230)*(1-MIN(1,MAX(Assumptions!$C$27,Assumptions!$C$13*Assumptions!$C$28^(CK$5-1))*$O230)),0)</f>
        <v>0</v>
      </c>
      <c r="CM230" s="93">
        <f>IF(AND($T230=1,CM$5&lt;=$H230),CL230*(1-AW230)*(1-MIN(1,MAX(Assumptions!$C$27,Assumptions!$C$13*Assumptions!$C$28^(CL$5-1))*$O230)),0)</f>
        <v>0</v>
      </c>
      <c r="CN230" s="93">
        <f>IF(AND($T230=1,CN$5&lt;=$H230),CM230*(1-AX230)*(1-MIN(1,MAX(Assumptions!$C$27,Assumptions!$C$13*Assumptions!$C$28^(CM$5-1))*$O230)),0)</f>
        <v>0</v>
      </c>
      <c r="CO230" s="93">
        <f>IF(AND($T230=1,CO$5&lt;=$H230),CN230*(1-AY230)*(1-MIN(1,MAX(Assumptions!$C$27,Assumptions!$C$13*Assumptions!$C$28^(CN$5-1))*$O230)),0)</f>
        <v>0</v>
      </c>
      <c r="CP230" s="93">
        <f>IF(AND($T230=1,CP$5&lt;=$H230),CO230*(1-AZ230)*(1-MIN(1,MAX(Assumptions!$C$27,Assumptions!$C$13*Assumptions!$C$28^(CO$5-1))*$O230)),0)</f>
        <v>0</v>
      </c>
      <c r="CQ230" s="93">
        <f>IF(AND($T230=1,CQ$5&lt;=$H230),CP230*(1-BA230)*(1-MIN(1,MAX(Assumptions!$C$27,Assumptions!$C$13*Assumptions!$C$28^(CP$5-1))*$O230)),0)</f>
        <v>0</v>
      </c>
      <c r="CR230" s="93">
        <f>IF(AND($T230=1,CR$5&lt;=$H230),CQ230*(1-BB230)*(1-MIN(1,MAX(Assumptions!$C$27,Assumptions!$C$13*Assumptions!$C$28^(CQ$5-1))*$O230)),0)</f>
        <v>0</v>
      </c>
      <c r="CS230" s="93">
        <f>IF(AND($T230=1,CS$5&lt;=$H230),CR230*(1-BC230)*(1-MIN(1,MAX(Assumptions!$C$27,Assumptions!$C$13*Assumptions!$C$28^(CR$5-1))*$O230)),0)</f>
        <v>0</v>
      </c>
      <c r="CT230" s="93">
        <f>IF(AND($T230=1,CT$5&lt;=$H230),CS230*(1-BD230)*(1-MIN(1,MAX(Assumptions!$C$27,Assumptions!$C$13*Assumptions!$C$28^(CS$5-1))*$O230)),0)</f>
        <v>0</v>
      </c>
      <c r="CU230" s="93">
        <f>IF(AND($T230=1,CU$5&lt;=$H230),CT230*(1-BE230)*(1-MIN(1,MAX(Assumptions!$C$27,Assumptions!$C$13*Assumptions!$C$28^(CT$5-1))*$O230)),0)</f>
        <v>0</v>
      </c>
      <c r="CV230" s="93">
        <f>IF(AND($T230=1,CV$5&lt;=$H230),CU230*(1-BF230)*(1-MIN(1,MAX(Assumptions!$C$27,Assumptions!$C$13*Assumptions!$C$28^(CU$5-1))*$O230)),0)</f>
        <v>0</v>
      </c>
      <c r="CW230" s="93">
        <f>IF(AND($T230=1,CW$5&lt;=$H230),CV230*(1-BG230)*(1-MIN(1,MAX(Assumptions!$C$27,Assumptions!$C$13*Assumptions!$C$28^(CV$5-1))*$O230)),0)</f>
        <v>0</v>
      </c>
      <c r="CX230" s="93">
        <f>IF(AND($T230=1,CX$5&lt;=$H230),CW230*(1-BH230)*(1-MIN(1,MAX(Assumptions!$C$27,Assumptions!$C$13*Assumptions!$C$28^(CW$5-1))*$O230)),0)</f>
        <v>0</v>
      </c>
      <c r="CY230" s="93">
        <f>IF(AND($T230=1,CY$5&lt;=$H230),CX230*(1-BI230)*(1-MIN(1,MAX(Assumptions!$C$27,Assumptions!$C$13*Assumptions!$C$28^(CX$5-1))*$O230)),0)</f>
        <v>0</v>
      </c>
      <c r="CZ230" s="93">
        <f>IF(AND($T230=1,CZ$5&lt;=$H230),CY230*(1-BJ230)*(1-MIN(1,MAX(Assumptions!$C$27,Assumptions!$C$13*Assumptions!$C$28^(CY$5-1))*$O230)),0)</f>
        <v>0</v>
      </c>
      <c r="DA230" s="93">
        <f>IF(AND($T230=1,DA$5&lt;=$H230),CZ230*(1-BK230)*(1-MIN(1,MAX(Assumptions!$C$27,Assumptions!$C$13*Assumptions!$C$28^(CZ$5-1))*$O230)),0)</f>
        <v>0</v>
      </c>
      <c r="DB230" s="93">
        <f>IF(AND($T230=1,DB$5&lt;=$H230),DA230*(1-BL230)*(1-MIN(1,MAX(Assumptions!$C$27,Assumptions!$C$13*Assumptions!$C$28^(DA$5-1))*$O230)),0)</f>
        <v>0</v>
      </c>
      <c r="DC230" s="93">
        <f>IF(AND($T230=1,DC$5&lt;=$H230),DB230*(1-BM230)*(1-MIN(1,MAX(Assumptions!$C$27,Assumptions!$C$13*Assumptions!$C$28^(DB$5-1))*$O230)),0)</f>
        <v>0</v>
      </c>
      <c r="DD230" s="93">
        <f>IF(AND($T230=1,DD$5&lt;=$H230),DC230*(1-BN230)*(1-MIN(1,MAX(Assumptions!$C$27,Assumptions!$C$13*Assumptions!$C$28^(DC$5-1))*$O230)),0)</f>
        <v>0</v>
      </c>
      <c r="DE230" s="93">
        <f>IF(AND($T230=1,DE$5&lt;=$H230),DD230*(1-BO230)*(1-MIN(1,MAX(Assumptions!$C$27,Assumptions!$C$13*Assumptions!$C$28^(DD$5-1))*$O230)),0)</f>
        <v>0</v>
      </c>
      <c r="DF230" s="93">
        <f>IF(AND($T230=1,DF$5&lt;=$H230),DE230*(1-BP230)*(1-MIN(1,MAX(Assumptions!$C$27,Assumptions!$C$13*Assumptions!$C$28^(DE$5-1))*$O230)),0)</f>
        <v>0</v>
      </c>
      <c r="DG230" s="93">
        <f>IF(AND($T230=1,DG$5&lt;=$H230),DF230*(1-BQ230)*(1-MIN(1,MAX(Assumptions!$C$27,Assumptions!$C$13*Assumptions!$C$28^(DF$5-1))*$O230)),0)</f>
        <v>0</v>
      </c>
      <c r="DH230" s="93">
        <f>IF(AND($T230=1,DH$5&lt;=$H230),DG230*(1-BR230)*(1-MIN(1,MAX(Assumptions!$C$27,Assumptions!$C$13*Assumptions!$C$28^(DG$5-1))*$O230)),0)</f>
        <v>0</v>
      </c>
      <c r="DI230" s="93">
        <f>IF(AND($T230=1,DI$5&lt;=$H230),DH230*(1-BS230)*(1-MIN(1,MAX(Assumptions!$C$27,Assumptions!$C$13*Assumptions!$C$28^(DH$5-1))*$O230)),0)</f>
        <v>0</v>
      </c>
      <c r="DJ230" s="93">
        <f>IF(AND($T230=1,DJ$5&lt;=$H230),DI230*(1-BT230)*(1-MIN(1,MAX(Assumptions!$C$27,Assumptions!$C$13*Assumptions!$C$28^(DI$5-1))*$O230)),0)</f>
        <v>0</v>
      </c>
      <c r="DK230" s="93">
        <f>IF(AND($T230=1,DK$5&lt;=$H230),DJ230*(1-BU230)*(1-MIN(1,MAX(Assumptions!$C$27,Assumptions!$C$13*Assumptions!$C$28^(DJ$5-1))*$O230)),0)</f>
        <v>0</v>
      </c>
      <c r="DL230" s="93">
        <f>IF(AND($T230=1,DL$5&lt;=$H230),DK230*(1-BV230)*(1-MIN(1,MAX(Assumptions!$C$27,Assumptions!$C$13*Assumptions!$C$28^(DK$5-1))*$O230)),0)</f>
        <v>0</v>
      </c>
      <c r="DM230" s="93">
        <f>IF(AND($T230=1,DM$5&lt;=$H230),DL230*(1-BW230)*(1-MIN(1,MAX(Assumptions!$C$27,Assumptions!$C$13*Assumptions!$C$28^(DL$5-1))*$O230)),0)</f>
        <v>0</v>
      </c>
      <c r="DN230" s="93">
        <f>IF(AND($T230=1,DN$5&lt;=$H230),DM230*(1-BX230)*(1-MIN(1,MAX(Assumptions!$C$27,Assumptions!$C$13*Assumptions!$C$28^(DM$5-1))*$O230)),0)</f>
        <v>0</v>
      </c>
      <c r="DO230" s="93">
        <f>IF(AND($T230=1,DO$5&lt;=$H230),DN230*(1-BY230)*(1-MIN(1,MAX(Assumptions!$C$27,Assumptions!$C$13*Assumptions!$C$28^(DN$5-1))*$O230)),0)</f>
        <v>0</v>
      </c>
      <c r="DP230" s="93">
        <f>IF(AND($T230=1,DP$5&lt;=$H230),DO230*(1-BZ230)*(1-MIN(1,MAX(Assumptions!$C$27,Assumptions!$C$13*Assumptions!$C$28^(DO$5-1))*$O230)),0)</f>
        <v>0</v>
      </c>
      <c r="DQ230" s="93">
        <f>IF(AND($T230=1,DQ$5&lt;=$H230),DP230*(1-CA230)*(1-MIN(1,MAX(Assumptions!$C$27,Assumptions!$C$13*Assumptions!$C$28^(DP$5-1))*$O230)),0)</f>
        <v>0</v>
      </c>
      <c r="DR230" s="93">
        <f>IF(AND($T230=1,DR$5&lt;=$H230),DQ230*(1-CB230)*(1-MIN(1,MAX(Assumptions!$C$27,Assumptions!$C$13*Assumptions!$C$28^(DQ$5-1))*$O230)),0)</f>
        <v>0</v>
      </c>
      <c r="DS230" s="93">
        <f>IF(AND($T230=1,DS$5&lt;=$H230),DR230*(1-CC230)*(1-MIN(1,MAX(Assumptions!$C$27,Assumptions!$C$13*Assumptions!$C$28^(DR$5-1))*$O230)),0)</f>
        <v>0</v>
      </c>
      <c r="DT230" s="93">
        <f>IF(AND($T230=1,DT$5&lt;=$H230),DS230*(1-CD230)*(1-MIN(1,MAX(Assumptions!$C$27,Assumptions!$C$13*Assumptions!$C$28^(DS$5-1))*$O230)),0)</f>
        <v>0</v>
      </c>
      <c r="DU230" s="93">
        <f>IF(AND($T230=1,DU$5&lt;=$H230),DT230*(1-CE230)*(1-MIN(1,MAX(Assumptions!$C$27,Assumptions!$C$13*Assumptions!$C$28^(DT$5-1))*$O230)),0)</f>
        <v>0</v>
      </c>
      <c r="DV230" s="93">
        <f>IF(AND($T230=1,DV$5&lt;=$H230),DU230*(1-CF230)*(1-MIN(1,MAX(Assumptions!$C$27,Assumptions!$C$13*Assumptions!$C$28^(DU$5-1))*$O230)),0)</f>
        <v>0</v>
      </c>
      <c r="DW230" s="94">
        <f>IF(AND($T230=1,DW$5&lt;=$H230),DV230*(1-CG230)*(1-MIN(1,MAX(Assumptions!$C$27,Assumptions!$C$13*Assumptions!$C$28^(DV$5-1))*$O230)),0)</f>
        <v>0</v>
      </c>
      <c r="DX230" s="26"/>
      <c r="DY230" s="399">
        <f>'Policy Data'!K204</f>
        <v>1</v>
      </c>
      <c r="DZ230" s="100">
        <f>'Policy Data'!L204</f>
        <v>0.54879999999999995</v>
      </c>
      <c r="EA230" s="100">
        <f>'Policy Data'!N204</f>
        <v>8.8500000000000004E-4</v>
      </c>
      <c r="EB230" s="93" cm="1">
        <f t="array" ref="EB230">IFERROR(DZ230*INDEX(Mortality!$B$4:$E$64,MATCH(D230+DY230-1,Mortality!$A$4:$A$64,0),U230)*V230,0)</f>
        <v>8.8522758598643693E-4</v>
      </c>
      <c r="EC230" s="100">
        <f>'Policy Data'!O204</f>
        <v>0</v>
      </c>
      <c r="ED230" s="400">
        <f>'Policy Data'!Q204</f>
        <v>0</v>
      </c>
    </row>
    <row r="231" spans="1:134" x14ac:dyDescent="0.3">
      <c r="A231" s="399" t="str">
        <f>'Policy Data'!A205</f>
        <v>POL100201</v>
      </c>
      <c r="B231" s="26" t="s">
        <v>426</v>
      </c>
      <c r="C231" s="100" t="str">
        <f>'Policy Data'!B205</f>
        <v>Term Life</v>
      </c>
      <c r="D231" s="100">
        <f>'Policy Data'!C205</f>
        <v>25</v>
      </c>
      <c r="E231" s="100" t="str">
        <f>'Policy Data'!D205</f>
        <v>Male</v>
      </c>
      <c r="F231" s="100" t="str">
        <f>'Policy Data'!E205</f>
        <v>Smoker</v>
      </c>
      <c r="G231" s="100" t="str">
        <f>'Policy Data'!F205</f>
        <v>Standard</v>
      </c>
      <c r="H231" s="100">
        <f>'Policy Data'!G205</f>
        <v>15</v>
      </c>
      <c r="I231" s="279">
        <f>'Policy Data'!H205</f>
        <v>250000</v>
      </c>
      <c r="J231" s="100" t="str">
        <f>'Policy Data'!I205</f>
        <v>Annual</v>
      </c>
      <c r="K231" s="100" t="str">
        <f>'Policy Data'!J205</f>
        <v>Direct</v>
      </c>
      <c r="L231" s="26" t="s">
        <v>389</v>
      </c>
      <c r="M231" s="106">
        <f>'Policy Data'!R205</f>
        <v>1200</v>
      </c>
      <c r="N231" s="415">
        <f>Assumptions!$C$21</f>
        <v>1</v>
      </c>
      <c r="O231" s="415">
        <f>Assumptions!$C$22</f>
        <v>1</v>
      </c>
      <c r="P231" s="415">
        <f>Assumptions!$C$23</f>
        <v>1</v>
      </c>
      <c r="Q231" s="416">
        <f>Assumptions!$C$24</f>
        <v>0</v>
      </c>
      <c r="R231" s="416">
        <f>Assumptions!$C$6+Assumptions!$C$25</f>
        <v>3.5000000000000003E-2</v>
      </c>
      <c r="S231" s="416">
        <f>Assumptions!$C$15</f>
        <v>1.1000000000000001E-3</v>
      </c>
      <c r="T231" s="26">
        <f t="shared" si="72"/>
        <v>1</v>
      </c>
      <c r="U231" s="26">
        <f t="shared" si="73"/>
        <v>4</v>
      </c>
      <c r="V231" s="389">
        <f>IF($G231="Preferred",Assumptions!$C$30,IF($G231="Rated",Assumptions!$C$31,1))</f>
        <v>1</v>
      </c>
      <c r="W231" s="390">
        <f>IF($K231="Direct",Assumptions!$C$32,IF($K231="Broker",Assumptions!$C$33,IF($K231="Bancassurance",Assumptions!$C$34,Assumptions!$C$11)))+$Q231</f>
        <v>0.1</v>
      </c>
      <c r="X231" s="390">
        <f>Assumptions!$C$12+$Q231</f>
        <v>0.05</v>
      </c>
      <c r="Y231" s="131">
        <f>MIN($I231,Assumptions!$C$14)</f>
        <v>250000</v>
      </c>
      <c r="Z231" s="131">
        <f>MAX($I231-Assumptions!$C$14,0)</f>
        <v>0</v>
      </c>
      <c r="AA231" s="389">
        <f t="shared" si="74"/>
        <v>7.4121346235356649</v>
      </c>
      <c r="AB231" s="389">
        <f t="shared" si="75"/>
        <v>6.9178627469834927E-3</v>
      </c>
      <c r="AC231" s="389">
        <f>IF($T231=1,SUMPRODUCT($CJ231:$DW231,(1+Assumptions!$C$5)^($CJ$5:$DW$5-1),(1+$R231)^(-$CJ$5:$DW$5)),0)</f>
        <v>9.2762854388470295</v>
      </c>
      <c r="AD231" s="389">
        <f t="shared" si="76"/>
        <v>0.41891590992074468</v>
      </c>
      <c r="AE231" s="131">
        <f>IF($T231=1,$AB231*$Y231+(Assumptions!$C$9/(1+$R231)+Assumptions!$C$10*$AC231)*$P231+$S231*$Z231*$AA231,0)</f>
        <v>4639.8137006835241</v>
      </c>
      <c r="AF231" s="131">
        <f>IF($T231=1,IF($AA231-$AD231-Assumptions!$C$16*$AA231&gt;0,$AE231/($AA231-$AD231-Assumptions!$C$16*$AA231)*IF($J231="Monthly",1+Assumptions!$C$29,1),"n.a."),"")</f>
        <v>724.94280557168372</v>
      </c>
      <c r="AG231" s="131">
        <f t="shared" si="77"/>
        <v>1200</v>
      </c>
      <c r="AH231" s="131">
        <f t="shared" si="78"/>
        <v>8894.5615482427984</v>
      </c>
      <c r="AI231" s="131">
        <f t="shared" si="79"/>
        <v>3752.0487556543812</v>
      </c>
      <c r="AJ231" s="390">
        <f t="shared" si="80"/>
        <v>0.42183627999017359</v>
      </c>
      <c r="AK231" s="389">
        <f t="shared" si="81"/>
        <v>1.6553029987706274</v>
      </c>
      <c r="AL231" s="131">
        <f t="shared" si="82"/>
        <v>0</v>
      </c>
      <c r="AM231" s="131">
        <f t="shared" si="83"/>
        <v>0</v>
      </c>
      <c r="AN231" s="131">
        <f t="shared" si="84"/>
        <v>0</v>
      </c>
      <c r="AO231" s="131">
        <f t="shared" si="85"/>
        <v>3752.0487556543812</v>
      </c>
      <c r="AP231" s="26" t="str">
        <f t="shared" si="86"/>
        <v>20-29</v>
      </c>
      <c r="AQ231" s="26" t="str">
        <f t="shared" si="87"/>
        <v>Up to 250k</v>
      </c>
      <c r="AR231" s="26" t="str">
        <f>IF($T231=1,IF($AI231&lt;0,"Loss-making",IF($AJ231&lt;Assumptions!$C$16-0.00001,"Below target","At/above target")),"Excluded")</f>
        <v>At/above target</v>
      </c>
      <c r="AS231" s="103">
        <f t="shared" si="88"/>
        <v>3752.0489866543812</v>
      </c>
      <c r="AT231" s="26"/>
      <c r="AU231" s="419">
        <f>IF(AND($T231=1,AU$5&lt;=$H231),INDEX(Mortality!$B$4:$E$64,MATCH($D231+AU$5-1,Mortality!$A$4:$A$64,0),$U231)*$V231*$N231,0)</f>
        <v>5.7236952930868096E-4</v>
      </c>
      <c r="AV231" s="93">
        <f>IF(AND($T231=1,AV$5&lt;=$H231),INDEX(Mortality!$B$4:$E$64,MATCH($D231+AV$5-1,Mortality!$A$4:$A$64,0),$U231)*$V231*$N231,0)</f>
        <v>6.2004050903129799E-4</v>
      </c>
      <c r="AW231" s="93">
        <f>IF(AND($T231=1,AW$5&lt;=$H231),INDEX(Mortality!$B$4:$E$64,MATCH($D231+AW$5-1,Mortality!$A$4:$A$64,0),$U231)*$V231*$N231,0)</f>
        <v>6.7168186486820302E-4</v>
      </c>
      <c r="AX231" s="93">
        <f>IF(AND($T231=1,AX$5&lt;=$H231),INDEX(Mortality!$B$4:$E$64,MATCH($D231+AX$5-1,Mortality!$A$4:$A$64,0),$U231)*$V231*$N231,0)</f>
        <v>7.2762427780352396E-4</v>
      </c>
      <c r="AY231" s="93">
        <f>IF(AND($T231=1,AY$5&lt;=$H231),INDEX(Mortality!$B$4:$E$64,MATCH($D231+AY$5-1,Mortality!$A$4:$A$64,0),$U231)*$V231*$N231,0)</f>
        <v>7.8822597027088895E-4</v>
      </c>
      <c r="AZ231" s="93">
        <f>IF(AND($T231=1,AZ$5&lt;=$H231),INDEX(Mortality!$B$4:$E$64,MATCH($D231+AZ$5-1,Mortality!$A$4:$A$64,0),$U231)*$V231*$N231,0)</f>
        <v>8.5387500000000003E-4</v>
      </c>
      <c r="BA231" s="93">
        <f>IF(AND($T231=1,BA$5&lt;=$H231),INDEX(Mortality!$B$4:$E$64,MATCH($D231+BA$5-1,Mortality!$A$4:$A$64,0),$U231)*$V231*$N231,0)</f>
        <v>9.2499174491095498E-4</v>
      </c>
      <c r="BB231" s="93">
        <f>IF(AND($T231=1,BB$5&lt;=$H231),INDEX(Mortality!$B$4:$E$64,MATCH($D231+BB$5-1,Mortality!$A$4:$A$64,0),$U231)*$V231*$N231,0)</f>
        <v>1.0020315949681299E-3</v>
      </c>
      <c r="BC231" s="93">
        <f>IF(AND($T231=1,BC$5&lt;=$H231),INDEX(Mortality!$B$4:$E$64,MATCH($D231+BC$5-1,Mortality!$A$4:$A$64,0),$U231)*$V231*$N231,0)</f>
        <v>1.08548786823069E-3</v>
      </c>
      <c r="BD231" s="93">
        <f>IF(AND($T231=1,BD$5&lt;=$H231),INDEX(Mortality!$B$4:$E$64,MATCH($D231+BD$5-1,Mortality!$A$4:$A$64,0),$U231)*$V231*$N231,0)</f>
        <v>1.1758949697723701E-3</v>
      </c>
      <c r="BE231" s="93">
        <f>IF(AND($T231=1,BE$5&lt;=$H231),INDEX(Mortality!$B$4:$E$64,MATCH($D231+BE$5-1,Mortality!$A$4:$A$64,0),$U231)*$V231*$N231,0)</f>
        <v>1.27383181369844E-3</v>
      </c>
      <c r="BF231" s="93">
        <f>IF(AND($T231=1,BF$5&lt;=$H231),INDEX(Mortality!$B$4:$E$64,MATCH($D231+BF$5-1,Mortality!$A$4:$A$64,0),$U231)*$V231*$N231,0)</f>
        <v>1.3799255301724599E-3</v>
      </c>
      <c r="BG231" s="93">
        <f>IF(AND($T231=1,BG$5&lt;=$H231),INDEX(Mortality!$B$4:$E$64,MATCH($D231+BG$5-1,Mortality!$A$4:$A$64,0),$U231)*$V231*$N231,0)</f>
        <v>1.49485548119033E-3</v>
      </c>
      <c r="BH231" s="93">
        <f>IF(AND($T231=1,BH$5&lt;=$H231),INDEX(Mortality!$B$4:$E$64,MATCH($D231+BH$5-1,Mortality!$A$4:$A$64,0),$U231)*$V231*$N231,0)</f>
        <v>1.6193576108165201E-3</v>
      </c>
      <c r="BI231" s="93">
        <f>IF(AND($T231=1,BI$5&lt;=$H231),INDEX(Mortality!$B$4:$E$64,MATCH($D231+BI$5-1,Mortality!$A$4:$A$64,0),$U231)*$V231*$N231,0)</f>
        <v>1.75422915773855E-3</v>
      </c>
      <c r="BJ231" s="93">
        <f>IF(AND($T231=1,BJ$5&lt;=$H231),INDEX(Mortality!$B$4:$E$64,MATCH($D231+BJ$5-1,Mortality!$A$4:$A$64,0),$U231)*$V231*$N231,0)</f>
        <v>0</v>
      </c>
      <c r="BK231" s="93">
        <f>IF(AND($T231=1,BK$5&lt;=$H231),INDEX(Mortality!$B$4:$E$64,MATCH($D231+BK$5-1,Mortality!$A$4:$A$64,0),$U231)*$V231*$N231,0)</f>
        <v>0</v>
      </c>
      <c r="BL231" s="93">
        <f>IF(AND($T231=1,BL$5&lt;=$H231),INDEX(Mortality!$B$4:$E$64,MATCH($D231+BL$5-1,Mortality!$A$4:$A$64,0),$U231)*$V231*$N231,0)</f>
        <v>0</v>
      </c>
      <c r="BM231" s="93">
        <f>IF(AND($T231=1,BM$5&lt;=$H231),INDEX(Mortality!$B$4:$E$64,MATCH($D231+BM$5-1,Mortality!$A$4:$A$64,0),$U231)*$V231*$N231,0)</f>
        <v>0</v>
      </c>
      <c r="BN231" s="93">
        <f>IF(AND($T231=1,BN$5&lt;=$H231),INDEX(Mortality!$B$4:$E$64,MATCH($D231+BN$5-1,Mortality!$A$4:$A$64,0),$U231)*$V231*$N231,0)</f>
        <v>0</v>
      </c>
      <c r="BO231" s="93">
        <f>IF(AND($T231=1,BO$5&lt;=$H231),INDEX(Mortality!$B$4:$E$64,MATCH($D231+BO$5-1,Mortality!$A$4:$A$64,0),$U231)*$V231*$N231,0)</f>
        <v>0</v>
      </c>
      <c r="BP231" s="93">
        <f>IF(AND($T231=1,BP$5&lt;=$H231),INDEX(Mortality!$B$4:$E$64,MATCH($D231+BP$5-1,Mortality!$A$4:$A$64,0),$U231)*$V231*$N231,0)</f>
        <v>0</v>
      </c>
      <c r="BQ231" s="93">
        <f>IF(AND($T231=1,BQ$5&lt;=$H231),INDEX(Mortality!$B$4:$E$64,MATCH($D231+BQ$5-1,Mortality!$A$4:$A$64,0),$U231)*$V231*$N231,0)</f>
        <v>0</v>
      </c>
      <c r="BR231" s="93">
        <f>IF(AND($T231=1,BR$5&lt;=$H231),INDEX(Mortality!$B$4:$E$64,MATCH($D231+BR$5-1,Mortality!$A$4:$A$64,0),$U231)*$V231*$N231,0)</f>
        <v>0</v>
      </c>
      <c r="BS231" s="93">
        <f>IF(AND($T231=1,BS$5&lt;=$H231),INDEX(Mortality!$B$4:$E$64,MATCH($D231+BS$5-1,Mortality!$A$4:$A$64,0),$U231)*$V231*$N231,0)</f>
        <v>0</v>
      </c>
      <c r="BT231" s="93">
        <f>IF(AND($T231=1,BT$5&lt;=$H231),INDEX(Mortality!$B$4:$E$64,MATCH($D231+BT$5-1,Mortality!$A$4:$A$64,0),$U231)*$V231*$N231,0)</f>
        <v>0</v>
      </c>
      <c r="BU231" s="93">
        <f>IF(AND($T231=1,BU$5&lt;=$H231),INDEX(Mortality!$B$4:$E$64,MATCH($D231+BU$5-1,Mortality!$A$4:$A$64,0),$U231)*$V231*$N231,0)</f>
        <v>0</v>
      </c>
      <c r="BV231" s="93">
        <f>IF(AND($T231=1,BV$5&lt;=$H231),INDEX(Mortality!$B$4:$E$64,MATCH($D231+BV$5-1,Mortality!$A$4:$A$64,0),$U231)*$V231*$N231,0)</f>
        <v>0</v>
      </c>
      <c r="BW231" s="93">
        <f>IF(AND($T231=1,BW$5&lt;=$H231),INDEX(Mortality!$B$4:$E$64,MATCH($D231+BW$5-1,Mortality!$A$4:$A$64,0),$U231)*$V231*$N231,0)</f>
        <v>0</v>
      </c>
      <c r="BX231" s="93">
        <f>IF(AND($T231=1,BX$5&lt;=$H231),INDEX(Mortality!$B$4:$E$64,MATCH($D231+BX$5-1,Mortality!$A$4:$A$64,0),$U231)*$V231*$N231,0)</f>
        <v>0</v>
      </c>
      <c r="BY231" s="93">
        <f>IF(AND($T231=1,BY$5&lt;=$H231),INDEX(Mortality!$B$4:$E$64,MATCH($D231+BY$5-1,Mortality!$A$4:$A$64,0),$U231)*$V231*$N231,0)</f>
        <v>0</v>
      </c>
      <c r="BZ231" s="93">
        <f>IF(AND($T231=1,BZ$5&lt;=$H231),INDEX(Mortality!$B$4:$E$64,MATCH($D231+BZ$5-1,Mortality!$A$4:$A$64,0),$U231)*$V231*$N231,0)</f>
        <v>0</v>
      </c>
      <c r="CA231" s="93">
        <f>IF(AND($T231=1,CA$5&lt;=$H231),INDEX(Mortality!$B$4:$E$64,MATCH($D231+CA$5-1,Mortality!$A$4:$A$64,0),$U231)*$V231*$N231,0)</f>
        <v>0</v>
      </c>
      <c r="CB231" s="93">
        <f>IF(AND($T231=1,CB$5&lt;=$H231),INDEX(Mortality!$B$4:$E$64,MATCH($D231+CB$5-1,Mortality!$A$4:$A$64,0),$U231)*$V231*$N231,0)</f>
        <v>0</v>
      </c>
      <c r="CC231" s="93">
        <f>IF(AND($T231=1,CC$5&lt;=$H231),INDEX(Mortality!$B$4:$E$64,MATCH($D231+CC$5-1,Mortality!$A$4:$A$64,0),$U231)*$V231*$N231,0)</f>
        <v>0</v>
      </c>
      <c r="CD231" s="93">
        <f>IF(AND($T231=1,CD$5&lt;=$H231),INDEX(Mortality!$B$4:$E$64,MATCH($D231+CD$5-1,Mortality!$A$4:$A$64,0),$U231)*$V231*$N231,0)</f>
        <v>0</v>
      </c>
      <c r="CE231" s="93">
        <f>IF(AND($T231=1,CE$5&lt;=$H231),INDEX(Mortality!$B$4:$E$64,MATCH($D231+CE$5-1,Mortality!$A$4:$A$64,0),$U231)*$V231*$N231,0)</f>
        <v>0</v>
      </c>
      <c r="CF231" s="93">
        <f>IF(AND($T231=1,CF$5&lt;=$H231),INDEX(Mortality!$B$4:$E$64,MATCH($D231+CF$5-1,Mortality!$A$4:$A$64,0),$U231)*$V231*$N231,0)</f>
        <v>0</v>
      </c>
      <c r="CG231" s="93">
        <f>IF(AND($T231=1,CG$5&lt;=$H231),INDEX(Mortality!$B$4:$E$64,MATCH($D231+CG$5-1,Mortality!$A$4:$A$64,0),$U231)*$V231*$N231,0)</f>
        <v>0</v>
      </c>
      <c r="CH231" s="94">
        <f>IF(AND($T231=1,CH$5&lt;=$H231),INDEX(Mortality!$B$4:$E$64,MATCH($D231+CH$5-1,Mortality!$A$4:$A$64,0),$U231)*$V231*$N231,0)</f>
        <v>0</v>
      </c>
      <c r="CI231" s="26"/>
      <c r="CJ231" s="419">
        <f t="shared" si="89"/>
        <v>1</v>
      </c>
      <c r="CK231" s="93">
        <f>IF(AND($T231=1,CK$5&lt;=$H231),CJ231*(1-AU231)*(1-MIN(1,MAX(Assumptions!$C$27,Assumptions!$C$13*Assumptions!$C$28^(CJ$5-1))*$O231)),0)</f>
        <v>0.87949631481420831</v>
      </c>
      <c r="CL231" s="93">
        <f>IF(AND($T231=1,CL$5&lt;=$H231),CK231*(1-AV231)*(1-MIN(1,MAX(Assumptions!$C$27,Assumptions!$C$13*Assumptions!$C$28^(CK$5-1))*$O231)),0)</f>
        <v>0.78929799034138881</v>
      </c>
      <c r="CM231" s="93">
        <f>IF(AND($T231=1,CM$5&lt;=$H231),CL231*(1-AW231)*(1-MIN(1,MAX(Assumptions!$C$27,Assumptions!$C$13*Assumptions!$C$28^(CL$5-1))*$O231)),0)</f>
        <v>0.72038166205726706</v>
      </c>
      <c r="CN231" s="93">
        <f>IF(AND($T231=1,CN$5&lt;=$H231),CM231*(1-AX231)*(1-MIN(1,MAX(Assumptions!$C$27,Assumptions!$C$13*Assumptions!$C$28^(CM$5-1))*$O231)),0)</f>
        <v>0.66680759678617574</v>
      </c>
      <c r="CO231" s="93">
        <f>IF(AND($T231=1,CO$5&lt;=$H231),CN231*(1-AY231)*(1-MIN(1,MAX(Assumptions!$C$27,Assumptions!$C$13*Assumptions!$C$28^(CN$5-1))*$O231)),0)</f>
        <v>0.62454559742189675</v>
      </c>
      <c r="CP231" s="93">
        <f>IF(AND($T231=1,CP$5&lt;=$H231),CO231*(1-AZ231)*(1-MIN(1,MAX(Assumptions!$C$27,Assumptions!$C$13*Assumptions!$C$28^(CO$5-1))*$O231)),0)</f>
        <v>0.59078700411939755</v>
      </c>
      <c r="CQ231" s="93">
        <f>IF(AND($T231=1,CQ$5&lt;=$H231),CP231*(1-BA231)*(1-MIN(1,MAX(Assumptions!$C$27,Assumptions!$C$13*Assumptions!$C$28^(CP$5-1))*$O231)),0)</f>
        <v>0.56352745937252335</v>
      </c>
      <c r="CR231" s="93">
        <f>IF(AND($T231=1,CR$5&lt;=$H231),CQ231*(1-BB231)*(1-MIN(1,MAX(Assumptions!$C$27,Assumptions!$C$13*Assumptions!$C$28^(CQ$5-1))*$O231)),0)</f>
        <v>0.54130603052347914</v>
      </c>
      <c r="CS231" s="93">
        <f>IF(AND($T231=1,CS$5&lt;=$H231),CR231*(1-BC231)*(1-MIN(1,MAX(Assumptions!$C$27,Assumptions!$C$13*Assumptions!$C$28^(CR$5-1))*$O231)),0)</f>
        <v>0.52303757089349301</v>
      </c>
      <c r="CT231" s="93">
        <f>IF(AND($T231=1,CT$5&lt;=$H231),CS231*(1-BD231)*(1-MIN(1,MAX(Assumptions!$C$27,Assumptions!$C$13*Assumptions!$C$28^(CS$5-1))*$O231)),0)</f>
        <v>0.50790230421539417</v>
      </c>
      <c r="CU231" s="93">
        <f>IF(AND($T231=1,CU$5&lt;=$H231),CT231*(1-BE231)*(1-MIN(1,MAX(Assumptions!$C$27,Assumptions!$C$13*Assumptions!$C$28^(CT$5-1))*$O231)),0)</f>
        <v>0.49527145137553391</v>
      </c>
      <c r="CV231" s="93">
        <f>IF(AND($T231=1,CV$5&lt;=$H231),CU231*(1-BF231)*(1-MIN(1,MAX(Assumptions!$C$27,Assumptions!$C$13*Assumptions!$C$28^(CU$5-1))*$O231)),0)</f>
        <v>0.48465609815600325</v>
      </c>
      <c r="CW231" s="93">
        <f>IF(AND($T231=1,CW$5&lt;=$H231),CV231*(1-BG231)*(1-MIN(1,MAX(Assumptions!$C$27,Assumptions!$C$13*Assumptions!$C$28^(CV$5-1))*$O231)),0)</f>
        <v>0.47425297518455872</v>
      </c>
      <c r="CX231" s="93">
        <f>IF(AND($T231=1,CX$5&lt;=$H231),CW231*(1-BH231)*(1-MIN(1,MAX(Assumptions!$C$27,Assumptions!$C$13*Assumptions!$C$28^(CW$5-1))*$O231)),0)</f>
        <v>0.46401529021934634</v>
      </c>
      <c r="CY231" s="93">
        <f>IF(AND($T231=1,CY$5&lt;=$H231),CX231*(1-BI231)*(1-MIN(1,MAX(Assumptions!$C$27,Assumptions!$C$13*Assumptions!$C$28^(CX$5-1))*$O231)),0)</f>
        <v>0</v>
      </c>
      <c r="CZ231" s="93">
        <f>IF(AND($T231=1,CZ$5&lt;=$H231),CY231*(1-BJ231)*(1-MIN(1,MAX(Assumptions!$C$27,Assumptions!$C$13*Assumptions!$C$28^(CY$5-1))*$O231)),0)</f>
        <v>0</v>
      </c>
      <c r="DA231" s="93">
        <f>IF(AND($T231=1,DA$5&lt;=$H231),CZ231*(1-BK231)*(1-MIN(1,MAX(Assumptions!$C$27,Assumptions!$C$13*Assumptions!$C$28^(CZ$5-1))*$O231)),0)</f>
        <v>0</v>
      </c>
      <c r="DB231" s="93">
        <f>IF(AND($T231=1,DB$5&lt;=$H231),DA231*(1-BL231)*(1-MIN(1,MAX(Assumptions!$C$27,Assumptions!$C$13*Assumptions!$C$28^(DA$5-1))*$O231)),0)</f>
        <v>0</v>
      </c>
      <c r="DC231" s="93">
        <f>IF(AND($T231=1,DC$5&lt;=$H231),DB231*(1-BM231)*(1-MIN(1,MAX(Assumptions!$C$27,Assumptions!$C$13*Assumptions!$C$28^(DB$5-1))*$O231)),0)</f>
        <v>0</v>
      </c>
      <c r="DD231" s="93">
        <f>IF(AND($T231=1,DD$5&lt;=$H231),DC231*(1-BN231)*(1-MIN(1,MAX(Assumptions!$C$27,Assumptions!$C$13*Assumptions!$C$28^(DC$5-1))*$O231)),0)</f>
        <v>0</v>
      </c>
      <c r="DE231" s="93">
        <f>IF(AND($T231=1,DE$5&lt;=$H231),DD231*(1-BO231)*(1-MIN(1,MAX(Assumptions!$C$27,Assumptions!$C$13*Assumptions!$C$28^(DD$5-1))*$O231)),0)</f>
        <v>0</v>
      </c>
      <c r="DF231" s="93">
        <f>IF(AND($T231=1,DF$5&lt;=$H231),DE231*(1-BP231)*(1-MIN(1,MAX(Assumptions!$C$27,Assumptions!$C$13*Assumptions!$C$28^(DE$5-1))*$O231)),0)</f>
        <v>0</v>
      </c>
      <c r="DG231" s="93">
        <f>IF(AND($T231=1,DG$5&lt;=$H231),DF231*(1-BQ231)*(1-MIN(1,MAX(Assumptions!$C$27,Assumptions!$C$13*Assumptions!$C$28^(DF$5-1))*$O231)),0)</f>
        <v>0</v>
      </c>
      <c r="DH231" s="93">
        <f>IF(AND($T231=1,DH$5&lt;=$H231),DG231*(1-BR231)*(1-MIN(1,MAX(Assumptions!$C$27,Assumptions!$C$13*Assumptions!$C$28^(DG$5-1))*$O231)),0)</f>
        <v>0</v>
      </c>
      <c r="DI231" s="93">
        <f>IF(AND($T231=1,DI$5&lt;=$H231),DH231*(1-BS231)*(1-MIN(1,MAX(Assumptions!$C$27,Assumptions!$C$13*Assumptions!$C$28^(DH$5-1))*$O231)),0)</f>
        <v>0</v>
      </c>
      <c r="DJ231" s="93">
        <f>IF(AND($T231=1,DJ$5&lt;=$H231),DI231*(1-BT231)*(1-MIN(1,MAX(Assumptions!$C$27,Assumptions!$C$13*Assumptions!$C$28^(DI$5-1))*$O231)),0)</f>
        <v>0</v>
      </c>
      <c r="DK231" s="93">
        <f>IF(AND($T231=1,DK$5&lt;=$H231),DJ231*(1-BU231)*(1-MIN(1,MAX(Assumptions!$C$27,Assumptions!$C$13*Assumptions!$C$28^(DJ$5-1))*$O231)),0)</f>
        <v>0</v>
      </c>
      <c r="DL231" s="93">
        <f>IF(AND($T231=1,DL$5&lt;=$H231),DK231*(1-BV231)*(1-MIN(1,MAX(Assumptions!$C$27,Assumptions!$C$13*Assumptions!$C$28^(DK$5-1))*$O231)),0)</f>
        <v>0</v>
      </c>
      <c r="DM231" s="93">
        <f>IF(AND($T231=1,DM$5&lt;=$H231),DL231*(1-BW231)*(1-MIN(1,MAX(Assumptions!$C$27,Assumptions!$C$13*Assumptions!$C$28^(DL$5-1))*$O231)),0)</f>
        <v>0</v>
      </c>
      <c r="DN231" s="93">
        <f>IF(AND($T231=1,DN$5&lt;=$H231),DM231*(1-BX231)*(1-MIN(1,MAX(Assumptions!$C$27,Assumptions!$C$13*Assumptions!$C$28^(DM$5-1))*$O231)),0)</f>
        <v>0</v>
      </c>
      <c r="DO231" s="93">
        <f>IF(AND($T231=1,DO$5&lt;=$H231),DN231*(1-BY231)*(1-MIN(1,MAX(Assumptions!$C$27,Assumptions!$C$13*Assumptions!$C$28^(DN$5-1))*$O231)),0)</f>
        <v>0</v>
      </c>
      <c r="DP231" s="93">
        <f>IF(AND($T231=1,DP$5&lt;=$H231),DO231*(1-BZ231)*(1-MIN(1,MAX(Assumptions!$C$27,Assumptions!$C$13*Assumptions!$C$28^(DO$5-1))*$O231)),0)</f>
        <v>0</v>
      </c>
      <c r="DQ231" s="93">
        <f>IF(AND($T231=1,DQ$5&lt;=$H231),DP231*(1-CA231)*(1-MIN(1,MAX(Assumptions!$C$27,Assumptions!$C$13*Assumptions!$C$28^(DP$5-1))*$O231)),0)</f>
        <v>0</v>
      </c>
      <c r="DR231" s="93">
        <f>IF(AND($T231=1,DR$5&lt;=$H231),DQ231*(1-CB231)*(1-MIN(1,MAX(Assumptions!$C$27,Assumptions!$C$13*Assumptions!$C$28^(DQ$5-1))*$O231)),0)</f>
        <v>0</v>
      </c>
      <c r="DS231" s="93">
        <f>IF(AND($T231=1,DS$5&lt;=$H231),DR231*(1-CC231)*(1-MIN(1,MAX(Assumptions!$C$27,Assumptions!$C$13*Assumptions!$C$28^(DR$5-1))*$O231)),0)</f>
        <v>0</v>
      </c>
      <c r="DT231" s="93">
        <f>IF(AND($T231=1,DT$5&lt;=$H231),DS231*(1-CD231)*(1-MIN(1,MAX(Assumptions!$C$27,Assumptions!$C$13*Assumptions!$C$28^(DS$5-1))*$O231)),0)</f>
        <v>0</v>
      </c>
      <c r="DU231" s="93">
        <f>IF(AND($T231=1,DU$5&lt;=$H231),DT231*(1-CE231)*(1-MIN(1,MAX(Assumptions!$C$27,Assumptions!$C$13*Assumptions!$C$28^(DT$5-1))*$O231)),0)</f>
        <v>0</v>
      </c>
      <c r="DV231" s="93">
        <f>IF(AND($T231=1,DV$5&lt;=$H231),DU231*(1-CF231)*(1-MIN(1,MAX(Assumptions!$C$27,Assumptions!$C$13*Assumptions!$C$28^(DU$5-1))*$O231)),0)</f>
        <v>0</v>
      </c>
      <c r="DW231" s="94">
        <f>IF(AND($T231=1,DW$5&lt;=$H231),DV231*(1-CG231)*(1-MIN(1,MAX(Assumptions!$C$27,Assumptions!$C$13*Assumptions!$C$28^(DV$5-1))*$O231)),0)</f>
        <v>0</v>
      </c>
      <c r="DX231" s="26"/>
      <c r="DY231" s="399">
        <f>'Policy Data'!K205</f>
        <v>5</v>
      </c>
      <c r="DZ231" s="100">
        <f>'Policy Data'!L205</f>
        <v>0.89659999999999995</v>
      </c>
      <c r="EA231" s="100">
        <f>'Policy Data'!N205</f>
        <v>5.13E-4</v>
      </c>
      <c r="EB231" s="93" cm="1">
        <f t="array" ref="EB231">IFERROR(DZ231*INDEX(Mortality!$B$4:$E$64,MATCH(D231+DY231-1,Mortality!$A$4:$A$64,0),U231)*V231,0)</f>
        <v>7.0672340494487898E-4</v>
      </c>
      <c r="EC231" s="100">
        <f>'Policy Data'!O205</f>
        <v>0</v>
      </c>
      <c r="ED231" s="400">
        <f>'Policy Data'!Q205</f>
        <v>0</v>
      </c>
    </row>
    <row r="232" spans="1:134" x14ac:dyDescent="0.3">
      <c r="A232" s="399" t="str">
        <f>'Policy Data'!A206</f>
        <v>POL100202</v>
      </c>
      <c r="B232" s="26" t="s">
        <v>426</v>
      </c>
      <c r="C232" s="100" t="str">
        <f>'Policy Data'!B206</f>
        <v>Unit-Linked</v>
      </c>
      <c r="D232" s="100">
        <f>'Policy Data'!C206</f>
        <v>65</v>
      </c>
      <c r="E232" s="100" t="str">
        <f>'Policy Data'!D206</f>
        <v>Female</v>
      </c>
      <c r="F232" s="100" t="str">
        <f>'Policy Data'!E206</f>
        <v>Non-smoker</v>
      </c>
      <c r="G232" s="100" t="str">
        <f>'Policy Data'!F206</f>
        <v>Standard</v>
      </c>
      <c r="H232" s="100">
        <f>'Policy Data'!G206</f>
        <v>25</v>
      </c>
      <c r="I232" s="279">
        <f>'Policy Data'!H206</f>
        <v>250000</v>
      </c>
      <c r="J232" s="100" t="str">
        <f>'Policy Data'!I206</f>
        <v>Monthly</v>
      </c>
      <c r="K232" s="100" t="str">
        <f>'Policy Data'!J206</f>
        <v>Direct</v>
      </c>
      <c r="L232" s="26" t="s">
        <v>389</v>
      </c>
      <c r="M232" s="106">
        <f>'Policy Data'!R206</f>
        <v>8516.1200000000008</v>
      </c>
      <c r="N232" s="415">
        <f>Assumptions!$C$21</f>
        <v>1</v>
      </c>
      <c r="O232" s="415">
        <f>Assumptions!$C$22</f>
        <v>1</v>
      </c>
      <c r="P232" s="415">
        <f>Assumptions!$C$23</f>
        <v>1</v>
      </c>
      <c r="Q232" s="416">
        <f>Assumptions!$C$24</f>
        <v>0</v>
      </c>
      <c r="R232" s="416">
        <f>Assumptions!$C$6+Assumptions!$C$25</f>
        <v>3.5000000000000003E-2</v>
      </c>
      <c r="S232" s="416">
        <f>Assumptions!$C$15</f>
        <v>1.1000000000000001E-3</v>
      </c>
      <c r="T232" s="26">
        <f t="shared" si="72"/>
        <v>0</v>
      </c>
      <c r="U232" s="26">
        <f t="shared" si="73"/>
        <v>1</v>
      </c>
      <c r="V232" s="389">
        <f>IF($G232="Preferred",Assumptions!$C$30,IF($G232="Rated",Assumptions!$C$31,1))</f>
        <v>1</v>
      </c>
      <c r="W232" s="390">
        <f>IF($K232="Direct",Assumptions!$C$32,IF($K232="Broker",Assumptions!$C$33,IF($K232="Bancassurance",Assumptions!$C$34,Assumptions!$C$11)))+$Q232</f>
        <v>0.1</v>
      </c>
      <c r="X232" s="390">
        <f>Assumptions!$C$12+$Q232</f>
        <v>0.05</v>
      </c>
      <c r="Y232" s="131">
        <f>MIN($I232,Assumptions!$C$14)</f>
        <v>250000</v>
      </c>
      <c r="Z232" s="131">
        <f>MAX($I232-Assumptions!$C$14,0)</f>
        <v>0</v>
      </c>
      <c r="AA232" s="389">
        <f t="shared" si="74"/>
        <v>0</v>
      </c>
      <c r="AB232" s="389">
        <f t="shared" si="75"/>
        <v>0</v>
      </c>
      <c r="AC232" s="389">
        <f>IF($T232=1,SUMPRODUCT($CJ232:$DW232,(1+Assumptions!$C$5)^($CJ$5:$DW$5-1),(1+$R232)^(-$CJ$5:$DW$5)),0)</f>
        <v>0</v>
      </c>
      <c r="AD232" s="389">
        <f t="shared" si="76"/>
        <v>0</v>
      </c>
      <c r="AE232" s="131">
        <f>IF($T232=1,$AB232*$Y232+(Assumptions!$C$9/(1+$R232)+Assumptions!$C$10*$AC232)*$P232+$S232*$Z232*$AA232,0)</f>
        <v>0</v>
      </c>
      <c r="AF232" s="131" t="str">
        <f>IF($T232=1,IF($AA232-$AD232-Assumptions!$C$16*$AA232&gt;0,$AE232/($AA232-$AD232-Assumptions!$C$16*$AA232)*IF($J232="Monthly",1+Assumptions!$C$29,1),"n.a."),"")</f>
        <v/>
      </c>
      <c r="AG232" s="131" t="str">
        <f t="shared" si="77"/>
        <v/>
      </c>
      <c r="AH232" s="131" t="str">
        <f t="shared" si="78"/>
        <v/>
      </c>
      <c r="AI232" s="131" t="str">
        <f t="shared" si="79"/>
        <v/>
      </c>
      <c r="AJ232" s="390" t="str">
        <f t="shared" si="80"/>
        <v/>
      </c>
      <c r="AK232" s="389" t="str">
        <f t="shared" si="81"/>
        <v/>
      </c>
      <c r="AL232" s="131" t="str">
        <f t="shared" si="82"/>
        <v/>
      </c>
      <c r="AM232" s="131" t="str">
        <f t="shared" si="83"/>
        <v/>
      </c>
      <c r="AN232" s="131" t="str">
        <f t="shared" si="84"/>
        <v/>
      </c>
      <c r="AO232" s="131" t="str">
        <f t="shared" si="85"/>
        <v/>
      </c>
      <c r="AP232" s="26" t="str">
        <f t="shared" si="86"/>
        <v>60+</v>
      </c>
      <c r="AQ232" s="26" t="str">
        <f t="shared" si="87"/>
        <v>Up to 250k</v>
      </c>
      <c r="AR232" s="26" t="str">
        <f>IF($T232=1,IF($AI232&lt;0,"Loss-making",IF($AJ232&lt;Assumptions!$C$16-0.00001,"Below target","At/above target")),"Excluded")</f>
        <v>Excluded</v>
      </c>
      <c r="AS232" s="103">
        <f t="shared" si="88"/>
        <v>9.9999999999999997E+98</v>
      </c>
      <c r="AT232" s="26"/>
      <c r="AU232" s="419">
        <f>IF(AND($T232=1,AU$5&lt;=$H232),INDEX(Mortality!$B$4:$E$64,MATCH($D232+AU$5-1,Mortality!$A$4:$A$64,0),$U232)*$V232*$N232,0)</f>
        <v>0</v>
      </c>
      <c r="AV232" s="93">
        <f>IF(AND($T232=1,AV$5&lt;=$H232),INDEX(Mortality!$B$4:$E$64,MATCH($D232+AV$5-1,Mortality!$A$4:$A$64,0),$U232)*$V232*$N232,0)</f>
        <v>0</v>
      </c>
      <c r="AW232" s="93">
        <f>IF(AND($T232=1,AW$5&lt;=$H232),INDEX(Mortality!$B$4:$E$64,MATCH($D232+AW$5-1,Mortality!$A$4:$A$64,0),$U232)*$V232*$N232,0)</f>
        <v>0</v>
      </c>
      <c r="AX232" s="93">
        <f>IF(AND($T232=1,AX$5&lt;=$H232),INDEX(Mortality!$B$4:$E$64,MATCH($D232+AX$5-1,Mortality!$A$4:$A$64,0),$U232)*$V232*$N232,0)</f>
        <v>0</v>
      </c>
      <c r="AY232" s="93">
        <f>IF(AND($T232=1,AY$5&lt;=$H232),INDEX(Mortality!$B$4:$E$64,MATCH($D232+AY$5-1,Mortality!$A$4:$A$64,0),$U232)*$V232*$N232,0)</f>
        <v>0</v>
      </c>
      <c r="AZ232" s="93">
        <f>IF(AND($T232=1,AZ$5&lt;=$H232),INDEX(Mortality!$B$4:$E$64,MATCH($D232+AZ$5-1,Mortality!$A$4:$A$64,0),$U232)*$V232*$N232,0)</f>
        <v>0</v>
      </c>
      <c r="BA232" s="93">
        <f>IF(AND($T232=1,BA$5&lt;=$H232),INDEX(Mortality!$B$4:$E$64,MATCH($D232+BA$5-1,Mortality!$A$4:$A$64,0),$U232)*$V232*$N232,0)</f>
        <v>0</v>
      </c>
      <c r="BB232" s="93">
        <f>IF(AND($T232=1,BB$5&lt;=$H232),INDEX(Mortality!$B$4:$E$64,MATCH($D232+BB$5-1,Mortality!$A$4:$A$64,0),$U232)*$V232*$N232,0)</f>
        <v>0</v>
      </c>
      <c r="BC232" s="93">
        <f>IF(AND($T232=1,BC$5&lt;=$H232),INDEX(Mortality!$B$4:$E$64,MATCH($D232+BC$5-1,Mortality!$A$4:$A$64,0),$U232)*$V232*$N232,0)</f>
        <v>0</v>
      </c>
      <c r="BD232" s="93">
        <f>IF(AND($T232=1,BD$5&lt;=$H232),INDEX(Mortality!$B$4:$E$64,MATCH($D232+BD$5-1,Mortality!$A$4:$A$64,0),$U232)*$V232*$N232,0)</f>
        <v>0</v>
      </c>
      <c r="BE232" s="93">
        <f>IF(AND($T232=1,BE$5&lt;=$H232),INDEX(Mortality!$B$4:$E$64,MATCH($D232+BE$5-1,Mortality!$A$4:$A$64,0),$U232)*$V232*$N232,0)</f>
        <v>0</v>
      </c>
      <c r="BF232" s="93">
        <f>IF(AND($T232=1,BF$5&lt;=$H232),INDEX(Mortality!$B$4:$E$64,MATCH($D232+BF$5-1,Mortality!$A$4:$A$64,0),$U232)*$V232*$N232,0)</f>
        <v>0</v>
      </c>
      <c r="BG232" s="93">
        <f>IF(AND($T232=1,BG$5&lt;=$H232),INDEX(Mortality!$B$4:$E$64,MATCH($D232+BG$5-1,Mortality!$A$4:$A$64,0),$U232)*$V232*$N232,0)</f>
        <v>0</v>
      </c>
      <c r="BH232" s="93">
        <f>IF(AND($T232=1,BH$5&lt;=$H232),INDEX(Mortality!$B$4:$E$64,MATCH($D232+BH$5-1,Mortality!$A$4:$A$64,0),$U232)*$V232*$N232,0)</f>
        <v>0</v>
      </c>
      <c r="BI232" s="93">
        <f>IF(AND($T232=1,BI$5&lt;=$H232),INDEX(Mortality!$B$4:$E$64,MATCH($D232+BI$5-1,Mortality!$A$4:$A$64,0),$U232)*$V232*$N232,0)</f>
        <v>0</v>
      </c>
      <c r="BJ232" s="93">
        <f>IF(AND($T232=1,BJ$5&lt;=$H232),INDEX(Mortality!$B$4:$E$64,MATCH($D232+BJ$5-1,Mortality!$A$4:$A$64,0),$U232)*$V232*$N232,0)</f>
        <v>0</v>
      </c>
      <c r="BK232" s="93">
        <f>IF(AND($T232=1,BK$5&lt;=$H232),INDEX(Mortality!$B$4:$E$64,MATCH($D232+BK$5-1,Mortality!$A$4:$A$64,0),$U232)*$V232*$N232,0)</f>
        <v>0</v>
      </c>
      <c r="BL232" s="93">
        <f>IF(AND($T232=1,BL$5&lt;=$H232),INDEX(Mortality!$B$4:$E$64,MATCH($D232+BL$5-1,Mortality!$A$4:$A$64,0),$U232)*$V232*$N232,0)</f>
        <v>0</v>
      </c>
      <c r="BM232" s="93">
        <f>IF(AND($T232=1,BM$5&lt;=$H232),INDEX(Mortality!$B$4:$E$64,MATCH($D232+BM$5-1,Mortality!$A$4:$A$64,0),$U232)*$V232*$N232,0)</f>
        <v>0</v>
      </c>
      <c r="BN232" s="93">
        <f>IF(AND($T232=1,BN$5&lt;=$H232),INDEX(Mortality!$B$4:$E$64,MATCH($D232+BN$5-1,Mortality!$A$4:$A$64,0),$U232)*$V232*$N232,0)</f>
        <v>0</v>
      </c>
      <c r="BO232" s="93">
        <f>IF(AND($T232=1,BO$5&lt;=$H232),INDEX(Mortality!$B$4:$E$64,MATCH($D232+BO$5-1,Mortality!$A$4:$A$64,0),$U232)*$V232*$N232,0)</f>
        <v>0</v>
      </c>
      <c r="BP232" s="93">
        <f>IF(AND($T232=1,BP$5&lt;=$H232),INDEX(Mortality!$B$4:$E$64,MATCH($D232+BP$5-1,Mortality!$A$4:$A$64,0),$U232)*$V232*$N232,0)</f>
        <v>0</v>
      </c>
      <c r="BQ232" s="93">
        <f>IF(AND($T232=1,BQ$5&lt;=$H232),INDEX(Mortality!$B$4:$E$64,MATCH($D232+BQ$5-1,Mortality!$A$4:$A$64,0),$U232)*$V232*$N232,0)</f>
        <v>0</v>
      </c>
      <c r="BR232" s="93">
        <f>IF(AND($T232=1,BR$5&lt;=$H232),INDEX(Mortality!$B$4:$E$64,MATCH($D232+BR$5-1,Mortality!$A$4:$A$64,0),$U232)*$V232*$N232,0)</f>
        <v>0</v>
      </c>
      <c r="BS232" s="93">
        <f>IF(AND($T232=1,BS$5&lt;=$H232),INDEX(Mortality!$B$4:$E$64,MATCH($D232+BS$5-1,Mortality!$A$4:$A$64,0),$U232)*$V232*$N232,0)</f>
        <v>0</v>
      </c>
      <c r="BT232" s="93">
        <f>IF(AND($T232=1,BT$5&lt;=$H232),INDEX(Mortality!$B$4:$E$64,MATCH($D232+BT$5-1,Mortality!$A$4:$A$64,0),$U232)*$V232*$N232,0)</f>
        <v>0</v>
      </c>
      <c r="BU232" s="93">
        <f>IF(AND($T232=1,BU$5&lt;=$H232),INDEX(Mortality!$B$4:$E$64,MATCH($D232+BU$5-1,Mortality!$A$4:$A$64,0),$U232)*$V232*$N232,0)</f>
        <v>0</v>
      </c>
      <c r="BV232" s="93">
        <f>IF(AND($T232=1,BV$5&lt;=$H232),INDEX(Mortality!$B$4:$E$64,MATCH($D232+BV$5-1,Mortality!$A$4:$A$64,0),$U232)*$V232*$N232,0)</f>
        <v>0</v>
      </c>
      <c r="BW232" s="93">
        <f>IF(AND($T232=1,BW$5&lt;=$H232),INDEX(Mortality!$B$4:$E$64,MATCH($D232+BW$5-1,Mortality!$A$4:$A$64,0),$U232)*$V232*$N232,0)</f>
        <v>0</v>
      </c>
      <c r="BX232" s="93">
        <f>IF(AND($T232=1,BX$5&lt;=$H232),INDEX(Mortality!$B$4:$E$64,MATCH($D232+BX$5-1,Mortality!$A$4:$A$64,0),$U232)*$V232*$N232,0)</f>
        <v>0</v>
      </c>
      <c r="BY232" s="93">
        <f>IF(AND($T232=1,BY$5&lt;=$H232),INDEX(Mortality!$B$4:$E$64,MATCH($D232+BY$5-1,Mortality!$A$4:$A$64,0),$U232)*$V232*$N232,0)</f>
        <v>0</v>
      </c>
      <c r="BZ232" s="93">
        <f>IF(AND($T232=1,BZ$5&lt;=$H232),INDEX(Mortality!$B$4:$E$64,MATCH($D232+BZ$5-1,Mortality!$A$4:$A$64,0),$U232)*$V232*$N232,0)</f>
        <v>0</v>
      </c>
      <c r="CA232" s="93">
        <f>IF(AND($T232=1,CA$5&lt;=$H232),INDEX(Mortality!$B$4:$E$64,MATCH($D232+CA$5-1,Mortality!$A$4:$A$64,0),$U232)*$V232*$N232,0)</f>
        <v>0</v>
      </c>
      <c r="CB232" s="93">
        <f>IF(AND($T232=1,CB$5&lt;=$H232),INDEX(Mortality!$B$4:$E$64,MATCH($D232+CB$5-1,Mortality!$A$4:$A$64,0),$U232)*$V232*$N232,0)</f>
        <v>0</v>
      </c>
      <c r="CC232" s="93">
        <f>IF(AND($T232=1,CC$5&lt;=$H232),INDEX(Mortality!$B$4:$E$64,MATCH($D232+CC$5-1,Mortality!$A$4:$A$64,0),$U232)*$V232*$N232,0)</f>
        <v>0</v>
      </c>
      <c r="CD232" s="93">
        <f>IF(AND($T232=1,CD$5&lt;=$H232),INDEX(Mortality!$B$4:$E$64,MATCH($D232+CD$5-1,Mortality!$A$4:$A$64,0),$U232)*$V232*$N232,0)</f>
        <v>0</v>
      </c>
      <c r="CE232" s="93">
        <f>IF(AND($T232=1,CE$5&lt;=$H232),INDEX(Mortality!$B$4:$E$64,MATCH($D232+CE$5-1,Mortality!$A$4:$A$64,0),$U232)*$V232*$N232,0)</f>
        <v>0</v>
      </c>
      <c r="CF232" s="93">
        <f>IF(AND($T232=1,CF$5&lt;=$H232),INDEX(Mortality!$B$4:$E$64,MATCH($D232+CF$5-1,Mortality!$A$4:$A$64,0),$U232)*$V232*$N232,0)</f>
        <v>0</v>
      </c>
      <c r="CG232" s="93">
        <f>IF(AND($T232=1,CG$5&lt;=$H232),INDEX(Mortality!$B$4:$E$64,MATCH($D232+CG$5-1,Mortality!$A$4:$A$64,0),$U232)*$V232*$N232,0)</f>
        <v>0</v>
      </c>
      <c r="CH232" s="94">
        <f>IF(AND($T232=1,CH$5&lt;=$H232),INDEX(Mortality!$B$4:$E$64,MATCH($D232+CH$5-1,Mortality!$A$4:$A$64,0),$U232)*$V232*$N232,0)</f>
        <v>0</v>
      </c>
      <c r="CI232" s="26"/>
      <c r="CJ232" s="419">
        <f t="shared" si="89"/>
        <v>0</v>
      </c>
      <c r="CK232" s="93">
        <f>IF(AND($T232=1,CK$5&lt;=$H232),CJ232*(1-AU232)*(1-MIN(1,MAX(Assumptions!$C$27,Assumptions!$C$13*Assumptions!$C$28^(CJ$5-1))*$O232)),0)</f>
        <v>0</v>
      </c>
      <c r="CL232" s="93">
        <f>IF(AND($T232=1,CL$5&lt;=$H232),CK232*(1-AV232)*(1-MIN(1,MAX(Assumptions!$C$27,Assumptions!$C$13*Assumptions!$C$28^(CK$5-1))*$O232)),0)</f>
        <v>0</v>
      </c>
      <c r="CM232" s="93">
        <f>IF(AND($T232=1,CM$5&lt;=$H232),CL232*(1-AW232)*(1-MIN(1,MAX(Assumptions!$C$27,Assumptions!$C$13*Assumptions!$C$28^(CL$5-1))*$O232)),0)</f>
        <v>0</v>
      </c>
      <c r="CN232" s="93">
        <f>IF(AND($T232=1,CN$5&lt;=$H232),CM232*(1-AX232)*(1-MIN(1,MAX(Assumptions!$C$27,Assumptions!$C$13*Assumptions!$C$28^(CM$5-1))*$O232)),0)</f>
        <v>0</v>
      </c>
      <c r="CO232" s="93">
        <f>IF(AND($T232=1,CO$5&lt;=$H232),CN232*(1-AY232)*(1-MIN(1,MAX(Assumptions!$C$27,Assumptions!$C$13*Assumptions!$C$28^(CN$5-1))*$O232)),0)</f>
        <v>0</v>
      </c>
      <c r="CP232" s="93">
        <f>IF(AND($T232=1,CP$5&lt;=$H232),CO232*(1-AZ232)*(1-MIN(1,MAX(Assumptions!$C$27,Assumptions!$C$13*Assumptions!$C$28^(CO$5-1))*$O232)),0)</f>
        <v>0</v>
      </c>
      <c r="CQ232" s="93">
        <f>IF(AND($T232=1,CQ$5&lt;=$H232),CP232*(1-BA232)*(1-MIN(1,MAX(Assumptions!$C$27,Assumptions!$C$13*Assumptions!$C$28^(CP$5-1))*$O232)),0)</f>
        <v>0</v>
      </c>
      <c r="CR232" s="93">
        <f>IF(AND($T232=1,CR$5&lt;=$H232),CQ232*(1-BB232)*(1-MIN(1,MAX(Assumptions!$C$27,Assumptions!$C$13*Assumptions!$C$28^(CQ$5-1))*$O232)),0)</f>
        <v>0</v>
      </c>
      <c r="CS232" s="93">
        <f>IF(AND($T232=1,CS$5&lt;=$H232),CR232*(1-BC232)*(1-MIN(1,MAX(Assumptions!$C$27,Assumptions!$C$13*Assumptions!$C$28^(CR$5-1))*$O232)),0)</f>
        <v>0</v>
      </c>
      <c r="CT232" s="93">
        <f>IF(AND($T232=1,CT$5&lt;=$H232),CS232*(1-BD232)*(1-MIN(1,MAX(Assumptions!$C$27,Assumptions!$C$13*Assumptions!$C$28^(CS$5-1))*$O232)),0)</f>
        <v>0</v>
      </c>
      <c r="CU232" s="93">
        <f>IF(AND($T232=1,CU$5&lt;=$H232),CT232*(1-BE232)*(1-MIN(1,MAX(Assumptions!$C$27,Assumptions!$C$13*Assumptions!$C$28^(CT$5-1))*$O232)),0)</f>
        <v>0</v>
      </c>
      <c r="CV232" s="93">
        <f>IF(AND($T232=1,CV$5&lt;=$H232),CU232*(1-BF232)*(1-MIN(1,MAX(Assumptions!$C$27,Assumptions!$C$13*Assumptions!$C$28^(CU$5-1))*$O232)),0)</f>
        <v>0</v>
      </c>
      <c r="CW232" s="93">
        <f>IF(AND($T232=1,CW$5&lt;=$H232),CV232*(1-BG232)*(1-MIN(1,MAX(Assumptions!$C$27,Assumptions!$C$13*Assumptions!$C$28^(CV$5-1))*$O232)),0)</f>
        <v>0</v>
      </c>
      <c r="CX232" s="93">
        <f>IF(AND($T232=1,CX$5&lt;=$H232),CW232*(1-BH232)*(1-MIN(1,MAX(Assumptions!$C$27,Assumptions!$C$13*Assumptions!$C$28^(CW$5-1))*$O232)),0)</f>
        <v>0</v>
      </c>
      <c r="CY232" s="93">
        <f>IF(AND($T232=1,CY$5&lt;=$H232),CX232*(1-BI232)*(1-MIN(1,MAX(Assumptions!$C$27,Assumptions!$C$13*Assumptions!$C$28^(CX$5-1))*$O232)),0)</f>
        <v>0</v>
      </c>
      <c r="CZ232" s="93">
        <f>IF(AND($T232=1,CZ$5&lt;=$H232),CY232*(1-BJ232)*(1-MIN(1,MAX(Assumptions!$C$27,Assumptions!$C$13*Assumptions!$C$28^(CY$5-1))*$O232)),0)</f>
        <v>0</v>
      </c>
      <c r="DA232" s="93">
        <f>IF(AND($T232=1,DA$5&lt;=$H232),CZ232*(1-BK232)*(1-MIN(1,MAX(Assumptions!$C$27,Assumptions!$C$13*Assumptions!$C$28^(CZ$5-1))*$O232)),0)</f>
        <v>0</v>
      </c>
      <c r="DB232" s="93">
        <f>IF(AND($T232=1,DB$5&lt;=$H232),DA232*(1-BL232)*(1-MIN(1,MAX(Assumptions!$C$27,Assumptions!$C$13*Assumptions!$C$28^(DA$5-1))*$O232)),0)</f>
        <v>0</v>
      </c>
      <c r="DC232" s="93">
        <f>IF(AND($T232=1,DC$5&lt;=$H232),DB232*(1-BM232)*(1-MIN(1,MAX(Assumptions!$C$27,Assumptions!$C$13*Assumptions!$C$28^(DB$5-1))*$O232)),0)</f>
        <v>0</v>
      </c>
      <c r="DD232" s="93">
        <f>IF(AND($T232=1,DD$5&lt;=$H232),DC232*(1-BN232)*(1-MIN(1,MAX(Assumptions!$C$27,Assumptions!$C$13*Assumptions!$C$28^(DC$5-1))*$O232)),0)</f>
        <v>0</v>
      </c>
      <c r="DE232" s="93">
        <f>IF(AND($T232=1,DE$5&lt;=$H232),DD232*(1-BO232)*(1-MIN(1,MAX(Assumptions!$C$27,Assumptions!$C$13*Assumptions!$C$28^(DD$5-1))*$O232)),0)</f>
        <v>0</v>
      </c>
      <c r="DF232" s="93">
        <f>IF(AND($T232=1,DF$5&lt;=$H232),DE232*(1-BP232)*(1-MIN(1,MAX(Assumptions!$C$27,Assumptions!$C$13*Assumptions!$C$28^(DE$5-1))*$O232)),0)</f>
        <v>0</v>
      </c>
      <c r="DG232" s="93">
        <f>IF(AND($T232=1,DG$5&lt;=$H232),DF232*(1-BQ232)*(1-MIN(1,MAX(Assumptions!$C$27,Assumptions!$C$13*Assumptions!$C$28^(DF$5-1))*$O232)),0)</f>
        <v>0</v>
      </c>
      <c r="DH232" s="93">
        <f>IF(AND($T232=1,DH$5&lt;=$H232),DG232*(1-BR232)*(1-MIN(1,MAX(Assumptions!$C$27,Assumptions!$C$13*Assumptions!$C$28^(DG$5-1))*$O232)),0)</f>
        <v>0</v>
      </c>
      <c r="DI232" s="93">
        <f>IF(AND($T232=1,DI$5&lt;=$H232),DH232*(1-BS232)*(1-MIN(1,MAX(Assumptions!$C$27,Assumptions!$C$13*Assumptions!$C$28^(DH$5-1))*$O232)),0)</f>
        <v>0</v>
      </c>
      <c r="DJ232" s="93">
        <f>IF(AND($T232=1,DJ$5&lt;=$H232),DI232*(1-BT232)*(1-MIN(1,MAX(Assumptions!$C$27,Assumptions!$C$13*Assumptions!$C$28^(DI$5-1))*$O232)),0)</f>
        <v>0</v>
      </c>
      <c r="DK232" s="93">
        <f>IF(AND($T232=1,DK$5&lt;=$H232),DJ232*(1-BU232)*(1-MIN(1,MAX(Assumptions!$C$27,Assumptions!$C$13*Assumptions!$C$28^(DJ$5-1))*$O232)),0)</f>
        <v>0</v>
      </c>
      <c r="DL232" s="93">
        <f>IF(AND($T232=1,DL$5&lt;=$H232),DK232*(1-BV232)*(1-MIN(1,MAX(Assumptions!$C$27,Assumptions!$C$13*Assumptions!$C$28^(DK$5-1))*$O232)),0)</f>
        <v>0</v>
      </c>
      <c r="DM232" s="93">
        <f>IF(AND($T232=1,DM$5&lt;=$H232),DL232*(1-BW232)*(1-MIN(1,MAX(Assumptions!$C$27,Assumptions!$C$13*Assumptions!$C$28^(DL$5-1))*$O232)),0)</f>
        <v>0</v>
      </c>
      <c r="DN232" s="93">
        <f>IF(AND($T232=1,DN$5&lt;=$H232),DM232*(1-BX232)*(1-MIN(1,MAX(Assumptions!$C$27,Assumptions!$C$13*Assumptions!$C$28^(DM$5-1))*$O232)),0)</f>
        <v>0</v>
      </c>
      <c r="DO232" s="93">
        <f>IF(AND($T232=1,DO$5&lt;=$H232),DN232*(1-BY232)*(1-MIN(1,MAX(Assumptions!$C$27,Assumptions!$C$13*Assumptions!$C$28^(DN$5-1))*$O232)),0)</f>
        <v>0</v>
      </c>
      <c r="DP232" s="93">
        <f>IF(AND($T232=1,DP$5&lt;=$H232),DO232*(1-BZ232)*(1-MIN(1,MAX(Assumptions!$C$27,Assumptions!$C$13*Assumptions!$C$28^(DO$5-1))*$O232)),0)</f>
        <v>0</v>
      </c>
      <c r="DQ232" s="93">
        <f>IF(AND($T232=1,DQ$5&lt;=$H232),DP232*(1-CA232)*(1-MIN(1,MAX(Assumptions!$C$27,Assumptions!$C$13*Assumptions!$C$28^(DP$5-1))*$O232)),0)</f>
        <v>0</v>
      </c>
      <c r="DR232" s="93">
        <f>IF(AND($T232=1,DR$5&lt;=$H232),DQ232*(1-CB232)*(1-MIN(1,MAX(Assumptions!$C$27,Assumptions!$C$13*Assumptions!$C$28^(DQ$5-1))*$O232)),0)</f>
        <v>0</v>
      </c>
      <c r="DS232" s="93">
        <f>IF(AND($T232=1,DS$5&lt;=$H232),DR232*(1-CC232)*(1-MIN(1,MAX(Assumptions!$C$27,Assumptions!$C$13*Assumptions!$C$28^(DR$5-1))*$O232)),0)</f>
        <v>0</v>
      </c>
      <c r="DT232" s="93">
        <f>IF(AND($T232=1,DT$5&lt;=$H232),DS232*(1-CD232)*(1-MIN(1,MAX(Assumptions!$C$27,Assumptions!$C$13*Assumptions!$C$28^(DS$5-1))*$O232)),0)</f>
        <v>0</v>
      </c>
      <c r="DU232" s="93">
        <f>IF(AND($T232=1,DU$5&lt;=$H232),DT232*(1-CE232)*(1-MIN(1,MAX(Assumptions!$C$27,Assumptions!$C$13*Assumptions!$C$28^(DT$5-1))*$O232)),0)</f>
        <v>0</v>
      </c>
      <c r="DV232" s="93">
        <f>IF(AND($T232=1,DV$5&lt;=$H232),DU232*(1-CF232)*(1-MIN(1,MAX(Assumptions!$C$27,Assumptions!$C$13*Assumptions!$C$28^(DU$5-1))*$O232)),0)</f>
        <v>0</v>
      </c>
      <c r="DW232" s="94">
        <f>IF(AND($T232=1,DW$5&lt;=$H232),DV232*(1-CG232)*(1-MIN(1,MAX(Assumptions!$C$27,Assumptions!$C$13*Assumptions!$C$28^(DV$5-1))*$O232)),0)</f>
        <v>0</v>
      </c>
      <c r="DX232" s="26"/>
      <c r="DY232" s="399">
        <f>'Policy Data'!K206</f>
        <v>5</v>
      </c>
      <c r="DZ232" s="100">
        <f>'Policy Data'!L206</f>
        <v>0.60029999999999994</v>
      </c>
      <c r="EA232" s="100">
        <f>'Policy Data'!N206</f>
        <v>3.7759999999999998E-3</v>
      </c>
      <c r="EB232" s="93" cm="1">
        <f t="array" ref="EB232">IFERROR(DZ232*INDEX(Mortality!$B$4:$E$64,MATCH(D232+DY232-1,Mortality!$A$4:$A$64,0),U232)*V232,0)</f>
        <v>5.1999428001728073E-3</v>
      </c>
      <c r="EC232" s="100">
        <f>'Policy Data'!O206</f>
        <v>0</v>
      </c>
      <c r="ED232" s="400">
        <f>'Policy Data'!Q206</f>
        <v>0</v>
      </c>
    </row>
    <row r="233" spans="1:134" x14ac:dyDescent="0.3">
      <c r="A233" s="399" t="str">
        <f>'Policy Data'!A207</f>
        <v>POL100203</v>
      </c>
      <c r="B233" s="26" t="s">
        <v>426</v>
      </c>
      <c r="C233" s="100" t="str">
        <f>'Policy Data'!B207</f>
        <v>Term Life</v>
      </c>
      <c r="D233" s="100">
        <f>'Policy Data'!C207</f>
        <v>41</v>
      </c>
      <c r="E233" s="100" t="str">
        <f>'Policy Data'!D207</f>
        <v>Male</v>
      </c>
      <c r="F233" s="100" t="str">
        <f>'Policy Data'!E207</f>
        <v>Non-smoker</v>
      </c>
      <c r="G233" s="100" t="str">
        <f>'Policy Data'!F207</f>
        <v>Standard</v>
      </c>
      <c r="H233" s="100">
        <f>'Policy Data'!G207</f>
        <v>15</v>
      </c>
      <c r="I233" s="279">
        <f>'Policy Data'!H207</f>
        <v>2000000</v>
      </c>
      <c r="J233" s="100" t="str">
        <f>'Policy Data'!I207</f>
        <v>Annual</v>
      </c>
      <c r="K233" s="100" t="str">
        <f>'Policy Data'!J207</f>
        <v>Broker</v>
      </c>
      <c r="L233" s="26" t="s">
        <v>389</v>
      </c>
      <c r="M233" s="106">
        <f>'Policy Data'!R207</f>
        <v>4524.43</v>
      </c>
      <c r="N233" s="415">
        <f>Assumptions!$C$21</f>
        <v>1</v>
      </c>
      <c r="O233" s="415">
        <f>Assumptions!$C$22</f>
        <v>1</v>
      </c>
      <c r="P233" s="415">
        <f>Assumptions!$C$23</f>
        <v>1</v>
      </c>
      <c r="Q233" s="416">
        <f>Assumptions!$C$24</f>
        <v>0</v>
      </c>
      <c r="R233" s="416">
        <f>Assumptions!$C$6+Assumptions!$C$25</f>
        <v>3.5000000000000003E-2</v>
      </c>
      <c r="S233" s="416">
        <f>Assumptions!$C$15</f>
        <v>1.1000000000000001E-3</v>
      </c>
      <c r="T233" s="26">
        <f t="shared" si="72"/>
        <v>1</v>
      </c>
      <c r="U233" s="26">
        <f t="shared" si="73"/>
        <v>3</v>
      </c>
      <c r="V233" s="389">
        <f>IF($G233="Preferred",Assumptions!$C$30,IF($G233="Rated",Assumptions!$C$31,1))</f>
        <v>1</v>
      </c>
      <c r="W233" s="390">
        <f>IF($K233="Direct",Assumptions!$C$32,IF($K233="Broker",Assumptions!$C$33,IF($K233="Bancassurance",Assumptions!$C$34,Assumptions!$C$11)))+$Q233</f>
        <v>0.25</v>
      </c>
      <c r="X233" s="390">
        <f>Assumptions!$C$12+$Q233</f>
        <v>0.05</v>
      </c>
      <c r="Y233" s="131">
        <f>MIN($I233,Assumptions!$C$14)</f>
        <v>500000</v>
      </c>
      <c r="Z233" s="131">
        <f>MAX($I233-Assumptions!$C$14,0)</f>
        <v>1500000</v>
      </c>
      <c r="AA233" s="389">
        <f t="shared" si="74"/>
        <v>7.3743670398821388</v>
      </c>
      <c r="AB233" s="389">
        <f t="shared" si="75"/>
        <v>1.4976256624400186E-2</v>
      </c>
      <c r="AC233" s="389">
        <f>IF($T233=1,SUMPRODUCT($CJ233:$DW233,(1+Assumptions!$C$5)^($CJ$5:$DW$5-1),(1+$R233)^(-$CJ$5:$DW$5)),0)</f>
        <v>9.221342564532744</v>
      </c>
      <c r="AD233" s="389">
        <f t="shared" si="76"/>
        <v>0.56195506696995245</v>
      </c>
      <c r="AE233" s="131">
        <f>IF($T233=1,$AB233*$Y233+(Assumptions!$C$9/(1+$R233)+Assumptions!$C$10*$AC233)*$P233+$S233*$Z233*$AA233,0)</f>
        <v>22554.094509594128</v>
      </c>
      <c r="AF233" s="131">
        <f>IF($T233=1,IF($AA233-$AD233-Assumptions!$C$16*$AA233&gt;0,$AE233/($AA233-$AD233-Assumptions!$C$16*$AA233)*IF($J233="Monthly",1+Assumptions!$C$29,1),"n.a."),"")</f>
        <v>3624.6251563419464</v>
      </c>
      <c r="AG233" s="131">
        <f t="shared" si="77"/>
        <v>4524.43</v>
      </c>
      <c r="AH233" s="131">
        <f t="shared" si="78"/>
        <v>33364.807466253944</v>
      </c>
      <c r="AI233" s="131">
        <f t="shared" si="79"/>
        <v>8268.1865930089589</v>
      </c>
      <c r="AJ233" s="390">
        <f t="shared" si="80"/>
        <v>0.24781160812546643</v>
      </c>
      <c r="AK233" s="389">
        <f t="shared" si="81"/>
        <v>1.2482476959262063</v>
      </c>
      <c r="AL233" s="131">
        <f t="shared" si="82"/>
        <v>22464.38493660028</v>
      </c>
      <c r="AM233" s="131">
        <f t="shared" si="83"/>
        <v>12167.705615805529</v>
      </c>
      <c r="AN233" s="131">
        <f t="shared" si="84"/>
        <v>10296.67932079475</v>
      </c>
      <c r="AO233" s="131">
        <f t="shared" si="85"/>
        <v>-2028.4927277857914</v>
      </c>
      <c r="AP233" s="26" t="str">
        <f t="shared" si="86"/>
        <v>40-49</v>
      </c>
      <c r="AQ233" s="26" t="str">
        <f t="shared" si="87"/>
        <v>Over 1m</v>
      </c>
      <c r="AR233" s="26" t="str">
        <f>IF($T233=1,IF($AI233&lt;0,"Loss-making",IF($AJ233&lt;Assumptions!$C$16-0.00001,"Below target","At/above target")),"Excluded")</f>
        <v>At/above target</v>
      </c>
      <c r="AS233" s="103">
        <f t="shared" si="88"/>
        <v>8268.1868260089595</v>
      </c>
      <c r="AT233" s="26"/>
      <c r="AU233" s="419">
        <f>IF(AND($T233=1,AU$5&lt;=$H233),INDEX(Mortality!$B$4:$E$64,MATCH($D233+AU$5-1,Mortality!$A$4:$A$64,0),$U233)*$V233*$N233,0)</f>
        <v>1.24764059807091E-3</v>
      </c>
      <c r="AV233" s="93">
        <f>IF(AND($T233=1,AV$5&lt;=$H233),INDEX(Mortality!$B$4:$E$64,MATCH($D233+AV$5-1,Mortality!$A$4:$A$64,0),$U233)*$V233*$N233,0)</f>
        <v>1.3515529249964601E-3</v>
      </c>
      <c r="AW233" s="93">
        <f>IF(AND($T233=1,AW$5&lt;=$H233),INDEX(Mortality!$B$4:$E$64,MATCH($D233+AW$5-1,Mortality!$A$4:$A$64,0),$U233)*$V233*$N233,0)</f>
        <v>1.4641198049269301E-3</v>
      </c>
      <c r="AX233" s="93">
        <f>IF(AND($T233=1,AX$5&lt;=$H233),INDEX(Mortality!$B$4:$E$64,MATCH($D233+AX$5-1,Mortality!$A$4:$A$64,0),$U233)*$V233*$N233,0)</f>
        <v>1.58606205020413E-3</v>
      </c>
      <c r="AY233" s="93">
        <f>IF(AND($T233=1,AY$5&lt;=$H233),INDEX(Mortality!$B$4:$E$64,MATCH($D233+AY$5-1,Mortality!$A$4:$A$64,0),$U233)*$V233*$N233,0)</f>
        <v>1.71816050751616E-3</v>
      </c>
      <c r="AZ233" s="93">
        <f>IF(AND($T233=1,AZ$5&lt;=$H233),INDEX(Mortality!$B$4:$E$64,MATCH($D233+AZ$5-1,Mortality!$A$4:$A$64,0),$U233)*$V233*$N233,0)</f>
        <v>1.8612610579820999E-3</v>
      </c>
      <c r="BA233" s="93">
        <f>IF(AND($T233=1,BA$5&lt;=$H233),INDEX(Mortality!$B$4:$E$64,MATCH($D233+BA$5-1,Mortality!$A$4:$A$64,0),$U233)*$V233*$N233,0)</f>
        <v>2.0162800336790201E-3</v>
      </c>
      <c r="BB233" s="93">
        <f>IF(AND($T233=1,BB$5&lt;=$H233),INDEX(Mortality!$B$4:$E$64,MATCH($D233+BB$5-1,Mortality!$A$4:$A$64,0),$U233)*$V233*$N233,0)</f>
        <v>2.1842100852957199E-3</v>
      </c>
      <c r="BC233" s="93">
        <f>IF(AND($T233=1,BC$5&lt;=$H233),INDEX(Mortality!$B$4:$E$64,MATCH($D233+BC$5-1,Mortality!$A$4:$A$64,0),$U233)*$V233*$N233,0)</f>
        <v>2.3661265384860701E-3</v>
      </c>
      <c r="BD233" s="93">
        <f>IF(AND($T233=1,BD$5&lt;=$H233),INDEX(Mortality!$B$4:$E$64,MATCH($D233+BD$5-1,Mortality!$A$4:$A$64,0),$U233)*$V233*$N233,0)</f>
        <v>2.5631942796244698E-3</v>
      </c>
      <c r="BE233" s="93">
        <f>IF(AND($T233=1,BE$5&lt;=$H233),INDEX(Mortality!$B$4:$E$64,MATCH($D233+BE$5-1,Mortality!$A$4:$A$64,0),$U233)*$V233*$N233,0)</f>
        <v>2.7766752150556202E-3</v>
      </c>
      <c r="BF233" s="93">
        <f>IF(AND($T233=1,BF$5&lt;=$H233),INDEX(Mortality!$B$4:$E$64,MATCH($D233+BF$5-1,Mortality!$A$4:$A$64,0),$U233)*$V233*$N233,0)</f>
        <v>3.0079363516033399E-3</v>
      </c>
      <c r="BG233" s="93">
        <f>IF(AND($T233=1,BG$5&lt;=$H233),INDEX(Mortality!$B$4:$E$64,MATCH($D233+BG$5-1,Mortality!$A$4:$A$64,0),$U233)*$V233*$N233,0)</f>
        <v>3.2584585500813001E-3</v>
      </c>
      <c r="BH233" s="93">
        <f>IF(AND($T233=1,BH$5&lt;=$H233),INDEX(Mortality!$B$4:$E$64,MATCH($D233+BH$5-1,Mortality!$A$4:$A$64,0),$U233)*$V233*$N233,0)</f>
        <v>3.5298460078579601E-3</v>
      </c>
      <c r="BI233" s="93">
        <f>IF(AND($T233=1,BI$5&lt;=$H233),INDEX(Mortality!$B$4:$E$64,MATCH($D233+BI$5-1,Mortality!$A$4:$A$64,0),$U233)*$V233*$N233,0)</f>
        <v>3.8238365311966099E-3</v>
      </c>
      <c r="BJ233" s="93">
        <f>IF(AND($T233=1,BJ$5&lt;=$H233),INDEX(Mortality!$B$4:$E$64,MATCH($D233+BJ$5-1,Mortality!$A$4:$A$64,0),$U233)*$V233*$N233,0)</f>
        <v>0</v>
      </c>
      <c r="BK233" s="93">
        <f>IF(AND($T233=1,BK$5&lt;=$H233),INDEX(Mortality!$B$4:$E$64,MATCH($D233+BK$5-1,Mortality!$A$4:$A$64,0),$U233)*$V233*$N233,0)</f>
        <v>0</v>
      </c>
      <c r="BL233" s="93">
        <f>IF(AND($T233=1,BL$5&lt;=$H233),INDEX(Mortality!$B$4:$E$64,MATCH($D233+BL$5-1,Mortality!$A$4:$A$64,0),$U233)*$V233*$N233,0)</f>
        <v>0</v>
      </c>
      <c r="BM233" s="93">
        <f>IF(AND($T233=1,BM$5&lt;=$H233),INDEX(Mortality!$B$4:$E$64,MATCH($D233+BM$5-1,Mortality!$A$4:$A$64,0),$U233)*$V233*$N233,0)</f>
        <v>0</v>
      </c>
      <c r="BN233" s="93">
        <f>IF(AND($T233=1,BN$5&lt;=$H233),INDEX(Mortality!$B$4:$E$64,MATCH($D233+BN$5-1,Mortality!$A$4:$A$64,0),$U233)*$V233*$N233,0)</f>
        <v>0</v>
      </c>
      <c r="BO233" s="93">
        <f>IF(AND($T233=1,BO$5&lt;=$H233),INDEX(Mortality!$B$4:$E$64,MATCH($D233+BO$5-1,Mortality!$A$4:$A$64,0),$U233)*$V233*$N233,0)</f>
        <v>0</v>
      </c>
      <c r="BP233" s="93">
        <f>IF(AND($T233=1,BP$5&lt;=$H233),INDEX(Mortality!$B$4:$E$64,MATCH($D233+BP$5-1,Mortality!$A$4:$A$64,0),$U233)*$V233*$N233,0)</f>
        <v>0</v>
      </c>
      <c r="BQ233" s="93">
        <f>IF(AND($T233=1,BQ$5&lt;=$H233),INDEX(Mortality!$B$4:$E$64,MATCH($D233+BQ$5-1,Mortality!$A$4:$A$64,0),$U233)*$V233*$N233,0)</f>
        <v>0</v>
      </c>
      <c r="BR233" s="93">
        <f>IF(AND($T233=1,BR$5&lt;=$H233),INDEX(Mortality!$B$4:$E$64,MATCH($D233+BR$5-1,Mortality!$A$4:$A$64,0),$U233)*$V233*$N233,0)</f>
        <v>0</v>
      </c>
      <c r="BS233" s="93">
        <f>IF(AND($T233=1,BS$5&lt;=$H233),INDEX(Mortality!$B$4:$E$64,MATCH($D233+BS$5-1,Mortality!$A$4:$A$64,0),$U233)*$V233*$N233,0)</f>
        <v>0</v>
      </c>
      <c r="BT233" s="93">
        <f>IF(AND($T233=1,BT$5&lt;=$H233),INDEX(Mortality!$B$4:$E$64,MATCH($D233+BT$5-1,Mortality!$A$4:$A$64,0),$U233)*$V233*$N233,0)</f>
        <v>0</v>
      </c>
      <c r="BU233" s="93">
        <f>IF(AND($T233=1,BU$5&lt;=$H233),INDEX(Mortality!$B$4:$E$64,MATCH($D233+BU$5-1,Mortality!$A$4:$A$64,0),$U233)*$V233*$N233,0)</f>
        <v>0</v>
      </c>
      <c r="BV233" s="93">
        <f>IF(AND($T233=1,BV$5&lt;=$H233),INDEX(Mortality!$B$4:$E$64,MATCH($D233+BV$5-1,Mortality!$A$4:$A$64,0),$U233)*$V233*$N233,0)</f>
        <v>0</v>
      </c>
      <c r="BW233" s="93">
        <f>IF(AND($T233=1,BW$5&lt;=$H233),INDEX(Mortality!$B$4:$E$64,MATCH($D233+BW$5-1,Mortality!$A$4:$A$64,0),$U233)*$V233*$N233,0)</f>
        <v>0</v>
      </c>
      <c r="BX233" s="93">
        <f>IF(AND($T233=1,BX$5&lt;=$H233),INDEX(Mortality!$B$4:$E$64,MATCH($D233+BX$5-1,Mortality!$A$4:$A$64,0),$U233)*$V233*$N233,0)</f>
        <v>0</v>
      </c>
      <c r="BY233" s="93">
        <f>IF(AND($T233=1,BY$5&lt;=$H233),INDEX(Mortality!$B$4:$E$64,MATCH($D233+BY$5-1,Mortality!$A$4:$A$64,0),$U233)*$V233*$N233,0)</f>
        <v>0</v>
      </c>
      <c r="BZ233" s="93">
        <f>IF(AND($T233=1,BZ$5&lt;=$H233),INDEX(Mortality!$B$4:$E$64,MATCH($D233+BZ$5-1,Mortality!$A$4:$A$64,0),$U233)*$V233*$N233,0)</f>
        <v>0</v>
      </c>
      <c r="CA233" s="93">
        <f>IF(AND($T233=1,CA$5&lt;=$H233),INDEX(Mortality!$B$4:$E$64,MATCH($D233+CA$5-1,Mortality!$A$4:$A$64,0),$U233)*$V233*$N233,0)</f>
        <v>0</v>
      </c>
      <c r="CB233" s="93">
        <f>IF(AND($T233=1,CB$5&lt;=$H233),INDEX(Mortality!$B$4:$E$64,MATCH($D233+CB$5-1,Mortality!$A$4:$A$64,0),$U233)*$V233*$N233,0)</f>
        <v>0</v>
      </c>
      <c r="CC233" s="93">
        <f>IF(AND($T233=1,CC$5&lt;=$H233),INDEX(Mortality!$B$4:$E$64,MATCH($D233+CC$5-1,Mortality!$A$4:$A$64,0),$U233)*$V233*$N233,0)</f>
        <v>0</v>
      </c>
      <c r="CD233" s="93">
        <f>IF(AND($T233=1,CD$5&lt;=$H233),INDEX(Mortality!$B$4:$E$64,MATCH($D233+CD$5-1,Mortality!$A$4:$A$64,0),$U233)*$V233*$N233,0)</f>
        <v>0</v>
      </c>
      <c r="CE233" s="93">
        <f>IF(AND($T233=1,CE$5&lt;=$H233),INDEX(Mortality!$B$4:$E$64,MATCH($D233+CE$5-1,Mortality!$A$4:$A$64,0),$U233)*$V233*$N233,0)</f>
        <v>0</v>
      </c>
      <c r="CF233" s="93">
        <f>IF(AND($T233=1,CF$5&lt;=$H233),INDEX(Mortality!$B$4:$E$64,MATCH($D233+CF$5-1,Mortality!$A$4:$A$64,0),$U233)*$V233*$N233,0)</f>
        <v>0</v>
      </c>
      <c r="CG233" s="93">
        <f>IF(AND($T233=1,CG$5&lt;=$H233),INDEX(Mortality!$B$4:$E$64,MATCH($D233+CG$5-1,Mortality!$A$4:$A$64,0),$U233)*$V233*$N233,0)</f>
        <v>0</v>
      </c>
      <c r="CH233" s="94">
        <f>IF(AND($T233=1,CH$5&lt;=$H233),INDEX(Mortality!$B$4:$E$64,MATCH($D233+CH$5-1,Mortality!$A$4:$A$64,0),$U233)*$V233*$N233,0)</f>
        <v>0</v>
      </c>
      <c r="CI233" s="26"/>
      <c r="CJ233" s="419">
        <f t="shared" si="89"/>
        <v>1</v>
      </c>
      <c r="CK233" s="93">
        <f>IF(AND($T233=1,CK$5&lt;=$H233),CJ233*(1-AU233)*(1-MIN(1,MAX(Assumptions!$C$27,Assumptions!$C$13*Assumptions!$C$28^(CJ$5-1))*$O233)),0)</f>
        <v>0.87890207627369754</v>
      </c>
      <c r="CL233" s="93">
        <f>IF(AND($T233=1,CL$5&lt;=$H233),CK233*(1-AV233)*(1-MIN(1,MAX(Assumptions!$C$27,Assumptions!$C$13*Assumptions!$C$28^(CK$5-1))*$O233)),0)</f>
        <v>0.78818734585434858</v>
      </c>
      <c r="CM233" s="93">
        <f>IF(AND($T233=1,CM$5&lt;=$H233),CL233*(1-AW233)*(1-MIN(1,MAX(Assumptions!$C$27,Assumptions!$C$13*Assumptions!$C$28^(CL$5-1))*$O233)),0)</f>
        <v>0.71879755412667357</v>
      </c>
      <c r="CN233" s="93">
        <f>IF(AND($T233=1,CN$5&lt;=$H233),CM233*(1-AX233)*(1-MIN(1,MAX(Assumptions!$C$27,Assumptions!$C$13*Assumptions!$C$28^(CM$5-1))*$O233)),0)</f>
        <v>0.66476972739204032</v>
      </c>
      <c r="CO233" s="93">
        <f>IF(AND($T233=1,CO$5&lt;=$H233),CN233*(1-AY233)*(1-MIN(1,MAX(Assumptions!$C$27,Assumptions!$C$13*Assumptions!$C$28^(CN$5-1))*$O233)),0)</f>
        <v>0.62205741907896106</v>
      </c>
      <c r="CP233" s="93">
        <f>IF(AND($T233=1,CP$5&lt;=$H233),CO233*(1-AZ233)*(1-MIN(1,MAX(Assumptions!$C$27,Assumptions!$C$13*Assumptions!$C$28^(CO$5-1))*$O233)),0)</f>
        <v>0.58784003328625323</v>
      </c>
      <c r="CQ233" s="93">
        <f>IF(AND($T233=1,CQ$5&lt;=$H233),CP233*(1-BA233)*(1-MIN(1,MAX(Assumptions!$C$27,Assumptions!$C$13*Assumptions!$C$28^(CP$5-1))*$O233)),0)</f>
        <v>0.56010399508700748</v>
      </c>
      <c r="CR233" s="93">
        <f>IF(AND($T233=1,CR$5&lt;=$H233),CQ233*(1-BB233)*(1-MIN(1,MAX(Assumptions!$C$27,Assumptions!$C$13*Assumptions!$C$28^(CQ$5-1))*$O233)),0)</f>
        <v>0.53738089204280837</v>
      </c>
      <c r="CS233" s="93">
        <f>IF(AND($T233=1,CS$5&lt;=$H233),CR233*(1-BC233)*(1-MIN(1,MAX(Assumptions!$C$27,Assumptions!$C$13*Assumptions!$C$28^(CR$5-1))*$O233)),0)</f>
        <v>0.51857921365283466</v>
      </c>
      <c r="CT233" s="93">
        <f>IF(AND($T233=1,CT$5&lt;=$H233),CS233*(1-BD233)*(1-MIN(1,MAX(Assumptions!$C$27,Assumptions!$C$13*Assumptions!$C$28^(CS$5-1))*$O233)),0)</f>
        <v>0.50287353067930307</v>
      </c>
      <c r="CU233" s="93">
        <f>IF(AND($T233=1,CU$5&lt;=$H233),CT233*(1-BE233)*(1-MIN(1,MAX(Assumptions!$C$27,Assumptions!$C$13*Assumptions!$C$28^(CT$5-1))*$O233)),0)</f>
        <v>0.48962985086978517</v>
      </c>
      <c r="CV233" s="93">
        <f>IF(AND($T233=1,CV$5&lt;=$H233),CU233*(1-BF233)*(1-MIN(1,MAX(Assumptions!$C$27,Assumptions!$C$13*Assumptions!$C$28^(CU$5-1))*$O233)),0)</f>
        <v>0.47835430083037328</v>
      </c>
      <c r="CW233" s="93">
        <f>IF(AND($T233=1,CW$5&lt;=$H233),CV233*(1-BG233)*(1-MIN(1,MAX(Assumptions!$C$27,Assumptions!$C$13*Assumptions!$C$28^(CV$5-1))*$O233)),0)</f>
        <v>0.4672596911054871</v>
      </c>
      <c r="CX233" s="93">
        <f>IF(AND($T233=1,CX$5&lt;=$H233),CW233*(1-BH233)*(1-MIN(1,MAX(Assumptions!$C$27,Assumptions!$C$13*Assumptions!$C$28^(CW$5-1))*$O233)),0)</f>
        <v>0.45629812962320132</v>
      </c>
      <c r="CY233" s="93">
        <f>IF(AND($T233=1,CY$5&lt;=$H233),CX233*(1-BI233)*(1-MIN(1,MAX(Assumptions!$C$27,Assumptions!$C$13*Assumptions!$C$28^(CX$5-1))*$O233)),0)</f>
        <v>0</v>
      </c>
      <c r="CZ233" s="93">
        <f>IF(AND($T233=1,CZ$5&lt;=$H233),CY233*(1-BJ233)*(1-MIN(1,MAX(Assumptions!$C$27,Assumptions!$C$13*Assumptions!$C$28^(CY$5-1))*$O233)),0)</f>
        <v>0</v>
      </c>
      <c r="DA233" s="93">
        <f>IF(AND($T233=1,DA$5&lt;=$H233),CZ233*(1-BK233)*(1-MIN(1,MAX(Assumptions!$C$27,Assumptions!$C$13*Assumptions!$C$28^(CZ$5-1))*$O233)),0)</f>
        <v>0</v>
      </c>
      <c r="DB233" s="93">
        <f>IF(AND($T233=1,DB$5&lt;=$H233),DA233*(1-BL233)*(1-MIN(1,MAX(Assumptions!$C$27,Assumptions!$C$13*Assumptions!$C$28^(DA$5-1))*$O233)),0)</f>
        <v>0</v>
      </c>
      <c r="DC233" s="93">
        <f>IF(AND($T233=1,DC$5&lt;=$H233),DB233*(1-BM233)*(1-MIN(1,MAX(Assumptions!$C$27,Assumptions!$C$13*Assumptions!$C$28^(DB$5-1))*$O233)),0)</f>
        <v>0</v>
      </c>
      <c r="DD233" s="93">
        <f>IF(AND($T233=1,DD$5&lt;=$H233),DC233*(1-BN233)*(1-MIN(1,MAX(Assumptions!$C$27,Assumptions!$C$13*Assumptions!$C$28^(DC$5-1))*$O233)),0)</f>
        <v>0</v>
      </c>
      <c r="DE233" s="93">
        <f>IF(AND($T233=1,DE$5&lt;=$H233),DD233*(1-BO233)*(1-MIN(1,MAX(Assumptions!$C$27,Assumptions!$C$13*Assumptions!$C$28^(DD$5-1))*$O233)),0)</f>
        <v>0</v>
      </c>
      <c r="DF233" s="93">
        <f>IF(AND($T233=1,DF$5&lt;=$H233),DE233*(1-BP233)*(1-MIN(1,MAX(Assumptions!$C$27,Assumptions!$C$13*Assumptions!$C$28^(DE$5-1))*$O233)),0)</f>
        <v>0</v>
      </c>
      <c r="DG233" s="93">
        <f>IF(AND($T233=1,DG$5&lt;=$H233),DF233*(1-BQ233)*(1-MIN(1,MAX(Assumptions!$C$27,Assumptions!$C$13*Assumptions!$C$28^(DF$5-1))*$O233)),0)</f>
        <v>0</v>
      </c>
      <c r="DH233" s="93">
        <f>IF(AND($T233=1,DH$5&lt;=$H233),DG233*(1-BR233)*(1-MIN(1,MAX(Assumptions!$C$27,Assumptions!$C$13*Assumptions!$C$28^(DG$5-1))*$O233)),0)</f>
        <v>0</v>
      </c>
      <c r="DI233" s="93">
        <f>IF(AND($T233=1,DI$5&lt;=$H233),DH233*(1-BS233)*(1-MIN(1,MAX(Assumptions!$C$27,Assumptions!$C$13*Assumptions!$C$28^(DH$5-1))*$O233)),0)</f>
        <v>0</v>
      </c>
      <c r="DJ233" s="93">
        <f>IF(AND($T233=1,DJ$5&lt;=$H233),DI233*(1-BT233)*(1-MIN(1,MAX(Assumptions!$C$27,Assumptions!$C$13*Assumptions!$C$28^(DI$5-1))*$O233)),0)</f>
        <v>0</v>
      </c>
      <c r="DK233" s="93">
        <f>IF(AND($T233=1,DK$5&lt;=$H233),DJ233*(1-BU233)*(1-MIN(1,MAX(Assumptions!$C$27,Assumptions!$C$13*Assumptions!$C$28^(DJ$5-1))*$O233)),0)</f>
        <v>0</v>
      </c>
      <c r="DL233" s="93">
        <f>IF(AND($T233=1,DL$5&lt;=$H233),DK233*(1-BV233)*(1-MIN(1,MAX(Assumptions!$C$27,Assumptions!$C$13*Assumptions!$C$28^(DK$5-1))*$O233)),0)</f>
        <v>0</v>
      </c>
      <c r="DM233" s="93">
        <f>IF(AND($T233=1,DM$5&lt;=$H233),DL233*(1-BW233)*(1-MIN(1,MAX(Assumptions!$C$27,Assumptions!$C$13*Assumptions!$C$28^(DL$5-1))*$O233)),0)</f>
        <v>0</v>
      </c>
      <c r="DN233" s="93">
        <f>IF(AND($T233=1,DN$5&lt;=$H233),DM233*(1-BX233)*(1-MIN(1,MAX(Assumptions!$C$27,Assumptions!$C$13*Assumptions!$C$28^(DM$5-1))*$O233)),0)</f>
        <v>0</v>
      </c>
      <c r="DO233" s="93">
        <f>IF(AND($T233=1,DO$5&lt;=$H233),DN233*(1-BY233)*(1-MIN(1,MAX(Assumptions!$C$27,Assumptions!$C$13*Assumptions!$C$28^(DN$5-1))*$O233)),0)</f>
        <v>0</v>
      </c>
      <c r="DP233" s="93">
        <f>IF(AND($T233=1,DP$5&lt;=$H233),DO233*(1-BZ233)*(1-MIN(1,MAX(Assumptions!$C$27,Assumptions!$C$13*Assumptions!$C$28^(DO$5-1))*$O233)),0)</f>
        <v>0</v>
      </c>
      <c r="DQ233" s="93">
        <f>IF(AND($T233=1,DQ$5&lt;=$H233),DP233*(1-CA233)*(1-MIN(1,MAX(Assumptions!$C$27,Assumptions!$C$13*Assumptions!$C$28^(DP$5-1))*$O233)),0)</f>
        <v>0</v>
      </c>
      <c r="DR233" s="93">
        <f>IF(AND($T233=1,DR$5&lt;=$H233),DQ233*(1-CB233)*(1-MIN(1,MAX(Assumptions!$C$27,Assumptions!$C$13*Assumptions!$C$28^(DQ$5-1))*$O233)),0)</f>
        <v>0</v>
      </c>
      <c r="DS233" s="93">
        <f>IF(AND($T233=1,DS$5&lt;=$H233),DR233*(1-CC233)*(1-MIN(1,MAX(Assumptions!$C$27,Assumptions!$C$13*Assumptions!$C$28^(DR$5-1))*$O233)),0)</f>
        <v>0</v>
      </c>
      <c r="DT233" s="93">
        <f>IF(AND($T233=1,DT$5&lt;=$H233),DS233*(1-CD233)*(1-MIN(1,MAX(Assumptions!$C$27,Assumptions!$C$13*Assumptions!$C$28^(DS$5-1))*$O233)),0)</f>
        <v>0</v>
      </c>
      <c r="DU233" s="93">
        <f>IF(AND($T233=1,DU$5&lt;=$H233),DT233*(1-CE233)*(1-MIN(1,MAX(Assumptions!$C$27,Assumptions!$C$13*Assumptions!$C$28^(DT$5-1))*$O233)),0)</f>
        <v>0</v>
      </c>
      <c r="DV233" s="93">
        <f>IF(AND($T233=1,DV$5&lt;=$H233),DU233*(1-CF233)*(1-MIN(1,MAX(Assumptions!$C$27,Assumptions!$C$13*Assumptions!$C$28^(DU$5-1))*$O233)),0)</f>
        <v>0</v>
      </c>
      <c r="DW233" s="94">
        <f>IF(AND($T233=1,DW$5&lt;=$H233),DV233*(1-CG233)*(1-MIN(1,MAX(Assumptions!$C$27,Assumptions!$C$13*Assumptions!$C$28^(DV$5-1))*$O233)),0)</f>
        <v>0</v>
      </c>
      <c r="DX233" s="26"/>
      <c r="DY233" s="399">
        <f>'Policy Data'!K207</f>
        <v>1</v>
      </c>
      <c r="DZ233" s="100">
        <f>'Policy Data'!L207</f>
        <v>0.76529999999999998</v>
      </c>
      <c r="EA233" s="100">
        <f>'Policy Data'!N207</f>
        <v>9.5500000000000001E-4</v>
      </c>
      <c r="EB233" s="93" cm="1">
        <f t="array" ref="EB233">IFERROR(DZ233*INDEX(Mortality!$B$4:$E$64,MATCH(D233+DY233-1,Mortality!$A$4:$A$64,0),U233)*V233,0)</f>
        <v>9.5481934970366737E-4</v>
      </c>
      <c r="EC233" s="100">
        <f>'Policy Data'!O207</f>
        <v>0</v>
      </c>
      <c r="ED233" s="400">
        <f>'Policy Data'!Q207</f>
        <v>0</v>
      </c>
    </row>
    <row r="234" spans="1:134" x14ac:dyDescent="0.3">
      <c r="A234" s="399" t="str">
        <f>'Policy Data'!A208</f>
        <v>POL100204</v>
      </c>
      <c r="B234" s="26" t="s">
        <v>426</v>
      </c>
      <c r="C234" s="100" t="str">
        <f>'Policy Data'!B208</f>
        <v>Unit-Linked</v>
      </c>
      <c r="D234" s="100">
        <f>'Policy Data'!C208</f>
        <v>29</v>
      </c>
      <c r="E234" s="100" t="str">
        <f>'Policy Data'!D208</f>
        <v>Female</v>
      </c>
      <c r="F234" s="100" t="str">
        <f>'Policy Data'!E208</f>
        <v>Non-smoker</v>
      </c>
      <c r="G234" s="100" t="str">
        <f>'Policy Data'!F208</f>
        <v>Standard</v>
      </c>
      <c r="H234" s="100">
        <f>'Policy Data'!G208</f>
        <v>20</v>
      </c>
      <c r="I234" s="279">
        <f>'Policy Data'!H208</f>
        <v>250000</v>
      </c>
      <c r="J234" s="100" t="str">
        <f>'Policy Data'!I208</f>
        <v>Annual</v>
      </c>
      <c r="K234" s="100" t="str">
        <f>'Policy Data'!J208</f>
        <v>Direct</v>
      </c>
      <c r="L234" s="26" t="s">
        <v>389</v>
      </c>
      <c r="M234" s="106">
        <f>'Policy Data'!R208</f>
        <v>10314.06</v>
      </c>
      <c r="N234" s="415">
        <f>Assumptions!$C$21</f>
        <v>1</v>
      </c>
      <c r="O234" s="415">
        <f>Assumptions!$C$22</f>
        <v>1</v>
      </c>
      <c r="P234" s="415">
        <f>Assumptions!$C$23</f>
        <v>1</v>
      </c>
      <c r="Q234" s="416">
        <f>Assumptions!$C$24</f>
        <v>0</v>
      </c>
      <c r="R234" s="416">
        <f>Assumptions!$C$6+Assumptions!$C$25</f>
        <v>3.5000000000000003E-2</v>
      </c>
      <c r="S234" s="416">
        <f>Assumptions!$C$15</f>
        <v>1.1000000000000001E-3</v>
      </c>
      <c r="T234" s="26">
        <f t="shared" si="72"/>
        <v>0</v>
      </c>
      <c r="U234" s="26">
        <f t="shared" si="73"/>
        <v>1</v>
      </c>
      <c r="V234" s="389">
        <f>IF($G234="Preferred",Assumptions!$C$30,IF($G234="Rated",Assumptions!$C$31,1))</f>
        <v>1</v>
      </c>
      <c r="W234" s="390">
        <f>IF($K234="Direct",Assumptions!$C$32,IF($K234="Broker",Assumptions!$C$33,IF($K234="Bancassurance",Assumptions!$C$34,Assumptions!$C$11)))+$Q234</f>
        <v>0.1</v>
      </c>
      <c r="X234" s="390">
        <f>Assumptions!$C$12+$Q234</f>
        <v>0.05</v>
      </c>
      <c r="Y234" s="131">
        <f>MIN($I234,Assumptions!$C$14)</f>
        <v>250000</v>
      </c>
      <c r="Z234" s="131">
        <f>MAX($I234-Assumptions!$C$14,0)</f>
        <v>0</v>
      </c>
      <c r="AA234" s="389">
        <f t="shared" si="74"/>
        <v>0</v>
      </c>
      <c r="AB234" s="389">
        <f t="shared" si="75"/>
        <v>0</v>
      </c>
      <c r="AC234" s="389">
        <f>IF($T234=1,SUMPRODUCT($CJ234:$DW234,(1+Assumptions!$C$5)^($CJ$5:$DW$5-1),(1+$R234)^(-$CJ$5:$DW$5)),0)</f>
        <v>0</v>
      </c>
      <c r="AD234" s="389">
        <f t="shared" si="76"/>
        <v>0</v>
      </c>
      <c r="AE234" s="131">
        <f>IF($T234=1,$AB234*$Y234+(Assumptions!$C$9/(1+$R234)+Assumptions!$C$10*$AC234)*$P234+$S234*$Z234*$AA234,0)</f>
        <v>0</v>
      </c>
      <c r="AF234" s="131" t="str">
        <f>IF($T234=1,IF($AA234-$AD234-Assumptions!$C$16*$AA234&gt;0,$AE234/($AA234-$AD234-Assumptions!$C$16*$AA234)*IF($J234="Monthly",1+Assumptions!$C$29,1),"n.a."),"")</f>
        <v/>
      </c>
      <c r="AG234" s="131" t="str">
        <f t="shared" si="77"/>
        <v/>
      </c>
      <c r="AH234" s="131" t="str">
        <f t="shared" si="78"/>
        <v/>
      </c>
      <c r="AI234" s="131" t="str">
        <f t="shared" si="79"/>
        <v/>
      </c>
      <c r="AJ234" s="390" t="str">
        <f t="shared" si="80"/>
        <v/>
      </c>
      <c r="AK234" s="389" t="str">
        <f t="shared" si="81"/>
        <v/>
      </c>
      <c r="AL234" s="131" t="str">
        <f t="shared" si="82"/>
        <v/>
      </c>
      <c r="AM234" s="131" t="str">
        <f t="shared" si="83"/>
        <v/>
      </c>
      <c r="AN234" s="131" t="str">
        <f t="shared" si="84"/>
        <v/>
      </c>
      <c r="AO234" s="131" t="str">
        <f t="shared" si="85"/>
        <v/>
      </c>
      <c r="AP234" s="26" t="str">
        <f t="shared" si="86"/>
        <v>20-29</v>
      </c>
      <c r="AQ234" s="26" t="str">
        <f t="shared" si="87"/>
        <v>Up to 250k</v>
      </c>
      <c r="AR234" s="26" t="str">
        <f>IF($T234=1,IF($AI234&lt;0,"Loss-making",IF($AJ234&lt;Assumptions!$C$16-0.00001,"Below target","At/above target")),"Excluded")</f>
        <v>Excluded</v>
      </c>
      <c r="AS234" s="103">
        <f t="shared" si="88"/>
        <v>9.9999999999999997E+98</v>
      </c>
      <c r="AT234" s="26"/>
      <c r="AU234" s="419">
        <f>IF(AND($T234=1,AU$5&lt;=$H234),INDEX(Mortality!$B$4:$E$64,MATCH($D234+AU$5-1,Mortality!$A$4:$A$64,0),$U234)*$V234*$N234,0)</f>
        <v>0</v>
      </c>
      <c r="AV234" s="93">
        <f>IF(AND($T234=1,AV$5&lt;=$H234),INDEX(Mortality!$B$4:$E$64,MATCH($D234+AV$5-1,Mortality!$A$4:$A$64,0),$U234)*$V234*$N234,0)</f>
        <v>0</v>
      </c>
      <c r="AW234" s="93">
        <f>IF(AND($T234=1,AW$5&lt;=$H234),INDEX(Mortality!$B$4:$E$64,MATCH($D234+AW$5-1,Mortality!$A$4:$A$64,0),$U234)*$V234*$N234,0)</f>
        <v>0</v>
      </c>
      <c r="AX234" s="93">
        <f>IF(AND($T234=1,AX$5&lt;=$H234),INDEX(Mortality!$B$4:$E$64,MATCH($D234+AX$5-1,Mortality!$A$4:$A$64,0),$U234)*$V234*$N234,0)</f>
        <v>0</v>
      </c>
      <c r="AY234" s="93">
        <f>IF(AND($T234=1,AY$5&lt;=$H234),INDEX(Mortality!$B$4:$E$64,MATCH($D234+AY$5-1,Mortality!$A$4:$A$64,0),$U234)*$V234*$N234,0)</f>
        <v>0</v>
      </c>
      <c r="AZ234" s="93">
        <f>IF(AND($T234=1,AZ$5&lt;=$H234),INDEX(Mortality!$B$4:$E$64,MATCH($D234+AZ$5-1,Mortality!$A$4:$A$64,0),$U234)*$V234*$N234,0)</f>
        <v>0</v>
      </c>
      <c r="BA234" s="93">
        <f>IF(AND($T234=1,BA$5&lt;=$H234),INDEX(Mortality!$B$4:$E$64,MATCH($D234+BA$5-1,Mortality!$A$4:$A$64,0),$U234)*$V234*$N234,0)</f>
        <v>0</v>
      </c>
      <c r="BB234" s="93">
        <f>IF(AND($T234=1,BB$5&lt;=$H234),INDEX(Mortality!$B$4:$E$64,MATCH($D234+BB$5-1,Mortality!$A$4:$A$64,0),$U234)*$V234*$N234,0)</f>
        <v>0</v>
      </c>
      <c r="BC234" s="93">
        <f>IF(AND($T234=1,BC$5&lt;=$H234),INDEX(Mortality!$B$4:$E$64,MATCH($D234+BC$5-1,Mortality!$A$4:$A$64,0),$U234)*$V234*$N234,0)</f>
        <v>0</v>
      </c>
      <c r="BD234" s="93">
        <f>IF(AND($T234=1,BD$5&lt;=$H234),INDEX(Mortality!$B$4:$E$64,MATCH($D234+BD$5-1,Mortality!$A$4:$A$64,0),$U234)*$V234*$N234,0)</f>
        <v>0</v>
      </c>
      <c r="BE234" s="93">
        <f>IF(AND($T234=1,BE$5&lt;=$H234),INDEX(Mortality!$B$4:$E$64,MATCH($D234+BE$5-1,Mortality!$A$4:$A$64,0),$U234)*$V234*$N234,0)</f>
        <v>0</v>
      </c>
      <c r="BF234" s="93">
        <f>IF(AND($T234=1,BF$5&lt;=$H234),INDEX(Mortality!$B$4:$E$64,MATCH($D234+BF$5-1,Mortality!$A$4:$A$64,0),$U234)*$V234*$N234,0)</f>
        <v>0</v>
      </c>
      <c r="BG234" s="93">
        <f>IF(AND($T234=1,BG$5&lt;=$H234),INDEX(Mortality!$B$4:$E$64,MATCH($D234+BG$5-1,Mortality!$A$4:$A$64,0),$U234)*$V234*$N234,0)</f>
        <v>0</v>
      </c>
      <c r="BH234" s="93">
        <f>IF(AND($T234=1,BH$5&lt;=$H234),INDEX(Mortality!$B$4:$E$64,MATCH($D234+BH$5-1,Mortality!$A$4:$A$64,0),$U234)*$V234*$N234,0)</f>
        <v>0</v>
      </c>
      <c r="BI234" s="93">
        <f>IF(AND($T234=1,BI$5&lt;=$H234),INDEX(Mortality!$B$4:$E$64,MATCH($D234+BI$5-1,Mortality!$A$4:$A$64,0),$U234)*$V234*$N234,0)</f>
        <v>0</v>
      </c>
      <c r="BJ234" s="93">
        <f>IF(AND($T234=1,BJ$5&lt;=$H234),INDEX(Mortality!$B$4:$E$64,MATCH($D234+BJ$5-1,Mortality!$A$4:$A$64,0),$U234)*$V234*$N234,0)</f>
        <v>0</v>
      </c>
      <c r="BK234" s="93">
        <f>IF(AND($T234=1,BK$5&lt;=$H234),INDEX(Mortality!$B$4:$E$64,MATCH($D234+BK$5-1,Mortality!$A$4:$A$64,0),$U234)*$V234*$N234,0)</f>
        <v>0</v>
      </c>
      <c r="BL234" s="93">
        <f>IF(AND($T234=1,BL$5&lt;=$H234),INDEX(Mortality!$B$4:$E$64,MATCH($D234+BL$5-1,Mortality!$A$4:$A$64,0),$U234)*$V234*$N234,0)</f>
        <v>0</v>
      </c>
      <c r="BM234" s="93">
        <f>IF(AND($T234=1,BM$5&lt;=$H234),INDEX(Mortality!$B$4:$E$64,MATCH($D234+BM$5-1,Mortality!$A$4:$A$64,0),$U234)*$V234*$N234,0)</f>
        <v>0</v>
      </c>
      <c r="BN234" s="93">
        <f>IF(AND($T234=1,BN$5&lt;=$H234),INDEX(Mortality!$B$4:$E$64,MATCH($D234+BN$5-1,Mortality!$A$4:$A$64,0),$U234)*$V234*$N234,0)</f>
        <v>0</v>
      </c>
      <c r="BO234" s="93">
        <f>IF(AND($T234=1,BO$5&lt;=$H234),INDEX(Mortality!$B$4:$E$64,MATCH($D234+BO$5-1,Mortality!$A$4:$A$64,0),$U234)*$V234*$N234,0)</f>
        <v>0</v>
      </c>
      <c r="BP234" s="93">
        <f>IF(AND($T234=1,BP$5&lt;=$H234),INDEX(Mortality!$B$4:$E$64,MATCH($D234+BP$5-1,Mortality!$A$4:$A$64,0),$U234)*$V234*$N234,0)</f>
        <v>0</v>
      </c>
      <c r="BQ234" s="93">
        <f>IF(AND($T234=1,BQ$5&lt;=$H234),INDEX(Mortality!$B$4:$E$64,MATCH($D234+BQ$5-1,Mortality!$A$4:$A$64,0),$U234)*$V234*$N234,0)</f>
        <v>0</v>
      </c>
      <c r="BR234" s="93">
        <f>IF(AND($T234=1,BR$5&lt;=$H234),INDEX(Mortality!$B$4:$E$64,MATCH($D234+BR$5-1,Mortality!$A$4:$A$64,0),$U234)*$V234*$N234,0)</f>
        <v>0</v>
      </c>
      <c r="BS234" s="93">
        <f>IF(AND($T234=1,BS$5&lt;=$H234),INDEX(Mortality!$B$4:$E$64,MATCH($D234+BS$5-1,Mortality!$A$4:$A$64,0),$U234)*$V234*$N234,0)</f>
        <v>0</v>
      </c>
      <c r="BT234" s="93">
        <f>IF(AND($T234=1,BT$5&lt;=$H234),INDEX(Mortality!$B$4:$E$64,MATCH($D234+BT$5-1,Mortality!$A$4:$A$64,0),$U234)*$V234*$N234,0)</f>
        <v>0</v>
      </c>
      <c r="BU234" s="93">
        <f>IF(AND($T234=1,BU$5&lt;=$H234),INDEX(Mortality!$B$4:$E$64,MATCH($D234+BU$5-1,Mortality!$A$4:$A$64,0),$U234)*$V234*$N234,0)</f>
        <v>0</v>
      </c>
      <c r="BV234" s="93">
        <f>IF(AND($T234=1,BV$5&lt;=$H234),INDEX(Mortality!$B$4:$E$64,MATCH($D234+BV$5-1,Mortality!$A$4:$A$64,0),$U234)*$V234*$N234,0)</f>
        <v>0</v>
      </c>
      <c r="BW234" s="93">
        <f>IF(AND($T234=1,BW$5&lt;=$H234),INDEX(Mortality!$B$4:$E$64,MATCH($D234+BW$5-1,Mortality!$A$4:$A$64,0),$U234)*$V234*$N234,0)</f>
        <v>0</v>
      </c>
      <c r="BX234" s="93">
        <f>IF(AND($T234=1,BX$5&lt;=$H234),INDEX(Mortality!$B$4:$E$64,MATCH($D234+BX$5-1,Mortality!$A$4:$A$64,0),$U234)*$V234*$N234,0)</f>
        <v>0</v>
      </c>
      <c r="BY234" s="93">
        <f>IF(AND($T234=1,BY$5&lt;=$H234),INDEX(Mortality!$B$4:$E$64,MATCH($D234+BY$5-1,Mortality!$A$4:$A$64,0),$U234)*$V234*$N234,0)</f>
        <v>0</v>
      </c>
      <c r="BZ234" s="93">
        <f>IF(AND($T234=1,BZ$5&lt;=$H234),INDEX(Mortality!$B$4:$E$64,MATCH($D234+BZ$5-1,Mortality!$A$4:$A$64,0),$U234)*$V234*$N234,0)</f>
        <v>0</v>
      </c>
      <c r="CA234" s="93">
        <f>IF(AND($T234=1,CA$5&lt;=$H234),INDEX(Mortality!$B$4:$E$64,MATCH($D234+CA$5-1,Mortality!$A$4:$A$64,0),$U234)*$V234*$N234,0)</f>
        <v>0</v>
      </c>
      <c r="CB234" s="93">
        <f>IF(AND($T234=1,CB$5&lt;=$H234),INDEX(Mortality!$B$4:$E$64,MATCH($D234+CB$5-1,Mortality!$A$4:$A$64,0),$U234)*$V234*$N234,0)</f>
        <v>0</v>
      </c>
      <c r="CC234" s="93">
        <f>IF(AND($T234=1,CC$5&lt;=$H234),INDEX(Mortality!$B$4:$E$64,MATCH($D234+CC$5-1,Mortality!$A$4:$A$64,0),$U234)*$V234*$N234,0)</f>
        <v>0</v>
      </c>
      <c r="CD234" s="93">
        <f>IF(AND($T234=1,CD$5&lt;=$H234),INDEX(Mortality!$B$4:$E$64,MATCH($D234+CD$5-1,Mortality!$A$4:$A$64,0),$U234)*$V234*$N234,0)</f>
        <v>0</v>
      </c>
      <c r="CE234" s="93">
        <f>IF(AND($T234=1,CE$5&lt;=$H234),INDEX(Mortality!$B$4:$E$64,MATCH($D234+CE$5-1,Mortality!$A$4:$A$64,0),$U234)*$V234*$N234,0)</f>
        <v>0</v>
      </c>
      <c r="CF234" s="93">
        <f>IF(AND($T234=1,CF$5&lt;=$H234),INDEX(Mortality!$B$4:$E$64,MATCH($D234+CF$5-1,Mortality!$A$4:$A$64,0),$U234)*$V234*$N234,0)</f>
        <v>0</v>
      </c>
      <c r="CG234" s="93">
        <f>IF(AND($T234=1,CG$5&lt;=$H234),INDEX(Mortality!$B$4:$E$64,MATCH($D234+CG$5-1,Mortality!$A$4:$A$64,0),$U234)*$V234*$N234,0)</f>
        <v>0</v>
      </c>
      <c r="CH234" s="94">
        <f>IF(AND($T234=1,CH$5&lt;=$H234),INDEX(Mortality!$B$4:$E$64,MATCH($D234+CH$5-1,Mortality!$A$4:$A$64,0),$U234)*$V234*$N234,0)</f>
        <v>0</v>
      </c>
      <c r="CI234" s="26"/>
      <c r="CJ234" s="419">
        <f t="shared" si="89"/>
        <v>0</v>
      </c>
      <c r="CK234" s="93">
        <f>IF(AND($T234=1,CK$5&lt;=$H234),CJ234*(1-AU234)*(1-MIN(1,MAX(Assumptions!$C$27,Assumptions!$C$13*Assumptions!$C$28^(CJ$5-1))*$O234)),0)</f>
        <v>0</v>
      </c>
      <c r="CL234" s="93">
        <f>IF(AND($T234=1,CL$5&lt;=$H234),CK234*(1-AV234)*(1-MIN(1,MAX(Assumptions!$C$27,Assumptions!$C$13*Assumptions!$C$28^(CK$5-1))*$O234)),0)</f>
        <v>0</v>
      </c>
      <c r="CM234" s="93">
        <f>IF(AND($T234=1,CM$5&lt;=$H234),CL234*(1-AW234)*(1-MIN(1,MAX(Assumptions!$C$27,Assumptions!$C$13*Assumptions!$C$28^(CL$5-1))*$O234)),0)</f>
        <v>0</v>
      </c>
      <c r="CN234" s="93">
        <f>IF(AND($T234=1,CN$5&lt;=$H234),CM234*(1-AX234)*(1-MIN(1,MAX(Assumptions!$C$27,Assumptions!$C$13*Assumptions!$C$28^(CM$5-1))*$O234)),0)</f>
        <v>0</v>
      </c>
      <c r="CO234" s="93">
        <f>IF(AND($T234=1,CO$5&lt;=$H234),CN234*(1-AY234)*(1-MIN(1,MAX(Assumptions!$C$27,Assumptions!$C$13*Assumptions!$C$28^(CN$5-1))*$O234)),0)</f>
        <v>0</v>
      </c>
      <c r="CP234" s="93">
        <f>IF(AND($T234=1,CP$5&lt;=$H234),CO234*(1-AZ234)*(1-MIN(1,MAX(Assumptions!$C$27,Assumptions!$C$13*Assumptions!$C$28^(CO$5-1))*$O234)),0)</f>
        <v>0</v>
      </c>
      <c r="CQ234" s="93">
        <f>IF(AND($T234=1,CQ$5&lt;=$H234),CP234*(1-BA234)*(1-MIN(1,MAX(Assumptions!$C$27,Assumptions!$C$13*Assumptions!$C$28^(CP$5-1))*$O234)),0)</f>
        <v>0</v>
      </c>
      <c r="CR234" s="93">
        <f>IF(AND($T234=1,CR$5&lt;=$H234),CQ234*(1-BB234)*(1-MIN(1,MAX(Assumptions!$C$27,Assumptions!$C$13*Assumptions!$C$28^(CQ$5-1))*$O234)),0)</f>
        <v>0</v>
      </c>
      <c r="CS234" s="93">
        <f>IF(AND($T234=1,CS$5&lt;=$H234),CR234*(1-BC234)*(1-MIN(1,MAX(Assumptions!$C$27,Assumptions!$C$13*Assumptions!$C$28^(CR$5-1))*$O234)),0)</f>
        <v>0</v>
      </c>
      <c r="CT234" s="93">
        <f>IF(AND($T234=1,CT$5&lt;=$H234),CS234*(1-BD234)*(1-MIN(1,MAX(Assumptions!$C$27,Assumptions!$C$13*Assumptions!$C$28^(CS$5-1))*$O234)),0)</f>
        <v>0</v>
      </c>
      <c r="CU234" s="93">
        <f>IF(AND($T234=1,CU$5&lt;=$H234),CT234*(1-BE234)*(1-MIN(1,MAX(Assumptions!$C$27,Assumptions!$C$13*Assumptions!$C$28^(CT$5-1))*$O234)),0)</f>
        <v>0</v>
      </c>
      <c r="CV234" s="93">
        <f>IF(AND($T234=1,CV$5&lt;=$H234),CU234*(1-BF234)*(1-MIN(1,MAX(Assumptions!$C$27,Assumptions!$C$13*Assumptions!$C$28^(CU$5-1))*$O234)),0)</f>
        <v>0</v>
      </c>
      <c r="CW234" s="93">
        <f>IF(AND($T234=1,CW$5&lt;=$H234),CV234*(1-BG234)*(1-MIN(1,MAX(Assumptions!$C$27,Assumptions!$C$13*Assumptions!$C$28^(CV$5-1))*$O234)),0)</f>
        <v>0</v>
      </c>
      <c r="CX234" s="93">
        <f>IF(AND($T234=1,CX$5&lt;=$H234),CW234*(1-BH234)*(1-MIN(1,MAX(Assumptions!$C$27,Assumptions!$C$13*Assumptions!$C$28^(CW$5-1))*$O234)),0)</f>
        <v>0</v>
      </c>
      <c r="CY234" s="93">
        <f>IF(AND($T234=1,CY$5&lt;=$H234),CX234*(1-BI234)*(1-MIN(1,MAX(Assumptions!$C$27,Assumptions!$C$13*Assumptions!$C$28^(CX$5-1))*$O234)),0)</f>
        <v>0</v>
      </c>
      <c r="CZ234" s="93">
        <f>IF(AND($T234=1,CZ$5&lt;=$H234),CY234*(1-BJ234)*(1-MIN(1,MAX(Assumptions!$C$27,Assumptions!$C$13*Assumptions!$C$28^(CY$5-1))*$O234)),0)</f>
        <v>0</v>
      </c>
      <c r="DA234" s="93">
        <f>IF(AND($T234=1,DA$5&lt;=$H234),CZ234*(1-BK234)*(1-MIN(1,MAX(Assumptions!$C$27,Assumptions!$C$13*Assumptions!$C$28^(CZ$5-1))*$O234)),0)</f>
        <v>0</v>
      </c>
      <c r="DB234" s="93">
        <f>IF(AND($T234=1,DB$5&lt;=$H234),DA234*(1-BL234)*(1-MIN(1,MAX(Assumptions!$C$27,Assumptions!$C$13*Assumptions!$C$28^(DA$5-1))*$O234)),0)</f>
        <v>0</v>
      </c>
      <c r="DC234" s="93">
        <f>IF(AND($T234=1,DC$5&lt;=$H234),DB234*(1-BM234)*(1-MIN(1,MAX(Assumptions!$C$27,Assumptions!$C$13*Assumptions!$C$28^(DB$5-1))*$O234)),0)</f>
        <v>0</v>
      </c>
      <c r="DD234" s="93">
        <f>IF(AND($T234=1,DD$5&lt;=$H234),DC234*(1-BN234)*(1-MIN(1,MAX(Assumptions!$C$27,Assumptions!$C$13*Assumptions!$C$28^(DC$5-1))*$O234)),0)</f>
        <v>0</v>
      </c>
      <c r="DE234" s="93">
        <f>IF(AND($T234=1,DE$5&lt;=$H234),DD234*(1-BO234)*(1-MIN(1,MAX(Assumptions!$C$27,Assumptions!$C$13*Assumptions!$C$28^(DD$5-1))*$O234)),0)</f>
        <v>0</v>
      </c>
      <c r="DF234" s="93">
        <f>IF(AND($T234=1,DF$5&lt;=$H234),DE234*(1-BP234)*(1-MIN(1,MAX(Assumptions!$C$27,Assumptions!$C$13*Assumptions!$C$28^(DE$5-1))*$O234)),0)</f>
        <v>0</v>
      </c>
      <c r="DG234" s="93">
        <f>IF(AND($T234=1,DG$5&lt;=$H234),DF234*(1-BQ234)*(1-MIN(1,MAX(Assumptions!$C$27,Assumptions!$C$13*Assumptions!$C$28^(DF$5-1))*$O234)),0)</f>
        <v>0</v>
      </c>
      <c r="DH234" s="93">
        <f>IF(AND($T234=1,DH$5&lt;=$H234),DG234*(1-BR234)*(1-MIN(1,MAX(Assumptions!$C$27,Assumptions!$C$13*Assumptions!$C$28^(DG$5-1))*$O234)),0)</f>
        <v>0</v>
      </c>
      <c r="DI234" s="93">
        <f>IF(AND($T234=1,DI$5&lt;=$H234),DH234*(1-BS234)*(1-MIN(1,MAX(Assumptions!$C$27,Assumptions!$C$13*Assumptions!$C$28^(DH$5-1))*$O234)),0)</f>
        <v>0</v>
      </c>
      <c r="DJ234" s="93">
        <f>IF(AND($T234=1,DJ$5&lt;=$H234),DI234*(1-BT234)*(1-MIN(1,MAX(Assumptions!$C$27,Assumptions!$C$13*Assumptions!$C$28^(DI$5-1))*$O234)),0)</f>
        <v>0</v>
      </c>
      <c r="DK234" s="93">
        <f>IF(AND($T234=1,DK$5&lt;=$H234),DJ234*(1-BU234)*(1-MIN(1,MAX(Assumptions!$C$27,Assumptions!$C$13*Assumptions!$C$28^(DJ$5-1))*$O234)),0)</f>
        <v>0</v>
      </c>
      <c r="DL234" s="93">
        <f>IF(AND($T234=1,DL$5&lt;=$H234),DK234*(1-BV234)*(1-MIN(1,MAX(Assumptions!$C$27,Assumptions!$C$13*Assumptions!$C$28^(DK$5-1))*$O234)),0)</f>
        <v>0</v>
      </c>
      <c r="DM234" s="93">
        <f>IF(AND($T234=1,DM$5&lt;=$H234),DL234*(1-BW234)*(1-MIN(1,MAX(Assumptions!$C$27,Assumptions!$C$13*Assumptions!$C$28^(DL$5-1))*$O234)),0)</f>
        <v>0</v>
      </c>
      <c r="DN234" s="93">
        <f>IF(AND($T234=1,DN$5&lt;=$H234),DM234*(1-BX234)*(1-MIN(1,MAX(Assumptions!$C$27,Assumptions!$C$13*Assumptions!$C$28^(DM$5-1))*$O234)),0)</f>
        <v>0</v>
      </c>
      <c r="DO234" s="93">
        <f>IF(AND($T234=1,DO$5&lt;=$H234),DN234*(1-BY234)*(1-MIN(1,MAX(Assumptions!$C$27,Assumptions!$C$13*Assumptions!$C$28^(DN$5-1))*$O234)),0)</f>
        <v>0</v>
      </c>
      <c r="DP234" s="93">
        <f>IF(AND($T234=1,DP$5&lt;=$H234),DO234*(1-BZ234)*(1-MIN(1,MAX(Assumptions!$C$27,Assumptions!$C$13*Assumptions!$C$28^(DO$5-1))*$O234)),0)</f>
        <v>0</v>
      </c>
      <c r="DQ234" s="93">
        <f>IF(AND($T234=1,DQ$5&lt;=$H234),DP234*(1-CA234)*(1-MIN(1,MAX(Assumptions!$C$27,Assumptions!$C$13*Assumptions!$C$28^(DP$5-1))*$O234)),0)</f>
        <v>0</v>
      </c>
      <c r="DR234" s="93">
        <f>IF(AND($T234=1,DR$5&lt;=$H234),DQ234*(1-CB234)*(1-MIN(1,MAX(Assumptions!$C$27,Assumptions!$C$13*Assumptions!$C$28^(DQ$5-1))*$O234)),0)</f>
        <v>0</v>
      </c>
      <c r="DS234" s="93">
        <f>IF(AND($T234=1,DS$5&lt;=$H234),DR234*(1-CC234)*(1-MIN(1,MAX(Assumptions!$C$27,Assumptions!$C$13*Assumptions!$C$28^(DR$5-1))*$O234)),0)</f>
        <v>0</v>
      </c>
      <c r="DT234" s="93">
        <f>IF(AND($T234=1,DT$5&lt;=$H234),DS234*(1-CD234)*(1-MIN(1,MAX(Assumptions!$C$27,Assumptions!$C$13*Assumptions!$C$28^(DS$5-1))*$O234)),0)</f>
        <v>0</v>
      </c>
      <c r="DU234" s="93">
        <f>IF(AND($T234=1,DU$5&lt;=$H234),DT234*(1-CE234)*(1-MIN(1,MAX(Assumptions!$C$27,Assumptions!$C$13*Assumptions!$C$28^(DT$5-1))*$O234)),0)</f>
        <v>0</v>
      </c>
      <c r="DV234" s="93">
        <f>IF(AND($T234=1,DV$5&lt;=$H234),DU234*(1-CF234)*(1-MIN(1,MAX(Assumptions!$C$27,Assumptions!$C$13*Assumptions!$C$28^(DU$5-1))*$O234)),0)</f>
        <v>0</v>
      </c>
      <c r="DW234" s="94">
        <f>IF(AND($T234=1,DW$5&lt;=$H234),DV234*(1-CG234)*(1-MIN(1,MAX(Assumptions!$C$27,Assumptions!$C$13*Assumptions!$C$28^(DV$5-1))*$O234)),0)</f>
        <v>0</v>
      </c>
      <c r="DX234" s="26"/>
      <c r="DY234" s="399">
        <f>'Policy Data'!K208</f>
        <v>4</v>
      </c>
      <c r="DZ234" s="100">
        <f>'Policy Data'!L208</f>
        <v>0.67379999999999995</v>
      </c>
      <c r="EA234" s="100">
        <f>'Policy Data'!N208</f>
        <v>2.3800000000000001E-4</v>
      </c>
      <c r="EB234" s="93" cm="1">
        <f t="array" ref="EB234">IFERROR(DZ234*INDEX(Mortality!$B$4:$E$64,MATCH(D234+DY234-1,Mortality!$A$4:$A$64,0),U234)*V234,0)</f>
        <v>3.0244719651441245E-4</v>
      </c>
      <c r="EC234" s="100">
        <f>'Policy Data'!O208</f>
        <v>0</v>
      </c>
      <c r="ED234" s="400">
        <f>'Policy Data'!Q208</f>
        <v>0</v>
      </c>
    </row>
    <row r="235" spans="1:134" x14ac:dyDescent="0.3">
      <c r="A235" s="399" t="str">
        <f>'Policy Data'!A209</f>
        <v>POL100205</v>
      </c>
      <c r="B235" s="26" t="s">
        <v>426</v>
      </c>
      <c r="C235" s="100" t="str">
        <f>'Policy Data'!B209</f>
        <v>Unit-Linked</v>
      </c>
      <c r="D235" s="100">
        <f>'Policy Data'!C209</f>
        <v>52</v>
      </c>
      <c r="E235" s="100" t="str">
        <f>'Policy Data'!D209</f>
        <v>Female</v>
      </c>
      <c r="F235" s="100" t="str">
        <f>'Policy Data'!E209</f>
        <v>Non-smoker</v>
      </c>
      <c r="G235" s="100" t="str">
        <f>'Policy Data'!F209</f>
        <v>Standard</v>
      </c>
      <c r="H235" s="100">
        <f>'Policy Data'!G209</f>
        <v>10</v>
      </c>
      <c r="I235" s="279">
        <f>'Policy Data'!H209</f>
        <v>250000</v>
      </c>
      <c r="J235" s="100" t="str">
        <f>'Policy Data'!I209</f>
        <v>Monthly</v>
      </c>
      <c r="K235" s="100" t="str">
        <f>'Policy Data'!J209</f>
        <v>Bancassurance</v>
      </c>
      <c r="L235" s="26" t="s">
        <v>389</v>
      </c>
      <c r="M235" s="106">
        <f>'Policy Data'!R209</f>
        <v>15919.67</v>
      </c>
      <c r="N235" s="415">
        <f>Assumptions!$C$21</f>
        <v>1</v>
      </c>
      <c r="O235" s="415">
        <f>Assumptions!$C$22</f>
        <v>1</v>
      </c>
      <c r="P235" s="415">
        <f>Assumptions!$C$23</f>
        <v>1</v>
      </c>
      <c r="Q235" s="416">
        <f>Assumptions!$C$24</f>
        <v>0</v>
      </c>
      <c r="R235" s="416">
        <f>Assumptions!$C$6+Assumptions!$C$25</f>
        <v>3.5000000000000003E-2</v>
      </c>
      <c r="S235" s="416">
        <f>Assumptions!$C$15</f>
        <v>1.1000000000000001E-3</v>
      </c>
      <c r="T235" s="26">
        <f t="shared" si="72"/>
        <v>0</v>
      </c>
      <c r="U235" s="26">
        <f t="shared" si="73"/>
        <v>1</v>
      </c>
      <c r="V235" s="389">
        <f>IF($G235="Preferred",Assumptions!$C$30,IF($G235="Rated",Assumptions!$C$31,1))</f>
        <v>1</v>
      </c>
      <c r="W235" s="390">
        <f>IF($K235="Direct",Assumptions!$C$32,IF($K235="Broker",Assumptions!$C$33,IF($K235="Bancassurance",Assumptions!$C$34,Assumptions!$C$11)))+$Q235</f>
        <v>0.2</v>
      </c>
      <c r="X235" s="390">
        <f>Assumptions!$C$12+$Q235</f>
        <v>0.05</v>
      </c>
      <c r="Y235" s="131">
        <f>MIN($I235,Assumptions!$C$14)</f>
        <v>250000</v>
      </c>
      <c r="Z235" s="131">
        <f>MAX($I235-Assumptions!$C$14,0)</f>
        <v>0</v>
      </c>
      <c r="AA235" s="389">
        <f t="shared" si="74"/>
        <v>0</v>
      </c>
      <c r="AB235" s="389">
        <f t="shared" si="75"/>
        <v>0</v>
      </c>
      <c r="AC235" s="389">
        <f>IF($T235=1,SUMPRODUCT($CJ235:$DW235,(1+Assumptions!$C$5)^($CJ$5:$DW$5-1),(1+$R235)^(-$CJ$5:$DW$5)),0)</f>
        <v>0</v>
      </c>
      <c r="AD235" s="389">
        <f t="shared" si="76"/>
        <v>0</v>
      </c>
      <c r="AE235" s="131">
        <f>IF($T235=1,$AB235*$Y235+(Assumptions!$C$9/(1+$R235)+Assumptions!$C$10*$AC235)*$P235+$S235*$Z235*$AA235,0)</f>
        <v>0</v>
      </c>
      <c r="AF235" s="131" t="str">
        <f>IF($T235=1,IF($AA235-$AD235-Assumptions!$C$16*$AA235&gt;0,$AE235/($AA235-$AD235-Assumptions!$C$16*$AA235)*IF($J235="Monthly",1+Assumptions!$C$29,1),"n.a."),"")</f>
        <v/>
      </c>
      <c r="AG235" s="131" t="str">
        <f t="shared" si="77"/>
        <v/>
      </c>
      <c r="AH235" s="131" t="str">
        <f t="shared" si="78"/>
        <v/>
      </c>
      <c r="AI235" s="131" t="str">
        <f t="shared" si="79"/>
        <v/>
      </c>
      <c r="AJ235" s="390" t="str">
        <f t="shared" si="80"/>
        <v/>
      </c>
      <c r="AK235" s="389" t="str">
        <f t="shared" si="81"/>
        <v/>
      </c>
      <c r="AL235" s="131" t="str">
        <f t="shared" si="82"/>
        <v/>
      </c>
      <c r="AM235" s="131" t="str">
        <f t="shared" si="83"/>
        <v/>
      </c>
      <c r="AN235" s="131" t="str">
        <f t="shared" si="84"/>
        <v/>
      </c>
      <c r="AO235" s="131" t="str">
        <f t="shared" si="85"/>
        <v/>
      </c>
      <c r="AP235" s="26" t="str">
        <f t="shared" si="86"/>
        <v>50-59</v>
      </c>
      <c r="AQ235" s="26" t="str">
        <f t="shared" si="87"/>
        <v>Up to 250k</v>
      </c>
      <c r="AR235" s="26" t="str">
        <f>IF($T235=1,IF($AI235&lt;0,"Loss-making",IF($AJ235&lt;Assumptions!$C$16-0.00001,"Below target","At/above target")),"Excluded")</f>
        <v>Excluded</v>
      </c>
      <c r="AS235" s="103">
        <f t="shared" si="88"/>
        <v>9.9999999999999997E+98</v>
      </c>
      <c r="AT235" s="26"/>
      <c r="AU235" s="419">
        <f>IF(AND($T235=1,AU$5&lt;=$H235),INDEX(Mortality!$B$4:$E$64,MATCH($D235+AU$5-1,Mortality!$A$4:$A$64,0),$U235)*$V235*$N235,0)</f>
        <v>0</v>
      </c>
      <c r="AV235" s="93">
        <f>IF(AND($T235=1,AV$5&lt;=$H235),INDEX(Mortality!$B$4:$E$64,MATCH($D235+AV$5-1,Mortality!$A$4:$A$64,0),$U235)*$V235*$N235,0)</f>
        <v>0</v>
      </c>
      <c r="AW235" s="93">
        <f>IF(AND($T235=1,AW$5&lt;=$H235),INDEX(Mortality!$B$4:$E$64,MATCH($D235+AW$5-1,Mortality!$A$4:$A$64,0),$U235)*$V235*$N235,0)</f>
        <v>0</v>
      </c>
      <c r="AX235" s="93">
        <f>IF(AND($T235=1,AX$5&lt;=$H235),INDEX(Mortality!$B$4:$E$64,MATCH($D235+AX$5-1,Mortality!$A$4:$A$64,0),$U235)*$V235*$N235,0)</f>
        <v>0</v>
      </c>
      <c r="AY235" s="93">
        <f>IF(AND($T235=1,AY$5&lt;=$H235),INDEX(Mortality!$B$4:$E$64,MATCH($D235+AY$5-1,Mortality!$A$4:$A$64,0),$U235)*$V235*$N235,0)</f>
        <v>0</v>
      </c>
      <c r="AZ235" s="93">
        <f>IF(AND($T235=1,AZ$5&lt;=$H235),INDEX(Mortality!$B$4:$E$64,MATCH($D235+AZ$5-1,Mortality!$A$4:$A$64,0),$U235)*$V235*$N235,0)</f>
        <v>0</v>
      </c>
      <c r="BA235" s="93">
        <f>IF(AND($T235=1,BA$5&lt;=$H235),INDEX(Mortality!$B$4:$E$64,MATCH($D235+BA$5-1,Mortality!$A$4:$A$64,0),$U235)*$V235*$N235,0)</f>
        <v>0</v>
      </c>
      <c r="BB235" s="93">
        <f>IF(AND($T235=1,BB$5&lt;=$H235),INDEX(Mortality!$B$4:$E$64,MATCH($D235+BB$5-1,Mortality!$A$4:$A$64,0),$U235)*$V235*$N235,0)</f>
        <v>0</v>
      </c>
      <c r="BC235" s="93">
        <f>IF(AND($T235=1,BC$5&lt;=$H235),INDEX(Mortality!$B$4:$E$64,MATCH($D235+BC$5-1,Mortality!$A$4:$A$64,0),$U235)*$V235*$N235,0)</f>
        <v>0</v>
      </c>
      <c r="BD235" s="93">
        <f>IF(AND($T235=1,BD$5&lt;=$H235),INDEX(Mortality!$B$4:$E$64,MATCH($D235+BD$5-1,Mortality!$A$4:$A$64,0),$U235)*$V235*$N235,0)</f>
        <v>0</v>
      </c>
      <c r="BE235" s="93">
        <f>IF(AND($T235=1,BE$5&lt;=$H235),INDEX(Mortality!$B$4:$E$64,MATCH($D235+BE$5-1,Mortality!$A$4:$A$64,0),$U235)*$V235*$N235,0)</f>
        <v>0</v>
      </c>
      <c r="BF235" s="93">
        <f>IF(AND($T235=1,BF$5&lt;=$H235),INDEX(Mortality!$B$4:$E$64,MATCH($D235+BF$5-1,Mortality!$A$4:$A$64,0),$U235)*$V235*$N235,0)</f>
        <v>0</v>
      </c>
      <c r="BG235" s="93">
        <f>IF(AND($T235=1,BG$5&lt;=$H235),INDEX(Mortality!$B$4:$E$64,MATCH($D235+BG$5-1,Mortality!$A$4:$A$64,0),$U235)*$V235*$N235,0)</f>
        <v>0</v>
      </c>
      <c r="BH235" s="93">
        <f>IF(AND($T235=1,BH$5&lt;=$H235),INDEX(Mortality!$B$4:$E$64,MATCH($D235+BH$5-1,Mortality!$A$4:$A$64,0),$U235)*$V235*$N235,0)</f>
        <v>0</v>
      </c>
      <c r="BI235" s="93">
        <f>IF(AND($T235=1,BI$5&lt;=$H235),INDEX(Mortality!$B$4:$E$64,MATCH($D235+BI$5-1,Mortality!$A$4:$A$64,0),$U235)*$V235*$N235,0)</f>
        <v>0</v>
      </c>
      <c r="BJ235" s="93">
        <f>IF(AND($T235=1,BJ$5&lt;=$H235),INDEX(Mortality!$B$4:$E$64,MATCH($D235+BJ$5-1,Mortality!$A$4:$A$64,0),$U235)*$V235*$N235,0)</f>
        <v>0</v>
      </c>
      <c r="BK235" s="93">
        <f>IF(AND($T235=1,BK$5&lt;=$H235),INDEX(Mortality!$B$4:$E$64,MATCH($D235+BK$5-1,Mortality!$A$4:$A$64,0),$U235)*$V235*$N235,0)</f>
        <v>0</v>
      </c>
      <c r="BL235" s="93">
        <f>IF(AND($T235=1,BL$5&lt;=$H235),INDEX(Mortality!$B$4:$E$64,MATCH($D235+BL$5-1,Mortality!$A$4:$A$64,0),$U235)*$V235*$N235,0)</f>
        <v>0</v>
      </c>
      <c r="BM235" s="93">
        <f>IF(AND($T235=1,BM$5&lt;=$H235),INDEX(Mortality!$B$4:$E$64,MATCH($D235+BM$5-1,Mortality!$A$4:$A$64,0),$U235)*$V235*$N235,0)</f>
        <v>0</v>
      </c>
      <c r="BN235" s="93">
        <f>IF(AND($T235=1,BN$5&lt;=$H235),INDEX(Mortality!$B$4:$E$64,MATCH($D235+BN$5-1,Mortality!$A$4:$A$64,0),$U235)*$V235*$N235,0)</f>
        <v>0</v>
      </c>
      <c r="BO235" s="93">
        <f>IF(AND($T235=1,BO$5&lt;=$H235),INDEX(Mortality!$B$4:$E$64,MATCH($D235+BO$5-1,Mortality!$A$4:$A$64,0),$U235)*$V235*$N235,0)</f>
        <v>0</v>
      </c>
      <c r="BP235" s="93">
        <f>IF(AND($T235=1,BP$5&lt;=$H235),INDEX(Mortality!$B$4:$E$64,MATCH($D235+BP$5-1,Mortality!$A$4:$A$64,0),$U235)*$V235*$N235,0)</f>
        <v>0</v>
      </c>
      <c r="BQ235" s="93">
        <f>IF(AND($T235=1,BQ$5&lt;=$H235),INDEX(Mortality!$B$4:$E$64,MATCH($D235+BQ$5-1,Mortality!$A$4:$A$64,0),$U235)*$V235*$N235,0)</f>
        <v>0</v>
      </c>
      <c r="BR235" s="93">
        <f>IF(AND($T235=1,BR$5&lt;=$H235),INDEX(Mortality!$B$4:$E$64,MATCH($D235+BR$5-1,Mortality!$A$4:$A$64,0),$U235)*$V235*$N235,0)</f>
        <v>0</v>
      </c>
      <c r="BS235" s="93">
        <f>IF(AND($T235=1,BS$5&lt;=$H235),INDEX(Mortality!$B$4:$E$64,MATCH($D235+BS$5-1,Mortality!$A$4:$A$64,0),$U235)*$V235*$N235,0)</f>
        <v>0</v>
      </c>
      <c r="BT235" s="93">
        <f>IF(AND($T235=1,BT$5&lt;=$H235),INDEX(Mortality!$B$4:$E$64,MATCH($D235+BT$5-1,Mortality!$A$4:$A$64,0),$U235)*$V235*$N235,0)</f>
        <v>0</v>
      </c>
      <c r="BU235" s="93">
        <f>IF(AND($T235=1,BU$5&lt;=$H235),INDEX(Mortality!$B$4:$E$64,MATCH($D235+BU$5-1,Mortality!$A$4:$A$64,0),$U235)*$V235*$N235,0)</f>
        <v>0</v>
      </c>
      <c r="BV235" s="93">
        <f>IF(AND($T235=1,BV$5&lt;=$H235),INDEX(Mortality!$B$4:$E$64,MATCH($D235+BV$5-1,Mortality!$A$4:$A$64,0),$U235)*$V235*$N235,0)</f>
        <v>0</v>
      </c>
      <c r="BW235" s="93">
        <f>IF(AND($T235=1,BW$5&lt;=$H235),INDEX(Mortality!$B$4:$E$64,MATCH($D235+BW$5-1,Mortality!$A$4:$A$64,0),$U235)*$V235*$N235,0)</f>
        <v>0</v>
      </c>
      <c r="BX235" s="93">
        <f>IF(AND($T235=1,BX$5&lt;=$H235),INDEX(Mortality!$B$4:$E$64,MATCH($D235+BX$5-1,Mortality!$A$4:$A$64,0),$U235)*$V235*$N235,0)</f>
        <v>0</v>
      </c>
      <c r="BY235" s="93">
        <f>IF(AND($T235=1,BY$5&lt;=$H235),INDEX(Mortality!$B$4:$E$64,MATCH($D235+BY$5-1,Mortality!$A$4:$A$64,0),$U235)*$V235*$N235,0)</f>
        <v>0</v>
      </c>
      <c r="BZ235" s="93">
        <f>IF(AND($T235=1,BZ$5&lt;=$H235),INDEX(Mortality!$B$4:$E$64,MATCH($D235+BZ$5-1,Mortality!$A$4:$A$64,0),$U235)*$V235*$N235,0)</f>
        <v>0</v>
      </c>
      <c r="CA235" s="93">
        <f>IF(AND($T235=1,CA$5&lt;=$H235),INDEX(Mortality!$B$4:$E$64,MATCH($D235+CA$5-1,Mortality!$A$4:$A$64,0),$U235)*$V235*$N235,0)</f>
        <v>0</v>
      </c>
      <c r="CB235" s="93">
        <f>IF(AND($T235=1,CB$5&lt;=$H235),INDEX(Mortality!$B$4:$E$64,MATCH($D235+CB$5-1,Mortality!$A$4:$A$64,0),$U235)*$V235*$N235,0)</f>
        <v>0</v>
      </c>
      <c r="CC235" s="93">
        <f>IF(AND($T235=1,CC$5&lt;=$H235),INDEX(Mortality!$B$4:$E$64,MATCH($D235+CC$5-1,Mortality!$A$4:$A$64,0),$U235)*$V235*$N235,0)</f>
        <v>0</v>
      </c>
      <c r="CD235" s="93">
        <f>IF(AND($T235=1,CD$5&lt;=$H235),INDEX(Mortality!$B$4:$E$64,MATCH($D235+CD$5-1,Mortality!$A$4:$A$64,0),$U235)*$V235*$N235,0)</f>
        <v>0</v>
      </c>
      <c r="CE235" s="93">
        <f>IF(AND($T235=1,CE$5&lt;=$H235),INDEX(Mortality!$B$4:$E$64,MATCH($D235+CE$5-1,Mortality!$A$4:$A$64,0),$U235)*$V235*$N235,0)</f>
        <v>0</v>
      </c>
      <c r="CF235" s="93">
        <f>IF(AND($T235=1,CF$5&lt;=$H235),INDEX(Mortality!$B$4:$E$64,MATCH($D235+CF$5-1,Mortality!$A$4:$A$64,0),$U235)*$V235*$N235,0)</f>
        <v>0</v>
      </c>
      <c r="CG235" s="93">
        <f>IF(AND($T235=1,CG$5&lt;=$H235),INDEX(Mortality!$B$4:$E$64,MATCH($D235+CG$5-1,Mortality!$A$4:$A$64,0),$U235)*$V235*$N235,0)</f>
        <v>0</v>
      </c>
      <c r="CH235" s="94">
        <f>IF(AND($T235=1,CH$5&lt;=$H235),INDEX(Mortality!$B$4:$E$64,MATCH($D235+CH$5-1,Mortality!$A$4:$A$64,0),$U235)*$V235*$N235,0)</f>
        <v>0</v>
      </c>
      <c r="CI235" s="26"/>
      <c r="CJ235" s="419">
        <f t="shared" si="89"/>
        <v>0</v>
      </c>
      <c r="CK235" s="93">
        <f>IF(AND($T235=1,CK$5&lt;=$H235),CJ235*(1-AU235)*(1-MIN(1,MAX(Assumptions!$C$27,Assumptions!$C$13*Assumptions!$C$28^(CJ$5-1))*$O235)),0)</f>
        <v>0</v>
      </c>
      <c r="CL235" s="93">
        <f>IF(AND($T235=1,CL$5&lt;=$H235),CK235*(1-AV235)*(1-MIN(1,MAX(Assumptions!$C$27,Assumptions!$C$13*Assumptions!$C$28^(CK$5-1))*$O235)),0)</f>
        <v>0</v>
      </c>
      <c r="CM235" s="93">
        <f>IF(AND($T235=1,CM$5&lt;=$H235),CL235*(1-AW235)*(1-MIN(1,MAX(Assumptions!$C$27,Assumptions!$C$13*Assumptions!$C$28^(CL$5-1))*$O235)),0)</f>
        <v>0</v>
      </c>
      <c r="CN235" s="93">
        <f>IF(AND($T235=1,CN$5&lt;=$H235),CM235*(1-AX235)*(1-MIN(1,MAX(Assumptions!$C$27,Assumptions!$C$13*Assumptions!$C$28^(CM$5-1))*$O235)),0)</f>
        <v>0</v>
      </c>
      <c r="CO235" s="93">
        <f>IF(AND($T235=1,CO$5&lt;=$H235),CN235*(1-AY235)*(1-MIN(1,MAX(Assumptions!$C$27,Assumptions!$C$13*Assumptions!$C$28^(CN$5-1))*$O235)),0)</f>
        <v>0</v>
      </c>
      <c r="CP235" s="93">
        <f>IF(AND($T235=1,CP$5&lt;=$H235),CO235*(1-AZ235)*(1-MIN(1,MAX(Assumptions!$C$27,Assumptions!$C$13*Assumptions!$C$28^(CO$5-1))*$O235)),0)</f>
        <v>0</v>
      </c>
      <c r="CQ235" s="93">
        <f>IF(AND($T235=1,CQ$5&lt;=$H235),CP235*(1-BA235)*(1-MIN(1,MAX(Assumptions!$C$27,Assumptions!$C$13*Assumptions!$C$28^(CP$5-1))*$O235)),0)</f>
        <v>0</v>
      </c>
      <c r="CR235" s="93">
        <f>IF(AND($T235=1,CR$5&lt;=$H235),CQ235*(1-BB235)*(1-MIN(1,MAX(Assumptions!$C$27,Assumptions!$C$13*Assumptions!$C$28^(CQ$5-1))*$O235)),0)</f>
        <v>0</v>
      </c>
      <c r="CS235" s="93">
        <f>IF(AND($T235=1,CS$5&lt;=$H235),CR235*(1-BC235)*(1-MIN(1,MAX(Assumptions!$C$27,Assumptions!$C$13*Assumptions!$C$28^(CR$5-1))*$O235)),0)</f>
        <v>0</v>
      </c>
      <c r="CT235" s="93">
        <f>IF(AND($T235=1,CT$5&lt;=$H235),CS235*(1-BD235)*(1-MIN(1,MAX(Assumptions!$C$27,Assumptions!$C$13*Assumptions!$C$28^(CS$5-1))*$O235)),0)</f>
        <v>0</v>
      </c>
      <c r="CU235" s="93">
        <f>IF(AND($T235=1,CU$5&lt;=$H235),CT235*(1-BE235)*(1-MIN(1,MAX(Assumptions!$C$27,Assumptions!$C$13*Assumptions!$C$28^(CT$5-1))*$O235)),0)</f>
        <v>0</v>
      </c>
      <c r="CV235" s="93">
        <f>IF(AND($T235=1,CV$5&lt;=$H235),CU235*(1-BF235)*(1-MIN(1,MAX(Assumptions!$C$27,Assumptions!$C$13*Assumptions!$C$28^(CU$5-1))*$O235)),0)</f>
        <v>0</v>
      </c>
      <c r="CW235" s="93">
        <f>IF(AND($T235=1,CW$5&lt;=$H235),CV235*(1-BG235)*(1-MIN(1,MAX(Assumptions!$C$27,Assumptions!$C$13*Assumptions!$C$28^(CV$5-1))*$O235)),0)</f>
        <v>0</v>
      </c>
      <c r="CX235" s="93">
        <f>IF(AND($T235=1,CX$5&lt;=$H235),CW235*(1-BH235)*(1-MIN(1,MAX(Assumptions!$C$27,Assumptions!$C$13*Assumptions!$C$28^(CW$5-1))*$O235)),0)</f>
        <v>0</v>
      </c>
      <c r="CY235" s="93">
        <f>IF(AND($T235=1,CY$5&lt;=$H235),CX235*(1-BI235)*(1-MIN(1,MAX(Assumptions!$C$27,Assumptions!$C$13*Assumptions!$C$28^(CX$5-1))*$O235)),0)</f>
        <v>0</v>
      </c>
      <c r="CZ235" s="93">
        <f>IF(AND($T235=1,CZ$5&lt;=$H235),CY235*(1-BJ235)*(1-MIN(1,MAX(Assumptions!$C$27,Assumptions!$C$13*Assumptions!$C$28^(CY$5-1))*$O235)),0)</f>
        <v>0</v>
      </c>
      <c r="DA235" s="93">
        <f>IF(AND($T235=1,DA$5&lt;=$H235),CZ235*(1-BK235)*(1-MIN(1,MAX(Assumptions!$C$27,Assumptions!$C$13*Assumptions!$C$28^(CZ$5-1))*$O235)),0)</f>
        <v>0</v>
      </c>
      <c r="DB235" s="93">
        <f>IF(AND($T235=1,DB$5&lt;=$H235),DA235*(1-BL235)*(1-MIN(1,MAX(Assumptions!$C$27,Assumptions!$C$13*Assumptions!$C$28^(DA$5-1))*$O235)),0)</f>
        <v>0</v>
      </c>
      <c r="DC235" s="93">
        <f>IF(AND($T235=1,DC$5&lt;=$H235),DB235*(1-BM235)*(1-MIN(1,MAX(Assumptions!$C$27,Assumptions!$C$13*Assumptions!$C$28^(DB$5-1))*$O235)),0)</f>
        <v>0</v>
      </c>
      <c r="DD235" s="93">
        <f>IF(AND($T235=1,DD$5&lt;=$H235),DC235*(1-BN235)*(1-MIN(1,MAX(Assumptions!$C$27,Assumptions!$C$13*Assumptions!$C$28^(DC$5-1))*$O235)),0)</f>
        <v>0</v>
      </c>
      <c r="DE235" s="93">
        <f>IF(AND($T235=1,DE$5&lt;=$H235),DD235*(1-BO235)*(1-MIN(1,MAX(Assumptions!$C$27,Assumptions!$C$13*Assumptions!$C$28^(DD$5-1))*$O235)),0)</f>
        <v>0</v>
      </c>
      <c r="DF235" s="93">
        <f>IF(AND($T235=1,DF$5&lt;=$H235),DE235*(1-BP235)*(1-MIN(1,MAX(Assumptions!$C$27,Assumptions!$C$13*Assumptions!$C$28^(DE$5-1))*$O235)),0)</f>
        <v>0</v>
      </c>
      <c r="DG235" s="93">
        <f>IF(AND($T235=1,DG$5&lt;=$H235),DF235*(1-BQ235)*(1-MIN(1,MAX(Assumptions!$C$27,Assumptions!$C$13*Assumptions!$C$28^(DF$5-1))*$O235)),0)</f>
        <v>0</v>
      </c>
      <c r="DH235" s="93">
        <f>IF(AND($T235=1,DH$5&lt;=$H235),DG235*(1-BR235)*(1-MIN(1,MAX(Assumptions!$C$27,Assumptions!$C$13*Assumptions!$C$28^(DG$5-1))*$O235)),0)</f>
        <v>0</v>
      </c>
      <c r="DI235" s="93">
        <f>IF(AND($T235=1,DI$5&lt;=$H235),DH235*(1-BS235)*(1-MIN(1,MAX(Assumptions!$C$27,Assumptions!$C$13*Assumptions!$C$28^(DH$5-1))*$O235)),0)</f>
        <v>0</v>
      </c>
      <c r="DJ235" s="93">
        <f>IF(AND($T235=1,DJ$5&lt;=$H235),DI235*(1-BT235)*(1-MIN(1,MAX(Assumptions!$C$27,Assumptions!$C$13*Assumptions!$C$28^(DI$5-1))*$O235)),0)</f>
        <v>0</v>
      </c>
      <c r="DK235" s="93">
        <f>IF(AND($T235=1,DK$5&lt;=$H235),DJ235*(1-BU235)*(1-MIN(1,MAX(Assumptions!$C$27,Assumptions!$C$13*Assumptions!$C$28^(DJ$5-1))*$O235)),0)</f>
        <v>0</v>
      </c>
      <c r="DL235" s="93">
        <f>IF(AND($T235=1,DL$5&lt;=$H235),DK235*(1-BV235)*(1-MIN(1,MAX(Assumptions!$C$27,Assumptions!$C$13*Assumptions!$C$28^(DK$5-1))*$O235)),0)</f>
        <v>0</v>
      </c>
      <c r="DM235" s="93">
        <f>IF(AND($T235=1,DM$5&lt;=$H235),DL235*(1-BW235)*(1-MIN(1,MAX(Assumptions!$C$27,Assumptions!$C$13*Assumptions!$C$28^(DL$5-1))*$O235)),0)</f>
        <v>0</v>
      </c>
      <c r="DN235" s="93">
        <f>IF(AND($T235=1,DN$5&lt;=$H235),DM235*(1-BX235)*(1-MIN(1,MAX(Assumptions!$C$27,Assumptions!$C$13*Assumptions!$C$28^(DM$5-1))*$O235)),0)</f>
        <v>0</v>
      </c>
      <c r="DO235" s="93">
        <f>IF(AND($T235=1,DO$5&lt;=$H235),DN235*(1-BY235)*(1-MIN(1,MAX(Assumptions!$C$27,Assumptions!$C$13*Assumptions!$C$28^(DN$5-1))*$O235)),0)</f>
        <v>0</v>
      </c>
      <c r="DP235" s="93">
        <f>IF(AND($T235=1,DP$5&lt;=$H235),DO235*(1-BZ235)*(1-MIN(1,MAX(Assumptions!$C$27,Assumptions!$C$13*Assumptions!$C$28^(DO$5-1))*$O235)),0)</f>
        <v>0</v>
      </c>
      <c r="DQ235" s="93">
        <f>IF(AND($T235=1,DQ$5&lt;=$H235),DP235*(1-CA235)*(1-MIN(1,MAX(Assumptions!$C$27,Assumptions!$C$13*Assumptions!$C$28^(DP$5-1))*$O235)),0)</f>
        <v>0</v>
      </c>
      <c r="DR235" s="93">
        <f>IF(AND($T235=1,DR$5&lt;=$H235),DQ235*(1-CB235)*(1-MIN(1,MAX(Assumptions!$C$27,Assumptions!$C$13*Assumptions!$C$28^(DQ$5-1))*$O235)),0)</f>
        <v>0</v>
      </c>
      <c r="DS235" s="93">
        <f>IF(AND($T235=1,DS$5&lt;=$H235),DR235*(1-CC235)*(1-MIN(1,MAX(Assumptions!$C$27,Assumptions!$C$13*Assumptions!$C$28^(DR$5-1))*$O235)),0)</f>
        <v>0</v>
      </c>
      <c r="DT235" s="93">
        <f>IF(AND($T235=1,DT$5&lt;=$H235),DS235*(1-CD235)*(1-MIN(1,MAX(Assumptions!$C$27,Assumptions!$C$13*Assumptions!$C$28^(DS$5-1))*$O235)),0)</f>
        <v>0</v>
      </c>
      <c r="DU235" s="93">
        <f>IF(AND($T235=1,DU$5&lt;=$H235),DT235*(1-CE235)*(1-MIN(1,MAX(Assumptions!$C$27,Assumptions!$C$13*Assumptions!$C$28^(DT$5-1))*$O235)),0)</f>
        <v>0</v>
      </c>
      <c r="DV235" s="93">
        <f>IF(AND($T235=1,DV$5&lt;=$H235),DU235*(1-CF235)*(1-MIN(1,MAX(Assumptions!$C$27,Assumptions!$C$13*Assumptions!$C$28^(DU$5-1))*$O235)),0)</f>
        <v>0</v>
      </c>
      <c r="DW235" s="94">
        <f>IF(AND($T235=1,DW$5&lt;=$H235),DV235*(1-CG235)*(1-MIN(1,MAX(Assumptions!$C$27,Assumptions!$C$13*Assumptions!$C$28^(DV$5-1))*$O235)),0)</f>
        <v>0</v>
      </c>
      <c r="DX235" s="26"/>
      <c r="DY235" s="399">
        <f>'Policy Data'!K209</f>
        <v>7</v>
      </c>
      <c r="DZ235" s="100">
        <f>'Policy Data'!L209</f>
        <v>0.78259999999999996</v>
      </c>
      <c r="EA235" s="100">
        <f>'Policy Data'!N209</f>
        <v>1.74E-3</v>
      </c>
      <c r="EB235" s="93" cm="1">
        <f t="array" ref="EB235">IFERROR(DZ235*INDEX(Mortality!$B$4:$E$64,MATCH(D235+DY235-1,Mortality!$A$4:$A$64,0),U235)*V235,0)</f>
        <v>2.8118420575739206E-3</v>
      </c>
      <c r="EC235" s="100">
        <f>'Policy Data'!O209</f>
        <v>0</v>
      </c>
      <c r="ED235" s="400">
        <f>'Policy Data'!Q209</f>
        <v>0</v>
      </c>
    </row>
    <row r="236" spans="1:134" x14ac:dyDescent="0.3">
      <c r="A236" s="399" t="str">
        <f>'Policy Data'!A210</f>
        <v>POL100206</v>
      </c>
      <c r="B236" s="26" t="s">
        <v>426</v>
      </c>
      <c r="C236" s="100" t="str">
        <f>'Policy Data'!B210</f>
        <v>Term Life</v>
      </c>
      <c r="D236" s="100">
        <f>'Policy Data'!C210</f>
        <v>63</v>
      </c>
      <c r="E236" s="100" t="str">
        <f>'Policy Data'!D210</f>
        <v>Female</v>
      </c>
      <c r="F236" s="100" t="str">
        <f>'Policy Data'!E210</f>
        <v>Non-smoker</v>
      </c>
      <c r="G236" s="100" t="str">
        <f>'Policy Data'!F210</f>
        <v>Standard</v>
      </c>
      <c r="H236" s="100">
        <f>'Policy Data'!G210</f>
        <v>10</v>
      </c>
      <c r="I236" s="279">
        <f>'Policy Data'!H210</f>
        <v>2000000</v>
      </c>
      <c r="J236" s="100" t="str">
        <f>'Policy Data'!I210</f>
        <v>Monthly</v>
      </c>
      <c r="K236" s="100" t="str">
        <f>'Policy Data'!J210</f>
        <v>Bancassurance</v>
      </c>
      <c r="L236" s="26" t="s">
        <v>389</v>
      </c>
      <c r="M236" s="106">
        <f>'Policy Data'!R210</f>
        <v>14229.72</v>
      </c>
      <c r="N236" s="415">
        <f>Assumptions!$C$21</f>
        <v>1</v>
      </c>
      <c r="O236" s="415">
        <f>Assumptions!$C$22</f>
        <v>1</v>
      </c>
      <c r="P236" s="415">
        <f>Assumptions!$C$23</f>
        <v>1</v>
      </c>
      <c r="Q236" s="416">
        <f>Assumptions!$C$24</f>
        <v>0</v>
      </c>
      <c r="R236" s="416">
        <f>Assumptions!$C$6+Assumptions!$C$25</f>
        <v>3.5000000000000003E-2</v>
      </c>
      <c r="S236" s="416">
        <f>Assumptions!$C$15</f>
        <v>1.1000000000000001E-3</v>
      </c>
      <c r="T236" s="26">
        <f t="shared" si="72"/>
        <v>1</v>
      </c>
      <c r="U236" s="26">
        <f t="shared" si="73"/>
        <v>1</v>
      </c>
      <c r="V236" s="389">
        <f>IF($G236="Preferred",Assumptions!$C$30,IF($G236="Rated",Assumptions!$C$31,1))</f>
        <v>1</v>
      </c>
      <c r="W236" s="390">
        <f>IF($K236="Direct",Assumptions!$C$32,IF($K236="Broker",Assumptions!$C$33,IF($K236="Bancassurance",Assumptions!$C$34,Assumptions!$C$11)))+$Q236</f>
        <v>0.2</v>
      </c>
      <c r="X236" s="390">
        <f>Assumptions!$C$12+$Q236</f>
        <v>0.05</v>
      </c>
      <c r="Y236" s="131">
        <f>MIN($I236,Assumptions!$C$14)</f>
        <v>500000</v>
      </c>
      <c r="Z236" s="131">
        <f>MAX($I236-Assumptions!$C$14,0)</f>
        <v>1500000</v>
      </c>
      <c r="AA236" s="389">
        <f t="shared" si="74"/>
        <v>5.7332972946838687</v>
      </c>
      <c r="AB236" s="389">
        <f t="shared" si="75"/>
        <v>4.1974816631852208E-2</v>
      </c>
      <c r="AC236" s="389">
        <f>IF($T236=1,SUMPRODUCT($CJ236:$DW236,(1+Assumptions!$C$5)^($CJ$5:$DW$5-1),(1+$R236)^(-$CJ$5:$DW$5)),0)</f>
        <v>6.6360335704298627</v>
      </c>
      <c r="AD236" s="389">
        <f t="shared" si="76"/>
        <v>0.43159240096607754</v>
      </c>
      <c r="AE236" s="131">
        <f>IF($T236=1,$AB236*$Y236+(Assumptions!$C$9/(1+$R236)+Assumptions!$C$10*$AC236)*$P236+$S236*$Z236*$AA236,0)</f>
        <v>32776.841455040361</v>
      </c>
      <c r="AF236" s="131">
        <f>IF($T236=1,IF($AA236-$AD236-Assumptions!$C$16*$AA236&gt;0,$AE236/($AA236-$AD236-Assumptions!$C$16*$AA236)*IF($J236="Monthly",1+Assumptions!$C$29,1),"n.a."),"")</f>
        <v>6970.8569328444482</v>
      </c>
      <c r="AG236" s="131">
        <f t="shared" si="77"/>
        <v>14229.72</v>
      </c>
      <c r="AH236" s="131">
        <f t="shared" si="78"/>
        <v>81583.215180108935</v>
      </c>
      <c r="AI236" s="131">
        <f t="shared" si="79"/>
        <v>42664.934705193569</v>
      </c>
      <c r="AJ236" s="390">
        <f t="shared" si="80"/>
        <v>0.5229621633690632</v>
      </c>
      <c r="AK236" s="389">
        <f t="shared" si="81"/>
        <v>2.0413157431124587</v>
      </c>
      <c r="AL236" s="131">
        <f t="shared" si="82"/>
        <v>62962.224947778312</v>
      </c>
      <c r="AM236" s="131">
        <f t="shared" si="83"/>
        <v>9459.9405362283833</v>
      </c>
      <c r="AN236" s="131">
        <f t="shared" si="84"/>
        <v>53502.284411549932</v>
      </c>
      <c r="AO236" s="131">
        <f t="shared" si="85"/>
        <v>-10837.349706356363</v>
      </c>
      <c r="AP236" s="26" t="str">
        <f t="shared" si="86"/>
        <v>60+</v>
      </c>
      <c r="AQ236" s="26" t="str">
        <f t="shared" si="87"/>
        <v>Over 1m</v>
      </c>
      <c r="AR236" s="26" t="str">
        <f>IF($T236=1,IF($AI236&lt;0,"Loss-making",IF($AJ236&lt;Assumptions!$C$16-0.00001,"Below target","At/above target")),"Excluded")</f>
        <v>At/above target</v>
      </c>
      <c r="AS236" s="103">
        <f t="shared" si="88"/>
        <v>42664.934941193569</v>
      </c>
      <c r="AT236" s="26"/>
      <c r="AU236" s="419">
        <f>IF(AND($T236=1,AU$5&lt;=$H236),INDEX(Mortality!$B$4:$E$64,MATCH($D236+AU$5-1,Mortality!$A$4:$A$64,0),$U236)*$V236*$N236,0)</f>
        <v>5.36005037995811E-3</v>
      </c>
      <c r="AV236" s="93">
        <f>IF(AND($T236=1,AV$5&lt;=$H236),INDEX(Mortality!$B$4:$E$64,MATCH($D236+AV$5-1,Mortality!$A$4:$A$64,0),$U236)*$V236*$N236,0)</f>
        <v>5.8064732586948697E-3</v>
      </c>
      <c r="AW236" s="93">
        <f>IF(AND($T236=1,AW$5&lt;=$H236),INDEX(Mortality!$B$4:$E$64,MATCH($D236+AW$5-1,Mortality!$A$4:$A$64,0),$U236)*$V236*$N236,0)</f>
        <v>6.2900773899446198E-3</v>
      </c>
      <c r="AX236" s="93">
        <f>IF(AND($T236=1,AX$5&lt;=$H236),INDEX(Mortality!$B$4:$E$64,MATCH($D236+AX$5-1,Mortality!$A$4:$A$64,0),$U236)*$V236*$N236,0)</f>
        <v>6.8139594912016701E-3</v>
      </c>
      <c r="AY236" s="93">
        <f>IF(AND($T236=1,AY$5&lt;=$H236),INDEX(Mortality!$B$4:$E$64,MATCH($D236+AY$5-1,Mortality!$A$4:$A$64,0),$U236)*$V236*$N236,0)</f>
        <v>7.3814741964798002E-3</v>
      </c>
      <c r="AZ236" s="93">
        <f>IF(AND($T236=1,AZ$5&lt;=$H236),INDEX(Mortality!$B$4:$E$64,MATCH($D236+AZ$5-1,Mortality!$A$4:$A$64,0),$U236)*$V236*$N236,0)</f>
        <v>7.9962555374229801E-3</v>
      </c>
      <c r="BA236" s="93">
        <f>IF(AND($T236=1,BA$5&lt;=$H236),INDEX(Mortality!$B$4:$E$64,MATCH($D236+BA$5-1,Mortality!$A$4:$A$64,0),$U236)*$V236*$N236,0)</f>
        <v>8.6622402135145896E-3</v>
      </c>
      <c r="BB236" s="93">
        <f>IF(AND($T236=1,BB$5&lt;=$H236),INDEX(Mortality!$B$4:$E$64,MATCH($D236+BB$5-1,Mortality!$A$4:$A$64,0),$U236)*$V236*$N236,0)</f>
        <v>9.3836928003943297E-3</v>
      </c>
      <c r="BC236" s="93">
        <f>IF(AND($T236=1,BC$5&lt;=$H236),INDEX(Mortality!$B$4:$E$64,MATCH($D236+BC$5-1,Mortality!$A$4:$A$64,0),$U236)*$V236*$N236,0)</f>
        <v>1.0165233057701799E-2</v>
      </c>
      <c r="BD236" s="93">
        <f>IF(AND($T236=1,BD$5&lt;=$H236),INDEX(Mortality!$B$4:$E$64,MATCH($D236+BD$5-1,Mortality!$A$4:$A$64,0),$U236)*$V236*$N236,0)</f>
        <v>1.1011865511310301E-2</v>
      </c>
      <c r="BE236" s="93">
        <f>IF(AND($T236=1,BE$5&lt;=$H236),INDEX(Mortality!$B$4:$E$64,MATCH($D236+BE$5-1,Mortality!$A$4:$A$64,0),$U236)*$V236*$N236,0)</f>
        <v>0</v>
      </c>
      <c r="BF236" s="93">
        <f>IF(AND($T236=1,BF$5&lt;=$H236),INDEX(Mortality!$B$4:$E$64,MATCH($D236+BF$5-1,Mortality!$A$4:$A$64,0),$U236)*$V236*$N236,0)</f>
        <v>0</v>
      </c>
      <c r="BG236" s="93">
        <f>IF(AND($T236=1,BG$5&lt;=$H236),INDEX(Mortality!$B$4:$E$64,MATCH($D236+BG$5-1,Mortality!$A$4:$A$64,0),$U236)*$V236*$N236,0)</f>
        <v>0</v>
      </c>
      <c r="BH236" s="93">
        <f>IF(AND($T236=1,BH$5&lt;=$H236),INDEX(Mortality!$B$4:$E$64,MATCH($D236+BH$5-1,Mortality!$A$4:$A$64,0),$U236)*$V236*$N236,0)</f>
        <v>0</v>
      </c>
      <c r="BI236" s="93">
        <f>IF(AND($T236=1,BI$5&lt;=$H236),INDEX(Mortality!$B$4:$E$64,MATCH($D236+BI$5-1,Mortality!$A$4:$A$64,0),$U236)*$V236*$N236,0)</f>
        <v>0</v>
      </c>
      <c r="BJ236" s="93">
        <f>IF(AND($T236=1,BJ$5&lt;=$H236),INDEX(Mortality!$B$4:$E$64,MATCH($D236+BJ$5-1,Mortality!$A$4:$A$64,0),$U236)*$V236*$N236,0)</f>
        <v>0</v>
      </c>
      <c r="BK236" s="93">
        <f>IF(AND($T236=1,BK$5&lt;=$H236),INDEX(Mortality!$B$4:$E$64,MATCH($D236+BK$5-1,Mortality!$A$4:$A$64,0),$U236)*$V236*$N236,0)</f>
        <v>0</v>
      </c>
      <c r="BL236" s="93">
        <f>IF(AND($T236=1,BL$5&lt;=$H236),INDEX(Mortality!$B$4:$E$64,MATCH($D236+BL$5-1,Mortality!$A$4:$A$64,0),$U236)*$V236*$N236,0)</f>
        <v>0</v>
      </c>
      <c r="BM236" s="93">
        <f>IF(AND($T236=1,BM$5&lt;=$H236),INDEX(Mortality!$B$4:$E$64,MATCH($D236+BM$5-1,Mortality!$A$4:$A$64,0),$U236)*$V236*$N236,0)</f>
        <v>0</v>
      </c>
      <c r="BN236" s="93">
        <f>IF(AND($T236=1,BN$5&lt;=$H236),INDEX(Mortality!$B$4:$E$64,MATCH($D236+BN$5-1,Mortality!$A$4:$A$64,0),$U236)*$V236*$N236,0)</f>
        <v>0</v>
      </c>
      <c r="BO236" s="93">
        <f>IF(AND($T236=1,BO$5&lt;=$H236),INDEX(Mortality!$B$4:$E$64,MATCH($D236+BO$5-1,Mortality!$A$4:$A$64,0),$U236)*$V236*$N236,0)</f>
        <v>0</v>
      </c>
      <c r="BP236" s="93">
        <f>IF(AND($T236=1,BP$5&lt;=$H236),INDEX(Mortality!$B$4:$E$64,MATCH($D236+BP$5-1,Mortality!$A$4:$A$64,0),$U236)*$V236*$N236,0)</f>
        <v>0</v>
      </c>
      <c r="BQ236" s="93">
        <f>IF(AND($T236=1,BQ$5&lt;=$H236),INDEX(Mortality!$B$4:$E$64,MATCH($D236+BQ$5-1,Mortality!$A$4:$A$64,0),$U236)*$V236*$N236,0)</f>
        <v>0</v>
      </c>
      <c r="BR236" s="93">
        <f>IF(AND($T236=1,BR$5&lt;=$H236),INDEX(Mortality!$B$4:$E$64,MATCH($D236+BR$5-1,Mortality!$A$4:$A$64,0),$U236)*$V236*$N236,0)</f>
        <v>0</v>
      </c>
      <c r="BS236" s="93">
        <f>IF(AND($T236=1,BS$5&lt;=$H236),INDEX(Mortality!$B$4:$E$64,MATCH($D236+BS$5-1,Mortality!$A$4:$A$64,0),$U236)*$V236*$N236,0)</f>
        <v>0</v>
      </c>
      <c r="BT236" s="93">
        <f>IF(AND($T236=1,BT$5&lt;=$H236),INDEX(Mortality!$B$4:$E$64,MATCH($D236+BT$5-1,Mortality!$A$4:$A$64,0),$U236)*$V236*$N236,0)</f>
        <v>0</v>
      </c>
      <c r="BU236" s="93">
        <f>IF(AND($T236=1,BU$5&lt;=$H236),INDEX(Mortality!$B$4:$E$64,MATCH($D236+BU$5-1,Mortality!$A$4:$A$64,0),$U236)*$V236*$N236,0)</f>
        <v>0</v>
      </c>
      <c r="BV236" s="93">
        <f>IF(AND($T236=1,BV$5&lt;=$H236),INDEX(Mortality!$B$4:$E$64,MATCH($D236+BV$5-1,Mortality!$A$4:$A$64,0),$U236)*$V236*$N236,0)</f>
        <v>0</v>
      </c>
      <c r="BW236" s="93">
        <f>IF(AND($T236=1,BW$5&lt;=$H236),INDEX(Mortality!$B$4:$E$64,MATCH($D236+BW$5-1,Mortality!$A$4:$A$64,0),$U236)*$V236*$N236,0)</f>
        <v>0</v>
      </c>
      <c r="BX236" s="93">
        <f>IF(AND($T236=1,BX$5&lt;=$H236),INDEX(Mortality!$B$4:$E$64,MATCH($D236+BX$5-1,Mortality!$A$4:$A$64,0),$U236)*$V236*$N236,0)</f>
        <v>0</v>
      </c>
      <c r="BY236" s="93">
        <f>IF(AND($T236=1,BY$5&lt;=$H236),INDEX(Mortality!$B$4:$E$64,MATCH($D236+BY$5-1,Mortality!$A$4:$A$64,0),$U236)*$V236*$N236,0)</f>
        <v>0</v>
      </c>
      <c r="BZ236" s="93">
        <f>IF(AND($T236=1,BZ$5&lt;=$H236),INDEX(Mortality!$B$4:$E$64,MATCH($D236+BZ$5-1,Mortality!$A$4:$A$64,0),$U236)*$V236*$N236,0)</f>
        <v>0</v>
      </c>
      <c r="CA236" s="93">
        <f>IF(AND($T236=1,CA$5&lt;=$H236),INDEX(Mortality!$B$4:$E$64,MATCH($D236+CA$5-1,Mortality!$A$4:$A$64,0),$U236)*$V236*$N236,0)</f>
        <v>0</v>
      </c>
      <c r="CB236" s="93">
        <f>IF(AND($T236=1,CB$5&lt;=$H236),INDEX(Mortality!$B$4:$E$64,MATCH($D236+CB$5-1,Mortality!$A$4:$A$64,0),$U236)*$V236*$N236,0)</f>
        <v>0</v>
      </c>
      <c r="CC236" s="93">
        <f>IF(AND($T236=1,CC$5&lt;=$H236),INDEX(Mortality!$B$4:$E$64,MATCH($D236+CC$5-1,Mortality!$A$4:$A$64,0),$U236)*$V236*$N236,0)</f>
        <v>0</v>
      </c>
      <c r="CD236" s="93">
        <f>IF(AND($T236=1,CD$5&lt;=$H236),INDEX(Mortality!$B$4:$E$64,MATCH($D236+CD$5-1,Mortality!$A$4:$A$64,0),$U236)*$V236*$N236,0)</f>
        <v>0</v>
      </c>
      <c r="CE236" s="93">
        <f>IF(AND($T236=1,CE$5&lt;=$H236),INDEX(Mortality!$B$4:$E$64,MATCH($D236+CE$5-1,Mortality!$A$4:$A$64,0),$U236)*$V236*$N236,0)</f>
        <v>0</v>
      </c>
      <c r="CF236" s="93">
        <f>IF(AND($T236=1,CF$5&lt;=$H236),INDEX(Mortality!$B$4:$E$64,MATCH($D236+CF$5-1,Mortality!$A$4:$A$64,0),$U236)*$V236*$N236,0)</f>
        <v>0</v>
      </c>
      <c r="CG236" s="93">
        <f>IF(AND($T236=1,CG$5&lt;=$H236),INDEX(Mortality!$B$4:$E$64,MATCH($D236+CG$5-1,Mortality!$A$4:$A$64,0),$U236)*$V236*$N236,0)</f>
        <v>0</v>
      </c>
      <c r="CH236" s="94">
        <f>IF(AND($T236=1,CH$5&lt;=$H236),INDEX(Mortality!$B$4:$E$64,MATCH($D236+CH$5-1,Mortality!$A$4:$A$64,0),$U236)*$V236*$N236,0)</f>
        <v>0</v>
      </c>
      <c r="CI236" s="26"/>
      <c r="CJ236" s="419">
        <f t="shared" si="89"/>
        <v>1</v>
      </c>
      <c r="CK236" s="93">
        <f>IF(AND($T236=1,CK$5&lt;=$H236),CJ236*(1-AU236)*(1-MIN(1,MAX(Assumptions!$C$27,Assumptions!$C$13*Assumptions!$C$28^(CJ$5-1))*$O236)),0)</f>
        <v>0.87528315566563686</v>
      </c>
      <c r="CL236" s="93">
        <f>IF(AND($T236=1,CL$5&lt;=$H236),CK236*(1-AV236)*(1-MIN(1,MAX(Assumptions!$C$27,Assumptions!$C$13*Assumptions!$C$28^(CK$5-1))*$O236)),0)</f>
        <v>0.78144036099077352</v>
      </c>
      <c r="CM236" s="93">
        <f>IF(AND($T236=1,CM$5&lt;=$H236),CL236*(1-AW236)*(1-MIN(1,MAX(Assumptions!$C$27,Assumptions!$C$13*Assumptions!$C$28^(CL$5-1))*$O236)),0)</f>
        <v>0.7092003196206359</v>
      </c>
      <c r="CN236" s="93">
        <f>IF(AND($T236=1,CN$5&lt;=$H236),CM236*(1-AX236)*(1-MIN(1,MAX(Assumptions!$C$27,Assumptions!$C$13*Assumptions!$C$28^(CM$5-1))*$O236)),0)</f>
        <v>0.65245946812259403</v>
      </c>
      <c r="CO236" s="93">
        <f>IF(AND($T236=1,CO$5&lt;=$H236),CN236*(1-AY236)*(1-MIN(1,MAX(Assumptions!$C$27,Assumptions!$C$13*Assumptions!$C$28^(CN$5-1))*$O236)),0)</f>
        <v>0.60707448987997648</v>
      </c>
      <c r="CP236" s="93">
        <f>IF(AND($T236=1,CP$5&lt;=$H236),CO236*(1-AZ236)*(1-MIN(1,MAX(Assumptions!$C$27,Assumptions!$C$13*Assumptions!$C$28^(CO$5-1))*$O236)),0)</f>
        <v>0.57015517263469129</v>
      </c>
      <c r="CQ236" s="93">
        <f>IF(AND($T236=1,CQ$5&lt;=$H236),CP236*(1-BA236)*(1-MIN(1,MAX(Assumptions!$C$27,Assumptions!$C$13*Assumptions!$C$28^(CP$5-1))*$O236)),0)</f>
        <v>0.5396358227841811</v>
      </c>
      <c r="CR236" s="93">
        <f>IF(AND($T236=1,CR$5&lt;=$H236),CQ236*(1-BB236)*(1-MIN(1,MAX(Assumptions!$C$27,Assumptions!$C$13*Assumptions!$C$28^(CQ$5-1))*$O236)),0)</f>
        <v>0.51400746000113384</v>
      </c>
      <c r="CS236" s="93">
        <f>IF(AND($T236=1,CS$5&lt;=$H236),CR236*(1-BC236)*(1-MIN(1,MAX(Assumptions!$C$27,Assumptions!$C$13*Assumptions!$C$28^(CR$5-1))*$O236)),0)</f>
        <v>0.49214584660196853</v>
      </c>
      <c r="CT236" s="93">
        <f>IF(AND($T236=1,CT$5&lt;=$H236),CS236*(1-BD236)*(1-MIN(1,MAX(Assumptions!$C$27,Assumptions!$C$13*Assumptions!$C$28^(CS$5-1))*$O236)),0)</f>
        <v>0</v>
      </c>
      <c r="CU236" s="93">
        <f>IF(AND($T236=1,CU$5&lt;=$H236),CT236*(1-BE236)*(1-MIN(1,MAX(Assumptions!$C$27,Assumptions!$C$13*Assumptions!$C$28^(CT$5-1))*$O236)),0)</f>
        <v>0</v>
      </c>
      <c r="CV236" s="93">
        <f>IF(AND($T236=1,CV$5&lt;=$H236),CU236*(1-BF236)*(1-MIN(1,MAX(Assumptions!$C$27,Assumptions!$C$13*Assumptions!$C$28^(CU$5-1))*$O236)),0)</f>
        <v>0</v>
      </c>
      <c r="CW236" s="93">
        <f>IF(AND($T236=1,CW$5&lt;=$H236),CV236*(1-BG236)*(1-MIN(1,MAX(Assumptions!$C$27,Assumptions!$C$13*Assumptions!$C$28^(CV$5-1))*$O236)),0)</f>
        <v>0</v>
      </c>
      <c r="CX236" s="93">
        <f>IF(AND($T236=1,CX$5&lt;=$H236),CW236*(1-BH236)*(1-MIN(1,MAX(Assumptions!$C$27,Assumptions!$C$13*Assumptions!$C$28^(CW$5-1))*$O236)),0)</f>
        <v>0</v>
      </c>
      <c r="CY236" s="93">
        <f>IF(AND($T236=1,CY$5&lt;=$H236),CX236*(1-BI236)*(1-MIN(1,MAX(Assumptions!$C$27,Assumptions!$C$13*Assumptions!$C$28^(CX$5-1))*$O236)),0)</f>
        <v>0</v>
      </c>
      <c r="CZ236" s="93">
        <f>IF(AND($T236=1,CZ$5&lt;=$H236),CY236*(1-BJ236)*(1-MIN(1,MAX(Assumptions!$C$27,Assumptions!$C$13*Assumptions!$C$28^(CY$5-1))*$O236)),0)</f>
        <v>0</v>
      </c>
      <c r="DA236" s="93">
        <f>IF(AND($T236=1,DA$5&lt;=$H236),CZ236*(1-BK236)*(1-MIN(1,MAX(Assumptions!$C$27,Assumptions!$C$13*Assumptions!$C$28^(CZ$5-1))*$O236)),0)</f>
        <v>0</v>
      </c>
      <c r="DB236" s="93">
        <f>IF(AND($T236=1,DB$5&lt;=$H236),DA236*(1-BL236)*(1-MIN(1,MAX(Assumptions!$C$27,Assumptions!$C$13*Assumptions!$C$28^(DA$5-1))*$O236)),0)</f>
        <v>0</v>
      </c>
      <c r="DC236" s="93">
        <f>IF(AND($T236=1,DC$5&lt;=$H236),DB236*(1-BM236)*(1-MIN(1,MAX(Assumptions!$C$27,Assumptions!$C$13*Assumptions!$C$28^(DB$5-1))*$O236)),0)</f>
        <v>0</v>
      </c>
      <c r="DD236" s="93">
        <f>IF(AND($T236=1,DD$5&lt;=$H236),DC236*(1-BN236)*(1-MIN(1,MAX(Assumptions!$C$27,Assumptions!$C$13*Assumptions!$C$28^(DC$5-1))*$O236)),0)</f>
        <v>0</v>
      </c>
      <c r="DE236" s="93">
        <f>IF(AND($T236=1,DE$5&lt;=$H236),DD236*(1-BO236)*(1-MIN(1,MAX(Assumptions!$C$27,Assumptions!$C$13*Assumptions!$C$28^(DD$5-1))*$O236)),0)</f>
        <v>0</v>
      </c>
      <c r="DF236" s="93">
        <f>IF(AND($T236=1,DF$5&lt;=$H236),DE236*(1-BP236)*(1-MIN(1,MAX(Assumptions!$C$27,Assumptions!$C$13*Assumptions!$C$28^(DE$5-1))*$O236)),0)</f>
        <v>0</v>
      </c>
      <c r="DG236" s="93">
        <f>IF(AND($T236=1,DG$5&lt;=$H236),DF236*(1-BQ236)*(1-MIN(1,MAX(Assumptions!$C$27,Assumptions!$C$13*Assumptions!$C$28^(DF$5-1))*$O236)),0)</f>
        <v>0</v>
      </c>
      <c r="DH236" s="93">
        <f>IF(AND($T236=1,DH$5&lt;=$H236),DG236*(1-BR236)*(1-MIN(1,MAX(Assumptions!$C$27,Assumptions!$C$13*Assumptions!$C$28^(DG$5-1))*$O236)),0)</f>
        <v>0</v>
      </c>
      <c r="DI236" s="93">
        <f>IF(AND($T236=1,DI$5&lt;=$H236),DH236*(1-BS236)*(1-MIN(1,MAX(Assumptions!$C$27,Assumptions!$C$13*Assumptions!$C$28^(DH$5-1))*$O236)),0)</f>
        <v>0</v>
      </c>
      <c r="DJ236" s="93">
        <f>IF(AND($T236=1,DJ$5&lt;=$H236),DI236*(1-BT236)*(1-MIN(1,MAX(Assumptions!$C$27,Assumptions!$C$13*Assumptions!$C$28^(DI$5-1))*$O236)),0)</f>
        <v>0</v>
      </c>
      <c r="DK236" s="93">
        <f>IF(AND($T236=1,DK$5&lt;=$H236),DJ236*(1-BU236)*(1-MIN(1,MAX(Assumptions!$C$27,Assumptions!$C$13*Assumptions!$C$28^(DJ$5-1))*$O236)),0)</f>
        <v>0</v>
      </c>
      <c r="DL236" s="93">
        <f>IF(AND($T236=1,DL$5&lt;=$H236),DK236*(1-BV236)*(1-MIN(1,MAX(Assumptions!$C$27,Assumptions!$C$13*Assumptions!$C$28^(DK$5-1))*$O236)),0)</f>
        <v>0</v>
      </c>
      <c r="DM236" s="93">
        <f>IF(AND($T236=1,DM$5&lt;=$H236),DL236*(1-BW236)*(1-MIN(1,MAX(Assumptions!$C$27,Assumptions!$C$13*Assumptions!$C$28^(DL$5-1))*$O236)),0)</f>
        <v>0</v>
      </c>
      <c r="DN236" s="93">
        <f>IF(AND($T236=1,DN$5&lt;=$H236),DM236*(1-BX236)*(1-MIN(1,MAX(Assumptions!$C$27,Assumptions!$C$13*Assumptions!$C$28^(DM$5-1))*$O236)),0)</f>
        <v>0</v>
      </c>
      <c r="DO236" s="93">
        <f>IF(AND($T236=1,DO$5&lt;=$H236),DN236*(1-BY236)*(1-MIN(1,MAX(Assumptions!$C$27,Assumptions!$C$13*Assumptions!$C$28^(DN$5-1))*$O236)),0)</f>
        <v>0</v>
      </c>
      <c r="DP236" s="93">
        <f>IF(AND($T236=1,DP$5&lt;=$H236),DO236*(1-BZ236)*(1-MIN(1,MAX(Assumptions!$C$27,Assumptions!$C$13*Assumptions!$C$28^(DO$5-1))*$O236)),0)</f>
        <v>0</v>
      </c>
      <c r="DQ236" s="93">
        <f>IF(AND($T236=1,DQ$5&lt;=$H236),DP236*(1-CA236)*(1-MIN(1,MAX(Assumptions!$C$27,Assumptions!$C$13*Assumptions!$C$28^(DP$5-1))*$O236)),0)</f>
        <v>0</v>
      </c>
      <c r="DR236" s="93">
        <f>IF(AND($T236=1,DR$5&lt;=$H236),DQ236*(1-CB236)*(1-MIN(1,MAX(Assumptions!$C$27,Assumptions!$C$13*Assumptions!$C$28^(DQ$5-1))*$O236)),0)</f>
        <v>0</v>
      </c>
      <c r="DS236" s="93">
        <f>IF(AND($T236=1,DS$5&lt;=$H236),DR236*(1-CC236)*(1-MIN(1,MAX(Assumptions!$C$27,Assumptions!$C$13*Assumptions!$C$28^(DR$5-1))*$O236)),0)</f>
        <v>0</v>
      </c>
      <c r="DT236" s="93">
        <f>IF(AND($T236=1,DT$5&lt;=$H236),DS236*(1-CD236)*(1-MIN(1,MAX(Assumptions!$C$27,Assumptions!$C$13*Assumptions!$C$28^(DS$5-1))*$O236)),0)</f>
        <v>0</v>
      </c>
      <c r="DU236" s="93">
        <f>IF(AND($T236=1,DU$5&lt;=$H236),DT236*(1-CE236)*(1-MIN(1,MAX(Assumptions!$C$27,Assumptions!$C$13*Assumptions!$C$28^(DT$5-1))*$O236)),0)</f>
        <v>0</v>
      </c>
      <c r="DV236" s="93">
        <f>IF(AND($T236=1,DV$5&lt;=$H236),DU236*(1-CF236)*(1-MIN(1,MAX(Assumptions!$C$27,Assumptions!$C$13*Assumptions!$C$28^(DU$5-1))*$O236)),0)</f>
        <v>0</v>
      </c>
      <c r="DW236" s="94">
        <f>IF(AND($T236=1,DW$5&lt;=$H236),DV236*(1-CG236)*(1-MIN(1,MAX(Assumptions!$C$27,Assumptions!$C$13*Assumptions!$C$28^(DV$5-1))*$O236)),0)</f>
        <v>0</v>
      </c>
      <c r="DX236" s="26"/>
      <c r="DY236" s="399">
        <f>'Policy Data'!K210</f>
        <v>1</v>
      </c>
      <c r="DZ236" s="100">
        <f>'Policy Data'!L210</f>
        <v>0.5393</v>
      </c>
      <c r="EA236" s="100">
        <f>'Policy Data'!N210</f>
        <v>2.8909999999999999E-3</v>
      </c>
      <c r="EB236" s="93" cm="1">
        <f t="array" ref="EB236">IFERROR(DZ236*INDEX(Mortality!$B$4:$E$64,MATCH(D236+DY236-1,Mortality!$A$4:$A$64,0),U236)*V236,0)</f>
        <v>2.8906751699114088E-3</v>
      </c>
      <c r="EC236" s="100">
        <f>'Policy Data'!O210</f>
        <v>0</v>
      </c>
      <c r="ED236" s="400">
        <f>'Policy Data'!Q210</f>
        <v>0</v>
      </c>
    </row>
    <row r="237" spans="1:134" x14ac:dyDescent="0.3">
      <c r="A237" s="399" t="str">
        <f>'Policy Data'!A211</f>
        <v>POL100207</v>
      </c>
      <c r="B237" s="26" t="s">
        <v>426</v>
      </c>
      <c r="C237" s="100" t="str">
        <f>'Policy Data'!B211</f>
        <v>Unit-Linked</v>
      </c>
      <c r="D237" s="100">
        <f>'Policy Data'!C211</f>
        <v>22</v>
      </c>
      <c r="E237" s="100" t="str">
        <f>'Policy Data'!D211</f>
        <v>Female</v>
      </c>
      <c r="F237" s="100" t="str">
        <f>'Policy Data'!E211</f>
        <v>Non-smoker</v>
      </c>
      <c r="G237" s="100" t="str">
        <f>'Policy Data'!F211</f>
        <v>Standard</v>
      </c>
      <c r="H237" s="100">
        <f>'Policy Data'!G211</f>
        <v>20</v>
      </c>
      <c r="I237" s="279">
        <f>'Policy Data'!H211</f>
        <v>500000</v>
      </c>
      <c r="J237" s="100" t="str">
        <f>'Policy Data'!I211</f>
        <v>Annual</v>
      </c>
      <c r="K237" s="100" t="str">
        <f>'Policy Data'!J211</f>
        <v>Direct</v>
      </c>
      <c r="L237" s="26" t="s">
        <v>389</v>
      </c>
      <c r="M237" s="106">
        <f>'Policy Data'!R211</f>
        <v>15394.26</v>
      </c>
      <c r="N237" s="415">
        <f>Assumptions!$C$21</f>
        <v>1</v>
      </c>
      <c r="O237" s="415">
        <f>Assumptions!$C$22</f>
        <v>1</v>
      </c>
      <c r="P237" s="415">
        <f>Assumptions!$C$23</f>
        <v>1</v>
      </c>
      <c r="Q237" s="416">
        <f>Assumptions!$C$24</f>
        <v>0</v>
      </c>
      <c r="R237" s="416">
        <f>Assumptions!$C$6+Assumptions!$C$25</f>
        <v>3.5000000000000003E-2</v>
      </c>
      <c r="S237" s="416">
        <f>Assumptions!$C$15</f>
        <v>1.1000000000000001E-3</v>
      </c>
      <c r="T237" s="26">
        <f t="shared" si="72"/>
        <v>0</v>
      </c>
      <c r="U237" s="26">
        <f t="shared" si="73"/>
        <v>1</v>
      </c>
      <c r="V237" s="389">
        <f>IF($G237="Preferred",Assumptions!$C$30,IF($G237="Rated",Assumptions!$C$31,1))</f>
        <v>1</v>
      </c>
      <c r="W237" s="390">
        <f>IF($K237="Direct",Assumptions!$C$32,IF($K237="Broker",Assumptions!$C$33,IF($K237="Bancassurance",Assumptions!$C$34,Assumptions!$C$11)))+$Q237</f>
        <v>0.1</v>
      </c>
      <c r="X237" s="390">
        <f>Assumptions!$C$12+$Q237</f>
        <v>0.05</v>
      </c>
      <c r="Y237" s="131">
        <f>MIN($I237,Assumptions!$C$14)</f>
        <v>500000</v>
      </c>
      <c r="Z237" s="131">
        <f>MAX($I237-Assumptions!$C$14,0)</f>
        <v>0</v>
      </c>
      <c r="AA237" s="389">
        <f t="shared" si="74"/>
        <v>0</v>
      </c>
      <c r="AB237" s="389">
        <f t="shared" si="75"/>
        <v>0</v>
      </c>
      <c r="AC237" s="389">
        <f>IF($T237=1,SUMPRODUCT($CJ237:$DW237,(1+Assumptions!$C$5)^($CJ$5:$DW$5-1),(1+$R237)^(-$CJ$5:$DW$5)),0)</f>
        <v>0</v>
      </c>
      <c r="AD237" s="389">
        <f t="shared" si="76"/>
        <v>0</v>
      </c>
      <c r="AE237" s="131">
        <f>IF($T237=1,$AB237*$Y237+(Assumptions!$C$9/(1+$R237)+Assumptions!$C$10*$AC237)*$P237+$S237*$Z237*$AA237,0)</f>
        <v>0</v>
      </c>
      <c r="AF237" s="131" t="str">
        <f>IF($T237=1,IF($AA237-$AD237-Assumptions!$C$16*$AA237&gt;0,$AE237/($AA237-$AD237-Assumptions!$C$16*$AA237)*IF($J237="Monthly",1+Assumptions!$C$29,1),"n.a."),"")</f>
        <v/>
      </c>
      <c r="AG237" s="131" t="str">
        <f t="shared" si="77"/>
        <v/>
      </c>
      <c r="AH237" s="131" t="str">
        <f t="shared" si="78"/>
        <v/>
      </c>
      <c r="AI237" s="131" t="str">
        <f t="shared" si="79"/>
        <v/>
      </c>
      <c r="AJ237" s="390" t="str">
        <f t="shared" si="80"/>
        <v/>
      </c>
      <c r="AK237" s="389" t="str">
        <f t="shared" si="81"/>
        <v/>
      </c>
      <c r="AL237" s="131" t="str">
        <f t="shared" si="82"/>
        <v/>
      </c>
      <c r="AM237" s="131" t="str">
        <f t="shared" si="83"/>
        <v/>
      </c>
      <c r="AN237" s="131" t="str">
        <f t="shared" si="84"/>
        <v/>
      </c>
      <c r="AO237" s="131" t="str">
        <f t="shared" si="85"/>
        <v/>
      </c>
      <c r="AP237" s="26" t="str">
        <f t="shared" si="86"/>
        <v>20-29</v>
      </c>
      <c r="AQ237" s="26" t="str">
        <f t="shared" si="87"/>
        <v>250k-500k</v>
      </c>
      <c r="AR237" s="26" t="str">
        <f>IF($T237=1,IF($AI237&lt;0,"Loss-making",IF($AJ237&lt;Assumptions!$C$16-0.00001,"Below target","At/above target")),"Excluded")</f>
        <v>Excluded</v>
      </c>
      <c r="AS237" s="103">
        <f t="shared" si="88"/>
        <v>9.9999999999999997E+98</v>
      </c>
      <c r="AT237" s="26"/>
      <c r="AU237" s="419">
        <f>IF(AND($T237=1,AU$5&lt;=$H237),INDEX(Mortality!$B$4:$E$64,MATCH($D237+AU$5-1,Mortality!$A$4:$A$64,0),$U237)*$V237*$N237,0)</f>
        <v>0</v>
      </c>
      <c r="AV237" s="93">
        <f>IF(AND($T237=1,AV$5&lt;=$H237),INDEX(Mortality!$B$4:$E$64,MATCH($D237+AV$5-1,Mortality!$A$4:$A$64,0),$U237)*$V237*$N237,0)</f>
        <v>0</v>
      </c>
      <c r="AW237" s="93">
        <f>IF(AND($T237=1,AW$5&lt;=$H237),INDEX(Mortality!$B$4:$E$64,MATCH($D237+AW$5-1,Mortality!$A$4:$A$64,0),$U237)*$V237*$N237,0)</f>
        <v>0</v>
      </c>
      <c r="AX237" s="93">
        <f>IF(AND($T237=1,AX$5&lt;=$H237),INDEX(Mortality!$B$4:$E$64,MATCH($D237+AX$5-1,Mortality!$A$4:$A$64,0),$U237)*$V237*$N237,0)</f>
        <v>0</v>
      </c>
      <c r="AY237" s="93">
        <f>IF(AND($T237=1,AY$5&lt;=$H237),INDEX(Mortality!$B$4:$E$64,MATCH($D237+AY$5-1,Mortality!$A$4:$A$64,0),$U237)*$V237*$N237,0)</f>
        <v>0</v>
      </c>
      <c r="AZ237" s="93">
        <f>IF(AND($T237=1,AZ$5&lt;=$H237),INDEX(Mortality!$B$4:$E$64,MATCH($D237+AZ$5-1,Mortality!$A$4:$A$64,0),$U237)*$V237*$N237,0)</f>
        <v>0</v>
      </c>
      <c r="BA237" s="93">
        <f>IF(AND($T237=1,BA$5&lt;=$H237),INDEX(Mortality!$B$4:$E$64,MATCH($D237+BA$5-1,Mortality!$A$4:$A$64,0),$U237)*$V237*$N237,0)</f>
        <v>0</v>
      </c>
      <c r="BB237" s="93">
        <f>IF(AND($T237=1,BB$5&lt;=$H237),INDEX(Mortality!$B$4:$E$64,MATCH($D237+BB$5-1,Mortality!$A$4:$A$64,0),$U237)*$V237*$N237,0)</f>
        <v>0</v>
      </c>
      <c r="BC237" s="93">
        <f>IF(AND($T237=1,BC$5&lt;=$H237),INDEX(Mortality!$B$4:$E$64,MATCH($D237+BC$5-1,Mortality!$A$4:$A$64,0),$U237)*$V237*$N237,0)</f>
        <v>0</v>
      </c>
      <c r="BD237" s="93">
        <f>IF(AND($T237=1,BD$5&lt;=$H237),INDEX(Mortality!$B$4:$E$64,MATCH($D237+BD$5-1,Mortality!$A$4:$A$64,0),$U237)*$V237*$N237,0)</f>
        <v>0</v>
      </c>
      <c r="BE237" s="93">
        <f>IF(AND($T237=1,BE$5&lt;=$H237),INDEX(Mortality!$B$4:$E$64,MATCH($D237+BE$5-1,Mortality!$A$4:$A$64,0),$U237)*$V237*$N237,0)</f>
        <v>0</v>
      </c>
      <c r="BF237" s="93">
        <f>IF(AND($T237=1,BF$5&lt;=$H237),INDEX(Mortality!$B$4:$E$64,MATCH($D237+BF$5-1,Mortality!$A$4:$A$64,0),$U237)*$V237*$N237,0)</f>
        <v>0</v>
      </c>
      <c r="BG237" s="93">
        <f>IF(AND($T237=1,BG$5&lt;=$H237),INDEX(Mortality!$B$4:$E$64,MATCH($D237+BG$5-1,Mortality!$A$4:$A$64,0),$U237)*$V237*$N237,0)</f>
        <v>0</v>
      </c>
      <c r="BH237" s="93">
        <f>IF(AND($T237=1,BH$5&lt;=$H237),INDEX(Mortality!$B$4:$E$64,MATCH($D237+BH$5-1,Mortality!$A$4:$A$64,0),$U237)*$V237*$N237,0)</f>
        <v>0</v>
      </c>
      <c r="BI237" s="93">
        <f>IF(AND($T237=1,BI$5&lt;=$H237),INDEX(Mortality!$B$4:$E$64,MATCH($D237+BI$5-1,Mortality!$A$4:$A$64,0),$U237)*$V237*$N237,0)</f>
        <v>0</v>
      </c>
      <c r="BJ237" s="93">
        <f>IF(AND($T237=1,BJ$5&lt;=$H237),INDEX(Mortality!$B$4:$E$64,MATCH($D237+BJ$5-1,Mortality!$A$4:$A$64,0),$U237)*$V237*$N237,0)</f>
        <v>0</v>
      </c>
      <c r="BK237" s="93">
        <f>IF(AND($T237=1,BK$5&lt;=$H237),INDEX(Mortality!$B$4:$E$64,MATCH($D237+BK$5-1,Mortality!$A$4:$A$64,0),$U237)*$V237*$N237,0)</f>
        <v>0</v>
      </c>
      <c r="BL237" s="93">
        <f>IF(AND($T237=1,BL$5&lt;=$H237),INDEX(Mortality!$B$4:$E$64,MATCH($D237+BL$5-1,Mortality!$A$4:$A$64,0),$U237)*$V237*$N237,0)</f>
        <v>0</v>
      </c>
      <c r="BM237" s="93">
        <f>IF(AND($T237=1,BM$5&lt;=$H237),INDEX(Mortality!$B$4:$E$64,MATCH($D237+BM$5-1,Mortality!$A$4:$A$64,0),$U237)*$V237*$N237,0)</f>
        <v>0</v>
      </c>
      <c r="BN237" s="93">
        <f>IF(AND($T237=1,BN$5&lt;=$H237),INDEX(Mortality!$B$4:$E$64,MATCH($D237+BN$5-1,Mortality!$A$4:$A$64,0),$U237)*$V237*$N237,0)</f>
        <v>0</v>
      </c>
      <c r="BO237" s="93">
        <f>IF(AND($T237=1,BO$5&lt;=$H237),INDEX(Mortality!$B$4:$E$64,MATCH($D237+BO$5-1,Mortality!$A$4:$A$64,0),$U237)*$V237*$N237,0)</f>
        <v>0</v>
      </c>
      <c r="BP237" s="93">
        <f>IF(AND($T237=1,BP$5&lt;=$H237),INDEX(Mortality!$B$4:$E$64,MATCH($D237+BP$5-1,Mortality!$A$4:$A$64,0),$U237)*$V237*$N237,0)</f>
        <v>0</v>
      </c>
      <c r="BQ237" s="93">
        <f>IF(AND($T237=1,BQ$5&lt;=$H237),INDEX(Mortality!$B$4:$E$64,MATCH($D237+BQ$5-1,Mortality!$A$4:$A$64,0),$U237)*$V237*$N237,0)</f>
        <v>0</v>
      </c>
      <c r="BR237" s="93">
        <f>IF(AND($T237=1,BR$5&lt;=$H237),INDEX(Mortality!$B$4:$E$64,MATCH($D237+BR$5-1,Mortality!$A$4:$A$64,0),$U237)*$V237*$N237,0)</f>
        <v>0</v>
      </c>
      <c r="BS237" s="93">
        <f>IF(AND($T237=1,BS$5&lt;=$H237),INDEX(Mortality!$B$4:$E$64,MATCH($D237+BS$5-1,Mortality!$A$4:$A$64,0),$U237)*$V237*$N237,0)</f>
        <v>0</v>
      </c>
      <c r="BT237" s="93">
        <f>IF(AND($T237=1,BT$5&lt;=$H237),INDEX(Mortality!$B$4:$E$64,MATCH($D237+BT$5-1,Mortality!$A$4:$A$64,0),$U237)*$V237*$N237,0)</f>
        <v>0</v>
      </c>
      <c r="BU237" s="93">
        <f>IF(AND($T237=1,BU$5&lt;=$H237),INDEX(Mortality!$B$4:$E$64,MATCH($D237+BU$5-1,Mortality!$A$4:$A$64,0),$U237)*$V237*$N237,0)</f>
        <v>0</v>
      </c>
      <c r="BV237" s="93">
        <f>IF(AND($T237=1,BV$5&lt;=$H237),INDEX(Mortality!$B$4:$E$64,MATCH($D237+BV$5-1,Mortality!$A$4:$A$64,0),$U237)*$V237*$N237,0)</f>
        <v>0</v>
      </c>
      <c r="BW237" s="93">
        <f>IF(AND($T237=1,BW$5&lt;=$H237),INDEX(Mortality!$B$4:$E$64,MATCH($D237+BW$5-1,Mortality!$A$4:$A$64,0),$U237)*$V237*$N237,0)</f>
        <v>0</v>
      </c>
      <c r="BX237" s="93">
        <f>IF(AND($T237=1,BX$5&lt;=$H237),INDEX(Mortality!$B$4:$E$64,MATCH($D237+BX$5-1,Mortality!$A$4:$A$64,0),$U237)*$V237*$N237,0)</f>
        <v>0</v>
      </c>
      <c r="BY237" s="93">
        <f>IF(AND($T237=1,BY$5&lt;=$H237),INDEX(Mortality!$B$4:$E$64,MATCH($D237+BY$5-1,Mortality!$A$4:$A$64,0),$U237)*$V237*$N237,0)</f>
        <v>0</v>
      </c>
      <c r="BZ237" s="93">
        <f>IF(AND($T237=1,BZ$5&lt;=$H237),INDEX(Mortality!$B$4:$E$64,MATCH($D237+BZ$5-1,Mortality!$A$4:$A$64,0),$U237)*$V237*$N237,0)</f>
        <v>0</v>
      </c>
      <c r="CA237" s="93">
        <f>IF(AND($T237=1,CA$5&lt;=$H237),INDEX(Mortality!$B$4:$E$64,MATCH($D237+CA$5-1,Mortality!$A$4:$A$64,0),$U237)*$V237*$N237,0)</f>
        <v>0</v>
      </c>
      <c r="CB237" s="93">
        <f>IF(AND($T237=1,CB$5&lt;=$H237),INDEX(Mortality!$B$4:$E$64,MATCH($D237+CB$5-1,Mortality!$A$4:$A$64,0),$U237)*$V237*$N237,0)</f>
        <v>0</v>
      </c>
      <c r="CC237" s="93">
        <f>IF(AND($T237=1,CC$5&lt;=$H237),INDEX(Mortality!$B$4:$E$64,MATCH($D237+CC$5-1,Mortality!$A$4:$A$64,0),$U237)*$V237*$N237,0)</f>
        <v>0</v>
      </c>
      <c r="CD237" s="93">
        <f>IF(AND($T237=1,CD$5&lt;=$H237),INDEX(Mortality!$B$4:$E$64,MATCH($D237+CD$5-1,Mortality!$A$4:$A$64,0),$U237)*$V237*$N237,0)</f>
        <v>0</v>
      </c>
      <c r="CE237" s="93">
        <f>IF(AND($T237=1,CE$5&lt;=$H237),INDEX(Mortality!$B$4:$E$64,MATCH($D237+CE$5-1,Mortality!$A$4:$A$64,0),$U237)*$V237*$N237,0)</f>
        <v>0</v>
      </c>
      <c r="CF237" s="93">
        <f>IF(AND($T237=1,CF$5&lt;=$H237),INDEX(Mortality!$B$4:$E$64,MATCH($D237+CF$5-1,Mortality!$A$4:$A$64,0),$U237)*$V237*$N237,0)</f>
        <v>0</v>
      </c>
      <c r="CG237" s="93">
        <f>IF(AND($T237=1,CG$5&lt;=$H237),INDEX(Mortality!$B$4:$E$64,MATCH($D237+CG$5-1,Mortality!$A$4:$A$64,0),$U237)*$V237*$N237,0)</f>
        <v>0</v>
      </c>
      <c r="CH237" s="94">
        <f>IF(AND($T237=1,CH$5&lt;=$H237),INDEX(Mortality!$B$4:$E$64,MATCH($D237+CH$5-1,Mortality!$A$4:$A$64,0),$U237)*$V237*$N237,0)</f>
        <v>0</v>
      </c>
      <c r="CI237" s="26"/>
      <c r="CJ237" s="419">
        <f t="shared" si="89"/>
        <v>0</v>
      </c>
      <c r="CK237" s="93">
        <f>IF(AND($T237=1,CK$5&lt;=$H237),CJ237*(1-AU237)*(1-MIN(1,MAX(Assumptions!$C$27,Assumptions!$C$13*Assumptions!$C$28^(CJ$5-1))*$O237)),0)</f>
        <v>0</v>
      </c>
      <c r="CL237" s="93">
        <f>IF(AND($T237=1,CL$5&lt;=$H237),CK237*(1-AV237)*(1-MIN(1,MAX(Assumptions!$C$27,Assumptions!$C$13*Assumptions!$C$28^(CK$5-1))*$O237)),0)</f>
        <v>0</v>
      </c>
      <c r="CM237" s="93">
        <f>IF(AND($T237=1,CM$5&lt;=$H237),CL237*(1-AW237)*(1-MIN(1,MAX(Assumptions!$C$27,Assumptions!$C$13*Assumptions!$C$28^(CL$5-1))*$O237)),0)</f>
        <v>0</v>
      </c>
      <c r="CN237" s="93">
        <f>IF(AND($T237=1,CN$5&lt;=$H237),CM237*(1-AX237)*(1-MIN(1,MAX(Assumptions!$C$27,Assumptions!$C$13*Assumptions!$C$28^(CM$5-1))*$O237)),0)</f>
        <v>0</v>
      </c>
      <c r="CO237" s="93">
        <f>IF(AND($T237=1,CO$5&lt;=$H237),CN237*(1-AY237)*(1-MIN(1,MAX(Assumptions!$C$27,Assumptions!$C$13*Assumptions!$C$28^(CN$5-1))*$O237)),0)</f>
        <v>0</v>
      </c>
      <c r="CP237" s="93">
        <f>IF(AND($T237=1,CP$5&lt;=$H237),CO237*(1-AZ237)*(1-MIN(1,MAX(Assumptions!$C$27,Assumptions!$C$13*Assumptions!$C$28^(CO$5-1))*$O237)),0)</f>
        <v>0</v>
      </c>
      <c r="CQ237" s="93">
        <f>IF(AND($T237=1,CQ$5&lt;=$H237),CP237*(1-BA237)*(1-MIN(1,MAX(Assumptions!$C$27,Assumptions!$C$13*Assumptions!$C$28^(CP$5-1))*$O237)),0)</f>
        <v>0</v>
      </c>
      <c r="CR237" s="93">
        <f>IF(AND($T237=1,CR$5&lt;=$H237),CQ237*(1-BB237)*(1-MIN(1,MAX(Assumptions!$C$27,Assumptions!$C$13*Assumptions!$C$28^(CQ$5-1))*$O237)),0)</f>
        <v>0</v>
      </c>
      <c r="CS237" s="93">
        <f>IF(AND($T237=1,CS$5&lt;=$H237),CR237*(1-BC237)*(1-MIN(1,MAX(Assumptions!$C$27,Assumptions!$C$13*Assumptions!$C$28^(CR$5-1))*$O237)),0)</f>
        <v>0</v>
      </c>
      <c r="CT237" s="93">
        <f>IF(AND($T237=1,CT$5&lt;=$H237),CS237*(1-BD237)*(1-MIN(1,MAX(Assumptions!$C$27,Assumptions!$C$13*Assumptions!$C$28^(CS$5-1))*$O237)),0)</f>
        <v>0</v>
      </c>
      <c r="CU237" s="93">
        <f>IF(AND($T237=1,CU$5&lt;=$H237),CT237*(1-BE237)*(1-MIN(1,MAX(Assumptions!$C$27,Assumptions!$C$13*Assumptions!$C$28^(CT$5-1))*$O237)),0)</f>
        <v>0</v>
      </c>
      <c r="CV237" s="93">
        <f>IF(AND($T237=1,CV$5&lt;=$H237),CU237*(1-BF237)*(1-MIN(1,MAX(Assumptions!$C$27,Assumptions!$C$13*Assumptions!$C$28^(CU$5-1))*$O237)),0)</f>
        <v>0</v>
      </c>
      <c r="CW237" s="93">
        <f>IF(AND($T237=1,CW$5&lt;=$H237),CV237*(1-BG237)*(1-MIN(1,MAX(Assumptions!$C$27,Assumptions!$C$13*Assumptions!$C$28^(CV$5-1))*$O237)),0)</f>
        <v>0</v>
      </c>
      <c r="CX237" s="93">
        <f>IF(AND($T237=1,CX$5&lt;=$H237),CW237*(1-BH237)*(1-MIN(1,MAX(Assumptions!$C$27,Assumptions!$C$13*Assumptions!$C$28^(CW$5-1))*$O237)),0)</f>
        <v>0</v>
      </c>
      <c r="CY237" s="93">
        <f>IF(AND($T237=1,CY$5&lt;=$H237),CX237*(1-BI237)*(1-MIN(1,MAX(Assumptions!$C$27,Assumptions!$C$13*Assumptions!$C$28^(CX$5-1))*$O237)),0)</f>
        <v>0</v>
      </c>
      <c r="CZ237" s="93">
        <f>IF(AND($T237=1,CZ$5&lt;=$H237),CY237*(1-BJ237)*(1-MIN(1,MAX(Assumptions!$C$27,Assumptions!$C$13*Assumptions!$C$28^(CY$5-1))*$O237)),0)</f>
        <v>0</v>
      </c>
      <c r="DA237" s="93">
        <f>IF(AND($T237=1,DA$5&lt;=$H237),CZ237*(1-BK237)*(1-MIN(1,MAX(Assumptions!$C$27,Assumptions!$C$13*Assumptions!$C$28^(CZ$5-1))*$O237)),0)</f>
        <v>0</v>
      </c>
      <c r="DB237" s="93">
        <f>IF(AND($T237=1,DB$5&lt;=$H237),DA237*(1-BL237)*(1-MIN(1,MAX(Assumptions!$C$27,Assumptions!$C$13*Assumptions!$C$28^(DA$5-1))*$O237)),0)</f>
        <v>0</v>
      </c>
      <c r="DC237" s="93">
        <f>IF(AND($T237=1,DC$5&lt;=$H237),DB237*(1-BM237)*(1-MIN(1,MAX(Assumptions!$C$27,Assumptions!$C$13*Assumptions!$C$28^(DB$5-1))*$O237)),0)</f>
        <v>0</v>
      </c>
      <c r="DD237" s="93">
        <f>IF(AND($T237=1,DD$5&lt;=$H237),DC237*(1-BN237)*(1-MIN(1,MAX(Assumptions!$C$27,Assumptions!$C$13*Assumptions!$C$28^(DC$5-1))*$O237)),0)</f>
        <v>0</v>
      </c>
      <c r="DE237" s="93">
        <f>IF(AND($T237=1,DE$5&lt;=$H237),DD237*(1-BO237)*(1-MIN(1,MAX(Assumptions!$C$27,Assumptions!$C$13*Assumptions!$C$28^(DD$5-1))*$O237)),0)</f>
        <v>0</v>
      </c>
      <c r="DF237" s="93">
        <f>IF(AND($T237=1,DF$5&lt;=$H237),DE237*(1-BP237)*(1-MIN(1,MAX(Assumptions!$C$27,Assumptions!$C$13*Assumptions!$C$28^(DE$5-1))*$O237)),0)</f>
        <v>0</v>
      </c>
      <c r="DG237" s="93">
        <f>IF(AND($T237=1,DG$5&lt;=$H237),DF237*(1-BQ237)*(1-MIN(1,MAX(Assumptions!$C$27,Assumptions!$C$13*Assumptions!$C$28^(DF$5-1))*$O237)),0)</f>
        <v>0</v>
      </c>
      <c r="DH237" s="93">
        <f>IF(AND($T237=1,DH$5&lt;=$H237),DG237*(1-BR237)*(1-MIN(1,MAX(Assumptions!$C$27,Assumptions!$C$13*Assumptions!$C$28^(DG$5-1))*$O237)),0)</f>
        <v>0</v>
      </c>
      <c r="DI237" s="93">
        <f>IF(AND($T237=1,DI$5&lt;=$H237),DH237*(1-BS237)*(1-MIN(1,MAX(Assumptions!$C$27,Assumptions!$C$13*Assumptions!$C$28^(DH$5-1))*$O237)),0)</f>
        <v>0</v>
      </c>
      <c r="DJ237" s="93">
        <f>IF(AND($T237=1,DJ$5&lt;=$H237),DI237*(1-BT237)*(1-MIN(1,MAX(Assumptions!$C$27,Assumptions!$C$13*Assumptions!$C$28^(DI$5-1))*$O237)),0)</f>
        <v>0</v>
      </c>
      <c r="DK237" s="93">
        <f>IF(AND($T237=1,DK$5&lt;=$H237),DJ237*(1-BU237)*(1-MIN(1,MAX(Assumptions!$C$27,Assumptions!$C$13*Assumptions!$C$28^(DJ$5-1))*$O237)),0)</f>
        <v>0</v>
      </c>
      <c r="DL237" s="93">
        <f>IF(AND($T237=1,DL$5&lt;=$H237),DK237*(1-BV237)*(1-MIN(1,MAX(Assumptions!$C$27,Assumptions!$C$13*Assumptions!$C$28^(DK$5-1))*$O237)),0)</f>
        <v>0</v>
      </c>
      <c r="DM237" s="93">
        <f>IF(AND($T237=1,DM$5&lt;=$H237),DL237*(1-BW237)*(1-MIN(1,MAX(Assumptions!$C$27,Assumptions!$C$13*Assumptions!$C$28^(DL$5-1))*$O237)),0)</f>
        <v>0</v>
      </c>
      <c r="DN237" s="93">
        <f>IF(AND($T237=1,DN$5&lt;=$H237),DM237*(1-BX237)*(1-MIN(1,MAX(Assumptions!$C$27,Assumptions!$C$13*Assumptions!$C$28^(DM$5-1))*$O237)),0)</f>
        <v>0</v>
      </c>
      <c r="DO237" s="93">
        <f>IF(AND($T237=1,DO$5&lt;=$H237),DN237*(1-BY237)*(1-MIN(1,MAX(Assumptions!$C$27,Assumptions!$C$13*Assumptions!$C$28^(DN$5-1))*$O237)),0)</f>
        <v>0</v>
      </c>
      <c r="DP237" s="93">
        <f>IF(AND($T237=1,DP$5&lt;=$H237),DO237*(1-BZ237)*(1-MIN(1,MAX(Assumptions!$C$27,Assumptions!$C$13*Assumptions!$C$28^(DO$5-1))*$O237)),0)</f>
        <v>0</v>
      </c>
      <c r="DQ237" s="93">
        <f>IF(AND($T237=1,DQ$5&lt;=$H237),DP237*(1-CA237)*(1-MIN(1,MAX(Assumptions!$C$27,Assumptions!$C$13*Assumptions!$C$28^(DP$5-1))*$O237)),0)</f>
        <v>0</v>
      </c>
      <c r="DR237" s="93">
        <f>IF(AND($T237=1,DR$5&lt;=$H237),DQ237*(1-CB237)*(1-MIN(1,MAX(Assumptions!$C$27,Assumptions!$C$13*Assumptions!$C$28^(DQ$5-1))*$O237)),0)</f>
        <v>0</v>
      </c>
      <c r="DS237" s="93">
        <f>IF(AND($T237=1,DS$5&lt;=$H237),DR237*(1-CC237)*(1-MIN(1,MAX(Assumptions!$C$27,Assumptions!$C$13*Assumptions!$C$28^(DR$5-1))*$O237)),0)</f>
        <v>0</v>
      </c>
      <c r="DT237" s="93">
        <f>IF(AND($T237=1,DT$5&lt;=$H237),DS237*(1-CD237)*(1-MIN(1,MAX(Assumptions!$C$27,Assumptions!$C$13*Assumptions!$C$28^(DS$5-1))*$O237)),0)</f>
        <v>0</v>
      </c>
      <c r="DU237" s="93">
        <f>IF(AND($T237=1,DU$5&lt;=$H237),DT237*(1-CE237)*(1-MIN(1,MAX(Assumptions!$C$27,Assumptions!$C$13*Assumptions!$C$28^(DT$5-1))*$O237)),0)</f>
        <v>0</v>
      </c>
      <c r="DV237" s="93">
        <f>IF(AND($T237=1,DV$5&lt;=$H237),DU237*(1-CF237)*(1-MIN(1,MAX(Assumptions!$C$27,Assumptions!$C$13*Assumptions!$C$28^(DU$5-1))*$O237)),0)</f>
        <v>0</v>
      </c>
      <c r="DW237" s="94">
        <f>IF(AND($T237=1,DW$5&lt;=$H237),DV237*(1-CG237)*(1-MIN(1,MAX(Assumptions!$C$27,Assumptions!$C$13*Assumptions!$C$28^(DV$5-1))*$O237)),0)</f>
        <v>0</v>
      </c>
      <c r="DX237" s="26"/>
      <c r="DY237" s="399">
        <f>'Policy Data'!K211</f>
        <v>2</v>
      </c>
      <c r="DZ237" s="100">
        <f>'Policy Data'!L211</f>
        <v>0.88739999999999997</v>
      </c>
      <c r="EA237" s="100">
        <f>'Policy Data'!N211</f>
        <v>1.7899999999999999E-4</v>
      </c>
      <c r="EB237" s="93" cm="1">
        <f t="array" ref="EB237">IFERROR(DZ237*INDEX(Mortality!$B$4:$E$64,MATCH(D237+DY237-1,Mortality!$A$4:$A$64,0),U237)*V237,0)</f>
        <v>1.9388577814673542E-4</v>
      </c>
      <c r="EC237" s="100">
        <f>'Policy Data'!O211</f>
        <v>0</v>
      </c>
      <c r="ED237" s="400">
        <f>'Policy Data'!Q211</f>
        <v>0</v>
      </c>
    </row>
    <row r="238" spans="1:134" x14ac:dyDescent="0.3">
      <c r="A238" s="399" t="str">
        <f>'Policy Data'!A212</f>
        <v>POL100208</v>
      </c>
      <c r="B238" s="26" t="s">
        <v>426</v>
      </c>
      <c r="C238" s="100" t="str">
        <f>'Policy Data'!B212</f>
        <v>Term Life</v>
      </c>
      <c r="D238" s="100">
        <f>'Policy Data'!C212</f>
        <v>59</v>
      </c>
      <c r="E238" s="100" t="str">
        <f>'Policy Data'!D212</f>
        <v>Male</v>
      </c>
      <c r="F238" s="100" t="str">
        <f>'Policy Data'!E212</f>
        <v>Smoker</v>
      </c>
      <c r="G238" s="100" t="str">
        <f>'Policy Data'!F212</f>
        <v>Standard</v>
      </c>
      <c r="H238" s="100">
        <f>'Policy Data'!G212</f>
        <v>20</v>
      </c>
      <c r="I238" s="279">
        <f>'Policy Data'!H212</f>
        <v>1000000</v>
      </c>
      <c r="J238" s="100" t="str">
        <f>'Policy Data'!I212</f>
        <v>Annual</v>
      </c>
      <c r="K238" s="100" t="str">
        <f>'Policy Data'!J212</f>
        <v>Bancassurance</v>
      </c>
      <c r="L238" s="26" t="s">
        <v>389</v>
      </c>
      <c r="M238" s="106">
        <f>'Policy Data'!R212</f>
        <v>11282.73</v>
      </c>
      <c r="N238" s="415">
        <f>Assumptions!$C$21</f>
        <v>1</v>
      </c>
      <c r="O238" s="415">
        <f>Assumptions!$C$22</f>
        <v>1</v>
      </c>
      <c r="P238" s="415">
        <f>Assumptions!$C$23</f>
        <v>1</v>
      </c>
      <c r="Q238" s="416">
        <f>Assumptions!$C$24</f>
        <v>0</v>
      </c>
      <c r="R238" s="416">
        <f>Assumptions!$C$6+Assumptions!$C$25</f>
        <v>3.5000000000000003E-2</v>
      </c>
      <c r="S238" s="416">
        <f>Assumptions!$C$15</f>
        <v>1.1000000000000001E-3</v>
      </c>
      <c r="T238" s="26">
        <f t="shared" si="72"/>
        <v>1</v>
      </c>
      <c r="U238" s="26">
        <f t="shared" si="73"/>
        <v>4</v>
      </c>
      <c r="V238" s="389">
        <f>IF($G238="Preferred",Assumptions!$C$30,IF($G238="Rated",Assumptions!$C$31,1))</f>
        <v>1</v>
      </c>
      <c r="W238" s="390">
        <f>IF($K238="Direct",Assumptions!$C$32,IF($K238="Broker",Assumptions!$C$33,IF($K238="Bancassurance",Assumptions!$C$34,Assumptions!$C$11)))+$Q238</f>
        <v>0.2</v>
      </c>
      <c r="X238" s="390">
        <f>Assumptions!$C$12+$Q238</f>
        <v>0.05</v>
      </c>
      <c r="Y238" s="131">
        <f>MIN($I238,Assumptions!$C$14)</f>
        <v>500000</v>
      </c>
      <c r="Z238" s="131">
        <f>MAX($I238-Assumptions!$C$14,0)</f>
        <v>500000</v>
      </c>
      <c r="AA238" s="389">
        <f t="shared" si="74"/>
        <v>7.8620601317850749</v>
      </c>
      <c r="AB238" s="389">
        <f t="shared" si="75"/>
        <v>0.12649705736827588</v>
      </c>
      <c r="AC238" s="389">
        <f>IF($T238=1,SUMPRODUCT($CJ238:$DW238,(1+Assumptions!$C$5)^($CJ$5:$DW$5-1),(1+$R238)^(-$CJ$5:$DW$5)),0)</f>
        <v>10.359267135747416</v>
      </c>
      <c r="AD238" s="389">
        <f t="shared" si="76"/>
        <v>0.53803054282113782</v>
      </c>
      <c r="AE238" s="131">
        <f>IF($T238=1,$AB238*$Y238+(Assumptions!$C$9/(1+$R238)+Assumptions!$C$10*$AC238)*$P238+$S238*$Z238*$AA238,0)</f>
        <v>70721.265743875469</v>
      </c>
      <c r="AF238" s="131">
        <f>IF($T238=1,IF($AA238-$AD238-Assumptions!$C$16*$AA238&gt;0,$AE238/($AA238-$AD238-Assumptions!$C$16*$AA238)*IF($J238="Monthly",1+Assumptions!$C$29,1),"n.a."),"")</f>
        <v>10563.193648524095</v>
      </c>
      <c r="AG238" s="131">
        <f t="shared" si="77"/>
        <v>11282.73</v>
      </c>
      <c r="AH238" s="131">
        <f t="shared" si="78"/>
        <v>88705.501710695418</v>
      </c>
      <c r="AI238" s="131">
        <f t="shared" si="79"/>
        <v>11913.782620415601</v>
      </c>
      <c r="AJ238" s="390">
        <f t="shared" si="80"/>
        <v>0.13430714432202046</v>
      </c>
      <c r="AK238" s="389">
        <f t="shared" si="81"/>
        <v>1.0681173114322713</v>
      </c>
      <c r="AL238" s="131">
        <f t="shared" si="82"/>
        <v>63248.528684137942</v>
      </c>
      <c r="AM238" s="131">
        <f t="shared" si="83"/>
        <v>4324.1330724817908</v>
      </c>
      <c r="AN238" s="131">
        <f t="shared" si="84"/>
        <v>58924.395611656153</v>
      </c>
      <c r="AO238" s="131">
        <f t="shared" si="85"/>
        <v>-47010.612991240552</v>
      </c>
      <c r="AP238" s="26" t="str">
        <f t="shared" si="86"/>
        <v>50-59</v>
      </c>
      <c r="AQ238" s="26" t="str">
        <f t="shared" si="87"/>
        <v>500k-1m</v>
      </c>
      <c r="AR238" s="26" t="str">
        <f>IF($T238=1,IF($AI238&lt;0,"Loss-making",IF($AJ238&lt;Assumptions!$C$16-0.00001,"Below target","At/above target")),"Excluded")</f>
        <v>At/above target</v>
      </c>
      <c r="AS238" s="103">
        <f t="shared" si="88"/>
        <v>11913.782858415601</v>
      </c>
      <c r="AT238" s="26"/>
      <c r="AU238" s="419">
        <f>IF(AND($T238=1,AU$5&lt;=$H238),INDEX(Mortality!$B$4:$E$64,MATCH($D238+AU$5-1,Mortality!$A$4:$A$64,0),$U238)*$V238*$N238,0)</f>
        <v>8.6887538980983704E-3</v>
      </c>
      <c r="AV238" s="93">
        <f>IF(AND($T238=1,AV$5&lt;=$H238),INDEX(Mortality!$B$4:$E$64,MATCH($D238+AV$5-1,Mortality!$A$4:$A$64,0),$U238)*$V238*$N238,0)</f>
        <v>9.4124147320203497E-3</v>
      </c>
      <c r="AW238" s="93">
        <f>IF(AND($T238=1,AW$5&lt;=$H238),INDEX(Mortality!$B$4:$E$64,MATCH($D238+AW$5-1,Mortality!$A$4:$A$64,0),$U238)*$V238*$N238,0)</f>
        <v>1.01963471547909E-2</v>
      </c>
      <c r="AX238" s="93">
        <f>IF(AND($T238=1,AX$5&lt;=$H238),INDEX(Mortality!$B$4:$E$64,MATCH($D238+AX$5-1,Mortality!$A$4:$A$64,0),$U238)*$V238*$N238,0)</f>
        <v>1.1045571010309301E-2</v>
      </c>
      <c r="AY238" s="93">
        <f>IF(AND($T238=1,AY$5&lt;=$H238),INDEX(Mortality!$B$4:$E$64,MATCH($D238+AY$5-1,Mortality!$A$4:$A$64,0),$U238)*$V238*$N238,0)</f>
        <v>1.19655242305535E-2</v>
      </c>
      <c r="AZ238" s="93">
        <f>IF(AND($T238=1,AZ$5&lt;=$H238),INDEX(Mortality!$B$4:$E$64,MATCH($D238+AZ$5-1,Mortality!$A$4:$A$64,0),$U238)*$V238*$N238,0)</f>
        <v>1.2962097656909999E-2</v>
      </c>
      <c r="BA238" s="93">
        <f>IF(AND($T238=1,BA$5&lt;=$H238),INDEX(Mortality!$B$4:$E$64,MATCH($D238+BA$5-1,Mortality!$A$4:$A$64,0),$U238)*$V238*$N238,0)</f>
        <v>1.4041672761670501E-2</v>
      </c>
      <c r="BB238" s="93">
        <f>IF(AND($T238=1,BB$5&lt;=$H238),INDEX(Mortality!$B$4:$E$64,MATCH($D238+BB$5-1,Mortality!$A$4:$A$64,0),$U238)*$V238*$N238,0)</f>
        <v>1.52111625112414E-2</v>
      </c>
      <c r="BC238" s="93">
        <f>IF(AND($T238=1,BC$5&lt;=$H238),INDEX(Mortality!$B$4:$E$64,MATCH($D238+BC$5-1,Mortality!$A$4:$A$64,0),$U238)*$V238*$N238,0)</f>
        <v>1.6478055632729902E-2</v>
      </c>
      <c r="BD238" s="93">
        <f>IF(AND($T238=1,BD$5&lt;=$H238),INDEX(Mortality!$B$4:$E$64,MATCH($D238+BD$5-1,Mortality!$A$4:$A$64,0),$U238)*$V238*$N238,0)</f>
        <v>1.7850464567364801E-2</v>
      </c>
      <c r="BE238" s="93">
        <f>IF(AND($T238=1,BE$5&lt;=$H238),INDEX(Mortality!$B$4:$E$64,MATCH($D238+BE$5-1,Mortality!$A$4:$A$64,0),$U238)*$V238*$N238,0)</f>
        <v>1.93371774178164E-2</v>
      </c>
      <c r="BF238" s="93">
        <f>IF(AND($T238=1,BF$5&lt;=$H238),INDEX(Mortality!$B$4:$E$64,MATCH($D238+BF$5-1,Mortality!$A$4:$A$64,0),$U238)*$V238*$N238,0)</f>
        <v>2.0947714222056699E-2</v>
      </c>
      <c r="BG238" s="93">
        <f>IF(AND($T238=1,BG$5&lt;=$H238),INDEX(Mortality!$B$4:$E$64,MATCH($D238+BG$5-1,Mortality!$A$4:$A$64,0),$U238)*$V238*$N238,0)</f>
        <v>2.2692387914104901E-2</v>
      </c>
      <c r="BH238" s="93">
        <f>IF(AND($T238=1,BH$5&lt;=$H238),INDEX(Mortality!$B$4:$E$64,MATCH($D238+BH$5-1,Mortality!$A$4:$A$64,0),$U238)*$V238*$N238,0)</f>
        <v>2.4582370362013301E-2</v>
      </c>
      <c r="BI238" s="93">
        <f>IF(AND($T238=1,BI$5&lt;=$H238),INDEX(Mortality!$B$4:$E$64,MATCH($D238+BI$5-1,Mortality!$A$4:$A$64,0),$U238)*$V238*$N238,0)</f>
        <v>2.6629763905965199E-2</v>
      </c>
      <c r="BJ238" s="93">
        <f>IF(AND($T238=1,BJ$5&lt;=$H238),INDEX(Mortality!$B$4:$E$64,MATCH($D238+BJ$5-1,Mortality!$A$4:$A$64,0),$U238)*$V238*$N238,0)</f>
        <v>2.88476788545695E-2</v>
      </c>
      <c r="BK238" s="93">
        <f>IF(AND($T238=1,BK$5&lt;=$H238),INDEX(Mortality!$B$4:$E$64,MATCH($D238+BK$5-1,Mortality!$A$4:$A$64,0),$U238)*$V238*$N238,0)</f>
        <v>3.1250317435595497E-2</v>
      </c>
      <c r="BL238" s="93">
        <f>IF(AND($T238=1,BL$5&lt;=$H238),INDEX(Mortality!$B$4:$E$64,MATCH($D238+BL$5-1,Mortality!$A$4:$A$64,0),$U238)*$V238*$N238,0)</f>
        <v>3.3853064738717902E-2</v>
      </c>
      <c r="BM238" s="93">
        <f>IF(AND($T238=1,BM$5&lt;=$H238),INDEX(Mortality!$B$4:$E$64,MATCH($D238+BM$5-1,Mortality!$A$4:$A$64,0),$U238)*$V238*$N238,0)</f>
        <v>3.6672587232616301E-2</v>
      </c>
      <c r="BN238" s="93">
        <f>IF(AND($T238=1,BN$5&lt;=$H238),INDEX(Mortality!$B$4:$E$64,MATCH($D238+BN$5-1,Mortality!$A$4:$A$64,0),$U238)*$V238*$N238,0)</f>
        <v>3.9726939487275001E-2</v>
      </c>
      <c r="BO238" s="93">
        <f>IF(AND($T238=1,BO$5&lt;=$H238),INDEX(Mortality!$B$4:$E$64,MATCH($D238+BO$5-1,Mortality!$A$4:$A$64,0),$U238)*$V238*$N238,0)</f>
        <v>0</v>
      </c>
      <c r="BP238" s="93">
        <f>IF(AND($T238=1,BP$5&lt;=$H238),INDEX(Mortality!$B$4:$E$64,MATCH($D238+BP$5-1,Mortality!$A$4:$A$64,0),$U238)*$V238*$N238,0)</f>
        <v>0</v>
      </c>
      <c r="BQ238" s="93">
        <f>IF(AND($T238=1,BQ$5&lt;=$H238),INDEX(Mortality!$B$4:$E$64,MATCH($D238+BQ$5-1,Mortality!$A$4:$A$64,0),$U238)*$V238*$N238,0)</f>
        <v>0</v>
      </c>
      <c r="BR238" s="93">
        <f>IF(AND($T238=1,BR$5&lt;=$H238),INDEX(Mortality!$B$4:$E$64,MATCH($D238+BR$5-1,Mortality!$A$4:$A$64,0),$U238)*$V238*$N238,0)</f>
        <v>0</v>
      </c>
      <c r="BS238" s="93">
        <f>IF(AND($T238=1,BS$5&lt;=$H238),INDEX(Mortality!$B$4:$E$64,MATCH($D238+BS$5-1,Mortality!$A$4:$A$64,0),$U238)*$V238*$N238,0)</f>
        <v>0</v>
      </c>
      <c r="BT238" s="93">
        <f>IF(AND($T238=1,BT$5&lt;=$H238),INDEX(Mortality!$B$4:$E$64,MATCH($D238+BT$5-1,Mortality!$A$4:$A$64,0),$U238)*$V238*$N238,0)</f>
        <v>0</v>
      </c>
      <c r="BU238" s="93">
        <f>IF(AND($T238=1,BU$5&lt;=$H238),INDEX(Mortality!$B$4:$E$64,MATCH($D238+BU$5-1,Mortality!$A$4:$A$64,0),$U238)*$V238*$N238,0)</f>
        <v>0</v>
      </c>
      <c r="BV238" s="93">
        <f>IF(AND($T238=1,BV$5&lt;=$H238),INDEX(Mortality!$B$4:$E$64,MATCH($D238+BV$5-1,Mortality!$A$4:$A$64,0),$U238)*$V238*$N238,0)</f>
        <v>0</v>
      </c>
      <c r="BW238" s="93">
        <f>IF(AND($T238=1,BW$5&lt;=$H238),INDEX(Mortality!$B$4:$E$64,MATCH($D238+BW$5-1,Mortality!$A$4:$A$64,0),$U238)*$V238*$N238,0)</f>
        <v>0</v>
      </c>
      <c r="BX238" s="93">
        <f>IF(AND($T238=1,BX$5&lt;=$H238),INDEX(Mortality!$B$4:$E$64,MATCH($D238+BX$5-1,Mortality!$A$4:$A$64,0),$U238)*$V238*$N238,0)</f>
        <v>0</v>
      </c>
      <c r="BY238" s="93">
        <f>IF(AND($T238=1,BY$5&lt;=$H238),INDEX(Mortality!$B$4:$E$64,MATCH($D238+BY$5-1,Mortality!$A$4:$A$64,0),$U238)*$V238*$N238,0)</f>
        <v>0</v>
      </c>
      <c r="BZ238" s="93">
        <f>IF(AND($T238=1,BZ$5&lt;=$H238),INDEX(Mortality!$B$4:$E$64,MATCH($D238+BZ$5-1,Mortality!$A$4:$A$64,0),$U238)*$V238*$N238,0)</f>
        <v>0</v>
      </c>
      <c r="CA238" s="93">
        <f>IF(AND($T238=1,CA$5&lt;=$H238),INDEX(Mortality!$B$4:$E$64,MATCH($D238+CA$5-1,Mortality!$A$4:$A$64,0),$U238)*$V238*$N238,0)</f>
        <v>0</v>
      </c>
      <c r="CB238" s="93">
        <f>IF(AND($T238=1,CB$5&lt;=$H238),INDEX(Mortality!$B$4:$E$64,MATCH($D238+CB$5-1,Mortality!$A$4:$A$64,0),$U238)*$V238*$N238,0)</f>
        <v>0</v>
      </c>
      <c r="CC238" s="93">
        <f>IF(AND($T238=1,CC$5&lt;=$H238),INDEX(Mortality!$B$4:$E$64,MATCH($D238+CC$5-1,Mortality!$A$4:$A$64,0),$U238)*$V238*$N238,0)</f>
        <v>0</v>
      </c>
      <c r="CD238" s="93">
        <f>IF(AND($T238=1,CD$5&lt;=$H238),INDEX(Mortality!$B$4:$E$64,MATCH($D238+CD$5-1,Mortality!$A$4:$A$64,0),$U238)*$V238*$N238,0)</f>
        <v>0</v>
      </c>
      <c r="CE238" s="93">
        <f>IF(AND($T238=1,CE$5&lt;=$H238),INDEX(Mortality!$B$4:$E$64,MATCH($D238+CE$5-1,Mortality!$A$4:$A$64,0),$U238)*$V238*$N238,0)</f>
        <v>0</v>
      </c>
      <c r="CF238" s="93">
        <f>IF(AND($T238=1,CF$5&lt;=$H238),INDEX(Mortality!$B$4:$E$64,MATCH($D238+CF$5-1,Mortality!$A$4:$A$64,0),$U238)*$V238*$N238,0)</f>
        <v>0</v>
      </c>
      <c r="CG238" s="93">
        <f>IF(AND($T238=1,CG$5&lt;=$H238),INDEX(Mortality!$B$4:$E$64,MATCH($D238+CG$5-1,Mortality!$A$4:$A$64,0),$U238)*$V238*$N238,0)</f>
        <v>0</v>
      </c>
      <c r="CH238" s="94">
        <f>IF(AND($T238=1,CH$5&lt;=$H238),INDEX(Mortality!$B$4:$E$64,MATCH($D238+CH$5-1,Mortality!$A$4:$A$64,0),$U238)*$V238*$N238,0)</f>
        <v>0</v>
      </c>
      <c r="CI238" s="26"/>
      <c r="CJ238" s="419">
        <f t="shared" si="89"/>
        <v>1</v>
      </c>
      <c r="CK238" s="93">
        <f>IF(AND($T238=1,CK$5&lt;=$H238),CJ238*(1-AU238)*(1-MIN(1,MAX(Assumptions!$C$27,Assumptions!$C$13*Assumptions!$C$28^(CJ$5-1))*$O238)),0)</f>
        <v>0.87235389656967344</v>
      </c>
      <c r="CL238" s="93">
        <f>IF(AND($T238=1,CL$5&lt;=$H238),CK238*(1-AV238)*(1-MIN(1,MAX(Assumptions!$C$27,Assumptions!$C$13*Assumptions!$C$28^(CK$5-1))*$O238)),0)</f>
        <v>0.77600036003205497</v>
      </c>
      <c r="CM238" s="93">
        <f>IF(AND($T238=1,CM$5&lt;=$H238),CL238*(1-AW238)*(1-MIN(1,MAX(Assumptions!$C$27,Assumptions!$C$13*Assumptions!$C$28^(CL$5-1))*$O238)),0)</f>
        <v>0.70149476215191964</v>
      </c>
      <c r="CN238" s="93">
        <f>IF(AND($T238=1,CN$5&lt;=$H238),CM238*(1-AX238)*(1-MIN(1,MAX(Assumptions!$C$27,Assumptions!$C$13*Assumptions!$C$28^(CM$5-1))*$O238)),0)</f>
        <v>0.64262071453675573</v>
      </c>
      <c r="CO238" s="93">
        <f>IF(AND($T238=1,CO$5&lt;=$H238),CN238*(1-AY238)*(1-MIN(1,MAX(Assumptions!$C$27,Assumptions!$C$13*Assumptions!$C$28^(CN$5-1))*$O238)),0)</f>
        <v>0.59515884040806277</v>
      </c>
      <c r="CP238" s="93">
        <f>IF(AND($T238=1,CP$5&lt;=$H238),CO238*(1-AZ238)*(1-MIN(1,MAX(Assumptions!$C$27,Assumptions!$C$13*Assumptions!$C$28^(CO$5-1))*$O238)),0)</f>
        <v>0.55616607281415076</v>
      </c>
      <c r="CQ238" s="93">
        <f>IF(AND($T238=1,CQ$5&lt;=$H238),CP238*(1-BA238)*(1-MIN(1,MAX(Assumptions!$C$27,Assumptions!$C$13*Assumptions!$C$28^(CP$5-1))*$O238)),0)</f>
        <v>0.52353908100967073</v>
      </c>
      <c r="CR238" s="93">
        <f>IF(AND($T238=1,CR$5&lt;=$H238),CQ238*(1-BB238)*(1-MIN(1,MAX(Assumptions!$C$27,Assumptions!$C$13*Assumptions!$C$28^(CQ$5-1))*$O238)),0)</f>
        <v>0.49574164205194826</v>
      </c>
      <c r="CS238" s="93">
        <f>IF(AND($T238=1,CS$5&lt;=$H238),CR238*(1-BC238)*(1-MIN(1,MAX(Assumptions!$C$27,Assumptions!$C$13*Assumptions!$C$28^(CR$5-1))*$O238)),0)</f>
        <v>0.47162970803590648</v>
      </c>
      <c r="CT238" s="93">
        <f>IF(AND($T238=1,CT$5&lt;=$H238),CS238*(1-BD238)*(1-MIN(1,MAX(Assumptions!$C$27,Assumptions!$C$13*Assumptions!$C$28^(CS$5-1))*$O238)),0)</f>
        <v>0.45033639938422082</v>
      </c>
      <c r="CU238" s="93">
        <f>IF(AND($T238=1,CU$5&lt;=$H238),CT238*(1-BE238)*(1-MIN(1,MAX(Assumptions!$C$27,Assumptions!$C$13*Assumptions!$C$28^(CT$5-1))*$O238)),0)</f>
        <v>0.4311947307117574</v>
      </c>
      <c r="CV238" s="93">
        <f>IF(AND($T238=1,CV$5&lt;=$H238),CU238*(1-BF238)*(1-MIN(1,MAX(Assumptions!$C$27,Assumptions!$C$13*Assumptions!$C$28^(CU$5-1))*$O238)),0)</f>
        <v>0.41368466795611686</v>
      </c>
      <c r="CW238" s="93">
        <f>IF(AND($T238=1,CW$5&lt;=$H238),CV238*(1-BG238)*(1-MIN(1,MAX(Assumptions!$C$27,Assumptions!$C$13*Assumptions!$C$28^(CV$5-1))*$O238)),0)</f>
        <v>0.39621123149680421</v>
      </c>
      <c r="CX238" s="93">
        <f>IF(AND($T238=1,CX$5&lt;=$H238),CW238*(1-BH238)*(1-MIN(1,MAX(Assumptions!$C$27,Assumptions!$C$13*Assumptions!$C$28^(CW$5-1))*$O238)),0)</f>
        <v>0.37874199185730917</v>
      </c>
      <c r="CY238" s="93">
        <f>IF(AND($T238=1,CY$5&lt;=$H238),CX238*(1-BI238)*(1-MIN(1,MAX(Assumptions!$C$27,Assumptions!$C$13*Assumptions!$C$28^(CX$5-1))*$O238)),0)</f>
        <v>0.36128305839221653</v>
      </c>
      <c r="CZ238" s="93">
        <f>IF(AND($T238=1,CZ$5&lt;=$H238),CY238*(1-BJ238)*(1-MIN(1,MAX(Assumptions!$C$27,Assumptions!$C$13*Assumptions!$C$28^(CY$5-1))*$O238)),0)</f>
        <v>0.34384366313315873</v>
      </c>
      <c r="DA238" s="93">
        <f>IF(AND($T238=1,DA$5&lt;=$H238),CZ238*(1-BK238)*(1-MIN(1,MAX(Assumptions!$C$27,Assumptions!$C$13*Assumptions!$C$28^(CZ$5-1))*$O238)),0)</f>
        <v>0.32643647072178894</v>
      </c>
      <c r="DB238" s="93">
        <f>IF(AND($T238=1,DB$5&lt;=$H238),DA238*(1-BL238)*(1-MIN(1,MAX(Assumptions!$C$27,Assumptions!$C$13*Assumptions!$C$28^(DA$5-1))*$O238)),0)</f>
        <v>0.30907788383045831</v>
      </c>
      <c r="DC238" s="93">
        <f>IF(AND($T238=1,DC$5&lt;=$H238),DB238*(1-BM238)*(1-MIN(1,MAX(Assumptions!$C$27,Assumptions!$C$13*Assumptions!$C$28^(DB$5-1))*$O238)),0)</f>
        <v>0.29178833421053307</v>
      </c>
      <c r="DD238" s="93">
        <f>IF(AND($T238=1,DD$5&lt;=$H238),DC238*(1-BN238)*(1-MIN(1,MAX(Assumptions!$C$27,Assumptions!$C$13*Assumptions!$C$28^(DC$5-1))*$O238)),0)</f>
        <v>0</v>
      </c>
      <c r="DE238" s="93">
        <f>IF(AND($T238=1,DE$5&lt;=$H238),DD238*(1-BO238)*(1-MIN(1,MAX(Assumptions!$C$27,Assumptions!$C$13*Assumptions!$C$28^(DD$5-1))*$O238)),0)</f>
        <v>0</v>
      </c>
      <c r="DF238" s="93">
        <f>IF(AND($T238=1,DF$5&lt;=$H238),DE238*(1-BP238)*(1-MIN(1,MAX(Assumptions!$C$27,Assumptions!$C$13*Assumptions!$C$28^(DE$5-1))*$O238)),0)</f>
        <v>0</v>
      </c>
      <c r="DG238" s="93">
        <f>IF(AND($T238=1,DG$5&lt;=$H238),DF238*(1-BQ238)*(1-MIN(1,MAX(Assumptions!$C$27,Assumptions!$C$13*Assumptions!$C$28^(DF$5-1))*$O238)),0)</f>
        <v>0</v>
      </c>
      <c r="DH238" s="93">
        <f>IF(AND($T238=1,DH$5&lt;=$H238),DG238*(1-BR238)*(1-MIN(1,MAX(Assumptions!$C$27,Assumptions!$C$13*Assumptions!$C$28^(DG$5-1))*$O238)),0)</f>
        <v>0</v>
      </c>
      <c r="DI238" s="93">
        <f>IF(AND($T238=1,DI$5&lt;=$H238),DH238*(1-BS238)*(1-MIN(1,MAX(Assumptions!$C$27,Assumptions!$C$13*Assumptions!$C$28^(DH$5-1))*$O238)),0)</f>
        <v>0</v>
      </c>
      <c r="DJ238" s="93">
        <f>IF(AND($T238=1,DJ$5&lt;=$H238),DI238*(1-BT238)*(1-MIN(1,MAX(Assumptions!$C$27,Assumptions!$C$13*Assumptions!$C$28^(DI$5-1))*$O238)),0)</f>
        <v>0</v>
      </c>
      <c r="DK238" s="93">
        <f>IF(AND($T238=1,DK$5&lt;=$H238),DJ238*(1-BU238)*(1-MIN(1,MAX(Assumptions!$C$27,Assumptions!$C$13*Assumptions!$C$28^(DJ$5-1))*$O238)),0)</f>
        <v>0</v>
      </c>
      <c r="DL238" s="93">
        <f>IF(AND($T238=1,DL$5&lt;=$H238),DK238*(1-BV238)*(1-MIN(1,MAX(Assumptions!$C$27,Assumptions!$C$13*Assumptions!$C$28^(DK$5-1))*$O238)),0)</f>
        <v>0</v>
      </c>
      <c r="DM238" s="93">
        <f>IF(AND($T238=1,DM$5&lt;=$H238),DL238*(1-BW238)*(1-MIN(1,MAX(Assumptions!$C$27,Assumptions!$C$13*Assumptions!$C$28^(DL$5-1))*$O238)),0)</f>
        <v>0</v>
      </c>
      <c r="DN238" s="93">
        <f>IF(AND($T238=1,DN$5&lt;=$H238),DM238*(1-BX238)*(1-MIN(1,MAX(Assumptions!$C$27,Assumptions!$C$13*Assumptions!$C$28^(DM$5-1))*$O238)),0)</f>
        <v>0</v>
      </c>
      <c r="DO238" s="93">
        <f>IF(AND($T238=1,DO$5&lt;=$H238),DN238*(1-BY238)*(1-MIN(1,MAX(Assumptions!$C$27,Assumptions!$C$13*Assumptions!$C$28^(DN$5-1))*$O238)),0)</f>
        <v>0</v>
      </c>
      <c r="DP238" s="93">
        <f>IF(AND($T238=1,DP$5&lt;=$H238),DO238*(1-BZ238)*(1-MIN(1,MAX(Assumptions!$C$27,Assumptions!$C$13*Assumptions!$C$28^(DO$5-1))*$O238)),0)</f>
        <v>0</v>
      </c>
      <c r="DQ238" s="93">
        <f>IF(AND($T238=1,DQ$5&lt;=$H238),DP238*(1-CA238)*(1-MIN(1,MAX(Assumptions!$C$27,Assumptions!$C$13*Assumptions!$C$28^(DP$5-1))*$O238)),0)</f>
        <v>0</v>
      </c>
      <c r="DR238" s="93">
        <f>IF(AND($T238=1,DR$5&lt;=$H238),DQ238*(1-CB238)*(1-MIN(1,MAX(Assumptions!$C$27,Assumptions!$C$13*Assumptions!$C$28^(DQ$5-1))*$O238)),0)</f>
        <v>0</v>
      </c>
      <c r="DS238" s="93">
        <f>IF(AND($T238=1,DS$5&lt;=$H238),DR238*(1-CC238)*(1-MIN(1,MAX(Assumptions!$C$27,Assumptions!$C$13*Assumptions!$C$28^(DR$5-1))*$O238)),0)</f>
        <v>0</v>
      </c>
      <c r="DT238" s="93">
        <f>IF(AND($T238=1,DT$5&lt;=$H238),DS238*(1-CD238)*(1-MIN(1,MAX(Assumptions!$C$27,Assumptions!$C$13*Assumptions!$C$28^(DS$5-1))*$O238)),0)</f>
        <v>0</v>
      </c>
      <c r="DU238" s="93">
        <f>IF(AND($T238=1,DU$5&lt;=$H238),DT238*(1-CE238)*(1-MIN(1,MAX(Assumptions!$C$27,Assumptions!$C$13*Assumptions!$C$28^(DT$5-1))*$O238)),0)</f>
        <v>0</v>
      </c>
      <c r="DV238" s="93">
        <f>IF(AND($T238=1,DV$5&lt;=$H238),DU238*(1-CF238)*(1-MIN(1,MAX(Assumptions!$C$27,Assumptions!$C$13*Assumptions!$C$28^(DU$5-1))*$O238)),0)</f>
        <v>0</v>
      </c>
      <c r="DW238" s="94">
        <f>IF(AND($T238=1,DW$5&lt;=$H238),DV238*(1-CG238)*(1-MIN(1,MAX(Assumptions!$C$27,Assumptions!$C$13*Assumptions!$C$28^(DV$5-1))*$O238)),0)</f>
        <v>0</v>
      </c>
      <c r="DX238" s="26"/>
      <c r="DY238" s="399">
        <f>'Policy Data'!K212</f>
        <v>7</v>
      </c>
      <c r="DZ238" s="100">
        <f>'Policy Data'!L212</f>
        <v>0.76849999999999996</v>
      </c>
      <c r="EA238" s="100">
        <f>'Policy Data'!N212</f>
        <v>6.6769999999999998E-3</v>
      </c>
      <c r="EB238" s="93" cm="1">
        <f t="array" ref="EB238">IFERROR(DZ238*INDEX(Mortality!$B$4:$E$64,MATCH(D238+DY238-1,Mortality!$A$4:$A$64,0),U238)*V238,0)</f>
        <v>1.079102551734378E-2</v>
      </c>
      <c r="EC238" s="100">
        <f>'Policy Data'!O212</f>
        <v>0</v>
      </c>
      <c r="ED238" s="400">
        <f>'Policy Data'!Q212</f>
        <v>0</v>
      </c>
    </row>
    <row r="239" spans="1:134" x14ac:dyDescent="0.3">
      <c r="A239" s="399" t="str">
        <f>'Policy Data'!A213</f>
        <v>POL100209</v>
      </c>
      <c r="B239" s="26" t="s">
        <v>426</v>
      </c>
      <c r="C239" s="100" t="str">
        <f>'Policy Data'!B213</f>
        <v>Term Life</v>
      </c>
      <c r="D239" s="100">
        <f>'Policy Data'!C213</f>
        <v>47</v>
      </c>
      <c r="E239" s="100" t="str">
        <f>'Policy Data'!D213</f>
        <v>Female</v>
      </c>
      <c r="F239" s="100" t="str">
        <f>'Policy Data'!E213</f>
        <v>Non-smoker</v>
      </c>
      <c r="G239" s="100" t="str">
        <f>'Policy Data'!F213</f>
        <v>Preferred</v>
      </c>
      <c r="H239" s="100">
        <f>'Policy Data'!G213</f>
        <v>15</v>
      </c>
      <c r="I239" s="279">
        <f>'Policy Data'!H213</f>
        <v>1000000</v>
      </c>
      <c r="J239" s="100" t="str">
        <f>'Policy Data'!I213</f>
        <v>Monthly</v>
      </c>
      <c r="K239" s="100" t="str">
        <f>'Policy Data'!J213</f>
        <v>Direct</v>
      </c>
      <c r="L239" s="26" t="s">
        <v>389</v>
      </c>
      <c r="M239" s="106">
        <f>'Policy Data'!R213</f>
        <v>2436.84</v>
      </c>
      <c r="N239" s="415">
        <f>Assumptions!$C$21</f>
        <v>1</v>
      </c>
      <c r="O239" s="415">
        <f>Assumptions!$C$22</f>
        <v>1</v>
      </c>
      <c r="P239" s="415">
        <f>Assumptions!$C$23</f>
        <v>1</v>
      </c>
      <c r="Q239" s="416">
        <f>Assumptions!$C$24</f>
        <v>0</v>
      </c>
      <c r="R239" s="416">
        <f>Assumptions!$C$6+Assumptions!$C$25</f>
        <v>3.5000000000000003E-2</v>
      </c>
      <c r="S239" s="416">
        <f>Assumptions!$C$15</f>
        <v>1.1000000000000001E-3</v>
      </c>
      <c r="T239" s="26">
        <f t="shared" si="72"/>
        <v>1</v>
      </c>
      <c r="U239" s="26">
        <f t="shared" si="73"/>
        <v>1</v>
      </c>
      <c r="V239" s="389">
        <f>IF($G239="Preferred",Assumptions!$C$30,IF($G239="Rated",Assumptions!$C$31,1))</f>
        <v>0.8</v>
      </c>
      <c r="W239" s="390">
        <f>IF($K239="Direct",Assumptions!$C$32,IF($K239="Broker",Assumptions!$C$33,IF($K239="Bancassurance",Assumptions!$C$34,Assumptions!$C$11)))+$Q239</f>
        <v>0.1</v>
      </c>
      <c r="X239" s="390">
        <f>Assumptions!$C$12+$Q239</f>
        <v>0.05</v>
      </c>
      <c r="Y239" s="131">
        <f>MIN($I239,Assumptions!$C$14)</f>
        <v>500000</v>
      </c>
      <c r="Z239" s="131">
        <f>MAX($I239-Assumptions!$C$14,0)</f>
        <v>500000</v>
      </c>
      <c r="AA239" s="389">
        <f t="shared" si="74"/>
        <v>7.3774535910452546</v>
      </c>
      <c r="AB239" s="389">
        <f t="shared" si="75"/>
        <v>1.4319241283011735E-2</v>
      </c>
      <c r="AC239" s="389">
        <f>IF($T239=1,SUMPRODUCT($CJ239:$DW239,(1+Assumptions!$C$5)^($CJ$5:$DW$5-1),(1+$R239)^(-$CJ$5:$DW$5)),0)</f>
        <v>9.2258315036630911</v>
      </c>
      <c r="AD239" s="389">
        <f t="shared" si="76"/>
        <v>0.41718185829622412</v>
      </c>
      <c r="AE239" s="131">
        <f>IF($T239=1,$AB239*$Y239+(Assumptions!$C$9/(1+$R239)+Assumptions!$C$10*$AC239)*$P239+$S239*$Z239*$AA239,0)</f>
        <v>14116.468264777943</v>
      </c>
      <c r="AF239" s="131">
        <f>IF($T239=1,IF($AA239-$AD239-Assumptions!$C$16*$AA239&gt;0,$AE239/($AA239-$AD239-Assumptions!$C$16*$AA239)*IF($J239="Monthly",1+Assumptions!$C$29,1),"n.a."),"")</f>
        <v>2282.5416177875372</v>
      </c>
      <c r="AG239" s="131">
        <f t="shared" si="77"/>
        <v>2436.84</v>
      </c>
      <c r="AH239" s="131">
        <f t="shared" si="78"/>
        <v>17977.674008802718</v>
      </c>
      <c r="AI239" s="131">
        <f t="shared" si="79"/>
        <v>2844.6003044542031</v>
      </c>
      <c r="AJ239" s="390">
        <f t="shared" si="80"/>
        <v>0.15822960762673483</v>
      </c>
      <c r="AK239" s="389">
        <f t="shared" si="81"/>
        <v>1.0675993730015858</v>
      </c>
      <c r="AL239" s="131">
        <f t="shared" si="82"/>
        <v>7159.6206415058678</v>
      </c>
      <c r="AM239" s="131">
        <f t="shared" si="83"/>
        <v>4057.5994750748901</v>
      </c>
      <c r="AN239" s="131">
        <f t="shared" si="84"/>
        <v>3102.0211664309777</v>
      </c>
      <c r="AO239" s="131">
        <f t="shared" si="85"/>
        <v>-257.42086197677463</v>
      </c>
      <c r="AP239" s="26" t="str">
        <f t="shared" si="86"/>
        <v>40-49</v>
      </c>
      <c r="AQ239" s="26" t="str">
        <f t="shared" si="87"/>
        <v>500k-1m</v>
      </c>
      <c r="AR239" s="26" t="str">
        <f>IF($T239=1,IF($AI239&lt;0,"Loss-making",IF($AJ239&lt;Assumptions!$C$16-0.00001,"Below target","At/above target")),"Excluded")</f>
        <v>At/above target</v>
      </c>
      <c r="AS239" s="103">
        <f t="shared" si="88"/>
        <v>2844.600543454203</v>
      </c>
      <c r="AT239" s="26"/>
      <c r="AU239" s="419">
        <f>IF(AND($T239=1,AU$5&lt;=$H239),INDEX(Mortality!$B$4:$E$64,MATCH($D239+AU$5-1,Mortality!$A$4:$A$64,0),$U239)*$V239*$N239,0)</f>
        <v>1.1922351503493361E-3</v>
      </c>
      <c r="AV239" s="93">
        <f>IF(AND($T239=1,AV$5&lt;=$H239),INDEX(Mortality!$B$4:$E$64,MATCH($D239+AV$5-1,Mortality!$A$4:$A$64,0),$U239)*$V239*$N239,0)</f>
        <v>1.2915329200009441E-3</v>
      </c>
      <c r="AW239" s="93">
        <f>IF(AND($T239=1,AW$5&lt;=$H239),INDEX(Mortality!$B$4:$E$64,MATCH($D239+AW$5-1,Mortality!$A$4:$A$64,0),$U239)*$V239*$N239,0)</f>
        <v>1.3991009097135041E-3</v>
      </c>
      <c r="AX239" s="93">
        <f>IF(AND($T239=1,AX$5&lt;=$H239),INDEX(Mortality!$B$4:$E$64,MATCH($D239+AX$5-1,Mortality!$A$4:$A$64,0),$U239)*$V239*$N239,0)</f>
        <v>1.5156279218649042E-3</v>
      </c>
      <c r="AY239" s="93">
        <f>IF(AND($T239=1,AY$5&lt;=$H239),INDEX(Mortality!$B$4:$E$64,MATCH($D239+AY$5-1,Mortality!$A$4:$A$64,0),$U239)*$V239*$N239,0)</f>
        <v>1.641860127163328E-3</v>
      </c>
      <c r="AZ239" s="93">
        <f>IF(AND($T239=1,AZ$5&lt;=$H239),INDEX(Mortality!$B$4:$E$64,MATCH($D239+AZ$5-1,Mortality!$A$4:$A$64,0),$U239)*$V239*$N239,0)</f>
        <v>1.7786058426871921E-3</v>
      </c>
      <c r="BA239" s="93">
        <f>IF(AND($T239=1,BA$5&lt;=$H239),INDEX(Mortality!$B$4:$E$64,MATCH($D239+BA$5-1,Mortality!$A$4:$A$64,0),$U239)*$V239*$N239,0)</f>
        <v>1.92674070787416E-3</v>
      </c>
      <c r="BB239" s="93">
        <f>IF(AND($T239=1,BB$5&lt;=$H239),INDEX(Mortality!$B$4:$E$64,MATCH($D239+BB$5-1,Mortality!$A$4:$A$64,0),$U239)*$V239*$N239,0)</f>
        <v>2.087213291602968E-3</v>
      </c>
      <c r="BC239" s="93">
        <f>IF(AND($T239=1,BC$5&lt;=$H239),INDEX(Mortality!$B$4:$E$64,MATCH($D239+BC$5-1,Mortality!$A$4:$A$64,0),$U239)*$V239*$N239,0)</f>
        <v>2.2610511662727764E-3</v>
      </c>
      <c r="BD239" s="93">
        <f>IF(AND($T239=1,BD$5&lt;=$H239),INDEX(Mortality!$B$4:$E$64,MATCH($D239+BD$5-1,Mortality!$A$4:$A$64,0),$U239)*$V239*$N239,0)</f>
        <v>2.4493674877746879E-3</v>
      </c>
      <c r="BE239" s="93">
        <f>IF(AND($T239=1,BE$5&lt;=$H239),INDEX(Mortality!$B$4:$E$64,MATCH($D239+BE$5-1,Mortality!$A$4:$A$64,0),$U239)*$V239*$N239,0)</f>
        <v>2.6533681234898162E-3</v>
      </c>
      <c r="BF239" s="93">
        <f>IF(AND($T239=1,BF$5&lt;=$H239),INDEX(Mortality!$B$4:$E$64,MATCH($D239+BF$5-1,Mortality!$A$4:$A$64,0),$U239)*$V239*$N239,0)</f>
        <v>2.8743593739574964E-3</v>
      </c>
      <c r="BG239" s="93">
        <f>IF(AND($T239=1,BG$5&lt;=$H239),INDEX(Mortality!$B$4:$E$64,MATCH($D239+BG$5-1,Mortality!$A$4:$A$64,0),$U239)*$V239*$N239,0)</f>
        <v>3.1137563376584399E-3</v>
      </c>
      <c r="BH239" s="93">
        <f>IF(AND($T239=1,BH$5&lt;=$H239),INDEX(Mortality!$B$4:$E$64,MATCH($D239+BH$5-1,Mortality!$A$4:$A$64,0),$U239)*$V239*$N239,0)</f>
        <v>3.3730919724763286E-3</v>
      </c>
      <c r="BI239" s="93">
        <f>IF(AND($T239=1,BI$5&lt;=$H239),INDEX(Mortality!$B$4:$E$64,MATCH($D239+BI$5-1,Mortality!$A$4:$A$64,0),$U239)*$V239*$N239,0)</f>
        <v>3.6540269118618242E-3</v>
      </c>
      <c r="BJ239" s="93">
        <f>IF(AND($T239=1,BJ$5&lt;=$H239),INDEX(Mortality!$B$4:$E$64,MATCH($D239+BJ$5-1,Mortality!$A$4:$A$64,0),$U239)*$V239*$N239,0)</f>
        <v>0</v>
      </c>
      <c r="BK239" s="93">
        <f>IF(AND($T239=1,BK$5&lt;=$H239),INDEX(Mortality!$B$4:$E$64,MATCH($D239+BK$5-1,Mortality!$A$4:$A$64,0),$U239)*$V239*$N239,0)</f>
        <v>0</v>
      </c>
      <c r="BL239" s="93">
        <f>IF(AND($T239=1,BL$5&lt;=$H239),INDEX(Mortality!$B$4:$E$64,MATCH($D239+BL$5-1,Mortality!$A$4:$A$64,0),$U239)*$V239*$N239,0)</f>
        <v>0</v>
      </c>
      <c r="BM239" s="93">
        <f>IF(AND($T239=1,BM$5&lt;=$H239),INDEX(Mortality!$B$4:$E$64,MATCH($D239+BM$5-1,Mortality!$A$4:$A$64,0),$U239)*$V239*$N239,0)</f>
        <v>0</v>
      </c>
      <c r="BN239" s="93">
        <f>IF(AND($T239=1,BN$5&lt;=$H239),INDEX(Mortality!$B$4:$E$64,MATCH($D239+BN$5-1,Mortality!$A$4:$A$64,0),$U239)*$V239*$N239,0)</f>
        <v>0</v>
      </c>
      <c r="BO239" s="93">
        <f>IF(AND($T239=1,BO$5&lt;=$H239),INDEX(Mortality!$B$4:$E$64,MATCH($D239+BO$5-1,Mortality!$A$4:$A$64,0),$U239)*$V239*$N239,0)</f>
        <v>0</v>
      </c>
      <c r="BP239" s="93">
        <f>IF(AND($T239=1,BP$5&lt;=$H239),INDEX(Mortality!$B$4:$E$64,MATCH($D239+BP$5-1,Mortality!$A$4:$A$64,0),$U239)*$V239*$N239,0)</f>
        <v>0</v>
      </c>
      <c r="BQ239" s="93">
        <f>IF(AND($T239=1,BQ$5&lt;=$H239),INDEX(Mortality!$B$4:$E$64,MATCH($D239+BQ$5-1,Mortality!$A$4:$A$64,0),$U239)*$V239*$N239,0)</f>
        <v>0</v>
      </c>
      <c r="BR239" s="93">
        <f>IF(AND($T239=1,BR$5&lt;=$H239),INDEX(Mortality!$B$4:$E$64,MATCH($D239+BR$5-1,Mortality!$A$4:$A$64,0),$U239)*$V239*$N239,0)</f>
        <v>0</v>
      </c>
      <c r="BS239" s="93">
        <f>IF(AND($T239=1,BS$5&lt;=$H239),INDEX(Mortality!$B$4:$E$64,MATCH($D239+BS$5-1,Mortality!$A$4:$A$64,0),$U239)*$V239*$N239,0)</f>
        <v>0</v>
      </c>
      <c r="BT239" s="93">
        <f>IF(AND($T239=1,BT$5&lt;=$H239),INDEX(Mortality!$B$4:$E$64,MATCH($D239+BT$5-1,Mortality!$A$4:$A$64,0),$U239)*$V239*$N239,0)</f>
        <v>0</v>
      </c>
      <c r="BU239" s="93">
        <f>IF(AND($T239=1,BU$5&lt;=$H239),INDEX(Mortality!$B$4:$E$64,MATCH($D239+BU$5-1,Mortality!$A$4:$A$64,0),$U239)*$V239*$N239,0)</f>
        <v>0</v>
      </c>
      <c r="BV239" s="93">
        <f>IF(AND($T239=1,BV$5&lt;=$H239),INDEX(Mortality!$B$4:$E$64,MATCH($D239+BV$5-1,Mortality!$A$4:$A$64,0),$U239)*$V239*$N239,0)</f>
        <v>0</v>
      </c>
      <c r="BW239" s="93">
        <f>IF(AND($T239=1,BW$5&lt;=$H239),INDEX(Mortality!$B$4:$E$64,MATCH($D239+BW$5-1,Mortality!$A$4:$A$64,0),$U239)*$V239*$N239,0)</f>
        <v>0</v>
      </c>
      <c r="BX239" s="93">
        <f>IF(AND($T239=1,BX$5&lt;=$H239),INDEX(Mortality!$B$4:$E$64,MATCH($D239+BX$5-1,Mortality!$A$4:$A$64,0),$U239)*$V239*$N239,0)</f>
        <v>0</v>
      </c>
      <c r="BY239" s="93">
        <f>IF(AND($T239=1,BY$5&lt;=$H239),INDEX(Mortality!$B$4:$E$64,MATCH($D239+BY$5-1,Mortality!$A$4:$A$64,0),$U239)*$V239*$N239,0)</f>
        <v>0</v>
      </c>
      <c r="BZ239" s="93">
        <f>IF(AND($T239=1,BZ$5&lt;=$H239),INDEX(Mortality!$B$4:$E$64,MATCH($D239+BZ$5-1,Mortality!$A$4:$A$64,0),$U239)*$V239*$N239,0)</f>
        <v>0</v>
      </c>
      <c r="CA239" s="93">
        <f>IF(AND($T239=1,CA$5&lt;=$H239),INDEX(Mortality!$B$4:$E$64,MATCH($D239+CA$5-1,Mortality!$A$4:$A$64,0),$U239)*$V239*$N239,0)</f>
        <v>0</v>
      </c>
      <c r="CB239" s="93">
        <f>IF(AND($T239=1,CB$5&lt;=$H239),INDEX(Mortality!$B$4:$E$64,MATCH($D239+CB$5-1,Mortality!$A$4:$A$64,0),$U239)*$V239*$N239,0)</f>
        <v>0</v>
      </c>
      <c r="CC239" s="93">
        <f>IF(AND($T239=1,CC$5&lt;=$H239),INDEX(Mortality!$B$4:$E$64,MATCH($D239+CC$5-1,Mortality!$A$4:$A$64,0),$U239)*$V239*$N239,0)</f>
        <v>0</v>
      </c>
      <c r="CD239" s="93">
        <f>IF(AND($T239=1,CD$5&lt;=$H239),INDEX(Mortality!$B$4:$E$64,MATCH($D239+CD$5-1,Mortality!$A$4:$A$64,0),$U239)*$V239*$N239,0)</f>
        <v>0</v>
      </c>
      <c r="CE239" s="93">
        <f>IF(AND($T239=1,CE$5&lt;=$H239),INDEX(Mortality!$B$4:$E$64,MATCH($D239+CE$5-1,Mortality!$A$4:$A$64,0),$U239)*$V239*$N239,0)</f>
        <v>0</v>
      </c>
      <c r="CF239" s="93">
        <f>IF(AND($T239=1,CF$5&lt;=$H239),INDEX(Mortality!$B$4:$E$64,MATCH($D239+CF$5-1,Mortality!$A$4:$A$64,0),$U239)*$V239*$N239,0)</f>
        <v>0</v>
      </c>
      <c r="CG239" s="93">
        <f>IF(AND($T239=1,CG$5&lt;=$H239),INDEX(Mortality!$B$4:$E$64,MATCH($D239+CG$5-1,Mortality!$A$4:$A$64,0),$U239)*$V239*$N239,0)</f>
        <v>0</v>
      </c>
      <c r="CH239" s="94">
        <f>IF(AND($T239=1,CH$5&lt;=$H239),INDEX(Mortality!$B$4:$E$64,MATCH($D239+CH$5-1,Mortality!$A$4:$A$64,0),$U239)*$V239*$N239,0)</f>
        <v>0</v>
      </c>
      <c r="CI239" s="26"/>
      <c r="CJ239" s="419">
        <f t="shared" si="89"/>
        <v>1</v>
      </c>
      <c r="CK239" s="93">
        <f>IF(AND($T239=1,CK$5&lt;=$H239),CJ239*(1-AU239)*(1-MIN(1,MAX(Assumptions!$C$27,Assumptions!$C$13*Assumptions!$C$28^(CJ$5-1))*$O239)),0)</f>
        <v>0.87895083306769251</v>
      </c>
      <c r="CL239" s="93">
        <f>IF(AND($T239=1,CL$5&lt;=$H239),CK239*(1-AV239)*(1-MIN(1,MAX(Assumptions!$C$27,Assumptions!$C$13*Assumptions!$C$28^(CK$5-1))*$O239)),0)</f>
        <v>0.78827844394028757</v>
      </c>
      <c r="CM239" s="93">
        <f>IF(AND($T239=1,CM$5&lt;=$H239),CL239*(1-AW239)*(1-MIN(1,MAX(Assumptions!$C$27,Assumptions!$C$13*Assumptions!$C$28^(CL$5-1))*$O239)),0)</f>
        <v>0.71892744155297195</v>
      </c>
      <c r="CN239" s="93">
        <f>IF(AND($T239=1,CN$5&lt;=$H239),CM239*(1-AX239)*(1-MIN(1,MAX(Assumptions!$C$27,Assumptions!$C$13*Assumptions!$C$28^(CM$5-1))*$O239)),0)</f>
        <v>0.66493675726874113</v>
      </c>
      <c r="CO239" s="93">
        <f>IF(AND($T239=1,CO$5&lt;=$H239),CN239*(1-AY239)*(1-MIN(1,MAX(Assumptions!$C$27,Assumptions!$C$13*Assumptions!$C$28^(CN$5-1))*$O239)),0)</f>
        <v>0.62226127392525787</v>
      </c>
      <c r="CP239" s="93">
        <f>IF(AND($T239=1,CP$5&lt;=$H239),CO239*(1-AZ239)*(1-MIN(1,MAX(Assumptions!$C$27,Assumptions!$C$13*Assumptions!$C$28^(CO$5-1))*$O239)),0)</f>
        <v>0.58808136933122146</v>
      </c>
      <c r="CQ239" s="93">
        <f>IF(AND($T239=1,CQ$5&lt;=$H239),CP239*(1-BA239)*(1-MIN(1,MAX(Assumptions!$C$27,Assumptions!$C$13*Assumptions!$C$28^(CP$5-1))*$O239)),0)</f>
        <v>0.56038421746940892</v>
      </c>
      <c r="CR239" s="93">
        <f>IF(AND($T239=1,CR$5&lt;=$H239),CQ239*(1-BB239)*(1-MIN(1,MAX(Assumptions!$C$27,Assumptions!$C$13*Assumptions!$C$28^(CQ$5-1))*$O239)),0)</f>
        <v>0.53770201041931442</v>
      </c>
      <c r="CS239" s="93">
        <f>IF(AND($T239=1,CS$5&lt;=$H239),CR239*(1-BC239)*(1-MIN(1,MAX(Assumptions!$C$27,Assumptions!$C$13*Assumptions!$C$28^(CR$5-1))*$O239)),0)</f>
        <v>0.51894374863965465</v>
      </c>
      <c r="CT239" s="93">
        <f>IF(AND($T239=1,CT$5&lt;=$H239),CS239*(1-BD239)*(1-MIN(1,MAX(Assumptions!$C$27,Assumptions!$C$13*Assumptions!$C$28^(CS$5-1))*$O239)),0)</f>
        <v>0.50328445328127402</v>
      </c>
      <c r="CU239" s="93">
        <f>IF(AND($T239=1,CU$5&lt;=$H239),CT239*(1-BE239)*(1-MIN(1,MAX(Assumptions!$C$27,Assumptions!$C$13*Assumptions!$C$28^(CT$5-1))*$O239)),0)</f>
        <v>0.49009054382560496</v>
      </c>
      <c r="CV239" s="93">
        <f>IF(AND($T239=1,CV$5&lt;=$H239),CU239*(1-BF239)*(1-MIN(1,MAX(Assumptions!$C$27,Assumptions!$C$13*Assumptions!$C$28^(CU$5-1))*$O239)),0)</f>
        <v>0.47886853481819031</v>
      </c>
      <c r="CW239" s="93">
        <f>IF(AND($T239=1,CW$5&lt;=$H239),CV239*(1-BG239)*(1-MIN(1,MAX(Assumptions!$C$27,Assumptions!$C$13*Assumptions!$C$28^(CV$5-1))*$O239)),0)</f>
        <v>0.46782990578533507</v>
      </c>
      <c r="CX239" s="93">
        <f>IF(AND($T239=1,CX$5&lt;=$H239),CW239*(1-BH239)*(1-MIN(1,MAX(Assumptions!$C$27,Assumptions!$C$13*Assumptions!$C$28^(CW$5-1))*$O239)),0)</f>
        <v>0.45692683503593329</v>
      </c>
      <c r="CY239" s="93">
        <f>IF(AND($T239=1,CY$5&lt;=$H239),CX239*(1-BI239)*(1-MIN(1,MAX(Assumptions!$C$27,Assumptions!$C$13*Assumptions!$C$28^(CX$5-1))*$O239)),0)</f>
        <v>0</v>
      </c>
      <c r="CZ239" s="93">
        <f>IF(AND($T239=1,CZ$5&lt;=$H239),CY239*(1-BJ239)*(1-MIN(1,MAX(Assumptions!$C$27,Assumptions!$C$13*Assumptions!$C$28^(CY$5-1))*$O239)),0)</f>
        <v>0</v>
      </c>
      <c r="DA239" s="93">
        <f>IF(AND($T239=1,DA$5&lt;=$H239),CZ239*(1-BK239)*(1-MIN(1,MAX(Assumptions!$C$27,Assumptions!$C$13*Assumptions!$C$28^(CZ$5-1))*$O239)),0)</f>
        <v>0</v>
      </c>
      <c r="DB239" s="93">
        <f>IF(AND($T239=1,DB$5&lt;=$H239),DA239*(1-BL239)*(1-MIN(1,MAX(Assumptions!$C$27,Assumptions!$C$13*Assumptions!$C$28^(DA$5-1))*$O239)),0)</f>
        <v>0</v>
      </c>
      <c r="DC239" s="93">
        <f>IF(AND($T239=1,DC$5&lt;=$H239),DB239*(1-BM239)*(1-MIN(1,MAX(Assumptions!$C$27,Assumptions!$C$13*Assumptions!$C$28^(DB$5-1))*$O239)),0)</f>
        <v>0</v>
      </c>
      <c r="DD239" s="93">
        <f>IF(AND($T239=1,DD$5&lt;=$H239),DC239*(1-BN239)*(1-MIN(1,MAX(Assumptions!$C$27,Assumptions!$C$13*Assumptions!$C$28^(DC$5-1))*$O239)),0)</f>
        <v>0</v>
      </c>
      <c r="DE239" s="93">
        <f>IF(AND($T239=1,DE$5&lt;=$H239),DD239*(1-BO239)*(1-MIN(1,MAX(Assumptions!$C$27,Assumptions!$C$13*Assumptions!$C$28^(DD$5-1))*$O239)),0)</f>
        <v>0</v>
      </c>
      <c r="DF239" s="93">
        <f>IF(AND($T239=1,DF$5&lt;=$H239),DE239*(1-BP239)*(1-MIN(1,MAX(Assumptions!$C$27,Assumptions!$C$13*Assumptions!$C$28^(DE$5-1))*$O239)),0)</f>
        <v>0</v>
      </c>
      <c r="DG239" s="93">
        <f>IF(AND($T239=1,DG$5&lt;=$H239),DF239*(1-BQ239)*(1-MIN(1,MAX(Assumptions!$C$27,Assumptions!$C$13*Assumptions!$C$28^(DF$5-1))*$O239)),0)</f>
        <v>0</v>
      </c>
      <c r="DH239" s="93">
        <f>IF(AND($T239=1,DH$5&lt;=$H239),DG239*(1-BR239)*(1-MIN(1,MAX(Assumptions!$C$27,Assumptions!$C$13*Assumptions!$C$28^(DG$5-1))*$O239)),0)</f>
        <v>0</v>
      </c>
      <c r="DI239" s="93">
        <f>IF(AND($T239=1,DI$5&lt;=$H239),DH239*(1-BS239)*(1-MIN(1,MAX(Assumptions!$C$27,Assumptions!$C$13*Assumptions!$C$28^(DH$5-1))*$O239)),0)</f>
        <v>0</v>
      </c>
      <c r="DJ239" s="93">
        <f>IF(AND($T239=1,DJ$5&lt;=$H239),DI239*(1-BT239)*(1-MIN(1,MAX(Assumptions!$C$27,Assumptions!$C$13*Assumptions!$C$28^(DI$5-1))*$O239)),0)</f>
        <v>0</v>
      </c>
      <c r="DK239" s="93">
        <f>IF(AND($T239=1,DK$5&lt;=$H239),DJ239*(1-BU239)*(1-MIN(1,MAX(Assumptions!$C$27,Assumptions!$C$13*Assumptions!$C$28^(DJ$5-1))*$O239)),0)</f>
        <v>0</v>
      </c>
      <c r="DL239" s="93">
        <f>IF(AND($T239=1,DL$5&lt;=$H239),DK239*(1-BV239)*(1-MIN(1,MAX(Assumptions!$C$27,Assumptions!$C$13*Assumptions!$C$28^(DK$5-1))*$O239)),0)</f>
        <v>0</v>
      </c>
      <c r="DM239" s="93">
        <f>IF(AND($T239=1,DM$5&lt;=$H239),DL239*(1-BW239)*(1-MIN(1,MAX(Assumptions!$C$27,Assumptions!$C$13*Assumptions!$C$28^(DL$5-1))*$O239)),0)</f>
        <v>0</v>
      </c>
      <c r="DN239" s="93">
        <f>IF(AND($T239=1,DN$5&lt;=$H239),DM239*(1-BX239)*(1-MIN(1,MAX(Assumptions!$C$27,Assumptions!$C$13*Assumptions!$C$28^(DM$5-1))*$O239)),0)</f>
        <v>0</v>
      </c>
      <c r="DO239" s="93">
        <f>IF(AND($T239=1,DO$5&lt;=$H239),DN239*(1-BY239)*(1-MIN(1,MAX(Assumptions!$C$27,Assumptions!$C$13*Assumptions!$C$28^(DN$5-1))*$O239)),0)</f>
        <v>0</v>
      </c>
      <c r="DP239" s="93">
        <f>IF(AND($T239=1,DP$5&lt;=$H239),DO239*(1-BZ239)*(1-MIN(1,MAX(Assumptions!$C$27,Assumptions!$C$13*Assumptions!$C$28^(DO$5-1))*$O239)),0)</f>
        <v>0</v>
      </c>
      <c r="DQ239" s="93">
        <f>IF(AND($T239=1,DQ$5&lt;=$H239),DP239*(1-CA239)*(1-MIN(1,MAX(Assumptions!$C$27,Assumptions!$C$13*Assumptions!$C$28^(DP$5-1))*$O239)),0)</f>
        <v>0</v>
      </c>
      <c r="DR239" s="93">
        <f>IF(AND($T239=1,DR$5&lt;=$H239),DQ239*(1-CB239)*(1-MIN(1,MAX(Assumptions!$C$27,Assumptions!$C$13*Assumptions!$C$28^(DQ$5-1))*$O239)),0)</f>
        <v>0</v>
      </c>
      <c r="DS239" s="93">
        <f>IF(AND($T239=1,DS$5&lt;=$H239),DR239*(1-CC239)*(1-MIN(1,MAX(Assumptions!$C$27,Assumptions!$C$13*Assumptions!$C$28^(DR$5-1))*$O239)),0)</f>
        <v>0</v>
      </c>
      <c r="DT239" s="93">
        <f>IF(AND($T239=1,DT$5&lt;=$H239),DS239*(1-CD239)*(1-MIN(1,MAX(Assumptions!$C$27,Assumptions!$C$13*Assumptions!$C$28^(DS$5-1))*$O239)),0)</f>
        <v>0</v>
      </c>
      <c r="DU239" s="93">
        <f>IF(AND($T239=1,DU$5&lt;=$H239),DT239*(1-CE239)*(1-MIN(1,MAX(Assumptions!$C$27,Assumptions!$C$13*Assumptions!$C$28^(DT$5-1))*$O239)),0)</f>
        <v>0</v>
      </c>
      <c r="DV239" s="93">
        <f>IF(AND($T239=1,DV$5&lt;=$H239),DU239*(1-CF239)*(1-MIN(1,MAX(Assumptions!$C$27,Assumptions!$C$13*Assumptions!$C$28^(DU$5-1))*$O239)),0)</f>
        <v>0</v>
      </c>
      <c r="DW239" s="94">
        <f>IF(AND($T239=1,DW$5&lt;=$H239),DV239*(1-CG239)*(1-MIN(1,MAX(Assumptions!$C$27,Assumptions!$C$13*Assumptions!$C$28^(DV$5-1))*$O239)),0)</f>
        <v>0</v>
      </c>
      <c r="DX239" s="26"/>
      <c r="DY239" s="399">
        <f>'Policy Data'!K213</f>
        <v>1</v>
      </c>
      <c r="DZ239" s="100">
        <f>'Policy Data'!L213</f>
        <v>0.54090000000000005</v>
      </c>
      <c r="EA239" s="100">
        <f>'Policy Data'!N213</f>
        <v>6.4499999999999996E-4</v>
      </c>
      <c r="EB239" s="93" cm="1">
        <f t="array" ref="EB239">IFERROR(DZ239*INDEX(Mortality!$B$4:$E$64,MATCH(D239+DY239-1,Mortality!$A$4:$A$64,0),U239)*V239,0)</f>
        <v>6.4487999282395597E-4</v>
      </c>
      <c r="EC239" s="100">
        <f>'Policy Data'!O213</f>
        <v>0</v>
      </c>
      <c r="ED239" s="400">
        <f>'Policy Data'!Q213</f>
        <v>1</v>
      </c>
    </row>
    <row r="240" spans="1:134" x14ac:dyDescent="0.3">
      <c r="A240" s="399" t="str">
        <f>'Policy Data'!A214</f>
        <v>POL100210</v>
      </c>
      <c r="B240" s="26" t="s">
        <v>426</v>
      </c>
      <c r="C240" s="100" t="str">
        <f>'Policy Data'!B214</f>
        <v>Term Life</v>
      </c>
      <c r="D240" s="100">
        <f>'Policy Data'!C214</f>
        <v>42</v>
      </c>
      <c r="E240" s="100" t="str">
        <f>'Policy Data'!D214</f>
        <v>Female</v>
      </c>
      <c r="F240" s="100" t="str">
        <f>'Policy Data'!E214</f>
        <v>Smoker</v>
      </c>
      <c r="G240" s="100" t="str">
        <f>'Policy Data'!F214</f>
        <v>Rated</v>
      </c>
      <c r="H240" s="100">
        <f>'Policy Data'!G214</f>
        <v>15</v>
      </c>
      <c r="I240" s="279">
        <f>'Policy Data'!H214</f>
        <v>500000</v>
      </c>
      <c r="J240" s="100" t="str">
        <f>'Policy Data'!I214</f>
        <v>Annual</v>
      </c>
      <c r="K240" s="100" t="str">
        <f>'Policy Data'!J214</f>
        <v>Broker</v>
      </c>
      <c r="L240" s="26" t="s">
        <v>389</v>
      </c>
      <c r="M240" s="106">
        <f>'Policy Data'!R214</f>
        <v>2262.38</v>
      </c>
      <c r="N240" s="415">
        <f>Assumptions!$C$21</f>
        <v>1</v>
      </c>
      <c r="O240" s="415">
        <f>Assumptions!$C$22</f>
        <v>1</v>
      </c>
      <c r="P240" s="415">
        <f>Assumptions!$C$23</f>
        <v>1</v>
      </c>
      <c r="Q240" s="416">
        <f>Assumptions!$C$24</f>
        <v>0</v>
      </c>
      <c r="R240" s="416">
        <f>Assumptions!$C$6+Assumptions!$C$25</f>
        <v>3.5000000000000003E-2</v>
      </c>
      <c r="S240" s="416">
        <f>Assumptions!$C$15</f>
        <v>1.1000000000000001E-3</v>
      </c>
      <c r="T240" s="26">
        <f t="shared" si="72"/>
        <v>1</v>
      </c>
      <c r="U240" s="26">
        <f t="shared" si="73"/>
        <v>2</v>
      </c>
      <c r="V240" s="389">
        <f>IF($G240="Preferred",Assumptions!$C$30,IF($G240="Rated",Assumptions!$C$31,1))</f>
        <v>1.55</v>
      </c>
      <c r="W240" s="390">
        <f>IF($K240="Direct",Assumptions!$C$32,IF($K240="Broker",Assumptions!$C$33,IF($K240="Bancassurance",Assumptions!$C$34,Assumptions!$C$11)))+$Q240</f>
        <v>0.25</v>
      </c>
      <c r="X240" s="390">
        <f>Assumptions!$C$12+$Q240</f>
        <v>0.05</v>
      </c>
      <c r="Y240" s="131">
        <f>MIN($I240,Assumptions!$C$14)</f>
        <v>500000</v>
      </c>
      <c r="Z240" s="131">
        <f>MAX($I240-Assumptions!$C$14,0)</f>
        <v>0</v>
      </c>
      <c r="AA240" s="389">
        <f t="shared" si="74"/>
        <v>7.3021721885458026</v>
      </c>
      <c r="AB240" s="389">
        <f t="shared" si="75"/>
        <v>3.0264714893865615E-2</v>
      </c>
      <c r="AC240" s="389">
        <f>IF($T240=1,SUMPRODUCT($CJ240:$DW240,(1+Assumptions!$C$5)^($CJ$5:$DW$5-1),(1+$R240)^(-$CJ$5:$DW$5)),0)</f>
        <v>9.116410338184874</v>
      </c>
      <c r="AD240" s="389">
        <f t="shared" si="76"/>
        <v>0.55834532440313556</v>
      </c>
      <c r="AE240" s="131">
        <f>IF($T240=1,$AB240*$Y240+(Assumptions!$C$9/(1+$R240)+Assumptions!$C$10*$AC240)*$P240+$S240*$Z240*$AA240,0)</f>
        <v>18007.532938724784</v>
      </c>
      <c r="AF240" s="131">
        <f>IF($T240=1,IF($AA240-$AD240-Assumptions!$C$16*$AA240&gt;0,$AE240/($AA240-$AD240-Assumptions!$C$16*$AA240)*IF($J240="Monthly",1+Assumptions!$C$29,1),"n.a."),"")</f>
        <v>2923.4654417000224</v>
      </c>
      <c r="AG240" s="131">
        <f t="shared" si="77"/>
        <v>2262.38</v>
      </c>
      <c r="AH240" s="131">
        <f t="shared" si="78"/>
        <v>16520.288315922255</v>
      </c>
      <c r="AI240" s="131">
        <f t="shared" si="79"/>
        <v>-2750.433917825696</v>
      </c>
      <c r="AJ240" s="390">
        <f t="shared" si="80"/>
        <v>-0.16648825161088912</v>
      </c>
      <c r="AK240" s="389">
        <f t="shared" si="81"/>
        <v>0.77386924700036985</v>
      </c>
      <c r="AL240" s="131">
        <f t="shared" si="82"/>
        <v>0</v>
      </c>
      <c r="AM240" s="131">
        <f t="shared" si="83"/>
        <v>0</v>
      </c>
      <c r="AN240" s="131">
        <f t="shared" si="84"/>
        <v>0</v>
      </c>
      <c r="AO240" s="131">
        <f t="shared" si="85"/>
        <v>-2750.433917825696</v>
      </c>
      <c r="AP240" s="26" t="str">
        <f t="shared" si="86"/>
        <v>40-49</v>
      </c>
      <c r="AQ240" s="26" t="str">
        <f t="shared" si="87"/>
        <v>250k-500k</v>
      </c>
      <c r="AR240" s="26" t="str">
        <f>IF($T240=1,IF($AI240&lt;0,"Loss-making",IF($AJ240&lt;Assumptions!$C$16-0.00001,"Below target","At/above target")),"Excluded")</f>
        <v>Loss-making</v>
      </c>
      <c r="AS240" s="103">
        <f t="shared" si="88"/>
        <v>-2750.4336778256961</v>
      </c>
      <c r="AT240" s="26"/>
      <c r="AU240" s="419">
        <f>IF(AND($T240=1,AU$5&lt;=$H240),INDEX(Mortality!$B$4:$E$64,MATCH($D240+AU$5-1,Mortality!$A$4:$A$64,0),$U240)*$V240*$N240,0)</f>
        <v>2.5548757520232135E-3</v>
      </c>
      <c r="AV240" s="93">
        <f>IF(AND($T240=1,AV$5&lt;=$H240),INDEX(Mortality!$B$4:$E$64,MATCH($D240+AV$5-1,Mortality!$A$4:$A$64,0),$U240)*$V240*$N240,0)</f>
        <v>2.7676638616830765E-3</v>
      </c>
      <c r="AW240" s="93">
        <f>IF(AND($T240=1,AW$5&lt;=$H240),INDEX(Mortality!$B$4:$E$64,MATCH($D240+AW$5-1,Mortality!$A$4:$A$64,0),$U240)*$V240*$N240,0)</f>
        <v>2.998174469032615E-3</v>
      </c>
      <c r="AX240" s="93">
        <f>IF(AND($T240=1,AX$5&lt;=$H240),INDEX(Mortality!$B$4:$E$64,MATCH($D240+AX$5-1,Mortality!$A$4:$A$64,0),$U240)*$V240*$N240,0)</f>
        <v>3.2478836289362555E-3</v>
      </c>
      <c r="AY240" s="93">
        <f>IF(AND($T240=1,AY$5&lt;=$H240),INDEX(Mortality!$B$4:$E$64,MATCH($D240+AY$5-1,Mortality!$A$4:$A$64,0),$U240)*$V240*$N240,0)</f>
        <v>3.5183903325398604E-3</v>
      </c>
      <c r="AZ240" s="93">
        <f>IF(AND($T240=1,AZ$5&lt;=$H240),INDEX(Mortality!$B$4:$E$64,MATCH($D240+AZ$5-1,Mortality!$A$4:$A$64,0),$U240)*$V240*$N240,0)</f>
        <v>3.8114267462730253E-3</v>
      </c>
      <c r="BA240" s="93">
        <f>IF(AND($T240=1,BA$5&lt;=$H240),INDEX(Mortality!$B$4:$E$64,MATCH($D240+BA$5-1,Mortality!$A$4:$A$64,0),$U240)*$V240*$N240,0)</f>
        <v>4.1288693036280223E-3</v>
      </c>
      <c r="BB240" s="93">
        <f>IF(AND($T240=1,BB$5&lt;=$H240),INDEX(Mortality!$B$4:$E$64,MATCH($D240+BB$5-1,Mortality!$A$4:$A$64,0),$U240)*$V240*$N240,0)</f>
        <v>4.4727507207403556E-3</v>
      </c>
      <c r="BC240" s="93">
        <f>IF(AND($T240=1,BC$5&lt;=$H240),INDEX(Mortality!$B$4:$E$64,MATCH($D240+BC$5-1,Mortality!$A$4:$A$64,0),$U240)*$V240*$N240,0)</f>
        <v>4.8452730127118739E-3</v>
      </c>
      <c r="BD240" s="93">
        <f>IF(AND($T240=1,BD$5&lt;=$H240),INDEX(Mortality!$B$4:$E$64,MATCH($D240+BD$5-1,Mortality!$A$4:$A$64,0),$U240)*$V240*$N240,0)</f>
        <v>5.2488215940252577E-3</v>
      </c>
      <c r="BE240" s="93">
        <f>IF(AND($T240=1,BE$5&lt;=$H240),INDEX(Mortality!$B$4:$E$64,MATCH($D240+BE$5-1,Mortality!$A$4:$A$64,0),$U240)*$V240*$N240,0)</f>
        <v>5.6859805533406114E-3</v>
      </c>
      <c r="BF240" s="93">
        <f>IF(AND($T240=1,BF$5&lt;=$H240),INDEX(Mortality!$B$4:$E$64,MATCH($D240+BF$5-1,Mortality!$A$4:$A$64,0),$U240)*$V240*$N240,0)</f>
        <v>6.1595492004851973E-3</v>
      </c>
      <c r="BG240" s="93">
        <f>IF(AND($T240=1,BG$5&lt;=$H240),INDEX(Mortality!$B$4:$E$64,MATCH($D240+BG$5-1,Mortality!$A$4:$A$64,0),$U240)*$V240*$N240,0)</f>
        <v>6.6725599915932361E-3</v>
      </c>
      <c r="BH240" s="93">
        <f>IF(AND($T240=1,BH$5&lt;=$H240),INDEX(Mortality!$B$4:$E$64,MATCH($D240+BH$5-1,Mortality!$A$4:$A$64,0),$U240)*$V240*$N240,0)</f>
        <v>7.2282979471782957E-3</v>
      </c>
      <c r="BI240" s="93">
        <f>IF(AND($T240=1,BI$5&lt;=$H240),INDEX(Mortality!$B$4:$E$64,MATCH($D240+BI$5-1,Mortality!$A$4:$A$64,0),$U240)*$V240*$N240,0)</f>
        <v>7.8303216874797011E-3</v>
      </c>
      <c r="BJ240" s="93">
        <f>IF(AND($T240=1,BJ$5&lt;=$H240),INDEX(Mortality!$B$4:$E$64,MATCH($D240+BJ$5-1,Mortality!$A$4:$A$64,0),$U240)*$V240*$N240,0)</f>
        <v>0</v>
      </c>
      <c r="BK240" s="93">
        <f>IF(AND($T240=1,BK$5&lt;=$H240),INDEX(Mortality!$B$4:$E$64,MATCH($D240+BK$5-1,Mortality!$A$4:$A$64,0),$U240)*$V240*$N240,0)</f>
        <v>0</v>
      </c>
      <c r="BL240" s="93">
        <f>IF(AND($T240=1,BL$5&lt;=$H240),INDEX(Mortality!$B$4:$E$64,MATCH($D240+BL$5-1,Mortality!$A$4:$A$64,0),$U240)*$V240*$N240,0)</f>
        <v>0</v>
      </c>
      <c r="BM240" s="93">
        <f>IF(AND($T240=1,BM$5&lt;=$H240),INDEX(Mortality!$B$4:$E$64,MATCH($D240+BM$5-1,Mortality!$A$4:$A$64,0),$U240)*$V240*$N240,0)</f>
        <v>0</v>
      </c>
      <c r="BN240" s="93">
        <f>IF(AND($T240=1,BN$5&lt;=$H240),INDEX(Mortality!$B$4:$E$64,MATCH($D240+BN$5-1,Mortality!$A$4:$A$64,0),$U240)*$V240*$N240,0)</f>
        <v>0</v>
      </c>
      <c r="BO240" s="93">
        <f>IF(AND($T240=1,BO$5&lt;=$H240),INDEX(Mortality!$B$4:$E$64,MATCH($D240+BO$5-1,Mortality!$A$4:$A$64,0),$U240)*$V240*$N240,0)</f>
        <v>0</v>
      </c>
      <c r="BP240" s="93">
        <f>IF(AND($T240=1,BP$5&lt;=$H240),INDEX(Mortality!$B$4:$E$64,MATCH($D240+BP$5-1,Mortality!$A$4:$A$64,0),$U240)*$V240*$N240,0)</f>
        <v>0</v>
      </c>
      <c r="BQ240" s="93">
        <f>IF(AND($T240=1,BQ$5&lt;=$H240),INDEX(Mortality!$B$4:$E$64,MATCH($D240+BQ$5-1,Mortality!$A$4:$A$64,0),$U240)*$V240*$N240,0)</f>
        <v>0</v>
      </c>
      <c r="BR240" s="93">
        <f>IF(AND($T240=1,BR$5&lt;=$H240),INDEX(Mortality!$B$4:$E$64,MATCH($D240+BR$5-1,Mortality!$A$4:$A$64,0),$U240)*$V240*$N240,0)</f>
        <v>0</v>
      </c>
      <c r="BS240" s="93">
        <f>IF(AND($T240=1,BS$5&lt;=$H240),INDEX(Mortality!$B$4:$E$64,MATCH($D240+BS$5-1,Mortality!$A$4:$A$64,0),$U240)*$V240*$N240,0)</f>
        <v>0</v>
      </c>
      <c r="BT240" s="93">
        <f>IF(AND($T240=1,BT$5&lt;=$H240),INDEX(Mortality!$B$4:$E$64,MATCH($D240+BT$5-1,Mortality!$A$4:$A$64,0),$U240)*$V240*$N240,0)</f>
        <v>0</v>
      </c>
      <c r="BU240" s="93">
        <f>IF(AND($T240=1,BU$5&lt;=$H240),INDEX(Mortality!$B$4:$E$64,MATCH($D240+BU$5-1,Mortality!$A$4:$A$64,0),$U240)*$V240*$N240,0)</f>
        <v>0</v>
      </c>
      <c r="BV240" s="93">
        <f>IF(AND($T240=1,BV$5&lt;=$H240),INDEX(Mortality!$B$4:$E$64,MATCH($D240+BV$5-1,Mortality!$A$4:$A$64,0),$U240)*$V240*$N240,0)</f>
        <v>0</v>
      </c>
      <c r="BW240" s="93">
        <f>IF(AND($T240=1,BW$5&lt;=$H240),INDEX(Mortality!$B$4:$E$64,MATCH($D240+BW$5-1,Mortality!$A$4:$A$64,0),$U240)*$V240*$N240,0)</f>
        <v>0</v>
      </c>
      <c r="BX240" s="93">
        <f>IF(AND($T240=1,BX$5&lt;=$H240),INDEX(Mortality!$B$4:$E$64,MATCH($D240+BX$5-1,Mortality!$A$4:$A$64,0),$U240)*$V240*$N240,0)</f>
        <v>0</v>
      </c>
      <c r="BY240" s="93">
        <f>IF(AND($T240=1,BY$5&lt;=$H240),INDEX(Mortality!$B$4:$E$64,MATCH($D240+BY$5-1,Mortality!$A$4:$A$64,0),$U240)*$V240*$N240,0)</f>
        <v>0</v>
      </c>
      <c r="BZ240" s="93">
        <f>IF(AND($T240=1,BZ$5&lt;=$H240),INDEX(Mortality!$B$4:$E$64,MATCH($D240+BZ$5-1,Mortality!$A$4:$A$64,0),$U240)*$V240*$N240,0)</f>
        <v>0</v>
      </c>
      <c r="CA240" s="93">
        <f>IF(AND($T240=1,CA$5&lt;=$H240),INDEX(Mortality!$B$4:$E$64,MATCH($D240+CA$5-1,Mortality!$A$4:$A$64,0),$U240)*$V240*$N240,0)</f>
        <v>0</v>
      </c>
      <c r="CB240" s="93">
        <f>IF(AND($T240=1,CB$5&lt;=$H240),INDEX(Mortality!$B$4:$E$64,MATCH($D240+CB$5-1,Mortality!$A$4:$A$64,0),$U240)*$V240*$N240,0)</f>
        <v>0</v>
      </c>
      <c r="CC240" s="93">
        <f>IF(AND($T240=1,CC$5&lt;=$H240),INDEX(Mortality!$B$4:$E$64,MATCH($D240+CC$5-1,Mortality!$A$4:$A$64,0),$U240)*$V240*$N240,0)</f>
        <v>0</v>
      </c>
      <c r="CD240" s="93">
        <f>IF(AND($T240=1,CD$5&lt;=$H240),INDEX(Mortality!$B$4:$E$64,MATCH($D240+CD$5-1,Mortality!$A$4:$A$64,0),$U240)*$V240*$N240,0)</f>
        <v>0</v>
      </c>
      <c r="CE240" s="93">
        <f>IF(AND($T240=1,CE$5&lt;=$H240),INDEX(Mortality!$B$4:$E$64,MATCH($D240+CE$5-1,Mortality!$A$4:$A$64,0),$U240)*$V240*$N240,0)</f>
        <v>0</v>
      </c>
      <c r="CF240" s="93">
        <f>IF(AND($T240=1,CF$5&lt;=$H240),INDEX(Mortality!$B$4:$E$64,MATCH($D240+CF$5-1,Mortality!$A$4:$A$64,0),$U240)*$V240*$N240,0)</f>
        <v>0</v>
      </c>
      <c r="CG240" s="93">
        <f>IF(AND($T240=1,CG$5&lt;=$H240),INDEX(Mortality!$B$4:$E$64,MATCH($D240+CG$5-1,Mortality!$A$4:$A$64,0),$U240)*$V240*$N240,0)</f>
        <v>0</v>
      </c>
      <c r="CH240" s="94">
        <f>IF(AND($T240=1,CH$5&lt;=$H240),INDEX(Mortality!$B$4:$E$64,MATCH($D240+CH$5-1,Mortality!$A$4:$A$64,0),$U240)*$V240*$N240,0)</f>
        <v>0</v>
      </c>
      <c r="CI240" s="26"/>
      <c r="CJ240" s="419">
        <f t="shared" si="89"/>
        <v>1</v>
      </c>
      <c r="CK240" s="93">
        <f>IF(AND($T240=1,CK$5&lt;=$H240),CJ240*(1-AU240)*(1-MIN(1,MAX(Assumptions!$C$27,Assumptions!$C$13*Assumptions!$C$28^(CJ$5-1))*$O240)),0)</f>
        <v>0.87775170933821955</v>
      </c>
      <c r="CL240" s="93">
        <f>IF(AND($T240=1,CL$5&lt;=$H240),CK240*(1-AV240)*(1-MIN(1,MAX(Assumptions!$C$27,Assumptions!$C$13*Assumptions!$C$28^(CK$5-1))*$O240)),0)</f>
        <v>0.78603950411217272</v>
      </c>
      <c r="CM240" s="93">
        <f>IF(AND($T240=1,CM$5&lt;=$H240),CL240*(1-AW240)*(1-MIN(1,MAX(Assumptions!$C$27,Assumptions!$C$13*Assumptions!$C$28^(CL$5-1))*$O240)),0)</f>
        <v>0.71573751999853585</v>
      </c>
      <c r="CN240" s="93">
        <f>IF(AND($T240=1,CN$5&lt;=$H240),CM240*(1-AX240)*(1-MIN(1,MAX(Assumptions!$C$27,Assumptions!$C$13*Assumptions!$C$28^(CM$5-1))*$O240)),0)</f>
        <v>0.66083792505647476</v>
      </c>
      <c r="CO240" s="93">
        <f>IF(AND($T240=1,CO$5&lt;=$H240),CN240*(1-AY240)*(1-MIN(1,MAX(Assumptions!$C$27,Assumptions!$C$13*Assumptions!$C$28^(CN$5-1))*$O240)),0)</f>
        <v>0.61726310115185157</v>
      </c>
      <c r="CP240" s="93">
        <f>IF(AND($T240=1,CP$5&lt;=$H240),CO240*(1-AZ240)*(1-MIN(1,MAX(Assumptions!$C$27,Assumptions!$C$13*Assumptions!$C$28^(CO$5-1))*$O240)),0)</f>
        <v>0.58216976415678956</v>
      </c>
      <c r="CQ240" s="93">
        <f>IF(AND($T240=1,CQ$5&lt;=$H240),CP240*(1-BA240)*(1-MIN(1,MAX(Assumptions!$C$27,Assumptions!$C$13*Assumptions!$C$28^(CP$5-1))*$O240)),0)</f>
        <v>0.55352704258518948</v>
      </c>
      <c r="CR240" s="93">
        <f>IF(AND($T240=1,CR$5&lt;=$H240),CQ240*(1-BB240)*(1-MIN(1,MAX(Assumptions!$C$27,Assumptions!$C$13*Assumptions!$C$28^(CQ$5-1))*$O240)),0)</f>
        <v>0.52985272532229344</v>
      </c>
      <c r="CS240" s="93">
        <f>IF(AND($T240=1,CS$5&lt;=$H240),CR240*(1-BC240)*(1-MIN(1,MAX(Assumptions!$C$27,Assumptions!$C$13*Assumptions!$C$28^(CR$5-1))*$O240)),0)</f>
        <v>0.51004380970693741</v>
      </c>
      <c r="CT240" s="93">
        <f>IF(AND($T240=1,CT$5&lt;=$H240),CS240*(1-BD240)*(1-MIN(1,MAX(Assumptions!$C$27,Assumptions!$C$13*Assumptions!$C$28^(CS$5-1))*$O240)),0)</f>
        <v>0.49326491419585833</v>
      </c>
      <c r="CU240" s="93">
        <f>IF(AND($T240=1,CU$5&lt;=$H240),CT240*(1-BE240)*(1-MIN(1,MAX(Assumptions!$C$27,Assumptions!$C$13*Assumptions!$C$28^(CT$5-1))*$O240)),0)</f>
        <v>0.47887313185839808</v>
      </c>
      <c r="CV240" s="93">
        <f>IF(AND($T240=1,CV$5&lt;=$H240),CU240*(1-BF240)*(1-MIN(1,MAX(Assumptions!$C$27,Assumptions!$C$13*Assumptions!$C$28^(CU$5-1))*$O240)),0)</f>
        <v>0.46636637958938709</v>
      </c>
      <c r="CW240" s="93">
        <f>IF(AND($T240=1,CW$5&lt;=$H240),CV240*(1-BG240)*(1-MIN(1,MAX(Assumptions!$C$27,Assumptions!$C$13*Assumptions!$C$28^(CV$5-1))*$O240)),0)</f>
        <v>0.45398943150464449</v>
      </c>
      <c r="CX240" s="93">
        <f>IF(AND($T240=1,CX$5&lt;=$H240),CW240*(1-BH240)*(1-MIN(1,MAX(Assumptions!$C$27,Assumptions!$C$13*Assumptions!$C$28^(CW$5-1))*$O240)),0)</f>
        <v>0.44169370341628161</v>
      </c>
      <c r="CY240" s="93">
        <f>IF(AND($T240=1,CY$5&lt;=$H240),CX240*(1-BI240)*(1-MIN(1,MAX(Assumptions!$C$27,Assumptions!$C$13*Assumptions!$C$28^(CX$5-1))*$O240)),0)</f>
        <v>0</v>
      </c>
      <c r="CZ240" s="93">
        <f>IF(AND($T240=1,CZ$5&lt;=$H240),CY240*(1-BJ240)*(1-MIN(1,MAX(Assumptions!$C$27,Assumptions!$C$13*Assumptions!$C$28^(CY$5-1))*$O240)),0)</f>
        <v>0</v>
      </c>
      <c r="DA240" s="93">
        <f>IF(AND($T240=1,DA$5&lt;=$H240),CZ240*(1-BK240)*(1-MIN(1,MAX(Assumptions!$C$27,Assumptions!$C$13*Assumptions!$C$28^(CZ$5-1))*$O240)),0)</f>
        <v>0</v>
      </c>
      <c r="DB240" s="93">
        <f>IF(AND($T240=1,DB$5&lt;=$H240),DA240*(1-BL240)*(1-MIN(1,MAX(Assumptions!$C$27,Assumptions!$C$13*Assumptions!$C$28^(DA$5-1))*$O240)),0)</f>
        <v>0</v>
      </c>
      <c r="DC240" s="93">
        <f>IF(AND($T240=1,DC$5&lt;=$H240),DB240*(1-BM240)*(1-MIN(1,MAX(Assumptions!$C$27,Assumptions!$C$13*Assumptions!$C$28^(DB$5-1))*$O240)),0)</f>
        <v>0</v>
      </c>
      <c r="DD240" s="93">
        <f>IF(AND($T240=1,DD$5&lt;=$H240),DC240*(1-BN240)*(1-MIN(1,MAX(Assumptions!$C$27,Assumptions!$C$13*Assumptions!$C$28^(DC$5-1))*$O240)),0)</f>
        <v>0</v>
      </c>
      <c r="DE240" s="93">
        <f>IF(AND($T240=1,DE$5&lt;=$H240),DD240*(1-BO240)*(1-MIN(1,MAX(Assumptions!$C$27,Assumptions!$C$13*Assumptions!$C$28^(DD$5-1))*$O240)),0)</f>
        <v>0</v>
      </c>
      <c r="DF240" s="93">
        <f>IF(AND($T240=1,DF$5&lt;=$H240),DE240*(1-BP240)*(1-MIN(1,MAX(Assumptions!$C$27,Assumptions!$C$13*Assumptions!$C$28^(DE$5-1))*$O240)),0)</f>
        <v>0</v>
      </c>
      <c r="DG240" s="93">
        <f>IF(AND($T240=1,DG$5&lt;=$H240),DF240*(1-BQ240)*(1-MIN(1,MAX(Assumptions!$C$27,Assumptions!$C$13*Assumptions!$C$28^(DF$5-1))*$O240)),0)</f>
        <v>0</v>
      </c>
      <c r="DH240" s="93">
        <f>IF(AND($T240=1,DH$5&lt;=$H240),DG240*(1-BR240)*(1-MIN(1,MAX(Assumptions!$C$27,Assumptions!$C$13*Assumptions!$C$28^(DG$5-1))*$O240)),0)</f>
        <v>0</v>
      </c>
      <c r="DI240" s="93">
        <f>IF(AND($T240=1,DI$5&lt;=$H240),DH240*(1-BS240)*(1-MIN(1,MAX(Assumptions!$C$27,Assumptions!$C$13*Assumptions!$C$28^(DH$5-1))*$O240)),0)</f>
        <v>0</v>
      </c>
      <c r="DJ240" s="93">
        <f>IF(AND($T240=1,DJ$5&lt;=$H240),DI240*(1-BT240)*(1-MIN(1,MAX(Assumptions!$C$27,Assumptions!$C$13*Assumptions!$C$28^(DI$5-1))*$O240)),0)</f>
        <v>0</v>
      </c>
      <c r="DK240" s="93">
        <f>IF(AND($T240=1,DK$5&lt;=$H240),DJ240*(1-BU240)*(1-MIN(1,MAX(Assumptions!$C$27,Assumptions!$C$13*Assumptions!$C$28^(DJ$5-1))*$O240)),0)</f>
        <v>0</v>
      </c>
      <c r="DL240" s="93">
        <f>IF(AND($T240=1,DL$5&lt;=$H240),DK240*(1-BV240)*(1-MIN(1,MAX(Assumptions!$C$27,Assumptions!$C$13*Assumptions!$C$28^(DK$5-1))*$O240)),0)</f>
        <v>0</v>
      </c>
      <c r="DM240" s="93">
        <f>IF(AND($T240=1,DM$5&lt;=$H240),DL240*(1-BW240)*(1-MIN(1,MAX(Assumptions!$C$27,Assumptions!$C$13*Assumptions!$C$28^(DL$5-1))*$O240)),0)</f>
        <v>0</v>
      </c>
      <c r="DN240" s="93">
        <f>IF(AND($T240=1,DN$5&lt;=$H240),DM240*(1-BX240)*(1-MIN(1,MAX(Assumptions!$C$27,Assumptions!$C$13*Assumptions!$C$28^(DM$5-1))*$O240)),0)</f>
        <v>0</v>
      </c>
      <c r="DO240" s="93">
        <f>IF(AND($T240=1,DO$5&lt;=$H240),DN240*(1-BY240)*(1-MIN(1,MAX(Assumptions!$C$27,Assumptions!$C$13*Assumptions!$C$28^(DN$5-1))*$O240)),0)</f>
        <v>0</v>
      </c>
      <c r="DP240" s="93">
        <f>IF(AND($T240=1,DP$5&lt;=$H240),DO240*(1-BZ240)*(1-MIN(1,MAX(Assumptions!$C$27,Assumptions!$C$13*Assumptions!$C$28^(DO$5-1))*$O240)),0)</f>
        <v>0</v>
      </c>
      <c r="DQ240" s="93">
        <f>IF(AND($T240=1,DQ$5&lt;=$H240),DP240*(1-CA240)*(1-MIN(1,MAX(Assumptions!$C$27,Assumptions!$C$13*Assumptions!$C$28^(DP$5-1))*$O240)),0)</f>
        <v>0</v>
      </c>
      <c r="DR240" s="93">
        <f>IF(AND($T240=1,DR$5&lt;=$H240),DQ240*(1-CB240)*(1-MIN(1,MAX(Assumptions!$C$27,Assumptions!$C$13*Assumptions!$C$28^(DQ$5-1))*$O240)),0)</f>
        <v>0</v>
      </c>
      <c r="DS240" s="93">
        <f>IF(AND($T240=1,DS$5&lt;=$H240),DR240*(1-CC240)*(1-MIN(1,MAX(Assumptions!$C$27,Assumptions!$C$13*Assumptions!$C$28^(DR$5-1))*$O240)),0)</f>
        <v>0</v>
      </c>
      <c r="DT240" s="93">
        <f>IF(AND($T240=1,DT$5&lt;=$H240),DS240*(1-CD240)*(1-MIN(1,MAX(Assumptions!$C$27,Assumptions!$C$13*Assumptions!$C$28^(DS$5-1))*$O240)),0)</f>
        <v>0</v>
      </c>
      <c r="DU240" s="93">
        <f>IF(AND($T240=1,DU$5&lt;=$H240),DT240*(1-CE240)*(1-MIN(1,MAX(Assumptions!$C$27,Assumptions!$C$13*Assumptions!$C$28^(DT$5-1))*$O240)),0)</f>
        <v>0</v>
      </c>
      <c r="DV240" s="93">
        <f>IF(AND($T240=1,DV$5&lt;=$H240),DU240*(1-CF240)*(1-MIN(1,MAX(Assumptions!$C$27,Assumptions!$C$13*Assumptions!$C$28^(DU$5-1))*$O240)),0)</f>
        <v>0</v>
      </c>
      <c r="DW240" s="94">
        <f>IF(AND($T240=1,DW$5&lt;=$H240),DV240*(1-CG240)*(1-MIN(1,MAX(Assumptions!$C$27,Assumptions!$C$13*Assumptions!$C$28^(DV$5-1))*$O240)),0)</f>
        <v>0</v>
      </c>
      <c r="DX240" s="26"/>
      <c r="DY240" s="399">
        <f>'Policy Data'!K214</f>
        <v>5</v>
      </c>
      <c r="DZ240" s="100">
        <f>'Policy Data'!L214</f>
        <v>0.85809999999999997</v>
      </c>
      <c r="EA240" s="100">
        <f>'Policy Data'!N214</f>
        <v>2.1919999999999999E-3</v>
      </c>
      <c r="EB240" s="93" cm="1">
        <f t="array" ref="EB240">IFERROR(DZ240*INDEX(Mortality!$B$4:$E$64,MATCH(D240+DY240-1,Mortality!$A$4:$A$64,0),U240)*V240,0)</f>
        <v>3.0191307443524539E-3</v>
      </c>
      <c r="EC240" s="100">
        <f>'Policy Data'!O214</f>
        <v>0</v>
      </c>
      <c r="ED240" s="400">
        <f>'Policy Data'!Q214</f>
        <v>0</v>
      </c>
    </row>
    <row r="241" spans="1:134" x14ac:dyDescent="0.3">
      <c r="A241" s="399" t="str">
        <f>'Policy Data'!A215</f>
        <v>POL100211</v>
      </c>
      <c r="B241" s="26" t="s">
        <v>426</v>
      </c>
      <c r="C241" s="100" t="str">
        <f>'Policy Data'!B215</f>
        <v>Term Life</v>
      </c>
      <c r="D241" s="100">
        <f>'Policy Data'!C215</f>
        <v>37</v>
      </c>
      <c r="E241" s="100" t="str">
        <f>'Policy Data'!D215</f>
        <v>Male</v>
      </c>
      <c r="F241" s="100" t="str">
        <f>'Policy Data'!E215</f>
        <v>Non-smoker</v>
      </c>
      <c r="G241" s="100" t="str">
        <f>'Policy Data'!F215</f>
        <v>Rated</v>
      </c>
      <c r="H241" s="100">
        <f>'Policy Data'!G215</f>
        <v>15</v>
      </c>
      <c r="I241" s="279">
        <f>'Policy Data'!H215</f>
        <v>1000000</v>
      </c>
      <c r="J241" s="100" t="str">
        <f>'Policy Data'!I215</f>
        <v>Monthly</v>
      </c>
      <c r="K241" s="100" t="str">
        <f>'Policy Data'!J215</f>
        <v>Broker</v>
      </c>
      <c r="L241" s="26" t="s">
        <v>389</v>
      </c>
      <c r="M241" s="106">
        <f>'Policy Data'!R215</f>
        <v>2687.02</v>
      </c>
      <c r="N241" s="415">
        <f>Assumptions!$C$21</f>
        <v>1</v>
      </c>
      <c r="O241" s="415">
        <f>Assumptions!$C$22</f>
        <v>1</v>
      </c>
      <c r="P241" s="415">
        <f>Assumptions!$C$23</f>
        <v>1</v>
      </c>
      <c r="Q241" s="416">
        <f>Assumptions!$C$24</f>
        <v>0</v>
      </c>
      <c r="R241" s="416">
        <f>Assumptions!$C$6+Assumptions!$C$25</f>
        <v>3.5000000000000003E-2</v>
      </c>
      <c r="S241" s="416">
        <f>Assumptions!$C$15</f>
        <v>1.1000000000000001E-3</v>
      </c>
      <c r="T241" s="26">
        <f t="shared" si="72"/>
        <v>1</v>
      </c>
      <c r="U241" s="26">
        <f t="shared" si="73"/>
        <v>3</v>
      </c>
      <c r="V241" s="389">
        <f>IF($G241="Preferred",Assumptions!$C$30,IF($G241="Rated",Assumptions!$C$31,1))</f>
        <v>1.55</v>
      </c>
      <c r="W241" s="390">
        <f>IF($K241="Direct",Assumptions!$C$32,IF($K241="Broker",Assumptions!$C$33,IF($K241="Bancassurance",Assumptions!$C$34,Assumptions!$C$11)))+$Q241</f>
        <v>0.25</v>
      </c>
      <c r="X241" s="390">
        <f>Assumptions!$C$12+$Q241</f>
        <v>0.05</v>
      </c>
      <c r="Y241" s="131">
        <f>MIN($I241,Assumptions!$C$14)</f>
        <v>500000</v>
      </c>
      <c r="Z241" s="131">
        <f>MAX($I241-Assumptions!$C$14,0)</f>
        <v>500000</v>
      </c>
      <c r="AA241" s="389">
        <f t="shared" si="74"/>
        <v>7.3656539134857582</v>
      </c>
      <c r="AB241" s="389">
        <f t="shared" si="75"/>
        <v>1.6829470581647091E-2</v>
      </c>
      <c r="AC241" s="389">
        <f>IF($T241=1,SUMPRODUCT($CJ241:$DW241,(1+Assumptions!$C$5)^($CJ$5:$DW$5-1),(1+$R241)^(-$CJ$5:$DW$5)),0)</f>
        <v>9.2086718072273808</v>
      </c>
      <c r="AD241" s="389">
        <f t="shared" si="76"/>
        <v>0.56151941065013333</v>
      </c>
      <c r="AE241" s="131">
        <f>IF($T241=1,$AB241*$Y241+(Assumptions!$C$9/(1+$R241)+Assumptions!$C$10*$AC241)*$P241+$S241*$Z241*$AA241,0)</f>
        <v>15361.31795822204</v>
      </c>
      <c r="AF241" s="131">
        <f>IF($T241=1,IF($AA241-$AD241-Assumptions!$C$16*$AA241&gt;0,$AE241/($AA241-$AD241-Assumptions!$C$16*$AA241)*IF($J241="Monthly",1+Assumptions!$C$29,1),"n.a."),"")</f>
        <v>2545.8499475736553</v>
      </c>
      <c r="AG241" s="131">
        <f t="shared" si="77"/>
        <v>2687.02</v>
      </c>
      <c r="AH241" s="131">
        <f t="shared" si="78"/>
        <v>19791.659378614502</v>
      </c>
      <c r="AI241" s="131">
        <f t="shared" si="79"/>
        <v>2921.5275335873412</v>
      </c>
      <c r="AJ241" s="390">
        <f t="shared" si="80"/>
        <v>0.14761407710685148</v>
      </c>
      <c r="AK241" s="389">
        <f t="shared" si="81"/>
        <v>1.0554510498786027</v>
      </c>
      <c r="AL241" s="131">
        <f t="shared" si="82"/>
        <v>8414.7352908235462</v>
      </c>
      <c r="AM241" s="131">
        <f t="shared" si="83"/>
        <v>4051.1096524171671</v>
      </c>
      <c r="AN241" s="131">
        <f t="shared" si="84"/>
        <v>4363.625638406379</v>
      </c>
      <c r="AO241" s="131">
        <f t="shared" si="85"/>
        <v>-1442.0981048190379</v>
      </c>
      <c r="AP241" s="26" t="str">
        <f t="shared" si="86"/>
        <v>30-39</v>
      </c>
      <c r="AQ241" s="26" t="str">
        <f t="shared" si="87"/>
        <v>500k-1m</v>
      </c>
      <c r="AR241" s="26" t="str">
        <f>IF($T241=1,IF($AI241&lt;0,"Loss-making",IF($AJ241&lt;Assumptions!$C$16-0.00001,"Below target","At/above target")),"Excluded")</f>
        <v>At/above target</v>
      </c>
      <c r="AS241" s="103">
        <f t="shared" si="88"/>
        <v>2921.5277745873414</v>
      </c>
      <c r="AT241" s="26"/>
      <c r="AU241" s="419">
        <f>IF(AND($T241=1,AU$5&lt;=$H241),INDEX(Mortality!$B$4:$E$64,MATCH($D241+AU$5-1,Mortality!$A$4:$A$64,0),$U241)*$V241*$N241,0)</f>
        <v>1.4042581793000095E-3</v>
      </c>
      <c r="AV241" s="93">
        <f>IF(AND($T241=1,AV$5&lt;=$H241),INDEX(Mortality!$B$4:$E$64,MATCH($D241+AV$5-1,Mortality!$A$4:$A$64,0),$U241)*$V241*$N241,0)</f>
        <v>1.5212147253124836E-3</v>
      </c>
      <c r="AW241" s="93">
        <f>IF(AND($T241=1,AW$5&lt;=$H241),INDEX(Mortality!$B$4:$E$64,MATCH($D241+AW$5-1,Mortality!$A$4:$A$64,0),$U241)*$V241*$N241,0)</f>
        <v>1.6479122390877256E-3</v>
      </c>
      <c r="AX241" s="93">
        <f>IF(AND($T241=1,AX$5&lt;=$H241),INDEX(Mortality!$B$4:$E$64,MATCH($D241+AX$5-1,Mortality!$A$4:$A$64,0),$U241)*$V241*$N241,0)</f>
        <v>1.7851620172670178E-3</v>
      </c>
      <c r="AY241" s="93">
        <f>IF(AND($T241=1,AY$5&lt;=$H241),INDEX(Mortality!$B$4:$E$64,MATCH($D241+AY$5-1,Mortality!$A$4:$A$64,0),$U241)*$V241*$N241,0)</f>
        <v>1.9338429270099105E-3</v>
      </c>
      <c r="AZ241" s="93">
        <f>IF(AND($T241=1,AZ$5&lt;=$H241),INDEX(Mortality!$B$4:$E$64,MATCH($D241+AZ$5-1,Mortality!$A$4:$A$64,0),$U241)*$V241*$N241,0)</f>
        <v>2.0949070337445133E-3</v>
      </c>
      <c r="BA241" s="93">
        <f>IF(AND($T241=1,BA$5&lt;=$H241),INDEX(Mortality!$B$4:$E$64,MATCH($D241+BA$5-1,Mortality!$A$4:$A$64,0),$U241)*$V241*$N241,0)</f>
        <v>2.2693856976367418E-3</v>
      </c>
      <c r="BB241" s="93">
        <f>IF(AND($T241=1,BB$5&lt;=$H241),INDEX(Mortality!$B$4:$E$64,MATCH($D241+BB$5-1,Mortality!$A$4:$A$64,0),$U241)*$V241*$N241,0)</f>
        <v>2.4583961778164016E-3</v>
      </c>
      <c r="BC241" s="93">
        <f>IF(AND($T241=1,BC$5&lt;=$H241),INDEX(Mortality!$B$4:$E$64,MATCH($D241+BC$5-1,Mortality!$A$4:$A$64,0),$U241)*$V241*$N241,0)</f>
        <v>2.6631487866500482E-3</v>
      </c>
      <c r="BD241" s="93">
        <f>IF(AND($T241=1,BD$5&lt;=$H241),INDEX(Mortality!$B$4:$E$64,MATCH($D241+BD$5-1,Mortality!$A$4:$A$64,0),$U241)*$V241*$N241,0)</f>
        <v>2.8849546398722549E-3</v>
      </c>
      <c r="BE241" s="93">
        <f>IF(AND($T241=1,BE$5&lt;=$H241),INDEX(Mortality!$B$4:$E$64,MATCH($D241+BE$5-1,Mortality!$A$4:$A$64,0),$U241)*$V241*$N241,0)</f>
        <v>3.1252340522024812E-3</v>
      </c>
      <c r="BF241" s="93">
        <f>IF(AND($T241=1,BF$5&lt;=$H241),INDEX(Mortality!$B$4:$E$64,MATCH($D241+BF$5-1,Mortality!$A$4:$A$64,0),$U241)*$V241*$N241,0)</f>
        <v>3.3855256322083659E-3</v>
      </c>
      <c r="BG241" s="93">
        <f>IF(AND($T241=1,BG$5&lt;=$H241),INDEX(Mortality!$B$4:$E$64,MATCH($D241+BG$5-1,Mortality!$A$4:$A$64,0),$U241)*$V241*$N241,0)</f>
        <v>3.6674961346534088E-3</v>
      </c>
      <c r="BH241" s="93">
        <f>IF(AND($T241=1,BH$5&lt;=$H241),INDEX(Mortality!$B$4:$E$64,MATCH($D241+BH$5-1,Mortality!$A$4:$A$64,0),$U241)*$V241*$N241,0)</f>
        <v>3.9729511334179284E-3</v>
      </c>
      <c r="BI241" s="93">
        <f>IF(AND($T241=1,BI$5&lt;=$H241),INDEX(Mortality!$B$4:$E$64,MATCH($D241+BI$5-1,Mortality!$A$4:$A$64,0),$U241)*$V241*$N241,0)</f>
        <v>4.303846583336211E-3</v>
      </c>
      <c r="BJ241" s="93">
        <f>IF(AND($T241=1,BJ$5&lt;=$H241),INDEX(Mortality!$B$4:$E$64,MATCH($D241+BJ$5-1,Mortality!$A$4:$A$64,0),$U241)*$V241*$N241,0)</f>
        <v>0</v>
      </c>
      <c r="BK241" s="93">
        <f>IF(AND($T241=1,BK$5&lt;=$H241),INDEX(Mortality!$B$4:$E$64,MATCH($D241+BK$5-1,Mortality!$A$4:$A$64,0),$U241)*$V241*$N241,0)</f>
        <v>0</v>
      </c>
      <c r="BL241" s="93">
        <f>IF(AND($T241=1,BL$5&lt;=$H241),INDEX(Mortality!$B$4:$E$64,MATCH($D241+BL$5-1,Mortality!$A$4:$A$64,0),$U241)*$V241*$N241,0)</f>
        <v>0</v>
      </c>
      <c r="BM241" s="93">
        <f>IF(AND($T241=1,BM$5&lt;=$H241),INDEX(Mortality!$B$4:$E$64,MATCH($D241+BM$5-1,Mortality!$A$4:$A$64,0),$U241)*$V241*$N241,0)</f>
        <v>0</v>
      </c>
      <c r="BN241" s="93">
        <f>IF(AND($T241=1,BN$5&lt;=$H241),INDEX(Mortality!$B$4:$E$64,MATCH($D241+BN$5-1,Mortality!$A$4:$A$64,0),$U241)*$V241*$N241,0)</f>
        <v>0</v>
      </c>
      <c r="BO241" s="93">
        <f>IF(AND($T241=1,BO$5&lt;=$H241),INDEX(Mortality!$B$4:$E$64,MATCH($D241+BO$5-1,Mortality!$A$4:$A$64,0),$U241)*$V241*$N241,0)</f>
        <v>0</v>
      </c>
      <c r="BP241" s="93">
        <f>IF(AND($T241=1,BP$5&lt;=$H241),INDEX(Mortality!$B$4:$E$64,MATCH($D241+BP$5-1,Mortality!$A$4:$A$64,0),$U241)*$V241*$N241,0)</f>
        <v>0</v>
      </c>
      <c r="BQ241" s="93">
        <f>IF(AND($T241=1,BQ$5&lt;=$H241),INDEX(Mortality!$B$4:$E$64,MATCH($D241+BQ$5-1,Mortality!$A$4:$A$64,0),$U241)*$V241*$N241,0)</f>
        <v>0</v>
      </c>
      <c r="BR241" s="93">
        <f>IF(AND($T241=1,BR$5&lt;=$H241),INDEX(Mortality!$B$4:$E$64,MATCH($D241+BR$5-1,Mortality!$A$4:$A$64,0),$U241)*$V241*$N241,0)</f>
        <v>0</v>
      </c>
      <c r="BS241" s="93">
        <f>IF(AND($T241=1,BS$5&lt;=$H241),INDEX(Mortality!$B$4:$E$64,MATCH($D241+BS$5-1,Mortality!$A$4:$A$64,0),$U241)*$V241*$N241,0)</f>
        <v>0</v>
      </c>
      <c r="BT241" s="93">
        <f>IF(AND($T241=1,BT$5&lt;=$H241),INDEX(Mortality!$B$4:$E$64,MATCH($D241+BT$5-1,Mortality!$A$4:$A$64,0),$U241)*$V241*$N241,0)</f>
        <v>0</v>
      </c>
      <c r="BU241" s="93">
        <f>IF(AND($T241=1,BU$5&lt;=$H241),INDEX(Mortality!$B$4:$E$64,MATCH($D241+BU$5-1,Mortality!$A$4:$A$64,0),$U241)*$V241*$N241,0)</f>
        <v>0</v>
      </c>
      <c r="BV241" s="93">
        <f>IF(AND($T241=1,BV$5&lt;=$H241),INDEX(Mortality!$B$4:$E$64,MATCH($D241+BV$5-1,Mortality!$A$4:$A$64,0),$U241)*$V241*$N241,0)</f>
        <v>0</v>
      </c>
      <c r="BW241" s="93">
        <f>IF(AND($T241=1,BW$5&lt;=$H241),INDEX(Mortality!$B$4:$E$64,MATCH($D241+BW$5-1,Mortality!$A$4:$A$64,0),$U241)*$V241*$N241,0)</f>
        <v>0</v>
      </c>
      <c r="BX241" s="93">
        <f>IF(AND($T241=1,BX$5&lt;=$H241),INDEX(Mortality!$B$4:$E$64,MATCH($D241+BX$5-1,Mortality!$A$4:$A$64,0),$U241)*$V241*$N241,0)</f>
        <v>0</v>
      </c>
      <c r="BY241" s="93">
        <f>IF(AND($T241=1,BY$5&lt;=$H241),INDEX(Mortality!$B$4:$E$64,MATCH($D241+BY$5-1,Mortality!$A$4:$A$64,0),$U241)*$V241*$N241,0)</f>
        <v>0</v>
      </c>
      <c r="BZ241" s="93">
        <f>IF(AND($T241=1,BZ$5&lt;=$H241),INDEX(Mortality!$B$4:$E$64,MATCH($D241+BZ$5-1,Mortality!$A$4:$A$64,0),$U241)*$V241*$N241,0)</f>
        <v>0</v>
      </c>
      <c r="CA241" s="93">
        <f>IF(AND($T241=1,CA$5&lt;=$H241),INDEX(Mortality!$B$4:$E$64,MATCH($D241+CA$5-1,Mortality!$A$4:$A$64,0),$U241)*$V241*$N241,0)</f>
        <v>0</v>
      </c>
      <c r="CB241" s="93">
        <f>IF(AND($T241=1,CB$5&lt;=$H241),INDEX(Mortality!$B$4:$E$64,MATCH($D241+CB$5-1,Mortality!$A$4:$A$64,0),$U241)*$V241*$N241,0)</f>
        <v>0</v>
      </c>
      <c r="CC241" s="93">
        <f>IF(AND($T241=1,CC$5&lt;=$H241),INDEX(Mortality!$B$4:$E$64,MATCH($D241+CC$5-1,Mortality!$A$4:$A$64,0),$U241)*$V241*$N241,0)</f>
        <v>0</v>
      </c>
      <c r="CD241" s="93">
        <f>IF(AND($T241=1,CD$5&lt;=$H241),INDEX(Mortality!$B$4:$E$64,MATCH($D241+CD$5-1,Mortality!$A$4:$A$64,0),$U241)*$V241*$N241,0)</f>
        <v>0</v>
      </c>
      <c r="CE241" s="93">
        <f>IF(AND($T241=1,CE$5&lt;=$H241),INDEX(Mortality!$B$4:$E$64,MATCH($D241+CE$5-1,Mortality!$A$4:$A$64,0),$U241)*$V241*$N241,0)</f>
        <v>0</v>
      </c>
      <c r="CF241" s="93">
        <f>IF(AND($T241=1,CF$5&lt;=$H241),INDEX(Mortality!$B$4:$E$64,MATCH($D241+CF$5-1,Mortality!$A$4:$A$64,0),$U241)*$V241*$N241,0)</f>
        <v>0</v>
      </c>
      <c r="CG241" s="93">
        <f>IF(AND($T241=1,CG$5&lt;=$H241),INDEX(Mortality!$B$4:$E$64,MATCH($D241+CG$5-1,Mortality!$A$4:$A$64,0),$U241)*$V241*$N241,0)</f>
        <v>0</v>
      </c>
      <c r="CH241" s="94">
        <f>IF(AND($T241=1,CH$5&lt;=$H241),INDEX(Mortality!$B$4:$E$64,MATCH($D241+CH$5-1,Mortality!$A$4:$A$64,0),$U241)*$V241*$N241,0)</f>
        <v>0</v>
      </c>
      <c r="CI241" s="26"/>
      <c r="CJ241" s="419">
        <f t="shared" si="89"/>
        <v>1</v>
      </c>
      <c r="CK241" s="93">
        <f>IF(AND($T241=1,CK$5&lt;=$H241),CJ241*(1-AU241)*(1-MIN(1,MAX(Assumptions!$C$27,Assumptions!$C$13*Assumptions!$C$28^(CJ$5-1))*$O241)),0)</f>
        <v>0.87876425280221604</v>
      </c>
      <c r="CL241" s="93">
        <f>IF(AND($T241=1,CL$5&lt;=$H241),CK241*(1-AV241)*(1-MIN(1,MAX(Assumptions!$C$27,Assumptions!$C$13*Assumptions!$C$28^(CK$5-1))*$O241)),0)</f>
        <v>0.78792986238533602</v>
      </c>
      <c r="CM241" s="93">
        <f>IF(AND($T241=1,CM$5&lt;=$H241),CL241*(1-AW241)*(1-MIN(1,MAX(Assumptions!$C$27,Assumptions!$C$13*Assumptions!$C$28^(CL$5-1))*$O241)),0)</f>
        <v>0.71843047873692856</v>
      </c>
      <c r="CN241" s="93">
        <f>IF(AND($T241=1,CN$5&lt;=$H241),CM241*(1-AX241)*(1-MIN(1,MAX(Assumptions!$C$27,Assumptions!$C$13*Assumptions!$C$28^(CM$5-1))*$O241)),0)</f>
        <v>0.66429774473210668</v>
      </c>
      <c r="CO241" s="93">
        <f>IF(AND($T241=1,CO$5&lt;=$H241),CN241*(1-AY241)*(1-MIN(1,MAX(Assumptions!$C$27,Assumptions!$C$13*Assumptions!$C$28^(CN$5-1))*$O241)),0)</f>
        <v>0.62148145956627743</v>
      </c>
      <c r="CP241" s="93">
        <f>IF(AND($T241=1,CP$5&lt;=$H241),CO241*(1-AZ241)*(1-MIN(1,MAX(Assumptions!$C$27,Assumptions!$C$13*Assumptions!$C$28^(CO$5-1))*$O241)),0)</f>
        <v>0.5871582802941907</v>
      </c>
      <c r="CQ241" s="93">
        <f>IF(AND($T241=1,CQ$5&lt;=$H241),CP241*(1-BA241)*(1-MIN(1,MAX(Assumptions!$C$27,Assumptions!$C$13*Assumptions!$C$28^(CP$5-1))*$O241)),0)</f>
        <v>0.55931252206143112</v>
      </c>
      <c r="CR241" s="93">
        <f>IF(AND($T241=1,CR$5&lt;=$H241),CQ241*(1-BB241)*(1-MIN(1,MAX(Assumptions!$C$27,Assumptions!$C$13*Assumptions!$C$28^(CQ$5-1))*$O241)),0)</f>
        <v>0.53647407239579947</v>
      </c>
      <c r="CS241" s="93">
        <f>IF(AND($T241=1,CS$5&lt;=$H241),CR241*(1-BC241)*(1-MIN(1,MAX(Assumptions!$C$27,Assumptions!$C$13*Assumptions!$C$28^(CR$5-1))*$O241)),0)</f>
        <v>0.51754998712354705</v>
      </c>
      <c r="CT241" s="93">
        <f>IF(AND($T241=1,CT$5&lt;=$H241),CS241*(1-BD241)*(1-MIN(1,MAX(Assumptions!$C$27,Assumptions!$C$13*Assumptions!$C$28^(CS$5-1))*$O241)),0)</f>
        <v>0.50171357667928418</v>
      </c>
      <c r="CU241" s="93">
        <f>IF(AND($T241=1,CU$5&lt;=$H241),CT241*(1-BE241)*(1-MIN(1,MAX(Assumptions!$C$27,Assumptions!$C$13*Assumptions!$C$28^(CT$5-1))*$O241)),0)</f>
        <v>0.4883297001727801</v>
      </c>
      <c r="CV241" s="93">
        <f>IF(AND($T241=1,CV$5&lt;=$H241),CU241*(1-BF241)*(1-MIN(1,MAX(Assumptions!$C$27,Assumptions!$C$13*Assumptions!$C$28^(CU$5-1))*$O241)),0)</f>
        <v>0.47690340561452399</v>
      </c>
      <c r="CW241" s="93">
        <f>IF(AND($T241=1,CW$5&lt;=$H241),CV241*(1-BG241)*(1-MIN(1,MAX(Assumptions!$C$27,Assumptions!$C$13*Assumptions!$C$28^(CV$5-1))*$O241)),0)</f>
        <v>0.46565127693347302</v>
      </c>
      <c r="CX241" s="93">
        <f>IF(AND($T241=1,CX$5&lt;=$H241),CW241*(1-BH241)*(1-MIN(1,MAX(Assumptions!$C$27,Assumptions!$C$13*Assumptions!$C$28^(CW$5-1))*$O241)),0)</f>
        <v>0.45452524182170262</v>
      </c>
      <c r="CY241" s="93">
        <f>IF(AND($T241=1,CY$5&lt;=$H241),CX241*(1-BI241)*(1-MIN(1,MAX(Assumptions!$C$27,Assumptions!$C$13*Assumptions!$C$28^(CX$5-1))*$O241)),0)</f>
        <v>0</v>
      </c>
      <c r="CZ241" s="93">
        <f>IF(AND($T241=1,CZ$5&lt;=$H241),CY241*(1-BJ241)*(1-MIN(1,MAX(Assumptions!$C$27,Assumptions!$C$13*Assumptions!$C$28^(CY$5-1))*$O241)),0)</f>
        <v>0</v>
      </c>
      <c r="DA241" s="93">
        <f>IF(AND($T241=1,DA$5&lt;=$H241),CZ241*(1-BK241)*(1-MIN(1,MAX(Assumptions!$C$27,Assumptions!$C$13*Assumptions!$C$28^(CZ$5-1))*$O241)),0)</f>
        <v>0</v>
      </c>
      <c r="DB241" s="93">
        <f>IF(AND($T241=1,DB$5&lt;=$H241),DA241*(1-BL241)*(1-MIN(1,MAX(Assumptions!$C$27,Assumptions!$C$13*Assumptions!$C$28^(DA$5-1))*$O241)),0)</f>
        <v>0</v>
      </c>
      <c r="DC241" s="93">
        <f>IF(AND($T241=1,DC$5&lt;=$H241),DB241*(1-BM241)*(1-MIN(1,MAX(Assumptions!$C$27,Assumptions!$C$13*Assumptions!$C$28^(DB$5-1))*$O241)),0)</f>
        <v>0</v>
      </c>
      <c r="DD241" s="93">
        <f>IF(AND($T241=1,DD$5&lt;=$H241),DC241*(1-BN241)*(1-MIN(1,MAX(Assumptions!$C$27,Assumptions!$C$13*Assumptions!$C$28^(DC$5-1))*$O241)),0)</f>
        <v>0</v>
      </c>
      <c r="DE241" s="93">
        <f>IF(AND($T241=1,DE$5&lt;=$H241),DD241*(1-BO241)*(1-MIN(1,MAX(Assumptions!$C$27,Assumptions!$C$13*Assumptions!$C$28^(DD$5-1))*$O241)),0)</f>
        <v>0</v>
      </c>
      <c r="DF241" s="93">
        <f>IF(AND($T241=1,DF$5&lt;=$H241),DE241*(1-BP241)*(1-MIN(1,MAX(Assumptions!$C$27,Assumptions!$C$13*Assumptions!$C$28^(DE$5-1))*$O241)),0)</f>
        <v>0</v>
      </c>
      <c r="DG241" s="93">
        <f>IF(AND($T241=1,DG$5&lt;=$H241),DF241*(1-BQ241)*(1-MIN(1,MAX(Assumptions!$C$27,Assumptions!$C$13*Assumptions!$C$28^(DF$5-1))*$O241)),0)</f>
        <v>0</v>
      </c>
      <c r="DH241" s="93">
        <f>IF(AND($T241=1,DH$5&lt;=$H241),DG241*(1-BR241)*(1-MIN(1,MAX(Assumptions!$C$27,Assumptions!$C$13*Assumptions!$C$28^(DG$5-1))*$O241)),0)</f>
        <v>0</v>
      </c>
      <c r="DI241" s="93">
        <f>IF(AND($T241=1,DI$5&lt;=$H241),DH241*(1-BS241)*(1-MIN(1,MAX(Assumptions!$C$27,Assumptions!$C$13*Assumptions!$C$28^(DH$5-1))*$O241)),0)</f>
        <v>0</v>
      </c>
      <c r="DJ241" s="93">
        <f>IF(AND($T241=1,DJ$5&lt;=$H241),DI241*(1-BT241)*(1-MIN(1,MAX(Assumptions!$C$27,Assumptions!$C$13*Assumptions!$C$28^(DI$5-1))*$O241)),0)</f>
        <v>0</v>
      </c>
      <c r="DK241" s="93">
        <f>IF(AND($T241=1,DK$5&lt;=$H241),DJ241*(1-BU241)*(1-MIN(1,MAX(Assumptions!$C$27,Assumptions!$C$13*Assumptions!$C$28^(DJ$5-1))*$O241)),0)</f>
        <v>0</v>
      </c>
      <c r="DL241" s="93">
        <f>IF(AND($T241=1,DL$5&lt;=$H241),DK241*(1-BV241)*(1-MIN(1,MAX(Assumptions!$C$27,Assumptions!$C$13*Assumptions!$C$28^(DK$5-1))*$O241)),0)</f>
        <v>0</v>
      </c>
      <c r="DM241" s="93">
        <f>IF(AND($T241=1,DM$5&lt;=$H241),DL241*(1-BW241)*(1-MIN(1,MAX(Assumptions!$C$27,Assumptions!$C$13*Assumptions!$C$28^(DL$5-1))*$O241)),0)</f>
        <v>0</v>
      </c>
      <c r="DN241" s="93">
        <f>IF(AND($T241=1,DN$5&lt;=$H241),DM241*(1-BX241)*(1-MIN(1,MAX(Assumptions!$C$27,Assumptions!$C$13*Assumptions!$C$28^(DM$5-1))*$O241)),0)</f>
        <v>0</v>
      </c>
      <c r="DO241" s="93">
        <f>IF(AND($T241=1,DO$5&lt;=$H241),DN241*(1-BY241)*(1-MIN(1,MAX(Assumptions!$C$27,Assumptions!$C$13*Assumptions!$C$28^(DN$5-1))*$O241)),0)</f>
        <v>0</v>
      </c>
      <c r="DP241" s="93">
        <f>IF(AND($T241=1,DP$5&lt;=$H241),DO241*(1-BZ241)*(1-MIN(1,MAX(Assumptions!$C$27,Assumptions!$C$13*Assumptions!$C$28^(DO$5-1))*$O241)),0)</f>
        <v>0</v>
      </c>
      <c r="DQ241" s="93">
        <f>IF(AND($T241=1,DQ$5&lt;=$H241),DP241*(1-CA241)*(1-MIN(1,MAX(Assumptions!$C$27,Assumptions!$C$13*Assumptions!$C$28^(DP$5-1))*$O241)),0)</f>
        <v>0</v>
      </c>
      <c r="DR241" s="93">
        <f>IF(AND($T241=1,DR$5&lt;=$H241),DQ241*(1-CB241)*(1-MIN(1,MAX(Assumptions!$C$27,Assumptions!$C$13*Assumptions!$C$28^(DQ$5-1))*$O241)),0)</f>
        <v>0</v>
      </c>
      <c r="DS241" s="93">
        <f>IF(AND($T241=1,DS$5&lt;=$H241),DR241*(1-CC241)*(1-MIN(1,MAX(Assumptions!$C$27,Assumptions!$C$13*Assumptions!$C$28^(DR$5-1))*$O241)),0)</f>
        <v>0</v>
      </c>
      <c r="DT241" s="93">
        <f>IF(AND($T241=1,DT$5&lt;=$H241),DS241*(1-CD241)*(1-MIN(1,MAX(Assumptions!$C$27,Assumptions!$C$13*Assumptions!$C$28^(DS$5-1))*$O241)),0)</f>
        <v>0</v>
      </c>
      <c r="DU241" s="93">
        <f>IF(AND($T241=1,DU$5&lt;=$H241),DT241*(1-CE241)*(1-MIN(1,MAX(Assumptions!$C$27,Assumptions!$C$13*Assumptions!$C$28^(DT$5-1))*$O241)),0)</f>
        <v>0</v>
      </c>
      <c r="DV241" s="93">
        <f>IF(AND($T241=1,DV$5&lt;=$H241),DU241*(1-CF241)*(1-MIN(1,MAX(Assumptions!$C$27,Assumptions!$C$13*Assumptions!$C$28^(DU$5-1))*$O241)),0)</f>
        <v>0</v>
      </c>
      <c r="DW241" s="94">
        <f>IF(AND($T241=1,DW$5&lt;=$H241),DV241*(1-CG241)*(1-MIN(1,MAX(Assumptions!$C$27,Assumptions!$C$13*Assumptions!$C$28^(DV$5-1))*$O241)),0)</f>
        <v>0</v>
      </c>
      <c r="DX241" s="26"/>
      <c r="DY241" s="399">
        <f>'Policy Data'!K215</f>
        <v>6</v>
      </c>
      <c r="DZ241" s="100">
        <f>'Policy Data'!L215</f>
        <v>0.80859999999999999</v>
      </c>
      <c r="EA241" s="100">
        <f>'Policy Data'!N215</f>
        <v>1.1349999999999999E-3</v>
      </c>
      <c r="EB241" s="93" cm="1">
        <f t="array" ref="EB241">IFERROR(DZ241*INDEX(Mortality!$B$4:$E$64,MATCH(D241+DY241-1,Mortality!$A$4:$A$64,0),U241)*V241,0)</f>
        <v>1.6939418274858134E-3</v>
      </c>
      <c r="EC241" s="100">
        <f>'Policy Data'!O215</f>
        <v>0</v>
      </c>
      <c r="ED241" s="400">
        <f>'Policy Data'!Q215</f>
        <v>0</v>
      </c>
    </row>
    <row r="242" spans="1:134" x14ac:dyDescent="0.3">
      <c r="A242" s="399" t="str">
        <f>'Policy Data'!A216</f>
        <v>POL100212</v>
      </c>
      <c r="B242" s="26" t="s">
        <v>426</v>
      </c>
      <c r="C242" s="100" t="str">
        <f>'Policy Data'!B216</f>
        <v>Unit-Linked</v>
      </c>
      <c r="D242" s="100">
        <f>'Policy Data'!C216</f>
        <v>41</v>
      </c>
      <c r="E242" s="100" t="str">
        <f>'Policy Data'!D216</f>
        <v>Male</v>
      </c>
      <c r="F242" s="100" t="str">
        <f>'Policy Data'!E216</f>
        <v>Non-smoker</v>
      </c>
      <c r="G242" s="100" t="str">
        <f>'Policy Data'!F216</f>
        <v>Rated</v>
      </c>
      <c r="H242" s="100">
        <f>'Policy Data'!G216</f>
        <v>20</v>
      </c>
      <c r="I242" s="279">
        <f>'Policy Data'!H216</f>
        <v>1000000</v>
      </c>
      <c r="J242" s="100" t="str">
        <f>'Policy Data'!I216</f>
        <v>Monthly</v>
      </c>
      <c r="K242" s="100" t="str">
        <f>'Policy Data'!J216</f>
        <v>Bancassurance</v>
      </c>
      <c r="L242" s="26" t="s">
        <v>389</v>
      </c>
      <c r="M242" s="106">
        <f>'Policy Data'!R216</f>
        <v>9153.11</v>
      </c>
      <c r="N242" s="415">
        <f>Assumptions!$C$21</f>
        <v>1</v>
      </c>
      <c r="O242" s="415">
        <f>Assumptions!$C$22</f>
        <v>1</v>
      </c>
      <c r="P242" s="415">
        <f>Assumptions!$C$23</f>
        <v>1</v>
      </c>
      <c r="Q242" s="416">
        <f>Assumptions!$C$24</f>
        <v>0</v>
      </c>
      <c r="R242" s="416">
        <f>Assumptions!$C$6+Assumptions!$C$25</f>
        <v>3.5000000000000003E-2</v>
      </c>
      <c r="S242" s="416">
        <f>Assumptions!$C$15</f>
        <v>1.1000000000000001E-3</v>
      </c>
      <c r="T242" s="26">
        <f t="shared" si="72"/>
        <v>0</v>
      </c>
      <c r="U242" s="26">
        <f t="shared" si="73"/>
        <v>3</v>
      </c>
      <c r="V242" s="389">
        <f>IF($G242="Preferred",Assumptions!$C$30,IF($G242="Rated",Assumptions!$C$31,1))</f>
        <v>1.55</v>
      </c>
      <c r="W242" s="390">
        <f>IF($K242="Direct",Assumptions!$C$32,IF($K242="Broker",Assumptions!$C$33,IF($K242="Bancassurance",Assumptions!$C$34,Assumptions!$C$11)))+$Q242</f>
        <v>0.2</v>
      </c>
      <c r="X242" s="390">
        <f>Assumptions!$C$12+$Q242</f>
        <v>0.05</v>
      </c>
      <c r="Y242" s="131">
        <f>MIN($I242,Assumptions!$C$14)</f>
        <v>500000</v>
      </c>
      <c r="Z242" s="131">
        <f>MAX($I242-Assumptions!$C$14,0)</f>
        <v>500000</v>
      </c>
      <c r="AA242" s="389">
        <f t="shared" si="74"/>
        <v>0</v>
      </c>
      <c r="AB242" s="389">
        <f t="shared" si="75"/>
        <v>0</v>
      </c>
      <c r="AC242" s="389">
        <f>IF($T242=1,SUMPRODUCT($CJ242:$DW242,(1+Assumptions!$C$5)^($CJ$5:$DW$5-1),(1+$R242)^(-$CJ$5:$DW$5)),0)</f>
        <v>0</v>
      </c>
      <c r="AD242" s="389">
        <f t="shared" si="76"/>
        <v>0</v>
      </c>
      <c r="AE242" s="131">
        <f>IF($T242=1,$AB242*$Y242+(Assumptions!$C$9/(1+$R242)+Assumptions!$C$10*$AC242)*$P242+$S242*$Z242*$AA242,0)</f>
        <v>0</v>
      </c>
      <c r="AF242" s="131" t="str">
        <f>IF($T242=1,IF($AA242-$AD242-Assumptions!$C$16*$AA242&gt;0,$AE242/($AA242-$AD242-Assumptions!$C$16*$AA242)*IF($J242="Monthly",1+Assumptions!$C$29,1),"n.a."),"")</f>
        <v/>
      </c>
      <c r="AG242" s="131" t="str">
        <f t="shared" si="77"/>
        <v/>
      </c>
      <c r="AH242" s="131" t="str">
        <f t="shared" si="78"/>
        <v/>
      </c>
      <c r="AI242" s="131" t="str">
        <f t="shared" si="79"/>
        <v/>
      </c>
      <c r="AJ242" s="390" t="str">
        <f t="shared" si="80"/>
        <v/>
      </c>
      <c r="AK242" s="389" t="str">
        <f t="shared" si="81"/>
        <v/>
      </c>
      <c r="AL242" s="131" t="str">
        <f t="shared" si="82"/>
        <v/>
      </c>
      <c r="AM242" s="131" t="str">
        <f t="shared" si="83"/>
        <v/>
      </c>
      <c r="AN242" s="131" t="str">
        <f t="shared" si="84"/>
        <v/>
      </c>
      <c r="AO242" s="131" t="str">
        <f t="shared" si="85"/>
        <v/>
      </c>
      <c r="AP242" s="26" t="str">
        <f t="shared" si="86"/>
        <v>40-49</v>
      </c>
      <c r="AQ242" s="26" t="str">
        <f t="shared" si="87"/>
        <v>500k-1m</v>
      </c>
      <c r="AR242" s="26" t="str">
        <f>IF($T242=1,IF($AI242&lt;0,"Loss-making",IF($AJ242&lt;Assumptions!$C$16-0.00001,"Below target","At/above target")),"Excluded")</f>
        <v>Excluded</v>
      </c>
      <c r="AS242" s="103">
        <f t="shared" si="88"/>
        <v>9.9999999999999997E+98</v>
      </c>
      <c r="AT242" s="26"/>
      <c r="AU242" s="419">
        <f>IF(AND($T242=1,AU$5&lt;=$H242),INDEX(Mortality!$B$4:$E$64,MATCH($D242+AU$5-1,Mortality!$A$4:$A$64,0),$U242)*$V242*$N242,0)</f>
        <v>0</v>
      </c>
      <c r="AV242" s="93">
        <f>IF(AND($T242=1,AV$5&lt;=$H242),INDEX(Mortality!$B$4:$E$64,MATCH($D242+AV$5-1,Mortality!$A$4:$A$64,0),$U242)*$V242*$N242,0)</f>
        <v>0</v>
      </c>
      <c r="AW242" s="93">
        <f>IF(AND($T242=1,AW$5&lt;=$H242),INDEX(Mortality!$B$4:$E$64,MATCH($D242+AW$5-1,Mortality!$A$4:$A$64,0),$U242)*$V242*$N242,0)</f>
        <v>0</v>
      </c>
      <c r="AX242" s="93">
        <f>IF(AND($T242=1,AX$5&lt;=$H242),INDEX(Mortality!$B$4:$E$64,MATCH($D242+AX$5-1,Mortality!$A$4:$A$64,0),$U242)*$V242*$N242,0)</f>
        <v>0</v>
      </c>
      <c r="AY242" s="93">
        <f>IF(AND($T242=1,AY$5&lt;=$H242),INDEX(Mortality!$B$4:$E$64,MATCH($D242+AY$5-1,Mortality!$A$4:$A$64,0),$U242)*$V242*$N242,0)</f>
        <v>0</v>
      </c>
      <c r="AZ242" s="93">
        <f>IF(AND($T242=1,AZ$5&lt;=$H242),INDEX(Mortality!$B$4:$E$64,MATCH($D242+AZ$5-1,Mortality!$A$4:$A$64,0),$U242)*$V242*$N242,0)</f>
        <v>0</v>
      </c>
      <c r="BA242" s="93">
        <f>IF(AND($T242=1,BA$5&lt;=$H242),INDEX(Mortality!$B$4:$E$64,MATCH($D242+BA$5-1,Mortality!$A$4:$A$64,0),$U242)*$V242*$N242,0)</f>
        <v>0</v>
      </c>
      <c r="BB242" s="93">
        <f>IF(AND($T242=1,BB$5&lt;=$H242),INDEX(Mortality!$B$4:$E$64,MATCH($D242+BB$5-1,Mortality!$A$4:$A$64,0),$U242)*$V242*$N242,0)</f>
        <v>0</v>
      </c>
      <c r="BC242" s="93">
        <f>IF(AND($T242=1,BC$5&lt;=$H242),INDEX(Mortality!$B$4:$E$64,MATCH($D242+BC$5-1,Mortality!$A$4:$A$64,0),$U242)*$V242*$N242,0)</f>
        <v>0</v>
      </c>
      <c r="BD242" s="93">
        <f>IF(AND($T242=1,BD$5&lt;=$H242),INDEX(Mortality!$B$4:$E$64,MATCH($D242+BD$5-1,Mortality!$A$4:$A$64,0),$U242)*$V242*$N242,0)</f>
        <v>0</v>
      </c>
      <c r="BE242" s="93">
        <f>IF(AND($T242=1,BE$5&lt;=$H242),INDEX(Mortality!$B$4:$E$64,MATCH($D242+BE$5-1,Mortality!$A$4:$A$64,0),$U242)*$V242*$N242,0)</f>
        <v>0</v>
      </c>
      <c r="BF242" s="93">
        <f>IF(AND($T242=1,BF$5&lt;=$H242),INDEX(Mortality!$B$4:$E$64,MATCH($D242+BF$5-1,Mortality!$A$4:$A$64,0),$U242)*$V242*$N242,0)</f>
        <v>0</v>
      </c>
      <c r="BG242" s="93">
        <f>IF(AND($T242=1,BG$5&lt;=$H242),INDEX(Mortality!$B$4:$E$64,MATCH($D242+BG$5-1,Mortality!$A$4:$A$64,0),$U242)*$V242*$N242,0)</f>
        <v>0</v>
      </c>
      <c r="BH242" s="93">
        <f>IF(AND($T242=1,BH$5&lt;=$H242),INDEX(Mortality!$B$4:$E$64,MATCH($D242+BH$5-1,Mortality!$A$4:$A$64,0),$U242)*$V242*$N242,0)</f>
        <v>0</v>
      </c>
      <c r="BI242" s="93">
        <f>IF(AND($T242=1,BI$5&lt;=$H242),INDEX(Mortality!$B$4:$E$64,MATCH($D242+BI$5-1,Mortality!$A$4:$A$64,0),$U242)*$V242*$N242,0)</f>
        <v>0</v>
      </c>
      <c r="BJ242" s="93">
        <f>IF(AND($T242=1,BJ$5&lt;=$H242),INDEX(Mortality!$B$4:$E$64,MATCH($D242+BJ$5-1,Mortality!$A$4:$A$64,0),$U242)*$V242*$N242,0)</f>
        <v>0</v>
      </c>
      <c r="BK242" s="93">
        <f>IF(AND($T242=1,BK$5&lt;=$H242),INDEX(Mortality!$B$4:$E$64,MATCH($D242+BK$5-1,Mortality!$A$4:$A$64,0),$U242)*$V242*$N242,0)</f>
        <v>0</v>
      </c>
      <c r="BL242" s="93">
        <f>IF(AND($T242=1,BL$5&lt;=$H242),INDEX(Mortality!$B$4:$E$64,MATCH($D242+BL$5-1,Mortality!$A$4:$A$64,0),$U242)*$V242*$N242,0)</f>
        <v>0</v>
      </c>
      <c r="BM242" s="93">
        <f>IF(AND($T242=1,BM$5&lt;=$H242),INDEX(Mortality!$B$4:$E$64,MATCH($D242+BM$5-1,Mortality!$A$4:$A$64,0),$U242)*$V242*$N242,0)</f>
        <v>0</v>
      </c>
      <c r="BN242" s="93">
        <f>IF(AND($T242=1,BN$5&lt;=$H242),INDEX(Mortality!$B$4:$E$64,MATCH($D242+BN$5-1,Mortality!$A$4:$A$64,0),$U242)*$V242*$N242,0)</f>
        <v>0</v>
      </c>
      <c r="BO242" s="93">
        <f>IF(AND($T242=1,BO$5&lt;=$H242),INDEX(Mortality!$B$4:$E$64,MATCH($D242+BO$5-1,Mortality!$A$4:$A$64,0),$U242)*$V242*$N242,0)</f>
        <v>0</v>
      </c>
      <c r="BP242" s="93">
        <f>IF(AND($T242=1,BP$5&lt;=$H242),INDEX(Mortality!$B$4:$E$64,MATCH($D242+BP$5-1,Mortality!$A$4:$A$64,0),$U242)*$V242*$N242,0)</f>
        <v>0</v>
      </c>
      <c r="BQ242" s="93">
        <f>IF(AND($T242=1,BQ$5&lt;=$H242),INDEX(Mortality!$B$4:$E$64,MATCH($D242+BQ$5-1,Mortality!$A$4:$A$64,0),$U242)*$V242*$N242,0)</f>
        <v>0</v>
      </c>
      <c r="BR242" s="93">
        <f>IF(AND($T242=1,BR$5&lt;=$H242),INDEX(Mortality!$B$4:$E$64,MATCH($D242+BR$5-1,Mortality!$A$4:$A$64,0),$U242)*$V242*$N242,0)</f>
        <v>0</v>
      </c>
      <c r="BS242" s="93">
        <f>IF(AND($T242=1,BS$5&lt;=$H242),INDEX(Mortality!$B$4:$E$64,MATCH($D242+BS$5-1,Mortality!$A$4:$A$64,0),$U242)*$V242*$N242,0)</f>
        <v>0</v>
      </c>
      <c r="BT242" s="93">
        <f>IF(AND($T242=1,BT$5&lt;=$H242),INDEX(Mortality!$B$4:$E$64,MATCH($D242+BT$5-1,Mortality!$A$4:$A$64,0),$U242)*$V242*$N242,0)</f>
        <v>0</v>
      </c>
      <c r="BU242" s="93">
        <f>IF(AND($T242=1,BU$5&lt;=$H242),INDEX(Mortality!$B$4:$E$64,MATCH($D242+BU$5-1,Mortality!$A$4:$A$64,0),$U242)*$V242*$N242,0)</f>
        <v>0</v>
      </c>
      <c r="BV242" s="93">
        <f>IF(AND($T242=1,BV$5&lt;=$H242),INDEX(Mortality!$B$4:$E$64,MATCH($D242+BV$5-1,Mortality!$A$4:$A$64,0),$U242)*$V242*$N242,0)</f>
        <v>0</v>
      </c>
      <c r="BW242" s="93">
        <f>IF(AND($T242=1,BW$5&lt;=$H242),INDEX(Mortality!$B$4:$E$64,MATCH($D242+BW$5-1,Mortality!$A$4:$A$64,0),$U242)*$V242*$N242,0)</f>
        <v>0</v>
      </c>
      <c r="BX242" s="93">
        <f>IF(AND($T242=1,BX$5&lt;=$H242),INDEX(Mortality!$B$4:$E$64,MATCH($D242+BX$5-1,Mortality!$A$4:$A$64,0),$U242)*$V242*$N242,0)</f>
        <v>0</v>
      </c>
      <c r="BY242" s="93">
        <f>IF(AND($T242=1,BY$5&lt;=$H242),INDEX(Mortality!$B$4:$E$64,MATCH($D242+BY$5-1,Mortality!$A$4:$A$64,0),$U242)*$V242*$N242,0)</f>
        <v>0</v>
      </c>
      <c r="BZ242" s="93">
        <f>IF(AND($T242=1,BZ$5&lt;=$H242),INDEX(Mortality!$B$4:$E$64,MATCH($D242+BZ$5-1,Mortality!$A$4:$A$64,0),$U242)*$V242*$N242,0)</f>
        <v>0</v>
      </c>
      <c r="CA242" s="93">
        <f>IF(AND($T242=1,CA$5&lt;=$H242),INDEX(Mortality!$B$4:$E$64,MATCH($D242+CA$5-1,Mortality!$A$4:$A$64,0),$U242)*$V242*$N242,0)</f>
        <v>0</v>
      </c>
      <c r="CB242" s="93">
        <f>IF(AND($T242=1,CB$5&lt;=$H242),INDEX(Mortality!$B$4:$E$64,MATCH($D242+CB$5-1,Mortality!$A$4:$A$64,0),$U242)*$V242*$N242,0)</f>
        <v>0</v>
      </c>
      <c r="CC242" s="93">
        <f>IF(AND($T242=1,CC$5&lt;=$H242),INDEX(Mortality!$B$4:$E$64,MATCH($D242+CC$5-1,Mortality!$A$4:$A$64,0),$U242)*$V242*$N242,0)</f>
        <v>0</v>
      </c>
      <c r="CD242" s="93">
        <f>IF(AND($T242=1,CD$5&lt;=$H242),INDEX(Mortality!$B$4:$E$64,MATCH($D242+CD$5-1,Mortality!$A$4:$A$64,0),$U242)*$V242*$N242,0)</f>
        <v>0</v>
      </c>
      <c r="CE242" s="93">
        <f>IF(AND($T242=1,CE$5&lt;=$H242),INDEX(Mortality!$B$4:$E$64,MATCH($D242+CE$5-1,Mortality!$A$4:$A$64,0),$U242)*$V242*$N242,0)</f>
        <v>0</v>
      </c>
      <c r="CF242" s="93">
        <f>IF(AND($T242=1,CF$5&lt;=$H242),INDEX(Mortality!$B$4:$E$64,MATCH($D242+CF$5-1,Mortality!$A$4:$A$64,0),$U242)*$V242*$N242,0)</f>
        <v>0</v>
      </c>
      <c r="CG242" s="93">
        <f>IF(AND($T242=1,CG$5&lt;=$H242),INDEX(Mortality!$B$4:$E$64,MATCH($D242+CG$5-1,Mortality!$A$4:$A$64,0),$U242)*$V242*$N242,0)</f>
        <v>0</v>
      </c>
      <c r="CH242" s="94">
        <f>IF(AND($T242=1,CH$5&lt;=$H242),INDEX(Mortality!$B$4:$E$64,MATCH($D242+CH$5-1,Mortality!$A$4:$A$64,0),$U242)*$V242*$N242,0)</f>
        <v>0</v>
      </c>
      <c r="CI242" s="26"/>
      <c r="CJ242" s="419">
        <f t="shared" si="89"/>
        <v>0</v>
      </c>
      <c r="CK242" s="93">
        <f>IF(AND($T242=1,CK$5&lt;=$H242),CJ242*(1-AU242)*(1-MIN(1,MAX(Assumptions!$C$27,Assumptions!$C$13*Assumptions!$C$28^(CJ$5-1))*$O242)),0)</f>
        <v>0</v>
      </c>
      <c r="CL242" s="93">
        <f>IF(AND($T242=1,CL$5&lt;=$H242),CK242*(1-AV242)*(1-MIN(1,MAX(Assumptions!$C$27,Assumptions!$C$13*Assumptions!$C$28^(CK$5-1))*$O242)),0)</f>
        <v>0</v>
      </c>
      <c r="CM242" s="93">
        <f>IF(AND($T242=1,CM$5&lt;=$H242),CL242*(1-AW242)*(1-MIN(1,MAX(Assumptions!$C$27,Assumptions!$C$13*Assumptions!$C$28^(CL$5-1))*$O242)),0)</f>
        <v>0</v>
      </c>
      <c r="CN242" s="93">
        <f>IF(AND($T242=1,CN$5&lt;=$H242),CM242*(1-AX242)*(1-MIN(1,MAX(Assumptions!$C$27,Assumptions!$C$13*Assumptions!$C$28^(CM$5-1))*$O242)),0)</f>
        <v>0</v>
      </c>
      <c r="CO242" s="93">
        <f>IF(AND($T242=1,CO$5&lt;=$H242),CN242*(1-AY242)*(1-MIN(1,MAX(Assumptions!$C$27,Assumptions!$C$13*Assumptions!$C$28^(CN$5-1))*$O242)),0)</f>
        <v>0</v>
      </c>
      <c r="CP242" s="93">
        <f>IF(AND($T242=1,CP$5&lt;=$H242),CO242*(1-AZ242)*(1-MIN(1,MAX(Assumptions!$C$27,Assumptions!$C$13*Assumptions!$C$28^(CO$5-1))*$O242)),0)</f>
        <v>0</v>
      </c>
      <c r="CQ242" s="93">
        <f>IF(AND($T242=1,CQ$5&lt;=$H242),CP242*(1-BA242)*(1-MIN(1,MAX(Assumptions!$C$27,Assumptions!$C$13*Assumptions!$C$28^(CP$5-1))*$O242)),0)</f>
        <v>0</v>
      </c>
      <c r="CR242" s="93">
        <f>IF(AND($T242=1,CR$5&lt;=$H242),CQ242*(1-BB242)*(1-MIN(1,MAX(Assumptions!$C$27,Assumptions!$C$13*Assumptions!$C$28^(CQ$5-1))*$O242)),0)</f>
        <v>0</v>
      </c>
      <c r="CS242" s="93">
        <f>IF(AND($T242=1,CS$5&lt;=$H242),CR242*(1-BC242)*(1-MIN(1,MAX(Assumptions!$C$27,Assumptions!$C$13*Assumptions!$C$28^(CR$5-1))*$O242)),0)</f>
        <v>0</v>
      </c>
      <c r="CT242" s="93">
        <f>IF(AND($T242=1,CT$5&lt;=$H242),CS242*(1-BD242)*(1-MIN(1,MAX(Assumptions!$C$27,Assumptions!$C$13*Assumptions!$C$28^(CS$5-1))*$O242)),0)</f>
        <v>0</v>
      </c>
      <c r="CU242" s="93">
        <f>IF(AND($T242=1,CU$5&lt;=$H242),CT242*(1-BE242)*(1-MIN(1,MAX(Assumptions!$C$27,Assumptions!$C$13*Assumptions!$C$28^(CT$5-1))*$O242)),0)</f>
        <v>0</v>
      </c>
      <c r="CV242" s="93">
        <f>IF(AND($T242=1,CV$5&lt;=$H242),CU242*(1-BF242)*(1-MIN(1,MAX(Assumptions!$C$27,Assumptions!$C$13*Assumptions!$C$28^(CU$5-1))*$O242)),0)</f>
        <v>0</v>
      </c>
      <c r="CW242" s="93">
        <f>IF(AND($T242=1,CW$5&lt;=$H242),CV242*(1-BG242)*(1-MIN(1,MAX(Assumptions!$C$27,Assumptions!$C$13*Assumptions!$C$28^(CV$5-1))*$O242)),0)</f>
        <v>0</v>
      </c>
      <c r="CX242" s="93">
        <f>IF(AND($T242=1,CX$5&lt;=$H242),CW242*(1-BH242)*(1-MIN(1,MAX(Assumptions!$C$27,Assumptions!$C$13*Assumptions!$C$28^(CW$5-1))*$O242)),0)</f>
        <v>0</v>
      </c>
      <c r="CY242" s="93">
        <f>IF(AND($T242=1,CY$5&lt;=$H242),CX242*(1-BI242)*(1-MIN(1,MAX(Assumptions!$C$27,Assumptions!$C$13*Assumptions!$C$28^(CX$5-1))*$O242)),0)</f>
        <v>0</v>
      </c>
      <c r="CZ242" s="93">
        <f>IF(AND($T242=1,CZ$5&lt;=$H242),CY242*(1-BJ242)*(1-MIN(1,MAX(Assumptions!$C$27,Assumptions!$C$13*Assumptions!$C$28^(CY$5-1))*$O242)),0)</f>
        <v>0</v>
      </c>
      <c r="DA242" s="93">
        <f>IF(AND($T242=1,DA$5&lt;=$H242),CZ242*(1-BK242)*(1-MIN(1,MAX(Assumptions!$C$27,Assumptions!$C$13*Assumptions!$C$28^(CZ$5-1))*$O242)),0)</f>
        <v>0</v>
      </c>
      <c r="DB242" s="93">
        <f>IF(AND($T242=1,DB$5&lt;=$H242),DA242*(1-BL242)*(1-MIN(1,MAX(Assumptions!$C$27,Assumptions!$C$13*Assumptions!$C$28^(DA$5-1))*$O242)),0)</f>
        <v>0</v>
      </c>
      <c r="DC242" s="93">
        <f>IF(AND($T242=1,DC$5&lt;=$H242),DB242*(1-BM242)*(1-MIN(1,MAX(Assumptions!$C$27,Assumptions!$C$13*Assumptions!$C$28^(DB$5-1))*$O242)),0)</f>
        <v>0</v>
      </c>
      <c r="DD242" s="93">
        <f>IF(AND($T242=1,DD$5&lt;=$H242),DC242*(1-BN242)*(1-MIN(1,MAX(Assumptions!$C$27,Assumptions!$C$13*Assumptions!$C$28^(DC$5-1))*$O242)),0)</f>
        <v>0</v>
      </c>
      <c r="DE242" s="93">
        <f>IF(AND($T242=1,DE$5&lt;=$H242),DD242*(1-BO242)*(1-MIN(1,MAX(Assumptions!$C$27,Assumptions!$C$13*Assumptions!$C$28^(DD$5-1))*$O242)),0)</f>
        <v>0</v>
      </c>
      <c r="DF242" s="93">
        <f>IF(AND($T242=1,DF$5&lt;=$H242),DE242*(1-BP242)*(1-MIN(1,MAX(Assumptions!$C$27,Assumptions!$C$13*Assumptions!$C$28^(DE$5-1))*$O242)),0)</f>
        <v>0</v>
      </c>
      <c r="DG242" s="93">
        <f>IF(AND($T242=1,DG$5&lt;=$H242),DF242*(1-BQ242)*(1-MIN(1,MAX(Assumptions!$C$27,Assumptions!$C$13*Assumptions!$C$28^(DF$5-1))*$O242)),0)</f>
        <v>0</v>
      </c>
      <c r="DH242" s="93">
        <f>IF(AND($T242=1,DH$5&lt;=$H242),DG242*(1-BR242)*(1-MIN(1,MAX(Assumptions!$C$27,Assumptions!$C$13*Assumptions!$C$28^(DG$5-1))*$O242)),0)</f>
        <v>0</v>
      </c>
      <c r="DI242" s="93">
        <f>IF(AND($T242=1,DI$5&lt;=$H242),DH242*(1-BS242)*(1-MIN(1,MAX(Assumptions!$C$27,Assumptions!$C$13*Assumptions!$C$28^(DH$5-1))*$O242)),0)</f>
        <v>0</v>
      </c>
      <c r="DJ242" s="93">
        <f>IF(AND($T242=1,DJ$5&lt;=$H242),DI242*(1-BT242)*(1-MIN(1,MAX(Assumptions!$C$27,Assumptions!$C$13*Assumptions!$C$28^(DI$5-1))*$O242)),0)</f>
        <v>0</v>
      </c>
      <c r="DK242" s="93">
        <f>IF(AND($T242=1,DK$5&lt;=$H242),DJ242*(1-BU242)*(1-MIN(1,MAX(Assumptions!$C$27,Assumptions!$C$13*Assumptions!$C$28^(DJ$5-1))*$O242)),0)</f>
        <v>0</v>
      </c>
      <c r="DL242" s="93">
        <f>IF(AND($T242=1,DL$5&lt;=$H242),DK242*(1-BV242)*(1-MIN(1,MAX(Assumptions!$C$27,Assumptions!$C$13*Assumptions!$C$28^(DK$5-1))*$O242)),0)</f>
        <v>0</v>
      </c>
      <c r="DM242" s="93">
        <f>IF(AND($T242=1,DM$5&lt;=$H242),DL242*(1-BW242)*(1-MIN(1,MAX(Assumptions!$C$27,Assumptions!$C$13*Assumptions!$C$28^(DL$5-1))*$O242)),0)</f>
        <v>0</v>
      </c>
      <c r="DN242" s="93">
        <f>IF(AND($T242=1,DN$5&lt;=$H242),DM242*(1-BX242)*(1-MIN(1,MAX(Assumptions!$C$27,Assumptions!$C$13*Assumptions!$C$28^(DM$5-1))*$O242)),0)</f>
        <v>0</v>
      </c>
      <c r="DO242" s="93">
        <f>IF(AND($T242=1,DO$5&lt;=$H242),DN242*(1-BY242)*(1-MIN(1,MAX(Assumptions!$C$27,Assumptions!$C$13*Assumptions!$C$28^(DN$5-1))*$O242)),0)</f>
        <v>0</v>
      </c>
      <c r="DP242" s="93">
        <f>IF(AND($T242=1,DP$5&lt;=$H242),DO242*(1-BZ242)*(1-MIN(1,MAX(Assumptions!$C$27,Assumptions!$C$13*Assumptions!$C$28^(DO$5-1))*$O242)),0)</f>
        <v>0</v>
      </c>
      <c r="DQ242" s="93">
        <f>IF(AND($T242=1,DQ$5&lt;=$H242),DP242*(1-CA242)*(1-MIN(1,MAX(Assumptions!$C$27,Assumptions!$C$13*Assumptions!$C$28^(DP$5-1))*$O242)),0)</f>
        <v>0</v>
      </c>
      <c r="DR242" s="93">
        <f>IF(AND($T242=1,DR$5&lt;=$H242),DQ242*(1-CB242)*(1-MIN(1,MAX(Assumptions!$C$27,Assumptions!$C$13*Assumptions!$C$28^(DQ$5-1))*$O242)),0)</f>
        <v>0</v>
      </c>
      <c r="DS242" s="93">
        <f>IF(AND($T242=1,DS$5&lt;=$H242),DR242*(1-CC242)*(1-MIN(1,MAX(Assumptions!$C$27,Assumptions!$C$13*Assumptions!$C$28^(DR$5-1))*$O242)),0)</f>
        <v>0</v>
      </c>
      <c r="DT242" s="93">
        <f>IF(AND($T242=1,DT$5&lt;=$H242),DS242*(1-CD242)*(1-MIN(1,MAX(Assumptions!$C$27,Assumptions!$C$13*Assumptions!$C$28^(DS$5-1))*$O242)),0)</f>
        <v>0</v>
      </c>
      <c r="DU242" s="93">
        <f>IF(AND($T242=1,DU$5&lt;=$H242),DT242*(1-CE242)*(1-MIN(1,MAX(Assumptions!$C$27,Assumptions!$C$13*Assumptions!$C$28^(DT$5-1))*$O242)),0)</f>
        <v>0</v>
      </c>
      <c r="DV242" s="93">
        <f>IF(AND($T242=1,DV$5&lt;=$H242),DU242*(1-CF242)*(1-MIN(1,MAX(Assumptions!$C$27,Assumptions!$C$13*Assumptions!$C$28^(DU$5-1))*$O242)),0)</f>
        <v>0</v>
      </c>
      <c r="DW242" s="94">
        <f>IF(AND($T242=1,DW$5&lt;=$H242),DV242*(1-CG242)*(1-MIN(1,MAX(Assumptions!$C$27,Assumptions!$C$13*Assumptions!$C$28^(DV$5-1))*$O242)),0)</f>
        <v>0</v>
      </c>
      <c r="DX242" s="26"/>
      <c r="DY242" s="399">
        <f>'Policy Data'!K216</f>
        <v>3</v>
      </c>
      <c r="DZ242" s="100">
        <f>'Policy Data'!L216</f>
        <v>0.59279999999999999</v>
      </c>
      <c r="EA242" s="100">
        <f>'Policy Data'!N216</f>
        <v>1.1460000000000001E-3</v>
      </c>
      <c r="EB242" s="93" cm="1">
        <f t="array" ref="EB242">IFERROR(DZ242*INDEX(Mortality!$B$4:$E$64,MATCH(D242+DY242-1,Mortality!$A$4:$A$64,0),U242)*V242,0)</f>
        <v>1.3452918415590605E-3</v>
      </c>
      <c r="EC242" s="100">
        <f>'Policy Data'!O216</f>
        <v>0</v>
      </c>
      <c r="ED242" s="400">
        <f>'Policy Data'!Q216</f>
        <v>0</v>
      </c>
    </row>
    <row r="243" spans="1:134" x14ac:dyDescent="0.3">
      <c r="A243" s="399" t="str">
        <f>'Policy Data'!A217</f>
        <v>POL100213</v>
      </c>
      <c r="B243" s="26" t="s">
        <v>426</v>
      </c>
      <c r="C243" s="100" t="str">
        <f>'Policy Data'!B217</f>
        <v>Term Life</v>
      </c>
      <c r="D243" s="100">
        <f>'Policy Data'!C217</f>
        <v>24</v>
      </c>
      <c r="E243" s="100" t="str">
        <f>'Policy Data'!D217</f>
        <v>Female</v>
      </c>
      <c r="F243" s="100" t="str">
        <f>'Policy Data'!E217</f>
        <v>Non-smoker</v>
      </c>
      <c r="G243" s="100" t="str">
        <f>'Policy Data'!F217</f>
        <v>Standard</v>
      </c>
      <c r="H243" s="100">
        <f>'Policy Data'!G217</f>
        <v>15</v>
      </c>
      <c r="I243" s="279">
        <f>'Policy Data'!H217</f>
        <v>500000</v>
      </c>
      <c r="J243" s="100" t="str">
        <f>'Policy Data'!I217</f>
        <v>Annual</v>
      </c>
      <c r="K243" s="100" t="str">
        <f>'Policy Data'!J217</f>
        <v>Direct</v>
      </c>
      <c r="L243" s="26" t="s">
        <v>389</v>
      </c>
      <c r="M243" s="106">
        <f>'Policy Data'!R217</f>
        <v>1200</v>
      </c>
      <c r="N243" s="415">
        <f>Assumptions!$C$21</f>
        <v>1</v>
      </c>
      <c r="O243" s="415">
        <f>Assumptions!$C$22</f>
        <v>1</v>
      </c>
      <c r="P243" s="415">
        <f>Assumptions!$C$23</f>
        <v>1</v>
      </c>
      <c r="Q243" s="416">
        <f>Assumptions!$C$24</f>
        <v>0</v>
      </c>
      <c r="R243" s="416">
        <f>Assumptions!$C$6+Assumptions!$C$25</f>
        <v>3.5000000000000003E-2</v>
      </c>
      <c r="S243" s="416">
        <f>Assumptions!$C$15</f>
        <v>1.1000000000000001E-3</v>
      </c>
      <c r="T243" s="26">
        <f t="shared" si="72"/>
        <v>1</v>
      </c>
      <c r="U243" s="26">
        <f t="shared" si="73"/>
        <v>1</v>
      </c>
      <c r="V243" s="389">
        <f>IF($G243="Preferred",Assumptions!$C$30,IF($G243="Rated",Assumptions!$C$31,1))</f>
        <v>1</v>
      </c>
      <c r="W243" s="390">
        <f>IF($K243="Direct",Assumptions!$C$32,IF($K243="Broker",Assumptions!$C$33,IF($K243="Bancassurance",Assumptions!$C$34,Assumptions!$C$11)))+$Q243</f>
        <v>0.1</v>
      </c>
      <c r="X243" s="390">
        <f>Assumptions!$C$12+$Q243</f>
        <v>0.05</v>
      </c>
      <c r="Y243" s="131">
        <f>MIN($I243,Assumptions!$C$14)</f>
        <v>500000</v>
      </c>
      <c r="Z243" s="131">
        <f>MAX($I243-Assumptions!$C$14,0)</f>
        <v>0</v>
      </c>
      <c r="AA243" s="389">
        <f t="shared" si="74"/>
        <v>7.4310309151760015</v>
      </c>
      <c r="AB243" s="389">
        <f t="shared" si="75"/>
        <v>2.8704568707424182E-3</v>
      </c>
      <c r="AC243" s="389">
        <f>IF($T243=1,SUMPRODUCT($CJ243:$DW243,(1+Assumptions!$C$5)^($CJ$5:$DW$5-1),(1+$R243)^(-$CJ$5:$DW$5)),0)</f>
        <v>9.3037876060661162</v>
      </c>
      <c r="AD243" s="389">
        <f t="shared" si="76"/>
        <v>0.41986072450276146</v>
      </c>
      <c r="AE243" s="131">
        <f>IF($T243=1,$AB243*$Y243+(Assumptions!$C$9/(1+$R243)+Assumptions!$C$10*$AC243)*$P243+$S243*$Z243*$AA243,0)</f>
        <v>4351.6269260970594</v>
      </c>
      <c r="AF243" s="131">
        <f>IF($T243=1,IF($AA243-$AD243-Assumptions!$C$16*$AA243&gt;0,$AE243/($AA243-$AD243-Assumptions!$C$16*$AA243)*IF($J243="Monthly",1+Assumptions!$C$29,1),"n.a."),"")</f>
        <v>678.17340000148693</v>
      </c>
      <c r="AG243" s="131">
        <f t="shared" si="77"/>
        <v>1200</v>
      </c>
      <c r="AH243" s="131">
        <f t="shared" si="78"/>
        <v>8917.2370982112025</v>
      </c>
      <c r="AI243" s="131">
        <f t="shared" si="79"/>
        <v>4061.7773027108278</v>
      </c>
      <c r="AJ243" s="390">
        <f t="shared" si="80"/>
        <v>0.45549728665683009</v>
      </c>
      <c r="AK243" s="389">
        <f t="shared" si="81"/>
        <v>1.7694589613767939</v>
      </c>
      <c r="AL243" s="131">
        <f t="shared" si="82"/>
        <v>0</v>
      </c>
      <c r="AM243" s="131">
        <f t="shared" si="83"/>
        <v>0</v>
      </c>
      <c r="AN243" s="131">
        <f t="shared" si="84"/>
        <v>0</v>
      </c>
      <c r="AO243" s="131">
        <f t="shared" si="85"/>
        <v>4061.7773027108278</v>
      </c>
      <c r="AP243" s="26" t="str">
        <f t="shared" si="86"/>
        <v>20-29</v>
      </c>
      <c r="AQ243" s="26" t="str">
        <f t="shared" si="87"/>
        <v>250k-500k</v>
      </c>
      <c r="AR243" s="26" t="str">
        <f>IF($T243=1,IF($AI243&lt;0,"Loss-making",IF($AJ243&lt;Assumptions!$C$16-0.00001,"Below target","At/above target")),"Excluded")</f>
        <v>At/above target</v>
      </c>
      <c r="AS243" s="103">
        <f t="shared" si="88"/>
        <v>4061.7775457108278</v>
      </c>
      <c r="AT243" s="26"/>
      <c r="AU243" s="419">
        <f>IF(AND($T243=1,AU$5&lt;=$H243),INDEX(Mortality!$B$4:$E$64,MATCH($D243+AU$5-1,Mortality!$A$4:$A$64,0),$U243)*$V243*$N243,0)</f>
        <v>2.36684647365849E-4</v>
      </c>
      <c r="AV243" s="93">
        <f>IF(AND($T243=1,AV$5&lt;=$H243),INDEX(Mortality!$B$4:$E$64,MATCH($D243+AV$5-1,Mortality!$A$4:$A$64,0),$U243)*$V243*$N243,0)</f>
        <v>2.5639741760863198E-4</v>
      </c>
      <c r="AW243" s="93">
        <f>IF(AND($T243=1,AW$5&lt;=$H243),INDEX(Mortality!$B$4:$E$64,MATCH($D243+AW$5-1,Mortality!$A$4:$A$64,0),$U243)*$V243*$N243,0)</f>
        <v>2.7775200668068702E-4</v>
      </c>
      <c r="AX243" s="93">
        <f>IF(AND($T243=1,AX$5&lt;=$H243),INDEX(Mortality!$B$4:$E$64,MATCH($D243+AX$5-1,Mortality!$A$4:$A$64,0),$U243)*$V243*$N243,0)</f>
        <v>3.0088515685795699E-4</v>
      </c>
      <c r="AY243" s="93">
        <f>IF(AND($T243=1,AY$5&lt;=$H243),INDEX(Mortality!$B$4:$E$64,MATCH($D243+AY$5-1,Mortality!$A$4:$A$64,0),$U243)*$V243*$N243,0)</f>
        <v>3.2594499927957602E-4</v>
      </c>
      <c r="AZ243" s="93">
        <f>IF(AND($T243=1,AZ$5&lt;=$H243),INDEX(Mortality!$B$4:$E$64,MATCH($D243+AZ$5-1,Mortality!$A$4:$A$64,0),$U243)*$V243*$N243,0)</f>
        <v>3.53092002492888E-4</v>
      </c>
      <c r="BA243" s="93">
        <f>IF(AND($T243=1,BA$5&lt;=$H243),INDEX(Mortality!$B$4:$E$64,MATCH($D243+BA$5-1,Mortality!$A$4:$A$64,0),$U243)*$V243*$N243,0)</f>
        <v>3.8249999999999997E-4</v>
      </c>
      <c r="BB243" s="93">
        <f>IF(AND($T243=1,BB$5&lt;=$H243),INDEX(Mortality!$B$4:$E$64,MATCH($D243+BB$5-1,Mortality!$A$4:$A$64,0),$U243)*$V243*$N243,0)</f>
        <v>4.1435730338567202E-4</v>
      </c>
      <c r="BC243" s="93">
        <f>IF(AND($T243=1,BC$5&lt;=$H243),INDEX(Mortality!$B$4:$E$64,MATCH($D243+BC$5-1,Mortality!$A$4:$A$64,0),$U243)*$V243*$N243,0)</f>
        <v>4.4886790815436701E-4</v>
      </c>
      <c r="BD243" s="93">
        <f>IF(AND($T243=1,BD$5&lt;=$H243),INDEX(Mortality!$B$4:$E$64,MATCH($D243+BD$5-1,Mortality!$A$4:$A$64,0),$U243)*$V243*$N243,0)</f>
        <v>4.8625279999793699E-4</v>
      </c>
      <c r="BE243" s="93">
        <f>IF(AND($T243=1,BE$5&lt;=$H243),INDEX(Mortality!$B$4:$E$64,MATCH($D243+BE$5-1,Mortality!$A$4:$A$64,0),$U243)*$V243*$N243,0)</f>
        <v>5.2675136985850396E-4</v>
      </c>
      <c r="BF243" s="93">
        <f>IF(AND($T243=1,BF$5&lt;=$H243),INDEX(Mortality!$B$4:$E$64,MATCH($D243+BF$5-1,Mortality!$A$4:$A$64,0),$U243)*$V243*$N243,0)</f>
        <v>5.7062294684778595E-4</v>
      </c>
      <c r="BG243" s="93">
        <f>IF(AND($T243=1,BG$5&lt;=$H243),INDEX(Mortality!$B$4:$E$64,MATCH($D243+BG$5-1,Mortality!$A$4:$A$64,0),$U243)*$V243*$N243,0)</f>
        <v>6.1814845883878197E-4</v>
      </c>
      <c r="BH243" s="93">
        <f>IF(AND($T243=1,BH$5&lt;=$H243),INDEX(Mortality!$B$4:$E$64,MATCH($D243+BH$5-1,Mortality!$A$4:$A$64,0),$U243)*$V243*$N243,0)</f>
        <v>6.6963223136325904E-4</v>
      </c>
      <c r="BI243" s="93">
        <f>IF(AND($T243=1,BI$5&lt;=$H243),INDEX(Mortality!$B$4:$E$64,MATCH($D243+BI$5-1,Mortality!$A$4:$A$64,0),$U243)*$V243*$N243,0)</f>
        <v>7.2540393633414402E-4</v>
      </c>
      <c r="BJ243" s="93">
        <f>IF(AND($T243=1,BJ$5&lt;=$H243),INDEX(Mortality!$B$4:$E$64,MATCH($D243+BJ$5-1,Mortality!$A$4:$A$64,0),$U243)*$V243*$N243,0)</f>
        <v>0</v>
      </c>
      <c r="BK243" s="93">
        <f>IF(AND($T243=1,BK$5&lt;=$H243),INDEX(Mortality!$B$4:$E$64,MATCH($D243+BK$5-1,Mortality!$A$4:$A$64,0),$U243)*$V243*$N243,0)</f>
        <v>0</v>
      </c>
      <c r="BL243" s="93">
        <f>IF(AND($T243=1,BL$5&lt;=$H243),INDEX(Mortality!$B$4:$E$64,MATCH($D243+BL$5-1,Mortality!$A$4:$A$64,0),$U243)*$V243*$N243,0)</f>
        <v>0</v>
      </c>
      <c r="BM243" s="93">
        <f>IF(AND($T243=1,BM$5&lt;=$H243),INDEX(Mortality!$B$4:$E$64,MATCH($D243+BM$5-1,Mortality!$A$4:$A$64,0),$U243)*$V243*$N243,0)</f>
        <v>0</v>
      </c>
      <c r="BN243" s="93">
        <f>IF(AND($T243=1,BN$5&lt;=$H243),INDEX(Mortality!$B$4:$E$64,MATCH($D243+BN$5-1,Mortality!$A$4:$A$64,0),$U243)*$V243*$N243,0)</f>
        <v>0</v>
      </c>
      <c r="BO243" s="93">
        <f>IF(AND($T243=1,BO$5&lt;=$H243),INDEX(Mortality!$B$4:$E$64,MATCH($D243+BO$5-1,Mortality!$A$4:$A$64,0),$U243)*$V243*$N243,0)</f>
        <v>0</v>
      </c>
      <c r="BP243" s="93">
        <f>IF(AND($T243=1,BP$5&lt;=$H243),INDEX(Mortality!$B$4:$E$64,MATCH($D243+BP$5-1,Mortality!$A$4:$A$64,0),$U243)*$V243*$N243,0)</f>
        <v>0</v>
      </c>
      <c r="BQ243" s="93">
        <f>IF(AND($T243=1,BQ$5&lt;=$H243),INDEX(Mortality!$B$4:$E$64,MATCH($D243+BQ$5-1,Mortality!$A$4:$A$64,0),$U243)*$V243*$N243,0)</f>
        <v>0</v>
      </c>
      <c r="BR243" s="93">
        <f>IF(AND($T243=1,BR$5&lt;=$H243),INDEX(Mortality!$B$4:$E$64,MATCH($D243+BR$5-1,Mortality!$A$4:$A$64,0),$U243)*$V243*$N243,0)</f>
        <v>0</v>
      </c>
      <c r="BS243" s="93">
        <f>IF(AND($T243=1,BS$5&lt;=$H243),INDEX(Mortality!$B$4:$E$64,MATCH($D243+BS$5-1,Mortality!$A$4:$A$64,0),$U243)*$V243*$N243,0)</f>
        <v>0</v>
      </c>
      <c r="BT243" s="93">
        <f>IF(AND($T243=1,BT$5&lt;=$H243),INDEX(Mortality!$B$4:$E$64,MATCH($D243+BT$5-1,Mortality!$A$4:$A$64,0),$U243)*$V243*$N243,0)</f>
        <v>0</v>
      </c>
      <c r="BU243" s="93">
        <f>IF(AND($T243=1,BU$5&lt;=$H243),INDEX(Mortality!$B$4:$E$64,MATCH($D243+BU$5-1,Mortality!$A$4:$A$64,0),$U243)*$V243*$N243,0)</f>
        <v>0</v>
      </c>
      <c r="BV243" s="93">
        <f>IF(AND($T243=1,BV$5&lt;=$H243),INDEX(Mortality!$B$4:$E$64,MATCH($D243+BV$5-1,Mortality!$A$4:$A$64,0),$U243)*$V243*$N243,0)</f>
        <v>0</v>
      </c>
      <c r="BW243" s="93">
        <f>IF(AND($T243=1,BW$5&lt;=$H243),INDEX(Mortality!$B$4:$E$64,MATCH($D243+BW$5-1,Mortality!$A$4:$A$64,0),$U243)*$V243*$N243,0)</f>
        <v>0</v>
      </c>
      <c r="BX243" s="93">
        <f>IF(AND($T243=1,BX$5&lt;=$H243),INDEX(Mortality!$B$4:$E$64,MATCH($D243+BX$5-1,Mortality!$A$4:$A$64,0),$U243)*$V243*$N243,0)</f>
        <v>0</v>
      </c>
      <c r="BY243" s="93">
        <f>IF(AND($T243=1,BY$5&lt;=$H243),INDEX(Mortality!$B$4:$E$64,MATCH($D243+BY$5-1,Mortality!$A$4:$A$64,0),$U243)*$V243*$N243,0)</f>
        <v>0</v>
      </c>
      <c r="BZ243" s="93">
        <f>IF(AND($T243=1,BZ$5&lt;=$H243),INDEX(Mortality!$B$4:$E$64,MATCH($D243+BZ$5-1,Mortality!$A$4:$A$64,0),$U243)*$V243*$N243,0)</f>
        <v>0</v>
      </c>
      <c r="CA243" s="93">
        <f>IF(AND($T243=1,CA$5&lt;=$H243),INDEX(Mortality!$B$4:$E$64,MATCH($D243+CA$5-1,Mortality!$A$4:$A$64,0),$U243)*$V243*$N243,0)</f>
        <v>0</v>
      </c>
      <c r="CB243" s="93">
        <f>IF(AND($T243=1,CB$5&lt;=$H243),INDEX(Mortality!$B$4:$E$64,MATCH($D243+CB$5-1,Mortality!$A$4:$A$64,0),$U243)*$V243*$N243,0)</f>
        <v>0</v>
      </c>
      <c r="CC243" s="93">
        <f>IF(AND($T243=1,CC$5&lt;=$H243),INDEX(Mortality!$B$4:$E$64,MATCH($D243+CC$5-1,Mortality!$A$4:$A$64,0),$U243)*$V243*$N243,0)</f>
        <v>0</v>
      </c>
      <c r="CD243" s="93">
        <f>IF(AND($T243=1,CD$5&lt;=$H243),INDEX(Mortality!$B$4:$E$64,MATCH($D243+CD$5-1,Mortality!$A$4:$A$64,0),$U243)*$V243*$N243,0)</f>
        <v>0</v>
      </c>
      <c r="CE243" s="93">
        <f>IF(AND($T243=1,CE$5&lt;=$H243),INDEX(Mortality!$B$4:$E$64,MATCH($D243+CE$5-1,Mortality!$A$4:$A$64,0),$U243)*$V243*$N243,0)</f>
        <v>0</v>
      </c>
      <c r="CF243" s="93">
        <f>IF(AND($T243=1,CF$5&lt;=$H243),INDEX(Mortality!$B$4:$E$64,MATCH($D243+CF$5-1,Mortality!$A$4:$A$64,0),$U243)*$V243*$N243,0)</f>
        <v>0</v>
      </c>
      <c r="CG243" s="93">
        <f>IF(AND($T243=1,CG$5&lt;=$H243),INDEX(Mortality!$B$4:$E$64,MATCH($D243+CG$5-1,Mortality!$A$4:$A$64,0),$U243)*$V243*$N243,0)</f>
        <v>0</v>
      </c>
      <c r="CH243" s="94">
        <f>IF(AND($T243=1,CH$5&lt;=$H243),INDEX(Mortality!$B$4:$E$64,MATCH($D243+CH$5-1,Mortality!$A$4:$A$64,0),$U243)*$V243*$N243,0)</f>
        <v>0</v>
      </c>
      <c r="CI243" s="26"/>
      <c r="CJ243" s="419">
        <f t="shared" si="89"/>
        <v>1</v>
      </c>
      <c r="CK243" s="93">
        <f>IF(AND($T243=1,CK$5&lt;=$H243),CJ243*(1-AU243)*(1-MIN(1,MAX(Assumptions!$C$27,Assumptions!$C$13*Assumptions!$C$28^(CJ$5-1))*$O243)),0)</f>
        <v>0.87979171751031804</v>
      </c>
      <c r="CL243" s="93">
        <f>IF(AND($T243=1,CL$5&lt;=$H243),CK243*(1-AV243)*(1-MIN(1,MAX(Assumptions!$C$27,Assumptions!$C$13*Assumptions!$C$28^(CK$5-1))*$O243)),0)</f>
        <v>0.78985039478495156</v>
      </c>
      <c r="CM243" s="93">
        <f>IF(AND($T243=1,CM$5&lt;=$H243),CL243*(1-AW243)*(1-MIN(1,MAX(Assumptions!$C$27,Assumptions!$C$13*Assumptions!$C$28^(CL$5-1))*$O243)),0)</f>
        <v>0.72117000349050275</v>
      </c>
      <c r="CN243" s="93">
        <f>IF(AND($T243=1,CN$5&lt;=$H243),CM243*(1-AX243)*(1-MIN(1,MAX(Assumptions!$C$27,Assumptions!$C$13*Assumptions!$C$28^(CM$5-1))*$O243)),0)</f>
        <v>0.66782238176376896</v>
      </c>
      <c r="CO243" s="93">
        <f>IF(AND($T243=1,CO$5&lt;=$H243),CN243*(1-AY243)*(1-MIN(1,MAX(Assumptions!$C$27,Assumptions!$C$13*Assumptions!$C$28^(CN$5-1))*$O243)),0)</f>
        <v>0.6257854487604424</v>
      </c>
      <c r="CP243" s="93">
        <f>IF(AND($T243=1,CP$5&lt;=$H243),CO243*(1-AZ243)*(1-MIN(1,MAX(Assumptions!$C$27,Assumptions!$C$13*Assumptions!$C$28^(CO$5-1))*$O243)),0)</f>
        <v>0.59225653447761972</v>
      </c>
      <c r="CQ243" s="93">
        <f>IF(AND($T243=1,CQ$5&lt;=$H243),CP243*(1-BA243)*(1-MIN(1,MAX(Assumptions!$C$27,Assumptions!$C$13*Assumptions!$C$28^(CP$5-1))*$O243)),0)</f>
        <v>0.56523593718997334</v>
      </c>
      <c r="CR243" s="93">
        <f>IF(AND($T243=1,CR$5&lt;=$H243),CQ243*(1-BB243)*(1-MIN(1,MAX(Assumptions!$C$27,Assumptions!$C$13*Assumptions!$C$28^(CQ$5-1))*$O243)),0)</f>
        <v>0.54326653450819151</v>
      </c>
      <c r="CS243" s="93">
        <f>IF(AND($T243=1,CS$5&lt;=$H243),CR243*(1-BC243)*(1-MIN(1,MAX(Assumptions!$C$27,Assumptions!$C$13*Assumptions!$C$28^(CR$5-1))*$O243)),0)</f>
        <v>0.52526645538675221</v>
      </c>
      <c r="CT243" s="93">
        <f>IF(AND($T243=1,CT$5&lt;=$H243),CS243*(1-BD243)*(1-MIN(1,MAX(Assumptions!$C$27,Assumptions!$C$13*Assumptions!$C$28^(CS$5-1))*$O243)),0)</f>
        <v>0.51041886855388408</v>
      </c>
      <c r="CU243" s="93">
        <f>IF(AND($T243=1,CU$5&lt;=$H243),CT243*(1-BE243)*(1-MIN(1,MAX(Assumptions!$C$27,Assumptions!$C$13*Assumptions!$C$28^(CT$5-1))*$O243)),0)</f>
        <v>0.49809774731933398</v>
      </c>
      <c r="CV243" s="93">
        <f>IF(AND($T243=1,CV$5&lt;=$H243),CU243*(1-BF243)*(1-MIN(1,MAX(Assumptions!$C$27,Assumptions!$C$13*Assumptions!$C$28^(CU$5-1))*$O243)),0)</f>
        <v>0.48781683378581348</v>
      </c>
      <c r="CW243" s="93">
        <f>IF(AND($T243=1,CW$5&lt;=$H243),CV243*(1-BG243)*(1-MIN(1,MAX(Assumptions!$C$27,Assumptions!$C$13*Assumptions!$C$28^(CV$5-1))*$O243)),0)</f>
        <v>0.47776498475057688</v>
      </c>
      <c r="CX243" s="93">
        <f>IF(AND($T243=1,CX$5&lt;=$H243),CW243*(1-BH243)*(1-MIN(1,MAX(Assumptions!$C$27,Assumptions!$C$13*Assumptions!$C$28^(CW$5-1))*$O243)),0)</f>
        <v>0.46789615675941565</v>
      </c>
      <c r="CY243" s="93">
        <f>IF(AND($T243=1,CY$5&lt;=$H243),CX243*(1-BI243)*(1-MIN(1,MAX(Assumptions!$C$27,Assumptions!$C$13*Assumptions!$C$28^(CX$5-1))*$O243)),0)</f>
        <v>0</v>
      </c>
      <c r="CZ243" s="93">
        <f>IF(AND($T243=1,CZ$5&lt;=$H243),CY243*(1-BJ243)*(1-MIN(1,MAX(Assumptions!$C$27,Assumptions!$C$13*Assumptions!$C$28^(CY$5-1))*$O243)),0)</f>
        <v>0</v>
      </c>
      <c r="DA243" s="93">
        <f>IF(AND($T243=1,DA$5&lt;=$H243),CZ243*(1-BK243)*(1-MIN(1,MAX(Assumptions!$C$27,Assumptions!$C$13*Assumptions!$C$28^(CZ$5-1))*$O243)),0)</f>
        <v>0</v>
      </c>
      <c r="DB243" s="93">
        <f>IF(AND($T243=1,DB$5&lt;=$H243),DA243*(1-BL243)*(1-MIN(1,MAX(Assumptions!$C$27,Assumptions!$C$13*Assumptions!$C$28^(DA$5-1))*$O243)),0)</f>
        <v>0</v>
      </c>
      <c r="DC243" s="93">
        <f>IF(AND($T243=1,DC$5&lt;=$H243),DB243*(1-BM243)*(1-MIN(1,MAX(Assumptions!$C$27,Assumptions!$C$13*Assumptions!$C$28^(DB$5-1))*$O243)),0)</f>
        <v>0</v>
      </c>
      <c r="DD243" s="93">
        <f>IF(AND($T243=1,DD$5&lt;=$H243),DC243*(1-BN243)*(1-MIN(1,MAX(Assumptions!$C$27,Assumptions!$C$13*Assumptions!$C$28^(DC$5-1))*$O243)),0)</f>
        <v>0</v>
      </c>
      <c r="DE243" s="93">
        <f>IF(AND($T243=1,DE$5&lt;=$H243),DD243*(1-BO243)*(1-MIN(1,MAX(Assumptions!$C$27,Assumptions!$C$13*Assumptions!$C$28^(DD$5-1))*$O243)),0)</f>
        <v>0</v>
      </c>
      <c r="DF243" s="93">
        <f>IF(AND($T243=1,DF$5&lt;=$H243),DE243*(1-BP243)*(1-MIN(1,MAX(Assumptions!$C$27,Assumptions!$C$13*Assumptions!$C$28^(DE$5-1))*$O243)),0)</f>
        <v>0</v>
      </c>
      <c r="DG243" s="93">
        <f>IF(AND($T243=1,DG$5&lt;=$H243),DF243*(1-BQ243)*(1-MIN(1,MAX(Assumptions!$C$27,Assumptions!$C$13*Assumptions!$C$28^(DF$5-1))*$O243)),0)</f>
        <v>0</v>
      </c>
      <c r="DH243" s="93">
        <f>IF(AND($T243=1,DH$5&lt;=$H243),DG243*(1-BR243)*(1-MIN(1,MAX(Assumptions!$C$27,Assumptions!$C$13*Assumptions!$C$28^(DG$5-1))*$O243)),0)</f>
        <v>0</v>
      </c>
      <c r="DI243" s="93">
        <f>IF(AND($T243=1,DI$5&lt;=$H243),DH243*(1-BS243)*(1-MIN(1,MAX(Assumptions!$C$27,Assumptions!$C$13*Assumptions!$C$28^(DH$5-1))*$O243)),0)</f>
        <v>0</v>
      </c>
      <c r="DJ243" s="93">
        <f>IF(AND($T243=1,DJ$5&lt;=$H243),DI243*(1-BT243)*(1-MIN(1,MAX(Assumptions!$C$27,Assumptions!$C$13*Assumptions!$C$28^(DI$5-1))*$O243)),0)</f>
        <v>0</v>
      </c>
      <c r="DK243" s="93">
        <f>IF(AND($T243=1,DK$5&lt;=$H243),DJ243*(1-BU243)*(1-MIN(1,MAX(Assumptions!$C$27,Assumptions!$C$13*Assumptions!$C$28^(DJ$5-1))*$O243)),0)</f>
        <v>0</v>
      </c>
      <c r="DL243" s="93">
        <f>IF(AND($T243=1,DL$5&lt;=$H243),DK243*(1-BV243)*(1-MIN(1,MAX(Assumptions!$C$27,Assumptions!$C$13*Assumptions!$C$28^(DK$5-1))*$O243)),0)</f>
        <v>0</v>
      </c>
      <c r="DM243" s="93">
        <f>IF(AND($T243=1,DM$5&lt;=$H243),DL243*(1-BW243)*(1-MIN(1,MAX(Assumptions!$C$27,Assumptions!$C$13*Assumptions!$C$28^(DL$5-1))*$O243)),0)</f>
        <v>0</v>
      </c>
      <c r="DN243" s="93">
        <f>IF(AND($T243=1,DN$5&lt;=$H243),DM243*(1-BX243)*(1-MIN(1,MAX(Assumptions!$C$27,Assumptions!$C$13*Assumptions!$C$28^(DM$5-1))*$O243)),0)</f>
        <v>0</v>
      </c>
      <c r="DO243" s="93">
        <f>IF(AND($T243=1,DO$5&lt;=$H243),DN243*(1-BY243)*(1-MIN(1,MAX(Assumptions!$C$27,Assumptions!$C$13*Assumptions!$C$28^(DN$5-1))*$O243)),0)</f>
        <v>0</v>
      </c>
      <c r="DP243" s="93">
        <f>IF(AND($T243=1,DP$5&lt;=$H243),DO243*(1-BZ243)*(1-MIN(1,MAX(Assumptions!$C$27,Assumptions!$C$13*Assumptions!$C$28^(DO$5-1))*$O243)),0)</f>
        <v>0</v>
      </c>
      <c r="DQ243" s="93">
        <f>IF(AND($T243=1,DQ$5&lt;=$H243),DP243*(1-CA243)*(1-MIN(1,MAX(Assumptions!$C$27,Assumptions!$C$13*Assumptions!$C$28^(DP$5-1))*$O243)),0)</f>
        <v>0</v>
      </c>
      <c r="DR243" s="93">
        <f>IF(AND($T243=1,DR$5&lt;=$H243),DQ243*(1-CB243)*(1-MIN(1,MAX(Assumptions!$C$27,Assumptions!$C$13*Assumptions!$C$28^(DQ$5-1))*$O243)),0)</f>
        <v>0</v>
      </c>
      <c r="DS243" s="93">
        <f>IF(AND($T243=1,DS$5&lt;=$H243),DR243*(1-CC243)*(1-MIN(1,MAX(Assumptions!$C$27,Assumptions!$C$13*Assumptions!$C$28^(DR$5-1))*$O243)),0)</f>
        <v>0</v>
      </c>
      <c r="DT243" s="93">
        <f>IF(AND($T243=1,DT$5&lt;=$H243),DS243*(1-CD243)*(1-MIN(1,MAX(Assumptions!$C$27,Assumptions!$C$13*Assumptions!$C$28^(DS$5-1))*$O243)),0)</f>
        <v>0</v>
      </c>
      <c r="DU243" s="93">
        <f>IF(AND($T243=1,DU$5&lt;=$H243),DT243*(1-CE243)*(1-MIN(1,MAX(Assumptions!$C$27,Assumptions!$C$13*Assumptions!$C$28^(DT$5-1))*$O243)),0)</f>
        <v>0</v>
      </c>
      <c r="DV243" s="93">
        <f>IF(AND($T243=1,DV$5&lt;=$H243),DU243*(1-CF243)*(1-MIN(1,MAX(Assumptions!$C$27,Assumptions!$C$13*Assumptions!$C$28^(DU$5-1))*$O243)),0)</f>
        <v>0</v>
      </c>
      <c r="DW243" s="94">
        <f>IF(AND($T243=1,DW$5&lt;=$H243),DV243*(1-CG243)*(1-MIN(1,MAX(Assumptions!$C$27,Assumptions!$C$13*Assumptions!$C$28^(DV$5-1))*$O243)),0)</f>
        <v>0</v>
      </c>
      <c r="DX243" s="26"/>
      <c r="DY243" s="399">
        <f>'Policy Data'!K217</f>
        <v>1</v>
      </c>
      <c r="DZ243" s="100">
        <f>'Policy Data'!L217</f>
        <v>0.94530000000000003</v>
      </c>
      <c r="EA243" s="100">
        <f>'Policy Data'!N217</f>
        <v>2.24E-4</v>
      </c>
      <c r="EB243" s="93" cm="1">
        <f t="array" ref="EB243">IFERROR(DZ243*INDEX(Mortality!$B$4:$E$64,MATCH(D243+DY243-1,Mortality!$A$4:$A$64,0),U243)*V243,0)</f>
        <v>2.2373799715493707E-4</v>
      </c>
      <c r="EC243" s="100">
        <f>'Policy Data'!O217</f>
        <v>0</v>
      </c>
      <c r="ED243" s="400">
        <f>'Policy Data'!Q217</f>
        <v>0</v>
      </c>
    </row>
    <row r="244" spans="1:134" x14ac:dyDescent="0.3">
      <c r="A244" s="399" t="str">
        <f>'Policy Data'!A218</f>
        <v>POL100214</v>
      </c>
      <c r="B244" s="26" t="s">
        <v>426</v>
      </c>
      <c r="C244" s="100" t="str">
        <f>'Policy Data'!B218</f>
        <v>Unit-Linked</v>
      </c>
      <c r="D244" s="100">
        <f>'Policy Data'!C218</f>
        <v>44</v>
      </c>
      <c r="E244" s="100" t="str">
        <f>'Policy Data'!D218</f>
        <v>Female</v>
      </c>
      <c r="F244" s="100" t="str">
        <f>'Policy Data'!E218</f>
        <v>Non-smoker</v>
      </c>
      <c r="G244" s="100" t="str">
        <f>'Policy Data'!F218</f>
        <v>Standard</v>
      </c>
      <c r="H244" s="100">
        <f>'Policy Data'!G218</f>
        <v>20</v>
      </c>
      <c r="I244" s="279">
        <f>'Policy Data'!H218</f>
        <v>1000000</v>
      </c>
      <c r="J244" s="100" t="str">
        <f>'Policy Data'!I218</f>
        <v>Monthly</v>
      </c>
      <c r="K244" s="100" t="str">
        <f>'Policy Data'!J218</f>
        <v>Broker</v>
      </c>
      <c r="L244" s="26" t="s">
        <v>389</v>
      </c>
      <c r="M244" s="106">
        <f>'Policy Data'!R218</f>
        <v>10993.14</v>
      </c>
      <c r="N244" s="415">
        <f>Assumptions!$C$21</f>
        <v>1</v>
      </c>
      <c r="O244" s="415">
        <f>Assumptions!$C$22</f>
        <v>1</v>
      </c>
      <c r="P244" s="415">
        <f>Assumptions!$C$23</f>
        <v>1</v>
      </c>
      <c r="Q244" s="416">
        <f>Assumptions!$C$24</f>
        <v>0</v>
      </c>
      <c r="R244" s="416">
        <f>Assumptions!$C$6+Assumptions!$C$25</f>
        <v>3.5000000000000003E-2</v>
      </c>
      <c r="S244" s="416">
        <f>Assumptions!$C$15</f>
        <v>1.1000000000000001E-3</v>
      </c>
      <c r="T244" s="26">
        <f t="shared" si="72"/>
        <v>0</v>
      </c>
      <c r="U244" s="26">
        <f t="shared" si="73"/>
        <v>1</v>
      </c>
      <c r="V244" s="389">
        <f>IF($G244="Preferred",Assumptions!$C$30,IF($G244="Rated",Assumptions!$C$31,1))</f>
        <v>1</v>
      </c>
      <c r="W244" s="390">
        <f>IF($K244="Direct",Assumptions!$C$32,IF($K244="Broker",Assumptions!$C$33,IF($K244="Bancassurance",Assumptions!$C$34,Assumptions!$C$11)))+$Q244</f>
        <v>0.25</v>
      </c>
      <c r="X244" s="390">
        <f>Assumptions!$C$12+$Q244</f>
        <v>0.05</v>
      </c>
      <c r="Y244" s="131">
        <f>MIN($I244,Assumptions!$C$14)</f>
        <v>500000</v>
      </c>
      <c r="Z244" s="131">
        <f>MAX($I244-Assumptions!$C$14,0)</f>
        <v>500000</v>
      </c>
      <c r="AA244" s="389">
        <f t="shared" si="74"/>
        <v>0</v>
      </c>
      <c r="AB244" s="389">
        <f t="shared" si="75"/>
        <v>0</v>
      </c>
      <c r="AC244" s="389">
        <f>IF($T244=1,SUMPRODUCT($CJ244:$DW244,(1+Assumptions!$C$5)^($CJ$5:$DW$5-1),(1+$R244)^(-$CJ$5:$DW$5)),0)</f>
        <v>0</v>
      </c>
      <c r="AD244" s="389">
        <f t="shared" si="76"/>
        <v>0</v>
      </c>
      <c r="AE244" s="131">
        <f>IF($T244=1,$AB244*$Y244+(Assumptions!$C$9/(1+$R244)+Assumptions!$C$10*$AC244)*$P244+$S244*$Z244*$AA244,0)</f>
        <v>0</v>
      </c>
      <c r="AF244" s="131" t="str">
        <f>IF($T244=1,IF($AA244-$AD244-Assumptions!$C$16*$AA244&gt;0,$AE244/($AA244-$AD244-Assumptions!$C$16*$AA244)*IF($J244="Monthly",1+Assumptions!$C$29,1),"n.a."),"")</f>
        <v/>
      </c>
      <c r="AG244" s="131" t="str">
        <f t="shared" si="77"/>
        <v/>
      </c>
      <c r="AH244" s="131" t="str">
        <f t="shared" si="78"/>
        <v/>
      </c>
      <c r="AI244" s="131" t="str">
        <f t="shared" si="79"/>
        <v/>
      </c>
      <c r="AJ244" s="390" t="str">
        <f t="shared" si="80"/>
        <v/>
      </c>
      <c r="AK244" s="389" t="str">
        <f t="shared" si="81"/>
        <v/>
      </c>
      <c r="AL244" s="131" t="str">
        <f t="shared" si="82"/>
        <v/>
      </c>
      <c r="AM244" s="131" t="str">
        <f t="shared" si="83"/>
        <v/>
      </c>
      <c r="AN244" s="131" t="str">
        <f t="shared" si="84"/>
        <v/>
      </c>
      <c r="AO244" s="131" t="str">
        <f t="shared" si="85"/>
        <v/>
      </c>
      <c r="AP244" s="26" t="str">
        <f t="shared" si="86"/>
        <v>40-49</v>
      </c>
      <c r="AQ244" s="26" t="str">
        <f t="shared" si="87"/>
        <v>500k-1m</v>
      </c>
      <c r="AR244" s="26" t="str">
        <f>IF($T244=1,IF($AI244&lt;0,"Loss-making",IF($AJ244&lt;Assumptions!$C$16-0.00001,"Below target","At/above target")),"Excluded")</f>
        <v>Excluded</v>
      </c>
      <c r="AS244" s="103">
        <f t="shared" si="88"/>
        <v>9.9999999999999997E+98</v>
      </c>
      <c r="AT244" s="26"/>
      <c r="AU244" s="419">
        <f>IF(AND($T244=1,AU$5&lt;=$H244),INDEX(Mortality!$B$4:$E$64,MATCH($D244+AU$5-1,Mortality!$A$4:$A$64,0),$U244)*$V244*$N244,0)</f>
        <v>0</v>
      </c>
      <c r="AV244" s="93">
        <f>IF(AND($T244=1,AV$5&lt;=$H244),INDEX(Mortality!$B$4:$E$64,MATCH($D244+AV$5-1,Mortality!$A$4:$A$64,0),$U244)*$V244*$N244,0)</f>
        <v>0</v>
      </c>
      <c r="AW244" s="93">
        <f>IF(AND($T244=1,AW$5&lt;=$H244),INDEX(Mortality!$B$4:$E$64,MATCH($D244+AW$5-1,Mortality!$A$4:$A$64,0),$U244)*$V244*$N244,0)</f>
        <v>0</v>
      </c>
      <c r="AX244" s="93">
        <f>IF(AND($T244=1,AX$5&lt;=$H244),INDEX(Mortality!$B$4:$E$64,MATCH($D244+AX$5-1,Mortality!$A$4:$A$64,0),$U244)*$V244*$N244,0)</f>
        <v>0</v>
      </c>
      <c r="AY244" s="93">
        <f>IF(AND($T244=1,AY$5&lt;=$H244),INDEX(Mortality!$B$4:$E$64,MATCH($D244+AY$5-1,Mortality!$A$4:$A$64,0),$U244)*$V244*$N244,0)</f>
        <v>0</v>
      </c>
      <c r="AZ244" s="93">
        <f>IF(AND($T244=1,AZ$5&lt;=$H244),INDEX(Mortality!$B$4:$E$64,MATCH($D244+AZ$5-1,Mortality!$A$4:$A$64,0),$U244)*$V244*$N244,0)</f>
        <v>0</v>
      </c>
      <c r="BA244" s="93">
        <f>IF(AND($T244=1,BA$5&lt;=$H244),INDEX(Mortality!$B$4:$E$64,MATCH($D244+BA$5-1,Mortality!$A$4:$A$64,0),$U244)*$V244*$N244,0)</f>
        <v>0</v>
      </c>
      <c r="BB244" s="93">
        <f>IF(AND($T244=1,BB$5&lt;=$H244),INDEX(Mortality!$B$4:$E$64,MATCH($D244+BB$5-1,Mortality!$A$4:$A$64,0),$U244)*$V244*$N244,0)</f>
        <v>0</v>
      </c>
      <c r="BC244" s="93">
        <f>IF(AND($T244=1,BC$5&lt;=$H244),INDEX(Mortality!$B$4:$E$64,MATCH($D244+BC$5-1,Mortality!$A$4:$A$64,0),$U244)*$V244*$N244,0)</f>
        <v>0</v>
      </c>
      <c r="BD244" s="93">
        <f>IF(AND($T244=1,BD$5&lt;=$H244),INDEX(Mortality!$B$4:$E$64,MATCH($D244+BD$5-1,Mortality!$A$4:$A$64,0),$U244)*$V244*$N244,0)</f>
        <v>0</v>
      </c>
      <c r="BE244" s="93">
        <f>IF(AND($T244=1,BE$5&lt;=$H244),INDEX(Mortality!$B$4:$E$64,MATCH($D244+BE$5-1,Mortality!$A$4:$A$64,0),$U244)*$V244*$N244,0)</f>
        <v>0</v>
      </c>
      <c r="BF244" s="93">
        <f>IF(AND($T244=1,BF$5&lt;=$H244),INDEX(Mortality!$B$4:$E$64,MATCH($D244+BF$5-1,Mortality!$A$4:$A$64,0),$U244)*$V244*$N244,0)</f>
        <v>0</v>
      </c>
      <c r="BG244" s="93">
        <f>IF(AND($T244=1,BG$5&lt;=$H244),INDEX(Mortality!$B$4:$E$64,MATCH($D244+BG$5-1,Mortality!$A$4:$A$64,0),$U244)*$V244*$N244,0)</f>
        <v>0</v>
      </c>
      <c r="BH244" s="93">
        <f>IF(AND($T244=1,BH$5&lt;=$H244),INDEX(Mortality!$B$4:$E$64,MATCH($D244+BH$5-1,Mortality!$A$4:$A$64,0),$U244)*$V244*$N244,0)</f>
        <v>0</v>
      </c>
      <c r="BI244" s="93">
        <f>IF(AND($T244=1,BI$5&lt;=$H244),INDEX(Mortality!$B$4:$E$64,MATCH($D244+BI$5-1,Mortality!$A$4:$A$64,0),$U244)*$V244*$N244,0)</f>
        <v>0</v>
      </c>
      <c r="BJ244" s="93">
        <f>IF(AND($T244=1,BJ$5&lt;=$H244),INDEX(Mortality!$B$4:$E$64,MATCH($D244+BJ$5-1,Mortality!$A$4:$A$64,0),$U244)*$V244*$N244,0)</f>
        <v>0</v>
      </c>
      <c r="BK244" s="93">
        <f>IF(AND($T244=1,BK$5&lt;=$H244),INDEX(Mortality!$B$4:$E$64,MATCH($D244+BK$5-1,Mortality!$A$4:$A$64,0),$U244)*$V244*$N244,0)</f>
        <v>0</v>
      </c>
      <c r="BL244" s="93">
        <f>IF(AND($T244=1,BL$5&lt;=$H244),INDEX(Mortality!$B$4:$E$64,MATCH($D244+BL$5-1,Mortality!$A$4:$A$64,0),$U244)*$V244*$N244,0)</f>
        <v>0</v>
      </c>
      <c r="BM244" s="93">
        <f>IF(AND($T244=1,BM$5&lt;=$H244),INDEX(Mortality!$B$4:$E$64,MATCH($D244+BM$5-1,Mortality!$A$4:$A$64,0),$U244)*$V244*$N244,0)</f>
        <v>0</v>
      </c>
      <c r="BN244" s="93">
        <f>IF(AND($T244=1,BN$5&lt;=$H244),INDEX(Mortality!$B$4:$E$64,MATCH($D244+BN$5-1,Mortality!$A$4:$A$64,0),$U244)*$V244*$N244,0)</f>
        <v>0</v>
      </c>
      <c r="BO244" s="93">
        <f>IF(AND($T244=1,BO$5&lt;=$H244),INDEX(Mortality!$B$4:$E$64,MATCH($D244+BO$5-1,Mortality!$A$4:$A$64,0),$U244)*$V244*$N244,0)</f>
        <v>0</v>
      </c>
      <c r="BP244" s="93">
        <f>IF(AND($T244=1,BP$5&lt;=$H244),INDEX(Mortality!$B$4:$E$64,MATCH($D244+BP$5-1,Mortality!$A$4:$A$64,0),$U244)*$V244*$N244,0)</f>
        <v>0</v>
      </c>
      <c r="BQ244" s="93">
        <f>IF(AND($T244=1,BQ$5&lt;=$H244),INDEX(Mortality!$B$4:$E$64,MATCH($D244+BQ$5-1,Mortality!$A$4:$A$64,0),$U244)*$V244*$N244,0)</f>
        <v>0</v>
      </c>
      <c r="BR244" s="93">
        <f>IF(AND($T244=1,BR$5&lt;=$H244),INDEX(Mortality!$B$4:$E$64,MATCH($D244+BR$5-1,Mortality!$A$4:$A$64,0),$U244)*$V244*$N244,0)</f>
        <v>0</v>
      </c>
      <c r="BS244" s="93">
        <f>IF(AND($T244=1,BS$5&lt;=$H244),INDEX(Mortality!$B$4:$E$64,MATCH($D244+BS$5-1,Mortality!$A$4:$A$64,0),$U244)*$V244*$N244,0)</f>
        <v>0</v>
      </c>
      <c r="BT244" s="93">
        <f>IF(AND($T244=1,BT$5&lt;=$H244),INDEX(Mortality!$B$4:$E$64,MATCH($D244+BT$5-1,Mortality!$A$4:$A$64,0),$U244)*$V244*$N244,0)</f>
        <v>0</v>
      </c>
      <c r="BU244" s="93">
        <f>IF(AND($T244=1,BU$5&lt;=$H244),INDEX(Mortality!$B$4:$E$64,MATCH($D244+BU$5-1,Mortality!$A$4:$A$64,0),$U244)*$V244*$N244,0)</f>
        <v>0</v>
      </c>
      <c r="BV244" s="93">
        <f>IF(AND($T244=1,BV$5&lt;=$H244),INDEX(Mortality!$B$4:$E$64,MATCH($D244+BV$5-1,Mortality!$A$4:$A$64,0),$U244)*$V244*$N244,0)</f>
        <v>0</v>
      </c>
      <c r="BW244" s="93">
        <f>IF(AND($T244=1,BW$5&lt;=$H244),INDEX(Mortality!$B$4:$E$64,MATCH($D244+BW$5-1,Mortality!$A$4:$A$64,0),$U244)*$V244*$N244,0)</f>
        <v>0</v>
      </c>
      <c r="BX244" s="93">
        <f>IF(AND($T244=1,BX$5&lt;=$H244),INDEX(Mortality!$B$4:$E$64,MATCH($D244+BX$5-1,Mortality!$A$4:$A$64,0),$U244)*$V244*$N244,0)</f>
        <v>0</v>
      </c>
      <c r="BY244" s="93">
        <f>IF(AND($T244=1,BY$5&lt;=$H244),INDEX(Mortality!$B$4:$E$64,MATCH($D244+BY$5-1,Mortality!$A$4:$A$64,0),$U244)*$V244*$N244,0)</f>
        <v>0</v>
      </c>
      <c r="BZ244" s="93">
        <f>IF(AND($T244=1,BZ$5&lt;=$H244),INDEX(Mortality!$B$4:$E$64,MATCH($D244+BZ$5-1,Mortality!$A$4:$A$64,0),$U244)*$V244*$N244,0)</f>
        <v>0</v>
      </c>
      <c r="CA244" s="93">
        <f>IF(AND($T244=1,CA$5&lt;=$H244),INDEX(Mortality!$B$4:$E$64,MATCH($D244+CA$5-1,Mortality!$A$4:$A$64,0),$U244)*$V244*$N244,0)</f>
        <v>0</v>
      </c>
      <c r="CB244" s="93">
        <f>IF(AND($T244=1,CB$5&lt;=$H244),INDEX(Mortality!$B$4:$E$64,MATCH($D244+CB$5-1,Mortality!$A$4:$A$64,0),$U244)*$V244*$N244,0)</f>
        <v>0</v>
      </c>
      <c r="CC244" s="93">
        <f>IF(AND($T244=1,CC$5&lt;=$H244),INDEX(Mortality!$B$4:$E$64,MATCH($D244+CC$5-1,Mortality!$A$4:$A$64,0),$U244)*$V244*$N244,0)</f>
        <v>0</v>
      </c>
      <c r="CD244" s="93">
        <f>IF(AND($T244=1,CD$5&lt;=$H244),INDEX(Mortality!$B$4:$E$64,MATCH($D244+CD$5-1,Mortality!$A$4:$A$64,0),$U244)*$V244*$N244,0)</f>
        <v>0</v>
      </c>
      <c r="CE244" s="93">
        <f>IF(AND($T244=1,CE$5&lt;=$H244),INDEX(Mortality!$B$4:$E$64,MATCH($D244+CE$5-1,Mortality!$A$4:$A$64,0),$U244)*$V244*$N244,0)</f>
        <v>0</v>
      </c>
      <c r="CF244" s="93">
        <f>IF(AND($T244=1,CF$5&lt;=$H244),INDEX(Mortality!$B$4:$E$64,MATCH($D244+CF$5-1,Mortality!$A$4:$A$64,0),$U244)*$V244*$N244,0)</f>
        <v>0</v>
      </c>
      <c r="CG244" s="93">
        <f>IF(AND($T244=1,CG$5&lt;=$H244),INDEX(Mortality!$B$4:$E$64,MATCH($D244+CG$5-1,Mortality!$A$4:$A$64,0),$U244)*$V244*$N244,0)</f>
        <v>0</v>
      </c>
      <c r="CH244" s="94">
        <f>IF(AND($T244=1,CH$5&lt;=$H244),INDEX(Mortality!$B$4:$E$64,MATCH($D244+CH$5-1,Mortality!$A$4:$A$64,0),$U244)*$V244*$N244,0)</f>
        <v>0</v>
      </c>
      <c r="CI244" s="26"/>
      <c r="CJ244" s="419">
        <f t="shared" si="89"/>
        <v>0</v>
      </c>
      <c r="CK244" s="93">
        <f>IF(AND($T244=1,CK$5&lt;=$H244),CJ244*(1-AU244)*(1-MIN(1,MAX(Assumptions!$C$27,Assumptions!$C$13*Assumptions!$C$28^(CJ$5-1))*$O244)),0)</f>
        <v>0</v>
      </c>
      <c r="CL244" s="93">
        <f>IF(AND($T244=1,CL$5&lt;=$H244),CK244*(1-AV244)*(1-MIN(1,MAX(Assumptions!$C$27,Assumptions!$C$13*Assumptions!$C$28^(CK$5-1))*$O244)),0)</f>
        <v>0</v>
      </c>
      <c r="CM244" s="93">
        <f>IF(AND($T244=1,CM$5&lt;=$H244),CL244*(1-AW244)*(1-MIN(1,MAX(Assumptions!$C$27,Assumptions!$C$13*Assumptions!$C$28^(CL$5-1))*$O244)),0)</f>
        <v>0</v>
      </c>
      <c r="CN244" s="93">
        <f>IF(AND($T244=1,CN$5&lt;=$H244),CM244*(1-AX244)*(1-MIN(1,MAX(Assumptions!$C$27,Assumptions!$C$13*Assumptions!$C$28^(CM$5-1))*$O244)),0)</f>
        <v>0</v>
      </c>
      <c r="CO244" s="93">
        <f>IF(AND($T244=1,CO$5&lt;=$H244),CN244*(1-AY244)*(1-MIN(1,MAX(Assumptions!$C$27,Assumptions!$C$13*Assumptions!$C$28^(CN$5-1))*$O244)),0)</f>
        <v>0</v>
      </c>
      <c r="CP244" s="93">
        <f>IF(AND($T244=1,CP$5&lt;=$H244),CO244*(1-AZ244)*(1-MIN(1,MAX(Assumptions!$C$27,Assumptions!$C$13*Assumptions!$C$28^(CO$5-1))*$O244)),0)</f>
        <v>0</v>
      </c>
      <c r="CQ244" s="93">
        <f>IF(AND($T244=1,CQ$5&lt;=$H244),CP244*(1-BA244)*(1-MIN(1,MAX(Assumptions!$C$27,Assumptions!$C$13*Assumptions!$C$28^(CP$5-1))*$O244)),0)</f>
        <v>0</v>
      </c>
      <c r="CR244" s="93">
        <f>IF(AND($T244=1,CR$5&lt;=$H244),CQ244*(1-BB244)*(1-MIN(1,MAX(Assumptions!$C$27,Assumptions!$C$13*Assumptions!$C$28^(CQ$5-1))*$O244)),0)</f>
        <v>0</v>
      </c>
      <c r="CS244" s="93">
        <f>IF(AND($T244=1,CS$5&lt;=$H244),CR244*(1-BC244)*(1-MIN(1,MAX(Assumptions!$C$27,Assumptions!$C$13*Assumptions!$C$28^(CR$5-1))*$O244)),0)</f>
        <v>0</v>
      </c>
      <c r="CT244" s="93">
        <f>IF(AND($T244=1,CT$5&lt;=$H244),CS244*(1-BD244)*(1-MIN(1,MAX(Assumptions!$C$27,Assumptions!$C$13*Assumptions!$C$28^(CS$5-1))*$O244)),0)</f>
        <v>0</v>
      </c>
      <c r="CU244" s="93">
        <f>IF(AND($T244=1,CU$5&lt;=$H244),CT244*(1-BE244)*(1-MIN(1,MAX(Assumptions!$C$27,Assumptions!$C$13*Assumptions!$C$28^(CT$5-1))*$O244)),0)</f>
        <v>0</v>
      </c>
      <c r="CV244" s="93">
        <f>IF(AND($T244=1,CV$5&lt;=$H244),CU244*(1-BF244)*(1-MIN(1,MAX(Assumptions!$C$27,Assumptions!$C$13*Assumptions!$C$28^(CU$5-1))*$O244)),0)</f>
        <v>0</v>
      </c>
      <c r="CW244" s="93">
        <f>IF(AND($T244=1,CW$5&lt;=$H244),CV244*(1-BG244)*(1-MIN(1,MAX(Assumptions!$C$27,Assumptions!$C$13*Assumptions!$C$28^(CV$5-1))*$O244)),0)</f>
        <v>0</v>
      </c>
      <c r="CX244" s="93">
        <f>IF(AND($T244=1,CX$5&lt;=$H244),CW244*(1-BH244)*(1-MIN(1,MAX(Assumptions!$C$27,Assumptions!$C$13*Assumptions!$C$28^(CW$5-1))*$O244)),0)</f>
        <v>0</v>
      </c>
      <c r="CY244" s="93">
        <f>IF(AND($T244=1,CY$5&lt;=$H244),CX244*(1-BI244)*(1-MIN(1,MAX(Assumptions!$C$27,Assumptions!$C$13*Assumptions!$C$28^(CX$5-1))*$O244)),0)</f>
        <v>0</v>
      </c>
      <c r="CZ244" s="93">
        <f>IF(AND($T244=1,CZ$5&lt;=$H244),CY244*(1-BJ244)*(1-MIN(1,MAX(Assumptions!$C$27,Assumptions!$C$13*Assumptions!$C$28^(CY$5-1))*$O244)),0)</f>
        <v>0</v>
      </c>
      <c r="DA244" s="93">
        <f>IF(AND($T244=1,DA$5&lt;=$H244),CZ244*(1-BK244)*(1-MIN(1,MAX(Assumptions!$C$27,Assumptions!$C$13*Assumptions!$C$28^(CZ$5-1))*$O244)),0)</f>
        <v>0</v>
      </c>
      <c r="DB244" s="93">
        <f>IF(AND($T244=1,DB$5&lt;=$H244),DA244*(1-BL244)*(1-MIN(1,MAX(Assumptions!$C$27,Assumptions!$C$13*Assumptions!$C$28^(DA$5-1))*$O244)),0)</f>
        <v>0</v>
      </c>
      <c r="DC244" s="93">
        <f>IF(AND($T244=1,DC$5&lt;=$H244),DB244*(1-BM244)*(1-MIN(1,MAX(Assumptions!$C$27,Assumptions!$C$13*Assumptions!$C$28^(DB$5-1))*$O244)),0)</f>
        <v>0</v>
      </c>
      <c r="DD244" s="93">
        <f>IF(AND($T244=1,DD$5&lt;=$H244),DC244*(1-BN244)*(1-MIN(1,MAX(Assumptions!$C$27,Assumptions!$C$13*Assumptions!$C$28^(DC$5-1))*$O244)),0)</f>
        <v>0</v>
      </c>
      <c r="DE244" s="93">
        <f>IF(AND($T244=1,DE$5&lt;=$H244),DD244*(1-BO244)*(1-MIN(1,MAX(Assumptions!$C$27,Assumptions!$C$13*Assumptions!$C$28^(DD$5-1))*$O244)),0)</f>
        <v>0</v>
      </c>
      <c r="DF244" s="93">
        <f>IF(AND($T244=1,DF$5&lt;=$H244),DE244*(1-BP244)*(1-MIN(1,MAX(Assumptions!$C$27,Assumptions!$C$13*Assumptions!$C$28^(DE$5-1))*$O244)),0)</f>
        <v>0</v>
      </c>
      <c r="DG244" s="93">
        <f>IF(AND($T244=1,DG$5&lt;=$H244),DF244*(1-BQ244)*(1-MIN(1,MAX(Assumptions!$C$27,Assumptions!$C$13*Assumptions!$C$28^(DF$5-1))*$O244)),0)</f>
        <v>0</v>
      </c>
      <c r="DH244" s="93">
        <f>IF(AND($T244=1,DH$5&lt;=$H244),DG244*(1-BR244)*(1-MIN(1,MAX(Assumptions!$C$27,Assumptions!$C$13*Assumptions!$C$28^(DG$5-1))*$O244)),0)</f>
        <v>0</v>
      </c>
      <c r="DI244" s="93">
        <f>IF(AND($T244=1,DI$5&lt;=$H244),DH244*(1-BS244)*(1-MIN(1,MAX(Assumptions!$C$27,Assumptions!$C$13*Assumptions!$C$28^(DH$5-1))*$O244)),0)</f>
        <v>0</v>
      </c>
      <c r="DJ244" s="93">
        <f>IF(AND($T244=1,DJ$5&lt;=$H244),DI244*(1-BT244)*(1-MIN(1,MAX(Assumptions!$C$27,Assumptions!$C$13*Assumptions!$C$28^(DI$5-1))*$O244)),0)</f>
        <v>0</v>
      </c>
      <c r="DK244" s="93">
        <f>IF(AND($T244=1,DK$5&lt;=$H244),DJ244*(1-BU244)*(1-MIN(1,MAX(Assumptions!$C$27,Assumptions!$C$13*Assumptions!$C$28^(DJ$5-1))*$O244)),0)</f>
        <v>0</v>
      </c>
      <c r="DL244" s="93">
        <f>IF(AND($T244=1,DL$5&lt;=$H244),DK244*(1-BV244)*(1-MIN(1,MAX(Assumptions!$C$27,Assumptions!$C$13*Assumptions!$C$28^(DK$5-1))*$O244)),0)</f>
        <v>0</v>
      </c>
      <c r="DM244" s="93">
        <f>IF(AND($T244=1,DM$5&lt;=$H244),DL244*(1-BW244)*(1-MIN(1,MAX(Assumptions!$C$27,Assumptions!$C$13*Assumptions!$C$28^(DL$5-1))*$O244)),0)</f>
        <v>0</v>
      </c>
      <c r="DN244" s="93">
        <f>IF(AND($T244=1,DN$5&lt;=$H244),DM244*(1-BX244)*(1-MIN(1,MAX(Assumptions!$C$27,Assumptions!$C$13*Assumptions!$C$28^(DM$5-1))*$O244)),0)</f>
        <v>0</v>
      </c>
      <c r="DO244" s="93">
        <f>IF(AND($T244=1,DO$5&lt;=$H244),DN244*(1-BY244)*(1-MIN(1,MAX(Assumptions!$C$27,Assumptions!$C$13*Assumptions!$C$28^(DN$5-1))*$O244)),0)</f>
        <v>0</v>
      </c>
      <c r="DP244" s="93">
        <f>IF(AND($T244=1,DP$5&lt;=$H244),DO244*(1-BZ244)*(1-MIN(1,MAX(Assumptions!$C$27,Assumptions!$C$13*Assumptions!$C$28^(DO$5-1))*$O244)),0)</f>
        <v>0</v>
      </c>
      <c r="DQ244" s="93">
        <f>IF(AND($T244=1,DQ$5&lt;=$H244),DP244*(1-CA244)*(1-MIN(1,MAX(Assumptions!$C$27,Assumptions!$C$13*Assumptions!$C$28^(DP$5-1))*$O244)),0)</f>
        <v>0</v>
      </c>
      <c r="DR244" s="93">
        <f>IF(AND($T244=1,DR$5&lt;=$H244),DQ244*(1-CB244)*(1-MIN(1,MAX(Assumptions!$C$27,Assumptions!$C$13*Assumptions!$C$28^(DQ$5-1))*$O244)),0)</f>
        <v>0</v>
      </c>
      <c r="DS244" s="93">
        <f>IF(AND($T244=1,DS$5&lt;=$H244),DR244*(1-CC244)*(1-MIN(1,MAX(Assumptions!$C$27,Assumptions!$C$13*Assumptions!$C$28^(DR$5-1))*$O244)),0)</f>
        <v>0</v>
      </c>
      <c r="DT244" s="93">
        <f>IF(AND($T244=1,DT$5&lt;=$H244),DS244*(1-CD244)*(1-MIN(1,MAX(Assumptions!$C$27,Assumptions!$C$13*Assumptions!$C$28^(DS$5-1))*$O244)),0)</f>
        <v>0</v>
      </c>
      <c r="DU244" s="93">
        <f>IF(AND($T244=1,DU$5&lt;=$H244),DT244*(1-CE244)*(1-MIN(1,MAX(Assumptions!$C$27,Assumptions!$C$13*Assumptions!$C$28^(DT$5-1))*$O244)),0)</f>
        <v>0</v>
      </c>
      <c r="DV244" s="93">
        <f>IF(AND($T244=1,DV$5&lt;=$H244),DU244*(1-CF244)*(1-MIN(1,MAX(Assumptions!$C$27,Assumptions!$C$13*Assumptions!$C$28^(DU$5-1))*$O244)),0)</f>
        <v>0</v>
      </c>
      <c r="DW244" s="94">
        <f>IF(AND($T244=1,DW$5&lt;=$H244),DV244*(1-CG244)*(1-MIN(1,MAX(Assumptions!$C$27,Assumptions!$C$13*Assumptions!$C$28^(DV$5-1))*$O244)),0)</f>
        <v>0</v>
      </c>
      <c r="DX244" s="26"/>
      <c r="DY244" s="399">
        <f>'Policy Data'!K218</f>
        <v>2</v>
      </c>
      <c r="DZ244" s="100">
        <f>'Policy Data'!L218</f>
        <v>0.80579999999999996</v>
      </c>
      <c r="EA244" s="100">
        <f>'Policy Data'!N218</f>
        <v>9.4499999999999998E-4</v>
      </c>
      <c r="EB244" s="93" cm="1">
        <f t="array" ref="EB244">IFERROR(DZ244*INDEX(Mortality!$B$4:$E$64,MATCH(D244+DY244-1,Mortality!$A$4:$A$64,0),U244)*V244,0)</f>
        <v>1.0233214577504751E-3</v>
      </c>
      <c r="EC244" s="100">
        <f>'Policy Data'!O218</f>
        <v>0</v>
      </c>
      <c r="ED244" s="400">
        <f>'Policy Data'!Q218</f>
        <v>0</v>
      </c>
    </row>
    <row r="245" spans="1:134" x14ac:dyDescent="0.3">
      <c r="A245" s="399" t="str">
        <f>'Policy Data'!A219</f>
        <v>POL100215</v>
      </c>
      <c r="B245" s="26" t="s">
        <v>426</v>
      </c>
      <c r="C245" s="100" t="str">
        <f>'Policy Data'!B219</f>
        <v>Term Life</v>
      </c>
      <c r="D245" s="100">
        <f>'Policy Data'!C219</f>
        <v>59</v>
      </c>
      <c r="E245" s="100" t="str">
        <f>'Policy Data'!D219</f>
        <v>Female</v>
      </c>
      <c r="F245" s="100" t="str">
        <f>'Policy Data'!E219</f>
        <v>Non-smoker</v>
      </c>
      <c r="G245" s="100" t="str">
        <f>'Policy Data'!F219</f>
        <v>Standard</v>
      </c>
      <c r="H245" s="100">
        <f>'Policy Data'!G219</f>
        <v>15</v>
      </c>
      <c r="I245" s="279">
        <f>'Policy Data'!H219</f>
        <v>500000</v>
      </c>
      <c r="J245" s="100" t="str">
        <f>'Policy Data'!I219</f>
        <v>Monthly</v>
      </c>
      <c r="K245" s="100" t="str">
        <f>'Policy Data'!J219</f>
        <v>Broker</v>
      </c>
      <c r="L245" s="26" t="s">
        <v>389</v>
      </c>
      <c r="M245" s="106">
        <f>'Policy Data'!R219</f>
        <v>3051.4</v>
      </c>
      <c r="N245" s="415">
        <f>Assumptions!$C$21</f>
        <v>1</v>
      </c>
      <c r="O245" s="415">
        <f>Assumptions!$C$22</f>
        <v>1</v>
      </c>
      <c r="P245" s="415">
        <f>Assumptions!$C$23</f>
        <v>1</v>
      </c>
      <c r="Q245" s="416">
        <f>Assumptions!$C$24</f>
        <v>0</v>
      </c>
      <c r="R245" s="416">
        <f>Assumptions!$C$6+Assumptions!$C$25</f>
        <v>3.5000000000000003E-2</v>
      </c>
      <c r="S245" s="416">
        <f>Assumptions!$C$15</f>
        <v>1.1000000000000001E-3</v>
      </c>
      <c r="T245" s="26">
        <f t="shared" si="72"/>
        <v>1</v>
      </c>
      <c r="U245" s="26">
        <f t="shared" si="73"/>
        <v>1</v>
      </c>
      <c r="V245" s="389">
        <f>IF($G245="Preferred",Assumptions!$C$30,IF($G245="Rated",Assumptions!$C$31,1))</f>
        <v>1</v>
      </c>
      <c r="W245" s="390">
        <f>IF($K245="Direct",Assumptions!$C$32,IF($K245="Broker",Assumptions!$C$33,IF($K245="Bancassurance",Assumptions!$C$34,Assumptions!$C$11)))+$Q245</f>
        <v>0.25</v>
      </c>
      <c r="X245" s="390">
        <f>Assumptions!$C$12+$Q245</f>
        <v>0.05</v>
      </c>
      <c r="Y245" s="131">
        <f>MIN($I245,Assumptions!$C$14)</f>
        <v>500000</v>
      </c>
      <c r="Z245" s="131">
        <f>MAX($I245-Assumptions!$C$14,0)</f>
        <v>0</v>
      </c>
      <c r="AA245" s="389">
        <f t="shared" si="74"/>
        <v>7.2295487258462421</v>
      </c>
      <c r="AB245" s="389">
        <f t="shared" si="75"/>
        <v>4.5490066520792308E-2</v>
      </c>
      <c r="AC245" s="389">
        <f>IF($T245=1,SUMPRODUCT($CJ245:$DW245,(1+Assumptions!$C$5)^($CJ$5:$DW$5-1),(1+$R245)^(-$CJ$5:$DW$5)),0)</f>
        <v>9.0109820608392059</v>
      </c>
      <c r="AD245" s="389">
        <f t="shared" si="76"/>
        <v>0.55471415126815748</v>
      </c>
      <c r="AE245" s="131">
        <f>IF($T245=1,$AB245*$Y245+(Assumptions!$C$9/(1+$R245)+Assumptions!$C$10*$AC245)*$P245+$S245*$Z245*$AA245,0)</f>
        <v>25597.014531172084</v>
      </c>
      <c r="AF245" s="131">
        <f>IF($T245=1,IF($AA245-$AD245-Assumptions!$C$16*$AA245&gt;0,$AE245/($AA245-$AD245-Assumptions!$C$16*$AA245)*IF($J245="Monthly",1+Assumptions!$C$29,1),"n.a."),"")</f>
        <v>4324.6209759838475</v>
      </c>
      <c r="AG245" s="131">
        <f t="shared" si="77"/>
        <v>3051.4</v>
      </c>
      <c r="AH245" s="131">
        <f t="shared" si="78"/>
        <v>22060.244982047225</v>
      </c>
      <c r="AI245" s="131">
        <f t="shared" si="79"/>
        <v>-5229.4243103045155</v>
      </c>
      <c r="AJ245" s="390">
        <f t="shared" si="80"/>
        <v>-0.23705195996509812</v>
      </c>
      <c r="AK245" s="389">
        <f t="shared" si="81"/>
        <v>0.70558784618247594</v>
      </c>
      <c r="AL245" s="131">
        <f t="shared" si="82"/>
        <v>0</v>
      </c>
      <c r="AM245" s="131">
        <f t="shared" si="83"/>
        <v>0</v>
      </c>
      <c r="AN245" s="131">
        <f t="shared" si="84"/>
        <v>0</v>
      </c>
      <c r="AO245" s="131">
        <f t="shared" si="85"/>
        <v>-5229.4243103045155</v>
      </c>
      <c r="AP245" s="26" t="str">
        <f t="shared" si="86"/>
        <v>50-59</v>
      </c>
      <c r="AQ245" s="26" t="str">
        <f t="shared" si="87"/>
        <v>250k-500k</v>
      </c>
      <c r="AR245" s="26" t="str">
        <f>IF($T245=1,IF($AI245&lt;0,"Loss-making",IF($AJ245&lt;Assumptions!$C$16-0.00001,"Below target","At/above target")),"Excluded")</f>
        <v>Loss-making</v>
      </c>
      <c r="AS245" s="103">
        <f t="shared" si="88"/>
        <v>-5229.4240653045154</v>
      </c>
      <c r="AT245" s="26"/>
      <c r="AU245" s="419">
        <f>IF(AND($T245=1,AU$5&lt;=$H245),INDEX(Mortality!$B$4:$E$64,MATCH($D245+AU$5-1,Mortality!$A$4:$A$64,0),$U245)*$V245*$N245,0)</f>
        <v>3.8921954220730499E-3</v>
      </c>
      <c r="AV245" s="93">
        <f>IF(AND($T245=1,AV$5&lt;=$H245),INDEX(Mortality!$B$4:$E$64,MATCH($D245+AV$5-1,Mortality!$A$4:$A$64,0),$U245)*$V245*$N245,0)</f>
        <v>4.2163649655954103E-3</v>
      </c>
      <c r="AW245" s="93">
        <f>IF(AND($T245=1,AW$5&lt;=$H245),INDEX(Mortality!$B$4:$E$64,MATCH($D245+AW$5-1,Mortality!$A$4:$A$64,0),$U245)*$V245*$N245,0)</f>
        <v>4.5675336398272801E-3</v>
      </c>
      <c r="AX245" s="93">
        <f>IF(AND($T245=1,AX$5&lt;=$H245),INDEX(Mortality!$B$4:$E$64,MATCH($D245+AX$5-1,Mortality!$A$4:$A$64,0),$U245)*$V245*$N245,0)</f>
        <v>4.9479501231952296E-3</v>
      </c>
      <c r="AY245" s="93">
        <f>IF(AND($T245=1,AY$5&lt;=$H245),INDEX(Mortality!$B$4:$E$64,MATCH($D245+AY$5-1,Mortality!$A$4:$A$64,0),$U245)*$V245*$N245,0)</f>
        <v>5.36005037995811E-3</v>
      </c>
      <c r="AZ245" s="93">
        <f>IF(AND($T245=1,AZ$5&lt;=$H245),INDEX(Mortality!$B$4:$E$64,MATCH($D245+AZ$5-1,Mortality!$A$4:$A$64,0),$U245)*$V245*$N245,0)</f>
        <v>5.8064732586948697E-3</v>
      </c>
      <c r="BA245" s="93">
        <f>IF(AND($T245=1,BA$5&lt;=$H245),INDEX(Mortality!$B$4:$E$64,MATCH($D245+BA$5-1,Mortality!$A$4:$A$64,0),$U245)*$V245*$N245,0)</f>
        <v>6.2900773899446198E-3</v>
      </c>
      <c r="BB245" s="93">
        <f>IF(AND($T245=1,BB$5&lt;=$H245),INDEX(Mortality!$B$4:$E$64,MATCH($D245+BB$5-1,Mortality!$A$4:$A$64,0),$U245)*$V245*$N245,0)</f>
        <v>6.8139594912016701E-3</v>
      </c>
      <c r="BC245" s="93">
        <f>IF(AND($T245=1,BC$5&lt;=$H245),INDEX(Mortality!$B$4:$E$64,MATCH($D245+BC$5-1,Mortality!$A$4:$A$64,0),$U245)*$V245*$N245,0)</f>
        <v>7.3814741964798002E-3</v>
      </c>
      <c r="BD245" s="93">
        <f>IF(AND($T245=1,BD$5&lt;=$H245),INDEX(Mortality!$B$4:$E$64,MATCH($D245+BD$5-1,Mortality!$A$4:$A$64,0),$U245)*$V245*$N245,0)</f>
        <v>7.9962555374229801E-3</v>
      </c>
      <c r="BE245" s="93">
        <f>IF(AND($T245=1,BE$5&lt;=$H245),INDEX(Mortality!$B$4:$E$64,MATCH($D245+BE$5-1,Mortality!$A$4:$A$64,0),$U245)*$V245*$N245,0)</f>
        <v>8.6622402135145896E-3</v>
      </c>
      <c r="BF245" s="93">
        <f>IF(AND($T245=1,BF$5&lt;=$H245),INDEX(Mortality!$B$4:$E$64,MATCH($D245+BF$5-1,Mortality!$A$4:$A$64,0),$U245)*$V245*$N245,0)</f>
        <v>9.3836928003943297E-3</v>
      </c>
      <c r="BG245" s="93">
        <f>IF(AND($T245=1,BG$5&lt;=$H245),INDEX(Mortality!$B$4:$E$64,MATCH($D245+BG$5-1,Mortality!$A$4:$A$64,0),$U245)*$V245*$N245,0)</f>
        <v>1.0165233057701799E-2</v>
      </c>
      <c r="BH245" s="93">
        <f>IF(AND($T245=1,BH$5&lt;=$H245),INDEX(Mortality!$B$4:$E$64,MATCH($D245+BH$5-1,Mortality!$A$4:$A$64,0),$U245)*$V245*$N245,0)</f>
        <v>1.1011865511310301E-2</v>
      </c>
      <c r="BI245" s="93">
        <f>IF(AND($T245=1,BI$5&lt;=$H245),INDEX(Mortality!$B$4:$E$64,MATCH($D245+BI$5-1,Mortality!$A$4:$A$64,0),$U245)*$V245*$N245,0)</f>
        <v>1.19290114993784E-2</v>
      </c>
      <c r="BJ245" s="93">
        <f>IF(AND($T245=1,BJ$5&lt;=$H245),INDEX(Mortality!$B$4:$E$64,MATCH($D245+BJ$5-1,Mortality!$A$4:$A$64,0),$U245)*$V245*$N245,0)</f>
        <v>0</v>
      </c>
      <c r="BK245" s="93">
        <f>IF(AND($T245=1,BK$5&lt;=$H245),INDEX(Mortality!$B$4:$E$64,MATCH($D245+BK$5-1,Mortality!$A$4:$A$64,0),$U245)*$V245*$N245,0)</f>
        <v>0</v>
      </c>
      <c r="BL245" s="93">
        <f>IF(AND($T245=1,BL$5&lt;=$H245),INDEX(Mortality!$B$4:$E$64,MATCH($D245+BL$5-1,Mortality!$A$4:$A$64,0),$U245)*$V245*$N245,0)</f>
        <v>0</v>
      </c>
      <c r="BM245" s="93">
        <f>IF(AND($T245=1,BM$5&lt;=$H245),INDEX(Mortality!$B$4:$E$64,MATCH($D245+BM$5-1,Mortality!$A$4:$A$64,0),$U245)*$V245*$N245,0)</f>
        <v>0</v>
      </c>
      <c r="BN245" s="93">
        <f>IF(AND($T245=1,BN$5&lt;=$H245),INDEX(Mortality!$B$4:$E$64,MATCH($D245+BN$5-1,Mortality!$A$4:$A$64,0),$U245)*$V245*$N245,0)</f>
        <v>0</v>
      </c>
      <c r="BO245" s="93">
        <f>IF(AND($T245=1,BO$5&lt;=$H245),INDEX(Mortality!$B$4:$E$64,MATCH($D245+BO$5-1,Mortality!$A$4:$A$64,0),$U245)*$V245*$N245,0)</f>
        <v>0</v>
      </c>
      <c r="BP245" s="93">
        <f>IF(AND($T245=1,BP$5&lt;=$H245),INDEX(Mortality!$B$4:$E$64,MATCH($D245+BP$5-1,Mortality!$A$4:$A$64,0),$U245)*$V245*$N245,0)</f>
        <v>0</v>
      </c>
      <c r="BQ245" s="93">
        <f>IF(AND($T245=1,BQ$5&lt;=$H245),INDEX(Mortality!$B$4:$E$64,MATCH($D245+BQ$5-1,Mortality!$A$4:$A$64,0),$U245)*$V245*$N245,0)</f>
        <v>0</v>
      </c>
      <c r="BR245" s="93">
        <f>IF(AND($T245=1,BR$5&lt;=$H245),INDEX(Mortality!$B$4:$E$64,MATCH($D245+BR$5-1,Mortality!$A$4:$A$64,0),$U245)*$V245*$N245,0)</f>
        <v>0</v>
      </c>
      <c r="BS245" s="93">
        <f>IF(AND($T245=1,BS$5&lt;=$H245),INDEX(Mortality!$B$4:$E$64,MATCH($D245+BS$5-1,Mortality!$A$4:$A$64,0),$U245)*$V245*$N245,0)</f>
        <v>0</v>
      </c>
      <c r="BT245" s="93">
        <f>IF(AND($T245=1,BT$5&lt;=$H245),INDEX(Mortality!$B$4:$E$64,MATCH($D245+BT$5-1,Mortality!$A$4:$A$64,0),$U245)*$V245*$N245,0)</f>
        <v>0</v>
      </c>
      <c r="BU245" s="93">
        <f>IF(AND($T245=1,BU$5&lt;=$H245),INDEX(Mortality!$B$4:$E$64,MATCH($D245+BU$5-1,Mortality!$A$4:$A$64,0),$U245)*$V245*$N245,0)</f>
        <v>0</v>
      </c>
      <c r="BV245" s="93">
        <f>IF(AND($T245=1,BV$5&lt;=$H245),INDEX(Mortality!$B$4:$E$64,MATCH($D245+BV$5-1,Mortality!$A$4:$A$64,0),$U245)*$V245*$N245,0)</f>
        <v>0</v>
      </c>
      <c r="BW245" s="93">
        <f>IF(AND($T245=1,BW$5&lt;=$H245),INDEX(Mortality!$B$4:$E$64,MATCH($D245+BW$5-1,Mortality!$A$4:$A$64,0),$U245)*$V245*$N245,0)</f>
        <v>0</v>
      </c>
      <c r="BX245" s="93">
        <f>IF(AND($T245=1,BX$5&lt;=$H245),INDEX(Mortality!$B$4:$E$64,MATCH($D245+BX$5-1,Mortality!$A$4:$A$64,0),$U245)*$V245*$N245,0)</f>
        <v>0</v>
      </c>
      <c r="BY245" s="93">
        <f>IF(AND($T245=1,BY$5&lt;=$H245),INDEX(Mortality!$B$4:$E$64,MATCH($D245+BY$5-1,Mortality!$A$4:$A$64,0),$U245)*$V245*$N245,0)</f>
        <v>0</v>
      </c>
      <c r="BZ245" s="93">
        <f>IF(AND($T245=1,BZ$5&lt;=$H245),INDEX(Mortality!$B$4:$E$64,MATCH($D245+BZ$5-1,Mortality!$A$4:$A$64,0),$U245)*$V245*$N245,0)</f>
        <v>0</v>
      </c>
      <c r="CA245" s="93">
        <f>IF(AND($T245=1,CA$5&lt;=$H245),INDEX(Mortality!$B$4:$E$64,MATCH($D245+CA$5-1,Mortality!$A$4:$A$64,0),$U245)*$V245*$N245,0)</f>
        <v>0</v>
      </c>
      <c r="CB245" s="93">
        <f>IF(AND($T245=1,CB$5&lt;=$H245),INDEX(Mortality!$B$4:$E$64,MATCH($D245+CB$5-1,Mortality!$A$4:$A$64,0),$U245)*$V245*$N245,0)</f>
        <v>0</v>
      </c>
      <c r="CC245" s="93">
        <f>IF(AND($T245=1,CC$5&lt;=$H245),INDEX(Mortality!$B$4:$E$64,MATCH($D245+CC$5-1,Mortality!$A$4:$A$64,0),$U245)*$V245*$N245,0)</f>
        <v>0</v>
      </c>
      <c r="CD245" s="93">
        <f>IF(AND($T245=1,CD$5&lt;=$H245),INDEX(Mortality!$B$4:$E$64,MATCH($D245+CD$5-1,Mortality!$A$4:$A$64,0),$U245)*$V245*$N245,0)</f>
        <v>0</v>
      </c>
      <c r="CE245" s="93">
        <f>IF(AND($T245=1,CE$5&lt;=$H245),INDEX(Mortality!$B$4:$E$64,MATCH($D245+CE$5-1,Mortality!$A$4:$A$64,0),$U245)*$V245*$N245,0)</f>
        <v>0</v>
      </c>
      <c r="CF245" s="93">
        <f>IF(AND($T245=1,CF$5&lt;=$H245),INDEX(Mortality!$B$4:$E$64,MATCH($D245+CF$5-1,Mortality!$A$4:$A$64,0),$U245)*$V245*$N245,0)</f>
        <v>0</v>
      </c>
      <c r="CG245" s="93">
        <f>IF(AND($T245=1,CG$5&lt;=$H245),INDEX(Mortality!$B$4:$E$64,MATCH($D245+CG$5-1,Mortality!$A$4:$A$64,0),$U245)*$V245*$N245,0)</f>
        <v>0</v>
      </c>
      <c r="CH245" s="94">
        <f>IF(AND($T245=1,CH$5&lt;=$H245),INDEX(Mortality!$B$4:$E$64,MATCH($D245+CH$5-1,Mortality!$A$4:$A$64,0),$U245)*$V245*$N245,0)</f>
        <v>0</v>
      </c>
      <c r="CI245" s="26"/>
      <c r="CJ245" s="419">
        <f t="shared" si="89"/>
        <v>1</v>
      </c>
      <c r="CK245" s="93">
        <f>IF(AND($T245=1,CK$5&lt;=$H245),CJ245*(1-AU245)*(1-MIN(1,MAX(Assumptions!$C$27,Assumptions!$C$13*Assumptions!$C$28^(CJ$5-1))*$O245)),0)</f>
        <v>0.87657486802857565</v>
      </c>
      <c r="CL245" s="93">
        <f>IF(AND($T245=1,CL$5&lt;=$H245),CK245*(1-AV245)*(1-MIN(1,MAX(Assumptions!$C$27,Assumptions!$C$13*Assumptions!$C$28^(CK$5-1))*$O245)),0)</f>
        <v>0.78384525980183817</v>
      </c>
      <c r="CM245" s="93">
        <f>IF(AND($T245=1,CM$5&lt;=$H245),CL245*(1-AW245)*(1-MIN(1,MAX(Assumptions!$C$27,Assumptions!$C$13*Assumptions!$C$28^(CL$5-1))*$O245)),0)</f>
        <v>0.7126160429571301</v>
      </c>
      <c r="CN245" s="93">
        <f>IF(AND($T245=1,CN$5&lt;=$H245),CM245*(1-AX245)*(1-MIN(1,MAX(Assumptions!$C$27,Assumptions!$C$13*Assumptions!$C$28^(CM$5-1))*$O245)),0)</f>
        <v>0.65683366276650734</v>
      </c>
      <c r="CO245" s="93">
        <f>IF(AND($T245=1,CO$5&lt;=$H245),CN245*(1-AY245)*(1-MIN(1,MAX(Assumptions!$C$27,Assumptions!$C$13*Assumptions!$C$28^(CN$5-1))*$O245)),0)</f>
        <v>0.61238898486022486</v>
      </c>
      <c r="CP245" s="93">
        <f>IF(AND($T245=1,CP$5&lt;=$H245),CO245*(1-AZ245)*(1-MIN(1,MAX(Assumptions!$C$27,Assumptions!$C$13*Assumptions!$C$28^(CO$5-1))*$O245)),0)</f>
        <v>0.576416063448838</v>
      </c>
      <c r="CQ245" s="93">
        <f>IF(AND($T245=1,CQ$5&lt;=$H245),CP245*(1-BA245)*(1-MIN(1,MAX(Assumptions!$C$27,Assumptions!$C$13*Assumptions!$C$28^(CP$5-1))*$O245)),0)</f>
        <v>0.54686704889999049</v>
      </c>
      <c r="CR245" s="93">
        <f>IF(AND($T245=1,CR$5&lt;=$H245),CQ245*(1-BB245)*(1-MIN(1,MAX(Assumptions!$C$27,Assumptions!$C$13*Assumptions!$C$28^(CQ$5-1))*$O245)),0)</f>
        <v>0.52224650255553584</v>
      </c>
      <c r="CS245" s="93">
        <f>IF(AND($T245=1,CS$5&lt;=$H245),CR245*(1-BC245)*(1-MIN(1,MAX(Assumptions!$C$27,Assumptions!$C$13*Assumptions!$C$28^(CR$5-1))*$O245)),0)</f>
        <v>0.50144073908292874</v>
      </c>
      <c r="CT245" s="93">
        <f>IF(AND($T245=1,CT$5&lt;=$H245),CS245*(1-BD245)*(1-MIN(1,MAX(Assumptions!$C$27,Assumptions!$C$13*Assumptions!$C$28^(CS$5-1))*$O245)),0)</f>
        <v>0.4836054743679587</v>
      </c>
      <c r="CU245" s="93">
        <f>IF(AND($T245=1,CU$5&lt;=$H245),CT245*(1-BE245)*(1-MIN(1,MAX(Assumptions!$C$27,Assumptions!$C$13*Assumptions!$C$28^(CT$5-1))*$O245)),0)</f>
        <v>0.46809019016458236</v>
      </c>
      <c r="CV245" s="93">
        <f>IF(AND($T245=1,CV$5&lt;=$H245),CU245*(1-BF245)*(1-MIN(1,MAX(Assumptions!$C$27,Assumptions!$C$13*Assumptions!$C$28^(CU$5-1))*$O245)),0)</f>
        <v>0.45438617283358684</v>
      </c>
      <c r="CW245" s="93">
        <f>IF(AND($T245=1,CW$5&lt;=$H245),CV245*(1-BG245)*(1-MIN(1,MAX(Assumptions!$C$27,Assumptions!$C$13*Assumptions!$C$28^(CV$5-1))*$O245)),0)</f>
        <v>0.4407718868587655</v>
      </c>
      <c r="CX245" s="93">
        <f>IF(AND($T245=1,CX$5&lt;=$H245),CW245*(1-BH245)*(1-MIN(1,MAX(Assumptions!$C$27,Assumptions!$C$13*Assumptions!$C$28^(CW$5-1))*$O245)),0)</f>
        <v>0.42719980279712005</v>
      </c>
      <c r="CY245" s="93">
        <f>IF(AND($T245=1,CY$5&lt;=$H245),CX245*(1-BI245)*(1-MIN(1,MAX(Assumptions!$C$27,Assumptions!$C$13*Assumptions!$C$28^(CX$5-1))*$O245)),0)</f>
        <v>0</v>
      </c>
      <c r="CZ245" s="93">
        <f>IF(AND($T245=1,CZ$5&lt;=$H245),CY245*(1-BJ245)*(1-MIN(1,MAX(Assumptions!$C$27,Assumptions!$C$13*Assumptions!$C$28^(CY$5-1))*$O245)),0)</f>
        <v>0</v>
      </c>
      <c r="DA245" s="93">
        <f>IF(AND($T245=1,DA$5&lt;=$H245),CZ245*(1-BK245)*(1-MIN(1,MAX(Assumptions!$C$27,Assumptions!$C$13*Assumptions!$C$28^(CZ$5-1))*$O245)),0)</f>
        <v>0</v>
      </c>
      <c r="DB245" s="93">
        <f>IF(AND($T245=1,DB$5&lt;=$H245),DA245*(1-BL245)*(1-MIN(1,MAX(Assumptions!$C$27,Assumptions!$C$13*Assumptions!$C$28^(DA$5-1))*$O245)),0)</f>
        <v>0</v>
      </c>
      <c r="DC245" s="93">
        <f>IF(AND($T245=1,DC$5&lt;=$H245),DB245*(1-BM245)*(1-MIN(1,MAX(Assumptions!$C$27,Assumptions!$C$13*Assumptions!$C$28^(DB$5-1))*$O245)),0)</f>
        <v>0</v>
      </c>
      <c r="DD245" s="93">
        <f>IF(AND($T245=1,DD$5&lt;=$H245),DC245*(1-BN245)*(1-MIN(1,MAX(Assumptions!$C$27,Assumptions!$C$13*Assumptions!$C$28^(DC$5-1))*$O245)),0)</f>
        <v>0</v>
      </c>
      <c r="DE245" s="93">
        <f>IF(AND($T245=1,DE$5&lt;=$H245),DD245*(1-BO245)*(1-MIN(1,MAX(Assumptions!$C$27,Assumptions!$C$13*Assumptions!$C$28^(DD$5-1))*$O245)),0)</f>
        <v>0</v>
      </c>
      <c r="DF245" s="93">
        <f>IF(AND($T245=1,DF$5&lt;=$H245),DE245*(1-BP245)*(1-MIN(1,MAX(Assumptions!$C$27,Assumptions!$C$13*Assumptions!$C$28^(DE$5-1))*$O245)),0)</f>
        <v>0</v>
      </c>
      <c r="DG245" s="93">
        <f>IF(AND($T245=1,DG$5&lt;=$H245),DF245*(1-BQ245)*(1-MIN(1,MAX(Assumptions!$C$27,Assumptions!$C$13*Assumptions!$C$28^(DF$5-1))*$O245)),0)</f>
        <v>0</v>
      </c>
      <c r="DH245" s="93">
        <f>IF(AND($T245=1,DH$5&lt;=$H245),DG245*(1-BR245)*(1-MIN(1,MAX(Assumptions!$C$27,Assumptions!$C$13*Assumptions!$C$28^(DG$5-1))*$O245)),0)</f>
        <v>0</v>
      </c>
      <c r="DI245" s="93">
        <f>IF(AND($T245=1,DI$5&lt;=$H245),DH245*(1-BS245)*(1-MIN(1,MAX(Assumptions!$C$27,Assumptions!$C$13*Assumptions!$C$28^(DH$5-1))*$O245)),0)</f>
        <v>0</v>
      </c>
      <c r="DJ245" s="93">
        <f>IF(AND($T245=1,DJ$5&lt;=$H245),DI245*(1-BT245)*(1-MIN(1,MAX(Assumptions!$C$27,Assumptions!$C$13*Assumptions!$C$28^(DI$5-1))*$O245)),0)</f>
        <v>0</v>
      </c>
      <c r="DK245" s="93">
        <f>IF(AND($T245=1,DK$5&lt;=$H245),DJ245*(1-BU245)*(1-MIN(1,MAX(Assumptions!$C$27,Assumptions!$C$13*Assumptions!$C$28^(DJ$5-1))*$O245)),0)</f>
        <v>0</v>
      </c>
      <c r="DL245" s="93">
        <f>IF(AND($T245=1,DL$5&lt;=$H245),DK245*(1-BV245)*(1-MIN(1,MAX(Assumptions!$C$27,Assumptions!$C$13*Assumptions!$C$28^(DK$5-1))*$O245)),0)</f>
        <v>0</v>
      </c>
      <c r="DM245" s="93">
        <f>IF(AND($T245=1,DM$5&lt;=$H245),DL245*(1-BW245)*(1-MIN(1,MAX(Assumptions!$C$27,Assumptions!$C$13*Assumptions!$C$28^(DL$5-1))*$O245)),0)</f>
        <v>0</v>
      </c>
      <c r="DN245" s="93">
        <f>IF(AND($T245=1,DN$5&lt;=$H245),DM245*(1-BX245)*(1-MIN(1,MAX(Assumptions!$C$27,Assumptions!$C$13*Assumptions!$C$28^(DM$5-1))*$O245)),0)</f>
        <v>0</v>
      </c>
      <c r="DO245" s="93">
        <f>IF(AND($T245=1,DO$5&lt;=$H245),DN245*(1-BY245)*(1-MIN(1,MAX(Assumptions!$C$27,Assumptions!$C$13*Assumptions!$C$28^(DN$5-1))*$O245)),0)</f>
        <v>0</v>
      </c>
      <c r="DP245" s="93">
        <f>IF(AND($T245=1,DP$5&lt;=$H245),DO245*(1-BZ245)*(1-MIN(1,MAX(Assumptions!$C$27,Assumptions!$C$13*Assumptions!$C$28^(DO$5-1))*$O245)),0)</f>
        <v>0</v>
      </c>
      <c r="DQ245" s="93">
        <f>IF(AND($T245=1,DQ$5&lt;=$H245),DP245*(1-CA245)*(1-MIN(1,MAX(Assumptions!$C$27,Assumptions!$C$13*Assumptions!$C$28^(DP$5-1))*$O245)),0)</f>
        <v>0</v>
      </c>
      <c r="DR245" s="93">
        <f>IF(AND($T245=1,DR$5&lt;=$H245),DQ245*(1-CB245)*(1-MIN(1,MAX(Assumptions!$C$27,Assumptions!$C$13*Assumptions!$C$28^(DQ$5-1))*$O245)),0)</f>
        <v>0</v>
      </c>
      <c r="DS245" s="93">
        <f>IF(AND($T245=1,DS$5&lt;=$H245),DR245*(1-CC245)*(1-MIN(1,MAX(Assumptions!$C$27,Assumptions!$C$13*Assumptions!$C$28^(DR$5-1))*$O245)),0)</f>
        <v>0</v>
      </c>
      <c r="DT245" s="93">
        <f>IF(AND($T245=1,DT$5&lt;=$H245),DS245*(1-CD245)*(1-MIN(1,MAX(Assumptions!$C$27,Assumptions!$C$13*Assumptions!$C$28^(DS$5-1))*$O245)),0)</f>
        <v>0</v>
      </c>
      <c r="DU245" s="93">
        <f>IF(AND($T245=1,DU$5&lt;=$H245),DT245*(1-CE245)*(1-MIN(1,MAX(Assumptions!$C$27,Assumptions!$C$13*Assumptions!$C$28^(DT$5-1))*$O245)),0)</f>
        <v>0</v>
      </c>
      <c r="DV245" s="93">
        <f>IF(AND($T245=1,DV$5&lt;=$H245),DU245*(1-CF245)*(1-MIN(1,MAX(Assumptions!$C$27,Assumptions!$C$13*Assumptions!$C$28^(DU$5-1))*$O245)),0)</f>
        <v>0</v>
      </c>
      <c r="DW245" s="94">
        <f>IF(AND($T245=1,DW$5&lt;=$H245),DV245*(1-CG245)*(1-MIN(1,MAX(Assumptions!$C$27,Assumptions!$C$13*Assumptions!$C$28^(DV$5-1))*$O245)),0)</f>
        <v>0</v>
      </c>
      <c r="DX245" s="26"/>
      <c r="DY245" s="399">
        <f>'Policy Data'!K219</f>
        <v>5</v>
      </c>
      <c r="DZ245" s="100">
        <f>'Policy Data'!L219</f>
        <v>0.78879999999999995</v>
      </c>
      <c r="EA245" s="100">
        <f>'Policy Data'!N219</f>
        <v>3.0699999999999998E-3</v>
      </c>
      <c r="EB245" s="93" cm="1">
        <f t="array" ref="EB245">IFERROR(DZ245*INDEX(Mortality!$B$4:$E$64,MATCH(D245+DY245-1,Mortality!$A$4:$A$64,0),U245)*V245,0)</f>
        <v>4.2280077397109572E-3</v>
      </c>
      <c r="EC245" s="100">
        <f>'Policy Data'!O219</f>
        <v>0</v>
      </c>
      <c r="ED245" s="400">
        <f>'Policy Data'!Q219</f>
        <v>0</v>
      </c>
    </row>
    <row r="246" spans="1:134" x14ac:dyDescent="0.3">
      <c r="A246" s="399" t="str">
        <f>'Policy Data'!A220</f>
        <v>POL100216</v>
      </c>
      <c r="B246" s="26" t="s">
        <v>426</v>
      </c>
      <c r="C246" s="100" t="str">
        <f>'Policy Data'!B220</f>
        <v>Term Life</v>
      </c>
      <c r="D246" s="100">
        <f>'Policy Data'!C220</f>
        <v>50</v>
      </c>
      <c r="E246" s="100" t="str">
        <f>'Policy Data'!D220</f>
        <v>Male</v>
      </c>
      <c r="F246" s="100" t="str">
        <f>'Policy Data'!E220</f>
        <v>Non-smoker</v>
      </c>
      <c r="G246" s="100" t="str">
        <f>'Policy Data'!F220</f>
        <v>Standard</v>
      </c>
      <c r="H246" s="100">
        <f>'Policy Data'!G220</f>
        <v>15</v>
      </c>
      <c r="I246" s="279">
        <f>'Policy Data'!H220</f>
        <v>500000</v>
      </c>
      <c r="J246" s="100" t="str">
        <f>'Policy Data'!I220</f>
        <v>Monthly</v>
      </c>
      <c r="K246" s="100" t="str">
        <f>'Policy Data'!J220</f>
        <v>Direct</v>
      </c>
      <c r="L246" s="26" t="s">
        <v>389</v>
      </c>
      <c r="M246" s="106">
        <f>'Policy Data'!R220</f>
        <v>2267.2800000000002</v>
      </c>
      <c r="N246" s="415">
        <f>Assumptions!$C$21</f>
        <v>1</v>
      </c>
      <c r="O246" s="415">
        <f>Assumptions!$C$22</f>
        <v>1</v>
      </c>
      <c r="P246" s="415">
        <f>Assumptions!$C$23</f>
        <v>1</v>
      </c>
      <c r="Q246" s="416">
        <f>Assumptions!$C$24</f>
        <v>0</v>
      </c>
      <c r="R246" s="416">
        <f>Assumptions!$C$6+Assumptions!$C$25</f>
        <v>3.5000000000000003E-2</v>
      </c>
      <c r="S246" s="416">
        <f>Assumptions!$C$15</f>
        <v>1.1000000000000001E-3</v>
      </c>
      <c r="T246" s="26">
        <f t="shared" si="72"/>
        <v>1</v>
      </c>
      <c r="U246" s="26">
        <f t="shared" si="73"/>
        <v>3</v>
      </c>
      <c r="V246" s="389">
        <f>IF($G246="Preferred",Assumptions!$C$30,IF($G246="Rated",Assumptions!$C$31,1))</f>
        <v>1</v>
      </c>
      <c r="W246" s="390">
        <f>IF($K246="Direct",Assumptions!$C$32,IF($K246="Broker",Assumptions!$C$33,IF($K246="Bancassurance",Assumptions!$C$34,Assumptions!$C$11)))+$Q246</f>
        <v>0.1</v>
      </c>
      <c r="X246" s="390">
        <f>Assumptions!$C$12+$Q246</f>
        <v>0.05</v>
      </c>
      <c r="Y246" s="131">
        <f>MIN($I246,Assumptions!$C$14)</f>
        <v>500000</v>
      </c>
      <c r="Z246" s="131">
        <f>MAX($I246-Assumptions!$C$14,0)</f>
        <v>0</v>
      </c>
      <c r="AA246" s="389">
        <f t="shared" si="74"/>
        <v>7.3017166197516161</v>
      </c>
      <c r="AB246" s="389">
        <f t="shared" si="75"/>
        <v>3.0360705794273791E-2</v>
      </c>
      <c r="AC246" s="389">
        <f>IF($T246=1,SUMPRODUCT($CJ246:$DW246,(1+Assumptions!$C$5)^($CJ$5:$DW$5-1),(1+$R246)^(-$CJ$5:$DW$5)),0)</f>
        <v>9.1157485844707793</v>
      </c>
      <c r="AD246" s="389">
        <f t="shared" si="76"/>
        <v>0.4133950097315422</v>
      </c>
      <c r="AE246" s="131">
        <f>IF($T246=1,$AB246*$Y246+(Assumptions!$C$9/(1+$R246)+Assumptions!$C$10*$AC246)*$P246+$S246*$Z246*$AA246,0)</f>
        <v>18055.382803111774</v>
      </c>
      <c r="AF246" s="131">
        <f>IF($T246=1,IF($AA246-$AD246-Assumptions!$C$16*$AA246&gt;0,$AE246/($AA246-$AD246-Assumptions!$C$16*$AA246)*IF($J246="Monthly",1+Assumptions!$C$29,1),"n.a."),"")</f>
        <v>2949.9525172362682</v>
      </c>
      <c r="AG246" s="131">
        <f t="shared" si="77"/>
        <v>2267.2800000000002</v>
      </c>
      <c r="AH246" s="131">
        <f t="shared" si="78"/>
        <v>16555.036057630445</v>
      </c>
      <c r="AI246" s="131">
        <f t="shared" si="79"/>
        <v>-2437.6289831454596</v>
      </c>
      <c r="AJ246" s="390">
        <f t="shared" si="80"/>
        <v>-0.14724395493067638</v>
      </c>
      <c r="AK246" s="389">
        <f t="shared" si="81"/>
        <v>0.76858186250541904</v>
      </c>
      <c r="AL246" s="131">
        <f t="shared" si="82"/>
        <v>0</v>
      </c>
      <c r="AM246" s="131">
        <f t="shared" si="83"/>
        <v>0</v>
      </c>
      <c r="AN246" s="131">
        <f t="shared" si="84"/>
        <v>0</v>
      </c>
      <c r="AO246" s="131">
        <f t="shared" si="85"/>
        <v>-2437.6289831454596</v>
      </c>
      <c r="AP246" s="26" t="str">
        <f t="shared" si="86"/>
        <v>50-59</v>
      </c>
      <c r="AQ246" s="26" t="str">
        <f t="shared" si="87"/>
        <v>250k-500k</v>
      </c>
      <c r="AR246" s="26" t="str">
        <f>IF($T246=1,IF($AI246&lt;0,"Loss-making",IF($AJ246&lt;Assumptions!$C$16-0.00001,"Below target","At/above target")),"Excluded")</f>
        <v>Loss-making</v>
      </c>
      <c r="AS246" s="103">
        <f t="shared" si="88"/>
        <v>-2437.6287371454596</v>
      </c>
      <c r="AT246" s="26"/>
      <c r="AU246" s="419">
        <f>IF(AND($T246=1,AU$5&lt;=$H246),INDEX(Mortality!$B$4:$E$64,MATCH($D246+AU$5-1,Mortality!$A$4:$A$64,0),$U246)*$V246*$N246,0)</f>
        <v>2.5631942796244698E-3</v>
      </c>
      <c r="AV246" s="93">
        <f>IF(AND($T246=1,AV$5&lt;=$H246),INDEX(Mortality!$B$4:$E$64,MATCH($D246+AV$5-1,Mortality!$A$4:$A$64,0),$U246)*$V246*$N246,0)</f>
        <v>2.7766752150556202E-3</v>
      </c>
      <c r="AW246" s="93">
        <f>IF(AND($T246=1,AW$5&lt;=$H246),INDEX(Mortality!$B$4:$E$64,MATCH($D246+AW$5-1,Mortality!$A$4:$A$64,0),$U246)*$V246*$N246,0)</f>
        <v>3.0079363516033399E-3</v>
      </c>
      <c r="AX246" s="93">
        <f>IF(AND($T246=1,AX$5&lt;=$H246),INDEX(Mortality!$B$4:$E$64,MATCH($D246+AX$5-1,Mortality!$A$4:$A$64,0),$U246)*$V246*$N246,0)</f>
        <v>3.2584585500813001E-3</v>
      </c>
      <c r="AY246" s="93">
        <f>IF(AND($T246=1,AY$5&lt;=$H246),INDEX(Mortality!$B$4:$E$64,MATCH($D246+AY$5-1,Mortality!$A$4:$A$64,0),$U246)*$V246*$N246,0)</f>
        <v>3.5298460078579601E-3</v>
      </c>
      <c r="AZ246" s="93">
        <f>IF(AND($T246=1,AZ$5&lt;=$H246),INDEX(Mortality!$B$4:$E$64,MATCH($D246+AZ$5-1,Mortality!$A$4:$A$64,0),$U246)*$V246*$N246,0)</f>
        <v>3.8238365311966099E-3</v>
      </c>
      <c r="BA246" s="93">
        <f>IF(AND($T246=1,BA$5&lt;=$H246),INDEX(Mortality!$B$4:$E$64,MATCH($D246+BA$5-1,Mortality!$A$4:$A$64,0),$U246)*$V246*$N246,0)</f>
        <v>4.1423126631483596E-3</v>
      </c>
      <c r="BB246" s="93">
        <f>IF(AND($T246=1,BB$5&lt;=$H246),INDEX(Mortality!$B$4:$E$64,MATCH($D246+BB$5-1,Mortality!$A$4:$A$64,0),$U246)*$V246*$N246,0)</f>
        <v>4.4873137382548398E-3</v>
      </c>
      <c r="BC246" s="93">
        <f>IF(AND($T246=1,BC$5&lt;=$H246),INDEX(Mortality!$B$4:$E$64,MATCH($D246+BC$5-1,Mortality!$A$4:$A$64,0),$U246)*$V246*$N246,0)</f>
        <v>4.8610489412516398E-3</v>
      </c>
      <c r="BD246" s="93">
        <f>IF(AND($T246=1,BD$5&lt;=$H246),INDEX(Mortality!$B$4:$E$64,MATCH($D246+BD$5-1,Mortality!$A$4:$A$64,0),$U246)*$V246*$N246,0)</f>
        <v>5.2659114533929498E-3</v>
      </c>
      <c r="BE246" s="93">
        <f>IF(AND($T246=1,BE$5&lt;=$H246),INDEX(Mortality!$B$4:$E$64,MATCH($D246+BE$5-1,Mortality!$A$4:$A$64,0),$U246)*$V246*$N246,0)</f>
        <v>5.7044937769820296E-3</v>
      </c>
      <c r="BF246" s="93">
        <f>IF(AND($T246=1,BF$5&lt;=$H246),INDEX(Mortality!$B$4:$E$64,MATCH($D246+BF$5-1,Mortality!$A$4:$A$64,0),$U246)*$V246*$N246,0)</f>
        <v>6.1796043362369098E-3</v>
      </c>
      <c r="BG246" s="93">
        <f>IF(AND($T246=1,BG$5&lt;=$H246),INDEX(Mortality!$B$4:$E$64,MATCH($D246+BG$5-1,Mortality!$A$4:$A$64,0),$U246)*$V246*$N246,0)</f>
        <v>6.6942854607935399E-3</v>
      </c>
      <c r="BH246" s="93">
        <f>IF(AND($T246=1,BH$5&lt;=$H246),INDEX(Mortality!$B$4:$E$64,MATCH($D246+BH$5-1,Mortality!$A$4:$A$64,0),$U246)*$V246*$N246,0)</f>
        <v>7.2518328670021504E-3</v>
      </c>
      <c r="BI246" s="93">
        <f>IF(AND($T246=1,BI$5&lt;=$H246),INDEX(Mortality!$B$4:$E$64,MATCH($D246+BI$5-1,Mortality!$A$4:$A$64,0),$U246)*$V246*$N246,0)</f>
        <v>7.8558167617636399E-3</v>
      </c>
      <c r="BJ246" s="93">
        <f>IF(AND($T246=1,BJ$5&lt;=$H246),INDEX(Mortality!$B$4:$E$64,MATCH($D246+BJ$5-1,Mortality!$A$4:$A$64,0),$U246)*$V246*$N246,0)</f>
        <v>0</v>
      </c>
      <c r="BK246" s="93">
        <f>IF(AND($T246=1,BK$5&lt;=$H246),INDEX(Mortality!$B$4:$E$64,MATCH($D246+BK$5-1,Mortality!$A$4:$A$64,0),$U246)*$V246*$N246,0)</f>
        <v>0</v>
      </c>
      <c r="BL246" s="93">
        <f>IF(AND($T246=1,BL$5&lt;=$H246),INDEX(Mortality!$B$4:$E$64,MATCH($D246+BL$5-1,Mortality!$A$4:$A$64,0),$U246)*$V246*$N246,0)</f>
        <v>0</v>
      </c>
      <c r="BM246" s="93">
        <f>IF(AND($T246=1,BM$5&lt;=$H246),INDEX(Mortality!$B$4:$E$64,MATCH($D246+BM$5-1,Mortality!$A$4:$A$64,0),$U246)*$V246*$N246,0)</f>
        <v>0</v>
      </c>
      <c r="BN246" s="93">
        <f>IF(AND($T246=1,BN$5&lt;=$H246),INDEX(Mortality!$B$4:$E$64,MATCH($D246+BN$5-1,Mortality!$A$4:$A$64,0),$U246)*$V246*$N246,0)</f>
        <v>0</v>
      </c>
      <c r="BO246" s="93">
        <f>IF(AND($T246=1,BO$5&lt;=$H246),INDEX(Mortality!$B$4:$E$64,MATCH($D246+BO$5-1,Mortality!$A$4:$A$64,0),$U246)*$V246*$N246,0)</f>
        <v>0</v>
      </c>
      <c r="BP246" s="93">
        <f>IF(AND($T246=1,BP$5&lt;=$H246),INDEX(Mortality!$B$4:$E$64,MATCH($D246+BP$5-1,Mortality!$A$4:$A$64,0),$U246)*$V246*$N246,0)</f>
        <v>0</v>
      </c>
      <c r="BQ246" s="93">
        <f>IF(AND($T246=1,BQ$5&lt;=$H246),INDEX(Mortality!$B$4:$E$64,MATCH($D246+BQ$5-1,Mortality!$A$4:$A$64,0),$U246)*$V246*$N246,0)</f>
        <v>0</v>
      </c>
      <c r="BR246" s="93">
        <f>IF(AND($T246=1,BR$5&lt;=$H246),INDEX(Mortality!$B$4:$E$64,MATCH($D246+BR$5-1,Mortality!$A$4:$A$64,0),$U246)*$V246*$N246,0)</f>
        <v>0</v>
      </c>
      <c r="BS246" s="93">
        <f>IF(AND($T246=1,BS$5&lt;=$H246),INDEX(Mortality!$B$4:$E$64,MATCH($D246+BS$5-1,Mortality!$A$4:$A$64,0),$U246)*$V246*$N246,0)</f>
        <v>0</v>
      </c>
      <c r="BT246" s="93">
        <f>IF(AND($T246=1,BT$5&lt;=$H246),INDEX(Mortality!$B$4:$E$64,MATCH($D246+BT$5-1,Mortality!$A$4:$A$64,0),$U246)*$V246*$N246,0)</f>
        <v>0</v>
      </c>
      <c r="BU246" s="93">
        <f>IF(AND($T246=1,BU$5&lt;=$H246),INDEX(Mortality!$B$4:$E$64,MATCH($D246+BU$5-1,Mortality!$A$4:$A$64,0),$U246)*$V246*$N246,0)</f>
        <v>0</v>
      </c>
      <c r="BV246" s="93">
        <f>IF(AND($T246=1,BV$5&lt;=$H246),INDEX(Mortality!$B$4:$E$64,MATCH($D246+BV$5-1,Mortality!$A$4:$A$64,0),$U246)*$V246*$N246,0)</f>
        <v>0</v>
      </c>
      <c r="BW246" s="93">
        <f>IF(AND($T246=1,BW$5&lt;=$H246),INDEX(Mortality!$B$4:$E$64,MATCH($D246+BW$5-1,Mortality!$A$4:$A$64,0),$U246)*$V246*$N246,0)</f>
        <v>0</v>
      </c>
      <c r="BX246" s="93">
        <f>IF(AND($T246=1,BX$5&lt;=$H246),INDEX(Mortality!$B$4:$E$64,MATCH($D246+BX$5-1,Mortality!$A$4:$A$64,0),$U246)*$V246*$N246,0)</f>
        <v>0</v>
      </c>
      <c r="BY246" s="93">
        <f>IF(AND($T246=1,BY$5&lt;=$H246),INDEX(Mortality!$B$4:$E$64,MATCH($D246+BY$5-1,Mortality!$A$4:$A$64,0),$U246)*$V246*$N246,0)</f>
        <v>0</v>
      </c>
      <c r="BZ246" s="93">
        <f>IF(AND($T246=1,BZ$5&lt;=$H246),INDEX(Mortality!$B$4:$E$64,MATCH($D246+BZ$5-1,Mortality!$A$4:$A$64,0),$U246)*$V246*$N246,0)</f>
        <v>0</v>
      </c>
      <c r="CA246" s="93">
        <f>IF(AND($T246=1,CA$5&lt;=$H246),INDEX(Mortality!$B$4:$E$64,MATCH($D246+CA$5-1,Mortality!$A$4:$A$64,0),$U246)*$V246*$N246,0)</f>
        <v>0</v>
      </c>
      <c r="CB246" s="93">
        <f>IF(AND($T246=1,CB$5&lt;=$H246),INDEX(Mortality!$B$4:$E$64,MATCH($D246+CB$5-1,Mortality!$A$4:$A$64,0),$U246)*$V246*$N246,0)</f>
        <v>0</v>
      </c>
      <c r="CC246" s="93">
        <f>IF(AND($T246=1,CC$5&lt;=$H246),INDEX(Mortality!$B$4:$E$64,MATCH($D246+CC$5-1,Mortality!$A$4:$A$64,0),$U246)*$V246*$N246,0)</f>
        <v>0</v>
      </c>
      <c r="CD246" s="93">
        <f>IF(AND($T246=1,CD$5&lt;=$H246),INDEX(Mortality!$B$4:$E$64,MATCH($D246+CD$5-1,Mortality!$A$4:$A$64,0),$U246)*$V246*$N246,0)</f>
        <v>0</v>
      </c>
      <c r="CE246" s="93">
        <f>IF(AND($T246=1,CE$5&lt;=$H246),INDEX(Mortality!$B$4:$E$64,MATCH($D246+CE$5-1,Mortality!$A$4:$A$64,0),$U246)*$V246*$N246,0)</f>
        <v>0</v>
      </c>
      <c r="CF246" s="93">
        <f>IF(AND($T246=1,CF$5&lt;=$H246),INDEX(Mortality!$B$4:$E$64,MATCH($D246+CF$5-1,Mortality!$A$4:$A$64,0),$U246)*$V246*$N246,0)</f>
        <v>0</v>
      </c>
      <c r="CG246" s="93">
        <f>IF(AND($T246=1,CG$5&lt;=$H246),INDEX(Mortality!$B$4:$E$64,MATCH($D246+CG$5-1,Mortality!$A$4:$A$64,0),$U246)*$V246*$N246,0)</f>
        <v>0</v>
      </c>
      <c r="CH246" s="94">
        <f>IF(AND($T246=1,CH$5&lt;=$H246),INDEX(Mortality!$B$4:$E$64,MATCH($D246+CH$5-1,Mortality!$A$4:$A$64,0),$U246)*$V246*$N246,0)</f>
        <v>0</v>
      </c>
      <c r="CI246" s="26"/>
      <c r="CJ246" s="419">
        <f t="shared" si="89"/>
        <v>1</v>
      </c>
      <c r="CK246" s="93">
        <f>IF(AND($T246=1,CK$5&lt;=$H246),CJ246*(1-AU246)*(1-MIN(1,MAX(Assumptions!$C$27,Assumptions!$C$13*Assumptions!$C$28^(CJ$5-1))*$O246)),0)</f>
        <v>0.87774438903393048</v>
      </c>
      <c r="CL246" s="93">
        <f>IF(AND($T246=1,CL$5&lt;=$H246),CK246*(1-AV246)*(1-MIN(1,MAX(Assumptions!$C$27,Assumptions!$C$13*Assumptions!$C$28^(CK$5-1))*$O246)),0)</f>
        <v>0.78602584579348378</v>
      </c>
      <c r="CM246" s="93">
        <f>IF(AND($T246=1,CM$5&lt;=$H246),CL246*(1-AW246)*(1-MIN(1,MAX(Assumptions!$C$27,Assumptions!$C$13*Assumptions!$C$28^(CL$5-1))*$O246)),0)</f>
        <v>0.71571807542080534</v>
      </c>
      <c r="CN246" s="93">
        <f>IF(AND($T246=1,CN$5&lt;=$H246),CM246*(1-AX246)*(1-MIN(1,MAX(Assumptions!$C$27,Assumptions!$C$13*Assumptions!$C$28^(CM$5-1))*$O246)),0)</f>
        <v>0.66081296105686371</v>
      </c>
      <c r="CO246" s="93">
        <f>IF(AND($T246=1,CO$5&lt;=$H246),CN246*(1-AY246)*(1-MIN(1,MAX(Assumptions!$C$27,Assumptions!$C$13*Assumptions!$C$28^(CN$5-1))*$O246)),0)</f>
        <v>0.61723268738249149</v>
      </c>
      <c r="CP246" s="93">
        <f>IF(AND($T246=1,CP$5&lt;=$H246),CO246*(1-AZ246)*(1-MIN(1,MAX(Assumptions!$C$27,Assumptions!$C$13*Assumptions!$C$28^(CO$5-1))*$O246)),0)</f>
        <v>0.58213382761967469</v>
      </c>
      <c r="CQ246" s="93">
        <f>IF(AND($T246=1,CQ$5&lt;=$H246),CP246*(1-BA246)*(1-MIN(1,MAX(Assumptions!$C$27,Assumptions!$C$13*Assumptions!$C$28^(CP$5-1))*$O246)),0)</f>
        <v>0.55348540247061961</v>
      </c>
      <c r="CR246" s="93">
        <f>IF(AND($T246=1,CR$5&lt;=$H246),CQ246*(1-BB246)*(1-MIN(1,MAX(Assumptions!$C$27,Assumptions!$C$13*Assumptions!$C$28^(CQ$5-1))*$O246)),0)</f>
        <v>0.52980511581345469</v>
      </c>
      <c r="CS246" s="93">
        <f>IF(AND($T246=1,CS$5&lt;=$H246),CR246*(1-BC246)*(1-MIN(1,MAX(Assumptions!$C$27,Assumptions!$C$13*Assumptions!$C$28^(CR$5-1))*$O246)),0)</f>
        <v>0.50998989524789728</v>
      </c>
      <c r="CT246" s="93">
        <f>IF(AND($T246=1,CT$5&lt;=$H246),CS246*(1-BD246)*(1-MIN(1,MAX(Assumptions!$C$27,Assumptions!$C$13*Assumptions!$C$28^(CS$5-1))*$O246)),0)</f>
        <v>0.49320429994675308</v>
      </c>
      <c r="CU246" s="93">
        <f>IF(AND($T246=1,CU$5&lt;=$H246),CT246*(1-BE246)*(1-MIN(1,MAX(Assumptions!$C$27,Assumptions!$C$13*Assumptions!$C$28^(CT$5-1))*$O246)),0)</f>
        <v>0.47880537103869836</v>
      </c>
      <c r="CV246" s="93">
        <f>IF(AND($T246=1,CV$5&lt;=$H246),CU246*(1-BF246)*(1-MIN(1,MAX(Assumptions!$C$27,Assumptions!$C$13*Assumptions!$C$28^(CU$5-1))*$O246)),0)</f>
        <v>0.46629097880526504</v>
      </c>
      <c r="CW246" s="93">
        <f>IF(AND($T246=1,CW$5&lt;=$H246),CV246*(1-BG246)*(1-MIN(1,MAX(Assumptions!$C$27,Assumptions!$C$13*Assumptions!$C$28^(CV$5-1))*$O246)),0)</f>
        <v>0.45390610400764275</v>
      </c>
      <c r="CX246" s="93">
        <f>IF(AND($T246=1,CX$5&lt;=$H246),CW246*(1-BH246)*(1-MIN(1,MAX(Assumptions!$C$27,Assumptions!$C$13*Assumptions!$C$28^(CW$5-1))*$O246)),0)</f>
        <v>0.44160216374798589</v>
      </c>
      <c r="CY246" s="93">
        <f>IF(AND($T246=1,CY$5&lt;=$H246),CX246*(1-BI246)*(1-MIN(1,MAX(Assumptions!$C$27,Assumptions!$C$13*Assumptions!$C$28^(CX$5-1))*$O246)),0)</f>
        <v>0</v>
      </c>
      <c r="CZ246" s="93">
        <f>IF(AND($T246=1,CZ$5&lt;=$H246),CY246*(1-BJ246)*(1-MIN(1,MAX(Assumptions!$C$27,Assumptions!$C$13*Assumptions!$C$28^(CY$5-1))*$O246)),0)</f>
        <v>0</v>
      </c>
      <c r="DA246" s="93">
        <f>IF(AND($T246=1,DA$5&lt;=$H246),CZ246*(1-BK246)*(1-MIN(1,MAX(Assumptions!$C$27,Assumptions!$C$13*Assumptions!$C$28^(CZ$5-1))*$O246)),0)</f>
        <v>0</v>
      </c>
      <c r="DB246" s="93">
        <f>IF(AND($T246=1,DB$5&lt;=$H246),DA246*(1-BL246)*(1-MIN(1,MAX(Assumptions!$C$27,Assumptions!$C$13*Assumptions!$C$28^(DA$5-1))*$O246)),0)</f>
        <v>0</v>
      </c>
      <c r="DC246" s="93">
        <f>IF(AND($T246=1,DC$5&lt;=$H246),DB246*(1-BM246)*(1-MIN(1,MAX(Assumptions!$C$27,Assumptions!$C$13*Assumptions!$C$28^(DB$5-1))*$O246)),0)</f>
        <v>0</v>
      </c>
      <c r="DD246" s="93">
        <f>IF(AND($T246=1,DD$5&lt;=$H246),DC246*(1-BN246)*(1-MIN(1,MAX(Assumptions!$C$27,Assumptions!$C$13*Assumptions!$C$28^(DC$5-1))*$O246)),0)</f>
        <v>0</v>
      </c>
      <c r="DE246" s="93">
        <f>IF(AND($T246=1,DE$5&lt;=$H246),DD246*(1-BO246)*(1-MIN(1,MAX(Assumptions!$C$27,Assumptions!$C$13*Assumptions!$C$28^(DD$5-1))*$O246)),0)</f>
        <v>0</v>
      </c>
      <c r="DF246" s="93">
        <f>IF(AND($T246=1,DF$5&lt;=$H246),DE246*(1-BP246)*(1-MIN(1,MAX(Assumptions!$C$27,Assumptions!$C$13*Assumptions!$C$28^(DE$5-1))*$O246)),0)</f>
        <v>0</v>
      </c>
      <c r="DG246" s="93">
        <f>IF(AND($T246=1,DG$5&lt;=$H246),DF246*(1-BQ246)*(1-MIN(1,MAX(Assumptions!$C$27,Assumptions!$C$13*Assumptions!$C$28^(DF$5-1))*$O246)),0)</f>
        <v>0</v>
      </c>
      <c r="DH246" s="93">
        <f>IF(AND($T246=1,DH$5&lt;=$H246),DG246*(1-BR246)*(1-MIN(1,MAX(Assumptions!$C$27,Assumptions!$C$13*Assumptions!$C$28^(DG$5-1))*$O246)),0)</f>
        <v>0</v>
      </c>
      <c r="DI246" s="93">
        <f>IF(AND($T246=1,DI$5&lt;=$H246),DH246*(1-BS246)*(1-MIN(1,MAX(Assumptions!$C$27,Assumptions!$C$13*Assumptions!$C$28^(DH$5-1))*$O246)),0)</f>
        <v>0</v>
      </c>
      <c r="DJ246" s="93">
        <f>IF(AND($T246=1,DJ$5&lt;=$H246),DI246*(1-BT246)*(1-MIN(1,MAX(Assumptions!$C$27,Assumptions!$C$13*Assumptions!$C$28^(DI$5-1))*$O246)),0)</f>
        <v>0</v>
      </c>
      <c r="DK246" s="93">
        <f>IF(AND($T246=1,DK$5&lt;=$H246),DJ246*(1-BU246)*(1-MIN(1,MAX(Assumptions!$C$27,Assumptions!$C$13*Assumptions!$C$28^(DJ$5-1))*$O246)),0)</f>
        <v>0</v>
      </c>
      <c r="DL246" s="93">
        <f>IF(AND($T246=1,DL$5&lt;=$H246),DK246*(1-BV246)*(1-MIN(1,MAX(Assumptions!$C$27,Assumptions!$C$13*Assumptions!$C$28^(DK$5-1))*$O246)),0)</f>
        <v>0</v>
      </c>
      <c r="DM246" s="93">
        <f>IF(AND($T246=1,DM$5&lt;=$H246),DL246*(1-BW246)*(1-MIN(1,MAX(Assumptions!$C$27,Assumptions!$C$13*Assumptions!$C$28^(DL$5-1))*$O246)),0)</f>
        <v>0</v>
      </c>
      <c r="DN246" s="93">
        <f>IF(AND($T246=1,DN$5&lt;=$H246),DM246*(1-BX246)*(1-MIN(1,MAX(Assumptions!$C$27,Assumptions!$C$13*Assumptions!$C$28^(DM$5-1))*$O246)),0)</f>
        <v>0</v>
      </c>
      <c r="DO246" s="93">
        <f>IF(AND($T246=1,DO$5&lt;=$H246),DN246*(1-BY246)*(1-MIN(1,MAX(Assumptions!$C$27,Assumptions!$C$13*Assumptions!$C$28^(DN$5-1))*$O246)),0)</f>
        <v>0</v>
      </c>
      <c r="DP246" s="93">
        <f>IF(AND($T246=1,DP$5&lt;=$H246),DO246*(1-BZ246)*(1-MIN(1,MAX(Assumptions!$C$27,Assumptions!$C$13*Assumptions!$C$28^(DO$5-1))*$O246)),0)</f>
        <v>0</v>
      </c>
      <c r="DQ246" s="93">
        <f>IF(AND($T246=1,DQ$5&lt;=$H246),DP246*(1-CA246)*(1-MIN(1,MAX(Assumptions!$C$27,Assumptions!$C$13*Assumptions!$C$28^(DP$5-1))*$O246)),0)</f>
        <v>0</v>
      </c>
      <c r="DR246" s="93">
        <f>IF(AND($T246=1,DR$5&lt;=$H246),DQ246*(1-CB246)*(1-MIN(1,MAX(Assumptions!$C$27,Assumptions!$C$13*Assumptions!$C$28^(DQ$5-1))*$O246)),0)</f>
        <v>0</v>
      </c>
      <c r="DS246" s="93">
        <f>IF(AND($T246=1,DS$5&lt;=$H246),DR246*(1-CC246)*(1-MIN(1,MAX(Assumptions!$C$27,Assumptions!$C$13*Assumptions!$C$28^(DR$5-1))*$O246)),0)</f>
        <v>0</v>
      </c>
      <c r="DT246" s="93">
        <f>IF(AND($T246=1,DT$5&lt;=$H246),DS246*(1-CD246)*(1-MIN(1,MAX(Assumptions!$C$27,Assumptions!$C$13*Assumptions!$C$28^(DS$5-1))*$O246)),0)</f>
        <v>0</v>
      </c>
      <c r="DU246" s="93">
        <f>IF(AND($T246=1,DU$5&lt;=$H246),DT246*(1-CE246)*(1-MIN(1,MAX(Assumptions!$C$27,Assumptions!$C$13*Assumptions!$C$28^(DT$5-1))*$O246)),0)</f>
        <v>0</v>
      </c>
      <c r="DV246" s="93">
        <f>IF(AND($T246=1,DV$5&lt;=$H246),DU246*(1-CF246)*(1-MIN(1,MAX(Assumptions!$C$27,Assumptions!$C$13*Assumptions!$C$28^(DU$5-1))*$O246)),0)</f>
        <v>0</v>
      </c>
      <c r="DW246" s="94">
        <f>IF(AND($T246=1,DW$5&lt;=$H246),DV246*(1-CG246)*(1-MIN(1,MAX(Assumptions!$C$27,Assumptions!$C$13*Assumptions!$C$28^(DV$5-1))*$O246)),0)</f>
        <v>0</v>
      </c>
      <c r="DX246" s="26"/>
      <c r="DY246" s="399">
        <f>'Policy Data'!K220</f>
        <v>3</v>
      </c>
      <c r="DZ246" s="100">
        <f>'Policy Data'!L220</f>
        <v>0.89370000000000005</v>
      </c>
      <c r="EA246" s="100">
        <f>'Policy Data'!N220</f>
        <v>2.2910000000000001E-3</v>
      </c>
      <c r="EB246" s="93" cm="1">
        <f t="array" ref="EB246">IFERROR(DZ246*INDEX(Mortality!$B$4:$E$64,MATCH(D246+DY246-1,Mortality!$A$4:$A$64,0),U246)*V246,0)</f>
        <v>2.6881927174279051E-3</v>
      </c>
      <c r="EC246" s="100">
        <f>'Policy Data'!O220</f>
        <v>0</v>
      </c>
      <c r="ED246" s="400">
        <f>'Policy Data'!Q220</f>
        <v>0</v>
      </c>
    </row>
    <row r="247" spans="1:134" x14ac:dyDescent="0.3">
      <c r="A247" s="399" t="str">
        <f>'Policy Data'!A221</f>
        <v>POL100217</v>
      </c>
      <c r="B247" s="26" t="s">
        <v>426</v>
      </c>
      <c r="C247" s="100" t="str">
        <f>'Policy Data'!B221</f>
        <v>Term Life</v>
      </c>
      <c r="D247" s="100">
        <f>'Policy Data'!C221</f>
        <v>56</v>
      </c>
      <c r="E247" s="100" t="str">
        <f>'Policy Data'!D221</f>
        <v>Male</v>
      </c>
      <c r="F247" s="100" t="str">
        <f>'Policy Data'!E221</f>
        <v>Non-smoker</v>
      </c>
      <c r="G247" s="100" t="str">
        <f>'Policy Data'!F221</f>
        <v>Rated</v>
      </c>
      <c r="H247" s="100">
        <f>'Policy Data'!G221</f>
        <v>15</v>
      </c>
      <c r="I247" s="279">
        <f>'Policy Data'!H221</f>
        <v>250000</v>
      </c>
      <c r="J247" s="100" t="str">
        <f>'Policy Data'!I221</f>
        <v>Monthly</v>
      </c>
      <c r="K247" s="100" t="str">
        <f>'Policy Data'!J221</f>
        <v>Direct</v>
      </c>
      <c r="L247" s="26" t="s">
        <v>389</v>
      </c>
      <c r="M247" s="106">
        <f>'Policy Data'!R221</f>
        <v>2511.5700000000002</v>
      </c>
      <c r="N247" s="415">
        <f>Assumptions!$C$21</f>
        <v>1</v>
      </c>
      <c r="O247" s="415">
        <f>Assumptions!$C$22</f>
        <v>1</v>
      </c>
      <c r="P247" s="415">
        <f>Assumptions!$C$23</f>
        <v>1</v>
      </c>
      <c r="Q247" s="416">
        <f>Assumptions!$C$24</f>
        <v>0</v>
      </c>
      <c r="R247" s="416">
        <f>Assumptions!$C$6+Assumptions!$C$25</f>
        <v>3.5000000000000003E-2</v>
      </c>
      <c r="S247" s="416">
        <f>Assumptions!$C$15</f>
        <v>1.1000000000000001E-3</v>
      </c>
      <c r="T247" s="26">
        <f t="shared" si="72"/>
        <v>1</v>
      </c>
      <c r="U247" s="26">
        <f t="shared" si="73"/>
        <v>3</v>
      </c>
      <c r="V247" s="389">
        <f>IF($G247="Preferred",Assumptions!$C$30,IF($G247="Rated",Assumptions!$C$31,1))</f>
        <v>1.55</v>
      </c>
      <c r="W247" s="390">
        <f>IF($K247="Direct",Assumptions!$C$32,IF($K247="Broker",Assumptions!$C$33,IF($K247="Bancassurance",Assumptions!$C$34,Assumptions!$C$11)))+$Q247</f>
        <v>0.1</v>
      </c>
      <c r="X247" s="390">
        <f>Assumptions!$C$12+$Q247</f>
        <v>0.05</v>
      </c>
      <c r="Y247" s="131">
        <f>MIN($I247,Assumptions!$C$14)</f>
        <v>250000</v>
      </c>
      <c r="Z247" s="131">
        <f>MAX($I247-Assumptions!$C$14,0)</f>
        <v>0</v>
      </c>
      <c r="AA247" s="389">
        <f t="shared" si="74"/>
        <v>7.095566422257984</v>
      </c>
      <c r="AB247" s="389">
        <f t="shared" si="75"/>
        <v>7.3171379591128127E-2</v>
      </c>
      <c r="AC247" s="389">
        <f>IF($T247=1,SUMPRODUCT($CJ247:$DW247,(1+Assumptions!$C$5)^($CJ$5:$DW$5-1),(1+$R247)^(-$CJ$5:$DW$5)),0)</f>
        <v>8.8168216051689488</v>
      </c>
      <c r="AD247" s="389">
        <f t="shared" si="76"/>
        <v>0.40308749985686054</v>
      </c>
      <c r="AE247" s="131">
        <f>IF($T247=1,$AB247*$Y247+(Assumptions!$C$9/(1+$R247)+Assumptions!$C$10*$AC247)*$P247+$S247*$Z247*$AA247,0)</f>
        <v>21102.110868310505</v>
      </c>
      <c r="AF247" s="131">
        <f>IF($T247=1,IF($AA247-$AD247-Assumptions!$C$16*$AA247&gt;0,$AE247/($AA247-$AD247-Assumptions!$C$16*$AA247)*IF($J247="Monthly",1+Assumptions!$C$29,1),"n.a."),"")</f>
        <v>3548.6962721351865</v>
      </c>
      <c r="AG247" s="131">
        <f t="shared" si="77"/>
        <v>2511.5700000000002</v>
      </c>
      <c r="AH247" s="131">
        <f t="shared" si="78"/>
        <v>17821.011759150486</v>
      </c>
      <c r="AI247" s="131">
        <f t="shared" si="79"/>
        <v>-4293.4815811755143</v>
      </c>
      <c r="AJ247" s="390">
        <f t="shared" si="80"/>
        <v>-0.24092243690771131</v>
      </c>
      <c r="AK247" s="389">
        <f t="shared" si="81"/>
        <v>0.70774442426114814</v>
      </c>
      <c r="AL247" s="131">
        <f t="shared" si="82"/>
        <v>0</v>
      </c>
      <c r="AM247" s="131">
        <f t="shared" si="83"/>
        <v>0</v>
      </c>
      <c r="AN247" s="131">
        <f t="shared" si="84"/>
        <v>0</v>
      </c>
      <c r="AO247" s="131">
        <f t="shared" si="85"/>
        <v>-4293.4815811755143</v>
      </c>
      <c r="AP247" s="26" t="str">
        <f t="shared" si="86"/>
        <v>50-59</v>
      </c>
      <c r="AQ247" s="26" t="str">
        <f t="shared" si="87"/>
        <v>Up to 250k</v>
      </c>
      <c r="AR247" s="26" t="str">
        <f>IF($T247=1,IF($AI247&lt;0,"Loss-making",IF($AJ247&lt;Assumptions!$C$16-0.00001,"Below target","At/above target")),"Excluded")</f>
        <v>Loss-making</v>
      </c>
      <c r="AS247" s="103">
        <f t="shared" si="88"/>
        <v>-4293.4813341755143</v>
      </c>
      <c r="AT247" s="26"/>
      <c r="AU247" s="419">
        <f>IF(AND($T247=1,AU$5&lt;=$H247),INDEX(Mortality!$B$4:$E$64,MATCH($D247+AU$5-1,Mortality!$A$4:$A$64,0),$U247)*$V247*$N247,0)</f>
        <v>6.4205846278799572E-3</v>
      </c>
      <c r="AV247" s="93">
        <f>IF(AND($T247=1,AV$5&lt;=$H247),INDEX(Mortality!$B$4:$E$64,MATCH($D247+AV$5-1,Mortality!$A$4:$A$64,0),$U247)*$V247*$N247,0)</f>
        <v>6.9553362942950019E-3</v>
      </c>
      <c r="AW247" s="93">
        <f>IF(AND($T247=1,AW$5&lt;=$H247),INDEX(Mortality!$B$4:$E$64,MATCH($D247+AW$5-1,Mortality!$A$4:$A$64,0),$U247)*$V247*$N247,0)</f>
        <v>7.534625858940042E-3</v>
      </c>
      <c r="AX247" s="93">
        <f>IF(AND($T247=1,AX$5&lt;=$H247),INDEX(Mortality!$B$4:$E$64,MATCH($D247+AX$5-1,Mortality!$A$4:$A$64,0),$U247)*$V247*$N247,0)</f>
        <v>8.1621627527590727E-3</v>
      </c>
      <c r="AY247" s="93">
        <f>IF(AND($T247=1,AY$5&lt;=$H247),INDEX(Mortality!$B$4:$E$64,MATCH($D247+AY$5-1,Mortality!$A$4:$A$64,0),$U247)*$V247*$N247,0)</f>
        <v>8.8419653543221465E-3</v>
      </c>
      <c r="AZ247" s="93">
        <f>IF(AND($T247=1,AZ$5&lt;=$H247),INDEX(Mortality!$B$4:$E$64,MATCH($D247+AZ$5-1,Mortality!$A$4:$A$64,0),$U247)*$V247*$N247,0)</f>
        <v>9.5783867211672105E-3</v>
      </c>
      <c r="BA247" s="93">
        <f>IF(AND($T247=1,BA$5&lt;=$H247),INDEX(Mortality!$B$4:$E$64,MATCH($D247+BA$5-1,Mortality!$A$4:$A$64,0),$U247)*$V247*$N247,0)</f>
        <v>1.0376142464229987E-2</v>
      </c>
      <c r="BB247" s="93">
        <f>IF(AND($T247=1,BB$5&lt;=$H247),INDEX(Mortality!$B$4:$E$64,MATCH($D247+BB$5-1,Mortality!$A$4:$A$64,0),$U247)*$V247*$N247,0)</f>
        <v>1.1240340943853334E-2</v>
      </c>
      <c r="BC247" s="93">
        <f>IF(AND($T247=1,BC$5&lt;=$H247),INDEX(Mortality!$B$4:$E$64,MATCH($D247+BC$5-1,Mortality!$A$4:$A$64,0),$U247)*$V247*$N247,0)</f>
        <v>1.2176515980733642E-2</v>
      </c>
      <c r="BD247" s="93">
        <f>IF(AND($T247=1,BD$5&lt;=$H247),INDEX(Mortality!$B$4:$E$64,MATCH($D247+BD$5-1,Mortality!$A$4:$A$64,0),$U247)*$V247*$N247,0)</f>
        <v>1.3190662291266215E-2</v>
      </c>
      <c r="BE247" s="93">
        <f>IF(AND($T247=1,BE$5&lt;=$H247),INDEX(Mortality!$B$4:$E$64,MATCH($D247+BE$5-1,Mortality!$A$4:$A$64,0),$U247)*$V247*$N247,0)</f>
        <v>1.428927387419643E-2</v>
      </c>
      <c r="BF247" s="93">
        <f>IF(AND($T247=1,BF$5&lt;=$H247),INDEX(Mortality!$B$4:$E$64,MATCH($D247+BF$5-1,Mortality!$A$4:$A$64,0),$U247)*$V247*$N247,0)</f>
        <v>1.5479385594382654E-2</v>
      </c>
      <c r="BG247" s="93">
        <f>IF(AND($T247=1,BG$5&lt;=$H247),INDEX(Mortality!$B$4:$E$64,MATCH($D247+BG$5-1,Mortality!$A$4:$A$64,0),$U247)*$V247*$N247,0)</f>
        <v>1.6768618229948774E-2</v>
      </c>
      <c r="BH247" s="93">
        <f>IF(AND($T247=1,BH$5&lt;=$H247),INDEX(Mortality!$B$4:$E$64,MATCH($D247+BH$5-1,Mortality!$A$4:$A$64,0),$U247)*$V247*$N247,0)</f>
        <v>1.8165227271282117E-2</v>
      </c>
      <c r="BI247" s="93">
        <f>IF(AND($T247=1,BI$5&lt;=$H247),INDEX(Mortality!$B$4:$E$64,MATCH($D247+BI$5-1,Mortality!$A$4:$A$64,0),$U247)*$V247*$N247,0)</f>
        <v>1.9678155784356353E-2</v>
      </c>
      <c r="BJ247" s="93">
        <f>IF(AND($T247=1,BJ$5&lt;=$H247),INDEX(Mortality!$B$4:$E$64,MATCH($D247+BJ$5-1,Mortality!$A$4:$A$64,0),$U247)*$V247*$N247,0)</f>
        <v>0</v>
      </c>
      <c r="BK247" s="93">
        <f>IF(AND($T247=1,BK$5&lt;=$H247),INDEX(Mortality!$B$4:$E$64,MATCH($D247+BK$5-1,Mortality!$A$4:$A$64,0),$U247)*$V247*$N247,0)</f>
        <v>0</v>
      </c>
      <c r="BL247" s="93">
        <f>IF(AND($T247=1,BL$5&lt;=$H247),INDEX(Mortality!$B$4:$E$64,MATCH($D247+BL$5-1,Mortality!$A$4:$A$64,0),$U247)*$V247*$N247,0)</f>
        <v>0</v>
      </c>
      <c r="BM247" s="93">
        <f>IF(AND($T247=1,BM$5&lt;=$H247),INDEX(Mortality!$B$4:$E$64,MATCH($D247+BM$5-1,Mortality!$A$4:$A$64,0),$U247)*$V247*$N247,0)</f>
        <v>0</v>
      </c>
      <c r="BN247" s="93">
        <f>IF(AND($T247=1,BN$5&lt;=$H247),INDEX(Mortality!$B$4:$E$64,MATCH($D247+BN$5-1,Mortality!$A$4:$A$64,0),$U247)*$V247*$N247,0)</f>
        <v>0</v>
      </c>
      <c r="BO247" s="93">
        <f>IF(AND($T247=1,BO$5&lt;=$H247),INDEX(Mortality!$B$4:$E$64,MATCH($D247+BO$5-1,Mortality!$A$4:$A$64,0),$U247)*$V247*$N247,0)</f>
        <v>0</v>
      </c>
      <c r="BP247" s="93">
        <f>IF(AND($T247=1,BP$5&lt;=$H247),INDEX(Mortality!$B$4:$E$64,MATCH($D247+BP$5-1,Mortality!$A$4:$A$64,0),$U247)*$V247*$N247,0)</f>
        <v>0</v>
      </c>
      <c r="BQ247" s="93">
        <f>IF(AND($T247=1,BQ$5&lt;=$H247),INDEX(Mortality!$B$4:$E$64,MATCH($D247+BQ$5-1,Mortality!$A$4:$A$64,0),$U247)*$V247*$N247,0)</f>
        <v>0</v>
      </c>
      <c r="BR247" s="93">
        <f>IF(AND($T247=1,BR$5&lt;=$H247),INDEX(Mortality!$B$4:$E$64,MATCH($D247+BR$5-1,Mortality!$A$4:$A$64,0),$U247)*$V247*$N247,0)</f>
        <v>0</v>
      </c>
      <c r="BS247" s="93">
        <f>IF(AND($T247=1,BS$5&lt;=$H247),INDEX(Mortality!$B$4:$E$64,MATCH($D247+BS$5-1,Mortality!$A$4:$A$64,0),$U247)*$V247*$N247,0)</f>
        <v>0</v>
      </c>
      <c r="BT247" s="93">
        <f>IF(AND($T247=1,BT$5&lt;=$H247),INDEX(Mortality!$B$4:$E$64,MATCH($D247+BT$5-1,Mortality!$A$4:$A$64,0),$U247)*$V247*$N247,0)</f>
        <v>0</v>
      </c>
      <c r="BU247" s="93">
        <f>IF(AND($T247=1,BU$5&lt;=$H247),INDEX(Mortality!$B$4:$E$64,MATCH($D247+BU$5-1,Mortality!$A$4:$A$64,0),$U247)*$V247*$N247,0)</f>
        <v>0</v>
      </c>
      <c r="BV247" s="93">
        <f>IF(AND($T247=1,BV$5&lt;=$H247),INDEX(Mortality!$B$4:$E$64,MATCH($D247+BV$5-1,Mortality!$A$4:$A$64,0),$U247)*$V247*$N247,0)</f>
        <v>0</v>
      </c>
      <c r="BW247" s="93">
        <f>IF(AND($T247=1,BW$5&lt;=$H247),INDEX(Mortality!$B$4:$E$64,MATCH($D247+BW$5-1,Mortality!$A$4:$A$64,0),$U247)*$V247*$N247,0)</f>
        <v>0</v>
      </c>
      <c r="BX247" s="93">
        <f>IF(AND($T247=1,BX$5&lt;=$H247),INDEX(Mortality!$B$4:$E$64,MATCH($D247+BX$5-1,Mortality!$A$4:$A$64,0),$U247)*$V247*$N247,0)</f>
        <v>0</v>
      </c>
      <c r="BY247" s="93">
        <f>IF(AND($T247=1,BY$5&lt;=$H247),INDEX(Mortality!$B$4:$E$64,MATCH($D247+BY$5-1,Mortality!$A$4:$A$64,0),$U247)*$V247*$N247,0)</f>
        <v>0</v>
      </c>
      <c r="BZ247" s="93">
        <f>IF(AND($T247=1,BZ$5&lt;=$H247),INDEX(Mortality!$B$4:$E$64,MATCH($D247+BZ$5-1,Mortality!$A$4:$A$64,0),$U247)*$V247*$N247,0)</f>
        <v>0</v>
      </c>
      <c r="CA247" s="93">
        <f>IF(AND($T247=1,CA$5&lt;=$H247),INDEX(Mortality!$B$4:$E$64,MATCH($D247+CA$5-1,Mortality!$A$4:$A$64,0),$U247)*$V247*$N247,0)</f>
        <v>0</v>
      </c>
      <c r="CB247" s="93">
        <f>IF(AND($T247=1,CB$5&lt;=$H247),INDEX(Mortality!$B$4:$E$64,MATCH($D247+CB$5-1,Mortality!$A$4:$A$64,0),$U247)*$V247*$N247,0)</f>
        <v>0</v>
      </c>
      <c r="CC247" s="93">
        <f>IF(AND($T247=1,CC$5&lt;=$H247),INDEX(Mortality!$B$4:$E$64,MATCH($D247+CC$5-1,Mortality!$A$4:$A$64,0),$U247)*$V247*$N247,0)</f>
        <v>0</v>
      </c>
      <c r="CD247" s="93">
        <f>IF(AND($T247=1,CD$5&lt;=$H247),INDEX(Mortality!$B$4:$E$64,MATCH($D247+CD$5-1,Mortality!$A$4:$A$64,0),$U247)*$V247*$N247,0)</f>
        <v>0</v>
      </c>
      <c r="CE247" s="93">
        <f>IF(AND($T247=1,CE$5&lt;=$H247),INDEX(Mortality!$B$4:$E$64,MATCH($D247+CE$5-1,Mortality!$A$4:$A$64,0),$U247)*$V247*$N247,0)</f>
        <v>0</v>
      </c>
      <c r="CF247" s="93">
        <f>IF(AND($T247=1,CF$5&lt;=$H247),INDEX(Mortality!$B$4:$E$64,MATCH($D247+CF$5-1,Mortality!$A$4:$A$64,0),$U247)*$V247*$N247,0)</f>
        <v>0</v>
      </c>
      <c r="CG247" s="93">
        <f>IF(AND($T247=1,CG$5&lt;=$H247),INDEX(Mortality!$B$4:$E$64,MATCH($D247+CG$5-1,Mortality!$A$4:$A$64,0),$U247)*$V247*$N247,0)</f>
        <v>0</v>
      </c>
      <c r="CH247" s="94">
        <f>IF(AND($T247=1,CH$5&lt;=$H247),INDEX(Mortality!$B$4:$E$64,MATCH($D247+CH$5-1,Mortality!$A$4:$A$64,0),$U247)*$V247*$N247,0)</f>
        <v>0</v>
      </c>
      <c r="CI247" s="26"/>
      <c r="CJ247" s="419">
        <f t="shared" si="89"/>
        <v>1</v>
      </c>
      <c r="CK247" s="93">
        <f>IF(AND($T247=1,CK$5&lt;=$H247),CJ247*(1-AU247)*(1-MIN(1,MAX(Assumptions!$C$27,Assumptions!$C$13*Assumptions!$C$28^(CJ$5-1))*$O247)),0)</f>
        <v>0.87434988552746562</v>
      </c>
      <c r="CL247" s="93">
        <f>IF(AND($T247=1,CL$5&lt;=$H247),CK247*(1-AV247)*(1-MIN(1,MAX(Assumptions!$C$27,Assumptions!$C$13*Assumptions!$C$28^(CK$5-1))*$O247)),0)</f>
        <v>0.77970510225519996</v>
      </c>
      <c r="CM247" s="93">
        <f>IF(AND($T247=1,CM$5&lt;=$H247),CL247*(1-AW247)*(1-MIN(1,MAX(Assumptions!$C$27,Assumptions!$C$13*Assumptions!$C$28^(CL$5-1))*$O247)),0)</f>
        <v>0.70673922762965147</v>
      </c>
      <c r="CN247" s="93">
        <f>IF(AND($T247=1,CN$5&lt;=$H247),CM247*(1-AX247)*(1-MIN(1,MAX(Assumptions!$C$27,Assumptions!$C$13*Assumptions!$C$28^(CM$5-1))*$O247)),0)</f>
        <v>0.64931267077540467</v>
      </c>
      <c r="CO247" s="93">
        <f>IF(AND($T247=1,CO$5&lt;=$H247),CN247*(1-AY247)*(1-MIN(1,MAX(Assumptions!$C$27,Assumptions!$C$13*Assumptions!$C$28^(CN$5-1))*$O247)),0)</f>
        <v>0.60325767103702621</v>
      </c>
      <c r="CP247" s="93">
        <f>IF(AND($T247=1,CP$5&lt;=$H247),CO247*(1-AZ247)*(1-MIN(1,MAX(Assumptions!$C$27,Assumptions!$C$13*Assumptions!$C$28^(CO$5-1))*$O247)),0)</f>
        <v>0.56566685979997433</v>
      </c>
      <c r="CQ247" s="93">
        <f>IF(AND($T247=1,CQ$5&lt;=$H247),CP247*(1-BA247)*(1-MIN(1,MAX(Assumptions!$C$27,Assumptions!$C$13*Assumptions!$C$28^(CP$5-1))*$O247)),0)</f>
        <v>0.53446214078490062</v>
      </c>
      <c r="CR247" s="93">
        <f>IF(AND($T247=1,CR$5&lt;=$H247),CQ247*(1-BB247)*(1-MIN(1,MAX(Assumptions!$C$27,Assumptions!$C$13*Assumptions!$C$28^(CQ$5-1))*$O247)),0)</f>
        <v>0.50812535150831828</v>
      </c>
      <c r="CS247" s="93">
        <f>IF(AND($T247=1,CS$5&lt;=$H247),CR247*(1-BC247)*(1-MIN(1,MAX(Assumptions!$C$27,Assumptions!$C$13*Assumptions!$C$28^(CR$5-1))*$O247)),0)</f>
        <v>0.4855253480768042</v>
      </c>
      <c r="CT247" s="93">
        <f>IF(AND($T247=1,CT$5&lt;=$H247),CS247*(1-BD247)*(1-MIN(1,MAX(Assumptions!$C$27,Assumptions!$C$13*Assumptions!$C$28^(CS$5-1))*$O247)),0)</f>
        <v>0.46580424349423388</v>
      </c>
      <c r="CU247" s="93">
        <f>IF(AND($T247=1,CU$5&lt;=$H247),CT247*(1-BE247)*(1-MIN(1,MAX(Assumptions!$C$27,Assumptions!$C$13*Assumptions!$C$28^(CT$5-1))*$O247)),0)</f>
        <v>0.44830089475825619</v>
      </c>
      <c r="CV247" s="93">
        <f>IF(AND($T247=1,CV$5&lt;=$H247),CU247*(1-BF247)*(1-MIN(1,MAX(Assumptions!$C$27,Assumptions!$C$13*Assumptions!$C$28^(CU$5-1))*$O247)),0)</f>
        <v>0.4324984090953462</v>
      </c>
      <c r="CW247" s="93">
        <f>IF(AND($T247=1,CW$5&lt;=$H247),CV247*(1-BG247)*(1-MIN(1,MAX(Assumptions!$C$27,Assumptions!$C$13*Assumptions!$C$28^(CV$5-1))*$O247)),0)</f>
        <v>0.41674108822040279</v>
      </c>
      <c r="CX247" s="93">
        <f>IF(AND($T247=1,CX$5&lt;=$H247),CW247*(1-BH247)*(1-MIN(1,MAX(Assumptions!$C$27,Assumptions!$C$13*Assumptions!$C$28^(CW$5-1))*$O247)),0)</f>
        <v>0.40098747380680577</v>
      </c>
      <c r="CY247" s="93">
        <f>IF(AND($T247=1,CY$5&lt;=$H247),CX247*(1-BI247)*(1-MIN(1,MAX(Assumptions!$C$27,Assumptions!$C$13*Assumptions!$C$28^(CX$5-1))*$O247)),0)</f>
        <v>0</v>
      </c>
      <c r="CZ247" s="93">
        <f>IF(AND($T247=1,CZ$5&lt;=$H247),CY247*(1-BJ247)*(1-MIN(1,MAX(Assumptions!$C$27,Assumptions!$C$13*Assumptions!$C$28^(CY$5-1))*$O247)),0)</f>
        <v>0</v>
      </c>
      <c r="DA247" s="93">
        <f>IF(AND($T247=1,DA$5&lt;=$H247),CZ247*(1-BK247)*(1-MIN(1,MAX(Assumptions!$C$27,Assumptions!$C$13*Assumptions!$C$28^(CZ$5-1))*$O247)),0)</f>
        <v>0</v>
      </c>
      <c r="DB247" s="93">
        <f>IF(AND($T247=1,DB$5&lt;=$H247),DA247*(1-BL247)*(1-MIN(1,MAX(Assumptions!$C$27,Assumptions!$C$13*Assumptions!$C$28^(DA$5-1))*$O247)),0)</f>
        <v>0</v>
      </c>
      <c r="DC247" s="93">
        <f>IF(AND($T247=1,DC$5&lt;=$H247),DB247*(1-BM247)*(1-MIN(1,MAX(Assumptions!$C$27,Assumptions!$C$13*Assumptions!$C$28^(DB$5-1))*$O247)),0)</f>
        <v>0</v>
      </c>
      <c r="DD247" s="93">
        <f>IF(AND($T247=1,DD$5&lt;=$H247),DC247*(1-BN247)*(1-MIN(1,MAX(Assumptions!$C$27,Assumptions!$C$13*Assumptions!$C$28^(DC$5-1))*$O247)),0)</f>
        <v>0</v>
      </c>
      <c r="DE247" s="93">
        <f>IF(AND($T247=1,DE$5&lt;=$H247),DD247*(1-BO247)*(1-MIN(1,MAX(Assumptions!$C$27,Assumptions!$C$13*Assumptions!$C$28^(DD$5-1))*$O247)),0)</f>
        <v>0</v>
      </c>
      <c r="DF247" s="93">
        <f>IF(AND($T247=1,DF$5&lt;=$H247),DE247*(1-BP247)*(1-MIN(1,MAX(Assumptions!$C$27,Assumptions!$C$13*Assumptions!$C$28^(DE$5-1))*$O247)),0)</f>
        <v>0</v>
      </c>
      <c r="DG247" s="93">
        <f>IF(AND($T247=1,DG$5&lt;=$H247),DF247*(1-BQ247)*(1-MIN(1,MAX(Assumptions!$C$27,Assumptions!$C$13*Assumptions!$C$28^(DF$5-1))*$O247)),0)</f>
        <v>0</v>
      </c>
      <c r="DH247" s="93">
        <f>IF(AND($T247=1,DH$5&lt;=$H247),DG247*(1-BR247)*(1-MIN(1,MAX(Assumptions!$C$27,Assumptions!$C$13*Assumptions!$C$28^(DG$5-1))*$O247)),0)</f>
        <v>0</v>
      </c>
      <c r="DI247" s="93">
        <f>IF(AND($T247=1,DI$5&lt;=$H247),DH247*(1-BS247)*(1-MIN(1,MAX(Assumptions!$C$27,Assumptions!$C$13*Assumptions!$C$28^(DH$5-1))*$O247)),0)</f>
        <v>0</v>
      </c>
      <c r="DJ247" s="93">
        <f>IF(AND($T247=1,DJ$5&lt;=$H247),DI247*(1-BT247)*(1-MIN(1,MAX(Assumptions!$C$27,Assumptions!$C$13*Assumptions!$C$28^(DI$5-1))*$O247)),0)</f>
        <v>0</v>
      </c>
      <c r="DK247" s="93">
        <f>IF(AND($T247=1,DK$5&lt;=$H247),DJ247*(1-BU247)*(1-MIN(1,MAX(Assumptions!$C$27,Assumptions!$C$13*Assumptions!$C$28^(DJ$5-1))*$O247)),0)</f>
        <v>0</v>
      </c>
      <c r="DL247" s="93">
        <f>IF(AND($T247=1,DL$5&lt;=$H247),DK247*(1-BV247)*(1-MIN(1,MAX(Assumptions!$C$27,Assumptions!$C$13*Assumptions!$C$28^(DK$5-1))*$O247)),0)</f>
        <v>0</v>
      </c>
      <c r="DM247" s="93">
        <f>IF(AND($T247=1,DM$5&lt;=$H247),DL247*(1-BW247)*(1-MIN(1,MAX(Assumptions!$C$27,Assumptions!$C$13*Assumptions!$C$28^(DL$5-1))*$O247)),0)</f>
        <v>0</v>
      </c>
      <c r="DN247" s="93">
        <f>IF(AND($T247=1,DN$5&lt;=$H247),DM247*(1-BX247)*(1-MIN(1,MAX(Assumptions!$C$27,Assumptions!$C$13*Assumptions!$C$28^(DM$5-1))*$O247)),0)</f>
        <v>0</v>
      </c>
      <c r="DO247" s="93">
        <f>IF(AND($T247=1,DO$5&lt;=$H247),DN247*(1-BY247)*(1-MIN(1,MAX(Assumptions!$C$27,Assumptions!$C$13*Assumptions!$C$28^(DN$5-1))*$O247)),0)</f>
        <v>0</v>
      </c>
      <c r="DP247" s="93">
        <f>IF(AND($T247=1,DP$5&lt;=$H247),DO247*(1-BZ247)*(1-MIN(1,MAX(Assumptions!$C$27,Assumptions!$C$13*Assumptions!$C$28^(DO$5-1))*$O247)),0)</f>
        <v>0</v>
      </c>
      <c r="DQ247" s="93">
        <f>IF(AND($T247=1,DQ$5&lt;=$H247),DP247*(1-CA247)*(1-MIN(1,MAX(Assumptions!$C$27,Assumptions!$C$13*Assumptions!$C$28^(DP$5-1))*$O247)),0)</f>
        <v>0</v>
      </c>
      <c r="DR247" s="93">
        <f>IF(AND($T247=1,DR$5&lt;=$H247),DQ247*(1-CB247)*(1-MIN(1,MAX(Assumptions!$C$27,Assumptions!$C$13*Assumptions!$C$28^(DQ$5-1))*$O247)),0)</f>
        <v>0</v>
      </c>
      <c r="DS247" s="93">
        <f>IF(AND($T247=1,DS$5&lt;=$H247),DR247*(1-CC247)*(1-MIN(1,MAX(Assumptions!$C$27,Assumptions!$C$13*Assumptions!$C$28^(DR$5-1))*$O247)),0)</f>
        <v>0</v>
      </c>
      <c r="DT247" s="93">
        <f>IF(AND($T247=1,DT$5&lt;=$H247),DS247*(1-CD247)*(1-MIN(1,MAX(Assumptions!$C$27,Assumptions!$C$13*Assumptions!$C$28^(DS$5-1))*$O247)),0)</f>
        <v>0</v>
      </c>
      <c r="DU247" s="93">
        <f>IF(AND($T247=1,DU$5&lt;=$H247),DT247*(1-CE247)*(1-MIN(1,MAX(Assumptions!$C$27,Assumptions!$C$13*Assumptions!$C$28^(DT$5-1))*$O247)),0)</f>
        <v>0</v>
      </c>
      <c r="DV247" s="93">
        <f>IF(AND($T247=1,DV$5&lt;=$H247),DU247*(1-CF247)*(1-MIN(1,MAX(Assumptions!$C$27,Assumptions!$C$13*Assumptions!$C$28^(DU$5-1))*$O247)),0)</f>
        <v>0</v>
      </c>
      <c r="DW247" s="94">
        <f>IF(AND($T247=1,DW$5&lt;=$H247),DV247*(1-CG247)*(1-MIN(1,MAX(Assumptions!$C$27,Assumptions!$C$13*Assumptions!$C$28^(DV$5-1))*$O247)),0)</f>
        <v>0</v>
      </c>
      <c r="DX247" s="26"/>
      <c r="DY247" s="399">
        <f>'Policy Data'!K221</f>
        <v>5</v>
      </c>
      <c r="DZ247" s="100">
        <f>'Policy Data'!L221</f>
        <v>0.9052</v>
      </c>
      <c r="EA247" s="100">
        <f>'Policy Data'!N221</f>
        <v>5.8120000000000003E-3</v>
      </c>
      <c r="EB247" s="93" cm="1">
        <f t="array" ref="EB247">IFERROR(DZ247*INDEX(Mortality!$B$4:$E$64,MATCH(D247+DY247-1,Mortality!$A$4:$A$64,0),U247)*V247,0)</f>
        <v>8.0037470387324065E-3</v>
      </c>
      <c r="EC247" s="100">
        <f>'Policy Data'!O221</f>
        <v>0</v>
      </c>
      <c r="ED247" s="400">
        <f>'Policy Data'!Q221</f>
        <v>0</v>
      </c>
    </row>
    <row r="248" spans="1:134" x14ac:dyDescent="0.3">
      <c r="A248" s="399" t="str">
        <f>'Policy Data'!A222</f>
        <v>POL100218</v>
      </c>
      <c r="B248" s="26" t="s">
        <v>426</v>
      </c>
      <c r="C248" s="100" t="str">
        <f>'Policy Data'!B222</f>
        <v>Term Life</v>
      </c>
      <c r="D248" s="100">
        <f>'Policy Data'!C222</f>
        <v>61</v>
      </c>
      <c r="E248" s="100" t="str">
        <f>'Policy Data'!D222</f>
        <v>Female</v>
      </c>
      <c r="F248" s="100" t="str">
        <f>'Policy Data'!E222</f>
        <v>Non-smoker</v>
      </c>
      <c r="G248" s="100" t="str">
        <f>'Policy Data'!F222</f>
        <v>Standard</v>
      </c>
      <c r="H248" s="100">
        <f>'Policy Data'!G222</f>
        <v>20</v>
      </c>
      <c r="I248" s="279">
        <f>'Policy Data'!H222</f>
        <v>250000</v>
      </c>
      <c r="J248" s="100" t="str">
        <f>'Policy Data'!I222</f>
        <v>Monthly</v>
      </c>
      <c r="K248" s="100" t="str">
        <f>'Policy Data'!J222</f>
        <v>Direct</v>
      </c>
      <c r="L248" s="26" t="s">
        <v>389</v>
      </c>
      <c r="M248" s="106">
        <f>'Policy Data'!R222</f>
        <v>1964.92</v>
      </c>
      <c r="N248" s="415">
        <f>Assumptions!$C$21</f>
        <v>1</v>
      </c>
      <c r="O248" s="415">
        <f>Assumptions!$C$22</f>
        <v>1</v>
      </c>
      <c r="P248" s="415">
        <f>Assumptions!$C$23</f>
        <v>1</v>
      </c>
      <c r="Q248" s="416">
        <f>Assumptions!$C$24</f>
        <v>0</v>
      </c>
      <c r="R248" s="416">
        <f>Assumptions!$C$6+Assumptions!$C$25</f>
        <v>3.5000000000000003E-2</v>
      </c>
      <c r="S248" s="416">
        <f>Assumptions!$C$15</f>
        <v>1.1000000000000001E-3</v>
      </c>
      <c r="T248" s="26">
        <f t="shared" si="72"/>
        <v>1</v>
      </c>
      <c r="U248" s="26">
        <f t="shared" si="73"/>
        <v>1</v>
      </c>
      <c r="V248" s="389">
        <f>IF($G248="Preferred",Assumptions!$C$30,IF($G248="Rated",Assumptions!$C$31,1))</f>
        <v>1</v>
      </c>
      <c r="W248" s="390">
        <f>IF($K248="Direct",Assumptions!$C$32,IF($K248="Broker",Assumptions!$C$33,IF($K248="Bancassurance",Assumptions!$C$34,Assumptions!$C$11)))+$Q248</f>
        <v>0.1</v>
      </c>
      <c r="X248" s="390">
        <f>Assumptions!$C$12+$Q248</f>
        <v>0.05</v>
      </c>
      <c r="Y248" s="131">
        <f>MIN($I248,Assumptions!$C$14)</f>
        <v>250000</v>
      </c>
      <c r="Z248" s="131">
        <f>MAX($I248-Assumptions!$C$14,0)</f>
        <v>0</v>
      </c>
      <c r="AA248" s="389">
        <f t="shared" si="74"/>
        <v>8.2135850725511155</v>
      </c>
      <c r="AB248" s="389">
        <f t="shared" si="75"/>
        <v>7.1087120897922698E-2</v>
      </c>
      <c r="AC248" s="389">
        <f>IF($T248=1,SUMPRODUCT($CJ248:$DW248,(1+Assumptions!$C$5)^($CJ$5:$DW$5-1),(1+$R248)^(-$CJ$5:$DW$5)),0)</f>
        <v>10.937684085641665</v>
      </c>
      <c r="AD248" s="389">
        <f t="shared" si="76"/>
        <v>0.45898843237151721</v>
      </c>
      <c r="AE248" s="131">
        <f>IF($T248=1,$AB248*$Y248+(Assumptions!$C$9/(1+$R248)+Assumptions!$C$10*$AC248)*$P248+$S248*$Z248*$AA248,0)</f>
        <v>21047.635940713146</v>
      </c>
      <c r="AF248" s="131">
        <f>IF($T248=1,IF($AA248-$AD248-Assumptions!$C$16*$AA248&gt;0,$AE248/($AA248-$AD248-Assumptions!$C$16*$AA248)*IF($J248="Monthly",1+Assumptions!$C$29,1),"n.a."),"")</f>
        <v>3054.4607228208265</v>
      </c>
      <c r="AG248" s="131">
        <f t="shared" si="77"/>
        <v>1964.92</v>
      </c>
      <c r="AH248" s="131">
        <f t="shared" si="78"/>
        <v>16139.037580757138</v>
      </c>
      <c r="AI248" s="131">
        <f t="shared" si="79"/>
        <v>-5810.4739104914479</v>
      </c>
      <c r="AJ248" s="390">
        <f t="shared" si="80"/>
        <v>-0.36002604748993083</v>
      </c>
      <c r="AK248" s="389">
        <f t="shared" si="81"/>
        <v>0.64329522567419883</v>
      </c>
      <c r="AL248" s="131">
        <f t="shared" si="82"/>
        <v>0</v>
      </c>
      <c r="AM248" s="131">
        <f t="shared" si="83"/>
        <v>0</v>
      </c>
      <c r="AN248" s="131">
        <f t="shared" si="84"/>
        <v>0</v>
      </c>
      <c r="AO248" s="131">
        <f t="shared" si="85"/>
        <v>-5810.4739104914479</v>
      </c>
      <c r="AP248" s="26" t="str">
        <f t="shared" si="86"/>
        <v>60+</v>
      </c>
      <c r="AQ248" s="26" t="str">
        <f t="shared" si="87"/>
        <v>Up to 250k</v>
      </c>
      <c r="AR248" s="26" t="str">
        <f>IF($T248=1,IF($AI248&lt;0,"Loss-making",IF($AJ248&lt;Assumptions!$C$16-0.00001,"Below target","At/above target")),"Excluded")</f>
        <v>Loss-making</v>
      </c>
      <c r="AS248" s="103">
        <f t="shared" si="88"/>
        <v>-5810.4736624914476</v>
      </c>
      <c r="AT248" s="26"/>
      <c r="AU248" s="419">
        <f>IF(AND($T248=1,AU$5&lt;=$H248),INDEX(Mortality!$B$4:$E$64,MATCH($D248+AU$5-1,Mortality!$A$4:$A$64,0),$U248)*$V248*$N248,0)</f>
        <v>4.5675336398272801E-3</v>
      </c>
      <c r="AV248" s="93">
        <f>IF(AND($T248=1,AV$5&lt;=$H248),INDEX(Mortality!$B$4:$E$64,MATCH($D248+AV$5-1,Mortality!$A$4:$A$64,0),$U248)*$V248*$N248,0)</f>
        <v>4.9479501231952296E-3</v>
      </c>
      <c r="AW248" s="93">
        <f>IF(AND($T248=1,AW$5&lt;=$H248),INDEX(Mortality!$B$4:$E$64,MATCH($D248+AW$5-1,Mortality!$A$4:$A$64,0),$U248)*$V248*$N248,0)</f>
        <v>5.36005037995811E-3</v>
      </c>
      <c r="AX248" s="93">
        <f>IF(AND($T248=1,AX$5&lt;=$H248),INDEX(Mortality!$B$4:$E$64,MATCH($D248+AX$5-1,Mortality!$A$4:$A$64,0),$U248)*$V248*$N248,0)</f>
        <v>5.8064732586948697E-3</v>
      </c>
      <c r="AY248" s="93">
        <f>IF(AND($T248=1,AY$5&lt;=$H248),INDEX(Mortality!$B$4:$E$64,MATCH($D248+AY$5-1,Mortality!$A$4:$A$64,0),$U248)*$V248*$N248,0)</f>
        <v>6.2900773899446198E-3</v>
      </c>
      <c r="AZ248" s="93">
        <f>IF(AND($T248=1,AZ$5&lt;=$H248),INDEX(Mortality!$B$4:$E$64,MATCH($D248+AZ$5-1,Mortality!$A$4:$A$64,0),$U248)*$V248*$N248,0)</f>
        <v>6.8139594912016701E-3</v>
      </c>
      <c r="BA248" s="93">
        <f>IF(AND($T248=1,BA$5&lt;=$H248),INDEX(Mortality!$B$4:$E$64,MATCH($D248+BA$5-1,Mortality!$A$4:$A$64,0),$U248)*$V248*$N248,0)</f>
        <v>7.3814741964798002E-3</v>
      </c>
      <c r="BB248" s="93">
        <f>IF(AND($T248=1,BB$5&lt;=$H248),INDEX(Mortality!$B$4:$E$64,MATCH($D248+BB$5-1,Mortality!$A$4:$A$64,0),$U248)*$V248*$N248,0)</f>
        <v>7.9962555374229801E-3</v>
      </c>
      <c r="BC248" s="93">
        <f>IF(AND($T248=1,BC$5&lt;=$H248),INDEX(Mortality!$B$4:$E$64,MATCH($D248+BC$5-1,Mortality!$A$4:$A$64,0),$U248)*$V248*$N248,0)</f>
        <v>8.6622402135145896E-3</v>
      </c>
      <c r="BD248" s="93">
        <f>IF(AND($T248=1,BD$5&lt;=$H248),INDEX(Mortality!$B$4:$E$64,MATCH($D248+BD$5-1,Mortality!$A$4:$A$64,0),$U248)*$V248*$N248,0)</f>
        <v>9.3836928003943297E-3</v>
      </c>
      <c r="BE248" s="93">
        <f>IF(AND($T248=1,BE$5&lt;=$H248),INDEX(Mortality!$B$4:$E$64,MATCH($D248+BE$5-1,Mortality!$A$4:$A$64,0),$U248)*$V248*$N248,0)</f>
        <v>1.0165233057701799E-2</v>
      </c>
      <c r="BF248" s="93">
        <f>IF(AND($T248=1,BF$5&lt;=$H248),INDEX(Mortality!$B$4:$E$64,MATCH($D248+BF$5-1,Mortality!$A$4:$A$64,0),$U248)*$V248*$N248,0)</f>
        <v>1.1011865511310301E-2</v>
      </c>
      <c r="BG248" s="93">
        <f>IF(AND($T248=1,BG$5&lt;=$H248),INDEX(Mortality!$B$4:$E$64,MATCH($D248+BG$5-1,Mortality!$A$4:$A$64,0),$U248)*$V248*$N248,0)</f>
        <v>1.19290114993784E-2</v>
      </c>
      <c r="BH248" s="93">
        <f>IF(AND($T248=1,BH$5&lt;=$H248),INDEX(Mortality!$B$4:$E$64,MATCH($D248+BH$5-1,Mortality!$A$4:$A$64,0),$U248)*$V248*$N248,0)</f>
        <v>1.29225438874225E-2</v>
      </c>
      <c r="BI248" s="93">
        <f>IF(AND($T248=1,BI$5&lt;=$H248),INDEX(Mortality!$B$4:$E$64,MATCH($D248+BI$5-1,Mortality!$A$4:$A$64,0),$U248)*$V248*$N248,0)</f>
        <v>1.3998824674706801E-2</v>
      </c>
      <c r="BJ248" s="93">
        <f>IF(AND($T248=1,BJ$5&lt;=$H248),INDEX(Mortality!$B$4:$E$64,MATCH($D248+BJ$5-1,Mortality!$A$4:$A$64,0),$U248)*$V248*$N248,0)</f>
        <v>1.5164745732759E-2</v>
      </c>
      <c r="BK248" s="93">
        <f>IF(AND($T248=1,BK$5&lt;=$H248),INDEX(Mortality!$B$4:$E$64,MATCH($D248+BK$5-1,Mortality!$A$4:$A$64,0),$U248)*$V248*$N248,0)</f>
        <v>1.6427772936876899E-2</v>
      </c>
      <c r="BL248" s="93">
        <f>IF(AND($T248=1,BL$5&lt;=$H248),INDEX(Mortality!$B$4:$E$64,MATCH($D248+BL$5-1,Mortality!$A$4:$A$64,0),$U248)*$V248*$N248,0)</f>
        <v>1.77959939732194E-2</v>
      </c>
      <c r="BM248" s="93">
        <f>IF(AND($T248=1,BM$5&lt;=$H248),INDEX(Mortality!$B$4:$E$64,MATCH($D248+BM$5-1,Mortality!$A$4:$A$64,0),$U248)*$V248*$N248,0)</f>
        <v>1.92781701276101E-2</v>
      </c>
      <c r="BN248" s="93">
        <f>IF(AND($T248=1,BN$5&lt;=$H248),INDEX(Mortality!$B$4:$E$64,MATCH($D248+BN$5-1,Mortality!$A$4:$A$64,0),$U248)*$V248*$N248,0)</f>
        <v>2.0883792387677701E-2</v>
      </c>
      <c r="BO248" s="93">
        <f>IF(AND($T248=1,BO$5&lt;=$H248),INDEX(Mortality!$B$4:$E$64,MATCH($D248+BO$5-1,Mortality!$A$4:$A$64,0),$U248)*$V248*$N248,0)</f>
        <v>0</v>
      </c>
      <c r="BP248" s="93">
        <f>IF(AND($T248=1,BP$5&lt;=$H248),INDEX(Mortality!$B$4:$E$64,MATCH($D248+BP$5-1,Mortality!$A$4:$A$64,0),$U248)*$V248*$N248,0)</f>
        <v>0</v>
      </c>
      <c r="BQ248" s="93">
        <f>IF(AND($T248=1,BQ$5&lt;=$H248),INDEX(Mortality!$B$4:$E$64,MATCH($D248+BQ$5-1,Mortality!$A$4:$A$64,0),$U248)*$V248*$N248,0)</f>
        <v>0</v>
      </c>
      <c r="BR248" s="93">
        <f>IF(AND($T248=1,BR$5&lt;=$H248),INDEX(Mortality!$B$4:$E$64,MATCH($D248+BR$5-1,Mortality!$A$4:$A$64,0),$U248)*$V248*$N248,0)</f>
        <v>0</v>
      </c>
      <c r="BS248" s="93">
        <f>IF(AND($T248=1,BS$5&lt;=$H248),INDEX(Mortality!$B$4:$E$64,MATCH($D248+BS$5-1,Mortality!$A$4:$A$64,0),$U248)*$V248*$N248,0)</f>
        <v>0</v>
      </c>
      <c r="BT248" s="93">
        <f>IF(AND($T248=1,BT$5&lt;=$H248),INDEX(Mortality!$B$4:$E$64,MATCH($D248+BT$5-1,Mortality!$A$4:$A$64,0),$U248)*$V248*$N248,0)</f>
        <v>0</v>
      </c>
      <c r="BU248" s="93">
        <f>IF(AND($T248=1,BU$5&lt;=$H248),INDEX(Mortality!$B$4:$E$64,MATCH($D248+BU$5-1,Mortality!$A$4:$A$64,0),$U248)*$V248*$N248,0)</f>
        <v>0</v>
      </c>
      <c r="BV248" s="93">
        <f>IF(AND($T248=1,BV$5&lt;=$H248),INDEX(Mortality!$B$4:$E$64,MATCH($D248+BV$5-1,Mortality!$A$4:$A$64,0),$U248)*$V248*$N248,0)</f>
        <v>0</v>
      </c>
      <c r="BW248" s="93">
        <f>IF(AND($T248=1,BW$5&lt;=$H248),INDEX(Mortality!$B$4:$E$64,MATCH($D248+BW$5-1,Mortality!$A$4:$A$64,0),$U248)*$V248*$N248,0)</f>
        <v>0</v>
      </c>
      <c r="BX248" s="93">
        <f>IF(AND($T248=1,BX$5&lt;=$H248),INDEX(Mortality!$B$4:$E$64,MATCH($D248+BX$5-1,Mortality!$A$4:$A$64,0),$U248)*$V248*$N248,0)</f>
        <v>0</v>
      </c>
      <c r="BY248" s="93">
        <f>IF(AND($T248=1,BY$5&lt;=$H248),INDEX(Mortality!$B$4:$E$64,MATCH($D248+BY$5-1,Mortality!$A$4:$A$64,0),$U248)*$V248*$N248,0)</f>
        <v>0</v>
      </c>
      <c r="BZ248" s="93">
        <f>IF(AND($T248=1,BZ$5&lt;=$H248),INDEX(Mortality!$B$4:$E$64,MATCH($D248+BZ$5-1,Mortality!$A$4:$A$64,0),$U248)*$V248*$N248,0)</f>
        <v>0</v>
      </c>
      <c r="CA248" s="93">
        <f>IF(AND($T248=1,CA$5&lt;=$H248),INDEX(Mortality!$B$4:$E$64,MATCH($D248+CA$5-1,Mortality!$A$4:$A$64,0),$U248)*$V248*$N248,0)</f>
        <v>0</v>
      </c>
      <c r="CB248" s="93">
        <f>IF(AND($T248=1,CB$5&lt;=$H248),INDEX(Mortality!$B$4:$E$64,MATCH($D248+CB$5-1,Mortality!$A$4:$A$64,0),$U248)*$V248*$N248,0)</f>
        <v>0</v>
      </c>
      <c r="CC248" s="93">
        <f>IF(AND($T248=1,CC$5&lt;=$H248),INDEX(Mortality!$B$4:$E$64,MATCH($D248+CC$5-1,Mortality!$A$4:$A$64,0),$U248)*$V248*$N248,0)</f>
        <v>0</v>
      </c>
      <c r="CD248" s="93">
        <f>IF(AND($T248=1,CD$5&lt;=$H248),INDEX(Mortality!$B$4:$E$64,MATCH($D248+CD$5-1,Mortality!$A$4:$A$64,0),$U248)*$V248*$N248,0)</f>
        <v>0</v>
      </c>
      <c r="CE248" s="93">
        <f>IF(AND($T248=1,CE$5&lt;=$H248),INDEX(Mortality!$B$4:$E$64,MATCH($D248+CE$5-1,Mortality!$A$4:$A$64,0),$U248)*$V248*$N248,0)</f>
        <v>0</v>
      </c>
      <c r="CF248" s="93">
        <f>IF(AND($T248=1,CF$5&lt;=$H248),INDEX(Mortality!$B$4:$E$64,MATCH($D248+CF$5-1,Mortality!$A$4:$A$64,0),$U248)*$V248*$N248,0)</f>
        <v>0</v>
      </c>
      <c r="CG248" s="93">
        <f>IF(AND($T248=1,CG$5&lt;=$H248),INDEX(Mortality!$B$4:$E$64,MATCH($D248+CG$5-1,Mortality!$A$4:$A$64,0),$U248)*$V248*$N248,0)</f>
        <v>0</v>
      </c>
      <c r="CH248" s="94">
        <f>IF(AND($T248=1,CH$5&lt;=$H248),INDEX(Mortality!$B$4:$E$64,MATCH($D248+CH$5-1,Mortality!$A$4:$A$64,0),$U248)*$V248*$N248,0)</f>
        <v>0</v>
      </c>
      <c r="CI248" s="26"/>
      <c r="CJ248" s="419">
        <f t="shared" si="89"/>
        <v>1</v>
      </c>
      <c r="CK248" s="93">
        <f>IF(AND($T248=1,CK$5&lt;=$H248),CJ248*(1-AU248)*(1-MIN(1,MAX(Assumptions!$C$27,Assumptions!$C$13*Assumptions!$C$28^(CJ$5-1))*$O248)),0)</f>
        <v>0.87598057039695199</v>
      </c>
      <c r="CL248" s="93">
        <f>IF(AND($T248=1,CL$5&lt;=$H248),CK248*(1-AV248)*(1-MIN(1,MAX(Assumptions!$C$27,Assumptions!$C$13*Assumptions!$C$28^(CK$5-1))*$O248)),0)</f>
        <v>0.78273834347871429</v>
      </c>
      <c r="CM248" s="93">
        <f>IF(AND($T248=1,CM$5&lt;=$H248),CL248*(1-AW248)*(1-MIN(1,MAX(Assumptions!$C$27,Assumptions!$C$13*Assumptions!$C$28^(CL$5-1))*$O248)),0)</f>
        <v>0.7110431634637695</v>
      </c>
      <c r="CN248" s="93">
        <f>IF(AND($T248=1,CN$5&lt;=$H248),CM248*(1-AX248)*(1-MIN(1,MAX(Assumptions!$C$27,Assumptions!$C$13*Assumptions!$C$28^(CM$5-1))*$O248)),0)</f>
        <v>0.6548184455091447</v>
      </c>
      <c r="CO248" s="93">
        <f>IF(AND($T248=1,CO$5&lt;=$H248),CN248*(1-AY248)*(1-MIN(1,MAX(Assumptions!$C$27,Assumptions!$C$13*Assumptions!$C$28^(CN$5-1))*$O248)),0)</f>
        <v>0.60993927666802727</v>
      </c>
      <c r="CP248" s="93">
        <f>IF(AND($T248=1,CP$5&lt;=$H248),CO248*(1-AZ248)*(1-MIN(1,MAX(Assumptions!$C$27,Assumptions!$C$13*Assumptions!$C$28^(CO$5-1))*$O248)),0)</f>
        <v>0.57352846958053894</v>
      </c>
      <c r="CQ248" s="93">
        <f>IF(AND($T248=1,CQ$5&lt;=$H248),CP248*(1-BA248)*(1-MIN(1,MAX(Assumptions!$C$27,Assumptions!$C$13*Assumptions!$C$28^(CP$5-1))*$O248)),0)</f>
        <v>0.54352986468662512</v>
      </c>
      <c r="CR248" s="93">
        <f>IF(AND($T248=1,CR$5&lt;=$H248),CQ248*(1-BB248)*(1-MIN(1,MAX(Assumptions!$C$27,Assumptions!$C$13*Assumptions!$C$28^(CQ$5-1))*$O248)),0)</f>
        <v>0.51844166962544502</v>
      </c>
      <c r="CS248" s="93">
        <f>IF(AND($T248=1,CS$5&lt;=$H248),CR248*(1-BC248)*(1-MIN(1,MAX(Assumptions!$C$27,Assumptions!$C$13*Assumptions!$C$28^(CR$5-1))*$O248)),0)</f>
        <v>0.49714519643667904</v>
      </c>
      <c r="CT248" s="93">
        <f>IF(AND($T248=1,CT$5&lt;=$H248),CS248*(1-BD248)*(1-MIN(1,MAX(Assumptions!$C$27,Assumptions!$C$13*Assumptions!$C$28^(CS$5-1))*$O248)),0)</f>
        <v>0.47879212913820224</v>
      </c>
      <c r="CU248" s="93">
        <f>IF(AND($T248=1,CU$5&lt;=$H248),CT248*(1-BE248)*(1-MIN(1,MAX(Assumptions!$C$27,Assumptions!$C$13*Assumptions!$C$28^(CT$5-1))*$O248)),0)</f>
        <v>0.46272864905247585</v>
      </c>
      <c r="CV248" s="93">
        <f>IF(AND($T248=1,CV$5&lt;=$H248),CU248*(1-BF248)*(1-MIN(1,MAX(Assumptions!$C$27,Assumptions!$C$13*Assumptions!$C$28^(CU$5-1))*$O248)),0)</f>
        <v>0.44844332564449035</v>
      </c>
      <c r="CW248" s="93">
        <f>IF(AND($T248=1,CW$5&lt;=$H248),CV248*(1-BG248)*(1-MIN(1,MAX(Assumptions!$C$27,Assumptions!$C$13*Assumptions!$C$28^(CV$5-1))*$O248)),0)</f>
        <v>0.43423196325493657</v>
      </c>
      <c r="CX248" s="93">
        <f>IF(AND($T248=1,CX$5&lt;=$H248),CW248*(1-BH248)*(1-MIN(1,MAX(Assumptions!$C$27,Assumptions!$C$13*Assumptions!$C$28^(CW$5-1))*$O248)),0)</f>
        <v>0.42004817001940392</v>
      </c>
      <c r="CY248" s="93">
        <f>IF(AND($T248=1,CY$5&lt;=$H248),CX248*(1-BI248)*(1-MIN(1,MAX(Assumptions!$C$27,Assumptions!$C$13*Assumptions!$C$28^(CX$5-1))*$O248)),0)</f>
        <v>0.40588462954572346</v>
      </c>
      <c r="CZ248" s="93">
        <f>IF(AND($T248=1,CZ$5&lt;=$H248),CY248*(1-BJ248)*(1-MIN(1,MAX(Assumptions!$C$27,Assumptions!$C$13*Assumptions!$C$28^(CY$5-1))*$O248)),0)</f>
        <v>0.39173490249499093</v>
      </c>
      <c r="DA248" s="93">
        <f>IF(AND($T248=1,DA$5&lt;=$H248),CZ248*(1-BK248)*(1-MIN(1,MAX(Assumptions!$C$27,Assumptions!$C$13*Assumptions!$C$28^(CZ$5-1))*$O248)),0)</f>
        <v>0.37759357905604657</v>
      </c>
      <c r="DB248" s="93">
        <f>IF(AND($T248=1,DB$5&lt;=$H248),DA248*(1-BL248)*(1-MIN(1,MAX(Assumptions!$C$27,Assumptions!$C$13*Assumptions!$C$28^(DA$5-1))*$O248)),0)</f>
        <v>0.36345644747886208</v>
      </c>
      <c r="DC248" s="93">
        <f>IF(AND($T248=1,DC$5&lt;=$H248),DB248*(1-BM248)*(1-MIN(1,MAX(Assumptions!$C$27,Assumptions!$C$13*Assumptions!$C$28^(DB$5-1))*$O248)),0)</f>
        <v>0.34932067880537998</v>
      </c>
      <c r="DD248" s="93">
        <f>IF(AND($T248=1,DD$5&lt;=$H248),DC248*(1-BN248)*(1-MIN(1,MAX(Assumptions!$C$27,Assumptions!$C$13*Assumptions!$C$28^(DC$5-1))*$O248)),0)</f>
        <v>0</v>
      </c>
      <c r="DE248" s="93">
        <f>IF(AND($T248=1,DE$5&lt;=$H248),DD248*(1-BO248)*(1-MIN(1,MAX(Assumptions!$C$27,Assumptions!$C$13*Assumptions!$C$28^(DD$5-1))*$O248)),0)</f>
        <v>0</v>
      </c>
      <c r="DF248" s="93">
        <f>IF(AND($T248=1,DF$5&lt;=$H248),DE248*(1-BP248)*(1-MIN(1,MAX(Assumptions!$C$27,Assumptions!$C$13*Assumptions!$C$28^(DE$5-1))*$O248)),0)</f>
        <v>0</v>
      </c>
      <c r="DG248" s="93">
        <f>IF(AND($T248=1,DG$5&lt;=$H248),DF248*(1-BQ248)*(1-MIN(1,MAX(Assumptions!$C$27,Assumptions!$C$13*Assumptions!$C$28^(DF$5-1))*$O248)),0)</f>
        <v>0</v>
      </c>
      <c r="DH248" s="93">
        <f>IF(AND($T248=1,DH$5&lt;=$H248),DG248*(1-BR248)*(1-MIN(1,MAX(Assumptions!$C$27,Assumptions!$C$13*Assumptions!$C$28^(DG$5-1))*$O248)),0)</f>
        <v>0</v>
      </c>
      <c r="DI248" s="93">
        <f>IF(AND($T248=1,DI$5&lt;=$H248),DH248*(1-BS248)*(1-MIN(1,MAX(Assumptions!$C$27,Assumptions!$C$13*Assumptions!$C$28^(DH$5-1))*$O248)),0)</f>
        <v>0</v>
      </c>
      <c r="DJ248" s="93">
        <f>IF(AND($T248=1,DJ$5&lt;=$H248),DI248*(1-BT248)*(1-MIN(1,MAX(Assumptions!$C$27,Assumptions!$C$13*Assumptions!$C$28^(DI$5-1))*$O248)),0)</f>
        <v>0</v>
      </c>
      <c r="DK248" s="93">
        <f>IF(AND($T248=1,DK$5&lt;=$H248),DJ248*(1-BU248)*(1-MIN(1,MAX(Assumptions!$C$27,Assumptions!$C$13*Assumptions!$C$28^(DJ$5-1))*$O248)),0)</f>
        <v>0</v>
      </c>
      <c r="DL248" s="93">
        <f>IF(AND($T248=1,DL$5&lt;=$H248),DK248*(1-BV248)*(1-MIN(1,MAX(Assumptions!$C$27,Assumptions!$C$13*Assumptions!$C$28^(DK$5-1))*$O248)),0)</f>
        <v>0</v>
      </c>
      <c r="DM248" s="93">
        <f>IF(AND($T248=1,DM$5&lt;=$H248),DL248*(1-BW248)*(1-MIN(1,MAX(Assumptions!$C$27,Assumptions!$C$13*Assumptions!$C$28^(DL$5-1))*$O248)),0)</f>
        <v>0</v>
      </c>
      <c r="DN248" s="93">
        <f>IF(AND($T248=1,DN$5&lt;=$H248),DM248*(1-BX248)*(1-MIN(1,MAX(Assumptions!$C$27,Assumptions!$C$13*Assumptions!$C$28^(DM$5-1))*$O248)),0)</f>
        <v>0</v>
      </c>
      <c r="DO248" s="93">
        <f>IF(AND($T248=1,DO$5&lt;=$H248),DN248*(1-BY248)*(1-MIN(1,MAX(Assumptions!$C$27,Assumptions!$C$13*Assumptions!$C$28^(DN$5-1))*$O248)),0)</f>
        <v>0</v>
      </c>
      <c r="DP248" s="93">
        <f>IF(AND($T248=1,DP$5&lt;=$H248),DO248*(1-BZ248)*(1-MIN(1,MAX(Assumptions!$C$27,Assumptions!$C$13*Assumptions!$C$28^(DO$5-1))*$O248)),0)</f>
        <v>0</v>
      </c>
      <c r="DQ248" s="93">
        <f>IF(AND($T248=1,DQ$5&lt;=$H248),DP248*(1-CA248)*(1-MIN(1,MAX(Assumptions!$C$27,Assumptions!$C$13*Assumptions!$C$28^(DP$5-1))*$O248)),0)</f>
        <v>0</v>
      </c>
      <c r="DR248" s="93">
        <f>IF(AND($T248=1,DR$5&lt;=$H248),DQ248*(1-CB248)*(1-MIN(1,MAX(Assumptions!$C$27,Assumptions!$C$13*Assumptions!$C$28^(DQ$5-1))*$O248)),0)</f>
        <v>0</v>
      </c>
      <c r="DS248" s="93">
        <f>IF(AND($T248=1,DS$5&lt;=$H248),DR248*(1-CC248)*(1-MIN(1,MAX(Assumptions!$C$27,Assumptions!$C$13*Assumptions!$C$28^(DR$5-1))*$O248)),0)</f>
        <v>0</v>
      </c>
      <c r="DT248" s="93">
        <f>IF(AND($T248=1,DT$5&lt;=$H248),DS248*(1-CD248)*(1-MIN(1,MAX(Assumptions!$C$27,Assumptions!$C$13*Assumptions!$C$28^(DS$5-1))*$O248)),0)</f>
        <v>0</v>
      </c>
      <c r="DU248" s="93">
        <f>IF(AND($T248=1,DU$5&lt;=$H248),DT248*(1-CE248)*(1-MIN(1,MAX(Assumptions!$C$27,Assumptions!$C$13*Assumptions!$C$28^(DT$5-1))*$O248)),0)</f>
        <v>0</v>
      </c>
      <c r="DV248" s="93">
        <f>IF(AND($T248=1,DV$5&lt;=$H248),DU248*(1-CF248)*(1-MIN(1,MAX(Assumptions!$C$27,Assumptions!$C$13*Assumptions!$C$28^(DU$5-1))*$O248)),0)</f>
        <v>0</v>
      </c>
      <c r="DW248" s="94">
        <f>IF(AND($T248=1,DW$5&lt;=$H248),DV248*(1-CG248)*(1-MIN(1,MAX(Assumptions!$C$27,Assumptions!$C$13*Assumptions!$C$28^(DV$5-1))*$O248)),0)</f>
        <v>0</v>
      </c>
      <c r="DX248" s="26"/>
      <c r="DY248" s="399">
        <f>'Policy Data'!K222</f>
        <v>1</v>
      </c>
      <c r="DZ248" s="100">
        <f>'Policy Data'!L222</f>
        <v>0.56610000000000005</v>
      </c>
      <c r="EA248" s="100">
        <f>'Policy Data'!N222</f>
        <v>2.5860000000000002E-3</v>
      </c>
      <c r="EB248" s="93" cm="1">
        <f t="array" ref="EB248">IFERROR(DZ248*INDEX(Mortality!$B$4:$E$64,MATCH(D248+DY248-1,Mortality!$A$4:$A$64,0),U248)*V248,0)</f>
        <v>2.5856807935062233E-3</v>
      </c>
      <c r="EC248" s="100">
        <f>'Policy Data'!O222</f>
        <v>0</v>
      </c>
      <c r="ED248" s="400">
        <f>'Policy Data'!Q222</f>
        <v>0</v>
      </c>
    </row>
    <row r="249" spans="1:134" x14ac:dyDescent="0.3">
      <c r="A249" s="399" t="str">
        <f>'Policy Data'!A223</f>
        <v>POL100219</v>
      </c>
      <c r="B249" s="26" t="s">
        <v>426</v>
      </c>
      <c r="C249" s="100" t="str">
        <f>'Policy Data'!B223</f>
        <v>Term Life</v>
      </c>
      <c r="D249" s="100">
        <f>'Policy Data'!C223</f>
        <v>65</v>
      </c>
      <c r="E249" s="100" t="str">
        <f>'Policy Data'!D223</f>
        <v>Female</v>
      </c>
      <c r="F249" s="100" t="str">
        <f>'Policy Data'!E223</f>
        <v>Non-smoker</v>
      </c>
      <c r="G249" s="100" t="str">
        <f>'Policy Data'!F223</f>
        <v>Standard</v>
      </c>
      <c r="H249" s="100">
        <f>'Policy Data'!G223</f>
        <v>25</v>
      </c>
      <c r="I249" s="279">
        <f>'Policy Data'!H223</f>
        <v>250000</v>
      </c>
      <c r="J249" s="100" t="str">
        <f>'Policy Data'!I223</f>
        <v>Monthly</v>
      </c>
      <c r="K249" s="100" t="str">
        <f>'Policy Data'!J223</f>
        <v>Direct</v>
      </c>
      <c r="L249" s="26" t="s">
        <v>389</v>
      </c>
      <c r="M249" s="106">
        <f>'Policy Data'!R223</f>
        <v>2473.0700000000002</v>
      </c>
      <c r="N249" s="415">
        <f>Assumptions!$C$21</f>
        <v>1</v>
      </c>
      <c r="O249" s="415">
        <f>Assumptions!$C$22</f>
        <v>1</v>
      </c>
      <c r="P249" s="415">
        <f>Assumptions!$C$23</f>
        <v>1</v>
      </c>
      <c r="Q249" s="416">
        <f>Assumptions!$C$24</f>
        <v>0</v>
      </c>
      <c r="R249" s="416">
        <f>Assumptions!$C$6+Assumptions!$C$25</f>
        <v>3.5000000000000003E-2</v>
      </c>
      <c r="S249" s="416">
        <f>Assumptions!$C$15</f>
        <v>1.1000000000000001E-3</v>
      </c>
      <c r="T249" s="26">
        <f t="shared" si="72"/>
        <v>0</v>
      </c>
      <c r="U249" s="26">
        <f t="shared" si="73"/>
        <v>1</v>
      </c>
      <c r="V249" s="389">
        <f>IF($G249="Preferred",Assumptions!$C$30,IF($G249="Rated",Assumptions!$C$31,1))</f>
        <v>1</v>
      </c>
      <c r="W249" s="390">
        <f>IF($K249="Direct",Assumptions!$C$32,IF($K249="Broker",Assumptions!$C$33,IF($K249="Bancassurance",Assumptions!$C$34,Assumptions!$C$11)))+$Q249</f>
        <v>0.1</v>
      </c>
      <c r="X249" s="390">
        <f>Assumptions!$C$12+$Q249</f>
        <v>0.05</v>
      </c>
      <c r="Y249" s="131">
        <f>MIN($I249,Assumptions!$C$14)</f>
        <v>250000</v>
      </c>
      <c r="Z249" s="131">
        <f>MAX($I249-Assumptions!$C$14,0)</f>
        <v>0</v>
      </c>
      <c r="AA249" s="389">
        <f t="shared" si="74"/>
        <v>0</v>
      </c>
      <c r="AB249" s="389">
        <f t="shared" si="75"/>
        <v>0</v>
      </c>
      <c r="AC249" s="389">
        <f>IF($T249=1,SUMPRODUCT($CJ249:$DW249,(1+Assumptions!$C$5)^($CJ$5:$DW$5-1),(1+$R249)^(-$CJ$5:$DW$5)),0)</f>
        <v>0</v>
      </c>
      <c r="AD249" s="389">
        <f t="shared" si="76"/>
        <v>0</v>
      </c>
      <c r="AE249" s="131">
        <f>IF($T249=1,$AB249*$Y249+(Assumptions!$C$9/(1+$R249)+Assumptions!$C$10*$AC249)*$P249+$S249*$Z249*$AA249,0)</f>
        <v>0</v>
      </c>
      <c r="AF249" s="131" t="str">
        <f>IF($T249=1,IF($AA249-$AD249-Assumptions!$C$16*$AA249&gt;0,$AE249/($AA249-$AD249-Assumptions!$C$16*$AA249)*IF($J249="Monthly",1+Assumptions!$C$29,1),"n.a."),"")</f>
        <v/>
      </c>
      <c r="AG249" s="131" t="str">
        <f t="shared" si="77"/>
        <v/>
      </c>
      <c r="AH249" s="131" t="str">
        <f t="shared" si="78"/>
        <v/>
      </c>
      <c r="AI249" s="131" t="str">
        <f t="shared" si="79"/>
        <v/>
      </c>
      <c r="AJ249" s="390" t="str">
        <f t="shared" si="80"/>
        <v/>
      </c>
      <c r="AK249" s="389" t="str">
        <f t="shared" si="81"/>
        <v/>
      </c>
      <c r="AL249" s="131" t="str">
        <f t="shared" si="82"/>
        <v/>
      </c>
      <c r="AM249" s="131" t="str">
        <f t="shared" si="83"/>
        <v/>
      </c>
      <c r="AN249" s="131" t="str">
        <f t="shared" si="84"/>
        <v/>
      </c>
      <c r="AO249" s="131" t="str">
        <f t="shared" si="85"/>
        <v/>
      </c>
      <c r="AP249" s="26" t="str">
        <f t="shared" si="86"/>
        <v>60+</v>
      </c>
      <c r="AQ249" s="26" t="str">
        <f t="shared" si="87"/>
        <v>Up to 250k</v>
      </c>
      <c r="AR249" s="26" t="str">
        <f>IF($T249=1,IF($AI249&lt;0,"Loss-making",IF($AJ249&lt;Assumptions!$C$16-0.00001,"Below target","At/above target")),"Excluded")</f>
        <v>Excluded</v>
      </c>
      <c r="AS249" s="103">
        <f t="shared" si="88"/>
        <v>9.9999999999999997E+98</v>
      </c>
      <c r="AT249" s="26"/>
      <c r="AU249" s="419">
        <f>IF(AND($T249=1,AU$5&lt;=$H249),INDEX(Mortality!$B$4:$E$64,MATCH($D249+AU$5-1,Mortality!$A$4:$A$64,0),$U249)*$V249*$N249,0)</f>
        <v>0</v>
      </c>
      <c r="AV249" s="93">
        <f>IF(AND($T249=1,AV$5&lt;=$H249),INDEX(Mortality!$B$4:$E$64,MATCH($D249+AV$5-1,Mortality!$A$4:$A$64,0),$U249)*$V249*$N249,0)</f>
        <v>0</v>
      </c>
      <c r="AW249" s="93">
        <f>IF(AND($T249=1,AW$5&lt;=$H249),INDEX(Mortality!$B$4:$E$64,MATCH($D249+AW$5-1,Mortality!$A$4:$A$64,0),$U249)*$V249*$N249,0)</f>
        <v>0</v>
      </c>
      <c r="AX249" s="93">
        <f>IF(AND($T249=1,AX$5&lt;=$H249),INDEX(Mortality!$B$4:$E$64,MATCH($D249+AX$5-1,Mortality!$A$4:$A$64,0),$U249)*$V249*$N249,0)</f>
        <v>0</v>
      </c>
      <c r="AY249" s="93">
        <f>IF(AND($T249=1,AY$5&lt;=$H249),INDEX(Mortality!$B$4:$E$64,MATCH($D249+AY$5-1,Mortality!$A$4:$A$64,0),$U249)*$V249*$N249,0)</f>
        <v>0</v>
      </c>
      <c r="AZ249" s="93">
        <f>IF(AND($T249=1,AZ$5&lt;=$H249),INDEX(Mortality!$B$4:$E$64,MATCH($D249+AZ$5-1,Mortality!$A$4:$A$64,0),$U249)*$V249*$N249,0)</f>
        <v>0</v>
      </c>
      <c r="BA249" s="93">
        <f>IF(AND($T249=1,BA$5&lt;=$H249),INDEX(Mortality!$B$4:$E$64,MATCH($D249+BA$5-1,Mortality!$A$4:$A$64,0),$U249)*$V249*$N249,0)</f>
        <v>0</v>
      </c>
      <c r="BB249" s="93">
        <f>IF(AND($T249=1,BB$5&lt;=$H249),INDEX(Mortality!$B$4:$E$64,MATCH($D249+BB$5-1,Mortality!$A$4:$A$64,0),$U249)*$V249*$N249,0)</f>
        <v>0</v>
      </c>
      <c r="BC249" s="93">
        <f>IF(AND($T249=1,BC$5&lt;=$H249),INDEX(Mortality!$B$4:$E$64,MATCH($D249+BC$5-1,Mortality!$A$4:$A$64,0),$U249)*$V249*$N249,0)</f>
        <v>0</v>
      </c>
      <c r="BD249" s="93">
        <f>IF(AND($T249=1,BD$5&lt;=$H249),INDEX(Mortality!$B$4:$E$64,MATCH($D249+BD$5-1,Mortality!$A$4:$A$64,0),$U249)*$V249*$N249,0)</f>
        <v>0</v>
      </c>
      <c r="BE249" s="93">
        <f>IF(AND($T249=1,BE$5&lt;=$H249),INDEX(Mortality!$B$4:$E$64,MATCH($D249+BE$5-1,Mortality!$A$4:$A$64,0),$U249)*$V249*$N249,0)</f>
        <v>0</v>
      </c>
      <c r="BF249" s="93">
        <f>IF(AND($T249=1,BF$5&lt;=$H249),INDEX(Mortality!$B$4:$E$64,MATCH($D249+BF$5-1,Mortality!$A$4:$A$64,0),$U249)*$V249*$N249,0)</f>
        <v>0</v>
      </c>
      <c r="BG249" s="93">
        <f>IF(AND($T249=1,BG$5&lt;=$H249),INDEX(Mortality!$B$4:$E$64,MATCH($D249+BG$5-1,Mortality!$A$4:$A$64,0),$U249)*$V249*$N249,0)</f>
        <v>0</v>
      </c>
      <c r="BH249" s="93">
        <f>IF(AND($T249=1,BH$5&lt;=$H249),INDEX(Mortality!$B$4:$E$64,MATCH($D249+BH$5-1,Mortality!$A$4:$A$64,0),$U249)*$V249*$N249,0)</f>
        <v>0</v>
      </c>
      <c r="BI249" s="93">
        <f>IF(AND($T249=1,BI$5&lt;=$H249),INDEX(Mortality!$B$4:$E$64,MATCH($D249+BI$5-1,Mortality!$A$4:$A$64,0),$U249)*$V249*$N249,0)</f>
        <v>0</v>
      </c>
      <c r="BJ249" s="93">
        <f>IF(AND($T249=1,BJ$5&lt;=$H249),INDEX(Mortality!$B$4:$E$64,MATCH($D249+BJ$5-1,Mortality!$A$4:$A$64,0),$U249)*$V249*$N249,0)</f>
        <v>0</v>
      </c>
      <c r="BK249" s="93">
        <f>IF(AND($T249=1,BK$5&lt;=$H249),INDEX(Mortality!$B$4:$E$64,MATCH($D249+BK$5-1,Mortality!$A$4:$A$64,0),$U249)*$V249*$N249,0)</f>
        <v>0</v>
      </c>
      <c r="BL249" s="93">
        <f>IF(AND($T249=1,BL$5&lt;=$H249),INDEX(Mortality!$B$4:$E$64,MATCH($D249+BL$5-1,Mortality!$A$4:$A$64,0),$U249)*$V249*$N249,0)</f>
        <v>0</v>
      </c>
      <c r="BM249" s="93">
        <f>IF(AND($T249=1,BM$5&lt;=$H249),INDEX(Mortality!$B$4:$E$64,MATCH($D249+BM$5-1,Mortality!$A$4:$A$64,0),$U249)*$V249*$N249,0)</f>
        <v>0</v>
      </c>
      <c r="BN249" s="93">
        <f>IF(AND($T249=1,BN$5&lt;=$H249),INDEX(Mortality!$B$4:$E$64,MATCH($D249+BN$5-1,Mortality!$A$4:$A$64,0),$U249)*$V249*$N249,0)</f>
        <v>0</v>
      </c>
      <c r="BO249" s="93">
        <f>IF(AND($T249=1,BO$5&lt;=$H249),INDEX(Mortality!$B$4:$E$64,MATCH($D249+BO$5-1,Mortality!$A$4:$A$64,0),$U249)*$V249*$N249,0)</f>
        <v>0</v>
      </c>
      <c r="BP249" s="93">
        <f>IF(AND($T249=1,BP$5&lt;=$H249),INDEX(Mortality!$B$4:$E$64,MATCH($D249+BP$5-1,Mortality!$A$4:$A$64,0),$U249)*$V249*$N249,0)</f>
        <v>0</v>
      </c>
      <c r="BQ249" s="93">
        <f>IF(AND($T249=1,BQ$5&lt;=$H249),INDEX(Mortality!$B$4:$E$64,MATCH($D249+BQ$5-1,Mortality!$A$4:$A$64,0),$U249)*$V249*$N249,0)</f>
        <v>0</v>
      </c>
      <c r="BR249" s="93">
        <f>IF(AND($T249=1,BR$5&lt;=$H249),INDEX(Mortality!$B$4:$E$64,MATCH($D249+BR$5-1,Mortality!$A$4:$A$64,0),$U249)*$V249*$N249,0)</f>
        <v>0</v>
      </c>
      <c r="BS249" s="93">
        <f>IF(AND($T249=1,BS$5&lt;=$H249),INDEX(Mortality!$B$4:$E$64,MATCH($D249+BS$5-1,Mortality!$A$4:$A$64,0),$U249)*$V249*$N249,0)</f>
        <v>0</v>
      </c>
      <c r="BT249" s="93">
        <f>IF(AND($T249=1,BT$5&lt;=$H249),INDEX(Mortality!$B$4:$E$64,MATCH($D249+BT$5-1,Mortality!$A$4:$A$64,0),$U249)*$V249*$N249,0)</f>
        <v>0</v>
      </c>
      <c r="BU249" s="93">
        <f>IF(AND($T249=1,BU$5&lt;=$H249),INDEX(Mortality!$B$4:$E$64,MATCH($D249+BU$5-1,Mortality!$A$4:$A$64,0),$U249)*$V249*$N249,0)</f>
        <v>0</v>
      </c>
      <c r="BV249" s="93">
        <f>IF(AND($T249=1,BV$5&lt;=$H249),INDEX(Mortality!$B$4:$E$64,MATCH($D249+BV$5-1,Mortality!$A$4:$A$64,0),$U249)*$V249*$N249,0)</f>
        <v>0</v>
      </c>
      <c r="BW249" s="93">
        <f>IF(AND($T249=1,BW$5&lt;=$H249),INDEX(Mortality!$B$4:$E$64,MATCH($D249+BW$5-1,Mortality!$A$4:$A$64,0),$U249)*$V249*$N249,0)</f>
        <v>0</v>
      </c>
      <c r="BX249" s="93">
        <f>IF(AND($T249=1,BX$5&lt;=$H249),INDEX(Mortality!$B$4:$E$64,MATCH($D249+BX$5-1,Mortality!$A$4:$A$64,0),$U249)*$V249*$N249,0)</f>
        <v>0</v>
      </c>
      <c r="BY249" s="93">
        <f>IF(AND($T249=1,BY$5&lt;=$H249),INDEX(Mortality!$B$4:$E$64,MATCH($D249+BY$5-1,Mortality!$A$4:$A$64,0),$U249)*$V249*$N249,0)</f>
        <v>0</v>
      </c>
      <c r="BZ249" s="93">
        <f>IF(AND($T249=1,BZ$5&lt;=$H249),INDEX(Mortality!$B$4:$E$64,MATCH($D249+BZ$5-1,Mortality!$A$4:$A$64,0),$U249)*$V249*$N249,0)</f>
        <v>0</v>
      </c>
      <c r="CA249" s="93">
        <f>IF(AND($T249=1,CA$5&lt;=$H249),INDEX(Mortality!$B$4:$E$64,MATCH($D249+CA$5-1,Mortality!$A$4:$A$64,0),$U249)*$V249*$N249,0)</f>
        <v>0</v>
      </c>
      <c r="CB249" s="93">
        <f>IF(AND($T249=1,CB$5&lt;=$H249),INDEX(Mortality!$B$4:$E$64,MATCH($D249+CB$5-1,Mortality!$A$4:$A$64,0),$U249)*$V249*$N249,0)</f>
        <v>0</v>
      </c>
      <c r="CC249" s="93">
        <f>IF(AND($T249=1,CC$5&lt;=$H249),INDEX(Mortality!$B$4:$E$64,MATCH($D249+CC$5-1,Mortality!$A$4:$A$64,0),$U249)*$V249*$N249,0)</f>
        <v>0</v>
      </c>
      <c r="CD249" s="93">
        <f>IF(AND($T249=1,CD$5&lt;=$H249),INDEX(Mortality!$B$4:$E$64,MATCH($D249+CD$5-1,Mortality!$A$4:$A$64,0),$U249)*$V249*$N249,0)</f>
        <v>0</v>
      </c>
      <c r="CE249" s="93">
        <f>IF(AND($T249=1,CE$5&lt;=$H249),INDEX(Mortality!$B$4:$E$64,MATCH($D249+CE$5-1,Mortality!$A$4:$A$64,0),$U249)*$V249*$N249,0)</f>
        <v>0</v>
      </c>
      <c r="CF249" s="93">
        <f>IF(AND($T249=1,CF$5&lt;=$H249),INDEX(Mortality!$B$4:$E$64,MATCH($D249+CF$5-1,Mortality!$A$4:$A$64,0),$U249)*$V249*$N249,0)</f>
        <v>0</v>
      </c>
      <c r="CG249" s="93">
        <f>IF(AND($T249=1,CG$5&lt;=$H249),INDEX(Mortality!$B$4:$E$64,MATCH($D249+CG$5-1,Mortality!$A$4:$A$64,0),$U249)*$V249*$N249,0)</f>
        <v>0</v>
      </c>
      <c r="CH249" s="94">
        <f>IF(AND($T249=1,CH$5&lt;=$H249),INDEX(Mortality!$B$4:$E$64,MATCH($D249+CH$5-1,Mortality!$A$4:$A$64,0),$U249)*$V249*$N249,0)</f>
        <v>0</v>
      </c>
      <c r="CI249" s="26"/>
      <c r="CJ249" s="419">
        <f t="shared" si="89"/>
        <v>0</v>
      </c>
      <c r="CK249" s="93">
        <f>IF(AND($T249=1,CK$5&lt;=$H249),CJ249*(1-AU249)*(1-MIN(1,MAX(Assumptions!$C$27,Assumptions!$C$13*Assumptions!$C$28^(CJ$5-1))*$O249)),0)</f>
        <v>0</v>
      </c>
      <c r="CL249" s="93">
        <f>IF(AND($T249=1,CL$5&lt;=$H249),CK249*(1-AV249)*(1-MIN(1,MAX(Assumptions!$C$27,Assumptions!$C$13*Assumptions!$C$28^(CK$5-1))*$O249)),0)</f>
        <v>0</v>
      </c>
      <c r="CM249" s="93">
        <f>IF(AND($T249=1,CM$5&lt;=$H249),CL249*(1-AW249)*(1-MIN(1,MAX(Assumptions!$C$27,Assumptions!$C$13*Assumptions!$C$28^(CL$5-1))*$O249)),0)</f>
        <v>0</v>
      </c>
      <c r="CN249" s="93">
        <f>IF(AND($T249=1,CN$5&lt;=$H249),CM249*(1-AX249)*(1-MIN(1,MAX(Assumptions!$C$27,Assumptions!$C$13*Assumptions!$C$28^(CM$5-1))*$O249)),0)</f>
        <v>0</v>
      </c>
      <c r="CO249" s="93">
        <f>IF(AND($T249=1,CO$5&lt;=$H249),CN249*(1-AY249)*(1-MIN(1,MAX(Assumptions!$C$27,Assumptions!$C$13*Assumptions!$C$28^(CN$5-1))*$O249)),0)</f>
        <v>0</v>
      </c>
      <c r="CP249" s="93">
        <f>IF(AND($T249=1,CP$5&lt;=$H249),CO249*(1-AZ249)*(1-MIN(1,MAX(Assumptions!$C$27,Assumptions!$C$13*Assumptions!$C$28^(CO$5-1))*$O249)),0)</f>
        <v>0</v>
      </c>
      <c r="CQ249" s="93">
        <f>IF(AND($T249=1,CQ$5&lt;=$H249),CP249*(1-BA249)*(1-MIN(1,MAX(Assumptions!$C$27,Assumptions!$C$13*Assumptions!$C$28^(CP$5-1))*$O249)),0)</f>
        <v>0</v>
      </c>
      <c r="CR249" s="93">
        <f>IF(AND($T249=1,CR$5&lt;=$H249),CQ249*(1-BB249)*(1-MIN(1,MAX(Assumptions!$C$27,Assumptions!$C$13*Assumptions!$C$28^(CQ$5-1))*$O249)),0)</f>
        <v>0</v>
      </c>
      <c r="CS249" s="93">
        <f>IF(AND($T249=1,CS$5&lt;=$H249),CR249*(1-BC249)*(1-MIN(1,MAX(Assumptions!$C$27,Assumptions!$C$13*Assumptions!$C$28^(CR$5-1))*$O249)),0)</f>
        <v>0</v>
      </c>
      <c r="CT249" s="93">
        <f>IF(AND($T249=1,CT$5&lt;=$H249),CS249*(1-BD249)*(1-MIN(1,MAX(Assumptions!$C$27,Assumptions!$C$13*Assumptions!$C$28^(CS$5-1))*$O249)),0)</f>
        <v>0</v>
      </c>
      <c r="CU249" s="93">
        <f>IF(AND($T249=1,CU$5&lt;=$H249),CT249*(1-BE249)*(1-MIN(1,MAX(Assumptions!$C$27,Assumptions!$C$13*Assumptions!$C$28^(CT$5-1))*$O249)),0)</f>
        <v>0</v>
      </c>
      <c r="CV249" s="93">
        <f>IF(AND($T249=1,CV$5&lt;=$H249),CU249*(1-BF249)*(1-MIN(1,MAX(Assumptions!$C$27,Assumptions!$C$13*Assumptions!$C$28^(CU$5-1))*$O249)),0)</f>
        <v>0</v>
      </c>
      <c r="CW249" s="93">
        <f>IF(AND($T249=1,CW$5&lt;=$H249),CV249*(1-BG249)*(1-MIN(1,MAX(Assumptions!$C$27,Assumptions!$C$13*Assumptions!$C$28^(CV$5-1))*$O249)),0)</f>
        <v>0</v>
      </c>
      <c r="CX249" s="93">
        <f>IF(AND($T249=1,CX$5&lt;=$H249),CW249*(1-BH249)*(1-MIN(1,MAX(Assumptions!$C$27,Assumptions!$C$13*Assumptions!$C$28^(CW$5-1))*$O249)),0)</f>
        <v>0</v>
      </c>
      <c r="CY249" s="93">
        <f>IF(AND($T249=1,CY$5&lt;=$H249),CX249*(1-BI249)*(1-MIN(1,MAX(Assumptions!$C$27,Assumptions!$C$13*Assumptions!$C$28^(CX$5-1))*$O249)),0)</f>
        <v>0</v>
      </c>
      <c r="CZ249" s="93">
        <f>IF(AND($T249=1,CZ$5&lt;=$H249),CY249*(1-BJ249)*(1-MIN(1,MAX(Assumptions!$C$27,Assumptions!$C$13*Assumptions!$C$28^(CY$5-1))*$O249)),0)</f>
        <v>0</v>
      </c>
      <c r="DA249" s="93">
        <f>IF(AND($T249=1,DA$5&lt;=$H249),CZ249*(1-BK249)*(1-MIN(1,MAX(Assumptions!$C$27,Assumptions!$C$13*Assumptions!$C$28^(CZ$5-1))*$O249)),0)</f>
        <v>0</v>
      </c>
      <c r="DB249" s="93">
        <f>IF(AND($T249=1,DB$5&lt;=$H249),DA249*(1-BL249)*(1-MIN(1,MAX(Assumptions!$C$27,Assumptions!$C$13*Assumptions!$C$28^(DA$5-1))*$O249)),0)</f>
        <v>0</v>
      </c>
      <c r="DC249" s="93">
        <f>IF(AND($T249=1,DC$5&lt;=$H249),DB249*(1-BM249)*(1-MIN(1,MAX(Assumptions!$C$27,Assumptions!$C$13*Assumptions!$C$28^(DB$5-1))*$O249)),0)</f>
        <v>0</v>
      </c>
      <c r="DD249" s="93">
        <f>IF(AND($T249=1,DD$5&lt;=$H249),DC249*(1-BN249)*(1-MIN(1,MAX(Assumptions!$C$27,Assumptions!$C$13*Assumptions!$C$28^(DC$5-1))*$O249)),0)</f>
        <v>0</v>
      </c>
      <c r="DE249" s="93">
        <f>IF(AND($T249=1,DE$5&lt;=$H249),DD249*(1-BO249)*(1-MIN(1,MAX(Assumptions!$C$27,Assumptions!$C$13*Assumptions!$C$28^(DD$5-1))*$O249)),0)</f>
        <v>0</v>
      </c>
      <c r="DF249" s="93">
        <f>IF(AND($T249=1,DF$5&lt;=$H249),DE249*(1-BP249)*(1-MIN(1,MAX(Assumptions!$C$27,Assumptions!$C$13*Assumptions!$C$28^(DE$5-1))*$O249)),0)</f>
        <v>0</v>
      </c>
      <c r="DG249" s="93">
        <f>IF(AND($T249=1,DG$5&lt;=$H249),DF249*(1-BQ249)*(1-MIN(1,MAX(Assumptions!$C$27,Assumptions!$C$13*Assumptions!$C$28^(DF$5-1))*$O249)),0)</f>
        <v>0</v>
      </c>
      <c r="DH249" s="93">
        <f>IF(AND($T249=1,DH$5&lt;=$H249),DG249*(1-BR249)*(1-MIN(1,MAX(Assumptions!$C$27,Assumptions!$C$13*Assumptions!$C$28^(DG$5-1))*$O249)),0)</f>
        <v>0</v>
      </c>
      <c r="DI249" s="93">
        <f>IF(AND($T249=1,DI$5&lt;=$H249),DH249*(1-BS249)*(1-MIN(1,MAX(Assumptions!$C$27,Assumptions!$C$13*Assumptions!$C$28^(DH$5-1))*$O249)),0)</f>
        <v>0</v>
      </c>
      <c r="DJ249" s="93">
        <f>IF(AND($T249=1,DJ$5&lt;=$H249),DI249*(1-BT249)*(1-MIN(1,MAX(Assumptions!$C$27,Assumptions!$C$13*Assumptions!$C$28^(DI$5-1))*$O249)),0)</f>
        <v>0</v>
      </c>
      <c r="DK249" s="93">
        <f>IF(AND($T249=1,DK$5&lt;=$H249),DJ249*(1-BU249)*(1-MIN(1,MAX(Assumptions!$C$27,Assumptions!$C$13*Assumptions!$C$28^(DJ$5-1))*$O249)),0)</f>
        <v>0</v>
      </c>
      <c r="DL249" s="93">
        <f>IF(AND($T249=1,DL$5&lt;=$H249),DK249*(1-BV249)*(1-MIN(1,MAX(Assumptions!$C$27,Assumptions!$C$13*Assumptions!$C$28^(DK$5-1))*$O249)),0)</f>
        <v>0</v>
      </c>
      <c r="DM249" s="93">
        <f>IF(AND($T249=1,DM$5&lt;=$H249),DL249*(1-BW249)*(1-MIN(1,MAX(Assumptions!$C$27,Assumptions!$C$13*Assumptions!$C$28^(DL$5-1))*$O249)),0)</f>
        <v>0</v>
      </c>
      <c r="DN249" s="93">
        <f>IF(AND($T249=1,DN$5&lt;=$H249),DM249*(1-BX249)*(1-MIN(1,MAX(Assumptions!$C$27,Assumptions!$C$13*Assumptions!$C$28^(DM$5-1))*$O249)),0)</f>
        <v>0</v>
      </c>
      <c r="DO249" s="93">
        <f>IF(AND($T249=1,DO$5&lt;=$H249),DN249*(1-BY249)*(1-MIN(1,MAX(Assumptions!$C$27,Assumptions!$C$13*Assumptions!$C$28^(DN$5-1))*$O249)),0)</f>
        <v>0</v>
      </c>
      <c r="DP249" s="93">
        <f>IF(AND($T249=1,DP$5&lt;=$H249),DO249*(1-BZ249)*(1-MIN(1,MAX(Assumptions!$C$27,Assumptions!$C$13*Assumptions!$C$28^(DO$5-1))*$O249)),0)</f>
        <v>0</v>
      </c>
      <c r="DQ249" s="93">
        <f>IF(AND($T249=1,DQ$5&lt;=$H249),DP249*(1-CA249)*(1-MIN(1,MAX(Assumptions!$C$27,Assumptions!$C$13*Assumptions!$C$28^(DP$5-1))*$O249)),0)</f>
        <v>0</v>
      </c>
      <c r="DR249" s="93">
        <f>IF(AND($T249=1,DR$5&lt;=$H249),DQ249*(1-CB249)*(1-MIN(1,MAX(Assumptions!$C$27,Assumptions!$C$13*Assumptions!$C$28^(DQ$5-1))*$O249)),0)</f>
        <v>0</v>
      </c>
      <c r="DS249" s="93">
        <f>IF(AND($T249=1,DS$5&lt;=$H249),DR249*(1-CC249)*(1-MIN(1,MAX(Assumptions!$C$27,Assumptions!$C$13*Assumptions!$C$28^(DR$5-1))*$O249)),0)</f>
        <v>0</v>
      </c>
      <c r="DT249" s="93">
        <f>IF(AND($T249=1,DT$5&lt;=$H249),DS249*(1-CD249)*(1-MIN(1,MAX(Assumptions!$C$27,Assumptions!$C$13*Assumptions!$C$28^(DS$5-1))*$O249)),0)</f>
        <v>0</v>
      </c>
      <c r="DU249" s="93">
        <f>IF(AND($T249=1,DU$5&lt;=$H249),DT249*(1-CE249)*(1-MIN(1,MAX(Assumptions!$C$27,Assumptions!$C$13*Assumptions!$C$28^(DT$5-1))*$O249)),0)</f>
        <v>0</v>
      </c>
      <c r="DV249" s="93">
        <f>IF(AND($T249=1,DV$5&lt;=$H249),DU249*(1-CF249)*(1-MIN(1,MAX(Assumptions!$C$27,Assumptions!$C$13*Assumptions!$C$28^(DU$5-1))*$O249)),0)</f>
        <v>0</v>
      </c>
      <c r="DW249" s="94">
        <f>IF(AND($T249=1,DW$5&lt;=$H249),DV249*(1-CG249)*(1-MIN(1,MAX(Assumptions!$C$27,Assumptions!$C$13*Assumptions!$C$28^(DV$5-1))*$O249)),0)</f>
        <v>0</v>
      </c>
      <c r="DX249" s="26"/>
      <c r="DY249" s="399">
        <f>'Policy Data'!K223</f>
        <v>5</v>
      </c>
      <c r="DZ249" s="100">
        <f>'Policy Data'!L223</f>
        <v>0.98240000000000005</v>
      </c>
      <c r="EA249" s="100">
        <f>'Policy Data'!N223</f>
        <v>6.1799999999999997E-3</v>
      </c>
      <c r="EB249" s="93" cm="1">
        <f t="array" ref="EB249">IFERROR(DZ249*INDEX(Mortality!$B$4:$E$64,MATCH(D249+DY249-1,Mortality!$A$4:$A$64,0),U249)*V249,0)</f>
        <v>8.5097847857567334E-3</v>
      </c>
      <c r="EC249" s="100">
        <f>'Policy Data'!O223</f>
        <v>0</v>
      </c>
      <c r="ED249" s="400">
        <f>'Policy Data'!Q223</f>
        <v>0</v>
      </c>
    </row>
    <row r="250" spans="1:134" x14ac:dyDescent="0.3">
      <c r="A250" s="399" t="str">
        <f>'Policy Data'!A224</f>
        <v>POL100220</v>
      </c>
      <c r="B250" s="26" t="s">
        <v>426</v>
      </c>
      <c r="C250" s="100" t="str">
        <f>'Policy Data'!B224</f>
        <v>Term Life</v>
      </c>
      <c r="D250" s="100">
        <f>'Policy Data'!C224</f>
        <v>40</v>
      </c>
      <c r="E250" s="100" t="str">
        <f>'Policy Data'!D224</f>
        <v>Male</v>
      </c>
      <c r="F250" s="100" t="str">
        <f>'Policy Data'!E224</f>
        <v>Non-smoker</v>
      </c>
      <c r="G250" s="100" t="str">
        <f>'Policy Data'!F224</f>
        <v>Standard</v>
      </c>
      <c r="H250" s="100">
        <f>'Policy Data'!G224</f>
        <v>20</v>
      </c>
      <c r="I250" s="279">
        <f>'Policy Data'!H224</f>
        <v>500000</v>
      </c>
      <c r="J250" s="100" t="str">
        <f>'Policy Data'!I224</f>
        <v>Annual</v>
      </c>
      <c r="K250" s="100" t="str">
        <f>'Policy Data'!J224</f>
        <v>Direct</v>
      </c>
      <c r="L250" s="26" t="s">
        <v>389</v>
      </c>
      <c r="M250" s="106">
        <f>'Policy Data'!R224</f>
        <v>1434.51</v>
      </c>
      <c r="N250" s="415">
        <f>Assumptions!$C$21</f>
        <v>1</v>
      </c>
      <c r="O250" s="415">
        <f>Assumptions!$C$22</f>
        <v>1</v>
      </c>
      <c r="P250" s="415">
        <f>Assumptions!$C$23</f>
        <v>1</v>
      </c>
      <c r="Q250" s="416">
        <f>Assumptions!$C$24</f>
        <v>0</v>
      </c>
      <c r="R250" s="416">
        <f>Assumptions!$C$6+Assumptions!$C$25</f>
        <v>3.5000000000000003E-2</v>
      </c>
      <c r="S250" s="416">
        <f>Assumptions!$C$15</f>
        <v>1.1000000000000001E-3</v>
      </c>
      <c r="T250" s="26">
        <f t="shared" si="72"/>
        <v>1</v>
      </c>
      <c r="U250" s="26">
        <f t="shared" si="73"/>
        <v>3</v>
      </c>
      <c r="V250" s="389">
        <f>IF($G250="Preferred",Assumptions!$C$30,IF($G250="Rated",Assumptions!$C$31,1))</f>
        <v>1</v>
      </c>
      <c r="W250" s="390">
        <f>IF($K250="Direct",Assumptions!$C$32,IF($K250="Broker",Assumptions!$C$33,IF($K250="Bancassurance",Assumptions!$C$34,Assumptions!$C$11)))+$Q250</f>
        <v>0.1</v>
      </c>
      <c r="X250" s="390">
        <f>Assumptions!$C$12+$Q250</f>
        <v>0.05</v>
      </c>
      <c r="Y250" s="131">
        <f>MIN($I250,Assumptions!$C$14)</f>
        <v>500000</v>
      </c>
      <c r="Z250" s="131">
        <f>MAX($I250-Assumptions!$C$14,0)</f>
        <v>0</v>
      </c>
      <c r="AA250" s="389">
        <f t="shared" si="74"/>
        <v>8.5288181632391353</v>
      </c>
      <c r="AB250" s="389">
        <f t="shared" si="75"/>
        <v>1.8979113811930133E-2</v>
      </c>
      <c r="AC250" s="389">
        <f>IF($T250=1,SUMPRODUCT($CJ250:$DW250,(1+Assumptions!$C$5)^($CJ$5:$DW$5-1),(1+$R250)^(-$CJ$5:$DW$5)),0)</f>
        <v>11.460573266149538</v>
      </c>
      <c r="AD250" s="389">
        <f t="shared" si="76"/>
        <v>0.47475008690591813</v>
      </c>
      <c r="AE250" s="131">
        <f>IF($T250=1,$AB250*$Y250+(Assumptions!$C$9/(1+$R250)+Assumptions!$C$10*$AC250)*$P250+$S250*$Z250*$AA250,0)</f>
        <v>12880.448241909269</v>
      </c>
      <c r="AF250" s="131">
        <f>IF($T250=1,IF($AA250-$AD250-Assumptions!$C$16*$AA250&gt;0,$AE250/($AA250-$AD250-Assumptions!$C$16*$AA250)*IF($J250="Monthly",1+Assumptions!$C$29,1),"n.a."),"")</f>
        <v>1747.268448558448</v>
      </c>
      <c r="AG250" s="131">
        <f t="shared" si="77"/>
        <v>1434.51</v>
      </c>
      <c r="AH250" s="131">
        <f t="shared" si="78"/>
        <v>12234.674943348173</v>
      </c>
      <c r="AI250" s="131">
        <f t="shared" si="79"/>
        <v>-1326.8070457285048</v>
      </c>
      <c r="AJ250" s="390">
        <f t="shared" si="80"/>
        <v>-0.10844644846489132</v>
      </c>
      <c r="AK250" s="389">
        <f t="shared" si="81"/>
        <v>0.82100149017371449</v>
      </c>
      <c r="AL250" s="131">
        <f t="shared" si="82"/>
        <v>0</v>
      </c>
      <c r="AM250" s="131">
        <f t="shared" si="83"/>
        <v>0</v>
      </c>
      <c r="AN250" s="131">
        <f t="shared" si="84"/>
        <v>0</v>
      </c>
      <c r="AO250" s="131">
        <f t="shared" si="85"/>
        <v>-1326.8070457285048</v>
      </c>
      <c r="AP250" s="26" t="str">
        <f t="shared" si="86"/>
        <v>40-49</v>
      </c>
      <c r="AQ250" s="26" t="str">
        <f t="shared" si="87"/>
        <v>250k-500k</v>
      </c>
      <c r="AR250" s="26" t="str">
        <f>IF($T250=1,IF($AI250&lt;0,"Loss-making",IF($AJ250&lt;Assumptions!$C$16-0.00001,"Below target","At/above target")),"Excluded")</f>
        <v>Loss-making</v>
      </c>
      <c r="AS250" s="103">
        <f t="shared" si="88"/>
        <v>-1326.8067957285048</v>
      </c>
      <c r="AT250" s="26"/>
      <c r="AU250" s="419">
        <f>IF(AND($T250=1,AU$5&lt;=$H250),INDEX(Mortality!$B$4:$E$64,MATCH($D250+AU$5-1,Mortality!$A$4:$A$64,0),$U250)*$V250*$N250,0)</f>
        <v>1.1517174304948501E-3</v>
      </c>
      <c r="AV250" s="93">
        <f>IF(AND($T250=1,AV$5&lt;=$H250),INDEX(Mortality!$B$4:$E$64,MATCH($D250+AV$5-1,Mortality!$A$4:$A$64,0),$U250)*$V250*$N250,0)</f>
        <v>1.24764059807091E-3</v>
      </c>
      <c r="AW250" s="93">
        <f>IF(AND($T250=1,AW$5&lt;=$H250),INDEX(Mortality!$B$4:$E$64,MATCH($D250+AW$5-1,Mortality!$A$4:$A$64,0),$U250)*$V250*$N250,0)</f>
        <v>1.3515529249964601E-3</v>
      </c>
      <c r="AX250" s="93">
        <f>IF(AND($T250=1,AX$5&lt;=$H250),INDEX(Mortality!$B$4:$E$64,MATCH($D250+AX$5-1,Mortality!$A$4:$A$64,0),$U250)*$V250*$N250,0)</f>
        <v>1.4641198049269301E-3</v>
      </c>
      <c r="AY250" s="93">
        <f>IF(AND($T250=1,AY$5&lt;=$H250),INDEX(Mortality!$B$4:$E$64,MATCH($D250+AY$5-1,Mortality!$A$4:$A$64,0),$U250)*$V250*$N250,0)</f>
        <v>1.58606205020413E-3</v>
      </c>
      <c r="AZ250" s="93">
        <f>IF(AND($T250=1,AZ$5&lt;=$H250),INDEX(Mortality!$B$4:$E$64,MATCH($D250+AZ$5-1,Mortality!$A$4:$A$64,0),$U250)*$V250*$N250,0)</f>
        <v>1.71816050751616E-3</v>
      </c>
      <c r="BA250" s="93">
        <f>IF(AND($T250=1,BA$5&lt;=$H250),INDEX(Mortality!$B$4:$E$64,MATCH($D250+BA$5-1,Mortality!$A$4:$A$64,0),$U250)*$V250*$N250,0)</f>
        <v>1.8612610579820999E-3</v>
      </c>
      <c r="BB250" s="93">
        <f>IF(AND($T250=1,BB$5&lt;=$H250),INDEX(Mortality!$B$4:$E$64,MATCH($D250+BB$5-1,Mortality!$A$4:$A$64,0),$U250)*$V250*$N250,0)</f>
        <v>2.0162800336790201E-3</v>
      </c>
      <c r="BC250" s="93">
        <f>IF(AND($T250=1,BC$5&lt;=$H250),INDEX(Mortality!$B$4:$E$64,MATCH($D250+BC$5-1,Mortality!$A$4:$A$64,0),$U250)*$V250*$N250,0)</f>
        <v>2.1842100852957199E-3</v>
      </c>
      <c r="BD250" s="93">
        <f>IF(AND($T250=1,BD$5&lt;=$H250),INDEX(Mortality!$B$4:$E$64,MATCH($D250+BD$5-1,Mortality!$A$4:$A$64,0),$U250)*$V250*$N250,0)</f>
        <v>2.3661265384860701E-3</v>
      </c>
      <c r="BE250" s="93">
        <f>IF(AND($T250=1,BE$5&lt;=$H250),INDEX(Mortality!$B$4:$E$64,MATCH($D250+BE$5-1,Mortality!$A$4:$A$64,0),$U250)*$V250*$N250,0)</f>
        <v>2.5631942796244698E-3</v>
      </c>
      <c r="BF250" s="93">
        <f>IF(AND($T250=1,BF$5&lt;=$H250),INDEX(Mortality!$B$4:$E$64,MATCH($D250+BF$5-1,Mortality!$A$4:$A$64,0),$U250)*$V250*$N250,0)</f>
        <v>2.7766752150556202E-3</v>
      </c>
      <c r="BG250" s="93">
        <f>IF(AND($T250=1,BG$5&lt;=$H250),INDEX(Mortality!$B$4:$E$64,MATCH($D250+BG$5-1,Mortality!$A$4:$A$64,0),$U250)*$V250*$N250,0)</f>
        <v>3.0079363516033399E-3</v>
      </c>
      <c r="BH250" s="93">
        <f>IF(AND($T250=1,BH$5&lt;=$H250),INDEX(Mortality!$B$4:$E$64,MATCH($D250+BH$5-1,Mortality!$A$4:$A$64,0),$U250)*$V250*$N250,0)</f>
        <v>3.2584585500813001E-3</v>
      </c>
      <c r="BI250" s="93">
        <f>IF(AND($T250=1,BI$5&lt;=$H250),INDEX(Mortality!$B$4:$E$64,MATCH($D250+BI$5-1,Mortality!$A$4:$A$64,0),$U250)*$V250*$N250,0)</f>
        <v>3.5298460078579601E-3</v>
      </c>
      <c r="BJ250" s="93">
        <f>IF(AND($T250=1,BJ$5&lt;=$H250),INDEX(Mortality!$B$4:$E$64,MATCH($D250+BJ$5-1,Mortality!$A$4:$A$64,0),$U250)*$V250*$N250,0)</f>
        <v>3.8238365311966099E-3</v>
      </c>
      <c r="BK250" s="93">
        <f>IF(AND($T250=1,BK$5&lt;=$H250),INDEX(Mortality!$B$4:$E$64,MATCH($D250+BK$5-1,Mortality!$A$4:$A$64,0),$U250)*$V250*$N250,0)</f>
        <v>4.1423126631483596E-3</v>
      </c>
      <c r="BL250" s="93">
        <f>IF(AND($T250=1,BL$5&lt;=$H250),INDEX(Mortality!$B$4:$E$64,MATCH($D250+BL$5-1,Mortality!$A$4:$A$64,0),$U250)*$V250*$N250,0)</f>
        <v>4.4873137382548398E-3</v>
      </c>
      <c r="BM250" s="93">
        <f>IF(AND($T250=1,BM$5&lt;=$H250),INDEX(Mortality!$B$4:$E$64,MATCH($D250+BM$5-1,Mortality!$A$4:$A$64,0),$U250)*$V250*$N250,0)</f>
        <v>4.8610489412516398E-3</v>
      </c>
      <c r="BN250" s="93">
        <f>IF(AND($T250=1,BN$5&lt;=$H250),INDEX(Mortality!$B$4:$E$64,MATCH($D250+BN$5-1,Mortality!$A$4:$A$64,0),$U250)*$V250*$N250,0)</f>
        <v>5.2659114533929498E-3</v>
      </c>
      <c r="BO250" s="93">
        <f>IF(AND($T250=1,BO$5&lt;=$H250),INDEX(Mortality!$B$4:$E$64,MATCH($D250+BO$5-1,Mortality!$A$4:$A$64,0),$U250)*$V250*$N250,0)</f>
        <v>0</v>
      </c>
      <c r="BP250" s="93">
        <f>IF(AND($T250=1,BP$5&lt;=$H250),INDEX(Mortality!$B$4:$E$64,MATCH($D250+BP$5-1,Mortality!$A$4:$A$64,0),$U250)*$V250*$N250,0)</f>
        <v>0</v>
      </c>
      <c r="BQ250" s="93">
        <f>IF(AND($T250=1,BQ$5&lt;=$H250),INDEX(Mortality!$B$4:$E$64,MATCH($D250+BQ$5-1,Mortality!$A$4:$A$64,0),$U250)*$V250*$N250,0)</f>
        <v>0</v>
      </c>
      <c r="BR250" s="93">
        <f>IF(AND($T250=1,BR$5&lt;=$H250),INDEX(Mortality!$B$4:$E$64,MATCH($D250+BR$5-1,Mortality!$A$4:$A$64,0),$U250)*$V250*$N250,0)</f>
        <v>0</v>
      </c>
      <c r="BS250" s="93">
        <f>IF(AND($T250=1,BS$5&lt;=$H250),INDEX(Mortality!$B$4:$E$64,MATCH($D250+BS$5-1,Mortality!$A$4:$A$64,0),$U250)*$V250*$N250,0)</f>
        <v>0</v>
      </c>
      <c r="BT250" s="93">
        <f>IF(AND($T250=1,BT$5&lt;=$H250),INDEX(Mortality!$B$4:$E$64,MATCH($D250+BT$5-1,Mortality!$A$4:$A$64,0),$U250)*$V250*$N250,0)</f>
        <v>0</v>
      </c>
      <c r="BU250" s="93">
        <f>IF(AND($T250=1,BU$5&lt;=$H250),INDEX(Mortality!$B$4:$E$64,MATCH($D250+BU$5-1,Mortality!$A$4:$A$64,0),$U250)*$V250*$N250,0)</f>
        <v>0</v>
      </c>
      <c r="BV250" s="93">
        <f>IF(AND($T250=1,BV$5&lt;=$H250),INDEX(Mortality!$B$4:$E$64,MATCH($D250+BV$5-1,Mortality!$A$4:$A$64,0),$U250)*$V250*$N250,0)</f>
        <v>0</v>
      </c>
      <c r="BW250" s="93">
        <f>IF(AND($T250=1,BW$5&lt;=$H250),INDEX(Mortality!$B$4:$E$64,MATCH($D250+BW$5-1,Mortality!$A$4:$A$64,0),$U250)*$V250*$N250,0)</f>
        <v>0</v>
      </c>
      <c r="BX250" s="93">
        <f>IF(AND($T250=1,BX$5&lt;=$H250),INDEX(Mortality!$B$4:$E$64,MATCH($D250+BX$5-1,Mortality!$A$4:$A$64,0),$U250)*$V250*$N250,0)</f>
        <v>0</v>
      </c>
      <c r="BY250" s="93">
        <f>IF(AND($T250=1,BY$5&lt;=$H250),INDEX(Mortality!$B$4:$E$64,MATCH($D250+BY$5-1,Mortality!$A$4:$A$64,0),$U250)*$V250*$N250,0)</f>
        <v>0</v>
      </c>
      <c r="BZ250" s="93">
        <f>IF(AND($T250=1,BZ$5&lt;=$H250),INDEX(Mortality!$B$4:$E$64,MATCH($D250+BZ$5-1,Mortality!$A$4:$A$64,0),$U250)*$V250*$N250,0)</f>
        <v>0</v>
      </c>
      <c r="CA250" s="93">
        <f>IF(AND($T250=1,CA$5&lt;=$H250),INDEX(Mortality!$B$4:$E$64,MATCH($D250+CA$5-1,Mortality!$A$4:$A$64,0),$U250)*$V250*$N250,0)</f>
        <v>0</v>
      </c>
      <c r="CB250" s="93">
        <f>IF(AND($T250=1,CB$5&lt;=$H250),INDEX(Mortality!$B$4:$E$64,MATCH($D250+CB$5-1,Mortality!$A$4:$A$64,0),$U250)*$V250*$N250,0)</f>
        <v>0</v>
      </c>
      <c r="CC250" s="93">
        <f>IF(AND($T250=1,CC$5&lt;=$H250),INDEX(Mortality!$B$4:$E$64,MATCH($D250+CC$5-1,Mortality!$A$4:$A$64,0),$U250)*$V250*$N250,0)</f>
        <v>0</v>
      </c>
      <c r="CD250" s="93">
        <f>IF(AND($T250=1,CD$5&lt;=$H250),INDEX(Mortality!$B$4:$E$64,MATCH($D250+CD$5-1,Mortality!$A$4:$A$64,0),$U250)*$V250*$N250,0)</f>
        <v>0</v>
      </c>
      <c r="CE250" s="93">
        <f>IF(AND($T250=1,CE$5&lt;=$H250),INDEX(Mortality!$B$4:$E$64,MATCH($D250+CE$5-1,Mortality!$A$4:$A$64,0),$U250)*$V250*$N250,0)</f>
        <v>0</v>
      </c>
      <c r="CF250" s="93">
        <f>IF(AND($T250=1,CF$5&lt;=$H250),INDEX(Mortality!$B$4:$E$64,MATCH($D250+CF$5-1,Mortality!$A$4:$A$64,0),$U250)*$V250*$N250,0)</f>
        <v>0</v>
      </c>
      <c r="CG250" s="93">
        <f>IF(AND($T250=1,CG$5&lt;=$H250),INDEX(Mortality!$B$4:$E$64,MATCH($D250+CG$5-1,Mortality!$A$4:$A$64,0),$U250)*$V250*$N250,0)</f>
        <v>0</v>
      </c>
      <c r="CH250" s="94">
        <f>IF(AND($T250=1,CH$5&lt;=$H250),INDEX(Mortality!$B$4:$E$64,MATCH($D250+CH$5-1,Mortality!$A$4:$A$64,0),$U250)*$V250*$N250,0)</f>
        <v>0</v>
      </c>
      <c r="CI250" s="26"/>
      <c r="CJ250" s="419">
        <f t="shared" si="89"/>
        <v>1</v>
      </c>
      <c r="CK250" s="93">
        <f>IF(AND($T250=1,CK$5&lt;=$H250),CJ250*(1-AU250)*(1-MIN(1,MAX(Assumptions!$C$27,Assumptions!$C$13*Assumptions!$C$28^(CJ$5-1))*$O250)),0)</f>
        <v>0.87898648866116458</v>
      </c>
      <c r="CL250" s="93">
        <f>IF(AND($T250=1,CL$5&lt;=$H250),CK250*(1-AV250)*(1-MIN(1,MAX(Assumptions!$C$27,Assumptions!$C$13*Assumptions!$C$28^(CK$5-1))*$O250)),0)</f>
        <v>0.78834506683061412</v>
      </c>
      <c r="CM250" s="93">
        <f>IF(AND($T250=1,CM$5&lt;=$H250),CL250*(1-AW250)*(1-MIN(1,MAX(Assumptions!$C$27,Assumptions!$C$13*Assumptions!$C$28^(CL$5-1))*$O250)),0)</f>
        <v>0.71902243744543948</v>
      </c>
      <c r="CN250" s="93">
        <f>IF(AND($T250=1,CN$5&lt;=$H250),CM250*(1-AX250)*(1-MIN(1,MAX(Assumptions!$C$27,Assumptions!$C$13*Assumptions!$C$28^(CM$5-1))*$O250)),0)</f>
        <v>0.6650589252321979</v>
      </c>
      <c r="CO250" s="93">
        <f>IF(AND($T250=1,CO$5&lt;=$H250),CN250*(1-AY250)*(1-MIN(1,MAX(Assumptions!$C$27,Assumptions!$C$13*Assumptions!$C$28^(CN$5-1))*$O250)),0)</f>
        <v>0.62241038565073226</v>
      </c>
      <c r="CP250" s="93">
        <f>IF(AND($T250=1,CP$5&lt;=$H250),CO250*(1-AZ250)*(1-MIN(1,MAX(Assumptions!$C$27,Assumptions!$C$13*Assumptions!$C$28^(CO$5-1))*$O250)),0)</f>
        <v>0.58825790921204124</v>
      </c>
      <c r="CQ250" s="93">
        <f>IF(AND($T250=1,CQ$5&lt;=$H250),CP250*(1-BA250)*(1-MIN(1,MAX(Assumptions!$C$27,Assumptions!$C$13*Assumptions!$C$28^(CP$5-1))*$O250)),0)</f>
        <v>0.56058921840113407</v>
      </c>
      <c r="CR250" s="93">
        <f>IF(AND($T250=1,CR$5&lt;=$H250),CQ250*(1-BB250)*(1-MIN(1,MAX(Assumptions!$C$27,Assumptions!$C$13*Assumptions!$C$28^(CQ$5-1))*$O250)),0)</f>
        <v>0.53793694841059969</v>
      </c>
      <c r="CS250" s="93">
        <f>IF(AND($T250=1,CS$5&lt;=$H250),CR250*(1-BC250)*(1-MIN(1,MAX(Assumptions!$C$27,Assumptions!$C$13*Assumptions!$C$28^(CR$5-1))*$O250)),0)</f>
        <v>0.51921047461642855</v>
      </c>
      <c r="CT250" s="93">
        <f>IF(AND($T250=1,CT$5&lt;=$H250),CS250*(1-BD250)*(1-MIN(1,MAX(Assumptions!$C$27,Assumptions!$C$13*Assumptions!$C$28^(CS$5-1))*$O250)),0)</f>
        <v>0.5035851490420139</v>
      </c>
      <c r="CU250" s="93">
        <f>IF(AND($T250=1,CU$5&lt;=$H250),CT250*(1-BE250)*(1-MIN(1,MAX(Assumptions!$C$27,Assumptions!$C$13*Assumptions!$C$28^(CT$5-1))*$O250)),0)</f>
        <v>0.49042769405891845</v>
      </c>
      <c r="CV250" s="93">
        <f>IF(AND($T250=1,CV$5&lt;=$H250),CU250*(1-BF250)*(1-MIN(1,MAX(Assumptions!$C$27,Assumptions!$C$13*Assumptions!$C$28^(CU$5-1))*$O250)),0)</f>
        <v>0.4792449100303563</v>
      </c>
      <c r="CW250" s="93">
        <f>IF(AND($T250=1,CW$5&lt;=$H250),CV250*(1-BG250)*(1-MIN(1,MAX(Assumptions!$C$27,Assumptions!$C$13*Assumptions!$C$28^(CV$5-1))*$O250)),0)</f>
        <v>0.46824730440727202</v>
      </c>
      <c r="CX250" s="93">
        <f>IF(AND($T250=1,CX$5&lt;=$H250),CW250*(1-BH250)*(1-MIN(1,MAX(Assumptions!$C$27,Assumptions!$C$13*Assumptions!$C$28^(CW$5-1))*$O250)),0)</f>
        <v>0.45738710917518016</v>
      </c>
      <c r="CY250" s="93">
        <f>IF(AND($T250=1,CY$5&lt;=$H250),CX250*(1-BI250)*(1-MIN(1,MAX(Assumptions!$C$27,Assumptions!$C$13*Assumptions!$C$28^(CX$5-1))*$O250)),0)</f>
        <v>0.44665715105153619</v>
      </c>
      <c r="CZ250" s="93">
        <f>IF(AND($T250=1,CZ$5&lt;=$H250),CY250*(1-BJ250)*(1-MIN(1,MAX(Assumptions!$C$27,Assumptions!$C$13*Assumptions!$C$28^(CY$5-1))*$O250)),0)</f>
        <v>0.4360502229780166</v>
      </c>
      <c r="DA250" s="93">
        <f>IF(AND($T250=1,DA$5&lt;=$H250),CZ250*(1-BK250)*(1-MIN(1,MAX(Assumptions!$C$27,Assumptions!$C$13*Assumptions!$C$28^(CZ$5-1))*$O250)),0)</f>
        <v>0.42555908728525399</v>
      </c>
      <c r="DB250" s="93">
        <f>IF(AND($T250=1,DB$5&lt;=$H250),DA250*(1-BL250)*(1-MIN(1,MAX(Assumptions!$C$27,Assumptions!$C$13*Assumptions!$C$28^(DA$5-1))*$O250)),0)</f>
        <v>0.41517648074351088</v>
      </c>
      <c r="DC250" s="93">
        <f>IF(AND($T250=1,DC$5&lt;=$H250),DB250*(1-BM250)*(1-MIN(1,MAX(Assumptions!$C$27,Assumptions!$C$13*Assumptions!$C$28^(DB$5-1))*$O250)),0)</f>
        <v>0.40489512180033288</v>
      </c>
      <c r="DD250" s="93">
        <f>IF(AND($T250=1,DD$5&lt;=$H250),DC250*(1-BN250)*(1-MIN(1,MAX(Assumptions!$C$27,Assumptions!$C$13*Assumptions!$C$28^(DC$5-1))*$O250)),0)</f>
        <v>0</v>
      </c>
      <c r="DE250" s="93">
        <f>IF(AND($T250=1,DE$5&lt;=$H250),DD250*(1-BO250)*(1-MIN(1,MAX(Assumptions!$C$27,Assumptions!$C$13*Assumptions!$C$28^(DD$5-1))*$O250)),0)</f>
        <v>0</v>
      </c>
      <c r="DF250" s="93">
        <f>IF(AND($T250=1,DF$5&lt;=$H250),DE250*(1-BP250)*(1-MIN(1,MAX(Assumptions!$C$27,Assumptions!$C$13*Assumptions!$C$28^(DE$5-1))*$O250)),0)</f>
        <v>0</v>
      </c>
      <c r="DG250" s="93">
        <f>IF(AND($T250=1,DG$5&lt;=$H250),DF250*(1-BQ250)*(1-MIN(1,MAX(Assumptions!$C$27,Assumptions!$C$13*Assumptions!$C$28^(DF$5-1))*$O250)),0)</f>
        <v>0</v>
      </c>
      <c r="DH250" s="93">
        <f>IF(AND($T250=1,DH$5&lt;=$H250),DG250*(1-BR250)*(1-MIN(1,MAX(Assumptions!$C$27,Assumptions!$C$13*Assumptions!$C$28^(DG$5-1))*$O250)),0)</f>
        <v>0</v>
      </c>
      <c r="DI250" s="93">
        <f>IF(AND($T250=1,DI$5&lt;=$H250),DH250*(1-BS250)*(1-MIN(1,MAX(Assumptions!$C$27,Assumptions!$C$13*Assumptions!$C$28^(DH$5-1))*$O250)),0)</f>
        <v>0</v>
      </c>
      <c r="DJ250" s="93">
        <f>IF(AND($T250=1,DJ$5&lt;=$H250),DI250*(1-BT250)*(1-MIN(1,MAX(Assumptions!$C$27,Assumptions!$C$13*Assumptions!$C$28^(DI$5-1))*$O250)),0)</f>
        <v>0</v>
      </c>
      <c r="DK250" s="93">
        <f>IF(AND($T250=1,DK$5&lt;=$H250),DJ250*(1-BU250)*(1-MIN(1,MAX(Assumptions!$C$27,Assumptions!$C$13*Assumptions!$C$28^(DJ$5-1))*$O250)),0)</f>
        <v>0</v>
      </c>
      <c r="DL250" s="93">
        <f>IF(AND($T250=1,DL$5&lt;=$H250),DK250*(1-BV250)*(1-MIN(1,MAX(Assumptions!$C$27,Assumptions!$C$13*Assumptions!$C$28^(DK$5-1))*$O250)),0)</f>
        <v>0</v>
      </c>
      <c r="DM250" s="93">
        <f>IF(AND($T250=1,DM$5&lt;=$H250),DL250*(1-BW250)*(1-MIN(1,MAX(Assumptions!$C$27,Assumptions!$C$13*Assumptions!$C$28^(DL$5-1))*$O250)),0)</f>
        <v>0</v>
      </c>
      <c r="DN250" s="93">
        <f>IF(AND($T250=1,DN$5&lt;=$H250),DM250*(1-BX250)*(1-MIN(1,MAX(Assumptions!$C$27,Assumptions!$C$13*Assumptions!$C$28^(DM$5-1))*$O250)),0)</f>
        <v>0</v>
      </c>
      <c r="DO250" s="93">
        <f>IF(AND($T250=1,DO$5&lt;=$H250),DN250*(1-BY250)*(1-MIN(1,MAX(Assumptions!$C$27,Assumptions!$C$13*Assumptions!$C$28^(DN$5-1))*$O250)),0)</f>
        <v>0</v>
      </c>
      <c r="DP250" s="93">
        <f>IF(AND($T250=1,DP$5&lt;=$H250),DO250*(1-BZ250)*(1-MIN(1,MAX(Assumptions!$C$27,Assumptions!$C$13*Assumptions!$C$28^(DO$5-1))*$O250)),0)</f>
        <v>0</v>
      </c>
      <c r="DQ250" s="93">
        <f>IF(AND($T250=1,DQ$5&lt;=$H250),DP250*(1-CA250)*(1-MIN(1,MAX(Assumptions!$C$27,Assumptions!$C$13*Assumptions!$C$28^(DP$5-1))*$O250)),0)</f>
        <v>0</v>
      </c>
      <c r="DR250" s="93">
        <f>IF(AND($T250=1,DR$5&lt;=$H250),DQ250*(1-CB250)*(1-MIN(1,MAX(Assumptions!$C$27,Assumptions!$C$13*Assumptions!$C$28^(DQ$5-1))*$O250)),0)</f>
        <v>0</v>
      </c>
      <c r="DS250" s="93">
        <f>IF(AND($T250=1,DS$5&lt;=$H250),DR250*(1-CC250)*(1-MIN(1,MAX(Assumptions!$C$27,Assumptions!$C$13*Assumptions!$C$28^(DR$5-1))*$O250)),0)</f>
        <v>0</v>
      </c>
      <c r="DT250" s="93">
        <f>IF(AND($T250=1,DT$5&lt;=$H250),DS250*(1-CD250)*(1-MIN(1,MAX(Assumptions!$C$27,Assumptions!$C$13*Assumptions!$C$28^(DS$5-1))*$O250)),0)</f>
        <v>0</v>
      </c>
      <c r="DU250" s="93">
        <f>IF(AND($T250=1,DU$5&lt;=$H250),DT250*(1-CE250)*(1-MIN(1,MAX(Assumptions!$C$27,Assumptions!$C$13*Assumptions!$C$28^(DT$5-1))*$O250)),0)</f>
        <v>0</v>
      </c>
      <c r="DV250" s="93">
        <f>IF(AND($T250=1,DV$5&lt;=$H250),DU250*(1-CF250)*(1-MIN(1,MAX(Assumptions!$C$27,Assumptions!$C$13*Assumptions!$C$28^(DU$5-1))*$O250)),0)</f>
        <v>0</v>
      </c>
      <c r="DW250" s="94">
        <f>IF(AND($T250=1,DW$5&lt;=$H250),DV250*(1-CG250)*(1-MIN(1,MAX(Assumptions!$C$27,Assumptions!$C$13*Assumptions!$C$28^(DV$5-1))*$O250)),0)</f>
        <v>0</v>
      </c>
      <c r="DX250" s="26"/>
      <c r="DY250" s="399">
        <f>'Policy Data'!K224</f>
        <v>6</v>
      </c>
      <c r="DZ250" s="100">
        <f>'Policy Data'!L224</f>
        <v>0.9597</v>
      </c>
      <c r="EA250" s="100">
        <f>'Policy Data'!N224</f>
        <v>1.1050000000000001E-3</v>
      </c>
      <c r="EB250" s="93" cm="1">
        <f t="array" ref="EB250">IFERROR(DZ250*INDEX(Mortality!$B$4:$E$64,MATCH(D250+DY250-1,Mortality!$A$4:$A$64,0),U250)*V250,0)</f>
        <v>1.6489186390632588E-3</v>
      </c>
      <c r="EC250" s="100">
        <f>'Policy Data'!O224</f>
        <v>0</v>
      </c>
      <c r="ED250" s="400">
        <f>'Policy Data'!Q224</f>
        <v>0</v>
      </c>
    </row>
    <row r="251" spans="1:134" x14ac:dyDescent="0.3">
      <c r="A251" s="399" t="str">
        <f>'Policy Data'!A225</f>
        <v>POL100221</v>
      </c>
      <c r="B251" s="26" t="s">
        <v>426</v>
      </c>
      <c r="C251" s="100" t="str">
        <f>'Policy Data'!B225</f>
        <v>Term Life</v>
      </c>
      <c r="D251" s="100">
        <f>'Policy Data'!C225</f>
        <v>41</v>
      </c>
      <c r="E251" s="100" t="str">
        <f>'Policy Data'!D225</f>
        <v>Male</v>
      </c>
      <c r="F251" s="100" t="str">
        <f>'Policy Data'!E225</f>
        <v>Non-smoker</v>
      </c>
      <c r="G251" s="100" t="str">
        <f>'Policy Data'!F225</f>
        <v>Standard</v>
      </c>
      <c r="H251" s="100">
        <f>'Policy Data'!G225</f>
        <v>15</v>
      </c>
      <c r="I251" s="279">
        <f>'Policy Data'!H225</f>
        <v>250000</v>
      </c>
      <c r="J251" s="100" t="str">
        <f>'Policy Data'!I225</f>
        <v>Monthly</v>
      </c>
      <c r="K251" s="100" t="str">
        <f>'Policy Data'!J225</f>
        <v>Broker</v>
      </c>
      <c r="L251" s="26" t="s">
        <v>389</v>
      </c>
      <c r="M251" s="106">
        <f>'Policy Data'!R225</f>
        <v>1200</v>
      </c>
      <c r="N251" s="415">
        <f>Assumptions!$C$21</f>
        <v>1</v>
      </c>
      <c r="O251" s="415">
        <f>Assumptions!$C$22</f>
        <v>1</v>
      </c>
      <c r="P251" s="415">
        <f>Assumptions!$C$23</f>
        <v>1</v>
      </c>
      <c r="Q251" s="416">
        <f>Assumptions!$C$24</f>
        <v>0</v>
      </c>
      <c r="R251" s="416">
        <f>Assumptions!$C$6+Assumptions!$C$25</f>
        <v>3.5000000000000003E-2</v>
      </c>
      <c r="S251" s="416">
        <f>Assumptions!$C$15</f>
        <v>1.1000000000000001E-3</v>
      </c>
      <c r="T251" s="26">
        <f t="shared" si="72"/>
        <v>1</v>
      </c>
      <c r="U251" s="26">
        <f t="shared" si="73"/>
        <v>3</v>
      </c>
      <c r="V251" s="389">
        <f>IF($G251="Preferred",Assumptions!$C$30,IF($G251="Rated",Assumptions!$C$31,1))</f>
        <v>1</v>
      </c>
      <c r="W251" s="390">
        <f>IF($K251="Direct",Assumptions!$C$32,IF($K251="Broker",Assumptions!$C$33,IF($K251="Bancassurance",Assumptions!$C$34,Assumptions!$C$11)))+$Q251</f>
        <v>0.25</v>
      </c>
      <c r="X251" s="390">
        <f>Assumptions!$C$12+$Q251</f>
        <v>0.05</v>
      </c>
      <c r="Y251" s="131">
        <f>MIN($I251,Assumptions!$C$14)</f>
        <v>250000</v>
      </c>
      <c r="Z251" s="131">
        <f>MAX($I251-Assumptions!$C$14,0)</f>
        <v>0</v>
      </c>
      <c r="AA251" s="389">
        <f t="shared" si="74"/>
        <v>7.3743670398821388</v>
      </c>
      <c r="AB251" s="389">
        <f t="shared" si="75"/>
        <v>1.4976256624400186E-2</v>
      </c>
      <c r="AC251" s="389">
        <f>IF($T251=1,SUMPRODUCT($CJ251:$DW251,(1+Assumptions!$C$5)^($CJ$5:$DW$5-1),(1+$R251)^(-$CJ$5:$DW$5)),0)</f>
        <v>9.221342564532744</v>
      </c>
      <c r="AD251" s="389">
        <f t="shared" si="76"/>
        <v>0.56195506696995245</v>
      </c>
      <c r="AE251" s="131">
        <f>IF($T251=1,$AB251*$Y251+(Assumptions!$C$9/(1+$R251)+Assumptions!$C$10*$AC251)*$P251+$S251*$Z251*$AA251,0)</f>
        <v>6642.3247376885547</v>
      </c>
      <c r="AF251" s="131">
        <f>IF($T251=1,IF($AA251-$AD251-Assumptions!$C$16*$AA251&gt;0,$AE251/($AA251-$AD251-Assumptions!$C$16*$AA251)*IF($J251="Monthly",1+Assumptions!$C$29,1),"n.a."),"")</f>
        <v>1099.4994922316289</v>
      </c>
      <c r="AG251" s="131">
        <f t="shared" si="77"/>
        <v>1200</v>
      </c>
      <c r="AH251" s="131">
        <f t="shared" si="78"/>
        <v>8849.2404478585668</v>
      </c>
      <c r="AI251" s="131">
        <f t="shared" si="79"/>
        <v>1532.5696298060693</v>
      </c>
      <c r="AJ251" s="390">
        <f t="shared" si="80"/>
        <v>0.17318657333770796</v>
      </c>
      <c r="AK251" s="389">
        <f t="shared" si="81"/>
        <v>1.0914056882049008</v>
      </c>
      <c r="AL251" s="131">
        <f t="shared" si="82"/>
        <v>0</v>
      </c>
      <c r="AM251" s="131">
        <f t="shared" si="83"/>
        <v>0</v>
      </c>
      <c r="AN251" s="131">
        <f t="shared" si="84"/>
        <v>0</v>
      </c>
      <c r="AO251" s="131">
        <f t="shared" si="85"/>
        <v>1532.5696298060693</v>
      </c>
      <c r="AP251" s="26" t="str">
        <f t="shared" si="86"/>
        <v>40-49</v>
      </c>
      <c r="AQ251" s="26" t="str">
        <f t="shared" si="87"/>
        <v>Up to 250k</v>
      </c>
      <c r="AR251" s="26" t="str">
        <f>IF($T251=1,IF($AI251&lt;0,"Loss-making",IF($AJ251&lt;Assumptions!$C$16-0.00001,"Below target","At/above target")),"Excluded")</f>
        <v>At/above target</v>
      </c>
      <c r="AS251" s="103">
        <f t="shared" si="88"/>
        <v>1532.5698808060692</v>
      </c>
      <c r="AT251" s="26"/>
      <c r="AU251" s="419">
        <f>IF(AND($T251=1,AU$5&lt;=$H251),INDEX(Mortality!$B$4:$E$64,MATCH($D251+AU$5-1,Mortality!$A$4:$A$64,0),$U251)*$V251*$N251,0)</f>
        <v>1.24764059807091E-3</v>
      </c>
      <c r="AV251" s="93">
        <f>IF(AND($T251=1,AV$5&lt;=$H251),INDEX(Mortality!$B$4:$E$64,MATCH($D251+AV$5-1,Mortality!$A$4:$A$64,0),$U251)*$V251*$N251,0)</f>
        <v>1.3515529249964601E-3</v>
      </c>
      <c r="AW251" s="93">
        <f>IF(AND($T251=1,AW$5&lt;=$H251),INDEX(Mortality!$B$4:$E$64,MATCH($D251+AW$5-1,Mortality!$A$4:$A$64,0),$U251)*$V251*$N251,0)</f>
        <v>1.4641198049269301E-3</v>
      </c>
      <c r="AX251" s="93">
        <f>IF(AND($T251=1,AX$5&lt;=$H251),INDEX(Mortality!$B$4:$E$64,MATCH($D251+AX$5-1,Mortality!$A$4:$A$64,0),$U251)*$V251*$N251,0)</f>
        <v>1.58606205020413E-3</v>
      </c>
      <c r="AY251" s="93">
        <f>IF(AND($T251=1,AY$5&lt;=$H251),INDEX(Mortality!$B$4:$E$64,MATCH($D251+AY$5-1,Mortality!$A$4:$A$64,0),$U251)*$V251*$N251,0)</f>
        <v>1.71816050751616E-3</v>
      </c>
      <c r="AZ251" s="93">
        <f>IF(AND($T251=1,AZ$5&lt;=$H251),INDEX(Mortality!$B$4:$E$64,MATCH($D251+AZ$5-1,Mortality!$A$4:$A$64,0),$U251)*$V251*$N251,0)</f>
        <v>1.8612610579820999E-3</v>
      </c>
      <c r="BA251" s="93">
        <f>IF(AND($T251=1,BA$5&lt;=$H251),INDEX(Mortality!$B$4:$E$64,MATCH($D251+BA$5-1,Mortality!$A$4:$A$64,0),$U251)*$V251*$N251,0)</f>
        <v>2.0162800336790201E-3</v>
      </c>
      <c r="BB251" s="93">
        <f>IF(AND($T251=1,BB$5&lt;=$H251),INDEX(Mortality!$B$4:$E$64,MATCH($D251+BB$5-1,Mortality!$A$4:$A$64,0),$U251)*$V251*$N251,0)</f>
        <v>2.1842100852957199E-3</v>
      </c>
      <c r="BC251" s="93">
        <f>IF(AND($T251=1,BC$5&lt;=$H251),INDEX(Mortality!$B$4:$E$64,MATCH($D251+BC$5-1,Mortality!$A$4:$A$64,0),$U251)*$V251*$N251,0)</f>
        <v>2.3661265384860701E-3</v>
      </c>
      <c r="BD251" s="93">
        <f>IF(AND($T251=1,BD$5&lt;=$H251),INDEX(Mortality!$B$4:$E$64,MATCH($D251+BD$5-1,Mortality!$A$4:$A$64,0),$U251)*$V251*$N251,0)</f>
        <v>2.5631942796244698E-3</v>
      </c>
      <c r="BE251" s="93">
        <f>IF(AND($T251=1,BE$5&lt;=$H251),INDEX(Mortality!$B$4:$E$64,MATCH($D251+BE$5-1,Mortality!$A$4:$A$64,0),$U251)*$V251*$N251,0)</f>
        <v>2.7766752150556202E-3</v>
      </c>
      <c r="BF251" s="93">
        <f>IF(AND($T251=1,BF$5&lt;=$H251),INDEX(Mortality!$B$4:$E$64,MATCH($D251+BF$5-1,Mortality!$A$4:$A$64,0),$U251)*$V251*$N251,0)</f>
        <v>3.0079363516033399E-3</v>
      </c>
      <c r="BG251" s="93">
        <f>IF(AND($T251=1,BG$5&lt;=$H251),INDEX(Mortality!$B$4:$E$64,MATCH($D251+BG$5-1,Mortality!$A$4:$A$64,0),$U251)*$V251*$N251,0)</f>
        <v>3.2584585500813001E-3</v>
      </c>
      <c r="BH251" s="93">
        <f>IF(AND($T251=1,BH$5&lt;=$H251),INDEX(Mortality!$B$4:$E$64,MATCH($D251+BH$5-1,Mortality!$A$4:$A$64,0),$U251)*$V251*$N251,0)</f>
        <v>3.5298460078579601E-3</v>
      </c>
      <c r="BI251" s="93">
        <f>IF(AND($T251=1,BI$5&lt;=$H251),INDEX(Mortality!$B$4:$E$64,MATCH($D251+BI$5-1,Mortality!$A$4:$A$64,0),$U251)*$V251*$N251,0)</f>
        <v>3.8238365311966099E-3</v>
      </c>
      <c r="BJ251" s="93">
        <f>IF(AND($T251=1,BJ$5&lt;=$H251),INDEX(Mortality!$B$4:$E$64,MATCH($D251+BJ$5-1,Mortality!$A$4:$A$64,0),$U251)*$V251*$N251,0)</f>
        <v>0</v>
      </c>
      <c r="BK251" s="93">
        <f>IF(AND($T251=1,BK$5&lt;=$H251),INDEX(Mortality!$B$4:$E$64,MATCH($D251+BK$5-1,Mortality!$A$4:$A$64,0),$U251)*$V251*$N251,0)</f>
        <v>0</v>
      </c>
      <c r="BL251" s="93">
        <f>IF(AND($T251=1,BL$5&lt;=$H251),INDEX(Mortality!$B$4:$E$64,MATCH($D251+BL$5-1,Mortality!$A$4:$A$64,0),$U251)*$V251*$N251,0)</f>
        <v>0</v>
      </c>
      <c r="BM251" s="93">
        <f>IF(AND($T251=1,BM$5&lt;=$H251),INDEX(Mortality!$B$4:$E$64,MATCH($D251+BM$5-1,Mortality!$A$4:$A$64,0),$U251)*$V251*$N251,0)</f>
        <v>0</v>
      </c>
      <c r="BN251" s="93">
        <f>IF(AND($T251=1,BN$5&lt;=$H251),INDEX(Mortality!$B$4:$E$64,MATCH($D251+BN$5-1,Mortality!$A$4:$A$64,0),$U251)*$V251*$N251,0)</f>
        <v>0</v>
      </c>
      <c r="BO251" s="93">
        <f>IF(AND($T251=1,BO$5&lt;=$H251),INDEX(Mortality!$B$4:$E$64,MATCH($D251+BO$5-1,Mortality!$A$4:$A$64,0),$U251)*$V251*$N251,0)</f>
        <v>0</v>
      </c>
      <c r="BP251" s="93">
        <f>IF(AND($T251=1,BP$5&lt;=$H251),INDEX(Mortality!$B$4:$E$64,MATCH($D251+BP$5-1,Mortality!$A$4:$A$64,0),$U251)*$V251*$N251,0)</f>
        <v>0</v>
      </c>
      <c r="BQ251" s="93">
        <f>IF(AND($T251=1,BQ$5&lt;=$H251),INDEX(Mortality!$B$4:$E$64,MATCH($D251+BQ$5-1,Mortality!$A$4:$A$64,0),$U251)*$V251*$N251,0)</f>
        <v>0</v>
      </c>
      <c r="BR251" s="93">
        <f>IF(AND($T251=1,BR$5&lt;=$H251),INDEX(Mortality!$B$4:$E$64,MATCH($D251+BR$5-1,Mortality!$A$4:$A$64,0),$U251)*$V251*$N251,0)</f>
        <v>0</v>
      </c>
      <c r="BS251" s="93">
        <f>IF(AND($T251=1,BS$5&lt;=$H251),INDEX(Mortality!$B$4:$E$64,MATCH($D251+BS$5-1,Mortality!$A$4:$A$64,0),$U251)*$V251*$N251,0)</f>
        <v>0</v>
      </c>
      <c r="BT251" s="93">
        <f>IF(AND($T251=1,BT$5&lt;=$H251),INDEX(Mortality!$B$4:$E$64,MATCH($D251+BT$5-1,Mortality!$A$4:$A$64,0),$U251)*$V251*$N251,0)</f>
        <v>0</v>
      </c>
      <c r="BU251" s="93">
        <f>IF(AND($T251=1,BU$5&lt;=$H251),INDEX(Mortality!$B$4:$E$64,MATCH($D251+BU$5-1,Mortality!$A$4:$A$64,0),$U251)*$V251*$N251,0)</f>
        <v>0</v>
      </c>
      <c r="BV251" s="93">
        <f>IF(AND($T251=1,BV$5&lt;=$H251),INDEX(Mortality!$B$4:$E$64,MATCH($D251+BV$5-1,Mortality!$A$4:$A$64,0),$U251)*$V251*$N251,0)</f>
        <v>0</v>
      </c>
      <c r="BW251" s="93">
        <f>IF(AND($T251=1,BW$5&lt;=$H251),INDEX(Mortality!$B$4:$E$64,MATCH($D251+BW$5-1,Mortality!$A$4:$A$64,0),$U251)*$V251*$N251,0)</f>
        <v>0</v>
      </c>
      <c r="BX251" s="93">
        <f>IF(AND($T251=1,BX$5&lt;=$H251),INDEX(Mortality!$B$4:$E$64,MATCH($D251+BX$5-1,Mortality!$A$4:$A$64,0),$U251)*$V251*$N251,0)</f>
        <v>0</v>
      </c>
      <c r="BY251" s="93">
        <f>IF(AND($T251=1,BY$5&lt;=$H251),INDEX(Mortality!$B$4:$E$64,MATCH($D251+BY$5-1,Mortality!$A$4:$A$64,0),$U251)*$V251*$N251,0)</f>
        <v>0</v>
      </c>
      <c r="BZ251" s="93">
        <f>IF(AND($T251=1,BZ$5&lt;=$H251),INDEX(Mortality!$B$4:$E$64,MATCH($D251+BZ$5-1,Mortality!$A$4:$A$64,0),$U251)*$V251*$N251,0)</f>
        <v>0</v>
      </c>
      <c r="CA251" s="93">
        <f>IF(AND($T251=1,CA$5&lt;=$H251),INDEX(Mortality!$B$4:$E$64,MATCH($D251+CA$5-1,Mortality!$A$4:$A$64,0),$U251)*$V251*$N251,0)</f>
        <v>0</v>
      </c>
      <c r="CB251" s="93">
        <f>IF(AND($T251=1,CB$5&lt;=$H251),INDEX(Mortality!$B$4:$E$64,MATCH($D251+CB$5-1,Mortality!$A$4:$A$64,0),$U251)*$V251*$N251,0)</f>
        <v>0</v>
      </c>
      <c r="CC251" s="93">
        <f>IF(AND($T251=1,CC$5&lt;=$H251),INDEX(Mortality!$B$4:$E$64,MATCH($D251+CC$5-1,Mortality!$A$4:$A$64,0),$U251)*$V251*$N251,0)</f>
        <v>0</v>
      </c>
      <c r="CD251" s="93">
        <f>IF(AND($T251=1,CD$5&lt;=$H251),INDEX(Mortality!$B$4:$E$64,MATCH($D251+CD$5-1,Mortality!$A$4:$A$64,0),$U251)*$V251*$N251,0)</f>
        <v>0</v>
      </c>
      <c r="CE251" s="93">
        <f>IF(AND($T251=1,CE$5&lt;=$H251),INDEX(Mortality!$B$4:$E$64,MATCH($D251+CE$5-1,Mortality!$A$4:$A$64,0),$U251)*$V251*$N251,0)</f>
        <v>0</v>
      </c>
      <c r="CF251" s="93">
        <f>IF(AND($T251=1,CF$5&lt;=$H251),INDEX(Mortality!$B$4:$E$64,MATCH($D251+CF$5-1,Mortality!$A$4:$A$64,0),$U251)*$V251*$N251,0)</f>
        <v>0</v>
      </c>
      <c r="CG251" s="93">
        <f>IF(AND($T251=1,CG$5&lt;=$H251),INDEX(Mortality!$B$4:$E$64,MATCH($D251+CG$5-1,Mortality!$A$4:$A$64,0),$U251)*$V251*$N251,0)</f>
        <v>0</v>
      </c>
      <c r="CH251" s="94">
        <f>IF(AND($T251=1,CH$5&lt;=$H251),INDEX(Mortality!$B$4:$E$64,MATCH($D251+CH$5-1,Mortality!$A$4:$A$64,0),$U251)*$V251*$N251,0)</f>
        <v>0</v>
      </c>
      <c r="CI251" s="26"/>
      <c r="CJ251" s="419">
        <f t="shared" si="89"/>
        <v>1</v>
      </c>
      <c r="CK251" s="93">
        <f>IF(AND($T251=1,CK$5&lt;=$H251),CJ251*(1-AU251)*(1-MIN(1,MAX(Assumptions!$C$27,Assumptions!$C$13*Assumptions!$C$28^(CJ$5-1))*$O251)),0)</f>
        <v>0.87890207627369754</v>
      </c>
      <c r="CL251" s="93">
        <f>IF(AND($T251=1,CL$5&lt;=$H251),CK251*(1-AV251)*(1-MIN(1,MAX(Assumptions!$C$27,Assumptions!$C$13*Assumptions!$C$28^(CK$5-1))*$O251)),0)</f>
        <v>0.78818734585434858</v>
      </c>
      <c r="CM251" s="93">
        <f>IF(AND($T251=1,CM$5&lt;=$H251),CL251*(1-AW251)*(1-MIN(1,MAX(Assumptions!$C$27,Assumptions!$C$13*Assumptions!$C$28^(CL$5-1))*$O251)),0)</f>
        <v>0.71879755412667357</v>
      </c>
      <c r="CN251" s="93">
        <f>IF(AND($T251=1,CN$5&lt;=$H251),CM251*(1-AX251)*(1-MIN(1,MAX(Assumptions!$C$27,Assumptions!$C$13*Assumptions!$C$28^(CM$5-1))*$O251)),0)</f>
        <v>0.66476972739204032</v>
      </c>
      <c r="CO251" s="93">
        <f>IF(AND($T251=1,CO$5&lt;=$H251),CN251*(1-AY251)*(1-MIN(1,MAX(Assumptions!$C$27,Assumptions!$C$13*Assumptions!$C$28^(CN$5-1))*$O251)),0)</f>
        <v>0.62205741907896106</v>
      </c>
      <c r="CP251" s="93">
        <f>IF(AND($T251=1,CP$5&lt;=$H251),CO251*(1-AZ251)*(1-MIN(1,MAX(Assumptions!$C$27,Assumptions!$C$13*Assumptions!$C$28^(CO$5-1))*$O251)),0)</f>
        <v>0.58784003328625323</v>
      </c>
      <c r="CQ251" s="93">
        <f>IF(AND($T251=1,CQ$5&lt;=$H251),CP251*(1-BA251)*(1-MIN(1,MAX(Assumptions!$C$27,Assumptions!$C$13*Assumptions!$C$28^(CP$5-1))*$O251)),0)</f>
        <v>0.56010399508700748</v>
      </c>
      <c r="CR251" s="93">
        <f>IF(AND($T251=1,CR$5&lt;=$H251),CQ251*(1-BB251)*(1-MIN(1,MAX(Assumptions!$C$27,Assumptions!$C$13*Assumptions!$C$28^(CQ$5-1))*$O251)),0)</f>
        <v>0.53738089204280837</v>
      </c>
      <c r="CS251" s="93">
        <f>IF(AND($T251=1,CS$5&lt;=$H251),CR251*(1-BC251)*(1-MIN(1,MAX(Assumptions!$C$27,Assumptions!$C$13*Assumptions!$C$28^(CR$5-1))*$O251)),0)</f>
        <v>0.51857921365283466</v>
      </c>
      <c r="CT251" s="93">
        <f>IF(AND($T251=1,CT$5&lt;=$H251),CS251*(1-BD251)*(1-MIN(1,MAX(Assumptions!$C$27,Assumptions!$C$13*Assumptions!$C$28^(CS$5-1))*$O251)),0)</f>
        <v>0.50287353067930307</v>
      </c>
      <c r="CU251" s="93">
        <f>IF(AND($T251=1,CU$5&lt;=$H251),CT251*(1-BE251)*(1-MIN(1,MAX(Assumptions!$C$27,Assumptions!$C$13*Assumptions!$C$28^(CT$5-1))*$O251)),0)</f>
        <v>0.48962985086978517</v>
      </c>
      <c r="CV251" s="93">
        <f>IF(AND($T251=1,CV$5&lt;=$H251),CU251*(1-BF251)*(1-MIN(1,MAX(Assumptions!$C$27,Assumptions!$C$13*Assumptions!$C$28^(CU$5-1))*$O251)),0)</f>
        <v>0.47835430083037328</v>
      </c>
      <c r="CW251" s="93">
        <f>IF(AND($T251=1,CW$5&lt;=$H251),CV251*(1-BG251)*(1-MIN(1,MAX(Assumptions!$C$27,Assumptions!$C$13*Assumptions!$C$28^(CV$5-1))*$O251)),0)</f>
        <v>0.4672596911054871</v>
      </c>
      <c r="CX251" s="93">
        <f>IF(AND($T251=1,CX$5&lt;=$H251),CW251*(1-BH251)*(1-MIN(1,MAX(Assumptions!$C$27,Assumptions!$C$13*Assumptions!$C$28^(CW$5-1))*$O251)),0)</f>
        <v>0.45629812962320132</v>
      </c>
      <c r="CY251" s="93">
        <f>IF(AND($T251=1,CY$5&lt;=$H251),CX251*(1-BI251)*(1-MIN(1,MAX(Assumptions!$C$27,Assumptions!$C$13*Assumptions!$C$28^(CX$5-1))*$O251)),0)</f>
        <v>0</v>
      </c>
      <c r="CZ251" s="93">
        <f>IF(AND($T251=1,CZ$5&lt;=$H251),CY251*(1-BJ251)*(1-MIN(1,MAX(Assumptions!$C$27,Assumptions!$C$13*Assumptions!$C$28^(CY$5-1))*$O251)),0)</f>
        <v>0</v>
      </c>
      <c r="DA251" s="93">
        <f>IF(AND($T251=1,DA$5&lt;=$H251),CZ251*(1-BK251)*(1-MIN(1,MAX(Assumptions!$C$27,Assumptions!$C$13*Assumptions!$C$28^(CZ$5-1))*$O251)),0)</f>
        <v>0</v>
      </c>
      <c r="DB251" s="93">
        <f>IF(AND($T251=1,DB$5&lt;=$H251),DA251*(1-BL251)*(1-MIN(1,MAX(Assumptions!$C$27,Assumptions!$C$13*Assumptions!$C$28^(DA$5-1))*$O251)),0)</f>
        <v>0</v>
      </c>
      <c r="DC251" s="93">
        <f>IF(AND($T251=1,DC$5&lt;=$H251),DB251*(1-BM251)*(1-MIN(1,MAX(Assumptions!$C$27,Assumptions!$C$13*Assumptions!$C$28^(DB$5-1))*$O251)),0)</f>
        <v>0</v>
      </c>
      <c r="DD251" s="93">
        <f>IF(AND($T251=1,DD$5&lt;=$H251),DC251*(1-BN251)*(1-MIN(1,MAX(Assumptions!$C$27,Assumptions!$C$13*Assumptions!$C$28^(DC$5-1))*$O251)),0)</f>
        <v>0</v>
      </c>
      <c r="DE251" s="93">
        <f>IF(AND($T251=1,DE$5&lt;=$H251),DD251*(1-BO251)*(1-MIN(1,MAX(Assumptions!$C$27,Assumptions!$C$13*Assumptions!$C$28^(DD$5-1))*$O251)),0)</f>
        <v>0</v>
      </c>
      <c r="DF251" s="93">
        <f>IF(AND($T251=1,DF$5&lt;=$H251),DE251*(1-BP251)*(1-MIN(1,MAX(Assumptions!$C$27,Assumptions!$C$13*Assumptions!$C$28^(DE$5-1))*$O251)),0)</f>
        <v>0</v>
      </c>
      <c r="DG251" s="93">
        <f>IF(AND($T251=1,DG$5&lt;=$H251),DF251*(1-BQ251)*(1-MIN(1,MAX(Assumptions!$C$27,Assumptions!$C$13*Assumptions!$C$28^(DF$5-1))*$O251)),0)</f>
        <v>0</v>
      </c>
      <c r="DH251" s="93">
        <f>IF(AND($T251=1,DH$5&lt;=$H251),DG251*(1-BR251)*(1-MIN(1,MAX(Assumptions!$C$27,Assumptions!$C$13*Assumptions!$C$28^(DG$5-1))*$O251)),0)</f>
        <v>0</v>
      </c>
      <c r="DI251" s="93">
        <f>IF(AND($T251=1,DI$5&lt;=$H251),DH251*(1-BS251)*(1-MIN(1,MAX(Assumptions!$C$27,Assumptions!$C$13*Assumptions!$C$28^(DH$5-1))*$O251)),0)</f>
        <v>0</v>
      </c>
      <c r="DJ251" s="93">
        <f>IF(AND($T251=1,DJ$5&lt;=$H251),DI251*(1-BT251)*(1-MIN(1,MAX(Assumptions!$C$27,Assumptions!$C$13*Assumptions!$C$28^(DI$5-1))*$O251)),0)</f>
        <v>0</v>
      </c>
      <c r="DK251" s="93">
        <f>IF(AND($T251=1,DK$5&lt;=$H251),DJ251*(1-BU251)*(1-MIN(1,MAX(Assumptions!$C$27,Assumptions!$C$13*Assumptions!$C$28^(DJ$5-1))*$O251)),0)</f>
        <v>0</v>
      </c>
      <c r="DL251" s="93">
        <f>IF(AND($T251=1,DL$5&lt;=$H251),DK251*(1-BV251)*(1-MIN(1,MAX(Assumptions!$C$27,Assumptions!$C$13*Assumptions!$C$28^(DK$5-1))*$O251)),0)</f>
        <v>0</v>
      </c>
      <c r="DM251" s="93">
        <f>IF(AND($T251=1,DM$5&lt;=$H251),DL251*(1-BW251)*(1-MIN(1,MAX(Assumptions!$C$27,Assumptions!$C$13*Assumptions!$C$28^(DL$5-1))*$O251)),0)</f>
        <v>0</v>
      </c>
      <c r="DN251" s="93">
        <f>IF(AND($T251=1,DN$5&lt;=$H251),DM251*(1-BX251)*(1-MIN(1,MAX(Assumptions!$C$27,Assumptions!$C$13*Assumptions!$C$28^(DM$5-1))*$O251)),0)</f>
        <v>0</v>
      </c>
      <c r="DO251" s="93">
        <f>IF(AND($T251=1,DO$5&lt;=$H251),DN251*(1-BY251)*(1-MIN(1,MAX(Assumptions!$C$27,Assumptions!$C$13*Assumptions!$C$28^(DN$5-1))*$O251)),0)</f>
        <v>0</v>
      </c>
      <c r="DP251" s="93">
        <f>IF(AND($T251=1,DP$5&lt;=$H251),DO251*(1-BZ251)*(1-MIN(1,MAX(Assumptions!$C$27,Assumptions!$C$13*Assumptions!$C$28^(DO$5-1))*$O251)),0)</f>
        <v>0</v>
      </c>
      <c r="DQ251" s="93">
        <f>IF(AND($T251=1,DQ$5&lt;=$H251),DP251*(1-CA251)*(1-MIN(1,MAX(Assumptions!$C$27,Assumptions!$C$13*Assumptions!$C$28^(DP$5-1))*$O251)),0)</f>
        <v>0</v>
      </c>
      <c r="DR251" s="93">
        <f>IF(AND($T251=1,DR$5&lt;=$H251),DQ251*(1-CB251)*(1-MIN(1,MAX(Assumptions!$C$27,Assumptions!$C$13*Assumptions!$C$28^(DQ$5-1))*$O251)),0)</f>
        <v>0</v>
      </c>
      <c r="DS251" s="93">
        <f>IF(AND($T251=1,DS$5&lt;=$H251),DR251*(1-CC251)*(1-MIN(1,MAX(Assumptions!$C$27,Assumptions!$C$13*Assumptions!$C$28^(DR$5-1))*$O251)),0)</f>
        <v>0</v>
      </c>
      <c r="DT251" s="93">
        <f>IF(AND($T251=1,DT$5&lt;=$H251),DS251*(1-CD251)*(1-MIN(1,MAX(Assumptions!$C$27,Assumptions!$C$13*Assumptions!$C$28^(DS$5-1))*$O251)),0)</f>
        <v>0</v>
      </c>
      <c r="DU251" s="93">
        <f>IF(AND($T251=1,DU$5&lt;=$H251),DT251*(1-CE251)*(1-MIN(1,MAX(Assumptions!$C$27,Assumptions!$C$13*Assumptions!$C$28^(DT$5-1))*$O251)),0)</f>
        <v>0</v>
      </c>
      <c r="DV251" s="93">
        <f>IF(AND($T251=1,DV$5&lt;=$H251),DU251*(1-CF251)*(1-MIN(1,MAX(Assumptions!$C$27,Assumptions!$C$13*Assumptions!$C$28^(DU$5-1))*$O251)),0)</f>
        <v>0</v>
      </c>
      <c r="DW251" s="94">
        <f>IF(AND($T251=1,DW$5&lt;=$H251),DV251*(1-CG251)*(1-MIN(1,MAX(Assumptions!$C$27,Assumptions!$C$13*Assumptions!$C$28^(DV$5-1))*$O251)),0)</f>
        <v>0</v>
      </c>
      <c r="DX251" s="26"/>
      <c r="DY251" s="399">
        <f>'Policy Data'!K225</f>
        <v>7</v>
      </c>
      <c r="DZ251" s="100">
        <f>'Policy Data'!L225</f>
        <v>0.79620000000000002</v>
      </c>
      <c r="EA251" s="100">
        <f>'Policy Data'!N225</f>
        <v>9.9299999999999996E-4</v>
      </c>
      <c r="EB251" s="93" cm="1">
        <f t="array" ref="EB251">IFERROR(DZ251*INDEX(Mortality!$B$4:$E$64,MATCH(D251+DY251-1,Mortality!$A$4:$A$64,0),U251)*V251,0)</f>
        <v>1.6053621628152358E-3</v>
      </c>
      <c r="EC251" s="100">
        <f>'Policy Data'!O225</f>
        <v>0</v>
      </c>
      <c r="ED251" s="400">
        <f>'Policy Data'!Q225</f>
        <v>0</v>
      </c>
    </row>
    <row r="252" spans="1:134" x14ac:dyDescent="0.3">
      <c r="A252" s="399" t="str">
        <f>'Policy Data'!A226</f>
        <v>POL100222</v>
      </c>
      <c r="B252" s="26" t="s">
        <v>426</v>
      </c>
      <c r="C252" s="100" t="str">
        <f>'Policy Data'!B226</f>
        <v>Term Life</v>
      </c>
      <c r="D252" s="100">
        <f>'Policy Data'!C226</f>
        <v>38</v>
      </c>
      <c r="E252" s="100" t="str">
        <f>'Policy Data'!D226</f>
        <v>Male</v>
      </c>
      <c r="F252" s="100" t="str">
        <f>'Policy Data'!E226</f>
        <v>Non-smoker</v>
      </c>
      <c r="G252" s="100" t="str">
        <f>'Policy Data'!F226</f>
        <v>Rated</v>
      </c>
      <c r="H252" s="100">
        <f>'Policy Data'!G226</f>
        <v>20</v>
      </c>
      <c r="I252" s="279">
        <f>'Policy Data'!H226</f>
        <v>500000</v>
      </c>
      <c r="J252" s="100" t="str">
        <f>'Policy Data'!I226</f>
        <v>Annual</v>
      </c>
      <c r="K252" s="100" t="str">
        <f>'Policy Data'!J226</f>
        <v>Broker</v>
      </c>
      <c r="L252" s="26" t="s">
        <v>389</v>
      </c>
      <c r="M252" s="106">
        <f>'Policy Data'!R226</f>
        <v>1652.52</v>
      </c>
      <c r="N252" s="415">
        <f>Assumptions!$C$21</f>
        <v>1</v>
      </c>
      <c r="O252" s="415">
        <f>Assumptions!$C$22</f>
        <v>1</v>
      </c>
      <c r="P252" s="415">
        <f>Assumptions!$C$23</f>
        <v>1</v>
      </c>
      <c r="Q252" s="416">
        <f>Assumptions!$C$24</f>
        <v>0</v>
      </c>
      <c r="R252" s="416">
        <f>Assumptions!$C$6+Assumptions!$C$25</f>
        <v>3.5000000000000003E-2</v>
      </c>
      <c r="S252" s="416">
        <f>Assumptions!$C$15</f>
        <v>1.1000000000000001E-3</v>
      </c>
      <c r="T252" s="26">
        <f t="shared" si="72"/>
        <v>1</v>
      </c>
      <c r="U252" s="26">
        <f t="shared" si="73"/>
        <v>3</v>
      </c>
      <c r="V252" s="389">
        <f>IF($G252="Preferred",Assumptions!$C$30,IF($G252="Rated",Assumptions!$C$31,1))</f>
        <v>1.55</v>
      </c>
      <c r="W252" s="390">
        <f>IF($K252="Direct",Assumptions!$C$32,IF($K252="Broker",Assumptions!$C$33,IF($K252="Bancassurance",Assumptions!$C$34,Assumptions!$C$11)))+$Q252</f>
        <v>0.25</v>
      </c>
      <c r="X252" s="390">
        <f>Assumptions!$C$12+$Q252</f>
        <v>0.05</v>
      </c>
      <c r="Y252" s="131">
        <f>MIN($I252,Assumptions!$C$14)</f>
        <v>500000</v>
      </c>
      <c r="Z252" s="131">
        <f>MAX($I252-Assumptions!$C$14,0)</f>
        <v>0</v>
      </c>
      <c r="AA252" s="389">
        <f t="shared" si="74"/>
        <v>8.4936096457346562</v>
      </c>
      <c r="AB252" s="389">
        <f t="shared" si="75"/>
        <v>2.4911550875790476E-2</v>
      </c>
      <c r="AC252" s="389">
        <f>IF($T252=1,SUMPRODUCT($CJ252:$DW252,(1+Assumptions!$C$5)^($CJ$5:$DW$5-1),(1+$R252)^(-$CJ$5:$DW$5)),0)</f>
        <v>11.401985806875953</v>
      </c>
      <c r="AD252" s="389">
        <f t="shared" si="76"/>
        <v>0.61791719726257832</v>
      </c>
      <c r="AE252" s="131">
        <f>IF($T252=1,$AB252*$Y252+(Assumptions!$C$9/(1+$R252)+Assumptions!$C$10*$AC252)*$P252+$S252*$Z252*$AA252,0)</f>
        <v>15833.777532799251</v>
      </c>
      <c r="AF252" s="131">
        <f>IF($T252=1,IF($AA252-$AD252-Assumptions!$C$16*$AA252&gt;0,$AE252/($AA252-$AD252-Assumptions!$C$16*$AA252)*IF($J252="Monthly",1+Assumptions!$C$29,1),"n.a."),"")</f>
        <v>2200.2959121094418</v>
      </c>
      <c r="AG252" s="131">
        <f t="shared" si="77"/>
        <v>1652.52</v>
      </c>
      <c r="AH252" s="131">
        <f t="shared" si="78"/>
        <v>14035.859811769435</v>
      </c>
      <c r="AI252" s="131">
        <f t="shared" si="79"/>
        <v>-2819.0382478501724</v>
      </c>
      <c r="AJ252" s="390">
        <f t="shared" si="80"/>
        <v>-0.20084542633336472</v>
      </c>
      <c r="AK252" s="389">
        <f t="shared" si="81"/>
        <v>0.75104443493498807</v>
      </c>
      <c r="AL252" s="131">
        <f t="shared" si="82"/>
        <v>0</v>
      </c>
      <c r="AM252" s="131">
        <f t="shared" si="83"/>
        <v>0</v>
      </c>
      <c r="AN252" s="131">
        <f t="shared" si="84"/>
        <v>0</v>
      </c>
      <c r="AO252" s="131">
        <f t="shared" si="85"/>
        <v>-2819.0382478501724</v>
      </c>
      <c r="AP252" s="26" t="str">
        <f t="shared" si="86"/>
        <v>30-39</v>
      </c>
      <c r="AQ252" s="26" t="str">
        <f t="shared" si="87"/>
        <v>250k-500k</v>
      </c>
      <c r="AR252" s="26" t="str">
        <f>IF($T252=1,IF($AI252&lt;0,"Loss-making",IF($AJ252&lt;Assumptions!$C$16-0.00001,"Below target","At/above target")),"Excluded")</f>
        <v>Loss-making</v>
      </c>
      <c r="AS252" s="103">
        <f t="shared" si="88"/>
        <v>-2819.0379958501726</v>
      </c>
      <c r="AT252" s="26"/>
      <c r="AU252" s="419">
        <f>IF(AND($T252=1,AU$5&lt;=$H252),INDEX(Mortality!$B$4:$E$64,MATCH($D252+AU$5-1,Mortality!$A$4:$A$64,0),$U252)*$V252*$N252,0)</f>
        <v>1.5212147253124836E-3</v>
      </c>
      <c r="AV252" s="93">
        <f>IF(AND($T252=1,AV$5&lt;=$H252),INDEX(Mortality!$B$4:$E$64,MATCH($D252+AV$5-1,Mortality!$A$4:$A$64,0),$U252)*$V252*$N252,0)</f>
        <v>1.6479122390877256E-3</v>
      </c>
      <c r="AW252" s="93">
        <f>IF(AND($T252=1,AW$5&lt;=$H252),INDEX(Mortality!$B$4:$E$64,MATCH($D252+AW$5-1,Mortality!$A$4:$A$64,0),$U252)*$V252*$N252,0)</f>
        <v>1.7851620172670178E-3</v>
      </c>
      <c r="AX252" s="93">
        <f>IF(AND($T252=1,AX$5&lt;=$H252),INDEX(Mortality!$B$4:$E$64,MATCH($D252+AX$5-1,Mortality!$A$4:$A$64,0),$U252)*$V252*$N252,0)</f>
        <v>1.9338429270099105E-3</v>
      </c>
      <c r="AY252" s="93">
        <f>IF(AND($T252=1,AY$5&lt;=$H252),INDEX(Mortality!$B$4:$E$64,MATCH($D252+AY$5-1,Mortality!$A$4:$A$64,0),$U252)*$V252*$N252,0)</f>
        <v>2.0949070337445133E-3</v>
      </c>
      <c r="AZ252" s="93">
        <f>IF(AND($T252=1,AZ$5&lt;=$H252),INDEX(Mortality!$B$4:$E$64,MATCH($D252+AZ$5-1,Mortality!$A$4:$A$64,0),$U252)*$V252*$N252,0)</f>
        <v>2.2693856976367418E-3</v>
      </c>
      <c r="BA252" s="93">
        <f>IF(AND($T252=1,BA$5&lt;=$H252),INDEX(Mortality!$B$4:$E$64,MATCH($D252+BA$5-1,Mortality!$A$4:$A$64,0),$U252)*$V252*$N252,0)</f>
        <v>2.4583961778164016E-3</v>
      </c>
      <c r="BB252" s="93">
        <f>IF(AND($T252=1,BB$5&lt;=$H252),INDEX(Mortality!$B$4:$E$64,MATCH($D252+BB$5-1,Mortality!$A$4:$A$64,0),$U252)*$V252*$N252,0)</f>
        <v>2.6631487866500482E-3</v>
      </c>
      <c r="BC252" s="93">
        <f>IF(AND($T252=1,BC$5&lt;=$H252),INDEX(Mortality!$B$4:$E$64,MATCH($D252+BC$5-1,Mortality!$A$4:$A$64,0),$U252)*$V252*$N252,0)</f>
        <v>2.8849546398722549E-3</v>
      </c>
      <c r="BD252" s="93">
        <f>IF(AND($T252=1,BD$5&lt;=$H252),INDEX(Mortality!$B$4:$E$64,MATCH($D252+BD$5-1,Mortality!$A$4:$A$64,0),$U252)*$V252*$N252,0)</f>
        <v>3.1252340522024812E-3</v>
      </c>
      <c r="BE252" s="93">
        <f>IF(AND($T252=1,BE$5&lt;=$H252),INDEX(Mortality!$B$4:$E$64,MATCH($D252+BE$5-1,Mortality!$A$4:$A$64,0),$U252)*$V252*$N252,0)</f>
        <v>3.3855256322083659E-3</v>
      </c>
      <c r="BF252" s="93">
        <f>IF(AND($T252=1,BF$5&lt;=$H252),INDEX(Mortality!$B$4:$E$64,MATCH($D252+BF$5-1,Mortality!$A$4:$A$64,0),$U252)*$V252*$N252,0)</f>
        <v>3.6674961346534088E-3</v>
      </c>
      <c r="BG252" s="93">
        <f>IF(AND($T252=1,BG$5&lt;=$H252),INDEX(Mortality!$B$4:$E$64,MATCH($D252+BG$5-1,Mortality!$A$4:$A$64,0),$U252)*$V252*$N252,0)</f>
        <v>3.9729511334179284E-3</v>
      </c>
      <c r="BH252" s="93">
        <f>IF(AND($T252=1,BH$5&lt;=$H252),INDEX(Mortality!$B$4:$E$64,MATCH($D252+BH$5-1,Mortality!$A$4:$A$64,0),$U252)*$V252*$N252,0)</f>
        <v>4.303846583336211E-3</v>
      </c>
      <c r="BI252" s="93">
        <f>IF(AND($T252=1,BI$5&lt;=$H252),INDEX(Mortality!$B$4:$E$64,MATCH($D252+BI$5-1,Mortality!$A$4:$A$64,0),$U252)*$V252*$N252,0)</f>
        <v>4.6623013449851773E-3</v>
      </c>
      <c r="BJ252" s="93">
        <f>IF(AND($T252=1,BJ$5&lt;=$H252),INDEX(Mortality!$B$4:$E$64,MATCH($D252+BJ$5-1,Mortality!$A$4:$A$64,0),$U252)*$V252*$N252,0)</f>
        <v>5.050610752626015E-3</v>
      </c>
      <c r="BK252" s="93">
        <f>IF(AND($T252=1,BK$5&lt;=$H252),INDEX(Mortality!$B$4:$E$64,MATCH($D252+BK$5-1,Mortality!$A$4:$A$64,0),$U252)*$V252*$N252,0)</f>
        <v>5.4712613121798382E-3</v>
      </c>
      <c r="BL252" s="93">
        <f>IF(AND($T252=1,BL$5&lt;=$H252),INDEX(Mortality!$B$4:$E$64,MATCH($D252+BL$5-1,Mortality!$A$4:$A$64,0),$U252)*$V252*$N252,0)</f>
        <v>5.9269466233547452E-3</v>
      </c>
      <c r="BM252" s="93">
        <f>IF(AND($T252=1,BM$5&lt;=$H252),INDEX(Mortality!$B$4:$E$64,MATCH($D252+BM$5-1,Mortality!$A$4:$A$64,0),$U252)*$V252*$N252,0)</f>
        <v>6.4205846278799572E-3</v>
      </c>
      <c r="BN252" s="93">
        <f>IF(AND($T252=1,BN$5&lt;=$H252),INDEX(Mortality!$B$4:$E$64,MATCH($D252+BN$5-1,Mortality!$A$4:$A$64,0),$U252)*$V252*$N252,0)</f>
        <v>6.9553362942950019E-3</v>
      </c>
      <c r="BO252" s="93">
        <f>IF(AND($T252=1,BO$5&lt;=$H252),INDEX(Mortality!$B$4:$E$64,MATCH($D252+BO$5-1,Mortality!$A$4:$A$64,0),$U252)*$V252*$N252,0)</f>
        <v>0</v>
      </c>
      <c r="BP252" s="93">
        <f>IF(AND($T252=1,BP$5&lt;=$H252),INDEX(Mortality!$B$4:$E$64,MATCH($D252+BP$5-1,Mortality!$A$4:$A$64,0),$U252)*$V252*$N252,0)</f>
        <v>0</v>
      </c>
      <c r="BQ252" s="93">
        <f>IF(AND($T252=1,BQ$5&lt;=$H252),INDEX(Mortality!$B$4:$E$64,MATCH($D252+BQ$5-1,Mortality!$A$4:$A$64,0),$U252)*$V252*$N252,0)</f>
        <v>0</v>
      </c>
      <c r="BR252" s="93">
        <f>IF(AND($T252=1,BR$5&lt;=$H252),INDEX(Mortality!$B$4:$E$64,MATCH($D252+BR$5-1,Mortality!$A$4:$A$64,0),$U252)*$V252*$N252,0)</f>
        <v>0</v>
      </c>
      <c r="BS252" s="93">
        <f>IF(AND($T252=1,BS$5&lt;=$H252),INDEX(Mortality!$B$4:$E$64,MATCH($D252+BS$5-1,Mortality!$A$4:$A$64,0),$U252)*$V252*$N252,0)</f>
        <v>0</v>
      </c>
      <c r="BT252" s="93">
        <f>IF(AND($T252=1,BT$5&lt;=$H252),INDEX(Mortality!$B$4:$E$64,MATCH($D252+BT$5-1,Mortality!$A$4:$A$64,0),$U252)*$V252*$N252,0)</f>
        <v>0</v>
      </c>
      <c r="BU252" s="93">
        <f>IF(AND($T252=1,BU$5&lt;=$H252),INDEX(Mortality!$B$4:$E$64,MATCH($D252+BU$5-1,Mortality!$A$4:$A$64,0),$U252)*$V252*$N252,0)</f>
        <v>0</v>
      </c>
      <c r="BV252" s="93">
        <f>IF(AND($T252=1,BV$5&lt;=$H252),INDEX(Mortality!$B$4:$E$64,MATCH($D252+BV$5-1,Mortality!$A$4:$A$64,0),$U252)*$V252*$N252,0)</f>
        <v>0</v>
      </c>
      <c r="BW252" s="93">
        <f>IF(AND($T252=1,BW$5&lt;=$H252),INDEX(Mortality!$B$4:$E$64,MATCH($D252+BW$5-1,Mortality!$A$4:$A$64,0),$U252)*$V252*$N252,0)</f>
        <v>0</v>
      </c>
      <c r="BX252" s="93">
        <f>IF(AND($T252=1,BX$5&lt;=$H252),INDEX(Mortality!$B$4:$E$64,MATCH($D252+BX$5-1,Mortality!$A$4:$A$64,0),$U252)*$V252*$N252,0)</f>
        <v>0</v>
      </c>
      <c r="BY252" s="93">
        <f>IF(AND($T252=1,BY$5&lt;=$H252),INDEX(Mortality!$B$4:$E$64,MATCH($D252+BY$5-1,Mortality!$A$4:$A$64,0),$U252)*$V252*$N252,0)</f>
        <v>0</v>
      </c>
      <c r="BZ252" s="93">
        <f>IF(AND($T252=1,BZ$5&lt;=$H252),INDEX(Mortality!$B$4:$E$64,MATCH($D252+BZ$5-1,Mortality!$A$4:$A$64,0),$U252)*$V252*$N252,0)</f>
        <v>0</v>
      </c>
      <c r="CA252" s="93">
        <f>IF(AND($T252=1,CA$5&lt;=$H252),INDEX(Mortality!$B$4:$E$64,MATCH($D252+CA$5-1,Mortality!$A$4:$A$64,0),$U252)*$V252*$N252,0)</f>
        <v>0</v>
      </c>
      <c r="CB252" s="93">
        <f>IF(AND($T252=1,CB$5&lt;=$H252),INDEX(Mortality!$B$4:$E$64,MATCH($D252+CB$5-1,Mortality!$A$4:$A$64,0),$U252)*$V252*$N252,0)</f>
        <v>0</v>
      </c>
      <c r="CC252" s="93">
        <f>IF(AND($T252=1,CC$5&lt;=$H252),INDEX(Mortality!$B$4:$E$64,MATCH($D252+CC$5-1,Mortality!$A$4:$A$64,0),$U252)*$V252*$N252,0)</f>
        <v>0</v>
      </c>
      <c r="CD252" s="93">
        <f>IF(AND($T252=1,CD$5&lt;=$H252),INDEX(Mortality!$B$4:$E$64,MATCH($D252+CD$5-1,Mortality!$A$4:$A$64,0),$U252)*$V252*$N252,0)</f>
        <v>0</v>
      </c>
      <c r="CE252" s="93">
        <f>IF(AND($T252=1,CE$5&lt;=$H252),INDEX(Mortality!$B$4:$E$64,MATCH($D252+CE$5-1,Mortality!$A$4:$A$64,0),$U252)*$V252*$N252,0)</f>
        <v>0</v>
      </c>
      <c r="CF252" s="93">
        <f>IF(AND($T252=1,CF$5&lt;=$H252),INDEX(Mortality!$B$4:$E$64,MATCH($D252+CF$5-1,Mortality!$A$4:$A$64,0),$U252)*$V252*$N252,0)</f>
        <v>0</v>
      </c>
      <c r="CG252" s="93">
        <f>IF(AND($T252=1,CG$5&lt;=$H252),INDEX(Mortality!$B$4:$E$64,MATCH($D252+CG$5-1,Mortality!$A$4:$A$64,0),$U252)*$V252*$N252,0)</f>
        <v>0</v>
      </c>
      <c r="CH252" s="94">
        <f>IF(AND($T252=1,CH$5&lt;=$H252),INDEX(Mortality!$B$4:$E$64,MATCH($D252+CH$5-1,Mortality!$A$4:$A$64,0),$U252)*$V252*$N252,0)</f>
        <v>0</v>
      </c>
      <c r="CI252" s="26"/>
      <c r="CJ252" s="419">
        <f t="shared" si="89"/>
        <v>1</v>
      </c>
      <c r="CK252" s="93">
        <f>IF(AND($T252=1,CK$5&lt;=$H252),CJ252*(1-AU252)*(1-MIN(1,MAX(Assumptions!$C$27,Assumptions!$C$13*Assumptions!$C$28^(CJ$5-1))*$O252)),0)</f>
        <v>0.87866133104172495</v>
      </c>
      <c r="CL252" s="93">
        <f>IF(AND($T252=1,CL$5&lt;=$H252),CK252*(1-AV252)*(1-MIN(1,MAX(Assumptions!$C$27,Assumptions!$C$13*Assumptions!$C$28^(CK$5-1))*$O252)),0)</f>
        <v>0.78773761010369869</v>
      </c>
      <c r="CM252" s="93">
        <f>IF(AND($T252=1,CM$5&lt;=$H252),CL252*(1-AW252)*(1-MIN(1,MAX(Assumptions!$C$27,Assumptions!$C$13*Assumptions!$C$28^(CL$5-1))*$O252)),0)</f>
        <v>0.71815644099051812</v>
      </c>
      <c r="CN252" s="93">
        <f>IF(AND($T252=1,CN$5&lt;=$H252),CM252*(1-AX252)*(1-MIN(1,MAX(Assumptions!$C$27,Assumptions!$C$13*Assumptions!$C$28^(CM$5-1))*$O252)),0)</f>
        <v>0.6639454480630792</v>
      </c>
      <c r="CO252" s="93">
        <f>IF(AND($T252=1,CO$5&lt;=$H252),CN252*(1-AY252)*(1-MIN(1,MAX(Assumptions!$C$27,Assumptions!$C$13*Assumptions!$C$28^(CN$5-1))*$O252)),0)</f>
        <v>0.62105163051721146</v>
      </c>
      <c r="CP252" s="93">
        <f>IF(AND($T252=1,CP$5&lt;=$H252),CO252*(1-AZ252)*(1-MIN(1,MAX(Assumptions!$C$27,Assumptions!$C$13*Assumptions!$C$28^(CO$5-1))*$O252)),0)</f>
        <v>0.58664959918868564</v>
      </c>
      <c r="CQ252" s="93">
        <f>IF(AND($T252=1,CQ$5&lt;=$H252),CP252*(1-BA252)*(1-MIN(1,MAX(Assumptions!$C$27,Assumptions!$C$13*Assumptions!$C$28^(CP$5-1))*$O252)),0)</f>
        <v>0.55872210037439662</v>
      </c>
      <c r="CR252" s="93">
        <f>IF(AND($T252=1,CR$5&lt;=$H252),CQ252*(1-BB252)*(1-MIN(1,MAX(Assumptions!$C$27,Assumptions!$C$13*Assumptions!$C$28^(CQ$5-1))*$O252)),0)</f>
        <v>0.53579776050847383</v>
      </c>
      <c r="CS252" s="93">
        <f>IF(AND($T252=1,CS$5&lt;=$H252),CR252*(1-BC252)*(1-MIN(1,MAX(Assumptions!$C$27,Assumptions!$C$13*Assumptions!$C$28^(CR$5-1))*$O252)),0)</f>
        <v>0.51678257504475511</v>
      </c>
      <c r="CT252" s="93">
        <f>IF(AND($T252=1,CT$5&lt;=$H252),CS252*(1-BD252)*(1-MIN(1,MAX(Assumptions!$C$27,Assumptions!$C$13*Assumptions!$C$28^(CS$5-1))*$O252)),0)</f>
        <v>0.50084892552525584</v>
      </c>
      <c r="CU252" s="93">
        <f>IF(AND($T252=1,CU$5&lt;=$H252),CT252*(1-BE252)*(1-MIN(1,MAX(Assumptions!$C$27,Assumptions!$C$13*Assumptions!$C$28^(CT$5-1))*$O252)),0)</f>
        <v>0.48736082788470364</v>
      </c>
      <c r="CV252" s="93">
        <f>IF(AND($T252=1,CV$5&lt;=$H252),CU252*(1-BF252)*(1-MIN(1,MAX(Assumptions!$C$27,Assumptions!$C$13*Assumptions!$C$28^(CU$5-1))*$O252)),0)</f>
        <v>0.47582254191420764</v>
      </c>
      <c r="CW252" s="93">
        <f>IF(AND($T252=1,CW$5&lt;=$H252),CV252*(1-BG252)*(1-MIN(1,MAX(Assumptions!$C$27,Assumptions!$C$13*Assumptions!$C$28^(CV$5-1))*$O252)),0)</f>
        <v>0.46445347976286372</v>
      </c>
      <c r="CX252" s="93">
        <f>IF(AND($T252=1,CX$5&lt;=$H252),CW252*(1-BH252)*(1-MIN(1,MAX(Assumptions!$C$27,Assumptions!$C$13*Assumptions!$C$28^(CW$5-1))*$O252)),0)</f>
        <v>0.45320545237605037</v>
      </c>
      <c r="CY252" s="93">
        <f>IF(AND($T252=1,CY$5&lt;=$H252),CX252*(1-BI252)*(1-MIN(1,MAX(Assumptions!$C$27,Assumptions!$C$13*Assumptions!$C$28^(CX$5-1))*$O252)),0)</f>
        <v>0.44207062254616525</v>
      </c>
      <c r="CZ252" s="93">
        <f>IF(AND($T252=1,CZ$5&lt;=$H252),CY252*(1-BJ252)*(1-MIN(1,MAX(Assumptions!$C$27,Assumptions!$C$13*Assumptions!$C$28^(CY$5-1))*$O252)),0)</f>
        <v>0.43104113798838323</v>
      </c>
      <c r="DA252" s="93">
        <f>IF(AND($T252=1,DA$5&lt;=$H252),CZ252*(1-BK252)*(1-MIN(1,MAX(Assumptions!$C$27,Assumptions!$C$13*Assumptions!$C$28^(CZ$5-1))*$O252)),0)</f>
        <v>0.42010914330042642</v>
      </c>
      <c r="DB252" s="93">
        <f>IF(AND($T252=1,DB$5&lt;=$H252),DA252*(1-BL252)*(1-MIN(1,MAX(Assumptions!$C$27,Assumptions!$C$13*Assumptions!$C$28^(DA$5-1))*$O252)),0)</f>
        <v>0.4092667952554595</v>
      </c>
      <c r="DC252" s="93">
        <f>IF(AND($T252=1,DC$5&lt;=$H252),DB252*(1-BM252)*(1-MIN(1,MAX(Assumptions!$C$27,Assumptions!$C$13*Assumptions!$C$28^(DB$5-1))*$O252)),0)</f>
        <v>0.39850628189791781</v>
      </c>
      <c r="DD252" s="93">
        <f>IF(AND($T252=1,DD$5&lt;=$H252),DC252*(1-BN252)*(1-MIN(1,MAX(Assumptions!$C$27,Assumptions!$C$13*Assumptions!$C$28^(DC$5-1))*$O252)),0)</f>
        <v>0</v>
      </c>
      <c r="DE252" s="93">
        <f>IF(AND($T252=1,DE$5&lt;=$H252),DD252*(1-BO252)*(1-MIN(1,MAX(Assumptions!$C$27,Assumptions!$C$13*Assumptions!$C$28^(DD$5-1))*$O252)),0)</f>
        <v>0</v>
      </c>
      <c r="DF252" s="93">
        <f>IF(AND($T252=1,DF$5&lt;=$H252),DE252*(1-BP252)*(1-MIN(1,MAX(Assumptions!$C$27,Assumptions!$C$13*Assumptions!$C$28^(DE$5-1))*$O252)),0)</f>
        <v>0</v>
      </c>
      <c r="DG252" s="93">
        <f>IF(AND($T252=1,DG$5&lt;=$H252),DF252*(1-BQ252)*(1-MIN(1,MAX(Assumptions!$C$27,Assumptions!$C$13*Assumptions!$C$28^(DF$5-1))*$O252)),0)</f>
        <v>0</v>
      </c>
      <c r="DH252" s="93">
        <f>IF(AND($T252=1,DH$5&lt;=$H252),DG252*(1-BR252)*(1-MIN(1,MAX(Assumptions!$C$27,Assumptions!$C$13*Assumptions!$C$28^(DG$5-1))*$O252)),0)</f>
        <v>0</v>
      </c>
      <c r="DI252" s="93">
        <f>IF(AND($T252=1,DI$5&lt;=$H252),DH252*(1-BS252)*(1-MIN(1,MAX(Assumptions!$C$27,Assumptions!$C$13*Assumptions!$C$28^(DH$5-1))*$O252)),0)</f>
        <v>0</v>
      </c>
      <c r="DJ252" s="93">
        <f>IF(AND($T252=1,DJ$5&lt;=$H252),DI252*(1-BT252)*(1-MIN(1,MAX(Assumptions!$C$27,Assumptions!$C$13*Assumptions!$C$28^(DI$5-1))*$O252)),0)</f>
        <v>0</v>
      </c>
      <c r="DK252" s="93">
        <f>IF(AND($T252=1,DK$5&lt;=$H252),DJ252*(1-BU252)*(1-MIN(1,MAX(Assumptions!$C$27,Assumptions!$C$13*Assumptions!$C$28^(DJ$5-1))*$O252)),0)</f>
        <v>0</v>
      </c>
      <c r="DL252" s="93">
        <f>IF(AND($T252=1,DL$5&lt;=$H252),DK252*(1-BV252)*(1-MIN(1,MAX(Assumptions!$C$27,Assumptions!$C$13*Assumptions!$C$28^(DK$5-1))*$O252)),0)</f>
        <v>0</v>
      </c>
      <c r="DM252" s="93">
        <f>IF(AND($T252=1,DM$5&lt;=$H252),DL252*(1-BW252)*(1-MIN(1,MAX(Assumptions!$C$27,Assumptions!$C$13*Assumptions!$C$28^(DL$5-1))*$O252)),0)</f>
        <v>0</v>
      </c>
      <c r="DN252" s="93">
        <f>IF(AND($T252=1,DN$5&lt;=$H252),DM252*(1-BX252)*(1-MIN(1,MAX(Assumptions!$C$27,Assumptions!$C$13*Assumptions!$C$28^(DM$5-1))*$O252)),0)</f>
        <v>0</v>
      </c>
      <c r="DO252" s="93">
        <f>IF(AND($T252=1,DO$5&lt;=$H252),DN252*(1-BY252)*(1-MIN(1,MAX(Assumptions!$C$27,Assumptions!$C$13*Assumptions!$C$28^(DN$5-1))*$O252)),0)</f>
        <v>0</v>
      </c>
      <c r="DP252" s="93">
        <f>IF(AND($T252=1,DP$5&lt;=$H252),DO252*(1-BZ252)*(1-MIN(1,MAX(Assumptions!$C$27,Assumptions!$C$13*Assumptions!$C$28^(DO$5-1))*$O252)),0)</f>
        <v>0</v>
      </c>
      <c r="DQ252" s="93">
        <f>IF(AND($T252=1,DQ$5&lt;=$H252),DP252*(1-CA252)*(1-MIN(1,MAX(Assumptions!$C$27,Assumptions!$C$13*Assumptions!$C$28^(DP$5-1))*$O252)),0)</f>
        <v>0</v>
      </c>
      <c r="DR252" s="93">
        <f>IF(AND($T252=1,DR$5&lt;=$H252),DQ252*(1-CB252)*(1-MIN(1,MAX(Assumptions!$C$27,Assumptions!$C$13*Assumptions!$C$28^(DQ$5-1))*$O252)),0)</f>
        <v>0</v>
      </c>
      <c r="DS252" s="93">
        <f>IF(AND($T252=1,DS$5&lt;=$H252),DR252*(1-CC252)*(1-MIN(1,MAX(Assumptions!$C$27,Assumptions!$C$13*Assumptions!$C$28^(DR$5-1))*$O252)),0)</f>
        <v>0</v>
      </c>
      <c r="DT252" s="93">
        <f>IF(AND($T252=1,DT$5&lt;=$H252),DS252*(1-CD252)*(1-MIN(1,MAX(Assumptions!$C$27,Assumptions!$C$13*Assumptions!$C$28^(DS$5-1))*$O252)),0)</f>
        <v>0</v>
      </c>
      <c r="DU252" s="93">
        <f>IF(AND($T252=1,DU$5&lt;=$H252),DT252*(1-CE252)*(1-MIN(1,MAX(Assumptions!$C$27,Assumptions!$C$13*Assumptions!$C$28^(DT$5-1))*$O252)),0)</f>
        <v>0</v>
      </c>
      <c r="DV252" s="93">
        <f>IF(AND($T252=1,DV$5&lt;=$H252),DU252*(1-CF252)*(1-MIN(1,MAX(Assumptions!$C$27,Assumptions!$C$13*Assumptions!$C$28^(DU$5-1))*$O252)),0)</f>
        <v>0</v>
      </c>
      <c r="DW252" s="94">
        <f>IF(AND($T252=1,DW$5&lt;=$H252),DV252*(1-CG252)*(1-MIN(1,MAX(Assumptions!$C$27,Assumptions!$C$13*Assumptions!$C$28^(DV$5-1))*$O252)),0)</f>
        <v>0</v>
      </c>
      <c r="DX252" s="26"/>
      <c r="DY252" s="399">
        <f>'Policy Data'!K226</f>
        <v>7</v>
      </c>
      <c r="DZ252" s="100">
        <f>'Policy Data'!L226</f>
        <v>0.68169999999999997</v>
      </c>
      <c r="EA252" s="100">
        <f>'Policy Data'!N226</f>
        <v>1.0369999999999999E-3</v>
      </c>
      <c r="EB252" s="93" cm="1">
        <f t="array" ref="EB252">IFERROR(DZ252*INDEX(Mortality!$B$4:$E$64,MATCH(D252+DY252-1,Mortality!$A$4:$A$64,0),U252)*V252,0)</f>
        <v>1.6758886744174407E-3</v>
      </c>
      <c r="EC252" s="100">
        <f>'Policy Data'!O226</f>
        <v>0</v>
      </c>
      <c r="ED252" s="400">
        <f>'Policy Data'!Q226</f>
        <v>0</v>
      </c>
    </row>
    <row r="253" spans="1:134" x14ac:dyDescent="0.3">
      <c r="A253" s="399" t="str">
        <f>'Policy Data'!A227</f>
        <v>POL100223</v>
      </c>
      <c r="B253" s="26" t="s">
        <v>426</v>
      </c>
      <c r="C253" s="100" t="str">
        <f>'Policy Data'!B227</f>
        <v>Term Life</v>
      </c>
      <c r="D253" s="100">
        <f>'Policy Data'!C227</f>
        <v>38</v>
      </c>
      <c r="E253" s="100" t="str">
        <f>'Policy Data'!D227</f>
        <v>Female</v>
      </c>
      <c r="F253" s="100" t="str">
        <f>'Policy Data'!E227</f>
        <v>Non-smoker</v>
      </c>
      <c r="G253" s="100" t="str">
        <f>'Policy Data'!F227</f>
        <v>Standard</v>
      </c>
      <c r="H253" s="100">
        <f>'Policy Data'!G227</f>
        <v>20</v>
      </c>
      <c r="I253" s="279">
        <f>'Policy Data'!H227</f>
        <v>2000000</v>
      </c>
      <c r="J253" s="100" t="str">
        <f>'Policy Data'!I227</f>
        <v>Annual</v>
      </c>
      <c r="K253" s="100" t="str">
        <f>'Policy Data'!J227</f>
        <v>Direct</v>
      </c>
      <c r="L253" s="26" t="s">
        <v>389</v>
      </c>
      <c r="M253" s="106">
        <f>'Policy Data'!R227</f>
        <v>3291.95</v>
      </c>
      <c r="N253" s="415">
        <f>Assumptions!$C$21</f>
        <v>1</v>
      </c>
      <c r="O253" s="415">
        <f>Assumptions!$C$22</f>
        <v>1</v>
      </c>
      <c r="P253" s="415">
        <f>Assumptions!$C$23</f>
        <v>1</v>
      </c>
      <c r="Q253" s="416">
        <f>Assumptions!$C$24</f>
        <v>0</v>
      </c>
      <c r="R253" s="416">
        <f>Assumptions!$C$6+Assumptions!$C$25</f>
        <v>3.5000000000000003E-2</v>
      </c>
      <c r="S253" s="416">
        <f>Assumptions!$C$15</f>
        <v>1.1000000000000001E-3</v>
      </c>
      <c r="T253" s="26">
        <f t="shared" si="72"/>
        <v>1</v>
      </c>
      <c r="U253" s="26">
        <f t="shared" si="73"/>
        <v>1</v>
      </c>
      <c r="V253" s="389">
        <f>IF($G253="Preferred",Assumptions!$C$30,IF($G253="Rated",Assumptions!$C$31,1))</f>
        <v>1</v>
      </c>
      <c r="W253" s="390">
        <f>IF($K253="Direct",Assumptions!$C$32,IF($K253="Broker",Assumptions!$C$33,IF($K253="Bancassurance",Assumptions!$C$34,Assumptions!$C$11)))+$Q253</f>
        <v>0.1</v>
      </c>
      <c r="X253" s="390">
        <f>Assumptions!$C$12+$Q253</f>
        <v>0.05</v>
      </c>
      <c r="Y253" s="131">
        <f>MIN($I253,Assumptions!$C$14)</f>
        <v>500000</v>
      </c>
      <c r="Z253" s="131">
        <f>MAX($I253-Assumptions!$C$14,0)</f>
        <v>1500000</v>
      </c>
      <c r="AA253" s="389">
        <f t="shared" si="74"/>
        <v>8.5697858990251685</v>
      </c>
      <c r="AB253" s="389">
        <f t="shared" si="75"/>
        <v>1.2040883029680144E-2</v>
      </c>
      <c r="AC253" s="389">
        <f>IF($T253=1,SUMPRODUCT($CJ253:$DW253,(1+Assumptions!$C$5)^($CJ$5:$DW$5-1),(1+$R253)^(-$CJ$5:$DW$5)),0)</f>
        <v>11.528801146169867</v>
      </c>
      <c r="AD253" s="389">
        <f t="shared" si="76"/>
        <v>0.47679847369521977</v>
      </c>
      <c r="AE253" s="131">
        <f>IF($T253=1,$AB253*$Y253+(Assumptions!$C$9/(1+$R253)+Assumptions!$C$10*$AC253)*$P253+$S253*$Z253*$AA253,0)</f>
        <v>23566.489717780278</v>
      </c>
      <c r="AF253" s="131">
        <f>IF($T253=1,IF($AA253-$AD253-Assumptions!$C$16*$AA253&gt;0,$AE253/($AA253-$AD253-Assumptions!$C$16*$AA253)*IF($J253="Monthly",1+Assumptions!$C$29,1),"n.a."),"")</f>
        <v>3181.4773376915145</v>
      </c>
      <c r="AG253" s="131">
        <f t="shared" si="77"/>
        <v>3291.95</v>
      </c>
      <c r="AH253" s="131">
        <f t="shared" si="78"/>
        <v>28211.306690295904</v>
      </c>
      <c r="AI253" s="131">
        <f t="shared" si="79"/>
        <v>3075.2202370346422</v>
      </c>
      <c r="AJ253" s="390">
        <f t="shared" si="80"/>
        <v>0.10900665718162049</v>
      </c>
      <c r="AK253" s="389">
        <f t="shared" si="81"/>
        <v>1.0347236992700519</v>
      </c>
      <c r="AL253" s="131">
        <f t="shared" si="82"/>
        <v>18061.324544520216</v>
      </c>
      <c r="AM253" s="131">
        <f t="shared" si="83"/>
        <v>14140.146733391528</v>
      </c>
      <c r="AN253" s="131">
        <f t="shared" si="84"/>
        <v>3921.1778111286876</v>
      </c>
      <c r="AO253" s="131">
        <f t="shared" si="85"/>
        <v>-845.95757409404541</v>
      </c>
      <c r="AP253" s="26" t="str">
        <f t="shared" si="86"/>
        <v>30-39</v>
      </c>
      <c r="AQ253" s="26" t="str">
        <f t="shared" si="87"/>
        <v>Over 1m</v>
      </c>
      <c r="AR253" s="26" t="str">
        <f>IF($T253=1,IF($AI253&lt;0,"Loss-making",IF($AJ253&lt;Assumptions!$C$16-0.00001,"Below target","At/above target")),"Excluded")</f>
        <v>At/above target</v>
      </c>
      <c r="AS253" s="103">
        <f t="shared" si="88"/>
        <v>3075.2204900346424</v>
      </c>
      <c r="AT253" s="26"/>
      <c r="AU253" s="419">
        <f>IF(AND($T253=1,AU$5&lt;=$H253),INDEX(Mortality!$B$4:$E$64,MATCH($D253+AU$5-1,Mortality!$A$4:$A$64,0),$U253)*$V253*$N253,0)</f>
        <v>7.2540393633414402E-4</v>
      </c>
      <c r="AV253" s="93">
        <f>IF(AND($T253=1,AV$5&lt;=$H253),INDEX(Mortality!$B$4:$E$64,MATCH($D253+AV$5-1,Mortality!$A$4:$A$64,0),$U253)*$V253*$N253,0)</f>
        <v>7.8582070307128696E-4</v>
      </c>
      <c r="AW253" s="93">
        <f>IF(AND($T253=1,AW$5&lt;=$H253),INDEX(Mortality!$B$4:$E$64,MATCH($D253+AW$5-1,Mortality!$A$4:$A$64,0),$U253)*$V253*$N253,0)</f>
        <v>8.5126940514836905E-4</v>
      </c>
      <c r="AX253" s="93">
        <f>IF(AND($T253=1,AX$5&lt;=$H253),INDEX(Mortality!$B$4:$E$64,MATCH($D253+AX$5-1,Mortality!$A$4:$A$64,0),$U253)*$V253*$N253,0)</f>
        <v>9.2216913770458301E-4</v>
      </c>
      <c r="AY253" s="93">
        <f>IF(AND($T253=1,AY$5&lt;=$H253),INDEX(Mortality!$B$4:$E$64,MATCH($D253+AY$5-1,Mortality!$A$4:$A$64,0),$U253)*$V253*$N253,0)</f>
        <v>9.98973901084343E-4</v>
      </c>
      <c r="AZ253" s="93">
        <f>IF(AND($T253=1,AZ$5&lt;=$H253),INDEX(Mortality!$B$4:$E$64,MATCH($D253+AZ$5-1,Mortality!$A$4:$A$64,0),$U253)*$V253*$N253,0)</f>
        <v>1.08217550798947E-3</v>
      </c>
      <c r="BA253" s="93">
        <f>IF(AND($T253=1,BA$5&lt;=$H253),INDEX(Mortality!$B$4:$E$64,MATCH($D253+BA$5-1,Mortality!$A$4:$A$64,0),$U253)*$V253*$N253,0)</f>
        <v>1.1723067327595699E-3</v>
      </c>
      <c r="BB253" s="93">
        <f>IF(AND($T253=1,BB$5&lt;=$H253),INDEX(Mortality!$B$4:$E$64,MATCH($D253+BB$5-1,Mortality!$A$4:$A$64,0),$U253)*$V253*$N253,0)</f>
        <v>1.2699447229467301E-3</v>
      </c>
      <c r="BC253" s="93">
        <f>IF(AND($T253=1,BC$5&lt;=$H253),INDEX(Mortality!$B$4:$E$64,MATCH($D253+BC$5-1,Mortality!$A$4:$A$64,0),$U253)*$V253*$N253,0)</f>
        <v>1.37571469503025E-3</v>
      </c>
      <c r="BD253" s="93">
        <f>IF(AND($T253=1,BD$5&lt;=$H253),INDEX(Mortality!$B$4:$E$64,MATCH($D253+BD$5-1,Mortality!$A$4:$A$64,0),$U253)*$V253*$N253,0)</f>
        <v>1.4902939379366699E-3</v>
      </c>
      <c r="BE253" s="93">
        <f>IF(AND($T253=1,BE$5&lt;=$H253),INDEX(Mortality!$B$4:$E$64,MATCH($D253+BE$5-1,Mortality!$A$4:$A$64,0),$U253)*$V253*$N253,0)</f>
        <v>1.6144161500011799E-3</v>
      </c>
      <c r="BF253" s="93">
        <f>IF(AND($T253=1,BF$5&lt;=$H253),INDEX(Mortality!$B$4:$E$64,MATCH($D253+BF$5-1,Mortality!$A$4:$A$64,0),$U253)*$V253*$N253,0)</f>
        <v>1.74887613714188E-3</v>
      </c>
      <c r="BG253" s="93">
        <f>IF(AND($T253=1,BG$5&lt;=$H253),INDEX(Mortality!$B$4:$E$64,MATCH($D253+BG$5-1,Mortality!$A$4:$A$64,0),$U253)*$V253*$N253,0)</f>
        <v>1.89453490233113E-3</v>
      </c>
      <c r="BH253" s="93">
        <f>IF(AND($T253=1,BH$5&lt;=$H253),INDEX(Mortality!$B$4:$E$64,MATCH($D253+BH$5-1,Mortality!$A$4:$A$64,0),$U253)*$V253*$N253,0)</f>
        <v>2.05232515895416E-3</v>
      </c>
      <c r="BI253" s="93">
        <f>IF(AND($T253=1,BI$5&lt;=$H253),INDEX(Mortality!$B$4:$E$64,MATCH($D253+BI$5-1,Mortality!$A$4:$A$64,0),$U253)*$V253*$N253,0)</f>
        <v>2.22325730335899E-3</v>
      </c>
      <c r="BJ253" s="93">
        <f>IF(AND($T253=1,BJ$5&lt;=$H253),INDEX(Mortality!$B$4:$E$64,MATCH($D253+BJ$5-1,Mortality!$A$4:$A$64,0),$U253)*$V253*$N253,0)</f>
        <v>2.4084258848427E-3</v>
      </c>
      <c r="BK253" s="93">
        <f>IF(AND($T253=1,BK$5&lt;=$H253),INDEX(Mortality!$B$4:$E$64,MATCH($D253+BK$5-1,Mortality!$A$4:$A$64,0),$U253)*$V253*$N253,0)</f>
        <v>2.6090166145037101E-3</v>
      </c>
      <c r="BL253" s="93">
        <f>IF(AND($T253=1,BL$5&lt;=$H253),INDEX(Mortality!$B$4:$E$64,MATCH($D253+BL$5-1,Mortality!$A$4:$A$64,0),$U253)*$V253*$N253,0)</f>
        <v>2.8263139578409702E-3</v>
      </c>
      <c r="BM253" s="93">
        <f>IF(AND($T253=1,BM$5&lt;=$H253),INDEX(Mortality!$B$4:$E$64,MATCH($D253+BM$5-1,Mortality!$A$4:$A$64,0),$U253)*$V253*$N253,0)</f>
        <v>3.0617093597183598E-3</v>
      </c>
      <c r="BN253" s="93">
        <f>IF(AND($T253=1,BN$5&lt;=$H253),INDEX(Mortality!$B$4:$E$64,MATCH($D253+BN$5-1,Mortality!$A$4:$A$64,0),$U253)*$V253*$N253,0)</f>
        <v>3.31671015436227E-3</v>
      </c>
      <c r="BO253" s="93">
        <f>IF(AND($T253=1,BO$5&lt;=$H253),INDEX(Mortality!$B$4:$E$64,MATCH($D253+BO$5-1,Mortality!$A$4:$A$64,0),$U253)*$V253*$N253,0)</f>
        <v>0</v>
      </c>
      <c r="BP253" s="93">
        <f>IF(AND($T253=1,BP$5&lt;=$H253),INDEX(Mortality!$B$4:$E$64,MATCH($D253+BP$5-1,Mortality!$A$4:$A$64,0),$U253)*$V253*$N253,0)</f>
        <v>0</v>
      </c>
      <c r="BQ253" s="93">
        <f>IF(AND($T253=1,BQ$5&lt;=$H253),INDEX(Mortality!$B$4:$E$64,MATCH($D253+BQ$5-1,Mortality!$A$4:$A$64,0),$U253)*$V253*$N253,0)</f>
        <v>0</v>
      </c>
      <c r="BR253" s="93">
        <f>IF(AND($T253=1,BR$5&lt;=$H253),INDEX(Mortality!$B$4:$E$64,MATCH($D253+BR$5-1,Mortality!$A$4:$A$64,0),$U253)*$V253*$N253,0)</f>
        <v>0</v>
      </c>
      <c r="BS253" s="93">
        <f>IF(AND($T253=1,BS$5&lt;=$H253),INDEX(Mortality!$B$4:$E$64,MATCH($D253+BS$5-1,Mortality!$A$4:$A$64,0),$U253)*$V253*$N253,0)</f>
        <v>0</v>
      </c>
      <c r="BT253" s="93">
        <f>IF(AND($T253=1,BT$5&lt;=$H253),INDEX(Mortality!$B$4:$E$64,MATCH($D253+BT$5-1,Mortality!$A$4:$A$64,0),$U253)*$V253*$N253,0)</f>
        <v>0</v>
      </c>
      <c r="BU253" s="93">
        <f>IF(AND($T253=1,BU$5&lt;=$H253),INDEX(Mortality!$B$4:$E$64,MATCH($D253+BU$5-1,Mortality!$A$4:$A$64,0),$U253)*$V253*$N253,0)</f>
        <v>0</v>
      </c>
      <c r="BV253" s="93">
        <f>IF(AND($T253=1,BV$5&lt;=$H253),INDEX(Mortality!$B$4:$E$64,MATCH($D253+BV$5-1,Mortality!$A$4:$A$64,0),$U253)*$V253*$N253,0)</f>
        <v>0</v>
      </c>
      <c r="BW253" s="93">
        <f>IF(AND($T253=1,BW$5&lt;=$H253),INDEX(Mortality!$B$4:$E$64,MATCH($D253+BW$5-1,Mortality!$A$4:$A$64,0),$U253)*$V253*$N253,0)</f>
        <v>0</v>
      </c>
      <c r="BX253" s="93">
        <f>IF(AND($T253=1,BX$5&lt;=$H253),INDEX(Mortality!$B$4:$E$64,MATCH($D253+BX$5-1,Mortality!$A$4:$A$64,0),$U253)*$V253*$N253,0)</f>
        <v>0</v>
      </c>
      <c r="BY253" s="93">
        <f>IF(AND($T253=1,BY$5&lt;=$H253),INDEX(Mortality!$B$4:$E$64,MATCH($D253+BY$5-1,Mortality!$A$4:$A$64,0),$U253)*$V253*$N253,0)</f>
        <v>0</v>
      </c>
      <c r="BZ253" s="93">
        <f>IF(AND($T253=1,BZ$5&lt;=$H253),INDEX(Mortality!$B$4:$E$64,MATCH($D253+BZ$5-1,Mortality!$A$4:$A$64,0),$U253)*$V253*$N253,0)</f>
        <v>0</v>
      </c>
      <c r="CA253" s="93">
        <f>IF(AND($T253=1,CA$5&lt;=$H253),INDEX(Mortality!$B$4:$E$64,MATCH($D253+CA$5-1,Mortality!$A$4:$A$64,0),$U253)*$V253*$N253,0)</f>
        <v>0</v>
      </c>
      <c r="CB253" s="93">
        <f>IF(AND($T253=1,CB$5&lt;=$H253),INDEX(Mortality!$B$4:$E$64,MATCH($D253+CB$5-1,Mortality!$A$4:$A$64,0),$U253)*$V253*$N253,0)</f>
        <v>0</v>
      </c>
      <c r="CC253" s="93">
        <f>IF(AND($T253=1,CC$5&lt;=$H253),INDEX(Mortality!$B$4:$E$64,MATCH($D253+CC$5-1,Mortality!$A$4:$A$64,0),$U253)*$V253*$N253,0)</f>
        <v>0</v>
      </c>
      <c r="CD253" s="93">
        <f>IF(AND($T253=1,CD$5&lt;=$H253),INDEX(Mortality!$B$4:$E$64,MATCH($D253+CD$5-1,Mortality!$A$4:$A$64,0),$U253)*$V253*$N253,0)</f>
        <v>0</v>
      </c>
      <c r="CE253" s="93">
        <f>IF(AND($T253=1,CE$5&lt;=$H253),INDEX(Mortality!$B$4:$E$64,MATCH($D253+CE$5-1,Mortality!$A$4:$A$64,0),$U253)*$V253*$N253,0)</f>
        <v>0</v>
      </c>
      <c r="CF253" s="93">
        <f>IF(AND($T253=1,CF$5&lt;=$H253),INDEX(Mortality!$B$4:$E$64,MATCH($D253+CF$5-1,Mortality!$A$4:$A$64,0),$U253)*$V253*$N253,0)</f>
        <v>0</v>
      </c>
      <c r="CG253" s="93">
        <f>IF(AND($T253=1,CG$5&lt;=$H253),INDEX(Mortality!$B$4:$E$64,MATCH($D253+CG$5-1,Mortality!$A$4:$A$64,0),$U253)*$V253*$N253,0)</f>
        <v>0</v>
      </c>
      <c r="CH253" s="94">
        <f>IF(AND($T253=1,CH$5&lt;=$H253),INDEX(Mortality!$B$4:$E$64,MATCH($D253+CH$5-1,Mortality!$A$4:$A$64,0),$U253)*$V253*$N253,0)</f>
        <v>0</v>
      </c>
      <c r="CI253" s="26"/>
      <c r="CJ253" s="419">
        <f t="shared" si="89"/>
        <v>1</v>
      </c>
      <c r="CK253" s="93">
        <f>IF(AND($T253=1,CK$5&lt;=$H253),CJ253*(1-AU253)*(1-MIN(1,MAX(Assumptions!$C$27,Assumptions!$C$13*Assumptions!$C$28^(CJ$5-1))*$O253)),0)</f>
        <v>0.87936164453602594</v>
      </c>
      <c r="CL253" s="93">
        <f>IF(AND($T253=1,CL$5&lt;=$H253),CK253*(1-AV253)*(1-MIN(1,MAX(Assumptions!$C$27,Assumptions!$C$13*Assumptions!$C$28^(CK$5-1))*$O253)),0)</f>
        <v>0.78904622030733595</v>
      </c>
      <c r="CM253" s="93">
        <f>IF(AND($T253=1,CM$5&lt;=$H253),CL253*(1-AW253)*(1-MIN(1,MAX(Assumptions!$C$27,Assumptions!$C$13*Assumptions!$C$28^(CL$5-1))*$O253)),0)</f>
        <v>0.72002245770169615</v>
      </c>
      <c r="CN253" s="93">
        <f>IF(AND($T253=1,CN$5&lt;=$H253),CM253*(1-AX253)*(1-MIN(1,MAX(Assumptions!$C$27,Assumptions!$C$13*Assumptions!$C$28^(CM$5-1))*$O253)),0)</f>
        <v>0.66634535238194592</v>
      </c>
      <c r="CO253" s="93">
        <f>IF(AND($T253=1,CO$5&lt;=$H253),CN253*(1-AY253)*(1-MIN(1,MAX(Assumptions!$C$27,Assumptions!$C$13*Assumptions!$C$28^(CN$5-1))*$O253)),0)</f>
        <v>0.62398101567646924</v>
      </c>
      <c r="CP253" s="93">
        <f>IF(AND($T253=1,CP$5&lt;=$H253),CO253*(1-AZ253)*(1-MIN(1,MAX(Assumptions!$C$27,Assumptions!$C$13*Assumptions!$C$28^(CO$5-1))*$O253)),0)</f>
        <v>0.59011806953000456</v>
      </c>
      <c r="CQ253" s="93">
        <f>IF(AND($T253=1,CQ$5&lt;=$H253),CP253*(1-BA253)*(1-MIN(1,MAX(Assumptions!$C$27,Assumptions!$C$13*Assumptions!$C$28^(CP$5-1))*$O253)),0)</f>
        <v>0.56275005027019753</v>
      </c>
      <c r="CR253" s="93">
        <f>IF(AND($T253=1,CR$5&lt;=$H253),CQ253*(1-BB253)*(1-MIN(1,MAX(Assumptions!$C$27,Assumptions!$C$13*Assumptions!$C$28^(CQ$5-1))*$O253)),0)</f>
        <v>0.54041430859869599</v>
      </c>
      <c r="CS253" s="93">
        <f>IF(AND($T253=1,CS$5&lt;=$H253),CR253*(1-BC253)*(1-MIN(1,MAX(Assumptions!$C$27,Assumptions!$C$13*Assumptions!$C$28^(CR$5-1))*$O253)),0)</f>
        <v>0.52202422941312243</v>
      </c>
      <c r="CT253" s="93">
        <f>IF(AND($T253=1,CT$5&lt;=$H253),CS253*(1-BD253)*(1-MIN(1,MAX(Assumptions!$C$27,Assumptions!$C$13*Assumptions!$C$28^(CS$5-1))*$O253)),0)</f>
        <v>0.50675872383189602</v>
      </c>
      <c r="CU253" s="93">
        <f>IF(AND($T253=1,CU$5&lt;=$H253),CT253*(1-BE253)*(1-MIN(1,MAX(Assumptions!$C$27,Assumptions!$C$13*Assumptions!$C$28^(CT$5-1))*$O253)),0)</f>
        <v>0.49398779375007434</v>
      </c>
      <c r="CV253" s="93">
        <f>IF(AND($T253=1,CV$5&lt;=$H253),CU253*(1-BF253)*(1-MIN(1,MAX(Assumptions!$C$27,Assumptions!$C$13*Assumptions!$C$28^(CU$5-1))*$O253)),0)</f>
        <v>0.48322135652622228</v>
      </c>
      <c r="CW253" s="93">
        <f>IF(AND($T253=1,CW$5&lt;=$H253),CV253*(1-BG253)*(1-MIN(1,MAX(Assumptions!$C$27,Assumptions!$C$13*Assumptions!$C$28^(CV$5-1))*$O253)),0)</f>
        <v>0.47265975926471693</v>
      </c>
      <c r="CX253" s="93">
        <f>IF(AND($T253=1,CX$5&lt;=$H253),CW253*(1-BH253)*(1-MIN(1,MAX(Assumptions!$C$27,Assumptions!$C$13*Assumptions!$C$28^(CW$5-1))*$O253)),0)</f>
        <v>0.46225591359416968</v>
      </c>
      <c r="CY253" s="93">
        <f>IF(AND($T253=1,CY$5&lt;=$H253),CX253*(1-BI253)*(1-MIN(1,MAX(Assumptions!$C$27,Assumptions!$C$13*Assumptions!$C$28^(CX$5-1))*$O253)),0)</f>
        <v>0.4520036357630855</v>
      </c>
      <c r="CZ253" s="93">
        <f>IF(AND($T253=1,CZ$5&lt;=$H253),CY253*(1-BJ253)*(1-MIN(1,MAX(Assumptions!$C$27,Assumptions!$C$13*Assumptions!$C$28^(CY$5-1))*$O253)),0)</f>
        <v>0.44189671813653725</v>
      </c>
      <c r="DA253" s="93">
        <f>IF(AND($T253=1,DA$5&lt;=$H253),CZ253*(1-BK253)*(1-MIN(1,MAX(Assumptions!$C$27,Assumptions!$C$13*Assumptions!$C$28^(CZ$5-1))*$O253)),0)</f>
        <v>0.43192892621188389</v>
      </c>
      <c r="DB253" s="93">
        <f>IF(AND($T253=1,DB$5&lt;=$H253),DA253*(1-BL253)*(1-MIN(1,MAX(Assumptions!$C$27,Assumptions!$C$13*Assumptions!$C$28^(DA$5-1))*$O253)),0)</f>
        <v>0.42209399626975724</v>
      </c>
      <c r="DC253" s="93">
        <f>IF(AND($T253=1,DC$5&lt;=$H253),DB253*(1-BM253)*(1-MIN(1,MAX(Assumptions!$C$27,Assumptions!$C$13*Assumptions!$C$28^(DB$5-1))*$O253)),0)</f>
        <v>0.41238563378808324</v>
      </c>
      <c r="DD253" s="93">
        <f>IF(AND($T253=1,DD$5&lt;=$H253),DC253*(1-BN253)*(1-MIN(1,MAX(Assumptions!$C$27,Assumptions!$C$13*Assumptions!$C$28^(DC$5-1))*$O253)),0)</f>
        <v>0</v>
      </c>
      <c r="DE253" s="93">
        <f>IF(AND($T253=1,DE$5&lt;=$H253),DD253*(1-BO253)*(1-MIN(1,MAX(Assumptions!$C$27,Assumptions!$C$13*Assumptions!$C$28^(DD$5-1))*$O253)),0)</f>
        <v>0</v>
      </c>
      <c r="DF253" s="93">
        <f>IF(AND($T253=1,DF$5&lt;=$H253),DE253*(1-BP253)*(1-MIN(1,MAX(Assumptions!$C$27,Assumptions!$C$13*Assumptions!$C$28^(DE$5-1))*$O253)),0)</f>
        <v>0</v>
      </c>
      <c r="DG253" s="93">
        <f>IF(AND($T253=1,DG$5&lt;=$H253),DF253*(1-BQ253)*(1-MIN(1,MAX(Assumptions!$C$27,Assumptions!$C$13*Assumptions!$C$28^(DF$5-1))*$O253)),0)</f>
        <v>0</v>
      </c>
      <c r="DH253" s="93">
        <f>IF(AND($T253=1,DH$5&lt;=$H253),DG253*(1-BR253)*(1-MIN(1,MAX(Assumptions!$C$27,Assumptions!$C$13*Assumptions!$C$28^(DG$5-1))*$O253)),0)</f>
        <v>0</v>
      </c>
      <c r="DI253" s="93">
        <f>IF(AND($T253=1,DI$5&lt;=$H253),DH253*(1-BS253)*(1-MIN(1,MAX(Assumptions!$C$27,Assumptions!$C$13*Assumptions!$C$28^(DH$5-1))*$O253)),0)</f>
        <v>0</v>
      </c>
      <c r="DJ253" s="93">
        <f>IF(AND($T253=1,DJ$5&lt;=$H253),DI253*(1-BT253)*(1-MIN(1,MAX(Assumptions!$C$27,Assumptions!$C$13*Assumptions!$C$28^(DI$5-1))*$O253)),0)</f>
        <v>0</v>
      </c>
      <c r="DK253" s="93">
        <f>IF(AND($T253=1,DK$5&lt;=$H253),DJ253*(1-BU253)*(1-MIN(1,MAX(Assumptions!$C$27,Assumptions!$C$13*Assumptions!$C$28^(DJ$5-1))*$O253)),0)</f>
        <v>0</v>
      </c>
      <c r="DL253" s="93">
        <f>IF(AND($T253=1,DL$5&lt;=$H253),DK253*(1-BV253)*(1-MIN(1,MAX(Assumptions!$C$27,Assumptions!$C$13*Assumptions!$C$28^(DK$5-1))*$O253)),0)</f>
        <v>0</v>
      </c>
      <c r="DM253" s="93">
        <f>IF(AND($T253=1,DM$5&lt;=$H253),DL253*(1-BW253)*(1-MIN(1,MAX(Assumptions!$C$27,Assumptions!$C$13*Assumptions!$C$28^(DL$5-1))*$O253)),0)</f>
        <v>0</v>
      </c>
      <c r="DN253" s="93">
        <f>IF(AND($T253=1,DN$5&lt;=$H253),DM253*(1-BX253)*(1-MIN(1,MAX(Assumptions!$C$27,Assumptions!$C$13*Assumptions!$C$28^(DM$5-1))*$O253)),0)</f>
        <v>0</v>
      </c>
      <c r="DO253" s="93">
        <f>IF(AND($T253=1,DO$5&lt;=$H253),DN253*(1-BY253)*(1-MIN(1,MAX(Assumptions!$C$27,Assumptions!$C$13*Assumptions!$C$28^(DN$5-1))*$O253)),0)</f>
        <v>0</v>
      </c>
      <c r="DP253" s="93">
        <f>IF(AND($T253=1,DP$5&lt;=$H253),DO253*(1-BZ253)*(1-MIN(1,MAX(Assumptions!$C$27,Assumptions!$C$13*Assumptions!$C$28^(DO$5-1))*$O253)),0)</f>
        <v>0</v>
      </c>
      <c r="DQ253" s="93">
        <f>IF(AND($T253=1,DQ$5&lt;=$H253),DP253*(1-CA253)*(1-MIN(1,MAX(Assumptions!$C$27,Assumptions!$C$13*Assumptions!$C$28^(DP$5-1))*$O253)),0)</f>
        <v>0</v>
      </c>
      <c r="DR253" s="93">
        <f>IF(AND($T253=1,DR$5&lt;=$H253),DQ253*(1-CB253)*(1-MIN(1,MAX(Assumptions!$C$27,Assumptions!$C$13*Assumptions!$C$28^(DQ$5-1))*$O253)),0)</f>
        <v>0</v>
      </c>
      <c r="DS253" s="93">
        <f>IF(AND($T253=1,DS$5&lt;=$H253),DR253*(1-CC253)*(1-MIN(1,MAX(Assumptions!$C$27,Assumptions!$C$13*Assumptions!$C$28^(DR$5-1))*$O253)),0)</f>
        <v>0</v>
      </c>
      <c r="DT253" s="93">
        <f>IF(AND($T253=1,DT$5&lt;=$H253),DS253*(1-CD253)*(1-MIN(1,MAX(Assumptions!$C$27,Assumptions!$C$13*Assumptions!$C$28^(DS$5-1))*$O253)),0)</f>
        <v>0</v>
      </c>
      <c r="DU253" s="93">
        <f>IF(AND($T253=1,DU$5&lt;=$H253),DT253*(1-CE253)*(1-MIN(1,MAX(Assumptions!$C$27,Assumptions!$C$13*Assumptions!$C$28^(DT$5-1))*$O253)),0)</f>
        <v>0</v>
      </c>
      <c r="DV253" s="93">
        <f>IF(AND($T253=1,DV$5&lt;=$H253),DU253*(1-CF253)*(1-MIN(1,MAX(Assumptions!$C$27,Assumptions!$C$13*Assumptions!$C$28^(DU$5-1))*$O253)),0)</f>
        <v>0</v>
      </c>
      <c r="DW253" s="94">
        <f>IF(AND($T253=1,DW$5&lt;=$H253),DV253*(1-CG253)*(1-MIN(1,MAX(Assumptions!$C$27,Assumptions!$C$13*Assumptions!$C$28^(DV$5-1))*$O253)),0)</f>
        <v>0</v>
      </c>
      <c r="DX253" s="26"/>
      <c r="DY253" s="399">
        <f>'Policy Data'!K227</f>
        <v>4</v>
      </c>
      <c r="DZ253" s="100">
        <f>'Policy Data'!L227</f>
        <v>0.99670000000000003</v>
      </c>
      <c r="EA253" s="100">
        <f>'Policy Data'!N227</f>
        <v>7.2300000000000001E-4</v>
      </c>
      <c r="EB253" s="93" cm="1">
        <f t="array" ref="EB253">IFERROR(DZ253*INDEX(Mortality!$B$4:$E$64,MATCH(D253+DY253-1,Mortality!$A$4:$A$64,0),U253)*V253,0)</f>
        <v>9.1912597955015791E-4</v>
      </c>
      <c r="EC253" s="100">
        <f>'Policy Data'!O227</f>
        <v>0</v>
      </c>
      <c r="ED253" s="400">
        <f>'Policy Data'!Q227</f>
        <v>0</v>
      </c>
    </row>
    <row r="254" spans="1:134" x14ac:dyDescent="0.3">
      <c r="A254" s="399" t="str">
        <f>'Policy Data'!A228</f>
        <v>POL100224</v>
      </c>
      <c r="B254" s="26" t="s">
        <v>426</v>
      </c>
      <c r="C254" s="100" t="str">
        <f>'Policy Data'!B228</f>
        <v>Unit-Linked</v>
      </c>
      <c r="D254" s="100">
        <f>'Policy Data'!C228</f>
        <v>60</v>
      </c>
      <c r="E254" s="100" t="str">
        <f>'Policy Data'!D228</f>
        <v>Female</v>
      </c>
      <c r="F254" s="100" t="str">
        <f>'Policy Data'!E228</f>
        <v>Non-smoker</v>
      </c>
      <c r="G254" s="100" t="str">
        <f>'Policy Data'!F228</f>
        <v>Standard</v>
      </c>
      <c r="H254" s="100">
        <f>'Policy Data'!G228</f>
        <v>10</v>
      </c>
      <c r="I254" s="279">
        <f>'Policy Data'!H228</f>
        <v>250000</v>
      </c>
      <c r="J254" s="100" t="str">
        <f>'Policy Data'!I228</f>
        <v>Annual</v>
      </c>
      <c r="K254" s="100" t="str">
        <f>'Policy Data'!J228</f>
        <v>Bancassurance</v>
      </c>
      <c r="L254" s="26" t="s">
        <v>389</v>
      </c>
      <c r="M254" s="106">
        <f>'Policy Data'!R228</f>
        <v>15711.21</v>
      </c>
      <c r="N254" s="415">
        <f>Assumptions!$C$21</f>
        <v>1</v>
      </c>
      <c r="O254" s="415">
        <f>Assumptions!$C$22</f>
        <v>1</v>
      </c>
      <c r="P254" s="415">
        <f>Assumptions!$C$23</f>
        <v>1</v>
      </c>
      <c r="Q254" s="416">
        <f>Assumptions!$C$24</f>
        <v>0</v>
      </c>
      <c r="R254" s="416">
        <f>Assumptions!$C$6+Assumptions!$C$25</f>
        <v>3.5000000000000003E-2</v>
      </c>
      <c r="S254" s="416">
        <f>Assumptions!$C$15</f>
        <v>1.1000000000000001E-3</v>
      </c>
      <c r="T254" s="26">
        <f t="shared" si="72"/>
        <v>0</v>
      </c>
      <c r="U254" s="26">
        <f t="shared" si="73"/>
        <v>1</v>
      </c>
      <c r="V254" s="389">
        <f>IF($G254="Preferred",Assumptions!$C$30,IF($G254="Rated",Assumptions!$C$31,1))</f>
        <v>1</v>
      </c>
      <c r="W254" s="390">
        <f>IF($K254="Direct",Assumptions!$C$32,IF($K254="Broker",Assumptions!$C$33,IF($K254="Bancassurance",Assumptions!$C$34,Assumptions!$C$11)))+$Q254</f>
        <v>0.2</v>
      </c>
      <c r="X254" s="390">
        <f>Assumptions!$C$12+$Q254</f>
        <v>0.05</v>
      </c>
      <c r="Y254" s="131">
        <f>MIN($I254,Assumptions!$C$14)</f>
        <v>250000</v>
      </c>
      <c r="Z254" s="131">
        <f>MAX($I254-Assumptions!$C$14,0)</f>
        <v>0</v>
      </c>
      <c r="AA254" s="389">
        <f t="shared" si="74"/>
        <v>0</v>
      </c>
      <c r="AB254" s="389">
        <f t="shared" si="75"/>
        <v>0</v>
      </c>
      <c r="AC254" s="389">
        <f>IF($T254=1,SUMPRODUCT($CJ254:$DW254,(1+Assumptions!$C$5)^($CJ$5:$DW$5-1),(1+$R254)^(-$CJ$5:$DW$5)),0)</f>
        <v>0</v>
      </c>
      <c r="AD254" s="389">
        <f t="shared" si="76"/>
        <v>0</v>
      </c>
      <c r="AE254" s="131">
        <f>IF($T254=1,$AB254*$Y254+(Assumptions!$C$9/(1+$R254)+Assumptions!$C$10*$AC254)*$P254+$S254*$Z254*$AA254,0)</f>
        <v>0</v>
      </c>
      <c r="AF254" s="131" t="str">
        <f>IF($T254=1,IF($AA254-$AD254-Assumptions!$C$16*$AA254&gt;0,$AE254/($AA254-$AD254-Assumptions!$C$16*$AA254)*IF($J254="Monthly",1+Assumptions!$C$29,1),"n.a."),"")</f>
        <v/>
      </c>
      <c r="AG254" s="131" t="str">
        <f t="shared" si="77"/>
        <v/>
      </c>
      <c r="AH254" s="131" t="str">
        <f t="shared" si="78"/>
        <v/>
      </c>
      <c r="AI254" s="131" t="str">
        <f t="shared" si="79"/>
        <v/>
      </c>
      <c r="AJ254" s="390" t="str">
        <f t="shared" si="80"/>
        <v/>
      </c>
      <c r="AK254" s="389" t="str">
        <f t="shared" si="81"/>
        <v/>
      </c>
      <c r="AL254" s="131" t="str">
        <f t="shared" si="82"/>
        <v/>
      </c>
      <c r="AM254" s="131" t="str">
        <f t="shared" si="83"/>
        <v/>
      </c>
      <c r="AN254" s="131" t="str">
        <f t="shared" si="84"/>
        <v/>
      </c>
      <c r="AO254" s="131" t="str">
        <f t="shared" si="85"/>
        <v/>
      </c>
      <c r="AP254" s="26" t="str">
        <f t="shared" si="86"/>
        <v>60+</v>
      </c>
      <c r="AQ254" s="26" t="str">
        <f t="shared" si="87"/>
        <v>Up to 250k</v>
      </c>
      <c r="AR254" s="26" t="str">
        <f>IF($T254=1,IF($AI254&lt;0,"Loss-making",IF($AJ254&lt;Assumptions!$C$16-0.00001,"Below target","At/above target")),"Excluded")</f>
        <v>Excluded</v>
      </c>
      <c r="AS254" s="103">
        <f t="shared" si="88"/>
        <v>9.9999999999999997E+98</v>
      </c>
      <c r="AT254" s="26"/>
      <c r="AU254" s="419">
        <f>IF(AND($T254=1,AU$5&lt;=$H254),INDEX(Mortality!$B$4:$E$64,MATCH($D254+AU$5-1,Mortality!$A$4:$A$64,0),$U254)*$V254*$N254,0)</f>
        <v>0</v>
      </c>
      <c r="AV254" s="93">
        <f>IF(AND($T254=1,AV$5&lt;=$H254),INDEX(Mortality!$B$4:$E$64,MATCH($D254+AV$5-1,Mortality!$A$4:$A$64,0),$U254)*$V254*$N254,0)</f>
        <v>0</v>
      </c>
      <c r="AW254" s="93">
        <f>IF(AND($T254=1,AW$5&lt;=$H254),INDEX(Mortality!$B$4:$E$64,MATCH($D254+AW$5-1,Mortality!$A$4:$A$64,0),$U254)*$V254*$N254,0)</f>
        <v>0</v>
      </c>
      <c r="AX254" s="93">
        <f>IF(AND($T254=1,AX$5&lt;=$H254),INDEX(Mortality!$B$4:$E$64,MATCH($D254+AX$5-1,Mortality!$A$4:$A$64,0),$U254)*$V254*$N254,0)</f>
        <v>0</v>
      </c>
      <c r="AY254" s="93">
        <f>IF(AND($T254=1,AY$5&lt;=$H254),INDEX(Mortality!$B$4:$E$64,MATCH($D254+AY$5-1,Mortality!$A$4:$A$64,0),$U254)*$V254*$N254,0)</f>
        <v>0</v>
      </c>
      <c r="AZ254" s="93">
        <f>IF(AND($T254=1,AZ$5&lt;=$H254),INDEX(Mortality!$B$4:$E$64,MATCH($D254+AZ$5-1,Mortality!$A$4:$A$64,0),$U254)*$V254*$N254,0)</f>
        <v>0</v>
      </c>
      <c r="BA254" s="93">
        <f>IF(AND($T254=1,BA$5&lt;=$H254),INDEX(Mortality!$B$4:$E$64,MATCH($D254+BA$5-1,Mortality!$A$4:$A$64,0),$U254)*$V254*$N254,0)</f>
        <v>0</v>
      </c>
      <c r="BB254" s="93">
        <f>IF(AND($T254=1,BB$5&lt;=$H254),INDEX(Mortality!$B$4:$E$64,MATCH($D254+BB$5-1,Mortality!$A$4:$A$64,0),$U254)*$V254*$N254,0)</f>
        <v>0</v>
      </c>
      <c r="BC254" s="93">
        <f>IF(AND($T254=1,BC$5&lt;=$H254),INDEX(Mortality!$B$4:$E$64,MATCH($D254+BC$5-1,Mortality!$A$4:$A$64,0),$U254)*$V254*$N254,0)</f>
        <v>0</v>
      </c>
      <c r="BD254" s="93">
        <f>IF(AND($T254=1,BD$5&lt;=$H254),INDEX(Mortality!$B$4:$E$64,MATCH($D254+BD$5-1,Mortality!$A$4:$A$64,0),$U254)*$V254*$N254,0)</f>
        <v>0</v>
      </c>
      <c r="BE254" s="93">
        <f>IF(AND($T254=1,BE$5&lt;=$H254),INDEX(Mortality!$B$4:$E$64,MATCH($D254+BE$5-1,Mortality!$A$4:$A$64,0),$U254)*$V254*$N254,0)</f>
        <v>0</v>
      </c>
      <c r="BF254" s="93">
        <f>IF(AND($T254=1,BF$5&lt;=$H254),INDEX(Mortality!$B$4:$E$64,MATCH($D254+BF$5-1,Mortality!$A$4:$A$64,0),$U254)*$V254*$N254,0)</f>
        <v>0</v>
      </c>
      <c r="BG254" s="93">
        <f>IF(AND($T254=1,BG$5&lt;=$H254),INDEX(Mortality!$B$4:$E$64,MATCH($D254+BG$5-1,Mortality!$A$4:$A$64,0),$U254)*$V254*$N254,0)</f>
        <v>0</v>
      </c>
      <c r="BH254" s="93">
        <f>IF(AND($T254=1,BH$5&lt;=$H254),INDEX(Mortality!$B$4:$E$64,MATCH($D254+BH$5-1,Mortality!$A$4:$A$64,0),$U254)*$V254*$N254,0)</f>
        <v>0</v>
      </c>
      <c r="BI254" s="93">
        <f>IF(AND($T254=1,BI$5&lt;=$H254),INDEX(Mortality!$B$4:$E$64,MATCH($D254+BI$5-1,Mortality!$A$4:$A$64,0),$U254)*$V254*$N254,0)</f>
        <v>0</v>
      </c>
      <c r="BJ254" s="93">
        <f>IF(AND($T254=1,BJ$5&lt;=$H254),INDEX(Mortality!$B$4:$E$64,MATCH($D254+BJ$5-1,Mortality!$A$4:$A$64,0),$U254)*$V254*$N254,0)</f>
        <v>0</v>
      </c>
      <c r="BK254" s="93">
        <f>IF(AND($T254=1,BK$5&lt;=$H254),INDEX(Mortality!$B$4:$E$64,MATCH($D254+BK$5-1,Mortality!$A$4:$A$64,0),$U254)*$V254*$N254,0)</f>
        <v>0</v>
      </c>
      <c r="BL254" s="93">
        <f>IF(AND($T254=1,BL$5&lt;=$H254),INDEX(Mortality!$B$4:$E$64,MATCH($D254+BL$5-1,Mortality!$A$4:$A$64,0),$U254)*$V254*$N254,0)</f>
        <v>0</v>
      </c>
      <c r="BM254" s="93">
        <f>IF(AND($T254=1,BM$5&lt;=$H254),INDEX(Mortality!$B$4:$E$64,MATCH($D254+BM$5-1,Mortality!$A$4:$A$64,0),$U254)*$V254*$N254,0)</f>
        <v>0</v>
      </c>
      <c r="BN254" s="93">
        <f>IF(AND($T254=1,BN$5&lt;=$H254),INDEX(Mortality!$B$4:$E$64,MATCH($D254+BN$5-1,Mortality!$A$4:$A$64,0),$U254)*$V254*$N254,0)</f>
        <v>0</v>
      </c>
      <c r="BO254" s="93">
        <f>IF(AND($T254=1,BO$5&lt;=$H254),INDEX(Mortality!$B$4:$E$64,MATCH($D254+BO$5-1,Mortality!$A$4:$A$64,0),$U254)*$V254*$N254,0)</f>
        <v>0</v>
      </c>
      <c r="BP254" s="93">
        <f>IF(AND($T254=1,BP$5&lt;=$H254),INDEX(Mortality!$B$4:$E$64,MATCH($D254+BP$5-1,Mortality!$A$4:$A$64,0),$U254)*$V254*$N254,0)</f>
        <v>0</v>
      </c>
      <c r="BQ254" s="93">
        <f>IF(AND($T254=1,BQ$5&lt;=$H254),INDEX(Mortality!$B$4:$E$64,MATCH($D254+BQ$5-1,Mortality!$A$4:$A$64,0),$U254)*$V254*$N254,0)</f>
        <v>0</v>
      </c>
      <c r="BR254" s="93">
        <f>IF(AND($T254=1,BR$5&lt;=$H254),INDEX(Mortality!$B$4:$E$64,MATCH($D254+BR$5-1,Mortality!$A$4:$A$64,0),$U254)*$V254*$N254,0)</f>
        <v>0</v>
      </c>
      <c r="BS254" s="93">
        <f>IF(AND($T254=1,BS$5&lt;=$H254),INDEX(Mortality!$B$4:$E$64,MATCH($D254+BS$5-1,Mortality!$A$4:$A$64,0),$U254)*$V254*$N254,0)</f>
        <v>0</v>
      </c>
      <c r="BT254" s="93">
        <f>IF(AND($T254=1,BT$5&lt;=$H254),INDEX(Mortality!$B$4:$E$64,MATCH($D254+BT$5-1,Mortality!$A$4:$A$64,0),$U254)*$V254*$N254,0)</f>
        <v>0</v>
      </c>
      <c r="BU254" s="93">
        <f>IF(AND($T254=1,BU$5&lt;=$H254),INDEX(Mortality!$B$4:$E$64,MATCH($D254+BU$5-1,Mortality!$A$4:$A$64,0),$U254)*$V254*$N254,0)</f>
        <v>0</v>
      </c>
      <c r="BV254" s="93">
        <f>IF(AND($T254=1,BV$5&lt;=$H254),INDEX(Mortality!$B$4:$E$64,MATCH($D254+BV$5-1,Mortality!$A$4:$A$64,0),$U254)*$V254*$N254,0)</f>
        <v>0</v>
      </c>
      <c r="BW254" s="93">
        <f>IF(AND($T254=1,BW$5&lt;=$H254),INDEX(Mortality!$B$4:$E$64,MATCH($D254+BW$5-1,Mortality!$A$4:$A$64,0),$U254)*$V254*$N254,0)</f>
        <v>0</v>
      </c>
      <c r="BX254" s="93">
        <f>IF(AND($T254=1,BX$5&lt;=$H254),INDEX(Mortality!$B$4:$E$64,MATCH($D254+BX$5-1,Mortality!$A$4:$A$64,0),$U254)*$V254*$N254,0)</f>
        <v>0</v>
      </c>
      <c r="BY254" s="93">
        <f>IF(AND($T254=1,BY$5&lt;=$H254),INDEX(Mortality!$B$4:$E$64,MATCH($D254+BY$5-1,Mortality!$A$4:$A$64,0),$U254)*$V254*$N254,0)</f>
        <v>0</v>
      </c>
      <c r="BZ254" s="93">
        <f>IF(AND($T254=1,BZ$5&lt;=$H254),INDEX(Mortality!$B$4:$E$64,MATCH($D254+BZ$5-1,Mortality!$A$4:$A$64,0),$U254)*$V254*$N254,0)</f>
        <v>0</v>
      </c>
      <c r="CA254" s="93">
        <f>IF(AND($T254=1,CA$5&lt;=$H254),INDEX(Mortality!$B$4:$E$64,MATCH($D254+CA$5-1,Mortality!$A$4:$A$64,0),$U254)*$V254*$N254,0)</f>
        <v>0</v>
      </c>
      <c r="CB254" s="93">
        <f>IF(AND($T254=1,CB$5&lt;=$H254),INDEX(Mortality!$B$4:$E$64,MATCH($D254+CB$5-1,Mortality!$A$4:$A$64,0),$U254)*$V254*$N254,0)</f>
        <v>0</v>
      </c>
      <c r="CC254" s="93">
        <f>IF(AND($T254=1,CC$5&lt;=$H254),INDEX(Mortality!$B$4:$E$64,MATCH($D254+CC$5-1,Mortality!$A$4:$A$64,0),$U254)*$V254*$N254,0)</f>
        <v>0</v>
      </c>
      <c r="CD254" s="93">
        <f>IF(AND($T254=1,CD$5&lt;=$H254),INDEX(Mortality!$B$4:$E$64,MATCH($D254+CD$5-1,Mortality!$A$4:$A$64,0),$U254)*$V254*$N254,0)</f>
        <v>0</v>
      </c>
      <c r="CE254" s="93">
        <f>IF(AND($T254=1,CE$5&lt;=$H254),INDEX(Mortality!$B$4:$E$64,MATCH($D254+CE$5-1,Mortality!$A$4:$A$64,0),$U254)*$V254*$N254,0)</f>
        <v>0</v>
      </c>
      <c r="CF254" s="93">
        <f>IF(AND($T254=1,CF$5&lt;=$H254),INDEX(Mortality!$B$4:$E$64,MATCH($D254+CF$5-1,Mortality!$A$4:$A$64,0),$U254)*$V254*$N254,0)</f>
        <v>0</v>
      </c>
      <c r="CG254" s="93">
        <f>IF(AND($T254=1,CG$5&lt;=$H254),INDEX(Mortality!$B$4:$E$64,MATCH($D254+CG$5-1,Mortality!$A$4:$A$64,0),$U254)*$V254*$N254,0)</f>
        <v>0</v>
      </c>
      <c r="CH254" s="94">
        <f>IF(AND($T254=1,CH$5&lt;=$H254),INDEX(Mortality!$B$4:$E$64,MATCH($D254+CH$5-1,Mortality!$A$4:$A$64,0),$U254)*$V254*$N254,0)</f>
        <v>0</v>
      </c>
      <c r="CI254" s="26"/>
      <c r="CJ254" s="419">
        <f t="shared" si="89"/>
        <v>0</v>
      </c>
      <c r="CK254" s="93">
        <f>IF(AND($T254=1,CK$5&lt;=$H254),CJ254*(1-AU254)*(1-MIN(1,MAX(Assumptions!$C$27,Assumptions!$C$13*Assumptions!$C$28^(CJ$5-1))*$O254)),0)</f>
        <v>0</v>
      </c>
      <c r="CL254" s="93">
        <f>IF(AND($T254=1,CL$5&lt;=$H254),CK254*(1-AV254)*(1-MIN(1,MAX(Assumptions!$C$27,Assumptions!$C$13*Assumptions!$C$28^(CK$5-1))*$O254)),0)</f>
        <v>0</v>
      </c>
      <c r="CM254" s="93">
        <f>IF(AND($T254=1,CM$5&lt;=$H254),CL254*(1-AW254)*(1-MIN(1,MAX(Assumptions!$C$27,Assumptions!$C$13*Assumptions!$C$28^(CL$5-1))*$O254)),0)</f>
        <v>0</v>
      </c>
      <c r="CN254" s="93">
        <f>IF(AND($T254=1,CN$5&lt;=$H254),CM254*(1-AX254)*(1-MIN(1,MAX(Assumptions!$C$27,Assumptions!$C$13*Assumptions!$C$28^(CM$5-1))*$O254)),0)</f>
        <v>0</v>
      </c>
      <c r="CO254" s="93">
        <f>IF(AND($T254=1,CO$5&lt;=$H254),CN254*(1-AY254)*(1-MIN(1,MAX(Assumptions!$C$27,Assumptions!$C$13*Assumptions!$C$28^(CN$5-1))*$O254)),0)</f>
        <v>0</v>
      </c>
      <c r="CP254" s="93">
        <f>IF(AND($T254=1,CP$5&lt;=$H254),CO254*(1-AZ254)*(1-MIN(1,MAX(Assumptions!$C$27,Assumptions!$C$13*Assumptions!$C$28^(CO$5-1))*$O254)),0)</f>
        <v>0</v>
      </c>
      <c r="CQ254" s="93">
        <f>IF(AND($T254=1,CQ$5&lt;=$H254),CP254*(1-BA254)*(1-MIN(1,MAX(Assumptions!$C$27,Assumptions!$C$13*Assumptions!$C$28^(CP$5-1))*$O254)),0)</f>
        <v>0</v>
      </c>
      <c r="CR254" s="93">
        <f>IF(AND($T254=1,CR$5&lt;=$H254),CQ254*(1-BB254)*(1-MIN(1,MAX(Assumptions!$C$27,Assumptions!$C$13*Assumptions!$C$28^(CQ$5-1))*$O254)),0)</f>
        <v>0</v>
      </c>
      <c r="CS254" s="93">
        <f>IF(AND($T254=1,CS$5&lt;=$H254),CR254*(1-BC254)*(1-MIN(1,MAX(Assumptions!$C$27,Assumptions!$C$13*Assumptions!$C$28^(CR$5-1))*$O254)),0)</f>
        <v>0</v>
      </c>
      <c r="CT254" s="93">
        <f>IF(AND($T254=1,CT$5&lt;=$H254),CS254*(1-BD254)*(1-MIN(1,MAX(Assumptions!$C$27,Assumptions!$C$13*Assumptions!$C$28^(CS$5-1))*$O254)),0)</f>
        <v>0</v>
      </c>
      <c r="CU254" s="93">
        <f>IF(AND($T254=1,CU$5&lt;=$H254),CT254*(1-BE254)*(1-MIN(1,MAX(Assumptions!$C$27,Assumptions!$C$13*Assumptions!$C$28^(CT$5-1))*$O254)),0)</f>
        <v>0</v>
      </c>
      <c r="CV254" s="93">
        <f>IF(AND($T254=1,CV$5&lt;=$H254),CU254*(1-BF254)*(1-MIN(1,MAX(Assumptions!$C$27,Assumptions!$C$13*Assumptions!$C$28^(CU$5-1))*$O254)),0)</f>
        <v>0</v>
      </c>
      <c r="CW254" s="93">
        <f>IF(AND($T254=1,CW$5&lt;=$H254),CV254*(1-BG254)*(1-MIN(1,MAX(Assumptions!$C$27,Assumptions!$C$13*Assumptions!$C$28^(CV$5-1))*$O254)),0)</f>
        <v>0</v>
      </c>
      <c r="CX254" s="93">
        <f>IF(AND($T254=1,CX$5&lt;=$H254),CW254*(1-BH254)*(1-MIN(1,MAX(Assumptions!$C$27,Assumptions!$C$13*Assumptions!$C$28^(CW$5-1))*$O254)),0)</f>
        <v>0</v>
      </c>
      <c r="CY254" s="93">
        <f>IF(AND($T254=1,CY$5&lt;=$H254),CX254*(1-BI254)*(1-MIN(1,MAX(Assumptions!$C$27,Assumptions!$C$13*Assumptions!$C$28^(CX$5-1))*$O254)),0)</f>
        <v>0</v>
      </c>
      <c r="CZ254" s="93">
        <f>IF(AND($T254=1,CZ$5&lt;=$H254),CY254*(1-BJ254)*(1-MIN(1,MAX(Assumptions!$C$27,Assumptions!$C$13*Assumptions!$C$28^(CY$5-1))*$O254)),0)</f>
        <v>0</v>
      </c>
      <c r="DA254" s="93">
        <f>IF(AND($T254=1,DA$5&lt;=$H254),CZ254*(1-BK254)*(1-MIN(1,MAX(Assumptions!$C$27,Assumptions!$C$13*Assumptions!$C$28^(CZ$5-1))*$O254)),0)</f>
        <v>0</v>
      </c>
      <c r="DB254" s="93">
        <f>IF(AND($T254=1,DB$5&lt;=$H254),DA254*(1-BL254)*(1-MIN(1,MAX(Assumptions!$C$27,Assumptions!$C$13*Assumptions!$C$28^(DA$5-1))*$O254)),0)</f>
        <v>0</v>
      </c>
      <c r="DC254" s="93">
        <f>IF(AND($T254=1,DC$5&lt;=$H254),DB254*(1-BM254)*(1-MIN(1,MAX(Assumptions!$C$27,Assumptions!$C$13*Assumptions!$C$28^(DB$5-1))*$O254)),0)</f>
        <v>0</v>
      </c>
      <c r="DD254" s="93">
        <f>IF(AND($T254=1,DD$5&lt;=$H254),DC254*(1-BN254)*(1-MIN(1,MAX(Assumptions!$C$27,Assumptions!$C$13*Assumptions!$C$28^(DC$5-1))*$O254)),0)</f>
        <v>0</v>
      </c>
      <c r="DE254" s="93">
        <f>IF(AND($T254=1,DE$5&lt;=$H254),DD254*(1-BO254)*(1-MIN(1,MAX(Assumptions!$C$27,Assumptions!$C$13*Assumptions!$C$28^(DD$5-1))*$O254)),0)</f>
        <v>0</v>
      </c>
      <c r="DF254" s="93">
        <f>IF(AND($T254=1,DF$5&lt;=$H254),DE254*(1-BP254)*(1-MIN(1,MAX(Assumptions!$C$27,Assumptions!$C$13*Assumptions!$C$28^(DE$5-1))*$O254)),0)</f>
        <v>0</v>
      </c>
      <c r="DG254" s="93">
        <f>IF(AND($T254=1,DG$5&lt;=$H254),DF254*(1-BQ254)*(1-MIN(1,MAX(Assumptions!$C$27,Assumptions!$C$13*Assumptions!$C$28^(DF$5-1))*$O254)),0)</f>
        <v>0</v>
      </c>
      <c r="DH254" s="93">
        <f>IF(AND($T254=1,DH$5&lt;=$H254),DG254*(1-BR254)*(1-MIN(1,MAX(Assumptions!$C$27,Assumptions!$C$13*Assumptions!$C$28^(DG$5-1))*$O254)),0)</f>
        <v>0</v>
      </c>
      <c r="DI254" s="93">
        <f>IF(AND($T254=1,DI$5&lt;=$H254),DH254*(1-BS254)*(1-MIN(1,MAX(Assumptions!$C$27,Assumptions!$C$13*Assumptions!$C$28^(DH$5-1))*$O254)),0)</f>
        <v>0</v>
      </c>
      <c r="DJ254" s="93">
        <f>IF(AND($T254=1,DJ$5&lt;=$H254),DI254*(1-BT254)*(1-MIN(1,MAX(Assumptions!$C$27,Assumptions!$C$13*Assumptions!$C$28^(DI$5-1))*$O254)),0)</f>
        <v>0</v>
      </c>
      <c r="DK254" s="93">
        <f>IF(AND($T254=1,DK$5&lt;=$H254),DJ254*(1-BU254)*(1-MIN(1,MAX(Assumptions!$C$27,Assumptions!$C$13*Assumptions!$C$28^(DJ$5-1))*$O254)),0)</f>
        <v>0</v>
      </c>
      <c r="DL254" s="93">
        <f>IF(AND($T254=1,DL$5&lt;=$H254),DK254*(1-BV254)*(1-MIN(1,MAX(Assumptions!$C$27,Assumptions!$C$13*Assumptions!$C$28^(DK$5-1))*$O254)),0)</f>
        <v>0</v>
      </c>
      <c r="DM254" s="93">
        <f>IF(AND($T254=1,DM$5&lt;=$H254),DL254*(1-BW254)*(1-MIN(1,MAX(Assumptions!$C$27,Assumptions!$C$13*Assumptions!$C$28^(DL$5-1))*$O254)),0)</f>
        <v>0</v>
      </c>
      <c r="DN254" s="93">
        <f>IF(AND($T254=1,DN$5&lt;=$H254),DM254*(1-BX254)*(1-MIN(1,MAX(Assumptions!$C$27,Assumptions!$C$13*Assumptions!$C$28^(DM$5-1))*$O254)),0)</f>
        <v>0</v>
      </c>
      <c r="DO254" s="93">
        <f>IF(AND($T254=1,DO$5&lt;=$H254),DN254*(1-BY254)*(1-MIN(1,MAX(Assumptions!$C$27,Assumptions!$C$13*Assumptions!$C$28^(DN$5-1))*$O254)),0)</f>
        <v>0</v>
      </c>
      <c r="DP254" s="93">
        <f>IF(AND($T254=1,DP$5&lt;=$H254),DO254*(1-BZ254)*(1-MIN(1,MAX(Assumptions!$C$27,Assumptions!$C$13*Assumptions!$C$28^(DO$5-1))*$O254)),0)</f>
        <v>0</v>
      </c>
      <c r="DQ254" s="93">
        <f>IF(AND($T254=1,DQ$5&lt;=$H254),DP254*(1-CA254)*(1-MIN(1,MAX(Assumptions!$C$27,Assumptions!$C$13*Assumptions!$C$28^(DP$5-1))*$O254)),0)</f>
        <v>0</v>
      </c>
      <c r="DR254" s="93">
        <f>IF(AND($T254=1,DR$5&lt;=$H254),DQ254*(1-CB254)*(1-MIN(1,MAX(Assumptions!$C$27,Assumptions!$C$13*Assumptions!$C$28^(DQ$5-1))*$O254)),0)</f>
        <v>0</v>
      </c>
      <c r="DS254" s="93">
        <f>IF(AND($T254=1,DS$5&lt;=$H254),DR254*(1-CC254)*(1-MIN(1,MAX(Assumptions!$C$27,Assumptions!$C$13*Assumptions!$C$28^(DR$5-1))*$O254)),0)</f>
        <v>0</v>
      </c>
      <c r="DT254" s="93">
        <f>IF(AND($T254=1,DT$5&lt;=$H254),DS254*(1-CD254)*(1-MIN(1,MAX(Assumptions!$C$27,Assumptions!$C$13*Assumptions!$C$28^(DS$5-1))*$O254)),0)</f>
        <v>0</v>
      </c>
      <c r="DU254" s="93">
        <f>IF(AND($T254=1,DU$5&lt;=$H254),DT254*(1-CE254)*(1-MIN(1,MAX(Assumptions!$C$27,Assumptions!$C$13*Assumptions!$C$28^(DT$5-1))*$O254)),0)</f>
        <v>0</v>
      </c>
      <c r="DV254" s="93">
        <f>IF(AND($T254=1,DV$5&lt;=$H254),DU254*(1-CF254)*(1-MIN(1,MAX(Assumptions!$C$27,Assumptions!$C$13*Assumptions!$C$28^(DU$5-1))*$O254)),0)</f>
        <v>0</v>
      </c>
      <c r="DW254" s="94">
        <f>IF(AND($T254=1,DW$5&lt;=$H254),DV254*(1-CG254)*(1-MIN(1,MAX(Assumptions!$C$27,Assumptions!$C$13*Assumptions!$C$28^(DV$5-1))*$O254)),0)</f>
        <v>0</v>
      </c>
      <c r="DX254" s="26"/>
      <c r="DY254" s="399">
        <f>'Policy Data'!K228</f>
        <v>2</v>
      </c>
      <c r="DZ254" s="100">
        <f>'Policy Data'!L228</f>
        <v>0.87190000000000001</v>
      </c>
      <c r="EA254" s="100">
        <f>'Policy Data'!N228</f>
        <v>3.676E-3</v>
      </c>
      <c r="EB254" s="93" cm="1">
        <f t="array" ref="EB254">IFERROR(DZ254*INDEX(Mortality!$B$4:$E$64,MATCH(D254+DY254-1,Mortality!$A$4:$A$64,0),U254)*V254,0)</f>
        <v>3.9824325805654058E-3</v>
      </c>
      <c r="EC254" s="100">
        <f>'Policy Data'!O228</f>
        <v>0</v>
      </c>
      <c r="ED254" s="400">
        <f>'Policy Data'!Q228</f>
        <v>1</v>
      </c>
    </row>
    <row r="255" spans="1:134" x14ac:dyDescent="0.3">
      <c r="A255" s="399" t="str">
        <f>'Policy Data'!A229</f>
        <v>POL100225</v>
      </c>
      <c r="B255" s="26" t="s">
        <v>426</v>
      </c>
      <c r="C255" s="100" t="str">
        <f>'Policy Data'!B229</f>
        <v>Term Life</v>
      </c>
      <c r="D255" s="100">
        <f>'Policy Data'!C229</f>
        <v>37</v>
      </c>
      <c r="E255" s="100" t="str">
        <f>'Policy Data'!D229</f>
        <v>Female</v>
      </c>
      <c r="F255" s="100" t="str">
        <f>'Policy Data'!E229</f>
        <v>Non-smoker</v>
      </c>
      <c r="G255" s="100" t="str">
        <f>'Policy Data'!F229</f>
        <v>Standard</v>
      </c>
      <c r="H255" s="100">
        <f>'Policy Data'!G229</f>
        <v>20</v>
      </c>
      <c r="I255" s="279">
        <f>'Policy Data'!H229</f>
        <v>500000</v>
      </c>
      <c r="J255" s="100" t="str">
        <f>'Policy Data'!I229</f>
        <v>Monthly</v>
      </c>
      <c r="K255" s="100" t="str">
        <f>'Policy Data'!J229</f>
        <v>Bancassurance</v>
      </c>
      <c r="L255" s="26" t="s">
        <v>389</v>
      </c>
      <c r="M255" s="106">
        <f>'Policy Data'!R229</f>
        <v>1200</v>
      </c>
      <c r="N255" s="415">
        <f>Assumptions!$C$21</f>
        <v>1</v>
      </c>
      <c r="O255" s="415">
        <f>Assumptions!$C$22</f>
        <v>1</v>
      </c>
      <c r="P255" s="415">
        <f>Assumptions!$C$23</f>
        <v>1</v>
      </c>
      <c r="Q255" s="416">
        <f>Assumptions!$C$24</f>
        <v>0</v>
      </c>
      <c r="R255" s="416">
        <f>Assumptions!$C$6+Assumptions!$C$25</f>
        <v>3.5000000000000003E-2</v>
      </c>
      <c r="S255" s="416">
        <f>Assumptions!$C$15</f>
        <v>1.1000000000000001E-3</v>
      </c>
      <c r="T255" s="26">
        <f t="shared" si="72"/>
        <v>1</v>
      </c>
      <c r="U255" s="26">
        <f t="shared" si="73"/>
        <v>1</v>
      </c>
      <c r="V255" s="389">
        <f>IF($G255="Preferred",Assumptions!$C$30,IF($G255="Rated",Assumptions!$C$31,1))</f>
        <v>1</v>
      </c>
      <c r="W255" s="390">
        <f>IF($K255="Direct",Assumptions!$C$32,IF($K255="Broker",Assumptions!$C$33,IF($K255="Bancassurance",Assumptions!$C$34,Assumptions!$C$11)))+$Q255</f>
        <v>0.2</v>
      </c>
      <c r="X255" s="390">
        <f>Assumptions!$C$12+$Q255</f>
        <v>0.05</v>
      </c>
      <c r="Y255" s="131">
        <f>MIN($I255,Assumptions!$C$14)</f>
        <v>500000</v>
      </c>
      <c r="Z255" s="131">
        <f>MAX($I255-Assumptions!$C$14,0)</f>
        <v>0</v>
      </c>
      <c r="AA255" s="389">
        <f t="shared" si="74"/>
        <v>8.5751729981098261</v>
      </c>
      <c r="AB255" s="389">
        <f t="shared" si="75"/>
        <v>1.1125703938527721E-2</v>
      </c>
      <c r="AC255" s="389">
        <f>IF($T255=1,SUMPRODUCT($CJ255:$DW255,(1+Assumptions!$C$5)^($CJ$5:$DW$5-1),(1+$R255)^(-$CJ$5:$DW$5)),0)</f>
        <v>11.537777378423005</v>
      </c>
      <c r="AD255" s="389">
        <f t="shared" si="76"/>
        <v>0.57368618613737543</v>
      </c>
      <c r="AE255" s="131">
        <f>IF($T255=1,$AB255*$Y255+(Assumptions!$C$9/(1+$R255)+Assumptions!$C$10*$AC255)*$P255+$S255*$Z255*$AA255,0)</f>
        <v>8970.7282099082258</v>
      </c>
      <c r="AF255" s="131">
        <f>IF($T255=1,IF($AA255-$AD255-Assumptions!$C$16*$AA255&gt;0,$AE255/($AA255-$AD255-Assumptions!$C$16*$AA255)*IF($J255="Monthly",1+Assumptions!$C$29,1),"n.a."),"")</f>
        <v>1263.055730150988</v>
      </c>
      <c r="AG255" s="131">
        <f t="shared" si="77"/>
        <v>1200</v>
      </c>
      <c r="AH255" s="131">
        <f t="shared" si="78"/>
        <v>10290.207597731791</v>
      </c>
      <c r="AI255" s="131">
        <f t="shared" si="79"/>
        <v>631.05596445871379</v>
      </c>
      <c r="AJ255" s="390">
        <f t="shared" si="80"/>
        <v>6.1325873017159895E-2</v>
      </c>
      <c r="AK255" s="389">
        <f t="shared" si="81"/>
        <v>0.95007684249732183</v>
      </c>
      <c r="AL255" s="131">
        <f t="shared" si="82"/>
        <v>0</v>
      </c>
      <c r="AM255" s="131">
        <f t="shared" si="83"/>
        <v>0</v>
      </c>
      <c r="AN255" s="131">
        <f t="shared" si="84"/>
        <v>0</v>
      </c>
      <c r="AO255" s="131">
        <f t="shared" si="85"/>
        <v>631.05596445871379</v>
      </c>
      <c r="AP255" s="26" t="str">
        <f t="shared" si="86"/>
        <v>30-39</v>
      </c>
      <c r="AQ255" s="26" t="str">
        <f t="shared" si="87"/>
        <v>250k-500k</v>
      </c>
      <c r="AR255" s="26" t="str">
        <f>IF($T255=1,IF($AI255&lt;0,"Loss-making",IF($AJ255&lt;Assumptions!$C$16-0.00001,"Below target","At/above target")),"Excluded")</f>
        <v>Below target</v>
      </c>
      <c r="AS255" s="103">
        <f t="shared" si="88"/>
        <v>631.05621945871383</v>
      </c>
      <c r="AT255" s="26"/>
      <c r="AU255" s="419">
        <f>IF(AND($T255=1,AU$5&lt;=$H255),INDEX(Mortality!$B$4:$E$64,MATCH($D255+AU$5-1,Mortality!$A$4:$A$64,0),$U255)*$V255*$N255,0)</f>
        <v>6.6963223136325904E-4</v>
      </c>
      <c r="AV255" s="93">
        <f>IF(AND($T255=1,AV$5&lt;=$H255),INDEX(Mortality!$B$4:$E$64,MATCH($D255+AV$5-1,Mortality!$A$4:$A$64,0),$U255)*$V255*$N255,0)</f>
        <v>7.2540393633414402E-4</v>
      </c>
      <c r="AW255" s="93">
        <f>IF(AND($T255=1,AW$5&lt;=$H255),INDEX(Mortality!$B$4:$E$64,MATCH($D255+AW$5-1,Mortality!$A$4:$A$64,0),$U255)*$V255*$N255,0)</f>
        <v>7.8582070307128696E-4</v>
      </c>
      <c r="AX255" s="93">
        <f>IF(AND($T255=1,AX$5&lt;=$H255),INDEX(Mortality!$B$4:$E$64,MATCH($D255+AX$5-1,Mortality!$A$4:$A$64,0),$U255)*$V255*$N255,0)</f>
        <v>8.5126940514836905E-4</v>
      </c>
      <c r="AY255" s="93">
        <f>IF(AND($T255=1,AY$5&lt;=$H255),INDEX(Mortality!$B$4:$E$64,MATCH($D255+AY$5-1,Mortality!$A$4:$A$64,0),$U255)*$V255*$N255,0)</f>
        <v>9.2216913770458301E-4</v>
      </c>
      <c r="AZ255" s="93">
        <f>IF(AND($T255=1,AZ$5&lt;=$H255),INDEX(Mortality!$B$4:$E$64,MATCH($D255+AZ$5-1,Mortality!$A$4:$A$64,0),$U255)*$V255*$N255,0)</f>
        <v>9.98973901084343E-4</v>
      </c>
      <c r="BA255" s="93">
        <f>IF(AND($T255=1,BA$5&lt;=$H255),INDEX(Mortality!$B$4:$E$64,MATCH($D255+BA$5-1,Mortality!$A$4:$A$64,0),$U255)*$V255*$N255,0)</f>
        <v>1.08217550798947E-3</v>
      </c>
      <c r="BB255" s="93">
        <f>IF(AND($T255=1,BB$5&lt;=$H255),INDEX(Mortality!$B$4:$E$64,MATCH($D255+BB$5-1,Mortality!$A$4:$A$64,0),$U255)*$V255*$N255,0)</f>
        <v>1.1723067327595699E-3</v>
      </c>
      <c r="BC255" s="93">
        <f>IF(AND($T255=1,BC$5&lt;=$H255),INDEX(Mortality!$B$4:$E$64,MATCH($D255+BC$5-1,Mortality!$A$4:$A$64,0),$U255)*$V255*$N255,0)</f>
        <v>1.2699447229467301E-3</v>
      </c>
      <c r="BD255" s="93">
        <f>IF(AND($T255=1,BD$5&lt;=$H255),INDEX(Mortality!$B$4:$E$64,MATCH($D255+BD$5-1,Mortality!$A$4:$A$64,0),$U255)*$V255*$N255,0)</f>
        <v>1.37571469503025E-3</v>
      </c>
      <c r="BE255" s="93">
        <f>IF(AND($T255=1,BE$5&lt;=$H255),INDEX(Mortality!$B$4:$E$64,MATCH($D255+BE$5-1,Mortality!$A$4:$A$64,0),$U255)*$V255*$N255,0)</f>
        <v>1.4902939379366699E-3</v>
      </c>
      <c r="BF255" s="93">
        <f>IF(AND($T255=1,BF$5&lt;=$H255),INDEX(Mortality!$B$4:$E$64,MATCH($D255+BF$5-1,Mortality!$A$4:$A$64,0),$U255)*$V255*$N255,0)</f>
        <v>1.6144161500011799E-3</v>
      </c>
      <c r="BG255" s="93">
        <f>IF(AND($T255=1,BG$5&lt;=$H255),INDEX(Mortality!$B$4:$E$64,MATCH($D255+BG$5-1,Mortality!$A$4:$A$64,0),$U255)*$V255*$N255,0)</f>
        <v>1.74887613714188E-3</v>
      </c>
      <c r="BH255" s="93">
        <f>IF(AND($T255=1,BH$5&lt;=$H255),INDEX(Mortality!$B$4:$E$64,MATCH($D255+BH$5-1,Mortality!$A$4:$A$64,0),$U255)*$V255*$N255,0)</f>
        <v>1.89453490233113E-3</v>
      </c>
      <c r="BI255" s="93">
        <f>IF(AND($T255=1,BI$5&lt;=$H255),INDEX(Mortality!$B$4:$E$64,MATCH($D255+BI$5-1,Mortality!$A$4:$A$64,0),$U255)*$V255*$N255,0)</f>
        <v>2.05232515895416E-3</v>
      </c>
      <c r="BJ255" s="93">
        <f>IF(AND($T255=1,BJ$5&lt;=$H255),INDEX(Mortality!$B$4:$E$64,MATCH($D255+BJ$5-1,Mortality!$A$4:$A$64,0),$U255)*$V255*$N255,0)</f>
        <v>2.22325730335899E-3</v>
      </c>
      <c r="BK255" s="93">
        <f>IF(AND($T255=1,BK$5&lt;=$H255),INDEX(Mortality!$B$4:$E$64,MATCH($D255+BK$5-1,Mortality!$A$4:$A$64,0),$U255)*$V255*$N255,0)</f>
        <v>2.4084258848427E-3</v>
      </c>
      <c r="BL255" s="93">
        <f>IF(AND($T255=1,BL$5&lt;=$H255),INDEX(Mortality!$B$4:$E$64,MATCH($D255+BL$5-1,Mortality!$A$4:$A$64,0),$U255)*$V255*$N255,0)</f>
        <v>2.6090166145037101E-3</v>
      </c>
      <c r="BM255" s="93">
        <f>IF(AND($T255=1,BM$5&lt;=$H255),INDEX(Mortality!$B$4:$E$64,MATCH($D255+BM$5-1,Mortality!$A$4:$A$64,0),$U255)*$V255*$N255,0)</f>
        <v>2.8263139578409702E-3</v>
      </c>
      <c r="BN255" s="93">
        <f>IF(AND($T255=1,BN$5&lt;=$H255),INDEX(Mortality!$B$4:$E$64,MATCH($D255+BN$5-1,Mortality!$A$4:$A$64,0),$U255)*$V255*$N255,0)</f>
        <v>3.0617093597183598E-3</v>
      </c>
      <c r="BO255" s="93">
        <f>IF(AND($T255=1,BO$5&lt;=$H255),INDEX(Mortality!$B$4:$E$64,MATCH($D255+BO$5-1,Mortality!$A$4:$A$64,0),$U255)*$V255*$N255,0)</f>
        <v>0</v>
      </c>
      <c r="BP255" s="93">
        <f>IF(AND($T255=1,BP$5&lt;=$H255),INDEX(Mortality!$B$4:$E$64,MATCH($D255+BP$5-1,Mortality!$A$4:$A$64,0),$U255)*$V255*$N255,0)</f>
        <v>0</v>
      </c>
      <c r="BQ255" s="93">
        <f>IF(AND($T255=1,BQ$5&lt;=$H255),INDEX(Mortality!$B$4:$E$64,MATCH($D255+BQ$5-1,Mortality!$A$4:$A$64,0),$U255)*$V255*$N255,0)</f>
        <v>0</v>
      </c>
      <c r="BR255" s="93">
        <f>IF(AND($T255=1,BR$5&lt;=$H255),INDEX(Mortality!$B$4:$E$64,MATCH($D255+BR$5-1,Mortality!$A$4:$A$64,0),$U255)*$V255*$N255,0)</f>
        <v>0</v>
      </c>
      <c r="BS255" s="93">
        <f>IF(AND($T255=1,BS$5&lt;=$H255),INDEX(Mortality!$B$4:$E$64,MATCH($D255+BS$5-1,Mortality!$A$4:$A$64,0),$U255)*$V255*$N255,0)</f>
        <v>0</v>
      </c>
      <c r="BT255" s="93">
        <f>IF(AND($T255=1,BT$5&lt;=$H255),INDEX(Mortality!$B$4:$E$64,MATCH($D255+BT$5-1,Mortality!$A$4:$A$64,0),$U255)*$V255*$N255,0)</f>
        <v>0</v>
      </c>
      <c r="BU255" s="93">
        <f>IF(AND($T255=1,BU$5&lt;=$H255),INDEX(Mortality!$B$4:$E$64,MATCH($D255+BU$5-1,Mortality!$A$4:$A$64,0),$U255)*$V255*$N255,0)</f>
        <v>0</v>
      </c>
      <c r="BV255" s="93">
        <f>IF(AND($T255=1,BV$5&lt;=$H255),INDEX(Mortality!$B$4:$E$64,MATCH($D255+BV$5-1,Mortality!$A$4:$A$64,0),$U255)*$V255*$N255,0)</f>
        <v>0</v>
      </c>
      <c r="BW255" s="93">
        <f>IF(AND($T255=1,BW$5&lt;=$H255),INDEX(Mortality!$B$4:$E$64,MATCH($D255+BW$5-1,Mortality!$A$4:$A$64,0),$U255)*$V255*$N255,0)</f>
        <v>0</v>
      </c>
      <c r="BX255" s="93">
        <f>IF(AND($T255=1,BX$5&lt;=$H255),INDEX(Mortality!$B$4:$E$64,MATCH($D255+BX$5-1,Mortality!$A$4:$A$64,0),$U255)*$V255*$N255,0)</f>
        <v>0</v>
      </c>
      <c r="BY255" s="93">
        <f>IF(AND($T255=1,BY$5&lt;=$H255),INDEX(Mortality!$B$4:$E$64,MATCH($D255+BY$5-1,Mortality!$A$4:$A$64,0),$U255)*$V255*$N255,0)</f>
        <v>0</v>
      </c>
      <c r="BZ255" s="93">
        <f>IF(AND($T255=1,BZ$5&lt;=$H255),INDEX(Mortality!$B$4:$E$64,MATCH($D255+BZ$5-1,Mortality!$A$4:$A$64,0),$U255)*$V255*$N255,0)</f>
        <v>0</v>
      </c>
      <c r="CA255" s="93">
        <f>IF(AND($T255=1,CA$5&lt;=$H255),INDEX(Mortality!$B$4:$E$64,MATCH($D255+CA$5-1,Mortality!$A$4:$A$64,0),$U255)*$V255*$N255,0)</f>
        <v>0</v>
      </c>
      <c r="CB255" s="93">
        <f>IF(AND($T255=1,CB$5&lt;=$H255),INDEX(Mortality!$B$4:$E$64,MATCH($D255+CB$5-1,Mortality!$A$4:$A$64,0),$U255)*$V255*$N255,0)</f>
        <v>0</v>
      </c>
      <c r="CC255" s="93">
        <f>IF(AND($T255=1,CC$5&lt;=$H255),INDEX(Mortality!$B$4:$E$64,MATCH($D255+CC$5-1,Mortality!$A$4:$A$64,0),$U255)*$V255*$N255,0)</f>
        <v>0</v>
      </c>
      <c r="CD255" s="93">
        <f>IF(AND($T255=1,CD$5&lt;=$H255),INDEX(Mortality!$B$4:$E$64,MATCH($D255+CD$5-1,Mortality!$A$4:$A$64,0),$U255)*$V255*$N255,0)</f>
        <v>0</v>
      </c>
      <c r="CE255" s="93">
        <f>IF(AND($T255=1,CE$5&lt;=$H255),INDEX(Mortality!$B$4:$E$64,MATCH($D255+CE$5-1,Mortality!$A$4:$A$64,0),$U255)*$V255*$N255,0)</f>
        <v>0</v>
      </c>
      <c r="CF255" s="93">
        <f>IF(AND($T255=1,CF$5&lt;=$H255),INDEX(Mortality!$B$4:$E$64,MATCH($D255+CF$5-1,Mortality!$A$4:$A$64,0),$U255)*$V255*$N255,0)</f>
        <v>0</v>
      </c>
      <c r="CG255" s="93">
        <f>IF(AND($T255=1,CG$5&lt;=$H255),INDEX(Mortality!$B$4:$E$64,MATCH($D255+CG$5-1,Mortality!$A$4:$A$64,0),$U255)*$V255*$N255,0)</f>
        <v>0</v>
      </c>
      <c r="CH255" s="94">
        <f>IF(AND($T255=1,CH$5&lt;=$H255),INDEX(Mortality!$B$4:$E$64,MATCH($D255+CH$5-1,Mortality!$A$4:$A$64,0),$U255)*$V255*$N255,0)</f>
        <v>0</v>
      </c>
      <c r="CI255" s="26"/>
      <c r="CJ255" s="419">
        <f t="shared" si="89"/>
        <v>1</v>
      </c>
      <c r="CK255" s="93">
        <f>IF(AND($T255=1,CK$5&lt;=$H255),CJ255*(1-AU255)*(1-MIN(1,MAX(Assumptions!$C$27,Assumptions!$C$13*Assumptions!$C$28^(CJ$5-1))*$O255)),0)</f>
        <v>0.87941072363640027</v>
      </c>
      <c r="CL255" s="93">
        <f>IF(AND($T255=1,CL$5&lt;=$H255),CK255*(1-AV255)*(1-MIN(1,MAX(Assumptions!$C$27,Assumptions!$C$13*Assumptions!$C$28^(CK$5-1))*$O255)),0)</f>
        <v>0.78913797048096634</v>
      </c>
      <c r="CM255" s="93">
        <f>IF(AND($T255=1,CM$5&lt;=$H255),CL255*(1-AW255)*(1-MIN(1,MAX(Assumptions!$C$27,Assumptions!$C$13*Assumptions!$C$28^(CL$5-1))*$O255)),0)</f>
        <v>0.72015335197226271</v>
      </c>
      <c r="CN255" s="93">
        <f>IF(AND($T255=1,CN$5&lt;=$H255),CM255*(1-AX255)*(1-MIN(1,MAX(Assumptions!$C$27,Assumptions!$C$13*Assumptions!$C$28^(CM$5-1))*$O255)),0)</f>
        <v>0.66651378449869125</v>
      </c>
      <c r="CO255" s="93">
        <f>IF(AND($T255=1,CO$5&lt;=$H255),CN255*(1-AY255)*(1-MIN(1,MAX(Assumptions!$C$27,Assumptions!$C$13*Assumptions!$C$28^(CN$5-1))*$O255)),0)</f>
        <v>0.62418672412341614</v>
      </c>
      <c r="CP255" s="93">
        <f>IF(AND($T255=1,CP$5&lt;=$H255),CO255*(1-AZ255)*(1-MIN(1,MAX(Assumptions!$C$27,Assumptions!$C$13*Assumptions!$C$28^(CO$5-1))*$O255)),0)</f>
        <v>0.59036178251222526</v>
      </c>
      <c r="CQ255" s="93">
        <f>IF(AND($T255=1,CQ$5&lt;=$H255),CP255*(1-BA255)*(1-MIN(1,MAX(Assumptions!$C$27,Assumptions!$C$13*Assumptions!$C$28^(CP$5-1))*$O255)),0)</f>
        <v>0.5630332623825941</v>
      </c>
      <c r="CR255" s="93">
        <f>IF(AND($T255=1,CR$5&lt;=$H255),CQ255*(1-BB255)*(1-MIN(1,MAX(Assumptions!$C$27,Assumptions!$C$13*Assumptions!$C$28^(CQ$5-1))*$O255)),0)</f>
        <v>0.54073913857489231</v>
      </c>
      <c r="CS255" s="93">
        <f>IF(AND($T255=1,CS$5&lt;=$H255),CR255*(1-BC255)*(1-MIN(1,MAX(Assumptions!$C$27,Assumptions!$C$13*Assumptions!$C$28^(CR$5-1))*$O255)),0)</f>
        <v>0.52239332934331817</v>
      </c>
      <c r="CT255" s="93">
        <f>IF(AND($T255=1,CT$5&lt;=$H255),CS255*(1-BD255)*(1-MIN(1,MAX(Assumptions!$C$27,Assumptions!$C$13*Assumptions!$C$28^(CS$5-1))*$O255)),0)</f>
        <v>0.50717522201573539</v>
      </c>
      <c r="CU255" s="93">
        <f>IF(AND($T255=1,CU$5&lt;=$H255),CT255*(1-BE255)*(1-MIN(1,MAX(Assumptions!$C$27,Assumptions!$C$13*Assumptions!$C$28^(CT$5-1))*$O255)),0)</f>
        <v>0.49445526015893299</v>
      </c>
      <c r="CV255" s="93">
        <f>IF(AND($T255=1,CV$5&lt;=$H255),CU255*(1-BF255)*(1-MIN(1,MAX(Assumptions!$C$27,Assumptions!$C$13*Assumptions!$C$28^(CU$5-1))*$O255)),0)</f>
        <v>0.48374378389114736</v>
      </c>
      <c r="CW255" s="93">
        <f>IF(AND($T255=1,CW$5&lt;=$H255),CV255*(1-BG255)*(1-MIN(1,MAX(Assumptions!$C$27,Assumptions!$C$13*Assumptions!$C$28^(CV$5-1))*$O255)),0)</f>
        <v>0.47323982041238921</v>
      </c>
      <c r="CX255" s="93">
        <f>IF(AND($T255=1,CX$5&lt;=$H255),CW255*(1-BH255)*(1-MIN(1,MAX(Assumptions!$C$27,Assumptions!$C$13*Assumptions!$C$28^(CW$5-1))*$O255)),0)</f>
        <v>0.46289638603433608</v>
      </c>
      <c r="CY255" s="93">
        <f>IF(AND($T255=1,CY$5&lt;=$H255),CX255*(1-BI255)*(1-MIN(1,MAX(Assumptions!$C$27,Assumptions!$C$13*Assumptions!$C$28^(CX$5-1))*$O255)),0)</f>
        <v>0.45270744469258312</v>
      </c>
      <c r="CZ255" s="93">
        <f>IF(AND($T255=1,CZ$5&lt;=$H255),CY255*(1-BJ255)*(1-MIN(1,MAX(Assumptions!$C$27,Assumptions!$C$13*Assumptions!$C$28^(CY$5-1))*$O255)),0)</f>
        <v>0.44266694036868759</v>
      </c>
      <c r="DA255" s="93">
        <f>IF(AND($T255=1,DA$5&lt;=$H255),CZ255*(1-BK255)*(1-MIN(1,MAX(Assumptions!$C$27,Assumptions!$C$13*Assumptions!$C$28^(CZ$5-1))*$O255)),0)</f>
        <v>0.43276879365411675</v>
      </c>
      <c r="DB255" s="93">
        <f>IF(AND($T255=1,DB$5&lt;=$H255),DA255*(1-BL255)*(1-MIN(1,MAX(Assumptions!$C$27,Assumptions!$C$13*Assumptions!$C$28^(DA$5-1))*$O255)),0)</f>
        <v>0.42300689882760972</v>
      </c>
      <c r="DC255" s="93">
        <f>IF(AND($T255=1,DC$5&lt;=$H255),DB255*(1-BM255)*(1-MIN(1,MAX(Assumptions!$C$27,Assumptions!$C$13*Assumptions!$C$28^(DB$5-1))*$O255)),0)</f>
        <v>0.41337512155468642</v>
      </c>
      <c r="DD255" s="93">
        <f>IF(AND($T255=1,DD$5&lt;=$H255),DC255*(1-BN255)*(1-MIN(1,MAX(Assumptions!$C$27,Assumptions!$C$13*Assumptions!$C$28^(DC$5-1))*$O255)),0)</f>
        <v>0</v>
      </c>
      <c r="DE255" s="93">
        <f>IF(AND($T255=1,DE$5&lt;=$H255),DD255*(1-BO255)*(1-MIN(1,MAX(Assumptions!$C$27,Assumptions!$C$13*Assumptions!$C$28^(DD$5-1))*$O255)),0)</f>
        <v>0</v>
      </c>
      <c r="DF255" s="93">
        <f>IF(AND($T255=1,DF$5&lt;=$H255),DE255*(1-BP255)*(1-MIN(1,MAX(Assumptions!$C$27,Assumptions!$C$13*Assumptions!$C$28^(DE$5-1))*$O255)),0)</f>
        <v>0</v>
      </c>
      <c r="DG255" s="93">
        <f>IF(AND($T255=1,DG$5&lt;=$H255),DF255*(1-BQ255)*(1-MIN(1,MAX(Assumptions!$C$27,Assumptions!$C$13*Assumptions!$C$28^(DF$5-1))*$O255)),0)</f>
        <v>0</v>
      </c>
      <c r="DH255" s="93">
        <f>IF(AND($T255=1,DH$5&lt;=$H255),DG255*(1-BR255)*(1-MIN(1,MAX(Assumptions!$C$27,Assumptions!$C$13*Assumptions!$C$28^(DG$5-1))*$O255)),0)</f>
        <v>0</v>
      </c>
      <c r="DI255" s="93">
        <f>IF(AND($T255=1,DI$5&lt;=$H255),DH255*(1-BS255)*(1-MIN(1,MAX(Assumptions!$C$27,Assumptions!$C$13*Assumptions!$C$28^(DH$5-1))*$O255)),0)</f>
        <v>0</v>
      </c>
      <c r="DJ255" s="93">
        <f>IF(AND($T255=1,DJ$5&lt;=$H255),DI255*(1-BT255)*(1-MIN(1,MAX(Assumptions!$C$27,Assumptions!$C$13*Assumptions!$C$28^(DI$5-1))*$O255)),0)</f>
        <v>0</v>
      </c>
      <c r="DK255" s="93">
        <f>IF(AND($T255=1,DK$5&lt;=$H255),DJ255*(1-BU255)*(1-MIN(1,MAX(Assumptions!$C$27,Assumptions!$C$13*Assumptions!$C$28^(DJ$5-1))*$O255)),0)</f>
        <v>0</v>
      </c>
      <c r="DL255" s="93">
        <f>IF(AND($T255=1,DL$5&lt;=$H255),DK255*(1-BV255)*(1-MIN(1,MAX(Assumptions!$C$27,Assumptions!$C$13*Assumptions!$C$28^(DK$5-1))*$O255)),0)</f>
        <v>0</v>
      </c>
      <c r="DM255" s="93">
        <f>IF(AND($T255=1,DM$5&lt;=$H255),DL255*(1-BW255)*(1-MIN(1,MAX(Assumptions!$C$27,Assumptions!$C$13*Assumptions!$C$28^(DL$5-1))*$O255)),0)</f>
        <v>0</v>
      </c>
      <c r="DN255" s="93">
        <f>IF(AND($T255=1,DN$5&lt;=$H255),DM255*(1-BX255)*(1-MIN(1,MAX(Assumptions!$C$27,Assumptions!$C$13*Assumptions!$C$28^(DM$5-1))*$O255)),0)</f>
        <v>0</v>
      </c>
      <c r="DO255" s="93">
        <f>IF(AND($T255=1,DO$5&lt;=$H255),DN255*(1-BY255)*(1-MIN(1,MAX(Assumptions!$C$27,Assumptions!$C$13*Assumptions!$C$28^(DN$5-1))*$O255)),0)</f>
        <v>0</v>
      </c>
      <c r="DP255" s="93">
        <f>IF(AND($T255=1,DP$5&lt;=$H255),DO255*(1-BZ255)*(1-MIN(1,MAX(Assumptions!$C$27,Assumptions!$C$13*Assumptions!$C$28^(DO$5-1))*$O255)),0)</f>
        <v>0</v>
      </c>
      <c r="DQ255" s="93">
        <f>IF(AND($T255=1,DQ$5&lt;=$H255),DP255*(1-CA255)*(1-MIN(1,MAX(Assumptions!$C$27,Assumptions!$C$13*Assumptions!$C$28^(DP$5-1))*$O255)),0)</f>
        <v>0</v>
      </c>
      <c r="DR255" s="93">
        <f>IF(AND($T255=1,DR$5&lt;=$H255),DQ255*(1-CB255)*(1-MIN(1,MAX(Assumptions!$C$27,Assumptions!$C$13*Assumptions!$C$28^(DQ$5-1))*$O255)),0)</f>
        <v>0</v>
      </c>
      <c r="DS255" s="93">
        <f>IF(AND($T255=1,DS$5&lt;=$H255),DR255*(1-CC255)*(1-MIN(1,MAX(Assumptions!$C$27,Assumptions!$C$13*Assumptions!$C$28^(DR$5-1))*$O255)),0)</f>
        <v>0</v>
      </c>
      <c r="DT255" s="93">
        <f>IF(AND($T255=1,DT$5&lt;=$H255),DS255*(1-CD255)*(1-MIN(1,MAX(Assumptions!$C$27,Assumptions!$C$13*Assumptions!$C$28^(DS$5-1))*$O255)),0)</f>
        <v>0</v>
      </c>
      <c r="DU255" s="93">
        <f>IF(AND($T255=1,DU$5&lt;=$H255),DT255*(1-CE255)*(1-MIN(1,MAX(Assumptions!$C$27,Assumptions!$C$13*Assumptions!$C$28^(DT$5-1))*$O255)),0)</f>
        <v>0</v>
      </c>
      <c r="DV255" s="93">
        <f>IF(AND($T255=1,DV$5&lt;=$H255),DU255*(1-CF255)*(1-MIN(1,MAX(Assumptions!$C$27,Assumptions!$C$13*Assumptions!$C$28^(DU$5-1))*$O255)),0)</f>
        <v>0</v>
      </c>
      <c r="DW255" s="94">
        <f>IF(AND($T255=1,DW$5&lt;=$H255),DV255*(1-CG255)*(1-MIN(1,MAX(Assumptions!$C$27,Assumptions!$C$13*Assumptions!$C$28^(DV$5-1))*$O255)),0)</f>
        <v>0</v>
      </c>
      <c r="DX255" s="26"/>
      <c r="DY255" s="399">
        <f>'Policy Data'!K229</f>
        <v>2</v>
      </c>
      <c r="DZ255" s="100">
        <f>'Policy Data'!L229</f>
        <v>0.62380000000000002</v>
      </c>
      <c r="EA255" s="100">
        <f>'Policy Data'!N229</f>
        <v>4.1800000000000002E-4</v>
      </c>
      <c r="EB255" s="93" cm="1">
        <f t="array" ref="EB255">IFERROR(DZ255*INDEX(Mortality!$B$4:$E$64,MATCH(D255+DY255-1,Mortality!$A$4:$A$64,0),U255)*V255,0)</f>
        <v>4.5250697548523906E-4</v>
      </c>
      <c r="EC255" s="100">
        <f>'Policy Data'!O229</f>
        <v>0</v>
      </c>
      <c r="ED255" s="400">
        <f>'Policy Data'!Q229</f>
        <v>0</v>
      </c>
    </row>
    <row r="256" spans="1:134" x14ac:dyDescent="0.3">
      <c r="A256" s="399" t="str">
        <f>'Policy Data'!A230</f>
        <v>POL100226</v>
      </c>
      <c r="B256" s="26" t="s">
        <v>426</v>
      </c>
      <c r="C256" s="100" t="str">
        <f>'Policy Data'!B230</f>
        <v>Term Life</v>
      </c>
      <c r="D256" s="100">
        <f>'Policy Data'!C230</f>
        <v>34</v>
      </c>
      <c r="E256" s="100" t="str">
        <f>'Policy Data'!D230</f>
        <v>Male</v>
      </c>
      <c r="F256" s="100" t="str">
        <f>'Policy Data'!E230</f>
        <v>Smoker</v>
      </c>
      <c r="G256" s="100" t="str">
        <f>'Policy Data'!F230</f>
        <v>Standard</v>
      </c>
      <c r="H256" s="100">
        <f>'Policy Data'!G230</f>
        <v>10</v>
      </c>
      <c r="I256" s="279">
        <f>'Policy Data'!H230</f>
        <v>500000</v>
      </c>
      <c r="J256" s="100" t="str">
        <f>'Policy Data'!I230</f>
        <v>Monthly</v>
      </c>
      <c r="K256" s="100" t="str">
        <f>'Policy Data'!J230</f>
        <v>Broker</v>
      </c>
      <c r="L256" s="26" t="s">
        <v>389</v>
      </c>
      <c r="M256" s="106">
        <f>'Policy Data'!R230</f>
        <v>1448.78</v>
      </c>
      <c r="N256" s="415">
        <f>Assumptions!$C$21</f>
        <v>1</v>
      </c>
      <c r="O256" s="415">
        <f>Assumptions!$C$22</f>
        <v>1</v>
      </c>
      <c r="P256" s="415">
        <f>Assumptions!$C$23</f>
        <v>1</v>
      </c>
      <c r="Q256" s="416">
        <f>Assumptions!$C$24</f>
        <v>0</v>
      </c>
      <c r="R256" s="416">
        <f>Assumptions!$C$6+Assumptions!$C$25</f>
        <v>3.5000000000000003E-2</v>
      </c>
      <c r="S256" s="416">
        <f>Assumptions!$C$15</f>
        <v>1.1000000000000001E-3</v>
      </c>
      <c r="T256" s="26">
        <f t="shared" si="72"/>
        <v>1</v>
      </c>
      <c r="U256" s="26">
        <f t="shared" si="73"/>
        <v>4</v>
      </c>
      <c r="V256" s="389">
        <f>IF($G256="Preferred",Assumptions!$C$30,IF($G256="Rated",Assumptions!$C$31,1))</f>
        <v>1</v>
      </c>
      <c r="W256" s="390">
        <f>IF($K256="Direct",Assumptions!$C$32,IF($K256="Broker",Assumptions!$C$33,IF($K256="Bancassurance",Assumptions!$C$34,Assumptions!$C$11)))+$Q256</f>
        <v>0.25</v>
      </c>
      <c r="X256" s="390">
        <f>Assumptions!$C$12+$Q256</f>
        <v>0.05</v>
      </c>
      <c r="Y256" s="131">
        <f>MIN($I256,Assumptions!$C$14)</f>
        <v>500000</v>
      </c>
      <c r="Z256" s="131">
        <f>MAX($I256-Assumptions!$C$14,0)</f>
        <v>0</v>
      </c>
      <c r="AA256" s="389">
        <f t="shared" si="74"/>
        <v>5.840880585243319</v>
      </c>
      <c r="AB256" s="389">
        <f t="shared" si="75"/>
        <v>9.4174242127627907E-3</v>
      </c>
      <c r="AC256" s="389">
        <f>IF($T256=1,SUMPRODUCT($CJ256:$DW256,(1+Assumptions!$C$5)^($CJ$5:$DW$5-1),(1+$R256)^(-$CJ$5:$DW$5)),0)</f>
        <v>6.7730594111655078</v>
      </c>
      <c r="AD256" s="389">
        <f t="shared" si="76"/>
        <v>0.48528074423801137</v>
      </c>
      <c r="AE256" s="131">
        <f>IF($T256=1,$AB256*$Y256+(Assumptions!$C$9/(1+$R256)+Assumptions!$C$10*$AC256)*$P256+$S256*$Z256*$AA256,0)</f>
        <v>7068.3503942291118</v>
      </c>
      <c r="AF256" s="131">
        <f>IF($T256=1,IF($AA256-$AD256-Assumptions!$C$16*$AA256&gt;0,$AE256/($AA256-$AD256-Assumptions!$C$16*$AA256)*IF($J256="Monthly",1+Assumptions!$C$29,1),"n.a."),"")</f>
        <v>1489.3433561812064</v>
      </c>
      <c r="AG256" s="131">
        <f t="shared" si="77"/>
        <v>1448.78</v>
      </c>
      <c r="AH256" s="131">
        <f t="shared" si="78"/>
        <v>8462.1509742888156</v>
      </c>
      <c r="AI256" s="131">
        <f t="shared" si="79"/>
        <v>690.73554342255829</v>
      </c>
      <c r="AJ256" s="390">
        <f t="shared" si="80"/>
        <v>8.1626473637881392E-2</v>
      </c>
      <c r="AK256" s="389">
        <f t="shared" si="81"/>
        <v>0.97276426821736117</v>
      </c>
      <c r="AL256" s="131">
        <f t="shared" si="82"/>
        <v>0</v>
      </c>
      <c r="AM256" s="131">
        <f t="shared" si="83"/>
        <v>0</v>
      </c>
      <c r="AN256" s="131">
        <f t="shared" si="84"/>
        <v>0</v>
      </c>
      <c r="AO256" s="131">
        <f t="shared" si="85"/>
        <v>690.73554342255829</v>
      </c>
      <c r="AP256" s="26" t="str">
        <f t="shared" si="86"/>
        <v>30-39</v>
      </c>
      <c r="AQ256" s="26" t="str">
        <f t="shared" si="87"/>
        <v>250k-500k</v>
      </c>
      <c r="AR256" s="26" t="str">
        <f>IF($T256=1,IF($AI256&lt;0,"Loss-making",IF($AJ256&lt;Assumptions!$C$16-0.00001,"Below target","At/above target")),"Excluded")</f>
        <v>At/above target</v>
      </c>
      <c r="AS256" s="103">
        <f t="shared" si="88"/>
        <v>690.73579942255833</v>
      </c>
      <c r="AT256" s="26"/>
      <c r="AU256" s="419">
        <f>IF(AND($T256=1,AU$5&lt;=$H256),INDEX(Mortality!$B$4:$E$64,MATCH($D256+AU$5-1,Mortality!$A$4:$A$64,0),$U256)*$V256*$N256,0)</f>
        <v>1.1758949697723701E-3</v>
      </c>
      <c r="AV256" s="93">
        <f>IF(AND($T256=1,AV$5&lt;=$H256),INDEX(Mortality!$B$4:$E$64,MATCH($D256+AV$5-1,Mortality!$A$4:$A$64,0),$U256)*$V256*$N256,0)</f>
        <v>1.27383181369844E-3</v>
      </c>
      <c r="AW256" s="93">
        <f>IF(AND($T256=1,AW$5&lt;=$H256),INDEX(Mortality!$B$4:$E$64,MATCH($D256+AW$5-1,Mortality!$A$4:$A$64,0),$U256)*$V256*$N256,0)</f>
        <v>1.3799255301724599E-3</v>
      </c>
      <c r="AX256" s="93">
        <f>IF(AND($T256=1,AX$5&lt;=$H256),INDEX(Mortality!$B$4:$E$64,MATCH($D256+AX$5-1,Mortality!$A$4:$A$64,0),$U256)*$V256*$N256,0)</f>
        <v>1.49485548119033E-3</v>
      </c>
      <c r="AY256" s="93">
        <f>IF(AND($T256=1,AY$5&lt;=$H256),INDEX(Mortality!$B$4:$E$64,MATCH($D256+AY$5-1,Mortality!$A$4:$A$64,0),$U256)*$V256*$N256,0)</f>
        <v>1.6193576108165201E-3</v>
      </c>
      <c r="AZ256" s="93">
        <f>IF(AND($T256=1,AZ$5&lt;=$H256),INDEX(Mortality!$B$4:$E$64,MATCH($D256+AZ$5-1,Mortality!$A$4:$A$64,0),$U256)*$V256*$N256,0)</f>
        <v>1.75422915773855E-3</v>
      </c>
      <c r="BA256" s="93">
        <f>IF(AND($T256=1,BA$5&lt;=$H256),INDEX(Mortality!$B$4:$E$64,MATCH($D256+BA$5-1,Mortality!$A$4:$A$64,0),$U256)*$V256*$N256,0)</f>
        <v>1.90033376031651E-3</v>
      </c>
      <c r="BB256" s="93">
        <f>IF(AND($T256=1,BB$5&lt;=$H256),INDEX(Mortality!$B$4:$E$64,MATCH($D256+BB$5-1,Mortality!$A$4:$A$64,0),$U256)*$V256*$N256,0)</f>
        <v>2.0586069868169998E-3</v>
      </c>
      <c r="BC256" s="93">
        <f>IF(AND($T256=1,BC$5&lt;=$H256),INDEX(Mortality!$B$4:$E$64,MATCH($D256+BC$5-1,Mortality!$A$4:$A$64,0),$U256)*$V256*$N256,0)</f>
        <v>2.2300623262441598E-3</v>
      </c>
      <c r="BD256" s="93">
        <f>IF(AND($T256=1,BD$5&lt;=$H256),INDEX(Mortality!$B$4:$E$64,MATCH($D256+BD$5-1,Mortality!$A$4:$A$64,0),$U256)*$V256*$N256,0)</f>
        <v>2.4157976781294401E-3</v>
      </c>
      <c r="BE256" s="93">
        <f>IF(AND($T256=1,BE$5&lt;=$H256),INDEX(Mortality!$B$4:$E$64,MATCH($D256+BE$5-1,Mortality!$A$4:$A$64,0),$U256)*$V256*$N256,0)</f>
        <v>0</v>
      </c>
      <c r="BF256" s="93">
        <f>IF(AND($T256=1,BF$5&lt;=$H256),INDEX(Mortality!$B$4:$E$64,MATCH($D256+BF$5-1,Mortality!$A$4:$A$64,0),$U256)*$V256*$N256,0)</f>
        <v>0</v>
      </c>
      <c r="BG256" s="93">
        <f>IF(AND($T256=1,BG$5&lt;=$H256),INDEX(Mortality!$B$4:$E$64,MATCH($D256+BG$5-1,Mortality!$A$4:$A$64,0),$U256)*$V256*$N256,0)</f>
        <v>0</v>
      </c>
      <c r="BH256" s="93">
        <f>IF(AND($T256=1,BH$5&lt;=$H256),INDEX(Mortality!$B$4:$E$64,MATCH($D256+BH$5-1,Mortality!$A$4:$A$64,0),$U256)*$V256*$N256,0)</f>
        <v>0</v>
      </c>
      <c r="BI256" s="93">
        <f>IF(AND($T256=1,BI$5&lt;=$H256),INDEX(Mortality!$B$4:$E$64,MATCH($D256+BI$5-1,Mortality!$A$4:$A$64,0),$U256)*$V256*$N256,0)</f>
        <v>0</v>
      </c>
      <c r="BJ256" s="93">
        <f>IF(AND($T256=1,BJ$5&lt;=$H256),INDEX(Mortality!$B$4:$E$64,MATCH($D256+BJ$5-1,Mortality!$A$4:$A$64,0),$U256)*$V256*$N256,0)</f>
        <v>0</v>
      </c>
      <c r="BK256" s="93">
        <f>IF(AND($T256=1,BK$5&lt;=$H256),INDEX(Mortality!$B$4:$E$64,MATCH($D256+BK$5-1,Mortality!$A$4:$A$64,0),$U256)*$V256*$N256,0)</f>
        <v>0</v>
      </c>
      <c r="BL256" s="93">
        <f>IF(AND($T256=1,BL$5&lt;=$H256),INDEX(Mortality!$B$4:$E$64,MATCH($D256+BL$5-1,Mortality!$A$4:$A$64,0),$U256)*$V256*$N256,0)</f>
        <v>0</v>
      </c>
      <c r="BM256" s="93">
        <f>IF(AND($T256=1,BM$5&lt;=$H256),INDEX(Mortality!$B$4:$E$64,MATCH($D256+BM$5-1,Mortality!$A$4:$A$64,0),$U256)*$V256*$N256,0)</f>
        <v>0</v>
      </c>
      <c r="BN256" s="93">
        <f>IF(AND($T256=1,BN$5&lt;=$H256),INDEX(Mortality!$B$4:$E$64,MATCH($D256+BN$5-1,Mortality!$A$4:$A$64,0),$U256)*$V256*$N256,0)</f>
        <v>0</v>
      </c>
      <c r="BO256" s="93">
        <f>IF(AND($T256=1,BO$5&lt;=$H256),INDEX(Mortality!$B$4:$E$64,MATCH($D256+BO$5-1,Mortality!$A$4:$A$64,0),$U256)*$V256*$N256,0)</f>
        <v>0</v>
      </c>
      <c r="BP256" s="93">
        <f>IF(AND($T256=1,BP$5&lt;=$H256),INDEX(Mortality!$B$4:$E$64,MATCH($D256+BP$5-1,Mortality!$A$4:$A$64,0),$U256)*$V256*$N256,0)</f>
        <v>0</v>
      </c>
      <c r="BQ256" s="93">
        <f>IF(AND($T256=1,BQ$5&lt;=$H256),INDEX(Mortality!$B$4:$E$64,MATCH($D256+BQ$5-1,Mortality!$A$4:$A$64,0),$U256)*$V256*$N256,0)</f>
        <v>0</v>
      </c>
      <c r="BR256" s="93">
        <f>IF(AND($T256=1,BR$5&lt;=$H256),INDEX(Mortality!$B$4:$E$64,MATCH($D256+BR$5-1,Mortality!$A$4:$A$64,0),$U256)*$V256*$N256,0)</f>
        <v>0</v>
      </c>
      <c r="BS256" s="93">
        <f>IF(AND($T256=1,BS$5&lt;=$H256),INDEX(Mortality!$B$4:$E$64,MATCH($D256+BS$5-1,Mortality!$A$4:$A$64,0),$U256)*$V256*$N256,0)</f>
        <v>0</v>
      </c>
      <c r="BT256" s="93">
        <f>IF(AND($T256=1,BT$5&lt;=$H256),INDEX(Mortality!$B$4:$E$64,MATCH($D256+BT$5-1,Mortality!$A$4:$A$64,0),$U256)*$V256*$N256,0)</f>
        <v>0</v>
      </c>
      <c r="BU256" s="93">
        <f>IF(AND($T256=1,BU$5&lt;=$H256),INDEX(Mortality!$B$4:$E$64,MATCH($D256+BU$5-1,Mortality!$A$4:$A$64,0),$U256)*$V256*$N256,0)</f>
        <v>0</v>
      </c>
      <c r="BV256" s="93">
        <f>IF(AND($T256=1,BV$5&lt;=$H256),INDEX(Mortality!$B$4:$E$64,MATCH($D256+BV$5-1,Mortality!$A$4:$A$64,0),$U256)*$V256*$N256,0)</f>
        <v>0</v>
      </c>
      <c r="BW256" s="93">
        <f>IF(AND($T256=1,BW$5&lt;=$H256),INDEX(Mortality!$B$4:$E$64,MATCH($D256+BW$5-1,Mortality!$A$4:$A$64,0),$U256)*$V256*$N256,0)</f>
        <v>0</v>
      </c>
      <c r="BX256" s="93">
        <f>IF(AND($T256=1,BX$5&lt;=$H256),INDEX(Mortality!$B$4:$E$64,MATCH($D256+BX$5-1,Mortality!$A$4:$A$64,0),$U256)*$V256*$N256,0)</f>
        <v>0</v>
      </c>
      <c r="BY256" s="93">
        <f>IF(AND($T256=1,BY$5&lt;=$H256),INDEX(Mortality!$B$4:$E$64,MATCH($D256+BY$5-1,Mortality!$A$4:$A$64,0),$U256)*$V256*$N256,0)</f>
        <v>0</v>
      </c>
      <c r="BZ256" s="93">
        <f>IF(AND($T256=1,BZ$5&lt;=$H256),INDEX(Mortality!$B$4:$E$64,MATCH($D256+BZ$5-1,Mortality!$A$4:$A$64,0),$U256)*$V256*$N256,0)</f>
        <v>0</v>
      </c>
      <c r="CA256" s="93">
        <f>IF(AND($T256=1,CA$5&lt;=$H256),INDEX(Mortality!$B$4:$E$64,MATCH($D256+CA$5-1,Mortality!$A$4:$A$64,0),$U256)*$V256*$N256,0)</f>
        <v>0</v>
      </c>
      <c r="CB256" s="93">
        <f>IF(AND($T256=1,CB$5&lt;=$H256),INDEX(Mortality!$B$4:$E$64,MATCH($D256+CB$5-1,Mortality!$A$4:$A$64,0),$U256)*$V256*$N256,0)</f>
        <v>0</v>
      </c>
      <c r="CC256" s="93">
        <f>IF(AND($T256=1,CC$5&lt;=$H256),INDEX(Mortality!$B$4:$E$64,MATCH($D256+CC$5-1,Mortality!$A$4:$A$64,0),$U256)*$V256*$N256,0)</f>
        <v>0</v>
      </c>
      <c r="CD256" s="93">
        <f>IF(AND($T256=1,CD$5&lt;=$H256),INDEX(Mortality!$B$4:$E$64,MATCH($D256+CD$5-1,Mortality!$A$4:$A$64,0),$U256)*$V256*$N256,0)</f>
        <v>0</v>
      </c>
      <c r="CE256" s="93">
        <f>IF(AND($T256=1,CE$5&lt;=$H256),INDEX(Mortality!$B$4:$E$64,MATCH($D256+CE$5-1,Mortality!$A$4:$A$64,0),$U256)*$V256*$N256,0)</f>
        <v>0</v>
      </c>
      <c r="CF256" s="93">
        <f>IF(AND($T256=1,CF$5&lt;=$H256),INDEX(Mortality!$B$4:$E$64,MATCH($D256+CF$5-1,Mortality!$A$4:$A$64,0),$U256)*$V256*$N256,0)</f>
        <v>0</v>
      </c>
      <c r="CG256" s="93">
        <f>IF(AND($T256=1,CG$5&lt;=$H256),INDEX(Mortality!$B$4:$E$64,MATCH($D256+CG$5-1,Mortality!$A$4:$A$64,0),$U256)*$V256*$N256,0)</f>
        <v>0</v>
      </c>
      <c r="CH256" s="94">
        <f>IF(AND($T256=1,CH$5&lt;=$H256),INDEX(Mortality!$B$4:$E$64,MATCH($D256+CH$5-1,Mortality!$A$4:$A$64,0),$U256)*$V256*$N256,0)</f>
        <v>0</v>
      </c>
      <c r="CI256" s="26"/>
      <c r="CJ256" s="419">
        <f t="shared" si="89"/>
        <v>1</v>
      </c>
      <c r="CK256" s="93">
        <f>IF(AND($T256=1,CK$5&lt;=$H256),CJ256*(1-AU256)*(1-MIN(1,MAX(Assumptions!$C$27,Assumptions!$C$13*Assumptions!$C$28^(CJ$5-1))*$O256)),0)</f>
        <v>0.87896521242660031</v>
      </c>
      <c r="CL256" s="93">
        <f>IF(AND($T256=1,CL$5&lt;=$H256),CK256*(1-AV256)*(1-MIN(1,MAX(Assumptions!$C$27,Assumptions!$C$13*Assumptions!$C$28^(CK$5-1))*$O256)),0)</f>
        <v>0.7883053116011377</v>
      </c>
      <c r="CM256" s="93">
        <f>IF(AND($T256=1,CM$5&lt;=$H256),CL256*(1-AW256)*(1-MIN(1,MAX(Assumptions!$C$27,Assumptions!$C$13*Assumptions!$C$28^(CL$5-1))*$O256)),0)</f>
        <v>0.71896575094786186</v>
      </c>
      <c r="CN256" s="93">
        <f>IF(AND($T256=1,CN$5&lt;=$H256),CM256*(1-AX256)*(1-MIN(1,MAX(Assumptions!$C$27,Assumptions!$C$13*Assumptions!$C$28^(CM$5-1))*$O256)),0)</f>
        <v>0.66498602373157489</v>
      </c>
      <c r="CO256" s="93">
        <f>IF(AND($T256=1,CO$5&lt;=$H256),CN256*(1-AY256)*(1-MIN(1,MAX(Assumptions!$C$27,Assumptions!$C$13*Assumptions!$C$28^(CN$5-1))*$O256)),0)</f>
        <v>0.62232140498972099</v>
      </c>
      <c r="CP256" s="93">
        <f>IF(AND($T256=1,CP$5&lt;=$H256),CO256*(1-AZ256)*(1-MIN(1,MAX(Assumptions!$C$27,Assumptions!$C$13*Assumptions!$C$28^(CO$5-1))*$O256)),0)</f>
        <v>0.58815255988858062</v>
      </c>
      <c r="CQ256" s="93">
        <f>IF(AND($T256=1,CQ$5&lt;=$H256),CP256*(1-BA256)*(1-MIN(1,MAX(Assumptions!$C$27,Assumptions!$C$13*Assumptions!$C$28^(CP$5-1))*$O256)),0)</f>
        <v>0.56046688352926288</v>
      </c>
      <c r="CR256" s="93">
        <f>IF(AND($T256=1,CR$5&lt;=$H256),CQ256*(1-BB256)*(1-MIN(1,MAX(Assumptions!$C$27,Assumptions!$C$13*Assumptions!$C$28^(CQ$5-1))*$O256)),0)</f>
        <v>0.53779674658701171</v>
      </c>
      <c r="CS256" s="93">
        <f>IF(AND($T256=1,CS$5&lt;=$H256),CR256*(1-BC256)*(1-MIN(1,MAX(Assumptions!$C$27,Assumptions!$C$13*Assumptions!$C$28^(CR$5-1))*$O256)),0)</f>
        <v>0.51905130059125881</v>
      </c>
      <c r="CT256" s="93">
        <f>IF(AND($T256=1,CT$5&lt;=$H256),CS256*(1-BD256)*(1-MIN(1,MAX(Assumptions!$C$27,Assumptions!$C$13*Assumptions!$C$28^(CS$5-1))*$O256)),0)</f>
        <v>0</v>
      </c>
      <c r="CU256" s="93">
        <f>IF(AND($T256=1,CU$5&lt;=$H256),CT256*(1-BE256)*(1-MIN(1,MAX(Assumptions!$C$27,Assumptions!$C$13*Assumptions!$C$28^(CT$5-1))*$O256)),0)</f>
        <v>0</v>
      </c>
      <c r="CV256" s="93">
        <f>IF(AND($T256=1,CV$5&lt;=$H256),CU256*(1-BF256)*(1-MIN(1,MAX(Assumptions!$C$27,Assumptions!$C$13*Assumptions!$C$28^(CU$5-1))*$O256)),0)</f>
        <v>0</v>
      </c>
      <c r="CW256" s="93">
        <f>IF(AND($T256=1,CW$5&lt;=$H256),CV256*(1-BG256)*(1-MIN(1,MAX(Assumptions!$C$27,Assumptions!$C$13*Assumptions!$C$28^(CV$5-1))*$O256)),0)</f>
        <v>0</v>
      </c>
      <c r="CX256" s="93">
        <f>IF(AND($T256=1,CX$5&lt;=$H256),CW256*(1-BH256)*(1-MIN(1,MAX(Assumptions!$C$27,Assumptions!$C$13*Assumptions!$C$28^(CW$5-1))*$O256)),0)</f>
        <v>0</v>
      </c>
      <c r="CY256" s="93">
        <f>IF(AND($T256=1,CY$5&lt;=$H256),CX256*(1-BI256)*(1-MIN(1,MAX(Assumptions!$C$27,Assumptions!$C$13*Assumptions!$C$28^(CX$5-1))*$O256)),0)</f>
        <v>0</v>
      </c>
      <c r="CZ256" s="93">
        <f>IF(AND($T256=1,CZ$5&lt;=$H256),CY256*(1-BJ256)*(1-MIN(1,MAX(Assumptions!$C$27,Assumptions!$C$13*Assumptions!$C$28^(CY$5-1))*$O256)),0)</f>
        <v>0</v>
      </c>
      <c r="DA256" s="93">
        <f>IF(AND($T256=1,DA$5&lt;=$H256),CZ256*(1-BK256)*(1-MIN(1,MAX(Assumptions!$C$27,Assumptions!$C$13*Assumptions!$C$28^(CZ$5-1))*$O256)),0)</f>
        <v>0</v>
      </c>
      <c r="DB256" s="93">
        <f>IF(AND($T256=1,DB$5&lt;=$H256),DA256*(1-BL256)*(1-MIN(1,MAX(Assumptions!$C$27,Assumptions!$C$13*Assumptions!$C$28^(DA$5-1))*$O256)),0)</f>
        <v>0</v>
      </c>
      <c r="DC256" s="93">
        <f>IF(AND($T256=1,DC$5&lt;=$H256),DB256*(1-BM256)*(1-MIN(1,MAX(Assumptions!$C$27,Assumptions!$C$13*Assumptions!$C$28^(DB$5-1))*$O256)),0)</f>
        <v>0</v>
      </c>
      <c r="DD256" s="93">
        <f>IF(AND($T256=1,DD$5&lt;=$H256),DC256*(1-BN256)*(1-MIN(1,MAX(Assumptions!$C$27,Assumptions!$C$13*Assumptions!$C$28^(DC$5-1))*$O256)),0)</f>
        <v>0</v>
      </c>
      <c r="DE256" s="93">
        <f>IF(AND($T256=1,DE$5&lt;=$H256),DD256*(1-BO256)*(1-MIN(1,MAX(Assumptions!$C$27,Assumptions!$C$13*Assumptions!$C$28^(DD$5-1))*$O256)),0)</f>
        <v>0</v>
      </c>
      <c r="DF256" s="93">
        <f>IF(AND($T256=1,DF$5&lt;=$H256),DE256*(1-BP256)*(1-MIN(1,MAX(Assumptions!$C$27,Assumptions!$C$13*Assumptions!$C$28^(DE$5-1))*$O256)),0)</f>
        <v>0</v>
      </c>
      <c r="DG256" s="93">
        <f>IF(AND($T256=1,DG$5&lt;=$H256),DF256*(1-BQ256)*(1-MIN(1,MAX(Assumptions!$C$27,Assumptions!$C$13*Assumptions!$C$28^(DF$5-1))*$O256)),0)</f>
        <v>0</v>
      </c>
      <c r="DH256" s="93">
        <f>IF(AND($T256=1,DH$5&lt;=$H256),DG256*(1-BR256)*(1-MIN(1,MAX(Assumptions!$C$27,Assumptions!$C$13*Assumptions!$C$28^(DG$5-1))*$O256)),0)</f>
        <v>0</v>
      </c>
      <c r="DI256" s="93">
        <f>IF(AND($T256=1,DI$5&lt;=$H256),DH256*(1-BS256)*(1-MIN(1,MAX(Assumptions!$C$27,Assumptions!$C$13*Assumptions!$C$28^(DH$5-1))*$O256)),0)</f>
        <v>0</v>
      </c>
      <c r="DJ256" s="93">
        <f>IF(AND($T256=1,DJ$5&lt;=$H256),DI256*(1-BT256)*(1-MIN(1,MAX(Assumptions!$C$27,Assumptions!$C$13*Assumptions!$C$28^(DI$5-1))*$O256)),0)</f>
        <v>0</v>
      </c>
      <c r="DK256" s="93">
        <f>IF(AND($T256=1,DK$5&lt;=$H256),DJ256*(1-BU256)*(1-MIN(1,MAX(Assumptions!$C$27,Assumptions!$C$13*Assumptions!$C$28^(DJ$5-1))*$O256)),0)</f>
        <v>0</v>
      </c>
      <c r="DL256" s="93">
        <f>IF(AND($T256=1,DL$5&lt;=$H256),DK256*(1-BV256)*(1-MIN(1,MAX(Assumptions!$C$27,Assumptions!$C$13*Assumptions!$C$28^(DK$5-1))*$O256)),0)</f>
        <v>0</v>
      </c>
      <c r="DM256" s="93">
        <f>IF(AND($T256=1,DM$5&lt;=$H256),DL256*(1-BW256)*(1-MIN(1,MAX(Assumptions!$C$27,Assumptions!$C$13*Assumptions!$C$28^(DL$5-1))*$O256)),0)</f>
        <v>0</v>
      </c>
      <c r="DN256" s="93">
        <f>IF(AND($T256=1,DN$5&lt;=$H256),DM256*(1-BX256)*(1-MIN(1,MAX(Assumptions!$C$27,Assumptions!$C$13*Assumptions!$C$28^(DM$5-1))*$O256)),0)</f>
        <v>0</v>
      </c>
      <c r="DO256" s="93">
        <f>IF(AND($T256=1,DO$5&lt;=$H256),DN256*(1-BY256)*(1-MIN(1,MAX(Assumptions!$C$27,Assumptions!$C$13*Assumptions!$C$28^(DN$5-1))*$O256)),0)</f>
        <v>0</v>
      </c>
      <c r="DP256" s="93">
        <f>IF(AND($T256=1,DP$5&lt;=$H256),DO256*(1-BZ256)*(1-MIN(1,MAX(Assumptions!$C$27,Assumptions!$C$13*Assumptions!$C$28^(DO$5-1))*$O256)),0)</f>
        <v>0</v>
      </c>
      <c r="DQ256" s="93">
        <f>IF(AND($T256=1,DQ$5&lt;=$H256),DP256*(1-CA256)*(1-MIN(1,MAX(Assumptions!$C$27,Assumptions!$C$13*Assumptions!$C$28^(DP$5-1))*$O256)),0)</f>
        <v>0</v>
      </c>
      <c r="DR256" s="93">
        <f>IF(AND($T256=1,DR$5&lt;=$H256),DQ256*(1-CB256)*(1-MIN(1,MAX(Assumptions!$C$27,Assumptions!$C$13*Assumptions!$C$28^(DQ$5-1))*$O256)),0)</f>
        <v>0</v>
      </c>
      <c r="DS256" s="93">
        <f>IF(AND($T256=1,DS$5&lt;=$H256),DR256*(1-CC256)*(1-MIN(1,MAX(Assumptions!$C$27,Assumptions!$C$13*Assumptions!$C$28^(DR$5-1))*$O256)),0)</f>
        <v>0</v>
      </c>
      <c r="DT256" s="93">
        <f>IF(AND($T256=1,DT$5&lt;=$H256),DS256*(1-CD256)*(1-MIN(1,MAX(Assumptions!$C$27,Assumptions!$C$13*Assumptions!$C$28^(DS$5-1))*$O256)),0)</f>
        <v>0</v>
      </c>
      <c r="DU256" s="93">
        <f>IF(AND($T256=1,DU$5&lt;=$H256),DT256*(1-CE256)*(1-MIN(1,MAX(Assumptions!$C$27,Assumptions!$C$13*Assumptions!$C$28^(DT$5-1))*$O256)),0)</f>
        <v>0</v>
      </c>
      <c r="DV256" s="93">
        <f>IF(AND($T256=1,DV$5&lt;=$H256),DU256*(1-CF256)*(1-MIN(1,MAX(Assumptions!$C$27,Assumptions!$C$13*Assumptions!$C$28^(DU$5-1))*$O256)),0)</f>
        <v>0</v>
      </c>
      <c r="DW256" s="94">
        <f>IF(AND($T256=1,DW$5&lt;=$H256),DV256*(1-CG256)*(1-MIN(1,MAX(Assumptions!$C$27,Assumptions!$C$13*Assumptions!$C$28^(DV$5-1))*$O256)),0)</f>
        <v>0</v>
      </c>
      <c r="DX256" s="26"/>
      <c r="DY256" s="399">
        <f>'Policy Data'!K230</f>
        <v>4</v>
      </c>
      <c r="DZ256" s="100">
        <f>'Policy Data'!L230</f>
        <v>0.94069999999999998</v>
      </c>
      <c r="EA256" s="100">
        <f>'Policy Data'!N230</f>
        <v>1.106E-3</v>
      </c>
      <c r="EB256" s="93" cm="1">
        <f t="array" ref="EB256">IFERROR(DZ256*INDEX(Mortality!$B$4:$E$64,MATCH(D256+DY256-1,Mortality!$A$4:$A$64,0),U256)*V256,0)</f>
        <v>1.4062105511557434E-3</v>
      </c>
      <c r="EC256" s="100">
        <f>'Policy Data'!O230</f>
        <v>0</v>
      </c>
      <c r="ED256" s="400">
        <f>'Policy Data'!Q230</f>
        <v>0</v>
      </c>
    </row>
    <row r="257" spans="1:134" x14ac:dyDescent="0.3">
      <c r="A257" s="399" t="str">
        <f>'Policy Data'!A231</f>
        <v>POL100227</v>
      </c>
      <c r="B257" s="26" t="s">
        <v>426</v>
      </c>
      <c r="C257" s="100" t="str">
        <f>'Policy Data'!B231</f>
        <v>Term Life</v>
      </c>
      <c r="D257" s="100">
        <f>'Policy Data'!C231</f>
        <v>65</v>
      </c>
      <c r="E257" s="100" t="str">
        <f>'Policy Data'!D231</f>
        <v>Female</v>
      </c>
      <c r="F257" s="100" t="str">
        <f>'Policy Data'!E231</f>
        <v>Non-smoker</v>
      </c>
      <c r="G257" s="100" t="str">
        <f>'Policy Data'!F231</f>
        <v>Standard</v>
      </c>
      <c r="H257" s="100">
        <f>'Policy Data'!G231</f>
        <v>20</v>
      </c>
      <c r="I257" s="279">
        <f>'Policy Data'!H231</f>
        <v>2000000</v>
      </c>
      <c r="J257" s="100" t="str">
        <f>'Policy Data'!I231</f>
        <v>Annual</v>
      </c>
      <c r="K257" s="100" t="str">
        <f>'Policy Data'!J231</f>
        <v>Bancassurance</v>
      </c>
      <c r="L257" s="26" t="s">
        <v>389</v>
      </c>
      <c r="M257" s="106">
        <f>'Policy Data'!R231</f>
        <v>16424.580000000002</v>
      </c>
      <c r="N257" s="415">
        <f>Assumptions!$C$21</f>
        <v>1</v>
      </c>
      <c r="O257" s="415">
        <f>Assumptions!$C$22</f>
        <v>1</v>
      </c>
      <c r="P257" s="415">
        <f>Assumptions!$C$23</f>
        <v>1</v>
      </c>
      <c r="Q257" s="416">
        <f>Assumptions!$C$24</f>
        <v>0</v>
      </c>
      <c r="R257" s="416">
        <f>Assumptions!$C$6+Assumptions!$C$25</f>
        <v>3.5000000000000003E-2</v>
      </c>
      <c r="S257" s="416">
        <f>Assumptions!$C$15</f>
        <v>1.1000000000000001E-3</v>
      </c>
      <c r="T257" s="26">
        <f t="shared" si="72"/>
        <v>0</v>
      </c>
      <c r="U257" s="26">
        <f t="shared" si="73"/>
        <v>1</v>
      </c>
      <c r="V257" s="389">
        <f>IF($G257="Preferred",Assumptions!$C$30,IF($G257="Rated",Assumptions!$C$31,1))</f>
        <v>1</v>
      </c>
      <c r="W257" s="390">
        <f>IF($K257="Direct",Assumptions!$C$32,IF($K257="Broker",Assumptions!$C$33,IF($K257="Bancassurance",Assumptions!$C$34,Assumptions!$C$11)))+$Q257</f>
        <v>0.2</v>
      </c>
      <c r="X257" s="390">
        <f>Assumptions!$C$12+$Q257</f>
        <v>0.05</v>
      </c>
      <c r="Y257" s="131">
        <f>MIN($I257,Assumptions!$C$14)</f>
        <v>500000</v>
      </c>
      <c r="Z257" s="131">
        <f>MAX($I257-Assumptions!$C$14,0)</f>
        <v>1500000</v>
      </c>
      <c r="AA257" s="389">
        <f t="shared" si="74"/>
        <v>0</v>
      </c>
      <c r="AB257" s="389">
        <f t="shared" si="75"/>
        <v>0</v>
      </c>
      <c r="AC257" s="389">
        <f>IF($T257=1,SUMPRODUCT($CJ257:$DW257,(1+Assumptions!$C$5)^($CJ$5:$DW$5-1),(1+$R257)^(-$CJ$5:$DW$5)),0)</f>
        <v>0</v>
      </c>
      <c r="AD257" s="389">
        <f t="shared" si="76"/>
        <v>0</v>
      </c>
      <c r="AE257" s="131">
        <f>IF($T257=1,$AB257*$Y257+(Assumptions!$C$9/(1+$R257)+Assumptions!$C$10*$AC257)*$P257+$S257*$Z257*$AA257,0)</f>
        <v>0</v>
      </c>
      <c r="AF257" s="131" t="str">
        <f>IF($T257=1,IF($AA257-$AD257-Assumptions!$C$16*$AA257&gt;0,$AE257/($AA257-$AD257-Assumptions!$C$16*$AA257)*IF($J257="Monthly",1+Assumptions!$C$29,1),"n.a."),"")</f>
        <v/>
      </c>
      <c r="AG257" s="131" t="str">
        <f t="shared" si="77"/>
        <v/>
      </c>
      <c r="AH257" s="131" t="str">
        <f t="shared" si="78"/>
        <v/>
      </c>
      <c r="AI257" s="131" t="str">
        <f t="shared" si="79"/>
        <v/>
      </c>
      <c r="AJ257" s="390" t="str">
        <f t="shared" si="80"/>
        <v/>
      </c>
      <c r="AK257" s="389" t="str">
        <f t="shared" si="81"/>
        <v/>
      </c>
      <c r="AL257" s="131" t="str">
        <f t="shared" si="82"/>
        <v/>
      </c>
      <c r="AM257" s="131" t="str">
        <f t="shared" si="83"/>
        <v/>
      </c>
      <c r="AN257" s="131" t="str">
        <f t="shared" si="84"/>
        <v/>
      </c>
      <c r="AO257" s="131" t="str">
        <f t="shared" si="85"/>
        <v/>
      </c>
      <c r="AP257" s="26" t="str">
        <f t="shared" si="86"/>
        <v>60+</v>
      </c>
      <c r="AQ257" s="26" t="str">
        <f t="shared" si="87"/>
        <v>Over 1m</v>
      </c>
      <c r="AR257" s="26" t="str">
        <f>IF($T257=1,IF($AI257&lt;0,"Loss-making",IF($AJ257&lt;Assumptions!$C$16-0.00001,"Below target","At/above target")),"Excluded")</f>
        <v>Excluded</v>
      </c>
      <c r="AS257" s="103">
        <f t="shared" si="88"/>
        <v>9.9999999999999997E+98</v>
      </c>
      <c r="AT257" s="26"/>
      <c r="AU257" s="419">
        <f>IF(AND($T257=1,AU$5&lt;=$H257),INDEX(Mortality!$B$4:$E$64,MATCH($D257+AU$5-1,Mortality!$A$4:$A$64,0),$U257)*$V257*$N257,0)</f>
        <v>0</v>
      </c>
      <c r="AV257" s="93">
        <f>IF(AND($T257=1,AV$5&lt;=$H257),INDEX(Mortality!$B$4:$E$64,MATCH($D257+AV$5-1,Mortality!$A$4:$A$64,0),$U257)*$V257*$N257,0)</f>
        <v>0</v>
      </c>
      <c r="AW257" s="93">
        <f>IF(AND($T257=1,AW$5&lt;=$H257),INDEX(Mortality!$B$4:$E$64,MATCH($D257+AW$5-1,Mortality!$A$4:$A$64,0),$U257)*$V257*$N257,0)</f>
        <v>0</v>
      </c>
      <c r="AX257" s="93">
        <f>IF(AND($T257=1,AX$5&lt;=$H257),INDEX(Mortality!$B$4:$E$64,MATCH($D257+AX$5-1,Mortality!$A$4:$A$64,0),$U257)*$V257*$N257,0)</f>
        <v>0</v>
      </c>
      <c r="AY257" s="93">
        <f>IF(AND($T257=1,AY$5&lt;=$H257),INDEX(Mortality!$B$4:$E$64,MATCH($D257+AY$5-1,Mortality!$A$4:$A$64,0),$U257)*$V257*$N257,0)</f>
        <v>0</v>
      </c>
      <c r="AZ257" s="93">
        <f>IF(AND($T257=1,AZ$5&lt;=$H257),INDEX(Mortality!$B$4:$E$64,MATCH($D257+AZ$5-1,Mortality!$A$4:$A$64,0),$U257)*$V257*$N257,0)</f>
        <v>0</v>
      </c>
      <c r="BA257" s="93">
        <f>IF(AND($T257=1,BA$5&lt;=$H257),INDEX(Mortality!$B$4:$E$64,MATCH($D257+BA$5-1,Mortality!$A$4:$A$64,0),$U257)*$V257*$N257,0)</f>
        <v>0</v>
      </c>
      <c r="BB257" s="93">
        <f>IF(AND($T257=1,BB$5&lt;=$H257),INDEX(Mortality!$B$4:$E$64,MATCH($D257+BB$5-1,Mortality!$A$4:$A$64,0),$U257)*$V257*$N257,0)</f>
        <v>0</v>
      </c>
      <c r="BC257" s="93">
        <f>IF(AND($T257=1,BC$5&lt;=$H257),INDEX(Mortality!$B$4:$E$64,MATCH($D257+BC$5-1,Mortality!$A$4:$A$64,0),$U257)*$V257*$N257,0)</f>
        <v>0</v>
      </c>
      <c r="BD257" s="93">
        <f>IF(AND($T257=1,BD$5&lt;=$H257),INDEX(Mortality!$B$4:$E$64,MATCH($D257+BD$5-1,Mortality!$A$4:$A$64,0),$U257)*$V257*$N257,0)</f>
        <v>0</v>
      </c>
      <c r="BE257" s="93">
        <f>IF(AND($T257=1,BE$5&lt;=$H257),INDEX(Mortality!$B$4:$E$64,MATCH($D257+BE$5-1,Mortality!$A$4:$A$64,0),$U257)*$V257*$N257,0)</f>
        <v>0</v>
      </c>
      <c r="BF257" s="93">
        <f>IF(AND($T257=1,BF$5&lt;=$H257),INDEX(Mortality!$B$4:$E$64,MATCH($D257+BF$5-1,Mortality!$A$4:$A$64,0),$U257)*$V257*$N257,0)</f>
        <v>0</v>
      </c>
      <c r="BG257" s="93">
        <f>IF(AND($T257=1,BG$5&lt;=$H257),INDEX(Mortality!$B$4:$E$64,MATCH($D257+BG$5-1,Mortality!$A$4:$A$64,0),$U257)*$V257*$N257,0)</f>
        <v>0</v>
      </c>
      <c r="BH257" s="93">
        <f>IF(AND($T257=1,BH$5&lt;=$H257),INDEX(Mortality!$B$4:$E$64,MATCH($D257+BH$5-1,Mortality!$A$4:$A$64,0),$U257)*$V257*$N257,0)</f>
        <v>0</v>
      </c>
      <c r="BI257" s="93">
        <f>IF(AND($T257=1,BI$5&lt;=$H257),INDEX(Mortality!$B$4:$E$64,MATCH($D257+BI$5-1,Mortality!$A$4:$A$64,0),$U257)*$V257*$N257,0)</f>
        <v>0</v>
      </c>
      <c r="BJ257" s="93">
        <f>IF(AND($T257=1,BJ$5&lt;=$H257),INDEX(Mortality!$B$4:$E$64,MATCH($D257+BJ$5-1,Mortality!$A$4:$A$64,0),$U257)*$V257*$N257,0)</f>
        <v>0</v>
      </c>
      <c r="BK257" s="93">
        <f>IF(AND($T257=1,BK$5&lt;=$H257),INDEX(Mortality!$B$4:$E$64,MATCH($D257+BK$5-1,Mortality!$A$4:$A$64,0),$U257)*$V257*$N257,0)</f>
        <v>0</v>
      </c>
      <c r="BL257" s="93">
        <f>IF(AND($T257=1,BL$5&lt;=$H257),INDEX(Mortality!$B$4:$E$64,MATCH($D257+BL$5-1,Mortality!$A$4:$A$64,0),$U257)*$V257*$N257,0)</f>
        <v>0</v>
      </c>
      <c r="BM257" s="93">
        <f>IF(AND($T257=1,BM$5&lt;=$H257),INDEX(Mortality!$B$4:$E$64,MATCH($D257+BM$5-1,Mortality!$A$4:$A$64,0),$U257)*$V257*$N257,0)</f>
        <v>0</v>
      </c>
      <c r="BN257" s="93">
        <f>IF(AND($T257=1,BN$5&lt;=$H257),INDEX(Mortality!$B$4:$E$64,MATCH($D257+BN$5-1,Mortality!$A$4:$A$64,0),$U257)*$V257*$N257,0)</f>
        <v>0</v>
      </c>
      <c r="BO257" s="93">
        <f>IF(AND($T257=1,BO$5&lt;=$H257),INDEX(Mortality!$B$4:$E$64,MATCH($D257+BO$5-1,Mortality!$A$4:$A$64,0),$U257)*$V257*$N257,0)</f>
        <v>0</v>
      </c>
      <c r="BP257" s="93">
        <f>IF(AND($T257=1,BP$5&lt;=$H257),INDEX(Mortality!$B$4:$E$64,MATCH($D257+BP$5-1,Mortality!$A$4:$A$64,0),$U257)*$V257*$N257,0)</f>
        <v>0</v>
      </c>
      <c r="BQ257" s="93">
        <f>IF(AND($T257=1,BQ$5&lt;=$H257),INDEX(Mortality!$B$4:$E$64,MATCH($D257+BQ$5-1,Mortality!$A$4:$A$64,0),$U257)*$V257*$N257,0)</f>
        <v>0</v>
      </c>
      <c r="BR257" s="93">
        <f>IF(AND($T257=1,BR$5&lt;=$H257),INDEX(Mortality!$B$4:$E$64,MATCH($D257+BR$5-1,Mortality!$A$4:$A$64,0),$U257)*$V257*$N257,0)</f>
        <v>0</v>
      </c>
      <c r="BS257" s="93">
        <f>IF(AND($T257=1,BS$5&lt;=$H257),INDEX(Mortality!$B$4:$E$64,MATCH($D257+BS$5-1,Mortality!$A$4:$A$64,0),$U257)*$V257*$N257,0)</f>
        <v>0</v>
      </c>
      <c r="BT257" s="93">
        <f>IF(AND($T257=1,BT$5&lt;=$H257),INDEX(Mortality!$B$4:$E$64,MATCH($D257+BT$5-1,Mortality!$A$4:$A$64,0),$U257)*$V257*$N257,0)</f>
        <v>0</v>
      </c>
      <c r="BU257" s="93">
        <f>IF(AND($T257=1,BU$5&lt;=$H257),INDEX(Mortality!$B$4:$E$64,MATCH($D257+BU$5-1,Mortality!$A$4:$A$64,0),$U257)*$V257*$N257,0)</f>
        <v>0</v>
      </c>
      <c r="BV257" s="93">
        <f>IF(AND($T257=1,BV$5&lt;=$H257),INDEX(Mortality!$B$4:$E$64,MATCH($D257+BV$5-1,Mortality!$A$4:$A$64,0),$U257)*$V257*$N257,0)</f>
        <v>0</v>
      </c>
      <c r="BW257" s="93">
        <f>IF(AND($T257=1,BW$5&lt;=$H257),INDEX(Mortality!$B$4:$E$64,MATCH($D257+BW$5-1,Mortality!$A$4:$A$64,0),$U257)*$V257*$N257,0)</f>
        <v>0</v>
      </c>
      <c r="BX257" s="93">
        <f>IF(AND($T257=1,BX$5&lt;=$H257),INDEX(Mortality!$B$4:$E$64,MATCH($D257+BX$5-1,Mortality!$A$4:$A$64,0),$U257)*$V257*$N257,0)</f>
        <v>0</v>
      </c>
      <c r="BY257" s="93">
        <f>IF(AND($T257=1,BY$5&lt;=$H257),INDEX(Mortality!$B$4:$E$64,MATCH($D257+BY$5-1,Mortality!$A$4:$A$64,0),$U257)*$V257*$N257,0)</f>
        <v>0</v>
      </c>
      <c r="BZ257" s="93">
        <f>IF(AND($T257=1,BZ$5&lt;=$H257),INDEX(Mortality!$B$4:$E$64,MATCH($D257+BZ$5-1,Mortality!$A$4:$A$64,0),$U257)*$V257*$N257,0)</f>
        <v>0</v>
      </c>
      <c r="CA257" s="93">
        <f>IF(AND($T257=1,CA$5&lt;=$H257),INDEX(Mortality!$B$4:$E$64,MATCH($D257+CA$5-1,Mortality!$A$4:$A$64,0),$U257)*$V257*$N257,0)</f>
        <v>0</v>
      </c>
      <c r="CB257" s="93">
        <f>IF(AND($T257=1,CB$5&lt;=$H257),INDEX(Mortality!$B$4:$E$64,MATCH($D257+CB$5-1,Mortality!$A$4:$A$64,0),$U257)*$V257*$N257,0)</f>
        <v>0</v>
      </c>
      <c r="CC257" s="93">
        <f>IF(AND($T257=1,CC$5&lt;=$H257),INDEX(Mortality!$B$4:$E$64,MATCH($D257+CC$5-1,Mortality!$A$4:$A$64,0),$U257)*$V257*$N257,0)</f>
        <v>0</v>
      </c>
      <c r="CD257" s="93">
        <f>IF(AND($T257=1,CD$5&lt;=$H257),INDEX(Mortality!$B$4:$E$64,MATCH($D257+CD$5-1,Mortality!$A$4:$A$64,0),$U257)*$V257*$N257,0)</f>
        <v>0</v>
      </c>
      <c r="CE257" s="93">
        <f>IF(AND($T257=1,CE$5&lt;=$H257),INDEX(Mortality!$B$4:$E$64,MATCH($D257+CE$5-1,Mortality!$A$4:$A$64,0),$U257)*$V257*$N257,0)</f>
        <v>0</v>
      </c>
      <c r="CF257" s="93">
        <f>IF(AND($T257=1,CF$5&lt;=$H257),INDEX(Mortality!$B$4:$E$64,MATCH($D257+CF$5-1,Mortality!$A$4:$A$64,0),$U257)*$V257*$N257,0)</f>
        <v>0</v>
      </c>
      <c r="CG257" s="93">
        <f>IF(AND($T257=1,CG$5&lt;=$H257),INDEX(Mortality!$B$4:$E$64,MATCH($D257+CG$5-1,Mortality!$A$4:$A$64,0),$U257)*$V257*$N257,0)</f>
        <v>0</v>
      </c>
      <c r="CH257" s="94">
        <f>IF(AND($T257=1,CH$5&lt;=$H257),INDEX(Mortality!$B$4:$E$64,MATCH($D257+CH$5-1,Mortality!$A$4:$A$64,0),$U257)*$V257*$N257,0)</f>
        <v>0</v>
      </c>
      <c r="CI257" s="26"/>
      <c r="CJ257" s="419">
        <f t="shared" si="89"/>
        <v>0</v>
      </c>
      <c r="CK257" s="93">
        <f>IF(AND($T257=1,CK$5&lt;=$H257),CJ257*(1-AU257)*(1-MIN(1,MAX(Assumptions!$C$27,Assumptions!$C$13*Assumptions!$C$28^(CJ$5-1))*$O257)),0)</f>
        <v>0</v>
      </c>
      <c r="CL257" s="93">
        <f>IF(AND($T257=1,CL$5&lt;=$H257),CK257*(1-AV257)*(1-MIN(1,MAX(Assumptions!$C$27,Assumptions!$C$13*Assumptions!$C$28^(CK$5-1))*$O257)),0)</f>
        <v>0</v>
      </c>
      <c r="CM257" s="93">
        <f>IF(AND($T257=1,CM$5&lt;=$H257),CL257*(1-AW257)*(1-MIN(1,MAX(Assumptions!$C$27,Assumptions!$C$13*Assumptions!$C$28^(CL$5-1))*$O257)),0)</f>
        <v>0</v>
      </c>
      <c r="CN257" s="93">
        <f>IF(AND($T257=1,CN$5&lt;=$H257),CM257*(1-AX257)*(1-MIN(1,MAX(Assumptions!$C$27,Assumptions!$C$13*Assumptions!$C$28^(CM$5-1))*$O257)),0)</f>
        <v>0</v>
      </c>
      <c r="CO257" s="93">
        <f>IF(AND($T257=1,CO$5&lt;=$H257),CN257*(1-AY257)*(1-MIN(1,MAX(Assumptions!$C$27,Assumptions!$C$13*Assumptions!$C$28^(CN$5-1))*$O257)),0)</f>
        <v>0</v>
      </c>
      <c r="CP257" s="93">
        <f>IF(AND($T257=1,CP$5&lt;=$H257),CO257*(1-AZ257)*(1-MIN(1,MAX(Assumptions!$C$27,Assumptions!$C$13*Assumptions!$C$28^(CO$5-1))*$O257)),0)</f>
        <v>0</v>
      </c>
      <c r="CQ257" s="93">
        <f>IF(AND($T257=1,CQ$5&lt;=$H257),CP257*(1-BA257)*(1-MIN(1,MAX(Assumptions!$C$27,Assumptions!$C$13*Assumptions!$C$28^(CP$5-1))*$O257)),0)</f>
        <v>0</v>
      </c>
      <c r="CR257" s="93">
        <f>IF(AND($T257=1,CR$5&lt;=$H257),CQ257*(1-BB257)*(1-MIN(1,MAX(Assumptions!$C$27,Assumptions!$C$13*Assumptions!$C$28^(CQ$5-1))*$O257)),0)</f>
        <v>0</v>
      </c>
      <c r="CS257" s="93">
        <f>IF(AND($T257=1,CS$5&lt;=$H257),CR257*(1-BC257)*(1-MIN(1,MAX(Assumptions!$C$27,Assumptions!$C$13*Assumptions!$C$28^(CR$5-1))*$O257)),0)</f>
        <v>0</v>
      </c>
      <c r="CT257" s="93">
        <f>IF(AND($T257=1,CT$5&lt;=$H257),CS257*(1-BD257)*(1-MIN(1,MAX(Assumptions!$C$27,Assumptions!$C$13*Assumptions!$C$28^(CS$5-1))*$O257)),0)</f>
        <v>0</v>
      </c>
      <c r="CU257" s="93">
        <f>IF(AND($T257=1,CU$5&lt;=$H257),CT257*(1-BE257)*(1-MIN(1,MAX(Assumptions!$C$27,Assumptions!$C$13*Assumptions!$C$28^(CT$5-1))*$O257)),0)</f>
        <v>0</v>
      </c>
      <c r="CV257" s="93">
        <f>IF(AND($T257=1,CV$5&lt;=$H257),CU257*(1-BF257)*(1-MIN(1,MAX(Assumptions!$C$27,Assumptions!$C$13*Assumptions!$C$28^(CU$5-1))*$O257)),0)</f>
        <v>0</v>
      </c>
      <c r="CW257" s="93">
        <f>IF(AND($T257=1,CW$5&lt;=$H257),CV257*(1-BG257)*(1-MIN(1,MAX(Assumptions!$C$27,Assumptions!$C$13*Assumptions!$C$28^(CV$5-1))*$O257)),0)</f>
        <v>0</v>
      </c>
      <c r="CX257" s="93">
        <f>IF(AND($T257=1,CX$5&lt;=$H257),CW257*(1-BH257)*(1-MIN(1,MAX(Assumptions!$C$27,Assumptions!$C$13*Assumptions!$C$28^(CW$5-1))*$O257)),0)</f>
        <v>0</v>
      </c>
      <c r="CY257" s="93">
        <f>IF(AND($T257=1,CY$5&lt;=$H257),CX257*(1-BI257)*(1-MIN(1,MAX(Assumptions!$C$27,Assumptions!$C$13*Assumptions!$C$28^(CX$5-1))*$O257)),0)</f>
        <v>0</v>
      </c>
      <c r="CZ257" s="93">
        <f>IF(AND($T257=1,CZ$5&lt;=$H257),CY257*(1-BJ257)*(1-MIN(1,MAX(Assumptions!$C$27,Assumptions!$C$13*Assumptions!$C$28^(CY$5-1))*$O257)),0)</f>
        <v>0</v>
      </c>
      <c r="DA257" s="93">
        <f>IF(AND($T257=1,DA$5&lt;=$H257),CZ257*(1-BK257)*(1-MIN(1,MAX(Assumptions!$C$27,Assumptions!$C$13*Assumptions!$C$28^(CZ$5-1))*$O257)),0)</f>
        <v>0</v>
      </c>
      <c r="DB257" s="93">
        <f>IF(AND($T257=1,DB$5&lt;=$H257),DA257*(1-BL257)*(1-MIN(1,MAX(Assumptions!$C$27,Assumptions!$C$13*Assumptions!$C$28^(DA$5-1))*$O257)),0)</f>
        <v>0</v>
      </c>
      <c r="DC257" s="93">
        <f>IF(AND($T257=1,DC$5&lt;=$H257),DB257*(1-BM257)*(1-MIN(1,MAX(Assumptions!$C$27,Assumptions!$C$13*Assumptions!$C$28^(DB$5-1))*$O257)),0)</f>
        <v>0</v>
      </c>
      <c r="DD257" s="93">
        <f>IF(AND($T257=1,DD$5&lt;=$H257),DC257*(1-BN257)*(1-MIN(1,MAX(Assumptions!$C$27,Assumptions!$C$13*Assumptions!$C$28^(DC$5-1))*$O257)),0)</f>
        <v>0</v>
      </c>
      <c r="DE257" s="93">
        <f>IF(AND($T257=1,DE$5&lt;=$H257),DD257*(1-BO257)*(1-MIN(1,MAX(Assumptions!$C$27,Assumptions!$C$13*Assumptions!$C$28^(DD$5-1))*$O257)),0)</f>
        <v>0</v>
      </c>
      <c r="DF257" s="93">
        <f>IF(AND($T257=1,DF$5&lt;=$H257),DE257*(1-BP257)*(1-MIN(1,MAX(Assumptions!$C$27,Assumptions!$C$13*Assumptions!$C$28^(DE$5-1))*$O257)),0)</f>
        <v>0</v>
      </c>
      <c r="DG257" s="93">
        <f>IF(AND($T257=1,DG$5&lt;=$H257),DF257*(1-BQ257)*(1-MIN(1,MAX(Assumptions!$C$27,Assumptions!$C$13*Assumptions!$C$28^(DF$5-1))*$O257)),0)</f>
        <v>0</v>
      </c>
      <c r="DH257" s="93">
        <f>IF(AND($T257=1,DH$5&lt;=$H257),DG257*(1-BR257)*(1-MIN(1,MAX(Assumptions!$C$27,Assumptions!$C$13*Assumptions!$C$28^(DG$5-1))*$O257)),0)</f>
        <v>0</v>
      </c>
      <c r="DI257" s="93">
        <f>IF(AND($T257=1,DI$5&lt;=$H257),DH257*(1-BS257)*(1-MIN(1,MAX(Assumptions!$C$27,Assumptions!$C$13*Assumptions!$C$28^(DH$5-1))*$O257)),0)</f>
        <v>0</v>
      </c>
      <c r="DJ257" s="93">
        <f>IF(AND($T257=1,DJ$5&lt;=$H257),DI257*(1-BT257)*(1-MIN(1,MAX(Assumptions!$C$27,Assumptions!$C$13*Assumptions!$C$28^(DI$5-1))*$O257)),0)</f>
        <v>0</v>
      </c>
      <c r="DK257" s="93">
        <f>IF(AND($T257=1,DK$5&lt;=$H257),DJ257*(1-BU257)*(1-MIN(1,MAX(Assumptions!$C$27,Assumptions!$C$13*Assumptions!$C$28^(DJ$5-1))*$O257)),0)</f>
        <v>0</v>
      </c>
      <c r="DL257" s="93">
        <f>IF(AND($T257=1,DL$5&lt;=$H257),DK257*(1-BV257)*(1-MIN(1,MAX(Assumptions!$C$27,Assumptions!$C$13*Assumptions!$C$28^(DK$5-1))*$O257)),0)</f>
        <v>0</v>
      </c>
      <c r="DM257" s="93">
        <f>IF(AND($T257=1,DM$5&lt;=$H257),DL257*(1-BW257)*(1-MIN(1,MAX(Assumptions!$C$27,Assumptions!$C$13*Assumptions!$C$28^(DL$5-1))*$O257)),0)</f>
        <v>0</v>
      </c>
      <c r="DN257" s="93">
        <f>IF(AND($T257=1,DN$5&lt;=$H257),DM257*(1-BX257)*(1-MIN(1,MAX(Assumptions!$C$27,Assumptions!$C$13*Assumptions!$C$28^(DM$5-1))*$O257)),0)</f>
        <v>0</v>
      </c>
      <c r="DO257" s="93">
        <f>IF(AND($T257=1,DO$5&lt;=$H257),DN257*(1-BY257)*(1-MIN(1,MAX(Assumptions!$C$27,Assumptions!$C$13*Assumptions!$C$28^(DN$5-1))*$O257)),0)</f>
        <v>0</v>
      </c>
      <c r="DP257" s="93">
        <f>IF(AND($T257=1,DP$5&lt;=$H257),DO257*(1-BZ257)*(1-MIN(1,MAX(Assumptions!$C$27,Assumptions!$C$13*Assumptions!$C$28^(DO$5-1))*$O257)),0)</f>
        <v>0</v>
      </c>
      <c r="DQ257" s="93">
        <f>IF(AND($T257=1,DQ$5&lt;=$H257),DP257*(1-CA257)*(1-MIN(1,MAX(Assumptions!$C$27,Assumptions!$C$13*Assumptions!$C$28^(DP$5-1))*$O257)),0)</f>
        <v>0</v>
      </c>
      <c r="DR257" s="93">
        <f>IF(AND($T257=1,DR$5&lt;=$H257),DQ257*(1-CB257)*(1-MIN(1,MAX(Assumptions!$C$27,Assumptions!$C$13*Assumptions!$C$28^(DQ$5-1))*$O257)),0)</f>
        <v>0</v>
      </c>
      <c r="DS257" s="93">
        <f>IF(AND($T257=1,DS$5&lt;=$H257),DR257*(1-CC257)*(1-MIN(1,MAX(Assumptions!$C$27,Assumptions!$C$13*Assumptions!$C$28^(DR$5-1))*$O257)),0)</f>
        <v>0</v>
      </c>
      <c r="DT257" s="93">
        <f>IF(AND($T257=1,DT$5&lt;=$H257),DS257*(1-CD257)*(1-MIN(1,MAX(Assumptions!$C$27,Assumptions!$C$13*Assumptions!$C$28^(DS$5-1))*$O257)),0)</f>
        <v>0</v>
      </c>
      <c r="DU257" s="93">
        <f>IF(AND($T257=1,DU$5&lt;=$H257),DT257*(1-CE257)*(1-MIN(1,MAX(Assumptions!$C$27,Assumptions!$C$13*Assumptions!$C$28^(DT$5-1))*$O257)),0)</f>
        <v>0</v>
      </c>
      <c r="DV257" s="93">
        <f>IF(AND($T257=1,DV$5&lt;=$H257),DU257*(1-CF257)*(1-MIN(1,MAX(Assumptions!$C$27,Assumptions!$C$13*Assumptions!$C$28^(DU$5-1))*$O257)),0)</f>
        <v>0</v>
      </c>
      <c r="DW257" s="94">
        <f>IF(AND($T257=1,DW$5&lt;=$H257),DV257*(1-CG257)*(1-MIN(1,MAX(Assumptions!$C$27,Assumptions!$C$13*Assumptions!$C$28^(DV$5-1))*$O257)),0)</f>
        <v>0</v>
      </c>
      <c r="DX257" s="26"/>
      <c r="DY257" s="399">
        <f>'Policy Data'!K231</f>
        <v>5</v>
      </c>
      <c r="DZ257" s="100">
        <f>'Policy Data'!L231</f>
        <v>0.67110000000000003</v>
      </c>
      <c r="EA257" s="100">
        <f>'Policy Data'!N231</f>
        <v>4.2220000000000001E-3</v>
      </c>
      <c r="EB257" s="93" cm="1">
        <f t="array" ref="EB257">IFERROR(DZ257*INDEX(Mortality!$B$4:$E$64,MATCH(D257+DY257-1,Mortality!$A$4:$A$64,0),U257)*V257,0)</f>
        <v>5.8132294072896417E-3</v>
      </c>
      <c r="EC257" s="100">
        <f>'Policy Data'!O231</f>
        <v>0</v>
      </c>
      <c r="ED257" s="400">
        <f>'Policy Data'!Q231</f>
        <v>0</v>
      </c>
    </row>
    <row r="258" spans="1:134" x14ac:dyDescent="0.3">
      <c r="A258" s="399" t="str">
        <f>'Policy Data'!A232</f>
        <v>POL100228</v>
      </c>
      <c r="B258" s="26" t="s">
        <v>426</v>
      </c>
      <c r="C258" s="100" t="str">
        <f>'Policy Data'!B232</f>
        <v>Term Life</v>
      </c>
      <c r="D258" s="100">
        <f>'Policy Data'!C232</f>
        <v>36</v>
      </c>
      <c r="E258" s="100" t="str">
        <f>'Policy Data'!D232</f>
        <v>Male</v>
      </c>
      <c r="F258" s="100" t="str">
        <f>'Policy Data'!E232</f>
        <v>Non-smoker</v>
      </c>
      <c r="G258" s="100" t="str">
        <f>'Policy Data'!F232</f>
        <v>Standard</v>
      </c>
      <c r="H258" s="100">
        <f>'Policy Data'!G232</f>
        <v>20</v>
      </c>
      <c r="I258" s="279">
        <f>'Policy Data'!H232</f>
        <v>500000</v>
      </c>
      <c r="J258" s="100" t="str">
        <f>'Policy Data'!I232</f>
        <v>Monthly</v>
      </c>
      <c r="K258" s="100" t="str">
        <f>'Policy Data'!J232</f>
        <v>Bancassurance</v>
      </c>
      <c r="L258" s="26" t="s">
        <v>389</v>
      </c>
      <c r="M258" s="106">
        <f>'Policy Data'!R232</f>
        <v>1248.43</v>
      </c>
      <c r="N258" s="415">
        <f>Assumptions!$C$21</f>
        <v>1</v>
      </c>
      <c r="O258" s="415">
        <f>Assumptions!$C$22</f>
        <v>1</v>
      </c>
      <c r="P258" s="415">
        <f>Assumptions!$C$23</f>
        <v>1</v>
      </c>
      <c r="Q258" s="416">
        <f>Assumptions!$C$24</f>
        <v>0</v>
      </c>
      <c r="R258" s="416">
        <f>Assumptions!$C$6+Assumptions!$C$25</f>
        <v>3.5000000000000003E-2</v>
      </c>
      <c r="S258" s="416">
        <f>Assumptions!$C$15</f>
        <v>1.1000000000000001E-3</v>
      </c>
      <c r="T258" s="26">
        <f t="shared" si="72"/>
        <v>1</v>
      </c>
      <c r="U258" s="26">
        <f t="shared" si="73"/>
        <v>3</v>
      </c>
      <c r="V258" s="389">
        <f>IF($G258="Preferred",Assumptions!$C$30,IF($G258="Rated",Assumptions!$C$31,1))</f>
        <v>1</v>
      </c>
      <c r="W258" s="390">
        <f>IF($K258="Direct",Assumptions!$C$32,IF($K258="Broker",Assumptions!$C$33,IF($K258="Bancassurance",Assumptions!$C$34,Assumptions!$C$11)))+$Q258</f>
        <v>0.2</v>
      </c>
      <c r="X258" s="390">
        <f>Assumptions!$C$12+$Q258</f>
        <v>0.05</v>
      </c>
      <c r="Y258" s="131">
        <f>MIN($I258,Assumptions!$C$14)</f>
        <v>500000</v>
      </c>
      <c r="Z258" s="131">
        <f>MAX($I258-Assumptions!$C$14,0)</f>
        <v>0</v>
      </c>
      <c r="AA258" s="389">
        <f t="shared" si="74"/>
        <v>8.5590914495198156</v>
      </c>
      <c r="AB258" s="389">
        <f t="shared" si="75"/>
        <v>1.3855746211195155E-2</v>
      </c>
      <c r="AC258" s="389">
        <f>IF($T258=1,SUMPRODUCT($CJ258:$DW258,(1+Assumptions!$C$5)^($CJ$5:$DW$5-1),(1+$R258)^(-$CJ$5:$DW$5)),0)</f>
        <v>11.510984673966307</v>
      </c>
      <c r="AD258" s="389">
        <f t="shared" si="76"/>
        <v>0.57288210870787482</v>
      </c>
      <c r="AE258" s="131">
        <f>IF($T258=1,$AB258*$Y258+(Assumptions!$C$9/(1+$R258)+Assumptions!$C$10*$AC258)*$P258+$S258*$Z258*$AA258,0)</f>
        <v>10329.85495126147</v>
      </c>
      <c r="AF258" s="131">
        <f>IF($T258=1,IF($AA258-$AD258-Assumptions!$C$16*$AA258&gt;0,$AE258/($AA258-$AD258-Assumptions!$C$16*$AA258)*IF($J258="Monthly",1+Assumptions!$C$29,1),"n.a."),"")</f>
        <v>1457.2042447803433</v>
      </c>
      <c r="AG258" s="131">
        <f t="shared" si="77"/>
        <v>1248.43</v>
      </c>
      <c r="AH258" s="131">
        <f t="shared" si="78"/>
        <v>10685.426538324024</v>
      </c>
      <c r="AI258" s="131">
        <f t="shared" si="79"/>
        <v>-359.63162391161859</v>
      </c>
      <c r="AJ258" s="390">
        <f t="shared" si="80"/>
        <v>-3.3656272177977627E-2</v>
      </c>
      <c r="AK258" s="389">
        <f t="shared" si="81"/>
        <v>0.85672959330981535</v>
      </c>
      <c r="AL258" s="131">
        <f t="shared" si="82"/>
        <v>0</v>
      </c>
      <c r="AM258" s="131">
        <f t="shared" si="83"/>
        <v>0</v>
      </c>
      <c r="AN258" s="131">
        <f t="shared" si="84"/>
        <v>0</v>
      </c>
      <c r="AO258" s="131">
        <f t="shared" si="85"/>
        <v>-359.63162391161859</v>
      </c>
      <c r="AP258" s="26" t="str">
        <f t="shared" si="86"/>
        <v>30-39</v>
      </c>
      <c r="AQ258" s="26" t="str">
        <f t="shared" si="87"/>
        <v>250k-500k</v>
      </c>
      <c r="AR258" s="26" t="str">
        <f>IF($T258=1,IF($AI258&lt;0,"Loss-making",IF($AJ258&lt;Assumptions!$C$16-0.00001,"Below target","At/above target")),"Excluded")</f>
        <v>Loss-making</v>
      </c>
      <c r="AS258" s="103">
        <f t="shared" si="88"/>
        <v>-359.63136591161862</v>
      </c>
      <c r="AT258" s="26"/>
      <c r="AU258" s="419">
        <f>IF(AND($T258=1,AU$5&lt;=$H258),INDEX(Mortality!$B$4:$E$64,MATCH($D258+AU$5-1,Mortality!$A$4:$A$64,0),$U258)*$V258*$N258,0)</f>
        <v>8.3631850313482196E-4</v>
      </c>
      <c r="AV258" s="93">
        <f>IF(AND($T258=1,AV$5&lt;=$H258),INDEX(Mortality!$B$4:$E$64,MATCH($D258+AV$5-1,Mortality!$A$4:$A$64,0),$U258)*$V258*$N258,0)</f>
        <v>9.0597301890323197E-4</v>
      </c>
      <c r="AW258" s="93">
        <f>IF(AND($T258=1,AW$5&lt;=$H258),INDEX(Mortality!$B$4:$E$64,MATCH($D258+AW$5-1,Mortality!$A$4:$A$64,0),$U258)*$V258*$N258,0)</f>
        <v>9.8142885504031189E-4</v>
      </c>
      <c r="AX258" s="93">
        <f>IF(AND($T258=1,AX$5&lt;=$H258),INDEX(Mortality!$B$4:$E$64,MATCH($D258+AX$5-1,Mortality!$A$4:$A$64,0),$U258)*$V258*$N258,0)</f>
        <v>1.06316918650821E-3</v>
      </c>
      <c r="AY258" s="93">
        <f>IF(AND($T258=1,AY$5&lt;=$H258),INDEX(Mortality!$B$4:$E$64,MATCH($D258+AY$5-1,Mortality!$A$4:$A$64,0),$U258)*$V258*$N258,0)</f>
        <v>1.1517174304948501E-3</v>
      </c>
      <c r="AZ258" s="93">
        <f>IF(AND($T258=1,AZ$5&lt;=$H258),INDEX(Mortality!$B$4:$E$64,MATCH($D258+AZ$5-1,Mortality!$A$4:$A$64,0),$U258)*$V258*$N258,0)</f>
        <v>1.24764059807091E-3</v>
      </c>
      <c r="BA258" s="93">
        <f>IF(AND($T258=1,BA$5&lt;=$H258),INDEX(Mortality!$B$4:$E$64,MATCH($D258+BA$5-1,Mortality!$A$4:$A$64,0),$U258)*$V258*$N258,0)</f>
        <v>1.3515529249964601E-3</v>
      </c>
      <c r="BB258" s="93">
        <f>IF(AND($T258=1,BB$5&lt;=$H258),INDEX(Mortality!$B$4:$E$64,MATCH($D258+BB$5-1,Mortality!$A$4:$A$64,0),$U258)*$V258*$N258,0)</f>
        <v>1.4641198049269301E-3</v>
      </c>
      <c r="BC258" s="93">
        <f>IF(AND($T258=1,BC$5&lt;=$H258),INDEX(Mortality!$B$4:$E$64,MATCH($D258+BC$5-1,Mortality!$A$4:$A$64,0),$U258)*$V258*$N258,0)</f>
        <v>1.58606205020413E-3</v>
      </c>
      <c r="BD258" s="93">
        <f>IF(AND($T258=1,BD$5&lt;=$H258),INDEX(Mortality!$B$4:$E$64,MATCH($D258+BD$5-1,Mortality!$A$4:$A$64,0),$U258)*$V258*$N258,0)</f>
        <v>1.71816050751616E-3</v>
      </c>
      <c r="BE258" s="93">
        <f>IF(AND($T258=1,BE$5&lt;=$H258),INDEX(Mortality!$B$4:$E$64,MATCH($D258+BE$5-1,Mortality!$A$4:$A$64,0),$U258)*$V258*$N258,0)</f>
        <v>1.8612610579820999E-3</v>
      </c>
      <c r="BF258" s="93">
        <f>IF(AND($T258=1,BF$5&lt;=$H258),INDEX(Mortality!$B$4:$E$64,MATCH($D258+BF$5-1,Mortality!$A$4:$A$64,0),$U258)*$V258*$N258,0)</f>
        <v>2.0162800336790201E-3</v>
      </c>
      <c r="BG258" s="93">
        <f>IF(AND($T258=1,BG$5&lt;=$H258),INDEX(Mortality!$B$4:$E$64,MATCH($D258+BG$5-1,Mortality!$A$4:$A$64,0),$U258)*$V258*$N258,0)</f>
        <v>2.1842100852957199E-3</v>
      </c>
      <c r="BH258" s="93">
        <f>IF(AND($T258=1,BH$5&lt;=$H258),INDEX(Mortality!$B$4:$E$64,MATCH($D258+BH$5-1,Mortality!$A$4:$A$64,0),$U258)*$V258*$N258,0)</f>
        <v>2.3661265384860701E-3</v>
      </c>
      <c r="BI258" s="93">
        <f>IF(AND($T258=1,BI$5&lt;=$H258),INDEX(Mortality!$B$4:$E$64,MATCH($D258+BI$5-1,Mortality!$A$4:$A$64,0),$U258)*$V258*$N258,0)</f>
        <v>2.5631942796244698E-3</v>
      </c>
      <c r="BJ258" s="93">
        <f>IF(AND($T258=1,BJ$5&lt;=$H258),INDEX(Mortality!$B$4:$E$64,MATCH($D258+BJ$5-1,Mortality!$A$4:$A$64,0),$U258)*$V258*$N258,0)</f>
        <v>2.7766752150556202E-3</v>
      </c>
      <c r="BK258" s="93">
        <f>IF(AND($T258=1,BK$5&lt;=$H258),INDEX(Mortality!$B$4:$E$64,MATCH($D258+BK$5-1,Mortality!$A$4:$A$64,0),$U258)*$V258*$N258,0)</f>
        <v>3.0079363516033399E-3</v>
      </c>
      <c r="BL258" s="93">
        <f>IF(AND($T258=1,BL$5&lt;=$H258),INDEX(Mortality!$B$4:$E$64,MATCH($D258+BL$5-1,Mortality!$A$4:$A$64,0),$U258)*$V258*$N258,0)</f>
        <v>3.2584585500813001E-3</v>
      </c>
      <c r="BM258" s="93">
        <f>IF(AND($T258=1,BM$5&lt;=$H258),INDEX(Mortality!$B$4:$E$64,MATCH($D258+BM$5-1,Mortality!$A$4:$A$64,0),$U258)*$V258*$N258,0)</f>
        <v>3.5298460078579601E-3</v>
      </c>
      <c r="BN258" s="93">
        <f>IF(AND($T258=1,BN$5&lt;=$H258),INDEX(Mortality!$B$4:$E$64,MATCH($D258+BN$5-1,Mortality!$A$4:$A$64,0),$U258)*$V258*$N258,0)</f>
        <v>3.8238365311966099E-3</v>
      </c>
      <c r="BO258" s="93">
        <f>IF(AND($T258=1,BO$5&lt;=$H258),INDEX(Mortality!$B$4:$E$64,MATCH($D258+BO$5-1,Mortality!$A$4:$A$64,0),$U258)*$V258*$N258,0)</f>
        <v>0</v>
      </c>
      <c r="BP258" s="93">
        <f>IF(AND($T258=1,BP$5&lt;=$H258),INDEX(Mortality!$B$4:$E$64,MATCH($D258+BP$5-1,Mortality!$A$4:$A$64,0),$U258)*$V258*$N258,0)</f>
        <v>0</v>
      </c>
      <c r="BQ258" s="93">
        <f>IF(AND($T258=1,BQ$5&lt;=$H258),INDEX(Mortality!$B$4:$E$64,MATCH($D258+BQ$5-1,Mortality!$A$4:$A$64,0),$U258)*$V258*$N258,0)</f>
        <v>0</v>
      </c>
      <c r="BR258" s="93">
        <f>IF(AND($T258=1,BR$5&lt;=$H258),INDEX(Mortality!$B$4:$E$64,MATCH($D258+BR$5-1,Mortality!$A$4:$A$64,0),$U258)*$V258*$N258,0)</f>
        <v>0</v>
      </c>
      <c r="BS258" s="93">
        <f>IF(AND($T258=1,BS$5&lt;=$H258),INDEX(Mortality!$B$4:$E$64,MATCH($D258+BS$5-1,Mortality!$A$4:$A$64,0),$U258)*$V258*$N258,0)</f>
        <v>0</v>
      </c>
      <c r="BT258" s="93">
        <f>IF(AND($T258=1,BT$5&lt;=$H258),INDEX(Mortality!$B$4:$E$64,MATCH($D258+BT$5-1,Mortality!$A$4:$A$64,0),$U258)*$V258*$N258,0)</f>
        <v>0</v>
      </c>
      <c r="BU258" s="93">
        <f>IF(AND($T258=1,BU$5&lt;=$H258),INDEX(Mortality!$B$4:$E$64,MATCH($D258+BU$5-1,Mortality!$A$4:$A$64,0),$U258)*$V258*$N258,0)</f>
        <v>0</v>
      </c>
      <c r="BV258" s="93">
        <f>IF(AND($T258=1,BV$5&lt;=$H258),INDEX(Mortality!$B$4:$E$64,MATCH($D258+BV$5-1,Mortality!$A$4:$A$64,0),$U258)*$V258*$N258,0)</f>
        <v>0</v>
      </c>
      <c r="BW258" s="93">
        <f>IF(AND($T258=1,BW$5&lt;=$H258),INDEX(Mortality!$B$4:$E$64,MATCH($D258+BW$5-1,Mortality!$A$4:$A$64,0),$U258)*$V258*$N258,0)</f>
        <v>0</v>
      </c>
      <c r="BX258" s="93">
        <f>IF(AND($T258=1,BX$5&lt;=$H258),INDEX(Mortality!$B$4:$E$64,MATCH($D258+BX$5-1,Mortality!$A$4:$A$64,0),$U258)*$V258*$N258,0)</f>
        <v>0</v>
      </c>
      <c r="BY258" s="93">
        <f>IF(AND($T258=1,BY$5&lt;=$H258),INDEX(Mortality!$B$4:$E$64,MATCH($D258+BY$5-1,Mortality!$A$4:$A$64,0),$U258)*$V258*$N258,0)</f>
        <v>0</v>
      </c>
      <c r="BZ258" s="93">
        <f>IF(AND($T258=1,BZ$5&lt;=$H258),INDEX(Mortality!$B$4:$E$64,MATCH($D258+BZ$5-1,Mortality!$A$4:$A$64,0),$U258)*$V258*$N258,0)</f>
        <v>0</v>
      </c>
      <c r="CA258" s="93">
        <f>IF(AND($T258=1,CA$5&lt;=$H258),INDEX(Mortality!$B$4:$E$64,MATCH($D258+CA$5-1,Mortality!$A$4:$A$64,0),$U258)*$V258*$N258,0)</f>
        <v>0</v>
      </c>
      <c r="CB258" s="93">
        <f>IF(AND($T258=1,CB$5&lt;=$H258),INDEX(Mortality!$B$4:$E$64,MATCH($D258+CB$5-1,Mortality!$A$4:$A$64,0),$U258)*$V258*$N258,0)</f>
        <v>0</v>
      </c>
      <c r="CC258" s="93">
        <f>IF(AND($T258=1,CC$5&lt;=$H258),INDEX(Mortality!$B$4:$E$64,MATCH($D258+CC$5-1,Mortality!$A$4:$A$64,0),$U258)*$V258*$N258,0)</f>
        <v>0</v>
      </c>
      <c r="CD258" s="93">
        <f>IF(AND($T258=1,CD$5&lt;=$H258),INDEX(Mortality!$B$4:$E$64,MATCH($D258+CD$5-1,Mortality!$A$4:$A$64,0),$U258)*$V258*$N258,0)</f>
        <v>0</v>
      </c>
      <c r="CE258" s="93">
        <f>IF(AND($T258=1,CE$5&lt;=$H258),INDEX(Mortality!$B$4:$E$64,MATCH($D258+CE$5-1,Mortality!$A$4:$A$64,0),$U258)*$V258*$N258,0)</f>
        <v>0</v>
      </c>
      <c r="CF258" s="93">
        <f>IF(AND($T258=1,CF$5&lt;=$H258),INDEX(Mortality!$B$4:$E$64,MATCH($D258+CF$5-1,Mortality!$A$4:$A$64,0),$U258)*$V258*$N258,0)</f>
        <v>0</v>
      </c>
      <c r="CG258" s="93">
        <f>IF(AND($T258=1,CG$5&lt;=$H258),INDEX(Mortality!$B$4:$E$64,MATCH($D258+CG$5-1,Mortality!$A$4:$A$64,0),$U258)*$V258*$N258,0)</f>
        <v>0</v>
      </c>
      <c r="CH258" s="94">
        <f>IF(AND($T258=1,CH$5&lt;=$H258),INDEX(Mortality!$B$4:$E$64,MATCH($D258+CH$5-1,Mortality!$A$4:$A$64,0),$U258)*$V258*$N258,0)</f>
        <v>0</v>
      </c>
      <c r="CI258" s="26"/>
      <c r="CJ258" s="419">
        <f t="shared" si="89"/>
        <v>1</v>
      </c>
      <c r="CK258" s="93">
        <f>IF(AND($T258=1,CK$5&lt;=$H258),CJ258*(1-AU258)*(1-MIN(1,MAX(Assumptions!$C$27,Assumptions!$C$13*Assumptions!$C$28^(CJ$5-1))*$O258)),0)</f>
        <v>0.87926403971724132</v>
      </c>
      <c r="CL258" s="93">
        <f>IF(AND($T258=1,CL$5&lt;=$H258),CK258*(1-AV258)*(1-MIN(1,MAX(Assumptions!$C$27,Assumptions!$C$13*Assumptions!$C$28^(CK$5-1))*$O258)),0)</f>
        <v>0.7888637702982475</v>
      </c>
      <c r="CM258" s="93">
        <f>IF(AND($T258=1,CM$5&lt;=$H258),CL258*(1-AW258)*(1-MIN(1,MAX(Assumptions!$C$27,Assumptions!$C$13*Assumptions!$C$28^(CL$5-1))*$O258)),0)</f>
        <v>0.71976219207144021</v>
      </c>
      <c r="CN258" s="93">
        <f>IF(AND($T258=1,CN$5&lt;=$H258),CM258*(1-AX258)*(1-MIN(1,MAX(Assumptions!$C$27,Assumptions!$C$13*Assumptions!$C$28^(CM$5-1))*$O258)),0)</f>
        <v>0.66601048189250389</v>
      </c>
      <c r="CO258" s="93">
        <f>IF(AND($T258=1,CO$5&lt;=$H258),CN258*(1-AY258)*(1-MIN(1,MAX(Assumptions!$C$27,Assumptions!$C$13*Assumptions!$C$28^(CN$5-1))*$O258)),0)</f>
        <v>0.62357207887367883</v>
      </c>
      <c r="CP258" s="93">
        <f>IF(AND($T258=1,CP$5&lt;=$H258),CO258*(1-AZ258)*(1-MIN(1,MAX(Assumptions!$C$27,Assumptions!$C$13*Assumptions!$C$28^(CO$5-1))*$O258)),0)</f>
        <v>0.58963363973756611</v>
      </c>
      <c r="CQ258" s="93">
        <f>IF(AND($T258=1,CQ$5&lt;=$H258),CP258*(1-BA258)*(1-MIN(1,MAX(Assumptions!$C$27,Assumptions!$C$13*Assumptions!$C$28^(CP$5-1))*$O258)),0)</f>
        <v>0.56218718067980111</v>
      </c>
      <c r="CR258" s="93">
        <f>IF(AND($T258=1,CR$5&lt;=$H258),CQ258*(1-BB258)*(1-MIN(1,MAX(Assumptions!$C$27,Assumptions!$C$13*Assumptions!$C$28^(CQ$5-1))*$O258)),0)</f>
        <v>0.53976881616153627</v>
      </c>
      <c r="CS258" s="93">
        <f>IF(AND($T258=1,CS$5&lt;=$H258),CR258*(1-BC258)*(1-MIN(1,MAX(Assumptions!$C$27,Assumptions!$C$13*Assumptions!$C$28^(CR$5-1))*$O258)),0)</f>
        <v>0.52129087647259187</v>
      </c>
      <c r="CT258" s="93">
        <f>IF(AND($T258=1,CT$5&lt;=$H258),CS258*(1-BD258)*(1-MIN(1,MAX(Assumptions!$C$27,Assumptions!$C$13*Assumptions!$C$28^(CS$5-1))*$O258)),0)</f>
        <v>0.50593133300656101</v>
      </c>
      <c r="CU258" s="93">
        <f>IF(AND($T258=1,CU$5&lt;=$H258),CT258*(1-BE258)*(1-MIN(1,MAX(Assumptions!$C$27,Assumptions!$C$13*Assumptions!$C$28^(CT$5-1))*$O258)),0)</f>
        <v>0.49305931803291353</v>
      </c>
      <c r="CV258" s="93">
        <f>IF(AND($T258=1,CV$5&lt;=$H258),CU258*(1-BF258)*(1-MIN(1,MAX(Assumptions!$C$27,Assumptions!$C$13*Assumptions!$C$28^(CU$5-1))*$O258)),0)</f>
        <v>0.48218391852832287</v>
      </c>
      <c r="CW258" s="93">
        <f>IF(AND($T258=1,CW$5&lt;=$H258),CV258*(1-BG258)*(1-MIN(1,MAX(Assumptions!$C$27,Assumptions!$C$13*Assumptions!$C$28^(CV$5-1))*$O258)),0)</f>
        <v>0.4715081129994958</v>
      </c>
      <c r="CX258" s="93">
        <f>IF(AND($T258=1,CX$5&lt;=$H258),CW258*(1-BH258)*(1-MIN(1,MAX(Assumptions!$C$27,Assumptions!$C$13*Assumptions!$C$28^(CW$5-1))*$O258)),0)</f>
        <v>0.4609846158374119</v>
      </c>
      <c r="CY258" s="93">
        <f>IF(AND($T258=1,CY$5&lt;=$H258),CX258*(1-BI258)*(1-MIN(1,MAX(Assumptions!$C$27,Assumptions!$C$13*Assumptions!$C$28^(CX$5-1))*$O258)),0)</f>
        <v>0.45060696225296049</v>
      </c>
      <c r="CZ258" s="93">
        <f>IF(AND($T258=1,CZ$5&lt;=$H258),CY258*(1-BJ258)*(1-MIN(1,MAX(Assumptions!$C$27,Assumptions!$C$13*Assumptions!$C$28^(CY$5-1))*$O258)),0)</f>
        <v>0.44036865760775834</v>
      </c>
      <c r="DA258" s="93">
        <f>IF(AND($T258=1,DA$5&lt;=$H258),CZ258*(1-BK258)*(1-MIN(1,MAX(Assumptions!$C$27,Assumptions!$C$13*Assumptions!$C$28^(CZ$5-1))*$O258)),0)</f>
        <v>0.43026317558014454</v>
      </c>
      <c r="DB258" s="93">
        <f>IF(AND($T258=1,DB$5&lt;=$H258),DA258*(1-BL258)*(1-MIN(1,MAX(Assumptions!$C$27,Assumptions!$C$13*Assumptions!$C$28^(DA$5-1))*$O258)),0)</f>
        <v>0.42028395723975248</v>
      </c>
      <c r="DC258" s="93">
        <f>IF(AND($T258=1,DC$5&lt;=$H258),DB258*(1-BM258)*(1-MIN(1,MAX(Assumptions!$C$27,Assumptions!$C$13*Assumptions!$C$28^(DB$5-1))*$O258)),0)</f>
        <v>0.41042441119930051</v>
      </c>
      <c r="DD258" s="93">
        <f>IF(AND($T258=1,DD$5&lt;=$H258),DC258*(1-BN258)*(1-MIN(1,MAX(Assumptions!$C$27,Assumptions!$C$13*Assumptions!$C$28^(DC$5-1))*$O258)),0)</f>
        <v>0</v>
      </c>
      <c r="DE258" s="93">
        <f>IF(AND($T258=1,DE$5&lt;=$H258),DD258*(1-BO258)*(1-MIN(1,MAX(Assumptions!$C$27,Assumptions!$C$13*Assumptions!$C$28^(DD$5-1))*$O258)),0)</f>
        <v>0</v>
      </c>
      <c r="DF258" s="93">
        <f>IF(AND($T258=1,DF$5&lt;=$H258),DE258*(1-BP258)*(1-MIN(1,MAX(Assumptions!$C$27,Assumptions!$C$13*Assumptions!$C$28^(DE$5-1))*$O258)),0)</f>
        <v>0</v>
      </c>
      <c r="DG258" s="93">
        <f>IF(AND($T258=1,DG$5&lt;=$H258),DF258*(1-BQ258)*(1-MIN(1,MAX(Assumptions!$C$27,Assumptions!$C$13*Assumptions!$C$28^(DF$5-1))*$O258)),0)</f>
        <v>0</v>
      </c>
      <c r="DH258" s="93">
        <f>IF(AND($T258=1,DH$5&lt;=$H258),DG258*(1-BR258)*(1-MIN(1,MAX(Assumptions!$C$27,Assumptions!$C$13*Assumptions!$C$28^(DG$5-1))*$O258)),0)</f>
        <v>0</v>
      </c>
      <c r="DI258" s="93">
        <f>IF(AND($T258=1,DI$5&lt;=$H258),DH258*(1-BS258)*(1-MIN(1,MAX(Assumptions!$C$27,Assumptions!$C$13*Assumptions!$C$28^(DH$5-1))*$O258)),0)</f>
        <v>0</v>
      </c>
      <c r="DJ258" s="93">
        <f>IF(AND($T258=1,DJ$5&lt;=$H258),DI258*(1-BT258)*(1-MIN(1,MAX(Assumptions!$C$27,Assumptions!$C$13*Assumptions!$C$28^(DI$5-1))*$O258)),0)</f>
        <v>0</v>
      </c>
      <c r="DK258" s="93">
        <f>IF(AND($T258=1,DK$5&lt;=$H258),DJ258*(1-BU258)*(1-MIN(1,MAX(Assumptions!$C$27,Assumptions!$C$13*Assumptions!$C$28^(DJ$5-1))*$O258)),0)</f>
        <v>0</v>
      </c>
      <c r="DL258" s="93">
        <f>IF(AND($T258=1,DL$5&lt;=$H258),DK258*(1-BV258)*(1-MIN(1,MAX(Assumptions!$C$27,Assumptions!$C$13*Assumptions!$C$28^(DK$5-1))*$O258)),0)</f>
        <v>0</v>
      </c>
      <c r="DM258" s="93">
        <f>IF(AND($T258=1,DM$5&lt;=$H258),DL258*(1-BW258)*(1-MIN(1,MAX(Assumptions!$C$27,Assumptions!$C$13*Assumptions!$C$28^(DL$5-1))*$O258)),0)</f>
        <v>0</v>
      </c>
      <c r="DN258" s="93">
        <f>IF(AND($T258=1,DN$5&lt;=$H258),DM258*(1-BX258)*(1-MIN(1,MAX(Assumptions!$C$27,Assumptions!$C$13*Assumptions!$C$28^(DM$5-1))*$O258)),0)</f>
        <v>0</v>
      </c>
      <c r="DO258" s="93">
        <f>IF(AND($T258=1,DO$5&lt;=$H258),DN258*(1-BY258)*(1-MIN(1,MAX(Assumptions!$C$27,Assumptions!$C$13*Assumptions!$C$28^(DN$5-1))*$O258)),0)</f>
        <v>0</v>
      </c>
      <c r="DP258" s="93">
        <f>IF(AND($T258=1,DP$5&lt;=$H258),DO258*(1-BZ258)*(1-MIN(1,MAX(Assumptions!$C$27,Assumptions!$C$13*Assumptions!$C$28^(DO$5-1))*$O258)),0)</f>
        <v>0</v>
      </c>
      <c r="DQ258" s="93">
        <f>IF(AND($T258=1,DQ$5&lt;=$H258),DP258*(1-CA258)*(1-MIN(1,MAX(Assumptions!$C$27,Assumptions!$C$13*Assumptions!$C$28^(DP$5-1))*$O258)),0)</f>
        <v>0</v>
      </c>
      <c r="DR258" s="93">
        <f>IF(AND($T258=1,DR$5&lt;=$H258),DQ258*(1-CB258)*(1-MIN(1,MAX(Assumptions!$C$27,Assumptions!$C$13*Assumptions!$C$28^(DQ$5-1))*$O258)),0)</f>
        <v>0</v>
      </c>
      <c r="DS258" s="93">
        <f>IF(AND($T258=1,DS$5&lt;=$H258),DR258*(1-CC258)*(1-MIN(1,MAX(Assumptions!$C$27,Assumptions!$C$13*Assumptions!$C$28^(DR$5-1))*$O258)),0)</f>
        <v>0</v>
      </c>
      <c r="DT258" s="93">
        <f>IF(AND($T258=1,DT$5&lt;=$H258),DS258*(1-CD258)*(1-MIN(1,MAX(Assumptions!$C$27,Assumptions!$C$13*Assumptions!$C$28^(DS$5-1))*$O258)),0)</f>
        <v>0</v>
      </c>
      <c r="DU258" s="93">
        <f>IF(AND($T258=1,DU$5&lt;=$H258),DT258*(1-CE258)*(1-MIN(1,MAX(Assumptions!$C$27,Assumptions!$C$13*Assumptions!$C$28^(DT$5-1))*$O258)),0)</f>
        <v>0</v>
      </c>
      <c r="DV258" s="93">
        <f>IF(AND($T258=1,DV$5&lt;=$H258),DU258*(1-CF258)*(1-MIN(1,MAX(Assumptions!$C$27,Assumptions!$C$13*Assumptions!$C$28^(DU$5-1))*$O258)),0)</f>
        <v>0</v>
      </c>
      <c r="DW258" s="94">
        <f>IF(AND($T258=1,DW$5&lt;=$H258),DV258*(1-CG258)*(1-MIN(1,MAX(Assumptions!$C$27,Assumptions!$C$13*Assumptions!$C$28^(DV$5-1))*$O258)),0)</f>
        <v>0</v>
      </c>
      <c r="DX258" s="26"/>
      <c r="DY258" s="399">
        <f>'Policy Data'!K232</f>
        <v>4</v>
      </c>
      <c r="DZ258" s="100">
        <f>'Policy Data'!L232</f>
        <v>0.73450000000000004</v>
      </c>
      <c r="EA258" s="100">
        <f>'Policy Data'!N232</f>
        <v>6.1399999999999996E-4</v>
      </c>
      <c r="EB258" s="93" cm="1">
        <f t="array" ref="EB258">IFERROR(DZ258*INDEX(Mortality!$B$4:$E$64,MATCH(D258+DY258-1,Mortality!$A$4:$A$64,0),U258)*V258,0)</f>
        <v>7.8089776749028033E-4</v>
      </c>
      <c r="EC258" s="100">
        <f>'Policy Data'!O232</f>
        <v>0</v>
      </c>
      <c r="ED258" s="400">
        <f>'Policy Data'!Q232</f>
        <v>0</v>
      </c>
    </row>
    <row r="259" spans="1:134" x14ac:dyDescent="0.3">
      <c r="A259" s="399" t="str">
        <f>'Policy Data'!A233</f>
        <v>POL100229</v>
      </c>
      <c r="B259" s="26" t="s">
        <v>426</v>
      </c>
      <c r="C259" s="100" t="str">
        <f>'Policy Data'!B233</f>
        <v>Unit-Linked</v>
      </c>
      <c r="D259" s="100">
        <f>'Policy Data'!C233</f>
        <v>57</v>
      </c>
      <c r="E259" s="100" t="str">
        <f>'Policy Data'!D233</f>
        <v>Female</v>
      </c>
      <c r="F259" s="100" t="str">
        <f>'Policy Data'!E233</f>
        <v>Smoker</v>
      </c>
      <c r="G259" s="100" t="str">
        <f>'Policy Data'!F233</f>
        <v>Standard</v>
      </c>
      <c r="H259" s="100">
        <f>'Policy Data'!G233</f>
        <v>20</v>
      </c>
      <c r="I259" s="279">
        <f>'Policy Data'!H233</f>
        <v>1000000</v>
      </c>
      <c r="J259" s="100" t="str">
        <f>'Policy Data'!I233</f>
        <v>Monthly</v>
      </c>
      <c r="K259" s="100" t="str">
        <f>'Policy Data'!J233</f>
        <v>Bancassurance</v>
      </c>
      <c r="L259" s="26" t="s">
        <v>389</v>
      </c>
      <c r="M259" s="106">
        <f>'Policy Data'!R233</f>
        <v>10553.04</v>
      </c>
      <c r="N259" s="415">
        <f>Assumptions!$C$21</f>
        <v>1</v>
      </c>
      <c r="O259" s="415">
        <f>Assumptions!$C$22</f>
        <v>1</v>
      </c>
      <c r="P259" s="415">
        <f>Assumptions!$C$23</f>
        <v>1</v>
      </c>
      <c r="Q259" s="416">
        <f>Assumptions!$C$24</f>
        <v>0</v>
      </c>
      <c r="R259" s="416">
        <f>Assumptions!$C$6+Assumptions!$C$25</f>
        <v>3.5000000000000003E-2</v>
      </c>
      <c r="S259" s="416">
        <f>Assumptions!$C$15</f>
        <v>1.1000000000000001E-3</v>
      </c>
      <c r="T259" s="26">
        <f t="shared" si="72"/>
        <v>0</v>
      </c>
      <c r="U259" s="26">
        <f t="shared" si="73"/>
        <v>2</v>
      </c>
      <c r="V259" s="389">
        <f>IF($G259="Preferred",Assumptions!$C$30,IF($G259="Rated",Assumptions!$C$31,1))</f>
        <v>1</v>
      </c>
      <c r="W259" s="390">
        <f>IF($K259="Direct",Assumptions!$C$32,IF($K259="Broker",Assumptions!$C$33,IF($K259="Bancassurance",Assumptions!$C$34,Assumptions!$C$11)))+$Q259</f>
        <v>0.2</v>
      </c>
      <c r="X259" s="390">
        <f>Assumptions!$C$12+$Q259</f>
        <v>0.05</v>
      </c>
      <c r="Y259" s="131">
        <f>MIN($I259,Assumptions!$C$14)</f>
        <v>500000</v>
      </c>
      <c r="Z259" s="131">
        <f>MAX($I259-Assumptions!$C$14,0)</f>
        <v>500000</v>
      </c>
      <c r="AA259" s="389">
        <f t="shared" si="74"/>
        <v>0</v>
      </c>
      <c r="AB259" s="389">
        <f t="shared" si="75"/>
        <v>0</v>
      </c>
      <c r="AC259" s="389">
        <f>IF($T259=1,SUMPRODUCT($CJ259:$DW259,(1+Assumptions!$C$5)^($CJ$5:$DW$5-1),(1+$R259)^(-$CJ$5:$DW$5)),0)</f>
        <v>0</v>
      </c>
      <c r="AD259" s="389">
        <f t="shared" si="76"/>
        <v>0</v>
      </c>
      <c r="AE259" s="131">
        <f>IF($T259=1,$AB259*$Y259+(Assumptions!$C$9/(1+$R259)+Assumptions!$C$10*$AC259)*$P259+$S259*$Z259*$AA259,0)</f>
        <v>0</v>
      </c>
      <c r="AF259" s="131" t="str">
        <f>IF($T259=1,IF($AA259-$AD259-Assumptions!$C$16*$AA259&gt;0,$AE259/($AA259-$AD259-Assumptions!$C$16*$AA259)*IF($J259="Monthly",1+Assumptions!$C$29,1),"n.a."),"")</f>
        <v/>
      </c>
      <c r="AG259" s="131" t="str">
        <f t="shared" si="77"/>
        <v/>
      </c>
      <c r="AH259" s="131" t="str">
        <f t="shared" si="78"/>
        <v/>
      </c>
      <c r="AI259" s="131" t="str">
        <f t="shared" si="79"/>
        <v/>
      </c>
      <c r="AJ259" s="390" t="str">
        <f t="shared" si="80"/>
        <v/>
      </c>
      <c r="AK259" s="389" t="str">
        <f t="shared" si="81"/>
        <v/>
      </c>
      <c r="AL259" s="131" t="str">
        <f t="shared" si="82"/>
        <v/>
      </c>
      <c r="AM259" s="131" t="str">
        <f t="shared" si="83"/>
        <v/>
      </c>
      <c r="AN259" s="131" t="str">
        <f t="shared" si="84"/>
        <v/>
      </c>
      <c r="AO259" s="131" t="str">
        <f t="shared" si="85"/>
        <v/>
      </c>
      <c r="AP259" s="26" t="str">
        <f t="shared" si="86"/>
        <v>50-59</v>
      </c>
      <c r="AQ259" s="26" t="str">
        <f t="shared" si="87"/>
        <v>500k-1m</v>
      </c>
      <c r="AR259" s="26" t="str">
        <f>IF($T259=1,IF($AI259&lt;0,"Loss-making",IF($AJ259&lt;Assumptions!$C$16-0.00001,"Below target","At/above target")),"Excluded")</f>
        <v>Excluded</v>
      </c>
      <c r="AS259" s="103">
        <f t="shared" si="88"/>
        <v>9.9999999999999997E+98</v>
      </c>
      <c r="AT259" s="26"/>
      <c r="AU259" s="419">
        <f>IF(AND($T259=1,AU$5&lt;=$H259),INDEX(Mortality!$B$4:$E$64,MATCH($D259+AU$5-1,Mortality!$A$4:$A$64,0),$U259)*$V259*$N259,0)</f>
        <v>0</v>
      </c>
      <c r="AV259" s="93">
        <f>IF(AND($T259=1,AV$5&lt;=$H259),INDEX(Mortality!$B$4:$E$64,MATCH($D259+AV$5-1,Mortality!$A$4:$A$64,0),$U259)*$V259*$N259,0)</f>
        <v>0</v>
      </c>
      <c r="AW259" s="93">
        <f>IF(AND($T259=1,AW$5&lt;=$H259),INDEX(Mortality!$B$4:$E$64,MATCH($D259+AW$5-1,Mortality!$A$4:$A$64,0),$U259)*$V259*$N259,0)</f>
        <v>0</v>
      </c>
      <c r="AX259" s="93">
        <f>IF(AND($T259=1,AX$5&lt;=$H259),INDEX(Mortality!$B$4:$E$64,MATCH($D259+AX$5-1,Mortality!$A$4:$A$64,0),$U259)*$V259*$N259,0)</f>
        <v>0</v>
      </c>
      <c r="AY259" s="93">
        <f>IF(AND($T259=1,AY$5&lt;=$H259),INDEX(Mortality!$B$4:$E$64,MATCH($D259+AY$5-1,Mortality!$A$4:$A$64,0),$U259)*$V259*$N259,0)</f>
        <v>0</v>
      </c>
      <c r="AZ259" s="93">
        <f>IF(AND($T259=1,AZ$5&lt;=$H259),INDEX(Mortality!$B$4:$E$64,MATCH($D259+AZ$5-1,Mortality!$A$4:$A$64,0),$U259)*$V259*$N259,0)</f>
        <v>0</v>
      </c>
      <c r="BA259" s="93">
        <f>IF(AND($T259=1,BA$5&lt;=$H259),INDEX(Mortality!$B$4:$E$64,MATCH($D259+BA$5-1,Mortality!$A$4:$A$64,0),$U259)*$V259*$N259,0)</f>
        <v>0</v>
      </c>
      <c r="BB259" s="93">
        <f>IF(AND($T259=1,BB$5&lt;=$H259),INDEX(Mortality!$B$4:$E$64,MATCH($D259+BB$5-1,Mortality!$A$4:$A$64,0),$U259)*$V259*$N259,0)</f>
        <v>0</v>
      </c>
      <c r="BC259" s="93">
        <f>IF(AND($T259=1,BC$5&lt;=$H259),INDEX(Mortality!$B$4:$E$64,MATCH($D259+BC$5-1,Mortality!$A$4:$A$64,0),$U259)*$V259*$N259,0)</f>
        <v>0</v>
      </c>
      <c r="BD259" s="93">
        <f>IF(AND($T259=1,BD$5&lt;=$H259),INDEX(Mortality!$B$4:$E$64,MATCH($D259+BD$5-1,Mortality!$A$4:$A$64,0),$U259)*$V259*$N259,0)</f>
        <v>0</v>
      </c>
      <c r="BE259" s="93">
        <f>IF(AND($T259=1,BE$5&lt;=$H259),INDEX(Mortality!$B$4:$E$64,MATCH($D259+BE$5-1,Mortality!$A$4:$A$64,0),$U259)*$V259*$N259,0)</f>
        <v>0</v>
      </c>
      <c r="BF259" s="93">
        <f>IF(AND($T259=1,BF$5&lt;=$H259),INDEX(Mortality!$B$4:$E$64,MATCH($D259+BF$5-1,Mortality!$A$4:$A$64,0),$U259)*$V259*$N259,0)</f>
        <v>0</v>
      </c>
      <c r="BG259" s="93">
        <f>IF(AND($T259=1,BG$5&lt;=$H259),INDEX(Mortality!$B$4:$E$64,MATCH($D259+BG$5-1,Mortality!$A$4:$A$64,0),$U259)*$V259*$N259,0)</f>
        <v>0</v>
      </c>
      <c r="BH259" s="93">
        <f>IF(AND($T259=1,BH$5&lt;=$H259),INDEX(Mortality!$B$4:$E$64,MATCH($D259+BH$5-1,Mortality!$A$4:$A$64,0),$U259)*$V259*$N259,0)</f>
        <v>0</v>
      </c>
      <c r="BI259" s="93">
        <f>IF(AND($T259=1,BI$5&lt;=$H259),INDEX(Mortality!$B$4:$E$64,MATCH($D259+BI$5-1,Mortality!$A$4:$A$64,0),$U259)*$V259*$N259,0)</f>
        <v>0</v>
      </c>
      <c r="BJ259" s="93">
        <f>IF(AND($T259=1,BJ$5&lt;=$H259),INDEX(Mortality!$B$4:$E$64,MATCH($D259+BJ$5-1,Mortality!$A$4:$A$64,0),$U259)*$V259*$N259,0)</f>
        <v>0</v>
      </c>
      <c r="BK259" s="93">
        <f>IF(AND($T259=1,BK$5&lt;=$H259),INDEX(Mortality!$B$4:$E$64,MATCH($D259+BK$5-1,Mortality!$A$4:$A$64,0),$U259)*$V259*$N259,0)</f>
        <v>0</v>
      </c>
      <c r="BL259" s="93">
        <f>IF(AND($T259=1,BL$5&lt;=$H259),INDEX(Mortality!$B$4:$E$64,MATCH($D259+BL$5-1,Mortality!$A$4:$A$64,0),$U259)*$V259*$N259,0)</f>
        <v>0</v>
      </c>
      <c r="BM259" s="93">
        <f>IF(AND($T259=1,BM$5&lt;=$H259),INDEX(Mortality!$B$4:$E$64,MATCH($D259+BM$5-1,Mortality!$A$4:$A$64,0),$U259)*$V259*$N259,0)</f>
        <v>0</v>
      </c>
      <c r="BN259" s="93">
        <f>IF(AND($T259=1,BN$5&lt;=$H259),INDEX(Mortality!$B$4:$E$64,MATCH($D259+BN$5-1,Mortality!$A$4:$A$64,0),$U259)*$V259*$N259,0)</f>
        <v>0</v>
      </c>
      <c r="BO259" s="93">
        <f>IF(AND($T259=1,BO$5&lt;=$H259),INDEX(Mortality!$B$4:$E$64,MATCH($D259+BO$5-1,Mortality!$A$4:$A$64,0),$U259)*$V259*$N259,0)</f>
        <v>0</v>
      </c>
      <c r="BP259" s="93">
        <f>IF(AND($T259=1,BP$5&lt;=$H259),INDEX(Mortality!$B$4:$E$64,MATCH($D259+BP$5-1,Mortality!$A$4:$A$64,0),$U259)*$V259*$N259,0)</f>
        <v>0</v>
      </c>
      <c r="BQ259" s="93">
        <f>IF(AND($T259=1,BQ$5&lt;=$H259),INDEX(Mortality!$B$4:$E$64,MATCH($D259+BQ$5-1,Mortality!$A$4:$A$64,0),$U259)*$V259*$N259,0)</f>
        <v>0</v>
      </c>
      <c r="BR259" s="93">
        <f>IF(AND($T259=1,BR$5&lt;=$H259),INDEX(Mortality!$B$4:$E$64,MATCH($D259+BR$5-1,Mortality!$A$4:$A$64,0),$U259)*$V259*$N259,0)</f>
        <v>0</v>
      </c>
      <c r="BS259" s="93">
        <f>IF(AND($T259=1,BS$5&lt;=$H259),INDEX(Mortality!$B$4:$E$64,MATCH($D259+BS$5-1,Mortality!$A$4:$A$64,0),$U259)*$V259*$N259,0)</f>
        <v>0</v>
      </c>
      <c r="BT259" s="93">
        <f>IF(AND($T259=1,BT$5&lt;=$H259),INDEX(Mortality!$B$4:$E$64,MATCH($D259+BT$5-1,Mortality!$A$4:$A$64,0),$U259)*$V259*$N259,0)</f>
        <v>0</v>
      </c>
      <c r="BU259" s="93">
        <f>IF(AND($T259=1,BU$5&lt;=$H259),INDEX(Mortality!$B$4:$E$64,MATCH($D259+BU$5-1,Mortality!$A$4:$A$64,0),$U259)*$V259*$N259,0)</f>
        <v>0</v>
      </c>
      <c r="BV259" s="93">
        <f>IF(AND($T259=1,BV$5&lt;=$H259),INDEX(Mortality!$B$4:$E$64,MATCH($D259+BV$5-1,Mortality!$A$4:$A$64,0),$U259)*$V259*$N259,0)</f>
        <v>0</v>
      </c>
      <c r="BW259" s="93">
        <f>IF(AND($T259=1,BW$5&lt;=$H259),INDEX(Mortality!$B$4:$E$64,MATCH($D259+BW$5-1,Mortality!$A$4:$A$64,0),$U259)*$V259*$N259,0)</f>
        <v>0</v>
      </c>
      <c r="BX259" s="93">
        <f>IF(AND($T259=1,BX$5&lt;=$H259),INDEX(Mortality!$B$4:$E$64,MATCH($D259+BX$5-1,Mortality!$A$4:$A$64,0),$U259)*$V259*$N259,0)</f>
        <v>0</v>
      </c>
      <c r="BY259" s="93">
        <f>IF(AND($T259=1,BY$5&lt;=$H259),INDEX(Mortality!$B$4:$E$64,MATCH($D259+BY$5-1,Mortality!$A$4:$A$64,0),$U259)*$V259*$N259,0)</f>
        <v>0</v>
      </c>
      <c r="BZ259" s="93">
        <f>IF(AND($T259=1,BZ$5&lt;=$H259),INDEX(Mortality!$B$4:$E$64,MATCH($D259+BZ$5-1,Mortality!$A$4:$A$64,0),$U259)*$V259*$N259,0)</f>
        <v>0</v>
      </c>
      <c r="CA259" s="93">
        <f>IF(AND($T259=1,CA$5&lt;=$H259),INDEX(Mortality!$B$4:$E$64,MATCH($D259+CA$5-1,Mortality!$A$4:$A$64,0),$U259)*$V259*$N259,0)</f>
        <v>0</v>
      </c>
      <c r="CB259" s="93">
        <f>IF(AND($T259=1,CB$5&lt;=$H259),INDEX(Mortality!$B$4:$E$64,MATCH($D259+CB$5-1,Mortality!$A$4:$A$64,0),$U259)*$V259*$N259,0)</f>
        <v>0</v>
      </c>
      <c r="CC259" s="93">
        <f>IF(AND($T259=1,CC$5&lt;=$H259),INDEX(Mortality!$B$4:$E$64,MATCH($D259+CC$5-1,Mortality!$A$4:$A$64,0),$U259)*$V259*$N259,0)</f>
        <v>0</v>
      </c>
      <c r="CD259" s="93">
        <f>IF(AND($T259=1,CD$5&lt;=$H259),INDEX(Mortality!$B$4:$E$64,MATCH($D259+CD$5-1,Mortality!$A$4:$A$64,0),$U259)*$V259*$N259,0)</f>
        <v>0</v>
      </c>
      <c r="CE259" s="93">
        <f>IF(AND($T259=1,CE$5&lt;=$H259),INDEX(Mortality!$B$4:$E$64,MATCH($D259+CE$5-1,Mortality!$A$4:$A$64,0),$U259)*$V259*$N259,0)</f>
        <v>0</v>
      </c>
      <c r="CF259" s="93">
        <f>IF(AND($T259=1,CF$5&lt;=$H259),INDEX(Mortality!$B$4:$E$64,MATCH($D259+CF$5-1,Mortality!$A$4:$A$64,0),$U259)*$V259*$N259,0)</f>
        <v>0</v>
      </c>
      <c r="CG259" s="93">
        <f>IF(AND($T259=1,CG$5&lt;=$H259),INDEX(Mortality!$B$4:$E$64,MATCH($D259+CG$5-1,Mortality!$A$4:$A$64,0),$U259)*$V259*$N259,0)</f>
        <v>0</v>
      </c>
      <c r="CH259" s="94">
        <f>IF(AND($T259=1,CH$5&lt;=$H259),INDEX(Mortality!$B$4:$E$64,MATCH($D259+CH$5-1,Mortality!$A$4:$A$64,0),$U259)*$V259*$N259,0)</f>
        <v>0</v>
      </c>
      <c r="CI259" s="26"/>
      <c r="CJ259" s="419">
        <f t="shared" si="89"/>
        <v>0</v>
      </c>
      <c r="CK259" s="93">
        <f>IF(AND($T259=1,CK$5&lt;=$H259),CJ259*(1-AU259)*(1-MIN(1,MAX(Assumptions!$C$27,Assumptions!$C$13*Assumptions!$C$28^(CJ$5-1))*$O259)),0)</f>
        <v>0</v>
      </c>
      <c r="CL259" s="93">
        <f>IF(AND($T259=1,CL$5&lt;=$H259),CK259*(1-AV259)*(1-MIN(1,MAX(Assumptions!$C$27,Assumptions!$C$13*Assumptions!$C$28^(CK$5-1))*$O259)),0)</f>
        <v>0</v>
      </c>
      <c r="CM259" s="93">
        <f>IF(AND($T259=1,CM$5&lt;=$H259),CL259*(1-AW259)*(1-MIN(1,MAX(Assumptions!$C$27,Assumptions!$C$13*Assumptions!$C$28^(CL$5-1))*$O259)),0)</f>
        <v>0</v>
      </c>
      <c r="CN259" s="93">
        <f>IF(AND($T259=1,CN$5&lt;=$H259),CM259*(1-AX259)*(1-MIN(1,MAX(Assumptions!$C$27,Assumptions!$C$13*Assumptions!$C$28^(CM$5-1))*$O259)),0)</f>
        <v>0</v>
      </c>
      <c r="CO259" s="93">
        <f>IF(AND($T259=1,CO$5&lt;=$H259),CN259*(1-AY259)*(1-MIN(1,MAX(Assumptions!$C$27,Assumptions!$C$13*Assumptions!$C$28^(CN$5-1))*$O259)),0)</f>
        <v>0</v>
      </c>
      <c r="CP259" s="93">
        <f>IF(AND($T259=1,CP$5&lt;=$H259),CO259*(1-AZ259)*(1-MIN(1,MAX(Assumptions!$C$27,Assumptions!$C$13*Assumptions!$C$28^(CO$5-1))*$O259)),0)</f>
        <v>0</v>
      </c>
      <c r="CQ259" s="93">
        <f>IF(AND($T259=1,CQ$5&lt;=$H259),CP259*(1-BA259)*(1-MIN(1,MAX(Assumptions!$C$27,Assumptions!$C$13*Assumptions!$C$28^(CP$5-1))*$O259)),0)</f>
        <v>0</v>
      </c>
      <c r="CR259" s="93">
        <f>IF(AND($T259=1,CR$5&lt;=$H259),CQ259*(1-BB259)*(1-MIN(1,MAX(Assumptions!$C$27,Assumptions!$C$13*Assumptions!$C$28^(CQ$5-1))*$O259)),0)</f>
        <v>0</v>
      </c>
      <c r="CS259" s="93">
        <f>IF(AND($T259=1,CS$5&lt;=$H259),CR259*(1-BC259)*(1-MIN(1,MAX(Assumptions!$C$27,Assumptions!$C$13*Assumptions!$C$28^(CR$5-1))*$O259)),0)</f>
        <v>0</v>
      </c>
      <c r="CT259" s="93">
        <f>IF(AND($T259=1,CT$5&lt;=$H259),CS259*(1-BD259)*(1-MIN(1,MAX(Assumptions!$C$27,Assumptions!$C$13*Assumptions!$C$28^(CS$5-1))*$O259)),0)</f>
        <v>0</v>
      </c>
      <c r="CU259" s="93">
        <f>IF(AND($T259=1,CU$5&lt;=$H259),CT259*(1-BE259)*(1-MIN(1,MAX(Assumptions!$C$27,Assumptions!$C$13*Assumptions!$C$28^(CT$5-1))*$O259)),0)</f>
        <v>0</v>
      </c>
      <c r="CV259" s="93">
        <f>IF(AND($T259=1,CV$5&lt;=$H259),CU259*(1-BF259)*(1-MIN(1,MAX(Assumptions!$C$27,Assumptions!$C$13*Assumptions!$C$28^(CU$5-1))*$O259)),0)</f>
        <v>0</v>
      </c>
      <c r="CW259" s="93">
        <f>IF(AND($T259=1,CW$5&lt;=$H259),CV259*(1-BG259)*(1-MIN(1,MAX(Assumptions!$C$27,Assumptions!$C$13*Assumptions!$C$28^(CV$5-1))*$O259)),0)</f>
        <v>0</v>
      </c>
      <c r="CX259" s="93">
        <f>IF(AND($T259=1,CX$5&lt;=$H259),CW259*(1-BH259)*(1-MIN(1,MAX(Assumptions!$C$27,Assumptions!$C$13*Assumptions!$C$28^(CW$5-1))*$O259)),0)</f>
        <v>0</v>
      </c>
      <c r="CY259" s="93">
        <f>IF(AND($T259=1,CY$5&lt;=$H259),CX259*(1-BI259)*(1-MIN(1,MAX(Assumptions!$C$27,Assumptions!$C$13*Assumptions!$C$28^(CX$5-1))*$O259)),0)</f>
        <v>0</v>
      </c>
      <c r="CZ259" s="93">
        <f>IF(AND($T259=1,CZ$5&lt;=$H259),CY259*(1-BJ259)*(1-MIN(1,MAX(Assumptions!$C$27,Assumptions!$C$13*Assumptions!$C$28^(CY$5-1))*$O259)),0)</f>
        <v>0</v>
      </c>
      <c r="DA259" s="93">
        <f>IF(AND($T259=1,DA$5&lt;=$H259),CZ259*(1-BK259)*(1-MIN(1,MAX(Assumptions!$C$27,Assumptions!$C$13*Assumptions!$C$28^(CZ$5-1))*$O259)),0)</f>
        <v>0</v>
      </c>
      <c r="DB259" s="93">
        <f>IF(AND($T259=1,DB$5&lt;=$H259),DA259*(1-BL259)*(1-MIN(1,MAX(Assumptions!$C$27,Assumptions!$C$13*Assumptions!$C$28^(DA$5-1))*$O259)),0)</f>
        <v>0</v>
      </c>
      <c r="DC259" s="93">
        <f>IF(AND($T259=1,DC$5&lt;=$H259),DB259*(1-BM259)*(1-MIN(1,MAX(Assumptions!$C$27,Assumptions!$C$13*Assumptions!$C$28^(DB$5-1))*$O259)),0)</f>
        <v>0</v>
      </c>
      <c r="DD259" s="93">
        <f>IF(AND($T259=1,DD$5&lt;=$H259),DC259*(1-BN259)*(1-MIN(1,MAX(Assumptions!$C$27,Assumptions!$C$13*Assumptions!$C$28^(DC$5-1))*$O259)),0)</f>
        <v>0</v>
      </c>
      <c r="DE259" s="93">
        <f>IF(AND($T259=1,DE$5&lt;=$H259),DD259*(1-BO259)*(1-MIN(1,MAX(Assumptions!$C$27,Assumptions!$C$13*Assumptions!$C$28^(DD$5-1))*$O259)),0)</f>
        <v>0</v>
      </c>
      <c r="DF259" s="93">
        <f>IF(AND($T259=1,DF$5&lt;=$H259),DE259*(1-BP259)*(1-MIN(1,MAX(Assumptions!$C$27,Assumptions!$C$13*Assumptions!$C$28^(DE$5-1))*$O259)),0)</f>
        <v>0</v>
      </c>
      <c r="DG259" s="93">
        <f>IF(AND($T259=1,DG$5&lt;=$H259),DF259*(1-BQ259)*(1-MIN(1,MAX(Assumptions!$C$27,Assumptions!$C$13*Assumptions!$C$28^(DF$5-1))*$O259)),0)</f>
        <v>0</v>
      </c>
      <c r="DH259" s="93">
        <f>IF(AND($T259=1,DH$5&lt;=$H259),DG259*(1-BR259)*(1-MIN(1,MAX(Assumptions!$C$27,Assumptions!$C$13*Assumptions!$C$28^(DG$5-1))*$O259)),0)</f>
        <v>0</v>
      </c>
      <c r="DI259" s="93">
        <f>IF(AND($T259=1,DI$5&lt;=$H259),DH259*(1-BS259)*(1-MIN(1,MAX(Assumptions!$C$27,Assumptions!$C$13*Assumptions!$C$28^(DH$5-1))*$O259)),0)</f>
        <v>0</v>
      </c>
      <c r="DJ259" s="93">
        <f>IF(AND($T259=1,DJ$5&lt;=$H259),DI259*(1-BT259)*(1-MIN(1,MAX(Assumptions!$C$27,Assumptions!$C$13*Assumptions!$C$28^(DI$5-1))*$O259)),0)</f>
        <v>0</v>
      </c>
      <c r="DK259" s="93">
        <f>IF(AND($T259=1,DK$5&lt;=$H259),DJ259*(1-BU259)*(1-MIN(1,MAX(Assumptions!$C$27,Assumptions!$C$13*Assumptions!$C$28^(DJ$5-1))*$O259)),0)</f>
        <v>0</v>
      </c>
      <c r="DL259" s="93">
        <f>IF(AND($T259=1,DL$5&lt;=$H259),DK259*(1-BV259)*(1-MIN(1,MAX(Assumptions!$C$27,Assumptions!$C$13*Assumptions!$C$28^(DK$5-1))*$O259)),0)</f>
        <v>0</v>
      </c>
      <c r="DM259" s="93">
        <f>IF(AND($T259=1,DM$5&lt;=$H259),DL259*(1-BW259)*(1-MIN(1,MAX(Assumptions!$C$27,Assumptions!$C$13*Assumptions!$C$28^(DL$5-1))*$O259)),0)</f>
        <v>0</v>
      </c>
      <c r="DN259" s="93">
        <f>IF(AND($T259=1,DN$5&lt;=$H259),DM259*(1-BX259)*(1-MIN(1,MAX(Assumptions!$C$27,Assumptions!$C$13*Assumptions!$C$28^(DM$5-1))*$O259)),0)</f>
        <v>0</v>
      </c>
      <c r="DO259" s="93">
        <f>IF(AND($T259=1,DO$5&lt;=$H259),DN259*(1-BY259)*(1-MIN(1,MAX(Assumptions!$C$27,Assumptions!$C$13*Assumptions!$C$28^(DN$5-1))*$O259)),0)</f>
        <v>0</v>
      </c>
      <c r="DP259" s="93">
        <f>IF(AND($T259=1,DP$5&lt;=$H259),DO259*(1-BZ259)*(1-MIN(1,MAX(Assumptions!$C$27,Assumptions!$C$13*Assumptions!$C$28^(DO$5-1))*$O259)),0)</f>
        <v>0</v>
      </c>
      <c r="DQ259" s="93">
        <f>IF(AND($T259=1,DQ$5&lt;=$H259),DP259*(1-CA259)*(1-MIN(1,MAX(Assumptions!$C$27,Assumptions!$C$13*Assumptions!$C$28^(DP$5-1))*$O259)),0)</f>
        <v>0</v>
      </c>
      <c r="DR259" s="93">
        <f>IF(AND($T259=1,DR$5&lt;=$H259),DQ259*(1-CB259)*(1-MIN(1,MAX(Assumptions!$C$27,Assumptions!$C$13*Assumptions!$C$28^(DQ$5-1))*$O259)),0)</f>
        <v>0</v>
      </c>
      <c r="DS259" s="93">
        <f>IF(AND($T259=1,DS$5&lt;=$H259),DR259*(1-CC259)*(1-MIN(1,MAX(Assumptions!$C$27,Assumptions!$C$13*Assumptions!$C$28^(DR$5-1))*$O259)),0)</f>
        <v>0</v>
      </c>
      <c r="DT259" s="93">
        <f>IF(AND($T259=1,DT$5&lt;=$H259),DS259*(1-CD259)*(1-MIN(1,MAX(Assumptions!$C$27,Assumptions!$C$13*Assumptions!$C$28^(DS$5-1))*$O259)),0)</f>
        <v>0</v>
      </c>
      <c r="DU259" s="93">
        <f>IF(AND($T259=1,DU$5&lt;=$H259),DT259*(1-CE259)*(1-MIN(1,MAX(Assumptions!$C$27,Assumptions!$C$13*Assumptions!$C$28^(DT$5-1))*$O259)),0)</f>
        <v>0</v>
      </c>
      <c r="DV259" s="93">
        <f>IF(AND($T259=1,DV$5&lt;=$H259),DU259*(1-CF259)*(1-MIN(1,MAX(Assumptions!$C$27,Assumptions!$C$13*Assumptions!$C$28^(DU$5-1))*$O259)),0)</f>
        <v>0</v>
      </c>
      <c r="DW259" s="94">
        <f>IF(AND($T259=1,DW$5&lt;=$H259),DV259*(1-CG259)*(1-MIN(1,MAX(Assumptions!$C$27,Assumptions!$C$13*Assumptions!$C$28^(DV$5-1))*$O259)),0)</f>
        <v>0</v>
      </c>
      <c r="DX259" s="26"/>
      <c r="DY259" s="399">
        <f>'Policy Data'!K233</f>
        <v>2</v>
      </c>
      <c r="DZ259" s="100">
        <f>'Policy Data'!L233</f>
        <v>0.55110000000000003</v>
      </c>
      <c r="EA259" s="100">
        <f>'Policy Data'!N233</f>
        <v>3.016E-3</v>
      </c>
      <c r="EB259" s="93" cm="1">
        <f t="array" ref="EB259">IFERROR(DZ259*INDEX(Mortality!$B$4:$E$64,MATCH(D259+DY259-1,Mortality!$A$4:$A$64,0),U259)*V259,0)</f>
        <v>3.2671226176626978E-3</v>
      </c>
      <c r="EC259" s="100">
        <f>'Policy Data'!O233</f>
        <v>0</v>
      </c>
      <c r="ED259" s="400">
        <f>'Policy Data'!Q233</f>
        <v>0</v>
      </c>
    </row>
    <row r="260" spans="1:134" x14ac:dyDescent="0.3">
      <c r="A260" s="399" t="str">
        <f>'Policy Data'!A234</f>
        <v>POL100230</v>
      </c>
      <c r="B260" s="26" t="s">
        <v>426</v>
      </c>
      <c r="C260" s="100" t="str">
        <f>'Policy Data'!B234</f>
        <v>Term Life</v>
      </c>
      <c r="D260" s="100">
        <f>'Policy Data'!C234</f>
        <v>36</v>
      </c>
      <c r="E260" s="100" t="str">
        <f>'Policy Data'!D234</f>
        <v>Male</v>
      </c>
      <c r="F260" s="100" t="str">
        <f>'Policy Data'!E234</f>
        <v>Non-smoker</v>
      </c>
      <c r="G260" s="100" t="str">
        <f>'Policy Data'!F234</f>
        <v>Standard</v>
      </c>
      <c r="H260" s="100">
        <f>'Policy Data'!G234</f>
        <v>10</v>
      </c>
      <c r="I260" s="279">
        <f>'Policy Data'!H234</f>
        <v>250000</v>
      </c>
      <c r="J260" s="100" t="str">
        <f>'Policy Data'!I234</f>
        <v>Monthly</v>
      </c>
      <c r="K260" s="100" t="str">
        <f>'Policy Data'!J234</f>
        <v>Direct</v>
      </c>
      <c r="L260" s="26" t="s">
        <v>389</v>
      </c>
      <c r="M260" s="106">
        <f>'Policy Data'!R234</f>
        <v>1200</v>
      </c>
      <c r="N260" s="415">
        <f>Assumptions!$C$21</f>
        <v>1</v>
      </c>
      <c r="O260" s="415">
        <f>Assumptions!$C$22</f>
        <v>1</v>
      </c>
      <c r="P260" s="415">
        <f>Assumptions!$C$23</f>
        <v>1</v>
      </c>
      <c r="Q260" s="416">
        <f>Assumptions!$C$24</f>
        <v>0</v>
      </c>
      <c r="R260" s="416">
        <f>Assumptions!$C$6+Assumptions!$C$25</f>
        <v>3.5000000000000003E-2</v>
      </c>
      <c r="S260" s="416">
        <f>Assumptions!$C$15</f>
        <v>1.1000000000000001E-3</v>
      </c>
      <c r="T260" s="26">
        <f t="shared" si="72"/>
        <v>1</v>
      </c>
      <c r="U260" s="26">
        <f t="shared" si="73"/>
        <v>3</v>
      </c>
      <c r="V260" s="389">
        <f>IF($G260="Preferred",Assumptions!$C$30,IF($G260="Rated",Assumptions!$C$31,1))</f>
        <v>1</v>
      </c>
      <c r="W260" s="390">
        <f>IF($K260="Direct",Assumptions!$C$32,IF($K260="Broker",Assumptions!$C$33,IF($K260="Bancassurance",Assumptions!$C$34,Assumptions!$C$11)))+$Q260</f>
        <v>0.1</v>
      </c>
      <c r="X260" s="390">
        <f>Assumptions!$C$12+$Q260</f>
        <v>0.05</v>
      </c>
      <c r="Y260" s="131">
        <f>MIN($I260,Assumptions!$C$14)</f>
        <v>250000</v>
      </c>
      <c r="Z260" s="131">
        <f>MAX($I260-Assumptions!$C$14,0)</f>
        <v>0</v>
      </c>
      <c r="AA260" s="389">
        <f t="shared" si="74"/>
        <v>5.8497424590971683</v>
      </c>
      <c r="AB260" s="389">
        <f t="shared" si="75"/>
        <v>6.7101050529316314E-3</v>
      </c>
      <c r="AC260" s="389">
        <f>IF($T260=1,SUMPRODUCT($CJ260:$DW260,(1+Assumptions!$C$5)^($CJ$5:$DW$5-1),(1+$R260)^(-$CJ$5:$DW$5)),0)</f>
        <v>6.784354139335373</v>
      </c>
      <c r="AD260" s="389">
        <f t="shared" si="76"/>
        <v>0.3407963016988198</v>
      </c>
      <c r="AE260" s="131">
        <f>IF($T260=1,$AB260*$Y260+(Assumptions!$C$9/(1+$R260)+Assumptions!$C$10*$AC260)*$P260+$S260*$Z260*$AA260,0)</f>
        <v>4039.6493912779943</v>
      </c>
      <c r="AF260" s="131">
        <f>IF($T260=1,IF($AA260-$AD260-Assumptions!$C$16*$AA260&gt;0,$AE260/($AA260-$AD260-Assumptions!$C$16*$AA260)*IF($J260="Monthly",1+Assumptions!$C$29,1),"n.a."),"")</f>
        <v>825.40494126623412</v>
      </c>
      <c r="AG260" s="131">
        <f t="shared" si="77"/>
        <v>1200</v>
      </c>
      <c r="AH260" s="131">
        <f t="shared" si="78"/>
        <v>7019.6909509166017</v>
      </c>
      <c r="AI260" s="131">
        <f t="shared" si="79"/>
        <v>2571.0859976000238</v>
      </c>
      <c r="AJ260" s="390">
        <f t="shared" si="80"/>
        <v>0.36626769121001007</v>
      </c>
      <c r="AK260" s="389">
        <f t="shared" si="81"/>
        <v>1.4538318587711729</v>
      </c>
      <c r="AL260" s="131">
        <f t="shared" si="82"/>
        <v>0</v>
      </c>
      <c r="AM260" s="131">
        <f t="shared" si="83"/>
        <v>0</v>
      </c>
      <c r="AN260" s="131">
        <f t="shared" si="84"/>
        <v>0</v>
      </c>
      <c r="AO260" s="131">
        <f t="shared" si="85"/>
        <v>2571.0859976000238</v>
      </c>
      <c r="AP260" s="26" t="str">
        <f t="shared" si="86"/>
        <v>30-39</v>
      </c>
      <c r="AQ260" s="26" t="str">
        <f t="shared" si="87"/>
        <v>Up to 250k</v>
      </c>
      <c r="AR260" s="26" t="str">
        <f>IF($T260=1,IF($AI260&lt;0,"Loss-making",IF($AJ260&lt;Assumptions!$C$16-0.00001,"Below target","At/above target")),"Excluded")</f>
        <v>At/above target</v>
      </c>
      <c r="AS260" s="103">
        <f t="shared" si="88"/>
        <v>2571.0862576000236</v>
      </c>
      <c r="AT260" s="26"/>
      <c r="AU260" s="419">
        <f>IF(AND($T260=1,AU$5&lt;=$H260),INDEX(Mortality!$B$4:$E$64,MATCH($D260+AU$5-1,Mortality!$A$4:$A$64,0),$U260)*$V260*$N260,0)</f>
        <v>8.3631850313482196E-4</v>
      </c>
      <c r="AV260" s="93">
        <f>IF(AND($T260=1,AV$5&lt;=$H260),INDEX(Mortality!$B$4:$E$64,MATCH($D260+AV$5-1,Mortality!$A$4:$A$64,0),$U260)*$V260*$N260,0)</f>
        <v>9.0597301890323197E-4</v>
      </c>
      <c r="AW260" s="93">
        <f>IF(AND($T260=1,AW$5&lt;=$H260),INDEX(Mortality!$B$4:$E$64,MATCH($D260+AW$5-1,Mortality!$A$4:$A$64,0),$U260)*$V260*$N260,0)</f>
        <v>9.8142885504031189E-4</v>
      </c>
      <c r="AX260" s="93">
        <f>IF(AND($T260=1,AX$5&lt;=$H260),INDEX(Mortality!$B$4:$E$64,MATCH($D260+AX$5-1,Mortality!$A$4:$A$64,0),$U260)*$V260*$N260,0)</f>
        <v>1.06316918650821E-3</v>
      </c>
      <c r="AY260" s="93">
        <f>IF(AND($T260=1,AY$5&lt;=$H260),INDEX(Mortality!$B$4:$E$64,MATCH($D260+AY$5-1,Mortality!$A$4:$A$64,0),$U260)*$V260*$N260,0)</f>
        <v>1.1517174304948501E-3</v>
      </c>
      <c r="AZ260" s="93">
        <f>IF(AND($T260=1,AZ$5&lt;=$H260),INDEX(Mortality!$B$4:$E$64,MATCH($D260+AZ$5-1,Mortality!$A$4:$A$64,0),$U260)*$V260*$N260,0)</f>
        <v>1.24764059807091E-3</v>
      </c>
      <c r="BA260" s="93">
        <f>IF(AND($T260=1,BA$5&lt;=$H260),INDEX(Mortality!$B$4:$E$64,MATCH($D260+BA$5-1,Mortality!$A$4:$A$64,0),$U260)*$V260*$N260,0)</f>
        <v>1.3515529249964601E-3</v>
      </c>
      <c r="BB260" s="93">
        <f>IF(AND($T260=1,BB$5&lt;=$H260),INDEX(Mortality!$B$4:$E$64,MATCH($D260+BB$5-1,Mortality!$A$4:$A$64,0),$U260)*$V260*$N260,0)</f>
        <v>1.4641198049269301E-3</v>
      </c>
      <c r="BC260" s="93">
        <f>IF(AND($T260=1,BC$5&lt;=$H260),INDEX(Mortality!$B$4:$E$64,MATCH($D260+BC$5-1,Mortality!$A$4:$A$64,0),$U260)*$V260*$N260,0)</f>
        <v>1.58606205020413E-3</v>
      </c>
      <c r="BD260" s="93">
        <f>IF(AND($T260=1,BD$5&lt;=$H260),INDEX(Mortality!$B$4:$E$64,MATCH($D260+BD$5-1,Mortality!$A$4:$A$64,0),$U260)*$V260*$N260,0)</f>
        <v>1.71816050751616E-3</v>
      </c>
      <c r="BE260" s="93">
        <f>IF(AND($T260=1,BE$5&lt;=$H260),INDEX(Mortality!$B$4:$E$64,MATCH($D260+BE$5-1,Mortality!$A$4:$A$64,0),$U260)*$V260*$N260,0)</f>
        <v>0</v>
      </c>
      <c r="BF260" s="93">
        <f>IF(AND($T260=1,BF$5&lt;=$H260),INDEX(Mortality!$B$4:$E$64,MATCH($D260+BF$5-1,Mortality!$A$4:$A$64,0),$U260)*$V260*$N260,0)</f>
        <v>0</v>
      </c>
      <c r="BG260" s="93">
        <f>IF(AND($T260=1,BG$5&lt;=$H260),INDEX(Mortality!$B$4:$E$64,MATCH($D260+BG$5-1,Mortality!$A$4:$A$64,0),$U260)*$V260*$N260,0)</f>
        <v>0</v>
      </c>
      <c r="BH260" s="93">
        <f>IF(AND($T260=1,BH$5&lt;=$H260),INDEX(Mortality!$B$4:$E$64,MATCH($D260+BH$5-1,Mortality!$A$4:$A$64,0),$U260)*$V260*$N260,0)</f>
        <v>0</v>
      </c>
      <c r="BI260" s="93">
        <f>IF(AND($T260=1,BI$5&lt;=$H260),INDEX(Mortality!$B$4:$E$64,MATCH($D260+BI$5-1,Mortality!$A$4:$A$64,0),$U260)*$V260*$N260,0)</f>
        <v>0</v>
      </c>
      <c r="BJ260" s="93">
        <f>IF(AND($T260=1,BJ$5&lt;=$H260),INDEX(Mortality!$B$4:$E$64,MATCH($D260+BJ$5-1,Mortality!$A$4:$A$64,0),$U260)*$V260*$N260,0)</f>
        <v>0</v>
      </c>
      <c r="BK260" s="93">
        <f>IF(AND($T260=1,BK$5&lt;=$H260),INDEX(Mortality!$B$4:$E$64,MATCH($D260+BK$5-1,Mortality!$A$4:$A$64,0),$U260)*$V260*$N260,0)</f>
        <v>0</v>
      </c>
      <c r="BL260" s="93">
        <f>IF(AND($T260=1,BL$5&lt;=$H260),INDEX(Mortality!$B$4:$E$64,MATCH($D260+BL$5-1,Mortality!$A$4:$A$64,0),$U260)*$V260*$N260,0)</f>
        <v>0</v>
      </c>
      <c r="BM260" s="93">
        <f>IF(AND($T260=1,BM$5&lt;=$H260),INDEX(Mortality!$B$4:$E$64,MATCH($D260+BM$5-1,Mortality!$A$4:$A$64,0),$U260)*$V260*$N260,0)</f>
        <v>0</v>
      </c>
      <c r="BN260" s="93">
        <f>IF(AND($T260=1,BN$5&lt;=$H260),INDEX(Mortality!$B$4:$E$64,MATCH($D260+BN$5-1,Mortality!$A$4:$A$64,0),$U260)*$V260*$N260,0)</f>
        <v>0</v>
      </c>
      <c r="BO260" s="93">
        <f>IF(AND($T260=1,BO$5&lt;=$H260),INDEX(Mortality!$B$4:$E$64,MATCH($D260+BO$5-1,Mortality!$A$4:$A$64,0),$U260)*$V260*$N260,0)</f>
        <v>0</v>
      </c>
      <c r="BP260" s="93">
        <f>IF(AND($T260=1,BP$5&lt;=$H260),INDEX(Mortality!$B$4:$E$64,MATCH($D260+BP$5-1,Mortality!$A$4:$A$64,0),$U260)*$V260*$N260,0)</f>
        <v>0</v>
      </c>
      <c r="BQ260" s="93">
        <f>IF(AND($T260=1,BQ$5&lt;=$H260),INDEX(Mortality!$B$4:$E$64,MATCH($D260+BQ$5-1,Mortality!$A$4:$A$64,0),$U260)*$V260*$N260,0)</f>
        <v>0</v>
      </c>
      <c r="BR260" s="93">
        <f>IF(AND($T260=1,BR$5&lt;=$H260),INDEX(Mortality!$B$4:$E$64,MATCH($D260+BR$5-1,Mortality!$A$4:$A$64,0),$U260)*$V260*$N260,0)</f>
        <v>0</v>
      </c>
      <c r="BS260" s="93">
        <f>IF(AND($T260=1,BS$5&lt;=$H260),INDEX(Mortality!$B$4:$E$64,MATCH($D260+BS$5-1,Mortality!$A$4:$A$64,0),$U260)*$V260*$N260,0)</f>
        <v>0</v>
      </c>
      <c r="BT260" s="93">
        <f>IF(AND($T260=1,BT$5&lt;=$H260),INDEX(Mortality!$B$4:$E$64,MATCH($D260+BT$5-1,Mortality!$A$4:$A$64,0),$U260)*$V260*$N260,0)</f>
        <v>0</v>
      </c>
      <c r="BU260" s="93">
        <f>IF(AND($T260=1,BU$5&lt;=$H260),INDEX(Mortality!$B$4:$E$64,MATCH($D260+BU$5-1,Mortality!$A$4:$A$64,0),$U260)*$V260*$N260,0)</f>
        <v>0</v>
      </c>
      <c r="BV260" s="93">
        <f>IF(AND($T260=1,BV$5&lt;=$H260),INDEX(Mortality!$B$4:$E$64,MATCH($D260+BV$5-1,Mortality!$A$4:$A$64,0),$U260)*$V260*$N260,0)</f>
        <v>0</v>
      </c>
      <c r="BW260" s="93">
        <f>IF(AND($T260=1,BW$5&lt;=$H260),INDEX(Mortality!$B$4:$E$64,MATCH($D260+BW$5-1,Mortality!$A$4:$A$64,0),$U260)*$V260*$N260,0)</f>
        <v>0</v>
      </c>
      <c r="BX260" s="93">
        <f>IF(AND($T260=1,BX$5&lt;=$H260),INDEX(Mortality!$B$4:$E$64,MATCH($D260+BX$5-1,Mortality!$A$4:$A$64,0),$U260)*$V260*$N260,0)</f>
        <v>0</v>
      </c>
      <c r="BY260" s="93">
        <f>IF(AND($T260=1,BY$5&lt;=$H260),INDEX(Mortality!$B$4:$E$64,MATCH($D260+BY$5-1,Mortality!$A$4:$A$64,0),$U260)*$V260*$N260,0)</f>
        <v>0</v>
      </c>
      <c r="BZ260" s="93">
        <f>IF(AND($T260=1,BZ$5&lt;=$H260),INDEX(Mortality!$B$4:$E$64,MATCH($D260+BZ$5-1,Mortality!$A$4:$A$64,0),$U260)*$V260*$N260,0)</f>
        <v>0</v>
      </c>
      <c r="CA260" s="93">
        <f>IF(AND($T260=1,CA$5&lt;=$H260),INDEX(Mortality!$B$4:$E$64,MATCH($D260+CA$5-1,Mortality!$A$4:$A$64,0),$U260)*$V260*$N260,0)</f>
        <v>0</v>
      </c>
      <c r="CB260" s="93">
        <f>IF(AND($T260=1,CB$5&lt;=$H260),INDEX(Mortality!$B$4:$E$64,MATCH($D260+CB$5-1,Mortality!$A$4:$A$64,0),$U260)*$V260*$N260,0)</f>
        <v>0</v>
      </c>
      <c r="CC260" s="93">
        <f>IF(AND($T260=1,CC$5&lt;=$H260),INDEX(Mortality!$B$4:$E$64,MATCH($D260+CC$5-1,Mortality!$A$4:$A$64,0),$U260)*$V260*$N260,0)</f>
        <v>0</v>
      </c>
      <c r="CD260" s="93">
        <f>IF(AND($T260=1,CD$5&lt;=$H260),INDEX(Mortality!$B$4:$E$64,MATCH($D260+CD$5-1,Mortality!$A$4:$A$64,0),$U260)*$V260*$N260,0)</f>
        <v>0</v>
      </c>
      <c r="CE260" s="93">
        <f>IF(AND($T260=1,CE$5&lt;=$H260),INDEX(Mortality!$B$4:$E$64,MATCH($D260+CE$5-1,Mortality!$A$4:$A$64,0),$U260)*$V260*$N260,0)</f>
        <v>0</v>
      </c>
      <c r="CF260" s="93">
        <f>IF(AND($T260=1,CF$5&lt;=$H260),INDEX(Mortality!$B$4:$E$64,MATCH($D260+CF$5-1,Mortality!$A$4:$A$64,0),$U260)*$V260*$N260,0)</f>
        <v>0</v>
      </c>
      <c r="CG260" s="93">
        <f>IF(AND($T260=1,CG$5&lt;=$H260),INDEX(Mortality!$B$4:$E$64,MATCH($D260+CG$5-1,Mortality!$A$4:$A$64,0),$U260)*$V260*$N260,0)</f>
        <v>0</v>
      </c>
      <c r="CH260" s="94">
        <f>IF(AND($T260=1,CH$5&lt;=$H260),INDEX(Mortality!$B$4:$E$64,MATCH($D260+CH$5-1,Mortality!$A$4:$A$64,0),$U260)*$V260*$N260,0)</f>
        <v>0</v>
      </c>
      <c r="CI260" s="26"/>
      <c r="CJ260" s="419">
        <f t="shared" si="89"/>
        <v>1</v>
      </c>
      <c r="CK260" s="93">
        <f>IF(AND($T260=1,CK$5&lt;=$H260),CJ260*(1-AU260)*(1-MIN(1,MAX(Assumptions!$C$27,Assumptions!$C$13*Assumptions!$C$28^(CJ$5-1))*$O260)),0)</f>
        <v>0.87926403971724132</v>
      </c>
      <c r="CL260" s="93">
        <f>IF(AND($T260=1,CL$5&lt;=$H260),CK260*(1-AV260)*(1-MIN(1,MAX(Assumptions!$C$27,Assumptions!$C$13*Assumptions!$C$28^(CK$5-1))*$O260)),0)</f>
        <v>0.7888637702982475</v>
      </c>
      <c r="CM260" s="93">
        <f>IF(AND($T260=1,CM$5&lt;=$H260),CL260*(1-AW260)*(1-MIN(1,MAX(Assumptions!$C$27,Assumptions!$C$13*Assumptions!$C$28^(CL$5-1))*$O260)),0)</f>
        <v>0.71976219207144021</v>
      </c>
      <c r="CN260" s="93">
        <f>IF(AND($T260=1,CN$5&lt;=$H260),CM260*(1-AX260)*(1-MIN(1,MAX(Assumptions!$C$27,Assumptions!$C$13*Assumptions!$C$28^(CM$5-1))*$O260)),0)</f>
        <v>0.66601048189250389</v>
      </c>
      <c r="CO260" s="93">
        <f>IF(AND($T260=1,CO$5&lt;=$H260),CN260*(1-AY260)*(1-MIN(1,MAX(Assumptions!$C$27,Assumptions!$C$13*Assumptions!$C$28^(CN$5-1))*$O260)),0)</f>
        <v>0.62357207887367883</v>
      </c>
      <c r="CP260" s="93">
        <f>IF(AND($T260=1,CP$5&lt;=$H260),CO260*(1-AZ260)*(1-MIN(1,MAX(Assumptions!$C$27,Assumptions!$C$13*Assumptions!$C$28^(CO$5-1))*$O260)),0)</f>
        <v>0.58963363973756611</v>
      </c>
      <c r="CQ260" s="93">
        <f>IF(AND($T260=1,CQ$5&lt;=$H260),CP260*(1-BA260)*(1-MIN(1,MAX(Assumptions!$C$27,Assumptions!$C$13*Assumptions!$C$28^(CP$5-1))*$O260)),0)</f>
        <v>0.56218718067980111</v>
      </c>
      <c r="CR260" s="93">
        <f>IF(AND($T260=1,CR$5&lt;=$H260),CQ260*(1-BB260)*(1-MIN(1,MAX(Assumptions!$C$27,Assumptions!$C$13*Assumptions!$C$28^(CQ$5-1))*$O260)),0)</f>
        <v>0.53976881616153627</v>
      </c>
      <c r="CS260" s="93">
        <f>IF(AND($T260=1,CS$5&lt;=$H260),CR260*(1-BC260)*(1-MIN(1,MAX(Assumptions!$C$27,Assumptions!$C$13*Assumptions!$C$28^(CR$5-1))*$O260)),0)</f>
        <v>0.52129087647259187</v>
      </c>
      <c r="CT260" s="93">
        <f>IF(AND($T260=1,CT$5&lt;=$H260),CS260*(1-BD260)*(1-MIN(1,MAX(Assumptions!$C$27,Assumptions!$C$13*Assumptions!$C$28^(CS$5-1))*$O260)),0)</f>
        <v>0</v>
      </c>
      <c r="CU260" s="93">
        <f>IF(AND($T260=1,CU$5&lt;=$H260),CT260*(1-BE260)*(1-MIN(1,MAX(Assumptions!$C$27,Assumptions!$C$13*Assumptions!$C$28^(CT$5-1))*$O260)),0)</f>
        <v>0</v>
      </c>
      <c r="CV260" s="93">
        <f>IF(AND($T260=1,CV$5&lt;=$H260),CU260*(1-BF260)*(1-MIN(1,MAX(Assumptions!$C$27,Assumptions!$C$13*Assumptions!$C$28^(CU$5-1))*$O260)),0)</f>
        <v>0</v>
      </c>
      <c r="CW260" s="93">
        <f>IF(AND($T260=1,CW$5&lt;=$H260),CV260*(1-BG260)*(1-MIN(1,MAX(Assumptions!$C$27,Assumptions!$C$13*Assumptions!$C$28^(CV$5-1))*$O260)),0)</f>
        <v>0</v>
      </c>
      <c r="CX260" s="93">
        <f>IF(AND($T260=1,CX$5&lt;=$H260),CW260*(1-BH260)*(1-MIN(1,MAX(Assumptions!$C$27,Assumptions!$C$13*Assumptions!$C$28^(CW$5-1))*$O260)),0)</f>
        <v>0</v>
      </c>
      <c r="CY260" s="93">
        <f>IF(AND($T260=1,CY$5&lt;=$H260),CX260*(1-BI260)*(1-MIN(1,MAX(Assumptions!$C$27,Assumptions!$C$13*Assumptions!$C$28^(CX$5-1))*$O260)),0)</f>
        <v>0</v>
      </c>
      <c r="CZ260" s="93">
        <f>IF(AND($T260=1,CZ$5&lt;=$H260),CY260*(1-BJ260)*(1-MIN(1,MAX(Assumptions!$C$27,Assumptions!$C$13*Assumptions!$C$28^(CY$5-1))*$O260)),0)</f>
        <v>0</v>
      </c>
      <c r="DA260" s="93">
        <f>IF(AND($T260=1,DA$5&lt;=$H260),CZ260*(1-BK260)*(1-MIN(1,MAX(Assumptions!$C$27,Assumptions!$C$13*Assumptions!$C$28^(CZ$5-1))*$O260)),0)</f>
        <v>0</v>
      </c>
      <c r="DB260" s="93">
        <f>IF(AND($T260=1,DB$5&lt;=$H260),DA260*(1-BL260)*(1-MIN(1,MAX(Assumptions!$C$27,Assumptions!$C$13*Assumptions!$C$28^(DA$5-1))*$O260)),0)</f>
        <v>0</v>
      </c>
      <c r="DC260" s="93">
        <f>IF(AND($T260=1,DC$5&lt;=$H260),DB260*(1-BM260)*(1-MIN(1,MAX(Assumptions!$C$27,Assumptions!$C$13*Assumptions!$C$28^(DB$5-1))*$O260)),0)</f>
        <v>0</v>
      </c>
      <c r="DD260" s="93">
        <f>IF(AND($T260=1,DD$5&lt;=$H260),DC260*(1-BN260)*(1-MIN(1,MAX(Assumptions!$C$27,Assumptions!$C$13*Assumptions!$C$28^(DC$5-1))*$O260)),0)</f>
        <v>0</v>
      </c>
      <c r="DE260" s="93">
        <f>IF(AND($T260=1,DE$5&lt;=$H260),DD260*(1-BO260)*(1-MIN(1,MAX(Assumptions!$C$27,Assumptions!$C$13*Assumptions!$C$28^(DD$5-1))*$O260)),0)</f>
        <v>0</v>
      </c>
      <c r="DF260" s="93">
        <f>IF(AND($T260=1,DF$5&lt;=$H260),DE260*(1-BP260)*(1-MIN(1,MAX(Assumptions!$C$27,Assumptions!$C$13*Assumptions!$C$28^(DE$5-1))*$O260)),0)</f>
        <v>0</v>
      </c>
      <c r="DG260" s="93">
        <f>IF(AND($T260=1,DG$5&lt;=$H260),DF260*(1-BQ260)*(1-MIN(1,MAX(Assumptions!$C$27,Assumptions!$C$13*Assumptions!$C$28^(DF$5-1))*$O260)),0)</f>
        <v>0</v>
      </c>
      <c r="DH260" s="93">
        <f>IF(AND($T260=1,DH$5&lt;=$H260),DG260*(1-BR260)*(1-MIN(1,MAX(Assumptions!$C$27,Assumptions!$C$13*Assumptions!$C$28^(DG$5-1))*$O260)),0)</f>
        <v>0</v>
      </c>
      <c r="DI260" s="93">
        <f>IF(AND($T260=1,DI$5&lt;=$H260),DH260*(1-BS260)*(1-MIN(1,MAX(Assumptions!$C$27,Assumptions!$C$13*Assumptions!$C$28^(DH$5-1))*$O260)),0)</f>
        <v>0</v>
      </c>
      <c r="DJ260" s="93">
        <f>IF(AND($T260=1,DJ$5&lt;=$H260),DI260*(1-BT260)*(1-MIN(1,MAX(Assumptions!$C$27,Assumptions!$C$13*Assumptions!$C$28^(DI$5-1))*$O260)),0)</f>
        <v>0</v>
      </c>
      <c r="DK260" s="93">
        <f>IF(AND($T260=1,DK$5&lt;=$H260),DJ260*(1-BU260)*(1-MIN(1,MAX(Assumptions!$C$27,Assumptions!$C$13*Assumptions!$C$28^(DJ$5-1))*$O260)),0)</f>
        <v>0</v>
      </c>
      <c r="DL260" s="93">
        <f>IF(AND($T260=1,DL$5&lt;=$H260),DK260*(1-BV260)*(1-MIN(1,MAX(Assumptions!$C$27,Assumptions!$C$13*Assumptions!$C$28^(DK$5-1))*$O260)),0)</f>
        <v>0</v>
      </c>
      <c r="DM260" s="93">
        <f>IF(AND($T260=1,DM$5&lt;=$H260),DL260*(1-BW260)*(1-MIN(1,MAX(Assumptions!$C$27,Assumptions!$C$13*Assumptions!$C$28^(DL$5-1))*$O260)),0)</f>
        <v>0</v>
      </c>
      <c r="DN260" s="93">
        <f>IF(AND($T260=1,DN$5&lt;=$H260),DM260*(1-BX260)*(1-MIN(1,MAX(Assumptions!$C$27,Assumptions!$C$13*Assumptions!$C$28^(DM$5-1))*$O260)),0)</f>
        <v>0</v>
      </c>
      <c r="DO260" s="93">
        <f>IF(AND($T260=1,DO$5&lt;=$H260),DN260*(1-BY260)*(1-MIN(1,MAX(Assumptions!$C$27,Assumptions!$C$13*Assumptions!$C$28^(DN$5-1))*$O260)),0)</f>
        <v>0</v>
      </c>
      <c r="DP260" s="93">
        <f>IF(AND($T260=1,DP$5&lt;=$H260),DO260*(1-BZ260)*(1-MIN(1,MAX(Assumptions!$C$27,Assumptions!$C$13*Assumptions!$C$28^(DO$5-1))*$O260)),0)</f>
        <v>0</v>
      </c>
      <c r="DQ260" s="93">
        <f>IF(AND($T260=1,DQ$5&lt;=$H260),DP260*(1-CA260)*(1-MIN(1,MAX(Assumptions!$C$27,Assumptions!$C$13*Assumptions!$C$28^(DP$5-1))*$O260)),0)</f>
        <v>0</v>
      </c>
      <c r="DR260" s="93">
        <f>IF(AND($T260=1,DR$5&lt;=$H260),DQ260*(1-CB260)*(1-MIN(1,MAX(Assumptions!$C$27,Assumptions!$C$13*Assumptions!$C$28^(DQ$5-1))*$O260)),0)</f>
        <v>0</v>
      </c>
      <c r="DS260" s="93">
        <f>IF(AND($T260=1,DS$5&lt;=$H260),DR260*(1-CC260)*(1-MIN(1,MAX(Assumptions!$C$27,Assumptions!$C$13*Assumptions!$C$28^(DR$5-1))*$O260)),0)</f>
        <v>0</v>
      </c>
      <c r="DT260" s="93">
        <f>IF(AND($T260=1,DT$5&lt;=$H260),DS260*(1-CD260)*(1-MIN(1,MAX(Assumptions!$C$27,Assumptions!$C$13*Assumptions!$C$28^(DS$5-1))*$O260)),0)</f>
        <v>0</v>
      </c>
      <c r="DU260" s="93">
        <f>IF(AND($T260=1,DU$5&lt;=$H260),DT260*(1-CE260)*(1-MIN(1,MAX(Assumptions!$C$27,Assumptions!$C$13*Assumptions!$C$28^(DT$5-1))*$O260)),0)</f>
        <v>0</v>
      </c>
      <c r="DV260" s="93">
        <f>IF(AND($T260=1,DV$5&lt;=$H260),DU260*(1-CF260)*(1-MIN(1,MAX(Assumptions!$C$27,Assumptions!$C$13*Assumptions!$C$28^(DU$5-1))*$O260)),0)</f>
        <v>0</v>
      </c>
      <c r="DW260" s="94">
        <f>IF(AND($T260=1,DW$5&lt;=$H260),DV260*(1-CG260)*(1-MIN(1,MAX(Assumptions!$C$27,Assumptions!$C$13*Assumptions!$C$28^(DV$5-1))*$O260)),0)</f>
        <v>0</v>
      </c>
      <c r="DX260" s="26"/>
      <c r="DY260" s="399">
        <f>'Policy Data'!K234</f>
        <v>6</v>
      </c>
      <c r="DZ260" s="100">
        <f>'Policy Data'!L234</f>
        <v>0.63870000000000005</v>
      </c>
      <c r="EA260" s="100">
        <f>'Policy Data'!N234</f>
        <v>5.3399999999999997E-4</v>
      </c>
      <c r="EB260" s="93" cm="1">
        <f t="array" ref="EB260">IFERROR(DZ260*INDEX(Mortality!$B$4:$E$64,MATCH(D260+DY260-1,Mortality!$A$4:$A$64,0),U260)*V260,0)</f>
        <v>7.9686804998789029E-4</v>
      </c>
      <c r="EC260" s="100">
        <f>'Policy Data'!O234</f>
        <v>0</v>
      </c>
      <c r="ED260" s="400">
        <f>'Policy Data'!Q234</f>
        <v>0</v>
      </c>
    </row>
    <row r="261" spans="1:134" x14ac:dyDescent="0.3">
      <c r="A261" s="399" t="str">
        <f>'Policy Data'!A235</f>
        <v>POL100231</v>
      </c>
      <c r="B261" s="26" t="s">
        <v>426</v>
      </c>
      <c r="C261" s="100" t="str">
        <f>'Policy Data'!B235</f>
        <v>Term Life</v>
      </c>
      <c r="D261" s="100">
        <f>'Policy Data'!C235</f>
        <v>35</v>
      </c>
      <c r="E261" s="100" t="str">
        <f>'Policy Data'!D235</f>
        <v>Female</v>
      </c>
      <c r="F261" s="100" t="str">
        <f>'Policy Data'!E235</f>
        <v>Non-smoker</v>
      </c>
      <c r="G261" s="100" t="str">
        <f>'Policy Data'!F235</f>
        <v>Preferred</v>
      </c>
      <c r="H261" s="100">
        <f>'Policy Data'!G235</f>
        <v>20</v>
      </c>
      <c r="I261" s="279">
        <f>'Policy Data'!H235</f>
        <v>250000</v>
      </c>
      <c r="J261" s="100" t="str">
        <f>'Policy Data'!I235</f>
        <v>Annual</v>
      </c>
      <c r="K261" s="100" t="str">
        <f>'Policy Data'!J235</f>
        <v>Broker</v>
      </c>
      <c r="L261" s="26" t="s">
        <v>389</v>
      </c>
      <c r="M261" s="106">
        <f>'Policy Data'!R235</f>
        <v>1200</v>
      </c>
      <c r="N261" s="415">
        <f>Assumptions!$C$21</f>
        <v>1</v>
      </c>
      <c r="O261" s="415">
        <f>Assumptions!$C$22</f>
        <v>1</v>
      </c>
      <c r="P261" s="415">
        <f>Assumptions!$C$23</f>
        <v>1</v>
      </c>
      <c r="Q261" s="416">
        <f>Assumptions!$C$24</f>
        <v>0</v>
      </c>
      <c r="R261" s="416">
        <f>Assumptions!$C$6+Assumptions!$C$25</f>
        <v>3.5000000000000003E-2</v>
      </c>
      <c r="S261" s="416">
        <f>Assumptions!$C$15</f>
        <v>1.1000000000000001E-3</v>
      </c>
      <c r="T261" s="26">
        <f t="shared" si="72"/>
        <v>1</v>
      </c>
      <c r="U261" s="26">
        <f t="shared" si="73"/>
        <v>1</v>
      </c>
      <c r="V261" s="389">
        <f>IF($G261="Preferred",Assumptions!$C$30,IF($G261="Rated",Assumptions!$C$31,1))</f>
        <v>0.8</v>
      </c>
      <c r="W261" s="390">
        <f>IF($K261="Direct",Assumptions!$C$32,IF($K261="Broker",Assumptions!$C$33,IF($K261="Bancassurance",Assumptions!$C$34,Assumptions!$C$11)))+$Q261</f>
        <v>0.25</v>
      </c>
      <c r="X261" s="390">
        <f>Assumptions!$C$12+$Q261</f>
        <v>0.05</v>
      </c>
      <c r="Y261" s="131">
        <f>MIN($I261,Assumptions!$C$14)</f>
        <v>250000</v>
      </c>
      <c r="Z261" s="131">
        <f>MAX($I261-Assumptions!$C$14,0)</f>
        <v>0</v>
      </c>
      <c r="AA261" s="389">
        <f t="shared" si="74"/>
        <v>8.5958191349887265</v>
      </c>
      <c r="AB261" s="389">
        <f t="shared" si="75"/>
        <v>7.6121855610774888E-3</v>
      </c>
      <c r="AC261" s="389">
        <f>IF($T261=1,SUMPRODUCT($CJ261:$DW261,(1+Assumptions!$C$5)^($CJ$5:$DW$5-1),(1+$R261)^(-$CJ$5:$DW$5)),0)</f>
        <v>11.572188614681842</v>
      </c>
      <c r="AD261" s="389">
        <f t="shared" si="76"/>
        <v>0.62302767172528184</v>
      </c>
      <c r="AE261" s="131">
        <f>IF($T261=1,$AB261*$Y261+(Assumptions!$C$9/(1+$R261)+Assumptions!$C$10*$AC261)*$P261+$S261*$Z261*$AA261,0)</f>
        <v>5318.4931028906822</v>
      </c>
      <c r="AF261" s="131">
        <f>IF($T261=1,IF($AA261-$AD261-Assumptions!$C$16*$AA261&gt;0,$AE261/($AA261-$AD261-Assumptions!$C$16*$AA261)*IF($J261="Monthly",1+Assumptions!$C$29,1),"n.a."),"")</f>
        <v>730.04820399742778</v>
      </c>
      <c r="AG261" s="131">
        <f t="shared" si="77"/>
        <v>1200</v>
      </c>
      <c r="AH261" s="131">
        <f t="shared" si="78"/>
        <v>10314.982961986472</v>
      </c>
      <c r="AI261" s="131">
        <f t="shared" si="79"/>
        <v>4248.8566530254511</v>
      </c>
      <c r="AJ261" s="390">
        <f t="shared" si="80"/>
        <v>0.41191116540702466</v>
      </c>
      <c r="AK261" s="389">
        <f t="shared" si="81"/>
        <v>1.6437270764167622</v>
      </c>
      <c r="AL261" s="131">
        <f t="shared" si="82"/>
        <v>0</v>
      </c>
      <c r="AM261" s="131">
        <f t="shared" si="83"/>
        <v>0</v>
      </c>
      <c r="AN261" s="131">
        <f t="shared" si="84"/>
        <v>0</v>
      </c>
      <c r="AO261" s="131">
        <f t="shared" si="85"/>
        <v>4248.8566530254511</v>
      </c>
      <c r="AP261" s="26" t="str">
        <f t="shared" si="86"/>
        <v>30-39</v>
      </c>
      <c r="AQ261" s="26" t="str">
        <f t="shared" si="87"/>
        <v>Up to 250k</v>
      </c>
      <c r="AR261" s="26" t="str">
        <f>IF($T261=1,IF($AI261&lt;0,"Loss-making",IF($AJ261&lt;Assumptions!$C$16-0.00001,"Below target","At/above target")),"Excluded")</f>
        <v>At/above target</v>
      </c>
      <c r="AS261" s="103">
        <f t="shared" si="88"/>
        <v>4248.8569140254513</v>
      </c>
      <c r="AT261" s="26"/>
      <c r="AU261" s="419">
        <f>IF(AND($T261=1,AU$5&lt;=$H261),INDEX(Mortality!$B$4:$E$64,MATCH($D261+AU$5-1,Mortality!$A$4:$A$64,0),$U261)*$V261*$N261,0)</f>
        <v>4.5649835747822877E-4</v>
      </c>
      <c r="AV261" s="93">
        <f>IF(AND($T261=1,AV$5&lt;=$H261),INDEX(Mortality!$B$4:$E$64,MATCH($D261+AV$5-1,Mortality!$A$4:$A$64,0),$U261)*$V261*$N261,0)</f>
        <v>4.9451876707102562E-4</v>
      </c>
      <c r="AW261" s="93">
        <f>IF(AND($T261=1,AW$5&lt;=$H261),INDEX(Mortality!$B$4:$E$64,MATCH($D261+AW$5-1,Mortality!$A$4:$A$64,0),$U261)*$V261*$N261,0)</f>
        <v>5.3570578509060725E-4</v>
      </c>
      <c r="AX261" s="93">
        <f>IF(AND($T261=1,AX$5&lt;=$H261),INDEX(Mortality!$B$4:$E$64,MATCH($D261+AX$5-1,Mortality!$A$4:$A$64,0),$U261)*$V261*$N261,0)</f>
        <v>5.8032314906731523E-4</v>
      </c>
      <c r="AY261" s="93">
        <f>IF(AND($T261=1,AY$5&lt;=$H261),INDEX(Mortality!$B$4:$E$64,MATCH($D261+AY$5-1,Mortality!$A$4:$A$64,0),$U261)*$V261*$N261,0)</f>
        <v>6.2865656245702963E-4</v>
      </c>
      <c r="AZ261" s="93">
        <f>IF(AND($T261=1,AZ$5&lt;=$H261),INDEX(Mortality!$B$4:$E$64,MATCH($D261+AZ$5-1,Mortality!$A$4:$A$64,0),$U261)*$V261*$N261,0)</f>
        <v>6.8101552411869526E-4</v>
      </c>
      <c r="BA261" s="93">
        <f>IF(AND($T261=1,BA$5&lt;=$H261),INDEX(Mortality!$B$4:$E$64,MATCH($D261+BA$5-1,Mortality!$A$4:$A$64,0),$U261)*$V261*$N261,0)</f>
        <v>7.3773531016366645E-4</v>
      </c>
      <c r="BB261" s="93">
        <f>IF(AND($T261=1,BB$5&lt;=$H261),INDEX(Mortality!$B$4:$E$64,MATCH($D261+BB$5-1,Mortality!$A$4:$A$64,0),$U261)*$V261*$N261,0)</f>
        <v>7.9917912086747446E-4</v>
      </c>
      <c r="BC261" s="93">
        <f>IF(AND($T261=1,BC$5&lt;=$H261),INDEX(Mortality!$B$4:$E$64,MATCH($D261+BC$5-1,Mortality!$A$4:$A$64,0),$U261)*$V261*$N261,0)</f>
        <v>8.6574040639157603E-4</v>
      </c>
      <c r="BD261" s="93">
        <f>IF(AND($T261=1,BD$5&lt;=$H261),INDEX(Mortality!$B$4:$E$64,MATCH($D261+BD$5-1,Mortality!$A$4:$A$64,0),$U261)*$V261*$N261,0)</f>
        <v>9.37845386207656E-4</v>
      </c>
      <c r="BE261" s="93">
        <f>IF(AND($T261=1,BE$5&lt;=$H261),INDEX(Mortality!$B$4:$E$64,MATCH($D261+BE$5-1,Mortality!$A$4:$A$64,0),$U261)*$V261*$N261,0)</f>
        <v>1.0159557783573842E-3</v>
      </c>
      <c r="BF261" s="93">
        <f>IF(AND($T261=1,BF$5&lt;=$H261),INDEX(Mortality!$B$4:$E$64,MATCH($D261+BF$5-1,Mortality!$A$4:$A$64,0),$U261)*$V261*$N261,0)</f>
        <v>1.1005717560242001E-3</v>
      </c>
      <c r="BG261" s="93">
        <f>IF(AND($T261=1,BG$5&lt;=$H261),INDEX(Mortality!$B$4:$E$64,MATCH($D261+BG$5-1,Mortality!$A$4:$A$64,0),$U261)*$V261*$N261,0)</f>
        <v>1.1922351503493361E-3</v>
      </c>
      <c r="BH261" s="93">
        <f>IF(AND($T261=1,BH$5&lt;=$H261),INDEX(Mortality!$B$4:$E$64,MATCH($D261+BH$5-1,Mortality!$A$4:$A$64,0),$U261)*$V261*$N261,0)</f>
        <v>1.2915329200009441E-3</v>
      </c>
      <c r="BI261" s="93">
        <f>IF(AND($T261=1,BI$5&lt;=$H261),INDEX(Mortality!$B$4:$E$64,MATCH($D261+BI$5-1,Mortality!$A$4:$A$64,0),$U261)*$V261*$N261,0)</f>
        <v>1.3991009097135041E-3</v>
      </c>
      <c r="BJ261" s="93">
        <f>IF(AND($T261=1,BJ$5&lt;=$H261),INDEX(Mortality!$B$4:$E$64,MATCH($D261+BJ$5-1,Mortality!$A$4:$A$64,0),$U261)*$V261*$N261,0)</f>
        <v>1.5156279218649042E-3</v>
      </c>
      <c r="BK261" s="93">
        <f>IF(AND($T261=1,BK$5&lt;=$H261),INDEX(Mortality!$B$4:$E$64,MATCH($D261+BK$5-1,Mortality!$A$4:$A$64,0),$U261)*$V261*$N261,0)</f>
        <v>1.641860127163328E-3</v>
      </c>
      <c r="BL261" s="93">
        <f>IF(AND($T261=1,BL$5&lt;=$H261),INDEX(Mortality!$B$4:$E$64,MATCH($D261+BL$5-1,Mortality!$A$4:$A$64,0),$U261)*$V261*$N261,0)</f>
        <v>1.7786058426871921E-3</v>
      </c>
      <c r="BM261" s="93">
        <f>IF(AND($T261=1,BM$5&lt;=$H261),INDEX(Mortality!$B$4:$E$64,MATCH($D261+BM$5-1,Mortality!$A$4:$A$64,0),$U261)*$V261*$N261,0)</f>
        <v>1.92674070787416E-3</v>
      </c>
      <c r="BN261" s="93">
        <f>IF(AND($T261=1,BN$5&lt;=$H261),INDEX(Mortality!$B$4:$E$64,MATCH($D261+BN$5-1,Mortality!$A$4:$A$64,0),$U261)*$V261*$N261,0)</f>
        <v>2.087213291602968E-3</v>
      </c>
      <c r="BO261" s="93">
        <f>IF(AND($T261=1,BO$5&lt;=$H261),INDEX(Mortality!$B$4:$E$64,MATCH($D261+BO$5-1,Mortality!$A$4:$A$64,0),$U261)*$V261*$N261,0)</f>
        <v>0</v>
      </c>
      <c r="BP261" s="93">
        <f>IF(AND($T261=1,BP$5&lt;=$H261),INDEX(Mortality!$B$4:$E$64,MATCH($D261+BP$5-1,Mortality!$A$4:$A$64,0),$U261)*$V261*$N261,0)</f>
        <v>0</v>
      </c>
      <c r="BQ261" s="93">
        <f>IF(AND($T261=1,BQ$5&lt;=$H261),INDEX(Mortality!$B$4:$E$64,MATCH($D261+BQ$5-1,Mortality!$A$4:$A$64,0),$U261)*$V261*$N261,0)</f>
        <v>0</v>
      </c>
      <c r="BR261" s="93">
        <f>IF(AND($T261=1,BR$5&lt;=$H261),INDEX(Mortality!$B$4:$E$64,MATCH($D261+BR$5-1,Mortality!$A$4:$A$64,0),$U261)*$V261*$N261,0)</f>
        <v>0</v>
      </c>
      <c r="BS261" s="93">
        <f>IF(AND($T261=1,BS$5&lt;=$H261),INDEX(Mortality!$B$4:$E$64,MATCH($D261+BS$5-1,Mortality!$A$4:$A$64,0),$U261)*$V261*$N261,0)</f>
        <v>0</v>
      </c>
      <c r="BT261" s="93">
        <f>IF(AND($T261=1,BT$5&lt;=$H261),INDEX(Mortality!$B$4:$E$64,MATCH($D261+BT$5-1,Mortality!$A$4:$A$64,0),$U261)*$V261*$N261,0)</f>
        <v>0</v>
      </c>
      <c r="BU261" s="93">
        <f>IF(AND($T261=1,BU$5&lt;=$H261),INDEX(Mortality!$B$4:$E$64,MATCH($D261+BU$5-1,Mortality!$A$4:$A$64,0),$U261)*$V261*$N261,0)</f>
        <v>0</v>
      </c>
      <c r="BV261" s="93">
        <f>IF(AND($T261=1,BV$5&lt;=$H261),INDEX(Mortality!$B$4:$E$64,MATCH($D261+BV$5-1,Mortality!$A$4:$A$64,0),$U261)*$V261*$N261,0)</f>
        <v>0</v>
      </c>
      <c r="BW261" s="93">
        <f>IF(AND($T261=1,BW$5&lt;=$H261),INDEX(Mortality!$B$4:$E$64,MATCH($D261+BW$5-1,Mortality!$A$4:$A$64,0),$U261)*$V261*$N261,0)</f>
        <v>0</v>
      </c>
      <c r="BX261" s="93">
        <f>IF(AND($T261=1,BX$5&lt;=$H261),INDEX(Mortality!$B$4:$E$64,MATCH($D261+BX$5-1,Mortality!$A$4:$A$64,0),$U261)*$V261*$N261,0)</f>
        <v>0</v>
      </c>
      <c r="BY261" s="93">
        <f>IF(AND($T261=1,BY$5&lt;=$H261),INDEX(Mortality!$B$4:$E$64,MATCH($D261+BY$5-1,Mortality!$A$4:$A$64,0),$U261)*$V261*$N261,0)</f>
        <v>0</v>
      </c>
      <c r="BZ261" s="93">
        <f>IF(AND($T261=1,BZ$5&lt;=$H261),INDEX(Mortality!$B$4:$E$64,MATCH($D261+BZ$5-1,Mortality!$A$4:$A$64,0),$U261)*$V261*$N261,0)</f>
        <v>0</v>
      </c>
      <c r="CA261" s="93">
        <f>IF(AND($T261=1,CA$5&lt;=$H261),INDEX(Mortality!$B$4:$E$64,MATCH($D261+CA$5-1,Mortality!$A$4:$A$64,0),$U261)*$V261*$N261,0)</f>
        <v>0</v>
      </c>
      <c r="CB261" s="93">
        <f>IF(AND($T261=1,CB$5&lt;=$H261),INDEX(Mortality!$B$4:$E$64,MATCH($D261+CB$5-1,Mortality!$A$4:$A$64,0),$U261)*$V261*$N261,0)</f>
        <v>0</v>
      </c>
      <c r="CC261" s="93">
        <f>IF(AND($T261=1,CC$5&lt;=$H261),INDEX(Mortality!$B$4:$E$64,MATCH($D261+CC$5-1,Mortality!$A$4:$A$64,0),$U261)*$V261*$N261,0)</f>
        <v>0</v>
      </c>
      <c r="CD261" s="93">
        <f>IF(AND($T261=1,CD$5&lt;=$H261),INDEX(Mortality!$B$4:$E$64,MATCH($D261+CD$5-1,Mortality!$A$4:$A$64,0),$U261)*$V261*$N261,0)</f>
        <v>0</v>
      </c>
      <c r="CE261" s="93">
        <f>IF(AND($T261=1,CE$5&lt;=$H261),INDEX(Mortality!$B$4:$E$64,MATCH($D261+CE$5-1,Mortality!$A$4:$A$64,0),$U261)*$V261*$N261,0)</f>
        <v>0</v>
      </c>
      <c r="CF261" s="93">
        <f>IF(AND($T261=1,CF$5&lt;=$H261),INDEX(Mortality!$B$4:$E$64,MATCH($D261+CF$5-1,Mortality!$A$4:$A$64,0),$U261)*$V261*$N261,0)</f>
        <v>0</v>
      </c>
      <c r="CG261" s="93">
        <f>IF(AND($T261=1,CG$5&lt;=$H261),INDEX(Mortality!$B$4:$E$64,MATCH($D261+CG$5-1,Mortality!$A$4:$A$64,0),$U261)*$V261*$N261,0)</f>
        <v>0</v>
      </c>
      <c r="CH261" s="94">
        <f>IF(AND($T261=1,CH$5&lt;=$H261),INDEX(Mortality!$B$4:$E$64,MATCH($D261+CH$5-1,Mortality!$A$4:$A$64,0),$U261)*$V261*$N261,0)</f>
        <v>0</v>
      </c>
      <c r="CI261" s="26"/>
      <c r="CJ261" s="419">
        <f t="shared" si="89"/>
        <v>1</v>
      </c>
      <c r="CK261" s="93">
        <f>IF(AND($T261=1,CK$5&lt;=$H261),CJ261*(1-AU261)*(1-MIN(1,MAX(Assumptions!$C$27,Assumptions!$C$13*Assumptions!$C$28^(CJ$5-1))*$O261)),0)</f>
        <v>0.87959828144541918</v>
      </c>
      <c r="CL261" s="93">
        <f>IF(AND($T261=1,CL$5&lt;=$H261),CK261*(1-AV261)*(1-MIN(1,MAX(Assumptions!$C$27,Assumptions!$C$13*Assumptions!$C$28^(CK$5-1))*$O261)),0)</f>
        <v>0.7894886466218094</v>
      </c>
      <c r="CM261" s="93">
        <f>IF(AND($T261=1,CM$5&lt;=$H261),CL261*(1-AW261)*(1-MIN(1,MAX(Assumptions!$C$27,Assumptions!$C$13*Assumptions!$C$28^(CL$5-1))*$O261)),0)</f>
        <v>0.72065371567061676</v>
      </c>
      <c r="CN261" s="93">
        <f>IF(AND($T261=1,CN$5&lt;=$H261),CM261*(1-AX261)*(1-MIN(1,MAX(Assumptions!$C$27,Assumptions!$C$13*Assumptions!$C$28^(CM$5-1))*$O261)),0)</f>
        <v>0.66715774819642659</v>
      </c>
      <c r="CO261" s="93">
        <f>IF(AND($T261=1,CO$5&lt;=$H261),CN261*(1-AY261)*(1-MIN(1,MAX(Assumptions!$C$27,Assumptions!$C$13*Assumptions!$C$28^(CN$5-1))*$O261)),0)</f>
        <v>0.62497334573542418</v>
      </c>
      <c r="CP261" s="93">
        <f>IF(AND($T261=1,CP$5&lt;=$H261),CO261*(1-AZ261)*(1-MIN(1,MAX(Assumptions!$C$27,Assumptions!$C$13*Assumptions!$C$28^(CO$5-1))*$O261)),0)</f>
        <v>0.59129391174292412</v>
      </c>
      <c r="CQ261" s="93">
        <f>IF(AND($T261=1,CQ$5&lt;=$H261),CP261*(1-BA261)*(1-MIN(1,MAX(Assumptions!$C$27,Assumptions!$C$13*Assumptions!$C$28^(CP$5-1))*$O261)),0)</f>
        <v>0.56411669020371724</v>
      </c>
      <c r="CR261" s="93">
        <f>IF(AND($T261=1,CR$5&lt;=$H261),CQ261*(1-BB261)*(1-MIN(1,MAX(Assumptions!$C$27,Assumptions!$C$13*Assumptions!$C$28^(CQ$5-1))*$O261)),0)</f>
        <v>0.54198205670664745</v>
      </c>
      <c r="CS261" s="93">
        <f>IF(AND($T261=1,CS$5&lt;=$H261),CR261*(1-BC261)*(1-MIN(1,MAX(Assumptions!$C$27,Assumptions!$C$13*Assumptions!$C$28^(CR$5-1))*$O261)),0)</f>
        <v>0.52380598673942103</v>
      </c>
      <c r="CT261" s="93">
        <f>IF(AND($T261=1,CT$5&lt;=$H261),CS261*(1-BD261)*(1-MIN(1,MAX(Assumptions!$C$27,Assumptions!$C$13*Assumptions!$C$28^(CS$5-1))*$O261)),0)</f>
        <v>0.50876971033224183</v>
      </c>
      <c r="CU261" s="93">
        <f>IF(AND($T261=1,CU$5&lt;=$H261),CT261*(1-BE261)*(1-MIN(1,MAX(Assumptions!$C$27,Assumptions!$C$13*Assumptions!$C$28^(CT$5-1))*$O261)),0)</f>
        <v>0.49624538619586539</v>
      </c>
      <c r="CV261" s="93">
        <f>IF(AND($T261=1,CV$5&lt;=$H261),CU261*(1-BF261)*(1-MIN(1,MAX(Assumptions!$C$27,Assumptions!$C$13*Assumptions!$C$28^(CU$5-1))*$O261)),0)</f>
        <v>0.48574500244364216</v>
      </c>
      <c r="CW261" s="93">
        <f>IF(AND($T261=1,CW$5&lt;=$H261),CV261*(1-BG261)*(1-MIN(1,MAX(Assumptions!$C$27,Assumptions!$C$13*Assumptions!$C$28^(CV$5-1))*$O261)),0)</f>
        <v>0.47546256257406982</v>
      </c>
      <c r="CX261" s="93">
        <f>IF(AND($T261=1,CX$5&lt;=$H261),CW261*(1-BH261)*(1-MIN(1,MAX(Assumptions!$C$27,Assumptions!$C$13*Assumptions!$C$28^(CW$5-1))*$O261)),0)</f>
        <v>0.46535151728183183</v>
      </c>
      <c r="CY261" s="93">
        <f>IF(AND($T261=1,CY$5&lt;=$H261),CX261*(1-BI261)*(1-MIN(1,MAX(Assumptions!$C$27,Assumptions!$C$13*Assumptions!$C$28^(CX$5-1))*$O261)),0)</f>
        <v>0.45540643467965292</v>
      </c>
      <c r="CZ261" s="93">
        <f>IF(AND($T261=1,CZ$5&lt;=$H261),CY261*(1-BJ261)*(1-MIN(1,MAX(Assumptions!$C$27,Assumptions!$C$13*Assumptions!$C$28^(CY$5-1))*$O261)),0)</f>
        <v>0.44562188381202639</v>
      </c>
      <c r="DA261" s="93">
        <f>IF(AND($T261=1,DA$5&lt;=$H261),CZ261*(1-BK261)*(1-MIN(1,MAX(Assumptions!$C$27,Assumptions!$C$13*Assumptions!$C$28^(CZ$5-1))*$O261)),0)</f>
        <v>0.43599243030901996</v>
      </c>
      <c r="DB261" s="93">
        <f>IF(AND($T261=1,DB$5&lt;=$H261),DA261*(1-BL261)*(1-MIN(1,MAX(Assumptions!$C$27,Assumptions!$C$13*Assumptions!$C$28^(DA$5-1))*$O261)),0)</f>
        <v>0.42651263219260288</v>
      </c>
      <c r="DC261" s="93">
        <f>IF(AND($T261=1,DC$5&lt;=$H261),DB261*(1-BM261)*(1-MIN(1,MAX(Assumptions!$C$27,Assumptions!$C$13*Assumptions!$C$28^(DB$5-1))*$O261)),0)</f>
        <v>0.41717703588290017</v>
      </c>
      <c r="DD261" s="93">
        <f>IF(AND($T261=1,DD$5&lt;=$H261),DC261*(1-BN261)*(1-MIN(1,MAX(Assumptions!$C$27,Assumptions!$C$13*Assumptions!$C$28^(DC$5-1))*$O261)),0)</f>
        <v>0</v>
      </c>
      <c r="DE261" s="93">
        <f>IF(AND($T261=1,DE$5&lt;=$H261),DD261*(1-BO261)*(1-MIN(1,MAX(Assumptions!$C$27,Assumptions!$C$13*Assumptions!$C$28^(DD$5-1))*$O261)),0)</f>
        <v>0</v>
      </c>
      <c r="DF261" s="93">
        <f>IF(AND($T261=1,DF$5&lt;=$H261),DE261*(1-BP261)*(1-MIN(1,MAX(Assumptions!$C$27,Assumptions!$C$13*Assumptions!$C$28^(DE$5-1))*$O261)),0)</f>
        <v>0</v>
      </c>
      <c r="DG261" s="93">
        <f>IF(AND($T261=1,DG$5&lt;=$H261),DF261*(1-BQ261)*(1-MIN(1,MAX(Assumptions!$C$27,Assumptions!$C$13*Assumptions!$C$28^(DF$5-1))*$O261)),0)</f>
        <v>0</v>
      </c>
      <c r="DH261" s="93">
        <f>IF(AND($T261=1,DH$5&lt;=$H261),DG261*(1-BR261)*(1-MIN(1,MAX(Assumptions!$C$27,Assumptions!$C$13*Assumptions!$C$28^(DG$5-1))*$O261)),0)</f>
        <v>0</v>
      </c>
      <c r="DI261" s="93">
        <f>IF(AND($T261=1,DI$5&lt;=$H261),DH261*(1-BS261)*(1-MIN(1,MAX(Assumptions!$C$27,Assumptions!$C$13*Assumptions!$C$28^(DH$5-1))*$O261)),0)</f>
        <v>0</v>
      </c>
      <c r="DJ261" s="93">
        <f>IF(AND($T261=1,DJ$5&lt;=$H261),DI261*(1-BT261)*(1-MIN(1,MAX(Assumptions!$C$27,Assumptions!$C$13*Assumptions!$C$28^(DI$5-1))*$O261)),0)</f>
        <v>0</v>
      </c>
      <c r="DK261" s="93">
        <f>IF(AND($T261=1,DK$5&lt;=$H261),DJ261*(1-BU261)*(1-MIN(1,MAX(Assumptions!$C$27,Assumptions!$C$13*Assumptions!$C$28^(DJ$5-1))*$O261)),0)</f>
        <v>0</v>
      </c>
      <c r="DL261" s="93">
        <f>IF(AND($T261=1,DL$5&lt;=$H261),DK261*(1-BV261)*(1-MIN(1,MAX(Assumptions!$C$27,Assumptions!$C$13*Assumptions!$C$28^(DK$5-1))*$O261)),0)</f>
        <v>0</v>
      </c>
      <c r="DM261" s="93">
        <f>IF(AND($T261=1,DM$5&lt;=$H261),DL261*(1-BW261)*(1-MIN(1,MAX(Assumptions!$C$27,Assumptions!$C$13*Assumptions!$C$28^(DL$5-1))*$O261)),0)</f>
        <v>0</v>
      </c>
      <c r="DN261" s="93">
        <f>IF(AND($T261=1,DN$5&lt;=$H261),DM261*(1-BX261)*(1-MIN(1,MAX(Assumptions!$C$27,Assumptions!$C$13*Assumptions!$C$28^(DM$5-1))*$O261)),0)</f>
        <v>0</v>
      </c>
      <c r="DO261" s="93">
        <f>IF(AND($T261=1,DO$5&lt;=$H261),DN261*(1-BY261)*(1-MIN(1,MAX(Assumptions!$C$27,Assumptions!$C$13*Assumptions!$C$28^(DN$5-1))*$O261)),0)</f>
        <v>0</v>
      </c>
      <c r="DP261" s="93">
        <f>IF(AND($T261=1,DP$5&lt;=$H261),DO261*(1-BZ261)*(1-MIN(1,MAX(Assumptions!$C$27,Assumptions!$C$13*Assumptions!$C$28^(DO$5-1))*$O261)),0)</f>
        <v>0</v>
      </c>
      <c r="DQ261" s="93">
        <f>IF(AND($T261=1,DQ$5&lt;=$H261),DP261*(1-CA261)*(1-MIN(1,MAX(Assumptions!$C$27,Assumptions!$C$13*Assumptions!$C$28^(DP$5-1))*$O261)),0)</f>
        <v>0</v>
      </c>
      <c r="DR261" s="93">
        <f>IF(AND($T261=1,DR$5&lt;=$H261),DQ261*(1-CB261)*(1-MIN(1,MAX(Assumptions!$C$27,Assumptions!$C$13*Assumptions!$C$28^(DQ$5-1))*$O261)),0)</f>
        <v>0</v>
      </c>
      <c r="DS261" s="93">
        <f>IF(AND($T261=1,DS$5&lt;=$H261),DR261*(1-CC261)*(1-MIN(1,MAX(Assumptions!$C$27,Assumptions!$C$13*Assumptions!$C$28^(DR$5-1))*$O261)),0)</f>
        <v>0</v>
      </c>
      <c r="DT261" s="93">
        <f>IF(AND($T261=1,DT$5&lt;=$H261),DS261*(1-CD261)*(1-MIN(1,MAX(Assumptions!$C$27,Assumptions!$C$13*Assumptions!$C$28^(DS$5-1))*$O261)),0)</f>
        <v>0</v>
      </c>
      <c r="DU261" s="93">
        <f>IF(AND($T261=1,DU$5&lt;=$H261),DT261*(1-CE261)*(1-MIN(1,MAX(Assumptions!$C$27,Assumptions!$C$13*Assumptions!$C$28^(DT$5-1))*$O261)),0)</f>
        <v>0</v>
      </c>
      <c r="DV261" s="93">
        <f>IF(AND($T261=1,DV$5&lt;=$H261),DU261*(1-CF261)*(1-MIN(1,MAX(Assumptions!$C$27,Assumptions!$C$13*Assumptions!$C$28^(DU$5-1))*$O261)),0)</f>
        <v>0</v>
      </c>
      <c r="DW261" s="94">
        <f>IF(AND($T261=1,DW$5&lt;=$H261),DV261*(1-CG261)*(1-MIN(1,MAX(Assumptions!$C$27,Assumptions!$C$13*Assumptions!$C$28^(DV$5-1))*$O261)),0)</f>
        <v>0</v>
      </c>
      <c r="DX261" s="26"/>
      <c r="DY261" s="399">
        <f>'Policy Data'!K235</f>
        <v>1</v>
      </c>
      <c r="DZ261" s="100">
        <f>'Policy Data'!L235</f>
        <v>0.8659</v>
      </c>
      <c r="EA261" s="100">
        <f>'Policy Data'!N235</f>
        <v>3.9500000000000001E-4</v>
      </c>
      <c r="EB261" s="93" cm="1">
        <f t="array" ref="EB261">IFERROR(DZ261*INDEX(Mortality!$B$4:$E$64,MATCH(D261+DY261-1,Mortality!$A$4:$A$64,0),U261)*V261,0)</f>
        <v>3.9528192774039832E-4</v>
      </c>
      <c r="EC261" s="100">
        <f>'Policy Data'!O235</f>
        <v>0</v>
      </c>
      <c r="ED261" s="400">
        <f>'Policy Data'!Q235</f>
        <v>0</v>
      </c>
    </row>
    <row r="262" spans="1:134" x14ac:dyDescent="0.3">
      <c r="A262" s="399" t="str">
        <f>'Policy Data'!A236</f>
        <v>POL100232</v>
      </c>
      <c r="B262" s="26" t="s">
        <v>426</v>
      </c>
      <c r="C262" s="100" t="str">
        <f>'Policy Data'!B236</f>
        <v>Unit-Linked</v>
      </c>
      <c r="D262" s="100">
        <f>'Policy Data'!C236</f>
        <v>41</v>
      </c>
      <c r="E262" s="100" t="str">
        <f>'Policy Data'!D236</f>
        <v>Male</v>
      </c>
      <c r="F262" s="100" t="str">
        <f>'Policy Data'!E236</f>
        <v>Non-smoker</v>
      </c>
      <c r="G262" s="100" t="str">
        <f>'Policy Data'!F236</f>
        <v>Preferred</v>
      </c>
      <c r="H262" s="100">
        <f>'Policy Data'!G236</f>
        <v>10</v>
      </c>
      <c r="I262" s="279">
        <f>'Policy Data'!H236</f>
        <v>1000000</v>
      </c>
      <c r="J262" s="100" t="str">
        <f>'Policy Data'!I236</f>
        <v>Monthly</v>
      </c>
      <c r="K262" s="100" t="str">
        <f>'Policy Data'!J236</f>
        <v>Bancassurance</v>
      </c>
      <c r="L262" s="26" t="s">
        <v>389</v>
      </c>
      <c r="M262" s="106">
        <f>'Policy Data'!R236</f>
        <v>11550.69</v>
      </c>
      <c r="N262" s="415">
        <f>Assumptions!$C$21</f>
        <v>1</v>
      </c>
      <c r="O262" s="415">
        <f>Assumptions!$C$22</f>
        <v>1</v>
      </c>
      <c r="P262" s="415">
        <f>Assumptions!$C$23</f>
        <v>1</v>
      </c>
      <c r="Q262" s="416">
        <f>Assumptions!$C$24</f>
        <v>0</v>
      </c>
      <c r="R262" s="416">
        <f>Assumptions!$C$6+Assumptions!$C$25</f>
        <v>3.5000000000000003E-2</v>
      </c>
      <c r="S262" s="416">
        <f>Assumptions!$C$15</f>
        <v>1.1000000000000001E-3</v>
      </c>
      <c r="T262" s="26">
        <f t="shared" si="72"/>
        <v>0</v>
      </c>
      <c r="U262" s="26">
        <f t="shared" si="73"/>
        <v>3</v>
      </c>
      <c r="V262" s="389">
        <f>IF($G262="Preferred",Assumptions!$C$30,IF($G262="Rated",Assumptions!$C$31,1))</f>
        <v>0.8</v>
      </c>
      <c r="W262" s="390">
        <f>IF($K262="Direct",Assumptions!$C$32,IF($K262="Broker",Assumptions!$C$33,IF($K262="Bancassurance",Assumptions!$C$34,Assumptions!$C$11)))+$Q262</f>
        <v>0.2</v>
      </c>
      <c r="X262" s="390">
        <f>Assumptions!$C$12+$Q262</f>
        <v>0.05</v>
      </c>
      <c r="Y262" s="131">
        <f>MIN($I262,Assumptions!$C$14)</f>
        <v>500000</v>
      </c>
      <c r="Z262" s="131">
        <f>MAX($I262-Assumptions!$C$14,0)</f>
        <v>500000</v>
      </c>
      <c r="AA262" s="389">
        <f t="shared" si="74"/>
        <v>0</v>
      </c>
      <c r="AB262" s="389">
        <f t="shared" si="75"/>
        <v>0</v>
      </c>
      <c r="AC262" s="389">
        <f>IF($T262=1,SUMPRODUCT($CJ262:$DW262,(1+Assumptions!$C$5)^($CJ$5:$DW$5-1),(1+$R262)^(-$CJ$5:$DW$5)),0)</f>
        <v>0</v>
      </c>
      <c r="AD262" s="389">
        <f t="shared" si="76"/>
        <v>0</v>
      </c>
      <c r="AE262" s="131">
        <f>IF($T262=1,$AB262*$Y262+(Assumptions!$C$9/(1+$R262)+Assumptions!$C$10*$AC262)*$P262+$S262*$Z262*$AA262,0)</f>
        <v>0</v>
      </c>
      <c r="AF262" s="131" t="str">
        <f>IF($T262=1,IF($AA262-$AD262-Assumptions!$C$16*$AA262&gt;0,$AE262/($AA262-$AD262-Assumptions!$C$16*$AA262)*IF($J262="Monthly",1+Assumptions!$C$29,1),"n.a."),"")</f>
        <v/>
      </c>
      <c r="AG262" s="131" t="str">
        <f t="shared" si="77"/>
        <v/>
      </c>
      <c r="AH262" s="131" t="str">
        <f t="shared" si="78"/>
        <v/>
      </c>
      <c r="AI262" s="131" t="str">
        <f t="shared" si="79"/>
        <v/>
      </c>
      <c r="AJ262" s="390" t="str">
        <f t="shared" si="80"/>
        <v/>
      </c>
      <c r="AK262" s="389" t="str">
        <f t="shared" si="81"/>
        <v/>
      </c>
      <c r="AL262" s="131" t="str">
        <f t="shared" si="82"/>
        <v/>
      </c>
      <c r="AM262" s="131" t="str">
        <f t="shared" si="83"/>
        <v/>
      </c>
      <c r="AN262" s="131" t="str">
        <f t="shared" si="84"/>
        <v/>
      </c>
      <c r="AO262" s="131" t="str">
        <f t="shared" si="85"/>
        <v/>
      </c>
      <c r="AP262" s="26" t="str">
        <f t="shared" si="86"/>
        <v>40-49</v>
      </c>
      <c r="AQ262" s="26" t="str">
        <f t="shared" si="87"/>
        <v>500k-1m</v>
      </c>
      <c r="AR262" s="26" t="str">
        <f>IF($T262=1,IF($AI262&lt;0,"Loss-making",IF($AJ262&lt;Assumptions!$C$16-0.00001,"Below target","At/above target")),"Excluded")</f>
        <v>Excluded</v>
      </c>
      <c r="AS262" s="103">
        <f t="shared" si="88"/>
        <v>9.9999999999999997E+98</v>
      </c>
      <c r="AT262" s="26"/>
      <c r="AU262" s="419">
        <f>IF(AND($T262=1,AU$5&lt;=$H262),INDEX(Mortality!$B$4:$E$64,MATCH($D262+AU$5-1,Mortality!$A$4:$A$64,0),$U262)*$V262*$N262,0)</f>
        <v>0</v>
      </c>
      <c r="AV262" s="93">
        <f>IF(AND($T262=1,AV$5&lt;=$H262),INDEX(Mortality!$B$4:$E$64,MATCH($D262+AV$5-1,Mortality!$A$4:$A$64,0),$U262)*$V262*$N262,0)</f>
        <v>0</v>
      </c>
      <c r="AW262" s="93">
        <f>IF(AND($T262=1,AW$5&lt;=$H262),INDEX(Mortality!$B$4:$E$64,MATCH($D262+AW$5-1,Mortality!$A$4:$A$64,0),$U262)*$V262*$N262,0)</f>
        <v>0</v>
      </c>
      <c r="AX262" s="93">
        <f>IF(AND($T262=1,AX$5&lt;=$H262),INDEX(Mortality!$B$4:$E$64,MATCH($D262+AX$5-1,Mortality!$A$4:$A$64,0),$U262)*$V262*$N262,0)</f>
        <v>0</v>
      </c>
      <c r="AY262" s="93">
        <f>IF(AND($T262=1,AY$5&lt;=$H262),INDEX(Mortality!$B$4:$E$64,MATCH($D262+AY$5-1,Mortality!$A$4:$A$64,0),$U262)*$V262*$N262,0)</f>
        <v>0</v>
      </c>
      <c r="AZ262" s="93">
        <f>IF(AND($T262=1,AZ$5&lt;=$H262),INDEX(Mortality!$B$4:$E$64,MATCH($D262+AZ$5-1,Mortality!$A$4:$A$64,0),$U262)*$V262*$N262,0)</f>
        <v>0</v>
      </c>
      <c r="BA262" s="93">
        <f>IF(AND($T262=1,BA$5&lt;=$H262),INDEX(Mortality!$B$4:$E$64,MATCH($D262+BA$5-1,Mortality!$A$4:$A$64,0),$U262)*$V262*$N262,0)</f>
        <v>0</v>
      </c>
      <c r="BB262" s="93">
        <f>IF(AND($T262=1,BB$5&lt;=$H262),INDEX(Mortality!$B$4:$E$64,MATCH($D262+BB$5-1,Mortality!$A$4:$A$64,0),$U262)*$V262*$N262,0)</f>
        <v>0</v>
      </c>
      <c r="BC262" s="93">
        <f>IF(AND($T262=1,BC$5&lt;=$H262),INDEX(Mortality!$B$4:$E$64,MATCH($D262+BC$5-1,Mortality!$A$4:$A$64,0),$U262)*$V262*$N262,0)</f>
        <v>0</v>
      </c>
      <c r="BD262" s="93">
        <f>IF(AND($T262=1,BD$5&lt;=$H262),INDEX(Mortality!$B$4:$E$64,MATCH($D262+BD$5-1,Mortality!$A$4:$A$64,0),$U262)*$V262*$N262,0)</f>
        <v>0</v>
      </c>
      <c r="BE262" s="93">
        <f>IF(AND($T262=1,BE$5&lt;=$H262),INDEX(Mortality!$B$4:$E$64,MATCH($D262+BE$5-1,Mortality!$A$4:$A$64,0),$U262)*$V262*$N262,0)</f>
        <v>0</v>
      </c>
      <c r="BF262" s="93">
        <f>IF(AND($T262=1,BF$5&lt;=$H262),INDEX(Mortality!$B$4:$E$64,MATCH($D262+BF$5-1,Mortality!$A$4:$A$64,0),$U262)*$V262*$N262,0)</f>
        <v>0</v>
      </c>
      <c r="BG262" s="93">
        <f>IF(AND($T262=1,BG$5&lt;=$H262),INDEX(Mortality!$B$4:$E$64,MATCH($D262+BG$5-1,Mortality!$A$4:$A$64,0),$U262)*$V262*$N262,0)</f>
        <v>0</v>
      </c>
      <c r="BH262" s="93">
        <f>IF(AND($T262=1,BH$5&lt;=$H262),INDEX(Mortality!$B$4:$E$64,MATCH($D262+BH$5-1,Mortality!$A$4:$A$64,0),$U262)*$V262*$N262,0)</f>
        <v>0</v>
      </c>
      <c r="BI262" s="93">
        <f>IF(AND($T262=1,BI$5&lt;=$H262),INDEX(Mortality!$B$4:$E$64,MATCH($D262+BI$5-1,Mortality!$A$4:$A$64,0),$U262)*$V262*$N262,0)</f>
        <v>0</v>
      </c>
      <c r="BJ262" s="93">
        <f>IF(AND($T262=1,BJ$5&lt;=$H262),INDEX(Mortality!$B$4:$E$64,MATCH($D262+BJ$5-1,Mortality!$A$4:$A$64,0),$U262)*$V262*$N262,0)</f>
        <v>0</v>
      </c>
      <c r="BK262" s="93">
        <f>IF(AND($T262=1,BK$5&lt;=$H262),INDEX(Mortality!$B$4:$E$64,MATCH($D262+BK$5-1,Mortality!$A$4:$A$64,0),$U262)*$V262*$N262,0)</f>
        <v>0</v>
      </c>
      <c r="BL262" s="93">
        <f>IF(AND($T262=1,BL$5&lt;=$H262),INDEX(Mortality!$B$4:$E$64,MATCH($D262+BL$5-1,Mortality!$A$4:$A$64,0),$U262)*$V262*$N262,0)</f>
        <v>0</v>
      </c>
      <c r="BM262" s="93">
        <f>IF(AND($T262=1,BM$5&lt;=$H262),INDEX(Mortality!$B$4:$E$64,MATCH($D262+BM$5-1,Mortality!$A$4:$A$64,0),$U262)*$V262*$N262,0)</f>
        <v>0</v>
      </c>
      <c r="BN262" s="93">
        <f>IF(AND($T262=1,BN$5&lt;=$H262),INDEX(Mortality!$B$4:$E$64,MATCH($D262+BN$5-1,Mortality!$A$4:$A$64,0),$U262)*$V262*$N262,0)</f>
        <v>0</v>
      </c>
      <c r="BO262" s="93">
        <f>IF(AND($T262=1,BO$5&lt;=$H262),INDEX(Mortality!$B$4:$E$64,MATCH($D262+BO$5-1,Mortality!$A$4:$A$64,0),$U262)*$V262*$N262,0)</f>
        <v>0</v>
      </c>
      <c r="BP262" s="93">
        <f>IF(AND($T262=1,BP$5&lt;=$H262),INDEX(Mortality!$B$4:$E$64,MATCH($D262+BP$5-1,Mortality!$A$4:$A$64,0),$U262)*$V262*$N262,0)</f>
        <v>0</v>
      </c>
      <c r="BQ262" s="93">
        <f>IF(AND($T262=1,BQ$5&lt;=$H262),INDEX(Mortality!$B$4:$E$64,MATCH($D262+BQ$5-1,Mortality!$A$4:$A$64,0),$U262)*$V262*$N262,0)</f>
        <v>0</v>
      </c>
      <c r="BR262" s="93">
        <f>IF(AND($T262=1,BR$5&lt;=$H262),INDEX(Mortality!$B$4:$E$64,MATCH($D262+BR$5-1,Mortality!$A$4:$A$64,0),$U262)*$V262*$N262,0)</f>
        <v>0</v>
      </c>
      <c r="BS262" s="93">
        <f>IF(AND($T262=1,BS$5&lt;=$H262),INDEX(Mortality!$B$4:$E$64,MATCH($D262+BS$5-1,Mortality!$A$4:$A$64,0),$U262)*$V262*$N262,0)</f>
        <v>0</v>
      </c>
      <c r="BT262" s="93">
        <f>IF(AND($T262=1,BT$5&lt;=$H262),INDEX(Mortality!$B$4:$E$64,MATCH($D262+BT$5-1,Mortality!$A$4:$A$64,0),$U262)*$V262*$N262,0)</f>
        <v>0</v>
      </c>
      <c r="BU262" s="93">
        <f>IF(AND($T262=1,BU$5&lt;=$H262),INDEX(Mortality!$B$4:$E$64,MATCH($D262+BU$5-1,Mortality!$A$4:$A$64,0),$U262)*$V262*$N262,0)</f>
        <v>0</v>
      </c>
      <c r="BV262" s="93">
        <f>IF(AND($T262=1,BV$5&lt;=$H262),INDEX(Mortality!$B$4:$E$64,MATCH($D262+BV$5-1,Mortality!$A$4:$A$64,0),$U262)*$V262*$N262,0)</f>
        <v>0</v>
      </c>
      <c r="BW262" s="93">
        <f>IF(AND($T262=1,BW$5&lt;=$H262),INDEX(Mortality!$B$4:$E$64,MATCH($D262+BW$5-1,Mortality!$A$4:$A$64,0),$U262)*$V262*$N262,0)</f>
        <v>0</v>
      </c>
      <c r="BX262" s="93">
        <f>IF(AND($T262=1,BX$5&lt;=$H262),INDEX(Mortality!$B$4:$E$64,MATCH($D262+BX$5-1,Mortality!$A$4:$A$64,0),$U262)*$V262*$N262,0)</f>
        <v>0</v>
      </c>
      <c r="BY262" s="93">
        <f>IF(AND($T262=1,BY$5&lt;=$H262),INDEX(Mortality!$B$4:$E$64,MATCH($D262+BY$5-1,Mortality!$A$4:$A$64,0),$U262)*$V262*$N262,0)</f>
        <v>0</v>
      </c>
      <c r="BZ262" s="93">
        <f>IF(AND($T262=1,BZ$5&lt;=$H262),INDEX(Mortality!$B$4:$E$64,MATCH($D262+BZ$5-1,Mortality!$A$4:$A$64,0),$U262)*$V262*$N262,0)</f>
        <v>0</v>
      </c>
      <c r="CA262" s="93">
        <f>IF(AND($T262=1,CA$5&lt;=$H262),INDEX(Mortality!$B$4:$E$64,MATCH($D262+CA$5-1,Mortality!$A$4:$A$64,0),$U262)*$V262*$N262,0)</f>
        <v>0</v>
      </c>
      <c r="CB262" s="93">
        <f>IF(AND($T262=1,CB$5&lt;=$H262),INDEX(Mortality!$B$4:$E$64,MATCH($D262+CB$5-1,Mortality!$A$4:$A$64,0),$U262)*$V262*$N262,0)</f>
        <v>0</v>
      </c>
      <c r="CC262" s="93">
        <f>IF(AND($T262=1,CC$5&lt;=$H262),INDEX(Mortality!$B$4:$E$64,MATCH($D262+CC$5-1,Mortality!$A$4:$A$64,0),$U262)*$V262*$N262,0)</f>
        <v>0</v>
      </c>
      <c r="CD262" s="93">
        <f>IF(AND($T262=1,CD$5&lt;=$H262),INDEX(Mortality!$B$4:$E$64,MATCH($D262+CD$5-1,Mortality!$A$4:$A$64,0),$U262)*$V262*$N262,0)</f>
        <v>0</v>
      </c>
      <c r="CE262" s="93">
        <f>IF(AND($T262=1,CE$5&lt;=$H262),INDEX(Mortality!$B$4:$E$64,MATCH($D262+CE$5-1,Mortality!$A$4:$A$64,0),$U262)*$V262*$N262,0)</f>
        <v>0</v>
      </c>
      <c r="CF262" s="93">
        <f>IF(AND($T262=1,CF$5&lt;=$H262),INDEX(Mortality!$B$4:$E$64,MATCH($D262+CF$5-1,Mortality!$A$4:$A$64,0),$U262)*$V262*$N262,0)</f>
        <v>0</v>
      </c>
      <c r="CG262" s="93">
        <f>IF(AND($T262=1,CG$5&lt;=$H262),INDEX(Mortality!$B$4:$E$64,MATCH($D262+CG$5-1,Mortality!$A$4:$A$64,0),$U262)*$V262*$N262,0)</f>
        <v>0</v>
      </c>
      <c r="CH262" s="94">
        <f>IF(AND($T262=1,CH$5&lt;=$H262),INDEX(Mortality!$B$4:$E$64,MATCH($D262+CH$5-1,Mortality!$A$4:$A$64,0),$U262)*$V262*$N262,0)</f>
        <v>0</v>
      </c>
      <c r="CI262" s="26"/>
      <c r="CJ262" s="419">
        <f t="shared" si="89"/>
        <v>0</v>
      </c>
      <c r="CK262" s="93">
        <f>IF(AND($T262=1,CK$5&lt;=$H262),CJ262*(1-AU262)*(1-MIN(1,MAX(Assumptions!$C$27,Assumptions!$C$13*Assumptions!$C$28^(CJ$5-1))*$O262)),0)</f>
        <v>0</v>
      </c>
      <c r="CL262" s="93">
        <f>IF(AND($T262=1,CL$5&lt;=$H262),CK262*(1-AV262)*(1-MIN(1,MAX(Assumptions!$C$27,Assumptions!$C$13*Assumptions!$C$28^(CK$5-1))*$O262)),0)</f>
        <v>0</v>
      </c>
      <c r="CM262" s="93">
        <f>IF(AND($T262=1,CM$5&lt;=$H262),CL262*(1-AW262)*(1-MIN(1,MAX(Assumptions!$C$27,Assumptions!$C$13*Assumptions!$C$28^(CL$5-1))*$O262)),0)</f>
        <v>0</v>
      </c>
      <c r="CN262" s="93">
        <f>IF(AND($T262=1,CN$5&lt;=$H262),CM262*(1-AX262)*(1-MIN(1,MAX(Assumptions!$C$27,Assumptions!$C$13*Assumptions!$C$28^(CM$5-1))*$O262)),0)</f>
        <v>0</v>
      </c>
      <c r="CO262" s="93">
        <f>IF(AND($T262=1,CO$5&lt;=$H262),CN262*(1-AY262)*(1-MIN(1,MAX(Assumptions!$C$27,Assumptions!$C$13*Assumptions!$C$28^(CN$5-1))*$O262)),0)</f>
        <v>0</v>
      </c>
      <c r="CP262" s="93">
        <f>IF(AND($T262=1,CP$5&lt;=$H262),CO262*(1-AZ262)*(1-MIN(1,MAX(Assumptions!$C$27,Assumptions!$C$13*Assumptions!$C$28^(CO$5-1))*$O262)),0)</f>
        <v>0</v>
      </c>
      <c r="CQ262" s="93">
        <f>IF(AND($T262=1,CQ$5&lt;=$H262),CP262*(1-BA262)*(1-MIN(1,MAX(Assumptions!$C$27,Assumptions!$C$13*Assumptions!$C$28^(CP$5-1))*$O262)),0)</f>
        <v>0</v>
      </c>
      <c r="CR262" s="93">
        <f>IF(AND($T262=1,CR$5&lt;=$H262),CQ262*(1-BB262)*(1-MIN(1,MAX(Assumptions!$C$27,Assumptions!$C$13*Assumptions!$C$28^(CQ$5-1))*$O262)),0)</f>
        <v>0</v>
      </c>
      <c r="CS262" s="93">
        <f>IF(AND($T262=1,CS$5&lt;=$H262),CR262*(1-BC262)*(1-MIN(1,MAX(Assumptions!$C$27,Assumptions!$C$13*Assumptions!$C$28^(CR$5-1))*$O262)),0)</f>
        <v>0</v>
      </c>
      <c r="CT262" s="93">
        <f>IF(AND($T262=1,CT$5&lt;=$H262),CS262*(1-BD262)*(1-MIN(1,MAX(Assumptions!$C$27,Assumptions!$C$13*Assumptions!$C$28^(CS$5-1))*$O262)),0)</f>
        <v>0</v>
      </c>
      <c r="CU262" s="93">
        <f>IF(AND($T262=1,CU$5&lt;=$H262),CT262*(1-BE262)*(1-MIN(1,MAX(Assumptions!$C$27,Assumptions!$C$13*Assumptions!$C$28^(CT$5-1))*$O262)),0)</f>
        <v>0</v>
      </c>
      <c r="CV262" s="93">
        <f>IF(AND($T262=1,CV$5&lt;=$H262),CU262*(1-BF262)*(1-MIN(1,MAX(Assumptions!$C$27,Assumptions!$C$13*Assumptions!$C$28^(CU$5-1))*$O262)),0)</f>
        <v>0</v>
      </c>
      <c r="CW262" s="93">
        <f>IF(AND($T262=1,CW$5&lt;=$H262),CV262*(1-BG262)*(1-MIN(1,MAX(Assumptions!$C$27,Assumptions!$C$13*Assumptions!$C$28^(CV$5-1))*$O262)),0)</f>
        <v>0</v>
      </c>
      <c r="CX262" s="93">
        <f>IF(AND($T262=1,CX$5&lt;=$H262),CW262*(1-BH262)*(1-MIN(1,MAX(Assumptions!$C$27,Assumptions!$C$13*Assumptions!$C$28^(CW$5-1))*$O262)),0)</f>
        <v>0</v>
      </c>
      <c r="CY262" s="93">
        <f>IF(AND($T262=1,CY$5&lt;=$H262),CX262*(1-BI262)*(1-MIN(1,MAX(Assumptions!$C$27,Assumptions!$C$13*Assumptions!$C$28^(CX$5-1))*$O262)),0)</f>
        <v>0</v>
      </c>
      <c r="CZ262" s="93">
        <f>IF(AND($T262=1,CZ$5&lt;=$H262),CY262*(1-BJ262)*(1-MIN(1,MAX(Assumptions!$C$27,Assumptions!$C$13*Assumptions!$C$28^(CY$5-1))*$O262)),0)</f>
        <v>0</v>
      </c>
      <c r="DA262" s="93">
        <f>IF(AND($T262=1,DA$5&lt;=$H262),CZ262*(1-BK262)*(1-MIN(1,MAX(Assumptions!$C$27,Assumptions!$C$13*Assumptions!$C$28^(CZ$5-1))*$O262)),0)</f>
        <v>0</v>
      </c>
      <c r="DB262" s="93">
        <f>IF(AND($T262=1,DB$5&lt;=$H262),DA262*(1-BL262)*(1-MIN(1,MAX(Assumptions!$C$27,Assumptions!$C$13*Assumptions!$C$28^(DA$5-1))*$O262)),0)</f>
        <v>0</v>
      </c>
      <c r="DC262" s="93">
        <f>IF(AND($T262=1,DC$5&lt;=$H262),DB262*(1-BM262)*(1-MIN(1,MAX(Assumptions!$C$27,Assumptions!$C$13*Assumptions!$C$28^(DB$5-1))*$O262)),0)</f>
        <v>0</v>
      </c>
      <c r="DD262" s="93">
        <f>IF(AND($T262=1,DD$5&lt;=$H262),DC262*(1-BN262)*(1-MIN(1,MAX(Assumptions!$C$27,Assumptions!$C$13*Assumptions!$C$28^(DC$5-1))*$O262)),0)</f>
        <v>0</v>
      </c>
      <c r="DE262" s="93">
        <f>IF(AND($T262=1,DE$5&lt;=$H262),DD262*(1-BO262)*(1-MIN(1,MAX(Assumptions!$C$27,Assumptions!$C$13*Assumptions!$C$28^(DD$5-1))*$O262)),0)</f>
        <v>0</v>
      </c>
      <c r="DF262" s="93">
        <f>IF(AND($T262=1,DF$5&lt;=$H262),DE262*(1-BP262)*(1-MIN(1,MAX(Assumptions!$C$27,Assumptions!$C$13*Assumptions!$C$28^(DE$5-1))*$O262)),0)</f>
        <v>0</v>
      </c>
      <c r="DG262" s="93">
        <f>IF(AND($T262=1,DG$5&lt;=$H262),DF262*(1-BQ262)*(1-MIN(1,MAX(Assumptions!$C$27,Assumptions!$C$13*Assumptions!$C$28^(DF$5-1))*$O262)),0)</f>
        <v>0</v>
      </c>
      <c r="DH262" s="93">
        <f>IF(AND($T262=1,DH$5&lt;=$H262),DG262*(1-BR262)*(1-MIN(1,MAX(Assumptions!$C$27,Assumptions!$C$13*Assumptions!$C$28^(DG$5-1))*$O262)),0)</f>
        <v>0</v>
      </c>
      <c r="DI262" s="93">
        <f>IF(AND($T262=1,DI$5&lt;=$H262),DH262*(1-BS262)*(1-MIN(1,MAX(Assumptions!$C$27,Assumptions!$C$13*Assumptions!$C$28^(DH$5-1))*$O262)),0)</f>
        <v>0</v>
      </c>
      <c r="DJ262" s="93">
        <f>IF(AND($T262=1,DJ$5&lt;=$H262),DI262*(1-BT262)*(1-MIN(1,MAX(Assumptions!$C$27,Assumptions!$C$13*Assumptions!$C$28^(DI$5-1))*$O262)),0)</f>
        <v>0</v>
      </c>
      <c r="DK262" s="93">
        <f>IF(AND($T262=1,DK$5&lt;=$H262),DJ262*(1-BU262)*(1-MIN(1,MAX(Assumptions!$C$27,Assumptions!$C$13*Assumptions!$C$28^(DJ$5-1))*$O262)),0)</f>
        <v>0</v>
      </c>
      <c r="DL262" s="93">
        <f>IF(AND($T262=1,DL$5&lt;=$H262),DK262*(1-BV262)*(1-MIN(1,MAX(Assumptions!$C$27,Assumptions!$C$13*Assumptions!$C$28^(DK$5-1))*$O262)),0)</f>
        <v>0</v>
      </c>
      <c r="DM262" s="93">
        <f>IF(AND($T262=1,DM$5&lt;=$H262),DL262*(1-BW262)*(1-MIN(1,MAX(Assumptions!$C$27,Assumptions!$C$13*Assumptions!$C$28^(DL$5-1))*$O262)),0)</f>
        <v>0</v>
      </c>
      <c r="DN262" s="93">
        <f>IF(AND($T262=1,DN$5&lt;=$H262),DM262*(1-BX262)*(1-MIN(1,MAX(Assumptions!$C$27,Assumptions!$C$13*Assumptions!$C$28^(DM$5-1))*$O262)),0)</f>
        <v>0</v>
      </c>
      <c r="DO262" s="93">
        <f>IF(AND($T262=1,DO$5&lt;=$H262),DN262*(1-BY262)*(1-MIN(1,MAX(Assumptions!$C$27,Assumptions!$C$13*Assumptions!$C$28^(DN$5-1))*$O262)),0)</f>
        <v>0</v>
      </c>
      <c r="DP262" s="93">
        <f>IF(AND($T262=1,DP$5&lt;=$H262),DO262*(1-BZ262)*(1-MIN(1,MAX(Assumptions!$C$27,Assumptions!$C$13*Assumptions!$C$28^(DO$5-1))*$O262)),0)</f>
        <v>0</v>
      </c>
      <c r="DQ262" s="93">
        <f>IF(AND($T262=1,DQ$5&lt;=$H262),DP262*(1-CA262)*(1-MIN(1,MAX(Assumptions!$C$27,Assumptions!$C$13*Assumptions!$C$28^(DP$5-1))*$O262)),0)</f>
        <v>0</v>
      </c>
      <c r="DR262" s="93">
        <f>IF(AND($T262=1,DR$5&lt;=$H262),DQ262*(1-CB262)*(1-MIN(1,MAX(Assumptions!$C$27,Assumptions!$C$13*Assumptions!$C$28^(DQ$5-1))*$O262)),0)</f>
        <v>0</v>
      </c>
      <c r="DS262" s="93">
        <f>IF(AND($T262=1,DS$5&lt;=$H262),DR262*(1-CC262)*(1-MIN(1,MAX(Assumptions!$C$27,Assumptions!$C$13*Assumptions!$C$28^(DR$5-1))*$O262)),0)</f>
        <v>0</v>
      </c>
      <c r="DT262" s="93">
        <f>IF(AND($T262=1,DT$5&lt;=$H262),DS262*(1-CD262)*(1-MIN(1,MAX(Assumptions!$C$27,Assumptions!$C$13*Assumptions!$C$28^(DS$5-1))*$O262)),0)</f>
        <v>0</v>
      </c>
      <c r="DU262" s="93">
        <f>IF(AND($T262=1,DU$5&lt;=$H262),DT262*(1-CE262)*(1-MIN(1,MAX(Assumptions!$C$27,Assumptions!$C$13*Assumptions!$C$28^(DT$5-1))*$O262)),0)</f>
        <v>0</v>
      </c>
      <c r="DV262" s="93">
        <f>IF(AND($T262=1,DV$5&lt;=$H262),DU262*(1-CF262)*(1-MIN(1,MAX(Assumptions!$C$27,Assumptions!$C$13*Assumptions!$C$28^(DU$5-1))*$O262)),0)</f>
        <v>0</v>
      </c>
      <c r="DW262" s="94">
        <f>IF(AND($T262=1,DW$5&lt;=$H262),DV262*(1-CG262)*(1-MIN(1,MAX(Assumptions!$C$27,Assumptions!$C$13*Assumptions!$C$28^(DV$5-1))*$O262)),0)</f>
        <v>0</v>
      </c>
      <c r="DX262" s="26"/>
      <c r="DY262" s="399">
        <f>'Policy Data'!K236</f>
        <v>3</v>
      </c>
      <c r="DZ262" s="100">
        <f>'Policy Data'!L236</f>
        <v>0.91820000000000002</v>
      </c>
      <c r="EA262" s="100">
        <f>'Policy Data'!N236</f>
        <v>9.1600000000000004E-4</v>
      </c>
      <c r="EB262" s="93" cm="1">
        <f t="array" ref="EB262">IFERROR(DZ262*INDEX(Mortality!$B$4:$E$64,MATCH(D262+DY262-1,Mortality!$A$4:$A$64,0),U262)*V262,0)</f>
        <v>1.0754838439071257E-3</v>
      </c>
      <c r="EC262" s="100">
        <f>'Policy Data'!O236</f>
        <v>0</v>
      </c>
      <c r="ED262" s="400">
        <f>'Policy Data'!Q236</f>
        <v>0</v>
      </c>
    </row>
    <row r="263" spans="1:134" x14ac:dyDescent="0.3">
      <c r="A263" s="399" t="str">
        <f>'Policy Data'!A237</f>
        <v>POL100233</v>
      </c>
      <c r="B263" s="26" t="s">
        <v>426</v>
      </c>
      <c r="C263" s="100" t="str">
        <f>'Policy Data'!B237</f>
        <v>Unit-Linked</v>
      </c>
      <c r="D263" s="100">
        <f>'Policy Data'!C237</f>
        <v>37</v>
      </c>
      <c r="E263" s="100" t="str">
        <f>'Policy Data'!D237</f>
        <v>Male</v>
      </c>
      <c r="F263" s="100" t="str">
        <f>'Policy Data'!E237</f>
        <v>Non-smoker</v>
      </c>
      <c r="G263" s="100" t="str">
        <f>'Policy Data'!F237</f>
        <v>Rated</v>
      </c>
      <c r="H263" s="100">
        <f>'Policy Data'!G237</f>
        <v>20</v>
      </c>
      <c r="I263" s="279">
        <f>'Policy Data'!H237</f>
        <v>500000</v>
      </c>
      <c r="J263" s="100" t="str">
        <f>'Policy Data'!I237</f>
        <v>Monthly</v>
      </c>
      <c r="K263" s="100" t="str">
        <f>'Policy Data'!J237</f>
        <v>Broker</v>
      </c>
      <c r="L263" s="26" t="s">
        <v>389</v>
      </c>
      <c r="M263" s="106">
        <f>'Policy Data'!R237</f>
        <v>9318.7999999999993</v>
      </c>
      <c r="N263" s="415">
        <f>Assumptions!$C$21</f>
        <v>1</v>
      </c>
      <c r="O263" s="415">
        <f>Assumptions!$C$22</f>
        <v>1</v>
      </c>
      <c r="P263" s="415">
        <f>Assumptions!$C$23</f>
        <v>1</v>
      </c>
      <c r="Q263" s="416">
        <f>Assumptions!$C$24</f>
        <v>0</v>
      </c>
      <c r="R263" s="416">
        <f>Assumptions!$C$6+Assumptions!$C$25</f>
        <v>3.5000000000000003E-2</v>
      </c>
      <c r="S263" s="416">
        <f>Assumptions!$C$15</f>
        <v>1.1000000000000001E-3</v>
      </c>
      <c r="T263" s="26">
        <f t="shared" si="72"/>
        <v>0</v>
      </c>
      <c r="U263" s="26">
        <f t="shared" si="73"/>
        <v>3</v>
      </c>
      <c r="V263" s="389">
        <f>IF($G263="Preferred",Assumptions!$C$30,IF($G263="Rated",Assumptions!$C$31,1))</f>
        <v>1.55</v>
      </c>
      <c r="W263" s="390">
        <f>IF($K263="Direct",Assumptions!$C$32,IF($K263="Broker",Assumptions!$C$33,IF($K263="Bancassurance",Assumptions!$C$34,Assumptions!$C$11)))+$Q263</f>
        <v>0.25</v>
      </c>
      <c r="X263" s="390">
        <f>Assumptions!$C$12+$Q263</f>
        <v>0.05</v>
      </c>
      <c r="Y263" s="131">
        <f>MIN($I263,Assumptions!$C$14)</f>
        <v>500000</v>
      </c>
      <c r="Z263" s="131">
        <f>MAX($I263-Assumptions!$C$14,0)</f>
        <v>0</v>
      </c>
      <c r="AA263" s="389">
        <f t="shared" si="74"/>
        <v>0</v>
      </c>
      <c r="AB263" s="389">
        <f t="shared" si="75"/>
        <v>0</v>
      </c>
      <c r="AC263" s="389">
        <f>IF($T263=1,SUMPRODUCT($CJ263:$DW263,(1+Assumptions!$C$5)^($CJ$5:$DW$5-1),(1+$R263)^(-$CJ$5:$DW$5)),0)</f>
        <v>0</v>
      </c>
      <c r="AD263" s="389">
        <f t="shared" si="76"/>
        <v>0</v>
      </c>
      <c r="AE263" s="131">
        <f>IF($T263=1,$AB263*$Y263+(Assumptions!$C$9/(1+$R263)+Assumptions!$C$10*$AC263)*$P263+$S263*$Z263*$AA263,0)</f>
        <v>0</v>
      </c>
      <c r="AF263" s="131" t="str">
        <f>IF($T263=1,IF($AA263-$AD263-Assumptions!$C$16*$AA263&gt;0,$AE263/($AA263-$AD263-Assumptions!$C$16*$AA263)*IF($J263="Monthly",1+Assumptions!$C$29,1),"n.a."),"")</f>
        <v/>
      </c>
      <c r="AG263" s="131" t="str">
        <f t="shared" si="77"/>
        <v/>
      </c>
      <c r="AH263" s="131" t="str">
        <f t="shared" si="78"/>
        <v/>
      </c>
      <c r="AI263" s="131" t="str">
        <f t="shared" si="79"/>
        <v/>
      </c>
      <c r="AJ263" s="390" t="str">
        <f t="shared" si="80"/>
        <v/>
      </c>
      <c r="AK263" s="389" t="str">
        <f t="shared" si="81"/>
        <v/>
      </c>
      <c r="AL263" s="131" t="str">
        <f t="shared" si="82"/>
        <v/>
      </c>
      <c r="AM263" s="131" t="str">
        <f t="shared" si="83"/>
        <v/>
      </c>
      <c r="AN263" s="131" t="str">
        <f t="shared" si="84"/>
        <v/>
      </c>
      <c r="AO263" s="131" t="str">
        <f t="shared" si="85"/>
        <v/>
      </c>
      <c r="AP263" s="26" t="str">
        <f t="shared" si="86"/>
        <v>30-39</v>
      </c>
      <c r="AQ263" s="26" t="str">
        <f t="shared" si="87"/>
        <v>250k-500k</v>
      </c>
      <c r="AR263" s="26" t="str">
        <f>IF($T263=1,IF($AI263&lt;0,"Loss-making",IF($AJ263&lt;Assumptions!$C$16-0.00001,"Below target","At/above target")),"Excluded")</f>
        <v>Excluded</v>
      </c>
      <c r="AS263" s="103">
        <f t="shared" si="88"/>
        <v>9.9999999999999997E+98</v>
      </c>
      <c r="AT263" s="26"/>
      <c r="AU263" s="419">
        <f>IF(AND($T263=1,AU$5&lt;=$H263),INDEX(Mortality!$B$4:$E$64,MATCH($D263+AU$5-1,Mortality!$A$4:$A$64,0),$U263)*$V263*$N263,0)</f>
        <v>0</v>
      </c>
      <c r="AV263" s="93">
        <f>IF(AND($T263=1,AV$5&lt;=$H263),INDEX(Mortality!$B$4:$E$64,MATCH($D263+AV$5-1,Mortality!$A$4:$A$64,0),$U263)*$V263*$N263,0)</f>
        <v>0</v>
      </c>
      <c r="AW263" s="93">
        <f>IF(AND($T263=1,AW$5&lt;=$H263),INDEX(Mortality!$B$4:$E$64,MATCH($D263+AW$5-1,Mortality!$A$4:$A$64,0),$U263)*$V263*$N263,0)</f>
        <v>0</v>
      </c>
      <c r="AX263" s="93">
        <f>IF(AND($T263=1,AX$5&lt;=$H263),INDEX(Mortality!$B$4:$E$64,MATCH($D263+AX$5-1,Mortality!$A$4:$A$64,0),$U263)*$V263*$N263,0)</f>
        <v>0</v>
      </c>
      <c r="AY263" s="93">
        <f>IF(AND($T263=1,AY$5&lt;=$H263),INDEX(Mortality!$B$4:$E$64,MATCH($D263+AY$5-1,Mortality!$A$4:$A$64,0),$U263)*$V263*$N263,0)</f>
        <v>0</v>
      </c>
      <c r="AZ263" s="93">
        <f>IF(AND($T263=1,AZ$5&lt;=$H263),INDEX(Mortality!$B$4:$E$64,MATCH($D263+AZ$5-1,Mortality!$A$4:$A$64,0),$U263)*$V263*$N263,0)</f>
        <v>0</v>
      </c>
      <c r="BA263" s="93">
        <f>IF(AND($T263=1,BA$5&lt;=$H263),INDEX(Mortality!$B$4:$E$64,MATCH($D263+BA$5-1,Mortality!$A$4:$A$64,0),$U263)*$V263*$N263,0)</f>
        <v>0</v>
      </c>
      <c r="BB263" s="93">
        <f>IF(AND($T263=1,BB$5&lt;=$H263),INDEX(Mortality!$B$4:$E$64,MATCH($D263+BB$5-1,Mortality!$A$4:$A$64,0),$U263)*$V263*$N263,0)</f>
        <v>0</v>
      </c>
      <c r="BC263" s="93">
        <f>IF(AND($T263=1,BC$5&lt;=$H263),INDEX(Mortality!$B$4:$E$64,MATCH($D263+BC$5-1,Mortality!$A$4:$A$64,0),$U263)*$V263*$N263,0)</f>
        <v>0</v>
      </c>
      <c r="BD263" s="93">
        <f>IF(AND($T263=1,BD$5&lt;=$H263),INDEX(Mortality!$B$4:$E$64,MATCH($D263+BD$5-1,Mortality!$A$4:$A$64,0),$U263)*$V263*$N263,0)</f>
        <v>0</v>
      </c>
      <c r="BE263" s="93">
        <f>IF(AND($T263=1,BE$5&lt;=$H263),INDEX(Mortality!$B$4:$E$64,MATCH($D263+BE$5-1,Mortality!$A$4:$A$64,0),$U263)*$V263*$N263,0)</f>
        <v>0</v>
      </c>
      <c r="BF263" s="93">
        <f>IF(AND($T263=1,BF$5&lt;=$H263),INDEX(Mortality!$B$4:$E$64,MATCH($D263+BF$5-1,Mortality!$A$4:$A$64,0),$U263)*$V263*$N263,0)</f>
        <v>0</v>
      </c>
      <c r="BG263" s="93">
        <f>IF(AND($T263=1,BG$5&lt;=$H263),INDEX(Mortality!$B$4:$E$64,MATCH($D263+BG$5-1,Mortality!$A$4:$A$64,0),$U263)*$V263*$N263,0)</f>
        <v>0</v>
      </c>
      <c r="BH263" s="93">
        <f>IF(AND($T263=1,BH$5&lt;=$H263),INDEX(Mortality!$B$4:$E$64,MATCH($D263+BH$5-1,Mortality!$A$4:$A$64,0),$U263)*$V263*$N263,0)</f>
        <v>0</v>
      </c>
      <c r="BI263" s="93">
        <f>IF(AND($T263=1,BI$5&lt;=$H263),INDEX(Mortality!$B$4:$E$64,MATCH($D263+BI$5-1,Mortality!$A$4:$A$64,0),$U263)*$V263*$N263,0)</f>
        <v>0</v>
      </c>
      <c r="BJ263" s="93">
        <f>IF(AND($T263=1,BJ$5&lt;=$H263),INDEX(Mortality!$B$4:$E$64,MATCH($D263+BJ$5-1,Mortality!$A$4:$A$64,0),$U263)*$V263*$N263,0)</f>
        <v>0</v>
      </c>
      <c r="BK263" s="93">
        <f>IF(AND($T263=1,BK$5&lt;=$H263),INDEX(Mortality!$B$4:$E$64,MATCH($D263+BK$5-1,Mortality!$A$4:$A$64,0),$U263)*$V263*$N263,0)</f>
        <v>0</v>
      </c>
      <c r="BL263" s="93">
        <f>IF(AND($T263=1,BL$5&lt;=$H263),INDEX(Mortality!$B$4:$E$64,MATCH($D263+BL$5-1,Mortality!$A$4:$A$64,0),$U263)*$V263*$N263,0)</f>
        <v>0</v>
      </c>
      <c r="BM263" s="93">
        <f>IF(AND($T263=1,BM$5&lt;=$H263),INDEX(Mortality!$B$4:$E$64,MATCH($D263+BM$5-1,Mortality!$A$4:$A$64,0),$U263)*$V263*$N263,0)</f>
        <v>0</v>
      </c>
      <c r="BN263" s="93">
        <f>IF(AND($T263=1,BN$5&lt;=$H263),INDEX(Mortality!$B$4:$E$64,MATCH($D263+BN$5-1,Mortality!$A$4:$A$64,0),$U263)*$V263*$N263,0)</f>
        <v>0</v>
      </c>
      <c r="BO263" s="93">
        <f>IF(AND($T263=1,BO$5&lt;=$H263),INDEX(Mortality!$B$4:$E$64,MATCH($D263+BO$5-1,Mortality!$A$4:$A$64,0),$U263)*$V263*$N263,0)</f>
        <v>0</v>
      </c>
      <c r="BP263" s="93">
        <f>IF(AND($T263=1,BP$5&lt;=$H263),INDEX(Mortality!$B$4:$E$64,MATCH($D263+BP$5-1,Mortality!$A$4:$A$64,0),$U263)*$V263*$N263,0)</f>
        <v>0</v>
      </c>
      <c r="BQ263" s="93">
        <f>IF(AND($T263=1,BQ$5&lt;=$H263),INDEX(Mortality!$B$4:$E$64,MATCH($D263+BQ$5-1,Mortality!$A$4:$A$64,0),$U263)*$V263*$N263,0)</f>
        <v>0</v>
      </c>
      <c r="BR263" s="93">
        <f>IF(AND($T263=1,BR$5&lt;=$H263),INDEX(Mortality!$B$4:$E$64,MATCH($D263+BR$5-1,Mortality!$A$4:$A$64,0),$U263)*$V263*$N263,0)</f>
        <v>0</v>
      </c>
      <c r="BS263" s="93">
        <f>IF(AND($T263=1,BS$5&lt;=$H263),INDEX(Mortality!$B$4:$E$64,MATCH($D263+BS$5-1,Mortality!$A$4:$A$64,0),$U263)*$V263*$N263,0)</f>
        <v>0</v>
      </c>
      <c r="BT263" s="93">
        <f>IF(AND($T263=1,BT$5&lt;=$H263),INDEX(Mortality!$B$4:$E$64,MATCH($D263+BT$5-1,Mortality!$A$4:$A$64,0),$U263)*$V263*$N263,0)</f>
        <v>0</v>
      </c>
      <c r="BU263" s="93">
        <f>IF(AND($T263=1,BU$5&lt;=$H263),INDEX(Mortality!$B$4:$E$64,MATCH($D263+BU$5-1,Mortality!$A$4:$A$64,0),$U263)*$V263*$N263,0)</f>
        <v>0</v>
      </c>
      <c r="BV263" s="93">
        <f>IF(AND($T263=1,BV$5&lt;=$H263),INDEX(Mortality!$B$4:$E$64,MATCH($D263+BV$5-1,Mortality!$A$4:$A$64,0),$U263)*$V263*$N263,0)</f>
        <v>0</v>
      </c>
      <c r="BW263" s="93">
        <f>IF(AND($T263=1,BW$5&lt;=$H263),INDEX(Mortality!$B$4:$E$64,MATCH($D263+BW$5-1,Mortality!$A$4:$A$64,0),$U263)*$V263*$N263,0)</f>
        <v>0</v>
      </c>
      <c r="BX263" s="93">
        <f>IF(AND($T263=1,BX$5&lt;=$H263),INDEX(Mortality!$B$4:$E$64,MATCH($D263+BX$5-1,Mortality!$A$4:$A$64,0),$U263)*$V263*$N263,0)</f>
        <v>0</v>
      </c>
      <c r="BY263" s="93">
        <f>IF(AND($T263=1,BY$5&lt;=$H263),INDEX(Mortality!$B$4:$E$64,MATCH($D263+BY$5-1,Mortality!$A$4:$A$64,0),$U263)*$V263*$N263,0)</f>
        <v>0</v>
      </c>
      <c r="BZ263" s="93">
        <f>IF(AND($T263=1,BZ$5&lt;=$H263),INDEX(Mortality!$B$4:$E$64,MATCH($D263+BZ$5-1,Mortality!$A$4:$A$64,0),$U263)*$V263*$N263,0)</f>
        <v>0</v>
      </c>
      <c r="CA263" s="93">
        <f>IF(AND($T263=1,CA$5&lt;=$H263),INDEX(Mortality!$B$4:$E$64,MATCH($D263+CA$5-1,Mortality!$A$4:$A$64,0),$U263)*$V263*$N263,0)</f>
        <v>0</v>
      </c>
      <c r="CB263" s="93">
        <f>IF(AND($T263=1,CB$5&lt;=$H263),INDEX(Mortality!$B$4:$E$64,MATCH($D263+CB$5-1,Mortality!$A$4:$A$64,0),$U263)*$V263*$N263,0)</f>
        <v>0</v>
      </c>
      <c r="CC263" s="93">
        <f>IF(AND($T263=1,CC$5&lt;=$H263),INDEX(Mortality!$B$4:$E$64,MATCH($D263+CC$5-1,Mortality!$A$4:$A$64,0),$U263)*$V263*$N263,0)</f>
        <v>0</v>
      </c>
      <c r="CD263" s="93">
        <f>IF(AND($T263=1,CD$5&lt;=$H263),INDEX(Mortality!$B$4:$E$64,MATCH($D263+CD$5-1,Mortality!$A$4:$A$64,0),$U263)*$V263*$N263,0)</f>
        <v>0</v>
      </c>
      <c r="CE263" s="93">
        <f>IF(AND($T263=1,CE$5&lt;=$H263),INDEX(Mortality!$B$4:$E$64,MATCH($D263+CE$5-1,Mortality!$A$4:$A$64,0),$U263)*$V263*$N263,0)</f>
        <v>0</v>
      </c>
      <c r="CF263" s="93">
        <f>IF(AND($T263=1,CF$5&lt;=$H263),INDEX(Mortality!$B$4:$E$64,MATCH($D263+CF$5-1,Mortality!$A$4:$A$64,0),$U263)*$V263*$N263,0)</f>
        <v>0</v>
      </c>
      <c r="CG263" s="93">
        <f>IF(AND($T263=1,CG$5&lt;=$H263),INDEX(Mortality!$B$4:$E$64,MATCH($D263+CG$5-1,Mortality!$A$4:$A$64,0),$U263)*$V263*$N263,0)</f>
        <v>0</v>
      </c>
      <c r="CH263" s="94">
        <f>IF(AND($T263=1,CH$5&lt;=$H263),INDEX(Mortality!$B$4:$E$64,MATCH($D263+CH$5-1,Mortality!$A$4:$A$64,0),$U263)*$V263*$N263,0)</f>
        <v>0</v>
      </c>
      <c r="CI263" s="26"/>
      <c r="CJ263" s="419">
        <f t="shared" si="89"/>
        <v>0</v>
      </c>
      <c r="CK263" s="93">
        <f>IF(AND($T263=1,CK$5&lt;=$H263),CJ263*(1-AU263)*(1-MIN(1,MAX(Assumptions!$C$27,Assumptions!$C$13*Assumptions!$C$28^(CJ$5-1))*$O263)),0)</f>
        <v>0</v>
      </c>
      <c r="CL263" s="93">
        <f>IF(AND($T263=1,CL$5&lt;=$H263),CK263*(1-AV263)*(1-MIN(1,MAX(Assumptions!$C$27,Assumptions!$C$13*Assumptions!$C$28^(CK$5-1))*$O263)),0)</f>
        <v>0</v>
      </c>
      <c r="CM263" s="93">
        <f>IF(AND($T263=1,CM$5&lt;=$H263),CL263*(1-AW263)*(1-MIN(1,MAX(Assumptions!$C$27,Assumptions!$C$13*Assumptions!$C$28^(CL$5-1))*$O263)),0)</f>
        <v>0</v>
      </c>
      <c r="CN263" s="93">
        <f>IF(AND($T263=1,CN$5&lt;=$H263),CM263*(1-AX263)*(1-MIN(1,MAX(Assumptions!$C$27,Assumptions!$C$13*Assumptions!$C$28^(CM$5-1))*$O263)),0)</f>
        <v>0</v>
      </c>
      <c r="CO263" s="93">
        <f>IF(AND($T263=1,CO$5&lt;=$H263),CN263*(1-AY263)*(1-MIN(1,MAX(Assumptions!$C$27,Assumptions!$C$13*Assumptions!$C$28^(CN$5-1))*$O263)),0)</f>
        <v>0</v>
      </c>
      <c r="CP263" s="93">
        <f>IF(AND($T263=1,CP$5&lt;=$H263),CO263*(1-AZ263)*(1-MIN(1,MAX(Assumptions!$C$27,Assumptions!$C$13*Assumptions!$C$28^(CO$5-1))*$O263)),0)</f>
        <v>0</v>
      </c>
      <c r="CQ263" s="93">
        <f>IF(AND($T263=1,CQ$5&lt;=$H263),CP263*(1-BA263)*(1-MIN(1,MAX(Assumptions!$C$27,Assumptions!$C$13*Assumptions!$C$28^(CP$5-1))*$O263)),0)</f>
        <v>0</v>
      </c>
      <c r="CR263" s="93">
        <f>IF(AND($T263=1,CR$5&lt;=$H263),CQ263*(1-BB263)*(1-MIN(1,MAX(Assumptions!$C$27,Assumptions!$C$13*Assumptions!$C$28^(CQ$5-1))*$O263)),0)</f>
        <v>0</v>
      </c>
      <c r="CS263" s="93">
        <f>IF(AND($T263=1,CS$5&lt;=$H263),CR263*(1-BC263)*(1-MIN(1,MAX(Assumptions!$C$27,Assumptions!$C$13*Assumptions!$C$28^(CR$5-1))*$O263)),0)</f>
        <v>0</v>
      </c>
      <c r="CT263" s="93">
        <f>IF(AND($T263=1,CT$5&lt;=$H263),CS263*(1-BD263)*(1-MIN(1,MAX(Assumptions!$C$27,Assumptions!$C$13*Assumptions!$C$28^(CS$5-1))*$O263)),0)</f>
        <v>0</v>
      </c>
      <c r="CU263" s="93">
        <f>IF(AND($T263=1,CU$5&lt;=$H263),CT263*(1-BE263)*(1-MIN(1,MAX(Assumptions!$C$27,Assumptions!$C$13*Assumptions!$C$28^(CT$5-1))*$O263)),0)</f>
        <v>0</v>
      </c>
      <c r="CV263" s="93">
        <f>IF(AND($T263=1,CV$5&lt;=$H263),CU263*(1-BF263)*(1-MIN(1,MAX(Assumptions!$C$27,Assumptions!$C$13*Assumptions!$C$28^(CU$5-1))*$O263)),0)</f>
        <v>0</v>
      </c>
      <c r="CW263" s="93">
        <f>IF(AND($T263=1,CW$5&lt;=$H263),CV263*(1-BG263)*(1-MIN(1,MAX(Assumptions!$C$27,Assumptions!$C$13*Assumptions!$C$28^(CV$5-1))*$O263)),0)</f>
        <v>0</v>
      </c>
      <c r="CX263" s="93">
        <f>IF(AND($T263=1,CX$5&lt;=$H263),CW263*(1-BH263)*(1-MIN(1,MAX(Assumptions!$C$27,Assumptions!$C$13*Assumptions!$C$28^(CW$5-1))*$O263)),0)</f>
        <v>0</v>
      </c>
      <c r="CY263" s="93">
        <f>IF(AND($T263=1,CY$5&lt;=$H263),CX263*(1-BI263)*(1-MIN(1,MAX(Assumptions!$C$27,Assumptions!$C$13*Assumptions!$C$28^(CX$5-1))*$O263)),0)</f>
        <v>0</v>
      </c>
      <c r="CZ263" s="93">
        <f>IF(AND($T263=1,CZ$5&lt;=$H263),CY263*(1-BJ263)*(1-MIN(1,MAX(Assumptions!$C$27,Assumptions!$C$13*Assumptions!$C$28^(CY$5-1))*$O263)),0)</f>
        <v>0</v>
      </c>
      <c r="DA263" s="93">
        <f>IF(AND($T263=1,DA$5&lt;=$H263),CZ263*(1-BK263)*(1-MIN(1,MAX(Assumptions!$C$27,Assumptions!$C$13*Assumptions!$C$28^(CZ$5-1))*$O263)),0)</f>
        <v>0</v>
      </c>
      <c r="DB263" s="93">
        <f>IF(AND($T263=1,DB$5&lt;=$H263),DA263*(1-BL263)*(1-MIN(1,MAX(Assumptions!$C$27,Assumptions!$C$13*Assumptions!$C$28^(DA$5-1))*$O263)),0)</f>
        <v>0</v>
      </c>
      <c r="DC263" s="93">
        <f>IF(AND($T263=1,DC$5&lt;=$H263),DB263*(1-BM263)*(1-MIN(1,MAX(Assumptions!$C$27,Assumptions!$C$13*Assumptions!$C$28^(DB$5-1))*$O263)),0)</f>
        <v>0</v>
      </c>
      <c r="DD263" s="93">
        <f>IF(AND($T263=1,DD$5&lt;=$H263),DC263*(1-BN263)*(1-MIN(1,MAX(Assumptions!$C$27,Assumptions!$C$13*Assumptions!$C$28^(DC$5-1))*$O263)),0)</f>
        <v>0</v>
      </c>
      <c r="DE263" s="93">
        <f>IF(AND($T263=1,DE$5&lt;=$H263),DD263*(1-BO263)*(1-MIN(1,MAX(Assumptions!$C$27,Assumptions!$C$13*Assumptions!$C$28^(DD$5-1))*$O263)),0)</f>
        <v>0</v>
      </c>
      <c r="DF263" s="93">
        <f>IF(AND($T263=1,DF$5&lt;=$H263),DE263*(1-BP263)*(1-MIN(1,MAX(Assumptions!$C$27,Assumptions!$C$13*Assumptions!$C$28^(DE$5-1))*$O263)),0)</f>
        <v>0</v>
      </c>
      <c r="DG263" s="93">
        <f>IF(AND($T263=1,DG$5&lt;=$H263),DF263*(1-BQ263)*(1-MIN(1,MAX(Assumptions!$C$27,Assumptions!$C$13*Assumptions!$C$28^(DF$5-1))*$O263)),0)</f>
        <v>0</v>
      </c>
      <c r="DH263" s="93">
        <f>IF(AND($T263=1,DH$5&lt;=$H263),DG263*(1-BR263)*(1-MIN(1,MAX(Assumptions!$C$27,Assumptions!$C$13*Assumptions!$C$28^(DG$5-1))*$O263)),0)</f>
        <v>0</v>
      </c>
      <c r="DI263" s="93">
        <f>IF(AND($T263=1,DI$5&lt;=$H263),DH263*(1-BS263)*(1-MIN(1,MAX(Assumptions!$C$27,Assumptions!$C$13*Assumptions!$C$28^(DH$5-1))*$O263)),0)</f>
        <v>0</v>
      </c>
      <c r="DJ263" s="93">
        <f>IF(AND($T263=1,DJ$5&lt;=$H263),DI263*(1-BT263)*(1-MIN(1,MAX(Assumptions!$C$27,Assumptions!$C$13*Assumptions!$C$28^(DI$5-1))*$O263)),0)</f>
        <v>0</v>
      </c>
      <c r="DK263" s="93">
        <f>IF(AND($T263=1,DK$5&lt;=$H263),DJ263*(1-BU263)*(1-MIN(1,MAX(Assumptions!$C$27,Assumptions!$C$13*Assumptions!$C$28^(DJ$5-1))*$O263)),0)</f>
        <v>0</v>
      </c>
      <c r="DL263" s="93">
        <f>IF(AND($T263=1,DL$5&lt;=$H263),DK263*(1-BV263)*(1-MIN(1,MAX(Assumptions!$C$27,Assumptions!$C$13*Assumptions!$C$28^(DK$5-1))*$O263)),0)</f>
        <v>0</v>
      </c>
      <c r="DM263" s="93">
        <f>IF(AND($T263=1,DM$5&lt;=$H263),DL263*(1-BW263)*(1-MIN(1,MAX(Assumptions!$C$27,Assumptions!$C$13*Assumptions!$C$28^(DL$5-1))*$O263)),0)</f>
        <v>0</v>
      </c>
      <c r="DN263" s="93">
        <f>IF(AND($T263=1,DN$5&lt;=$H263),DM263*(1-BX263)*(1-MIN(1,MAX(Assumptions!$C$27,Assumptions!$C$13*Assumptions!$C$28^(DM$5-1))*$O263)),0)</f>
        <v>0</v>
      </c>
      <c r="DO263" s="93">
        <f>IF(AND($T263=1,DO$5&lt;=$H263),DN263*(1-BY263)*(1-MIN(1,MAX(Assumptions!$C$27,Assumptions!$C$13*Assumptions!$C$28^(DN$5-1))*$O263)),0)</f>
        <v>0</v>
      </c>
      <c r="DP263" s="93">
        <f>IF(AND($T263=1,DP$5&lt;=$H263),DO263*(1-BZ263)*(1-MIN(1,MAX(Assumptions!$C$27,Assumptions!$C$13*Assumptions!$C$28^(DO$5-1))*$O263)),0)</f>
        <v>0</v>
      </c>
      <c r="DQ263" s="93">
        <f>IF(AND($T263=1,DQ$5&lt;=$H263),DP263*(1-CA263)*(1-MIN(1,MAX(Assumptions!$C$27,Assumptions!$C$13*Assumptions!$C$28^(DP$5-1))*$O263)),0)</f>
        <v>0</v>
      </c>
      <c r="DR263" s="93">
        <f>IF(AND($T263=1,DR$5&lt;=$H263),DQ263*(1-CB263)*(1-MIN(1,MAX(Assumptions!$C$27,Assumptions!$C$13*Assumptions!$C$28^(DQ$5-1))*$O263)),0)</f>
        <v>0</v>
      </c>
      <c r="DS263" s="93">
        <f>IF(AND($T263=1,DS$5&lt;=$H263),DR263*(1-CC263)*(1-MIN(1,MAX(Assumptions!$C$27,Assumptions!$C$13*Assumptions!$C$28^(DR$5-1))*$O263)),0)</f>
        <v>0</v>
      </c>
      <c r="DT263" s="93">
        <f>IF(AND($T263=1,DT$5&lt;=$H263),DS263*(1-CD263)*(1-MIN(1,MAX(Assumptions!$C$27,Assumptions!$C$13*Assumptions!$C$28^(DS$5-1))*$O263)),0)</f>
        <v>0</v>
      </c>
      <c r="DU263" s="93">
        <f>IF(AND($T263=1,DU$5&lt;=$H263),DT263*(1-CE263)*(1-MIN(1,MAX(Assumptions!$C$27,Assumptions!$C$13*Assumptions!$C$28^(DT$5-1))*$O263)),0)</f>
        <v>0</v>
      </c>
      <c r="DV263" s="93">
        <f>IF(AND($T263=1,DV$5&lt;=$H263),DU263*(1-CF263)*(1-MIN(1,MAX(Assumptions!$C$27,Assumptions!$C$13*Assumptions!$C$28^(DU$5-1))*$O263)),0)</f>
        <v>0</v>
      </c>
      <c r="DW263" s="94">
        <f>IF(AND($T263=1,DW$5&lt;=$H263),DV263*(1-CG263)*(1-MIN(1,MAX(Assumptions!$C$27,Assumptions!$C$13*Assumptions!$C$28^(DV$5-1))*$O263)),0)</f>
        <v>0</v>
      </c>
      <c r="DX263" s="26"/>
      <c r="DY263" s="399">
        <f>'Policy Data'!K237</f>
        <v>6</v>
      </c>
      <c r="DZ263" s="100">
        <f>'Policy Data'!L237</f>
        <v>0.75129999999999997</v>
      </c>
      <c r="EA263" s="100">
        <f>'Policy Data'!N237</f>
        <v>1.0549999999999999E-3</v>
      </c>
      <c r="EB263" s="93" cm="1">
        <f t="array" ref="EB263">IFERROR(DZ263*INDEX(Mortality!$B$4:$E$64,MATCH(D263+DY263-1,Mortality!$A$4:$A$64,0),U263)*V263,0)</f>
        <v>1.5739036544522526E-3</v>
      </c>
      <c r="EC263" s="100">
        <f>'Policy Data'!O237</f>
        <v>0</v>
      </c>
      <c r="ED263" s="400">
        <f>'Policy Data'!Q237</f>
        <v>0</v>
      </c>
    </row>
    <row r="264" spans="1:134" x14ac:dyDescent="0.3">
      <c r="A264" s="399" t="str">
        <f>'Policy Data'!A238</f>
        <v>POL100234</v>
      </c>
      <c r="B264" s="26" t="s">
        <v>426</v>
      </c>
      <c r="C264" s="100" t="str">
        <f>'Policy Data'!B238</f>
        <v>Term Life</v>
      </c>
      <c r="D264" s="100">
        <f>'Policy Data'!C238</f>
        <v>33</v>
      </c>
      <c r="E264" s="100" t="str">
        <f>'Policy Data'!D238</f>
        <v>Female</v>
      </c>
      <c r="F264" s="100" t="str">
        <f>'Policy Data'!E238</f>
        <v>Non-smoker</v>
      </c>
      <c r="G264" s="100" t="str">
        <f>'Policy Data'!F238</f>
        <v>Standard</v>
      </c>
      <c r="H264" s="100">
        <f>'Policy Data'!G238</f>
        <v>25</v>
      </c>
      <c r="I264" s="279">
        <f>'Policy Data'!H238</f>
        <v>250000</v>
      </c>
      <c r="J264" s="100" t="str">
        <f>'Policy Data'!I238</f>
        <v>Monthly</v>
      </c>
      <c r="K264" s="100" t="str">
        <f>'Policy Data'!J238</f>
        <v>Direct</v>
      </c>
      <c r="L264" s="26" t="s">
        <v>389</v>
      </c>
      <c r="M264" s="106">
        <f>'Policy Data'!R238</f>
        <v>1200</v>
      </c>
      <c r="N264" s="415">
        <f>Assumptions!$C$21</f>
        <v>1</v>
      </c>
      <c r="O264" s="415">
        <f>Assumptions!$C$22</f>
        <v>1</v>
      </c>
      <c r="P264" s="415">
        <f>Assumptions!$C$23</f>
        <v>1</v>
      </c>
      <c r="Q264" s="416">
        <f>Assumptions!$C$24</f>
        <v>0</v>
      </c>
      <c r="R264" s="416">
        <f>Assumptions!$C$6+Assumptions!$C$25</f>
        <v>3.5000000000000003E-2</v>
      </c>
      <c r="S264" s="416">
        <f>Assumptions!$C$15</f>
        <v>1.1000000000000001E-3</v>
      </c>
      <c r="T264" s="26">
        <f t="shared" si="72"/>
        <v>1</v>
      </c>
      <c r="U264" s="26">
        <f t="shared" si="73"/>
        <v>1</v>
      </c>
      <c r="V264" s="389">
        <f>IF($G264="Preferred",Assumptions!$C$30,IF($G264="Rated",Assumptions!$C$31,1))</f>
        <v>1</v>
      </c>
      <c r="W264" s="390">
        <f>IF($K264="Direct",Assumptions!$C$32,IF($K264="Broker",Assumptions!$C$33,IF($K264="Bancassurance",Assumptions!$C$34,Assumptions!$C$11)))+$Q264</f>
        <v>0.1</v>
      </c>
      <c r="X264" s="390">
        <f>Assumptions!$C$12+$Q264</f>
        <v>0.05</v>
      </c>
      <c r="Y264" s="131">
        <f>MIN($I264,Assumptions!$C$14)</f>
        <v>250000</v>
      </c>
      <c r="Z264" s="131">
        <f>MAX($I264-Assumptions!$C$14,0)</f>
        <v>0</v>
      </c>
      <c r="AA264" s="389">
        <f t="shared" si="74"/>
        <v>9.4779831960858356</v>
      </c>
      <c r="AB264" s="389">
        <f t="shared" si="75"/>
        <v>1.0598742323150372E-2</v>
      </c>
      <c r="AC264" s="389">
        <f>IF($T264=1,SUMPRODUCT($CJ264:$DW264,(1+Assumptions!$C$5)^($CJ$5:$DW$5-1),(1+$R264)^(-$CJ$5:$DW$5)),0)</f>
        <v>13.658684175184124</v>
      </c>
      <c r="AD264" s="389">
        <f t="shared" si="76"/>
        <v>0.5222083385482531</v>
      </c>
      <c r="AE264" s="131">
        <f>IF($T264=1,$AB264*$Y264+(Assumptions!$C$9/(1+$R264)+Assumptions!$C$10*$AC264)*$P264+$S264*$Z264*$AA264,0)</f>
        <v>6524.1613167194046</v>
      </c>
      <c r="AF264" s="131">
        <f>IF($T264=1,IF($AA264-$AD264-Assumptions!$C$16*$AA264&gt;0,$AE264/($AA264-$AD264-Assumptions!$C$16*$AA264)*IF($J264="Monthly",1+Assumptions!$C$29,1),"n.a."),"")</f>
        <v>819.74461481534809</v>
      </c>
      <c r="AG264" s="131">
        <f t="shared" si="77"/>
        <v>1200</v>
      </c>
      <c r="AH264" s="131">
        <f t="shared" si="78"/>
        <v>11373.579835303002</v>
      </c>
      <c r="AI264" s="131">
        <f t="shared" si="79"/>
        <v>4222.7685123256942</v>
      </c>
      <c r="AJ264" s="390">
        <f t="shared" si="80"/>
        <v>0.37127875070770944</v>
      </c>
      <c r="AK264" s="389">
        <f t="shared" si="81"/>
        <v>1.4638705498178923</v>
      </c>
      <c r="AL264" s="131">
        <f t="shared" si="82"/>
        <v>0</v>
      </c>
      <c r="AM264" s="131">
        <f t="shared" si="83"/>
        <v>0</v>
      </c>
      <c r="AN264" s="131">
        <f t="shared" si="84"/>
        <v>0</v>
      </c>
      <c r="AO264" s="131">
        <f t="shared" si="85"/>
        <v>4222.7685123256942</v>
      </c>
      <c r="AP264" s="26" t="str">
        <f t="shared" si="86"/>
        <v>30-39</v>
      </c>
      <c r="AQ264" s="26" t="str">
        <f t="shared" si="87"/>
        <v>Up to 250k</v>
      </c>
      <c r="AR264" s="26" t="str">
        <f>IF($T264=1,IF($AI264&lt;0,"Loss-making",IF($AJ264&lt;Assumptions!$C$16-0.00001,"Below target","At/above target")),"Excluded")</f>
        <v>At/above target</v>
      </c>
      <c r="AS264" s="103">
        <f t="shared" si="88"/>
        <v>4222.7687763256945</v>
      </c>
      <c r="AT264" s="26"/>
      <c r="AU264" s="419">
        <f>IF(AND($T264=1,AU$5&lt;=$H264),INDEX(Mortality!$B$4:$E$64,MATCH($D264+AU$5-1,Mortality!$A$4:$A$64,0),$U264)*$V264*$N264,0)</f>
        <v>4.8625279999793699E-4</v>
      </c>
      <c r="AV264" s="93">
        <f>IF(AND($T264=1,AV$5&lt;=$H264),INDEX(Mortality!$B$4:$E$64,MATCH($D264+AV$5-1,Mortality!$A$4:$A$64,0),$U264)*$V264*$N264,0)</f>
        <v>5.2675136985850396E-4</v>
      </c>
      <c r="AW264" s="93">
        <f>IF(AND($T264=1,AW$5&lt;=$H264),INDEX(Mortality!$B$4:$E$64,MATCH($D264+AW$5-1,Mortality!$A$4:$A$64,0),$U264)*$V264*$N264,0)</f>
        <v>5.7062294684778595E-4</v>
      </c>
      <c r="AX264" s="93">
        <f>IF(AND($T264=1,AX$5&lt;=$H264),INDEX(Mortality!$B$4:$E$64,MATCH($D264+AX$5-1,Mortality!$A$4:$A$64,0),$U264)*$V264*$N264,0)</f>
        <v>6.1814845883878197E-4</v>
      </c>
      <c r="AY264" s="93">
        <f>IF(AND($T264=1,AY$5&lt;=$H264),INDEX(Mortality!$B$4:$E$64,MATCH($D264+AY$5-1,Mortality!$A$4:$A$64,0),$U264)*$V264*$N264,0)</f>
        <v>6.6963223136325904E-4</v>
      </c>
      <c r="AZ264" s="93">
        <f>IF(AND($T264=1,AZ$5&lt;=$H264),INDEX(Mortality!$B$4:$E$64,MATCH($D264+AZ$5-1,Mortality!$A$4:$A$64,0),$U264)*$V264*$N264,0)</f>
        <v>7.2540393633414402E-4</v>
      </c>
      <c r="BA264" s="93">
        <f>IF(AND($T264=1,BA$5&lt;=$H264),INDEX(Mortality!$B$4:$E$64,MATCH($D264+BA$5-1,Mortality!$A$4:$A$64,0),$U264)*$V264*$N264,0)</f>
        <v>7.8582070307128696E-4</v>
      </c>
      <c r="BB264" s="93">
        <f>IF(AND($T264=1,BB$5&lt;=$H264),INDEX(Mortality!$B$4:$E$64,MATCH($D264+BB$5-1,Mortality!$A$4:$A$64,0),$U264)*$V264*$N264,0)</f>
        <v>8.5126940514836905E-4</v>
      </c>
      <c r="BC264" s="93">
        <f>IF(AND($T264=1,BC$5&lt;=$H264),INDEX(Mortality!$B$4:$E$64,MATCH($D264+BC$5-1,Mortality!$A$4:$A$64,0),$U264)*$V264*$N264,0)</f>
        <v>9.2216913770458301E-4</v>
      </c>
      <c r="BD264" s="93">
        <f>IF(AND($T264=1,BD$5&lt;=$H264),INDEX(Mortality!$B$4:$E$64,MATCH($D264+BD$5-1,Mortality!$A$4:$A$64,0),$U264)*$V264*$N264,0)</f>
        <v>9.98973901084343E-4</v>
      </c>
      <c r="BE264" s="93">
        <f>IF(AND($T264=1,BE$5&lt;=$H264),INDEX(Mortality!$B$4:$E$64,MATCH($D264+BE$5-1,Mortality!$A$4:$A$64,0),$U264)*$V264*$N264,0)</f>
        <v>1.08217550798947E-3</v>
      </c>
      <c r="BF264" s="93">
        <f>IF(AND($T264=1,BF$5&lt;=$H264),INDEX(Mortality!$B$4:$E$64,MATCH($D264+BF$5-1,Mortality!$A$4:$A$64,0),$U264)*$V264*$N264,0)</f>
        <v>1.1723067327595699E-3</v>
      </c>
      <c r="BG264" s="93">
        <f>IF(AND($T264=1,BG$5&lt;=$H264),INDEX(Mortality!$B$4:$E$64,MATCH($D264+BG$5-1,Mortality!$A$4:$A$64,0),$U264)*$V264*$N264,0)</f>
        <v>1.2699447229467301E-3</v>
      </c>
      <c r="BH264" s="93">
        <f>IF(AND($T264=1,BH$5&lt;=$H264),INDEX(Mortality!$B$4:$E$64,MATCH($D264+BH$5-1,Mortality!$A$4:$A$64,0),$U264)*$V264*$N264,0)</f>
        <v>1.37571469503025E-3</v>
      </c>
      <c r="BI264" s="93">
        <f>IF(AND($T264=1,BI$5&lt;=$H264),INDEX(Mortality!$B$4:$E$64,MATCH($D264+BI$5-1,Mortality!$A$4:$A$64,0),$U264)*$V264*$N264,0)</f>
        <v>1.4902939379366699E-3</v>
      </c>
      <c r="BJ264" s="93">
        <f>IF(AND($T264=1,BJ$5&lt;=$H264),INDEX(Mortality!$B$4:$E$64,MATCH($D264+BJ$5-1,Mortality!$A$4:$A$64,0),$U264)*$V264*$N264,0)</f>
        <v>1.6144161500011799E-3</v>
      </c>
      <c r="BK264" s="93">
        <f>IF(AND($T264=1,BK$5&lt;=$H264),INDEX(Mortality!$B$4:$E$64,MATCH($D264+BK$5-1,Mortality!$A$4:$A$64,0),$U264)*$V264*$N264,0)</f>
        <v>1.74887613714188E-3</v>
      </c>
      <c r="BL264" s="93">
        <f>IF(AND($T264=1,BL$5&lt;=$H264),INDEX(Mortality!$B$4:$E$64,MATCH($D264+BL$5-1,Mortality!$A$4:$A$64,0),$U264)*$V264*$N264,0)</f>
        <v>1.89453490233113E-3</v>
      </c>
      <c r="BM264" s="93">
        <f>IF(AND($T264=1,BM$5&lt;=$H264),INDEX(Mortality!$B$4:$E$64,MATCH($D264+BM$5-1,Mortality!$A$4:$A$64,0),$U264)*$V264*$N264,0)</f>
        <v>2.05232515895416E-3</v>
      </c>
      <c r="BN264" s="93">
        <f>IF(AND($T264=1,BN$5&lt;=$H264),INDEX(Mortality!$B$4:$E$64,MATCH($D264+BN$5-1,Mortality!$A$4:$A$64,0),$U264)*$V264*$N264,0)</f>
        <v>2.22325730335899E-3</v>
      </c>
      <c r="BO264" s="93">
        <f>IF(AND($T264=1,BO$5&lt;=$H264),INDEX(Mortality!$B$4:$E$64,MATCH($D264+BO$5-1,Mortality!$A$4:$A$64,0),$U264)*$V264*$N264,0)</f>
        <v>2.4084258848427E-3</v>
      </c>
      <c r="BP264" s="93">
        <f>IF(AND($T264=1,BP$5&lt;=$H264),INDEX(Mortality!$B$4:$E$64,MATCH($D264+BP$5-1,Mortality!$A$4:$A$64,0),$U264)*$V264*$N264,0)</f>
        <v>2.6090166145037101E-3</v>
      </c>
      <c r="BQ264" s="93">
        <f>IF(AND($T264=1,BQ$5&lt;=$H264),INDEX(Mortality!$B$4:$E$64,MATCH($D264+BQ$5-1,Mortality!$A$4:$A$64,0),$U264)*$V264*$N264,0)</f>
        <v>2.8263139578409702E-3</v>
      </c>
      <c r="BR264" s="93">
        <f>IF(AND($T264=1,BR$5&lt;=$H264),INDEX(Mortality!$B$4:$E$64,MATCH($D264+BR$5-1,Mortality!$A$4:$A$64,0),$U264)*$V264*$N264,0)</f>
        <v>3.0617093597183598E-3</v>
      </c>
      <c r="BS264" s="93">
        <f>IF(AND($T264=1,BS$5&lt;=$H264),INDEX(Mortality!$B$4:$E$64,MATCH($D264+BS$5-1,Mortality!$A$4:$A$64,0),$U264)*$V264*$N264,0)</f>
        <v>3.31671015436227E-3</v>
      </c>
      <c r="BT264" s="93">
        <f>IF(AND($T264=1,BT$5&lt;=$H264),INDEX(Mortality!$B$4:$E$64,MATCH($D264+BT$5-1,Mortality!$A$4:$A$64,0),$U264)*$V264*$N264,0)</f>
        <v>0</v>
      </c>
      <c r="BU264" s="93">
        <f>IF(AND($T264=1,BU$5&lt;=$H264),INDEX(Mortality!$B$4:$E$64,MATCH($D264+BU$5-1,Mortality!$A$4:$A$64,0),$U264)*$V264*$N264,0)</f>
        <v>0</v>
      </c>
      <c r="BV264" s="93">
        <f>IF(AND($T264=1,BV$5&lt;=$H264),INDEX(Mortality!$B$4:$E$64,MATCH($D264+BV$5-1,Mortality!$A$4:$A$64,0),$U264)*$V264*$N264,0)</f>
        <v>0</v>
      </c>
      <c r="BW264" s="93">
        <f>IF(AND($T264=1,BW$5&lt;=$H264),INDEX(Mortality!$B$4:$E$64,MATCH($D264+BW$5-1,Mortality!$A$4:$A$64,0),$U264)*$V264*$N264,0)</f>
        <v>0</v>
      </c>
      <c r="BX264" s="93">
        <f>IF(AND($T264=1,BX$5&lt;=$H264),INDEX(Mortality!$B$4:$E$64,MATCH($D264+BX$5-1,Mortality!$A$4:$A$64,0),$U264)*$V264*$N264,0)</f>
        <v>0</v>
      </c>
      <c r="BY264" s="93">
        <f>IF(AND($T264=1,BY$5&lt;=$H264),INDEX(Mortality!$B$4:$E$64,MATCH($D264+BY$5-1,Mortality!$A$4:$A$64,0),$U264)*$V264*$N264,0)</f>
        <v>0</v>
      </c>
      <c r="BZ264" s="93">
        <f>IF(AND($T264=1,BZ$5&lt;=$H264),INDEX(Mortality!$B$4:$E$64,MATCH($D264+BZ$5-1,Mortality!$A$4:$A$64,0),$U264)*$V264*$N264,0)</f>
        <v>0</v>
      </c>
      <c r="CA264" s="93">
        <f>IF(AND($T264=1,CA$5&lt;=$H264),INDEX(Mortality!$B$4:$E$64,MATCH($D264+CA$5-1,Mortality!$A$4:$A$64,0),$U264)*$V264*$N264,0)</f>
        <v>0</v>
      </c>
      <c r="CB264" s="93">
        <f>IF(AND($T264=1,CB$5&lt;=$H264),INDEX(Mortality!$B$4:$E$64,MATCH($D264+CB$5-1,Mortality!$A$4:$A$64,0),$U264)*$V264*$N264,0)</f>
        <v>0</v>
      </c>
      <c r="CC264" s="93">
        <f>IF(AND($T264=1,CC$5&lt;=$H264),INDEX(Mortality!$B$4:$E$64,MATCH($D264+CC$5-1,Mortality!$A$4:$A$64,0),$U264)*$V264*$N264,0)</f>
        <v>0</v>
      </c>
      <c r="CD264" s="93">
        <f>IF(AND($T264=1,CD$5&lt;=$H264),INDEX(Mortality!$B$4:$E$64,MATCH($D264+CD$5-1,Mortality!$A$4:$A$64,0),$U264)*$V264*$N264,0)</f>
        <v>0</v>
      </c>
      <c r="CE264" s="93">
        <f>IF(AND($T264=1,CE$5&lt;=$H264),INDEX(Mortality!$B$4:$E$64,MATCH($D264+CE$5-1,Mortality!$A$4:$A$64,0),$U264)*$V264*$N264,0)</f>
        <v>0</v>
      </c>
      <c r="CF264" s="93">
        <f>IF(AND($T264=1,CF$5&lt;=$H264),INDEX(Mortality!$B$4:$E$64,MATCH($D264+CF$5-1,Mortality!$A$4:$A$64,0),$U264)*$V264*$N264,0)</f>
        <v>0</v>
      </c>
      <c r="CG264" s="93">
        <f>IF(AND($T264=1,CG$5&lt;=$H264),INDEX(Mortality!$B$4:$E$64,MATCH($D264+CG$5-1,Mortality!$A$4:$A$64,0),$U264)*$V264*$N264,0)</f>
        <v>0</v>
      </c>
      <c r="CH264" s="94">
        <f>IF(AND($T264=1,CH$5&lt;=$H264),INDEX(Mortality!$B$4:$E$64,MATCH($D264+CH$5-1,Mortality!$A$4:$A$64,0),$U264)*$V264*$N264,0)</f>
        <v>0</v>
      </c>
      <c r="CI264" s="26"/>
      <c r="CJ264" s="419">
        <f t="shared" si="89"/>
        <v>1</v>
      </c>
      <c r="CK264" s="93">
        <f>IF(AND($T264=1,CK$5&lt;=$H264),CJ264*(1-AU264)*(1-MIN(1,MAX(Assumptions!$C$27,Assumptions!$C$13*Assumptions!$C$28^(CJ$5-1))*$O264)),0)</f>
        <v>0.87957209753600185</v>
      </c>
      <c r="CL264" s="93">
        <f>IF(AND($T264=1,CL$5&lt;=$H264),CK264*(1-AV264)*(1-MIN(1,MAX(Assumptions!$C$27,Assumptions!$C$13*Assumptions!$C$28^(CK$5-1))*$O264)),0)</f>
        <v>0.78943968599240455</v>
      </c>
      <c r="CM264" s="93">
        <f>IF(AND($T264=1,CM$5&lt;=$H264),CL264*(1-AW264)*(1-MIN(1,MAX(Assumptions!$C$27,Assumptions!$C$13*Assumptions!$C$28^(CL$5-1))*$O264)),0)</f>
        <v>0.72058384877396175</v>
      </c>
      <c r="CN264" s="93">
        <f>IF(AND($T264=1,CN$5&lt;=$H264),CM264*(1-AX264)*(1-MIN(1,MAX(Assumptions!$C$27,Assumptions!$C$13*Assumptions!$C$28^(CM$5-1))*$O264)),0)</f>
        <v>0.66706782004437648</v>
      </c>
      <c r="CO264" s="93">
        <f>IF(AND($T264=1,CO$5&lt;=$H264),CN264*(1-AY264)*(1-MIN(1,MAX(Assumptions!$C$27,Assumptions!$C$13*Assumptions!$C$28^(CN$5-1))*$O264)),0)</f>
        <v>0.62486348238680856</v>
      </c>
      <c r="CP264" s="93">
        <f>IF(AND($T264=1,CP$5&lt;=$H264),CO264*(1-AZ264)*(1-MIN(1,MAX(Assumptions!$C$27,Assumptions!$C$13*Assumptions!$C$28^(CO$5-1))*$O264)),0)</f>
        <v>0.59116370899602155</v>
      </c>
      <c r="CQ264" s="93">
        <f>IF(AND($T264=1,CQ$5&lt;=$H264),CP264*(1-BA264)*(1-MIN(1,MAX(Assumptions!$C$27,Assumptions!$C$13*Assumptions!$C$28^(CP$5-1))*$O264)),0)</f>
        <v>0.56396533205145905</v>
      </c>
      <c r="CR264" s="93">
        <f>IF(AND($T264=1,CR$5&lt;=$H264),CQ264*(1-BB264)*(1-MIN(1,MAX(Assumptions!$C$27,Assumptions!$C$13*Assumptions!$C$28^(CQ$5-1))*$O264)),0)</f>
        <v>0.54180839049913199</v>
      </c>
      <c r="CS264" s="93">
        <f>IF(AND($T264=1,CS$5&lt;=$H264),CR264*(1-BC264)*(1-MIN(1,MAX(Assumptions!$C$27,Assumptions!$C$13*Assumptions!$C$28^(CR$5-1))*$O264)),0)</f>
        <v>0.5236085708135797</v>
      </c>
      <c r="CT264" s="93">
        <f>IF(AND($T264=1,CT$5&lt;=$H264),CS264*(1-BD264)*(1-MIN(1,MAX(Assumptions!$C$27,Assumptions!$C$13*Assumptions!$C$28^(CS$5-1))*$O264)),0)</f>
        <v>0.50854684359177593</v>
      </c>
      <c r="CU264" s="93">
        <f>IF(AND($T264=1,CU$5&lt;=$H264),CT264*(1-BE264)*(1-MIN(1,MAX(Assumptions!$C$27,Assumptions!$C$13*Assumptions!$C$28^(CT$5-1))*$O264)),0)</f>
        <v>0.49599512549443886</v>
      </c>
      <c r="CV264" s="93">
        <f>IF(AND($T264=1,CV$5&lt;=$H264),CU264*(1-BF264)*(1-MIN(1,MAX(Assumptions!$C$27,Assumptions!$C$13*Assumptions!$C$28^(CU$5-1))*$O264)),0)</f>
        <v>0.48546517146753848</v>
      </c>
      <c r="CW264" s="93">
        <f>IF(AND($T264=1,CW$5&lt;=$H264),CV264*(1-BG264)*(1-MIN(1,MAX(Assumptions!$C$27,Assumptions!$C$13*Assumptions!$C$28^(CV$5-1))*$O264)),0)</f>
        <v>0.47515168438416167</v>
      </c>
      <c r="CX264" s="93">
        <f>IF(AND($T264=1,CX$5&lt;=$H264),CW264*(1-BH264)*(1-MIN(1,MAX(Assumptions!$C$27,Assumptions!$C$13*Assumptions!$C$28^(CW$5-1))*$O264)),0)</f>
        <v>0.46500805100499421</v>
      </c>
      <c r="CY264" s="93">
        <f>IF(AND($T264=1,CY$5&lt;=$H264),CX264*(1-BI264)*(1-MIN(1,MAX(Assumptions!$C$27,Assumptions!$C$13*Assumptions!$C$28^(CX$5-1))*$O264)),0)</f>
        <v>0.45502875127897996</v>
      </c>
      <c r="CZ264" s="93">
        <f>IF(AND($T264=1,CZ$5&lt;=$H264),CY264*(1-BJ264)*(1-MIN(1,MAX(Assumptions!$C$27,Assumptions!$C$13*Assumptions!$C$28^(CY$5-1))*$O264)),0)</f>
        <v>0.44520826260391633</v>
      </c>
      <c r="DA264" s="93">
        <f>IF(AND($T264=1,DA$5&lt;=$H264),CZ264*(1-BK264)*(1-MIN(1,MAX(Assumptions!$C$27,Assumptions!$C$13*Assumptions!$C$28^(CZ$5-1))*$O264)),0)</f>
        <v>0.4355410555274421</v>
      </c>
      <c r="DB264" s="93">
        <f>IF(AND($T264=1,DB$5&lt;=$H264),DA264*(1-BL264)*(1-MIN(1,MAX(Assumptions!$C$27,Assumptions!$C$13*Assumptions!$C$28^(DA$5-1))*$O264)),0)</f>
        <v>0.42602158964042025</v>
      </c>
      <c r="DC264" s="93">
        <f>IF(AND($T264=1,DC$5&lt;=$H264),DB264*(1-BM264)*(1-MIN(1,MAX(Assumptions!$C$27,Assumptions!$C$13*Assumptions!$C$28^(DB$5-1))*$O264)),0)</f>
        <v>0.41664430971746874</v>
      </c>
      <c r="DD264" s="93">
        <f>IF(AND($T264=1,DD$5&lt;=$H264),DC264*(1-BN264)*(1-MIN(1,MAX(Assumptions!$C$27,Assumptions!$C$13*Assumptions!$C$28^(DC$5-1))*$O264)),0)</f>
        <v>0.40740364216872665</v>
      </c>
      <c r="DE264" s="93">
        <f>IF(AND($T264=1,DE$5&lt;=$H264),DD264*(1-BO264)*(1-MIN(1,MAX(Assumptions!$C$27,Assumptions!$C$13*Assumptions!$C$28^(DD$5-1))*$O264)),0)</f>
        <v>0.39829399187752135</v>
      </c>
      <c r="DF264" s="93">
        <f>IF(AND($T264=1,DF$5&lt;=$H264),DE264*(1-BP264)*(1-MIN(1,MAX(Assumptions!$C$27,Assumptions!$C$13*Assumptions!$C$28^(DE$5-1))*$O264)),0)</f>
        <v>0.38930973951055076</v>
      </c>
      <c r="DG264" s="93">
        <f>IF(AND($T264=1,DG$5&lt;=$H264),DF264*(1-BQ264)*(1-MIN(1,MAX(Assumptions!$C$27,Assumptions!$C$13*Assumptions!$C$28^(DF$5-1))*$O264)),0)</f>
        <v>0.38044523940065167</v>
      </c>
      <c r="DH264" s="93">
        <f>IF(AND($T264=1,DH$5&lt;=$H264),DG264*(1-BR264)*(1-MIN(1,MAX(Assumptions!$C$27,Assumptions!$C$13*Assumptions!$C$28^(DG$5-1))*$O264)),0)</f>
        <v>0.37169481811731203</v>
      </c>
      <c r="DI264" s="93">
        <f>IF(AND($T264=1,DI$5&lt;=$H264),DH264*(1-BS264)*(1-MIN(1,MAX(Assumptions!$C$27,Assumptions!$C$13*Assumptions!$C$28^(DH$5-1))*$O264)),0)</f>
        <v>0</v>
      </c>
      <c r="DJ264" s="93">
        <f>IF(AND($T264=1,DJ$5&lt;=$H264),DI264*(1-BT264)*(1-MIN(1,MAX(Assumptions!$C$27,Assumptions!$C$13*Assumptions!$C$28^(DI$5-1))*$O264)),0)</f>
        <v>0</v>
      </c>
      <c r="DK264" s="93">
        <f>IF(AND($T264=1,DK$5&lt;=$H264),DJ264*(1-BU264)*(1-MIN(1,MAX(Assumptions!$C$27,Assumptions!$C$13*Assumptions!$C$28^(DJ$5-1))*$O264)),0)</f>
        <v>0</v>
      </c>
      <c r="DL264" s="93">
        <f>IF(AND($T264=1,DL$5&lt;=$H264),DK264*(1-BV264)*(1-MIN(1,MAX(Assumptions!$C$27,Assumptions!$C$13*Assumptions!$C$28^(DK$5-1))*$O264)),0)</f>
        <v>0</v>
      </c>
      <c r="DM264" s="93">
        <f>IF(AND($T264=1,DM$5&lt;=$H264),DL264*(1-BW264)*(1-MIN(1,MAX(Assumptions!$C$27,Assumptions!$C$13*Assumptions!$C$28^(DL$5-1))*$O264)),0)</f>
        <v>0</v>
      </c>
      <c r="DN264" s="93">
        <f>IF(AND($T264=1,DN$5&lt;=$H264),DM264*(1-BX264)*(1-MIN(1,MAX(Assumptions!$C$27,Assumptions!$C$13*Assumptions!$C$28^(DM$5-1))*$O264)),0)</f>
        <v>0</v>
      </c>
      <c r="DO264" s="93">
        <f>IF(AND($T264=1,DO$5&lt;=$H264),DN264*(1-BY264)*(1-MIN(1,MAX(Assumptions!$C$27,Assumptions!$C$13*Assumptions!$C$28^(DN$5-1))*$O264)),0)</f>
        <v>0</v>
      </c>
      <c r="DP264" s="93">
        <f>IF(AND($T264=1,DP$5&lt;=$H264),DO264*(1-BZ264)*(1-MIN(1,MAX(Assumptions!$C$27,Assumptions!$C$13*Assumptions!$C$28^(DO$5-1))*$O264)),0)</f>
        <v>0</v>
      </c>
      <c r="DQ264" s="93">
        <f>IF(AND($T264=1,DQ$5&lt;=$H264),DP264*(1-CA264)*(1-MIN(1,MAX(Assumptions!$C$27,Assumptions!$C$13*Assumptions!$C$28^(DP$5-1))*$O264)),0)</f>
        <v>0</v>
      </c>
      <c r="DR264" s="93">
        <f>IF(AND($T264=1,DR$5&lt;=$H264),DQ264*(1-CB264)*(1-MIN(1,MAX(Assumptions!$C$27,Assumptions!$C$13*Assumptions!$C$28^(DQ$5-1))*$O264)),0)</f>
        <v>0</v>
      </c>
      <c r="DS264" s="93">
        <f>IF(AND($T264=1,DS$5&lt;=$H264),DR264*(1-CC264)*(1-MIN(1,MAX(Assumptions!$C$27,Assumptions!$C$13*Assumptions!$C$28^(DR$5-1))*$O264)),0)</f>
        <v>0</v>
      </c>
      <c r="DT264" s="93">
        <f>IF(AND($T264=1,DT$5&lt;=$H264),DS264*(1-CD264)*(1-MIN(1,MAX(Assumptions!$C$27,Assumptions!$C$13*Assumptions!$C$28^(DS$5-1))*$O264)),0)</f>
        <v>0</v>
      </c>
      <c r="DU264" s="93">
        <f>IF(AND($T264=1,DU$5&lt;=$H264),DT264*(1-CE264)*(1-MIN(1,MAX(Assumptions!$C$27,Assumptions!$C$13*Assumptions!$C$28^(DT$5-1))*$O264)),0)</f>
        <v>0</v>
      </c>
      <c r="DV264" s="93">
        <f>IF(AND($T264=1,DV$5&lt;=$H264),DU264*(1-CF264)*(1-MIN(1,MAX(Assumptions!$C$27,Assumptions!$C$13*Assumptions!$C$28^(DU$5-1))*$O264)),0)</f>
        <v>0</v>
      </c>
      <c r="DW264" s="94">
        <f>IF(AND($T264=1,DW$5&lt;=$H264),DV264*(1-CG264)*(1-MIN(1,MAX(Assumptions!$C$27,Assumptions!$C$13*Assumptions!$C$28^(DV$5-1))*$O264)),0)</f>
        <v>0</v>
      </c>
      <c r="DX264" s="26"/>
      <c r="DY264" s="399">
        <f>'Policy Data'!K238</f>
        <v>2</v>
      </c>
      <c r="DZ264" s="100">
        <f>'Policy Data'!L238</f>
        <v>0.57110000000000005</v>
      </c>
      <c r="EA264" s="100">
        <f>'Policy Data'!N238</f>
        <v>2.7799999999999998E-4</v>
      </c>
      <c r="EB264" s="93" cm="1">
        <f t="array" ref="EB264">IFERROR(DZ264*INDEX(Mortality!$B$4:$E$64,MATCH(D264+DY264-1,Mortality!$A$4:$A$64,0),U264)*V264,0)</f>
        <v>3.0082770732619163E-4</v>
      </c>
      <c r="EC264" s="100">
        <f>'Policy Data'!O238</f>
        <v>0</v>
      </c>
      <c r="ED264" s="400">
        <f>'Policy Data'!Q238</f>
        <v>0</v>
      </c>
    </row>
    <row r="265" spans="1:134" x14ac:dyDescent="0.3">
      <c r="A265" s="399" t="str">
        <f>'Policy Data'!A239</f>
        <v>POL100235</v>
      </c>
      <c r="B265" s="26" t="s">
        <v>426</v>
      </c>
      <c r="C265" s="100" t="str">
        <f>'Policy Data'!B239</f>
        <v>Unit-Linked</v>
      </c>
      <c r="D265" s="100">
        <f>'Policy Data'!C239</f>
        <v>25</v>
      </c>
      <c r="E265" s="100" t="str">
        <f>'Policy Data'!D239</f>
        <v>Male</v>
      </c>
      <c r="F265" s="100" t="str">
        <f>'Policy Data'!E239</f>
        <v>Non-smoker</v>
      </c>
      <c r="G265" s="100" t="str">
        <f>'Policy Data'!F239</f>
        <v>Standard</v>
      </c>
      <c r="H265" s="100">
        <f>'Policy Data'!G239</f>
        <v>10</v>
      </c>
      <c r="I265" s="279">
        <f>'Policy Data'!H239</f>
        <v>2000000</v>
      </c>
      <c r="J265" s="100" t="str">
        <f>'Policy Data'!I239</f>
        <v>Monthly</v>
      </c>
      <c r="K265" s="100" t="str">
        <f>'Policy Data'!J239</f>
        <v>Direct</v>
      </c>
      <c r="L265" s="26" t="s">
        <v>389</v>
      </c>
      <c r="M265" s="106">
        <f>'Policy Data'!R239</f>
        <v>12695.95</v>
      </c>
      <c r="N265" s="415">
        <f>Assumptions!$C$21</f>
        <v>1</v>
      </c>
      <c r="O265" s="415">
        <f>Assumptions!$C$22</f>
        <v>1</v>
      </c>
      <c r="P265" s="415">
        <f>Assumptions!$C$23</f>
        <v>1</v>
      </c>
      <c r="Q265" s="416">
        <f>Assumptions!$C$24</f>
        <v>0</v>
      </c>
      <c r="R265" s="416">
        <f>Assumptions!$C$6+Assumptions!$C$25</f>
        <v>3.5000000000000003E-2</v>
      </c>
      <c r="S265" s="416">
        <f>Assumptions!$C$15</f>
        <v>1.1000000000000001E-3</v>
      </c>
      <c r="T265" s="26">
        <f t="shared" si="72"/>
        <v>0</v>
      </c>
      <c r="U265" s="26">
        <f t="shared" si="73"/>
        <v>3</v>
      </c>
      <c r="V265" s="389">
        <f>IF($G265="Preferred",Assumptions!$C$30,IF($G265="Rated",Assumptions!$C$31,1))</f>
        <v>1</v>
      </c>
      <c r="W265" s="390">
        <f>IF($K265="Direct",Assumptions!$C$32,IF($K265="Broker",Assumptions!$C$33,IF($K265="Bancassurance",Assumptions!$C$34,Assumptions!$C$11)))+$Q265</f>
        <v>0.1</v>
      </c>
      <c r="X265" s="390">
        <f>Assumptions!$C$12+$Q265</f>
        <v>0.05</v>
      </c>
      <c r="Y265" s="131">
        <f>MIN($I265,Assumptions!$C$14)</f>
        <v>500000</v>
      </c>
      <c r="Z265" s="131">
        <f>MAX($I265-Assumptions!$C$14,0)</f>
        <v>1500000</v>
      </c>
      <c r="AA265" s="389">
        <f t="shared" si="74"/>
        <v>0</v>
      </c>
      <c r="AB265" s="389">
        <f t="shared" si="75"/>
        <v>0</v>
      </c>
      <c r="AC265" s="389">
        <f>IF($T265=1,SUMPRODUCT($CJ265:$DW265,(1+Assumptions!$C$5)^($CJ$5:$DW$5-1),(1+$R265)^(-$CJ$5:$DW$5)),0)</f>
        <v>0</v>
      </c>
      <c r="AD265" s="389">
        <f t="shared" si="76"/>
        <v>0</v>
      </c>
      <c r="AE265" s="131">
        <f>IF($T265=1,$AB265*$Y265+(Assumptions!$C$9/(1+$R265)+Assumptions!$C$10*$AC265)*$P265+$S265*$Z265*$AA265,0)</f>
        <v>0</v>
      </c>
      <c r="AF265" s="131" t="str">
        <f>IF($T265=1,IF($AA265-$AD265-Assumptions!$C$16*$AA265&gt;0,$AE265/($AA265-$AD265-Assumptions!$C$16*$AA265)*IF($J265="Monthly",1+Assumptions!$C$29,1),"n.a."),"")</f>
        <v/>
      </c>
      <c r="AG265" s="131" t="str">
        <f t="shared" si="77"/>
        <v/>
      </c>
      <c r="AH265" s="131" t="str">
        <f t="shared" si="78"/>
        <v/>
      </c>
      <c r="AI265" s="131" t="str">
        <f t="shared" si="79"/>
        <v/>
      </c>
      <c r="AJ265" s="390" t="str">
        <f t="shared" si="80"/>
        <v/>
      </c>
      <c r="AK265" s="389" t="str">
        <f t="shared" si="81"/>
        <v/>
      </c>
      <c r="AL265" s="131" t="str">
        <f t="shared" si="82"/>
        <v/>
      </c>
      <c r="AM265" s="131" t="str">
        <f t="shared" si="83"/>
        <v/>
      </c>
      <c r="AN265" s="131" t="str">
        <f t="shared" si="84"/>
        <v/>
      </c>
      <c r="AO265" s="131" t="str">
        <f t="shared" si="85"/>
        <v/>
      </c>
      <c r="AP265" s="26" t="str">
        <f t="shared" si="86"/>
        <v>20-29</v>
      </c>
      <c r="AQ265" s="26" t="str">
        <f t="shared" si="87"/>
        <v>Over 1m</v>
      </c>
      <c r="AR265" s="26" t="str">
        <f>IF($T265=1,IF($AI265&lt;0,"Loss-making",IF($AJ265&lt;Assumptions!$C$16-0.00001,"Below target","At/above target")),"Excluded")</f>
        <v>Excluded</v>
      </c>
      <c r="AS265" s="103">
        <f t="shared" si="88"/>
        <v>9.9999999999999997E+98</v>
      </c>
      <c r="AT265" s="26"/>
      <c r="AU265" s="419">
        <f>IF(AND($T265=1,AU$5&lt;=$H265),INDEX(Mortality!$B$4:$E$64,MATCH($D265+AU$5-1,Mortality!$A$4:$A$64,0),$U265)*$V265*$N265,0)</f>
        <v>0</v>
      </c>
      <c r="AV265" s="93">
        <f>IF(AND($T265=1,AV$5&lt;=$H265),INDEX(Mortality!$B$4:$E$64,MATCH($D265+AV$5-1,Mortality!$A$4:$A$64,0),$U265)*$V265*$N265,0)</f>
        <v>0</v>
      </c>
      <c r="AW265" s="93">
        <f>IF(AND($T265=1,AW$5&lt;=$H265),INDEX(Mortality!$B$4:$E$64,MATCH($D265+AW$5-1,Mortality!$A$4:$A$64,0),$U265)*$V265*$N265,0)</f>
        <v>0</v>
      </c>
      <c r="AX265" s="93">
        <f>IF(AND($T265=1,AX$5&lt;=$H265),INDEX(Mortality!$B$4:$E$64,MATCH($D265+AX$5-1,Mortality!$A$4:$A$64,0),$U265)*$V265*$N265,0)</f>
        <v>0</v>
      </c>
      <c r="AY265" s="93">
        <f>IF(AND($T265=1,AY$5&lt;=$H265),INDEX(Mortality!$B$4:$E$64,MATCH($D265+AY$5-1,Mortality!$A$4:$A$64,0),$U265)*$V265*$N265,0)</f>
        <v>0</v>
      </c>
      <c r="AZ265" s="93">
        <f>IF(AND($T265=1,AZ$5&lt;=$H265),INDEX(Mortality!$B$4:$E$64,MATCH($D265+AZ$5-1,Mortality!$A$4:$A$64,0),$U265)*$V265*$N265,0)</f>
        <v>0</v>
      </c>
      <c r="BA265" s="93">
        <f>IF(AND($T265=1,BA$5&lt;=$H265),INDEX(Mortality!$B$4:$E$64,MATCH($D265+BA$5-1,Mortality!$A$4:$A$64,0),$U265)*$V265*$N265,0)</f>
        <v>0</v>
      </c>
      <c r="BB265" s="93">
        <f>IF(AND($T265=1,BB$5&lt;=$H265),INDEX(Mortality!$B$4:$E$64,MATCH($D265+BB$5-1,Mortality!$A$4:$A$64,0),$U265)*$V265*$N265,0)</f>
        <v>0</v>
      </c>
      <c r="BC265" s="93">
        <f>IF(AND($T265=1,BC$5&lt;=$H265),INDEX(Mortality!$B$4:$E$64,MATCH($D265+BC$5-1,Mortality!$A$4:$A$64,0),$U265)*$V265*$N265,0)</f>
        <v>0</v>
      </c>
      <c r="BD265" s="93">
        <f>IF(AND($T265=1,BD$5&lt;=$H265),INDEX(Mortality!$B$4:$E$64,MATCH($D265+BD$5-1,Mortality!$A$4:$A$64,0),$U265)*$V265*$N265,0)</f>
        <v>0</v>
      </c>
      <c r="BE265" s="93">
        <f>IF(AND($T265=1,BE$5&lt;=$H265),INDEX(Mortality!$B$4:$E$64,MATCH($D265+BE$5-1,Mortality!$A$4:$A$64,0),$U265)*$V265*$N265,0)</f>
        <v>0</v>
      </c>
      <c r="BF265" s="93">
        <f>IF(AND($T265=1,BF$5&lt;=$H265),INDEX(Mortality!$B$4:$E$64,MATCH($D265+BF$5-1,Mortality!$A$4:$A$64,0),$U265)*$V265*$N265,0)</f>
        <v>0</v>
      </c>
      <c r="BG265" s="93">
        <f>IF(AND($T265=1,BG$5&lt;=$H265),INDEX(Mortality!$B$4:$E$64,MATCH($D265+BG$5-1,Mortality!$A$4:$A$64,0),$U265)*$V265*$N265,0)</f>
        <v>0</v>
      </c>
      <c r="BH265" s="93">
        <f>IF(AND($T265=1,BH$5&lt;=$H265),INDEX(Mortality!$B$4:$E$64,MATCH($D265+BH$5-1,Mortality!$A$4:$A$64,0),$U265)*$V265*$N265,0)</f>
        <v>0</v>
      </c>
      <c r="BI265" s="93">
        <f>IF(AND($T265=1,BI$5&lt;=$H265),INDEX(Mortality!$B$4:$E$64,MATCH($D265+BI$5-1,Mortality!$A$4:$A$64,0),$U265)*$V265*$N265,0)</f>
        <v>0</v>
      </c>
      <c r="BJ265" s="93">
        <f>IF(AND($T265=1,BJ$5&lt;=$H265),INDEX(Mortality!$B$4:$E$64,MATCH($D265+BJ$5-1,Mortality!$A$4:$A$64,0),$U265)*$V265*$N265,0)</f>
        <v>0</v>
      </c>
      <c r="BK265" s="93">
        <f>IF(AND($T265=1,BK$5&lt;=$H265),INDEX(Mortality!$B$4:$E$64,MATCH($D265+BK$5-1,Mortality!$A$4:$A$64,0),$U265)*$V265*$N265,0)</f>
        <v>0</v>
      </c>
      <c r="BL265" s="93">
        <f>IF(AND($T265=1,BL$5&lt;=$H265),INDEX(Mortality!$B$4:$E$64,MATCH($D265+BL$5-1,Mortality!$A$4:$A$64,0),$U265)*$V265*$N265,0)</f>
        <v>0</v>
      </c>
      <c r="BM265" s="93">
        <f>IF(AND($T265=1,BM$5&lt;=$H265),INDEX(Mortality!$B$4:$E$64,MATCH($D265+BM$5-1,Mortality!$A$4:$A$64,0),$U265)*$V265*$N265,0)</f>
        <v>0</v>
      </c>
      <c r="BN265" s="93">
        <f>IF(AND($T265=1,BN$5&lt;=$H265),INDEX(Mortality!$B$4:$E$64,MATCH($D265+BN$5-1,Mortality!$A$4:$A$64,0),$U265)*$V265*$N265,0)</f>
        <v>0</v>
      </c>
      <c r="BO265" s="93">
        <f>IF(AND($T265=1,BO$5&lt;=$H265),INDEX(Mortality!$B$4:$E$64,MATCH($D265+BO$5-1,Mortality!$A$4:$A$64,0),$U265)*$V265*$N265,0)</f>
        <v>0</v>
      </c>
      <c r="BP265" s="93">
        <f>IF(AND($T265=1,BP$5&lt;=$H265),INDEX(Mortality!$B$4:$E$64,MATCH($D265+BP$5-1,Mortality!$A$4:$A$64,0),$U265)*$V265*$N265,0)</f>
        <v>0</v>
      </c>
      <c r="BQ265" s="93">
        <f>IF(AND($T265=1,BQ$5&lt;=$H265),INDEX(Mortality!$B$4:$E$64,MATCH($D265+BQ$5-1,Mortality!$A$4:$A$64,0),$U265)*$V265*$N265,0)</f>
        <v>0</v>
      </c>
      <c r="BR265" s="93">
        <f>IF(AND($T265=1,BR$5&lt;=$H265),INDEX(Mortality!$B$4:$E$64,MATCH($D265+BR$5-1,Mortality!$A$4:$A$64,0),$U265)*$V265*$N265,0)</f>
        <v>0</v>
      </c>
      <c r="BS265" s="93">
        <f>IF(AND($T265=1,BS$5&lt;=$H265),INDEX(Mortality!$B$4:$E$64,MATCH($D265+BS$5-1,Mortality!$A$4:$A$64,0),$U265)*$V265*$N265,0)</f>
        <v>0</v>
      </c>
      <c r="BT265" s="93">
        <f>IF(AND($T265=1,BT$5&lt;=$H265),INDEX(Mortality!$B$4:$E$64,MATCH($D265+BT$5-1,Mortality!$A$4:$A$64,0),$U265)*$V265*$N265,0)</f>
        <v>0</v>
      </c>
      <c r="BU265" s="93">
        <f>IF(AND($T265=1,BU$5&lt;=$H265),INDEX(Mortality!$B$4:$E$64,MATCH($D265+BU$5-1,Mortality!$A$4:$A$64,0),$U265)*$V265*$N265,0)</f>
        <v>0</v>
      </c>
      <c r="BV265" s="93">
        <f>IF(AND($T265=1,BV$5&lt;=$H265),INDEX(Mortality!$B$4:$E$64,MATCH($D265+BV$5-1,Mortality!$A$4:$A$64,0),$U265)*$V265*$N265,0)</f>
        <v>0</v>
      </c>
      <c r="BW265" s="93">
        <f>IF(AND($T265=1,BW$5&lt;=$H265),INDEX(Mortality!$B$4:$E$64,MATCH($D265+BW$5-1,Mortality!$A$4:$A$64,0),$U265)*$V265*$N265,0)</f>
        <v>0</v>
      </c>
      <c r="BX265" s="93">
        <f>IF(AND($T265=1,BX$5&lt;=$H265),INDEX(Mortality!$B$4:$E$64,MATCH($D265+BX$5-1,Mortality!$A$4:$A$64,0),$U265)*$V265*$N265,0)</f>
        <v>0</v>
      </c>
      <c r="BY265" s="93">
        <f>IF(AND($T265=1,BY$5&lt;=$H265),INDEX(Mortality!$B$4:$E$64,MATCH($D265+BY$5-1,Mortality!$A$4:$A$64,0),$U265)*$V265*$N265,0)</f>
        <v>0</v>
      </c>
      <c r="BZ265" s="93">
        <f>IF(AND($T265=1,BZ$5&lt;=$H265),INDEX(Mortality!$B$4:$E$64,MATCH($D265+BZ$5-1,Mortality!$A$4:$A$64,0),$U265)*$V265*$N265,0)</f>
        <v>0</v>
      </c>
      <c r="CA265" s="93">
        <f>IF(AND($T265=1,CA$5&lt;=$H265),INDEX(Mortality!$B$4:$E$64,MATCH($D265+CA$5-1,Mortality!$A$4:$A$64,0),$U265)*$V265*$N265,0)</f>
        <v>0</v>
      </c>
      <c r="CB265" s="93">
        <f>IF(AND($T265=1,CB$5&lt;=$H265),INDEX(Mortality!$B$4:$E$64,MATCH($D265+CB$5-1,Mortality!$A$4:$A$64,0),$U265)*$V265*$N265,0)</f>
        <v>0</v>
      </c>
      <c r="CC265" s="93">
        <f>IF(AND($T265=1,CC$5&lt;=$H265),INDEX(Mortality!$B$4:$E$64,MATCH($D265+CC$5-1,Mortality!$A$4:$A$64,0),$U265)*$V265*$N265,0)</f>
        <v>0</v>
      </c>
      <c r="CD265" s="93">
        <f>IF(AND($T265=1,CD$5&lt;=$H265),INDEX(Mortality!$B$4:$E$64,MATCH($D265+CD$5-1,Mortality!$A$4:$A$64,0),$U265)*$V265*$N265,0)</f>
        <v>0</v>
      </c>
      <c r="CE265" s="93">
        <f>IF(AND($T265=1,CE$5&lt;=$H265),INDEX(Mortality!$B$4:$E$64,MATCH($D265+CE$5-1,Mortality!$A$4:$A$64,0),$U265)*$V265*$N265,0)</f>
        <v>0</v>
      </c>
      <c r="CF265" s="93">
        <f>IF(AND($T265=1,CF$5&lt;=$H265),INDEX(Mortality!$B$4:$E$64,MATCH($D265+CF$5-1,Mortality!$A$4:$A$64,0),$U265)*$V265*$N265,0)</f>
        <v>0</v>
      </c>
      <c r="CG265" s="93">
        <f>IF(AND($T265=1,CG$5&lt;=$H265),INDEX(Mortality!$B$4:$E$64,MATCH($D265+CG$5-1,Mortality!$A$4:$A$64,0),$U265)*$V265*$N265,0)</f>
        <v>0</v>
      </c>
      <c r="CH265" s="94">
        <f>IF(AND($T265=1,CH$5&lt;=$H265),INDEX(Mortality!$B$4:$E$64,MATCH($D265+CH$5-1,Mortality!$A$4:$A$64,0),$U265)*$V265*$N265,0)</f>
        <v>0</v>
      </c>
      <c r="CI265" s="26"/>
      <c r="CJ265" s="419">
        <f t="shared" si="89"/>
        <v>0</v>
      </c>
      <c r="CK265" s="93">
        <f>IF(AND($T265=1,CK$5&lt;=$H265),CJ265*(1-AU265)*(1-MIN(1,MAX(Assumptions!$C$27,Assumptions!$C$13*Assumptions!$C$28^(CJ$5-1))*$O265)),0)</f>
        <v>0</v>
      </c>
      <c r="CL265" s="93">
        <f>IF(AND($T265=1,CL$5&lt;=$H265),CK265*(1-AV265)*(1-MIN(1,MAX(Assumptions!$C$27,Assumptions!$C$13*Assumptions!$C$28^(CK$5-1))*$O265)),0)</f>
        <v>0</v>
      </c>
      <c r="CM265" s="93">
        <f>IF(AND($T265=1,CM$5&lt;=$H265),CL265*(1-AW265)*(1-MIN(1,MAX(Assumptions!$C$27,Assumptions!$C$13*Assumptions!$C$28^(CL$5-1))*$O265)),0)</f>
        <v>0</v>
      </c>
      <c r="CN265" s="93">
        <f>IF(AND($T265=1,CN$5&lt;=$H265),CM265*(1-AX265)*(1-MIN(1,MAX(Assumptions!$C$27,Assumptions!$C$13*Assumptions!$C$28^(CM$5-1))*$O265)),0)</f>
        <v>0</v>
      </c>
      <c r="CO265" s="93">
        <f>IF(AND($T265=1,CO$5&lt;=$H265),CN265*(1-AY265)*(1-MIN(1,MAX(Assumptions!$C$27,Assumptions!$C$13*Assumptions!$C$28^(CN$5-1))*$O265)),0)</f>
        <v>0</v>
      </c>
      <c r="CP265" s="93">
        <f>IF(AND($T265=1,CP$5&lt;=$H265),CO265*(1-AZ265)*(1-MIN(1,MAX(Assumptions!$C$27,Assumptions!$C$13*Assumptions!$C$28^(CO$5-1))*$O265)),0)</f>
        <v>0</v>
      </c>
      <c r="CQ265" s="93">
        <f>IF(AND($T265=1,CQ$5&lt;=$H265),CP265*(1-BA265)*(1-MIN(1,MAX(Assumptions!$C$27,Assumptions!$C$13*Assumptions!$C$28^(CP$5-1))*$O265)),0)</f>
        <v>0</v>
      </c>
      <c r="CR265" s="93">
        <f>IF(AND($T265=1,CR$5&lt;=$H265),CQ265*(1-BB265)*(1-MIN(1,MAX(Assumptions!$C$27,Assumptions!$C$13*Assumptions!$C$28^(CQ$5-1))*$O265)),0)</f>
        <v>0</v>
      </c>
      <c r="CS265" s="93">
        <f>IF(AND($T265=1,CS$5&lt;=$H265),CR265*(1-BC265)*(1-MIN(1,MAX(Assumptions!$C$27,Assumptions!$C$13*Assumptions!$C$28^(CR$5-1))*$O265)),0)</f>
        <v>0</v>
      </c>
      <c r="CT265" s="93">
        <f>IF(AND($T265=1,CT$5&lt;=$H265),CS265*(1-BD265)*(1-MIN(1,MAX(Assumptions!$C$27,Assumptions!$C$13*Assumptions!$C$28^(CS$5-1))*$O265)),0)</f>
        <v>0</v>
      </c>
      <c r="CU265" s="93">
        <f>IF(AND($T265=1,CU$5&lt;=$H265),CT265*(1-BE265)*(1-MIN(1,MAX(Assumptions!$C$27,Assumptions!$C$13*Assumptions!$C$28^(CT$5-1))*$O265)),0)</f>
        <v>0</v>
      </c>
      <c r="CV265" s="93">
        <f>IF(AND($T265=1,CV$5&lt;=$H265),CU265*(1-BF265)*(1-MIN(1,MAX(Assumptions!$C$27,Assumptions!$C$13*Assumptions!$C$28^(CU$5-1))*$O265)),0)</f>
        <v>0</v>
      </c>
      <c r="CW265" s="93">
        <f>IF(AND($T265=1,CW$5&lt;=$H265),CV265*(1-BG265)*(1-MIN(1,MAX(Assumptions!$C$27,Assumptions!$C$13*Assumptions!$C$28^(CV$5-1))*$O265)),0)</f>
        <v>0</v>
      </c>
      <c r="CX265" s="93">
        <f>IF(AND($T265=1,CX$5&lt;=$H265),CW265*(1-BH265)*(1-MIN(1,MAX(Assumptions!$C$27,Assumptions!$C$13*Assumptions!$C$28^(CW$5-1))*$O265)),0)</f>
        <v>0</v>
      </c>
      <c r="CY265" s="93">
        <f>IF(AND($T265=1,CY$5&lt;=$H265),CX265*(1-BI265)*(1-MIN(1,MAX(Assumptions!$C$27,Assumptions!$C$13*Assumptions!$C$28^(CX$5-1))*$O265)),0)</f>
        <v>0</v>
      </c>
      <c r="CZ265" s="93">
        <f>IF(AND($T265=1,CZ$5&lt;=$H265),CY265*(1-BJ265)*(1-MIN(1,MAX(Assumptions!$C$27,Assumptions!$C$13*Assumptions!$C$28^(CY$5-1))*$O265)),0)</f>
        <v>0</v>
      </c>
      <c r="DA265" s="93">
        <f>IF(AND($T265=1,DA$5&lt;=$H265),CZ265*(1-BK265)*(1-MIN(1,MAX(Assumptions!$C$27,Assumptions!$C$13*Assumptions!$C$28^(CZ$5-1))*$O265)),0)</f>
        <v>0</v>
      </c>
      <c r="DB265" s="93">
        <f>IF(AND($T265=1,DB$5&lt;=$H265),DA265*(1-BL265)*(1-MIN(1,MAX(Assumptions!$C$27,Assumptions!$C$13*Assumptions!$C$28^(DA$5-1))*$O265)),0)</f>
        <v>0</v>
      </c>
      <c r="DC265" s="93">
        <f>IF(AND($T265=1,DC$5&lt;=$H265),DB265*(1-BM265)*(1-MIN(1,MAX(Assumptions!$C$27,Assumptions!$C$13*Assumptions!$C$28^(DB$5-1))*$O265)),0)</f>
        <v>0</v>
      </c>
      <c r="DD265" s="93">
        <f>IF(AND($T265=1,DD$5&lt;=$H265),DC265*(1-BN265)*(1-MIN(1,MAX(Assumptions!$C$27,Assumptions!$C$13*Assumptions!$C$28^(DC$5-1))*$O265)),0)</f>
        <v>0</v>
      </c>
      <c r="DE265" s="93">
        <f>IF(AND($T265=1,DE$5&lt;=$H265),DD265*(1-BO265)*(1-MIN(1,MAX(Assumptions!$C$27,Assumptions!$C$13*Assumptions!$C$28^(DD$5-1))*$O265)),0)</f>
        <v>0</v>
      </c>
      <c r="DF265" s="93">
        <f>IF(AND($T265=1,DF$5&lt;=$H265),DE265*(1-BP265)*(1-MIN(1,MAX(Assumptions!$C$27,Assumptions!$C$13*Assumptions!$C$28^(DE$5-1))*$O265)),0)</f>
        <v>0</v>
      </c>
      <c r="DG265" s="93">
        <f>IF(AND($T265=1,DG$5&lt;=$H265),DF265*(1-BQ265)*(1-MIN(1,MAX(Assumptions!$C$27,Assumptions!$C$13*Assumptions!$C$28^(DF$5-1))*$O265)),0)</f>
        <v>0</v>
      </c>
      <c r="DH265" s="93">
        <f>IF(AND($T265=1,DH$5&lt;=$H265),DG265*(1-BR265)*(1-MIN(1,MAX(Assumptions!$C$27,Assumptions!$C$13*Assumptions!$C$28^(DG$5-1))*$O265)),0)</f>
        <v>0</v>
      </c>
      <c r="DI265" s="93">
        <f>IF(AND($T265=1,DI$5&lt;=$H265),DH265*(1-BS265)*(1-MIN(1,MAX(Assumptions!$C$27,Assumptions!$C$13*Assumptions!$C$28^(DH$5-1))*$O265)),0)</f>
        <v>0</v>
      </c>
      <c r="DJ265" s="93">
        <f>IF(AND($T265=1,DJ$5&lt;=$H265),DI265*(1-BT265)*(1-MIN(1,MAX(Assumptions!$C$27,Assumptions!$C$13*Assumptions!$C$28^(DI$5-1))*$O265)),0)</f>
        <v>0</v>
      </c>
      <c r="DK265" s="93">
        <f>IF(AND($T265=1,DK$5&lt;=$H265),DJ265*(1-BU265)*(1-MIN(1,MAX(Assumptions!$C$27,Assumptions!$C$13*Assumptions!$C$28^(DJ$5-1))*$O265)),0)</f>
        <v>0</v>
      </c>
      <c r="DL265" s="93">
        <f>IF(AND($T265=1,DL$5&lt;=$H265),DK265*(1-BV265)*(1-MIN(1,MAX(Assumptions!$C$27,Assumptions!$C$13*Assumptions!$C$28^(DK$5-1))*$O265)),0)</f>
        <v>0</v>
      </c>
      <c r="DM265" s="93">
        <f>IF(AND($T265=1,DM$5&lt;=$H265),DL265*(1-BW265)*(1-MIN(1,MAX(Assumptions!$C$27,Assumptions!$C$13*Assumptions!$C$28^(DL$5-1))*$O265)),0)</f>
        <v>0</v>
      </c>
      <c r="DN265" s="93">
        <f>IF(AND($T265=1,DN$5&lt;=$H265),DM265*(1-BX265)*(1-MIN(1,MAX(Assumptions!$C$27,Assumptions!$C$13*Assumptions!$C$28^(DM$5-1))*$O265)),0)</f>
        <v>0</v>
      </c>
      <c r="DO265" s="93">
        <f>IF(AND($T265=1,DO$5&lt;=$H265),DN265*(1-BY265)*(1-MIN(1,MAX(Assumptions!$C$27,Assumptions!$C$13*Assumptions!$C$28^(DN$5-1))*$O265)),0)</f>
        <v>0</v>
      </c>
      <c r="DP265" s="93">
        <f>IF(AND($T265=1,DP$5&lt;=$H265),DO265*(1-BZ265)*(1-MIN(1,MAX(Assumptions!$C$27,Assumptions!$C$13*Assumptions!$C$28^(DO$5-1))*$O265)),0)</f>
        <v>0</v>
      </c>
      <c r="DQ265" s="93">
        <f>IF(AND($T265=1,DQ$5&lt;=$H265),DP265*(1-CA265)*(1-MIN(1,MAX(Assumptions!$C$27,Assumptions!$C$13*Assumptions!$C$28^(DP$5-1))*$O265)),0)</f>
        <v>0</v>
      </c>
      <c r="DR265" s="93">
        <f>IF(AND($T265=1,DR$5&lt;=$H265),DQ265*(1-CB265)*(1-MIN(1,MAX(Assumptions!$C$27,Assumptions!$C$13*Assumptions!$C$28^(DQ$5-1))*$O265)),0)</f>
        <v>0</v>
      </c>
      <c r="DS265" s="93">
        <f>IF(AND($T265=1,DS$5&lt;=$H265),DR265*(1-CC265)*(1-MIN(1,MAX(Assumptions!$C$27,Assumptions!$C$13*Assumptions!$C$28^(DR$5-1))*$O265)),0)</f>
        <v>0</v>
      </c>
      <c r="DT265" s="93">
        <f>IF(AND($T265=1,DT$5&lt;=$H265),DS265*(1-CD265)*(1-MIN(1,MAX(Assumptions!$C$27,Assumptions!$C$13*Assumptions!$C$28^(DS$5-1))*$O265)),0)</f>
        <v>0</v>
      </c>
      <c r="DU265" s="93">
        <f>IF(AND($T265=1,DU$5&lt;=$H265),DT265*(1-CE265)*(1-MIN(1,MAX(Assumptions!$C$27,Assumptions!$C$13*Assumptions!$C$28^(DT$5-1))*$O265)),0)</f>
        <v>0</v>
      </c>
      <c r="DV265" s="93">
        <f>IF(AND($T265=1,DV$5&lt;=$H265),DU265*(1-CF265)*(1-MIN(1,MAX(Assumptions!$C$27,Assumptions!$C$13*Assumptions!$C$28^(DU$5-1))*$O265)),0)</f>
        <v>0</v>
      </c>
      <c r="DW265" s="94">
        <f>IF(AND($T265=1,DW$5&lt;=$H265),DV265*(1-CG265)*(1-MIN(1,MAX(Assumptions!$C$27,Assumptions!$C$13*Assumptions!$C$28^(DV$5-1))*$O265)),0)</f>
        <v>0</v>
      </c>
      <c r="DX265" s="26"/>
      <c r="DY265" s="399">
        <f>'Policy Data'!K239</f>
        <v>6</v>
      </c>
      <c r="DZ265" s="100">
        <f>'Policy Data'!L239</f>
        <v>0.74509999999999998</v>
      </c>
      <c r="EA265" s="100">
        <f>'Policy Data'!N239</f>
        <v>2.5799999999999998E-4</v>
      </c>
      <c r="EB265" s="93" cm="1">
        <f t="array" ref="EB265">IFERROR(DZ265*INDEX(Mortality!$B$4:$E$64,MATCH(D265+DY265-1,Mortality!$A$4:$A$64,0),U265)*V265,0)</f>
        <v>3.8558924999999996E-4</v>
      </c>
      <c r="EC265" s="100">
        <f>'Policy Data'!O239</f>
        <v>0</v>
      </c>
      <c r="ED265" s="400">
        <f>'Policy Data'!Q239</f>
        <v>0</v>
      </c>
    </row>
    <row r="266" spans="1:134" x14ac:dyDescent="0.3">
      <c r="A266" s="399" t="str">
        <f>'Policy Data'!A240</f>
        <v>POL100236</v>
      </c>
      <c r="B266" s="26" t="s">
        <v>426</v>
      </c>
      <c r="C266" s="100" t="str">
        <f>'Policy Data'!B240</f>
        <v>Term Life</v>
      </c>
      <c r="D266" s="100">
        <f>'Policy Data'!C240</f>
        <v>23</v>
      </c>
      <c r="E266" s="100" t="str">
        <f>'Policy Data'!D240</f>
        <v>Male</v>
      </c>
      <c r="F266" s="100" t="str">
        <f>'Policy Data'!E240</f>
        <v>Non-smoker</v>
      </c>
      <c r="G266" s="100" t="str">
        <f>'Policy Data'!F240</f>
        <v>Preferred</v>
      </c>
      <c r="H266" s="100">
        <f>'Policy Data'!G240</f>
        <v>10</v>
      </c>
      <c r="I266" s="279">
        <f>'Policy Data'!H240</f>
        <v>500000</v>
      </c>
      <c r="J266" s="100" t="str">
        <f>'Policy Data'!I240</f>
        <v>Monthly</v>
      </c>
      <c r="K266" s="100" t="str">
        <f>'Policy Data'!J240</f>
        <v>Direct</v>
      </c>
      <c r="L266" s="26" t="s">
        <v>389</v>
      </c>
      <c r="M266" s="106">
        <f>'Policy Data'!R240</f>
        <v>1200</v>
      </c>
      <c r="N266" s="415">
        <f>Assumptions!$C$21</f>
        <v>1</v>
      </c>
      <c r="O266" s="415">
        <f>Assumptions!$C$22</f>
        <v>1</v>
      </c>
      <c r="P266" s="415">
        <f>Assumptions!$C$23</f>
        <v>1</v>
      </c>
      <c r="Q266" s="416">
        <f>Assumptions!$C$24</f>
        <v>0</v>
      </c>
      <c r="R266" s="416">
        <f>Assumptions!$C$6+Assumptions!$C$25</f>
        <v>3.5000000000000003E-2</v>
      </c>
      <c r="S266" s="416">
        <f>Assumptions!$C$15</f>
        <v>1.1000000000000001E-3</v>
      </c>
      <c r="T266" s="26">
        <f t="shared" si="72"/>
        <v>1</v>
      </c>
      <c r="U266" s="26">
        <f t="shared" si="73"/>
        <v>3</v>
      </c>
      <c r="V266" s="389">
        <f>IF($G266="Preferred",Assumptions!$C$30,IF($G266="Rated",Assumptions!$C$31,1))</f>
        <v>0.8</v>
      </c>
      <c r="W266" s="390">
        <f>IF($K266="Direct",Assumptions!$C$32,IF($K266="Broker",Assumptions!$C$33,IF($K266="Bancassurance",Assumptions!$C$34,Assumptions!$C$11)))+$Q266</f>
        <v>0.1</v>
      </c>
      <c r="X266" s="390">
        <f>Assumptions!$C$12+$Q266</f>
        <v>0.05</v>
      </c>
      <c r="Y266" s="131">
        <f>MIN($I266,Assumptions!$C$14)</f>
        <v>500000</v>
      </c>
      <c r="Z266" s="131">
        <f>MAX($I266-Assumptions!$C$14,0)</f>
        <v>0</v>
      </c>
      <c r="AA266" s="389">
        <f t="shared" si="74"/>
        <v>5.8654448386896458</v>
      </c>
      <c r="AB266" s="389">
        <f t="shared" si="75"/>
        <v>1.9035171543637392E-3</v>
      </c>
      <c r="AC266" s="389">
        <f>IF($T266=1,SUMPRODUCT($CJ266:$DW266,(1+Assumptions!$C$5)^($CJ$5:$DW$5-1),(1+$R266)^(-$CJ$5:$DW$5)),0)</f>
        <v>6.8043701007953308</v>
      </c>
      <c r="AD266" s="389">
        <f t="shared" si="76"/>
        <v>0.34158142067844366</v>
      </c>
      <c r="AE266" s="131">
        <f>IF($T266=1,$AB266*$Y266+(Assumptions!$C$9/(1+$R266)+Assumptions!$C$10*$AC266)*$P266+$S266*$Z266*$AA266,0)</f>
        <v>3318.2852167481465</v>
      </c>
      <c r="AF266" s="131">
        <f>IF($T266=1,IF($AA266-$AD266-Assumptions!$C$16*$AA266&gt;0,$AE266/($AA266-$AD266-Assumptions!$C$16*$AA266)*IF($J266="Monthly",1+Assumptions!$C$29,1),"n.a."),"")</f>
        <v>676.17911497772741</v>
      </c>
      <c r="AG266" s="131">
        <f t="shared" si="77"/>
        <v>1200</v>
      </c>
      <c r="AH266" s="131">
        <f t="shared" si="78"/>
        <v>7038.5338064275747</v>
      </c>
      <c r="AI266" s="131">
        <f t="shared" si="79"/>
        <v>3310.3508848652959</v>
      </c>
      <c r="AJ266" s="390">
        <f t="shared" si="80"/>
        <v>0.47031824750806628</v>
      </c>
      <c r="AK266" s="389">
        <f t="shared" si="81"/>
        <v>1.7746777050922766</v>
      </c>
      <c r="AL266" s="131">
        <f t="shared" si="82"/>
        <v>0</v>
      </c>
      <c r="AM266" s="131">
        <f t="shared" si="83"/>
        <v>0</v>
      </c>
      <c r="AN266" s="131">
        <f t="shared" si="84"/>
        <v>0</v>
      </c>
      <c r="AO266" s="131">
        <f t="shared" si="85"/>
        <v>3310.3508848652959</v>
      </c>
      <c r="AP266" s="26" t="str">
        <f t="shared" si="86"/>
        <v>20-29</v>
      </c>
      <c r="AQ266" s="26" t="str">
        <f t="shared" si="87"/>
        <v>250k-500k</v>
      </c>
      <c r="AR266" s="26" t="str">
        <f>IF($T266=1,IF($AI266&lt;0,"Loss-making",IF($AJ266&lt;Assumptions!$C$16-0.00001,"Below target","At/above target")),"Excluded")</f>
        <v>At/above target</v>
      </c>
      <c r="AS266" s="103">
        <f t="shared" si="88"/>
        <v>3310.3511508652959</v>
      </c>
      <c r="AT266" s="26"/>
      <c r="AU266" s="419">
        <f>IF(AND($T266=1,AU$5&lt;=$H266),INDEX(Mortality!$B$4:$E$64,MATCH($D266+AU$5-1,Mortality!$A$4:$A$64,0),$U266)*$V266*$N266,0)</f>
        <v>2.364805524334096E-4</v>
      </c>
      <c r="AV266" s="93">
        <f>IF(AND($T266=1,AV$5&lt;=$H266),INDEX(Mortality!$B$4:$E$64,MATCH($D266+AV$5-1,Mortality!$A$4:$A$64,0),$U266)*$V266*$N266,0)</f>
        <v>2.5617632420774241E-4</v>
      </c>
      <c r="AW266" s="93">
        <f>IF(AND($T266=1,AW$5&lt;=$H266),INDEX(Mortality!$B$4:$E$64,MATCH($D266+AW$5-1,Mortality!$A$4:$A$64,0),$U266)*$V266*$N266,0)</f>
        <v>2.7751249905875444E-4</v>
      </c>
      <c r="AX266" s="93">
        <f>IF(AND($T266=1,AX$5&lt;=$H266),INDEX(Mortality!$B$4:$E$64,MATCH($D266+AX$5-1,Mortality!$A$4:$A$64,0),$U266)*$V266*$N266,0)</f>
        <v>3.0062570134850803E-4</v>
      </c>
      <c r="AY266" s="93">
        <f>IF(AND($T266=1,AY$5&lt;=$H266),INDEX(Mortality!$B$4:$E$64,MATCH($D266+AY$5-1,Mortality!$A$4:$A$64,0),$U266)*$V266*$N266,0)</f>
        <v>3.2566393448155281E-4</v>
      </c>
      <c r="AZ266" s="93">
        <f>IF(AND($T266=1,AZ$5&lt;=$H266),INDEX(Mortality!$B$4:$E$64,MATCH($D266+AZ$5-1,Mortality!$A$4:$A$64,0),$U266)*$V266*$N266,0)</f>
        <v>3.5278752863201123E-4</v>
      </c>
      <c r="BA266" s="93">
        <f>IF(AND($T266=1,BA$5&lt;=$H266),INDEX(Mortality!$B$4:$E$64,MATCH($D266+BA$5-1,Mortality!$A$4:$A$64,0),$U266)*$V266*$N266,0)</f>
        <v>3.8217016740406721E-4</v>
      </c>
      <c r="BB266" s="93">
        <f>IF(AND($T266=1,BB$5&lt;=$H266),INDEX(Mortality!$B$4:$E$64,MATCH($D266+BB$5-1,Mortality!$A$4:$A$64,0),$U266)*$V266*$N266,0)</f>
        <v>4.1399999999999998E-4</v>
      </c>
      <c r="BC266" s="93">
        <f>IF(AND($T266=1,BC$5&lt;=$H266),INDEX(Mortality!$B$4:$E$64,MATCH($D266+BC$5-1,Mortality!$A$4:$A$64,0),$U266)*$V266*$N266,0)</f>
        <v>4.4848084601743283E-4</v>
      </c>
      <c r="BD266" s="93">
        <f>IF(AND($T266=1,BD$5&lt;=$H266),INDEX(Mortality!$B$4:$E$64,MATCH($D266+BD$5-1,Mortality!$A$4:$A$64,0),$U266)*$V266*$N266,0)</f>
        <v>4.8583350059060962E-4</v>
      </c>
      <c r="BE266" s="93">
        <f>IF(AND($T266=1,BE$5&lt;=$H266),INDEX(Mortality!$B$4:$E$64,MATCH($D266+BE$5-1,Mortality!$A$4:$A$64,0),$U266)*$V266*$N266,0)</f>
        <v>0</v>
      </c>
      <c r="BF266" s="93">
        <f>IF(AND($T266=1,BF$5&lt;=$H266),INDEX(Mortality!$B$4:$E$64,MATCH($D266+BF$5-1,Mortality!$A$4:$A$64,0),$U266)*$V266*$N266,0)</f>
        <v>0</v>
      </c>
      <c r="BG266" s="93">
        <f>IF(AND($T266=1,BG$5&lt;=$H266),INDEX(Mortality!$B$4:$E$64,MATCH($D266+BG$5-1,Mortality!$A$4:$A$64,0),$U266)*$V266*$N266,0)</f>
        <v>0</v>
      </c>
      <c r="BH266" s="93">
        <f>IF(AND($T266=1,BH$5&lt;=$H266),INDEX(Mortality!$B$4:$E$64,MATCH($D266+BH$5-1,Mortality!$A$4:$A$64,0),$U266)*$V266*$N266,0)</f>
        <v>0</v>
      </c>
      <c r="BI266" s="93">
        <f>IF(AND($T266=1,BI$5&lt;=$H266),INDEX(Mortality!$B$4:$E$64,MATCH($D266+BI$5-1,Mortality!$A$4:$A$64,0),$U266)*$V266*$N266,0)</f>
        <v>0</v>
      </c>
      <c r="BJ266" s="93">
        <f>IF(AND($T266=1,BJ$5&lt;=$H266),INDEX(Mortality!$B$4:$E$64,MATCH($D266+BJ$5-1,Mortality!$A$4:$A$64,0),$U266)*$V266*$N266,0)</f>
        <v>0</v>
      </c>
      <c r="BK266" s="93">
        <f>IF(AND($T266=1,BK$5&lt;=$H266),INDEX(Mortality!$B$4:$E$64,MATCH($D266+BK$5-1,Mortality!$A$4:$A$64,0),$U266)*$V266*$N266,0)</f>
        <v>0</v>
      </c>
      <c r="BL266" s="93">
        <f>IF(AND($T266=1,BL$5&lt;=$H266),INDEX(Mortality!$B$4:$E$64,MATCH($D266+BL$5-1,Mortality!$A$4:$A$64,0),$U266)*$V266*$N266,0)</f>
        <v>0</v>
      </c>
      <c r="BM266" s="93">
        <f>IF(AND($T266=1,BM$5&lt;=$H266),INDEX(Mortality!$B$4:$E$64,MATCH($D266+BM$5-1,Mortality!$A$4:$A$64,0),$U266)*$V266*$N266,0)</f>
        <v>0</v>
      </c>
      <c r="BN266" s="93">
        <f>IF(AND($T266=1,BN$5&lt;=$H266),INDEX(Mortality!$B$4:$E$64,MATCH($D266+BN$5-1,Mortality!$A$4:$A$64,0),$U266)*$V266*$N266,0)</f>
        <v>0</v>
      </c>
      <c r="BO266" s="93">
        <f>IF(AND($T266=1,BO$5&lt;=$H266),INDEX(Mortality!$B$4:$E$64,MATCH($D266+BO$5-1,Mortality!$A$4:$A$64,0),$U266)*$V266*$N266,0)</f>
        <v>0</v>
      </c>
      <c r="BP266" s="93">
        <f>IF(AND($T266=1,BP$5&lt;=$H266),INDEX(Mortality!$B$4:$E$64,MATCH($D266+BP$5-1,Mortality!$A$4:$A$64,0),$U266)*$V266*$N266,0)</f>
        <v>0</v>
      </c>
      <c r="BQ266" s="93">
        <f>IF(AND($T266=1,BQ$5&lt;=$H266),INDEX(Mortality!$B$4:$E$64,MATCH($D266+BQ$5-1,Mortality!$A$4:$A$64,0),$U266)*$V266*$N266,0)</f>
        <v>0</v>
      </c>
      <c r="BR266" s="93">
        <f>IF(AND($T266=1,BR$5&lt;=$H266),INDEX(Mortality!$B$4:$E$64,MATCH($D266+BR$5-1,Mortality!$A$4:$A$64,0),$U266)*$V266*$N266,0)</f>
        <v>0</v>
      </c>
      <c r="BS266" s="93">
        <f>IF(AND($T266=1,BS$5&lt;=$H266),INDEX(Mortality!$B$4:$E$64,MATCH($D266+BS$5-1,Mortality!$A$4:$A$64,0),$U266)*$V266*$N266,0)</f>
        <v>0</v>
      </c>
      <c r="BT266" s="93">
        <f>IF(AND($T266=1,BT$5&lt;=$H266),INDEX(Mortality!$B$4:$E$64,MATCH($D266+BT$5-1,Mortality!$A$4:$A$64,0),$U266)*$V266*$N266,0)</f>
        <v>0</v>
      </c>
      <c r="BU266" s="93">
        <f>IF(AND($T266=1,BU$5&lt;=$H266),INDEX(Mortality!$B$4:$E$64,MATCH($D266+BU$5-1,Mortality!$A$4:$A$64,0),$U266)*$V266*$N266,0)</f>
        <v>0</v>
      </c>
      <c r="BV266" s="93">
        <f>IF(AND($T266=1,BV$5&lt;=$H266),INDEX(Mortality!$B$4:$E$64,MATCH($D266+BV$5-1,Mortality!$A$4:$A$64,0),$U266)*$V266*$N266,0)</f>
        <v>0</v>
      </c>
      <c r="BW266" s="93">
        <f>IF(AND($T266=1,BW$5&lt;=$H266),INDEX(Mortality!$B$4:$E$64,MATCH($D266+BW$5-1,Mortality!$A$4:$A$64,0),$U266)*$V266*$N266,0)</f>
        <v>0</v>
      </c>
      <c r="BX266" s="93">
        <f>IF(AND($T266=1,BX$5&lt;=$H266),INDEX(Mortality!$B$4:$E$64,MATCH($D266+BX$5-1,Mortality!$A$4:$A$64,0),$U266)*$V266*$N266,0)</f>
        <v>0</v>
      </c>
      <c r="BY266" s="93">
        <f>IF(AND($T266=1,BY$5&lt;=$H266),INDEX(Mortality!$B$4:$E$64,MATCH($D266+BY$5-1,Mortality!$A$4:$A$64,0),$U266)*$V266*$N266,0)</f>
        <v>0</v>
      </c>
      <c r="BZ266" s="93">
        <f>IF(AND($T266=1,BZ$5&lt;=$H266),INDEX(Mortality!$B$4:$E$64,MATCH($D266+BZ$5-1,Mortality!$A$4:$A$64,0),$U266)*$V266*$N266,0)</f>
        <v>0</v>
      </c>
      <c r="CA266" s="93">
        <f>IF(AND($T266=1,CA$5&lt;=$H266),INDEX(Mortality!$B$4:$E$64,MATCH($D266+CA$5-1,Mortality!$A$4:$A$64,0),$U266)*$V266*$N266,0)</f>
        <v>0</v>
      </c>
      <c r="CB266" s="93">
        <f>IF(AND($T266=1,CB$5&lt;=$H266),INDEX(Mortality!$B$4:$E$64,MATCH($D266+CB$5-1,Mortality!$A$4:$A$64,0),$U266)*$V266*$N266,0)</f>
        <v>0</v>
      </c>
      <c r="CC266" s="93">
        <f>IF(AND($T266=1,CC$5&lt;=$H266),INDEX(Mortality!$B$4:$E$64,MATCH($D266+CC$5-1,Mortality!$A$4:$A$64,0),$U266)*$V266*$N266,0)</f>
        <v>0</v>
      </c>
      <c r="CD266" s="93">
        <f>IF(AND($T266=1,CD$5&lt;=$H266),INDEX(Mortality!$B$4:$E$64,MATCH($D266+CD$5-1,Mortality!$A$4:$A$64,0),$U266)*$V266*$N266,0)</f>
        <v>0</v>
      </c>
      <c r="CE266" s="93">
        <f>IF(AND($T266=1,CE$5&lt;=$H266),INDEX(Mortality!$B$4:$E$64,MATCH($D266+CE$5-1,Mortality!$A$4:$A$64,0),$U266)*$V266*$N266,0)</f>
        <v>0</v>
      </c>
      <c r="CF266" s="93">
        <f>IF(AND($T266=1,CF$5&lt;=$H266),INDEX(Mortality!$B$4:$E$64,MATCH($D266+CF$5-1,Mortality!$A$4:$A$64,0),$U266)*$V266*$N266,0)</f>
        <v>0</v>
      </c>
      <c r="CG266" s="93">
        <f>IF(AND($T266=1,CG$5&lt;=$H266),INDEX(Mortality!$B$4:$E$64,MATCH($D266+CG$5-1,Mortality!$A$4:$A$64,0),$U266)*$V266*$N266,0)</f>
        <v>0</v>
      </c>
      <c r="CH266" s="94">
        <f>IF(AND($T266=1,CH$5&lt;=$H266),INDEX(Mortality!$B$4:$E$64,MATCH($D266+CH$5-1,Mortality!$A$4:$A$64,0),$U266)*$V266*$N266,0)</f>
        <v>0</v>
      </c>
      <c r="CI266" s="26"/>
      <c r="CJ266" s="419">
        <f t="shared" si="89"/>
        <v>1</v>
      </c>
      <c r="CK266" s="93">
        <f>IF(AND($T266=1,CK$5&lt;=$H266),CJ266*(1-AU266)*(1-MIN(1,MAX(Assumptions!$C$27,Assumptions!$C$13*Assumptions!$C$28^(CJ$5-1))*$O266)),0)</f>
        <v>0.87979189711385863</v>
      </c>
      <c r="CL266" s="93">
        <f>IF(AND($T266=1,CL$5&lt;=$H266),CK266*(1-AV266)*(1-MIN(1,MAX(Assumptions!$C$27,Assumptions!$C$13*Assumptions!$C$28^(CK$5-1))*$O266)),0)</f>
        <v>0.78985073070311029</v>
      </c>
      <c r="CM266" s="93">
        <f>IF(AND($T266=1,CM$5&lt;=$H266),CL266*(1-AW266)*(1-MIN(1,MAX(Assumptions!$C$27,Assumptions!$C$13*Assumptions!$C$28^(CL$5-1))*$O266)),0)</f>
        <v>0.72117048297311881</v>
      </c>
      <c r="CN266" s="93">
        <f>IF(AND($T266=1,CN$5&lt;=$H266),CM266*(1-AX266)*(1-MIN(1,MAX(Assumptions!$C$27,Assumptions!$C$13*Assumptions!$C$28^(CM$5-1))*$O266)),0)</f>
        <v>0.66782299909973808</v>
      </c>
      <c r="CO266" s="93">
        <f>IF(AND($T266=1,CO$5&lt;=$H266),CN266*(1-AY266)*(1-MIN(1,MAX(Assumptions!$C$27,Assumptions!$C$13*Assumptions!$C$28^(CN$5-1))*$O266)),0)</f>
        <v>0.62578620318118172</v>
      </c>
      <c r="CP266" s="93">
        <f>IF(AND($T266=1,CP$5&lt;=$H266),CO266*(1-AZ266)*(1-MIN(1,MAX(Assumptions!$C$27,Assumptions!$C$13*Assumptions!$C$28^(CO$5-1))*$O266)),0)</f>
        <v>0.59225742886784916</v>
      </c>
      <c r="CQ266" s="93">
        <f>IF(AND($T266=1,CQ$5&lt;=$H266),CP266*(1-BA266)*(1-MIN(1,MAX(Assumptions!$C$27,Assumptions!$C$13*Assumptions!$C$28^(CP$5-1))*$O266)),0)</f>
        <v>0.56523697728017641</v>
      </c>
      <c r="CR266" s="93">
        <f>IF(AND($T266=1,CR$5&lt;=$H266),CQ266*(1-BB266)*(1-MIN(1,MAX(Assumptions!$C$27,Assumptions!$C$13*Assumptions!$C$28^(CQ$5-1))*$O266)),0)</f>
        <v>0.54326772836430803</v>
      </c>
      <c r="CS266" s="93">
        <f>IF(AND($T266=1,CS$5&lt;=$H266),CR266*(1-BC266)*(1-MIN(1,MAX(Assumptions!$C$27,Assumptions!$C$13*Assumptions!$C$28^(CR$5-1))*$O266)),0)</f>
        <v>0.52526781308927462</v>
      </c>
      <c r="CT266" s="93">
        <f>IF(AND($T266=1,CT$5&lt;=$H266),CS266*(1-BD266)*(1-MIN(1,MAX(Assumptions!$C$27,Assumptions!$C$13*Assumptions!$C$28^(CS$5-1))*$O266)),0)</f>
        <v>0</v>
      </c>
      <c r="CU266" s="93">
        <f>IF(AND($T266=1,CU$5&lt;=$H266),CT266*(1-BE266)*(1-MIN(1,MAX(Assumptions!$C$27,Assumptions!$C$13*Assumptions!$C$28^(CT$5-1))*$O266)),0)</f>
        <v>0</v>
      </c>
      <c r="CV266" s="93">
        <f>IF(AND($T266=1,CV$5&lt;=$H266),CU266*(1-BF266)*(1-MIN(1,MAX(Assumptions!$C$27,Assumptions!$C$13*Assumptions!$C$28^(CU$5-1))*$O266)),0)</f>
        <v>0</v>
      </c>
      <c r="CW266" s="93">
        <f>IF(AND($T266=1,CW$5&lt;=$H266),CV266*(1-BG266)*(1-MIN(1,MAX(Assumptions!$C$27,Assumptions!$C$13*Assumptions!$C$28^(CV$5-1))*$O266)),0)</f>
        <v>0</v>
      </c>
      <c r="CX266" s="93">
        <f>IF(AND($T266=1,CX$5&lt;=$H266),CW266*(1-BH266)*(1-MIN(1,MAX(Assumptions!$C$27,Assumptions!$C$13*Assumptions!$C$28^(CW$5-1))*$O266)),0)</f>
        <v>0</v>
      </c>
      <c r="CY266" s="93">
        <f>IF(AND($T266=1,CY$5&lt;=$H266),CX266*(1-BI266)*(1-MIN(1,MAX(Assumptions!$C$27,Assumptions!$C$13*Assumptions!$C$28^(CX$5-1))*$O266)),0)</f>
        <v>0</v>
      </c>
      <c r="CZ266" s="93">
        <f>IF(AND($T266=1,CZ$5&lt;=$H266),CY266*(1-BJ266)*(1-MIN(1,MAX(Assumptions!$C$27,Assumptions!$C$13*Assumptions!$C$28^(CY$5-1))*$O266)),0)</f>
        <v>0</v>
      </c>
      <c r="DA266" s="93">
        <f>IF(AND($T266=1,DA$5&lt;=$H266),CZ266*(1-BK266)*(1-MIN(1,MAX(Assumptions!$C$27,Assumptions!$C$13*Assumptions!$C$28^(CZ$5-1))*$O266)),0)</f>
        <v>0</v>
      </c>
      <c r="DB266" s="93">
        <f>IF(AND($T266=1,DB$5&lt;=$H266),DA266*(1-BL266)*(1-MIN(1,MAX(Assumptions!$C$27,Assumptions!$C$13*Assumptions!$C$28^(DA$5-1))*$O266)),0)</f>
        <v>0</v>
      </c>
      <c r="DC266" s="93">
        <f>IF(AND($T266=1,DC$5&lt;=$H266),DB266*(1-BM266)*(1-MIN(1,MAX(Assumptions!$C$27,Assumptions!$C$13*Assumptions!$C$28^(DB$5-1))*$O266)),0)</f>
        <v>0</v>
      </c>
      <c r="DD266" s="93">
        <f>IF(AND($T266=1,DD$5&lt;=$H266),DC266*(1-BN266)*(1-MIN(1,MAX(Assumptions!$C$27,Assumptions!$C$13*Assumptions!$C$28^(DC$5-1))*$O266)),0)</f>
        <v>0</v>
      </c>
      <c r="DE266" s="93">
        <f>IF(AND($T266=1,DE$5&lt;=$H266),DD266*(1-BO266)*(1-MIN(1,MAX(Assumptions!$C$27,Assumptions!$C$13*Assumptions!$C$28^(DD$5-1))*$O266)),0)</f>
        <v>0</v>
      </c>
      <c r="DF266" s="93">
        <f>IF(AND($T266=1,DF$5&lt;=$H266),DE266*(1-BP266)*(1-MIN(1,MAX(Assumptions!$C$27,Assumptions!$C$13*Assumptions!$C$28^(DE$5-1))*$O266)),0)</f>
        <v>0</v>
      </c>
      <c r="DG266" s="93">
        <f>IF(AND($T266=1,DG$5&lt;=$H266),DF266*(1-BQ266)*(1-MIN(1,MAX(Assumptions!$C$27,Assumptions!$C$13*Assumptions!$C$28^(DF$5-1))*$O266)),0)</f>
        <v>0</v>
      </c>
      <c r="DH266" s="93">
        <f>IF(AND($T266=1,DH$5&lt;=$H266),DG266*(1-BR266)*(1-MIN(1,MAX(Assumptions!$C$27,Assumptions!$C$13*Assumptions!$C$28^(DG$5-1))*$O266)),0)</f>
        <v>0</v>
      </c>
      <c r="DI266" s="93">
        <f>IF(AND($T266=1,DI$5&lt;=$H266),DH266*(1-BS266)*(1-MIN(1,MAX(Assumptions!$C$27,Assumptions!$C$13*Assumptions!$C$28^(DH$5-1))*$O266)),0)</f>
        <v>0</v>
      </c>
      <c r="DJ266" s="93">
        <f>IF(AND($T266=1,DJ$5&lt;=$H266),DI266*(1-BT266)*(1-MIN(1,MAX(Assumptions!$C$27,Assumptions!$C$13*Assumptions!$C$28^(DI$5-1))*$O266)),0)</f>
        <v>0</v>
      </c>
      <c r="DK266" s="93">
        <f>IF(AND($T266=1,DK$5&lt;=$H266),DJ266*(1-BU266)*(1-MIN(1,MAX(Assumptions!$C$27,Assumptions!$C$13*Assumptions!$C$28^(DJ$5-1))*$O266)),0)</f>
        <v>0</v>
      </c>
      <c r="DL266" s="93">
        <f>IF(AND($T266=1,DL$5&lt;=$H266),DK266*(1-BV266)*(1-MIN(1,MAX(Assumptions!$C$27,Assumptions!$C$13*Assumptions!$C$28^(DK$5-1))*$O266)),0)</f>
        <v>0</v>
      </c>
      <c r="DM266" s="93">
        <f>IF(AND($T266=1,DM$5&lt;=$H266),DL266*(1-BW266)*(1-MIN(1,MAX(Assumptions!$C$27,Assumptions!$C$13*Assumptions!$C$28^(DL$5-1))*$O266)),0)</f>
        <v>0</v>
      </c>
      <c r="DN266" s="93">
        <f>IF(AND($T266=1,DN$5&lt;=$H266),DM266*(1-BX266)*(1-MIN(1,MAX(Assumptions!$C$27,Assumptions!$C$13*Assumptions!$C$28^(DM$5-1))*$O266)),0)</f>
        <v>0</v>
      </c>
      <c r="DO266" s="93">
        <f>IF(AND($T266=1,DO$5&lt;=$H266),DN266*(1-BY266)*(1-MIN(1,MAX(Assumptions!$C$27,Assumptions!$C$13*Assumptions!$C$28^(DN$5-1))*$O266)),0)</f>
        <v>0</v>
      </c>
      <c r="DP266" s="93">
        <f>IF(AND($T266=1,DP$5&lt;=$H266),DO266*(1-BZ266)*(1-MIN(1,MAX(Assumptions!$C$27,Assumptions!$C$13*Assumptions!$C$28^(DO$5-1))*$O266)),0)</f>
        <v>0</v>
      </c>
      <c r="DQ266" s="93">
        <f>IF(AND($T266=1,DQ$5&lt;=$H266),DP266*(1-CA266)*(1-MIN(1,MAX(Assumptions!$C$27,Assumptions!$C$13*Assumptions!$C$28^(DP$5-1))*$O266)),0)</f>
        <v>0</v>
      </c>
      <c r="DR266" s="93">
        <f>IF(AND($T266=1,DR$5&lt;=$H266),DQ266*(1-CB266)*(1-MIN(1,MAX(Assumptions!$C$27,Assumptions!$C$13*Assumptions!$C$28^(DQ$5-1))*$O266)),0)</f>
        <v>0</v>
      </c>
      <c r="DS266" s="93">
        <f>IF(AND($T266=1,DS$5&lt;=$H266),DR266*(1-CC266)*(1-MIN(1,MAX(Assumptions!$C$27,Assumptions!$C$13*Assumptions!$C$28^(DR$5-1))*$O266)),0)</f>
        <v>0</v>
      </c>
      <c r="DT266" s="93">
        <f>IF(AND($T266=1,DT$5&lt;=$H266),DS266*(1-CD266)*(1-MIN(1,MAX(Assumptions!$C$27,Assumptions!$C$13*Assumptions!$C$28^(DS$5-1))*$O266)),0)</f>
        <v>0</v>
      </c>
      <c r="DU266" s="93">
        <f>IF(AND($T266=1,DU$5&lt;=$H266),DT266*(1-CE266)*(1-MIN(1,MAX(Assumptions!$C$27,Assumptions!$C$13*Assumptions!$C$28^(DT$5-1))*$O266)),0)</f>
        <v>0</v>
      </c>
      <c r="DV266" s="93">
        <f>IF(AND($T266=1,DV$5&lt;=$H266),DU266*(1-CF266)*(1-MIN(1,MAX(Assumptions!$C$27,Assumptions!$C$13*Assumptions!$C$28^(DU$5-1))*$O266)),0)</f>
        <v>0</v>
      </c>
      <c r="DW266" s="94">
        <f>IF(AND($T266=1,DW$5&lt;=$H266),DV266*(1-CG266)*(1-MIN(1,MAX(Assumptions!$C$27,Assumptions!$C$13*Assumptions!$C$28^(DV$5-1))*$O266)),0)</f>
        <v>0</v>
      </c>
      <c r="DX266" s="26"/>
      <c r="DY266" s="399">
        <f>'Policy Data'!K240</f>
        <v>3</v>
      </c>
      <c r="DZ266" s="100">
        <f>'Policy Data'!L240</f>
        <v>0.86650000000000005</v>
      </c>
      <c r="EA266" s="100">
        <f>'Policy Data'!N240</f>
        <v>2.05E-4</v>
      </c>
      <c r="EB266" s="93" cm="1">
        <f t="array" ref="EB266">IFERROR(DZ266*INDEX(Mortality!$B$4:$E$64,MATCH(D266+DY266-1,Mortality!$A$4:$A$64,0),U266)*V266,0)</f>
        <v>2.4046458043441073E-4</v>
      </c>
      <c r="EC266" s="100">
        <f>'Policy Data'!O240</f>
        <v>0</v>
      </c>
      <c r="ED266" s="400">
        <f>'Policy Data'!Q240</f>
        <v>0</v>
      </c>
    </row>
    <row r="267" spans="1:134" x14ac:dyDescent="0.3">
      <c r="A267" s="399" t="str">
        <f>'Policy Data'!A241</f>
        <v>POL100237</v>
      </c>
      <c r="B267" s="26" t="s">
        <v>426</v>
      </c>
      <c r="C267" s="100" t="str">
        <f>'Policy Data'!B241</f>
        <v>Term Life</v>
      </c>
      <c r="D267" s="100">
        <f>'Policy Data'!C241</f>
        <v>23</v>
      </c>
      <c r="E267" s="100" t="str">
        <f>'Policy Data'!D241</f>
        <v>Male</v>
      </c>
      <c r="F267" s="100" t="str">
        <f>'Policy Data'!E241</f>
        <v>Non-smoker</v>
      </c>
      <c r="G267" s="100" t="str">
        <f>'Policy Data'!F241</f>
        <v>Standard</v>
      </c>
      <c r="H267" s="100">
        <f>'Policy Data'!G241</f>
        <v>20</v>
      </c>
      <c r="I267" s="279">
        <f>'Policy Data'!H241</f>
        <v>250000</v>
      </c>
      <c r="J267" s="100" t="str">
        <f>'Policy Data'!I241</f>
        <v>Monthly</v>
      </c>
      <c r="K267" s="100" t="str">
        <f>'Policy Data'!J241</f>
        <v>Bancassurance</v>
      </c>
      <c r="L267" s="26" t="s">
        <v>389</v>
      </c>
      <c r="M267" s="106">
        <f>'Policy Data'!R241</f>
        <v>1200</v>
      </c>
      <c r="N267" s="415">
        <f>Assumptions!$C$21</f>
        <v>1</v>
      </c>
      <c r="O267" s="415">
        <f>Assumptions!$C$22</f>
        <v>1</v>
      </c>
      <c r="P267" s="415">
        <f>Assumptions!$C$23</f>
        <v>1</v>
      </c>
      <c r="Q267" s="416">
        <f>Assumptions!$C$24</f>
        <v>0</v>
      </c>
      <c r="R267" s="416">
        <f>Assumptions!$C$6+Assumptions!$C$25</f>
        <v>3.5000000000000003E-2</v>
      </c>
      <c r="S267" s="416">
        <f>Assumptions!$C$15</f>
        <v>1.1000000000000001E-3</v>
      </c>
      <c r="T267" s="26">
        <f t="shared" si="72"/>
        <v>1</v>
      </c>
      <c r="U267" s="26">
        <f t="shared" si="73"/>
        <v>3</v>
      </c>
      <c r="V267" s="389">
        <f>IF($G267="Preferred",Assumptions!$C$30,IF($G267="Rated",Assumptions!$C$31,1))</f>
        <v>1</v>
      </c>
      <c r="W267" s="390">
        <f>IF($K267="Direct",Assumptions!$C$32,IF($K267="Broker",Assumptions!$C$33,IF($K267="Bancassurance",Assumptions!$C$34,Assumptions!$C$11)))+$Q267</f>
        <v>0.2</v>
      </c>
      <c r="X267" s="390">
        <f>Assumptions!$C$12+$Q267</f>
        <v>0.05</v>
      </c>
      <c r="Y267" s="131">
        <f>MIN($I267,Assumptions!$C$14)</f>
        <v>250000</v>
      </c>
      <c r="Z267" s="131">
        <f>MAX($I267-Assumptions!$C$14,0)</f>
        <v>0</v>
      </c>
      <c r="AA267" s="389">
        <f t="shared" si="74"/>
        <v>8.6114674872678503</v>
      </c>
      <c r="AB267" s="389">
        <f t="shared" si="75"/>
        <v>4.9427592545391386E-3</v>
      </c>
      <c r="AC267" s="389">
        <f>IF($T267=1,SUMPRODUCT($CJ267:$DW267,(1+Assumptions!$C$5)^($CJ$5:$DW$5-1),(1+$R267)^(-$CJ$5:$DW$5)),0)</f>
        <v>11.59828017248711</v>
      </c>
      <c r="AD267" s="389">
        <f t="shared" si="76"/>
        <v>0.57550091059527664</v>
      </c>
      <c r="AE267" s="131">
        <f>IF($T267=1,$AB267*$Y267+(Assumptions!$C$9/(1+$R267)+Assumptions!$C$10*$AC267)*$P267+$S267*$Z267*$AA267,0)</f>
        <v>4656.8766689732538</v>
      </c>
      <c r="AF267" s="131">
        <f>IF($T267=1,IF($AA267-$AD267-Assumptions!$C$16*$AA267&gt;0,$AE267/($AA267-$AD267-Assumptions!$C$16*$AA267)*IF($J267="Monthly",1+Assumptions!$C$29,1),"n.a."),"")</f>
        <v>652.85842697323653</v>
      </c>
      <c r="AG267" s="131">
        <f t="shared" si="77"/>
        <v>1200</v>
      </c>
      <c r="AH267" s="131">
        <f t="shared" si="78"/>
        <v>10333.760984721421</v>
      </c>
      <c r="AI267" s="131">
        <f t="shared" si="79"/>
        <v>4986.2832230338345</v>
      </c>
      <c r="AJ267" s="390">
        <f t="shared" si="80"/>
        <v>0.48252356817678571</v>
      </c>
      <c r="AK267" s="389">
        <f t="shared" si="81"/>
        <v>1.8380707829159921</v>
      </c>
      <c r="AL267" s="131">
        <f t="shared" si="82"/>
        <v>0</v>
      </c>
      <c r="AM267" s="131">
        <f t="shared" si="83"/>
        <v>0</v>
      </c>
      <c r="AN267" s="131">
        <f t="shared" si="84"/>
        <v>0</v>
      </c>
      <c r="AO267" s="131">
        <f t="shared" si="85"/>
        <v>4986.2832230338345</v>
      </c>
      <c r="AP267" s="26" t="str">
        <f t="shared" si="86"/>
        <v>20-29</v>
      </c>
      <c r="AQ267" s="26" t="str">
        <f t="shared" si="87"/>
        <v>Up to 250k</v>
      </c>
      <c r="AR267" s="26" t="str">
        <f>IF($T267=1,IF($AI267&lt;0,"Loss-making",IF($AJ267&lt;Assumptions!$C$16-0.00001,"Below target","At/above target")),"Excluded")</f>
        <v>At/above target</v>
      </c>
      <c r="AS267" s="103">
        <f t="shared" si="88"/>
        <v>4986.2834900338348</v>
      </c>
      <c r="AT267" s="26"/>
      <c r="AU267" s="419">
        <f>IF(AND($T267=1,AU$5&lt;=$H267),INDEX(Mortality!$B$4:$E$64,MATCH($D267+AU$5-1,Mortality!$A$4:$A$64,0),$U267)*$V267*$N267,0)</f>
        <v>2.9560069054176198E-4</v>
      </c>
      <c r="AV267" s="93">
        <f>IF(AND($T267=1,AV$5&lt;=$H267),INDEX(Mortality!$B$4:$E$64,MATCH($D267+AV$5-1,Mortality!$A$4:$A$64,0),$U267)*$V267*$N267,0)</f>
        <v>3.20220405259678E-4</v>
      </c>
      <c r="AW267" s="93">
        <f>IF(AND($T267=1,AW$5&lt;=$H267),INDEX(Mortality!$B$4:$E$64,MATCH($D267+AW$5-1,Mortality!$A$4:$A$64,0),$U267)*$V267*$N267,0)</f>
        <v>3.4689062382344302E-4</v>
      </c>
      <c r="AX267" s="93">
        <f>IF(AND($T267=1,AX$5&lt;=$H267),INDEX(Mortality!$B$4:$E$64,MATCH($D267+AX$5-1,Mortality!$A$4:$A$64,0),$U267)*$V267*$N267,0)</f>
        <v>3.7578212668563498E-4</v>
      </c>
      <c r="AY267" s="93">
        <f>IF(AND($T267=1,AY$5&lt;=$H267),INDEX(Mortality!$B$4:$E$64,MATCH($D267+AY$5-1,Mortality!$A$4:$A$64,0),$U267)*$V267*$N267,0)</f>
        <v>4.0707991810194101E-4</v>
      </c>
      <c r="AZ267" s="93">
        <f>IF(AND($T267=1,AZ$5&lt;=$H267),INDEX(Mortality!$B$4:$E$64,MATCH($D267+AZ$5-1,Mortality!$A$4:$A$64,0),$U267)*$V267*$N267,0)</f>
        <v>4.4098441079001399E-4</v>
      </c>
      <c r="BA267" s="93">
        <f>IF(AND($T267=1,BA$5&lt;=$H267),INDEX(Mortality!$B$4:$E$64,MATCH($D267+BA$5-1,Mortality!$A$4:$A$64,0),$U267)*$V267*$N267,0)</f>
        <v>4.7771270925508401E-4</v>
      </c>
      <c r="BB267" s="93">
        <f>IF(AND($T267=1,BB$5&lt;=$H267),INDEX(Mortality!$B$4:$E$64,MATCH($D267+BB$5-1,Mortality!$A$4:$A$64,0),$U267)*$V267*$N267,0)</f>
        <v>5.1749999999999995E-4</v>
      </c>
      <c r="BC267" s="93">
        <f>IF(AND($T267=1,BC$5&lt;=$H267),INDEX(Mortality!$B$4:$E$64,MATCH($D267+BC$5-1,Mortality!$A$4:$A$64,0),$U267)*$V267*$N267,0)</f>
        <v>5.6060105752179102E-4</v>
      </c>
      <c r="BD267" s="93">
        <f>IF(AND($T267=1,BD$5&lt;=$H267),INDEX(Mortality!$B$4:$E$64,MATCH($D267+BD$5-1,Mortality!$A$4:$A$64,0),$U267)*$V267*$N267,0)</f>
        <v>6.07291875738262E-4</v>
      </c>
      <c r="BE267" s="93">
        <f>IF(AND($T267=1,BE$5&lt;=$H267),INDEX(Mortality!$B$4:$E$64,MATCH($D267+BE$5-1,Mortality!$A$4:$A$64,0),$U267)*$V267*$N267,0)</f>
        <v>6.5787143529132705E-4</v>
      </c>
      <c r="BF267" s="93">
        <f>IF(AND($T267=1,BF$5&lt;=$H267),INDEX(Mortality!$B$4:$E$64,MATCH($D267+BF$5-1,Mortality!$A$4:$A$64,0),$U267)*$V267*$N267,0)</f>
        <v>7.1266361804385805E-4</v>
      </c>
      <c r="BG267" s="93">
        <f>IF(AND($T267=1,BG$5&lt;=$H267),INDEX(Mortality!$B$4:$E$64,MATCH($D267+BG$5-1,Mortality!$A$4:$A$64,0),$U267)*$V267*$N267,0)</f>
        <v>7.7201928102935699E-4</v>
      </c>
      <c r="BH267" s="93">
        <f>IF(AND($T267=1,BH$5&lt;=$H267),INDEX(Mortality!$B$4:$E$64,MATCH($D267+BH$5-1,Mortality!$A$4:$A$64,0),$U267)*$V267*$N267,0)</f>
        <v>8.3631850313482196E-4</v>
      </c>
      <c r="BI267" s="93">
        <f>IF(AND($T267=1,BI$5&lt;=$H267),INDEX(Mortality!$B$4:$E$64,MATCH($D267+BI$5-1,Mortality!$A$4:$A$64,0),$U267)*$V267*$N267,0)</f>
        <v>9.0597301890323197E-4</v>
      </c>
      <c r="BJ267" s="93">
        <f>IF(AND($T267=1,BJ$5&lt;=$H267),INDEX(Mortality!$B$4:$E$64,MATCH($D267+BJ$5-1,Mortality!$A$4:$A$64,0),$U267)*$V267*$N267,0)</f>
        <v>9.8142885504031189E-4</v>
      </c>
      <c r="BK267" s="93">
        <f>IF(AND($T267=1,BK$5&lt;=$H267),INDEX(Mortality!$B$4:$E$64,MATCH($D267+BK$5-1,Mortality!$A$4:$A$64,0),$U267)*$V267*$N267,0)</f>
        <v>1.06316918650821E-3</v>
      </c>
      <c r="BL267" s="93">
        <f>IF(AND($T267=1,BL$5&lt;=$H267),INDEX(Mortality!$B$4:$E$64,MATCH($D267+BL$5-1,Mortality!$A$4:$A$64,0),$U267)*$V267*$N267,0)</f>
        <v>1.1517174304948501E-3</v>
      </c>
      <c r="BM267" s="93">
        <f>IF(AND($T267=1,BM$5&lt;=$H267),INDEX(Mortality!$B$4:$E$64,MATCH($D267+BM$5-1,Mortality!$A$4:$A$64,0),$U267)*$V267*$N267,0)</f>
        <v>1.24764059807091E-3</v>
      </c>
      <c r="BN267" s="93">
        <f>IF(AND($T267=1,BN$5&lt;=$H267),INDEX(Mortality!$B$4:$E$64,MATCH($D267+BN$5-1,Mortality!$A$4:$A$64,0),$U267)*$V267*$N267,0)</f>
        <v>1.3515529249964601E-3</v>
      </c>
      <c r="BO267" s="93">
        <f>IF(AND($T267=1,BO$5&lt;=$H267),INDEX(Mortality!$B$4:$E$64,MATCH($D267+BO$5-1,Mortality!$A$4:$A$64,0),$U267)*$V267*$N267,0)</f>
        <v>0</v>
      </c>
      <c r="BP267" s="93">
        <f>IF(AND($T267=1,BP$5&lt;=$H267),INDEX(Mortality!$B$4:$E$64,MATCH($D267+BP$5-1,Mortality!$A$4:$A$64,0),$U267)*$V267*$N267,0)</f>
        <v>0</v>
      </c>
      <c r="BQ267" s="93">
        <f>IF(AND($T267=1,BQ$5&lt;=$H267),INDEX(Mortality!$B$4:$E$64,MATCH($D267+BQ$5-1,Mortality!$A$4:$A$64,0),$U267)*$V267*$N267,0)</f>
        <v>0</v>
      </c>
      <c r="BR267" s="93">
        <f>IF(AND($T267=1,BR$5&lt;=$H267),INDEX(Mortality!$B$4:$E$64,MATCH($D267+BR$5-1,Mortality!$A$4:$A$64,0),$U267)*$V267*$N267,0)</f>
        <v>0</v>
      </c>
      <c r="BS267" s="93">
        <f>IF(AND($T267=1,BS$5&lt;=$H267),INDEX(Mortality!$B$4:$E$64,MATCH($D267+BS$5-1,Mortality!$A$4:$A$64,0),$U267)*$V267*$N267,0)</f>
        <v>0</v>
      </c>
      <c r="BT267" s="93">
        <f>IF(AND($T267=1,BT$5&lt;=$H267),INDEX(Mortality!$B$4:$E$64,MATCH($D267+BT$5-1,Mortality!$A$4:$A$64,0),$U267)*$V267*$N267,0)</f>
        <v>0</v>
      </c>
      <c r="BU267" s="93">
        <f>IF(AND($T267=1,BU$5&lt;=$H267),INDEX(Mortality!$B$4:$E$64,MATCH($D267+BU$5-1,Mortality!$A$4:$A$64,0),$U267)*$V267*$N267,0)</f>
        <v>0</v>
      </c>
      <c r="BV267" s="93">
        <f>IF(AND($T267=1,BV$5&lt;=$H267),INDEX(Mortality!$B$4:$E$64,MATCH($D267+BV$5-1,Mortality!$A$4:$A$64,0),$U267)*$V267*$N267,0)</f>
        <v>0</v>
      </c>
      <c r="BW267" s="93">
        <f>IF(AND($T267=1,BW$5&lt;=$H267),INDEX(Mortality!$B$4:$E$64,MATCH($D267+BW$5-1,Mortality!$A$4:$A$64,0),$U267)*$V267*$N267,0)</f>
        <v>0</v>
      </c>
      <c r="BX267" s="93">
        <f>IF(AND($T267=1,BX$5&lt;=$H267),INDEX(Mortality!$B$4:$E$64,MATCH($D267+BX$5-1,Mortality!$A$4:$A$64,0),$U267)*$V267*$N267,0)</f>
        <v>0</v>
      </c>
      <c r="BY267" s="93">
        <f>IF(AND($T267=1,BY$5&lt;=$H267),INDEX(Mortality!$B$4:$E$64,MATCH($D267+BY$5-1,Mortality!$A$4:$A$64,0),$U267)*$V267*$N267,0)</f>
        <v>0</v>
      </c>
      <c r="BZ267" s="93">
        <f>IF(AND($T267=1,BZ$5&lt;=$H267),INDEX(Mortality!$B$4:$E$64,MATCH($D267+BZ$5-1,Mortality!$A$4:$A$64,0),$U267)*$V267*$N267,0)</f>
        <v>0</v>
      </c>
      <c r="CA267" s="93">
        <f>IF(AND($T267=1,CA$5&lt;=$H267),INDEX(Mortality!$B$4:$E$64,MATCH($D267+CA$5-1,Mortality!$A$4:$A$64,0),$U267)*$V267*$N267,0)</f>
        <v>0</v>
      </c>
      <c r="CB267" s="93">
        <f>IF(AND($T267=1,CB$5&lt;=$H267),INDEX(Mortality!$B$4:$E$64,MATCH($D267+CB$5-1,Mortality!$A$4:$A$64,0),$U267)*$V267*$N267,0)</f>
        <v>0</v>
      </c>
      <c r="CC267" s="93">
        <f>IF(AND($T267=1,CC$5&lt;=$H267),INDEX(Mortality!$B$4:$E$64,MATCH($D267+CC$5-1,Mortality!$A$4:$A$64,0),$U267)*$V267*$N267,0)</f>
        <v>0</v>
      </c>
      <c r="CD267" s="93">
        <f>IF(AND($T267=1,CD$5&lt;=$H267),INDEX(Mortality!$B$4:$E$64,MATCH($D267+CD$5-1,Mortality!$A$4:$A$64,0),$U267)*$V267*$N267,0)</f>
        <v>0</v>
      </c>
      <c r="CE267" s="93">
        <f>IF(AND($T267=1,CE$5&lt;=$H267),INDEX(Mortality!$B$4:$E$64,MATCH($D267+CE$5-1,Mortality!$A$4:$A$64,0),$U267)*$V267*$N267,0)</f>
        <v>0</v>
      </c>
      <c r="CF267" s="93">
        <f>IF(AND($T267=1,CF$5&lt;=$H267),INDEX(Mortality!$B$4:$E$64,MATCH($D267+CF$5-1,Mortality!$A$4:$A$64,0),$U267)*$V267*$N267,0)</f>
        <v>0</v>
      </c>
      <c r="CG267" s="93">
        <f>IF(AND($T267=1,CG$5&lt;=$H267),INDEX(Mortality!$B$4:$E$64,MATCH($D267+CG$5-1,Mortality!$A$4:$A$64,0),$U267)*$V267*$N267,0)</f>
        <v>0</v>
      </c>
      <c r="CH267" s="94">
        <f>IF(AND($T267=1,CH$5&lt;=$H267),INDEX(Mortality!$B$4:$E$64,MATCH($D267+CH$5-1,Mortality!$A$4:$A$64,0),$U267)*$V267*$N267,0)</f>
        <v>0</v>
      </c>
      <c r="CI267" s="26"/>
      <c r="CJ267" s="419">
        <f t="shared" si="89"/>
        <v>1</v>
      </c>
      <c r="CK267" s="93">
        <f>IF(AND($T267=1,CK$5&lt;=$H267),CJ267*(1-AU267)*(1-MIN(1,MAX(Assumptions!$C$27,Assumptions!$C$13*Assumptions!$C$28^(CJ$5-1))*$O267)),0)</f>
        <v>0.87973987139232324</v>
      </c>
      <c r="CL267" s="93">
        <f>IF(AND($T267=1,CL$5&lt;=$H267),CK267*(1-AV267)*(1-MIN(1,MAX(Assumptions!$C$27,Assumptions!$C$13*Assumptions!$C$28^(CK$5-1))*$O267)),0)</f>
        <v>0.78975342833929629</v>
      </c>
      <c r="CM267" s="93">
        <f>IF(AND($T267=1,CM$5&lt;=$H267),CL267*(1-AW267)*(1-MIN(1,MAX(Assumptions!$C$27,Assumptions!$C$13*Assumptions!$C$28^(CL$5-1))*$O267)),0)</f>
        <v>0.72103160020660795</v>
      </c>
      <c r="CN267" s="93">
        <f>IF(AND($T267=1,CN$5&lt;=$H267),CM267*(1-AX267)*(1-MIN(1,MAX(Assumptions!$C$27,Assumptions!$C$13*Assumptions!$C$28^(CM$5-1))*$O267)),0)</f>
        <v>0.66764419335958025</v>
      </c>
      <c r="CO267" s="93">
        <f>IF(AND($T267=1,CO$5&lt;=$H267),CN267*(1-AY267)*(1-MIN(1,MAX(Assumptions!$C$27,Assumptions!$C$13*Assumptions!$C$28^(CN$5-1))*$O267)),0)</f>
        <v>0.62556770059848366</v>
      </c>
      <c r="CP267" s="93">
        <f>IF(AND($T267=1,CP$5&lt;=$H267),CO267*(1-AZ267)*(1-MIN(1,MAX(Assumptions!$C$27,Assumptions!$C$13*Assumptions!$C$28^(CO$5-1))*$O267)),0)</f>
        <v>0.59199839790862741</v>
      </c>
      <c r="CQ267" s="93">
        <f>IF(AND($T267=1,CQ$5&lt;=$H267),CP267*(1-BA267)*(1-MIN(1,MAX(Assumptions!$C$27,Assumptions!$C$13*Assumptions!$C$28^(CP$5-1))*$O267)),0)</f>
        <v>0.56493576284687319</v>
      </c>
      <c r="CR267" s="93">
        <f>IF(AND($T267=1,CR$5&lt;=$H267),CQ267*(1-BB267)*(1-MIN(1,MAX(Assumptions!$C$27,Assumptions!$C$13*Assumptions!$C$28^(CQ$5-1))*$O267)),0)</f>
        <v>0.54292199980845746</v>
      </c>
      <c r="CS267" s="93">
        <f>IF(AND($T267=1,CS$5&lt;=$H267),CR267*(1-BC267)*(1-MIN(1,MAX(Assumptions!$C$27,Assumptions!$C$13*Assumptions!$C$28^(CR$5-1))*$O267)),0)</f>
        <v>0.52487465737975125</v>
      </c>
      <c r="CT267" s="93">
        <f>IF(AND($T267=1,CT$5&lt;=$H267),CS267*(1-BD267)*(1-MIN(1,MAX(Assumptions!$C$27,Assumptions!$C$13*Assumptions!$C$28^(CS$5-1))*$O267)),0)</f>
        <v>0.50997638083268026</v>
      </c>
      <c r="CU267" s="93">
        <f>IF(AND($T267=1,CU$5&lt;=$H267),CT267*(1-BE267)*(1-MIN(1,MAX(Assumptions!$C$27,Assumptions!$C$13*Assumptions!$C$28^(CT$5-1))*$O267)),0)</f>
        <v>0.49760065253192531</v>
      </c>
      <c r="CV267" s="93">
        <f>IF(AND($T267=1,CV$5&lt;=$H267),CU267*(1-BF267)*(1-MIN(1,MAX(Assumptions!$C$27,Assumptions!$C$13*Assumptions!$C$28^(CU$5-1))*$O267)),0)</f>
        <v>0.48726073900884909</v>
      </c>
      <c r="CW267" s="93">
        <f>IF(AND($T267=1,CW$5&lt;=$H267),CV267*(1-BG267)*(1-MIN(1,MAX(Assumptions!$C$27,Assumptions!$C$13*Assumptions!$C$28^(CV$5-1))*$O267)),0)</f>
        <v>0.47714687303697678</v>
      </c>
      <c r="CX267" s="93">
        <f>IF(AND($T267=1,CX$5&lt;=$H267),CW267*(1-BH267)*(1-MIN(1,MAX(Assumptions!$C$27,Assumptions!$C$13*Assumptions!$C$28^(CW$5-1))*$O267)),0)</f>
        <v>0.46721286975277621</v>
      </c>
      <c r="CY267" s="93">
        <f>IF(AND($T267=1,CY$5&lt;=$H267),CX267*(1-BI267)*(1-MIN(1,MAX(Assumptions!$C$27,Assumptions!$C$13*Assumptions!$C$28^(CX$5-1))*$O267)),0)</f>
        <v>0.45745379574872191</v>
      </c>
      <c r="CZ267" s="93">
        <f>IF(AND($T267=1,CZ$5&lt;=$H267),CY267*(1-BJ267)*(1-MIN(1,MAX(Assumptions!$C$27,Assumptions!$C$13*Assumptions!$C$28^(CY$5-1))*$O267)),0)</f>
        <v>0.44786474064585191</v>
      </c>
      <c r="DA267" s="93">
        <f>IF(AND($T267=1,DA$5&lt;=$H267),CZ267*(1-BK267)*(1-MIN(1,MAX(Assumptions!$C$27,Assumptions!$C$13*Assumptions!$C$28^(CZ$5-1))*$O267)),0)</f>
        <v>0.43844081296079629</v>
      </c>
      <c r="DB267" s="93">
        <f>IF(AND($T267=1,DB$5&lt;=$H267),DA267*(1-BL267)*(1-MIN(1,MAX(Assumptions!$C$27,Assumptions!$C$13*Assumptions!$C$28^(DA$5-1))*$O267)),0)</f>
        <v>0.42917713597358365</v>
      </c>
      <c r="DC267" s="93">
        <f>IF(AND($T267=1,DC$5&lt;=$H267),DB267*(1-BM267)*(1-MIN(1,MAX(Assumptions!$C$27,Assumptions!$C$13*Assumptions!$C$28^(DB$5-1))*$O267)),0)</f>
        <v>0.42006884361187963</v>
      </c>
      <c r="DD267" s="93">
        <f>IF(AND($T267=1,DD$5&lt;=$H267),DC267*(1-BN267)*(1-MIN(1,MAX(Assumptions!$C$27,Assumptions!$C$13*Assumptions!$C$28^(DC$5-1))*$O267)),0)</f>
        <v>0</v>
      </c>
      <c r="DE267" s="93">
        <f>IF(AND($T267=1,DE$5&lt;=$H267),DD267*(1-BO267)*(1-MIN(1,MAX(Assumptions!$C$27,Assumptions!$C$13*Assumptions!$C$28^(DD$5-1))*$O267)),0)</f>
        <v>0</v>
      </c>
      <c r="DF267" s="93">
        <f>IF(AND($T267=1,DF$5&lt;=$H267),DE267*(1-BP267)*(1-MIN(1,MAX(Assumptions!$C$27,Assumptions!$C$13*Assumptions!$C$28^(DE$5-1))*$O267)),0)</f>
        <v>0</v>
      </c>
      <c r="DG267" s="93">
        <f>IF(AND($T267=1,DG$5&lt;=$H267),DF267*(1-BQ267)*(1-MIN(1,MAX(Assumptions!$C$27,Assumptions!$C$13*Assumptions!$C$28^(DF$5-1))*$O267)),0)</f>
        <v>0</v>
      </c>
      <c r="DH267" s="93">
        <f>IF(AND($T267=1,DH$5&lt;=$H267),DG267*(1-BR267)*(1-MIN(1,MAX(Assumptions!$C$27,Assumptions!$C$13*Assumptions!$C$28^(DG$5-1))*$O267)),0)</f>
        <v>0</v>
      </c>
      <c r="DI267" s="93">
        <f>IF(AND($T267=1,DI$5&lt;=$H267),DH267*(1-BS267)*(1-MIN(1,MAX(Assumptions!$C$27,Assumptions!$C$13*Assumptions!$C$28^(DH$5-1))*$O267)),0)</f>
        <v>0</v>
      </c>
      <c r="DJ267" s="93">
        <f>IF(AND($T267=1,DJ$5&lt;=$H267),DI267*(1-BT267)*(1-MIN(1,MAX(Assumptions!$C$27,Assumptions!$C$13*Assumptions!$C$28^(DI$5-1))*$O267)),0)</f>
        <v>0</v>
      </c>
      <c r="DK267" s="93">
        <f>IF(AND($T267=1,DK$5&lt;=$H267),DJ267*(1-BU267)*(1-MIN(1,MAX(Assumptions!$C$27,Assumptions!$C$13*Assumptions!$C$28^(DJ$5-1))*$O267)),0)</f>
        <v>0</v>
      </c>
      <c r="DL267" s="93">
        <f>IF(AND($T267=1,DL$5&lt;=$H267),DK267*(1-BV267)*(1-MIN(1,MAX(Assumptions!$C$27,Assumptions!$C$13*Assumptions!$C$28^(DK$5-1))*$O267)),0)</f>
        <v>0</v>
      </c>
      <c r="DM267" s="93">
        <f>IF(AND($T267=1,DM$5&lt;=$H267),DL267*(1-BW267)*(1-MIN(1,MAX(Assumptions!$C$27,Assumptions!$C$13*Assumptions!$C$28^(DL$5-1))*$O267)),0)</f>
        <v>0</v>
      </c>
      <c r="DN267" s="93">
        <f>IF(AND($T267=1,DN$5&lt;=$H267),DM267*(1-BX267)*(1-MIN(1,MAX(Assumptions!$C$27,Assumptions!$C$13*Assumptions!$C$28^(DM$5-1))*$O267)),0)</f>
        <v>0</v>
      </c>
      <c r="DO267" s="93">
        <f>IF(AND($T267=1,DO$5&lt;=$H267),DN267*(1-BY267)*(1-MIN(1,MAX(Assumptions!$C$27,Assumptions!$C$13*Assumptions!$C$28^(DN$5-1))*$O267)),0)</f>
        <v>0</v>
      </c>
      <c r="DP267" s="93">
        <f>IF(AND($T267=1,DP$5&lt;=$H267),DO267*(1-BZ267)*(1-MIN(1,MAX(Assumptions!$C$27,Assumptions!$C$13*Assumptions!$C$28^(DO$5-1))*$O267)),0)</f>
        <v>0</v>
      </c>
      <c r="DQ267" s="93">
        <f>IF(AND($T267=1,DQ$5&lt;=$H267),DP267*(1-CA267)*(1-MIN(1,MAX(Assumptions!$C$27,Assumptions!$C$13*Assumptions!$C$28^(DP$5-1))*$O267)),0)</f>
        <v>0</v>
      </c>
      <c r="DR267" s="93">
        <f>IF(AND($T267=1,DR$5&lt;=$H267),DQ267*(1-CB267)*(1-MIN(1,MAX(Assumptions!$C$27,Assumptions!$C$13*Assumptions!$C$28^(DQ$5-1))*$O267)),0)</f>
        <v>0</v>
      </c>
      <c r="DS267" s="93">
        <f>IF(AND($T267=1,DS$5&lt;=$H267),DR267*(1-CC267)*(1-MIN(1,MAX(Assumptions!$C$27,Assumptions!$C$13*Assumptions!$C$28^(DR$5-1))*$O267)),0)</f>
        <v>0</v>
      </c>
      <c r="DT267" s="93">
        <f>IF(AND($T267=1,DT$5&lt;=$H267),DS267*(1-CD267)*(1-MIN(1,MAX(Assumptions!$C$27,Assumptions!$C$13*Assumptions!$C$28^(DS$5-1))*$O267)),0)</f>
        <v>0</v>
      </c>
      <c r="DU267" s="93">
        <f>IF(AND($T267=1,DU$5&lt;=$H267),DT267*(1-CE267)*(1-MIN(1,MAX(Assumptions!$C$27,Assumptions!$C$13*Assumptions!$C$28^(DT$5-1))*$O267)),0)</f>
        <v>0</v>
      </c>
      <c r="DV267" s="93">
        <f>IF(AND($T267=1,DV$5&lt;=$H267),DU267*(1-CF267)*(1-MIN(1,MAX(Assumptions!$C$27,Assumptions!$C$13*Assumptions!$C$28^(DU$5-1))*$O267)),0)</f>
        <v>0</v>
      </c>
      <c r="DW267" s="94">
        <f>IF(AND($T267=1,DW$5&lt;=$H267),DV267*(1-CG267)*(1-MIN(1,MAX(Assumptions!$C$27,Assumptions!$C$13*Assumptions!$C$28^(DV$5-1))*$O267)),0)</f>
        <v>0</v>
      </c>
      <c r="DX267" s="26"/>
      <c r="DY267" s="399">
        <f>'Policy Data'!K241</f>
        <v>5</v>
      </c>
      <c r="DZ267" s="100">
        <f>'Policy Data'!L241</f>
        <v>0.68479999999999996</v>
      </c>
      <c r="EA267" s="100">
        <f>'Policy Data'!N241</f>
        <v>2.02E-4</v>
      </c>
      <c r="EB267" s="93" cm="1">
        <f t="array" ref="EB267">IFERROR(DZ267*INDEX(Mortality!$B$4:$E$64,MATCH(D267+DY267-1,Mortality!$A$4:$A$64,0),U267)*V267,0)</f>
        <v>2.787683279162092E-4</v>
      </c>
      <c r="EC267" s="100">
        <f>'Policy Data'!O241</f>
        <v>0</v>
      </c>
      <c r="ED267" s="400">
        <f>'Policy Data'!Q241</f>
        <v>0</v>
      </c>
    </row>
    <row r="268" spans="1:134" x14ac:dyDescent="0.3">
      <c r="A268" s="399" t="str">
        <f>'Policy Data'!A242</f>
        <v>POL100238</v>
      </c>
      <c r="B268" s="26" t="s">
        <v>426</v>
      </c>
      <c r="C268" s="100" t="str">
        <f>'Policy Data'!B242</f>
        <v>Unit-Linked</v>
      </c>
      <c r="D268" s="100">
        <f>'Policy Data'!C242</f>
        <v>44</v>
      </c>
      <c r="E268" s="100" t="str">
        <f>'Policy Data'!D242</f>
        <v>Male</v>
      </c>
      <c r="F268" s="100" t="str">
        <f>'Policy Data'!E242</f>
        <v>Smoker</v>
      </c>
      <c r="G268" s="100" t="str">
        <f>'Policy Data'!F242</f>
        <v>Standard</v>
      </c>
      <c r="H268" s="100">
        <f>'Policy Data'!G242</f>
        <v>15</v>
      </c>
      <c r="I268" s="279">
        <f>'Policy Data'!H242</f>
        <v>250000</v>
      </c>
      <c r="J268" s="100" t="str">
        <f>'Policy Data'!I242</f>
        <v>Monthly</v>
      </c>
      <c r="K268" s="100" t="str">
        <f>'Policy Data'!J242</f>
        <v>Bancassurance</v>
      </c>
      <c r="L268" s="26" t="s">
        <v>389</v>
      </c>
      <c r="M268" s="106">
        <f>'Policy Data'!R242</f>
        <v>13069.92</v>
      </c>
      <c r="N268" s="415">
        <f>Assumptions!$C$21</f>
        <v>1</v>
      </c>
      <c r="O268" s="415">
        <f>Assumptions!$C$22</f>
        <v>1</v>
      </c>
      <c r="P268" s="415">
        <f>Assumptions!$C$23</f>
        <v>1</v>
      </c>
      <c r="Q268" s="416">
        <f>Assumptions!$C$24</f>
        <v>0</v>
      </c>
      <c r="R268" s="416">
        <f>Assumptions!$C$6+Assumptions!$C$25</f>
        <v>3.5000000000000003E-2</v>
      </c>
      <c r="S268" s="416">
        <f>Assumptions!$C$15</f>
        <v>1.1000000000000001E-3</v>
      </c>
      <c r="T268" s="26">
        <f t="shared" si="72"/>
        <v>0</v>
      </c>
      <c r="U268" s="26">
        <f t="shared" si="73"/>
        <v>4</v>
      </c>
      <c r="V268" s="389">
        <f>IF($G268="Preferred",Assumptions!$C$30,IF($G268="Rated",Assumptions!$C$31,1))</f>
        <v>1</v>
      </c>
      <c r="W268" s="390">
        <f>IF($K268="Direct",Assumptions!$C$32,IF($K268="Broker",Assumptions!$C$33,IF($K268="Bancassurance",Assumptions!$C$34,Assumptions!$C$11)))+$Q268</f>
        <v>0.2</v>
      </c>
      <c r="X268" s="390">
        <f>Assumptions!$C$12+$Q268</f>
        <v>0.05</v>
      </c>
      <c r="Y268" s="131">
        <f>MIN($I268,Assumptions!$C$14)</f>
        <v>250000</v>
      </c>
      <c r="Z268" s="131">
        <f>MAX($I268-Assumptions!$C$14,0)</f>
        <v>0</v>
      </c>
      <c r="AA268" s="389">
        <f t="shared" si="74"/>
        <v>0</v>
      </c>
      <c r="AB268" s="389">
        <f t="shared" si="75"/>
        <v>0</v>
      </c>
      <c r="AC268" s="389">
        <f>IF($T268=1,SUMPRODUCT($CJ268:$DW268,(1+Assumptions!$C$5)^($CJ$5:$DW$5-1),(1+$R268)^(-$CJ$5:$DW$5)),0)</f>
        <v>0</v>
      </c>
      <c r="AD268" s="389">
        <f t="shared" si="76"/>
        <v>0</v>
      </c>
      <c r="AE268" s="131">
        <f>IF($T268=1,$AB268*$Y268+(Assumptions!$C$9/(1+$R268)+Assumptions!$C$10*$AC268)*$P268+$S268*$Z268*$AA268,0)</f>
        <v>0</v>
      </c>
      <c r="AF268" s="131" t="str">
        <f>IF($T268=1,IF($AA268-$AD268-Assumptions!$C$16*$AA268&gt;0,$AE268/($AA268-$AD268-Assumptions!$C$16*$AA268)*IF($J268="Monthly",1+Assumptions!$C$29,1),"n.a."),"")</f>
        <v/>
      </c>
      <c r="AG268" s="131" t="str">
        <f t="shared" si="77"/>
        <v/>
      </c>
      <c r="AH268" s="131" t="str">
        <f t="shared" si="78"/>
        <v/>
      </c>
      <c r="AI268" s="131" t="str">
        <f t="shared" si="79"/>
        <v/>
      </c>
      <c r="AJ268" s="390" t="str">
        <f t="shared" si="80"/>
        <v/>
      </c>
      <c r="AK268" s="389" t="str">
        <f t="shared" si="81"/>
        <v/>
      </c>
      <c r="AL268" s="131" t="str">
        <f t="shared" si="82"/>
        <v/>
      </c>
      <c r="AM268" s="131" t="str">
        <f t="shared" si="83"/>
        <v/>
      </c>
      <c r="AN268" s="131" t="str">
        <f t="shared" si="84"/>
        <v/>
      </c>
      <c r="AO268" s="131" t="str">
        <f t="shared" si="85"/>
        <v/>
      </c>
      <c r="AP268" s="26" t="str">
        <f t="shared" si="86"/>
        <v>40-49</v>
      </c>
      <c r="AQ268" s="26" t="str">
        <f t="shared" si="87"/>
        <v>Up to 250k</v>
      </c>
      <c r="AR268" s="26" t="str">
        <f>IF($T268=1,IF($AI268&lt;0,"Loss-making",IF($AJ268&lt;Assumptions!$C$16-0.00001,"Below target","At/above target")),"Excluded")</f>
        <v>Excluded</v>
      </c>
      <c r="AS268" s="103">
        <f t="shared" si="88"/>
        <v>9.9999999999999997E+98</v>
      </c>
      <c r="AT268" s="26"/>
      <c r="AU268" s="419">
        <f>IF(AND($T268=1,AU$5&lt;=$H268),INDEX(Mortality!$B$4:$E$64,MATCH($D268+AU$5-1,Mortality!$A$4:$A$64,0),$U268)*$V268*$N268,0)</f>
        <v>0</v>
      </c>
      <c r="AV268" s="93">
        <f>IF(AND($T268=1,AV$5&lt;=$H268),INDEX(Mortality!$B$4:$E$64,MATCH($D268+AV$5-1,Mortality!$A$4:$A$64,0),$U268)*$V268*$N268,0)</f>
        <v>0</v>
      </c>
      <c r="AW268" s="93">
        <f>IF(AND($T268=1,AW$5&lt;=$H268),INDEX(Mortality!$B$4:$E$64,MATCH($D268+AW$5-1,Mortality!$A$4:$A$64,0),$U268)*$V268*$N268,0)</f>
        <v>0</v>
      </c>
      <c r="AX268" s="93">
        <f>IF(AND($T268=1,AX$5&lt;=$H268),INDEX(Mortality!$B$4:$E$64,MATCH($D268+AX$5-1,Mortality!$A$4:$A$64,0),$U268)*$V268*$N268,0)</f>
        <v>0</v>
      </c>
      <c r="AY268" s="93">
        <f>IF(AND($T268=1,AY$5&lt;=$H268),INDEX(Mortality!$B$4:$E$64,MATCH($D268+AY$5-1,Mortality!$A$4:$A$64,0),$U268)*$V268*$N268,0)</f>
        <v>0</v>
      </c>
      <c r="AZ268" s="93">
        <f>IF(AND($T268=1,AZ$5&lt;=$H268),INDEX(Mortality!$B$4:$E$64,MATCH($D268+AZ$5-1,Mortality!$A$4:$A$64,0),$U268)*$V268*$N268,0)</f>
        <v>0</v>
      </c>
      <c r="BA268" s="93">
        <f>IF(AND($T268=1,BA$5&lt;=$H268),INDEX(Mortality!$B$4:$E$64,MATCH($D268+BA$5-1,Mortality!$A$4:$A$64,0),$U268)*$V268*$N268,0)</f>
        <v>0</v>
      </c>
      <c r="BB268" s="93">
        <f>IF(AND($T268=1,BB$5&lt;=$H268),INDEX(Mortality!$B$4:$E$64,MATCH($D268+BB$5-1,Mortality!$A$4:$A$64,0),$U268)*$V268*$N268,0)</f>
        <v>0</v>
      </c>
      <c r="BC268" s="93">
        <f>IF(AND($T268=1,BC$5&lt;=$H268),INDEX(Mortality!$B$4:$E$64,MATCH($D268+BC$5-1,Mortality!$A$4:$A$64,0),$U268)*$V268*$N268,0)</f>
        <v>0</v>
      </c>
      <c r="BD268" s="93">
        <f>IF(AND($T268=1,BD$5&lt;=$H268),INDEX(Mortality!$B$4:$E$64,MATCH($D268+BD$5-1,Mortality!$A$4:$A$64,0),$U268)*$V268*$N268,0)</f>
        <v>0</v>
      </c>
      <c r="BE268" s="93">
        <f>IF(AND($T268=1,BE$5&lt;=$H268),INDEX(Mortality!$B$4:$E$64,MATCH($D268+BE$5-1,Mortality!$A$4:$A$64,0),$U268)*$V268*$N268,0)</f>
        <v>0</v>
      </c>
      <c r="BF268" s="93">
        <f>IF(AND($T268=1,BF$5&lt;=$H268),INDEX(Mortality!$B$4:$E$64,MATCH($D268+BF$5-1,Mortality!$A$4:$A$64,0),$U268)*$V268*$N268,0)</f>
        <v>0</v>
      </c>
      <c r="BG268" s="93">
        <f>IF(AND($T268=1,BG$5&lt;=$H268),INDEX(Mortality!$B$4:$E$64,MATCH($D268+BG$5-1,Mortality!$A$4:$A$64,0),$U268)*$V268*$N268,0)</f>
        <v>0</v>
      </c>
      <c r="BH268" s="93">
        <f>IF(AND($T268=1,BH$5&lt;=$H268),INDEX(Mortality!$B$4:$E$64,MATCH($D268+BH$5-1,Mortality!$A$4:$A$64,0),$U268)*$V268*$N268,0)</f>
        <v>0</v>
      </c>
      <c r="BI268" s="93">
        <f>IF(AND($T268=1,BI$5&lt;=$H268),INDEX(Mortality!$B$4:$E$64,MATCH($D268+BI$5-1,Mortality!$A$4:$A$64,0),$U268)*$V268*$N268,0)</f>
        <v>0</v>
      </c>
      <c r="BJ268" s="93">
        <f>IF(AND($T268=1,BJ$5&lt;=$H268),INDEX(Mortality!$B$4:$E$64,MATCH($D268+BJ$5-1,Mortality!$A$4:$A$64,0),$U268)*$V268*$N268,0)</f>
        <v>0</v>
      </c>
      <c r="BK268" s="93">
        <f>IF(AND($T268=1,BK$5&lt;=$H268),INDEX(Mortality!$B$4:$E$64,MATCH($D268+BK$5-1,Mortality!$A$4:$A$64,0),$U268)*$V268*$N268,0)</f>
        <v>0</v>
      </c>
      <c r="BL268" s="93">
        <f>IF(AND($T268=1,BL$5&lt;=$H268),INDEX(Mortality!$B$4:$E$64,MATCH($D268+BL$5-1,Mortality!$A$4:$A$64,0),$U268)*$V268*$N268,0)</f>
        <v>0</v>
      </c>
      <c r="BM268" s="93">
        <f>IF(AND($T268=1,BM$5&lt;=$H268),INDEX(Mortality!$B$4:$E$64,MATCH($D268+BM$5-1,Mortality!$A$4:$A$64,0),$U268)*$V268*$N268,0)</f>
        <v>0</v>
      </c>
      <c r="BN268" s="93">
        <f>IF(AND($T268=1,BN$5&lt;=$H268),INDEX(Mortality!$B$4:$E$64,MATCH($D268+BN$5-1,Mortality!$A$4:$A$64,0),$U268)*$V268*$N268,0)</f>
        <v>0</v>
      </c>
      <c r="BO268" s="93">
        <f>IF(AND($T268=1,BO$5&lt;=$H268),INDEX(Mortality!$B$4:$E$64,MATCH($D268+BO$5-1,Mortality!$A$4:$A$64,0),$U268)*$V268*$N268,0)</f>
        <v>0</v>
      </c>
      <c r="BP268" s="93">
        <f>IF(AND($T268=1,BP$5&lt;=$H268),INDEX(Mortality!$B$4:$E$64,MATCH($D268+BP$5-1,Mortality!$A$4:$A$64,0),$U268)*$V268*$N268,0)</f>
        <v>0</v>
      </c>
      <c r="BQ268" s="93">
        <f>IF(AND($T268=1,BQ$5&lt;=$H268),INDEX(Mortality!$B$4:$E$64,MATCH($D268+BQ$5-1,Mortality!$A$4:$A$64,0),$U268)*$V268*$N268,0)</f>
        <v>0</v>
      </c>
      <c r="BR268" s="93">
        <f>IF(AND($T268=1,BR$5&lt;=$H268),INDEX(Mortality!$B$4:$E$64,MATCH($D268+BR$5-1,Mortality!$A$4:$A$64,0),$U268)*$V268*$N268,0)</f>
        <v>0</v>
      </c>
      <c r="BS268" s="93">
        <f>IF(AND($T268=1,BS$5&lt;=$H268),INDEX(Mortality!$B$4:$E$64,MATCH($D268+BS$5-1,Mortality!$A$4:$A$64,0),$U268)*$V268*$N268,0)</f>
        <v>0</v>
      </c>
      <c r="BT268" s="93">
        <f>IF(AND($T268=1,BT$5&lt;=$H268),INDEX(Mortality!$B$4:$E$64,MATCH($D268+BT$5-1,Mortality!$A$4:$A$64,0),$U268)*$V268*$N268,0)</f>
        <v>0</v>
      </c>
      <c r="BU268" s="93">
        <f>IF(AND($T268=1,BU$5&lt;=$H268),INDEX(Mortality!$B$4:$E$64,MATCH($D268+BU$5-1,Mortality!$A$4:$A$64,0),$U268)*$V268*$N268,0)</f>
        <v>0</v>
      </c>
      <c r="BV268" s="93">
        <f>IF(AND($T268=1,BV$5&lt;=$H268),INDEX(Mortality!$B$4:$E$64,MATCH($D268+BV$5-1,Mortality!$A$4:$A$64,0),$U268)*$V268*$N268,0)</f>
        <v>0</v>
      </c>
      <c r="BW268" s="93">
        <f>IF(AND($T268=1,BW$5&lt;=$H268),INDEX(Mortality!$B$4:$E$64,MATCH($D268+BW$5-1,Mortality!$A$4:$A$64,0),$U268)*$V268*$N268,0)</f>
        <v>0</v>
      </c>
      <c r="BX268" s="93">
        <f>IF(AND($T268=1,BX$5&lt;=$H268),INDEX(Mortality!$B$4:$E$64,MATCH($D268+BX$5-1,Mortality!$A$4:$A$64,0),$U268)*$V268*$N268,0)</f>
        <v>0</v>
      </c>
      <c r="BY268" s="93">
        <f>IF(AND($T268=1,BY$5&lt;=$H268),INDEX(Mortality!$B$4:$E$64,MATCH($D268+BY$5-1,Mortality!$A$4:$A$64,0),$U268)*$V268*$N268,0)</f>
        <v>0</v>
      </c>
      <c r="BZ268" s="93">
        <f>IF(AND($T268=1,BZ$5&lt;=$H268),INDEX(Mortality!$B$4:$E$64,MATCH($D268+BZ$5-1,Mortality!$A$4:$A$64,0),$U268)*$V268*$N268,0)</f>
        <v>0</v>
      </c>
      <c r="CA268" s="93">
        <f>IF(AND($T268=1,CA$5&lt;=$H268),INDEX(Mortality!$B$4:$E$64,MATCH($D268+CA$5-1,Mortality!$A$4:$A$64,0),$U268)*$V268*$N268,0)</f>
        <v>0</v>
      </c>
      <c r="CB268" s="93">
        <f>IF(AND($T268=1,CB$5&lt;=$H268),INDEX(Mortality!$B$4:$E$64,MATCH($D268+CB$5-1,Mortality!$A$4:$A$64,0),$U268)*$V268*$N268,0)</f>
        <v>0</v>
      </c>
      <c r="CC268" s="93">
        <f>IF(AND($T268=1,CC$5&lt;=$H268),INDEX(Mortality!$B$4:$E$64,MATCH($D268+CC$5-1,Mortality!$A$4:$A$64,0),$U268)*$V268*$N268,0)</f>
        <v>0</v>
      </c>
      <c r="CD268" s="93">
        <f>IF(AND($T268=1,CD$5&lt;=$H268),INDEX(Mortality!$B$4:$E$64,MATCH($D268+CD$5-1,Mortality!$A$4:$A$64,0),$U268)*$V268*$N268,0)</f>
        <v>0</v>
      </c>
      <c r="CE268" s="93">
        <f>IF(AND($T268=1,CE$5&lt;=$H268),INDEX(Mortality!$B$4:$E$64,MATCH($D268+CE$5-1,Mortality!$A$4:$A$64,0),$U268)*$V268*$N268,0)</f>
        <v>0</v>
      </c>
      <c r="CF268" s="93">
        <f>IF(AND($T268=1,CF$5&lt;=$H268),INDEX(Mortality!$B$4:$E$64,MATCH($D268+CF$5-1,Mortality!$A$4:$A$64,0),$U268)*$V268*$N268,0)</f>
        <v>0</v>
      </c>
      <c r="CG268" s="93">
        <f>IF(AND($T268=1,CG$5&lt;=$H268),INDEX(Mortality!$B$4:$E$64,MATCH($D268+CG$5-1,Mortality!$A$4:$A$64,0),$U268)*$V268*$N268,0)</f>
        <v>0</v>
      </c>
      <c r="CH268" s="94">
        <f>IF(AND($T268=1,CH$5&lt;=$H268),INDEX(Mortality!$B$4:$E$64,MATCH($D268+CH$5-1,Mortality!$A$4:$A$64,0),$U268)*$V268*$N268,0)</f>
        <v>0</v>
      </c>
      <c r="CI268" s="26"/>
      <c r="CJ268" s="419">
        <f t="shared" si="89"/>
        <v>0</v>
      </c>
      <c r="CK268" s="93">
        <f>IF(AND($T268=1,CK$5&lt;=$H268),CJ268*(1-AU268)*(1-MIN(1,MAX(Assumptions!$C$27,Assumptions!$C$13*Assumptions!$C$28^(CJ$5-1))*$O268)),0)</f>
        <v>0</v>
      </c>
      <c r="CL268" s="93">
        <f>IF(AND($T268=1,CL$5&lt;=$H268),CK268*(1-AV268)*(1-MIN(1,MAX(Assumptions!$C$27,Assumptions!$C$13*Assumptions!$C$28^(CK$5-1))*$O268)),0)</f>
        <v>0</v>
      </c>
      <c r="CM268" s="93">
        <f>IF(AND($T268=1,CM$5&lt;=$H268),CL268*(1-AW268)*(1-MIN(1,MAX(Assumptions!$C$27,Assumptions!$C$13*Assumptions!$C$28^(CL$5-1))*$O268)),0)</f>
        <v>0</v>
      </c>
      <c r="CN268" s="93">
        <f>IF(AND($T268=1,CN$5&lt;=$H268),CM268*(1-AX268)*(1-MIN(1,MAX(Assumptions!$C$27,Assumptions!$C$13*Assumptions!$C$28^(CM$5-1))*$O268)),0)</f>
        <v>0</v>
      </c>
      <c r="CO268" s="93">
        <f>IF(AND($T268=1,CO$5&lt;=$H268),CN268*(1-AY268)*(1-MIN(1,MAX(Assumptions!$C$27,Assumptions!$C$13*Assumptions!$C$28^(CN$5-1))*$O268)),0)</f>
        <v>0</v>
      </c>
      <c r="CP268" s="93">
        <f>IF(AND($T268=1,CP$5&lt;=$H268),CO268*(1-AZ268)*(1-MIN(1,MAX(Assumptions!$C$27,Assumptions!$C$13*Assumptions!$C$28^(CO$5-1))*$O268)),0)</f>
        <v>0</v>
      </c>
      <c r="CQ268" s="93">
        <f>IF(AND($T268=1,CQ$5&lt;=$H268),CP268*(1-BA268)*(1-MIN(1,MAX(Assumptions!$C$27,Assumptions!$C$13*Assumptions!$C$28^(CP$5-1))*$O268)),0)</f>
        <v>0</v>
      </c>
      <c r="CR268" s="93">
        <f>IF(AND($T268=1,CR$5&lt;=$H268),CQ268*(1-BB268)*(1-MIN(1,MAX(Assumptions!$C$27,Assumptions!$C$13*Assumptions!$C$28^(CQ$5-1))*$O268)),0)</f>
        <v>0</v>
      </c>
      <c r="CS268" s="93">
        <f>IF(AND($T268=1,CS$5&lt;=$H268),CR268*(1-BC268)*(1-MIN(1,MAX(Assumptions!$C$27,Assumptions!$C$13*Assumptions!$C$28^(CR$5-1))*$O268)),0)</f>
        <v>0</v>
      </c>
      <c r="CT268" s="93">
        <f>IF(AND($T268=1,CT$5&lt;=$H268),CS268*(1-BD268)*(1-MIN(1,MAX(Assumptions!$C$27,Assumptions!$C$13*Assumptions!$C$28^(CS$5-1))*$O268)),0)</f>
        <v>0</v>
      </c>
      <c r="CU268" s="93">
        <f>IF(AND($T268=1,CU$5&lt;=$H268),CT268*(1-BE268)*(1-MIN(1,MAX(Assumptions!$C$27,Assumptions!$C$13*Assumptions!$C$28^(CT$5-1))*$O268)),0)</f>
        <v>0</v>
      </c>
      <c r="CV268" s="93">
        <f>IF(AND($T268=1,CV$5&lt;=$H268),CU268*(1-BF268)*(1-MIN(1,MAX(Assumptions!$C$27,Assumptions!$C$13*Assumptions!$C$28^(CU$5-1))*$O268)),0)</f>
        <v>0</v>
      </c>
      <c r="CW268" s="93">
        <f>IF(AND($T268=1,CW$5&lt;=$H268),CV268*(1-BG268)*(1-MIN(1,MAX(Assumptions!$C$27,Assumptions!$C$13*Assumptions!$C$28^(CV$5-1))*$O268)),0)</f>
        <v>0</v>
      </c>
      <c r="CX268" s="93">
        <f>IF(AND($T268=1,CX$5&lt;=$H268),CW268*(1-BH268)*(1-MIN(1,MAX(Assumptions!$C$27,Assumptions!$C$13*Assumptions!$C$28^(CW$5-1))*$O268)),0)</f>
        <v>0</v>
      </c>
      <c r="CY268" s="93">
        <f>IF(AND($T268=1,CY$5&lt;=$H268),CX268*(1-BI268)*(1-MIN(1,MAX(Assumptions!$C$27,Assumptions!$C$13*Assumptions!$C$28^(CX$5-1))*$O268)),0)</f>
        <v>0</v>
      </c>
      <c r="CZ268" s="93">
        <f>IF(AND($T268=1,CZ$5&lt;=$H268),CY268*(1-BJ268)*(1-MIN(1,MAX(Assumptions!$C$27,Assumptions!$C$13*Assumptions!$C$28^(CY$5-1))*$O268)),0)</f>
        <v>0</v>
      </c>
      <c r="DA268" s="93">
        <f>IF(AND($T268=1,DA$5&lt;=$H268),CZ268*(1-BK268)*(1-MIN(1,MAX(Assumptions!$C$27,Assumptions!$C$13*Assumptions!$C$28^(CZ$5-1))*$O268)),0)</f>
        <v>0</v>
      </c>
      <c r="DB268" s="93">
        <f>IF(AND($T268=1,DB$5&lt;=$H268),DA268*(1-BL268)*(1-MIN(1,MAX(Assumptions!$C$27,Assumptions!$C$13*Assumptions!$C$28^(DA$5-1))*$O268)),0)</f>
        <v>0</v>
      </c>
      <c r="DC268" s="93">
        <f>IF(AND($T268=1,DC$5&lt;=$H268),DB268*(1-BM268)*(1-MIN(1,MAX(Assumptions!$C$27,Assumptions!$C$13*Assumptions!$C$28^(DB$5-1))*$O268)),0)</f>
        <v>0</v>
      </c>
      <c r="DD268" s="93">
        <f>IF(AND($T268=1,DD$5&lt;=$H268),DC268*(1-BN268)*(1-MIN(1,MAX(Assumptions!$C$27,Assumptions!$C$13*Assumptions!$C$28^(DC$5-1))*$O268)),0)</f>
        <v>0</v>
      </c>
      <c r="DE268" s="93">
        <f>IF(AND($T268=1,DE$5&lt;=$H268),DD268*(1-BO268)*(1-MIN(1,MAX(Assumptions!$C$27,Assumptions!$C$13*Assumptions!$C$28^(DD$5-1))*$O268)),0)</f>
        <v>0</v>
      </c>
      <c r="DF268" s="93">
        <f>IF(AND($T268=1,DF$5&lt;=$H268),DE268*(1-BP268)*(1-MIN(1,MAX(Assumptions!$C$27,Assumptions!$C$13*Assumptions!$C$28^(DE$5-1))*$O268)),0)</f>
        <v>0</v>
      </c>
      <c r="DG268" s="93">
        <f>IF(AND($T268=1,DG$5&lt;=$H268),DF268*(1-BQ268)*(1-MIN(1,MAX(Assumptions!$C$27,Assumptions!$C$13*Assumptions!$C$28^(DF$5-1))*$O268)),0)</f>
        <v>0</v>
      </c>
      <c r="DH268" s="93">
        <f>IF(AND($T268=1,DH$5&lt;=$H268),DG268*(1-BR268)*(1-MIN(1,MAX(Assumptions!$C$27,Assumptions!$C$13*Assumptions!$C$28^(DG$5-1))*$O268)),0)</f>
        <v>0</v>
      </c>
      <c r="DI268" s="93">
        <f>IF(AND($T268=1,DI$5&lt;=$H268),DH268*(1-BS268)*(1-MIN(1,MAX(Assumptions!$C$27,Assumptions!$C$13*Assumptions!$C$28^(DH$5-1))*$O268)),0)</f>
        <v>0</v>
      </c>
      <c r="DJ268" s="93">
        <f>IF(AND($T268=1,DJ$5&lt;=$H268),DI268*(1-BT268)*(1-MIN(1,MAX(Assumptions!$C$27,Assumptions!$C$13*Assumptions!$C$28^(DI$5-1))*$O268)),0)</f>
        <v>0</v>
      </c>
      <c r="DK268" s="93">
        <f>IF(AND($T268=1,DK$5&lt;=$H268),DJ268*(1-BU268)*(1-MIN(1,MAX(Assumptions!$C$27,Assumptions!$C$13*Assumptions!$C$28^(DJ$5-1))*$O268)),0)</f>
        <v>0</v>
      </c>
      <c r="DL268" s="93">
        <f>IF(AND($T268=1,DL$5&lt;=$H268),DK268*(1-BV268)*(1-MIN(1,MAX(Assumptions!$C$27,Assumptions!$C$13*Assumptions!$C$28^(DK$5-1))*$O268)),0)</f>
        <v>0</v>
      </c>
      <c r="DM268" s="93">
        <f>IF(AND($T268=1,DM$5&lt;=$H268),DL268*(1-BW268)*(1-MIN(1,MAX(Assumptions!$C$27,Assumptions!$C$13*Assumptions!$C$28^(DL$5-1))*$O268)),0)</f>
        <v>0</v>
      </c>
      <c r="DN268" s="93">
        <f>IF(AND($T268=1,DN$5&lt;=$H268),DM268*(1-BX268)*(1-MIN(1,MAX(Assumptions!$C$27,Assumptions!$C$13*Assumptions!$C$28^(DM$5-1))*$O268)),0)</f>
        <v>0</v>
      </c>
      <c r="DO268" s="93">
        <f>IF(AND($T268=1,DO$5&lt;=$H268),DN268*(1-BY268)*(1-MIN(1,MAX(Assumptions!$C$27,Assumptions!$C$13*Assumptions!$C$28^(DN$5-1))*$O268)),0)</f>
        <v>0</v>
      </c>
      <c r="DP268" s="93">
        <f>IF(AND($T268=1,DP$5&lt;=$H268),DO268*(1-BZ268)*(1-MIN(1,MAX(Assumptions!$C$27,Assumptions!$C$13*Assumptions!$C$28^(DO$5-1))*$O268)),0)</f>
        <v>0</v>
      </c>
      <c r="DQ268" s="93">
        <f>IF(AND($T268=1,DQ$5&lt;=$H268),DP268*(1-CA268)*(1-MIN(1,MAX(Assumptions!$C$27,Assumptions!$C$13*Assumptions!$C$28^(DP$5-1))*$O268)),0)</f>
        <v>0</v>
      </c>
      <c r="DR268" s="93">
        <f>IF(AND($T268=1,DR$5&lt;=$H268),DQ268*(1-CB268)*(1-MIN(1,MAX(Assumptions!$C$27,Assumptions!$C$13*Assumptions!$C$28^(DQ$5-1))*$O268)),0)</f>
        <v>0</v>
      </c>
      <c r="DS268" s="93">
        <f>IF(AND($T268=1,DS$5&lt;=$H268),DR268*(1-CC268)*(1-MIN(1,MAX(Assumptions!$C$27,Assumptions!$C$13*Assumptions!$C$28^(DR$5-1))*$O268)),0)</f>
        <v>0</v>
      </c>
      <c r="DT268" s="93">
        <f>IF(AND($T268=1,DT$5&lt;=$H268),DS268*(1-CD268)*(1-MIN(1,MAX(Assumptions!$C$27,Assumptions!$C$13*Assumptions!$C$28^(DS$5-1))*$O268)),0)</f>
        <v>0</v>
      </c>
      <c r="DU268" s="93">
        <f>IF(AND($T268=1,DU$5&lt;=$H268),DT268*(1-CE268)*(1-MIN(1,MAX(Assumptions!$C$27,Assumptions!$C$13*Assumptions!$C$28^(DT$5-1))*$O268)),0)</f>
        <v>0</v>
      </c>
      <c r="DV268" s="93">
        <f>IF(AND($T268=1,DV$5&lt;=$H268),DU268*(1-CF268)*(1-MIN(1,MAX(Assumptions!$C$27,Assumptions!$C$13*Assumptions!$C$28^(DU$5-1))*$O268)),0)</f>
        <v>0</v>
      </c>
      <c r="DW268" s="94">
        <f>IF(AND($T268=1,DW$5&lt;=$H268),DV268*(1-CG268)*(1-MIN(1,MAX(Assumptions!$C$27,Assumptions!$C$13*Assumptions!$C$28^(DV$5-1))*$O268)),0)</f>
        <v>0</v>
      </c>
      <c r="DX268" s="26"/>
      <c r="DY268" s="399">
        <f>'Policy Data'!K242</f>
        <v>1</v>
      </c>
      <c r="DZ268" s="100">
        <f>'Policy Data'!L242</f>
        <v>0.65559999999999996</v>
      </c>
      <c r="EA268" s="100">
        <f>'Policy Data'!N242</f>
        <v>1.7160000000000001E-3</v>
      </c>
      <c r="EB268" s="93" cm="1">
        <f t="array" ref="EB268">IFERROR(DZ268*INDEX(Mortality!$B$4:$E$64,MATCH(D268+DY268-1,Mortality!$A$4:$A$64,0),U268)*V268,0)</f>
        <v>1.7157067621878126E-3</v>
      </c>
      <c r="EC268" s="100">
        <f>'Policy Data'!O242</f>
        <v>0</v>
      </c>
      <c r="ED268" s="400">
        <f>'Policy Data'!Q242</f>
        <v>0</v>
      </c>
    </row>
    <row r="269" spans="1:134" x14ac:dyDescent="0.3">
      <c r="A269" s="399" t="str">
        <f>'Policy Data'!A243</f>
        <v>POL100239</v>
      </c>
      <c r="B269" s="26" t="s">
        <v>426</v>
      </c>
      <c r="C269" s="100" t="str">
        <f>'Policy Data'!B243</f>
        <v>Unit-Linked</v>
      </c>
      <c r="D269" s="100">
        <f>'Policy Data'!C243</f>
        <v>64</v>
      </c>
      <c r="E269" s="100" t="str">
        <f>'Policy Data'!D243</f>
        <v>Female</v>
      </c>
      <c r="F269" s="100" t="str">
        <f>'Policy Data'!E243</f>
        <v>Non-smoker</v>
      </c>
      <c r="G269" s="100" t="str">
        <f>'Policy Data'!F243</f>
        <v>Standard</v>
      </c>
      <c r="H269" s="100">
        <f>'Policy Data'!G243</f>
        <v>15</v>
      </c>
      <c r="I269" s="279">
        <f>'Policy Data'!H243</f>
        <v>500000</v>
      </c>
      <c r="J269" s="100" t="str">
        <f>'Policy Data'!I243</f>
        <v>Monthly</v>
      </c>
      <c r="K269" s="100" t="str">
        <f>'Policy Data'!J243</f>
        <v>Bancassurance</v>
      </c>
      <c r="L269" s="26" t="s">
        <v>389</v>
      </c>
      <c r="M269" s="106">
        <f>'Policy Data'!R243</f>
        <v>12433.45</v>
      </c>
      <c r="N269" s="415">
        <f>Assumptions!$C$21</f>
        <v>1</v>
      </c>
      <c r="O269" s="415">
        <f>Assumptions!$C$22</f>
        <v>1</v>
      </c>
      <c r="P269" s="415">
        <f>Assumptions!$C$23</f>
        <v>1</v>
      </c>
      <c r="Q269" s="416">
        <f>Assumptions!$C$24</f>
        <v>0</v>
      </c>
      <c r="R269" s="416">
        <f>Assumptions!$C$6+Assumptions!$C$25</f>
        <v>3.5000000000000003E-2</v>
      </c>
      <c r="S269" s="416">
        <f>Assumptions!$C$15</f>
        <v>1.1000000000000001E-3</v>
      </c>
      <c r="T269" s="26">
        <f t="shared" si="72"/>
        <v>0</v>
      </c>
      <c r="U269" s="26">
        <f t="shared" si="73"/>
        <v>1</v>
      </c>
      <c r="V269" s="389">
        <f>IF($G269="Preferred",Assumptions!$C$30,IF($G269="Rated",Assumptions!$C$31,1))</f>
        <v>1</v>
      </c>
      <c r="W269" s="390">
        <f>IF($K269="Direct",Assumptions!$C$32,IF($K269="Broker",Assumptions!$C$33,IF($K269="Bancassurance",Assumptions!$C$34,Assumptions!$C$11)))+$Q269</f>
        <v>0.2</v>
      </c>
      <c r="X269" s="390">
        <f>Assumptions!$C$12+$Q269</f>
        <v>0.05</v>
      </c>
      <c r="Y269" s="131">
        <f>MIN($I269,Assumptions!$C$14)</f>
        <v>500000</v>
      </c>
      <c r="Z269" s="131">
        <f>MAX($I269-Assumptions!$C$14,0)</f>
        <v>0</v>
      </c>
      <c r="AA269" s="389">
        <f t="shared" si="74"/>
        <v>0</v>
      </c>
      <c r="AB269" s="389">
        <f t="shared" si="75"/>
        <v>0</v>
      </c>
      <c r="AC269" s="389">
        <f>IF($T269=1,SUMPRODUCT($CJ269:$DW269,(1+Assumptions!$C$5)^($CJ$5:$DW$5-1),(1+$R269)^(-$CJ$5:$DW$5)),0)</f>
        <v>0</v>
      </c>
      <c r="AD269" s="389">
        <f t="shared" si="76"/>
        <v>0</v>
      </c>
      <c r="AE269" s="131">
        <f>IF($T269=1,$AB269*$Y269+(Assumptions!$C$9/(1+$R269)+Assumptions!$C$10*$AC269)*$P269+$S269*$Z269*$AA269,0)</f>
        <v>0</v>
      </c>
      <c r="AF269" s="131" t="str">
        <f>IF($T269=1,IF($AA269-$AD269-Assumptions!$C$16*$AA269&gt;0,$AE269/($AA269-$AD269-Assumptions!$C$16*$AA269)*IF($J269="Monthly",1+Assumptions!$C$29,1),"n.a."),"")</f>
        <v/>
      </c>
      <c r="AG269" s="131" t="str">
        <f t="shared" si="77"/>
        <v/>
      </c>
      <c r="AH269" s="131" t="str">
        <f t="shared" si="78"/>
        <v/>
      </c>
      <c r="AI269" s="131" t="str">
        <f t="shared" si="79"/>
        <v/>
      </c>
      <c r="AJ269" s="390" t="str">
        <f t="shared" si="80"/>
        <v/>
      </c>
      <c r="AK269" s="389" t="str">
        <f t="shared" si="81"/>
        <v/>
      </c>
      <c r="AL269" s="131" t="str">
        <f t="shared" si="82"/>
        <v/>
      </c>
      <c r="AM269" s="131" t="str">
        <f t="shared" si="83"/>
        <v/>
      </c>
      <c r="AN269" s="131" t="str">
        <f t="shared" si="84"/>
        <v/>
      </c>
      <c r="AO269" s="131" t="str">
        <f t="shared" si="85"/>
        <v/>
      </c>
      <c r="AP269" s="26" t="str">
        <f t="shared" si="86"/>
        <v>60+</v>
      </c>
      <c r="AQ269" s="26" t="str">
        <f t="shared" si="87"/>
        <v>250k-500k</v>
      </c>
      <c r="AR269" s="26" t="str">
        <f>IF($T269=1,IF($AI269&lt;0,"Loss-making",IF($AJ269&lt;Assumptions!$C$16-0.00001,"Below target","At/above target")),"Excluded")</f>
        <v>Excluded</v>
      </c>
      <c r="AS269" s="103">
        <f t="shared" si="88"/>
        <v>9.9999999999999997E+98</v>
      </c>
      <c r="AT269" s="26"/>
      <c r="AU269" s="419">
        <f>IF(AND($T269=1,AU$5&lt;=$H269),INDEX(Mortality!$B$4:$E$64,MATCH($D269+AU$5-1,Mortality!$A$4:$A$64,0),$U269)*$V269*$N269,0)</f>
        <v>0</v>
      </c>
      <c r="AV269" s="93">
        <f>IF(AND($T269=1,AV$5&lt;=$H269),INDEX(Mortality!$B$4:$E$64,MATCH($D269+AV$5-1,Mortality!$A$4:$A$64,0),$U269)*$V269*$N269,0)</f>
        <v>0</v>
      </c>
      <c r="AW269" s="93">
        <f>IF(AND($T269=1,AW$5&lt;=$H269),INDEX(Mortality!$B$4:$E$64,MATCH($D269+AW$5-1,Mortality!$A$4:$A$64,0),$U269)*$V269*$N269,0)</f>
        <v>0</v>
      </c>
      <c r="AX269" s="93">
        <f>IF(AND($T269=1,AX$5&lt;=$H269),INDEX(Mortality!$B$4:$E$64,MATCH($D269+AX$5-1,Mortality!$A$4:$A$64,0),$U269)*$V269*$N269,0)</f>
        <v>0</v>
      </c>
      <c r="AY269" s="93">
        <f>IF(AND($T269=1,AY$5&lt;=$H269),INDEX(Mortality!$B$4:$E$64,MATCH($D269+AY$5-1,Mortality!$A$4:$A$64,0),$U269)*$V269*$N269,0)</f>
        <v>0</v>
      </c>
      <c r="AZ269" s="93">
        <f>IF(AND($T269=1,AZ$5&lt;=$H269),INDEX(Mortality!$B$4:$E$64,MATCH($D269+AZ$5-1,Mortality!$A$4:$A$64,0),$U269)*$V269*$N269,0)</f>
        <v>0</v>
      </c>
      <c r="BA269" s="93">
        <f>IF(AND($T269=1,BA$5&lt;=$H269),INDEX(Mortality!$B$4:$E$64,MATCH($D269+BA$5-1,Mortality!$A$4:$A$64,0),$U269)*$V269*$N269,0)</f>
        <v>0</v>
      </c>
      <c r="BB269" s="93">
        <f>IF(AND($T269=1,BB$5&lt;=$H269),INDEX(Mortality!$B$4:$E$64,MATCH($D269+BB$5-1,Mortality!$A$4:$A$64,0),$U269)*$V269*$N269,0)</f>
        <v>0</v>
      </c>
      <c r="BC269" s="93">
        <f>IF(AND($T269=1,BC$5&lt;=$H269),INDEX(Mortality!$B$4:$E$64,MATCH($D269+BC$5-1,Mortality!$A$4:$A$64,0),$U269)*$V269*$N269,0)</f>
        <v>0</v>
      </c>
      <c r="BD269" s="93">
        <f>IF(AND($T269=1,BD$5&lt;=$H269),INDEX(Mortality!$B$4:$E$64,MATCH($D269+BD$5-1,Mortality!$A$4:$A$64,0),$U269)*$V269*$N269,0)</f>
        <v>0</v>
      </c>
      <c r="BE269" s="93">
        <f>IF(AND($T269=1,BE$5&lt;=$H269),INDEX(Mortality!$B$4:$E$64,MATCH($D269+BE$5-1,Mortality!$A$4:$A$64,0),$U269)*$V269*$N269,0)</f>
        <v>0</v>
      </c>
      <c r="BF269" s="93">
        <f>IF(AND($T269=1,BF$5&lt;=$H269),INDEX(Mortality!$B$4:$E$64,MATCH($D269+BF$5-1,Mortality!$A$4:$A$64,0),$U269)*$V269*$N269,0)</f>
        <v>0</v>
      </c>
      <c r="BG269" s="93">
        <f>IF(AND($T269=1,BG$5&lt;=$H269),INDEX(Mortality!$B$4:$E$64,MATCH($D269+BG$5-1,Mortality!$A$4:$A$64,0),$U269)*$V269*$N269,0)</f>
        <v>0</v>
      </c>
      <c r="BH269" s="93">
        <f>IF(AND($T269=1,BH$5&lt;=$H269),INDEX(Mortality!$B$4:$E$64,MATCH($D269+BH$5-1,Mortality!$A$4:$A$64,0),$U269)*$V269*$N269,0)</f>
        <v>0</v>
      </c>
      <c r="BI269" s="93">
        <f>IF(AND($T269=1,BI$5&lt;=$H269),INDEX(Mortality!$B$4:$E$64,MATCH($D269+BI$5-1,Mortality!$A$4:$A$64,0),$U269)*$V269*$N269,0)</f>
        <v>0</v>
      </c>
      <c r="BJ269" s="93">
        <f>IF(AND($T269=1,BJ$5&lt;=$H269),INDEX(Mortality!$B$4:$E$64,MATCH($D269+BJ$5-1,Mortality!$A$4:$A$64,0),$U269)*$V269*$N269,0)</f>
        <v>0</v>
      </c>
      <c r="BK269" s="93">
        <f>IF(AND($T269=1,BK$5&lt;=$H269),INDEX(Mortality!$B$4:$E$64,MATCH($D269+BK$5-1,Mortality!$A$4:$A$64,0),$U269)*$V269*$N269,0)</f>
        <v>0</v>
      </c>
      <c r="BL269" s="93">
        <f>IF(AND($T269=1,BL$5&lt;=$H269),INDEX(Mortality!$B$4:$E$64,MATCH($D269+BL$5-1,Mortality!$A$4:$A$64,0),$U269)*$V269*$N269,0)</f>
        <v>0</v>
      </c>
      <c r="BM269" s="93">
        <f>IF(AND($T269=1,BM$5&lt;=$H269),INDEX(Mortality!$B$4:$E$64,MATCH($D269+BM$5-1,Mortality!$A$4:$A$64,0),$U269)*$V269*$N269,0)</f>
        <v>0</v>
      </c>
      <c r="BN269" s="93">
        <f>IF(AND($T269=1,BN$5&lt;=$H269),INDEX(Mortality!$B$4:$E$64,MATCH($D269+BN$5-1,Mortality!$A$4:$A$64,0),$U269)*$V269*$N269,0)</f>
        <v>0</v>
      </c>
      <c r="BO269" s="93">
        <f>IF(AND($T269=1,BO$5&lt;=$H269),INDEX(Mortality!$B$4:$E$64,MATCH($D269+BO$5-1,Mortality!$A$4:$A$64,0),$U269)*$V269*$N269,0)</f>
        <v>0</v>
      </c>
      <c r="BP269" s="93">
        <f>IF(AND($T269=1,BP$5&lt;=$H269),INDEX(Mortality!$B$4:$E$64,MATCH($D269+BP$5-1,Mortality!$A$4:$A$64,0),$U269)*$V269*$N269,0)</f>
        <v>0</v>
      </c>
      <c r="BQ269" s="93">
        <f>IF(AND($T269=1,BQ$5&lt;=$H269),INDEX(Mortality!$B$4:$E$64,MATCH($D269+BQ$5-1,Mortality!$A$4:$A$64,0),$U269)*$V269*$N269,0)</f>
        <v>0</v>
      </c>
      <c r="BR269" s="93">
        <f>IF(AND($T269=1,BR$5&lt;=$H269),INDEX(Mortality!$B$4:$E$64,MATCH($D269+BR$5-1,Mortality!$A$4:$A$64,0),$U269)*$V269*$N269,0)</f>
        <v>0</v>
      </c>
      <c r="BS269" s="93">
        <f>IF(AND($T269=1,BS$5&lt;=$H269),INDEX(Mortality!$B$4:$E$64,MATCH($D269+BS$5-1,Mortality!$A$4:$A$64,0),$U269)*$V269*$N269,0)</f>
        <v>0</v>
      </c>
      <c r="BT269" s="93">
        <f>IF(AND($T269=1,BT$5&lt;=$H269),INDEX(Mortality!$B$4:$E$64,MATCH($D269+BT$5-1,Mortality!$A$4:$A$64,0),$U269)*$V269*$N269,0)</f>
        <v>0</v>
      </c>
      <c r="BU269" s="93">
        <f>IF(AND($T269=1,BU$5&lt;=$H269),INDEX(Mortality!$B$4:$E$64,MATCH($D269+BU$5-1,Mortality!$A$4:$A$64,0),$U269)*$V269*$N269,0)</f>
        <v>0</v>
      </c>
      <c r="BV269" s="93">
        <f>IF(AND($T269=1,BV$5&lt;=$H269),INDEX(Mortality!$B$4:$E$64,MATCH($D269+BV$5-1,Mortality!$A$4:$A$64,0),$U269)*$V269*$N269,0)</f>
        <v>0</v>
      </c>
      <c r="BW269" s="93">
        <f>IF(AND($T269=1,BW$5&lt;=$H269),INDEX(Mortality!$B$4:$E$64,MATCH($D269+BW$5-1,Mortality!$A$4:$A$64,0),$U269)*$V269*$N269,0)</f>
        <v>0</v>
      </c>
      <c r="BX269" s="93">
        <f>IF(AND($T269=1,BX$5&lt;=$H269),INDEX(Mortality!$B$4:$E$64,MATCH($D269+BX$5-1,Mortality!$A$4:$A$64,0),$U269)*$V269*$N269,0)</f>
        <v>0</v>
      </c>
      <c r="BY269" s="93">
        <f>IF(AND($T269=1,BY$5&lt;=$H269),INDEX(Mortality!$B$4:$E$64,MATCH($D269+BY$5-1,Mortality!$A$4:$A$64,0),$U269)*$V269*$N269,0)</f>
        <v>0</v>
      </c>
      <c r="BZ269" s="93">
        <f>IF(AND($T269=1,BZ$5&lt;=$H269),INDEX(Mortality!$B$4:$E$64,MATCH($D269+BZ$5-1,Mortality!$A$4:$A$64,0),$U269)*$V269*$N269,0)</f>
        <v>0</v>
      </c>
      <c r="CA269" s="93">
        <f>IF(AND($T269=1,CA$5&lt;=$H269),INDEX(Mortality!$B$4:$E$64,MATCH($D269+CA$5-1,Mortality!$A$4:$A$64,0),$U269)*$V269*$N269,0)</f>
        <v>0</v>
      </c>
      <c r="CB269" s="93">
        <f>IF(AND($T269=1,CB$5&lt;=$H269),INDEX(Mortality!$B$4:$E$64,MATCH($D269+CB$5-1,Mortality!$A$4:$A$64,0),$U269)*$V269*$N269,0)</f>
        <v>0</v>
      </c>
      <c r="CC269" s="93">
        <f>IF(AND($T269=1,CC$5&lt;=$H269),INDEX(Mortality!$B$4:$E$64,MATCH($D269+CC$5-1,Mortality!$A$4:$A$64,0),$U269)*$V269*$N269,0)</f>
        <v>0</v>
      </c>
      <c r="CD269" s="93">
        <f>IF(AND($T269=1,CD$5&lt;=$H269),INDEX(Mortality!$B$4:$E$64,MATCH($D269+CD$5-1,Mortality!$A$4:$A$64,0),$U269)*$V269*$N269,0)</f>
        <v>0</v>
      </c>
      <c r="CE269" s="93">
        <f>IF(AND($T269=1,CE$5&lt;=$H269),INDEX(Mortality!$B$4:$E$64,MATCH($D269+CE$5-1,Mortality!$A$4:$A$64,0),$U269)*$V269*$N269,0)</f>
        <v>0</v>
      </c>
      <c r="CF269" s="93">
        <f>IF(AND($T269=1,CF$5&lt;=$H269),INDEX(Mortality!$B$4:$E$64,MATCH($D269+CF$5-1,Mortality!$A$4:$A$64,0),$U269)*$V269*$N269,0)</f>
        <v>0</v>
      </c>
      <c r="CG269" s="93">
        <f>IF(AND($T269=1,CG$5&lt;=$H269),INDEX(Mortality!$B$4:$E$64,MATCH($D269+CG$5-1,Mortality!$A$4:$A$64,0),$U269)*$V269*$N269,0)</f>
        <v>0</v>
      </c>
      <c r="CH269" s="94">
        <f>IF(AND($T269=1,CH$5&lt;=$H269),INDEX(Mortality!$B$4:$E$64,MATCH($D269+CH$5-1,Mortality!$A$4:$A$64,0),$U269)*$V269*$N269,0)</f>
        <v>0</v>
      </c>
      <c r="CI269" s="26"/>
      <c r="CJ269" s="419">
        <f t="shared" si="89"/>
        <v>0</v>
      </c>
      <c r="CK269" s="93">
        <f>IF(AND($T269=1,CK$5&lt;=$H269),CJ269*(1-AU269)*(1-MIN(1,MAX(Assumptions!$C$27,Assumptions!$C$13*Assumptions!$C$28^(CJ$5-1))*$O269)),0)</f>
        <v>0</v>
      </c>
      <c r="CL269" s="93">
        <f>IF(AND($T269=1,CL$5&lt;=$H269),CK269*(1-AV269)*(1-MIN(1,MAX(Assumptions!$C$27,Assumptions!$C$13*Assumptions!$C$28^(CK$5-1))*$O269)),0)</f>
        <v>0</v>
      </c>
      <c r="CM269" s="93">
        <f>IF(AND($T269=1,CM$5&lt;=$H269),CL269*(1-AW269)*(1-MIN(1,MAX(Assumptions!$C$27,Assumptions!$C$13*Assumptions!$C$28^(CL$5-1))*$O269)),0)</f>
        <v>0</v>
      </c>
      <c r="CN269" s="93">
        <f>IF(AND($T269=1,CN$5&lt;=$H269),CM269*(1-AX269)*(1-MIN(1,MAX(Assumptions!$C$27,Assumptions!$C$13*Assumptions!$C$28^(CM$5-1))*$O269)),0)</f>
        <v>0</v>
      </c>
      <c r="CO269" s="93">
        <f>IF(AND($T269=1,CO$5&lt;=$H269),CN269*(1-AY269)*(1-MIN(1,MAX(Assumptions!$C$27,Assumptions!$C$13*Assumptions!$C$28^(CN$5-1))*$O269)),0)</f>
        <v>0</v>
      </c>
      <c r="CP269" s="93">
        <f>IF(AND($T269=1,CP$5&lt;=$H269),CO269*(1-AZ269)*(1-MIN(1,MAX(Assumptions!$C$27,Assumptions!$C$13*Assumptions!$C$28^(CO$5-1))*$O269)),0)</f>
        <v>0</v>
      </c>
      <c r="CQ269" s="93">
        <f>IF(AND($T269=1,CQ$5&lt;=$H269),CP269*(1-BA269)*(1-MIN(1,MAX(Assumptions!$C$27,Assumptions!$C$13*Assumptions!$C$28^(CP$5-1))*$O269)),0)</f>
        <v>0</v>
      </c>
      <c r="CR269" s="93">
        <f>IF(AND($T269=1,CR$5&lt;=$H269),CQ269*(1-BB269)*(1-MIN(1,MAX(Assumptions!$C$27,Assumptions!$C$13*Assumptions!$C$28^(CQ$5-1))*$O269)),0)</f>
        <v>0</v>
      </c>
      <c r="CS269" s="93">
        <f>IF(AND($T269=1,CS$5&lt;=$H269),CR269*(1-BC269)*(1-MIN(1,MAX(Assumptions!$C$27,Assumptions!$C$13*Assumptions!$C$28^(CR$5-1))*$O269)),0)</f>
        <v>0</v>
      </c>
      <c r="CT269" s="93">
        <f>IF(AND($T269=1,CT$5&lt;=$H269),CS269*(1-BD269)*(1-MIN(1,MAX(Assumptions!$C$27,Assumptions!$C$13*Assumptions!$C$28^(CS$5-1))*$O269)),0)</f>
        <v>0</v>
      </c>
      <c r="CU269" s="93">
        <f>IF(AND($T269=1,CU$5&lt;=$H269),CT269*(1-BE269)*(1-MIN(1,MAX(Assumptions!$C$27,Assumptions!$C$13*Assumptions!$C$28^(CT$5-1))*$O269)),0)</f>
        <v>0</v>
      </c>
      <c r="CV269" s="93">
        <f>IF(AND($T269=1,CV$5&lt;=$H269),CU269*(1-BF269)*(1-MIN(1,MAX(Assumptions!$C$27,Assumptions!$C$13*Assumptions!$C$28^(CU$5-1))*$O269)),0)</f>
        <v>0</v>
      </c>
      <c r="CW269" s="93">
        <f>IF(AND($T269=1,CW$5&lt;=$H269),CV269*(1-BG269)*(1-MIN(1,MAX(Assumptions!$C$27,Assumptions!$C$13*Assumptions!$C$28^(CV$5-1))*$O269)),0)</f>
        <v>0</v>
      </c>
      <c r="CX269" s="93">
        <f>IF(AND($T269=1,CX$5&lt;=$H269),CW269*(1-BH269)*(1-MIN(1,MAX(Assumptions!$C$27,Assumptions!$C$13*Assumptions!$C$28^(CW$5-1))*$O269)),0)</f>
        <v>0</v>
      </c>
      <c r="CY269" s="93">
        <f>IF(AND($T269=1,CY$5&lt;=$H269),CX269*(1-BI269)*(1-MIN(1,MAX(Assumptions!$C$27,Assumptions!$C$13*Assumptions!$C$28^(CX$5-1))*$O269)),0)</f>
        <v>0</v>
      </c>
      <c r="CZ269" s="93">
        <f>IF(AND($T269=1,CZ$5&lt;=$H269),CY269*(1-BJ269)*(1-MIN(1,MAX(Assumptions!$C$27,Assumptions!$C$13*Assumptions!$C$28^(CY$5-1))*$O269)),0)</f>
        <v>0</v>
      </c>
      <c r="DA269" s="93">
        <f>IF(AND($T269=1,DA$5&lt;=$H269),CZ269*(1-BK269)*(1-MIN(1,MAX(Assumptions!$C$27,Assumptions!$C$13*Assumptions!$C$28^(CZ$5-1))*$O269)),0)</f>
        <v>0</v>
      </c>
      <c r="DB269" s="93">
        <f>IF(AND($T269=1,DB$5&lt;=$H269),DA269*(1-BL269)*(1-MIN(1,MAX(Assumptions!$C$27,Assumptions!$C$13*Assumptions!$C$28^(DA$5-1))*$O269)),0)</f>
        <v>0</v>
      </c>
      <c r="DC269" s="93">
        <f>IF(AND($T269=1,DC$5&lt;=$H269),DB269*(1-BM269)*(1-MIN(1,MAX(Assumptions!$C$27,Assumptions!$C$13*Assumptions!$C$28^(DB$5-1))*$O269)),0)</f>
        <v>0</v>
      </c>
      <c r="DD269" s="93">
        <f>IF(AND($T269=1,DD$5&lt;=$H269),DC269*(1-BN269)*(1-MIN(1,MAX(Assumptions!$C$27,Assumptions!$C$13*Assumptions!$C$28^(DC$5-1))*$O269)),0)</f>
        <v>0</v>
      </c>
      <c r="DE269" s="93">
        <f>IF(AND($T269=1,DE$5&lt;=$H269),DD269*(1-BO269)*(1-MIN(1,MAX(Assumptions!$C$27,Assumptions!$C$13*Assumptions!$C$28^(DD$5-1))*$O269)),0)</f>
        <v>0</v>
      </c>
      <c r="DF269" s="93">
        <f>IF(AND($T269=1,DF$5&lt;=$H269),DE269*(1-BP269)*(1-MIN(1,MAX(Assumptions!$C$27,Assumptions!$C$13*Assumptions!$C$28^(DE$5-1))*$O269)),0)</f>
        <v>0</v>
      </c>
      <c r="DG269" s="93">
        <f>IF(AND($T269=1,DG$5&lt;=$H269),DF269*(1-BQ269)*(1-MIN(1,MAX(Assumptions!$C$27,Assumptions!$C$13*Assumptions!$C$28^(DF$5-1))*$O269)),0)</f>
        <v>0</v>
      </c>
      <c r="DH269" s="93">
        <f>IF(AND($T269=1,DH$5&lt;=$H269),DG269*(1-BR269)*(1-MIN(1,MAX(Assumptions!$C$27,Assumptions!$C$13*Assumptions!$C$28^(DG$5-1))*$O269)),0)</f>
        <v>0</v>
      </c>
      <c r="DI269" s="93">
        <f>IF(AND($T269=1,DI$5&lt;=$H269),DH269*(1-BS269)*(1-MIN(1,MAX(Assumptions!$C$27,Assumptions!$C$13*Assumptions!$C$28^(DH$5-1))*$O269)),0)</f>
        <v>0</v>
      </c>
      <c r="DJ269" s="93">
        <f>IF(AND($T269=1,DJ$5&lt;=$H269),DI269*(1-BT269)*(1-MIN(1,MAX(Assumptions!$C$27,Assumptions!$C$13*Assumptions!$C$28^(DI$5-1))*$O269)),0)</f>
        <v>0</v>
      </c>
      <c r="DK269" s="93">
        <f>IF(AND($T269=1,DK$5&lt;=$H269),DJ269*(1-BU269)*(1-MIN(1,MAX(Assumptions!$C$27,Assumptions!$C$13*Assumptions!$C$28^(DJ$5-1))*$O269)),0)</f>
        <v>0</v>
      </c>
      <c r="DL269" s="93">
        <f>IF(AND($T269=1,DL$5&lt;=$H269),DK269*(1-BV269)*(1-MIN(1,MAX(Assumptions!$C$27,Assumptions!$C$13*Assumptions!$C$28^(DK$5-1))*$O269)),0)</f>
        <v>0</v>
      </c>
      <c r="DM269" s="93">
        <f>IF(AND($T269=1,DM$5&lt;=$H269),DL269*(1-BW269)*(1-MIN(1,MAX(Assumptions!$C$27,Assumptions!$C$13*Assumptions!$C$28^(DL$5-1))*$O269)),0)</f>
        <v>0</v>
      </c>
      <c r="DN269" s="93">
        <f>IF(AND($T269=1,DN$5&lt;=$H269),DM269*(1-BX269)*(1-MIN(1,MAX(Assumptions!$C$27,Assumptions!$C$13*Assumptions!$C$28^(DM$5-1))*$O269)),0)</f>
        <v>0</v>
      </c>
      <c r="DO269" s="93">
        <f>IF(AND($T269=1,DO$5&lt;=$H269),DN269*(1-BY269)*(1-MIN(1,MAX(Assumptions!$C$27,Assumptions!$C$13*Assumptions!$C$28^(DN$5-1))*$O269)),0)</f>
        <v>0</v>
      </c>
      <c r="DP269" s="93">
        <f>IF(AND($T269=1,DP$5&lt;=$H269),DO269*(1-BZ269)*(1-MIN(1,MAX(Assumptions!$C$27,Assumptions!$C$13*Assumptions!$C$28^(DO$5-1))*$O269)),0)</f>
        <v>0</v>
      </c>
      <c r="DQ269" s="93">
        <f>IF(AND($T269=1,DQ$5&lt;=$H269),DP269*(1-CA269)*(1-MIN(1,MAX(Assumptions!$C$27,Assumptions!$C$13*Assumptions!$C$28^(DP$5-1))*$O269)),0)</f>
        <v>0</v>
      </c>
      <c r="DR269" s="93">
        <f>IF(AND($T269=1,DR$5&lt;=$H269),DQ269*(1-CB269)*(1-MIN(1,MAX(Assumptions!$C$27,Assumptions!$C$13*Assumptions!$C$28^(DQ$5-1))*$O269)),0)</f>
        <v>0</v>
      </c>
      <c r="DS269" s="93">
        <f>IF(AND($T269=1,DS$5&lt;=$H269),DR269*(1-CC269)*(1-MIN(1,MAX(Assumptions!$C$27,Assumptions!$C$13*Assumptions!$C$28^(DR$5-1))*$O269)),0)</f>
        <v>0</v>
      </c>
      <c r="DT269" s="93">
        <f>IF(AND($T269=1,DT$5&lt;=$H269),DS269*(1-CD269)*(1-MIN(1,MAX(Assumptions!$C$27,Assumptions!$C$13*Assumptions!$C$28^(DS$5-1))*$O269)),0)</f>
        <v>0</v>
      </c>
      <c r="DU269" s="93">
        <f>IF(AND($T269=1,DU$5&lt;=$H269),DT269*(1-CE269)*(1-MIN(1,MAX(Assumptions!$C$27,Assumptions!$C$13*Assumptions!$C$28^(DT$5-1))*$O269)),0)</f>
        <v>0</v>
      </c>
      <c r="DV269" s="93">
        <f>IF(AND($T269=1,DV$5&lt;=$H269),DU269*(1-CF269)*(1-MIN(1,MAX(Assumptions!$C$27,Assumptions!$C$13*Assumptions!$C$28^(DU$5-1))*$O269)),0)</f>
        <v>0</v>
      </c>
      <c r="DW269" s="94">
        <f>IF(AND($T269=1,DW$5&lt;=$H269),DV269*(1-CG269)*(1-MIN(1,MAX(Assumptions!$C$27,Assumptions!$C$13*Assumptions!$C$28^(DV$5-1))*$O269)),0)</f>
        <v>0</v>
      </c>
      <c r="DX269" s="26"/>
      <c r="DY269" s="399">
        <f>'Policy Data'!K243</f>
        <v>4</v>
      </c>
      <c r="DZ269" s="100">
        <f>'Policy Data'!L243</f>
        <v>0.68200000000000005</v>
      </c>
      <c r="EA269" s="100">
        <f>'Policy Data'!N243</f>
        <v>3.96E-3</v>
      </c>
      <c r="EB269" s="93" cm="1">
        <f t="array" ref="EB269">IFERROR(DZ269*INDEX(Mortality!$B$4:$E$64,MATCH(D269+DY269-1,Mortality!$A$4:$A$64,0),U269)*V269,0)</f>
        <v>5.034165401999224E-3</v>
      </c>
      <c r="EC269" s="100">
        <f>'Policy Data'!O243</f>
        <v>0</v>
      </c>
      <c r="ED269" s="400">
        <f>'Policy Data'!Q243</f>
        <v>0</v>
      </c>
    </row>
    <row r="270" spans="1:134" x14ac:dyDescent="0.3">
      <c r="A270" s="399" t="str">
        <f>'Policy Data'!A244</f>
        <v>POL100240</v>
      </c>
      <c r="B270" s="26" t="s">
        <v>426</v>
      </c>
      <c r="C270" s="100" t="str">
        <f>'Policy Data'!B244</f>
        <v>Term Life</v>
      </c>
      <c r="D270" s="100">
        <f>'Policy Data'!C244</f>
        <v>40</v>
      </c>
      <c r="E270" s="100" t="str">
        <f>'Policy Data'!D244</f>
        <v>Male</v>
      </c>
      <c r="F270" s="100" t="str">
        <f>'Policy Data'!E244</f>
        <v>Non-smoker</v>
      </c>
      <c r="G270" s="100" t="str">
        <f>'Policy Data'!F244</f>
        <v>Standard</v>
      </c>
      <c r="H270" s="100">
        <f>'Policy Data'!G244</f>
        <v>15</v>
      </c>
      <c r="I270" s="279">
        <f>'Policy Data'!H244</f>
        <v>250000</v>
      </c>
      <c r="J270" s="100" t="str">
        <f>'Policy Data'!I244</f>
        <v>Annual</v>
      </c>
      <c r="K270" s="100" t="str">
        <f>'Policy Data'!J244</f>
        <v>Direct</v>
      </c>
      <c r="L270" s="26" t="s">
        <v>389</v>
      </c>
      <c r="M270" s="106">
        <f>'Policy Data'!R244</f>
        <v>1200</v>
      </c>
      <c r="N270" s="415">
        <f>Assumptions!$C$21</f>
        <v>1</v>
      </c>
      <c r="O270" s="415">
        <f>Assumptions!$C$22</f>
        <v>1</v>
      </c>
      <c r="P270" s="415">
        <f>Assumptions!$C$23</f>
        <v>1</v>
      </c>
      <c r="Q270" s="416">
        <f>Assumptions!$C$24</f>
        <v>0</v>
      </c>
      <c r="R270" s="416">
        <f>Assumptions!$C$6+Assumptions!$C$25</f>
        <v>3.5000000000000003E-2</v>
      </c>
      <c r="S270" s="416">
        <f>Assumptions!$C$15</f>
        <v>1.1000000000000001E-3</v>
      </c>
      <c r="T270" s="26">
        <f t="shared" si="72"/>
        <v>1</v>
      </c>
      <c r="U270" s="26">
        <f t="shared" si="73"/>
        <v>3</v>
      </c>
      <c r="V270" s="389">
        <f>IF($G270="Preferred",Assumptions!$C$30,IF($G270="Rated",Assumptions!$C$31,1))</f>
        <v>1</v>
      </c>
      <c r="W270" s="390">
        <f>IF($K270="Direct",Assumptions!$C$32,IF($K270="Broker",Assumptions!$C$33,IF($K270="Bancassurance",Assumptions!$C$34,Assumptions!$C$11)))+$Q270</f>
        <v>0.1</v>
      </c>
      <c r="X270" s="390">
        <f>Assumptions!$C$12+$Q270</f>
        <v>0.05</v>
      </c>
      <c r="Y270" s="131">
        <f>MIN($I270,Assumptions!$C$14)</f>
        <v>250000</v>
      </c>
      <c r="Z270" s="131">
        <f>MAX($I270-Assumptions!$C$14,0)</f>
        <v>0</v>
      </c>
      <c r="AA270" s="389">
        <f t="shared" si="74"/>
        <v>7.3797121523113614</v>
      </c>
      <c r="AB270" s="389">
        <f t="shared" si="75"/>
        <v>1.3838299487919937E-2</v>
      </c>
      <c r="AC270" s="389">
        <f>IF($T270=1,SUMPRODUCT($CJ270:$DW270,(1+Assumptions!$C$5)^($CJ$5:$DW$5-1),(1+$R270)^(-$CJ$5:$DW$5)),0)</f>
        <v>9.2291163946772841</v>
      </c>
      <c r="AD270" s="389">
        <f t="shared" si="76"/>
        <v>0.41729478635952943</v>
      </c>
      <c r="AE270" s="131">
        <f>IF($T270=1,$AB270*$Y270+(Assumptions!$C$9/(1+$R270)+Assumptions!$C$10*$AC270)*$P270+$S270*$Z270*$AA270,0)</f>
        <v>6359.5456962002918</v>
      </c>
      <c r="AF270" s="131">
        <f>IF($T270=1,IF($AA270-$AD270-Assumptions!$C$16*$AA270&gt;0,$AE270/($AA270-$AD270-Assumptions!$C$16*$AA270)*IF($J270="Monthly",1+Assumptions!$C$29,1),"n.a."),"")</f>
        <v>998.03913710609027</v>
      </c>
      <c r="AG270" s="131">
        <f t="shared" si="77"/>
        <v>1200</v>
      </c>
      <c r="AH270" s="131">
        <f t="shared" si="78"/>
        <v>8855.6545827736336</v>
      </c>
      <c r="AI270" s="131">
        <f t="shared" si="79"/>
        <v>1995.3551429419058</v>
      </c>
      <c r="AJ270" s="390">
        <f t="shared" si="80"/>
        <v>0.22531989298942948</v>
      </c>
      <c r="AK270" s="389">
        <f t="shared" si="81"/>
        <v>1.2023576585177957</v>
      </c>
      <c r="AL270" s="131">
        <f t="shared" si="82"/>
        <v>0</v>
      </c>
      <c r="AM270" s="131">
        <f t="shared" si="83"/>
        <v>0</v>
      </c>
      <c r="AN270" s="131">
        <f t="shared" si="84"/>
        <v>0</v>
      </c>
      <c r="AO270" s="131">
        <f t="shared" si="85"/>
        <v>1995.3551429419058</v>
      </c>
      <c r="AP270" s="26" t="str">
        <f t="shared" si="86"/>
        <v>40-49</v>
      </c>
      <c r="AQ270" s="26" t="str">
        <f t="shared" si="87"/>
        <v>Up to 250k</v>
      </c>
      <c r="AR270" s="26" t="str">
        <f>IF($T270=1,IF($AI270&lt;0,"Loss-making",IF($AJ270&lt;Assumptions!$C$16-0.00001,"Below target","At/above target")),"Excluded")</f>
        <v>At/above target</v>
      </c>
      <c r="AS270" s="103">
        <f t="shared" si="88"/>
        <v>1995.3554129419058</v>
      </c>
      <c r="AT270" s="26"/>
      <c r="AU270" s="419">
        <f>IF(AND($T270=1,AU$5&lt;=$H270),INDEX(Mortality!$B$4:$E$64,MATCH($D270+AU$5-1,Mortality!$A$4:$A$64,0),$U270)*$V270*$N270,0)</f>
        <v>1.1517174304948501E-3</v>
      </c>
      <c r="AV270" s="93">
        <f>IF(AND($T270=1,AV$5&lt;=$H270),INDEX(Mortality!$B$4:$E$64,MATCH($D270+AV$5-1,Mortality!$A$4:$A$64,0),$U270)*$V270*$N270,0)</f>
        <v>1.24764059807091E-3</v>
      </c>
      <c r="AW270" s="93">
        <f>IF(AND($T270=1,AW$5&lt;=$H270),INDEX(Mortality!$B$4:$E$64,MATCH($D270+AW$5-1,Mortality!$A$4:$A$64,0),$U270)*$V270*$N270,0)</f>
        <v>1.3515529249964601E-3</v>
      </c>
      <c r="AX270" s="93">
        <f>IF(AND($T270=1,AX$5&lt;=$H270),INDEX(Mortality!$B$4:$E$64,MATCH($D270+AX$5-1,Mortality!$A$4:$A$64,0),$U270)*$V270*$N270,0)</f>
        <v>1.4641198049269301E-3</v>
      </c>
      <c r="AY270" s="93">
        <f>IF(AND($T270=1,AY$5&lt;=$H270),INDEX(Mortality!$B$4:$E$64,MATCH($D270+AY$5-1,Mortality!$A$4:$A$64,0),$U270)*$V270*$N270,0)</f>
        <v>1.58606205020413E-3</v>
      </c>
      <c r="AZ270" s="93">
        <f>IF(AND($T270=1,AZ$5&lt;=$H270),INDEX(Mortality!$B$4:$E$64,MATCH($D270+AZ$5-1,Mortality!$A$4:$A$64,0),$U270)*$V270*$N270,0)</f>
        <v>1.71816050751616E-3</v>
      </c>
      <c r="BA270" s="93">
        <f>IF(AND($T270=1,BA$5&lt;=$H270),INDEX(Mortality!$B$4:$E$64,MATCH($D270+BA$5-1,Mortality!$A$4:$A$64,0),$U270)*$V270*$N270,0)</f>
        <v>1.8612610579820999E-3</v>
      </c>
      <c r="BB270" s="93">
        <f>IF(AND($T270=1,BB$5&lt;=$H270),INDEX(Mortality!$B$4:$E$64,MATCH($D270+BB$5-1,Mortality!$A$4:$A$64,0),$U270)*$V270*$N270,0)</f>
        <v>2.0162800336790201E-3</v>
      </c>
      <c r="BC270" s="93">
        <f>IF(AND($T270=1,BC$5&lt;=$H270),INDEX(Mortality!$B$4:$E$64,MATCH($D270+BC$5-1,Mortality!$A$4:$A$64,0),$U270)*$V270*$N270,0)</f>
        <v>2.1842100852957199E-3</v>
      </c>
      <c r="BD270" s="93">
        <f>IF(AND($T270=1,BD$5&lt;=$H270),INDEX(Mortality!$B$4:$E$64,MATCH($D270+BD$5-1,Mortality!$A$4:$A$64,0),$U270)*$V270*$N270,0)</f>
        <v>2.3661265384860701E-3</v>
      </c>
      <c r="BE270" s="93">
        <f>IF(AND($T270=1,BE$5&lt;=$H270),INDEX(Mortality!$B$4:$E$64,MATCH($D270+BE$5-1,Mortality!$A$4:$A$64,0),$U270)*$V270*$N270,0)</f>
        <v>2.5631942796244698E-3</v>
      </c>
      <c r="BF270" s="93">
        <f>IF(AND($T270=1,BF$5&lt;=$H270),INDEX(Mortality!$B$4:$E$64,MATCH($D270+BF$5-1,Mortality!$A$4:$A$64,0),$U270)*$V270*$N270,0)</f>
        <v>2.7766752150556202E-3</v>
      </c>
      <c r="BG270" s="93">
        <f>IF(AND($T270=1,BG$5&lt;=$H270),INDEX(Mortality!$B$4:$E$64,MATCH($D270+BG$5-1,Mortality!$A$4:$A$64,0),$U270)*$V270*$N270,0)</f>
        <v>3.0079363516033399E-3</v>
      </c>
      <c r="BH270" s="93">
        <f>IF(AND($T270=1,BH$5&lt;=$H270),INDEX(Mortality!$B$4:$E$64,MATCH($D270+BH$5-1,Mortality!$A$4:$A$64,0),$U270)*$V270*$N270,0)</f>
        <v>3.2584585500813001E-3</v>
      </c>
      <c r="BI270" s="93">
        <f>IF(AND($T270=1,BI$5&lt;=$H270),INDEX(Mortality!$B$4:$E$64,MATCH($D270+BI$5-1,Mortality!$A$4:$A$64,0),$U270)*$V270*$N270,0)</f>
        <v>3.5298460078579601E-3</v>
      </c>
      <c r="BJ270" s="93">
        <f>IF(AND($T270=1,BJ$5&lt;=$H270),INDEX(Mortality!$B$4:$E$64,MATCH($D270+BJ$5-1,Mortality!$A$4:$A$64,0),$U270)*$V270*$N270,0)</f>
        <v>0</v>
      </c>
      <c r="BK270" s="93">
        <f>IF(AND($T270=1,BK$5&lt;=$H270),INDEX(Mortality!$B$4:$E$64,MATCH($D270+BK$5-1,Mortality!$A$4:$A$64,0),$U270)*$V270*$N270,0)</f>
        <v>0</v>
      </c>
      <c r="BL270" s="93">
        <f>IF(AND($T270=1,BL$5&lt;=$H270),INDEX(Mortality!$B$4:$E$64,MATCH($D270+BL$5-1,Mortality!$A$4:$A$64,0),$U270)*$V270*$N270,0)</f>
        <v>0</v>
      </c>
      <c r="BM270" s="93">
        <f>IF(AND($T270=1,BM$5&lt;=$H270),INDEX(Mortality!$B$4:$E$64,MATCH($D270+BM$5-1,Mortality!$A$4:$A$64,0),$U270)*$V270*$N270,0)</f>
        <v>0</v>
      </c>
      <c r="BN270" s="93">
        <f>IF(AND($T270=1,BN$5&lt;=$H270),INDEX(Mortality!$B$4:$E$64,MATCH($D270+BN$5-1,Mortality!$A$4:$A$64,0),$U270)*$V270*$N270,0)</f>
        <v>0</v>
      </c>
      <c r="BO270" s="93">
        <f>IF(AND($T270=1,BO$5&lt;=$H270),INDEX(Mortality!$B$4:$E$64,MATCH($D270+BO$5-1,Mortality!$A$4:$A$64,0),$U270)*$V270*$N270,0)</f>
        <v>0</v>
      </c>
      <c r="BP270" s="93">
        <f>IF(AND($T270=1,BP$5&lt;=$H270),INDEX(Mortality!$B$4:$E$64,MATCH($D270+BP$5-1,Mortality!$A$4:$A$64,0),$U270)*$V270*$N270,0)</f>
        <v>0</v>
      </c>
      <c r="BQ270" s="93">
        <f>IF(AND($T270=1,BQ$5&lt;=$H270),INDEX(Mortality!$B$4:$E$64,MATCH($D270+BQ$5-1,Mortality!$A$4:$A$64,0),$U270)*$V270*$N270,0)</f>
        <v>0</v>
      </c>
      <c r="BR270" s="93">
        <f>IF(AND($T270=1,BR$5&lt;=$H270),INDEX(Mortality!$B$4:$E$64,MATCH($D270+BR$5-1,Mortality!$A$4:$A$64,0),$U270)*$V270*$N270,0)</f>
        <v>0</v>
      </c>
      <c r="BS270" s="93">
        <f>IF(AND($T270=1,BS$5&lt;=$H270),INDEX(Mortality!$B$4:$E$64,MATCH($D270+BS$5-1,Mortality!$A$4:$A$64,0),$U270)*$V270*$N270,0)</f>
        <v>0</v>
      </c>
      <c r="BT270" s="93">
        <f>IF(AND($T270=1,BT$5&lt;=$H270),INDEX(Mortality!$B$4:$E$64,MATCH($D270+BT$5-1,Mortality!$A$4:$A$64,0),$U270)*$V270*$N270,0)</f>
        <v>0</v>
      </c>
      <c r="BU270" s="93">
        <f>IF(AND($T270=1,BU$5&lt;=$H270),INDEX(Mortality!$B$4:$E$64,MATCH($D270+BU$5-1,Mortality!$A$4:$A$64,0),$U270)*$V270*$N270,0)</f>
        <v>0</v>
      </c>
      <c r="BV270" s="93">
        <f>IF(AND($T270=1,BV$5&lt;=$H270),INDEX(Mortality!$B$4:$E$64,MATCH($D270+BV$5-1,Mortality!$A$4:$A$64,0),$U270)*$V270*$N270,0)</f>
        <v>0</v>
      </c>
      <c r="BW270" s="93">
        <f>IF(AND($T270=1,BW$5&lt;=$H270),INDEX(Mortality!$B$4:$E$64,MATCH($D270+BW$5-1,Mortality!$A$4:$A$64,0),$U270)*$V270*$N270,0)</f>
        <v>0</v>
      </c>
      <c r="BX270" s="93">
        <f>IF(AND($T270=1,BX$5&lt;=$H270),INDEX(Mortality!$B$4:$E$64,MATCH($D270+BX$5-1,Mortality!$A$4:$A$64,0),$U270)*$V270*$N270,0)</f>
        <v>0</v>
      </c>
      <c r="BY270" s="93">
        <f>IF(AND($T270=1,BY$5&lt;=$H270),INDEX(Mortality!$B$4:$E$64,MATCH($D270+BY$5-1,Mortality!$A$4:$A$64,0),$U270)*$V270*$N270,0)</f>
        <v>0</v>
      </c>
      <c r="BZ270" s="93">
        <f>IF(AND($T270=1,BZ$5&lt;=$H270),INDEX(Mortality!$B$4:$E$64,MATCH($D270+BZ$5-1,Mortality!$A$4:$A$64,0),$U270)*$V270*$N270,0)</f>
        <v>0</v>
      </c>
      <c r="CA270" s="93">
        <f>IF(AND($T270=1,CA$5&lt;=$H270),INDEX(Mortality!$B$4:$E$64,MATCH($D270+CA$5-1,Mortality!$A$4:$A$64,0),$U270)*$V270*$N270,0)</f>
        <v>0</v>
      </c>
      <c r="CB270" s="93">
        <f>IF(AND($T270=1,CB$5&lt;=$H270),INDEX(Mortality!$B$4:$E$64,MATCH($D270+CB$5-1,Mortality!$A$4:$A$64,0),$U270)*$V270*$N270,0)</f>
        <v>0</v>
      </c>
      <c r="CC270" s="93">
        <f>IF(AND($T270=1,CC$5&lt;=$H270),INDEX(Mortality!$B$4:$E$64,MATCH($D270+CC$5-1,Mortality!$A$4:$A$64,0),$U270)*$V270*$N270,0)</f>
        <v>0</v>
      </c>
      <c r="CD270" s="93">
        <f>IF(AND($T270=1,CD$5&lt;=$H270),INDEX(Mortality!$B$4:$E$64,MATCH($D270+CD$5-1,Mortality!$A$4:$A$64,0),$U270)*$V270*$N270,0)</f>
        <v>0</v>
      </c>
      <c r="CE270" s="93">
        <f>IF(AND($T270=1,CE$5&lt;=$H270),INDEX(Mortality!$B$4:$E$64,MATCH($D270+CE$5-1,Mortality!$A$4:$A$64,0),$U270)*$V270*$N270,0)</f>
        <v>0</v>
      </c>
      <c r="CF270" s="93">
        <f>IF(AND($T270=1,CF$5&lt;=$H270),INDEX(Mortality!$B$4:$E$64,MATCH($D270+CF$5-1,Mortality!$A$4:$A$64,0),$U270)*$V270*$N270,0)</f>
        <v>0</v>
      </c>
      <c r="CG270" s="93">
        <f>IF(AND($T270=1,CG$5&lt;=$H270),INDEX(Mortality!$B$4:$E$64,MATCH($D270+CG$5-1,Mortality!$A$4:$A$64,0),$U270)*$V270*$N270,0)</f>
        <v>0</v>
      </c>
      <c r="CH270" s="94">
        <f>IF(AND($T270=1,CH$5&lt;=$H270),INDEX(Mortality!$B$4:$E$64,MATCH($D270+CH$5-1,Mortality!$A$4:$A$64,0),$U270)*$V270*$N270,0)</f>
        <v>0</v>
      </c>
      <c r="CI270" s="26"/>
      <c r="CJ270" s="419">
        <f t="shared" si="89"/>
        <v>1</v>
      </c>
      <c r="CK270" s="93">
        <f>IF(AND($T270=1,CK$5&lt;=$H270),CJ270*(1-AU270)*(1-MIN(1,MAX(Assumptions!$C$27,Assumptions!$C$13*Assumptions!$C$28^(CJ$5-1))*$O270)),0)</f>
        <v>0.87898648866116458</v>
      </c>
      <c r="CL270" s="93">
        <f>IF(AND($T270=1,CL$5&lt;=$H270),CK270*(1-AV270)*(1-MIN(1,MAX(Assumptions!$C$27,Assumptions!$C$13*Assumptions!$C$28^(CK$5-1))*$O270)),0)</f>
        <v>0.78834506683061412</v>
      </c>
      <c r="CM270" s="93">
        <f>IF(AND($T270=1,CM$5&lt;=$H270),CL270*(1-AW270)*(1-MIN(1,MAX(Assumptions!$C$27,Assumptions!$C$13*Assumptions!$C$28^(CL$5-1))*$O270)),0)</f>
        <v>0.71902243744543948</v>
      </c>
      <c r="CN270" s="93">
        <f>IF(AND($T270=1,CN$5&lt;=$H270),CM270*(1-AX270)*(1-MIN(1,MAX(Assumptions!$C$27,Assumptions!$C$13*Assumptions!$C$28^(CM$5-1))*$O270)),0)</f>
        <v>0.6650589252321979</v>
      </c>
      <c r="CO270" s="93">
        <f>IF(AND($T270=1,CO$5&lt;=$H270),CN270*(1-AY270)*(1-MIN(1,MAX(Assumptions!$C$27,Assumptions!$C$13*Assumptions!$C$28^(CN$5-1))*$O270)),0)</f>
        <v>0.62241038565073226</v>
      </c>
      <c r="CP270" s="93">
        <f>IF(AND($T270=1,CP$5&lt;=$H270),CO270*(1-AZ270)*(1-MIN(1,MAX(Assumptions!$C$27,Assumptions!$C$13*Assumptions!$C$28^(CO$5-1))*$O270)),0)</f>
        <v>0.58825790921204124</v>
      </c>
      <c r="CQ270" s="93">
        <f>IF(AND($T270=1,CQ$5&lt;=$H270),CP270*(1-BA270)*(1-MIN(1,MAX(Assumptions!$C$27,Assumptions!$C$13*Assumptions!$C$28^(CP$5-1))*$O270)),0)</f>
        <v>0.56058921840113407</v>
      </c>
      <c r="CR270" s="93">
        <f>IF(AND($T270=1,CR$5&lt;=$H270),CQ270*(1-BB270)*(1-MIN(1,MAX(Assumptions!$C$27,Assumptions!$C$13*Assumptions!$C$28^(CQ$5-1))*$O270)),0)</f>
        <v>0.53793694841059969</v>
      </c>
      <c r="CS270" s="93">
        <f>IF(AND($T270=1,CS$5&lt;=$H270),CR270*(1-BC270)*(1-MIN(1,MAX(Assumptions!$C$27,Assumptions!$C$13*Assumptions!$C$28^(CR$5-1))*$O270)),0)</f>
        <v>0.51921047461642855</v>
      </c>
      <c r="CT270" s="93">
        <f>IF(AND($T270=1,CT$5&lt;=$H270),CS270*(1-BD270)*(1-MIN(1,MAX(Assumptions!$C$27,Assumptions!$C$13*Assumptions!$C$28^(CS$5-1))*$O270)),0)</f>
        <v>0.5035851490420139</v>
      </c>
      <c r="CU270" s="93">
        <f>IF(AND($T270=1,CU$5&lt;=$H270),CT270*(1-BE270)*(1-MIN(1,MAX(Assumptions!$C$27,Assumptions!$C$13*Assumptions!$C$28^(CT$5-1))*$O270)),0)</f>
        <v>0.49042769405891845</v>
      </c>
      <c r="CV270" s="93">
        <f>IF(AND($T270=1,CV$5&lt;=$H270),CU270*(1-BF270)*(1-MIN(1,MAX(Assumptions!$C$27,Assumptions!$C$13*Assumptions!$C$28^(CU$5-1))*$O270)),0)</f>
        <v>0.4792449100303563</v>
      </c>
      <c r="CW270" s="93">
        <f>IF(AND($T270=1,CW$5&lt;=$H270),CV270*(1-BG270)*(1-MIN(1,MAX(Assumptions!$C$27,Assumptions!$C$13*Assumptions!$C$28^(CV$5-1))*$O270)),0)</f>
        <v>0.46824730440727202</v>
      </c>
      <c r="CX270" s="93">
        <f>IF(AND($T270=1,CX$5&lt;=$H270),CW270*(1-BH270)*(1-MIN(1,MAX(Assumptions!$C$27,Assumptions!$C$13*Assumptions!$C$28^(CW$5-1))*$O270)),0)</f>
        <v>0.45738710917518016</v>
      </c>
      <c r="CY270" s="93">
        <f>IF(AND($T270=1,CY$5&lt;=$H270),CX270*(1-BI270)*(1-MIN(1,MAX(Assumptions!$C$27,Assumptions!$C$13*Assumptions!$C$28^(CX$5-1))*$O270)),0)</f>
        <v>0</v>
      </c>
      <c r="CZ270" s="93">
        <f>IF(AND($T270=1,CZ$5&lt;=$H270),CY270*(1-BJ270)*(1-MIN(1,MAX(Assumptions!$C$27,Assumptions!$C$13*Assumptions!$C$28^(CY$5-1))*$O270)),0)</f>
        <v>0</v>
      </c>
      <c r="DA270" s="93">
        <f>IF(AND($T270=1,DA$5&lt;=$H270),CZ270*(1-BK270)*(1-MIN(1,MAX(Assumptions!$C$27,Assumptions!$C$13*Assumptions!$C$28^(CZ$5-1))*$O270)),0)</f>
        <v>0</v>
      </c>
      <c r="DB270" s="93">
        <f>IF(AND($T270=1,DB$5&lt;=$H270),DA270*(1-BL270)*(1-MIN(1,MAX(Assumptions!$C$27,Assumptions!$C$13*Assumptions!$C$28^(DA$5-1))*$O270)),0)</f>
        <v>0</v>
      </c>
      <c r="DC270" s="93">
        <f>IF(AND($T270=1,DC$5&lt;=$H270),DB270*(1-BM270)*(1-MIN(1,MAX(Assumptions!$C$27,Assumptions!$C$13*Assumptions!$C$28^(DB$5-1))*$O270)),0)</f>
        <v>0</v>
      </c>
      <c r="DD270" s="93">
        <f>IF(AND($T270=1,DD$5&lt;=$H270),DC270*(1-BN270)*(1-MIN(1,MAX(Assumptions!$C$27,Assumptions!$C$13*Assumptions!$C$28^(DC$5-1))*$O270)),0)</f>
        <v>0</v>
      </c>
      <c r="DE270" s="93">
        <f>IF(AND($T270=1,DE$5&lt;=$H270),DD270*(1-BO270)*(1-MIN(1,MAX(Assumptions!$C$27,Assumptions!$C$13*Assumptions!$C$28^(DD$5-1))*$O270)),0)</f>
        <v>0</v>
      </c>
      <c r="DF270" s="93">
        <f>IF(AND($T270=1,DF$5&lt;=$H270),DE270*(1-BP270)*(1-MIN(1,MAX(Assumptions!$C$27,Assumptions!$C$13*Assumptions!$C$28^(DE$5-1))*$O270)),0)</f>
        <v>0</v>
      </c>
      <c r="DG270" s="93">
        <f>IF(AND($T270=1,DG$5&lt;=$H270),DF270*(1-BQ270)*(1-MIN(1,MAX(Assumptions!$C$27,Assumptions!$C$13*Assumptions!$C$28^(DF$5-1))*$O270)),0)</f>
        <v>0</v>
      </c>
      <c r="DH270" s="93">
        <f>IF(AND($T270=1,DH$5&lt;=$H270),DG270*(1-BR270)*(1-MIN(1,MAX(Assumptions!$C$27,Assumptions!$C$13*Assumptions!$C$28^(DG$5-1))*$O270)),0)</f>
        <v>0</v>
      </c>
      <c r="DI270" s="93">
        <f>IF(AND($T270=1,DI$5&lt;=$H270),DH270*(1-BS270)*(1-MIN(1,MAX(Assumptions!$C$27,Assumptions!$C$13*Assumptions!$C$28^(DH$5-1))*$O270)),0)</f>
        <v>0</v>
      </c>
      <c r="DJ270" s="93">
        <f>IF(AND($T270=1,DJ$5&lt;=$H270),DI270*(1-BT270)*(1-MIN(1,MAX(Assumptions!$C$27,Assumptions!$C$13*Assumptions!$C$28^(DI$5-1))*$O270)),0)</f>
        <v>0</v>
      </c>
      <c r="DK270" s="93">
        <f>IF(AND($T270=1,DK$5&lt;=$H270),DJ270*(1-BU270)*(1-MIN(1,MAX(Assumptions!$C$27,Assumptions!$C$13*Assumptions!$C$28^(DJ$5-1))*$O270)),0)</f>
        <v>0</v>
      </c>
      <c r="DL270" s="93">
        <f>IF(AND($T270=1,DL$5&lt;=$H270),DK270*(1-BV270)*(1-MIN(1,MAX(Assumptions!$C$27,Assumptions!$C$13*Assumptions!$C$28^(DK$5-1))*$O270)),0)</f>
        <v>0</v>
      </c>
      <c r="DM270" s="93">
        <f>IF(AND($T270=1,DM$5&lt;=$H270),DL270*(1-BW270)*(1-MIN(1,MAX(Assumptions!$C$27,Assumptions!$C$13*Assumptions!$C$28^(DL$5-1))*$O270)),0)</f>
        <v>0</v>
      </c>
      <c r="DN270" s="93">
        <f>IF(AND($T270=1,DN$5&lt;=$H270),DM270*(1-BX270)*(1-MIN(1,MAX(Assumptions!$C$27,Assumptions!$C$13*Assumptions!$C$28^(DM$5-1))*$O270)),0)</f>
        <v>0</v>
      </c>
      <c r="DO270" s="93">
        <f>IF(AND($T270=1,DO$5&lt;=$H270),DN270*(1-BY270)*(1-MIN(1,MAX(Assumptions!$C$27,Assumptions!$C$13*Assumptions!$C$28^(DN$5-1))*$O270)),0)</f>
        <v>0</v>
      </c>
      <c r="DP270" s="93">
        <f>IF(AND($T270=1,DP$5&lt;=$H270),DO270*(1-BZ270)*(1-MIN(1,MAX(Assumptions!$C$27,Assumptions!$C$13*Assumptions!$C$28^(DO$5-1))*$O270)),0)</f>
        <v>0</v>
      </c>
      <c r="DQ270" s="93">
        <f>IF(AND($T270=1,DQ$5&lt;=$H270),DP270*(1-CA270)*(1-MIN(1,MAX(Assumptions!$C$27,Assumptions!$C$13*Assumptions!$C$28^(DP$5-1))*$O270)),0)</f>
        <v>0</v>
      </c>
      <c r="DR270" s="93">
        <f>IF(AND($T270=1,DR$5&lt;=$H270),DQ270*(1-CB270)*(1-MIN(1,MAX(Assumptions!$C$27,Assumptions!$C$13*Assumptions!$C$28^(DQ$5-1))*$O270)),0)</f>
        <v>0</v>
      </c>
      <c r="DS270" s="93">
        <f>IF(AND($T270=1,DS$5&lt;=$H270),DR270*(1-CC270)*(1-MIN(1,MAX(Assumptions!$C$27,Assumptions!$C$13*Assumptions!$C$28^(DR$5-1))*$O270)),0)</f>
        <v>0</v>
      </c>
      <c r="DT270" s="93">
        <f>IF(AND($T270=1,DT$5&lt;=$H270),DS270*(1-CD270)*(1-MIN(1,MAX(Assumptions!$C$27,Assumptions!$C$13*Assumptions!$C$28^(DS$5-1))*$O270)),0)</f>
        <v>0</v>
      </c>
      <c r="DU270" s="93">
        <f>IF(AND($T270=1,DU$5&lt;=$H270),DT270*(1-CE270)*(1-MIN(1,MAX(Assumptions!$C$27,Assumptions!$C$13*Assumptions!$C$28^(DT$5-1))*$O270)),0)</f>
        <v>0</v>
      </c>
      <c r="DV270" s="93">
        <f>IF(AND($T270=1,DV$5&lt;=$H270),DU270*(1-CF270)*(1-MIN(1,MAX(Assumptions!$C$27,Assumptions!$C$13*Assumptions!$C$28^(DU$5-1))*$O270)),0)</f>
        <v>0</v>
      </c>
      <c r="DW270" s="94">
        <f>IF(AND($T270=1,DW$5&lt;=$H270),DV270*(1-CG270)*(1-MIN(1,MAX(Assumptions!$C$27,Assumptions!$C$13*Assumptions!$C$28^(DV$5-1))*$O270)),0)</f>
        <v>0</v>
      </c>
      <c r="DX270" s="26"/>
      <c r="DY270" s="399">
        <f>'Policy Data'!K244</f>
        <v>4</v>
      </c>
      <c r="DZ270" s="100">
        <f>'Policy Data'!L244</f>
        <v>0.60729999999999995</v>
      </c>
      <c r="EA270" s="100">
        <f>'Policy Data'!N244</f>
        <v>6.9899999999999997E-4</v>
      </c>
      <c r="EB270" s="93" cm="1">
        <f t="array" ref="EB270">IFERROR(DZ270*INDEX(Mortality!$B$4:$E$64,MATCH(D270+DY270-1,Mortality!$A$4:$A$64,0),U270)*V270,0)</f>
        <v>8.891599575321246E-4</v>
      </c>
      <c r="EC270" s="100">
        <f>'Policy Data'!O244</f>
        <v>0</v>
      </c>
      <c r="ED270" s="400">
        <f>'Policy Data'!Q244</f>
        <v>0</v>
      </c>
    </row>
    <row r="271" spans="1:134" x14ac:dyDescent="0.3">
      <c r="A271" s="399" t="str">
        <f>'Policy Data'!A245</f>
        <v>POL100241</v>
      </c>
      <c r="B271" s="26" t="s">
        <v>426</v>
      </c>
      <c r="C271" s="100" t="str">
        <f>'Policy Data'!B245</f>
        <v>Unit-Linked</v>
      </c>
      <c r="D271" s="100">
        <f>'Policy Data'!C245</f>
        <v>22</v>
      </c>
      <c r="E271" s="100" t="str">
        <f>'Policy Data'!D245</f>
        <v>Female</v>
      </c>
      <c r="F271" s="100" t="str">
        <f>'Policy Data'!E245</f>
        <v>Non-smoker</v>
      </c>
      <c r="G271" s="100" t="str">
        <f>'Policy Data'!F245</f>
        <v>Standard</v>
      </c>
      <c r="H271" s="100">
        <f>'Policy Data'!G245</f>
        <v>10</v>
      </c>
      <c r="I271" s="279">
        <f>'Policy Data'!H245</f>
        <v>500000</v>
      </c>
      <c r="J271" s="100" t="str">
        <f>'Policy Data'!I245</f>
        <v>Monthly</v>
      </c>
      <c r="K271" s="100" t="str">
        <f>'Policy Data'!J245</f>
        <v>Broker</v>
      </c>
      <c r="L271" s="26" t="s">
        <v>389</v>
      </c>
      <c r="M271" s="106">
        <f>'Policy Data'!R245</f>
        <v>13632.68</v>
      </c>
      <c r="N271" s="415">
        <f>Assumptions!$C$21</f>
        <v>1</v>
      </c>
      <c r="O271" s="415">
        <f>Assumptions!$C$22</f>
        <v>1</v>
      </c>
      <c r="P271" s="415">
        <f>Assumptions!$C$23</f>
        <v>1</v>
      </c>
      <c r="Q271" s="416">
        <f>Assumptions!$C$24</f>
        <v>0</v>
      </c>
      <c r="R271" s="416">
        <f>Assumptions!$C$6+Assumptions!$C$25</f>
        <v>3.5000000000000003E-2</v>
      </c>
      <c r="S271" s="416">
        <f>Assumptions!$C$15</f>
        <v>1.1000000000000001E-3</v>
      </c>
      <c r="T271" s="26">
        <f t="shared" si="72"/>
        <v>0</v>
      </c>
      <c r="U271" s="26">
        <f t="shared" si="73"/>
        <v>1</v>
      </c>
      <c r="V271" s="389">
        <f>IF($G271="Preferred",Assumptions!$C$30,IF($G271="Rated",Assumptions!$C$31,1))</f>
        <v>1</v>
      </c>
      <c r="W271" s="390">
        <f>IF($K271="Direct",Assumptions!$C$32,IF($K271="Broker",Assumptions!$C$33,IF($K271="Bancassurance",Assumptions!$C$34,Assumptions!$C$11)))+$Q271</f>
        <v>0.25</v>
      </c>
      <c r="X271" s="390">
        <f>Assumptions!$C$12+$Q271</f>
        <v>0.05</v>
      </c>
      <c r="Y271" s="131">
        <f>MIN($I271,Assumptions!$C$14)</f>
        <v>500000</v>
      </c>
      <c r="Z271" s="131">
        <f>MAX($I271-Assumptions!$C$14,0)</f>
        <v>0</v>
      </c>
      <c r="AA271" s="389">
        <f t="shared" si="74"/>
        <v>0</v>
      </c>
      <c r="AB271" s="389">
        <f t="shared" si="75"/>
        <v>0</v>
      </c>
      <c r="AC271" s="389">
        <f>IF($T271=1,SUMPRODUCT($CJ271:$DW271,(1+Assumptions!$C$5)^($CJ$5:$DW$5-1),(1+$R271)^(-$CJ$5:$DW$5)),0)</f>
        <v>0</v>
      </c>
      <c r="AD271" s="389">
        <f t="shared" si="76"/>
        <v>0</v>
      </c>
      <c r="AE271" s="131">
        <f>IF($T271=1,$AB271*$Y271+(Assumptions!$C$9/(1+$R271)+Assumptions!$C$10*$AC271)*$P271+$S271*$Z271*$AA271,0)</f>
        <v>0</v>
      </c>
      <c r="AF271" s="131" t="str">
        <f>IF($T271=1,IF($AA271-$AD271-Assumptions!$C$16*$AA271&gt;0,$AE271/($AA271-$AD271-Assumptions!$C$16*$AA271)*IF($J271="Monthly",1+Assumptions!$C$29,1),"n.a."),"")</f>
        <v/>
      </c>
      <c r="AG271" s="131" t="str">
        <f t="shared" si="77"/>
        <v/>
      </c>
      <c r="AH271" s="131" t="str">
        <f t="shared" si="78"/>
        <v/>
      </c>
      <c r="AI271" s="131" t="str">
        <f t="shared" si="79"/>
        <v/>
      </c>
      <c r="AJ271" s="390" t="str">
        <f t="shared" si="80"/>
        <v/>
      </c>
      <c r="AK271" s="389" t="str">
        <f t="shared" si="81"/>
        <v/>
      </c>
      <c r="AL271" s="131" t="str">
        <f t="shared" si="82"/>
        <v/>
      </c>
      <c r="AM271" s="131" t="str">
        <f t="shared" si="83"/>
        <v/>
      </c>
      <c r="AN271" s="131" t="str">
        <f t="shared" si="84"/>
        <v/>
      </c>
      <c r="AO271" s="131" t="str">
        <f t="shared" si="85"/>
        <v/>
      </c>
      <c r="AP271" s="26" t="str">
        <f t="shared" si="86"/>
        <v>20-29</v>
      </c>
      <c r="AQ271" s="26" t="str">
        <f t="shared" si="87"/>
        <v>250k-500k</v>
      </c>
      <c r="AR271" s="26" t="str">
        <f>IF($T271=1,IF($AI271&lt;0,"Loss-making",IF($AJ271&lt;Assumptions!$C$16-0.00001,"Below target","At/above target")),"Excluded")</f>
        <v>Excluded</v>
      </c>
      <c r="AS271" s="103">
        <f t="shared" si="88"/>
        <v>9.9999999999999997E+98</v>
      </c>
      <c r="AT271" s="26"/>
      <c r="AU271" s="419">
        <f>IF(AND($T271=1,AU$5&lt;=$H271),INDEX(Mortality!$B$4:$E$64,MATCH($D271+AU$5-1,Mortality!$A$4:$A$64,0),$U271)*$V271*$N271,0)</f>
        <v>0</v>
      </c>
      <c r="AV271" s="93">
        <f>IF(AND($T271=1,AV$5&lt;=$H271),INDEX(Mortality!$B$4:$E$64,MATCH($D271+AV$5-1,Mortality!$A$4:$A$64,0),$U271)*$V271*$N271,0)</f>
        <v>0</v>
      </c>
      <c r="AW271" s="93">
        <f>IF(AND($T271=1,AW$5&lt;=$H271),INDEX(Mortality!$B$4:$E$64,MATCH($D271+AW$5-1,Mortality!$A$4:$A$64,0),$U271)*$V271*$N271,0)</f>
        <v>0</v>
      </c>
      <c r="AX271" s="93">
        <f>IF(AND($T271=1,AX$5&lt;=$H271),INDEX(Mortality!$B$4:$E$64,MATCH($D271+AX$5-1,Mortality!$A$4:$A$64,0),$U271)*$V271*$N271,0)</f>
        <v>0</v>
      </c>
      <c r="AY271" s="93">
        <f>IF(AND($T271=1,AY$5&lt;=$H271),INDEX(Mortality!$B$4:$E$64,MATCH($D271+AY$5-1,Mortality!$A$4:$A$64,0),$U271)*$V271*$N271,0)</f>
        <v>0</v>
      </c>
      <c r="AZ271" s="93">
        <f>IF(AND($T271=1,AZ$5&lt;=$H271),INDEX(Mortality!$B$4:$E$64,MATCH($D271+AZ$5-1,Mortality!$A$4:$A$64,0),$U271)*$V271*$N271,0)</f>
        <v>0</v>
      </c>
      <c r="BA271" s="93">
        <f>IF(AND($T271=1,BA$5&lt;=$H271),INDEX(Mortality!$B$4:$E$64,MATCH($D271+BA$5-1,Mortality!$A$4:$A$64,0),$U271)*$V271*$N271,0)</f>
        <v>0</v>
      </c>
      <c r="BB271" s="93">
        <f>IF(AND($T271=1,BB$5&lt;=$H271),INDEX(Mortality!$B$4:$E$64,MATCH($D271+BB$5-1,Mortality!$A$4:$A$64,0),$U271)*$V271*$N271,0)</f>
        <v>0</v>
      </c>
      <c r="BC271" s="93">
        <f>IF(AND($T271=1,BC$5&lt;=$H271),INDEX(Mortality!$B$4:$E$64,MATCH($D271+BC$5-1,Mortality!$A$4:$A$64,0),$U271)*$V271*$N271,0)</f>
        <v>0</v>
      </c>
      <c r="BD271" s="93">
        <f>IF(AND($T271=1,BD$5&lt;=$H271),INDEX(Mortality!$B$4:$E$64,MATCH($D271+BD$5-1,Mortality!$A$4:$A$64,0),$U271)*$V271*$N271,0)</f>
        <v>0</v>
      </c>
      <c r="BE271" s="93">
        <f>IF(AND($T271=1,BE$5&lt;=$H271),INDEX(Mortality!$B$4:$E$64,MATCH($D271+BE$5-1,Mortality!$A$4:$A$64,0),$U271)*$V271*$N271,0)</f>
        <v>0</v>
      </c>
      <c r="BF271" s="93">
        <f>IF(AND($T271=1,BF$5&lt;=$H271),INDEX(Mortality!$B$4:$E$64,MATCH($D271+BF$5-1,Mortality!$A$4:$A$64,0),$U271)*$V271*$N271,0)</f>
        <v>0</v>
      </c>
      <c r="BG271" s="93">
        <f>IF(AND($T271=1,BG$5&lt;=$H271),INDEX(Mortality!$B$4:$E$64,MATCH($D271+BG$5-1,Mortality!$A$4:$A$64,0),$U271)*$V271*$N271,0)</f>
        <v>0</v>
      </c>
      <c r="BH271" s="93">
        <f>IF(AND($T271=1,BH$5&lt;=$H271),INDEX(Mortality!$B$4:$E$64,MATCH($D271+BH$5-1,Mortality!$A$4:$A$64,0),$U271)*$V271*$N271,0)</f>
        <v>0</v>
      </c>
      <c r="BI271" s="93">
        <f>IF(AND($T271=1,BI$5&lt;=$H271),INDEX(Mortality!$B$4:$E$64,MATCH($D271+BI$5-1,Mortality!$A$4:$A$64,0),$U271)*$V271*$N271,0)</f>
        <v>0</v>
      </c>
      <c r="BJ271" s="93">
        <f>IF(AND($T271=1,BJ$5&lt;=$H271),INDEX(Mortality!$B$4:$E$64,MATCH($D271+BJ$5-1,Mortality!$A$4:$A$64,0),$U271)*$V271*$N271,0)</f>
        <v>0</v>
      </c>
      <c r="BK271" s="93">
        <f>IF(AND($T271=1,BK$5&lt;=$H271),INDEX(Mortality!$B$4:$E$64,MATCH($D271+BK$5-1,Mortality!$A$4:$A$64,0),$U271)*$V271*$N271,0)</f>
        <v>0</v>
      </c>
      <c r="BL271" s="93">
        <f>IF(AND($T271=1,BL$5&lt;=$H271),INDEX(Mortality!$B$4:$E$64,MATCH($D271+BL$5-1,Mortality!$A$4:$A$64,0),$U271)*$V271*$N271,0)</f>
        <v>0</v>
      </c>
      <c r="BM271" s="93">
        <f>IF(AND($T271=1,BM$5&lt;=$H271),INDEX(Mortality!$B$4:$E$64,MATCH($D271+BM$5-1,Mortality!$A$4:$A$64,0),$U271)*$V271*$N271,0)</f>
        <v>0</v>
      </c>
      <c r="BN271" s="93">
        <f>IF(AND($T271=1,BN$5&lt;=$H271),INDEX(Mortality!$B$4:$E$64,MATCH($D271+BN$5-1,Mortality!$A$4:$A$64,0),$U271)*$V271*$N271,0)</f>
        <v>0</v>
      </c>
      <c r="BO271" s="93">
        <f>IF(AND($T271=1,BO$5&lt;=$H271),INDEX(Mortality!$B$4:$E$64,MATCH($D271+BO$5-1,Mortality!$A$4:$A$64,0),$U271)*$V271*$N271,0)</f>
        <v>0</v>
      </c>
      <c r="BP271" s="93">
        <f>IF(AND($T271=1,BP$5&lt;=$H271),INDEX(Mortality!$B$4:$E$64,MATCH($D271+BP$5-1,Mortality!$A$4:$A$64,0),$U271)*$V271*$N271,0)</f>
        <v>0</v>
      </c>
      <c r="BQ271" s="93">
        <f>IF(AND($T271=1,BQ$5&lt;=$H271),INDEX(Mortality!$B$4:$E$64,MATCH($D271+BQ$5-1,Mortality!$A$4:$A$64,0),$U271)*$V271*$N271,0)</f>
        <v>0</v>
      </c>
      <c r="BR271" s="93">
        <f>IF(AND($T271=1,BR$5&lt;=$H271),INDEX(Mortality!$B$4:$E$64,MATCH($D271+BR$5-1,Mortality!$A$4:$A$64,0),$U271)*$V271*$N271,0)</f>
        <v>0</v>
      </c>
      <c r="BS271" s="93">
        <f>IF(AND($T271=1,BS$5&lt;=$H271),INDEX(Mortality!$B$4:$E$64,MATCH($D271+BS$5-1,Mortality!$A$4:$A$64,0),$U271)*$V271*$N271,0)</f>
        <v>0</v>
      </c>
      <c r="BT271" s="93">
        <f>IF(AND($T271=1,BT$5&lt;=$H271),INDEX(Mortality!$B$4:$E$64,MATCH($D271+BT$5-1,Mortality!$A$4:$A$64,0),$U271)*$V271*$N271,0)</f>
        <v>0</v>
      </c>
      <c r="BU271" s="93">
        <f>IF(AND($T271=1,BU$5&lt;=$H271),INDEX(Mortality!$B$4:$E$64,MATCH($D271+BU$5-1,Mortality!$A$4:$A$64,0),$U271)*$V271*$N271,0)</f>
        <v>0</v>
      </c>
      <c r="BV271" s="93">
        <f>IF(AND($T271=1,BV$5&lt;=$H271),INDEX(Mortality!$B$4:$E$64,MATCH($D271+BV$5-1,Mortality!$A$4:$A$64,0),$U271)*$V271*$N271,0)</f>
        <v>0</v>
      </c>
      <c r="BW271" s="93">
        <f>IF(AND($T271=1,BW$5&lt;=$H271),INDEX(Mortality!$B$4:$E$64,MATCH($D271+BW$5-1,Mortality!$A$4:$A$64,0),$U271)*$V271*$N271,0)</f>
        <v>0</v>
      </c>
      <c r="BX271" s="93">
        <f>IF(AND($T271=1,BX$5&lt;=$H271),INDEX(Mortality!$B$4:$E$64,MATCH($D271+BX$5-1,Mortality!$A$4:$A$64,0),$U271)*$V271*$N271,0)</f>
        <v>0</v>
      </c>
      <c r="BY271" s="93">
        <f>IF(AND($T271=1,BY$5&lt;=$H271),INDEX(Mortality!$B$4:$E$64,MATCH($D271+BY$5-1,Mortality!$A$4:$A$64,0),$U271)*$V271*$N271,0)</f>
        <v>0</v>
      </c>
      <c r="BZ271" s="93">
        <f>IF(AND($T271=1,BZ$5&lt;=$H271),INDEX(Mortality!$B$4:$E$64,MATCH($D271+BZ$5-1,Mortality!$A$4:$A$64,0),$U271)*$V271*$N271,0)</f>
        <v>0</v>
      </c>
      <c r="CA271" s="93">
        <f>IF(AND($T271=1,CA$5&lt;=$H271),INDEX(Mortality!$B$4:$E$64,MATCH($D271+CA$5-1,Mortality!$A$4:$A$64,0),$U271)*$V271*$N271,0)</f>
        <v>0</v>
      </c>
      <c r="CB271" s="93">
        <f>IF(AND($T271=1,CB$5&lt;=$H271),INDEX(Mortality!$B$4:$E$64,MATCH($D271+CB$5-1,Mortality!$A$4:$A$64,0),$U271)*$V271*$N271,0)</f>
        <v>0</v>
      </c>
      <c r="CC271" s="93">
        <f>IF(AND($T271=1,CC$5&lt;=$H271),INDEX(Mortality!$B$4:$E$64,MATCH($D271+CC$5-1,Mortality!$A$4:$A$64,0),$U271)*$V271*$N271,0)</f>
        <v>0</v>
      </c>
      <c r="CD271" s="93">
        <f>IF(AND($T271=1,CD$5&lt;=$H271),INDEX(Mortality!$B$4:$E$64,MATCH($D271+CD$5-1,Mortality!$A$4:$A$64,0),$U271)*$V271*$N271,0)</f>
        <v>0</v>
      </c>
      <c r="CE271" s="93">
        <f>IF(AND($T271=1,CE$5&lt;=$H271),INDEX(Mortality!$B$4:$E$64,MATCH($D271+CE$5-1,Mortality!$A$4:$A$64,0),$U271)*$V271*$N271,0)</f>
        <v>0</v>
      </c>
      <c r="CF271" s="93">
        <f>IF(AND($T271=1,CF$5&lt;=$H271),INDEX(Mortality!$B$4:$E$64,MATCH($D271+CF$5-1,Mortality!$A$4:$A$64,0),$U271)*$V271*$N271,0)</f>
        <v>0</v>
      </c>
      <c r="CG271" s="93">
        <f>IF(AND($T271=1,CG$5&lt;=$H271),INDEX(Mortality!$B$4:$E$64,MATCH($D271+CG$5-1,Mortality!$A$4:$A$64,0),$U271)*$V271*$N271,0)</f>
        <v>0</v>
      </c>
      <c r="CH271" s="94">
        <f>IF(AND($T271=1,CH$5&lt;=$H271),INDEX(Mortality!$B$4:$E$64,MATCH($D271+CH$5-1,Mortality!$A$4:$A$64,0),$U271)*$V271*$N271,0)</f>
        <v>0</v>
      </c>
      <c r="CI271" s="26"/>
      <c r="CJ271" s="419">
        <f t="shared" si="89"/>
        <v>0</v>
      </c>
      <c r="CK271" s="93">
        <f>IF(AND($T271=1,CK$5&lt;=$H271),CJ271*(1-AU271)*(1-MIN(1,MAX(Assumptions!$C$27,Assumptions!$C$13*Assumptions!$C$28^(CJ$5-1))*$O271)),0)</f>
        <v>0</v>
      </c>
      <c r="CL271" s="93">
        <f>IF(AND($T271=1,CL$5&lt;=$H271),CK271*(1-AV271)*(1-MIN(1,MAX(Assumptions!$C$27,Assumptions!$C$13*Assumptions!$C$28^(CK$5-1))*$O271)),0)</f>
        <v>0</v>
      </c>
      <c r="CM271" s="93">
        <f>IF(AND($T271=1,CM$5&lt;=$H271),CL271*(1-AW271)*(1-MIN(1,MAX(Assumptions!$C$27,Assumptions!$C$13*Assumptions!$C$28^(CL$5-1))*$O271)),0)</f>
        <v>0</v>
      </c>
      <c r="CN271" s="93">
        <f>IF(AND($T271=1,CN$5&lt;=$H271),CM271*(1-AX271)*(1-MIN(1,MAX(Assumptions!$C$27,Assumptions!$C$13*Assumptions!$C$28^(CM$5-1))*$O271)),0)</f>
        <v>0</v>
      </c>
      <c r="CO271" s="93">
        <f>IF(AND($T271=1,CO$5&lt;=$H271),CN271*(1-AY271)*(1-MIN(1,MAX(Assumptions!$C$27,Assumptions!$C$13*Assumptions!$C$28^(CN$5-1))*$O271)),0)</f>
        <v>0</v>
      </c>
      <c r="CP271" s="93">
        <f>IF(AND($T271=1,CP$5&lt;=$H271),CO271*(1-AZ271)*(1-MIN(1,MAX(Assumptions!$C$27,Assumptions!$C$13*Assumptions!$C$28^(CO$5-1))*$O271)),0)</f>
        <v>0</v>
      </c>
      <c r="CQ271" s="93">
        <f>IF(AND($T271=1,CQ$5&lt;=$H271),CP271*(1-BA271)*(1-MIN(1,MAX(Assumptions!$C$27,Assumptions!$C$13*Assumptions!$C$28^(CP$5-1))*$O271)),0)</f>
        <v>0</v>
      </c>
      <c r="CR271" s="93">
        <f>IF(AND($T271=1,CR$5&lt;=$H271),CQ271*(1-BB271)*(1-MIN(1,MAX(Assumptions!$C$27,Assumptions!$C$13*Assumptions!$C$28^(CQ$5-1))*$O271)),0)</f>
        <v>0</v>
      </c>
      <c r="CS271" s="93">
        <f>IF(AND($T271=1,CS$5&lt;=$H271),CR271*(1-BC271)*(1-MIN(1,MAX(Assumptions!$C$27,Assumptions!$C$13*Assumptions!$C$28^(CR$5-1))*$O271)),0)</f>
        <v>0</v>
      </c>
      <c r="CT271" s="93">
        <f>IF(AND($T271=1,CT$5&lt;=$H271),CS271*(1-BD271)*(1-MIN(1,MAX(Assumptions!$C$27,Assumptions!$C$13*Assumptions!$C$28^(CS$5-1))*$O271)),0)</f>
        <v>0</v>
      </c>
      <c r="CU271" s="93">
        <f>IF(AND($T271=1,CU$5&lt;=$H271),CT271*(1-BE271)*(1-MIN(1,MAX(Assumptions!$C$27,Assumptions!$C$13*Assumptions!$C$28^(CT$5-1))*$O271)),0)</f>
        <v>0</v>
      </c>
      <c r="CV271" s="93">
        <f>IF(AND($T271=1,CV$5&lt;=$H271),CU271*(1-BF271)*(1-MIN(1,MAX(Assumptions!$C$27,Assumptions!$C$13*Assumptions!$C$28^(CU$5-1))*$O271)),0)</f>
        <v>0</v>
      </c>
      <c r="CW271" s="93">
        <f>IF(AND($T271=1,CW$5&lt;=$H271),CV271*(1-BG271)*(1-MIN(1,MAX(Assumptions!$C$27,Assumptions!$C$13*Assumptions!$C$28^(CV$5-1))*$O271)),0)</f>
        <v>0</v>
      </c>
      <c r="CX271" s="93">
        <f>IF(AND($T271=1,CX$5&lt;=$H271),CW271*(1-BH271)*(1-MIN(1,MAX(Assumptions!$C$27,Assumptions!$C$13*Assumptions!$C$28^(CW$5-1))*$O271)),0)</f>
        <v>0</v>
      </c>
      <c r="CY271" s="93">
        <f>IF(AND($T271=1,CY$5&lt;=$H271),CX271*(1-BI271)*(1-MIN(1,MAX(Assumptions!$C$27,Assumptions!$C$13*Assumptions!$C$28^(CX$5-1))*$O271)),0)</f>
        <v>0</v>
      </c>
      <c r="CZ271" s="93">
        <f>IF(AND($T271=1,CZ$5&lt;=$H271),CY271*(1-BJ271)*(1-MIN(1,MAX(Assumptions!$C$27,Assumptions!$C$13*Assumptions!$C$28^(CY$5-1))*$O271)),0)</f>
        <v>0</v>
      </c>
      <c r="DA271" s="93">
        <f>IF(AND($T271=1,DA$5&lt;=$H271),CZ271*(1-BK271)*(1-MIN(1,MAX(Assumptions!$C$27,Assumptions!$C$13*Assumptions!$C$28^(CZ$5-1))*$O271)),0)</f>
        <v>0</v>
      </c>
      <c r="DB271" s="93">
        <f>IF(AND($T271=1,DB$5&lt;=$H271),DA271*(1-BL271)*(1-MIN(1,MAX(Assumptions!$C$27,Assumptions!$C$13*Assumptions!$C$28^(DA$5-1))*$O271)),0)</f>
        <v>0</v>
      </c>
      <c r="DC271" s="93">
        <f>IF(AND($T271=1,DC$5&lt;=$H271),DB271*(1-BM271)*(1-MIN(1,MAX(Assumptions!$C$27,Assumptions!$C$13*Assumptions!$C$28^(DB$5-1))*$O271)),0)</f>
        <v>0</v>
      </c>
      <c r="DD271" s="93">
        <f>IF(AND($T271=1,DD$5&lt;=$H271),DC271*(1-BN271)*(1-MIN(1,MAX(Assumptions!$C$27,Assumptions!$C$13*Assumptions!$C$28^(DC$5-1))*$O271)),0)</f>
        <v>0</v>
      </c>
      <c r="DE271" s="93">
        <f>IF(AND($T271=1,DE$5&lt;=$H271),DD271*(1-BO271)*(1-MIN(1,MAX(Assumptions!$C$27,Assumptions!$C$13*Assumptions!$C$28^(DD$5-1))*$O271)),0)</f>
        <v>0</v>
      </c>
      <c r="DF271" s="93">
        <f>IF(AND($T271=1,DF$5&lt;=$H271),DE271*(1-BP271)*(1-MIN(1,MAX(Assumptions!$C$27,Assumptions!$C$13*Assumptions!$C$28^(DE$5-1))*$O271)),0)</f>
        <v>0</v>
      </c>
      <c r="DG271" s="93">
        <f>IF(AND($T271=1,DG$5&lt;=$H271),DF271*(1-BQ271)*(1-MIN(1,MAX(Assumptions!$C$27,Assumptions!$C$13*Assumptions!$C$28^(DF$5-1))*$O271)),0)</f>
        <v>0</v>
      </c>
      <c r="DH271" s="93">
        <f>IF(AND($T271=1,DH$5&lt;=$H271),DG271*(1-BR271)*(1-MIN(1,MAX(Assumptions!$C$27,Assumptions!$C$13*Assumptions!$C$28^(DG$5-1))*$O271)),0)</f>
        <v>0</v>
      </c>
      <c r="DI271" s="93">
        <f>IF(AND($T271=1,DI$5&lt;=$H271),DH271*(1-BS271)*(1-MIN(1,MAX(Assumptions!$C$27,Assumptions!$C$13*Assumptions!$C$28^(DH$5-1))*$O271)),0)</f>
        <v>0</v>
      </c>
      <c r="DJ271" s="93">
        <f>IF(AND($T271=1,DJ$5&lt;=$H271),DI271*(1-BT271)*(1-MIN(1,MAX(Assumptions!$C$27,Assumptions!$C$13*Assumptions!$C$28^(DI$5-1))*$O271)),0)</f>
        <v>0</v>
      </c>
      <c r="DK271" s="93">
        <f>IF(AND($T271=1,DK$5&lt;=$H271),DJ271*(1-BU271)*(1-MIN(1,MAX(Assumptions!$C$27,Assumptions!$C$13*Assumptions!$C$28^(DJ$5-1))*$O271)),0)</f>
        <v>0</v>
      </c>
      <c r="DL271" s="93">
        <f>IF(AND($T271=1,DL$5&lt;=$H271),DK271*(1-BV271)*(1-MIN(1,MAX(Assumptions!$C$27,Assumptions!$C$13*Assumptions!$C$28^(DK$5-1))*$O271)),0)</f>
        <v>0</v>
      </c>
      <c r="DM271" s="93">
        <f>IF(AND($T271=1,DM$5&lt;=$H271),DL271*(1-BW271)*(1-MIN(1,MAX(Assumptions!$C$27,Assumptions!$C$13*Assumptions!$C$28^(DL$5-1))*$O271)),0)</f>
        <v>0</v>
      </c>
      <c r="DN271" s="93">
        <f>IF(AND($T271=1,DN$5&lt;=$H271),DM271*(1-BX271)*(1-MIN(1,MAX(Assumptions!$C$27,Assumptions!$C$13*Assumptions!$C$28^(DM$5-1))*$O271)),0)</f>
        <v>0</v>
      </c>
      <c r="DO271" s="93">
        <f>IF(AND($T271=1,DO$5&lt;=$H271),DN271*(1-BY271)*(1-MIN(1,MAX(Assumptions!$C$27,Assumptions!$C$13*Assumptions!$C$28^(DN$5-1))*$O271)),0)</f>
        <v>0</v>
      </c>
      <c r="DP271" s="93">
        <f>IF(AND($T271=1,DP$5&lt;=$H271),DO271*(1-BZ271)*(1-MIN(1,MAX(Assumptions!$C$27,Assumptions!$C$13*Assumptions!$C$28^(DO$5-1))*$O271)),0)</f>
        <v>0</v>
      </c>
      <c r="DQ271" s="93">
        <f>IF(AND($T271=1,DQ$5&lt;=$H271),DP271*(1-CA271)*(1-MIN(1,MAX(Assumptions!$C$27,Assumptions!$C$13*Assumptions!$C$28^(DP$5-1))*$O271)),0)</f>
        <v>0</v>
      </c>
      <c r="DR271" s="93">
        <f>IF(AND($T271=1,DR$5&lt;=$H271),DQ271*(1-CB271)*(1-MIN(1,MAX(Assumptions!$C$27,Assumptions!$C$13*Assumptions!$C$28^(DQ$5-1))*$O271)),0)</f>
        <v>0</v>
      </c>
      <c r="DS271" s="93">
        <f>IF(AND($T271=1,DS$5&lt;=$H271),DR271*(1-CC271)*(1-MIN(1,MAX(Assumptions!$C$27,Assumptions!$C$13*Assumptions!$C$28^(DR$5-1))*$O271)),0)</f>
        <v>0</v>
      </c>
      <c r="DT271" s="93">
        <f>IF(AND($T271=1,DT$5&lt;=$H271),DS271*(1-CD271)*(1-MIN(1,MAX(Assumptions!$C$27,Assumptions!$C$13*Assumptions!$C$28^(DS$5-1))*$O271)),0)</f>
        <v>0</v>
      </c>
      <c r="DU271" s="93">
        <f>IF(AND($T271=1,DU$5&lt;=$H271),DT271*(1-CE271)*(1-MIN(1,MAX(Assumptions!$C$27,Assumptions!$C$13*Assumptions!$C$28^(DT$5-1))*$O271)),0)</f>
        <v>0</v>
      </c>
      <c r="DV271" s="93">
        <f>IF(AND($T271=1,DV$5&lt;=$H271),DU271*(1-CF271)*(1-MIN(1,MAX(Assumptions!$C$27,Assumptions!$C$13*Assumptions!$C$28^(DU$5-1))*$O271)),0)</f>
        <v>0</v>
      </c>
      <c r="DW271" s="94">
        <f>IF(AND($T271=1,DW$5&lt;=$H271),DV271*(1-CG271)*(1-MIN(1,MAX(Assumptions!$C$27,Assumptions!$C$13*Assumptions!$C$28^(DV$5-1))*$O271)),0)</f>
        <v>0</v>
      </c>
      <c r="DX271" s="26"/>
      <c r="DY271" s="399">
        <f>'Policy Data'!K245</f>
        <v>5</v>
      </c>
      <c r="DZ271" s="100">
        <f>'Policy Data'!L245</f>
        <v>0.74890000000000001</v>
      </c>
      <c r="EA271" s="100">
        <f>'Policy Data'!N245</f>
        <v>1.5100000000000001E-4</v>
      </c>
      <c r="EB271" s="93" cm="1">
        <f t="array" ref="EB271">IFERROR(DZ271*INDEX(Mortality!$B$4:$E$64,MATCH(D271+DY271-1,Mortality!$A$4:$A$64,0),U271)*V271,0)</f>
        <v>2.080084778031665E-4</v>
      </c>
      <c r="EC271" s="100">
        <f>'Policy Data'!O245</f>
        <v>0</v>
      </c>
      <c r="ED271" s="400">
        <f>'Policy Data'!Q245</f>
        <v>0</v>
      </c>
    </row>
    <row r="272" spans="1:134" x14ac:dyDescent="0.3">
      <c r="A272" s="399" t="str">
        <f>'Policy Data'!A246</f>
        <v>POL100242</v>
      </c>
      <c r="B272" s="26" t="s">
        <v>426</v>
      </c>
      <c r="C272" s="100" t="str">
        <f>'Policy Data'!B246</f>
        <v>Term Life</v>
      </c>
      <c r="D272" s="100">
        <f>'Policy Data'!C246</f>
        <v>50</v>
      </c>
      <c r="E272" s="100" t="str">
        <f>'Policy Data'!D246</f>
        <v>Male</v>
      </c>
      <c r="F272" s="100" t="str">
        <f>'Policy Data'!E246</f>
        <v>Non-smoker</v>
      </c>
      <c r="G272" s="100" t="str">
        <f>'Policy Data'!F246</f>
        <v>Preferred</v>
      </c>
      <c r="H272" s="100">
        <f>'Policy Data'!G246</f>
        <v>20</v>
      </c>
      <c r="I272" s="279">
        <f>'Policy Data'!H246</f>
        <v>2000000</v>
      </c>
      <c r="J272" s="100" t="str">
        <f>'Policy Data'!I246</f>
        <v>Annual</v>
      </c>
      <c r="K272" s="100" t="str">
        <f>'Policy Data'!J246</f>
        <v>Bancassurance</v>
      </c>
      <c r="L272" s="26" t="s">
        <v>389</v>
      </c>
      <c r="M272" s="106">
        <f>'Policy Data'!R246</f>
        <v>6419.31</v>
      </c>
      <c r="N272" s="415">
        <f>Assumptions!$C$21</f>
        <v>1</v>
      </c>
      <c r="O272" s="415">
        <f>Assumptions!$C$22</f>
        <v>1</v>
      </c>
      <c r="P272" s="415">
        <f>Assumptions!$C$23</f>
        <v>1</v>
      </c>
      <c r="Q272" s="416">
        <f>Assumptions!$C$24</f>
        <v>0</v>
      </c>
      <c r="R272" s="416">
        <f>Assumptions!$C$6+Assumptions!$C$25</f>
        <v>3.5000000000000003E-2</v>
      </c>
      <c r="S272" s="416">
        <f>Assumptions!$C$15</f>
        <v>1.1000000000000001E-3</v>
      </c>
      <c r="T272" s="26">
        <f t="shared" si="72"/>
        <v>1</v>
      </c>
      <c r="U272" s="26">
        <f t="shared" si="73"/>
        <v>3</v>
      </c>
      <c r="V272" s="389">
        <f>IF($G272="Preferred",Assumptions!$C$30,IF($G272="Rated",Assumptions!$C$31,1))</f>
        <v>0.8</v>
      </c>
      <c r="W272" s="390">
        <f>IF($K272="Direct",Assumptions!$C$32,IF($K272="Broker",Assumptions!$C$33,IF($K272="Bancassurance",Assumptions!$C$34,Assumptions!$C$11)))+$Q272</f>
        <v>0.2</v>
      </c>
      <c r="X272" s="390">
        <f>Assumptions!$C$12+$Q272</f>
        <v>0.05</v>
      </c>
      <c r="Y272" s="131">
        <f>MIN($I272,Assumptions!$C$14)</f>
        <v>500000</v>
      </c>
      <c r="Z272" s="131">
        <f>MAX($I272-Assumptions!$C$14,0)</f>
        <v>1500000</v>
      </c>
      <c r="AA272" s="389">
        <f t="shared" si="74"/>
        <v>8.4436488860910224</v>
      </c>
      <c r="AB272" s="389">
        <f t="shared" si="75"/>
        <v>3.3281291464102039E-2</v>
      </c>
      <c r="AC272" s="389">
        <f>IF($T272=1,SUMPRODUCT($CJ272:$DW272,(1+Assumptions!$C$5)^($CJ$5:$DW$5-1),(1+$R272)^(-$CJ$5:$DW$5)),0)</f>
        <v>11.318928981186444</v>
      </c>
      <c r="AD272" s="389">
        <f t="shared" si="76"/>
        <v>0.56710998053643524</v>
      </c>
      <c r="AE272" s="131">
        <f>IF($T272=1,$AB272*$Y272+(Assumptions!$C$9/(1+$R272)+Assumptions!$C$10*$AC272)*$P272+$S272*$Z272*$AA272,0)</f>
        <v>33932.395987353528</v>
      </c>
      <c r="AF272" s="131">
        <f>IF($T272=1,IF($AA272-$AD272-Assumptions!$C$16*$AA272&gt;0,$AE272/($AA272-$AD272-Assumptions!$C$16*$AA272)*IF($J272="Monthly",1+Assumptions!$C$29,1),"n.a."),"")</f>
        <v>4712.1475547211367</v>
      </c>
      <c r="AG272" s="131">
        <f t="shared" si="77"/>
        <v>6419.31</v>
      </c>
      <c r="AH272" s="131">
        <f t="shared" si="78"/>
        <v>54202.399730972968</v>
      </c>
      <c r="AI272" s="131">
        <f t="shared" si="79"/>
        <v>16629.548974462094</v>
      </c>
      <c r="AJ272" s="390">
        <f t="shared" si="80"/>
        <v>0.30680466283782343</v>
      </c>
      <c r="AK272" s="389">
        <f t="shared" si="81"/>
        <v>1.362289683303411</v>
      </c>
      <c r="AL272" s="131">
        <f t="shared" si="82"/>
        <v>49921.937196153056</v>
      </c>
      <c r="AM272" s="131">
        <f t="shared" si="83"/>
        <v>13932.020662050187</v>
      </c>
      <c r="AN272" s="131">
        <f t="shared" si="84"/>
        <v>35989.916534102871</v>
      </c>
      <c r="AO272" s="131">
        <f t="shared" si="85"/>
        <v>-19360.367559640777</v>
      </c>
      <c r="AP272" s="26" t="str">
        <f t="shared" si="86"/>
        <v>50-59</v>
      </c>
      <c r="AQ272" s="26" t="str">
        <f t="shared" si="87"/>
        <v>Over 1m</v>
      </c>
      <c r="AR272" s="26" t="str">
        <f>IF($T272=1,IF($AI272&lt;0,"Loss-making",IF($AJ272&lt;Assumptions!$C$16-0.00001,"Below target","At/above target")),"Excluded")</f>
        <v>At/above target</v>
      </c>
      <c r="AS272" s="103">
        <f t="shared" si="88"/>
        <v>16629.549246462095</v>
      </c>
      <c r="AT272" s="26"/>
      <c r="AU272" s="419">
        <f>IF(AND($T272=1,AU$5&lt;=$H272),INDEX(Mortality!$B$4:$E$64,MATCH($D272+AU$5-1,Mortality!$A$4:$A$64,0),$U272)*$V272*$N272,0)</f>
        <v>2.0505554236995758E-3</v>
      </c>
      <c r="AV272" s="93">
        <f>IF(AND($T272=1,AV$5&lt;=$H272),INDEX(Mortality!$B$4:$E$64,MATCH($D272+AV$5-1,Mortality!$A$4:$A$64,0),$U272)*$V272*$N272,0)</f>
        <v>2.2213401720444963E-3</v>
      </c>
      <c r="AW272" s="93">
        <f>IF(AND($T272=1,AW$5&lt;=$H272),INDEX(Mortality!$B$4:$E$64,MATCH($D272+AW$5-1,Mortality!$A$4:$A$64,0),$U272)*$V272*$N272,0)</f>
        <v>2.4063490812826719E-3</v>
      </c>
      <c r="AX272" s="93">
        <f>IF(AND($T272=1,AX$5&lt;=$H272),INDEX(Mortality!$B$4:$E$64,MATCH($D272+AX$5-1,Mortality!$A$4:$A$64,0),$U272)*$V272*$N272,0)</f>
        <v>2.60676684006504E-3</v>
      </c>
      <c r="AY272" s="93">
        <f>IF(AND($T272=1,AY$5&lt;=$H272),INDEX(Mortality!$B$4:$E$64,MATCH($D272+AY$5-1,Mortality!$A$4:$A$64,0),$U272)*$V272*$N272,0)</f>
        <v>2.8238768062863683E-3</v>
      </c>
      <c r="AZ272" s="93">
        <f>IF(AND($T272=1,AZ$5&lt;=$H272),INDEX(Mortality!$B$4:$E$64,MATCH($D272+AZ$5-1,Mortality!$A$4:$A$64,0),$U272)*$V272*$N272,0)</f>
        <v>3.0590692249572882E-3</v>
      </c>
      <c r="BA272" s="93">
        <f>IF(AND($T272=1,BA$5&lt;=$H272),INDEX(Mortality!$B$4:$E$64,MATCH($D272+BA$5-1,Mortality!$A$4:$A$64,0),$U272)*$V272*$N272,0)</f>
        <v>3.313850130518688E-3</v>
      </c>
      <c r="BB272" s="93">
        <f>IF(AND($T272=1,BB$5&lt;=$H272),INDEX(Mortality!$B$4:$E$64,MATCH($D272+BB$5-1,Mortality!$A$4:$A$64,0),$U272)*$V272*$N272,0)</f>
        <v>3.5898509906038718E-3</v>
      </c>
      <c r="BC272" s="93">
        <f>IF(AND($T272=1,BC$5&lt;=$H272),INDEX(Mortality!$B$4:$E$64,MATCH($D272+BC$5-1,Mortality!$A$4:$A$64,0),$U272)*$V272*$N272,0)</f>
        <v>3.888839153001312E-3</v>
      </c>
      <c r="BD272" s="93">
        <f>IF(AND($T272=1,BD$5&lt;=$H272),INDEX(Mortality!$B$4:$E$64,MATCH($D272+BD$5-1,Mortality!$A$4:$A$64,0),$U272)*$V272*$N272,0)</f>
        <v>4.2127291627143603E-3</v>
      </c>
      <c r="BE272" s="93">
        <f>IF(AND($T272=1,BE$5&lt;=$H272),INDEX(Mortality!$B$4:$E$64,MATCH($D272+BE$5-1,Mortality!$A$4:$A$64,0),$U272)*$V272*$N272,0)</f>
        <v>4.5635950215856241E-3</v>
      </c>
      <c r="BF272" s="93">
        <f>IF(AND($T272=1,BF$5&lt;=$H272),INDEX(Mortality!$B$4:$E$64,MATCH($D272+BF$5-1,Mortality!$A$4:$A$64,0),$U272)*$V272*$N272,0)</f>
        <v>4.9436834689895286E-3</v>
      </c>
      <c r="BG272" s="93">
        <f>IF(AND($T272=1,BG$5&lt;=$H272),INDEX(Mortality!$B$4:$E$64,MATCH($D272+BG$5-1,Mortality!$A$4:$A$64,0),$U272)*$V272*$N272,0)</f>
        <v>5.3554283686348325E-3</v>
      </c>
      <c r="BH272" s="93">
        <f>IF(AND($T272=1,BH$5&lt;=$H272),INDEX(Mortality!$B$4:$E$64,MATCH($D272+BH$5-1,Mortality!$A$4:$A$64,0),$U272)*$V272*$N272,0)</f>
        <v>5.801466293601721E-3</v>
      </c>
      <c r="BI272" s="93">
        <f>IF(AND($T272=1,BI$5&lt;=$H272),INDEX(Mortality!$B$4:$E$64,MATCH($D272+BI$5-1,Mortality!$A$4:$A$64,0),$U272)*$V272*$N272,0)</f>
        <v>6.2846534094109126E-3</v>
      </c>
      <c r="BJ272" s="93">
        <f>IF(AND($T272=1,BJ$5&lt;=$H272),INDEX(Mortality!$B$4:$E$64,MATCH($D272+BJ$5-1,Mortality!$A$4:$A$64,0),$U272)*$V272*$N272,0)</f>
        <v>6.8080837632341759E-3</v>
      </c>
      <c r="BK272" s="93">
        <f>IF(AND($T272=1,BK$5&lt;=$H272),INDEX(Mortality!$B$4:$E$64,MATCH($D272+BK$5-1,Mortality!$A$4:$A$64,0),$U272)*$V272*$N272,0)</f>
        <v>7.3751090963594477E-3</v>
      </c>
      <c r="BL272" s="93">
        <f>IF(AND($T272=1,BL$5&lt;=$H272),INDEX(Mortality!$B$4:$E$64,MATCH($D272+BL$5-1,Mortality!$A$4:$A$64,0),$U272)*$V272*$N272,0)</f>
        <v>7.9893603067781437E-3</v>
      </c>
      <c r="BM272" s="93">
        <f>IF(AND($T272=1,BM$5&lt;=$H272),INDEX(Mortality!$B$4:$E$64,MATCH($D272+BM$5-1,Mortality!$A$4:$A$64,0),$U272)*$V272*$N272,0)</f>
        <v>8.6547706993283999E-3</v>
      </c>
      <c r="BN272" s="93">
        <f>IF(AND($T272=1,BN$5&lt;=$H272),INDEX(Mortality!$B$4:$E$64,MATCH($D272+BN$5-1,Mortality!$A$4:$A$64,0),$U272)*$V272*$N272,0)</f>
        <v>9.3756011722746415E-3</v>
      </c>
      <c r="BO272" s="93">
        <f>IF(AND($T272=1,BO$5&lt;=$H272),INDEX(Mortality!$B$4:$E$64,MATCH($D272+BO$5-1,Mortality!$A$4:$A$64,0),$U272)*$V272*$N272,0)</f>
        <v>0</v>
      </c>
      <c r="BP272" s="93">
        <f>IF(AND($T272=1,BP$5&lt;=$H272),INDEX(Mortality!$B$4:$E$64,MATCH($D272+BP$5-1,Mortality!$A$4:$A$64,0),$U272)*$V272*$N272,0)</f>
        <v>0</v>
      </c>
      <c r="BQ272" s="93">
        <f>IF(AND($T272=1,BQ$5&lt;=$H272),INDEX(Mortality!$B$4:$E$64,MATCH($D272+BQ$5-1,Mortality!$A$4:$A$64,0),$U272)*$V272*$N272,0)</f>
        <v>0</v>
      </c>
      <c r="BR272" s="93">
        <f>IF(AND($T272=1,BR$5&lt;=$H272),INDEX(Mortality!$B$4:$E$64,MATCH($D272+BR$5-1,Mortality!$A$4:$A$64,0),$U272)*$V272*$N272,0)</f>
        <v>0</v>
      </c>
      <c r="BS272" s="93">
        <f>IF(AND($T272=1,BS$5&lt;=$H272),INDEX(Mortality!$B$4:$E$64,MATCH($D272+BS$5-1,Mortality!$A$4:$A$64,0),$U272)*$V272*$N272,0)</f>
        <v>0</v>
      </c>
      <c r="BT272" s="93">
        <f>IF(AND($T272=1,BT$5&lt;=$H272),INDEX(Mortality!$B$4:$E$64,MATCH($D272+BT$5-1,Mortality!$A$4:$A$64,0),$U272)*$V272*$N272,0)</f>
        <v>0</v>
      </c>
      <c r="BU272" s="93">
        <f>IF(AND($T272=1,BU$5&lt;=$H272),INDEX(Mortality!$B$4:$E$64,MATCH($D272+BU$5-1,Mortality!$A$4:$A$64,0),$U272)*$V272*$N272,0)</f>
        <v>0</v>
      </c>
      <c r="BV272" s="93">
        <f>IF(AND($T272=1,BV$5&lt;=$H272),INDEX(Mortality!$B$4:$E$64,MATCH($D272+BV$5-1,Mortality!$A$4:$A$64,0),$U272)*$V272*$N272,0)</f>
        <v>0</v>
      </c>
      <c r="BW272" s="93">
        <f>IF(AND($T272=1,BW$5&lt;=$H272),INDEX(Mortality!$B$4:$E$64,MATCH($D272+BW$5-1,Mortality!$A$4:$A$64,0),$U272)*$V272*$N272,0)</f>
        <v>0</v>
      </c>
      <c r="BX272" s="93">
        <f>IF(AND($T272=1,BX$5&lt;=$H272),INDEX(Mortality!$B$4:$E$64,MATCH($D272+BX$5-1,Mortality!$A$4:$A$64,0),$U272)*$V272*$N272,0)</f>
        <v>0</v>
      </c>
      <c r="BY272" s="93">
        <f>IF(AND($T272=1,BY$5&lt;=$H272),INDEX(Mortality!$B$4:$E$64,MATCH($D272+BY$5-1,Mortality!$A$4:$A$64,0),$U272)*$V272*$N272,0)</f>
        <v>0</v>
      </c>
      <c r="BZ272" s="93">
        <f>IF(AND($T272=1,BZ$5&lt;=$H272),INDEX(Mortality!$B$4:$E$64,MATCH($D272+BZ$5-1,Mortality!$A$4:$A$64,0),$U272)*$V272*$N272,0)</f>
        <v>0</v>
      </c>
      <c r="CA272" s="93">
        <f>IF(AND($T272=1,CA$5&lt;=$H272),INDEX(Mortality!$B$4:$E$64,MATCH($D272+CA$5-1,Mortality!$A$4:$A$64,0),$U272)*$V272*$N272,0)</f>
        <v>0</v>
      </c>
      <c r="CB272" s="93">
        <f>IF(AND($T272=1,CB$5&lt;=$H272),INDEX(Mortality!$B$4:$E$64,MATCH($D272+CB$5-1,Mortality!$A$4:$A$64,0),$U272)*$V272*$N272,0)</f>
        <v>0</v>
      </c>
      <c r="CC272" s="93">
        <f>IF(AND($T272=1,CC$5&lt;=$H272),INDEX(Mortality!$B$4:$E$64,MATCH($D272+CC$5-1,Mortality!$A$4:$A$64,0),$U272)*$V272*$N272,0)</f>
        <v>0</v>
      </c>
      <c r="CD272" s="93">
        <f>IF(AND($T272=1,CD$5&lt;=$H272),INDEX(Mortality!$B$4:$E$64,MATCH($D272+CD$5-1,Mortality!$A$4:$A$64,0),$U272)*$V272*$N272,0)</f>
        <v>0</v>
      </c>
      <c r="CE272" s="93">
        <f>IF(AND($T272=1,CE$5&lt;=$H272),INDEX(Mortality!$B$4:$E$64,MATCH($D272+CE$5-1,Mortality!$A$4:$A$64,0),$U272)*$V272*$N272,0)</f>
        <v>0</v>
      </c>
      <c r="CF272" s="93">
        <f>IF(AND($T272=1,CF$5&lt;=$H272),INDEX(Mortality!$B$4:$E$64,MATCH($D272+CF$5-1,Mortality!$A$4:$A$64,0),$U272)*$V272*$N272,0)</f>
        <v>0</v>
      </c>
      <c r="CG272" s="93">
        <f>IF(AND($T272=1,CG$5&lt;=$H272),INDEX(Mortality!$B$4:$E$64,MATCH($D272+CG$5-1,Mortality!$A$4:$A$64,0),$U272)*$V272*$N272,0)</f>
        <v>0</v>
      </c>
      <c r="CH272" s="94">
        <f>IF(AND($T272=1,CH$5&lt;=$H272),INDEX(Mortality!$B$4:$E$64,MATCH($D272+CH$5-1,Mortality!$A$4:$A$64,0),$U272)*$V272*$N272,0)</f>
        <v>0</v>
      </c>
      <c r="CI272" s="26"/>
      <c r="CJ272" s="419">
        <f t="shared" si="89"/>
        <v>1</v>
      </c>
      <c r="CK272" s="93">
        <f>IF(AND($T272=1,CK$5&lt;=$H272),CJ272*(1-AU272)*(1-MIN(1,MAX(Assumptions!$C$27,Assumptions!$C$13*Assumptions!$C$28^(CJ$5-1))*$O272)),0)</f>
        <v>0.87819551122714434</v>
      </c>
      <c r="CL272" s="93">
        <f>IF(AND($T272=1,CL$5&lt;=$H272),CK272*(1-AV272)*(1-MIN(1,MAX(Assumptions!$C$27,Assumptions!$C$13*Assumptions!$C$28^(CK$5-1))*$O272)),0)</f>
        <v>0.78686777675271347</v>
      </c>
      <c r="CM272" s="93">
        <f>IF(AND($T272=1,CM$5&lt;=$H272),CL272*(1-AW272)*(1-MIN(1,MAX(Assumptions!$C$27,Assumptions!$C$13*Assumptions!$C$28^(CL$5-1))*$O272)),0)</f>
        <v>0.71691702654700395</v>
      </c>
      <c r="CN272" s="93">
        <f>IF(AND($T272=1,CN$5&lt;=$H272),CM272*(1-AX272)*(1-MIN(1,MAX(Assumptions!$C$27,Assumptions!$C$13*Assumptions!$C$28^(CM$5-1))*$O272)),0)</f>
        <v>0.66235271457826372</v>
      </c>
      <c r="CO272" s="93">
        <f>IF(AND($T272=1,CO$5&lt;=$H272),CN272*(1-AY272)*(1-MIN(1,MAX(Assumptions!$C$27,Assumptions!$C$13*Assumptions!$C$28^(CN$5-1))*$O272)),0)</f>
        <v>0.61910920471768172</v>
      </c>
      <c r="CP272" s="93">
        <f>IF(AND($T272=1,CP$5&lt;=$H272),CO272*(1-AZ272)*(1-MIN(1,MAX(Assumptions!$C$27,Assumptions!$C$13*Assumptions!$C$28^(CO$5-1))*$O272)),0)</f>
        <v>0.58435190153248417</v>
      </c>
      <c r="CQ272" s="93">
        <f>IF(AND($T272=1,CQ$5&lt;=$H272),CP272*(1-BA272)*(1-MIN(1,MAX(Assumptions!$C$27,Assumptions!$C$13*Assumptions!$C$28^(CP$5-1))*$O272)),0)</f>
        <v>0.55605652246408821</v>
      </c>
      <c r="CR272" s="93">
        <f>IF(AND($T272=1,CR$5&lt;=$H272),CQ272*(1-BB272)*(1-MIN(1,MAX(Assumptions!$C$27,Assumptions!$C$13*Assumptions!$C$28^(CQ$5-1))*$O272)),0)</f>
        <v>0.53274607548062503</v>
      </c>
      <c r="CS272" s="93">
        <f>IF(AND($T272=1,CS$5&lt;=$H272),CR272*(1-BC272)*(1-MIN(1,MAX(Assumptions!$C$27,Assumptions!$C$13*Assumptions!$C$28^(CR$5-1))*$O272)),0)</f>
        <v>0.51332186506583644</v>
      </c>
      <c r="CT272" s="93">
        <f>IF(AND($T272=1,CT$5&lt;=$H272),CS272*(1-BD272)*(1-MIN(1,MAX(Assumptions!$C$27,Assumptions!$C$13*Assumptions!$C$28^(CS$5-1))*$O272)),0)</f>
        <v>0.49695219814156988</v>
      </c>
      <c r="CU272" s="93">
        <f>IF(AND($T272=1,CU$5&lt;=$H272),CT272*(1-BE272)*(1-MIN(1,MAX(Assumptions!$C$27,Assumptions!$C$13*Assumptions!$C$28^(CT$5-1))*$O272)),0)</f>
        <v>0.48299742811030738</v>
      </c>
      <c r="CV272" s="93">
        <f>IF(AND($T272=1,CV$5&lt;=$H272),CU272*(1-BF272)*(1-MIN(1,MAX(Assumptions!$C$27,Assumptions!$C$13*Assumptions!$C$28^(CU$5-1))*$O272)),0)</f>
        <v>0.47095842854233555</v>
      </c>
      <c r="CW272" s="93">
        <f>IF(AND($T272=1,CW$5&lt;=$H272),CV272*(1-BG272)*(1-MIN(1,MAX(Assumptions!$C$27,Assumptions!$C$13*Assumptions!$C$28^(CV$5-1))*$O272)),0)</f>
        <v>0.45906751952539882</v>
      </c>
      <c r="CX272" s="93">
        <f>IF(AND($T272=1,CX$5&lt;=$H272),CW272*(1-BH272)*(1-MIN(1,MAX(Assumptions!$C$27,Assumptions!$C$13*Assumptions!$C$28^(CW$5-1))*$O272)),0)</f>
        <v>0.44727616968869721</v>
      </c>
      <c r="CY272" s="93">
        <f>IF(AND($T272=1,CY$5&lt;=$H272),CX272*(1-BI272)*(1-MIN(1,MAX(Assumptions!$C$27,Assumptions!$C$13*Assumptions!$C$28^(CX$5-1))*$O272)),0)</f>
        <v>0.43557589010423664</v>
      </c>
      <c r="CZ272" s="93">
        <f>IF(AND($T272=1,CZ$5&lt;=$H272),CY272*(1-BJ272)*(1-MIN(1,MAX(Assumptions!$C$27,Assumptions!$C$13*Assumptions!$C$28^(CY$5-1))*$O272)),0)</f>
        <v>0.42395824389997849</v>
      </c>
      <c r="DA272" s="93">
        <f>IF(AND($T272=1,DA$5&lt;=$H272),CZ272*(1-BK272)*(1-MIN(1,MAX(Assumptions!$C$27,Assumptions!$C$13*Assumptions!$C$28^(CZ$5-1))*$O272)),0)</f>
        <v>0.41241487548693689</v>
      </c>
      <c r="DB272" s="93">
        <f>IF(AND($T272=1,DB$5&lt;=$H272),DA272*(1-BL272)*(1-MIN(1,MAX(Assumptions!$C$27,Assumptions!$C$13*Assumptions!$C$28^(DA$5-1))*$O272)),0)</f>
        <v>0.40093754556178079</v>
      </c>
      <c r="DC272" s="93">
        <f>IF(AND($T272=1,DC$5&lt;=$H272),DB272*(1-BM272)*(1-MIN(1,MAX(Assumptions!$C$27,Assumptions!$C$13*Assumptions!$C$28^(DB$5-1))*$O272)),0)</f>
        <v>0.3895181725793882</v>
      </c>
      <c r="DD272" s="93">
        <f>IF(AND($T272=1,DD$5&lt;=$H272),DC272*(1-BN272)*(1-MIN(1,MAX(Assumptions!$C$27,Assumptions!$C$13*Assumptions!$C$28^(DC$5-1))*$O272)),0)</f>
        <v>0</v>
      </c>
      <c r="DE272" s="93">
        <f>IF(AND($T272=1,DE$5&lt;=$H272),DD272*(1-BO272)*(1-MIN(1,MAX(Assumptions!$C$27,Assumptions!$C$13*Assumptions!$C$28^(DD$5-1))*$O272)),0)</f>
        <v>0</v>
      </c>
      <c r="DF272" s="93">
        <f>IF(AND($T272=1,DF$5&lt;=$H272),DE272*(1-BP272)*(1-MIN(1,MAX(Assumptions!$C$27,Assumptions!$C$13*Assumptions!$C$28^(DE$5-1))*$O272)),0)</f>
        <v>0</v>
      </c>
      <c r="DG272" s="93">
        <f>IF(AND($T272=1,DG$5&lt;=$H272),DF272*(1-BQ272)*(1-MIN(1,MAX(Assumptions!$C$27,Assumptions!$C$13*Assumptions!$C$28^(DF$5-1))*$O272)),0)</f>
        <v>0</v>
      </c>
      <c r="DH272" s="93">
        <f>IF(AND($T272=1,DH$5&lt;=$H272),DG272*(1-BR272)*(1-MIN(1,MAX(Assumptions!$C$27,Assumptions!$C$13*Assumptions!$C$28^(DG$5-1))*$O272)),0)</f>
        <v>0</v>
      </c>
      <c r="DI272" s="93">
        <f>IF(AND($T272=1,DI$5&lt;=$H272),DH272*(1-BS272)*(1-MIN(1,MAX(Assumptions!$C$27,Assumptions!$C$13*Assumptions!$C$28^(DH$5-1))*$O272)),0)</f>
        <v>0</v>
      </c>
      <c r="DJ272" s="93">
        <f>IF(AND($T272=1,DJ$5&lt;=$H272),DI272*(1-BT272)*(1-MIN(1,MAX(Assumptions!$C$27,Assumptions!$C$13*Assumptions!$C$28^(DI$5-1))*$O272)),0)</f>
        <v>0</v>
      </c>
      <c r="DK272" s="93">
        <f>IF(AND($T272=1,DK$5&lt;=$H272),DJ272*(1-BU272)*(1-MIN(1,MAX(Assumptions!$C$27,Assumptions!$C$13*Assumptions!$C$28^(DJ$5-1))*$O272)),0)</f>
        <v>0</v>
      </c>
      <c r="DL272" s="93">
        <f>IF(AND($T272=1,DL$5&lt;=$H272),DK272*(1-BV272)*(1-MIN(1,MAX(Assumptions!$C$27,Assumptions!$C$13*Assumptions!$C$28^(DK$5-1))*$O272)),0)</f>
        <v>0</v>
      </c>
      <c r="DM272" s="93">
        <f>IF(AND($T272=1,DM$5&lt;=$H272),DL272*(1-BW272)*(1-MIN(1,MAX(Assumptions!$C$27,Assumptions!$C$13*Assumptions!$C$28^(DL$5-1))*$O272)),0)</f>
        <v>0</v>
      </c>
      <c r="DN272" s="93">
        <f>IF(AND($T272=1,DN$5&lt;=$H272),DM272*(1-BX272)*(1-MIN(1,MAX(Assumptions!$C$27,Assumptions!$C$13*Assumptions!$C$28^(DM$5-1))*$O272)),0)</f>
        <v>0</v>
      </c>
      <c r="DO272" s="93">
        <f>IF(AND($T272=1,DO$5&lt;=$H272),DN272*(1-BY272)*(1-MIN(1,MAX(Assumptions!$C$27,Assumptions!$C$13*Assumptions!$C$28^(DN$5-1))*$O272)),0)</f>
        <v>0</v>
      </c>
      <c r="DP272" s="93">
        <f>IF(AND($T272=1,DP$5&lt;=$H272),DO272*(1-BZ272)*(1-MIN(1,MAX(Assumptions!$C$27,Assumptions!$C$13*Assumptions!$C$28^(DO$5-1))*$O272)),0)</f>
        <v>0</v>
      </c>
      <c r="DQ272" s="93">
        <f>IF(AND($T272=1,DQ$5&lt;=$H272),DP272*(1-CA272)*(1-MIN(1,MAX(Assumptions!$C$27,Assumptions!$C$13*Assumptions!$C$28^(DP$5-1))*$O272)),0)</f>
        <v>0</v>
      </c>
      <c r="DR272" s="93">
        <f>IF(AND($T272=1,DR$5&lt;=$H272),DQ272*(1-CB272)*(1-MIN(1,MAX(Assumptions!$C$27,Assumptions!$C$13*Assumptions!$C$28^(DQ$5-1))*$O272)),0)</f>
        <v>0</v>
      </c>
      <c r="DS272" s="93">
        <f>IF(AND($T272=1,DS$5&lt;=$H272),DR272*(1-CC272)*(1-MIN(1,MAX(Assumptions!$C$27,Assumptions!$C$13*Assumptions!$C$28^(DR$5-1))*$O272)),0)</f>
        <v>0</v>
      </c>
      <c r="DT272" s="93">
        <f>IF(AND($T272=1,DT$5&lt;=$H272),DS272*(1-CD272)*(1-MIN(1,MAX(Assumptions!$C$27,Assumptions!$C$13*Assumptions!$C$28^(DS$5-1))*$O272)),0)</f>
        <v>0</v>
      </c>
      <c r="DU272" s="93">
        <f>IF(AND($T272=1,DU$5&lt;=$H272),DT272*(1-CE272)*(1-MIN(1,MAX(Assumptions!$C$27,Assumptions!$C$13*Assumptions!$C$28^(DT$5-1))*$O272)),0)</f>
        <v>0</v>
      </c>
      <c r="DV272" s="93">
        <f>IF(AND($T272=1,DV$5&lt;=$H272),DU272*(1-CF272)*(1-MIN(1,MAX(Assumptions!$C$27,Assumptions!$C$13*Assumptions!$C$28^(DU$5-1))*$O272)),0)</f>
        <v>0</v>
      </c>
      <c r="DW272" s="94">
        <f>IF(AND($T272=1,DW$5&lt;=$H272),DV272*(1-CG272)*(1-MIN(1,MAX(Assumptions!$C$27,Assumptions!$C$13*Assumptions!$C$28^(DV$5-1))*$O272)),0)</f>
        <v>0</v>
      </c>
      <c r="DX272" s="26"/>
      <c r="DY272" s="399">
        <f>'Policy Data'!K246</f>
        <v>4</v>
      </c>
      <c r="DZ272" s="100">
        <f>'Policy Data'!L246</f>
        <v>0.94740000000000002</v>
      </c>
      <c r="EA272" s="100">
        <f>'Policy Data'!N246</f>
        <v>1.9430000000000001E-3</v>
      </c>
      <c r="EB272" s="93" cm="1">
        <f t="array" ref="EB272">IFERROR(DZ272*INDEX(Mortality!$B$4:$E$64,MATCH(D272+DY272-1,Mortality!$A$4:$A$64,0),U272)*V272,0)</f>
        <v>2.4696509042776192E-3</v>
      </c>
      <c r="EC272" s="100">
        <f>'Policy Data'!O246</f>
        <v>0</v>
      </c>
      <c r="ED272" s="400">
        <f>'Policy Data'!Q246</f>
        <v>0</v>
      </c>
    </row>
    <row r="273" spans="1:134" x14ac:dyDescent="0.3">
      <c r="A273" s="399" t="str">
        <f>'Policy Data'!A247</f>
        <v>POL100243</v>
      </c>
      <c r="B273" s="26" t="s">
        <v>426</v>
      </c>
      <c r="C273" s="100" t="str">
        <f>'Policy Data'!B247</f>
        <v>Term Life</v>
      </c>
      <c r="D273" s="100">
        <f>'Policy Data'!C247</f>
        <v>54</v>
      </c>
      <c r="E273" s="100" t="str">
        <f>'Policy Data'!D247</f>
        <v>Male</v>
      </c>
      <c r="F273" s="100" t="str">
        <f>'Policy Data'!E247</f>
        <v>Non-smoker</v>
      </c>
      <c r="G273" s="100" t="str">
        <f>'Policy Data'!F247</f>
        <v>Standard</v>
      </c>
      <c r="H273" s="100">
        <f>'Policy Data'!G247</f>
        <v>10</v>
      </c>
      <c r="I273" s="279">
        <f>'Policy Data'!H247</f>
        <v>500000</v>
      </c>
      <c r="J273" s="100" t="str">
        <f>'Policy Data'!I247</f>
        <v>Monthly</v>
      </c>
      <c r="K273" s="100" t="str">
        <f>'Policy Data'!J247</f>
        <v>Broker</v>
      </c>
      <c r="L273" s="26" t="s">
        <v>389</v>
      </c>
      <c r="M273" s="106">
        <f>'Policy Data'!R247</f>
        <v>2837.61</v>
      </c>
      <c r="N273" s="415">
        <f>Assumptions!$C$21</f>
        <v>1</v>
      </c>
      <c r="O273" s="415">
        <f>Assumptions!$C$22</f>
        <v>1</v>
      </c>
      <c r="P273" s="415">
        <f>Assumptions!$C$23</f>
        <v>1</v>
      </c>
      <c r="Q273" s="416">
        <f>Assumptions!$C$24</f>
        <v>0</v>
      </c>
      <c r="R273" s="416">
        <f>Assumptions!$C$6+Assumptions!$C$25</f>
        <v>3.5000000000000003E-2</v>
      </c>
      <c r="S273" s="416">
        <f>Assumptions!$C$15</f>
        <v>1.1000000000000001E-3</v>
      </c>
      <c r="T273" s="26">
        <f t="shared" si="72"/>
        <v>1</v>
      </c>
      <c r="U273" s="26">
        <f t="shared" si="73"/>
        <v>3</v>
      </c>
      <c r="V273" s="389">
        <f>IF($G273="Preferred",Assumptions!$C$30,IF($G273="Rated",Assumptions!$C$31,1))</f>
        <v>1</v>
      </c>
      <c r="W273" s="390">
        <f>IF($K273="Direct",Assumptions!$C$32,IF($K273="Broker",Assumptions!$C$33,IF($K273="Bancassurance",Assumptions!$C$34,Assumptions!$C$11)))+$Q273</f>
        <v>0.25</v>
      </c>
      <c r="X273" s="390">
        <f>Assumptions!$C$12+$Q273</f>
        <v>0.05</v>
      </c>
      <c r="Y273" s="131">
        <f>MIN($I273,Assumptions!$C$14)</f>
        <v>500000</v>
      </c>
      <c r="Z273" s="131">
        <f>MAX($I273-Assumptions!$C$14,0)</f>
        <v>0</v>
      </c>
      <c r="AA273" s="389">
        <f t="shared" si="74"/>
        <v>5.7799914833029087</v>
      </c>
      <c r="AB273" s="389">
        <f t="shared" si="75"/>
        <v>2.7914419000046251E-2</v>
      </c>
      <c r="AC273" s="389">
        <f>IF($T273=1,SUMPRODUCT($CJ273:$DW273,(1+Assumptions!$C$5)^($CJ$5:$DW$5-1),(1+$R273)^(-$CJ$5:$DW$5)),0)</f>
        <v>6.6954855327670248</v>
      </c>
      <c r="AD273" s="389">
        <f t="shared" si="76"/>
        <v>0.48223628914099087</v>
      </c>
      <c r="AE273" s="131">
        <f>IF($T273=1,$AB273*$Y273+(Assumptions!$C$9/(1+$R273)+Assumptions!$C$10*$AC273)*$P273+$S273*$Z273*$AA273,0)</f>
        <v>16299.781534623176</v>
      </c>
      <c r="AF273" s="131">
        <f>IF($T273=1,IF($AA273-$AD273-Assumptions!$C$16*$AA273&gt;0,$AE273/($AA273-$AD273-Assumptions!$C$16*$AA273)*IF($J273="Monthly",1+Assumptions!$C$29,1),"n.a."),"")</f>
        <v>3472.0867321753981</v>
      </c>
      <c r="AG273" s="131">
        <f t="shared" si="77"/>
        <v>2837.61</v>
      </c>
      <c r="AH273" s="131">
        <f t="shared" si="78"/>
        <v>16401.361632935168</v>
      </c>
      <c r="AI273" s="131">
        <f t="shared" si="79"/>
        <v>-1266.8184181173747</v>
      </c>
      <c r="AJ273" s="390">
        <f t="shared" si="80"/>
        <v>-7.7238612651129399E-2</v>
      </c>
      <c r="AK273" s="389">
        <f t="shared" si="81"/>
        <v>0.81726357055087917</v>
      </c>
      <c r="AL273" s="131">
        <f t="shared" si="82"/>
        <v>0</v>
      </c>
      <c r="AM273" s="131">
        <f t="shared" si="83"/>
        <v>0</v>
      </c>
      <c r="AN273" s="131">
        <f t="shared" si="84"/>
        <v>0</v>
      </c>
      <c r="AO273" s="131">
        <f t="shared" si="85"/>
        <v>-1266.8184181173747</v>
      </c>
      <c r="AP273" s="26" t="str">
        <f t="shared" si="86"/>
        <v>50-59</v>
      </c>
      <c r="AQ273" s="26" t="str">
        <f t="shared" si="87"/>
        <v>250k-500k</v>
      </c>
      <c r="AR273" s="26" t="str">
        <f>IF($T273=1,IF($AI273&lt;0,"Loss-making",IF($AJ273&lt;Assumptions!$C$16-0.00001,"Below target","At/above target")),"Excluded")</f>
        <v>Loss-making</v>
      </c>
      <c r="AS273" s="103">
        <f t="shared" si="88"/>
        <v>-1266.8181451173746</v>
      </c>
      <c r="AT273" s="26"/>
      <c r="AU273" s="419">
        <f>IF(AND($T273=1,AU$5&lt;=$H273),INDEX(Mortality!$B$4:$E$64,MATCH($D273+AU$5-1,Mortality!$A$4:$A$64,0),$U273)*$V273*$N273,0)</f>
        <v>3.5298460078579601E-3</v>
      </c>
      <c r="AV273" s="93">
        <f>IF(AND($T273=1,AV$5&lt;=$H273),INDEX(Mortality!$B$4:$E$64,MATCH($D273+AV$5-1,Mortality!$A$4:$A$64,0),$U273)*$V273*$N273,0)</f>
        <v>3.8238365311966099E-3</v>
      </c>
      <c r="AW273" s="93">
        <f>IF(AND($T273=1,AW$5&lt;=$H273),INDEX(Mortality!$B$4:$E$64,MATCH($D273+AW$5-1,Mortality!$A$4:$A$64,0),$U273)*$V273*$N273,0)</f>
        <v>4.1423126631483596E-3</v>
      </c>
      <c r="AX273" s="93">
        <f>IF(AND($T273=1,AX$5&lt;=$H273),INDEX(Mortality!$B$4:$E$64,MATCH($D273+AX$5-1,Mortality!$A$4:$A$64,0),$U273)*$V273*$N273,0)</f>
        <v>4.4873137382548398E-3</v>
      </c>
      <c r="AY273" s="93">
        <f>IF(AND($T273=1,AY$5&lt;=$H273),INDEX(Mortality!$B$4:$E$64,MATCH($D273+AY$5-1,Mortality!$A$4:$A$64,0),$U273)*$V273*$N273,0)</f>
        <v>4.8610489412516398E-3</v>
      </c>
      <c r="AZ273" s="93">
        <f>IF(AND($T273=1,AZ$5&lt;=$H273),INDEX(Mortality!$B$4:$E$64,MATCH($D273+AZ$5-1,Mortality!$A$4:$A$64,0),$U273)*$V273*$N273,0)</f>
        <v>5.2659114533929498E-3</v>
      </c>
      <c r="BA273" s="93">
        <f>IF(AND($T273=1,BA$5&lt;=$H273),INDEX(Mortality!$B$4:$E$64,MATCH($D273+BA$5-1,Mortality!$A$4:$A$64,0),$U273)*$V273*$N273,0)</f>
        <v>5.7044937769820296E-3</v>
      </c>
      <c r="BB273" s="93">
        <f>IF(AND($T273=1,BB$5&lt;=$H273),INDEX(Mortality!$B$4:$E$64,MATCH($D273+BB$5-1,Mortality!$A$4:$A$64,0),$U273)*$V273*$N273,0)</f>
        <v>6.1796043362369098E-3</v>
      </c>
      <c r="BC273" s="93">
        <f>IF(AND($T273=1,BC$5&lt;=$H273),INDEX(Mortality!$B$4:$E$64,MATCH($D273+BC$5-1,Mortality!$A$4:$A$64,0),$U273)*$V273*$N273,0)</f>
        <v>6.6942854607935399E-3</v>
      </c>
      <c r="BD273" s="93">
        <f>IF(AND($T273=1,BD$5&lt;=$H273),INDEX(Mortality!$B$4:$E$64,MATCH($D273+BD$5-1,Mortality!$A$4:$A$64,0),$U273)*$V273*$N273,0)</f>
        <v>7.2518328670021504E-3</v>
      </c>
      <c r="BE273" s="93">
        <f>IF(AND($T273=1,BE$5&lt;=$H273),INDEX(Mortality!$B$4:$E$64,MATCH($D273+BE$5-1,Mortality!$A$4:$A$64,0),$U273)*$V273*$N273,0)</f>
        <v>0</v>
      </c>
      <c r="BF273" s="93">
        <f>IF(AND($T273=1,BF$5&lt;=$H273),INDEX(Mortality!$B$4:$E$64,MATCH($D273+BF$5-1,Mortality!$A$4:$A$64,0),$U273)*$V273*$N273,0)</f>
        <v>0</v>
      </c>
      <c r="BG273" s="93">
        <f>IF(AND($T273=1,BG$5&lt;=$H273),INDEX(Mortality!$B$4:$E$64,MATCH($D273+BG$5-1,Mortality!$A$4:$A$64,0),$U273)*$V273*$N273,0)</f>
        <v>0</v>
      </c>
      <c r="BH273" s="93">
        <f>IF(AND($T273=1,BH$5&lt;=$H273),INDEX(Mortality!$B$4:$E$64,MATCH($D273+BH$5-1,Mortality!$A$4:$A$64,0),$U273)*$V273*$N273,0)</f>
        <v>0</v>
      </c>
      <c r="BI273" s="93">
        <f>IF(AND($T273=1,BI$5&lt;=$H273),INDEX(Mortality!$B$4:$E$64,MATCH($D273+BI$5-1,Mortality!$A$4:$A$64,0),$U273)*$V273*$N273,0)</f>
        <v>0</v>
      </c>
      <c r="BJ273" s="93">
        <f>IF(AND($T273=1,BJ$5&lt;=$H273),INDEX(Mortality!$B$4:$E$64,MATCH($D273+BJ$5-1,Mortality!$A$4:$A$64,0),$U273)*$V273*$N273,0)</f>
        <v>0</v>
      </c>
      <c r="BK273" s="93">
        <f>IF(AND($T273=1,BK$5&lt;=$H273),INDEX(Mortality!$B$4:$E$64,MATCH($D273+BK$5-1,Mortality!$A$4:$A$64,0),$U273)*$V273*$N273,0)</f>
        <v>0</v>
      </c>
      <c r="BL273" s="93">
        <f>IF(AND($T273=1,BL$5&lt;=$H273),INDEX(Mortality!$B$4:$E$64,MATCH($D273+BL$5-1,Mortality!$A$4:$A$64,0),$U273)*$V273*$N273,0)</f>
        <v>0</v>
      </c>
      <c r="BM273" s="93">
        <f>IF(AND($T273=1,BM$5&lt;=$H273),INDEX(Mortality!$B$4:$E$64,MATCH($D273+BM$5-1,Mortality!$A$4:$A$64,0),$U273)*$V273*$N273,0)</f>
        <v>0</v>
      </c>
      <c r="BN273" s="93">
        <f>IF(AND($T273=1,BN$5&lt;=$H273),INDEX(Mortality!$B$4:$E$64,MATCH($D273+BN$5-1,Mortality!$A$4:$A$64,0),$U273)*$V273*$N273,0)</f>
        <v>0</v>
      </c>
      <c r="BO273" s="93">
        <f>IF(AND($T273=1,BO$5&lt;=$H273),INDEX(Mortality!$B$4:$E$64,MATCH($D273+BO$5-1,Mortality!$A$4:$A$64,0),$U273)*$V273*$N273,0)</f>
        <v>0</v>
      </c>
      <c r="BP273" s="93">
        <f>IF(AND($T273=1,BP$5&lt;=$H273),INDEX(Mortality!$B$4:$E$64,MATCH($D273+BP$5-1,Mortality!$A$4:$A$64,0),$U273)*$V273*$N273,0)</f>
        <v>0</v>
      </c>
      <c r="BQ273" s="93">
        <f>IF(AND($T273=1,BQ$5&lt;=$H273),INDEX(Mortality!$B$4:$E$64,MATCH($D273+BQ$5-1,Mortality!$A$4:$A$64,0),$U273)*$V273*$N273,0)</f>
        <v>0</v>
      </c>
      <c r="BR273" s="93">
        <f>IF(AND($T273=1,BR$5&lt;=$H273),INDEX(Mortality!$B$4:$E$64,MATCH($D273+BR$5-1,Mortality!$A$4:$A$64,0),$U273)*$V273*$N273,0)</f>
        <v>0</v>
      </c>
      <c r="BS273" s="93">
        <f>IF(AND($T273=1,BS$5&lt;=$H273),INDEX(Mortality!$B$4:$E$64,MATCH($D273+BS$5-1,Mortality!$A$4:$A$64,0),$U273)*$V273*$N273,0)</f>
        <v>0</v>
      </c>
      <c r="BT273" s="93">
        <f>IF(AND($T273=1,BT$5&lt;=$H273),INDEX(Mortality!$B$4:$E$64,MATCH($D273+BT$5-1,Mortality!$A$4:$A$64,0),$U273)*$V273*$N273,0)</f>
        <v>0</v>
      </c>
      <c r="BU273" s="93">
        <f>IF(AND($T273=1,BU$5&lt;=$H273),INDEX(Mortality!$B$4:$E$64,MATCH($D273+BU$5-1,Mortality!$A$4:$A$64,0),$U273)*$V273*$N273,0)</f>
        <v>0</v>
      </c>
      <c r="BV273" s="93">
        <f>IF(AND($T273=1,BV$5&lt;=$H273),INDEX(Mortality!$B$4:$E$64,MATCH($D273+BV$5-1,Mortality!$A$4:$A$64,0),$U273)*$V273*$N273,0)</f>
        <v>0</v>
      </c>
      <c r="BW273" s="93">
        <f>IF(AND($T273=1,BW$5&lt;=$H273),INDEX(Mortality!$B$4:$E$64,MATCH($D273+BW$5-1,Mortality!$A$4:$A$64,0),$U273)*$V273*$N273,0)</f>
        <v>0</v>
      </c>
      <c r="BX273" s="93">
        <f>IF(AND($T273=1,BX$5&lt;=$H273),INDEX(Mortality!$B$4:$E$64,MATCH($D273+BX$5-1,Mortality!$A$4:$A$64,0),$U273)*$V273*$N273,0)</f>
        <v>0</v>
      </c>
      <c r="BY273" s="93">
        <f>IF(AND($T273=1,BY$5&lt;=$H273),INDEX(Mortality!$B$4:$E$64,MATCH($D273+BY$5-1,Mortality!$A$4:$A$64,0),$U273)*$V273*$N273,0)</f>
        <v>0</v>
      </c>
      <c r="BZ273" s="93">
        <f>IF(AND($T273=1,BZ$5&lt;=$H273),INDEX(Mortality!$B$4:$E$64,MATCH($D273+BZ$5-1,Mortality!$A$4:$A$64,0),$U273)*$V273*$N273,0)</f>
        <v>0</v>
      </c>
      <c r="CA273" s="93">
        <f>IF(AND($T273=1,CA$5&lt;=$H273),INDEX(Mortality!$B$4:$E$64,MATCH($D273+CA$5-1,Mortality!$A$4:$A$64,0),$U273)*$V273*$N273,0)</f>
        <v>0</v>
      </c>
      <c r="CB273" s="93">
        <f>IF(AND($T273=1,CB$5&lt;=$H273),INDEX(Mortality!$B$4:$E$64,MATCH($D273+CB$5-1,Mortality!$A$4:$A$64,0),$U273)*$V273*$N273,0)</f>
        <v>0</v>
      </c>
      <c r="CC273" s="93">
        <f>IF(AND($T273=1,CC$5&lt;=$H273),INDEX(Mortality!$B$4:$E$64,MATCH($D273+CC$5-1,Mortality!$A$4:$A$64,0),$U273)*$V273*$N273,0)</f>
        <v>0</v>
      </c>
      <c r="CD273" s="93">
        <f>IF(AND($T273=1,CD$5&lt;=$H273),INDEX(Mortality!$B$4:$E$64,MATCH($D273+CD$5-1,Mortality!$A$4:$A$64,0),$U273)*$V273*$N273,0)</f>
        <v>0</v>
      </c>
      <c r="CE273" s="93">
        <f>IF(AND($T273=1,CE$5&lt;=$H273),INDEX(Mortality!$B$4:$E$64,MATCH($D273+CE$5-1,Mortality!$A$4:$A$64,0),$U273)*$V273*$N273,0)</f>
        <v>0</v>
      </c>
      <c r="CF273" s="93">
        <f>IF(AND($T273=1,CF$5&lt;=$H273),INDEX(Mortality!$B$4:$E$64,MATCH($D273+CF$5-1,Mortality!$A$4:$A$64,0),$U273)*$V273*$N273,0)</f>
        <v>0</v>
      </c>
      <c r="CG273" s="93">
        <f>IF(AND($T273=1,CG$5&lt;=$H273),INDEX(Mortality!$B$4:$E$64,MATCH($D273+CG$5-1,Mortality!$A$4:$A$64,0),$U273)*$V273*$N273,0)</f>
        <v>0</v>
      </c>
      <c r="CH273" s="94">
        <f>IF(AND($T273=1,CH$5&lt;=$H273),INDEX(Mortality!$B$4:$E$64,MATCH($D273+CH$5-1,Mortality!$A$4:$A$64,0),$U273)*$V273*$N273,0)</f>
        <v>0</v>
      </c>
      <c r="CI273" s="26"/>
      <c r="CJ273" s="419">
        <f t="shared" si="89"/>
        <v>1</v>
      </c>
      <c r="CK273" s="93">
        <f>IF(AND($T273=1,CK$5&lt;=$H273),CJ273*(1-AU273)*(1-MIN(1,MAX(Assumptions!$C$27,Assumptions!$C$13*Assumptions!$C$28^(CJ$5-1))*$O273)),0)</f>
        <v>0.87689373551308492</v>
      </c>
      <c r="CL273" s="93">
        <f>IF(AND($T273=1,CL$5&lt;=$H273),CK273*(1-AV273)*(1-MIN(1,MAX(Assumptions!$C$27,Assumptions!$C$13*Assumptions!$C$28^(CK$5-1))*$O273)),0)</f>
        <v>0.78443949221750087</v>
      </c>
      <c r="CM273" s="93">
        <f>IF(AND($T273=1,CM$5&lt;=$H273),CL273*(1-AW273)*(1-MIN(1,MAX(Assumptions!$C$27,Assumptions!$C$13*Assumptions!$C$28^(CL$5-1))*$O273)),0)</f>
        <v>0.71346091702892622</v>
      </c>
      <c r="CN273" s="93">
        <f>IF(AND($T273=1,CN$5&lt;=$H273),CM273*(1-AX273)*(1-MIN(1,MAX(Assumptions!$C$27,Assumptions!$C$13*Assumptions!$C$28^(CM$5-1))*$O273)),0)</f>
        <v>0.65791682800940765</v>
      </c>
      <c r="CO273" s="93">
        <f>IF(AND($T273=1,CO$5&lt;=$H273),CN273*(1-AY273)*(1-MIN(1,MAX(Assumptions!$C$27,Assumptions!$C$13*Assumptions!$C$28^(CN$5-1))*$O273)),0)</f>
        <v>0.6137065940756653</v>
      </c>
      <c r="CP273" s="93">
        <f>IF(AND($T273=1,CP$5&lt;=$H273),CO273*(1-AZ273)*(1-MIN(1,MAX(Assumptions!$C$27,Assumptions!$C$13*Assumptions!$C$28^(CO$5-1))*$O273)),0)</f>
        <v>0.57797035636389027</v>
      </c>
      <c r="CQ273" s="93">
        <f>IF(AND($T273=1,CQ$5&lt;=$H273),CP273*(1-BA273)*(1-MIN(1,MAX(Assumptions!$C$27,Assumptions!$C$13*Assumptions!$C$28^(CP$5-1))*$O273)),0)</f>
        <v>0.54866479598415652</v>
      </c>
      <c r="CR273" s="93">
        <f>IF(AND($T273=1,CR$5&lt;=$H273),CQ273*(1-BB273)*(1-MIN(1,MAX(Assumptions!$C$27,Assumptions!$C$13*Assumptions!$C$28^(CQ$5-1))*$O273)),0)</f>
        <v>0.52429797230331077</v>
      </c>
      <c r="CS273" s="93">
        <f>IF(AND($T273=1,CS$5&lt;=$H273),CR273*(1-BC273)*(1-MIN(1,MAX(Assumptions!$C$27,Assumptions!$C$13*Assumptions!$C$28^(CR$5-1))*$O273)),0)</f>
        <v>0.5037589909191742</v>
      </c>
      <c r="CT273" s="93">
        <f>IF(AND($T273=1,CT$5&lt;=$H273),CS273*(1-BD273)*(1-MIN(1,MAX(Assumptions!$C$27,Assumptions!$C$13*Assumptions!$C$28^(CS$5-1))*$O273)),0)</f>
        <v>0</v>
      </c>
      <c r="CU273" s="93">
        <f>IF(AND($T273=1,CU$5&lt;=$H273),CT273*(1-BE273)*(1-MIN(1,MAX(Assumptions!$C$27,Assumptions!$C$13*Assumptions!$C$28^(CT$5-1))*$O273)),0)</f>
        <v>0</v>
      </c>
      <c r="CV273" s="93">
        <f>IF(AND($T273=1,CV$5&lt;=$H273),CU273*(1-BF273)*(1-MIN(1,MAX(Assumptions!$C$27,Assumptions!$C$13*Assumptions!$C$28^(CU$5-1))*$O273)),0)</f>
        <v>0</v>
      </c>
      <c r="CW273" s="93">
        <f>IF(AND($T273=1,CW$5&lt;=$H273),CV273*(1-BG273)*(1-MIN(1,MAX(Assumptions!$C$27,Assumptions!$C$13*Assumptions!$C$28^(CV$5-1))*$O273)),0)</f>
        <v>0</v>
      </c>
      <c r="CX273" s="93">
        <f>IF(AND($T273=1,CX$5&lt;=$H273),CW273*(1-BH273)*(1-MIN(1,MAX(Assumptions!$C$27,Assumptions!$C$13*Assumptions!$C$28^(CW$5-1))*$O273)),0)</f>
        <v>0</v>
      </c>
      <c r="CY273" s="93">
        <f>IF(AND($T273=1,CY$5&lt;=$H273),CX273*(1-BI273)*(1-MIN(1,MAX(Assumptions!$C$27,Assumptions!$C$13*Assumptions!$C$28^(CX$5-1))*$O273)),0)</f>
        <v>0</v>
      </c>
      <c r="CZ273" s="93">
        <f>IF(AND($T273=1,CZ$5&lt;=$H273),CY273*(1-BJ273)*(1-MIN(1,MAX(Assumptions!$C$27,Assumptions!$C$13*Assumptions!$C$28^(CY$5-1))*$O273)),0)</f>
        <v>0</v>
      </c>
      <c r="DA273" s="93">
        <f>IF(AND($T273=1,DA$5&lt;=$H273),CZ273*(1-BK273)*(1-MIN(1,MAX(Assumptions!$C$27,Assumptions!$C$13*Assumptions!$C$28^(CZ$5-1))*$O273)),0)</f>
        <v>0</v>
      </c>
      <c r="DB273" s="93">
        <f>IF(AND($T273=1,DB$5&lt;=$H273),DA273*(1-BL273)*(1-MIN(1,MAX(Assumptions!$C$27,Assumptions!$C$13*Assumptions!$C$28^(DA$5-1))*$O273)),0)</f>
        <v>0</v>
      </c>
      <c r="DC273" s="93">
        <f>IF(AND($T273=1,DC$5&lt;=$H273),DB273*(1-BM273)*(1-MIN(1,MAX(Assumptions!$C$27,Assumptions!$C$13*Assumptions!$C$28^(DB$5-1))*$O273)),0)</f>
        <v>0</v>
      </c>
      <c r="DD273" s="93">
        <f>IF(AND($T273=1,DD$5&lt;=$H273),DC273*(1-BN273)*(1-MIN(1,MAX(Assumptions!$C$27,Assumptions!$C$13*Assumptions!$C$28^(DC$5-1))*$O273)),0)</f>
        <v>0</v>
      </c>
      <c r="DE273" s="93">
        <f>IF(AND($T273=1,DE$5&lt;=$H273),DD273*(1-BO273)*(1-MIN(1,MAX(Assumptions!$C$27,Assumptions!$C$13*Assumptions!$C$28^(DD$5-1))*$O273)),0)</f>
        <v>0</v>
      </c>
      <c r="DF273" s="93">
        <f>IF(AND($T273=1,DF$5&lt;=$H273),DE273*(1-BP273)*(1-MIN(1,MAX(Assumptions!$C$27,Assumptions!$C$13*Assumptions!$C$28^(DE$5-1))*$O273)),0)</f>
        <v>0</v>
      </c>
      <c r="DG273" s="93">
        <f>IF(AND($T273=1,DG$5&lt;=$H273),DF273*(1-BQ273)*(1-MIN(1,MAX(Assumptions!$C$27,Assumptions!$C$13*Assumptions!$C$28^(DF$5-1))*$O273)),0)</f>
        <v>0</v>
      </c>
      <c r="DH273" s="93">
        <f>IF(AND($T273=1,DH$5&lt;=$H273),DG273*(1-BR273)*(1-MIN(1,MAX(Assumptions!$C$27,Assumptions!$C$13*Assumptions!$C$28^(DG$5-1))*$O273)),0)</f>
        <v>0</v>
      </c>
      <c r="DI273" s="93">
        <f>IF(AND($T273=1,DI$5&lt;=$H273),DH273*(1-BS273)*(1-MIN(1,MAX(Assumptions!$C$27,Assumptions!$C$13*Assumptions!$C$28^(DH$5-1))*$O273)),0)</f>
        <v>0</v>
      </c>
      <c r="DJ273" s="93">
        <f>IF(AND($T273=1,DJ$5&lt;=$H273),DI273*(1-BT273)*(1-MIN(1,MAX(Assumptions!$C$27,Assumptions!$C$13*Assumptions!$C$28^(DI$5-1))*$O273)),0)</f>
        <v>0</v>
      </c>
      <c r="DK273" s="93">
        <f>IF(AND($T273=1,DK$5&lt;=$H273),DJ273*(1-BU273)*(1-MIN(1,MAX(Assumptions!$C$27,Assumptions!$C$13*Assumptions!$C$28^(DJ$5-1))*$O273)),0)</f>
        <v>0</v>
      </c>
      <c r="DL273" s="93">
        <f>IF(AND($T273=1,DL$5&lt;=$H273),DK273*(1-BV273)*(1-MIN(1,MAX(Assumptions!$C$27,Assumptions!$C$13*Assumptions!$C$28^(DK$5-1))*$O273)),0)</f>
        <v>0</v>
      </c>
      <c r="DM273" s="93">
        <f>IF(AND($T273=1,DM$5&lt;=$H273),DL273*(1-BW273)*(1-MIN(1,MAX(Assumptions!$C$27,Assumptions!$C$13*Assumptions!$C$28^(DL$5-1))*$O273)),0)</f>
        <v>0</v>
      </c>
      <c r="DN273" s="93">
        <f>IF(AND($T273=1,DN$5&lt;=$H273),DM273*(1-BX273)*(1-MIN(1,MAX(Assumptions!$C$27,Assumptions!$C$13*Assumptions!$C$28^(DM$5-1))*$O273)),0)</f>
        <v>0</v>
      </c>
      <c r="DO273" s="93">
        <f>IF(AND($T273=1,DO$5&lt;=$H273),DN273*(1-BY273)*(1-MIN(1,MAX(Assumptions!$C$27,Assumptions!$C$13*Assumptions!$C$28^(DN$5-1))*$O273)),0)</f>
        <v>0</v>
      </c>
      <c r="DP273" s="93">
        <f>IF(AND($T273=1,DP$5&lt;=$H273),DO273*(1-BZ273)*(1-MIN(1,MAX(Assumptions!$C$27,Assumptions!$C$13*Assumptions!$C$28^(DO$5-1))*$O273)),0)</f>
        <v>0</v>
      </c>
      <c r="DQ273" s="93">
        <f>IF(AND($T273=1,DQ$5&lt;=$H273),DP273*(1-CA273)*(1-MIN(1,MAX(Assumptions!$C$27,Assumptions!$C$13*Assumptions!$C$28^(DP$5-1))*$O273)),0)</f>
        <v>0</v>
      </c>
      <c r="DR273" s="93">
        <f>IF(AND($T273=1,DR$5&lt;=$H273),DQ273*(1-CB273)*(1-MIN(1,MAX(Assumptions!$C$27,Assumptions!$C$13*Assumptions!$C$28^(DQ$5-1))*$O273)),0)</f>
        <v>0</v>
      </c>
      <c r="DS273" s="93">
        <f>IF(AND($T273=1,DS$5&lt;=$H273),DR273*(1-CC273)*(1-MIN(1,MAX(Assumptions!$C$27,Assumptions!$C$13*Assumptions!$C$28^(DR$5-1))*$O273)),0)</f>
        <v>0</v>
      </c>
      <c r="DT273" s="93">
        <f>IF(AND($T273=1,DT$5&lt;=$H273),DS273*(1-CD273)*(1-MIN(1,MAX(Assumptions!$C$27,Assumptions!$C$13*Assumptions!$C$28^(DS$5-1))*$O273)),0)</f>
        <v>0</v>
      </c>
      <c r="DU273" s="93">
        <f>IF(AND($T273=1,DU$5&lt;=$H273),DT273*(1-CE273)*(1-MIN(1,MAX(Assumptions!$C$27,Assumptions!$C$13*Assumptions!$C$28^(DT$5-1))*$O273)),0)</f>
        <v>0</v>
      </c>
      <c r="DV273" s="93">
        <f>IF(AND($T273=1,DV$5&lt;=$H273),DU273*(1-CF273)*(1-MIN(1,MAX(Assumptions!$C$27,Assumptions!$C$13*Assumptions!$C$28^(DU$5-1))*$O273)),0)</f>
        <v>0</v>
      </c>
      <c r="DW273" s="94">
        <f>IF(AND($T273=1,DW$5&lt;=$H273),DV273*(1-CG273)*(1-MIN(1,MAX(Assumptions!$C$27,Assumptions!$C$13*Assumptions!$C$28^(DV$5-1))*$O273)),0)</f>
        <v>0</v>
      </c>
      <c r="DX273" s="26"/>
      <c r="DY273" s="399">
        <f>'Policy Data'!K247</f>
        <v>4</v>
      </c>
      <c r="DZ273" s="100">
        <f>'Policy Data'!L247</f>
        <v>0.62480000000000002</v>
      </c>
      <c r="EA273" s="100">
        <f>'Policy Data'!N247</f>
        <v>2.2049999999999999E-3</v>
      </c>
      <c r="EB273" s="93" cm="1">
        <f t="array" ref="EB273">IFERROR(DZ273*INDEX(Mortality!$B$4:$E$64,MATCH(D273+DY273-1,Mortality!$A$4:$A$64,0),U273)*V273,0)</f>
        <v>2.8036736236616241E-3</v>
      </c>
      <c r="EC273" s="100">
        <f>'Policy Data'!O247</f>
        <v>0</v>
      </c>
      <c r="ED273" s="400">
        <f>'Policy Data'!Q247</f>
        <v>0</v>
      </c>
    </row>
    <row r="274" spans="1:134" x14ac:dyDescent="0.3">
      <c r="A274" s="399" t="str">
        <f>'Policy Data'!A248</f>
        <v>POL100244</v>
      </c>
      <c r="B274" s="26" t="s">
        <v>426</v>
      </c>
      <c r="C274" s="100" t="str">
        <f>'Policy Data'!B248</f>
        <v>Term Life</v>
      </c>
      <c r="D274" s="100">
        <f>'Policy Data'!C248</f>
        <v>32</v>
      </c>
      <c r="E274" s="100" t="str">
        <f>'Policy Data'!D248</f>
        <v>Male</v>
      </c>
      <c r="F274" s="100" t="str">
        <f>'Policy Data'!E248</f>
        <v>Smoker</v>
      </c>
      <c r="G274" s="100" t="str">
        <f>'Policy Data'!F248</f>
        <v>Standard</v>
      </c>
      <c r="H274" s="100">
        <f>'Policy Data'!G248</f>
        <v>25</v>
      </c>
      <c r="I274" s="279">
        <f>'Policy Data'!H248</f>
        <v>500000</v>
      </c>
      <c r="J274" s="100" t="str">
        <f>'Policy Data'!I248</f>
        <v>Monthly</v>
      </c>
      <c r="K274" s="100" t="str">
        <f>'Policy Data'!J248</f>
        <v>Broker</v>
      </c>
      <c r="L274" s="26" t="s">
        <v>389</v>
      </c>
      <c r="M274" s="106">
        <f>'Policy Data'!R248</f>
        <v>1346.2</v>
      </c>
      <c r="N274" s="415">
        <f>Assumptions!$C$21</f>
        <v>1</v>
      </c>
      <c r="O274" s="415">
        <f>Assumptions!$C$22</f>
        <v>1</v>
      </c>
      <c r="P274" s="415">
        <f>Assumptions!$C$23</f>
        <v>1</v>
      </c>
      <c r="Q274" s="416">
        <f>Assumptions!$C$24</f>
        <v>0</v>
      </c>
      <c r="R274" s="416">
        <f>Assumptions!$C$6+Assumptions!$C$25</f>
        <v>3.5000000000000003E-2</v>
      </c>
      <c r="S274" s="416">
        <f>Assumptions!$C$15</f>
        <v>1.1000000000000001E-3</v>
      </c>
      <c r="T274" s="26">
        <f t="shared" si="72"/>
        <v>1</v>
      </c>
      <c r="U274" s="26">
        <f t="shared" si="73"/>
        <v>4</v>
      </c>
      <c r="V274" s="389">
        <f>IF($G274="Preferred",Assumptions!$C$30,IF($G274="Rated",Assumptions!$C$31,1))</f>
        <v>1</v>
      </c>
      <c r="W274" s="390">
        <f>IF($K274="Direct",Assumptions!$C$32,IF($K274="Broker",Assumptions!$C$33,IF($K274="Bancassurance",Assumptions!$C$34,Assumptions!$C$11)))+$Q274</f>
        <v>0.25</v>
      </c>
      <c r="X274" s="390">
        <f>Assumptions!$C$12+$Q274</f>
        <v>0.05</v>
      </c>
      <c r="Y274" s="131">
        <f>MIN($I274,Assumptions!$C$14)</f>
        <v>500000</v>
      </c>
      <c r="Z274" s="131">
        <f>MAX($I274-Assumptions!$C$14,0)</f>
        <v>0</v>
      </c>
      <c r="AA274" s="389">
        <f t="shared" si="74"/>
        <v>9.4022545586321566</v>
      </c>
      <c r="AB274" s="389">
        <f t="shared" si="75"/>
        <v>2.1541904223207529E-2</v>
      </c>
      <c r="AC274" s="389">
        <f>IF($T274=1,SUMPRODUCT($CJ274:$DW274,(1+Assumptions!$C$5)^($CJ$5:$DW$5-1),(1+$R274)^(-$CJ$5:$DW$5)),0)</f>
        <v>13.513965543424536</v>
      </c>
      <c r="AD274" s="389">
        <f t="shared" si="76"/>
        <v>0.66334944290745324</v>
      </c>
      <c r="AE274" s="131">
        <f>IF($T274=1,$AB274*$Y274+(Assumptions!$C$9/(1+$R274)+Assumptions!$C$10*$AC274)*$P274+$S274*$Z274*$AA274,0)</f>
        <v>14613.589748548467</v>
      </c>
      <c r="AF274" s="131">
        <f>IF($T274=1,IF($AA274-$AD274-Assumptions!$C$16*$AA274&gt;0,$AE274/($AA274-$AD274-Assumptions!$C$16*$AA274)*IF($J274="Monthly",1+Assumptions!$C$29,1),"n.a."),"")</f>
        <v>1884.6270417740352</v>
      </c>
      <c r="AG274" s="131">
        <f t="shared" si="77"/>
        <v>1346.2</v>
      </c>
      <c r="AH274" s="131">
        <f t="shared" si="78"/>
        <v>12657.315086830609</v>
      </c>
      <c r="AI274" s="131">
        <f t="shared" si="79"/>
        <v>-2849.2756817598711</v>
      </c>
      <c r="AJ274" s="390">
        <f t="shared" si="80"/>
        <v>-0.22510901105119993</v>
      </c>
      <c r="AK274" s="389">
        <f t="shared" si="81"/>
        <v>0.71430578579239556</v>
      </c>
      <c r="AL274" s="131">
        <f t="shared" si="82"/>
        <v>0</v>
      </c>
      <c r="AM274" s="131">
        <f t="shared" si="83"/>
        <v>0</v>
      </c>
      <c r="AN274" s="131">
        <f t="shared" si="84"/>
        <v>0</v>
      </c>
      <c r="AO274" s="131">
        <f t="shared" si="85"/>
        <v>-2849.2756817598711</v>
      </c>
      <c r="AP274" s="26" t="str">
        <f t="shared" si="86"/>
        <v>30-39</v>
      </c>
      <c r="AQ274" s="26" t="str">
        <f t="shared" si="87"/>
        <v>250k-500k</v>
      </c>
      <c r="AR274" s="26" t="str">
        <f>IF($T274=1,IF($AI274&lt;0,"Loss-making",IF($AJ274&lt;Assumptions!$C$16-0.00001,"Below target","At/above target")),"Excluded")</f>
        <v>Loss-making</v>
      </c>
      <c r="AS274" s="103">
        <f t="shared" si="88"/>
        <v>-2849.2754077598711</v>
      </c>
      <c r="AT274" s="26"/>
      <c r="AU274" s="419">
        <f>IF(AND($T274=1,AU$5&lt;=$H274),INDEX(Mortality!$B$4:$E$64,MATCH($D274+AU$5-1,Mortality!$A$4:$A$64,0),$U274)*$V274*$N274,0)</f>
        <v>1.0020315949681299E-3</v>
      </c>
      <c r="AV274" s="93">
        <f>IF(AND($T274=1,AV$5&lt;=$H274),INDEX(Mortality!$B$4:$E$64,MATCH($D274+AV$5-1,Mortality!$A$4:$A$64,0),$U274)*$V274*$N274,0)</f>
        <v>1.08548786823069E-3</v>
      </c>
      <c r="AW274" s="93">
        <f>IF(AND($T274=1,AW$5&lt;=$H274),INDEX(Mortality!$B$4:$E$64,MATCH($D274+AW$5-1,Mortality!$A$4:$A$64,0),$U274)*$V274*$N274,0)</f>
        <v>1.1758949697723701E-3</v>
      </c>
      <c r="AX274" s="93">
        <f>IF(AND($T274=1,AX$5&lt;=$H274),INDEX(Mortality!$B$4:$E$64,MATCH($D274+AX$5-1,Mortality!$A$4:$A$64,0),$U274)*$V274*$N274,0)</f>
        <v>1.27383181369844E-3</v>
      </c>
      <c r="AY274" s="93">
        <f>IF(AND($T274=1,AY$5&lt;=$H274),INDEX(Mortality!$B$4:$E$64,MATCH($D274+AY$5-1,Mortality!$A$4:$A$64,0),$U274)*$V274*$N274,0)</f>
        <v>1.3799255301724599E-3</v>
      </c>
      <c r="AZ274" s="93">
        <f>IF(AND($T274=1,AZ$5&lt;=$H274),INDEX(Mortality!$B$4:$E$64,MATCH($D274+AZ$5-1,Mortality!$A$4:$A$64,0),$U274)*$V274*$N274,0)</f>
        <v>1.49485548119033E-3</v>
      </c>
      <c r="BA274" s="93">
        <f>IF(AND($T274=1,BA$5&lt;=$H274),INDEX(Mortality!$B$4:$E$64,MATCH($D274+BA$5-1,Mortality!$A$4:$A$64,0),$U274)*$V274*$N274,0)</f>
        <v>1.6193576108165201E-3</v>
      </c>
      <c r="BB274" s="93">
        <f>IF(AND($T274=1,BB$5&lt;=$H274),INDEX(Mortality!$B$4:$E$64,MATCH($D274+BB$5-1,Mortality!$A$4:$A$64,0),$U274)*$V274*$N274,0)</f>
        <v>1.75422915773855E-3</v>
      </c>
      <c r="BC274" s="93">
        <f>IF(AND($T274=1,BC$5&lt;=$H274),INDEX(Mortality!$B$4:$E$64,MATCH($D274+BC$5-1,Mortality!$A$4:$A$64,0),$U274)*$V274*$N274,0)</f>
        <v>1.90033376031651E-3</v>
      </c>
      <c r="BD274" s="93">
        <f>IF(AND($T274=1,BD$5&lt;=$H274),INDEX(Mortality!$B$4:$E$64,MATCH($D274+BD$5-1,Mortality!$A$4:$A$64,0),$U274)*$V274*$N274,0)</f>
        <v>2.0586069868169998E-3</v>
      </c>
      <c r="BE274" s="93">
        <f>IF(AND($T274=1,BE$5&lt;=$H274),INDEX(Mortality!$B$4:$E$64,MATCH($D274+BE$5-1,Mortality!$A$4:$A$64,0),$U274)*$V274*$N274,0)</f>
        <v>2.2300623262441598E-3</v>
      </c>
      <c r="BF274" s="93">
        <f>IF(AND($T274=1,BF$5&lt;=$H274),INDEX(Mortality!$B$4:$E$64,MATCH($D274+BF$5-1,Mortality!$A$4:$A$64,0),$U274)*$V274*$N274,0)</f>
        <v>2.4157976781294401E-3</v>
      </c>
      <c r="BG274" s="93">
        <f>IF(AND($T274=1,BG$5&lt;=$H274),INDEX(Mortality!$B$4:$E$64,MATCH($D274+BG$5-1,Mortality!$A$4:$A$64,0),$U274)*$V274*$N274,0)</f>
        <v>2.6170023828368102E-3</v>
      </c>
      <c r="BH274" s="93">
        <f>IF(AND($T274=1,BH$5&lt;=$H274),INDEX(Mortality!$B$4:$E$64,MATCH($D274+BH$5-1,Mortality!$A$4:$A$64,0),$U274)*$V274*$N274,0)</f>
        <v>2.8349648374016699E-3</v>
      </c>
      <c r="BI274" s="93">
        <f>IF(AND($T274=1,BI$5&lt;=$H274),INDEX(Mortality!$B$4:$E$64,MATCH($D274+BI$5-1,Mortality!$A$4:$A$64,0),$U274)*$V274*$N274,0)</f>
        <v>3.0710807456704702E-3</v>
      </c>
      <c r="BJ274" s="93">
        <f>IF(AND($T274=1,BJ$5&lt;=$H274),INDEX(Mortality!$B$4:$E$64,MATCH($D274+BJ$5-1,Mortality!$A$4:$A$64,0),$U274)*$V274*$N274,0)</f>
        <v>3.3268620555703902E-3</v>
      </c>
      <c r="BK274" s="93">
        <f>IF(AND($T274=1,BK$5&lt;=$H274),INDEX(Mortality!$B$4:$E$64,MATCH($D274+BK$5-1,Mortality!$A$4:$A$64,0),$U274)*$V274*$N274,0)</f>
        <v>3.60394664073793E-3</v>
      </c>
      <c r="BL274" s="93">
        <f>IF(AND($T274=1,BL$5&lt;=$H274),INDEX(Mortality!$B$4:$E$64,MATCH($D274+BL$5-1,Mortality!$A$4:$A$64,0),$U274)*$V274*$N274,0)</f>
        <v>3.9041087885020101E-3</v>
      </c>
      <c r="BM274" s="93">
        <f>IF(AND($T274=1,BM$5&lt;=$H274),INDEX(Mortality!$B$4:$E$64,MATCH($D274+BM$5-1,Mortality!$A$4:$A$64,0),$U274)*$V274*$N274,0)</f>
        <v>4.2292705613803799E-3</v>
      </c>
      <c r="BN274" s="93">
        <f>IF(AND($T274=1,BN$5&lt;=$H274),INDEX(Mortality!$B$4:$E$64,MATCH($D274+BN$5-1,Mortality!$A$4:$A$64,0),$U274)*$V274*$N274,0)</f>
        <v>4.5815141048417803E-3</v>
      </c>
      <c r="BO274" s="93">
        <f>IF(AND($T274=1,BO$5&lt;=$H274),INDEX(Mortality!$B$4:$E$64,MATCH($D274+BO$5-1,Mortality!$A$4:$A$64,0),$U274)*$V274*$N274,0)</f>
        <v>4.9630949801455103E-3</v>
      </c>
      <c r="BP274" s="93">
        <f>IF(AND($T274=1,BP$5&lt;=$H274),INDEX(Mortality!$B$4:$E$64,MATCH($D274+BP$5-1,Mortality!$A$4:$A$64,0),$U274)*$V274*$N274,0)</f>
        <v>5.37645660763414E-3</v>
      </c>
      <c r="BQ274" s="93">
        <f>IF(AND($T274=1,BQ$5&lt;=$H274),INDEX(Mortality!$B$4:$E$64,MATCH($D274+BQ$5-1,Mortality!$A$4:$A$64,0),$U274)*$V274*$N274,0)</f>
        <v>5.8242459129656402E-3</v>
      </c>
      <c r="BR274" s="93">
        <f>IF(AND($T274=1,BR$5&lt;=$H274),INDEX(Mortality!$B$4:$E$64,MATCH($D274+BR$5-1,Mortality!$A$4:$A$64,0),$U274)*$V274*$N274,0)</f>
        <v>6.3093302764744104E-3</v>
      </c>
      <c r="BS274" s="93">
        <f>IF(AND($T274=1,BS$5&lt;=$H274),INDEX(Mortality!$B$4:$E$64,MATCH($D274+BS$5-1,Mortality!$A$4:$A$64,0),$U274)*$V274*$N274,0)</f>
        <v>6.8348158941948E-3</v>
      </c>
      <c r="BT274" s="93">
        <f>IF(AND($T274=1,BT$5&lt;=$H274),INDEX(Mortality!$B$4:$E$64,MATCH($D274+BT$5-1,Mortality!$A$4:$A$64,0),$U274)*$V274*$N274,0)</f>
        <v>0</v>
      </c>
      <c r="BU274" s="93">
        <f>IF(AND($T274=1,BU$5&lt;=$H274),INDEX(Mortality!$B$4:$E$64,MATCH($D274+BU$5-1,Mortality!$A$4:$A$64,0),$U274)*$V274*$N274,0)</f>
        <v>0</v>
      </c>
      <c r="BV274" s="93">
        <f>IF(AND($T274=1,BV$5&lt;=$H274),INDEX(Mortality!$B$4:$E$64,MATCH($D274+BV$5-1,Mortality!$A$4:$A$64,0),$U274)*$V274*$N274,0)</f>
        <v>0</v>
      </c>
      <c r="BW274" s="93">
        <f>IF(AND($T274=1,BW$5&lt;=$H274),INDEX(Mortality!$B$4:$E$64,MATCH($D274+BW$5-1,Mortality!$A$4:$A$64,0),$U274)*$V274*$N274,0)</f>
        <v>0</v>
      </c>
      <c r="BX274" s="93">
        <f>IF(AND($T274=1,BX$5&lt;=$H274),INDEX(Mortality!$B$4:$E$64,MATCH($D274+BX$5-1,Mortality!$A$4:$A$64,0),$U274)*$V274*$N274,0)</f>
        <v>0</v>
      </c>
      <c r="BY274" s="93">
        <f>IF(AND($T274=1,BY$5&lt;=$H274),INDEX(Mortality!$B$4:$E$64,MATCH($D274+BY$5-1,Mortality!$A$4:$A$64,0),$U274)*$V274*$N274,0)</f>
        <v>0</v>
      </c>
      <c r="BZ274" s="93">
        <f>IF(AND($T274=1,BZ$5&lt;=$H274),INDEX(Mortality!$B$4:$E$64,MATCH($D274+BZ$5-1,Mortality!$A$4:$A$64,0),$U274)*$V274*$N274,0)</f>
        <v>0</v>
      </c>
      <c r="CA274" s="93">
        <f>IF(AND($T274=1,CA$5&lt;=$H274),INDEX(Mortality!$B$4:$E$64,MATCH($D274+CA$5-1,Mortality!$A$4:$A$64,0),$U274)*$V274*$N274,0)</f>
        <v>0</v>
      </c>
      <c r="CB274" s="93">
        <f>IF(AND($T274=1,CB$5&lt;=$H274),INDEX(Mortality!$B$4:$E$64,MATCH($D274+CB$5-1,Mortality!$A$4:$A$64,0),$U274)*$V274*$N274,0)</f>
        <v>0</v>
      </c>
      <c r="CC274" s="93">
        <f>IF(AND($T274=1,CC$5&lt;=$H274),INDEX(Mortality!$B$4:$E$64,MATCH($D274+CC$5-1,Mortality!$A$4:$A$64,0),$U274)*$V274*$N274,0)</f>
        <v>0</v>
      </c>
      <c r="CD274" s="93">
        <f>IF(AND($T274=1,CD$5&lt;=$H274),INDEX(Mortality!$B$4:$E$64,MATCH($D274+CD$5-1,Mortality!$A$4:$A$64,0),$U274)*$V274*$N274,0)</f>
        <v>0</v>
      </c>
      <c r="CE274" s="93">
        <f>IF(AND($T274=1,CE$5&lt;=$H274),INDEX(Mortality!$B$4:$E$64,MATCH($D274+CE$5-1,Mortality!$A$4:$A$64,0),$U274)*$V274*$N274,0)</f>
        <v>0</v>
      </c>
      <c r="CF274" s="93">
        <f>IF(AND($T274=1,CF$5&lt;=$H274),INDEX(Mortality!$B$4:$E$64,MATCH($D274+CF$5-1,Mortality!$A$4:$A$64,0),$U274)*$V274*$N274,0)</f>
        <v>0</v>
      </c>
      <c r="CG274" s="93">
        <f>IF(AND($T274=1,CG$5&lt;=$H274),INDEX(Mortality!$B$4:$E$64,MATCH($D274+CG$5-1,Mortality!$A$4:$A$64,0),$U274)*$V274*$N274,0)</f>
        <v>0</v>
      </c>
      <c r="CH274" s="94">
        <f>IF(AND($T274=1,CH$5&lt;=$H274),INDEX(Mortality!$B$4:$E$64,MATCH($D274+CH$5-1,Mortality!$A$4:$A$64,0),$U274)*$V274*$N274,0)</f>
        <v>0</v>
      </c>
      <c r="CI274" s="26"/>
      <c r="CJ274" s="419">
        <f t="shared" si="89"/>
        <v>1</v>
      </c>
      <c r="CK274" s="93">
        <f>IF(AND($T274=1,CK$5&lt;=$H274),CJ274*(1-AU274)*(1-MIN(1,MAX(Assumptions!$C$27,Assumptions!$C$13*Assumptions!$C$28^(CJ$5-1))*$O274)),0)</f>
        <v>0.87911821219642805</v>
      </c>
      <c r="CL274" s="93">
        <f>IF(AND($T274=1,CL$5&lt;=$H274),CK274*(1-AV274)*(1-MIN(1,MAX(Assumptions!$C$27,Assumptions!$C$13*Assumptions!$C$28^(CK$5-1))*$O274)),0)</f>
        <v>0.78859121815802868</v>
      </c>
      <c r="CM274" s="93">
        <f>IF(AND($T274=1,CM$5&lt;=$H274),CL274*(1-AW274)*(1-MIN(1,MAX(Assumptions!$C$27,Assumptions!$C$13*Assumptions!$C$28^(CL$5-1))*$O274)),0)</f>
        <v>0.71937345604581249</v>
      </c>
      <c r="CN274" s="93">
        <f>IF(AND($T274=1,CN$5&lt;=$H274),CM274*(1-AX274)*(1-MIN(1,MAX(Assumptions!$C$27,Assumptions!$C$13*Assumptions!$C$28^(CM$5-1))*$O274)),0)</f>
        <v>0.66551039961700664</v>
      </c>
      <c r="CO274" s="93">
        <f>IF(AND($T274=1,CO$5&lt;=$H274),CN274*(1-AY274)*(1-MIN(1,MAX(Assumptions!$C$27,Assumptions!$C$13*Assumptions!$C$28^(CN$5-1))*$O274)),0)</f>
        <v>0.62296150069404688</v>
      </c>
      <c r="CP274" s="93">
        <f>IF(AND($T274=1,CP$5&lt;=$H274),CO274*(1-AZ274)*(1-MIN(1,MAX(Assumptions!$C$27,Assumptions!$C$13*Assumptions!$C$28^(CO$5-1))*$O274)),0)</f>
        <v>0.58891048739778196</v>
      </c>
      <c r="CQ274" s="93">
        <f>IF(AND($T274=1,CQ$5&lt;=$H274),CP274*(1-BA274)*(1-MIN(1,MAX(Assumptions!$C$27,Assumptions!$C$13*Assumptions!$C$28^(CP$5-1))*$O274)),0)</f>
        <v>0.56134711464828368</v>
      </c>
      <c r="CR274" s="93">
        <f>IF(AND($T274=1,CR$5&lt;=$H274),CQ274*(1-BB274)*(1-MIN(1,MAX(Assumptions!$C$27,Assumptions!$C$13*Assumptions!$C$28^(CQ$5-1))*$O274)),0)</f>
        <v>0.53880566223059467</v>
      </c>
      <c r="CS274" s="93">
        <f>IF(AND($T274=1,CS$5&lt;=$H274),CR274*(1-BC274)*(1-MIN(1,MAX(Assumptions!$C$27,Assumptions!$C$13*Assumptions!$C$28^(CR$5-1))*$O274)),0)</f>
        <v>0.5201968998170976</v>
      </c>
      <c r="CT274" s="93">
        <f>IF(AND($T274=1,CT$5&lt;=$H274),CS274*(1-BD274)*(1-MIN(1,MAX(Assumptions!$C$27,Assumptions!$C$13*Assumptions!$C$28^(CS$5-1))*$O274)),0)</f>
        <v>0.50469741285809999</v>
      </c>
      <c r="CU274" s="93">
        <f>IF(AND($T274=1,CU$5&lt;=$H274),CT274*(1-BE274)*(1-MIN(1,MAX(Assumptions!$C$27,Assumptions!$C$13*Assumptions!$C$28^(CT$5-1))*$O274)),0)</f>
        <v>0.49167505588310312</v>
      </c>
      <c r="CV274" s="93">
        <f>IF(AND($T274=1,CV$5&lt;=$H274),CU274*(1-BF274)*(1-MIN(1,MAX(Assumptions!$C$27,Assumptions!$C$13*Assumptions!$C$28^(CU$5-1))*$O274)),0)</f>
        <v>0.48063770076630868</v>
      </c>
      <c r="CW274" s="93">
        <f>IF(AND($T274=1,CW$5&lt;=$H274),CV274*(1-BG274)*(1-MIN(1,MAX(Assumptions!$C$27,Assumptions!$C$13*Assumptions!$C$28^(CV$5-1))*$O274)),0)</f>
        <v>0.46979227334295959</v>
      </c>
      <c r="CX274" s="93">
        <f>IF(AND($T274=1,CX$5&lt;=$H274),CW274*(1-BH274)*(1-MIN(1,MAX(Assumptions!$C$27,Assumptions!$C$13*Assumptions!$C$28^(CW$5-1))*$O274)),0)</f>
        <v>0.45909122019180632</v>
      </c>
      <c r="CY274" s="93">
        <f>IF(AND($T274=1,CY$5&lt;=$H274),CX274*(1-BI274)*(1-MIN(1,MAX(Assumptions!$C$27,Assumptions!$C$13*Assumptions!$C$28^(CX$5-1))*$O274)),0)</f>
        <v>0.44852768770526952</v>
      </c>
      <c r="CZ274" s="93">
        <f>IF(AND($T274=1,CZ$5&lt;=$H274),CY274*(1-BJ274)*(1-MIN(1,MAX(Assumptions!$C$27,Assumptions!$C$13*Assumptions!$C$28^(CY$5-1))*$O274)),0)</f>
        <v>0.43809478800096668</v>
      </c>
      <c r="DA274" s="93">
        <f>IF(AND($T274=1,DA$5&lt;=$H274),CZ274*(1-BK274)*(1-MIN(1,MAX(Assumptions!$C$27,Assumptions!$C$13*Assumptions!$C$28^(CZ$5-1))*$O274)),0)</f>
        <v>0.42778559940619726</v>
      </c>
      <c r="DB274" s="93">
        <f>IF(AND($T274=1,DB$5&lt;=$H274),DA274*(1-BL274)*(1-MIN(1,MAX(Assumptions!$C$27,Assumptions!$C$13*Assumptions!$C$28^(DA$5-1))*$O274)),0)</f>
        <v>0.41759316833020171</v>
      </c>
      <c r="DC274" s="93">
        <f>IF(AND($T274=1,DC$5&lt;=$H274),DB274*(1-BM274)*(1-MIN(1,MAX(Assumptions!$C$27,Assumptions!$C$13*Assumptions!$C$28^(DB$5-1))*$O274)),0)</f>
        <v>0.40751051276001421</v>
      </c>
      <c r="DD274" s="93">
        <f>IF(AND($T274=1,DD$5&lt;=$H274),DC274*(1-BN274)*(1-MIN(1,MAX(Assumptions!$C$27,Assumptions!$C$13*Assumptions!$C$28^(DC$5-1))*$O274)),0)</f>
        <v>0.39753062764597424</v>
      </c>
      <c r="DE274" s="93">
        <f>IF(AND($T274=1,DE$5&lt;=$H274),DD274*(1-BO274)*(1-MIN(1,MAX(Assumptions!$C$27,Assumptions!$C$13*Assumptions!$C$28^(DD$5-1))*$O274)),0)</f>
        <v>0.38764649247578142</v>
      </c>
      <c r="DF274" s="93">
        <f>IF(AND($T274=1,DF$5&lt;=$H274),DE274*(1-BP274)*(1-MIN(1,MAX(Assumptions!$C$27,Assumptions!$C$13*Assumptions!$C$28^(DE$5-1))*$O274)),0)</f>
        <v>0.37785108137128609</v>
      </c>
      <c r="DG274" s="93">
        <f>IF(AND($T274=1,DG$5&lt;=$H274),DF274*(1-BQ274)*(1-MIN(1,MAX(Assumptions!$C$27,Assumptions!$C$13*Assumptions!$C$28^(DF$5-1))*$O274)),0)</f>
        <v>0.36813737607980174</v>
      </c>
      <c r="DH274" s="93">
        <f>IF(AND($T274=1,DH$5&lt;=$H274),DG274*(1-BR274)*(1-MIN(1,MAX(Assumptions!$C$27,Assumptions!$C$13*Assumptions!$C$28^(DG$5-1))*$O274)),0)</f>
        <v>0.35849838227125963</v>
      </c>
      <c r="DI274" s="93">
        <f>IF(AND($T274=1,DI$5&lt;=$H274),DH274*(1-BS274)*(1-MIN(1,MAX(Assumptions!$C$27,Assumptions!$C$13*Assumptions!$C$28^(DH$5-1))*$O274)),0)</f>
        <v>0</v>
      </c>
      <c r="DJ274" s="93">
        <f>IF(AND($T274=1,DJ$5&lt;=$H274),DI274*(1-BT274)*(1-MIN(1,MAX(Assumptions!$C$27,Assumptions!$C$13*Assumptions!$C$28^(DI$5-1))*$O274)),0)</f>
        <v>0</v>
      </c>
      <c r="DK274" s="93">
        <f>IF(AND($T274=1,DK$5&lt;=$H274),DJ274*(1-BU274)*(1-MIN(1,MAX(Assumptions!$C$27,Assumptions!$C$13*Assumptions!$C$28^(DJ$5-1))*$O274)),0)</f>
        <v>0</v>
      </c>
      <c r="DL274" s="93">
        <f>IF(AND($T274=1,DL$5&lt;=$H274),DK274*(1-BV274)*(1-MIN(1,MAX(Assumptions!$C$27,Assumptions!$C$13*Assumptions!$C$28^(DK$5-1))*$O274)),0)</f>
        <v>0</v>
      </c>
      <c r="DM274" s="93">
        <f>IF(AND($T274=1,DM$5&lt;=$H274),DL274*(1-BW274)*(1-MIN(1,MAX(Assumptions!$C$27,Assumptions!$C$13*Assumptions!$C$28^(DL$5-1))*$O274)),0)</f>
        <v>0</v>
      </c>
      <c r="DN274" s="93">
        <f>IF(AND($T274=1,DN$5&lt;=$H274),DM274*(1-BX274)*(1-MIN(1,MAX(Assumptions!$C$27,Assumptions!$C$13*Assumptions!$C$28^(DM$5-1))*$O274)),0)</f>
        <v>0</v>
      </c>
      <c r="DO274" s="93">
        <f>IF(AND($T274=1,DO$5&lt;=$H274),DN274*(1-BY274)*(1-MIN(1,MAX(Assumptions!$C$27,Assumptions!$C$13*Assumptions!$C$28^(DN$5-1))*$O274)),0)</f>
        <v>0</v>
      </c>
      <c r="DP274" s="93">
        <f>IF(AND($T274=1,DP$5&lt;=$H274),DO274*(1-BZ274)*(1-MIN(1,MAX(Assumptions!$C$27,Assumptions!$C$13*Assumptions!$C$28^(DO$5-1))*$O274)),0)</f>
        <v>0</v>
      </c>
      <c r="DQ274" s="93">
        <f>IF(AND($T274=1,DQ$5&lt;=$H274),DP274*(1-CA274)*(1-MIN(1,MAX(Assumptions!$C$27,Assumptions!$C$13*Assumptions!$C$28^(DP$5-1))*$O274)),0)</f>
        <v>0</v>
      </c>
      <c r="DR274" s="93">
        <f>IF(AND($T274=1,DR$5&lt;=$H274),DQ274*(1-CB274)*(1-MIN(1,MAX(Assumptions!$C$27,Assumptions!$C$13*Assumptions!$C$28^(DQ$5-1))*$O274)),0)</f>
        <v>0</v>
      </c>
      <c r="DS274" s="93">
        <f>IF(AND($T274=1,DS$5&lt;=$H274),DR274*(1-CC274)*(1-MIN(1,MAX(Assumptions!$C$27,Assumptions!$C$13*Assumptions!$C$28^(DR$5-1))*$O274)),0)</f>
        <v>0</v>
      </c>
      <c r="DT274" s="93">
        <f>IF(AND($T274=1,DT$5&lt;=$H274),DS274*(1-CD274)*(1-MIN(1,MAX(Assumptions!$C$27,Assumptions!$C$13*Assumptions!$C$28^(DS$5-1))*$O274)),0)</f>
        <v>0</v>
      </c>
      <c r="DU274" s="93">
        <f>IF(AND($T274=1,DU$5&lt;=$H274),DT274*(1-CE274)*(1-MIN(1,MAX(Assumptions!$C$27,Assumptions!$C$13*Assumptions!$C$28^(DT$5-1))*$O274)),0)</f>
        <v>0</v>
      </c>
      <c r="DV274" s="93">
        <f>IF(AND($T274=1,DV$5&lt;=$H274),DU274*(1-CF274)*(1-MIN(1,MAX(Assumptions!$C$27,Assumptions!$C$13*Assumptions!$C$28^(DU$5-1))*$O274)),0)</f>
        <v>0</v>
      </c>
      <c r="DW274" s="94">
        <f>IF(AND($T274=1,DW$5&lt;=$H274),DV274*(1-CG274)*(1-MIN(1,MAX(Assumptions!$C$27,Assumptions!$C$13*Assumptions!$C$28^(DV$5-1))*$O274)),0)</f>
        <v>0</v>
      </c>
      <c r="DX274" s="26"/>
      <c r="DY274" s="399">
        <f>'Policy Data'!K248</f>
        <v>1</v>
      </c>
      <c r="DZ274" s="100">
        <f>'Policy Data'!L248</f>
        <v>0.63349999999999995</v>
      </c>
      <c r="EA274" s="100">
        <f>'Policy Data'!N248</f>
        <v>6.3500000000000004E-4</v>
      </c>
      <c r="EB274" s="93" cm="1">
        <f t="array" ref="EB274">IFERROR(DZ274*INDEX(Mortality!$B$4:$E$64,MATCH(D274+DY274-1,Mortality!$A$4:$A$64,0),U274)*V274,0)</f>
        <v>6.3478701541231025E-4</v>
      </c>
      <c r="EC274" s="100">
        <f>'Policy Data'!O248</f>
        <v>0</v>
      </c>
      <c r="ED274" s="400">
        <f>'Policy Data'!Q248</f>
        <v>0</v>
      </c>
    </row>
    <row r="275" spans="1:134" x14ac:dyDescent="0.3">
      <c r="A275" s="399" t="str">
        <f>'Policy Data'!A249</f>
        <v>POL100245</v>
      </c>
      <c r="B275" s="26" t="s">
        <v>426</v>
      </c>
      <c r="C275" s="100" t="str">
        <f>'Policy Data'!B249</f>
        <v>Term Life</v>
      </c>
      <c r="D275" s="100">
        <f>'Policy Data'!C249</f>
        <v>62</v>
      </c>
      <c r="E275" s="100" t="str">
        <f>'Policy Data'!D249</f>
        <v>Male</v>
      </c>
      <c r="F275" s="100" t="str">
        <f>'Policy Data'!E249</f>
        <v>Non-smoker</v>
      </c>
      <c r="G275" s="100" t="str">
        <f>'Policy Data'!F249</f>
        <v>Standard</v>
      </c>
      <c r="H275" s="100">
        <f>'Policy Data'!G249</f>
        <v>20</v>
      </c>
      <c r="I275" s="279">
        <f>'Policy Data'!H249</f>
        <v>1000000</v>
      </c>
      <c r="J275" s="100" t="str">
        <f>'Policy Data'!I249</f>
        <v>Monthly</v>
      </c>
      <c r="K275" s="100" t="str">
        <f>'Policy Data'!J249</f>
        <v>Broker</v>
      </c>
      <c r="L275" s="26" t="s">
        <v>389</v>
      </c>
      <c r="M275" s="106">
        <f>'Policy Data'!R249</f>
        <v>8929.26</v>
      </c>
      <c r="N275" s="415">
        <f>Assumptions!$C$21</f>
        <v>1</v>
      </c>
      <c r="O275" s="415">
        <f>Assumptions!$C$22</f>
        <v>1</v>
      </c>
      <c r="P275" s="415">
        <f>Assumptions!$C$23</f>
        <v>1</v>
      </c>
      <c r="Q275" s="416">
        <f>Assumptions!$C$24</f>
        <v>0</v>
      </c>
      <c r="R275" s="416">
        <f>Assumptions!$C$6+Assumptions!$C$25</f>
        <v>3.5000000000000003E-2</v>
      </c>
      <c r="S275" s="416">
        <f>Assumptions!$C$15</f>
        <v>1.1000000000000001E-3</v>
      </c>
      <c r="T275" s="26">
        <f t="shared" si="72"/>
        <v>0</v>
      </c>
      <c r="U275" s="26">
        <f t="shared" si="73"/>
        <v>3</v>
      </c>
      <c r="V275" s="389">
        <f>IF($G275="Preferred",Assumptions!$C$30,IF($G275="Rated",Assumptions!$C$31,1))</f>
        <v>1</v>
      </c>
      <c r="W275" s="390">
        <f>IF($K275="Direct",Assumptions!$C$32,IF($K275="Broker",Assumptions!$C$33,IF($K275="Bancassurance",Assumptions!$C$34,Assumptions!$C$11)))+$Q275</f>
        <v>0.25</v>
      </c>
      <c r="X275" s="390">
        <f>Assumptions!$C$12+$Q275</f>
        <v>0.05</v>
      </c>
      <c r="Y275" s="131">
        <f>MIN($I275,Assumptions!$C$14)</f>
        <v>500000</v>
      </c>
      <c r="Z275" s="131">
        <f>MAX($I275-Assumptions!$C$14,0)</f>
        <v>500000</v>
      </c>
      <c r="AA275" s="389">
        <f t="shared" si="74"/>
        <v>0</v>
      </c>
      <c r="AB275" s="389">
        <f t="shared" si="75"/>
        <v>0</v>
      </c>
      <c r="AC275" s="389">
        <f>IF($T275=1,SUMPRODUCT($CJ275:$DW275,(1+Assumptions!$C$5)^($CJ$5:$DW$5-1),(1+$R275)^(-$CJ$5:$DW$5)),0)</f>
        <v>0</v>
      </c>
      <c r="AD275" s="389">
        <f t="shared" si="76"/>
        <v>0</v>
      </c>
      <c r="AE275" s="131">
        <f>IF($T275=1,$AB275*$Y275+(Assumptions!$C$9/(1+$R275)+Assumptions!$C$10*$AC275)*$P275+$S275*$Z275*$AA275,0)</f>
        <v>0</v>
      </c>
      <c r="AF275" s="131" t="str">
        <f>IF($T275=1,IF($AA275-$AD275-Assumptions!$C$16*$AA275&gt;0,$AE275/($AA275-$AD275-Assumptions!$C$16*$AA275)*IF($J275="Monthly",1+Assumptions!$C$29,1),"n.a."),"")</f>
        <v/>
      </c>
      <c r="AG275" s="131" t="str">
        <f t="shared" si="77"/>
        <v/>
      </c>
      <c r="AH275" s="131" t="str">
        <f t="shared" si="78"/>
        <v/>
      </c>
      <c r="AI275" s="131" t="str">
        <f t="shared" si="79"/>
        <v/>
      </c>
      <c r="AJ275" s="390" t="str">
        <f t="shared" si="80"/>
        <v/>
      </c>
      <c r="AK275" s="389" t="str">
        <f t="shared" si="81"/>
        <v/>
      </c>
      <c r="AL275" s="131" t="str">
        <f t="shared" si="82"/>
        <v/>
      </c>
      <c r="AM275" s="131" t="str">
        <f t="shared" si="83"/>
        <v/>
      </c>
      <c r="AN275" s="131" t="str">
        <f t="shared" si="84"/>
        <v/>
      </c>
      <c r="AO275" s="131" t="str">
        <f t="shared" si="85"/>
        <v/>
      </c>
      <c r="AP275" s="26" t="str">
        <f t="shared" si="86"/>
        <v>60+</v>
      </c>
      <c r="AQ275" s="26" t="str">
        <f t="shared" si="87"/>
        <v>500k-1m</v>
      </c>
      <c r="AR275" s="26" t="str">
        <f>IF($T275=1,IF($AI275&lt;0,"Loss-making",IF($AJ275&lt;Assumptions!$C$16-0.00001,"Below target","At/above target")),"Excluded")</f>
        <v>Excluded</v>
      </c>
      <c r="AS275" s="103">
        <f t="shared" si="88"/>
        <v>9.9999999999999997E+98</v>
      </c>
      <c r="AT275" s="26"/>
      <c r="AU275" s="419">
        <f>IF(AND($T275=1,AU$5&lt;=$H275),INDEX(Mortality!$B$4:$E$64,MATCH($D275+AU$5-1,Mortality!$A$4:$A$64,0),$U275)*$V275*$N275,0)</f>
        <v>0</v>
      </c>
      <c r="AV275" s="93">
        <f>IF(AND($T275=1,AV$5&lt;=$H275),INDEX(Mortality!$B$4:$E$64,MATCH($D275+AV$5-1,Mortality!$A$4:$A$64,0),$U275)*$V275*$N275,0)</f>
        <v>0</v>
      </c>
      <c r="AW275" s="93">
        <f>IF(AND($T275=1,AW$5&lt;=$H275),INDEX(Mortality!$B$4:$E$64,MATCH($D275+AW$5-1,Mortality!$A$4:$A$64,0),$U275)*$V275*$N275,0)</f>
        <v>0</v>
      </c>
      <c r="AX275" s="93">
        <f>IF(AND($T275=1,AX$5&lt;=$H275),INDEX(Mortality!$B$4:$E$64,MATCH($D275+AX$5-1,Mortality!$A$4:$A$64,0),$U275)*$V275*$N275,0)</f>
        <v>0</v>
      </c>
      <c r="AY275" s="93">
        <f>IF(AND($T275=1,AY$5&lt;=$H275),INDEX(Mortality!$B$4:$E$64,MATCH($D275+AY$5-1,Mortality!$A$4:$A$64,0),$U275)*$V275*$N275,0)</f>
        <v>0</v>
      </c>
      <c r="AZ275" s="93">
        <f>IF(AND($T275=1,AZ$5&lt;=$H275),INDEX(Mortality!$B$4:$E$64,MATCH($D275+AZ$5-1,Mortality!$A$4:$A$64,0),$U275)*$V275*$N275,0)</f>
        <v>0</v>
      </c>
      <c r="BA275" s="93">
        <f>IF(AND($T275=1,BA$5&lt;=$H275),INDEX(Mortality!$B$4:$E$64,MATCH($D275+BA$5-1,Mortality!$A$4:$A$64,0),$U275)*$V275*$N275,0)</f>
        <v>0</v>
      </c>
      <c r="BB275" s="93">
        <f>IF(AND($T275=1,BB$5&lt;=$H275),INDEX(Mortality!$B$4:$E$64,MATCH($D275+BB$5-1,Mortality!$A$4:$A$64,0),$U275)*$V275*$N275,0)</f>
        <v>0</v>
      </c>
      <c r="BC275" s="93">
        <f>IF(AND($T275=1,BC$5&lt;=$H275),INDEX(Mortality!$B$4:$E$64,MATCH($D275+BC$5-1,Mortality!$A$4:$A$64,0),$U275)*$V275*$N275,0)</f>
        <v>0</v>
      </c>
      <c r="BD275" s="93">
        <f>IF(AND($T275=1,BD$5&lt;=$H275),INDEX(Mortality!$B$4:$E$64,MATCH($D275+BD$5-1,Mortality!$A$4:$A$64,0),$U275)*$V275*$N275,0)</f>
        <v>0</v>
      </c>
      <c r="BE275" s="93">
        <f>IF(AND($T275=1,BE$5&lt;=$H275),INDEX(Mortality!$B$4:$E$64,MATCH($D275+BE$5-1,Mortality!$A$4:$A$64,0),$U275)*$V275*$N275,0)</f>
        <v>0</v>
      </c>
      <c r="BF275" s="93">
        <f>IF(AND($T275=1,BF$5&lt;=$H275),INDEX(Mortality!$B$4:$E$64,MATCH($D275+BF$5-1,Mortality!$A$4:$A$64,0),$U275)*$V275*$N275,0)</f>
        <v>0</v>
      </c>
      <c r="BG275" s="93">
        <f>IF(AND($T275=1,BG$5&lt;=$H275),INDEX(Mortality!$B$4:$E$64,MATCH($D275+BG$5-1,Mortality!$A$4:$A$64,0),$U275)*$V275*$N275,0)</f>
        <v>0</v>
      </c>
      <c r="BH275" s="93">
        <f>IF(AND($T275=1,BH$5&lt;=$H275),INDEX(Mortality!$B$4:$E$64,MATCH($D275+BH$5-1,Mortality!$A$4:$A$64,0),$U275)*$V275*$N275,0)</f>
        <v>0</v>
      </c>
      <c r="BI275" s="93">
        <f>IF(AND($T275=1,BI$5&lt;=$H275),INDEX(Mortality!$B$4:$E$64,MATCH($D275+BI$5-1,Mortality!$A$4:$A$64,0),$U275)*$V275*$N275,0)</f>
        <v>0</v>
      </c>
      <c r="BJ275" s="93">
        <f>IF(AND($T275=1,BJ$5&lt;=$H275),INDEX(Mortality!$B$4:$E$64,MATCH($D275+BJ$5-1,Mortality!$A$4:$A$64,0),$U275)*$V275*$N275,0)</f>
        <v>0</v>
      </c>
      <c r="BK275" s="93">
        <f>IF(AND($T275=1,BK$5&lt;=$H275),INDEX(Mortality!$B$4:$E$64,MATCH($D275+BK$5-1,Mortality!$A$4:$A$64,0),$U275)*$V275*$N275,0)</f>
        <v>0</v>
      </c>
      <c r="BL275" s="93">
        <f>IF(AND($T275=1,BL$5&lt;=$H275),INDEX(Mortality!$B$4:$E$64,MATCH($D275+BL$5-1,Mortality!$A$4:$A$64,0),$U275)*$V275*$N275,0)</f>
        <v>0</v>
      </c>
      <c r="BM275" s="93">
        <f>IF(AND($T275=1,BM$5&lt;=$H275),INDEX(Mortality!$B$4:$E$64,MATCH($D275+BM$5-1,Mortality!$A$4:$A$64,0),$U275)*$V275*$N275,0)</f>
        <v>0</v>
      </c>
      <c r="BN275" s="93">
        <f>IF(AND($T275=1,BN$5&lt;=$H275),INDEX(Mortality!$B$4:$E$64,MATCH($D275+BN$5-1,Mortality!$A$4:$A$64,0),$U275)*$V275*$N275,0)</f>
        <v>0</v>
      </c>
      <c r="BO275" s="93">
        <f>IF(AND($T275=1,BO$5&lt;=$H275),INDEX(Mortality!$B$4:$E$64,MATCH($D275+BO$5-1,Mortality!$A$4:$A$64,0),$U275)*$V275*$N275,0)</f>
        <v>0</v>
      </c>
      <c r="BP275" s="93">
        <f>IF(AND($T275=1,BP$5&lt;=$H275),INDEX(Mortality!$B$4:$E$64,MATCH($D275+BP$5-1,Mortality!$A$4:$A$64,0),$U275)*$V275*$N275,0)</f>
        <v>0</v>
      </c>
      <c r="BQ275" s="93">
        <f>IF(AND($T275=1,BQ$5&lt;=$H275),INDEX(Mortality!$B$4:$E$64,MATCH($D275+BQ$5-1,Mortality!$A$4:$A$64,0),$U275)*$V275*$N275,0)</f>
        <v>0</v>
      </c>
      <c r="BR275" s="93">
        <f>IF(AND($T275=1,BR$5&lt;=$H275),INDEX(Mortality!$B$4:$E$64,MATCH($D275+BR$5-1,Mortality!$A$4:$A$64,0),$U275)*$V275*$N275,0)</f>
        <v>0</v>
      </c>
      <c r="BS275" s="93">
        <f>IF(AND($T275=1,BS$5&lt;=$H275),INDEX(Mortality!$B$4:$E$64,MATCH($D275+BS$5-1,Mortality!$A$4:$A$64,0),$U275)*$V275*$N275,0)</f>
        <v>0</v>
      </c>
      <c r="BT275" s="93">
        <f>IF(AND($T275=1,BT$5&lt;=$H275),INDEX(Mortality!$B$4:$E$64,MATCH($D275+BT$5-1,Mortality!$A$4:$A$64,0),$U275)*$V275*$N275,0)</f>
        <v>0</v>
      </c>
      <c r="BU275" s="93">
        <f>IF(AND($T275=1,BU$5&lt;=$H275),INDEX(Mortality!$B$4:$E$64,MATCH($D275+BU$5-1,Mortality!$A$4:$A$64,0),$U275)*$V275*$N275,0)</f>
        <v>0</v>
      </c>
      <c r="BV275" s="93">
        <f>IF(AND($T275=1,BV$5&lt;=$H275),INDEX(Mortality!$B$4:$E$64,MATCH($D275+BV$5-1,Mortality!$A$4:$A$64,0),$U275)*$V275*$N275,0)</f>
        <v>0</v>
      </c>
      <c r="BW275" s="93">
        <f>IF(AND($T275=1,BW$5&lt;=$H275),INDEX(Mortality!$B$4:$E$64,MATCH($D275+BW$5-1,Mortality!$A$4:$A$64,0),$U275)*$V275*$N275,0)</f>
        <v>0</v>
      </c>
      <c r="BX275" s="93">
        <f>IF(AND($T275=1,BX$5&lt;=$H275),INDEX(Mortality!$B$4:$E$64,MATCH($D275+BX$5-1,Mortality!$A$4:$A$64,0),$U275)*$V275*$N275,0)</f>
        <v>0</v>
      </c>
      <c r="BY275" s="93">
        <f>IF(AND($T275=1,BY$5&lt;=$H275),INDEX(Mortality!$B$4:$E$64,MATCH($D275+BY$5-1,Mortality!$A$4:$A$64,0),$U275)*$V275*$N275,0)</f>
        <v>0</v>
      </c>
      <c r="BZ275" s="93">
        <f>IF(AND($T275=1,BZ$5&lt;=$H275),INDEX(Mortality!$B$4:$E$64,MATCH($D275+BZ$5-1,Mortality!$A$4:$A$64,0),$U275)*$V275*$N275,0)</f>
        <v>0</v>
      </c>
      <c r="CA275" s="93">
        <f>IF(AND($T275=1,CA$5&lt;=$H275),INDEX(Mortality!$B$4:$E$64,MATCH($D275+CA$5-1,Mortality!$A$4:$A$64,0),$U275)*$V275*$N275,0)</f>
        <v>0</v>
      </c>
      <c r="CB275" s="93">
        <f>IF(AND($T275=1,CB$5&lt;=$H275),INDEX(Mortality!$B$4:$E$64,MATCH($D275+CB$5-1,Mortality!$A$4:$A$64,0),$U275)*$V275*$N275,0)</f>
        <v>0</v>
      </c>
      <c r="CC275" s="93">
        <f>IF(AND($T275=1,CC$5&lt;=$H275),INDEX(Mortality!$B$4:$E$64,MATCH($D275+CC$5-1,Mortality!$A$4:$A$64,0),$U275)*$V275*$N275,0)</f>
        <v>0</v>
      </c>
      <c r="CD275" s="93">
        <f>IF(AND($T275=1,CD$5&lt;=$H275),INDEX(Mortality!$B$4:$E$64,MATCH($D275+CD$5-1,Mortality!$A$4:$A$64,0),$U275)*$V275*$N275,0)</f>
        <v>0</v>
      </c>
      <c r="CE275" s="93">
        <f>IF(AND($T275=1,CE$5&lt;=$H275),INDEX(Mortality!$B$4:$E$64,MATCH($D275+CE$5-1,Mortality!$A$4:$A$64,0),$U275)*$V275*$N275,0)</f>
        <v>0</v>
      </c>
      <c r="CF275" s="93">
        <f>IF(AND($T275=1,CF$5&lt;=$H275),INDEX(Mortality!$B$4:$E$64,MATCH($D275+CF$5-1,Mortality!$A$4:$A$64,0),$U275)*$V275*$N275,0)</f>
        <v>0</v>
      </c>
      <c r="CG275" s="93">
        <f>IF(AND($T275=1,CG$5&lt;=$H275),INDEX(Mortality!$B$4:$E$64,MATCH($D275+CG$5-1,Mortality!$A$4:$A$64,0),$U275)*$V275*$N275,0)</f>
        <v>0</v>
      </c>
      <c r="CH275" s="94">
        <f>IF(AND($T275=1,CH$5&lt;=$H275),INDEX(Mortality!$B$4:$E$64,MATCH($D275+CH$5-1,Mortality!$A$4:$A$64,0),$U275)*$V275*$N275,0)</f>
        <v>0</v>
      </c>
      <c r="CI275" s="26"/>
      <c r="CJ275" s="419">
        <f t="shared" si="89"/>
        <v>0</v>
      </c>
      <c r="CK275" s="93">
        <f>IF(AND($T275=1,CK$5&lt;=$H275),CJ275*(1-AU275)*(1-MIN(1,MAX(Assumptions!$C$27,Assumptions!$C$13*Assumptions!$C$28^(CJ$5-1))*$O275)),0)</f>
        <v>0</v>
      </c>
      <c r="CL275" s="93">
        <f>IF(AND($T275=1,CL$5&lt;=$H275),CK275*(1-AV275)*(1-MIN(1,MAX(Assumptions!$C$27,Assumptions!$C$13*Assumptions!$C$28^(CK$5-1))*$O275)),0)</f>
        <v>0</v>
      </c>
      <c r="CM275" s="93">
        <f>IF(AND($T275=1,CM$5&lt;=$H275),CL275*(1-AW275)*(1-MIN(1,MAX(Assumptions!$C$27,Assumptions!$C$13*Assumptions!$C$28^(CL$5-1))*$O275)),0)</f>
        <v>0</v>
      </c>
      <c r="CN275" s="93">
        <f>IF(AND($T275=1,CN$5&lt;=$H275),CM275*(1-AX275)*(1-MIN(1,MAX(Assumptions!$C$27,Assumptions!$C$13*Assumptions!$C$28^(CM$5-1))*$O275)),0)</f>
        <v>0</v>
      </c>
      <c r="CO275" s="93">
        <f>IF(AND($T275=1,CO$5&lt;=$H275),CN275*(1-AY275)*(1-MIN(1,MAX(Assumptions!$C$27,Assumptions!$C$13*Assumptions!$C$28^(CN$5-1))*$O275)),0)</f>
        <v>0</v>
      </c>
      <c r="CP275" s="93">
        <f>IF(AND($T275=1,CP$5&lt;=$H275),CO275*(1-AZ275)*(1-MIN(1,MAX(Assumptions!$C$27,Assumptions!$C$13*Assumptions!$C$28^(CO$5-1))*$O275)),0)</f>
        <v>0</v>
      </c>
      <c r="CQ275" s="93">
        <f>IF(AND($T275=1,CQ$5&lt;=$H275),CP275*(1-BA275)*(1-MIN(1,MAX(Assumptions!$C$27,Assumptions!$C$13*Assumptions!$C$28^(CP$5-1))*$O275)),0)</f>
        <v>0</v>
      </c>
      <c r="CR275" s="93">
        <f>IF(AND($T275=1,CR$5&lt;=$H275),CQ275*(1-BB275)*(1-MIN(1,MAX(Assumptions!$C$27,Assumptions!$C$13*Assumptions!$C$28^(CQ$5-1))*$O275)),0)</f>
        <v>0</v>
      </c>
      <c r="CS275" s="93">
        <f>IF(AND($T275=1,CS$5&lt;=$H275),CR275*(1-BC275)*(1-MIN(1,MAX(Assumptions!$C$27,Assumptions!$C$13*Assumptions!$C$28^(CR$5-1))*$O275)),0)</f>
        <v>0</v>
      </c>
      <c r="CT275" s="93">
        <f>IF(AND($T275=1,CT$5&lt;=$H275),CS275*(1-BD275)*(1-MIN(1,MAX(Assumptions!$C$27,Assumptions!$C$13*Assumptions!$C$28^(CS$5-1))*$O275)),0)</f>
        <v>0</v>
      </c>
      <c r="CU275" s="93">
        <f>IF(AND($T275=1,CU$5&lt;=$H275),CT275*(1-BE275)*(1-MIN(1,MAX(Assumptions!$C$27,Assumptions!$C$13*Assumptions!$C$28^(CT$5-1))*$O275)),0)</f>
        <v>0</v>
      </c>
      <c r="CV275" s="93">
        <f>IF(AND($T275=1,CV$5&lt;=$H275),CU275*(1-BF275)*(1-MIN(1,MAX(Assumptions!$C$27,Assumptions!$C$13*Assumptions!$C$28^(CU$5-1))*$O275)),0)</f>
        <v>0</v>
      </c>
      <c r="CW275" s="93">
        <f>IF(AND($T275=1,CW$5&lt;=$H275),CV275*(1-BG275)*(1-MIN(1,MAX(Assumptions!$C$27,Assumptions!$C$13*Assumptions!$C$28^(CV$5-1))*$O275)),0)</f>
        <v>0</v>
      </c>
      <c r="CX275" s="93">
        <f>IF(AND($T275=1,CX$5&lt;=$H275),CW275*(1-BH275)*(1-MIN(1,MAX(Assumptions!$C$27,Assumptions!$C$13*Assumptions!$C$28^(CW$5-1))*$O275)),0)</f>
        <v>0</v>
      </c>
      <c r="CY275" s="93">
        <f>IF(AND($T275=1,CY$5&lt;=$H275),CX275*(1-BI275)*(1-MIN(1,MAX(Assumptions!$C$27,Assumptions!$C$13*Assumptions!$C$28^(CX$5-1))*$O275)),0)</f>
        <v>0</v>
      </c>
      <c r="CZ275" s="93">
        <f>IF(AND($T275=1,CZ$5&lt;=$H275),CY275*(1-BJ275)*(1-MIN(1,MAX(Assumptions!$C$27,Assumptions!$C$13*Assumptions!$C$28^(CY$5-1))*$O275)),0)</f>
        <v>0</v>
      </c>
      <c r="DA275" s="93">
        <f>IF(AND($T275=1,DA$5&lt;=$H275),CZ275*(1-BK275)*(1-MIN(1,MAX(Assumptions!$C$27,Assumptions!$C$13*Assumptions!$C$28^(CZ$5-1))*$O275)),0)</f>
        <v>0</v>
      </c>
      <c r="DB275" s="93">
        <f>IF(AND($T275=1,DB$5&lt;=$H275),DA275*(1-BL275)*(1-MIN(1,MAX(Assumptions!$C$27,Assumptions!$C$13*Assumptions!$C$28^(DA$5-1))*$O275)),0)</f>
        <v>0</v>
      </c>
      <c r="DC275" s="93">
        <f>IF(AND($T275=1,DC$5&lt;=$H275),DB275*(1-BM275)*(1-MIN(1,MAX(Assumptions!$C$27,Assumptions!$C$13*Assumptions!$C$28^(DB$5-1))*$O275)),0)</f>
        <v>0</v>
      </c>
      <c r="DD275" s="93">
        <f>IF(AND($T275=1,DD$5&lt;=$H275),DC275*(1-BN275)*(1-MIN(1,MAX(Assumptions!$C$27,Assumptions!$C$13*Assumptions!$C$28^(DC$5-1))*$O275)),0)</f>
        <v>0</v>
      </c>
      <c r="DE275" s="93">
        <f>IF(AND($T275=1,DE$5&lt;=$H275),DD275*(1-BO275)*(1-MIN(1,MAX(Assumptions!$C$27,Assumptions!$C$13*Assumptions!$C$28^(DD$5-1))*$O275)),0)</f>
        <v>0</v>
      </c>
      <c r="DF275" s="93">
        <f>IF(AND($T275=1,DF$5&lt;=$H275),DE275*(1-BP275)*(1-MIN(1,MAX(Assumptions!$C$27,Assumptions!$C$13*Assumptions!$C$28^(DE$5-1))*$O275)),0)</f>
        <v>0</v>
      </c>
      <c r="DG275" s="93">
        <f>IF(AND($T275=1,DG$5&lt;=$H275),DF275*(1-BQ275)*(1-MIN(1,MAX(Assumptions!$C$27,Assumptions!$C$13*Assumptions!$C$28^(DF$5-1))*$O275)),0)</f>
        <v>0</v>
      </c>
      <c r="DH275" s="93">
        <f>IF(AND($T275=1,DH$5&lt;=$H275),DG275*(1-BR275)*(1-MIN(1,MAX(Assumptions!$C$27,Assumptions!$C$13*Assumptions!$C$28^(DG$5-1))*$O275)),0)</f>
        <v>0</v>
      </c>
      <c r="DI275" s="93">
        <f>IF(AND($T275=1,DI$5&lt;=$H275),DH275*(1-BS275)*(1-MIN(1,MAX(Assumptions!$C$27,Assumptions!$C$13*Assumptions!$C$28^(DH$5-1))*$O275)),0)</f>
        <v>0</v>
      </c>
      <c r="DJ275" s="93">
        <f>IF(AND($T275=1,DJ$5&lt;=$H275),DI275*(1-BT275)*(1-MIN(1,MAX(Assumptions!$C$27,Assumptions!$C$13*Assumptions!$C$28^(DI$5-1))*$O275)),0)</f>
        <v>0</v>
      </c>
      <c r="DK275" s="93">
        <f>IF(AND($T275=1,DK$5&lt;=$H275),DJ275*(1-BU275)*(1-MIN(1,MAX(Assumptions!$C$27,Assumptions!$C$13*Assumptions!$C$28^(DJ$5-1))*$O275)),0)</f>
        <v>0</v>
      </c>
      <c r="DL275" s="93">
        <f>IF(AND($T275=1,DL$5&lt;=$H275),DK275*(1-BV275)*(1-MIN(1,MAX(Assumptions!$C$27,Assumptions!$C$13*Assumptions!$C$28^(DK$5-1))*$O275)),0)</f>
        <v>0</v>
      </c>
      <c r="DM275" s="93">
        <f>IF(AND($T275=1,DM$5&lt;=$H275),DL275*(1-BW275)*(1-MIN(1,MAX(Assumptions!$C$27,Assumptions!$C$13*Assumptions!$C$28^(DL$5-1))*$O275)),0)</f>
        <v>0</v>
      </c>
      <c r="DN275" s="93">
        <f>IF(AND($T275=1,DN$5&lt;=$H275),DM275*(1-BX275)*(1-MIN(1,MAX(Assumptions!$C$27,Assumptions!$C$13*Assumptions!$C$28^(DM$5-1))*$O275)),0)</f>
        <v>0</v>
      </c>
      <c r="DO275" s="93">
        <f>IF(AND($T275=1,DO$5&lt;=$H275),DN275*(1-BY275)*(1-MIN(1,MAX(Assumptions!$C$27,Assumptions!$C$13*Assumptions!$C$28^(DN$5-1))*$O275)),0)</f>
        <v>0</v>
      </c>
      <c r="DP275" s="93">
        <f>IF(AND($T275=1,DP$5&lt;=$H275),DO275*(1-BZ275)*(1-MIN(1,MAX(Assumptions!$C$27,Assumptions!$C$13*Assumptions!$C$28^(DO$5-1))*$O275)),0)</f>
        <v>0</v>
      </c>
      <c r="DQ275" s="93">
        <f>IF(AND($T275=1,DQ$5&lt;=$H275),DP275*(1-CA275)*(1-MIN(1,MAX(Assumptions!$C$27,Assumptions!$C$13*Assumptions!$C$28^(DP$5-1))*$O275)),0)</f>
        <v>0</v>
      </c>
      <c r="DR275" s="93">
        <f>IF(AND($T275=1,DR$5&lt;=$H275),DQ275*(1-CB275)*(1-MIN(1,MAX(Assumptions!$C$27,Assumptions!$C$13*Assumptions!$C$28^(DQ$5-1))*$O275)),0)</f>
        <v>0</v>
      </c>
      <c r="DS275" s="93">
        <f>IF(AND($T275=1,DS$5&lt;=$H275),DR275*(1-CC275)*(1-MIN(1,MAX(Assumptions!$C$27,Assumptions!$C$13*Assumptions!$C$28^(DR$5-1))*$O275)),0)</f>
        <v>0</v>
      </c>
      <c r="DT275" s="93">
        <f>IF(AND($T275=1,DT$5&lt;=$H275),DS275*(1-CD275)*(1-MIN(1,MAX(Assumptions!$C$27,Assumptions!$C$13*Assumptions!$C$28^(DS$5-1))*$O275)),0)</f>
        <v>0</v>
      </c>
      <c r="DU275" s="93">
        <f>IF(AND($T275=1,DU$5&lt;=$H275),DT275*(1-CE275)*(1-MIN(1,MAX(Assumptions!$C$27,Assumptions!$C$13*Assumptions!$C$28^(DT$5-1))*$O275)),0)</f>
        <v>0</v>
      </c>
      <c r="DV275" s="93">
        <f>IF(AND($T275=1,DV$5&lt;=$H275),DU275*(1-CF275)*(1-MIN(1,MAX(Assumptions!$C$27,Assumptions!$C$13*Assumptions!$C$28^(DU$5-1))*$O275)),0)</f>
        <v>0</v>
      </c>
      <c r="DW275" s="94">
        <f>IF(AND($T275=1,DW$5&lt;=$H275),DV275*(1-CG275)*(1-MIN(1,MAX(Assumptions!$C$27,Assumptions!$C$13*Assumptions!$C$28^(DV$5-1))*$O275)),0)</f>
        <v>0</v>
      </c>
      <c r="DX275" s="26"/>
      <c r="DY275" s="399">
        <f>'Policy Data'!K249</f>
        <v>5</v>
      </c>
      <c r="DZ275" s="100">
        <f>'Policy Data'!L249</f>
        <v>0.73529999999999995</v>
      </c>
      <c r="EA275" s="100">
        <f>'Policy Data'!N249</f>
        <v>4.9220000000000002E-3</v>
      </c>
      <c r="EB275" s="93" cm="1">
        <f t="array" ref="EB275">IFERROR(DZ275*INDEX(Mortality!$B$4:$E$64,MATCH(D275+DY275-1,Mortality!$A$4:$A$64,0),U275)*V275,0)</f>
        <v>6.7786471481913763E-3</v>
      </c>
      <c r="EC275" s="100">
        <f>'Policy Data'!O249</f>
        <v>0</v>
      </c>
      <c r="ED275" s="400">
        <f>'Policy Data'!Q249</f>
        <v>0</v>
      </c>
    </row>
    <row r="276" spans="1:134" x14ac:dyDescent="0.3">
      <c r="A276" s="399" t="str">
        <f>'Policy Data'!A250</f>
        <v>POL100246</v>
      </c>
      <c r="B276" s="26" t="s">
        <v>426</v>
      </c>
      <c r="C276" s="100" t="str">
        <f>'Policy Data'!B250</f>
        <v>Term Life</v>
      </c>
      <c r="D276" s="100">
        <f>'Policy Data'!C250</f>
        <v>59</v>
      </c>
      <c r="E276" s="100" t="str">
        <f>'Policy Data'!D250</f>
        <v>Male</v>
      </c>
      <c r="F276" s="100" t="str">
        <f>'Policy Data'!E250</f>
        <v>Non-smoker</v>
      </c>
      <c r="G276" s="100" t="str">
        <f>'Policy Data'!F250</f>
        <v>Standard</v>
      </c>
      <c r="H276" s="100">
        <f>'Policy Data'!G250</f>
        <v>20</v>
      </c>
      <c r="I276" s="279">
        <f>'Policy Data'!H250</f>
        <v>500000</v>
      </c>
      <c r="J276" s="100" t="str">
        <f>'Policy Data'!I250</f>
        <v>Monthly</v>
      </c>
      <c r="K276" s="100" t="str">
        <f>'Policy Data'!J250</f>
        <v>Bancassurance</v>
      </c>
      <c r="L276" s="26" t="s">
        <v>389</v>
      </c>
      <c r="M276" s="106">
        <f>'Policy Data'!R250</f>
        <v>3861.89</v>
      </c>
      <c r="N276" s="415">
        <f>Assumptions!$C$21</f>
        <v>1</v>
      </c>
      <c r="O276" s="415">
        <f>Assumptions!$C$22</f>
        <v>1</v>
      </c>
      <c r="P276" s="415">
        <f>Assumptions!$C$23</f>
        <v>1</v>
      </c>
      <c r="Q276" s="416">
        <f>Assumptions!$C$24</f>
        <v>0</v>
      </c>
      <c r="R276" s="416">
        <f>Assumptions!$C$6+Assumptions!$C$25</f>
        <v>3.5000000000000003E-2</v>
      </c>
      <c r="S276" s="416">
        <f>Assumptions!$C$15</f>
        <v>1.1000000000000001E-3</v>
      </c>
      <c r="T276" s="26">
        <f t="shared" si="72"/>
        <v>1</v>
      </c>
      <c r="U276" s="26">
        <f t="shared" si="73"/>
        <v>3</v>
      </c>
      <c r="V276" s="389">
        <f>IF($G276="Preferred",Assumptions!$C$30,IF($G276="Rated",Assumptions!$C$31,1))</f>
        <v>1</v>
      </c>
      <c r="W276" s="390">
        <f>IF($K276="Direct",Assumptions!$C$32,IF($K276="Broker",Assumptions!$C$33,IF($K276="Bancassurance",Assumptions!$C$34,Assumptions!$C$11)))+$Q276</f>
        <v>0.2</v>
      </c>
      <c r="X276" s="390">
        <f>Assumptions!$C$12+$Q276</f>
        <v>0.05</v>
      </c>
      <c r="Y276" s="131">
        <f>MIN($I276,Assumptions!$C$14)</f>
        <v>500000</v>
      </c>
      <c r="Z276" s="131">
        <f>MAX($I276-Assumptions!$C$14,0)</f>
        <v>0</v>
      </c>
      <c r="AA276" s="389">
        <f t="shared" si="74"/>
        <v>8.1518764024919346</v>
      </c>
      <c r="AB276" s="389">
        <f t="shared" si="75"/>
        <v>8.1020866462584745E-2</v>
      </c>
      <c r="AC276" s="389">
        <f>IF($T276=1,SUMPRODUCT($CJ276:$DW276,(1+Assumptions!$C$5)^($CJ$5:$DW$5-1),(1+$R276)^(-$CJ$5:$DW$5)),0)</f>
        <v>10.835777105089466</v>
      </c>
      <c r="AD276" s="389">
        <f t="shared" si="76"/>
        <v>0.55252135635648081</v>
      </c>
      <c r="AE276" s="131">
        <f>IF($T276=1,$AB276*$Y276+(Assumptions!$C$9/(1+$R276)+Assumptions!$C$10*$AC276)*$P276+$S276*$Z276*$AA276,0)</f>
        <v>43763.86941180336</v>
      </c>
      <c r="AF276" s="131">
        <f>IF($T276=1,IF($AA276-$AD276-Assumptions!$C$16*$AA276&gt;0,$AE276/($AA276-$AD276-Assumptions!$C$16*$AA276)*IF($J276="Monthly",1+Assumptions!$C$29,1),"n.a."),"")</f>
        <v>6488.4778731607348</v>
      </c>
      <c r="AG276" s="131">
        <f t="shared" si="77"/>
        <v>3861.89</v>
      </c>
      <c r="AH276" s="131">
        <f t="shared" si="78"/>
        <v>31481.649960019575</v>
      </c>
      <c r="AI276" s="131">
        <f t="shared" si="79"/>
        <v>-14415.996152683314</v>
      </c>
      <c r="AJ276" s="390">
        <f t="shared" si="80"/>
        <v>-0.45791742716760547</v>
      </c>
      <c r="AK276" s="389">
        <f t="shared" si="81"/>
        <v>0.59519198115393368</v>
      </c>
      <c r="AL276" s="131">
        <f t="shared" si="82"/>
        <v>0</v>
      </c>
      <c r="AM276" s="131">
        <f t="shared" si="83"/>
        <v>0</v>
      </c>
      <c r="AN276" s="131">
        <f t="shared" si="84"/>
        <v>0</v>
      </c>
      <c r="AO276" s="131">
        <f t="shared" si="85"/>
        <v>-14415.996152683314</v>
      </c>
      <c r="AP276" s="26" t="str">
        <f t="shared" si="86"/>
        <v>50-59</v>
      </c>
      <c r="AQ276" s="26" t="str">
        <f t="shared" si="87"/>
        <v>250k-500k</v>
      </c>
      <c r="AR276" s="26" t="str">
        <f>IF($T276=1,IF($AI276&lt;0,"Loss-making",IF($AJ276&lt;Assumptions!$C$16-0.00001,"Below target","At/above target")),"Excluded")</f>
        <v>Loss-making</v>
      </c>
      <c r="AS276" s="103">
        <f t="shared" si="88"/>
        <v>-14415.995876683313</v>
      </c>
      <c r="AT276" s="26"/>
      <c r="AU276" s="419">
        <f>IF(AND($T276=1,AU$5&lt;=$H276),INDEX(Mortality!$B$4:$E$64,MATCH($D276+AU$5-1,Mortality!$A$4:$A$64,0),$U276)*$V276*$N276,0)</f>
        <v>5.2659114533929498E-3</v>
      </c>
      <c r="AV276" s="93">
        <f>IF(AND($T276=1,AV$5&lt;=$H276),INDEX(Mortality!$B$4:$E$64,MATCH($D276+AV$5-1,Mortality!$A$4:$A$64,0),$U276)*$V276*$N276,0)</f>
        <v>5.7044937769820296E-3</v>
      </c>
      <c r="AW276" s="93">
        <f>IF(AND($T276=1,AW$5&lt;=$H276),INDEX(Mortality!$B$4:$E$64,MATCH($D276+AW$5-1,Mortality!$A$4:$A$64,0),$U276)*$V276*$N276,0)</f>
        <v>6.1796043362369098E-3</v>
      </c>
      <c r="AX276" s="93">
        <f>IF(AND($T276=1,AX$5&lt;=$H276),INDEX(Mortality!$B$4:$E$64,MATCH($D276+AX$5-1,Mortality!$A$4:$A$64,0),$U276)*$V276*$N276,0)</f>
        <v>6.6942854607935399E-3</v>
      </c>
      <c r="AY276" s="93">
        <f>IF(AND($T276=1,AY$5&lt;=$H276),INDEX(Mortality!$B$4:$E$64,MATCH($D276+AY$5-1,Mortality!$A$4:$A$64,0),$U276)*$V276*$N276,0)</f>
        <v>7.2518328670021504E-3</v>
      </c>
      <c r="AZ276" s="93">
        <f>IF(AND($T276=1,AZ$5&lt;=$H276),INDEX(Mortality!$B$4:$E$64,MATCH($D276+AZ$5-1,Mortality!$A$4:$A$64,0),$U276)*$V276*$N276,0)</f>
        <v>7.8558167617636399E-3</v>
      </c>
      <c r="BA276" s="93">
        <f>IF(AND($T276=1,BA$5&lt;=$H276),INDEX(Mortality!$B$4:$E$64,MATCH($D276+BA$5-1,Mortality!$A$4:$A$64,0),$U276)*$V276*$N276,0)</f>
        <v>8.5101047040427192E-3</v>
      </c>
      <c r="BB276" s="93">
        <f>IF(AND($T276=1,BB$5&lt;=$H276),INDEX(Mortality!$B$4:$E$64,MATCH($D276+BB$5-1,Mortality!$A$4:$A$64,0),$U276)*$V276*$N276,0)</f>
        <v>9.2188863704493092E-3</v>
      </c>
      <c r="BC276" s="93">
        <f>IF(AND($T276=1,BC$5&lt;=$H276),INDEX(Mortality!$B$4:$E$64,MATCH($D276+BC$5-1,Mortality!$A$4:$A$64,0),$U276)*$V276*$N276,0)</f>
        <v>9.9867003834726801E-3</v>
      </c>
      <c r="BD276" s="93">
        <f>IF(AND($T276=1,BD$5&lt;=$H276),INDEX(Mortality!$B$4:$E$64,MATCH($D276+BD$5-1,Mortality!$A$4:$A$64,0),$U276)*$V276*$N276,0)</f>
        <v>1.08184633741605E-2</v>
      </c>
      <c r="BE276" s="93">
        <f>IF(AND($T276=1,BE$5&lt;=$H276),INDEX(Mortality!$B$4:$E$64,MATCH($D276+BE$5-1,Mortality!$A$4:$A$64,0),$U276)*$V276*$N276,0)</f>
        <v>1.1719501465343301E-2</v>
      </c>
      <c r="BF276" s="93">
        <f>IF(AND($T276=1,BF$5&lt;=$H276),INDEX(Mortality!$B$4:$E$64,MATCH($D276+BF$5-1,Mortality!$A$4:$A$64,0),$U276)*$V276*$N276,0)</f>
        <v>1.2695584377004099E-2</v>
      </c>
      <c r="BG276" s="93">
        <f>IF(AND($T276=1,BG$5&lt;=$H276),INDEX(Mortality!$B$4:$E$64,MATCH($D276+BG$5-1,Mortality!$A$4:$A$64,0),$U276)*$V276*$N276,0)</f>
        <v>1.3752962372184801E-2</v>
      </c>
      <c r="BH276" s="93">
        <f>IF(AND($T276=1,BH$5&lt;=$H276),INDEX(Mortality!$B$4:$E$64,MATCH($D276+BH$5-1,Mortality!$A$4:$A$64,0),$U276)*$V276*$N276,0)</f>
        <v>1.4898406280008099E-2</v>
      </c>
      <c r="BI276" s="93">
        <f>IF(AND($T276=1,BI$5&lt;=$H276),INDEX(Mortality!$B$4:$E$64,MATCH($D276+BI$5-1,Mortality!$A$4:$A$64,0),$U276)*$V276*$N276,0)</f>
        <v>1.61392508521001E-2</v>
      </c>
      <c r="BJ276" s="93">
        <f>IF(AND($T276=1,BJ$5&lt;=$H276),INDEX(Mortality!$B$4:$E$64,MATCH($D276+BJ$5-1,Mortality!$A$4:$A$64,0),$U276)*$V276*$N276,0)</f>
        <v>1.7483441730042099E-2</v>
      </c>
      <c r="BK276" s="93">
        <f>IF(AND($T276=1,BK$5&lt;=$H276),INDEX(Mortality!$B$4:$E$64,MATCH($D276+BK$5-1,Mortality!$A$4:$A$64,0),$U276)*$V276*$N276,0)</f>
        <v>1.8939586324603401E-2</v>
      </c>
      <c r="BL276" s="93">
        <f>IF(AND($T276=1,BL$5&lt;=$H276),INDEX(Mortality!$B$4:$E$64,MATCH($D276+BL$5-1,Mortality!$A$4:$A$64,0),$U276)*$V276*$N276,0)</f>
        <v>2.0517008932556299E-2</v>
      </c>
      <c r="BM276" s="93">
        <f>IF(AND($T276=1,BM$5&lt;=$H276),INDEX(Mortality!$B$4:$E$64,MATCH($D276+BM$5-1,Mortality!$A$4:$A$64,0),$U276)*$V276*$N276,0)</f>
        <v>2.22258104440099E-2</v>
      </c>
      <c r="BN276" s="93">
        <f>IF(AND($T276=1,BN$5&lt;=$H276),INDEX(Mortality!$B$4:$E$64,MATCH($D276+BN$5-1,Mortality!$A$4:$A$64,0),$U276)*$V276*$N276,0)</f>
        <v>2.40769330225909E-2</v>
      </c>
      <c r="BO276" s="93">
        <f>IF(AND($T276=1,BO$5&lt;=$H276),INDEX(Mortality!$B$4:$E$64,MATCH($D276+BO$5-1,Mortality!$A$4:$A$64,0),$U276)*$V276*$N276,0)</f>
        <v>0</v>
      </c>
      <c r="BP276" s="93">
        <f>IF(AND($T276=1,BP$5&lt;=$H276),INDEX(Mortality!$B$4:$E$64,MATCH($D276+BP$5-1,Mortality!$A$4:$A$64,0),$U276)*$V276*$N276,0)</f>
        <v>0</v>
      </c>
      <c r="BQ276" s="93">
        <f>IF(AND($T276=1,BQ$5&lt;=$H276),INDEX(Mortality!$B$4:$E$64,MATCH($D276+BQ$5-1,Mortality!$A$4:$A$64,0),$U276)*$V276*$N276,0)</f>
        <v>0</v>
      </c>
      <c r="BR276" s="93">
        <f>IF(AND($T276=1,BR$5&lt;=$H276),INDEX(Mortality!$B$4:$E$64,MATCH($D276+BR$5-1,Mortality!$A$4:$A$64,0),$U276)*$V276*$N276,0)</f>
        <v>0</v>
      </c>
      <c r="BS276" s="93">
        <f>IF(AND($T276=1,BS$5&lt;=$H276),INDEX(Mortality!$B$4:$E$64,MATCH($D276+BS$5-1,Mortality!$A$4:$A$64,0),$U276)*$V276*$N276,0)</f>
        <v>0</v>
      </c>
      <c r="BT276" s="93">
        <f>IF(AND($T276=1,BT$5&lt;=$H276),INDEX(Mortality!$B$4:$E$64,MATCH($D276+BT$5-1,Mortality!$A$4:$A$64,0),$U276)*$V276*$N276,0)</f>
        <v>0</v>
      </c>
      <c r="BU276" s="93">
        <f>IF(AND($T276=1,BU$5&lt;=$H276),INDEX(Mortality!$B$4:$E$64,MATCH($D276+BU$5-1,Mortality!$A$4:$A$64,0),$U276)*$V276*$N276,0)</f>
        <v>0</v>
      </c>
      <c r="BV276" s="93">
        <f>IF(AND($T276=1,BV$5&lt;=$H276),INDEX(Mortality!$B$4:$E$64,MATCH($D276+BV$5-1,Mortality!$A$4:$A$64,0),$U276)*$V276*$N276,0)</f>
        <v>0</v>
      </c>
      <c r="BW276" s="93">
        <f>IF(AND($T276=1,BW$5&lt;=$H276),INDEX(Mortality!$B$4:$E$64,MATCH($D276+BW$5-1,Mortality!$A$4:$A$64,0),$U276)*$V276*$N276,0)</f>
        <v>0</v>
      </c>
      <c r="BX276" s="93">
        <f>IF(AND($T276=1,BX$5&lt;=$H276),INDEX(Mortality!$B$4:$E$64,MATCH($D276+BX$5-1,Mortality!$A$4:$A$64,0),$U276)*$V276*$N276,0)</f>
        <v>0</v>
      </c>
      <c r="BY276" s="93">
        <f>IF(AND($T276=1,BY$5&lt;=$H276),INDEX(Mortality!$B$4:$E$64,MATCH($D276+BY$5-1,Mortality!$A$4:$A$64,0),$U276)*$V276*$N276,0)</f>
        <v>0</v>
      </c>
      <c r="BZ276" s="93">
        <f>IF(AND($T276=1,BZ$5&lt;=$H276),INDEX(Mortality!$B$4:$E$64,MATCH($D276+BZ$5-1,Mortality!$A$4:$A$64,0),$U276)*$V276*$N276,0)</f>
        <v>0</v>
      </c>
      <c r="CA276" s="93">
        <f>IF(AND($T276=1,CA$5&lt;=$H276),INDEX(Mortality!$B$4:$E$64,MATCH($D276+CA$5-1,Mortality!$A$4:$A$64,0),$U276)*$V276*$N276,0)</f>
        <v>0</v>
      </c>
      <c r="CB276" s="93">
        <f>IF(AND($T276=1,CB$5&lt;=$H276),INDEX(Mortality!$B$4:$E$64,MATCH($D276+CB$5-1,Mortality!$A$4:$A$64,0),$U276)*$V276*$N276,0)</f>
        <v>0</v>
      </c>
      <c r="CC276" s="93">
        <f>IF(AND($T276=1,CC$5&lt;=$H276),INDEX(Mortality!$B$4:$E$64,MATCH($D276+CC$5-1,Mortality!$A$4:$A$64,0),$U276)*$V276*$N276,0)</f>
        <v>0</v>
      </c>
      <c r="CD276" s="93">
        <f>IF(AND($T276=1,CD$5&lt;=$H276),INDEX(Mortality!$B$4:$E$64,MATCH($D276+CD$5-1,Mortality!$A$4:$A$64,0),$U276)*$V276*$N276,0)</f>
        <v>0</v>
      </c>
      <c r="CE276" s="93">
        <f>IF(AND($T276=1,CE$5&lt;=$H276),INDEX(Mortality!$B$4:$E$64,MATCH($D276+CE$5-1,Mortality!$A$4:$A$64,0),$U276)*$V276*$N276,0)</f>
        <v>0</v>
      </c>
      <c r="CF276" s="93">
        <f>IF(AND($T276=1,CF$5&lt;=$H276),INDEX(Mortality!$B$4:$E$64,MATCH($D276+CF$5-1,Mortality!$A$4:$A$64,0),$U276)*$V276*$N276,0)</f>
        <v>0</v>
      </c>
      <c r="CG276" s="93">
        <f>IF(AND($T276=1,CG$5&lt;=$H276),INDEX(Mortality!$B$4:$E$64,MATCH($D276+CG$5-1,Mortality!$A$4:$A$64,0),$U276)*$V276*$N276,0)</f>
        <v>0</v>
      </c>
      <c r="CH276" s="94">
        <f>IF(AND($T276=1,CH$5&lt;=$H276),INDEX(Mortality!$B$4:$E$64,MATCH($D276+CH$5-1,Mortality!$A$4:$A$64,0),$U276)*$V276*$N276,0)</f>
        <v>0</v>
      </c>
      <c r="CI276" s="26"/>
      <c r="CJ276" s="419">
        <f t="shared" si="89"/>
        <v>1</v>
      </c>
      <c r="CK276" s="93">
        <f>IF(AND($T276=1,CK$5&lt;=$H276),CJ276*(1-AU276)*(1-MIN(1,MAX(Assumptions!$C$27,Assumptions!$C$13*Assumptions!$C$28^(CJ$5-1))*$O276)),0)</f>
        <v>0.87536599792101422</v>
      </c>
      <c r="CL276" s="93">
        <f>IF(AND($T276=1,CL$5&lt;=$H276),CK276*(1-AV276)*(1-MIN(1,MAX(Assumptions!$C$27,Assumptions!$C$13*Assumptions!$C$28^(CK$5-1))*$O276)),0)</f>
        <v>0.7815944852738963</v>
      </c>
      <c r="CM276" s="93">
        <f>IF(AND($T276=1,CM$5&lt;=$H276),CL276*(1-AW276)*(1-MIN(1,MAX(Assumptions!$C$27,Assumptions!$C$13*Assumptions!$C$28^(CL$5-1))*$O276)),0)</f>
        <v>0.70941905493319379</v>
      </c>
      <c r="CN276" s="93">
        <f>IF(AND($T276=1,CN$5&lt;=$H276),CM276*(1-AX276)*(1-MIN(1,MAX(Assumptions!$C$27,Assumptions!$C$13*Assumptions!$C$28^(CM$5-1))*$O276)),0)</f>
        <v>0.65273934552468871</v>
      </c>
      <c r="CO276" s="93">
        <f>IF(AND($T276=1,CO$5&lt;=$H276),CN276*(1-AY276)*(1-MIN(1,MAX(Assumptions!$C$27,Assumptions!$C$13*Assumptions!$C$28^(CN$5-1))*$O276)),0)</f>
        <v>0.60741422026511493</v>
      </c>
      <c r="CP276" s="93">
        <f>IF(AND($T276=1,CP$5&lt;=$H276),CO276*(1-AZ276)*(1-MIN(1,MAX(Assumptions!$C$27,Assumptions!$C$13*Assumptions!$C$28^(CO$5-1))*$O276)),0)</f>
        <v>0.5705550047722201</v>
      </c>
      <c r="CQ276" s="93">
        <f>IF(AND($T276=1,CQ$5&lt;=$H276),CP276*(1-BA276)*(1-MIN(1,MAX(Assumptions!$C$27,Assumptions!$C$13*Assumptions!$C$28^(CP$5-1))*$O276)),0)</f>
        <v>0.54009712585941794</v>
      </c>
      <c r="CR276" s="93">
        <f>IF(AND($T276=1,CR$5&lt;=$H276),CQ276*(1-BB276)*(1-MIN(1,MAX(Assumptions!$C$27,Assumptions!$C$13*Assumptions!$C$28^(CQ$5-1))*$O276)),0)</f>
        <v>0.51453244216352223</v>
      </c>
      <c r="CS276" s="93">
        <f>IF(AND($T276=1,CS$5&lt;=$H276),CR276*(1-BC276)*(1-MIN(1,MAX(Assumptions!$C$27,Assumptions!$C$13*Assumptions!$C$28^(CR$5-1))*$O276)),0)</f>
        <v>0.49273735748559216</v>
      </c>
      <c r="CT276" s="93">
        <f>IF(AND($T276=1,CT$5&lt;=$H276),CS276*(1-BD276)*(1-MIN(1,MAX(Assumptions!$C$27,Assumptions!$C$13*Assumptions!$C$28^(CS$5-1))*$O276)),0)</f>
        <v>0.47385969835552622</v>
      </c>
      <c r="CU276" s="93">
        <f>IF(AND($T276=1,CU$5&lt;=$H276),CT276*(1-BE276)*(1-MIN(1,MAX(Assumptions!$C$27,Assumptions!$C$13*Assumptions!$C$28^(CT$5-1))*$O276)),0)</f>
        <v>0.45724259608826712</v>
      </c>
      <c r="CV276" s="93">
        <f>IF(AND($T276=1,CV$5&lt;=$H276),CU276*(1-BF276)*(1-MIN(1,MAX(Assumptions!$C$27,Assumptions!$C$13*Assumptions!$C$28^(CU$5-1))*$O276)),0)</f>
        <v>0.44237222956662531</v>
      </c>
      <c r="CW276" s="93">
        <f>IF(AND($T276=1,CW$5&lt;=$H276),CV276*(1-BG276)*(1-MIN(1,MAX(Assumptions!$C$27,Assumptions!$C$13*Assumptions!$C$28^(CV$5-1))*$O276)),0)</f>
        <v>0.42756253492011803</v>
      </c>
      <c r="CX276" s="93">
        <f>IF(AND($T276=1,CX$5&lt;=$H276),CW276*(1-BH276)*(1-MIN(1,MAX(Assumptions!$C$27,Assumptions!$C$13*Assumptions!$C$28^(CW$5-1))*$O276)),0)</f>
        <v>0.4127686838734726</v>
      </c>
      <c r="CY276" s="93">
        <f>IF(AND($T276=1,CY$5&lt;=$H276),CX276*(1-BI276)*(1-MIN(1,MAX(Assumptions!$C$27,Assumptions!$C$13*Assumptions!$C$28^(CX$5-1))*$O276)),0)</f>
        <v>0.39798476840973646</v>
      </c>
      <c r="CZ276" s="93">
        <f>IF(AND($T276=1,CZ$5&lt;=$H276),CY276*(1-BJ276)*(1-MIN(1,MAX(Assumptions!$C$27,Assumptions!$C$13*Assumptions!$C$28^(CY$5-1))*$O276)),0)</f>
        <v>0.38320609240376452</v>
      </c>
      <c r="DA276" s="93">
        <f>IF(AND($T276=1,DA$5&lt;=$H276),CZ276*(1-BK276)*(1-MIN(1,MAX(Assumptions!$C$27,Assumptions!$C$13*Assumptions!$C$28^(CZ$5-1))*$O276)),0)</f>
        <v>0.36842936098583806</v>
      </c>
      <c r="DB276" s="93">
        <f>IF(AND($T276=1,DB$5&lt;=$H276),DA276*(1-BL276)*(1-MIN(1,MAX(Assumptions!$C$27,Assumptions!$C$13*Assumptions!$C$28^(DA$5-1))*$O276)),0)</f>
        <v>0.3536528866455661</v>
      </c>
      <c r="DC276" s="93">
        <f>IF(AND($T276=1,DC$5&lt;=$H276),DB276*(1-BM276)*(1-MIN(1,MAX(Assumptions!$C$27,Assumptions!$C$13*Assumptions!$C$28^(DB$5-1))*$O276)),0)</f>
        <v>0.3388768113315247</v>
      </c>
      <c r="DD276" s="93">
        <f>IF(AND($T276=1,DD$5&lt;=$H276),DC276*(1-BN276)*(1-MIN(1,MAX(Assumptions!$C$27,Assumptions!$C$13*Assumptions!$C$28^(DC$5-1))*$O276)),0)</f>
        <v>0</v>
      </c>
      <c r="DE276" s="93">
        <f>IF(AND($T276=1,DE$5&lt;=$H276),DD276*(1-BO276)*(1-MIN(1,MAX(Assumptions!$C$27,Assumptions!$C$13*Assumptions!$C$28^(DD$5-1))*$O276)),0)</f>
        <v>0</v>
      </c>
      <c r="DF276" s="93">
        <f>IF(AND($T276=1,DF$5&lt;=$H276),DE276*(1-BP276)*(1-MIN(1,MAX(Assumptions!$C$27,Assumptions!$C$13*Assumptions!$C$28^(DE$5-1))*$O276)),0)</f>
        <v>0</v>
      </c>
      <c r="DG276" s="93">
        <f>IF(AND($T276=1,DG$5&lt;=$H276),DF276*(1-BQ276)*(1-MIN(1,MAX(Assumptions!$C$27,Assumptions!$C$13*Assumptions!$C$28^(DF$5-1))*$O276)),0)</f>
        <v>0</v>
      </c>
      <c r="DH276" s="93">
        <f>IF(AND($T276=1,DH$5&lt;=$H276),DG276*(1-BR276)*(1-MIN(1,MAX(Assumptions!$C$27,Assumptions!$C$13*Assumptions!$C$28^(DG$5-1))*$O276)),0)</f>
        <v>0</v>
      </c>
      <c r="DI276" s="93">
        <f>IF(AND($T276=1,DI$5&lt;=$H276),DH276*(1-BS276)*(1-MIN(1,MAX(Assumptions!$C$27,Assumptions!$C$13*Assumptions!$C$28^(DH$5-1))*$O276)),0)</f>
        <v>0</v>
      </c>
      <c r="DJ276" s="93">
        <f>IF(AND($T276=1,DJ$5&lt;=$H276),DI276*(1-BT276)*(1-MIN(1,MAX(Assumptions!$C$27,Assumptions!$C$13*Assumptions!$C$28^(DI$5-1))*$O276)),0)</f>
        <v>0</v>
      </c>
      <c r="DK276" s="93">
        <f>IF(AND($T276=1,DK$5&lt;=$H276),DJ276*(1-BU276)*(1-MIN(1,MAX(Assumptions!$C$27,Assumptions!$C$13*Assumptions!$C$28^(DJ$5-1))*$O276)),0)</f>
        <v>0</v>
      </c>
      <c r="DL276" s="93">
        <f>IF(AND($T276=1,DL$5&lt;=$H276),DK276*(1-BV276)*(1-MIN(1,MAX(Assumptions!$C$27,Assumptions!$C$13*Assumptions!$C$28^(DK$5-1))*$O276)),0)</f>
        <v>0</v>
      </c>
      <c r="DM276" s="93">
        <f>IF(AND($T276=1,DM$5&lt;=$H276),DL276*(1-BW276)*(1-MIN(1,MAX(Assumptions!$C$27,Assumptions!$C$13*Assumptions!$C$28^(DL$5-1))*$O276)),0)</f>
        <v>0</v>
      </c>
      <c r="DN276" s="93">
        <f>IF(AND($T276=1,DN$5&lt;=$H276),DM276*(1-BX276)*(1-MIN(1,MAX(Assumptions!$C$27,Assumptions!$C$13*Assumptions!$C$28^(DM$5-1))*$O276)),0)</f>
        <v>0</v>
      </c>
      <c r="DO276" s="93">
        <f>IF(AND($T276=1,DO$5&lt;=$H276),DN276*(1-BY276)*(1-MIN(1,MAX(Assumptions!$C$27,Assumptions!$C$13*Assumptions!$C$28^(DN$5-1))*$O276)),0)</f>
        <v>0</v>
      </c>
      <c r="DP276" s="93">
        <f>IF(AND($T276=1,DP$5&lt;=$H276),DO276*(1-BZ276)*(1-MIN(1,MAX(Assumptions!$C$27,Assumptions!$C$13*Assumptions!$C$28^(DO$5-1))*$O276)),0)</f>
        <v>0</v>
      </c>
      <c r="DQ276" s="93">
        <f>IF(AND($T276=1,DQ$5&lt;=$H276),DP276*(1-CA276)*(1-MIN(1,MAX(Assumptions!$C$27,Assumptions!$C$13*Assumptions!$C$28^(DP$5-1))*$O276)),0)</f>
        <v>0</v>
      </c>
      <c r="DR276" s="93">
        <f>IF(AND($T276=1,DR$5&lt;=$H276),DQ276*(1-CB276)*(1-MIN(1,MAX(Assumptions!$C$27,Assumptions!$C$13*Assumptions!$C$28^(DQ$5-1))*$O276)),0)</f>
        <v>0</v>
      </c>
      <c r="DS276" s="93">
        <f>IF(AND($T276=1,DS$5&lt;=$H276),DR276*(1-CC276)*(1-MIN(1,MAX(Assumptions!$C$27,Assumptions!$C$13*Assumptions!$C$28^(DR$5-1))*$O276)),0)</f>
        <v>0</v>
      </c>
      <c r="DT276" s="93">
        <f>IF(AND($T276=1,DT$5&lt;=$H276),DS276*(1-CD276)*(1-MIN(1,MAX(Assumptions!$C$27,Assumptions!$C$13*Assumptions!$C$28^(DS$5-1))*$O276)),0)</f>
        <v>0</v>
      </c>
      <c r="DU276" s="93">
        <f>IF(AND($T276=1,DU$5&lt;=$H276),DT276*(1-CE276)*(1-MIN(1,MAX(Assumptions!$C$27,Assumptions!$C$13*Assumptions!$C$28^(DT$5-1))*$O276)),0)</f>
        <v>0</v>
      </c>
      <c r="DV276" s="93">
        <f>IF(AND($T276=1,DV$5&lt;=$H276),DU276*(1-CF276)*(1-MIN(1,MAX(Assumptions!$C$27,Assumptions!$C$13*Assumptions!$C$28^(DU$5-1))*$O276)),0)</f>
        <v>0</v>
      </c>
      <c r="DW276" s="94">
        <f>IF(AND($T276=1,DW$5&lt;=$H276),DV276*(1-CG276)*(1-MIN(1,MAX(Assumptions!$C$27,Assumptions!$C$13*Assumptions!$C$28^(DV$5-1))*$O276)),0)</f>
        <v>0</v>
      </c>
      <c r="DX276" s="26"/>
      <c r="DY276" s="399">
        <f>'Policy Data'!K250</f>
        <v>2</v>
      </c>
      <c r="DZ276" s="100">
        <f>'Policy Data'!L250</f>
        <v>0.89219999999999999</v>
      </c>
      <c r="EA276" s="100">
        <f>'Policy Data'!N250</f>
        <v>4.6979999999999999E-3</v>
      </c>
      <c r="EB276" s="93" cm="1">
        <f t="array" ref="EB276">IFERROR(DZ276*INDEX(Mortality!$B$4:$E$64,MATCH(D276+DY276-1,Mortality!$A$4:$A$64,0),U276)*V276,0)</f>
        <v>5.089549347823367E-3</v>
      </c>
      <c r="EC276" s="100">
        <f>'Policy Data'!O250</f>
        <v>0</v>
      </c>
      <c r="ED276" s="400">
        <f>'Policy Data'!Q250</f>
        <v>0</v>
      </c>
    </row>
    <row r="277" spans="1:134" x14ac:dyDescent="0.3">
      <c r="A277" s="399" t="str">
        <f>'Policy Data'!A251</f>
        <v>POL100247</v>
      </c>
      <c r="B277" s="26" t="s">
        <v>426</v>
      </c>
      <c r="C277" s="100" t="str">
        <f>'Policy Data'!B251</f>
        <v>Term Life</v>
      </c>
      <c r="D277" s="100">
        <f>'Policy Data'!C251</f>
        <v>21</v>
      </c>
      <c r="E277" s="100" t="str">
        <f>'Policy Data'!D251</f>
        <v>Female</v>
      </c>
      <c r="F277" s="100" t="str">
        <f>'Policy Data'!E251</f>
        <v>Non-smoker</v>
      </c>
      <c r="G277" s="100" t="str">
        <f>'Policy Data'!F251</f>
        <v>Rated</v>
      </c>
      <c r="H277" s="100">
        <f>'Policy Data'!G251</f>
        <v>15</v>
      </c>
      <c r="I277" s="279">
        <f>'Policy Data'!H251</f>
        <v>250000</v>
      </c>
      <c r="J277" s="100" t="str">
        <f>'Policy Data'!I251</f>
        <v>Annual</v>
      </c>
      <c r="K277" s="100" t="str">
        <f>'Policy Data'!J251</f>
        <v>Bancassurance</v>
      </c>
      <c r="L277" s="26" t="s">
        <v>389</v>
      </c>
      <c r="M277" s="106">
        <f>'Policy Data'!R251</f>
        <v>1200</v>
      </c>
      <c r="N277" s="415">
        <f>Assumptions!$C$21</f>
        <v>1</v>
      </c>
      <c r="O277" s="415">
        <f>Assumptions!$C$22</f>
        <v>1</v>
      </c>
      <c r="P277" s="415">
        <f>Assumptions!$C$23</f>
        <v>1</v>
      </c>
      <c r="Q277" s="416">
        <f>Assumptions!$C$24</f>
        <v>0</v>
      </c>
      <c r="R277" s="416">
        <f>Assumptions!$C$6+Assumptions!$C$25</f>
        <v>3.5000000000000003E-2</v>
      </c>
      <c r="S277" s="416">
        <f>Assumptions!$C$15</f>
        <v>1.1000000000000001E-3</v>
      </c>
      <c r="T277" s="26">
        <f t="shared" si="72"/>
        <v>1</v>
      </c>
      <c r="U277" s="26">
        <f t="shared" si="73"/>
        <v>1</v>
      </c>
      <c r="V277" s="389">
        <f>IF($G277="Preferred",Assumptions!$C$30,IF($G277="Rated",Assumptions!$C$31,1))</f>
        <v>1.55</v>
      </c>
      <c r="W277" s="390">
        <f>IF($K277="Direct",Assumptions!$C$32,IF($K277="Broker",Assumptions!$C$33,IF($K277="Bancassurance",Assumptions!$C$34,Assumptions!$C$11)))+$Q277</f>
        <v>0.2</v>
      </c>
      <c r="X277" s="390">
        <f>Assumptions!$C$12+$Q277</f>
        <v>0.05</v>
      </c>
      <c r="Y277" s="131">
        <f>MIN($I277,Assumptions!$C$14)</f>
        <v>250000</v>
      </c>
      <c r="Z277" s="131">
        <f>MAX($I277-Assumptions!$C$14,0)</f>
        <v>0</v>
      </c>
      <c r="AA277" s="389">
        <f t="shared" si="74"/>
        <v>7.4281041499787737</v>
      </c>
      <c r="AB277" s="389">
        <f t="shared" si="75"/>
        <v>3.4980196092382378E-3</v>
      </c>
      <c r="AC277" s="389">
        <f>IF($T277=1,SUMPRODUCT($CJ277:$DW277,(1+Assumptions!$C$5)^($CJ$5:$DW$5-1),(1+$R277)^(-$CJ$5:$DW$5)),0)</f>
        <v>9.2995273689934344</v>
      </c>
      <c r="AD277" s="389">
        <f t="shared" si="76"/>
        <v>0.51633274373082272</v>
      </c>
      <c r="AE277" s="131">
        <f>IF($T277=1,$AB277*$Y277+(Assumptions!$C$9/(1+$R277)+Assumptions!$C$10*$AC277)*$P277+$S277*$Z277*$AA277,0)</f>
        <v>3789.9661408794195</v>
      </c>
      <c r="AF277" s="131">
        <f>IF($T277=1,IF($AA277-$AD277-Assumptions!$C$16*$AA277&gt;0,$AE277/($AA277-$AD277-Assumptions!$C$16*$AA277)*IF($J277="Monthly",1+Assumptions!$C$29,1),"n.a."),"")</f>
        <v>599.91330404908183</v>
      </c>
      <c r="AG277" s="131">
        <f t="shared" si="77"/>
        <v>1200</v>
      </c>
      <c r="AH277" s="131">
        <f t="shared" si="78"/>
        <v>8913.7249799745277</v>
      </c>
      <c r="AI277" s="131">
        <f t="shared" si="79"/>
        <v>4504.1595466181207</v>
      </c>
      <c r="AJ277" s="390">
        <f t="shared" si="80"/>
        <v>0.50530609332654008</v>
      </c>
      <c r="AK277" s="389">
        <f t="shared" si="81"/>
        <v>2.0002890282656947</v>
      </c>
      <c r="AL277" s="131">
        <f t="shared" si="82"/>
        <v>0</v>
      </c>
      <c r="AM277" s="131">
        <f t="shared" si="83"/>
        <v>0</v>
      </c>
      <c r="AN277" s="131">
        <f t="shared" si="84"/>
        <v>0</v>
      </c>
      <c r="AO277" s="131">
        <f t="shared" si="85"/>
        <v>4504.1595466181207</v>
      </c>
      <c r="AP277" s="26" t="str">
        <f t="shared" si="86"/>
        <v>20-29</v>
      </c>
      <c r="AQ277" s="26" t="str">
        <f t="shared" si="87"/>
        <v>Up to 250k</v>
      </c>
      <c r="AR277" s="26" t="str">
        <f>IF($T277=1,IF($AI277&lt;0,"Loss-making",IF($AJ277&lt;Assumptions!$C$16-0.00001,"Below target","At/above target")),"Excluded")</f>
        <v>At/above target</v>
      </c>
      <c r="AS277" s="103">
        <f t="shared" si="88"/>
        <v>4504.1598236181208</v>
      </c>
      <c r="AT277" s="26"/>
      <c r="AU277" s="419">
        <f>IF(AND($T277=1,AU$5&lt;=$H277),INDEX(Mortality!$B$4:$E$64,MATCH($D277+AU$5-1,Mortality!$A$4:$A$64,0),$U277)*$V277*$N277,0)</f>
        <v>2.8858324375226796E-4</v>
      </c>
      <c r="AV277" s="93">
        <f>IF(AND($T277=1,AV$5&lt;=$H277),INDEX(Mortality!$B$4:$E$64,MATCH($D277+AV$5-1,Mortality!$A$4:$A$64,0),$U277)*$V277*$N277,0)</f>
        <v>3.1261849590452227E-4</v>
      </c>
      <c r="AW277" s="93">
        <f>IF(AND($T277=1,AW$5&lt;=$H277),INDEX(Mortality!$B$4:$E$64,MATCH($D277+AW$5-1,Mortality!$A$4:$A$64,0),$U277)*$V277*$N277,0)</f>
        <v>3.3865557372936663E-4</v>
      </c>
      <c r="AX277" s="93">
        <f>IF(AND($T277=1,AX$5&lt;=$H277),INDEX(Mortality!$B$4:$E$64,MATCH($D277+AX$5-1,Mortality!$A$4:$A$64,0),$U277)*$V277*$N277,0)</f>
        <v>3.6686120341706597E-4</v>
      </c>
      <c r="AY277" s="93">
        <f>IF(AND($T277=1,AY$5&lt;=$H277),INDEX(Mortality!$B$4:$E$64,MATCH($D277+AY$5-1,Mortality!$A$4:$A$64,0),$U277)*$V277*$N277,0)</f>
        <v>3.9741599729337958E-4</v>
      </c>
      <c r="AZ277" s="93">
        <f>IF(AND($T277=1,AZ$5&lt;=$H277),INDEX(Mortality!$B$4:$E$64,MATCH($D277+AZ$5-1,Mortality!$A$4:$A$64,0),$U277)*$V277*$N277,0)</f>
        <v>4.305156103550649E-4</v>
      </c>
      <c r="BA277" s="93">
        <f>IF(AND($T277=1,BA$5&lt;=$H277),INDEX(Mortality!$B$4:$E$64,MATCH($D277+BA$5-1,Mortality!$A$4:$A$64,0),$U277)*$V277*$N277,0)</f>
        <v>4.6637199312983335E-4</v>
      </c>
      <c r="BB277" s="93">
        <f>IF(AND($T277=1,BB$5&lt;=$H277),INDEX(Mortality!$B$4:$E$64,MATCH($D277+BB$5-1,Mortality!$A$4:$A$64,0),$U277)*$V277*$N277,0)</f>
        <v>5.0521474888334285E-4</v>
      </c>
      <c r="BC277" s="93">
        <f>IF(AND($T277=1,BC$5&lt;=$H277),INDEX(Mortality!$B$4:$E$64,MATCH($D277+BC$5-1,Mortality!$A$4:$A$64,0),$U277)*$V277*$N277,0)</f>
        <v>5.4729260386397641E-4</v>
      </c>
      <c r="BD277" s="93">
        <f>IF(AND($T277=1,BD$5&lt;=$H277),INDEX(Mortality!$B$4:$E$64,MATCH($D277+BD$5-1,Mortality!$A$4:$A$64,0),$U277)*$V277*$N277,0)</f>
        <v>5.9287499999999998E-4</v>
      </c>
      <c r="BE277" s="93">
        <f>IF(AND($T277=1,BE$5&lt;=$H277),INDEX(Mortality!$B$4:$E$64,MATCH($D277+BE$5-1,Mortality!$A$4:$A$64,0),$U277)*$V277*$N277,0)</f>
        <v>6.4225382024779164E-4</v>
      </c>
      <c r="BF277" s="93">
        <f>IF(AND($T277=1,BF$5&lt;=$H277),INDEX(Mortality!$B$4:$E$64,MATCH($D277+BF$5-1,Mortality!$A$4:$A$64,0),$U277)*$V277*$N277,0)</f>
        <v>6.9574525763926886E-4</v>
      </c>
      <c r="BG277" s="93">
        <f>IF(AND($T277=1,BG$5&lt;=$H277),INDEX(Mortality!$B$4:$E$64,MATCH($D277+BG$5-1,Mortality!$A$4:$A$64,0),$U277)*$V277*$N277,0)</f>
        <v>7.5369183999680239E-4</v>
      </c>
      <c r="BH277" s="93">
        <f>IF(AND($T277=1,BH$5&lt;=$H277),INDEX(Mortality!$B$4:$E$64,MATCH($D277+BH$5-1,Mortality!$A$4:$A$64,0),$U277)*$V277*$N277,0)</f>
        <v>8.1646462328068112E-4</v>
      </c>
      <c r="BI277" s="93">
        <f>IF(AND($T277=1,BI$5&lt;=$H277),INDEX(Mortality!$B$4:$E$64,MATCH($D277+BI$5-1,Mortality!$A$4:$A$64,0),$U277)*$V277*$N277,0)</f>
        <v>8.8446556761406824E-4</v>
      </c>
      <c r="BJ277" s="93">
        <f>IF(AND($T277=1,BJ$5&lt;=$H277),INDEX(Mortality!$B$4:$E$64,MATCH($D277+BJ$5-1,Mortality!$A$4:$A$64,0),$U277)*$V277*$N277,0)</f>
        <v>0</v>
      </c>
      <c r="BK277" s="93">
        <f>IF(AND($T277=1,BK$5&lt;=$H277),INDEX(Mortality!$B$4:$E$64,MATCH($D277+BK$5-1,Mortality!$A$4:$A$64,0),$U277)*$V277*$N277,0)</f>
        <v>0</v>
      </c>
      <c r="BL277" s="93">
        <f>IF(AND($T277=1,BL$5&lt;=$H277),INDEX(Mortality!$B$4:$E$64,MATCH($D277+BL$5-1,Mortality!$A$4:$A$64,0),$U277)*$V277*$N277,0)</f>
        <v>0</v>
      </c>
      <c r="BM277" s="93">
        <f>IF(AND($T277=1,BM$5&lt;=$H277),INDEX(Mortality!$B$4:$E$64,MATCH($D277+BM$5-1,Mortality!$A$4:$A$64,0),$U277)*$V277*$N277,0)</f>
        <v>0</v>
      </c>
      <c r="BN277" s="93">
        <f>IF(AND($T277=1,BN$5&lt;=$H277),INDEX(Mortality!$B$4:$E$64,MATCH($D277+BN$5-1,Mortality!$A$4:$A$64,0),$U277)*$V277*$N277,0)</f>
        <v>0</v>
      </c>
      <c r="BO277" s="93">
        <f>IF(AND($T277=1,BO$5&lt;=$H277),INDEX(Mortality!$B$4:$E$64,MATCH($D277+BO$5-1,Mortality!$A$4:$A$64,0),$U277)*$V277*$N277,0)</f>
        <v>0</v>
      </c>
      <c r="BP277" s="93">
        <f>IF(AND($T277=1,BP$5&lt;=$H277),INDEX(Mortality!$B$4:$E$64,MATCH($D277+BP$5-1,Mortality!$A$4:$A$64,0),$U277)*$V277*$N277,0)</f>
        <v>0</v>
      </c>
      <c r="BQ277" s="93">
        <f>IF(AND($T277=1,BQ$5&lt;=$H277),INDEX(Mortality!$B$4:$E$64,MATCH($D277+BQ$5-1,Mortality!$A$4:$A$64,0),$U277)*$V277*$N277,0)</f>
        <v>0</v>
      </c>
      <c r="BR277" s="93">
        <f>IF(AND($T277=1,BR$5&lt;=$H277),INDEX(Mortality!$B$4:$E$64,MATCH($D277+BR$5-1,Mortality!$A$4:$A$64,0),$U277)*$V277*$N277,0)</f>
        <v>0</v>
      </c>
      <c r="BS277" s="93">
        <f>IF(AND($T277=1,BS$5&lt;=$H277),INDEX(Mortality!$B$4:$E$64,MATCH($D277+BS$5-1,Mortality!$A$4:$A$64,0),$U277)*$V277*$N277,0)</f>
        <v>0</v>
      </c>
      <c r="BT277" s="93">
        <f>IF(AND($T277=1,BT$5&lt;=$H277),INDEX(Mortality!$B$4:$E$64,MATCH($D277+BT$5-1,Mortality!$A$4:$A$64,0),$U277)*$V277*$N277,0)</f>
        <v>0</v>
      </c>
      <c r="BU277" s="93">
        <f>IF(AND($T277=1,BU$5&lt;=$H277),INDEX(Mortality!$B$4:$E$64,MATCH($D277+BU$5-1,Mortality!$A$4:$A$64,0),$U277)*$V277*$N277,0)</f>
        <v>0</v>
      </c>
      <c r="BV277" s="93">
        <f>IF(AND($T277=1,BV$5&lt;=$H277),INDEX(Mortality!$B$4:$E$64,MATCH($D277+BV$5-1,Mortality!$A$4:$A$64,0),$U277)*$V277*$N277,0)</f>
        <v>0</v>
      </c>
      <c r="BW277" s="93">
        <f>IF(AND($T277=1,BW$5&lt;=$H277),INDEX(Mortality!$B$4:$E$64,MATCH($D277+BW$5-1,Mortality!$A$4:$A$64,0),$U277)*$V277*$N277,0)</f>
        <v>0</v>
      </c>
      <c r="BX277" s="93">
        <f>IF(AND($T277=1,BX$5&lt;=$H277),INDEX(Mortality!$B$4:$E$64,MATCH($D277+BX$5-1,Mortality!$A$4:$A$64,0),$U277)*$V277*$N277,0)</f>
        <v>0</v>
      </c>
      <c r="BY277" s="93">
        <f>IF(AND($T277=1,BY$5&lt;=$H277),INDEX(Mortality!$B$4:$E$64,MATCH($D277+BY$5-1,Mortality!$A$4:$A$64,0),$U277)*$V277*$N277,0)</f>
        <v>0</v>
      </c>
      <c r="BZ277" s="93">
        <f>IF(AND($T277=1,BZ$5&lt;=$H277),INDEX(Mortality!$B$4:$E$64,MATCH($D277+BZ$5-1,Mortality!$A$4:$A$64,0),$U277)*$V277*$N277,0)</f>
        <v>0</v>
      </c>
      <c r="CA277" s="93">
        <f>IF(AND($T277=1,CA$5&lt;=$H277),INDEX(Mortality!$B$4:$E$64,MATCH($D277+CA$5-1,Mortality!$A$4:$A$64,0),$U277)*$V277*$N277,0)</f>
        <v>0</v>
      </c>
      <c r="CB277" s="93">
        <f>IF(AND($T277=1,CB$5&lt;=$H277),INDEX(Mortality!$B$4:$E$64,MATCH($D277+CB$5-1,Mortality!$A$4:$A$64,0),$U277)*$V277*$N277,0)</f>
        <v>0</v>
      </c>
      <c r="CC277" s="93">
        <f>IF(AND($T277=1,CC$5&lt;=$H277),INDEX(Mortality!$B$4:$E$64,MATCH($D277+CC$5-1,Mortality!$A$4:$A$64,0),$U277)*$V277*$N277,0)</f>
        <v>0</v>
      </c>
      <c r="CD277" s="93">
        <f>IF(AND($T277=1,CD$5&lt;=$H277),INDEX(Mortality!$B$4:$E$64,MATCH($D277+CD$5-1,Mortality!$A$4:$A$64,0),$U277)*$V277*$N277,0)</f>
        <v>0</v>
      </c>
      <c r="CE277" s="93">
        <f>IF(AND($T277=1,CE$5&lt;=$H277),INDEX(Mortality!$B$4:$E$64,MATCH($D277+CE$5-1,Mortality!$A$4:$A$64,0),$U277)*$V277*$N277,0)</f>
        <v>0</v>
      </c>
      <c r="CF277" s="93">
        <f>IF(AND($T277=1,CF$5&lt;=$H277),INDEX(Mortality!$B$4:$E$64,MATCH($D277+CF$5-1,Mortality!$A$4:$A$64,0),$U277)*$V277*$N277,0)</f>
        <v>0</v>
      </c>
      <c r="CG277" s="93">
        <f>IF(AND($T277=1,CG$5&lt;=$H277),INDEX(Mortality!$B$4:$E$64,MATCH($D277+CG$5-1,Mortality!$A$4:$A$64,0),$U277)*$V277*$N277,0)</f>
        <v>0</v>
      </c>
      <c r="CH277" s="94">
        <f>IF(AND($T277=1,CH$5&lt;=$H277),INDEX(Mortality!$B$4:$E$64,MATCH($D277+CH$5-1,Mortality!$A$4:$A$64,0),$U277)*$V277*$N277,0)</f>
        <v>0</v>
      </c>
      <c r="CI277" s="26"/>
      <c r="CJ277" s="419">
        <f t="shared" si="89"/>
        <v>1</v>
      </c>
      <c r="CK277" s="93">
        <f>IF(AND($T277=1,CK$5&lt;=$H277),CJ277*(1-AU277)*(1-MIN(1,MAX(Assumptions!$C$27,Assumptions!$C$13*Assumptions!$C$28^(CJ$5-1))*$O277)),0)</f>
        <v>0.87974604674549806</v>
      </c>
      <c r="CL277" s="93">
        <f>IF(AND($T277=1,CL$5&lt;=$H277),CK277*(1-AV277)*(1-MIN(1,MAX(Assumptions!$C$27,Assumptions!$C$13*Assumptions!$C$28^(CK$5-1))*$O277)),0)</f>
        <v>0.78976497762990883</v>
      </c>
      <c r="CM277" s="93">
        <f>IF(AND($T277=1,CM$5&lt;=$H277),CL277*(1-AW277)*(1-MIN(1,MAX(Assumptions!$C$27,Assumptions!$C$13*Assumptions!$C$28^(CL$5-1))*$O277)),0)</f>
        <v>0.72104808439340184</v>
      </c>
      <c r="CN277" s="93">
        <f>IF(AND($T277=1,CN$5&lt;=$H277),CM277*(1-AX277)*(1-MIN(1,MAX(Assumptions!$C$27,Assumptions!$C$13*Assumptions!$C$28^(CM$5-1))*$O277)),0)</f>
        <v>0.66766541538410384</v>
      </c>
      <c r="CO277" s="93">
        <f>IF(AND($T277=1,CO$5&lt;=$H277),CN277*(1-AY277)*(1-MIN(1,MAX(Assumptions!$C$27,Assumptions!$C$13*Assumptions!$C$28^(CN$5-1))*$O277)),0)</f>
        <v>0.62559363325250994</v>
      </c>
      <c r="CP277" s="93">
        <f>IF(AND($T277=1,CP$5&lt;=$H277),CO277*(1-AZ277)*(1-MIN(1,MAX(Assumptions!$C$27,Assumptions!$C$13*Assumptions!$C$28^(CO$5-1))*$O277)),0)</f>
        <v>0.59202913946522118</v>
      </c>
      <c r="CQ277" s="93">
        <f>IF(AND($T277=1,CQ$5&lt;=$H277),CP277*(1-BA277)*(1-MIN(1,MAX(Assumptions!$C$27,Assumptions!$C$13*Assumptions!$C$28^(CP$5-1))*$O277)),0)</f>
        <v>0.56497150925392425</v>
      </c>
      <c r="CR277" s="93">
        <f>IF(AND($T277=1,CR$5&lt;=$H277),CQ277*(1-BB277)*(1-MIN(1,MAX(Assumptions!$C$27,Assumptions!$C$13*Assumptions!$C$28^(CQ$5-1))*$O277)),0)</f>
        <v>0.54296302709972755</v>
      </c>
      <c r="CS277" s="93">
        <f>IF(AND($T277=1,CS$5&lt;=$H277),CR277*(1-BC277)*(1-MIN(1,MAX(Assumptions!$C$27,Assumptions!$C$13*Assumptions!$C$28^(CR$5-1))*$O277)),0)</f>
        <v>0.52492131059372982</v>
      </c>
      <c r="CT277" s="93">
        <f>IF(AND($T277=1,CT$5&lt;=$H277),CS277*(1-BD277)*(1-MIN(1,MAX(Assumptions!$C$27,Assumptions!$C$13*Assumptions!$C$28^(CS$5-1))*$O277)),0)</f>
        <v>0.51002906720870622</v>
      </c>
      <c r="CU277" s="93">
        <f>IF(AND($T277=1,CU$5&lt;=$H277),CT277*(1-BE277)*(1-MIN(1,MAX(Assumptions!$C$27,Assumptions!$C$13*Assumptions!$C$28^(CT$5-1))*$O277)),0)</f>
        <v>0.49765983760882015</v>
      </c>
      <c r="CV277" s="93">
        <f>IF(AND($T277=1,CV$5&lt;=$H277),CU277*(1-BF277)*(1-MIN(1,MAX(Assumptions!$C$27,Assumptions!$C$13*Assumptions!$C$28^(CU$5-1))*$O277)),0)</f>
        <v>0.48732694476011063</v>
      </c>
      <c r="CW277" s="93">
        <f>IF(AND($T277=1,CW$5&lt;=$H277),CV277*(1-BG277)*(1-MIN(1,MAX(Assumptions!$C$27,Assumptions!$C$13*Assumptions!$C$28^(CV$5-1))*$O277)),0)</f>
        <v>0.47722045741006563</v>
      </c>
      <c r="CX277" s="93">
        <f>IF(AND($T277=1,CX$5&lt;=$H277),CW277*(1-BH277)*(1-MIN(1,MAX(Assumptions!$C$27,Assumptions!$C$13*Assumptions!$C$28^(CW$5-1))*$O277)),0)</f>
        <v>0.46729420731330279</v>
      </c>
      <c r="CY277" s="93">
        <f>IF(AND($T277=1,CY$5&lt;=$H277),CX277*(1-BI277)*(1-MIN(1,MAX(Assumptions!$C$27,Assumptions!$C$13*Assumptions!$C$28^(CX$5-1))*$O277)),0)</f>
        <v>0</v>
      </c>
      <c r="CZ277" s="93">
        <f>IF(AND($T277=1,CZ$5&lt;=$H277),CY277*(1-BJ277)*(1-MIN(1,MAX(Assumptions!$C$27,Assumptions!$C$13*Assumptions!$C$28^(CY$5-1))*$O277)),0)</f>
        <v>0</v>
      </c>
      <c r="DA277" s="93">
        <f>IF(AND($T277=1,DA$5&lt;=$H277),CZ277*(1-BK277)*(1-MIN(1,MAX(Assumptions!$C$27,Assumptions!$C$13*Assumptions!$C$28^(CZ$5-1))*$O277)),0)</f>
        <v>0</v>
      </c>
      <c r="DB277" s="93">
        <f>IF(AND($T277=1,DB$5&lt;=$H277),DA277*(1-BL277)*(1-MIN(1,MAX(Assumptions!$C$27,Assumptions!$C$13*Assumptions!$C$28^(DA$5-1))*$O277)),0)</f>
        <v>0</v>
      </c>
      <c r="DC277" s="93">
        <f>IF(AND($T277=1,DC$5&lt;=$H277),DB277*(1-BM277)*(1-MIN(1,MAX(Assumptions!$C$27,Assumptions!$C$13*Assumptions!$C$28^(DB$5-1))*$O277)),0)</f>
        <v>0</v>
      </c>
      <c r="DD277" s="93">
        <f>IF(AND($T277=1,DD$5&lt;=$H277),DC277*(1-BN277)*(1-MIN(1,MAX(Assumptions!$C$27,Assumptions!$C$13*Assumptions!$C$28^(DC$5-1))*$O277)),0)</f>
        <v>0</v>
      </c>
      <c r="DE277" s="93">
        <f>IF(AND($T277=1,DE$5&lt;=$H277),DD277*(1-BO277)*(1-MIN(1,MAX(Assumptions!$C$27,Assumptions!$C$13*Assumptions!$C$28^(DD$5-1))*$O277)),0)</f>
        <v>0</v>
      </c>
      <c r="DF277" s="93">
        <f>IF(AND($T277=1,DF$5&lt;=$H277),DE277*(1-BP277)*(1-MIN(1,MAX(Assumptions!$C$27,Assumptions!$C$13*Assumptions!$C$28^(DE$5-1))*$O277)),0)</f>
        <v>0</v>
      </c>
      <c r="DG277" s="93">
        <f>IF(AND($T277=1,DG$5&lt;=$H277),DF277*(1-BQ277)*(1-MIN(1,MAX(Assumptions!$C$27,Assumptions!$C$13*Assumptions!$C$28^(DF$5-1))*$O277)),0)</f>
        <v>0</v>
      </c>
      <c r="DH277" s="93">
        <f>IF(AND($T277=1,DH$5&lt;=$H277),DG277*(1-BR277)*(1-MIN(1,MAX(Assumptions!$C$27,Assumptions!$C$13*Assumptions!$C$28^(DG$5-1))*$O277)),0)</f>
        <v>0</v>
      </c>
      <c r="DI277" s="93">
        <f>IF(AND($T277=1,DI$5&lt;=$H277),DH277*(1-BS277)*(1-MIN(1,MAX(Assumptions!$C$27,Assumptions!$C$13*Assumptions!$C$28^(DH$5-1))*$O277)),0)</f>
        <v>0</v>
      </c>
      <c r="DJ277" s="93">
        <f>IF(AND($T277=1,DJ$5&lt;=$H277),DI277*(1-BT277)*(1-MIN(1,MAX(Assumptions!$C$27,Assumptions!$C$13*Assumptions!$C$28^(DI$5-1))*$O277)),0)</f>
        <v>0</v>
      </c>
      <c r="DK277" s="93">
        <f>IF(AND($T277=1,DK$5&lt;=$H277),DJ277*(1-BU277)*(1-MIN(1,MAX(Assumptions!$C$27,Assumptions!$C$13*Assumptions!$C$28^(DJ$5-1))*$O277)),0)</f>
        <v>0</v>
      </c>
      <c r="DL277" s="93">
        <f>IF(AND($T277=1,DL$5&lt;=$H277),DK277*(1-BV277)*(1-MIN(1,MAX(Assumptions!$C$27,Assumptions!$C$13*Assumptions!$C$28^(DK$5-1))*$O277)),0)</f>
        <v>0</v>
      </c>
      <c r="DM277" s="93">
        <f>IF(AND($T277=1,DM$5&lt;=$H277),DL277*(1-BW277)*(1-MIN(1,MAX(Assumptions!$C$27,Assumptions!$C$13*Assumptions!$C$28^(DL$5-1))*$O277)),0)</f>
        <v>0</v>
      </c>
      <c r="DN277" s="93">
        <f>IF(AND($T277=1,DN$5&lt;=$H277),DM277*(1-BX277)*(1-MIN(1,MAX(Assumptions!$C$27,Assumptions!$C$13*Assumptions!$C$28^(DM$5-1))*$O277)),0)</f>
        <v>0</v>
      </c>
      <c r="DO277" s="93">
        <f>IF(AND($T277=1,DO$5&lt;=$H277),DN277*(1-BY277)*(1-MIN(1,MAX(Assumptions!$C$27,Assumptions!$C$13*Assumptions!$C$28^(DN$5-1))*$O277)),0)</f>
        <v>0</v>
      </c>
      <c r="DP277" s="93">
        <f>IF(AND($T277=1,DP$5&lt;=$H277),DO277*(1-BZ277)*(1-MIN(1,MAX(Assumptions!$C$27,Assumptions!$C$13*Assumptions!$C$28^(DO$5-1))*$O277)),0)</f>
        <v>0</v>
      </c>
      <c r="DQ277" s="93">
        <f>IF(AND($T277=1,DQ$5&lt;=$H277),DP277*(1-CA277)*(1-MIN(1,MAX(Assumptions!$C$27,Assumptions!$C$13*Assumptions!$C$28^(DP$5-1))*$O277)),0)</f>
        <v>0</v>
      </c>
      <c r="DR277" s="93">
        <f>IF(AND($T277=1,DR$5&lt;=$H277),DQ277*(1-CB277)*(1-MIN(1,MAX(Assumptions!$C$27,Assumptions!$C$13*Assumptions!$C$28^(DQ$5-1))*$O277)),0)</f>
        <v>0</v>
      </c>
      <c r="DS277" s="93">
        <f>IF(AND($T277=1,DS$5&lt;=$H277),DR277*(1-CC277)*(1-MIN(1,MAX(Assumptions!$C$27,Assumptions!$C$13*Assumptions!$C$28^(DR$5-1))*$O277)),0)</f>
        <v>0</v>
      </c>
      <c r="DT277" s="93">
        <f>IF(AND($T277=1,DT$5&lt;=$H277),DS277*(1-CD277)*(1-MIN(1,MAX(Assumptions!$C$27,Assumptions!$C$13*Assumptions!$C$28^(DS$5-1))*$O277)),0)</f>
        <v>0</v>
      </c>
      <c r="DU277" s="93">
        <f>IF(AND($T277=1,DU$5&lt;=$H277),DT277*(1-CE277)*(1-MIN(1,MAX(Assumptions!$C$27,Assumptions!$C$13*Assumptions!$C$28^(DT$5-1))*$O277)),0)</f>
        <v>0</v>
      </c>
      <c r="DV277" s="93">
        <f>IF(AND($T277=1,DV$5&lt;=$H277),DU277*(1-CF277)*(1-MIN(1,MAX(Assumptions!$C$27,Assumptions!$C$13*Assumptions!$C$28^(DU$5-1))*$O277)),0)</f>
        <v>0</v>
      </c>
      <c r="DW277" s="94">
        <f>IF(AND($T277=1,DW$5&lt;=$H277),DV277*(1-CG277)*(1-MIN(1,MAX(Assumptions!$C$27,Assumptions!$C$13*Assumptions!$C$28^(DV$5-1))*$O277)),0)</f>
        <v>0</v>
      </c>
      <c r="DX277" s="26"/>
      <c r="DY277" s="399">
        <f>'Policy Data'!K251</f>
        <v>3</v>
      </c>
      <c r="DZ277" s="100">
        <f>'Policy Data'!L251</f>
        <v>0.65890000000000004</v>
      </c>
      <c r="EA277" s="100">
        <f>'Policy Data'!N251</f>
        <v>1.9000000000000001E-4</v>
      </c>
      <c r="EB277" s="93" cm="1">
        <f t="array" ref="EB277">IFERROR(DZ277*INDEX(Mortality!$B$4:$E$64,MATCH(D277+DY277-1,Mortality!$A$4:$A$64,0),U277)*V277,0)</f>
        <v>2.2314015753027965E-4</v>
      </c>
      <c r="EC277" s="100">
        <f>'Policy Data'!O251</f>
        <v>0</v>
      </c>
      <c r="ED277" s="400">
        <f>'Policy Data'!Q251</f>
        <v>0</v>
      </c>
    </row>
    <row r="278" spans="1:134" x14ac:dyDescent="0.3">
      <c r="A278" s="399" t="str">
        <f>'Policy Data'!A252</f>
        <v>POL100248</v>
      </c>
      <c r="B278" s="26" t="s">
        <v>426</v>
      </c>
      <c r="C278" s="100" t="str">
        <f>'Policy Data'!B252</f>
        <v>Term Life</v>
      </c>
      <c r="D278" s="100">
        <f>'Policy Data'!C252</f>
        <v>30</v>
      </c>
      <c r="E278" s="100" t="str">
        <f>'Policy Data'!D252</f>
        <v>Male</v>
      </c>
      <c r="F278" s="100" t="str">
        <f>'Policy Data'!E252</f>
        <v>Non-smoker</v>
      </c>
      <c r="G278" s="100" t="str">
        <f>'Policy Data'!F252</f>
        <v>Standard</v>
      </c>
      <c r="H278" s="100">
        <f>'Policy Data'!G252</f>
        <v>20</v>
      </c>
      <c r="I278" s="279">
        <f>'Policy Data'!H252</f>
        <v>500000</v>
      </c>
      <c r="J278" s="100" t="str">
        <f>'Policy Data'!I252</f>
        <v>Monthly</v>
      </c>
      <c r="K278" s="100" t="str">
        <f>'Policy Data'!J252</f>
        <v>Broker</v>
      </c>
      <c r="L278" s="26" t="s">
        <v>389</v>
      </c>
      <c r="M278" s="106">
        <f>'Policy Data'!R252</f>
        <v>1200</v>
      </c>
      <c r="N278" s="415">
        <f>Assumptions!$C$21</f>
        <v>1</v>
      </c>
      <c r="O278" s="415">
        <f>Assumptions!$C$22</f>
        <v>1</v>
      </c>
      <c r="P278" s="415">
        <f>Assumptions!$C$23</f>
        <v>1</v>
      </c>
      <c r="Q278" s="416">
        <f>Assumptions!$C$24</f>
        <v>0</v>
      </c>
      <c r="R278" s="416">
        <f>Assumptions!$C$6+Assumptions!$C$25</f>
        <v>3.5000000000000003E-2</v>
      </c>
      <c r="S278" s="416">
        <f>Assumptions!$C$15</f>
        <v>1.1000000000000001E-3</v>
      </c>
      <c r="T278" s="26">
        <f t="shared" si="72"/>
        <v>1</v>
      </c>
      <c r="U278" s="26">
        <f t="shared" si="73"/>
        <v>3</v>
      </c>
      <c r="V278" s="389">
        <f>IF($G278="Preferred",Assumptions!$C$30,IF($G278="Rated",Assumptions!$C$31,1))</f>
        <v>1</v>
      </c>
      <c r="W278" s="390">
        <f>IF($K278="Direct",Assumptions!$C$32,IF($K278="Broker",Assumptions!$C$33,IF($K278="Bancassurance",Assumptions!$C$34,Assumptions!$C$11)))+$Q278</f>
        <v>0.25</v>
      </c>
      <c r="X278" s="390">
        <f>Assumptions!$C$12+$Q278</f>
        <v>0.05</v>
      </c>
      <c r="Y278" s="131">
        <f>MIN($I278,Assumptions!$C$14)</f>
        <v>500000</v>
      </c>
      <c r="Z278" s="131">
        <f>MAX($I278-Assumptions!$C$14,0)</f>
        <v>0</v>
      </c>
      <c r="AA278" s="389">
        <f t="shared" si="74"/>
        <v>8.5899003571749741</v>
      </c>
      <c r="AB278" s="389">
        <f t="shared" si="75"/>
        <v>8.6204172094743702E-3</v>
      </c>
      <c r="AC278" s="389">
        <f>IF($T278=1,SUMPRODUCT($CJ278:$DW278,(1+Assumptions!$C$5)^($CJ$5:$DW$5-1),(1+$R278)^(-$CJ$5:$DW$5)),0)</f>
        <v>11.562322126618954</v>
      </c>
      <c r="AD278" s="389">
        <f t="shared" si="76"/>
        <v>0.62273173283459415</v>
      </c>
      <c r="AE278" s="131">
        <f>IF($T278=1,$AB278*$Y278+(Assumptions!$C$9/(1+$R278)+Assumptions!$C$10*$AC278)*$P278+$S278*$Z278*$AA278,0)</f>
        <v>7723.4846899846598</v>
      </c>
      <c r="AF278" s="131">
        <f>IF($T278=1,IF($AA278-$AD278-Assumptions!$C$16*$AA278&gt;0,$AE278/($AA278-$AD278-Assumptions!$C$16*$AA278)*IF($J278="Monthly",1+Assumptions!$C$29,1),"n.a."),"")</f>
        <v>1092.749286489531</v>
      </c>
      <c r="AG278" s="131">
        <f t="shared" si="77"/>
        <v>1200</v>
      </c>
      <c r="AH278" s="131">
        <f t="shared" si="78"/>
        <v>10307.880428609969</v>
      </c>
      <c r="AI278" s="131">
        <f t="shared" si="79"/>
        <v>1837.1176592237971</v>
      </c>
      <c r="AJ278" s="390">
        <f t="shared" si="80"/>
        <v>0.17822457991701157</v>
      </c>
      <c r="AK278" s="389">
        <f t="shared" si="81"/>
        <v>1.098147594179643</v>
      </c>
      <c r="AL278" s="131">
        <f t="shared" si="82"/>
        <v>0</v>
      </c>
      <c r="AM278" s="131">
        <f t="shared" si="83"/>
        <v>0</v>
      </c>
      <c r="AN278" s="131">
        <f t="shared" si="84"/>
        <v>0</v>
      </c>
      <c r="AO278" s="131">
        <f t="shared" si="85"/>
        <v>1837.1176592237971</v>
      </c>
      <c r="AP278" s="26" t="str">
        <f t="shared" si="86"/>
        <v>30-39</v>
      </c>
      <c r="AQ278" s="26" t="str">
        <f t="shared" si="87"/>
        <v>250k-500k</v>
      </c>
      <c r="AR278" s="26" t="str">
        <f>IF($T278=1,IF($AI278&lt;0,"Loss-making",IF($AJ278&lt;Assumptions!$C$16-0.00001,"Below target","At/above target")),"Excluded")</f>
        <v>At/above target</v>
      </c>
      <c r="AS278" s="103">
        <f t="shared" si="88"/>
        <v>1837.1179372237971</v>
      </c>
      <c r="AT278" s="26"/>
      <c r="AU278" s="419">
        <f>IF(AND($T278=1,AU$5&lt;=$H278),INDEX(Mortality!$B$4:$E$64,MATCH($D278+AU$5-1,Mortality!$A$4:$A$64,0),$U278)*$V278*$N278,0)</f>
        <v>5.1749999999999995E-4</v>
      </c>
      <c r="AV278" s="93">
        <f>IF(AND($T278=1,AV$5&lt;=$H278),INDEX(Mortality!$B$4:$E$64,MATCH($D278+AV$5-1,Mortality!$A$4:$A$64,0),$U278)*$V278*$N278,0)</f>
        <v>5.6060105752179102E-4</v>
      </c>
      <c r="AW278" s="93">
        <f>IF(AND($T278=1,AW$5&lt;=$H278),INDEX(Mortality!$B$4:$E$64,MATCH($D278+AW$5-1,Mortality!$A$4:$A$64,0),$U278)*$V278*$N278,0)</f>
        <v>6.07291875738262E-4</v>
      </c>
      <c r="AX278" s="93">
        <f>IF(AND($T278=1,AX$5&lt;=$H278),INDEX(Mortality!$B$4:$E$64,MATCH($D278+AX$5-1,Mortality!$A$4:$A$64,0),$U278)*$V278*$N278,0)</f>
        <v>6.5787143529132705E-4</v>
      </c>
      <c r="AY278" s="93">
        <f>IF(AND($T278=1,AY$5&lt;=$H278),INDEX(Mortality!$B$4:$E$64,MATCH($D278+AY$5-1,Mortality!$A$4:$A$64,0),$U278)*$V278*$N278,0)</f>
        <v>7.1266361804385805E-4</v>
      </c>
      <c r="AZ278" s="93">
        <f>IF(AND($T278=1,AZ$5&lt;=$H278),INDEX(Mortality!$B$4:$E$64,MATCH($D278+AZ$5-1,Mortality!$A$4:$A$64,0),$U278)*$V278*$N278,0)</f>
        <v>7.7201928102935699E-4</v>
      </c>
      <c r="BA278" s="93">
        <f>IF(AND($T278=1,BA$5&lt;=$H278),INDEX(Mortality!$B$4:$E$64,MATCH($D278+BA$5-1,Mortality!$A$4:$A$64,0),$U278)*$V278*$N278,0)</f>
        <v>8.3631850313482196E-4</v>
      </c>
      <c r="BB278" s="93">
        <f>IF(AND($T278=1,BB$5&lt;=$H278),INDEX(Mortality!$B$4:$E$64,MATCH($D278+BB$5-1,Mortality!$A$4:$A$64,0),$U278)*$V278*$N278,0)</f>
        <v>9.0597301890323197E-4</v>
      </c>
      <c r="BC278" s="93">
        <f>IF(AND($T278=1,BC$5&lt;=$H278),INDEX(Mortality!$B$4:$E$64,MATCH($D278+BC$5-1,Mortality!$A$4:$A$64,0),$U278)*$V278*$N278,0)</f>
        <v>9.8142885504031189E-4</v>
      </c>
      <c r="BD278" s="93">
        <f>IF(AND($T278=1,BD$5&lt;=$H278),INDEX(Mortality!$B$4:$E$64,MATCH($D278+BD$5-1,Mortality!$A$4:$A$64,0),$U278)*$V278*$N278,0)</f>
        <v>1.06316918650821E-3</v>
      </c>
      <c r="BE278" s="93">
        <f>IF(AND($T278=1,BE$5&lt;=$H278),INDEX(Mortality!$B$4:$E$64,MATCH($D278+BE$5-1,Mortality!$A$4:$A$64,0),$U278)*$V278*$N278,0)</f>
        <v>1.1517174304948501E-3</v>
      </c>
      <c r="BF278" s="93">
        <f>IF(AND($T278=1,BF$5&lt;=$H278),INDEX(Mortality!$B$4:$E$64,MATCH($D278+BF$5-1,Mortality!$A$4:$A$64,0),$U278)*$V278*$N278,0)</f>
        <v>1.24764059807091E-3</v>
      </c>
      <c r="BG278" s="93">
        <f>IF(AND($T278=1,BG$5&lt;=$H278),INDEX(Mortality!$B$4:$E$64,MATCH($D278+BG$5-1,Mortality!$A$4:$A$64,0),$U278)*$V278*$N278,0)</f>
        <v>1.3515529249964601E-3</v>
      </c>
      <c r="BH278" s="93">
        <f>IF(AND($T278=1,BH$5&lt;=$H278),INDEX(Mortality!$B$4:$E$64,MATCH($D278+BH$5-1,Mortality!$A$4:$A$64,0),$U278)*$V278*$N278,0)</f>
        <v>1.4641198049269301E-3</v>
      </c>
      <c r="BI278" s="93">
        <f>IF(AND($T278=1,BI$5&lt;=$H278),INDEX(Mortality!$B$4:$E$64,MATCH($D278+BI$5-1,Mortality!$A$4:$A$64,0),$U278)*$V278*$N278,0)</f>
        <v>1.58606205020413E-3</v>
      </c>
      <c r="BJ278" s="93">
        <f>IF(AND($T278=1,BJ$5&lt;=$H278),INDEX(Mortality!$B$4:$E$64,MATCH($D278+BJ$5-1,Mortality!$A$4:$A$64,0),$U278)*$V278*$N278,0)</f>
        <v>1.71816050751616E-3</v>
      </c>
      <c r="BK278" s="93">
        <f>IF(AND($T278=1,BK$5&lt;=$H278),INDEX(Mortality!$B$4:$E$64,MATCH($D278+BK$5-1,Mortality!$A$4:$A$64,0),$U278)*$V278*$N278,0)</f>
        <v>1.8612610579820999E-3</v>
      </c>
      <c r="BL278" s="93">
        <f>IF(AND($T278=1,BL$5&lt;=$H278),INDEX(Mortality!$B$4:$E$64,MATCH($D278+BL$5-1,Mortality!$A$4:$A$64,0),$U278)*$V278*$N278,0)</f>
        <v>2.0162800336790201E-3</v>
      </c>
      <c r="BM278" s="93">
        <f>IF(AND($T278=1,BM$5&lt;=$H278),INDEX(Mortality!$B$4:$E$64,MATCH($D278+BM$5-1,Mortality!$A$4:$A$64,0),$U278)*$V278*$N278,0)</f>
        <v>2.1842100852957199E-3</v>
      </c>
      <c r="BN278" s="93">
        <f>IF(AND($T278=1,BN$5&lt;=$H278),INDEX(Mortality!$B$4:$E$64,MATCH($D278+BN$5-1,Mortality!$A$4:$A$64,0),$U278)*$V278*$N278,0)</f>
        <v>2.3661265384860701E-3</v>
      </c>
      <c r="BO278" s="93">
        <f>IF(AND($T278=1,BO$5&lt;=$H278),INDEX(Mortality!$B$4:$E$64,MATCH($D278+BO$5-1,Mortality!$A$4:$A$64,0),$U278)*$V278*$N278,0)</f>
        <v>0</v>
      </c>
      <c r="BP278" s="93">
        <f>IF(AND($T278=1,BP$5&lt;=$H278),INDEX(Mortality!$B$4:$E$64,MATCH($D278+BP$5-1,Mortality!$A$4:$A$64,0),$U278)*$V278*$N278,0)</f>
        <v>0</v>
      </c>
      <c r="BQ278" s="93">
        <f>IF(AND($T278=1,BQ$5&lt;=$H278),INDEX(Mortality!$B$4:$E$64,MATCH($D278+BQ$5-1,Mortality!$A$4:$A$64,0),$U278)*$V278*$N278,0)</f>
        <v>0</v>
      </c>
      <c r="BR278" s="93">
        <f>IF(AND($T278=1,BR$5&lt;=$H278),INDEX(Mortality!$B$4:$E$64,MATCH($D278+BR$5-1,Mortality!$A$4:$A$64,0),$U278)*$V278*$N278,0)</f>
        <v>0</v>
      </c>
      <c r="BS278" s="93">
        <f>IF(AND($T278=1,BS$5&lt;=$H278),INDEX(Mortality!$B$4:$E$64,MATCH($D278+BS$5-1,Mortality!$A$4:$A$64,0),$U278)*$V278*$N278,0)</f>
        <v>0</v>
      </c>
      <c r="BT278" s="93">
        <f>IF(AND($T278=1,BT$5&lt;=$H278),INDEX(Mortality!$B$4:$E$64,MATCH($D278+BT$5-1,Mortality!$A$4:$A$64,0),$U278)*$V278*$N278,0)</f>
        <v>0</v>
      </c>
      <c r="BU278" s="93">
        <f>IF(AND($T278=1,BU$5&lt;=$H278),INDEX(Mortality!$B$4:$E$64,MATCH($D278+BU$5-1,Mortality!$A$4:$A$64,0),$U278)*$V278*$N278,0)</f>
        <v>0</v>
      </c>
      <c r="BV278" s="93">
        <f>IF(AND($T278=1,BV$5&lt;=$H278),INDEX(Mortality!$B$4:$E$64,MATCH($D278+BV$5-1,Mortality!$A$4:$A$64,0),$U278)*$V278*$N278,0)</f>
        <v>0</v>
      </c>
      <c r="BW278" s="93">
        <f>IF(AND($T278=1,BW$5&lt;=$H278),INDEX(Mortality!$B$4:$E$64,MATCH($D278+BW$5-1,Mortality!$A$4:$A$64,0),$U278)*$V278*$N278,0)</f>
        <v>0</v>
      </c>
      <c r="BX278" s="93">
        <f>IF(AND($T278=1,BX$5&lt;=$H278),INDEX(Mortality!$B$4:$E$64,MATCH($D278+BX$5-1,Mortality!$A$4:$A$64,0),$U278)*$V278*$N278,0)</f>
        <v>0</v>
      </c>
      <c r="BY278" s="93">
        <f>IF(AND($T278=1,BY$5&lt;=$H278),INDEX(Mortality!$B$4:$E$64,MATCH($D278+BY$5-1,Mortality!$A$4:$A$64,0),$U278)*$V278*$N278,0)</f>
        <v>0</v>
      </c>
      <c r="BZ278" s="93">
        <f>IF(AND($T278=1,BZ$5&lt;=$H278),INDEX(Mortality!$B$4:$E$64,MATCH($D278+BZ$5-1,Mortality!$A$4:$A$64,0),$U278)*$V278*$N278,0)</f>
        <v>0</v>
      </c>
      <c r="CA278" s="93">
        <f>IF(AND($T278=1,CA$5&lt;=$H278),INDEX(Mortality!$B$4:$E$64,MATCH($D278+CA$5-1,Mortality!$A$4:$A$64,0),$U278)*$V278*$N278,0)</f>
        <v>0</v>
      </c>
      <c r="CB278" s="93">
        <f>IF(AND($T278=1,CB$5&lt;=$H278),INDEX(Mortality!$B$4:$E$64,MATCH($D278+CB$5-1,Mortality!$A$4:$A$64,0),$U278)*$V278*$N278,0)</f>
        <v>0</v>
      </c>
      <c r="CC278" s="93">
        <f>IF(AND($T278=1,CC$5&lt;=$H278),INDEX(Mortality!$B$4:$E$64,MATCH($D278+CC$5-1,Mortality!$A$4:$A$64,0),$U278)*$V278*$N278,0)</f>
        <v>0</v>
      </c>
      <c r="CD278" s="93">
        <f>IF(AND($T278=1,CD$5&lt;=$H278),INDEX(Mortality!$B$4:$E$64,MATCH($D278+CD$5-1,Mortality!$A$4:$A$64,0),$U278)*$V278*$N278,0)</f>
        <v>0</v>
      </c>
      <c r="CE278" s="93">
        <f>IF(AND($T278=1,CE$5&lt;=$H278),INDEX(Mortality!$B$4:$E$64,MATCH($D278+CE$5-1,Mortality!$A$4:$A$64,0),$U278)*$V278*$N278,0)</f>
        <v>0</v>
      </c>
      <c r="CF278" s="93">
        <f>IF(AND($T278=1,CF$5&lt;=$H278),INDEX(Mortality!$B$4:$E$64,MATCH($D278+CF$5-1,Mortality!$A$4:$A$64,0),$U278)*$V278*$N278,0)</f>
        <v>0</v>
      </c>
      <c r="CG278" s="93">
        <f>IF(AND($T278=1,CG$5&lt;=$H278),INDEX(Mortality!$B$4:$E$64,MATCH($D278+CG$5-1,Mortality!$A$4:$A$64,0),$U278)*$V278*$N278,0)</f>
        <v>0</v>
      </c>
      <c r="CH278" s="94">
        <f>IF(AND($T278=1,CH$5&lt;=$H278),INDEX(Mortality!$B$4:$E$64,MATCH($D278+CH$5-1,Mortality!$A$4:$A$64,0),$U278)*$V278*$N278,0)</f>
        <v>0</v>
      </c>
      <c r="CI278" s="26"/>
      <c r="CJ278" s="419">
        <f t="shared" si="89"/>
        <v>1</v>
      </c>
      <c r="CK278" s="93">
        <f>IF(AND($T278=1,CK$5&lt;=$H278),CJ278*(1-AU278)*(1-MIN(1,MAX(Assumptions!$C$27,Assumptions!$C$13*Assumptions!$C$28^(CJ$5-1))*$O278)),0)</f>
        <v>0.87954460000000001</v>
      </c>
      <c r="CL278" s="93">
        <f>IF(AND($T278=1,CL$5&lt;=$H278),CK278*(1-AV278)*(1-MIN(1,MAX(Assumptions!$C$27,Assumptions!$C$13*Assumptions!$C$28^(CK$5-1))*$O278)),0)</f>
        <v>0.78938827067765804</v>
      </c>
      <c r="CM278" s="93">
        <f>IF(AND($T278=1,CM$5&lt;=$H278),CL278*(1-AW278)*(1-MIN(1,MAX(Assumptions!$C$27,Assumptions!$C$13*Assumptions!$C$28^(CL$5-1))*$O278)),0)</f>
        <v>0.72051048155986641</v>
      </c>
      <c r="CN278" s="93">
        <f>IF(AND($T278=1,CN$5&lt;=$H278),CM278*(1-AX278)*(1-MIN(1,MAX(Assumptions!$C$27,Assumptions!$C$13*Assumptions!$C$28^(CM$5-1))*$O278)),0)</f>
        <v>0.66697339002725398</v>
      </c>
      <c r="CO278" s="93">
        <f>IF(AND($T278=1,CO$5&lt;=$H278),CN278*(1-AY278)*(1-MIN(1,MAX(Assumptions!$C$27,Assumptions!$C$13*Assumptions!$C$28^(CN$5-1))*$O278)),0)</f>
        <v>0.62474812385832756</v>
      </c>
      <c r="CP278" s="93">
        <f>IF(AND($T278=1,CP$5&lt;=$H278),CO278*(1-AZ278)*(1-MIN(1,MAX(Assumptions!$C$27,Assumptions!$C$13*Assumptions!$C$28^(CO$5-1))*$O278)),0)</f>
        <v>0.59102699970291395</v>
      </c>
      <c r="CQ278" s="93">
        <f>IF(AND($T278=1,CQ$5&lt;=$H278),CP278*(1-BA278)*(1-MIN(1,MAX(Assumptions!$C$27,Assumptions!$C$13*Assumptions!$C$28^(CP$5-1))*$O278)),0)</f>
        <v>0.56380641769207474</v>
      </c>
      <c r="CR278" s="93">
        <f>IF(AND($T278=1,CR$5&lt;=$H278),CQ278*(1-BB278)*(1-MIN(1,MAX(Assumptions!$C$27,Assumptions!$C$13*Assumptions!$C$28^(CQ$5-1))*$O278)),0)</f>
        <v>0.54162606376059552</v>
      </c>
      <c r="CS278" s="93">
        <f>IF(AND($T278=1,CS$5&lt;=$H278),CR278*(1-BC278)*(1-MIN(1,MAX(Assumptions!$C$27,Assumptions!$C$13*Assumptions!$C$28^(CR$5-1))*$O278)),0)</f>
        <v>0.52340132150545049</v>
      </c>
      <c r="CT278" s="93">
        <f>IF(AND($T278=1,CT$5&lt;=$H278),CS278*(1-BD278)*(1-MIN(1,MAX(Assumptions!$C$27,Assumptions!$C$13*Assumptions!$C$28^(CS$5-1))*$O278)),0)</f>
        <v>0.50831288983958289</v>
      </c>
      <c r="CU278" s="93">
        <f>IF(AND($T278=1,CU$5&lt;=$H278),CT278*(1-BE278)*(1-MIN(1,MAX(Assumptions!$C$27,Assumptions!$C$13*Assumptions!$C$28^(CT$5-1))*$O278)),0)</f>
        <v>0.49573243214392088</v>
      </c>
      <c r="CV278" s="93">
        <f>IF(AND($T278=1,CV$5&lt;=$H278),CU278*(1-BF278)*(1-MIN(1,MAX(Assumptions!$C$27,Assumptions!$C$13*Assumptions!$C$28^(CU$5-1))*$O278)),0)</f>
        <v>0.48517145958552194</v>
      </c>
      <c r="CW278" s="93">
        <f>IF(AND($T278=1,CW$5&lt;=$H278),CV278*(1-BG278)*(1-MIN(1,MAX(Assumptions!$C$27,Assumptions!$C$13*Assumptions!$C$28^(CV$5-1))*$O278)),0)</f>
        <v>0.47482541018659041</v>
      </c>
      <c r="CX278" s="93">
        <f>IF(AND($T278=1,CX$5&lt;=$H278),CW278*(1-BH278)*(1-MIN(1,MAX(Assumptions!$C$27,Assumptions!$C$13*Assumptions!$C$28^(CW$5-1))*$O278)),0)</f>
        <v>0.46464760472166061</v>
      </c>
      <c r="CY278" s="93">
        <f>IF(AND($T278=1,CY$5&lt;=$H278),CX278*(1-BI278)*(1-MIN(1,MAX(Assumptions!$C$27,Assumptions!$C$13*Assumptions!$C$28^(CX$5-1))*$O278)),0)</f>
        <v>0.45463243189331143</v>
      </c>
      <c r="CZ278" s="93">
        <f>IF(AND($T278=1,CZ$5&lt;=$H278),CY278*(1-BJ278)*(1-MIN(1,MAX(Assumptions!$C$27,Assumptions!$C$13*Assumptions!$C$28^(CY$5-1))*$O278)),0)</f>
        <v>0.44477427439532841</v>
      </c>
      <c r="DA278" s="93">
        <f>IF(AND($T278=1,DA$5&lt;=$H278),CZ278*(1-BK278)*(1-MIN(1,MAX(Assumptions!$C$27,Assumptions!$C$13*Assumptions!$C$28^(CZ$5-1))*$O278)),0)</f>
        <v>0.43506750469162803</v>
      </c>
      <c r="DB278" s="93">
        <f>IF(AND($T278=1,DB$5&lt;=$H278),DA278*(1-BL278)*(1-MIN(1,MAX(Assumptions!$C$27,Assumptions!$C$13*Assumptions!$C$28^(DA$5-1))*$O278)),0)</f>
        <v>0.4255064810332434</v>
      </c>
      <c r="DC278" s="93">
        <f>IF(AND($T278=1,DC$5&lt;=$H278),DB278*(1-BM278)*(1-MIN(1,MAX(Assumptions!$C$27,Assumptions!$C$13*Assumptions!$C$28^(DB$5-1))*$O278)),0)</f>
        <v>0.4160855437762917</v>
      </c>
      <c r="DD278" s="93">
        <f>IF(AND($T278=1,DD$5&lt;=$H278),DC278*(1-BN278)*(1-MIN(1,MAX(Assumptions!$C$27,Assumptions!$C$13*Assumptions!$C$28^(DC$5-1))*$O278)),0)</f>
        <v>0</v>
      </c>
      <c r="DE278" s="93">
        <f>IF(AND($T278=1,DE$5&lt;=$H278),DD278*(1-BO278)*(1-MIN(1,MAX(Assumptions!$C$27,Assumptions!$C$13*Assumptions!$C$28^(DD$5-1))*$O278)),0)</f>
        <v>0</v>
      </c>
      <c r="DF278" s="93">
        <f>IF(AND($T278=1,DF$5&lt;=$H278),DE278*(1-BP278)*(1-MIN(1,MAX(Assumptions!$C$27,Assumptions!$C$13*Assumptions!$C$28^(DE$5-1))*$O278)),0)</f>
        <v>0</v>
      </c>
      <c r="DG278" s="93">
        <f>IF(AND($T278=1,DG$5&lt;=$H278),DF278*(1-BQ278)*(1-MIN(1,MAX(Assumptions!$C$27,Assumptions!$C$13*Assumptions!$C$28^(DF$5-1))*$O278)),0)</f>
        <v>0</v>
      </c>
      <c r="DH278" s="93">
        <f>IF(AND($T278=1,DH$5&lt;=$H278),DG278*(1-BR278)*(1-MIN(1,MAX(Assumptions!$C$27,Assumptions!$C$13*Assumptions!$C$28^(DG$5-1))*$O278)),0)</f>
        <v>0</v>
      </c>
      <c r="DI278" s="93">
        <f>IF(AND($T278=1,DI$5&lt;=$H278),DH278*(1-BS278)*(1-MIN(1,MAX(Assumptions!$C$27,Assumptions!$C$13*Assumptions!$C$28^(DH$5-1))*$O278)),0)</f>
        <v>0</v>
      </c>
      <c r="DJ278" s="93">
        <f>IF(AND($T278=1,DJ$5&lt;=$H278),DI278*(1-BT278)*(1-MIN(1,MAX(Assumptions!$C$27,Assumptions!$C$13*Assumptions!$C$28^(DI$5-1))*$O278)),0)</f>
        <v>0</v>
      </c>
      <c r="DK278" s="93">
        <f>IF(AND($T278=1,DK$5&lt;=$H278),DJ278*(1-BU278)*(1-MIN(1,MAX(Assumptions!$C$27,Assumptions!$C$13*Assumptions!$C$28^(DJ$5-1))*$O278)),0)</f>
        <v>0</v>
      </c>
      <c r="DL278" s="93">
        <f>IF(AND($T278=1,DL$5&lt;=$H278),DK278*(1-BV278)*(1-MIN(1,MAX(Assumptions!$C$27,Assumptions!$C$13*Assumptions!$C$28^(DK$5-1))*$O278)),0)</f>
        <v>0</v>
      </c>
      <c r="DM278" s="93">
        <f>IF(AND($T278=1,DM$5&lt;=$H278),DL278*(1-BW278)*(1-MIN(1,MAX(Assumptions!$C$27,Assumptions!$C$13*Assumptions!$C$28^(DL$5-1))*$O278)),0)</f>
        <v>0</v>
      </c>
      <c r="DN278" s="93">
        <f>IF(AND($T278=1,DN$5&lt;=$H278),DM278*(1-BX278)*(1-MIN(1,MAX(Assumptions!$C$27,Assumptions!$C$13*Assumptions!$C$28^(DM$5-1))*$O278)),0)</f>
        <v>0</v>
      </c>
      <c r="DO278" s="93">
        <f>IF(AND($T278=1,DO$5&lt;=$H278),DN278*(1-BY278)*(1-MIN(1,MAX(Assumptions!$C$27,Assumptions!$C$13*Assumptions!$C$28^(DN$5-1))*$O278)),0)</f>
        <v>0</v>
      </c>
      <c r="DP278" s="93">
        <f>IF(AND($T278=1,DP$5&lt;=$H278),DO278*(1-BZ278)*(1-MIN(1,MAX(Assumptions!$C$27,Assumptions!$C$13*Assumptions!$C$28^(DO$5-1))*$O278)),0)</f>
        <v>0</v>
      </c>
      <c r="DQ278" s="93">
        <f>IF(AND($T278=1,DQ$5&lt;=$H278),DP278*(1-CA278)*(1-MIN(1,MAX(Assumptions!$C$27,Assumptions!$C$13*Assumptions!$C$28^(DP$5-1))*$O278)),0)</f>
        <v>0</v>
      </c>
      <c r="DR278" s="93">
        <f>IF(AND($T278=1,DR$5&lt;=$H278),DQ278*(1-CB278)*(1-MIN(1,MAX(Assumptions!$C$27,Assumptions!$C$13*Assumptions!$C$28^(DQ$5-1))*$O278)),0)</f>
        <v>0</v>
      </c>
      <c r="DS278" s="93">
        <f>IF(AND($T278=1,DS$5&lt;=$H278),DR278*(1-CC278)*(1-MIN(1,MAX(Assumptions!$C$27,Assumptions!$C$13*Assumptions!$C$28^(DR$5-1))*$O278)),0)</f>
        <v>0</v>
      </c>
      <c r="DT278" s="93">
        <f>IF(AND($T278=1,DT$5&lt;=$H278),DS278*(1-CD278)*(1-MIN(1,MAX(Assumptions!$C$27,Assumptions!$C$13*Assumptions!$C$28^(DS$5-1))*$O278)),0)</f>
        <v>0</v>
      </c>
      <c r="DU278" s="93">
        <f>IF(AND($T278=1,DU$5&lt;=$H278),DT278*(1-CE278)*(1-MIN(1,MAX(Assumptions!$C$27,Assumptions!$C$13*Assumptions!$C$28^(DT$5-1))*$O278)),0)</f>
        <v>0</v>
      </c>
      <c r="DV278" s="93">
        <f>IF(AND($T278=1,DV$5&lt;=$H278),DU278*(1-CF278)*(1-MIN(1,MAX(Assumptions!$C$27,Assumptions!$C$13*Assumptions!$C$28^(DU$5-1))*$O278)),0)</f>
        <v>0</v>
      </c>
      <c r="DW278" s="94">
        <f>IF(AND($T278=1,DW$5&lt;=$H278),DV278*(1-CG278)*(1-MIN(1,MAX(Assumptions!$C$27,Assumptions!$C$13*Assumptions!$C$28^(DV$5-1))*$O278)),0)</f>
        <v>0</v>
      </c>
      <c r="DX278" s="26"/>
      <c r="DY278" s="399">
        <f>'Policy Data'!K252</f>
        <v>1</v>
      </c>
      <c r="DZ278" s="100">
        <f>'Policy Data'!L252</f>
        <v>0.79379999999999995</v>
      </c>
      <c r="EA278" s="100">
        <f>'Policy Data'!N252</f>
        <v>4.1100000000000002E-4</v>
      </c>
      <c r="EB278" s="93" cm="1">
        <f t="array" ref="EB278">IFERROR(DZ278*INDEX(Mortality!$B$4:$E$64,MATCH(D278+DY278-1,Mortality!$A$4:$A$64,0),U278)*V278,0)</f>
        <v>4.1079149999999993E-4</v>
      </c>
      <c r="EC278" s="100">
        <f>'Policy Data'!O252</f>
        <v>0</v>
      </c>
      <c r="ED278" s="400">
        <f>'Policy Data'!Q252</f>
        <v>0</v>
      </c>
    </row>
    <row r="279" spans="1:134" ht="13.5" thickBot="1" x14ac:dyDescent="0.35">
      <c r="A279" s="401" t="str">
        <f>'Policy Data'!A253</f>
        <v>POL100249</v>
      </c>
      <c r="B279" s="110" t="s">
        <v>426</v>
      </c>
      <c r="C279" s="402" t="str">
        <f>'Policy Data'!B253</f>
        <v>Term Life</v>
      </c>
      <c r="D279" s="402">
        <f>'Policy Data'!C253</f>
        <v>58</v>
      </c>
      <c r="E279" s="402" t="str">
        <f>'Policy Data'!D253</f>
        <v>Male</v>
      </c>
      <c r="F279" s="402" t="str">
        <f>'Policy Data'!E253</f>
        <v>Non-smoker</v>
      </c>
      <c r="G279" s="402" t="str">
        <f>'Policy Data'!F253</f>
        <v>Rated</v>
      </c>
      <c r="H279" s="402">
        <f>'Policy Data'!G253</f>
        <v>25</v>
      </c>
      <c r="I279" s="308">
        <f>'Policy Data'!H253</f>
        <v>250000</v>
      </c>
      <c r="J279" s="402" t="str">
        <f>'Policy Data'!I253</f>
        <v>Monthly</v>
      </c>
      <c r="K279" s="402" t="str">
        <f>'Policy Data'!J253</f>
        <v>Broker</v>
      </c>
      <c r="L279" s="110" t="s">
        <v>389</v>
      </c>
      <c r="M279" s="122">
        <f>'Policy Data'!R253</f>
        <v>2840.21</v>
      </c>
      <c r="N279" s="417">
        <f>Assumptions!$C$21</f>
        <v>1</v>
      </c>
      <c r="O279" s="417">
        <f>Assumptions!$C$22</f>
        <v>1</v>
      </c>
      <c r="P279" s="417">
        <f>Assumptions!$C$23</f>
        <v>1</v>
      </c>
      <c r="Q279" s="418">
        <f>Assumptions!$C$24</f>
        <v>0</v>
      </c>
      <c r="R279" s="418">
        <f>Assumptions!$C$6+Assumptions!$C$25</f>
        <v>3.5000000000000003E-2</v>
      </c>
      <c r="S279" s="418">
        <f>Assumptions!$C$15</f>
        <v>1.1000000000000001E-3</v>
      </c>
      <c r="T279" s="110">
        <f t="shared" si="72"/>
        <v>0</v>
      </c>
      <c r="U279" s="110">
        <f t="shared" si="73"/>
        <v>3</v>
      </c>
      <c r="V279" s="398">
        <f>IF($G279="Preferred",Assumptions!$C$30,IF($G279="Rated",Assumptions!$C$31,1))</f>
        <v>1.55</v>
      </c>
      <c r="W279" s="116">
        <f>IF($K279="Direct",Assumptions!$C$32,IF($K279="Broker",Assumptions!$C$33,IF($K279="Bancassurance",Assumptions!$C$34,Assumptions!$C$11)))+$Q279</f>
        <v>0.25</v>
      </c>
      <c r="X279" s="116">
        <f>Assumptions!$C$12+$Q279</f>
        <v>0.05</v>
      </c>
      <c r="Y279" s="321">
        <f>MIN($I279,Assumptions!$C$14)</f>
        <v>250000</v>
      </c>
      <c r="Z279" s="321">
        <f>MAX($I279-Assumptions!$C$14,0)</f>
        <v>0</v>
      </c>
      <c r="AA279" s="398">
        <f t="shared" si="74"/>
        <v>0</v>
      </c>
      <c r="AB279" s="398">
        <f t="shared" si="75"/>
        <v>0</v>
      </c>
      <c r="AC279" s="398">
        <f>IF($T279=1,SUMPRODUCT($CJ279:$DW279,(1+Assumptions!$C$5)^($CJ$5:$DW$5-1),(1+$R279)^(-$CJ$5:$DW$5)),0)</f>
        <v>0</v>
      </c>
      <c r="AD279" s="398">
        <f t="shared" si="76"/>
        <v>0</v>
      </c>
      <c r="AE279" s="321">
        <f>IF($T279=1,$AB279*$Y279+(Assumptions!$C$9/(1+$R279)+Assumptions!$C$10*$AC279)*$P279+$S279*$Z279*$AA279,0)</f>
        <v>0</v>
      </c>
      <c r="AF279" s="321" t="str">
        <f>IF($T279=1,IF($AA279-$AD279-Assumptions!$C$16*$AA279&gt;0,$AE279/($AA279-$AD279-Assumptions!$C$16*$AA279)*IF($J279="Monthly",1+Assumptions!$C$29,1),"n.a."),"")</f>
        <v/>
      </c>
      <c r="AG279" s="321" t="str">
        <f t="shared" si="77"/>
        <v/>
      </c>
      <c r="AH279" s="321" t="str">
        <f t="shared" si="78"/>
        <v/>
      </c>
      <c r="AI279" s="321" t="str">
        <f t="shared" si="79"/>
        <v/>
      </c>
      <c r="AJ279" s="116" t="str">
        <f t="shared" si="80"/>
        <v/>
      </c>
      <c r="AK279" s="398" t="str">
        <f t="shared" si="81"/>
        <v/>
      </c>
      <c r="AL279" s="321" t="str">
        <f t="shared" si="82"/>
        <v/>
      </c>
      <c r="AM279" s="321" t="str">
        <f t="shared" si="83"/>
        <v/>
      </c>
      <c r="AN279" s="321" t="str">
        <f t="shared" si="84"/>
        <v/>
      </c>
      <c r="AO279" s="321" t="str">
        <f t="shared" si="85"/>
        <v/>
      </c>
      <c r="AP279" s="110" t="str">
        <f t="shared" si="86"/>
        <v>50-59</v>
      </c>
      <c r="AQ279" s="110" t="str">
        <f t="shared" si="87"/>
        <v>Up to 250k</v>
      </c>
      <c r="AR279" s="110" t="str">
        <f>IF($T279=1,IF($AI279&lt;0,"Loss-making",IF($AJ279&lt;Assumptions!$C$16-0.00001,"Below target","At/above target")),"Excluded")</f>
        <v>Excluded</v>
      </c>
      <c r="AS279" s="111">
        <f t="shared" si="88"/>
        <v>9.9999999999999997E+98</v>
      </c>
      <c r="AT279" s="26"/>
      <c r="AU279" s="420">
        <f>IF(AND($T279=1,AU$5&lt;=$H279),INDEX(Mortality!$B$4:$E$64,MATCH($D279+AU$5-1,Mortality!$A$4:$A$64,0),$U279)*$V279*$N279,0)</f>
        <v>0</v>
      </c>
      <c r="AV279" s="97">
        <f>IF(AND($T279=1,AV$5&lt;=$H279),INDEX(Mortality!$B$4:$E$64,MATCH($D279+AV$5-1,Mortality!$A$4:$A$64,0),$U279)*$V279*$N279,0)</f>
        <v>0</v>
      </c>
      <c r="AW279" s="97">
        <f>IF(AND($T279=1,AW$5&lt;=$H279),INDEX(Mortality!$B$4:$E$64,MATCH($D279+AW$5-1,Mortality!$A$4:$A$64,0),$U279)*$V279*$N279,0)</f>
        <v>0</v>
      </c>
      <c r="AX279" s="97">
        <f>IF(AND($T279=1,AX$5&lt;=$H279),INDEX(Mortality!$B$4:$E$64,MATCH($D279+AX$5-1,Mortality!$A$4:$A$64,0),$U279)*$V279*$N279,0)</f>
        <v>0</v>
      </c>
      <c r="AY279" s="97">
        <f>IF(AND($T279=1,AY$5&lt;=$H279),INDEX(Mortality!$B$4:$E$64,MATCH($D279+AY$5-1,Mortality!$A$4:$A$64,0),$U279)*$V279*$N279,0)</f>
        <v>0</v>
      </c>
      <c r="AZ279" s="97">
        <f>IF(AND($T279=1,AZ$5&lt;=$H279),INDEX(Mortality!$B$4:$E$64,MATCH($D279+AZ$5-1,Mortality!$A$4:$A$64,0),$U279)*$V279*$N279,0)</f>
        <v>0</v>
      </c>
      <c r="BA279" s="97">
        <f>IF(AND($T279=1,BA$5&lt;=$H279),INDEX(Mortality!$B$4:$E$64,MATCH($D279+BA$5-1,Mortality!$A$4:$A$64,0),$U279)*$V279*$N279,0)</f>
        <v>0</v>
      </c>
      <c r="BB279" s="97">
        <f>IF(AND($T279=1,BB$5&lt;=$H279),INDEX(Mortality!$B$4:$E$64,MATCH($D279+BB$5-1,Mortality!$A$4:$A$64,0),$U279)*$V279*$N279,0)</f>
        <v>0</v>
      </c>
      <c r="BC279" s="97">
        <f>IF(AND($T279=1,BC$5&lt;=$H279),INDEX(Mortality!$B$4:$E$64,MATCH($D279+BC$5-1,Mortality!$A$4:$A$64,0),$U279)*$V279*$N279,0)</f>
        <v>0</v>
      </c>
      <c r="BD279" s="97">
        <f>IF(AND($T279=1,BD$5&lt;=$H279),INDEX(Mortality!$B$4:$E$64,MATCH($D279+BD$5-1,Mortality!$A$4:$A$64,0),$U279)*$V279*$N279,0)</f>
        <v>0</v>
      </c>
      <c r="BE279" s="97">
        <f>IF(AND($T279=1,BE$5&lt;=$H279),INDEX(Mortality!$B$4:$E$64,MATCH($D279+BE$5-1,Mortality!$A$4:$A$64,0),$U279)*$V279*$N279,0)</f>
        <v>0</v>
      </c>
      <c r="BF279" s="97">
        <f>IF(AND($T279=1,BF$5&lt;=$H279),INDEX(Mortality!$B$4:$E$64,MATCH($D279+BF$5-1,Mortality!$A$4:$A$64,0),$U279)*$V279*$N279,0)</f>
        <v>0</v>
      </c>
      <c r="BG279" s="97">
        <f>IF(AND($T279=1,BG$5&lt;=$H279),INDEX(Mortality!$B$4:$E$64,MATCH($D279+BG$5-1,Mortality!$A$4:$A$64,0),$U279)*$V279*$N279,0)</f>
        <v>0</v>
      </c>
      <c r="BH279" s="97">
        <f>IF(AND($T279=1,BH$5&lt;=$H279),INDEX(Mortality!$B$4:$E$64,MATCH($D279+BH$5-1,Mortality!$A$4:$A$64,0),$U279)*$V279*$N279,0)</f>
        <v>0</v>
      </c>
      <c r="BI279" s="97">
        <f>IF(AND($T279=1,BI$5&lt;=$H279),INDEX(Mortality!$B$4:$E$64,MATCH($D279+BI$5-1,Mortality!$A$4:$A$64,0),$U279)*$V279*$N279,0)</f>
        <v>0</v>
      </c>
      <c r="BJ279" s="97">
        <f>IF(AND($T279=1,BJ$5&lt;=$H279),INDEX(Mortality!$B$4:$E$64,MATCH($D279+BJ$5-1,Mortality!$A$4:$A$64,0),$U279)*$V279*$N279,0)</f>
        <v>0</v>
      </c>
      <c r="BK279" s="97">
        <f>IF(AND($T279=1,BK$5&lt;=$H279),INDEX(Mortality!$B$4:$E$64,MATCH($D279+BK$5-1,Mortality!$A$4:$A$64,0),$U279)*$V279*$N279,0)</f>
        <v>0</v>
      </c>
      <c r="BL279" s="97">
        <f>IF(AND($T279=1,BL$5&lt;=$H279),INDEX(Mortality!$B$4:$E$64,MATCH($D279+BL$5-1,Mortality!$A$4:$A$64,0),$U279)*$V279*$N279,0)</f>
        <v>0</v>
      </c>
      <c r="BM279" s="97">
        <f>IF(AND($T279=1,BM$5&lt;=$H279),INDEX(Mortality!$B$4:$E$64,MATCH($D279+BM$5-1,Mortality!$A$4:$A$64,0),$U279)*$V279*$N279,0)</f>
        <v>0</v>
      </c>
      <c r="BN279" s="97">
        <f>IF(AND($T279=1,BN$5&lt;=$H279),INDEX(Mortality!$B$4:$E$64,MATCH($D279+BN$5-1,Mortality!$A$4:$A$64,0),$U279)*$V279*$N279,0)</f>
        <v>0</v>
      </c>
      <c r="BO279" s="97">
        <f>IF(AND($T279=1,BO$5&lt;=$H279),INDEX(Mortality!$B$4:$E$64,MATCH($D279+BO$5-1,Mortality!$A$4:$A$64,0),$U279)*$V279*$N279,0)</f>
        <v>0</v>
      </c>
      <c r="BP279" s="97">
        <f>IF(AND($T279=1,BP$5&lt;=$H279),INDEX(Mortality!$B$4:$E$64,MATCH($D279+BP$5-1,Mortality!$A$4:$A$64,0),$U279)*$V279*$N279,0)</f>
        <v>0</v>
      </c>
      <c r="BQ279" s="97">
        <f>IF(AND($T279=1,BQ$5&lt;=$H279),INDEX(Mortality!$B$4:$E$64,MATCH($D279+BQ$5-1,Mortality!$A$4:$A$64,0),$U279)*$V279*$N279,0)</f>
        <v>0</v>
      </c>
      <c r="BR279" s="97">
        <f>IF(AND($T279=1,BR$5&lt;=$H279),INDEX(Mortality!$B$4:$E$64,MATCH($D279+BR$5-1,Mortality!$A$4:$A$64,0),$U279)*$V279*$N279,0)</f>
        <v>0</v>
      </c>
      <c r="BS279" s="97">
        <f>IF(AND($T279=1,BS$5&lt;=$H279),INDEX(Mortality!$B$4:$E$64,MATCH($D279+BS$5-1,Mortality!$A$4:$A$64,0),$U279)*$V279*$N279,0)</f>
        <v>0</v>
      </c>
      <c r="BT279" s="97">
        <f>IF(AND($T279=1,BT$5&lt;=$H279),INDEX(Mortality!$B$4:$E$64,MATCH($D279+BT$5-1,Mortality!$A$4:$A$64,0),$U279)*$V279*$N279,0)</f>
        <v>0</v>
      </c>
      <c r="BU279" s="97">
        <f>IF(AND($T279=1,BU$5&lt;=$H279),INDEX(Mortality!$B$4:$E$64,MATCH($D279+BU$5-1,Mortality!$A$4:$A$64,0),$U279)*$V279*$N279,0)</f>
        <v>0</v>
      </c>
      <c r="BV279" s="97">
        <f>IF(AND($T279=1,BV$5&lt;=$H279),INDEX(Mortality!$B$4:$E$64,MATCH($D279+BV$5-1,Mortality!$A$4:$A$64,0),$U279)*$V279*$N279,0)</f>
        <v>0</v>
      </c>
      <c r="BW279" s="97">
        <f>IF(AND($T279=1,BW$5&lt;=$H279),INDEX(Mortality!$B$4:$E$64,MATCH($D279+BW$5-1,Mortality!$A$4:$A$64,0),$U279)*$V279*$N279,0)</f>
        <v>0</v>
      </c>
      <c r="BX279" s="97">
        <f>IF(AND($T279=1,BX$5&lt;=$H279),INDEX(Mortality!$B$4:$E$64,MATCH($D279+BX$5-1,Mortality!$A$4:$A$64,0),$U279)*$V279*$N279,0)</f>
        <v>0</v>
      </c>
      <c r="BY279" s="97">
        <f>IF(AND($T279=1,BY$5&lt;=$H279),INDEX(Mortality!$B$4:$E$64,MATCH($D279+BY$5-1,Mortality!$A$4:$A$64,0),$U279)*$V279*$N279,0)</f>
        <v>0</v>
      </c>
      <c r="BZ279" s="97">
        <f>IF(AND($T279=1,BZ$5&lt;=$H279),INDEX(Mortality!$B$4:$E$64,MATCH($D279+BZ$5-1,Mortality!$A$4:$A$64,0),$U279)*$V279*$N279,0)</f>
        <v>0</v>
      </c>
      <c r="CA279" s="97">
        <f>IF(AND($T279=1,CA$5&lt;=$H279),INDEX(Mortality!$B$4:$E$64,MATCH($D279+CA$5-1,Mortality!$A$4:$A$64,0),$U279)*$V279*$N279,0)</f>
        <v>0</v>
      </c>
      <c r="CB279" s="97">
        <f>IF(AND($T279=1,CB$5&lt;=$H279),INDEX(Mortality!$B$4:$E$64,MATCH($D279+CB$5-1,Mortality!$A$4:$A$64,0),$U279)*$V279*$N279,0)</f>
        <v>0</v>
      </c>
      <c r="CC279" s="97">
        <f>IF(AND($T279=1,CC$5&lt;=$H279),INDEX(Mortality!$B$4:$E$64,MATCH($D279+CC$5-1,Mortality!$A$4:$A$64,0),$U279)*$V279*$N279,0)</f>
        <v>0</v>
      </c>
      <c r="CD279" s="97">
        <f>IF(AND($T279=1,CD$5&lt;=$H279),INDEX(Mortality!$B$4:$E$64,MATCH($D279+CD$5-1,Mortality!$A$4:$A$64,0),$U279)*$V279*$N279,0)</f>
        <v>0</v>
      </c>
      <c r="CE279" s="97">
        <f>IF(AND($T279=1,CE$5&lt;=$H279),INDEX(Mortality!$B$4:$E$64,MATCH($D279+CE$5-1,Mortality!$A$4:$A$64,0),$U279)*$V279*$N279,0)</f>
        <v>0</v>
      </c>
      <c r="CF279" s="97">
        <f>IF(AND($T279=1,CF$5&lt;=$H279),INDEX(Mortality!$B$4:$E$64,MATCH($D279+CF$5-1,Mortality!$A$4:$A$64,0),$U279)*$V279*$N279,0)</f>
        <v>0</v>
      </c>
      <c r="CG279" s="97">
        <f>IF(AND($T279=1,CG$5&lt;=$H279),INDEX(Mortality!$B$4:$E$64,MATCH($D279+CG$5-1,Mortality!$A$4:$A$64,0),$U279)*$V279*$N279,0)</f>
        <v>0</v>
      </c>
      <c r="CH279" s="98">
        <f>IF(AND($T279=1,CH$5&lt;=$H279),INDEX(Mortality!$B$4:$E$64,MATCH($D279+CH$5-1,Mortality!$A$4:$A$64,0),$U279)*$V279*$N279,0)</f>
        <v>0</v>
      </c>
      <c r="CI279" s="26"/>
      <c r="CJ279" s="420">
        <f t="shared" si="89"/>
        <v>0</v>
      </c>
      <c r="CK279" s="97">
        <f>IF(AND($T279=1,CK$5&lt;=$H279),CJ279*(1-AU279)*(1-MIN(1,MAX(Assumptions!$C$27,Assumptions!$C$13*Assumptions!$C$28^(CJ$5-1))*$O279)),0)</f>
        <v>0</v>
      </c>
      <c r="CL279" s="97">
        <f>IF(AND($T279=1,CL$5&lt;=$H279),CK279*(1-AV279)*(1-MIN(1,MAX(Assumptions!$C$27,Assumptions!$C$13*Assumptions!$C$28^(CK$5-1))*$O279)),0)</f>
        <v>0</v>
      </c>
      <c r="CM279" s="97">
        <f>IF(AND($T279=1,CM$5&lt;=$H279),CL279*(1-AW279)*(1-MIN(1,MAX(Assumptions!$C$27,Assumptions!$C$13*Assumptions!$C$28^(CL$5-1))*$O279)),0)</f>
        <v>0</v>
      </c>
      <c r="CN279" s="97">
        <f>IF(AND($T279=1,CN$5&lt;=$H279),CM279*(1-AX279)*(1-MIN(1,MAX(Assumptions!$C$27,Assumptions!$C$13*Assumptions!$C$28^(CM$5-1))*$O279)),0)</f>
        <v>0</v>
      </c>
      <c r="CO279" s="97">
        <f>IF(AND($T279=1,CO$5&lt;=$H279),CN279*(1-AY279)*(1-MIN(1,MAX(Assumptions!$C$27,Assumptions!$C$13*Assumptions!$C$28^(CN$5-1))*$O279)),0)</f>
        <v>0</v>
      </c>
      <c r="CP279" s="97">
        <f>IF(AND($T279=1,CP$5&lt;=$H279),CO279*(1-AZ279)*(1-MIN(1,MAX(Assumptions!$C$27,Assumptions!$C$13*Assumptions!$C$28^(CO$5-1))*$O279)),0)</f>
        <v>0</v>
      </c>
      <c r="CQ279" s="97">
        <f>IF(AND($T279=1,CQ$5&lt;=$H279),CP279*(1-BA279)*(1-MIN(1,MAX(Assumptions!$C$27,Assumptions!$C$13*Assumptions!$C$28^(CP$5-1))*$O279)),0)</f>
        <v>0</v>
      </c>
      <c r="CR279" s="97">
        <f>IF(AND($T279=1,CR$5&lt;=$H279),CQ279*(1-BB279)*(1-MIN(1,MAX(Assumptions!$C$27,Assumptions!$C$13*Assumptions!$C$28^(CQ$5-1))*$O279)),0)</f>
        <v>0</v>
      </c>
      <c r="CS279" s="97">
        <f>IF(AND($T279=1,CS$5&lt;=$H279),CR279*(1-BC279)*(1-MIN(1,MAX(Assumptions!$C$27,Assumptions!$C$13*Assumptions!$C$28^(CR$5-1))*$O279)),0)</f>
        <v>0</v>
      </c>
      <c r="CT279" s="97">
        <f>IF(AND($T279=1,CT$5&lt;=$H279),CS279*(1-BD279)*(1-MIN(1,MAX(Assumptions!$C$27,Assumptions!$C$13*Assumptions!$C$28^(CS$5-1))*$O279)),0)</f>
        <v>0</v>
      </c>
      <c r="CU279" s="97">
        <f>IF(AND($T279=1,CU$5&lt;=$H279),CT279*(1-BE279)*(1-MIN(1,MAX(Assumptions!$C$27,Assumptions!$C$13*Assumptions!$C$28^(CT$5-1))*$O279)),0)</f>
        <v>0</v>
      </c>
      <c r="CV279" s="97">
        <f>IF(AND($T279=1,CV$5&lt;=$H279),CU279*(1-BF279)*(1-MIN(1,MAX(Assumptions!$C$27,Assumptions!$C$13*Assumptions!$C$28^(CU$5-1))*$O279)),0)</f>
        <v>0</v>
      </c>
      <c r="CW279" s="97">
        <f>IF(AND($T279=1,CW$5&lt;=$H279),CV279*(1-BG279)*(1-MIN(1,MAX(Assumptions!$C$27,Assumptions!$C$13*Assumptions!$C$28^(CV$5-1))*$O279)),0)</f>
        <v>0</v>
      </c>
      <c r="CX279" s="97">
        <f>IF(AND($T279=1,CX$5&lt;=$H279),CW279*(1-BH279)*(1-MIN(1,MAX(Assumptions!$C$27,Assumptions!$C$13*Assumptions!$C$28^(CW$5-1))*$O279)),0)</f>
        <v>0</v>
      </c>
      <c r="CY279" s="97">
        <f>IF(AND($T279=1,CY$5&lt;=$H279),CX279*(1-BI279)*(1-MIN(1,MAX(Assumptions!$C$27,Assumptions!$C$13*Assumptions!$C$28^(CX$5-1))*$O279)),0)</f>
        <v>0</v>
      </c>
      <c r="CZ279" s="97">
        <f>IF(AND($T279=1,CZ$5&lt;=$H279),CY279*(1-BJ279)*(1-MIN(1,MAX(Assumptions!$C$27,Assumptions!$C$13*Assumptions!$C$28^(CY$5-1))*$O279)),0)</f>
        <v>0</v>
      </c>
      <c r="DA279" s="97">
        <f>IF(AND($T279=1,DA$5&lt;=$H279),CZ279*(1-BK279)*(1-MIN(1,MAX(Assumptions!$C$27,Assumptions!$C$13*Assumptions!$C$28^(CZ$5-1))*$O279)),0)</f>
        <v>0</v>
      </c>
      <c r="DB279" s="97">
        <f>IF(AND($T279=1,DB$5&lt;=$H279),DA279*(1-BL279)*(1-MIN(1,MAX(Assumptions!$C$27,Assumptions!$C$13*Assumptions!$C$28^(DA$5-1))*$O279)),0)</f>
        <v>0</v>
      </c>
      <c r="DC279" s="97">
        <f>IF(AND($T279=1,DC$5&lt;=$H279),DB279*(1-BM279)*(1-MIN(1,MAX(Assumptions!$C$27,Assumptions!$C$13*Assumptions!$C$28^(DB$5-1))*$O279)),0)</f>
        <v>0</v>
      </c>
      <c r="DD279" s="97">
        <f>IF(AND($T279=1,DD$5&lt;=$H279),DC279*(1-BN279)*(1-MIN(1,MAX(Assumptions!$C$27,Assumptions!$C$13*Assumptions!$C$28^(DC$5-1))*$O279)),0)</f>
        <v>0</v>
      </c>
      <c r="DE279" s="97">
        <f>IF(AND($T279=1,DE$5&lt;=$H279),DD279*(1-BO279)*(1-MIN(1,MAX(Assumptions!$C$27,Assumptions!$C$13*Assumptions!$C$28^(DD$5-1))*$O279)),0)</f>
        <v>0</v>
      </c>
      <c r="DF279" s="97">
        <f>IF(AND($T279=1,DF$5&lt;=$H279),DE279*(1-BP279)*(1-MIN(1,MAX(Assumptions!$C$27,Assumptions!$C$13*Assumptions!$C$28^(DE$5-1))*$O279)),0)</f>
        <v>0</v>
      </c>
      <c r="DG279" s="97">
        <f>IF(AND($T279=1,DG$5&lt;=$H279),DF279*(1-BQ279)*(1-MIN(1,MAX(Assumptions!$C$27,Assumptions!$C$13*Assumptions!$C$28^(DF$5-1))*$O279)),0)</f>
        <v>0</v>
      </c>
      <c r="DH279" s="97">
        <f>IF(AND($T279=1,DH$5&lt;=$H279),DG279*(1-BR279)*(1-MIN(1,MAX(Assumptions!$C$27,Assumptions!$C$13*Assumptions!$C$28^(DG$5-1))*$O279)),0)</f>
        <v>0</v>
      </c>
      <c r="DI279" s="97">
        <f>IF(AND($T279=1,DI$5&lt;=$H279),DH279*(1-BS279)*(1-MIN(1,MAX(Assumptions!$C$27,Assumptions!$C$13*Assumptions!$C$28^(DH$5-1))*$O279)),0)</f>
        <v>0</v>
      </c>
      <c r="DJ279" s="97">
        <f>IF(AND($T279=1,DJ$5&lt;=$H279),DI279*(1-BT279)*(1-MIN(1,MAX(Assumptions!$C$27,Assumptions!$C$13*Assumptions!$C$28^(DI$5-1))*$O279)),0)</f>
        <v>0</v>
      </c>
      <c r="DK279" s="97">
        <f>IF(AND($T279=1,DK$5&lt;=$H279),DJ279*(1-BU279)*(1-MIN(1,MAX(Assumptions!$C$27,Assumptions!$C$13*Assumptions!$C$28^(DJ$5-1))*$O279)),0)</f>
        <v>0</v>
      </c>
      <c r="DL279" s="97">
        <f>IF(AND($T279=1,DL$5&lt;=$H279),DK279*(1-BV279)*(1-MIN(1,MAX(Assumptions!$C$27,Assumptions!$C$13*Assumptions!$C$28^(DK$5-1))*$O279)),0)</f>
        <v>0</v>
      </c>
      <c r="DM279" s="97">
        <f>IF(AND($T279=1,DM$5&lt;=$H279),DL279*(1-BW279)*(1-MIN(1,MAX(Assumptions!$C$27,Assumptions!$C$13*Assumptions!$C$28^(DL$5-1))*$O279)),0)</f>
        <v>0</v>
      </c>
      <c r="DN279" s="97">
        <f>IF(AND($T279=1,DN$5&lt;=$H279),DM279*(1-BX279)*(1-MIN(1,MAX(Assumptions!$C$27,Assumptions!$C$13*Assumptions!$C$28^(DM$5-1))*$O279)),0)</f>
        <v>0</v>
      </c>
      <c r="DO279" s="97">
        <f>IF(AND($T279=1,DO$5&lt;=$H279),DN279*(1-BY279)*(1-MIN(1,MAX(Assumptions!$C$27,Assumptions!$C$13*Assumptions!$C$28^(DN$5-1))*$O279)),0)</f>
        <v>0</v>
      </c>
      <c r="DP279" s="97">
        <f>IF(AND($T279=1,DP$5&lt;=$H279),DO279*(1-BZ279)*(1-MIN(1,MAX(Assumptions!$C$27,Assumptions!$C$13*Assumptions!$C$28^(DO$5-1))*$O279)),0)</f>
        <v>0</v>
      </c>
      <c r="DQ279" s="97">
        <f>IF(AND($T279=1,DQ$5&lt;=$H279),DP279*(1-CA279)*(1-MIN(1,MAX(Assumptions!$C$27,Assumptions!$C$13*Assumptions!$C$28^(DP$5-1))*$O279)),0)</f>
        <v>0</v>
      </c>
      <c r="DR279" s="97">
        <f>IF(AND($T279=1,DR$5&lt;=$H279),DQ279*(1-CB279)*(1-MIN(1,MAX(Assumptions!$C$27,Assumptions!$C$13*Assumptions!$C$28^(DQ$5-1))*$O279)),0)</f>
        <v>0</v>
      </c>
      <c r="DS279" s="97">
        <f>IF(AND($T279=1,DS$5&lt;=$H279),DR279*(1-CC279)*(1-MIN(1,MAX(Assumptions!$C$27,Assumptions!$C$13*Assumptions!$C$28^(DR$5-1))*$O279)),0)</f>
        <v>0</v>
      </c>
      <c r="DT279" s="97">
        <f>IF(AND($T279=1,DT$5&lt;=$H279),DS279*(1-CD279)*(1-MIN(1,MAX(Assumptions!$C$27,Assumptions!$C$13*Assumptions!$C$28^(DS$5-1))*$O279)),0)</f>
        <v>0</v>
      </c>
      <c r="DU279" s="97">
        <f>IF(AND($T279=1,DU$5&lt;=$H279),DT279*(1-CE279)*(1-MIN(1,MAX(Assumptions!$C$27,Assumptions!$C$13*Assumptions!$C$28^(DT$5-1))*$O279)),0)</f>
        <v>0</v>
      </c>
      <c r="DV279" s="97">
        <f>IF(AND($T279=1,DV$5&lt;=$H279),DU279*(1-CF279)*(1-MIN(1,MAX(Assumptions!$C$27,Assumptions!$C$13*Assumptions!$C$28^(DU$5-1))*$O279)),0)</f>
        <v>0</v>
      </c>
      <c r="DW279" s="98">
        <f>IF(AND($T279=1,DW$5&lt;=$H279),DV279*(1-CG279)*(1-MIN(1,MAX(Assumptions!$C$27,Assumptions!$C$13*Assumptions!$C$28^(DV$5-1))*$O279)),0)</f>
        <v>0</v>
      </c>
      <c r="DX279" s="26"/>
      <c r="DY279" s="401">
        <f>'Policy Data'!K253</f>
        <v>1</v>
      </c>
      <c r="DZ279" s="402">
        <f>'Policy Data'!L253</f>
        <v>0.69799999999999995</v>
      </c>
      <c r="EA279" s="402">
        <f>'Policy Data'!N253</f>
        <v>5.2589999999999998E-3</v>
      </c>
      <c r="EB279" s="97" cm="1">
        <f t="array" ref="EB279">IFERROR(DZ279*INDEX(Mortality!$B$4:$E$64,MATCH(D279+DY279-1,Mortality!$A$4:$A$64,0),U279)*V279,0)</f>
        <v>5.2591688495401481E-3</v>
      </c>
      <c r="EC279" s="402">
        <f>'Policy Data'!O253</f>
        <v>0</v>
      </c>
      <c r="ED279" s="403">
        <f>'Policy Data'!Q253</f>
        <v>0</v>
      </c>
    </row>
  </sheetData>
  <mergeCells count="2">
    <mergeCell ref="A2:AS2"/>
    <mergeCell ref="A3:A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README</vt:lpstr>
      <vt:lpstr>Results Summary</vt:lpstr>
      <vt:lpstr>Pricing Calculator</vt:lpstr>
      <vt:lpstr>Assumptions</vt:lpstr>
      <vt:lpstr>Mortality</vt:lpstr>
      <vt:lpstr>Premium Calculation</vt:lpstr>
      <vt:lpstr>Cashflows</vt:lpstr>
      <vt:lpstr>Reinsurance</vt:lpstr>
      <vt:lpstr>Profit Testing</vt:lpstr>
      <vt:lpstr>Portfolio Analysis</vt:lpstr>
      <vt:lpstr>Experience Analysis</vt:lpstr>
      <vt:lpstr>Assumption Review</vt:lpstr>
      <vt:lpstr>Sensitivities</vt:lpstr>
      <vt:lpstr>IFRS 17 GMM</vt:lpstr>
      <vt:lpstr>Unit-Linked</vt:lpstr>
      <vt:lpstr>IFRS 17 VFA</vt:lpstr>
      <vt:lpstr>Policy Data</vt:lpstr>
      <vt:lpstr>Checks</vt:lpstr>
      <vt:lpstr>Portfolio Totals</vt:lpstr>
      <vt:lpstr>Policy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Udit Agarwal</cp:lastModifiedBy>
  <dcterms:modified xsi:type="dcterms:W3CDTF">2026-09-27T06:03:24Z</dcterms:modified>
</cp:coreProperties>
</file>